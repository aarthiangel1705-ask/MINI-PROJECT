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cd9cf094d630d11/Documents/"/>
    </mc:Choice>
  </mc:AlternateContent>
  <xr:revisionPtr revIDLastSave="0" documentId="8_{0E5B9600-2151-4BF1-B1C2-0CAC2B11C25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cleaned Hospitals" sheetId="1" r:id="rId1"/>
    <sheet name="clean admission billing" sheetId="2" r:id="rId2"/>
    <sheet name="Cleaned Visits" sheetId="3" r:id="rId3"/>
    <sheet name="Cleaned Departments_Location" sheetId="4" r:id="rId4"/>
    <sheet name="DATA" sheetId="6" r:id="rId5"/>
    <sheet name="pivot table" sheetId="10" r:id="rId6"/>
  </sheets>
  <definedNames>
    <definedName name="_xlnm._FilterDatabase" localSheetId="3" hidden="1">'Cleaned Departments_Location'!$A$1:$J$1217</definedName>
    <definedName name="_xlnm._FilterDatabase" localSheetId="2" hidden="1">'Cleaned Visits'!$A$1:$J$1211</definedName>
  </definedNames>
  <calcPr calcId="191029" iterateDelta="1E-4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2" i="3"/>
  <c r="P2" i="2" a="1"/>
  <c r="P2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P3" i="2" a="1"/>
  <c r="P3" i="2" s="1"/>
  <c r="P4" i="2" a="1"/>
  <c r="P4" i="2" s="1"/>
  <c r="P5" i="2" a="1"/>
  <c r="P5" i="2"/>
  <c r="P6" i="2" a="1"/>
  <c r="P6" i="2"/>
  <c r="P7" i="2" a="1"/>
  <c r="P7" i="2" s="1"/>
  <c r="P8" i="2" a="1"/>
  <c r="P8" i="2" s="1"/>
  <c r="P9" i="2" a="1"/>
  <c r="P9" i="2"/>
  <c r="P10" i="2" a="1"/>
  <c r="P10" i="2" s="1"/>
  <c r="P11" i="2" a="1"/>
  <c r="P11" i="2" s="1"/>
  <c r="P12" i="2" a="1"/>
  <c r="P12" i="2" s="1"/>
  <c r="P13" i="2" a="1"/>
  <c r="P13" i="2"/>
  <c r="P14" i="2" a="1"/>
  <c r="P14" i="2" s="1"/>
  <c r="P15" i="2" a="1"/>
  <c r="P15" i="2" s="1"/>
  <c r="P16" i="2" a="1"/>
  <c r="P16" i="2" s="1"/>
  <c r="P17" i="2" a="1"/>
  <c r="P17" i="2"/>
  <c r="P18" i="2" a="1"/>
  <c r="P18" i="2"/>
  <c r="P19" i="2" a="1"/>
  <c r="P19" i="2" s="1"/>
  <c r="P20" i="2" a="1"/>
  <c r="P20" i="2" s="1"/>
  <c r="P21" i="2" a="1"/>
  <c r="P21" i="2" s="1"/>
  <c r="P22" i="2" a="1"/>
  <c r="P22" i="2"/>
  <c r="P23" i="2" a="1"/>
  <c r="P23" i="2" s="1"/>
  <c r="P24" i="2" a="1"/>
  <c r="P24" i="2" s="1"/>
  <c r="P25" i="2" a="1"/>
  <c r="P25" i="2" s="1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 s="1"/>
  <c r="P32" i="2" a="1"/>
  <c r="P32" i="2" s="1"/>
  <c r="P33" i="2" a="1"/>
  <c r="P33" i="2"/>
  <c r="P34" i="2" a="1"/>
  <c r="P34" i="2" s="1"/>
  <c r="P35" i="2" a="1"/>
  <c r="P35" i="2" s="1"/>
  <c r="P36" i="2" a="1"/>
  <c r="P36" i="2" s="1"/>
  <c r="P37" i="2" a="1"/>
  <c r="P37" i="2" s="1"/>
  <c r="P38" i="2" a="1"/>
  <c r="P38" i="2"/>
  <c r="P39" i="2" a="1"/>
  <c r="P39" i="2" s="1"/>
  <c r="P40" i="2" a="1"/>
  <c r="P40" i="2" s="1"/>
  <c r="P41" i="2" a="1"/>
  <c r="P41" i="2" s="1"/>
  <c r="P42" i="2" a="1"/>
  <c r="P42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/>
  <c r="P50" i="2" a="1"/>
  <c r="P50" i="2"/>
  <c r="P51" i="2" a="1"/>
  <c r="P51" i="2" s="1"/>
  <c r="P52" i="2" a="1"/>
  <c r="P52" i="2" s="1"/>
  <c r="P53" i="2" a="1"/>
  <c r="P53" i="2" s="1"/>
  <c r="P54" i="2" a="1"/>
  <c r="P54" i="2"/>
  <c r="P55" i="2" a="1"/>
  <c r="P55" i="2" s="1"/>
  <c r="P56" i="2" a="1"/>
  <c r="P56" i="2" s="1"/>
  <c r="P57" i="2" a="1"/>
  <c r="P57" i="2" s="1"/>
  <c r="P58" i="2" a="1"/>
  <c r="P58" i="2" s="1"/>
  <c r="P59" i="2" a="1"/>
  <c r="P59" i="2" s="1"/>
  <c r="P60" i="2" a="1"/>
  <c r="P60" i="2" s="1"/>
  <c r="P61" i="2" a="1"/>
  <c r="P61" i="2"/>
  <c r="P62" i="2" a="1"/>
  <c r="P62" i="2" s="1"/>
  <c r="P63" i="2" a="1"/>
  <c r="P63" i="2" s="1"/>
  <c r="P64" i="2" a="1"/>
  <c r="P64" i="2" s="1"/>
  <c r="P65" i="2" a="1"/>
  <c r="P65" i="2"/>
  <c r="P66" i="2" a="1"/>
  <c r="P66" i="2" s="1"/>
  <c r="P67" i="2" a="1"/>
  <c r="P67" i="2" s="1"/>
  <c r="P68" i="2" a="1"/>
  <c r="P68" i="2" s="1"/>
  <c r="P69" i="2" a="1"/>
  <c r="P69" i="2" s="1"/>
  <c r="P70" i="2" a="1"/>
  <c r="P70" i="2"/>
  <c r="P71" i="2" a="1"/>
  <c r="P71" i="2" s="1"/>
  <c r="P72" i="2" a="1"/>
  <c r="P72" i="2" s="1"/>
  <c r="P73" i="2" a="1"/>
  <c r="P73" i="2" s="1"/>
  <c r="P74" i="2" a="1"/>
  <c r="P74" i="2" s="1"/>
  <c r="P75" i="2" a="1"/>
  <c r="P75" i="2" s="1"/>
  <c r="P76" i="2" a="1"/>
  <c r="P76" i="2" s="1"/>
  <c r="P77" i="2" a="1"/>
  <c r="P77" i="2"/>
  <c r="P78" i="2" a="1"/>
  <c r="P78" i="2" s="1"/>
  <c r="P79" i="2" a="1"/>
  <c r="P79" i="2" s="1"/>
  <c r="P80" i="2" a="1"/>
  <c r="P80" i="2" s="1"/>
  <c r="P81" i="2" a="1"/>
  <c r="P81" i="2"/>
  <c r="P82" i="2" a="1"/>
  <c r="P82" i="2"/>
  <c r="P83" i="2" a="1"/>
  <c r="P83" i="2" s="1"/>
  <c r="P84" i="2" a="1"/>
  <c r="P84" i="2" s="1"/>
  <c r="P85" i="2" a="1"/>
  <c r="P85" i="2" s="1"/>
  <c r="P86" i="2" a="1"/>
  <c r="P86" i="2"/>
  <c r="P87" i="2" a="1"/>
  <c r="P87" i="2" s="1"/>
  <c r="P88" i="2" a="1"/>
  <c r="P88" i="2" s="1"/>
  <c r="P89" i="2" a="1"/>
  <c r="P89" i="2" s="1"/>
  <c r="P90" i="2" a="1"/>
  <c r="P90" i="2" s="1"/>
  <c r="P91" i="2" a="1"/>
  <c r="P91" i="2" s="1"/>
  <c r="P92" i="2" a="1"/>
  <c r="P92" i="2" s="1"/>
  <c r="P93" i="2" a="1"/>
  <c r="P93" i="2"/>
  <c r="P94" i="2" a="1"/>
  <c r="P94" i="2" s="1"/>
  <c r="P95" i="2" a="1"/>
  <c r="P95" i="2" s="1"/>
  <c r="P96" i="2" a="1"/>
  <c r="P96" i="2" s="1"/>
  <c r="P97" i="2" a="1"/>
  <c r="P97" i="2"/>
  <c r="P98" i="2" a="1"/>
  <c r="P98" i="2" s="1"/>
  <c r="P99" i="2" a="1"/>
  <c r="P99" i="2" s="1"/>
  <c r="P100" i="2" a="1"/>
  <c r="P100" i="2" s="1"/>
  <c r="P101" i="2" a="1"/>
  <c r="P101" i="2" s="1"/>
  <c r="P102" i="2" a="1"/>
  <c r="P102" i="2"/>
  <c r="P103" i="2" a="1"/>
  <c r="P103" i="2" s="1"/>
  <c r="P104" i="2" a="1"/>
  <c r="P104" i="2" s="1"/>
  <c r="P105" i="2" a="1"/>
  <c r="P105" i="2" s="1"/>
  <c r="P106" i="2" a="1"/>
  <c r="P106" i="2" s="1"/>
  <c r="P107" i="2" a="1"/>
  <c r="P107" i="2" s="1"/>
  <c r="P108" i="2" a="1"/>
  <c r="P108" i="2" s="1"/>
  <c r="P109" i="2" a="1"/>
  <c r="P109" i="2" s="1"/>
  <c r="P110" i="2" a="1"/>
  <c r="P110" i="2" s="1"/>
  <c r="P111" i="2" a="1"/>
  <c r="P111" i="2" s="1"/>
  <c r="P112" i="2" a="1"/>
  <c r="P112" i="2" s="1"/>
  <c r="P113" i="2" a="1"/>
  <c r="P113" i="2"/>
  <c r="P114" i="2" a="1"/>
  <c r="P114" i="2"/>
  <c r="P115" i="2" a="1"/>
  <c r="P115" i="2" s="1"/>
  <c r="P116" i="2" a="1"/>
  <c r="P116" i="2" s="1"/>
  <c r="P117" i="2" a="1"/>
  <c r="P117" i="2" s="1"/>
  <c r="P118" i="2" a="1"/>
  <c r="P118" i="2"/>
  <c r="P119" i="2" a="1"/>
  <c r="P119" i="2" s="1"/>
  <c r="P120" i="2" a="1"/>
  <c r="P120" i="2" s="1"/>
  <c r="P121" i="2" a="1"/>
  <c r="P121" i="2" s="1"/>
  <c r="P122" i="2" a="1"/>
  <c r="P122" i="2" s="1"/>
  <c r="P123" i="2" a="1"/>
  <c r="P123" i="2" s="1"/>
  <c r="P124" i="2" a="1"/>
  <c r="P124" i="2" s="1"/>
  <c r="P125" i="2" a="1"/>
  <c r="P125" i="2" s="1"/>
  <c r="P126" i="2" a="1"/>
  <c r="P126" i="2" s="1"/>
  <c r="P127" i="2" a="1"/>
  <c r="P127" i="2" s="1"/>
  <c r="P128" i="2" a="1"/>
  <c r="P128" i="2" s="1"/>
  <c r="P129" i="2" a="1"/>
  <c r="P129" i="2"/>
  <c r="P130" i="2" a="1"/>
  <c r="P130" i="2" s="1"/>
  <c r="P131" i="2" a="1"/>
  <c r="P131" i="2" s="1"/>
  <c r="P132" i="2" a="1"/>
  <c r="P132" i="2" s="1"/>
  <c r="P133" i="2" a="1"/>
  <c r="P133" i="2" s="1"/>
  <c r="P134" i="2" a="1"/>
  <c r="P134" i="2"/>
  <c r="P135" i="2" a="1"/>
  <c r="P135" i="2" s="1"/>
  <c r="P136" i="2" a="1"/>
  <c r="P136" i="2" s="1"/>
  <c r="P137" i="2" a="1"/>
  <c r="P137" i="2" s="1"/>
  <c r="P138" i="2" a="1"/>
  <c r="P138" i="2" s="1"/>
  <c r="P139" i="2" a="1"/>
  <c r="P139" i="2" s="1"/>
  <c r="P140" i="2" a="1"/>
  <c r="P140" i="2" s="1"/>
  <c r="P141" i="2" a="1"/>
  <c r="P141" i="2" s="1"/>
  <c r="P142" i="2" a="1"/>
  <c r="P142" i="2" s="1"/>
  <c r="P143" i="2" a="1"/>
  <c r="P143" i="2" s="1"/>
  <c r="P144" i="2" a="1"/>
  <c r="P144" i="2" s="1"/>
  <c r="P145" i="2" a="1"/>
  <c r="P145" i="2"/>
  <c r="P146" i="2" a="1"/>
  <c r="P146" i="2"/>
  <c r="P147" i="2" a="1"/>
  <c r="P147" i="2" s="1"/>
  <c r="P148" i="2" a="1"/>
  <c r="P148" i="2" s="1"/>
  <c r="P149" i="2" a="1"/>
  <c r="P149" i="2" s="1"/>
  <c r="P150" i="2" a="1"/>
  <c r="P150" i="2" s="1"/>
  <c r="P151" i="2" a="1"/>
  <c r="P151" i="2" s="1"/>
  <c r="P152" i="2" a="1"/>
  <c r="P152" i="2" s="1"/>
  <c r="P153" i="2" a="1"/>
  <c r="P153" i="2" s="1"/>
  <c r="P154" i="2" a="1"/>
  <c r="P154" i="2" s="1"/>
  <c r="P155" i="2" a="1"/>
  <c r="P155" i="2" s="1"/>
  <c r="P156" i="2" a="1"/>
  <c r="P156" i="2" s="1"/>
  <c r="P157" i="2" a="1"/>
  <c r="P157" i="2" s="1"/>
  <c r="P158" i="2" a="1"/>
  <c r="P158" i="2" s="1"/>
  <c r="P159" i="2" a="1"/>
  <c r="P159" i="2" s="1"/>
  <c r="P160" i="2" a="1"/>
  <c r="P160" i="2" s="1"/>
  <c r="P161" i="2" a="1"/>
  <c r="P161" i="2"/>
  <c r="P162" i="2" a="1"/>
  <c r="P162" i="2" s="1"/>
  <c r="P163" i="2" a="1"/>
  <c r="P163" i="2" s="1"/>
  <c r="P164" i="2" a="1"/>
  <c r="P164" i="2" s="1"/>
  <c r="P165" i="2" a="1"/>
  <c r="P165" i="2" s="1"/>
  <c r="P166" i="2" a="1"/>
  <c r="P166" i="2"/>
  <c r="P167" i="2" a="1"/>
  <c r="P167" i="2" s="1"/>
  <c r="P168" i="2" a="1"/>
  <c r="P168" i="2" s="1"/>
  <c r="P169" i="2" a="1"/>
  <c r="P169" i="2" s="1"/>
  <c r="P170" i="2" a="1"/>
  <c r="P170" i="2" s="1"/>
  <c r="P171" i="2" a="1"/>
  <c r="P171" i="2" s="1"/>
  <c r="P172" i="2" a="1"/>
  <c r="P172" i="2" s="1"/>
  <c r="P173" i="2" a="1"/>
  <c r="P173" i="2"/>
  <c r="P174" i="2" a="1"/>
  <c r="P174" i="2" s="1"/>
  <c r="P175" i="2" a="1"/>
  <c r="P175" i="2" s="1"/>
  <c r="P176" i="2" a="1"/>
  <c r="P176" i="2" s="1"/>
  <c r="P177" i="2" a="1"/>
  <c r="P177" i="2" s="1"/>
  <c r="P178" i="2" a="1"/>
  <c r="P178" i="2"/>
  <c r="P179" i="2" a="1"/>
  <c r="P179" i="2" s="1"/>
  <c r="P180" i="2" a="1"/>
  <c r="P180" i="2" s="1"/>
  <c r="P181" i="2" a="1"/>
  <c r="P181" i="2" s="1"/>
  <c r="P182" i="2" a="1"/>
  <c r="P182" i="2" s="1"/>
  <c r="P183" i="2" a="1"/>
  <c r="P183" i="2" s="1"/>
  <c r="P184" i="2" a="1"/>
  <c r="P184" i="2" s="1"/>
  <c r="P185" i="2" a="1"/>
  <c r="P185" i="2" s="1"/>
  <c r="P186" i="2" a="1"/>
  <c r="P186" i="2" s="1"/>
  <c r="P187" i="2" a="1"/>
  <c r="P187" i="2" s="1"/>
  <c r="P188" i="2" a="1"/>
  <c r="P188" i="2" s="1"/>
  <c r="P189" i="2" a="1"/>
  <c r="P189" i="2" s="1"/>
  <c r="P190" i="2" a="1"/>
  <c r="P190" i="2" s="1"/>
  <c r="P191" i="2" a="1"/>
  <c r="P191" i="2" s="1"/>
  <c r="P192" i="2" a="1"/>
  <c r="P192" i="2" s="1"/>
  <c r="P193" i="2" a="1"/>
  <c r="P193" i="2" s="1"/>
  <c r="P194" i="2" a="1"/>
  <c r="P194" i="2" s="1"/>
  <c r="P195" i="2" a="1"/>
  <c r="P195" i="2" s="1"/>
  <c r="P196" i="2" a="1"/>
  <c r="P196" i="2" s="1"/>
  <c r="P197" i="2" a="1"/>
  <c r="P197" i="2" s="1"/>
  <c r="P198" i="2" a="1"/>
  <c r="P198" i="2"/>
  <c r="P199" i="2" a="1"/>
  <c r="P199" i="2" s="1"/>
  <c r="P200" i="2" a="1"/>
  <c r="P200" i="2" s="1"/>
  <c r="P201" i="2" a="1"/>
  <c r="P201" i="2" s="1"/>
  <c r="P202" i="2" a="1"/>
  <c r="P202" i="2" s="1"/>
  <c r="P203" i="2" a="1"/>
  <c r="P203" i="2" s="1"/>
  <c r="P204" i="2" a="1"/>
  <c r="P204" i="2" s="1"/>
  <c r="P205" i="2" a="1"/>
  <c r="P205" i="2"/>
  <c r="P206" i="2" a="1"/>
  <c r="P206" i="2" s="1"/>
  <c r="P207" i="2" a="1"/>
  <c r="P207" i="2" s="1"/>
  <c r="P208" i="2" a="1"/>
  <c r="P208" i="2" s="1"/>
  <c r="P209" i="2" a="1"/>
  <c r="P209" i="2"/>
  <c r="P210" i="2" a="1"/>
  <c r="P210" i="2"/>
  <c r="P211" i="2" a="1"/>
  <c r="P211" i="2" s="1"/>
  <c r="P212" i="2" a="1"/>
  <c r="P212" i="2" s="1"/>
  <c r="P213" i="2" a="1"/>
  <c r="P213" i="2" s="1"/>
  <c r="P214" i="2" a="1"/>
  <c r="P214" i="2" s="1"/>
  <c r="P215" i="2" a="1"/>
  <c r="P215" i="2" s="1"/>
  <c r="P216" i="2" a="1"/>
  <c r="P216" i="2" s="1"/>
  <c r="P217" i="2" a="1"/>
  <c r="P217" i="2" s="1"/>
  <c r="P218" i="2" a="1"/>
  <c r="P218" i="2" s="1"/>
  <c r="P219" i="2" a="1"/>
  <c r="P219" i="2" s="1"/>
  <c r="P220" i="2" a="1"/>
  <c r="P220" i="2" s="1"/>
  <c r="P221" i="2" a="1"/>
  <c r="P221" i="2" s="1"/>
  <c r="P222" i="2" a="1"/>
  <c r="P222" i="2" s="1"/>
  <c r="P223" i="2" a="1"/>
  <c r="P223" i="2" s="1"/>
  <c r="P224" i="2" a="1"/>
  <c r="P224" i="2" s="1"/>
  <c r="P225" i="2" a="1"/>
  <c r="P225" i="2" s="1"/>
  <c r="P226" i="2" a="1"/>
  <c r="P226" i="2" s="1"/>
  <c r="P227" i="2" a="1"/>
  <c r="P227" i="2" s="1"/>
  <c r="P228" i="2" a="1"/>
  <c r="P228" i="2" s="1"/>
  <c r="P229" i="2" a="1"/>
  <c r="P229" i="2"/>
  <c r="P230" i="2" a="1"/>
  <c r="P230" i="2"/>
  <c r="P231" i="2" a="1"/>
  <c r="P231" i="2" s="1"/>
  <c r="P232" i="2" a="1"/>
  <c r="P232" i="2" s="1"/>
  <c r="P233" i="2" a="1"/>
  <c r="P233" i="2" s="1"/>
  <c r="P234" i="2" a="1"/>
  <c r="P234" i="2"/>
  <c r="P235" i="2" a="1"/>
  <c r="P235" i="2" s="1"/>
  <c r="P236" i="2" a="1"/>
  <c r="P236" i="2" s="1"/>
  <c r="P237" i="2" a="1"/>
  <c r="P237" i="2" s="1"/>
  <c r="P238" i="2" a="1"/>
  <c r="P238" i="2" s="1"/>
  <c r="P239" i="2" a="1"/>
  <c r="P239" i="2" s="1"/>
  <c r="P240" i="2" a="1"/>
  <c r="P240" i="2" s="1"/>
  <c r="P241" i="2" a="1"/>
  <c r="P241" i="2"/>
  <c r="P242" i="2" a="1"/>
  <c r="P242" i="2"/>
  <c r="P243" i="2" a="1"/>
  <c r="P243" i="2" s="1"/>
  <c r="P244" i="2" a="1"/>
  <c r="P244" i="2" s="1"/>
  <c r="P245" i="2" a="1"/>
  <c r="P245" i="2"/>
  <c r="P246" i="2" a="1"/>
  <c r="P246" i="2"/>
  <c r="P247" i="2" a="1"/>
  <c r="P247" i="2" s="1"/>
  <c r="P248" i="2" a="1"/>
  <c r="P248" i="2" s="1"/>
  <c r="P249" i="2" a="1"/>
  <c r="P249" i="2" s="1"/>
  <c r="P250" i="2" a="1"/>
  <c r="P250" i="2" s="1"/>
  <c r="P251" i="2" a="1"/>
  <c r="P251" i="2" s="1"/>
  <c r="P252" i="2" a="1"/>
  <c r="P252" i="2" s="1"/>
  <c r="P253" i="2" a="1"/>
  <c r="P253" i="2" s="1"/>
  <c r="P254" i="2" a="1"/>
  <c r="P254" i="2" s="1"/>
  <c r="P255" i="2" a="1"/>
  <c r="P255" i="2" s="1"/>
  <c r="P256" i="2" a="1"/>
  <c r="P256" i="2" s="1"/>
  <c r="P257" i="2" a="1"/>
  <c r="P257" i="2"/>
  <c r="P258" i="2" a="1"/>
  <c r="P258" i="2"/>
  <c r="P259" i="2" a="1"/>
  <c r="P259" i="2" s="1"/>
  <c r="P260" i="2" a="1"/>
  <c r="P260" i="2" s="1"/>
  <c r="P261" i="2" a="1"/>
  <c r="P261" i="2" s="1"/>
  <c r="P262" i="2" a="1"/>
  <c r="P262" i="2"/>
  <c r="P263" i="2" a="1"/>
  <c r="P263" i="2" s="1"/>
  <c r="P264" i="2" a="1"/>
  <c r="P264" i="2" s="1"/>
  <c r="P265" i="2" a="1"/>
  <c r="P265" i="2" s="1"/>
  <c r="P266" i="2" a="1"/>
  <c r="P266" i="2" s="1"/>
  <c r="P267" i="2" a="1"/>
  <c r="P267" i="2" s="1"/>
  <c r="P268" i="2" a="1"/>
  <c r="P268" i="2" s="1"/>
  <c r="P269" i="2" a="1"/>
  <c r="P269" i="2"/>
  <c r="P270" i="2" a="1"/>
  <c r="P270" i="2" s="1"/>
  <c r="P271" i="2" a="1"/>
  <c r="P271" i="2" s="1"/>
  <c r="P272" i="2" a="1"/>
  <c r="P272" i="2" s="1"/>
  <c r="P273" i="2" a="1"/>
  <c r="P273" i="2" s="1"/>
  <c r="P274" i="2" a="1"/>
  <c r="P274" i="2"/>
  <c r="P275" i="2" a="1"/>
  <c r="P275" i="2" s="1"/>
  <c r="P276" i="2" a="1"/>
  <c r="P276" i="2" s="1"/>
  <c r="P277" i="2" a="1"/>
  <c r="P277" i="2"/>
  <c r="P278" i="2" a="1"/>
  <c r="P278" i="2" s="1"/>
  <c r="P279" i="2" a="1"/>
  <c r="P279" i="2" s="1"/>
  <c r="P280" i="2" a="1"/>
  <c r="P280" i="2" s="1"/>
  <c r="P281" i="2" a="1"/>
  <c r="P281" i="2" s="1"/>
  <c r="P282" i="2" a="1"/>
  <c r="P282" i="2" s="1"/>
  <c r="P283" i="2" a="1"/>
  <c r="P283" i="2" s="1"/>
  <c r="P284" i="2" a="1"/>
  <c r="P284" i="2" s="1"/>
  <c r="P285" i="2" a="1"/>
  <c r="P285" i="2" s="1"/>
  <c r="P286" i="2" a="1"/>
  <c r="P286" i="2" s="1"/>
  <c r="P287" i="2" a="1"/>
  <c r="P287" i="2" s="1"/>
  <c r="P288" i="2" a="1"/>
  <c r="P288" i="2" s="1"/>
  <c r="P289" i="2" a="1"/>
  <c r="P289" i="2" s="1"/>
  <c r="P290" i="2" a="1"/>
  <c r="P290" i="2" s="1"/>
  <c r="P291" i="2" a="1"/>
  <c r="P291" i="2" s="1"/>
  <c r="P292" i="2" a="1"/>
  <c r="P292" i="2" s="1"/>
  <c r="P293" i="2" a="1"/>
  <c r="P293" i="2"/>
  <c r="P294" i="2" a="1"/>
  <c r="P294" i="2"/>
  <c r="P295" i="2" a="1"/>
  <c r="P295" i="2" s="1"/>
  <c r="P296" i="2" a="1"/>
  <c r="P296" i="2" s="1"/>
  <c r="P297" i="2" a="1"/>
  <c r="P297" i="2" s="1"/>
  <c r="P298" i="2" a="1"/>
  <c r="P298" i="2"/>
  <c r="P299" i="2" a="1"/>
  <c r="P299" i="2" s="1"/>
  <c r="P300" i="2" a="1"/>
  <c r="P300" i="2" s="1"/>
  <c r="P301" i="2" a="1"/>
  <c r="P301" i="2" s="1"/>
  <c r="P302" i="2" a="1"/>
  <c r="P302" i="2" s="1"/>
  <c r="P303" i="2" a="1"/>
  <c r="P303" i="2" s="1"/>
  <c r="P304" i="2" a="1"/>
  <c r="P304" i="2" s="1"/>
  <c r="P305" i="2" a="1"/>
  <c r="P305" i="2"/>
  <c r="P306" i="2" a="1"/>
  <c r="P306" i="2"/>
  <c r="P307" i="2" a="1"/>
  <c r="P307" i="2" s="1"/>
  <c r="P308" i="2" a="1"/>
  <c r="P308" i="2" s="1"/>
  <c r="P309" i="2" a="1"/>
  <c r="P309" i="2"/>
  <c r="P310" i="2" a="1"/>
  <c r="P310" i="2"/>
  <c r="P311" i="2" a="1"/>
  <c r="P311" i="2" s="1"/>
  <c r="P312" i="2" a="1"/>
  <c r="P312" i="2" s="1"/>
  <c r="P313" i="2" a="1"/>
  <c r="P313" i="2" s="1"/>
  <c r="P314" i="2" a="1"/>
  <c r="P314" i="2" s="1"/>
  <c r="P315" i="2" a="1"/>
  <c r="P315" i="2" s="1"/>
  <c r="P316" i="2" a="1"/>
  <c r="P316" i="2" s="1"/>
  <c r="P317" i="2" a="1"/>
  <c r="P317" i="2" s="1"/>
  <c r="P318" i="2" a="1"/>
  <c r="P318" i="2" s="1"/>
  <c r="P319" i="2" a="1"/>
  <c r="P319" i="2" s="1"/>
  <c r="P320" i="2" a="1"/>
  <c r="P320" i="2" s="1"/>
  <c r="P321" i="2" a="1"/>
  <c r="P321" i="2"/>
  <c r="P322" i="2" a="1"/>
  <c r="P322" i="2"/>
  <c r="P323" i="2" a="1"/>
  <c r="P323" i="2" s="1"/>
  <c r="P324" i="2" a="1"/>
  <c r="P324" i="2" s="1"/>
  <c r="P325" i="2" a="1"/>
  <c r="P325" i="2" s="1"/>
  <c r="P326" i="2" a="1"/>
  <c r="P326" i="2"/>
  <c r="P327" i="2" a="1"/>
  <c r="P327" i="2" s="1"/>
  <c r="P328" i="2" a="1"/>
  <c r="P328" i="2" s="1"/>
  <c r="P329" i="2" a="1"/>
  <c r="P329" i="2" s="1"/>
  <c r="P330" i="2" a="1"/>
  <c r="P330" i="2" s="1"/>
  <c r="P331" i="2" a="1"/>
  <c r="P331" i="2" s="1"/>
  <c r="P332" i="2" a="1"/>
  <c r="P332" i="2" s="1"/>
  <c r="P333" i="2" a="1"/>
  <c r="P333" i="2"/>
  <c r="P334" i="2" a="1"/>
  <c r="P334" i="2" s="1"/>
  <c r="P335" i="2" a="1"/>
  <c r="P335" i="2" s="1"/>
  <c r="P336" i="2" a="1"/>
  <c r="P336" i="2" s="1"/>
  <c r="P337" i="2" a="1"/>
  <c r="P337" i="2" s="1"/>
  <c r="P338" i="2" a="1"/>
  <c r="P338" i="2"/>
  <c r="P339" i="2" a="1"/>
  <c r="P339" i="2" s="1"/>
  <c r="P340" i="2" a="1"/>
  <c r="P340" i="2" s="1"/>
  <c r="P341" i="2" a="1"/>
  <c r="P341" i="2"/>
  <c r="P342" i="2" a="1"/>
  <c r="P342" i="2" s="1"/>
  <c r="P343" i="2" a="1"/>
  <c r="P343" i="2"/>
  <c r="P344" i="2" a="1"/>
  <c r="P344" i="2" s="1"/>
  <c r="P345" i="2" a="1"/>
  <c r="P345" i="2" s="1"/>
  <c r="P346" i="2" a="1"/>
  <c r="P346" i="2" s="1"/>
  <c r="P347" i="2" a="1"/>
  <c r="P347" i="2" s="1"/>
  <c r="P348" i="2" a="1"/>
  <c r="P348" i="2" s="1"/>
  <c r="P349" i="2" a="1"/>
  <c r="P349" i="2"/>
  <c r="P350" i="2" a="1"/>
  <c r="P350" i="2"/>
  <c r="P351" i="2" a="1"/>
  <c r="P351" i="2" s="1"/>
  <c r="P352" i="2" a="1"/>
  <c r="P352" i="2" s="1"/>
  <c r="P353" i="2" a="1"/>
  <c r="P353" i="2"/>
  <c r="P354" i="2" a="1"/>
  <c r="P354" i="2"/>
  <c r="P355" i="2" a="1"/>
  <c r="P355" i="2" s="1"/>
  <c r="P356" i="2" a="1"/>
  <c r="P356" i="2" s="1"/>
  <c r="P357" i="2" a="1"/>
  <c r="P357" i="2"/>
  <c r="P358" i="2" a="1"/>
  <c r="P358" i="2"/>
  <c r="P359" i="2" a="1"/>
  <c r="P359" i="2"/>
  <c r="P360" i="2" a="1"/>
  <c r="P360" i="2" s="1"/>
  <c r="P361" i="2" a="1"/>
  <c r="P361" i="2" s="1"/>
  <c r="P362" i="2" a="1"/>
  <c r="P362" i="2"/>
  <c r="P363" i="2" a="1"/>
  <c r="P363" i="2" s="1"/>
  <c r="P364" i="2" a="1"/>
  <c r="P364" i="2" s="1"/>
  <c r="P365" i="2" a="1"/>
  <c r="P365" i="2" s="1"/>
  <c r="P366" i="2" a="1"/>
  <c r="P366" i="2"/>
  <c r="P367" i="2" a="1"/>
  <c r="P367" i="2"/>
  <c r="P368" i="2" a="1"/>
  <c r="P368" i="2" s="1"/>
  <c r="P369" i="2" a="1"/>
  <c r="P369" i="2" s="1"/>
  <c r="P370" i="2" a="1"/>
  <c r="P370" i="2" s="1"/>
  <c r="P371" i="2" a="1"/>
  <c r="P371" i="2"/>
  <c r="P372" i="2" a="1"/>
  <c r="P372" i="2" s="1"/>
  <c r="P373" i="2" a="1"/>
  <c r="P373" i="2"/>
  <c r="P374" i="2" a="1"/>
  <c r="P374" i="2" s="1"/>
  <c r="P375" i="2" a="1"/>
  <c r="P375" i="2"/>
  <c r="P376" i="2" a="1"/>
  <c r="P376" i="2" s="1"/>
  <c r="P377" i="2" a="1"/>
  <c r="P377" i="2"/>
  <c r="P378" i="2" a="1"/>
  <c r="P378" i="2" s="1"/>
  <c r="P379" i="2" a="1"/>
  <c r="P379" i="2" s="1"/>
  <c r="P380" i="2" a="1"/>
  <c r="P380" i="2" s="1"/>
  <c r="P381" i="2" a="1"/>
  <c r="P381" i="2"/>
  <c r="P382" i="2" a="1"/>
  <c r="P382" i="2"/>
  <c r="P383" i="2" a="1"/>
  <c r="P383" i="2" s="1"/>
  <c r="P384" i="2" a="1"/>
  <c r="P384" i="2" s="1"/>
  <c r="P385" i="2" a="1"/>
  <c r="P385" i="2"/>
  <c r="P386" i="2" a="1"/>
  <c r="P386" i="2" s="1"/>
  <c r="P387" i="2" a="1"/>
  <c r="P387" i="2" s="1"/>
  <c r="P388" i="2" a="1"/>
  <c r="P388" i="2" s="1"/>
  <c r="P389" i="2" a="1"/>
  <c r="P389" i="2"/>
  <c r="P390" i="2" a="1"/>
  <c r="P390" i="2"/>
  <c r="P391" i="2" a="1"/>
  <c r="P391" i="2" s="1"/>
  <c r="P392" i="2" a="1"/>
  <c r="P392" i="2" s="1"/>
  <c r="P393" i="2" a="1"/>
  <c r="P393" i="2" s="1"/>
  <c r="P394" i="2" a="1"/>
  <c r="P394" i="2"/>
  <c r="P395" i="2" a="1"/>
  <c r="P395" i="2"/>
  <c r="P396" i="2" a="1"/>
  <c r="P396" i="2" s="1"/>
  <c r="P397" i="2" a="1"/>
  <c r="P397" i="2" s="1"/>
  <c r="P398" i="2" a="1"/>
  <c r="P398" i="2"/>
  <c r="P399" i="2" a="1"/>
  <c r="P399" i="2"/>
  <c r="P400" i="2" a="1"/>
  <c r="P400" i="2" s="1"/>
  <c r="P401" i="2" a="1"/>
  <c r="P401" i="2" s="1"/>
  <c r="P402" i="2" a="1"/>
  <c r="P402" i="2" s="1"/>
  <c r="P403" i="2" a="1"/>
  <c r="P403" i="2"/>
  <c r="P404" i="2" a="1"/>
  <c r="P404" i="2" s="1"/>
  <c r="P405" i="2" a="1"/>
  <c r="P405" i="2" s="1"/>
  <c r="P406" i="2" a="1"/>
  <c r="P406" i="2" s="1"/>
  <c r="P407" i="2" a="1"/>
  <c r="P407" i="2"/>
  <c r="P408" i="2" a="1"/>
  <c r="P408" i="2" s="1"/>
  <c r="P409" i="2" a="1"/>
  <c r="P409" i="2"/>
  <c r="P410" i="2" a="1"/>
  <c r="P410" i="2" s="1"/>
  <c r="P411" i="2" a="1"/>
  <c r="P411" i="2" s="1"/>
  <c r="P412" i="2" a="1"/>
  <c r="P412" i="2" s="1"/>
  <c r="P413" i="2" a="1"/>
  <c r="P413" i="2"/>
  <c r="P414" i="2" a="1"/>
  <c r="P414" i="2"/>
  <c r="P415" i="2" a="1"/>
  <c r="P415" i="2" s="1"/>
  <c r="P416" i="2" a="1"/>
  <c r="P416" i="2" s="1"/>
  <c r="P417" i="2" a="1"/>
  <c r="P417" i="2"/>
  <c r="P418" i="2" a="1"/>
  <c r="P418" i="2" s="1"/>
  <c r="P419" i="2" a="1"/>
  <c r="P419" i="2" s="1"/>
  <c r="P420" i="2" a="1"/>
  <c r="P420" i="2" s="1"/>
  <c r="P421" i="2" a="1"/>
  <c r="P421" i="2"/>
  <c r="P422" i="2" a="1"/>
  <c r="P422" i="2"/>
  <c r="P423" i="2" a="1"/>
  <c r="P423" i="2" s="1"/>
  <c r="P424" i="2" a="1"/>
  <c r="P424" i="2" s="1"/>
  <c r="P425" i="2" a="1"/>
  <c r="P425" i="2" s="1"/>
  <c r="P426" i="2" a="1"/>
  <c r="P426" i="2"/>
  <c r="P427" i="2" a="1"/>
  <c r="P427" i="2" s="1"/>
  <c r="P428" i="2" a="1"/>
  <c r="P428" i="2" s="1"/>
  <c r="P429" i="2" a="1"/>
  <c r="P429" i="2" s="1"/>
  <c r="P430" i="2" a="1"/>
  <c r="P430" i="2"/>
  <c r="P431" i="2" a="1"/>
  <c r="P431" i="2"/>
  <c r="P432" i="2" a="1"/>
  <c r="P432" i="2" s="1"/>
  <c r="P433" i="2" a="1"/>
  <c r="P433" i="2" s="1"/>
  <c r="P434" i="2" a="1"/>
  <c r="P434" i="2" s="1"/>
  <c r="P435" i="2" a="1"/>
  <c r="P435" i="2"/>
  <c r="P436" i="2" a="1"/>
  <c r="P436" i="2" s="1"/>
  <c r="P437" i="2" a="1"/>
  <c r="P437" i="2"/>
  <c r="P438" i="2" a="1"/>
  <c r="P438" i="2" s="1"/>
  <c r="P439" i="2" a="1"/>
  <c r="P439" i="2"/>
  <c r="P440" i="2" a="1"/>
  <c r="P440" i="2" s="1"/>
  <c r="P441" i="2" a="1"/>
  <c r="P441" i="2"/>
  <c r="P442" i="2" a="1"/>
  <c r="P442" i="2" s="1"/>
  <c r="P443" i="2" a="1"/>
  <c r="P443" i="2" s="1"/>
  <c r="P444" i="2" a="1"/>
  <c r="P444" i="2" s="1"/>
  <c r="P445" i="2" a="1"/>
  <c r="P445" i="2"/>
  <c r="P446" i="2" a="1"/>
  <c r="P446" i="2" s="1"/>
  <c r="P447" i="2" a="1"/>
  <c r="P447" i="2" s="1"/>
  <c r="P448" i="2" a="1"/>
  <c r="P448" i="2" s="1"/>
  <c r="P449" i="2" a="1"/>
  <c r="P449" i="2"/>
  <c r="P450" i="2" a="1"/>
  <c r="P450" i="2"/>
  <c r="P451" i="2" a="1"/>
  <c r="P451" i="2" s="1"/>
  <c r="P452" i="2" a="1"/>
  <c r="P452" i="2" s="1"/>
  <c r="P453" i="2" a="1"/>
  <c r="P453" i="2"/>
  <c r="P454" i="2" a="1"/>
  <c r="P454" i="2"/>
  <c r="P455" i="2" a="1"/>
  <c r="P455" i="2"/>
  <c r="P456" i="2" a="1"/>
  <c r="P456" i="2" s="1"/>
  <c r="P457" i="2" a="1"/>
  <c r="P457" i="2" s="1"/>
  <c r="P458" i="2" a="1"/>
  <c r="P458" i="2"/>
  <c r="P459" i="2" a="1"/>
  <c r="P459" i="2" s="1"/>
  <c r="P460" i="2" a="1"/>
  <c r="P460" i="2" s="1"/>
  <c r="P461" i="2" a="1"/>
  <c r="P461" i="2" s="1"/>
  <c r="P462" i="2" a="1"/>
  <c r="P462" i="2"/>
  <c r="P463" i="2" a="1"/>
  <c r="P463" i="2"/>
  <c r="P464" i="2" a="1"/>
  <c r="P464" i="2" s="1"/>
  <c r="P465" i="2" a="1"/>
  <c r="P465" i="2" s="1"/>
  <c r="P466" i="2" a="1"/>
  <c r="P466" i="2" s="1"/>
  <c r="P467" i="2" a="1"/>
  <c r="P467" i="2"/>
  <c r="P468" i="2" a="1"/>
  <c r="P468" i="2" s="1"/>
  <c r="P469" i="2" a="1"/>
  <c r="P469" i="2"/>
  <c r="P470" i="2" a="1"/>
  <c r="P470" i="2" s="1"/>
  <c r="P471" i="2" a="1"/>
  <c r="P471" i="2"/>
  <c r="P472" i="2" a="1"/>
  <c r="P472" i="2" s="1"/>
  <c r="P473" i="2" a="1"/>
  <c r="P473" i="2" s="1"/>
  <c r="P474" i="2" a="1"/>
  <c r="P474" i="2" s="1"/>
  <c r="P475" i="2" a="1"/>
  <c r="P475" i="2" s="1"/>
  <c r="P476" i="2" a="1"/>
  <c r="P476" i="2" s="1"/>
  <c r="P477" i="2" a="1"/>
  <c r="P477" i="2"/>
  <c r="P478" i="2" a="1"/>
  <c r="P478" i="2" s="1"/>
  <c r="P479" i="2" a="1"/>
  <c r="P479" i="2" s="1"/>
  <c r="P480" i="2" a="1"/>
  <c r="P480" i="2" s="1"/>
  <c r="P481" i="2" a="1"/>
  <c r="P481" i="2"/>
  <c r="P482" i="2" a="1"/>
  <c r="P482" i="2" s="1"/>
  <c r="P483" i="2" a="1"/>
  <c r="P483" i="2" s="1"/>
  <c r="P484" i="2" a="1"/>
  <c r="P484" i="2" s="1"/>
  <c r="P485" i="2" a="1"/>
  <c r="P485" i="2"/>
  <c r="P486" i="2" a="1"/>
  <c r="P486" i="2"/>
  <c r="P487" i="2" a="1"/>
  <c r="P487" i="2" s="1"/>
  <c r="P488" i="2" a="1"/>
  <c r="P488" i="2" s="1"/>
  <c r="P489" i="2" a="1"/>
  <c r="P489" i="2"/>
  <c r="P490" i="2" a="1"/>
  <c r="P490" i="2"/>
  <c r="P491" i="2" a="1"/>
  <c r="P491" i="2" s="1"/>
  <c r="P492" i="2" a="1"/>
  <c r="P492" i="2" s="1"/>
  <c r="P493" i="2" a="1"/>
  <c r="P493" i="2" s="1"/>
  <c r="P494" i="2" a="1"/>
  <c r="P494" i="2"/>
  <c r="P495" i="2" a="1"/>
  <c r="P495" i="2"/>
  <c r="P496" i="2" a="1"/>
  <c r="P496" i="2" s="1"/>
  <c r="P497" i="2" a="1"/>
  <c r="P497" i="2" s="1"/>
  <c r="P498" i="2" a="1"/>
  <c r="P498" i="2"/>
  <c r="P499" i="2" a="1"/>
  <c r="P499" i="2"/>
  <c r="P500" i="2" a="1"/>
  <c r="P500" i="2" s="1"/>
  <c r="P501" i="2" a="1"/>
  <c r="P501" i="2"/>
  <c r="P502" i="2" a="1"/>
  <c r="P502" i="2" s="1"/>
  <c r="P503" i="2" a="1"/>
  <c r="P503" i="2"/>
  <c r="P504" i="2" a="1"/>
  <c r="P504" i="2" s="1"/>
  <c r="P505" i="2" a="1"/>
  <c r="P505" i="2"/>
  <c r="P506" i="2" a="1"/>
  <c r="P506" i="2" s="1"/>
  <c r="P507" i="2" a="1"/>
  <c r="P507" i="2"/>
  <c r="P508" i="2" a="1"/>
  <c r="P508" i="2" s="1"/>
  <c r="P509" i="2" a="1"/>
  <c r="P509" i="2"/>
  <c r="P510" i="2" a="1"/>
  <c r="P510" i="2"/>
  <c r="P511" i="2" a="1"/>
  <c r="P511" i="2" s="1"/>
  <c r="P512" i="2" a="1"/>
  <c r="P512" i="2" s="1"/>
  <c r="P513" i="2" a="1"/>
  <c r="P513" i="2"/>
  <c r="P514" i="2" a="1"/>
  <c r="P514" i="2" s="1"/>
  <c r="P515" i="2" a="1"/>
  <c r="P515" i="2" s="1"/>
  <c r="P516" i="2" a="1"/>
  <c r="P516" i="2" s="1"/>
  <c r="P517" i="2" a="1"/>
  <c r="P517" i="2"/>
  <c r="P518" i="2" a="1"/>
  <c r="P518" i="2"/>
  <c r="P519" i="2" a="1"/>
  <c r="P519" i="2" s="1"/>
  <c r="P520" i="2" a="1"/>
  <c r="P520" i="2" s="1"/>
  <c r="P521" i="2" a="1"/>
  <c r="P521" i="2"/>
  <c r="P522" i="2" a="1"/>
  <c r="P522" i="2"/>
  <c r="P523" i="2" a="1"/>
  <c r="P523" i="2"/>
  <c r="P524" i="2" a="1"/>
  <c r="P524" i="2" s="1"/>
  <c r="P525" i="2" a="1"/>
  <c r="P525" i="2" s="1"/>
  <c r="P526" i="2" a="1"/>
  <c r="P526" i="2"/>
  <c r="P527" i="2" a="1"/>
  <c r="P527" i="2"/>
  <c r="P528" i="2" a="1"/>
  <c r="P528" i="2" s="1"/>
  <c r="P529" i="2" a="1"/>
  <c r="P529" i="2" s="1"/>
  <c r="P530" i="2" a="1"/>
  <c r="P530" i="2"/>
  <c r="P531" i="2" a="1"/>
  <c r="P531" i="2"/>
  <c r="P532" i="2" a="1"/>
  <c r="P532" i="2" s="1"/>
  <c r="P533" i="2" a="1"/>
  <c r="P533" i="2" s="1"/>
  <c r="P534" i="2" a="1"/>
  <c r="P534" i="2" s="1"/>
  <c r="P535" i="2" a="1"/>
  <c r="P535" i="2"/>
  <c r="P536" i="2" a="1"/>
  <c r="P536" i="2" s="1"/>
  <c r="P537" i="2" a="1"/>
  <c r="P537" i="2"/>
  <c r="P538" i="2" a="1"/>
  <c r="P538" i="2" s="1"/>
  <c r="P539" i="2" a="1"/>
  <c r="P539" i="2"/>
  <c r="P540" i="2" a="1"/>
  <c r="P540" i="2" s="1"/>
  <c r="P541" i="2" a="1"/>
  <c r="P541" i="2"/>
  <c r="P542" i="2" a="1"/>
  <c r="P542" i="2"/>
  <c r="P543" i="2" a="1"/>
  <c r="P543" i="2" s="1"/>
  <c r="P544" i="2" a="1"/>
  <c r="P544" i="2" s="1"/>
  <c r="P545" i="2" a="1"/>
  <c r="P545" i="2"/>
  <c r="P546" i="2" a="1"/>
  <c r="P546" i="2"/>
  <c r="P547" i="2" a="1"/>
  <c r="P547" i="2" s="1"/>
  <c r="P548" i="2" a="1"/>
  <c r="P548" i="2" s="1"/>
  <c r="P549" i="2" a="1"/>
  <c r="P549" i="2"/>
  <c r="P550" i="2" a="1"/>
  <c r="P550" i="2"/>
  <c r="P551" i="2" a="1"/>
  <c r="P551" i="2"/>
  <c r="P552" i="2" a="1"/>
  <c r="P552" i="2" s="1"/>
  <c r="P553" i="2" a="1"/>
  <c r="P553" i="2"/>
  <c r="P554" i="2" a="1"/>
  <c r="P554" i="2"/>
  <c r="P555" i="2" a="1"/>
  <c r="P555" i="2" s="1"/>
  <c r="P556" i="2" a="1"/>
  <c r="P556" i="2" s="1"/>
  <c r="P557" i="2" a="1"/>
  <c r="P557" i="2" s="1"/>
  <c r="P558" i="2" a="1"/>
  <c r="P558" i="2"/>
  <c r="P559" i="2" a="1"/>
  <c r="P559" i="2"/>
  <c r="P560" i="2" a="1"/>
  <c r="P560" i="2" s="1"/>
  <c r="P561" i="2" a="1"/>
  <c r="P561" i="2" s="1"/>
  <c r="P562" i="2" a="1"/>
  <c r="P562" i="2"/>
  <c r="P563" i="2" a="1"/>
  <c r="P563" i="2"/>
  <c r="P564" i="2" a="1"/>
  <c r="P564" i="2" s="1"/>
  <c r="P565" i="2" a="1"/>
  <c r="P565" i="2" s="1"/>
  <c r="P566" i="2" a="1"/>
  <c r="P566" i="2" s="1"/>
  <c r="P567" i="2" a="1"/>
  <c r="P567" i="2"/>
  <c r="P568" i="2" a="1"/>
  <c r="P568" i="2" s="1"/>
  <c r="P569" i="2" a="1"/>
  <c r="P569" i="2" s="1"/>
  <c r="P570" i="2" a="1"/>
  <c r="P570" i="2" s="1"/>
  <c r="P571" i="2" a="1"/>
  <c r="P571" i="2"/>
  <c r="P572" i="2" a="1"/>
  <c r="P572" i="2" s="1"/>
  <c r="P573" i="2" a="1"/>
  <c r="P573" i="2"/>
  <c r="P574" i="2" a="1"/>
  <c r="P574" i="2" s="1"/>
  <c r="P575" i="2" a="1"/>
  <c r="P575" i="2" s="1"/>
  <c r="P576" i="2" a="1"/>
  <c r="P576" i="2" s="1"/>
  <c r="P577" i="2" a="1"/>
  <c r="P577" i="2"/>
  <c r="P578" i="2" a="1"/>
  <c r="P578" i="2"/>
  <c r="P579" i="2" a="1"/>
  <c r="P579" i="2" s="1"/>
  <c r="P580" i="2" a="1"/>
  <c r="P580" i="2" s="1"/>
  <c r="P581" i="2" a="1"/>
  <c r="P581" i="2"/>
  <c r="P582" i="2" a="1"/>
  <c r="P582" i="2"/>
  <c r="P583" i="2" a="1"/>
  <c r="P583" i="2"/>
  <c r="P584" i="2" a="1"/>
  <c r="P584" i="2" s="1"/>
  <c r="P585" i="2" a="1"/>
  <c r="P585" i="2"/>
  <c r="P586" i="2" a="1"/>
  <c r="P586" i="2"/>
  <c r="P587" i="2" a="1"/>
  <c r="P587" i="2"/>
  <c r="P588" i="2" a="1"/>
  <c r="P588" i="2" s="1"/>
  <c r="P589" i="2" a="1"/>
  <c r="P589" i="2" s="1"/>
  <c r="P590" i="2" a="1"/>
  <c r="P590" i="2"/>
  <c r="P591" i="2" a="1"/>
  <c r="P591" i="2"/>
  <c r="P592" i="2" a="1"/>
  <c r="P592" i="2" s="1"/>
  <c r="P593" i="2" a="1"/>
  <c r="P593" i="2" s="1"/>
  <c r="P594" i="2" a="1"/>
  <c r="P594" i="2"/>
  <c r="P595" i="2" a="1"/>
  <c r="P595" i="2"/>
  <c r="P596" i="2" a="1"/>
  <c r="P596" i="2" s="1"/>
  <c r="P597" i="2" a="1"/>
  <c r="P597" i="2"/>
  <c r="P598" i="2" a="1"/>
  <c r="P598" i="2" s="1"/>
  <c r="P599" i="2" a="1"/>
  <c r="P599" i="2"/>
  <c r="P600" i="2" a="1"/>
  <c r="P600" i="2" s="1"/>
  <c r="P601" i="2" a="1"/>
  <c r="P601" i="2" s="1"/>
  <c r="P602" i="2" a="1"/>
  <c r="P602" i="2" s="1"/>
  <c r="P603" i="2" a="1"/>
  <c r="P603" i="2"/>
  <c r="P604" i="2" a="1"/>
  <c r="P604" i="2" s="1"/>
  <c r="P605" i="2" a="1"/>
  <c r="P605" i="2"/>
  <c r="P606" i="2" a="1"/>
  <c r="P606" i="2" s="1"/>
  <c r="P607" i="2" a="1"/>
  <c r="P607" i="2" s="1"/>
  <c r="P608" i="2" a="1"/>
  <c r="P608" i="2" s="1"/>
  <c r="P609" i="2" a="1"/>
  <c r="P609" i="2"/>
  <c r="P610" i="2" a="1"/>
  <c r="P610" i="2" s="1"/>
  <c r="P611" i="2" a="1"/>
  <c r="P611" i="2" s="1"/>
  <c r="P612" i="2" a="1"/>
  <c r="P612" i="2" s="1"/>
  <c r="P613" i="2" a="1"/>
  <c r="P613" i="2"/>
  <c r="P614" i="2" a="1"/>
  <c r="P614" i="2"/>
  <c r="P615" i="2" a="1"/>
  <c r="P615" i="2" s="1"/>
  <c r="P616" i="2" a="1"/>
  <c r="P616" i="2" s="1"/>
  <c r="P617" i="2" a="1"/>
  <c r="P617" i="2"/>
  <c r="P618" i="2" a="1"/>
  <c r="P618" i="2"/>
  <c r="P619" i="2" a="1"/>
  <c r="P619" i="2" s="1"/>
  <c r="P620" i="2" a="1"/>
  <c r="P620" i="2" s="1"/>
  <c r="P621" i="2" a="1"/>
  <c r="P621" i="2" s="1"/>
  <c r="P622" i="2" a="1"/>
  <c r="P622" i="2"/>
  <c r="P623" i="2" a="1"/>
  <c r="P623" i="2"/>
  <c r="P624" i="2" a="1"/>
  <c r="P624" i="2" s="1"/>
  <c r="P625" i="2" a="1"/>
  <c r="P625" i="2" s="1"/>
  <c r="P626" i="2" a="1"/>
  <c r="P626" i="2"/>
  <c r="P627" i="2" a="1"/>
  <c r="P627" i="2"/>
  <c r="P628" i="2" a="1"/>
  <c r="P628" i="2" s="1"/>
  <c r="P629" i="2" a="1"/>
  <c r="P629" i="2"/>
  <c r="P630" i="2" a="1"/>
  <c r="P630" i="2" s="1"/>
  <c r="P631" i="2" a="1"/>
  <c r="P631" i="2"/>
  <c r="P632" i="2" a="1"/>
  <c r="P632" i="2" s="1"/>
  <c r="P633" i="2" a="1"/>
  <c r="P633" i="2"/>
  <c r="P634" i="2" a="1"/>
  <c r="P634" i="2" s="1"/>
  <c r="P635" i="2" a="1"/>
  <c r="P635" i="2"/>
  <c r="P636" i="2" a="1"/>
  <c r="P636" i="2" s="1"/>
  <c r="P637" i="2" a="1"/>
  <c r="P637" i="2"/>
  <c r="P638" i="2" a="1"/>
  <c r="P638" i="2"/>
  <c r="P639" i="2" a="1"/>
  <c r="P639" i="2" s="1"/>
  <c r="P640" i="2" a="1"/>
  <c r="P640" i="2" s="1"/>
  <c r="P641" i="2" a="1"/>
  <c r="P641" i="2"/>
  <c r="P642" i="2" a="1"/>
  <c r="P642" i="2" s="1"/>
  <c r="P643" i="2" a="1"/>
  <c r="P643" i="2" s="1"/>
  <c r="P644" i="2" a="1"/>
  <c r="P644" i="2" s="1"/>
  <c r="P645" i="2" a="1"/>
  <c r="P645" i="2"/>
  <c r="P646" i="2" a="1"/>
  <c r="P646" i="2"/>
  <c r="P647" i="2" a="1"/>
  <c r="P647" i="2" s="1"/>
  <c r="P648" i="2" a="1"/>
  <c r="P648" i="2" s="1"/>
  <c r="P649" i="2" a="1"/>
  <c r="P649" i="2"/>
  <c r="P650" i="2" a="1"/>
  <c r="P650" i="2"/>
  <c r="P651" i="2" a="1"/>
  <c r="P651" i="2"/>
  <c r="P652" i="2" a="1"/>
  <c r="P652" i="2" s="1"/>
  <c r="P653" i="2" a="1"/>
  <c r="P653" i="2" s="1"/>
  <c r="P654" i="2" a="1"/>
  <c r="P654" i="2"/>
  <c r="P655" i="2" a="1"/>
  <c r="P655" i="2"/>
  <c r="P656" i="2" a="1"/>
  <c r="P656" i="2" s="1"/>
  <c r="P657" i="2" a="1"/>
  <c r="P657" i="2" s="1"/>
  <c r="P658" i="2" a="1"/>
  <c r="P658" i="2"/>
  <c r="P659" i="2" a="1"/>
  <c r="P659" i="2"/>
  <c r="P660" i="2" a="1"/>
  <c r="P660" i="2" s="1"/>
  <c r="P661" i="2" a="1"/>
  <c r="P661" i="2" s="1"/>
  <c r="P662" i="2" a="1"/>
  <c r="P662" i="2" s="1"/>
  <c r="P663" i="2" a="1"/>
  <c r="P663" i="2" s="1"/>
  <c r="P664" i="2" a="1"/>
  <c r="P664" i="2" s="1"/>
  <c r="P665" i="2" a="1"/>
  <c r="P665" i="2"/>
  <c r="P666" i="2" a="1"/>
  <c r="P666" i="2" s="1"/>
  <c r="P667" i="2" a="1"/>
  <c r="P667" i="2"/>
  <c r="P668" i="2" a="1"/>
  <c r="P668" i="2" s="1"/>
  <c r="P669" i="2" a="1"/>
  <c r="P669" i="2" s="1"/>
  <c r="P670" i="2" a="1"/>
  <c r="P670" i="2"/>
  <c r="P671" i="2" a="1"/>
  <c r="P671" i="2" s="1"/>
  <c r="P672" i="2" a="1"/>
  <c r="P672" i="2" s="1"/>
  <c r="P673" i="2" a="1"/>
  <c r="P673" i="2"/>
  <c r="P674" i="2" a="1"/>
  <c r="P674" i="2" s="1"/>
  <c r="P675" i="2" a="1"/>
  <c r="P675" i="2" s="1"/>
  <c r="P676" i="2" a="1"/>
  <c r="P676" i="2" s="1"/>
  <c r="P677" i="2" a="1"/>
  <c r="P677" i="2" s="1"/>
  <c r="P678" i="2" a="1"/>
  <c r="P678" i="2" s="1"/>
  <c r="P679" i="2" a="1"/>
  <c r="P679" i="2" s="1"/>
  <c r="P680" i="2" a="1"/>
  <c r="P680" i="2" s="1"/>
  <c r="P681" i="2" a="1"/>
  <c r="P681" i="2"/>
  <c r="P682" i="2" a="1"/>
  <c r="P682" i="2"/>
  <c r="P683" i="2" a="1"/>
  <c r="P683" i="2"/>
  <c r="P684" i="2" a="1"/>
  <c r="P684" i="2" s="1"/>
  <c r="P685" i="2" a="1"/>
  <c r="P685" i="2" s="1"/>
  <c r="P686" i="2" a="1"/>
  <c r="P686" i="2" s="1"/>
  <c r="P687" i="2" a="1"/>
  <c r="P687" i="2"/>
  <c r="P688" i="2" a="1"/>
  <c r="P688" i="2" s="1"/>
  <c r="P689" i="2" a="1"/>
  <c r="P689" i="2" s="1"/>
  <c r="P690" i="2" a="1"/>
  <c r="P690" i="2"/>
  <c r="P691" i="2" a="1"/>
  <c r="P691" i="2"/>
  <c r="P692" i="2" a="1"/>
  <c r="P692" i="2" s="1"/>
  <c r="P693" i="2" a="1"/>
  <c r="P693" i="2" s="1"/>
  <c r="P694" i="2" a="1"/>
  <c r="P694" i="2" s="1"/>
  <c r="P695" i="2" a="1"/>
  <c r="P695" i="2" s="1"/>
  <c r="P696" i="2" a="1"/>
  <c r="P696" i="2" s="1"/>
  <c r="P697" i="2" a="1"/>
  <c r="P697" i="2"/>
  <c r="P698" i="2" a="1"/>
  <c r="P698" i="2" s="1"/>
  <c r="P699" i="2" a="1"/>
  <c r="P699" i="2"/>
  <c r="P700" i="2" a="1"/>
  <c r="P700" i="2" s="1"/>
  <c r="P701" i="2" a="1"/>
  <c r="P701" i="2" s="1"/>
  <c r="P702" i="2" a="1"/>
  <c r="P702" i="2"/>
  <c r="P703" i="2" a="1"/>
  <c r="P703" i="2" s="1"/>
  <c r="P704" i="2" a="1"/>
  <c r="P704" i="2" s="1"/>
  <c r="P705" i="2" a="1"/>
  <c r="P705" i="2"/>
  <c r="P706" i="2" a="1"/>
  <c r="P706" i="2" s="1"/>
  <c r="P707" i="2" a="1"/>
  <c r="P707" i="2" s="1"/>
  <c r="P708" i="2" a="1"/>
  <c r="P708" i="2" s="1"/>
  <c r="P709" i="2" a="1"/>
  <c r="P709" i="2" s="1"/>
  <c r="P710" i="2" a="1"/>
  <c r="P710" i="2" s="1"/>
  <c r="P711" i="2" a="1"/>
  <c r="P711" i="2"/>
  <c r="P712" i="2" a="1"/>
  <c r="P712" i="2" s="1"/>
  <c r="P713" i="2" a="1"/>
  <c r="P713" i="2"/>
  <c r="P714" i="2" a="1"/>
  <c r="P714" i="2"/>
  <c r="P715" i="2" a="1"/>
  <c r="P715" i="2" s="1"/>
  <c r="P716" i="2" a="1"/>
  <c r="P716" i="2" s="1"/>
  <c r="P717" i="2" a="1"/>
  <c r="P717" i="2" s="1"/>
  <c r="P718" i="2" a="1"/>
  <c r="P718" i="2" s="1"/>
  <c r="P719" i="2" a="1"/>
  <c r="P719" i="2"/>
  <c r="P720" i="2" a="1"/>
  <c r="P720" i="2" s="1"/>
  <c r="P721" i="2" a="1"/>
  <c r="P721" i="2" s="1"/>
  <c r="P722" i="2" a="1"/>
  <c r="P722" i="2"/>
  <c r="P723" i="2" a="1"/>
  <c r="P723" i="2"/>
  <c r="P724" i="2" a="1"/>
  <c r="P724" i="2" s="1"/>
  <c r="P725" i="2" a="1"/>
  <c r="P725" i="2"/>
  <c r="P726" i="2" a="1"/>
  <c r="P726" i="2" s="1"/>
  <c r="P727" i="2" a="1"/>
  <c r="P727" i="2" s="1"/>
  <c r="P728" i="2" a="1"/>
  <c r="P728" i="2" s="1"/>
  <c r="P729" i="2" a="1"/>
  <c r="P729" i="2" s="1"/>
  <c r="P730" i="2" a="1"/>
  <c r="P730" i="2" s="1"/>
  <c r="P731" i="2" a="1"/>
  <c r="P731" i="2"/>
  <c r="P732" i="2" a="1"/>
  <c r="P732" i="2" s="1"/>
  <c r="P733" i="2" a="1"/>
  <c r="P733" i="2"/>
  <c r="P734" i="2" a="1"/>
  <c r="P734" i="2" s="1"/>
  <c r="P735" i="2" a="1"/>
  <c r="P735" i="2" s="1"/>
  <c r="P736" i="2" a="1"/>
  <c r="P736" i="2" s="1"/>
  <c r="P737" i="2" a="1"/>
  <c r="P737" i="2"/>
  <c r="P738" i="2" a="1"/>
  <c r="P738" i="2"/>
  <c r="P739" i="2" a="1"/>
  <c r="P739" i="2" s="1"/>
  <c r="P740" i="2" a="1"/>
  <c r="P740" i="2" s="1"/>
  <c r="P741" i="2" a="1"/>
  <c r="P741" i="2" s="1"/>
  <c r="P742" i="2" a="1"/>
  <c r="P742" i="2"/>
  <c r="P743" i="2" a="1"/>
  <c r="P743" i="2" s="1"/>
  <c r="P744" i="2" a="1"/>
  <c r="P744" i="2" s="1"/>
  <c r="P745" i="2" a="1"/>
  <c r="P745" i="2"/>
  <c r="P746" i="2" a="1"/>
  <c r="P746" i="2"/>
  <c r="P747" i="2" a="1"/>
  <c r="P747" i="2" s="1"/>
  <c r="P748" i="2" a="1"/>
  <c r="P748" i="2" s="1"/>
  <c r="P749" i="2" a="1"/>
  <c r="P749" i="2" s="1"/>
  <c r="P750" i="2" a="1"/>
  <c r="P750" i="2" s="1"/>
  <c r="P751" i="2" a="1"/>
  <c r="P751" i="2"/>
  <c r="P752" i="2" a="1"/>
  <c r="P752" i="2" s="1"/>
  <c r="P753" i="2" a="1"/>
  <c r="P753" i="2" s="1"/>
  <c r="P754" i="2" a="1"/>
  <c r="P754" i="2"/>
  <c r="P755" i="2" a="1"/>
  <c r="P755" i="2"/>
  <c r="P756" i="2" a="1"/>
  <c r="P756" i="2" s="1"/>
  <c r="P757" i="2" a="1"/>
  <c r="P757" i="2"/>
  <c r="P758" i="2" a="1"/>
  <c r="P758" i="2" s="1"/>
  <c r="P759" i="2" a="1"/>
  <c r="P759" i="2" s="1"/>
  <c r="P760" i="2" a="1"/>
  <c r="P760" i="2" s="1"/>
  <c r="P761" i="2" a="1"/>
  <c r="P761" i="2" s="1"/>
  <c r="P762" i="2" a="1"/>
  <c r="P762" i="2" s="1"/>
  <c r="P763" i="2" a="1"/>
  <c r="P763" i="2"/>
  <c r="P764" i="2" a="1"/>
  <c r="P764" i="2" s="1"/>
  <c r="P765" i="2" a="1"/>
  <c r="P765" i="2" s="1"/>
  <c r="P766" i="2" a="1"/>
  <c r="P766" i="2" s="1"/>
  <c r="P767" i="2" a="1"/>
  <c r="P767" i="2" s="1"/>
  <c r="P768" i="2" a="1"/>
  <c r="P768" i="2" s="1"/>
  <c r="P769" i="2" a="1"/>
  <c r="P769" i="2"/>
  <c r="P770" i="2" a="1"/>
  <c r="P770" i="2" s="1"/>
  <c r="P771" i="2" a="1"/>
  <c r="P771" i="2" s="1"/>
  <c r="P772" i="2" a="1"/>
  <c r="P772" i="2" s="1"/>
  <c r="P773" i="2" a="1"/>
  <c r="P773" i="2" s="1"/>
  <c r="P774" i="2" a="1"/>
  <c r="P774" i="2"/>
  <c r="P775" i="2" a="1"/>
  <c r="P775" i="2" s="1"/>
  <c r="P776" i="2" a="1"/>
  <c r="P776" i="2" s="1"/>
  <c r="P777" i="2" a="1"/>
  <c r="P777" i="2"/>
  <c r="P778" i="2" a="1"/>
  <c r="P778" i="2"/>
  <c r="P779" i="2" a="1"/>
  <c r="P779" i="2"/>
  <c r="P780" i="2" a="1"/>
  <c r="P780" i="2" s="1"/>
  <c r="P781" i="2" a="1"/>
  <c r="P781" i="2" s="1"/>
  <c r="P782" i="2" a="1"/>
  <c r="P782" i="2" s="1"/>
  <c r="P783" i="2" a="1"/>
  <c r="P783" i="2" s="1"/>
  <c r="P784" i="2" a="1"/>
  <c r="P784" i="2" s="1"/>
  <c r="P785" i="2" a="1"/>
  <c r="P785" i="2" s="1"/>
  <c r="P786" i="2" a="1"/>
  <c r="P786" i="2"/>
  <c r="P787" i="2" a="1"/>
  <c r="P787" i="2"/>
  <c r="P788" i="2" a="1"/>
  <c r="P788" i="2" s="1"/>
  <c r="P789" i="2" a="1"/>
  <c r="P789" i="2"/>
  <c r="P790" i="2" a="1"/>
  <c r="P790" i="2" s="1"/>
  <c r="P791" i="2" a="1"/>
  <c r="P791" i="2" s="1"/>
  <c r="P792" i="2" a="1"/>
  <c r="P792" i="2" s="1"/>
  <c r="P793" i="2" a="1"/>
  <c r="P793" i="2"/>
  <c r="P794" i="2" a="1"/>
  <c r="P794" i="2" s="1"/>
  <c r="P795" i="2" a="1"/>
  <c r="P795" i="2"/>
  <c r="P796" i="2" a="1"/>
  <c r="P796" i="2" s="1"/>
  <c r="P797" i="2" a="1"/>
  <c r="P797" i="2" s="1"/>
  <c r="P798" i="2" a="1"/>
  <c r="P798" i="2"/>
  <c r="P799" i="2" a="1"/>
  <c r="P799" i="2" s="1"/>
  <c r="P800" i="2" a="1"/>
  <c r="P800" i="2" s="1"/>
  <c r="P801" i="2" a="1"/>
  <c r="P801" i="2"/>
  <c r="P802" i="2" a="1"/>
  <c r="P802" i="2" s="1"/>
  <c r="P803" i="2" a="1"/>
  <c r="P803" i="2" s="1"/>
  <c r="P804" i="2" a="1"/>
  <c r="P804" i="2" s="1"/>
  <c r="P805" i="2" a="1"/>
  <c r="P805" i="2" s="1"/>
  <c r="P806" i="2" a="1"/>
  <c r="P806" i="2"/>
  <c r="P807" i="2" a="1"/>
  <c r="P807" i="2"/>
  <c r="P808" i="2" a="1"/>
  <c r="P808" i="2" s="1"/>
  <c r="P809" i="2" a="1"/>
  <c r="P809" i="2"/>
  <c r="P810" i="2" a="1"/>
  <c r="P810" i="2"/>
  <c r="P811" i="2" a="1"/>
  <c r="P811" i="2"/>
  <c r="P812" i="2" a="1"/>
  <c r="P812" i="2" s="1"/>
  <c r="P813" i="2" a="1"/>
  <c r="P813" i="2" s="1"/>
  <c r="P814" i="2" a="1"/>
  <c r="P814" i="2" s="1"/>
  <c r="P815" i="2" a="1"/>
  <c r="P815" i="2" s="1"/>
  <c r="P816" i="2" a="1"/>
  <c r="P816" i="2" s="1"/>
  <c r="P817" i="2" a="1"/>
  <c r="P817" i="2" s="1"/>
  <c r="P818" i="2" a="1"/>
  <c r="P818" i="2"/>
  <c r="P819" i="2" a="1"/>
  <c r="P819" i="2"/>
  <c r="P820" i="2" a="1"/>
  <c r="P820" i="2" s="1"/>
  <c r="P821" i="2" a="1"/>
  <c r="P821" i="2" s="1"/>
  <c r="P822" i="2" a="1"/>
  <c r="P822" i="2" s="1"/>
  <c r="P823" i="2" a="1"/>
  <c r="P823" i="2" s="1"/>
  <c r="P824" i="2" a="1"/>
  <c r="P824" i="2" s="1"/>
  <c r="P825" i="2" a="1"/>
  <c r="P825" i="2" s="1"/>
  <c r="P826" i="2" a="1"/>
  <c r="P826" i="2" s="1"/>
  <c r="P827" i="2" a="1"/>
  <c r="P827" i="2"/>
  <c r="P828" i="2" a="1"/>
  <c r="P828" i="2" s="1"/>
  <c r="P829" i="2" a="1"/>
  <c r="P829" i="2"/>
  <c r="P830" i="2" a="1"/>
  <c r="P830" i="2" s="1"/>
  <c r="P831" i="2" a="1"/>
  <c r="P831" i="2" s="1"/>
  <c r="P832" i="2" a="1"/>
  <c r="P832" i="2" s="1"/>
  <c r="P833" i="2" a="1"/>
  <c r="P833" i="2"/>
  <c r="P834" i="2" a="1"/>
  <c r="P834" i="2"/>
  <c r="P835" i="2" a="1"/>
  <c r="P835" i="2" s="1"/>
  <c r="P836" i="2" a="1"/>
  <c r="P836" i="2" s="1"/>
  <c r="P837" i="2" a="1"/>
  <c r="P837" i="2" s="1"/>
  <c r="P838" i="2" a="1"/>
  <c r="P838" i="2" s="1"/>
  <c r="P839" i="2" a="1"/>
  <c r="P839" i="2"/>
  <c r="P840" i="2" a="1"/>
  <c r="P840" i="2" s="1"/>
  <c r="P841" i="2" a="1"/>
  <c r="P841" i="2"/>
  <c r="P842" i="2" a="1"/>
  <c r="P842" i="2"/>
  <c r="P843" i="2" a="1"/>
  <c r="P843" i="2"/>
  <c r="P844" i="2" a="1"/>
  <c r="P844" i="2" s="1"/>
  <c r="P845" i="2" a="1"/>
  <c r="P845" i="2" s="1"/>
  <c r="P846" i="2" a="1"/>
  <c r="P846" i="2" s="1"/>
  <c r="P847" i="2" a="1"/>
  <c r="P847" i="2"/>
  <c r="P848" i="2" a="1"/>
  <c r="P848" i="2" s="1"/>
  <c r="P849" i="2" a="1"/>
  <c r="P849" i="2" s="1"/>
  <c r="P850" i="2" a="1"/>
  <c r="P850" i="2"/>
  <c r="P851" i="2" a="1"/>
  <c r="P851" i="2"/>
  <c r="P852" i="2" a="1"/>
  <c r="P852" i="2" s="1"/>
  <c r="P853" i="2" a="1"/>
  <c r="P853" i="2" s="1"/>
  <c r="P854" i="2" a="1"/>
  <c r="P854" i="2" s="1"/>
  <c r="P855" i="2" a="1"/>
  <c r="P855" i="2" s="1"/>
  <c r="P856" i="2" a="1"/>
  <c r="P856" i="2" s="1"/>
  <c r="P857" i="2" a="1"/>
  <c r="P857" i="2" s="1"/>
  <c r="P858" i="2" a="1"/>
  <c r="P858" i="2" s="1"/>
  <c r="P859" i="2" a="1"/>
  <c r="P859" i="2"/>
  <c r="P860" i="2" a="1"/>
  <c r="P860" i="2"/>
  <c r="P861" i="2" a="1"/>
  <c r="P861" i="2"/>
  <c r="P862" i="2" a="1"/>
  <c r="P862" i="2" s="1"/>
  <c r="P863" i="2" a="1"/>
  <c r="P863" i="2"/>
  <c r="P864" i="2" a="1"/>
  <c r="P864" i="2"/>
  <c r="P865" i="2" a="1"/>
  <c r="P865" i="2"/>
  <c r="P866" i="2" a="1"/>
  <c r="P866" i="2" s="1"/>
  <c r="P867" i="2" a="1"/>
  <c r="P867" i="2"/>
  <c r="P868" i="2" a="1"/>
  <c r="P868" i="2"/>
  <c r="P869" i="2" a="1"/>
  <c r="P869" i="2"/>
  <c r="P870" i="2" a="1"/>
  <c r="P870" i="2" s="1"/>
  <c r="P871" i="2" a="1"/>
  <c r="P871" i="2"/>
  <c r="P872" i="2" a="1"/>
  <c r="P872" i="2"/>
  <c r="P873" i="2" a="1"/>
  <c r="P873" i="2" s="1"/>
  <c r="P874" i="2" a="1"/>
  <c r="P874" i="2" s="1"/>
  <c r="P875" i="2" a="1"/>
  <c r="P875" i="2"/>
  <c r="P876" i="2" a="1"/>
  <c r="P876" i="2"/>
  <c r="P877" i="2" a="1"/>
  <c r="P877" i="2" s="1"/>
  <c r="P878" i="2" a="1"/>
  <c r="P878" i="2" s="1"/>
  <c r="P879" i="2" a="1"/>
  <c r="P879" i="2"/>
  <c r="P880" i="2" a="1"/>
  <c r="P880" i="2"/>
  <c r="P881" i="2" a="1"/>
  <c r="P881" i="2"/>
  <c r="P882" i="2" a="1"/>
  <c r="P882" i="2" s="1"/>
  <c r="P883" i="2" a="1"/>
  <c r="P883" i="2"/>
  <c r="P884" i="2" a="1"/>
  <c r="P884" i="2"/>
  <c r="P885" i="2" a="1"/>
  <c r="P885" i="2" s="1"/>
  <c r="P886" i="2" a="1"/>
  <c r="P886" i="2" s="1"/>
  <c r="P887" i="2" a="1"/>
  <c r="P887" i="2"/>
  <c r="P888" i="2" a="1"/>
  <c r="P888" i="2"/>
  <c r="P889" i="2" a="1"/>
  <c r="P889" i="2" s="1"/>
  <c r="P890" i="2" a="1"/>
  <c r="P890" i="2" s="1"/>
  <c r="P891" i="2" a="1"/>
  <c r="P891" i="2"/>
  <c r="P892" i="2" a="1"/>
  <c r="P892" i="2"/>
  <c r="P893" i="2" a="1"/>
  <c r="P893" i="2"/>
  <c r="P894" i="2" a="1"/>
  <c r="P894" i="2" s="1"/>
  <c r="P895" i="2" a="1"/>
  <c r="P895" i="2"/>
  <c r="P896" i="2" a="1"/>
  <c r="P896" i="2"/>
  <c r="P897" i="2" a="1"/>
  <c r="P897" i="2"/>
  <c r="P898" i="2" a="1"/>
  <c r="P898" i="2" s="1"/>
  <c r="P899" i="2" a="1"/>
  <c r="P899" i="2"/>
  <c r="P900" i="2" a="1"/>
  <c r="P900" i="2"/>
  <c r="P901" i="2" a="1"/>
  <c r="P901" i="2"/>
  <c r="P902" i="2" a="1"/>
  <c r="P902" i="2" s="1"/>
  <c r="P903" i="2" a="1"/>
  <c r="P903" i="2"/>
  <c r="P904" i="2" a="1"/>
  <c r="P904" i="2"/>
  <c r="P905" i="2" a="1"/>
  <c r="P905" i="2" s="1"/>
  <c r="P906" i="2" a="1"/>
  <c r="P906" i="2" s="1"/>
  <c r="P907" i="2" a="1"/>
  <c r="P907" i="2"/>
  <c r="P908" i="2" a="1"/>
  <c r="P908" i="2"/>
  <c r="P909" i="2" a="1"/>
  <c r="P909" i="2" s="1"/>
  <c r="P910" i="2" a="1"/>
  <c r="P910" i="2" s="1"/>
  <c r="P911" i="2" a="1"/>
  <c r="P911" i="2"/>
  <c r="P912" i="2" a="1"/>
  <c r="P912" i="2"/>
  <c r="P913" i="2" a="1"/>
  <c r="P913" i="2"/>
  <c r="P914" i="2" a="1"/>
  <c r="P914" i="2" s="1"/>
  <c r="P915" i="2" a="1"/>
  <c r="P915" i="2"/>
  <c r="P916" i="2" a="1"/>
  <c r="P916" i="2"/>
  <c r="P917" i="2" a="1"/>
  <c r="P917" i="2" s="1"/>
  <c r="P918" i="2" a="1"/>
  <c r="P918" i="2" s="1"/>
  <c r="P919" i="2" a="1"/>
  <c r="P919" i="2"/>
  <c r="P920" i="2" a="1"/>
  <c r="P920" i="2"/>
  <c r="P921" i="2" a="1"/>
  <c r="P921" i="2" s="1"/>
  <c r="P922" i="2" a="1"/>
  <c r="P922" i="2" s="1"/>
  <c r="P923" i="2" a="1"/>
  <c r="P923" i="2"/>
  <c r="P924" i="2" a="1"/>
  <c r="P924" i="2"/>
  <c r="P925" i="2" a="1"/>
  <c r="P925" i="2"/>
  <c r="P926" i="2" a="1"/>
  <c r="P926" i="2" s="1"/>
  <c r="P927" i="2" a="1"/>
  <c r="P927" i="2"/>
  <c r="P928" i="2" a="1"/>
  <c r="P928" i="2"/>
  <c r="P929" i="2" a="1"/>
  <c r="P929" i="2"/>
  <c r="P930" i="2" a="1"/>
  <c r="P930" i="2" s="1"/>
  <c r="P931" i="2" a="1"/>
  <c r="P931" i="2"/>
  <c r="P932" i="2" a="1"/>
  <c r="P932" i="2"/>
  <c r="P933" i="2" a="1"/>
  <c r="P933" i="2" s="1"/>
  <c r="P934" i="2" a="1"/>
  <c r="P934" i="2" s="1"/>
  <c r="P935" i="2" a="1"/>
  <c r="P935" i="2"/>
  <c r="P936" i="2" a="1"/>
  <c r="P936" i="2"/>
  <c r="P937" i="2" a="1"/>
  <c r="P937" i="2" s="1"/>
  <c r="P938" i="2" a="1"/>
  <c r="P938" i="2" s="1"/>
  <c r="P939" i="2" a="1"/>
  <c r="P939" i="2"/>
  <c r="P940" i="2" a="1"/>
  <c r="P940" i="2"/>
  <c r="P941" i="2" a="1"/>
  <c r="P941" i="2" s="1"/>
  <c r="P942" i="2" a="1"/>
  <c r="P942" i="2" s="1"/>
  <c r="P943" i="2" a="1"/>
  <c r="P943" i="2"/>
  <c r="P944" i="2" a="1"/>
  <c r="P944" i="2"/>
  <c r="P945" i="2" a="1"/>
  <c r="P945" i="2"/>
  <c r="P946" i="2" a="1"/>
  <c r="P946" i="2" s="1"/>
  <c r="P947" i="2" a="1"/>
  <c r="P947" i="2"/>
  <c r="P948" i="2" a="1"/>
  <c r="P948" i="2"/>
  <c r="P949" i="2" a="1"/>
  <c r="P949" i="2" s="1"/>
  <c r="P950" i="2" a="1"/>
  <c r="P950" i="2" s="1"/>
  <c r="P951" i="2" a="1"/>
  <c r="P951" i="2"/>
  <c r="P952" i="2" a="1"/>
  <c r="P952" i="2"/>
  <c r="P953" i="2" a="1"/>
  <c r="P953" i="2" s="1"/>
  <c r="P954" i="2" a="1"/>
  <c r="P954" i="2" s="1"/>
  <c r="P955" i="2" a="1"/>
  <c r="P955" i="2"/>
  <c r="P956" i="2" a="1"/>
  <c r="P956" i="2"/>
  <c r="P957" i="2" a="1"/>
  <c r="P957" i="2"/>
  <c r="P958" i="2" a="1"/>
  <c r="P958" i="2" s="1"/>
  <c r="P959" i="2" a="1"/>
  <c r="P959" i="2"/>
  <c r="P960" i="2" a="1"/>
  <c r="P960" i="2"/>
  <c r="P961" i="2" a="1"/>
  <c r="P961" i="2"/>
  <c r="P962" i="2" a="1"/>
  <c r="P962" i="2" s="1"/>
  <c r="P963" i="2" a="1"/>
  <c r="P963" i="2"/>
  <c r="P964" i="2" a="1"/>
  <c r="P964" i="2"/>
  <c r="P965" i="2" a="1"/>
  <c r="P965" i="2" s="1"/>
  <c r="P966" i="2" a="1"/>
  <c r="P966" i="2" s="1"/>
  <c r="P967" i="2" a="1"/>
  <c r="P967" i="2"/>
  <c r="P968" i="2" a="1"/>
  <c r="P968" i="2"/>
  <c r="P969" i="2" a="1"/>
  <c r="P969" i="2"/>
  <c r="P970" i="2" a="1"/>
  <c r="P970" i="2" s="1"/>
  <c r="P971" i="2" a="1"/>
  <c r="P971" i="2"/>
  <c r="P972" i="2" a="1"/>
  <c r="P972" i="2"/>
  <c r="P973" i="2" a="1"/>
  <c r="P973" i="2" s="1"/>
  <c r="P974" i="2" a="1"/>
  <c r="P974" i="2" s="1"/>
  <c r="P975" i="2" a="1"/>
  <c r="P975" i="2"/>
  <c r="P976" i="2" a="1"/>
  <c r="P976" i="2"/>
  <c r="P977" i="2" a="1"/>
  <c r="P977" i="2"/>
  <c r="P978" i="2" a="1"/>
  <c r="P978" i="2" s="1"/>
  <c r="P979" i="2" a="1"/>
  <c r="P979" i="2"/>
  <c r="P980" i="2" a="1"/>
  <c r="P980" i="2"/>
  <c r="P981" i="2" a="1"/>
  <c r="P981" i="2" s="1"/>
  <c r="P982" i="2" a="1"/>
  <c r="P982" i="2" s="1"/>
  <c r="P983" i="2" a="1"/>
  <c r="P983" i="2"/>
  <c r="P984" i="2" a="1"/>
  <c r="P984" i="2"/>
  <c r="P985" i="2" a="1"/>
  <c r="P985" i="2" s="1"/>
  <c r="P986" i="2" a="1"/>
  <c r="P986" i="2" s="1"/>
  <c r="P987" i="2" a="1"/>
  <c r="P987" i="2" s="1"/>
  <c r="P988" i="2" a="1"/>
  <c r="P988" i="2"/>
  <c r="P989" i="2" a="1"/>
  <c r="P989" i="2"/>
  <c r="P990" i="2" a="1"/>
  <c r="P990" i="2" s="1"/>
  <c r="P991" i="2" a="1"/>
  <c r="P991" i="2" s="1"/>
  <c r="P992" i="2" a="1"/>
  <c r="P992" i="2"/>
  <c r="P993" i="2" a="1"/>
  <c r="P993" i="2"/>
  <c r="P994" i="2" a="1"/>
  <c r="P994" i="2" s="1"/>
  <c r="P995" i="2" a="1"/>
  <c r="P995" i="2" s="1"/>
  <c r="P996" i="2" a="1"/>
  <c r="P996" i="2"/>
  <c r="P997" i="2" a="1"/>
  <c r="P997" i="2"/>
  <c r="P998" i="2" a="1"/>
  <c r="P998" i="2" s="1"/>
  <c r="P999" i="2" a="1"/>
  <c r="P999" i="2" s="1"/>
  <c r="P1000" i="2" a="1"/>
  <c r="P1000" i="2"/>
  <c r="P1001" i="2" a="1"/>
  <c r="P1001" i="2"/>
  <c r="P1002" i="2" a="1"/>
  <c r="P1002" i="2" s="1"/>
  <c r="P1003" i="2" a="1"/>
  <c r="P1003" i="2" s="1"/>
  <c r="P1004" i="2" a="1"/>
  <c r="P1004" i="2"/>
  <c r="P1005" i="2" a="1"/>
  <c r="P1005" i="2"/>
  <c r="P1006" i="2" a="1"/>
  <c r="P1006" i="2" s="1"/>
  <c r="P1007" i="2" a="1"/>
  <c r="P1007" i="2" s="1"/>
  <c r="P1008" i="2" a="1"/>
  <c r="P1008" i="2"/>
  <c r="P1009" i="2" a="1"/>
  <c r="P1009" i="2"/>
  <c r="P1010" i="2" a="1"/>
  <c r="P1010" i="2" s="1"/>
  <c r="P1011" i="2" a="1"/>
  <c r="P1011" i="2" s="1"/>
  <c r="P1012" i="2" a="1"/>
  <c r="P1012" i="2"/>
  <c r="P1013" i="2" a="1"/>
  <c r="P1013" i="2"/>
  <c r="P1014" i="2" a="1"/>
  <c r="P1014" i="2" s="1"/>
  <c r="P1015" i="2" a="1"/>
  <c r="P1015" i="2" s="1"/>
  <c r="P1016" i="2" a="1"/>
  <c r="P1016" i="2"/>
  <c r="P1017" i="2" a="1"/>
  <c r="P1017" i="2"/>
  <c r="P1018" i="2" a="1"/>
  <c r="P1018" i="2" s="1"/>
  <c r="P1019" i="2" a="1"/>
  <c r="P1019" i="2" s="1"/>
  <c r="P1020" i="2" a="1"/>
  <c r="P1020" i="2"/>
  <c r="P1021" i="2" a="1"/>
  <c r="P1021" i="2"/>
  <c r="P1022" i="2" a="1"/>
  <c r="P1022" i="2" s="1"/>
  <c r="P1023" i="2" a="1"/>
  <c r="P1023" i="2" s="1"/>
  <c r="P1024" i="2" a="1"/>
  <c r="P1024" i="2"/>
  <c r="P1025" i="2" a="1"/>
  <c r="P1025" i="2"/>
  <c r="P1026" i="2" a="1"/>
  <c r="P1026" i="2" s="1"/>
  <c r="P1027" i="2" a="1"/>
  <c r="P1027" i="2" s="1"/>
  <c r="P1028" i="2" a="1"/>
  <c r="P1028" i="2"/>
  <c r="P1029" i="2" a="1"/>
  <c r="P1029" i="2"/>
  <c r="P1030" i="2" a="1"/>
  <c r="P1030" i="2" s="1"/>
  <c r="P1031" i="2" a="1"/>
  <c r="P1031" i="2" s="1"/>
  <c r="P1032" i="2" a="1"/>
  <c r="P1032" i="2" s="1"/>
  <c r="P1033" i="2" a="1"/>
  <c r="P1033" i="2"/>
  <c r="P1034" i="2" a="1"/>
  <c r="P1034" i="2" s="1"/>
  <c r="P1035" i="2" a="1"/>
  <c r="P1035" i="2" s="1"/>
  <c r="P1036" i="2" a="1"/>
  <c r="P1036" i="2" s="1"/>
  <c r="P1037" i="2" a="1"/>
  <c r="P1037" i="2"/>
  <c r="P1038" i="2" a="1"/>
  <c r="P1038" i="2" s="1"/>
  <c r="P1039" i="2" a="1"/>
  <c r="P1039" i="2" s="1"/>
  <c r="P1040" i="2" a="1"/>
  <c r="P1040" i="2" s="1"/>
  <c r="P1041" i="2" a="1"/>
  <c r="P1041" i="2"/>
  <c r="P1042" i="2" a="1"/>
  <c r="P1042" i="2" s="1"/>
  <c r="P1043" i="2" a="1"/>
  <c r="P1043" i="2" s="1"/>
  <c r="P1044" i="2" a="1"/>
  <c r="P1044" i="2" s="1"/>
  <c r="P1045" i="2" a="1"/>
  <c r="P1045" i="2"/>
  <c r="P1046" i="2" a="1"/>
  <c r="P1046" i="2" s="1"/>
  <c r="P1047" i="2" a="1"/>
  <c r="P1047" i="2" s="1"/>
  <c r="P1048" i="2" a="1"/>
  <c r="P1048" i="2" s="1"/>
  <c r="P1049" i="2" a="1"/>
  <c r="P1049" i="2"/>
  <c r="P1050" i="2" a="1"/>
  <c r="P1050" i="2" s="1"/>
  <c r="P1051" i="2" a="1"/>
  <c r="P1051" i="2" s="1"/>
  <c r="P1052" i="2" a="1"/>
  <c r="P1052" i="2" s="1"/>
  <c r="P1053" i="2" a="1"/>
  <c r="P1053" i="2"/>
  <c r="P1054" i="2" a="1"/>
  <c r="P1054" i="2" s="1"/>
  <c r="P1055" i="2" a="1"/>
  <c r="P1055" i="2" s="1"/>
  <c r="P1056" i="2" a="1"/>
  <c r="P1056" i="2" s="1"/>
  <c r="P1057" i="2" a="1"/>
  <c r="P1057" i="2"/>
  <c r="P1058" i="2" a="1"/>
  <c r="P1058" i="2" s="1"/>
  <c r="P1059" i="2" a="1"/>
  <c r="P1059" i="2" s="1"/>
  <c r="P1060" i="2" a="1"/>
  <c r="P1060" i="2" s="1"/>
  <c r="P1061" i="2" a="1"/>
  <c r="P1061" i="2"/>
  <c r="P1062" i="2" a="1"/>
  <c r="P1062" i="2" s="1"/>
  <c r="P1063" i="2" a="1"/>
  <c r="P1063" i="2" s="1"/>
  <c r="P1064" i="2" a="1"/>
  <c r="P1064" i="2" s="1"/>
  <c r="P1065" i="2" a="1"/>
  <c r="P1065" i="2"/>
  <c r="P1066" i="2" a="1"/>
  <c r="P1066" i="2" s="1"/>
  <c r="P1067" i="2" a="1"/>
  <c r="P1067" i="2" s="1"/>
  <c r="P1068" i="2" a="1"/>
  <c r="P1068" i="2" s="1"/>
  <c r="P1069" i="2" a="1"/>
  <c r="P1069" i="2"/>
  <c r="P1070" i="2" a="1"/>
  <c r="P1070" i="2" s="1"/>
  <c r="P1071" i="2" a="1"/>
  <c r="P1071" i="2" s="1"/>
  <c r="P1072" i="2" a="1"/>
  <c r="P1072" i="2" s="1"/>
  <c r="P1073" i="2" a="1"/>
  <c r="P1073" i="2"/>
  <c r="P1074" i="2" a="1"/>
  <c r="P1074" i="2" s="1"/>
  <c r="P1075" i="2" a="1"/>
  <c r="P1075" i="2" s="1"/>
  <c r="P1076" i="2" a="1"/>
  <c r="P1076" i="2" s="1"/>
  <c r="P1077" i="2" a="1"/>
  <c r="P1077" i="2"/>
  <c r="P1078" i="2" a="1"/>
  <c r="P1078" i="2" s="1"/>
  <c r="P1079" i="2" a="1"/>
  <c r="P1079" i="2" s="1"/>
  <c r="P1080" i="2" a="1"/>
  <c r="P1080" i="2" s="1"/>
  <c r="P1081" i="2" a="1"/>
  <c r="P1081" i="2"/>
  <c r="P1082" i="2" a="1"/>
  <c r="P1082" i="2" s="1"/>
  <c r="P1083" i="2" a="1"/>
  <c r="P1083" i="2" s="1"/>
  <c r="P1084" i="2" a="1"/>
  <c r="P1084" i="2" s="1"/>
  <c r="P1085" i="2" a="1"/>
  <c r="P1085" i="2"/>
  <c r="P1086" i="2" a="1"/>
  <c r="P1086" i="2" s="1"/>
  <c r="P1087" i="2" a="1"/>
  <c r="P1087" i="2" s="1"/>
  <c r="P1088" i="2" a="1"/>
  <c r="P1088" i="2" s="1"/>
  <c r="P1089" i="2" a="1"/>
  <c r="P1089" i="2"/>
  <c r="P1090" i="2" a="1"/>
  <c r="P1090" i="2" s="1"/>
  <c r="P1091" i="2" a="1"/>
  <c r="P1091" i="2" s="1"/>
  <c r="P1092" i="2" a="1"/>
  <c r="P1092" i="2" s="1"/>
  <c r="P1093" i="2" a="1"/>
  <c r="P1093" i="2"/>
  <c r="P1094" i="2" a="1"/>
  <c r="P1094" i="2" s="1"/>
  <c r="P1095" i="2" a="1"/>
  <c r="P1095" i="2" s="1"/>
  <c r="P1096" i="2" a="1"/>
  <c r="P1096" i="2" s="1"/>
  <c r="P1097" i="2" a="1"/>
  <c r="P1097" i="2"/>
  <c r="P1098" i="2" a="1"/>
  <c r="P1098" i="2" s="1"/>
  <c r="P1099" i="2" a="1"/>
  <c r="P1099" i="2" s="1"/>
  <c r="P1100" i="2" a="1"/>
  <c r="P1100" i="2" s="1"/>
  <c r="P1101" i="2" a="1"/>
  <c r="P1101" i="2"/>
  <c r="P1102" i="2" a="1"/>
  <c r="P1102" i="2" s="1"/>
  <c r="P1103" i="2" a="1"/>
  <c r="P1103" i="2" s="1"/>
  <c r="P1104" i="2" a="1"/>
  <c r="P1104" i="2" s="1"/>
  <c r="P1105" i="2" a="1"/>
  <c r="P1105" i="2"/>
  <c r="P1106" i="2" a="1"/>
  <c r="P1106" i="2" s="1"/>
  <c r="P1107" i="2" a="1"/>
  <c r="P1107" i="2" s="1"/>
  <c r="P1108" i="2" a="1"/>
  <c r="P1108" i="2" s="1"/>
  <c r="P1109" i="2" a="1"/>
  <c r="P1109" i="2"/>
  <c r="P1110" i="2" a="1"/>
  <c r="P1110" i="2" s="1"/>
  <c r="P1111" i="2" a="1"/>
  <c r="P1111" i="2" s="1"/>
  <c r="P1112" i="2" a="1"/>
  <c r="P1112" i="2" s="1"/>
  <c r="P1113" i="2" a="1"/>
  <c r="P1113" i="2" s="1"/>
  <c r="P1114" i="2" a="1"/>
  <c r="P1114" i="2" s="1"/>
  <c r="P1115" i="2" a="1"/>
  <c r="P1115" i="2" s="1"/>
  <c r="P1116" i="2" a="1"/>
  <c r="P1116" i="2" s="1"/>
  <c r="P1117" i="2" a="1"/>
  <c r="P1117" i="2"/>
  <c r="P1118" i="2" a="1"/>
  <c r="P1118" i="2" s="1"/>
  <c r="P1119" i="2" a="1"/>
  <c r="P1119" i="2" s="1"/>
  <c r="P1120" i="2" a="1"/>
  <c r="P1120" i="2" s="1"/>
  <c r="P1121" i="2" a="1"/>
  <c r="P1121" i="2"/>
  <c r="P1122" i="2" a="1"/>
  <c r="P1122" i="2" s="1"/>
  <c r="P1123" i="2" a="1"/>
  <c r="P1123" i="2" s="1"/>
  <c r="P1124" i="2" a="1"/>
  <c r="P1124" i="2" s="1"/>
  <c r="P1125" i="2" a="1"/>
  <c r="P1125" i="2"/>
  <c r="P1126" i="2" a="1"/>
  <c r="P1126" i="2" s="1"/>
  <c r="P1127" i="2" a="1"/>
  <c r="P1127" i="2" s="1"/>
  <c r="P1128" i="2" a="1"/>
  <c r="P1128" i="2" s="1"/>
  <c r="P1129" i="2" a="1"/>
  <c r="P1129" i="2"/>
  <c r="P1130" i="2" a="1"/>
  <c r="P1130" i="2" s="1"/>
  <c r="P1131" i="2" a="1"/>
  <c r="P1131" i="2" s="1"/>
  <c r="P1132" i="2" a="1"/>
  <c r="P1132" i="2" s="1"/>
  <c r="P1133" i="2" a="1"/>
  <c r="P1133" i="2"/>
  <c r="P1134" i="2" a="1"/>
  <c r="P1134" i="2" s="1"/>
  <c r="P1135" i="2" a="1"/>
  <c r="P1135" i="2" s="1"/>
  <c r="P1136" i="2" a="1"/>
  <c r="P1136" i="2" s="1"/>
  <c r="P1137" i="2" a="1"/>
  <c r="P1137" i="2"/>
  <c r="P1138" i="2" a="1"/>
  <c r="P1138" i="2" s="1"/>
  <c r="P1139" i="2" a="1"/>
  <c r="P1139" i="2" s="1"/>
  <c r="P1140" i="2" a="1"/>
  <c r="P1140" i="2" s="1"/>
  <c r="P1141" i="2" a="1"/>
  <c r="P1141" i="2"/>
  <c r="P1142" i="2" a="1"/>
  <c r="P1142" i="2" s="1"/>
  <c r="P1143" i="2" a="1"/>
  <c r="P1143" i="2" s="1"/>
  <c r="P1144" i="2" a="1"/>
  <c r="P1144" i="2" s="1"/>
  <c r="P1145" i="2" a="1"/>
  <c r="P1145" i="2"/>
  <c r="P1146" i="2" a="1"/>
  <c r="P1146" i="2" s="1"/>
  <c r="P1147" i="2" a="1"/>
  <c r="P1147" i="2" s="1"/>
  <c r="P1148" i="2" a="1"/>
  <c r="P1148" i="2" s="1"/>
  <c r="P1149" i="2" a="1"/>
  <c r="P1149" i="2"/>
  <c r="P1150" i="2" a="1"/>
  <c r="P1150" i="2" s="1"/>
  <c r="P1151" i="2" a="1"/>
  <c r="P1151" i="2" s="1"/>
  <c r="P1152" i="2" a="1"/>
  <c r="P1152" i="2" s="1"/>
  <c r="P1153" i="2" a="1"/>
  <c r="P1153" i="2"/>
  <c r="P1154" i="2" a="1"/>
  <c r="P1154" i="2" s="1"/>
  <c r="P1155" i="2" a="1"/>
  <c r="P1155" i="2" s="1"/>
  <c r="P1156" i="2" a="1"/>
  <c r="P1156" i="2" s="1"/>
  <c r="P1157" i="2" a="1"/>
  <c r="P1157" i="2"/>
  <c r="P1158" i="2" a="1"/>
  <c r="P1158" i="2" s="1"/>
  <c r="P1159" i="2" a="1"/>
  <c r="P1159" i="2" s="1"/>
  <c r="P1160" i="2" a="1"/>
  <c r="P1160" i="2" s="1"/>
  <c r="P1161" i="2" a="1"/>
  <c r="P1161" i="2"/>
  <c r="P1162" i="2" a="1"/>
  <c r="P1162" i="2" s="1"/>
  <c r="P1163" i="2" a="1"/>
  <c r="P1163" i="2" s="1"/>
  <c r="P1164" i="2" a="1"/>
  <c r="P1164" i="2" s="1"/>
  <c r="P1165" i="2" a="1"/>
  <c r="P1165" i="2"/>
  <c r="P1166" i="2" a="1"/>
  <c r="P1166" i="2" s="1"/>
  <c r="P1167" i="2" a="1"/>
  <c r="P1167" i="2" s="1"/>
  <c r="P1168" i="2" a="1"/>
  <c r="P1168" i="2" s="1"/>
  <c r="P1169" i="2" a="1"/>
  <c r="P1169" i="2"/>
  <c r="P1170" i="2" a="1"/>
  <c r="P1170" i="2" s="1"/>
  <c r="P1171" i="2" a="1"/>
  <c r="P1171" i="2" s="1"/>
  <c r="P1172" i="2" a="1"/>
  <c r="P1172" i="2" s="1"/>
  <c r="P1173" i="2" a="1"/>
  <c r="P1173" i="2"/>
  <c r="P1174" i="2" a="1"/>
  <c r="P1174" i="2" s="1"/>
  <c r="P1175" i="2" a="1"/>
  <c r="P1175" i="2" s="1"/>
  <c r="P1176" i="2" a="1"/>
  <c r="P1176" i="2" s="1"/>
  <c r="P1177" i="2" a="1"/>
  <c r="P1177" i="2"/>
  <c r="P1178" i="2" a="1"/>
  <c r="P1178" i="2" s="1"/>
  <c r="P1179" i="2" a="1"/>
  <c r="P1179" i="2" s="1"/>
  <c r="P1180" i="2" a="1"/>
  <c r="P1180" i="2" s="1"/>
  <c r="P1181" i="2" a="1"/>
  <c r="P1181" i="2"/>
  <c r="P1182" i="2" a="1"/>
  <c r="P1182" i="2" s="1"/>
  <c r="P1183" i="2" a="1"/>
  <c r="P1183" i="2" s="1"/>
  <c r="P1184" i="2" a="1"/>
  <c r="P1184" i="2" s="1"/>
  <c r="P1185" i="2" a="1"/>
  <c r="P1185" i="2"/>
  <c r="P1186" i="2" a="1"/>
  <c r="P1186" i="2" s="1"/>
  <c r="P1187" i="2" a="1"/>
  <c r="P1187" i="2" s="1"/>
  <c r="P1188" i="2" a="1"/>
  <c r="P1188" i="2" s="1"/>
  <c r="P1189" i="2" a="1"/>
  <c r="P1189" i="2"/>
  <c r="P1190" i="2" a="1"/>
  <c r="P1190" i="2" s="1"/>
  <c r="P1191" i="2" a="1"/>
  <c r="P1191" i="2" s="1"/>
  <c r="P1192" i="2" a="1"/>
  <c r="P1192" i="2" s="1"/>
  <c r="P1193" i="2" a="1"/>
  <c r="P1193" i="2"/>
  <c r="P1194" i="2" a="1"/>
  <c r="P1194" i="2" s="1"/>
  <c r="P1195" i="2" a="1"/>
  <c r="P1195" i="2" s="1"/>
  <c r="P1196" i="2" a="1"/>
  <c r="P1196" i="2" s="1"/>
  <c r="P1197" i="2" a="1"/>
  <c r="P1197" i="2"/>
  <c r="P1198" i="2" a="1"/>
  <c r="P1198" i="2" s="1"/>
  <c r="P1199" i="2" a="1"/>
  <c r="P1199" i="2" s="1"/>
  <c r="P1200" i="2" a="1"/>
  <c r="P1200" i="2" s="1"/>
  <c r="P1201" i="2" a="1"/>
  <c r="P1201" i="2"/>
  <c r="P1202" i="2" a="1"/>
  <c r="P1202" i="2" s="1"/>
  <c r="P1203" i="2" a="1"/>
  <c r="P1203" i="2" s="1"/>
  <c r="P1204" i="2" a="1"/>
  <c r="P1204" i="2" s="1"/>
  <c r="P1205" i="2" a="1"/>
  <c r="P1205" i="2"/>
  <c r="P1206" i="2" a="1"/>
  <c r="P1206" i="2" s="1"/>
  <c r="P1207" i="2" a="1"/>
  <c r="P1207" i="2" s="1"/>
  <c r="P1208" i="2" a="1"/>
  <c r="P1208" i="2" s="1"/>
  <c r="P1209" i="2" a="1"/>
  <c r="P1209" i="2"/>
  <c r="P1210" i="2" a="1"/>
  <c r="P1210" i="2" s="1"/>
  <c r="P1211" i="2" a="1"/>
  <c r="P1211" i="2" s="1"/>
  <c r="P1212" i="2" a="1"/>
  <c r="P1212" i="2" s="1"/>
  <c r="P1213" i="2" a="1"/>
  <c r="P1213" i="2"/>
  <c r="P1214" i="2" a="1"/>
  <c r="P1214" i="2" s="1"/>
  <c r="P1215" i="2" a="1"/>
  <c r="P1215" i="2" s="1"/>
  <c r="P1216" i="2" a="1"/>
  <c r="P1216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2" i="2"/>
  <c r="J275" i="3"/>
  <c r="J965" i="3"/>
  <c r="J396" i="3"/>
  <c r="J51" i="3"/>
  <c r="J381" i="3"/>
  <c r="J865" i="3"/>
  <c r="J867" i="3"/>
  <c r="J294" i="3"/>
  <c r="J579" i="3"/>
  <c r="J492" i="3"/>
  <c r="J389" i="3"/>
  <c r="J1067" i="3"/>
  <c r="J714" i="3"/>
  <c r="J453" i="3"/>
  <c r="J274" i="3"/>
  <c r="J697" i="3"/>
  <c r="J980" i="3"/>
  <c r="J3" i="3"/>
  <c r="J790" i="3"/>
  <c r="J620" i="3"/>
  <c r="J550" i="3"/>
  <c r="J915" i="3"/>
  <c r="J7" i="3"/>
  <c r="J50" i="3"/>
  <c r="J902" i="3"/>
  <c r="J103" i="3"/>
  <c r="J832" i="3"/>
  <c r="J612" i="3"/>
  <c r="J803" i="3"/>
  <c r="J366" i="3"/>
  <c r="J313" i="3"/>
  <c r="J1051" i="3"/>
  <c r="J1192" i="3"/>
  <c r="J857" i="3"/>
  <c r="J190" i="3"/>
  <c r="J347" i="3"/>
  <c r="J39" i="3"/>
  <c r="J146" i="3"/>
  <c r="J604" i="3"/>
  <c r="J89" i="3"/>
  <c r="J1169" i="3"/>
  <c r="J175" i="3"/>
  <c r="J251" i="3"/>
  <c r="J57" i="3"/>
  <c r="J931" i="3"/>
  <c r="J549" i="3"/>
  <c r="J1209" i="3"/>
  <c r="J1041" i="3"/>
  <c r="J1096" i="3"/>
  <c r="J236" i="3"/>
  <c r="J795" i="3"/>
  <c r="J169" i="3"/>
  <c r="J483" i="3"/>
  <c r="J983" i="3"/>
  <c r="J664" i="3"/>
  <c r="J630" i="3"/>
  <c r="J235" i="3"/>
  <c r="J914" i="3"/>
  <c r="J140" i="3"/>
  <c r="J285" i="3"/>
  <c r="J38" i="3"/>
  <c r="J680" i="3"/>
  <c r="J392" i="3"/>
  <c r="J1201" i="3"/>
  <c r="J361" i="3"/>
  <c r="J5" i="3"/>
  <c r="J995" i="3"/>
  <c r="J250" i="3"/>
  <c r="J246" i="3"/>
  <c r="J197" i="3"/>
  <c r="J1174" i="3"/>
  <c r="J647" i="3"/>
  <c r="J341" i="3"/>
  <c r="J318" i="3"/>
  <c r="J454" i="3"/>
  <c r="J750" i="3"/>
  <c r="J765" i="3"/>
  <c r="J1095" i="3"/>
  <c r="J982" i="3"/>
  <c r="J85" i="3"/>
  <c r="J1097" i="3"/>
  <c r="J657" i="3"/>
  <c r="J1068" i="3"/>
  <c r="J117" i="3"/>
  <c r="J1170" i="3"/>
  <c r="J279" i="3"/>
  <c r="J693" i="3"/>
  <c r="J352" i="3"/>
  <c r="J482" i="3"/>
  <c r="J118" i="3"/>
  <c r="J967" i="3"/>
  <c r="J379" i="3"/>
  <c r="J683" i="3"/>
  <c r="J747" i="3"/>
  <c r="J884" i="3"/>
  <c r="J260" i="3"/>
  <c r="J193" i="3"/>
  <c r="J1131" i="3"/>
  <c r="J306" i="3"/>
  <c r="J206" i="3"/>
  <c r="J845" i="3"/>
  <c r="J948" i="3"/>
  <c r="J402" i="3"/>
  <c r="J575" i="3"/>
  <c r="J406" i="3"/>
  <c r="J640" i="3"/>
  <c r="J918" i="3"/>
  <c r="J186" i="3"/>
  <c r="J536" i="3"/>
  <c r="J566" i="3"/>
  <c r="J93" i="3"/>
  <c r="J27" i="3"/>
  <c r="J556" i="3"/>
  <c r="J897" i="3"/>
  <c r="J449" i="3"/>
  <c r="J1100" i="3"/>
  <c r="J391" i="3"/>
  <c r="J1114" i="3"/>
  <c r="J484" i="3"/>
  <c r="J792" i="3"/>
  <c r="J784" i="3"/>
  <c r="J412" i="3"/>
  <c r="J631" i="3"/>
  <c r="J969" i="3"/>
  <c r="J8" i="3"/>
  <c r="J842" i="3"/>
  <c r="J752" i="3"/>
  <c r="J1106" i="3"/>
  <c r="J321" i="3"/>
  <c r="J660" i="3"/>
  <c r="J292" i="3"/>
  <c r="J1207" i="3"/>
  <c r="J1189" i="3"/>
  <c r="J191" i="3"/>
  <c r="J1087" i="3"/>
  <c r="J1077" i="3"/>
  <c r="J281" i="3"/>
  <c r="J1163" i="3"/>
  <c r="J113" i="3"/>
  <c r="J438" i="3"/>
  <c r="J368" i="3"/>
  <c r="J572" i="3"/>
  <c r="J1075" i="3"/>
  <c r="J331" i="3"/>
  <c r="J624" i="3"/>
  <c r="J639" i="3"/>
  <c r="J326" i="3"/>
  <c r="J227" i="3"/>
  <c r="J47" i="3"/>
  <c r="J479" i="3"/>
  <c r="J557" i="3"/>
  <c r="J576" i="3"/>
  <c r="J856" i="3"/>
  <c r="J968" i="3"/>
  <c r="J498" i="3"/>
  <c r="J335" i="3"/>
  <c r="J552" i="3"/>
  <c r="J351" i="3"/>
  <c r="J507" i="3"/>
  <c r="J1101" i="3"/>
  <c r="J228" i="3"/>
  <c r="J530" i="3"/>
  <c r="J1025" i="3"/>
  <c r="J478" i="3"/>
  <c r="J401" i="3"/>
  <c r="J1199" i="3"/>
  <c r="J370" i="3"/>
  <c r="J18" i="3"/>
  <c r="J1138" i="3"/>
  <c r="J1050" i="3"/>
  <c r="J390" i="3"/>
  <c r="J65" i="3"/>
  <c r="J142" i="3"/>
  <c r="J733" i="3"/>
  <c r="J953" i="3"/>
  <c r="J568" i="3"/>
  <c r="J962" i="3"/>
  <c r="J98" i="3"/>
  <c r="J1032" i="3"/>
  <c r="J15" i="3"/>
  <c r="J993" i="3"/>
  <c r="J170" i="3"/>
  <c r="J129" i="3"/>
  <c r="J1162" i="3"/>
  <c r="J505" i="3"/>
  <c r="J1148" i="3"/>
  <c r="J432" i="3"/>
  <c r="J1119" i="3"/>
  <c r="J1165" i="3"/>
  <c r="J475" i="3"/>
  <c r="J1002" i="3"/>
  <c r="J686" i="3"/>
  <c r="J1094" i="3"/>
  <c r="J163" i="3"/>
  <c r="J1126" i="3"/>
  <c r="J416" i="3"/>
  <c r="J338" i="3"/>
  <c r="J108" i="3"/>
  <c r="J1098" i="3"/>
  <c r="J343" i="3"/>
  <c r="J567" i="3"/>
  <c r="J883" i="3"/>
  <c r="J791" i="3"/>
  <c r="J286" i="3"/>
  <c r="J487" i="3"/>
  <c r="J1175" i="3"/>
  <c r="J207" i="3"/>
  <c r="J1081" i="3"/>
  <c r="J153" i="3"/>
  <c r="J905" i="3"/>
  <c r="J1142" i="3"/>
  <c r="J802" i="3"/>
  <c r="J111" i="3"/>
  <c r="J364" i="3"/>
  <c r="J518" i="3"/>
  <c r="J988" i="3"/>
  <c r="J43" i="3"/>
  <c r="J1021" i="3"/>
  <c r="J315" i="3"/>
  <c r="J1043" i="3"/>
  <c r="J1176" i="3"/>
  <c r="J101" i="3"/>
  <c r="J1008" i="3"/>
  <c r="J329" i="3"/>
  <c r="J9" i="3"/>
  <c r="J6" i="3"/>
  <c r="J797" i="3"/>
  <c r="J1089" i="3"/>
  <c r="J427" i="3"/>
  <c r="J831" i="3"/>
  <c r="J185" i="3"/>
  <c r="J1136" i="3"/>
  <c r="J496" i="3"/>
  <c r="J480" i="3"/>
  <c r="J1109" i="3"/>
  <c r="J4" i="3"/>
  <c r="J226" i="3"/>
  <c r="J16" i="3"/>
  <c r="J863" i="3"/>
  <c r="J727" i="3"/>
  <c r="J584" i="3"/>
  <c r="J143" i="3"/>
  <c r="J488" i="3"/>
  <c r="J21" i="3"/>
  <c r="J448" i="3"/>
  <c r="J1062" i="3"/>
  <c r="J509" i="3"/>
  <c r="J76" i="3"/>
  <c r="J1158" i="3"/>
  <c r="J662" i="3"/>
  <c r="J1159" i="3"/>
  <c r="J978" i="3"/>
  <c r="J1146" i="3"/>
  <c r="J973" i="3"/>
  <c r="J719" i="3"/>
  <c r="J1040" i="3"/>
  <c r="J60" i="3"/>
  <c r="J670" i="3"/>
  <c r="J233" i="3"/>
  <c r="J634" i="3"/>
  <c r="J1171" i="3"/>
  <c r="J208" i="3"/>
  <c r="J459" i="3"/>
  <c r="J378" i="3"/>
  <c r="J1205" i="3"/>
  <c r="J1177" i="3"/>
  <c r="J442" i="3"/>
  <c r="J705" i="3"/>
  <c r="J937" i="3"/>
  <c r="J24" i="3"/>
  <c r="J52" i="3"/>
  <c r="J780" i="3"/>
  <c r="J1069" i="3"/>
  <c r="J671" i="3"/>
  <c r="J266" i="3"/>
  <c r="J669" i="3"/>
  <c r="J297" i="3"/>
  <c r="J1124" i="3"/>
  <c r="J393" i="3"/>
  <c r="J910" i="3"/>
  <c r="J302" i="3"/>
  <c r="J1001" i="3"/>
  <c r="J1076" i="3"/>
  <c r="J252" i="3"/>
  <c r="J243" i="3"/>
  <c r="J106" i="3"/>
  <c r="J10" i="3"/>
  <c r="J587" i="3"/>
  <c r="J799" i="3"/>
  <c r="J58" i="3"/>
  <c r="J1036" i="3"/>
  <c r="J525" i="3"/>
  <c r="J104" i="3"/>
  <c r="J614" i="3"/>
  <c r="J562" i="3"/>
  <c r="J1010" i="3"/>
  <c r="J344" i="3"/>
  <c r="J571" i="3"/>
  <c r="J1104" i="3"/>
  <c r="J826" i="3"/>
  <c r="J1150" i="3"/>
  <c r="J1070" i="3"/>
  <c r="J899" i="3"/>
  <c r="J248" i="3"/>
  <c r="J463" i="3"/>
  <c r="J97" i="3"/>
  <c r="J66" i="3"/>
  <c r="J923" i="3"/>
  <c r="J676" i="3"/>
  <c r="J1122" i="3"/>
  <c r="J533" i="3"/>
  <c r="J474" i="3"/>
  <c r="J435" i="3"/>
  <c r="J277" i="3"/>
  <c r="J325" i="3"/>
  <c r="J809" i="3"/>
  <c r="J1015" i="3"/>
  <c r="J641" i="3"/>
  <c r="J524" i="3"/>
  <c r="J247" i="3"/>
  <c r="J232" i="3"/>
  <c r="J426" i="3"/>
  <c r="J1103" i="3"/>
  <c r="J32" i="3"/>
  <c r="J633" i="3"/>
  <c r="J298" i="3"/>
  <c r="J573" i="3"/>
  <c r="J520" i="3"/>
  <c r="J547" i="3"/>
  <c r="J458" i="3"/>
  <c r="J860" i="3"/>
  <c r="J933" i="3"/>
  <c r="J895" i="3"/>
  <c r="J861" i="3"/>
  <c r="J160" i="3"/>
  <c r="J1187" i="3"/>
  <c r="J738" i="3"/>
  <c r="J37" i="3"/>
  <c r="J737" i="3"/>
  <c r="J1137" i="3"/>
  <c r="J1028" i="3"/>
  <c r="J269" i="3"/>
  <c r="J328" i="3"/>
  <c r="J538" i="3"/>
  <c r="J534" i="3"/>
  <c r="J481" i="3"/>
  <c r="J26" i="3"/>
  <c r="J68" i="3"/>
  <c r="J452" i="3"/>
  <c r="J355" i="3"/>
  <c r="J577" i="3"/>
  <c r="J204" i="3"/>
  <c r="J743" i="3"/>
  <c r="J447" i="3"/>
  <c r="J678" i="3"/>
  <c r="J593" i="3"/>
  <c r="J1152" i="3"/>
  <c r="J359" i="3"/>
  <c r="J1194" i="3"/>
  <c r="J145" i="3"/>
  <c r="J179" i="3"/>
  <c r="J1071" i="3"/>
  <c r="J17" i="3"/>
  <c r="J1020" i="3"/>
  <c r="J839" i="3"/>
  <c r="J942" i="3"/>
  <c r="J732" i="3"/>
  <c r="J601" i="3"/>
  <c r="J812" i="3"/>
  <c r="J837" i="3"/>
  <c r="J437" i="3"/>
  <c r="J322" i="3"/>
  <c r="J166" i="3"/>
  <c r="J722" i="3"/>
  <c r="J105" i="3"/>
  <c r="J1029" i="3"/>
  <c r="J1009" i="3"/>
  <c r="J891" i="3"/>
  <c r="J560" i="3"/>
  <c r="J745" i="3"/>
  <c r="J125" i="3"/>
  <c r="J54" i="3"/>
  <c r="J222" i="3"/>
  <c r="J522" i="3"/>
  <c r="J196" i="3"/>
  <c r="J1185" i="3"/>
  <c r="J728" i="3"/>
  <c r="J930" i="3"/>
  <c r="J836" i="3"/>
  <c r="J167" i="3"/>
  <c r="J975" i="3"/>
  <c r="J404" i="3"/>
  <c r="J383" i="3"/>
  <c r="J661" i="3"/>
  <c r="J22" i="3"/>
  <c r="J278" i="3"/>
  <c r="J82" i="3"/>
  <c r="J987" i="3"/>
  <c r="J1154" i="3"/>
  <c r="J932" i="3"/>
  <c r="J1181" i="3"/>
  <c r="J1079" i="3"/>
  <c r="J446" i="3"/>
  <c r="J1014" i="3"/>
  <c r="J1180" i="3"/>
  <c r="J921" i="3"/>
  <c r="J1065" i="3"/>
  <c r="J135" i="3"/>
  <c r="J563" i="3"/>
  <c r="J330" i="3"/>
  <c r="J938" i="3"/>
  <c r="J691" i="3"/>
  <c r="J270" i="3"/>
  <c r="J971" i="3"/>
  <c r="J742" i="3"/>
  <c r="J508" i="3"/>
  <c r="J941" i="3"/>
  <c r="J500" i="3"/>
  <c r="J715" i="3"/>
  <c r="J1061" i="3"/>
  <c r="J1064" i="3"/>
  <c r="J451" i="3"/>
  <c r="J443" i="3"/>
  <c r="J198" i="3"/>
  <c r="J539" i="3"/>
  <c r="J656" i="3"/>
  <c r="J1139" i="3"/>
  <c r="J707" i="3"/>
  <c r="J261" i="3"/>
  <c r="J121" i="3"/>
  <c r="J999" i="3"/>
  <c r="J879" i="3"/>
  <c r="J119" i="3"/>
  <c r="J424" i="3"/>
  <c r="J829" i="3"/>
  <c r="J188" i="3"/>
  <c r="J122" i="3"/>
  <c r="J181" i="3"/>
  <c r="J258" i="3"/>
  <c r="J384" i="3"/>
  <c r="J42" i="3"/>
  <c r="J211" i="3"/>
  <c r="J79" i="3"/>
  <c r="J450" i="3"/>
  <c r="J735" i="3"/>
  <c r="J852" i="3"/>
  <c r="J476" i="3"/>
  <c r="J152" i="3"/>
  <c r="J29" i="3"/>
  <c r="J311" i="3"/>
  <c r="J949" i="3"/>
  <c r="J623" i="3"/>
  <c r="J473" i="3"/>
  <c r="J559" i="3"/>
  <c r="J1039" i="3"/>
  <c r="J155" i="3"/>
  <c r="J69" i="3"/>
  <c r="J494" i="3"/>
  <c r="J986" i="3"/>
  <c r="J696" i="3"/>
  <c r="J387" i="3"/>
  <c r="J653" i="3"/>
  <c r="J1019" i="3"/>
  <c r="J514" i="3"/>
  <c r="J253" i="3"/>
  <c r="J256" i="3"/>
  <c r="J989" i="3"/>
  <c r="J597" i="3"/>
  <c r="J515" i="3"/>
  <c r="J570" i="3"/>
  <c r="J710" i="3"/>
  <c r="J523" i="3"/>
  <c r="J868" i="3"/>
  <c r="J354" i="3"/>
  <c r="J1034" i="3"/>
  <c r="J882" i="3"/>
  <c r="J174" i="3"/>
  <c r="J61" i="3"/>
  <c r="J814" i="3"/>
  <c r="J136" i="3"/>
  <c r="J751" i="3"/>
  <c r="J888" i="3"/>
  <c r="J161" i="3"/>
  <c r="J299" i="3"/>
  <c r="J271" i="3"/>
  <c r="J744" i="3"/>
  <c r="J486" i="3"/>
  <c r="J588" i="3"/>
  <c r="J31" i="3"/>
  <c r="J116" i="3"/>
  <c r="J997" i="3"/>
  <c r="J272" i="3"/>
  <c r="J711" i="3"/>
  <c r="J1191" i="3"/>
  <c r="J64" i="3"/>
  <c r="J138" i="3"/>
  <c r="J1149" i="3"/>
  <c r="J1125" i="3"/>
  <c r="J823" i="3"/>
  <c r="J80" i="3"/>
  <c r="J920" i="3"/>
  <c r="J1133" i="3"/>
  <c r="J611" i="3"/>
  <c r="J532" i="3"/>
  <c r="J725" i="3"/>
  <c r="J695" i="3"/>
  <c r="J789" i="3"/>
  <c r="J194" i="3"/>
  <c r="J688" i="3"/>
  <c r="J951" i="3"/>
  <c r="J1027" i="3"/>
  <c r="J177" i="3"/>
  <c r="J422" i="3"/>
  <c r="J1056" i="3"/>
  <c r="J1090" i="3"/>
  <c r="J314" i="3"/>
  <c r="J642" i="3"/>
  <c r="J1132" i="3"/>
  <c r="J1099" i="3"/>
  <c r="J1037" i="3"/>
  <c r="J805" i="3"/>
  <c r="J255" i="3"/>
  <c r="J240" i="3"/>
  <c r="J692" i="3"/>
  <c r="J36" i="3"/>
  <c r="J176" i="3"/>
  <c r="J626" i="3"/>
  <c r="J762" i="3"/>
  <c r="J913" i="3"/>
  <c r="J1030" i="3"/>
  <c r="J939" i="3"/>
  <c r="J947" i="3"/>
  <c r="J219" i="3"/>
  <c r="J102" i="3"/>
  <c r="J413" i="3"/>
  <c r="J238" i="3"/>
  <c r="J460" i="3"/>
  <c r="J363" i="3"/>
  <c r="J551" i="3"/>
  <c r="J1011" i="3"/>
  <c r="J1179" i="3"/>
  <c r="J134" i="3"/>
  <c r="J230" i="3"/>
  <c r="J757" i="3"/>
  <c r="J541" i="3"/>
  <c r="J1026" i="3"/>
  <c r="J1153" i="3"/>
  <c r="J1111" i="3"/>
  <c r="J638" i="3"/>
  <c r="J239" i="3"/>
  <c r="J1173" i="3"/>
  <c r="J684" i="3"/>
  <c r="J320" i="3"/>
  <c r="J663" i="3"/>
  <c r="J595" i="3"/>
  <c r="J201" i="3"/>
  <c r="J316" i="3"/>
  <c r="J972" i="3"/>
  <c r="J1023" i="3"/>
  <c r="J521" i="3"/>
  <c r="J1003" i="3"/>
  <c r="J825" i="3"/>
  <c r="J610" i="3"/>
  <c r="J128" i="3"/>
  <c r="J594" i="3"/>
  <c r="J1088" i="3"/>
  <c r="J699" i="3"/>
  <c r="J332" i="3"/>
  <c r="J403" i="3"/>
  <c r="J781" i="3"/>
  <c r="J40" i="3"/>
  <c r="J811" i="3"/>
  <c r="J400" i="3"/>
  <c r="J896" i="3"/>
  <c r="J420" i="3"/>
  <c r="J1052" i="3"/>
  <c r="J819" i="3"/>
  <c r="J200" i="3"/>
  <c r="J787" i="3"/>
  <c r="J356" i="3"/>
  <c r="J1115" i="3"/>
  <c r="J283" i="3"/>
  <c r="J830" i="3"/>
  <c r="J542" i="3"/>
  <c r="J796" i="3"/>
  <c r="J295" i="3"/>
  <c r="J893" i="3"/>
  <c r="J851" i="3"/>
  <c r="J323" i="3"/>
  <c r="J71" i="3"/>
  <c r="J184" i="3"/>
  <c r="J615" i="3"/>
  <c r="J855" i="3"/>
  <c r="J974" i="3"/>
  <c r="J1164" i="3"/>
  <c r="J1092" i="3"/>
  <c r="J489" i="3"/>
  <c r="J94" i="3"/>
  <c r="J582" i="3"/>
  <c r="J408" i="3"/>
  <c r="J783" i="3"/>
  <c r="J740" i="3"/>
  <c r="J308" i="3"/>
  <c r="J808" i="3"/>
  <c r="J84" i="3"/>
  <c r="J1166" i="3"/>
  <c r="J62" i="3"/>
  <c r="J813" i="3"/>
  <c r="J637" i="3"/>
  <c r="J367" i="3"/>
  <c r="J456" i="3"/>
  <c r="J467" i="3"/>
  <c r="J720" i="3"/>
  <c r="J19" i="3"/>
  <c r="J964" i="3"/>
  <c r="J537" i="3"/>
  <c r="J838" i="3"/>
  <c r="J339" i="3"/>
  <c r="J741" i="3"/>
  <c r="J565" i="3"/>
  <c r="J870" i="3"/>
  <c r="J603" i="3"/>
  <c r="J234" i="3"/>
  <c r="J810" i="3"/>
  <c r="J237" i="3"/>
  <c r="J817" i="3"/>
  <c r="J859" i="3"/>
  <c r="J755" i="3"/>
  <c r="J866" i="3"/>
  <c r="J922" i="3"/>
  <c r="J886" i="3"/>
  <c r="J759" i="3"/>
  <c r="J411" i="3"/>
  <c r="J528" i="3"/>
  <c r="J263" i="3"/>
  <c r="J415" i="3"/>
  <c r="J1198" i="3"/>
  <c r="J1093" i="3"/>
  <c r="J840" i="3"/>
  <c r="J821" i="3"/>
  <c r="J761" i="3"/>
  <c r="J544" i="3"/>
  <c r="J679" i="3"/>
  <c r="J172" i="3"/>
  <c r="J371" i="3"/>
  <c r="J1016" i="3"/>
  <c r="J139" i="3"/>
  <c r="J1140" i="3"/>
  <c r="J327" i="3"/>
  <c r="J394" i="3"/>
  <c r="J127" i="3"/>
  <c r="J410" i="3"/>
  <c r="J165" i="3"/>
  <c r="J148" i="3"/>
  <c r="J461" i="3"/>
  <c r="J440" i="3"/>
  <c r="J1127" i="3"/>
  <c r="J872" i="3"/>
  <c r="J935" i="3"/>
  <c r="J726" i="3"/>
  <c r="J305" i="3"/>
  <c r="J469" i="3"/>
  <c r="J682" i="3"/>
  <c r="J397" i="3"/>
  <c r="J1059" i="3"/>
  <c r="J70" i="3"/>
  <c r="J157" i="3"/>
  <c r="J940" i="3"/>
  <c r="J943" i="3"/>
  <c r="J730" i="3"/>
  <c r="J1135" i="3"/>
  <c r="J546" i="3"/>
  <c r="J362" i="3"/>
  <c r="J309" i="3"/>
  <c r="J414" i="3"/>
  <c r="J1134" i="3"/>
  <c r="J1193" i="3"/>
  <c r="J180" i="3"/>
  <c r="J91" i="3"/>
  <c r="J876" i="3"/>
  <c r="J470" i="3"/>
  <c r="J150" i="3"/>
  <c r="J828" i="3"/>
  <c r="J569" i="3"/>
  <c r="J1128" i="3"/>
  <c r="J110" i="3"/>
  <c r="J994" i="3"/>
  <c r="J49" i="3"/>
  <c r="J114" i="3"/>
  <c r="J904" i="3"/>
  <c r="J760" i="3"/>
  <c r="J912" i="3"/>
  <c r="J445" i="3"/>
  <c r="J766" i="3"/>
  <c r="J666" i="3"/>
  <c r="J652" i="3"/>
  <c r="J1195" i="3"/>
  <c r="J1038" i="3"/>
  <c r="J689" i="3"/>
  <c r="J1005" i="3"/>
  <c r="J212" i="3"/>
  <c r="J303" i="3"/>
  <c r="J55" i="3"/>
  <c r="J1000" i="3"/>
  <c r="J605" i="3"/>
  <c r="J709" i="3"/>
  <c r="J694" i="3"/>
  <c r="J763" i="3"/>
  <c r="J846" i="3"/>
  <c r="J158" i="3"/>
  <c r="J120" i="3"/>
  <c r="J457" i="3"/>
  <c r="J1113" i="3"/>
  <c r="J1105" i="3"/>
  <c r="J334" i="3"/>
  <c r="J421" i="3"/>
  <c r="J1155" i="3"/>
  <c r="J499" i="3"/>
  <c r="J273" i="3"/>
  <c r="J1086" i="3"/>
  <c r="J241" i="3"/>
  <c r="J319" i="3"/>
  <c r="J944" i="3"/>
  <c r="J700" i="3"/>
  <c r="J778" i="3"/>
  <c r="J1060" i="3"/>
  <c r="J213" i="3"/>
  <c r="J936" i="3"/>
  <c r="J749" i="3"/>
  <c r="J607" i="3"/>
  <c r="J925" i="3"/>
  <c r="J92" i="3"/>
  <c r="J217" i="3"/>
  <c r="J90" i="3"/>
  <c r="J958" i="3"/>
  <c r="J388" i="3"/>
  <c r="J25" i="3"/>
  <c r="J11" i="3"/>
  <c r="J506" i="3"/>
  <c r="J225" i="3"/>
  <c r="J635" i="3"/>
  <c r="J589" i="3"/>
  <c r="J954" i="3"/>
  <c r="J822" i="3"/>
  <c r="J386" i="3"/>
  <c r="J123" i="3"/>
  <c r="J144" i="3"/>
  <c r="J1151" i="3"/>
  <c r="J793" i="3"/>
  <c r="J289" i="3"/>
  <c r="J45" i="3"/>
  <c r="J199" i="3"/>
  <c r="J1121" i="3"/>
  <c r="J244" i="3"/>
  <c r="J649" i="3"/>
  <c r="J767" i="3"/>
  <c r="J1160" i="3"/>
  <c r="J1007" i="3"/>
  <c r="J405" i="3"/>
  <c r="J779" i="3"/>
  <c r="J126" i="3"/>
  <c r="J1210" i="3"/>
  <c r="J1206" i="3"/>
  <c r="J215" i="3"/>
  <c r="J48" i="3"/>
  <c r="J312" i="3"/>
  <c r="J955" i="3"/>
  <c r="J337" i="3"/>
  <c r="J785" i="3"/>
  <c r="J1161" i="3"/>
  <c r="J87" i="3"/>
  <c r="J53" i="3"/>
  <c r="J287" i="3"/>
  <c r="J1018" i="3"/>
  <c r="J46" i="3"/>
  <c r="J86" i="3"/>
  <c r="J713" i="3"/>
  <c r="J736" i="3"/>
  <c r="J72" i="3"/>
  <c r="J95" i="3"/>
  <c r="J33" i="3"/>
  <c r="J858" i="3"/>
  <c r="J782" i="3"/>
  <c r="J304" i="3"/>
  <c r="J1006" i="3"/>
  <c r="J156" i="3"/>
  <c r="J981" i="3"/>
  <c r="J409" i="3"/>
  <c r="J924" i="3"/>
  <c r="J34" i="3"/>
  <c r="J976" i="3"/>
  <c r="J504" i="3"/>
  <c r="J1129" i="3"/>
  <c r="J827" i="3"/>
  <c r="J511" i="3"/>
  <c r="J1063" i="3"/>
  <c r="J168" i="3"/>
  <c r="J398" i="3"/>
  <c r="J360" i="3"/>
  <c r="J137" i="3"/>
  <c r="J56" i="3"/>
  <c r="J769" i="3"/>
  <c r="J497" i="3"/>
  <c r="J1072" i="3"/>
  <c r="J502" i="3"/>
  <c r="J764" i="3"/>
  <c r="J667" i="3"/>
  <c r="J907" i="3"/>
  <c r="J221" i="3"/>
  <c r="J1108" i="3"/>
  <c r="J1178" i="3"/>
  <c r="J613" i="3"/>
  <c r="J777" i="3"/>
  <c r="J617" i="3"/>
  <c r="J979" i="3"/>
  <c r="J887" i="3"/>
  <c r="J112" i="3"/>
  <c r="J301" i="3"/>
  <c r="J627" i="3"/>
  <c r="J526" i="3"/>
  <c r="J739" i="3"/>
  <c r="J182" i="3"/>
  <c r="J310" i="3"/>
  <c r="J906" i="3"/>
  <c r="J934" i="3"/>
  <c r="J28" i="3"/>
  <c r="J889" i="3"/>
  <c r="J794" i="3"/>
  <c r="J1183" i="3"/>
  <c r="J1084" i="3"/>
  <c r="J1143" i="3"/>
  <c r="J651" i="3"/>
  <c r="J804" i="3"/>
  <c r="J1167" i="3"/>
  <c r="J946" i="3"/>
  <c r="J712" i="3"/>
  <c r="J807" i="3"/>
  <c r="J984" i="3"/>
  <c r="J1085" i="3"/>
  <c r="J555" i="3"/>
  <c r="J629" i="3"/>
  <c r="J748" i="3"/>
  <c r="J423" i="3"/>
  <c r="J468" i="3"/>
  <c r="J847" i="3"/>
  <c r="J908" i="3"/>
  <c r="J758" i="3"/>
  <c r="J706" i="3"/>
  <c r="J548" i="3"/>
  <c r="J875" i="3"/>
  <c r="J687" i="3"/>
  <c r="J833" i="3"/>
  <c r="J513" i="3"/>
  <c r="J1047" i="3"/>
  <c r="J844" i="3"/>
  <c r="J418" i="3"/>
  <c r="J909" i="3"/>
  <c r="J966" i="3"/>
  <c r="J224" i="3"/>
  <c r="J773" i="3"/>
  <c r="J357" i="3"/>
  <c r="J245" i="3"/>
  <c r="J353" i="3"/>
  <c r="J210" i="3"/>
  <c r="J77" i="3"/>
  <c r="J284" i="3"/>
  <c r="J917" i="3"/>
  <c r="J772" i="3"/>
  <c r="J1024" i="3"/>
  <c r="J380" i="3"/>
  <c r="J300" i="3"/>
  <c r="J928" i="3"/>
  <c r="J109" i="3"/>
  <c r="J659" i="3"/>
  <c r="J377" i="3"/>
  <c r="J81" i="3"/>
  <c r="J288" i="3"/>
  <c r="J407" i="3"/>
  <c r="J619" i="3"/>
  <c r="J724" i="3"/>
  <c r="J574" i="3"/>
  <c r="J455" i="3"/>
  <c r="J677" i="3"/>
  <c r="J83" i="3"/>
  <c r="J88" i="3"/>
  <c r="J382" i="3"/>
  <c r="J621" i="3"/>
  <c r="J2" i="3"/>
  <c r="J673" i="3"/>
  <c r="J1144" i="3"/>
  <c r="J1054" i="3"/>
  <c r="J1147" i="3"/>
  <c r="J1033" i="3"/>
  <c r="J885" i="3"/>
  <c r="J296" i="3"/>
  <c r="J220" i="3"/>
  <c r="J267" i="3"/>
  <c r="J439" i="3"/>
  <c r="J1117" i="3"/>
  <c r="J756" i="3"/>
  <c r="J950" i="3"/>
  <c r="J428" i="3"/>
  <c r="J1202" i="3"/>
  <c r="J591" i="3"/>
  <c r="J721" i="3"/>
  <c r="J503" i="3"/>
  <c r="J873" i="3"/>
  <c r="J596" i="3"/>
  <c r="J646" i="3"/>
  <c r="J871" i="3"/>
  <c r="J187" i="3"/>
  <c r="J96" i="3"/>
  <c r="J1102" i="3"/>
  <c r="J1078" i="3"/>
  <c r="J957" i="3"/>
  <c r="J543" i="3"/>
  <c r="J262" i="3"/>
  <c r="J59" i="3"/>
  <c r="J44" i="3"/>
  <c r="J189" i="3"/>
  <c r="J1118" i="3"/>
  <c r="J618" i="3"/>
  <c r="J249" i="3"/>
  <c r="J501" i="3"/>
  <c r="J223" i="3"/>
  <c r="J585" i="3"/>
  <c r="J464" i="3"/>
  <c r="J586" i="3"/>
  <c r="J293" i="3"/>
  <c r="J216" i="3"/>
  <c r="J841" i="3"/>
  <c r="J990" i="3"/>
  <c r="J13" i="3"/>
  <c r="J131" i="3"/>
  <c r="J517" i="3"/>
  <c r="J372" i="3"/>
  <c r="J14" i="3"/>
  <c r="J952" i="3"/>
  <c r="J734" i="3"/>
  <c r="J12" i="3"/>
  <c r="J510" i="3"/>
  <c r="J628" i="3"/>
  <c r="J927" i="3"/>
  <c r="J254" i="3"/>
  <c r="J345" i="3"/>
  <c r="J1110" i="3"/>
  <c r="J600" i="3"/>
  <c r="J63" i="3"/>
  <c r="J929" i="3"/>
  <c r="J919" i="3"/>
  <c r="J754" i="3"/>
  <c r="J1073" i="3"/>
  <c r="J183" i="3"/>
  <c r="J892" i="3"/>
  <c r="J775" i="3"/>
  <c r="J816" i="3"/>
  <c r="J466" i="3"/>
  <c r="J242" i="3"/>
  <c r="J1141" i="3"/>
  <c r="J650" i="3"/>
  <c r="J926" i="3"/>
  <c r="J203" i="3"/>
  <c r="J558" i="3"/>
  <c r="J1091" i="3"/>
  <c r="J1172" i="3"/>
  <c r="J701" i="3"/>
  <c r="J395" i="3"/>
  <c r="J877" i="3"/>
  <c r="J1107" i="3"/>
  <c r="J358" i="3"/>
  <c r="J798" i="3"/>
  <c r="J1022" i="3"/>
  <c r="J1120" i="3"/>
  <c r="J1080" i="3"/>
  <c r="J149" i="3"/>
  <c r="J894" i="3"/>
  <c r="J1130" i="3"/>
  <c r="J849" i="3"/>
  <c r="J1044" i="3"/>
  <c r="J472" i="3"/>
  <c r="J429" i="3"/>
  <c r="J540" i="3"/>
  <c r="J147" i="3"/>
  <c r="J862" i="3"/>
  <c r="J578" i="3"/>
  <c r="J1188" i="3"/>
  <c r="J78" i="3"/>
  <c r="J433" i="3"/>
  <c r="J703" i="3"/>
  <c r="J516" i="3"/>
  <c r="J1123" i="3"/>
  <c r="J820" i="3"/>
  <c r="J282" i="3"/>
  <c r="J1156" i="3"/>
  <c r="J985" i="3"/>
  <c r="J164" i="3"/>
  <c r="J462" i="3"/>
  <c r="J67" i="3"/>
  <c r="J977" i="3"/>
  <c r="J265" i="3"/>
  <c r="J107" i="3"/>
  <c r="J74" i="3"/>
  <c r="J130" i="3"/>
  <c r="J564" i="3"/>
  <c r="J23" i="3"/>
  <c r="J731" i="3"/>
  <c r="J903" i="3"/>
  <c r="J1042" i="3"/>
  <c r="J1055" i="3"/>
  <c r="J1048" i="3"/>
  <c r="J154" i="3"/>
  <c r="J365" i="3"/>
  <c r="J133" i="3"/>
  <c r="J1058" i="3"/>
  <c r="J1116" i="3"/>
  <c r="J786" i="3"/>
  <c r="J881" i="3"/>
  <c r="J419" i="3"/>
  <c r="J159" i="3"/>
  <c r="J835" i="3"/>
  <c r="J132" i="3"/>
  <c r="J1168" i="3"/>
  <c r="J99" i="3"/>
  <c r="J205" i="3"/>
  <c r="J477" i="3"/>
  <c r="J690" i="3"/>
  <c r="J1031" i="3"/>
  <c r="J553" i="3"/>
  <c r="J592" i="3"/>
  <c r="J606" i="3"/>
  <c r="J512" i="3"/>
  <c r="J336" i="3"/>
  <c r="J970" i="3"/>
  <c r="J434" i="3"/>
  <c r="J231" i="3"/>
  <c r="J581" i="3"/>
  <c r="J349" i="3"/>
  <c r="J173" i="3"/>
  <c r="J818" i="3"/>
  <c r="J991" i="3"/>
  <c r="J1208" i="3"/>
  <c r="J702" i="3"/>
  <c r="J115" i="3"/>
  <c r="J806" i="3"/>
  <c r="J41" i="3"/>
  <c r="J493" i="3"/>
  <c r="J1004" i="3"/>
  <c r="J864" i="3"/>
  <c r="J385" i="3"/>
  <c r="J1082" i="3"/>
  <c r="J880" i="3"/>
  <c r="J580" i="3"/>
  <c r="J636" i="3"/>
  <c r="J959" i="3"/>
  <c r="J704" i="3"/>
  <c r="J729" i="3"/>
  <c r="J436" i="3"/>
  <c r="J519" i="3"/>
  <c r="J665" i="3"/>
  <c r="J374" i="3"/>
  <c r="J901" i="3"/>
  <c r="J602" i="3"/>
  <c r="J1017" i="3"/>
  <c r="J35" i="3"/>
  <c r="J960" i="3"/>
  <c r="J141" i="3"/>
  <c r="J324" i="3"/>
  <c r="J229" i="3"/>
  <c r="J178" i="3"/>
  <c r="J723" i="3"/>
  <c r="J815" i="3"/>
  <c r="J369" i="3"/>
  <c r="J1145" i="3"/>
  <c r="J527" i="3"/>
  <c r="J717" i="3"/>
  <c r="J162" i="3"/>
  <c r="J963" i="3"/>
  <c r="J399" i="3"/>
  <c r="J874" i="3"/>
  <c r="J151" i="3"/>
  <c r="J599" i="3"/>
  <c r="J276" i="3"/>
  <c r="J622" i="3"/>
  <c r="J1190" i="3"/>
  <c r="J1200" i="3"/>
  <c r="J961" i="3"/>
  <c r="J674" i="3"/>
  <c r="J771" i="3"/>
  <c r="J491" i="3"/>
  <c r="J417" i="3"/>
  <c r="J465" i="3"/>
  <c r="J485" i="3"/>
  <c r="J824" i="3"/>
  <c r="J340" i="3"/>
  <c r="J645" i="3"/>
  <c r="J444" i="3"/>
  <c r="J376" i="3"/>
  <c r="J890" i="3"/>
  <c r="J1053" i="3"/>
  <c r="J495" i="3"/>
  <c r="J800" i="3"/>
  <c r="J675" i="3"/>
  <c r="J1035" i="3"/>
  <c r="J716" i="3"/>
  <c r="J770" i="3"/>
  <c r="J708" i="3"/>
  <c r="J1083" i="3"/>
  <c r="J608" i="3"/>
  <c r="J900" i="3"/>
  <c r="J290" i="3"/>
  <c r="J1157" i="3"/>
  <c r="J30" i="3"/>
  <c r="J1196" i="3"/>
  <c r="J801" i="3"/>
  <c r="J590" i="3"/>
  <c r="J214" i="3"/>
  <c r="J471" i="3"/>
  <c r="J878" i="3"/>
  <c r="J1045" i="3"/>
  <c r="J776" i="3"/>
  <c r="J583" i="3"/>
  <c r="J1112" i="3"/>
  <c r="J171" i="3"/>
  <c r="J342" i="3"/>
  <c r="J535" i="3"/>
  <c r="J375" i="3"/>
  <c r="J648" i="3"/>
  <c r="J681" i="3"/>
  <c r="J280" i="3"/>
  <c r="J848" i="3"/>
  <c r="J100" i="3"/>
  <c r="J853" i="3"/>
  <c r="J73" i="3"/>
  <c r="J554" i="3"/>
  <c r="J1211" i="3"/>
  <c r="J655" i="3"/>
  <c r="J333" i="3"/>
  <c r="J768" i="3"/>
  <c r="J1204" i="3"/>
  <c r="J843" i="3"/>
  <c r="J992" i="3"/>
  <c r="J490" i="3"/>
  <c r="J834" i="3"/>
  <c r="J718" i="3"/>
  <c r="J654" i="3"/>
  <c r="J685" i="3"/>
  <c r="J616" i="3"/>
  <c r="J268" i="3"/>
  <c r="J202" i="3"/>
  <c r="J373" i="3"/>
  <c r="J996" i="3"/>
  <c r="J124" i="3"/>
  <c r="J911" i="3"/>
  <c r="J425" i="3"/>
  <c r="J632" i="3"/>
  <c r="J668" i="3"/>
  <c r="J259" i="3"/>
  <c r="J956" i="3"/>
  <c r="J609" i="3"/>
  <c r="J644" i="3"/>
  <c r="J698" i="3"/>
  <c r="J1203" i="3"/>
  <c r="J598" i="3"/>
  <c r="J430" i="3"/>
  <c r="J264" i="3"/>
  <c r="J643" i="3"/>
  <c r="J1049" i="3"/>
  <c r="J753" i="3"/>
  <c r="J625" i="3"/>
  <c r="J561" i="3"/>
  <c r="J209" i="3"/>
  <c r="J529" i="3"/>
  <c r="J346" i="3"/>
  <c r="J348" i="3"/>
  <c r="J1057" i="3"/>
  <c r="J788" i="3"/>
  <c r="J441" i="3"/>
  <c r="J1186" i="3"/>
  <c r="J945" i="3"/>
  <c r="J545" i="3"/>
  <c r="J850" i="3"/>
  <c r="J998" i="3"/>
  <c r="J1197" i="3"/>
  <c r="J1013" i="3"/>
  <c r="J531" i="3"/>
  <c r="J869" i="3"/>
  <c r="J291" i="3"/>
  <c r="J1074" i="3"/>
  <c r="J672" i="3"/>
  <c r="J257" i="3"/>
  <c r="J218" i="3"/>
  <c r="J1012" i="3"/>
  <c r="J1046" i="3"/>
  <c r="J350" i="3"/>
  <c r="J431" i="3"/>
  <c r="J307" i="3"/>
  <c r="J317" i="3"/>
  <c r="J75" i="3"/>
  <c r="J774" i="3"/>
  <c r="J192" i="3"/>
  <c r="J20" i="3"/>
  <c r="J658" i="3"/>
  <c r="J854" i="3"/>
  <c r="J746" i="3"/>
  <c r="J898" i="3"/>
  <c r="J1182" i="3"/>
  <c r="J1184" i="3"/>
  <c r="J916" i="3"/>
  <c r="J195" i="3"/>
  <c r="J1066" i="3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Q2" i="2"/>
  <c r="V2" i="1" a="1"/>
  <c r="V2" i="1" s="1"/>
  <c r="V3" i="1" a="1"/>
  <c r="V3" i="1" s="1"/>
  <c r="V4" i="1" a="1"/>
  <c r="V4" i="1"/>
  <c r="V5" i="1" a="1"/>
  <c r="V5" i="1"/>
  <c r="V6" i="1" a="1"/>
  <c r="V6" i="1" s="1"/>
  <c r="V7" i="1" a="1"/>
  <c r="V7" i="1" s="1"/>
  <c r="V8" i="1" a="1"/>
  <c r="V8" i="1"/>
  <c r="V9" i="1" a="1"/>
  <c r="V9" i="1" s="1"/>
  <c r="V10" i="1" a="1"/>
  <c r="V10" i="1" s="1"/>
  <c r="V11" i="1" a="1"/>
  <c r="V11" i="1" s="1"/>
  <c r="V12" i="1" a="1"/>
  <c r="V12" i="1"/>
  <c r="V13" i="1" a="1"/>
  <c r="V13" i="1" s="1"/>
  <c r="V14" i="1" a="1"/>
  <c r="V14" i="1" s="1"/>
  <c r="V15" i="1" a="1"/>
  <c r="V15" i="1" s="1"/>
  <c r="V16" i="1" a="1"/>
  <c r="V16" i="1"/>
  <c r="V17" i="1" a="1"/>
  <c r="V17" i="1"/>
  <c r="V18" i="1" a="1"/>
  <c r="V18" i="1" s="1"/>
  <c r="V19" i="1" a="1"/>
  <c r="V19" i="1" s="1"/>
  <c r="V20" i="1" a="1"/>
  <c r="V20" i="1"/>
  <c r="V21" i="1" a="1"/>
  <c r="V21" i="1"/>
  <c r="V22" i="1" a="1"/>
  <c r="V22" i="1" s="1"/>
  <c r="V23" i="1" a="1"/>
  <c r="V23" i="1" s="1"/>
  <c r="V24" i="1" a="1"/>
  <c r="V24" i="1"/>
  <c r="V25" i="1" a="1"/>
  <c r="V25" i="1" s="1"/>
  <c r="V26" i="1" a="1"/>
  <c r="V26" i="1" s="1"/>
  <c r="V27" i="1" a="1"/>
  <c r="V27" i="1" s="1"/>
  <c r="V28" i="1" a="1"/>
  <c r="V28" i="1"/>
  <c r="V29" i="1" a="1"/>
  <c r="V29" i="1" s="1"/>
  <c r="V30" i="1" a="1"/>
  <c r="V30" i="1" s="1"/>
  <c r="V31" i="1" a="1"/>
  <c r="V31" i="1" s="1"/>
  <c r="V32" i="1" a="1"/>
  <c r="V32" i="1"/>
  <c r="V33" i="1" a="1"/>
  <c r="V33" i="1" s="1"/>
  <c r="V34" i="1" a="1"/>
  <c r="V34" i="1" s="1"/>
  <c r="V35" i="1" a="1"/>
  <c r="V35" i="1" s="1"/>
  <c r="V36" i="1" a="1"/>
  <c r="V36" i="1"/>
  <c r="V37" i="1" a="1"/>
  <c r="V37" i="1"/>
  <c r="V38" i="1" a="1"/>
  <c r="V38" i="1" s="1"/>
  <c r="V39" i="1" a="1"/>
  <c r="V39" i="1" s="1"/>
  <c r="V40" i="1" a="1"/>
  <c r="V40" i="1"/>
  <c r="V41" i="1" a="1"/>
  <c r="V41" i="1" s="1"/>
  <c r="V42" i="1" a="1"/>
  <c r="V42" i="1" s="1"/>
  <c r="V43" i="1" a="1"/>
  <c r="V43" i="1" s="1"/>
  <c r="V44" i="1" a="1"/>
  <c r="V44" i="1"/>
  <c r="V45" i="1" a="1"/>
  <c r="V45" i="1" s="1"/>
  <c r="V46" i="1" a="1"/>
  <c r="V46" i="1" s="1"/>
  <c r="V47" i="1" a="1"/>
  <c r="V47" i="1" s="1"/>
  <c r="V48" i="1" a="1"/>
  <c r="V48" i="1"/>
  <c r="V49" i="1" a="1"/>
  <c r="V49" i="1"/>
  <c r="V50" i="1" a="1"/>
  <c r="V50" i="1" s="1"/>
  <c r="V51" i="1" a="1"/>
  <c r="V51" i="1" s="1"/>
  <c r="V52" i="1" a="1"/>
  <c r="V52" i="1" s="1"/>
  <c r="V53" i="1" a="1"/>
  <c r="V53" i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/>
  <c r="V61" i="1" a="1"/>
  <c r="V61" i="1" s="1"/>
  <c r="V62" i="1" a="1"/>
  <c r="V62" i="1" s="1"/>
  <c r="V63" i="1" a="1"/>
  <c r="V63" i="1" s="1"/>
  <c r="V64" i="1" a="1"/>
  <c r="V64" i="1"/>
  <c r="V65" i="1" a="1"/>
  <c r="V65" i="1"/>
  <c r="V66" i="1" a="1"/>
  <c r="V66" i="1" s="1"/>
  <c r="V67" i="1" a="1"/>
  <c r="V67" i="1" s="1"/>
  <c r="V68" i="1" a="1"/>
  <c r="V68" i="1" s="1"/>
  <c r="V69" i="1" a="1"/>
  <c r="V69" i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/>
  <c r="V77" i="1" a="1"/>
  <c r="V77" i="1" s="1"/>
  <c r="V78" i="1" a="1"/>
  <c r="V78" i="1" s="1"/>
  <c r="V79" i="1" a="1"/>
  <c r="V79" i="1" s="1"/>
  <c r="V80" i="1" a="1"/>
  <c r="V80" i="1"/>
  <c r="V81" i="1" a="1"/>
  <c r="V81" i="1"/>
  <c r="V82" i="1" a="1"/>
  <c r="V82" i="1" s="1"/>
  <c r="V83" i="1" a="1"/>
  <c r="V83" i="1" s="1"/>
  <c r="V84" i="1" a="1"/>
  <c r="V84" i="1" s="1"/>
  <c r="V85" i="1" a="1"/>
  <c r="V85" i="1"/>
  <c r="V86" i="1" a="1"/>
  <c r="V86" i="1" s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/>
  <c r="V93" i="1" a="1"/>
  <c r="V93" i="1" s="1"/>
  <c r="V94" i="1" a="1"/>
  <c r="V94" i="1" s="1"/>
  <c r="V95" i="1" a="1"/>
  <c r="V95" i="1" s="1"/>
  <c r="V96" i="1" a="1"/>
  <c r="V96" i="1"/>
  <c r="V97" i="1" a="1"/>
  <c r="V97" i="1"/>
  <c r="V98" i="1" a="1"/>
  <c r="V98" i="1" s="1"/>
  <c r="V99" i="1" a="1"/>
  <c r="V99" i="1" s="1"/>
  <c r="V100" i="1" a="1"/>
  <c r="V100" i="1" s="1"/>
  <c r="V101" i="1" a="1"/>
  <c r="V101" i="1"/>
  <c r="V102" i="1" a="1"/>
  <c r="V102" i="1" s="1"/>
  <c r="V103" i="1" a="1"/>
  <c r="V103" i="1" s="1"/>
  <c r="V104" i="1" a="1"/>
  <c r="V104" i="1" s="1"/>
  <c r="V105" i="1" a="1"/>
  <c r="V105" i="1" s="1"/>
  <c r="V106" i="1" a="1"/>
  <c r="V106" i="1" s="1"/>
  <c r="V107" i="1" a="1"/>
  <c r="V107" i="1" s="1"/>
  <c r="V108" i="1" a="1"/>
  <c r="V108" i="1"/>
  <c r="V109" i="1" a="1"/>
  <c r="V109" i="1" s="1"/>
  <c r="V110" i="1" a="1"/>
  <c r="V110" i="1" s="1"/>
  <c r="V111" i="1" a="1"/>
  <c r="V111" i="1" s="1"/>
  <c r="V112" i="1" a="1"/>
  <c r="V112" i="1"/>
  <c r="V113" i="1" a="1"/>
  <c r="V113" i="1"/>
  <c r="V114" i="1" a="1"/>
  <c r="V114" i="1" s="1"/>
  <c r="V115" i="1" a="1"/>
  <c r="V115" i="1" s="1"/>
  <c r="V116" i="1" a="1"/>
  <c r="V116" i="1" s="1"/>
  <c r="V117" i="1" a="1"/>
  <c r="V117" i="1"/>
  <c r="V118" i="1" a="1"/>
  <c r="V118" i="1" s="1"/>
  <c r="V119" i="1" a="1"/>
  <c r="V119" i="1" s="1"/>
  <c r="V120" i="1" a="1"/>
  <c r="V120" i="1"/>
  <c r="V121" i="1" a="1"/>
  <c r="V121" i="1" s="1"/>
  <c r="V122" i="1" a="1"/>
  <c r="V122" i="1" s="1"/>
  <c r="V123" i="1" a="1"/>
  <c r="V123" i="1" s="1"/>
  <c r="V124" i="1" a="1"/>
  <c r="V124" i="1" s="1"/>
  <c r="V125" i="1" a="1"/>
  <c r="V125" i="1"/>
  <c r="V126" i="1" a="1"/>
  <c r="V126" i="1" s="1"/>
  <c r="V127" i="1" a="1"/>
  <c r="V127" i="1" s="1"/>
  <c r="V128" i="1" a="1"/>
  <c r="V128" i="1"/>
  <c r="V129" i="1" a="1"/>
  <c r="V129" i="1" s="1"/>
  <c r="V130" i="1" a="1"/>
  <c r="V130" i="1" s="1"/>
  <c r="V131" i="1" a="1"/>
  <c r="V131" i="1" s="1"/>
  <c r="V132" i="1" a="1"/>
  <c r="V132" i="1" s="1"/>
  <c r="V133" i="1" a="1"/>
  <c r="V133" i="1"/>
  <c r="V134" i="1" a="1"/>
  <c r="V134" i="1" s="1"/>
  <c r="V135" i="1" a="1"/>
  <c r="V135" i="1" s="1"/>
  <c r="V136" i="1" a="1"/>
  <c r="V136" i="1"/>
  <c r="V137" i="1" a="1"/>
  <c r="V137" i="1" s="1"/>
  <c r="V138" i="1" a="1"/>
  <c r="V138" i="1" s="1"/>
  <c r="V139" i="1" a="1"/>
  <c r="V139" i="1" s="1"/>
  <c r="V140" i="1" a="1"/>
  <c r="V140" i="1"/>
  <c r="V141" i="1" a="1"/>
  <c r="V141" i="1"/>
  <c r="V142" i="1" a="1"/>
  <c r="V142" i="1" s="1"/>
  <c r="V143" i="1" a="1"/>
  <c r="V143" i="1" s="1"/>
  <c r="V144" i="1" a="1"/>
  <c r="V144" i="1"/>
  <c r="V145" i="1" a="1"/>
  <c r="V145" i="1"/>
  <c r="V146" i="1" a="1"/>
  <c r="V146" i="1" s="1"/>
  <c r="V147" i="1" a="1"/>
  <c r="V147" i="1" s="1"/>
  <c r="V148" i="1" a="1"/>
  <c r="V148" i="1" s="1"/>
  <c r="V149" i="1" a="1"/>
  <c r="V149" i="1"/>
  <c r="V150" i="1" a="1"/>
  <c r="V150" i="1" s="1"/>
  <c r="V151" i="1" a="1"/>
  <c r="V151" i="1" s="1"/>
  <c r="V152" i="1" a="1"/>
  <c r="V152" i="1"/>
  <c r="V153" i="1" a="1"/>
  <c r="V153" i="1" s="1"/>
  <c r="V154" i="1" a="1"/>
  <c r="V154" i="1" s="1"/>
  <c r="V155" i="1" a="1"/>
  <c r="V155" i="1" s="1"/>
  <c r="V156" i="1" a="1"/>
  <c r="V156" i="1" s="1"/>
  <c r="V157" i="1" a="1"/>
  <c r="V157" i="1"/>
  <c r="V158" i="1" a="1"/>
  <c r="V158" i="1" s="1"/>
  <c r="V159" i="1" a="1"/>
  <c r="V159" i="1" s="1"/>
  <c r="V160" i="1" a="1"/>
  <c r="V160" i="1"/>
  <c r="V161" i="1" a="1"/>
  <c r="V161" i="1" s="1"/>
  <c r="V162" i="1" a="1"/>
  <c r="V162" i="1" s="1"/>
  <c r="V163" i="1" a="1"/>
  <c r="V163" i="1" s="1"/>
  <c r="V164" i="1" a="1"/>
  <c r="V164" i="1" s="1"/>
  <c r="V165" i="1" a="1"/>
  <c r="V165" i="1"/>
  <c r="V166" i="1" a="1"/>
  <c r="V166" i="1" s="1"/>
  <c r="V167" i="1" a="1"/>
  <c r="V167" i="1" s="1"/>
  <c r="V168" i="1" a="1"/>
  <c r="V168" i="1"/>
  <c r="V169" i="1" a="1"/>
  <c r="V169" i="1" s="1"/>
  <c r="V170" i="1" a="1"/>
  <c r="V170" i="1" s="1"/>
  <c r="V171" i="1" a="1"/>
  <c r="V171" i="1" s="1"/>
  <c r="V172" i="1" a="1"/>
  <c r="V172" i="1"/>
  <c r="V173" i="1" a="1"/>
  <c r="V173" i="1"/>
  <c r="V174" i="1" a="1"/>
  <c r="V174" i="1" s="1"/>
  <c r="V175" i="1" a="1"/>
  <c r="V175" i="1" s="1"/>
  <c r="V176" i="1" a="1"/>
  <c r="V176" i="1"/>
  <c r="V177" i="1" a="1"/>
  <c r="V177" i="1" s="1"/>
  <c r="V178" i="1" a="1"/>
  <c r="V178" i="1" s="1"/>
  <c r="V179" i="1" a="1"/>
  <c r="V179" i="1" s="1"/>
  <c r="V180" i="1" a="1"/>
  <c r="V180" i="1" s="1"/>
  <c r="V181" i="1" a="1"/>
  <c r="V181" i="1"/>
  <c r="V182" i="1" a="1"/>
  <c r="V182" i="1" s="1"/>
  <c r="V183" i="1" a="1"/>
  <c r="V183" i="1" s="1"/>
  <c r="V184" i="1" a="1"/>
  <c r="V184" i="1"/>
  <c r="V185" i="1" a="1"/>
  <c r="V185" i="1" s="1"/>
  <c r="V186" i="1" a="1"/>
  <c r="V186" i="1" s="1"/>
  <c r="V187" i="1" a="1"/>
  <c r="V187" i="1" s="1"/>
  <c r="V188" i="1" a="1"/>
  <c r="V188" i="1" s="1"/>
  <c r="V189" i="1" a="1"/>
  <c r="V189" i="1"/>
  <c r="V190" i="1" a="1"/>
  <c r="V190" i="1" s="1"/>
  <c r="V191" i="1" a="1"/>
  <c r="V191" i="1" s="1"/>
  <c r="V192" i="1" a="1"/>
  <c r="V192" i="1"/>
  <c r="V193" i="1" a="1"/>
  <c r="V193" i="1" s="1"/>
  <c r="V194" i="1" a="1"/>
  <c r="V194" i="1" s="1"/>
  <c r="V195" i="1" a="1"/>
  <c r="V195" i="1" s="1"/>
  <c r="V196" i="1" a="1"/>
  <c r="V196" i="1" s="1"/>
  <c r="V197" i="1" a="1"/>
  <c r="V197" i="1"/>
  <c r="V198" i="1" a="1"/>
  <c r="V198" i="1" s="1"/>
  <c r="V199" i="1" a="1"/>
  <c r="V199" i="1" s="1"/>
  <c r="V200" i="1" a="1"/>
  <c r="V200" i="1"/>
  <c r="V201" i="1" a="1"/>
  <c r="V201" i="1" s="1"/>
  <c r="V202" i="1" a="1"/>
  <c r="V202" i="1" s="1"/>
  <c r="V203" i="1" a="1"/>
  <c r="V203" i="1" s="1"/>
  <c r="V204" i="1" a="1"/>
  <c r="V204" i="1"/>
  <c r="V205" i="1" a="1"/>
  <c r="V205" i="1"/>
  <c r="V206" i="1" a="1"/>
  <c r="V206" i="1" s="1"/>
  <c r="V207" i="1" a="1"/>
  <c r="V207" i="1" s="1"/>
  <c r="V208" i="1" a="1"/>
  <c r="V208" i="1"/>
  <c r="V209" i="1" a="1"/>
  <c r="V209" i="1"/>
  <c r="V210" i="1" a="1"/>
  <c r="V210" i="1" s="1"/>
  <c r="V211" i="1" a="1"/>
  <c r="V211" i="1" s="1"/>
  <c r="V212" i="1" a="1"/>
  <c r="V212" i="1" s="1"/>
  <c r="V213" i="1" a="1"/>
  <c r="V213" i="1"/>
  <c r="V214" i="1" a="1"/>
  <c r="V214" i="1" s="1"/>
  <c r="V215" i="1" a="1"/>
  <c r="V215" i="1" s="1"/>
  <c r="V216" i="1" a="1"/>
  <c r="V216" i="1"/>
  <c r="V217" i="1" a="1"/>
  <c r="V217" i="1" s="1"/>
  <c r="V218" i="1" a="1"/>
  <c r="V218" i="1" s="1"/>
  <c r="V219" i="1" a="1"/>
  <c r="V219" i="1" s="1"/>
  <c r="V220" i="1" a="1"/>
  <c r="V220" i="1" s="1"/>
  <c r="V221" i="1" a="1"/>
  <c r="V221" i="1"/>
  <c r="V222" i="1" a="1"/>
  <c r="V222" i="1" s="1"/>
  <c r="V223" i="1" a="1"/>
  <c r="V223" i="1" s="1"/>
  <c r="V224" i="1" a="1"/>
  <c r="V224" i="1"/>
  <c r="V225" i="1" a="1"/>
  <c r="V225" i="1" s="1"/>
  <c r="V226" i="1" a="1"/>
  <c r="V226" i="1" s="1"/>
  <c r="V227" i="1" a="1"/>
  <c r="V227" i="1" s="1"/>
  <c r="V228" i="1" a="1"/>
  <c r="V228" i="1" s="1"/>
  <c r="V229" i="1" a="1"/>
  <c r="V229" i="1"/>
  <c r="V230" i="1" a="1"/>
  <c r="V230" i="1" s="1"/>
  <c r="V231" i="1" a="1"/>
  <c r="V231" i="1" s="1"/>
  <c r="V232" i="1" a="1"/>
  <c r="V232" i="1"/>
  <c r="V233" i="1" a="1"/>
  <c r="V233" i="1" s="1"/>
  <c r="V234" i="1" a="1"/>
  <c r="V234" i="1" s="1"/>
  <c r="V235" i="1" a="1"/>
  <c r="V235" i="1" s="1"/>
  <c r="V236" i="1" a="1"/>
  <c r="V236" i="1" s="1"/>
  <c r="V237" i="1" a="1"/>
  <c r="V237" i="1"/>
  <c r="V238" i="1" a="1"/>
  <c r="V238" i="1" s="1"/>
  <c r="V239" i="1" a="1"/>
  <c r="V239" i="1" s="1"/>
  <c r="V240" i="1" a="1"/>
  <c r="V240" i="1"/>
  <c r="V241" i="1" a="1"/>
  <c r="V241" i="1" s="1"/>
  <c r="V242" i="1" a="1"/>
  <c r="V242" i="1" s="1"/>
  <c r="V243" i="1" a="1"/>
  <c r="V243" i="1" s="1"/>
  <c r="V244" i="1" a="1"/>
  <c r="V244" i="1" s="1"/>
  <c r="V245" i="1" a="1"/>
  <c r="V245" i="1"/>
  <c r="V246" i="1" a="1"/>
  <c r="V246" i="1" s="1"/>
  <c r="V247" i="1" a="1"/>
  <c r="V247" i="1" s="1"/>
  <c r="V248" i="1" a="1"/>
  <c r="V248" i="1"/>
  <c r="V249" i="1" a="1"/>
  <c r="V249" i="1" s="1"/>
  <c r="V250" i="1" a="1"/>
  <c r="V250" i="1" s="1"/>
  <c r="V251" i="1" a="1"/>
  <c r="V251" i="1" s="1"/>
  <c r="V252" i="1" a="1"/>
  <c r="V252" i="1"/>
  <c r="V253" i="1" a="1"/>
  <c r="V253" i="1"/>
  <c r="V254" i="1" a="1"/>
  <c r="V254" i="1" s="1"/>
  <c r="V255" i="1" a="1"/>
  <c r="V255" i="1" s="1"/>
  <c r="V256" i="1" a="1"/>
  <c r="V256" i="1"/>
  <c r="V257" i="1" a="1"/>
  <c r="V257" i="1"/>
  <c r="V258" i="1" a="1"/>
  <c r="V258" i="1" s="1"/>
  <c r="V259" i="1" a="1"/>
  <c r="V259" i="1" s="1"/>
  <c r="V260" i="1" a="1"/>
  <c r="V260" i="1" s="1"/>
  <c r="V261" i="1" a="1"/>
  <c r="V261" i="1"/>
  <c r="V262" i="1" a="1"/>
  <c r="V262" i="1" s="1"/>
  <c r="V263" i="1" a="1"/>
  <c r="V263" i="1" s="1"/>
  <c r="V264" i="1" a="1"/>
  <c r="V264" i="1"/>
  <c r="V265" i="1" a="1"/>
  <c r="V265" i="1" s="1"/>
  <c r="V266" i="1" a="1"/>
  <c r="V266" i="1" s="1"/>
  <c r="V267" i="1" a="1"/>
  <c r="V267" i="1" s="1"/>
  <c r="V268" i="1" a="1"/>
  <c r="V268" i="1"/>
  <c r="V269" i="1" a="1"/>
  <c r="V269" i="1"/>
  <c r="V270" i="1" a="1"/>
  <c r="V270" i="1" s="1"/>
  <c r="V271" i="1" a="1"/>
  <c r="V271" i="1" s="1"/>
  <c r="V272" i="1" a="1"/>
  <c r="V272" i="1"/>
  <c r="V273" i="1" a="1"/>
  <c r="V273" i="1"/>
  <c r="V274" i="1" a="1"/>
  <c r="V274" i="1" s="1"/>
  <c r="V275" i="1" a="1"/>
  <c r="V275" i="1" s="1"/>
  <c r="V276" i="1" a="1"/>
  <c r="V276" i="1" s="1"/>
  <c r="V277" i="1" a="1"/>
  <c r="V277" i="1"/>
  <c r="V278" i="1" a="1"/>
  <c r="V278" i="1" s="1"/>
  <c r="V279" i="1" a="1"/>
  <c r="V279" i="1" s="1"/>
  <c r="V280" i="1" a="1"/>
  <c r="V280" i="1"/>
  <c r="V281" i="1" a="1"/>
  <c r="V281" i="1" s="1"/>
  <c r="V282" i="1" a="1"/>
  <c r="V282" i="1" s="1"/>
  <c r="V283" i="1" a="1"/>
  <c r="V283" i="1" s="1"/>
  <c r="V284" i="1" a="1"/>
  <c r="V284" i="1" s="1"/>
  <c r="V285" i="1" a="1"/>
  <c r="V285" i="1"/>
  <c r="V286" i="1" a="1"/>
  <c r="V286" i="1" s="1"/>
  <c r="V287" i="1" a="1"/>
  <c r="V287" i="1" s="1"/>
  <c r="V288" i="1" a="1"/>
  <c r="V288" i="1"/>
  <c r="V289" i="1" a="1"/>
  <c r="V289" i="1" s="1"/>
  <c r="V290" i="1" a="1"/>
  <c r="V290" i="1" s="1"/>
  <c r="V291" i="1" a="1"/>
  <c r="V291" i="1" s="1"/>
  <c r="V292" i="1" a="1"/>
  <c r="V292" i="1" s="1"/>
  <c r="V293" i="1" a="1"/>
  <c r="V293" i="1"/>
  <c r="V294" i="1" a="1"/>
  <c r="V294" i="1" s="1"/>
  <c r="V295" i="1" a="1"/>
  <c r="V295" i="1" s="1"/>
  <c r="V296" i="1" a="1"/>
  <c r="V296" i="1"/>
  <c r="V297" i="1" a="1"/>
  <c r="V297" i="1" s="1"/>
  <c r="V298" i="1" a="1"/>
  <c r="V298" i="1" s="1"/>
  <c r="V299" i="1" a="1"/>
  <c r="V299" i="1" s="1"/>
  <c r="V300" i="1" a="1"/>
  <c r="V300" i="1" s="1"/>
  <c r="V301" i="1" a="1"/>
  <c r="V301" i="1"/>
  <c r="V302" i="1" a="1"/>
  <c r="V302" i="1" s="1"/>
  <c r="V303" i="1" a="1"/>
  <c r="V303" i="1" s="1"/>
  <c r="V304" i="1" a="1"/>
  <c r="V304" i="1"/>
  <c r="V305" i="1" a="1"/>
  <c r="V305" i="1" s="1"/>
  <c r="V306" i="1" a="1"/>
  <c r="V306" i="1" s="1"/>
  <c r="V307" i="1" a="1"/>
  <c r="V307" i="1" s="1"/>
  <c r="V308" i="1" a="1"/>
  <c r="V308" i="1" s="1"/>
  <c r="V309" i="1" a="1"/>
  <c r="V309" i="1"/>
  <c r="V310" i="1" a="1"/>
  <c r="V310" i="1" s="1"/>
  <c r="V311" i="1" a="1"/>
  <c r="V311" i="1" s="1"/>
  <c r="V312" i="1" a="1"/>
  <c r="V312" i="1"/>
  <c r="V313" i="1" a="1"/>
  <c r="V313" i="1" s="1"/>
  <c r="V314" i="1" a="1"/>
  <c r="V314" i="1" s="1"/>
  <c r="V315" i="1" a="1"/>
  <c r="V315" i="1" s="1"/>
  <c r="V316" i="1" a="1"/>
  <c r="V316" i="1" s="1"/>
  <c r="V317" i="1" a="1"/>
  <c r="V317" i="1"/>
  <c r="V318" i="1" a="1"/>
  <c r="V318" i="1" s="1"/>
  <c r="V319" i="1" a="1"/>
  <c r="V319" i="1" s="1"/>
  <c r="V320" i="1" a="1"/>
  <c r="V320" i="1"/>
  <c r="V321" i="1" a="1"/>
  <c r="V321" i="1" s="1"/>
  <c r="V322" i="1" a="1"/>
  <c r="V322" i="1" s="1"/>
  <c r="V323" i="1" a="1"/>
  <c r="V323" i="1" s="1"/>
  <c r="V324" i="1" a="1"/>
  <c r="V324" i="1" s="1"/>
  <c r="V325" i="1" a="1"/>
  <c r="V325" i="1"/>
  <c r="V326" i="1" a="1"/>
  <c r="V326" i="1" s="1"/>
  <c r="V327" i="1" a="1"/>
  <c r="V327" i="1" s="1"/>
  <c r="V328" i="1" a="1"/>
  <c r="V328" i="1"/>
  <c r="V329" i="1" a="1"/>
  <c r="V329" i="1" s="1"/>
  <c r="V330" i="1" a="1"/>
  <c r="V330" i="1" s="1"/>
  <c r="V331" i="1" a="1"/>
  <c r="V331" i="1" s="1"/>
  <c r="V332" i="1" a="1"/>
  <c r="V332" i="1"/>
  <c r="V333" i="1" a="1"/>
  <c r="V333" i="1"/>
  <c r="V334" i="1" a="1"/>
  <c r="V334" i="1" s="1"/>
  <c r="V335" i="1" a="1"/>
  <c r="V335" i="1" s="1"/>
  <c r="V336" i="1" a="1"/>
  <c r="V336" i="1"/>
  <c r="V337" i="1" a="1"/>
  <c r="V337" i="1"/>
  <c r="V338" i="1" a="1"/>
  <c r="V338" i="1" s="1"/>
  <c r="V339" i="1" a="1"/>
  <c r="V339" i="1" s="1"/>
  <c r="V340" i="1" a="1"/>
  <c r="V340" i="1" s="1"/>
  <c r="V341" i="1" a="1"/>
  <c r="V341" i="1"/>
  <c r="V342" i="1" a="1"/>
  <c r="V342" i="1"/>
  <c r="V343" i="1" a="1"/>
  <c r="V343" i="1"/>
  <c r="V344" i="1" a="1"/>
  <c r="V344" i="1" s="1"/>
  <c r="V345" i="1" a="1"/>
  <c r="V345" i="1"/>
  <c r="V346" i="1" a="1"/>
  <c r="V346" i="1" s="1"/>
  <c r="V347" i="1" a="1"/>
  <c r="V347" i="1"/>
  <c r="V348" i="1" a="1"/>
  <c r="V348" i="1" s="1"/>
  <c r="V349" i="1" a="1"/>
  <c r="V349" i="1"/>
  <c r="V350" i="1" a="1"/>
  <c r="V350" i="1"/>
  <c r="V351" i="1" a="1"/>
  <c r="V351" i="1"/>
  <c r="V352" i="1" a="1"/>
  <c r="V352" i="1" s="1"/>
  <c r="V353" i="1" a="1"/>
  <c r="V353" i="1"/>
  <c r="V354" i="1" a="1"/>
  <c r="V354" i="1" s="1"/>
  <c r="V355" i="1" a="1"/>
  <c r="V355" i="1" s="1"/>
  <c r="V356" i="1" a="1"/>
  <c r="V356" i="1" s="1"/>
  <c r="V357" i="1" a="1"/>
  <c r="V357" i="1"/>
  <c r="V358" i="1" a="1"/>
  <c r="V358" i="1" s="1"/>
  <c r="V359" i="1" a="1"/>
  <c r="V359" i="1"/>
  <c r="V360" i="1" a="1"/>
  <c r="V360" i="1" s="1"/>
  <c r="V361" i="1" a="1"/>
  <c r="V361" i="1"/>
  <c r="V362" i="1" a="1"/>
  <c r="V362" i="1"/>
  <c r="V363" i="1" a="1"/>
  <c r="V363" i="1" s="1"/>
  <c r="V364" i="1" a="1"/>
  <c r="V364" i="1" s="1"/>
  <c r="V365" i="1" a="1"/>
  <c r="V365" i="1"/>
  <c r="V366" i="1" a="1"/>
  <c r="V366" i="1"/>
  <c r="V367" i="1" a="1"/>
  <c r="V367" i="1" s="1"/>
  <c r="V368" i="1" a="1"/>
  <c r="V368" i="1" s="1"/>
  <c r="V369" i="1" a="1"/>
  <c r="V369" i="1"/>
  <c r="V370" i="1" a="1"/>
  <c r="V370" i="1"/>
  <c r="V371" i="1" a="1"/>
  <c r="V371" i="1"/>
  <c r="V372" i="1" a="1"/>
  <c r="V372" i="1" s="1"/>
  <c r="V373" i="1" a="1"/>
  <c r="V373" i="1"/>
  <c r="V374" i="1" a="1"/>
  <c r="V374" i="1"/>
  <c r="V375" i="1" a="1"/>
  <c r="V375" i="1"/>
  <c r="V376" i="1" a="1"/>
  <c r="V376" i="1" s="1"/>
  <c r="V377" i="1" a="1"/>
  <c r="V377" i="1"/>
  <c r="V378" i="1" a="1"/>
  <c r="V378" i="1" s="1"/>
  <c r="V379" i="1" a="1"/>
  <c r="V379" i="1"/>
  <c r="V380" i="1" a="1"/>
  <c r="V380" i="1" s="1"/>
  <c r="V381" i="1" a="1"/>
  <c r="V381" i="1"/>
  <c r="V382" i="1" a="1"/>
  <c r="V382" i="1"/>
  <c r="V383" i="1" a="1"/>
  <c r="V383" i="1"/>
  <c r="V384" i="1" a="1"/>
  <c r="V384" i="1" s="1"/>
  <c r="V385" i="1" a="1"/>
  <c r="V385" i="1"/>
  <c r="V386" i="1" a="1"/>
  <c r="V386" i="1" s="1"/>
  <c r="V387" i="1" a="1"/>
  <c r="V387" i="1" s="1"/>
  <c r="V388" i="1" a="1"/>
  <c r="V388" i="1" s="1"/>
  <c r="V389" i="1" a="1"/>
  <c r="V389" i="1"/>
  <c r="V390" i="1" a="1"/>
  <c r="V390" i="1" s="1"/>
  <c r="V391" i="1" a="1"/>
  <c r="V391" i="1"/>
  <c r="V392" i="1" a="1"/>
  <c r="V392" i="1" s="1"/>
  <c r="V393" i="1" a="1"/>
  <c r="V393" i="1"/>
  <c r="V394" i="1" a="1"/>
  <c r="V394" i="1"/>
  <c r="V395" i="1" a="1"/>
  <c r="V395" i="1" s="1"/>
  <c r="V396" i="1" a="1"/>
  <c r="V396" i="1" s="1"/>
  <c r="V397" i="1" a="1"/>
  <c r="V397" i="1"/>
  <c r="V398" i="1" a="1"/>
  <c r="V398" i="1"/>
  <c r="V399" i="1" a="1"/>
  <c r="V399" i="1" s="1"/>
  <c r="V400" i="1" a="1"/>
  <c r="V400" i="1" s="1"/>
  <c r="V401" i="1" a="1"/>
  <c r="V401" i="1"/>
  <c r="V402" i="1" a="1"/>
  <c r="V402" i="1"/>
  <c r="V403" i="1" a="1"/>
  <c r="V403" i="1"/>
  <c r="V404" i="1" a="1"/>
  <c r="V404" i="1" s="1"/>
  <c r="V405" i="1" a="1"/>
  <c r="V405" i="1"/>
  <c r="V406" i="1" a="1"/>
  <c r="V406" i="1"/>
  <c r="V407" i="1" a="1"/>
  <c r="V407" i="1" s="1"/>
  <c r="V408" i="1" a="1"/>
  <c r="V408" i="1" s="1"/>
  <c r="V409" i="1" a="1"/>
  <c r="V409" i="1"/>
  <c r="V410" i="1" a="1"/>
  <c r="V410" i="1" s="1"/>
  <c r="V411" i="1" a="1"/>
  <c r="V411" i="1"/>
  <c r="V412" i="1" a="1"/>
  <c r="V412" i="1" s="1"/>
  <c r="V413" i="1" a="1"/>
  <c r="V413" i="1"/>
  <c r="V414" i="1" a="1"/>
  <c r="V414" i="1"/>
  <c r="V415" i="1" a="1"/>
  <c r="V415" i="1"/>
  <c r="V416" i="1" a="1"/>
  <c r="V416" i="1" s="1"/>
  <c r="V417" i="1" a="1"/>
  <c r="V417" i="1"/>
  <c r="V418" i="1" a="1"/>
  <c r="V418" i="1" s="1"/>
  <c r="V419" i="1" a="1"/>
  <c r="V419" i="1" s="1"/>
  <c r="V420" i="1" a="1"/>
  <c r="V420" i="1" s="1"/>
  <c r="V421" i="1" a="1"/>
  <c r="V421" i="1"/>
  <c r="V422" i="1" a="1"/>
  <c r="V422" i="1" s="1"/>
  <c r="V423" i="1" a="1"/>
  <c r="V423" i="1"/>
  <c r="V424" i="1" a="1"/>
  <c r="V424" i="1" s="1"/>
  <c r="V425" i="1" a="1"/>
  <c r="V425" i="1"/>
  <c r="V426" i="1" a="1"/>
  <c r="V426" i="1" s="1"/>
  <c r="V427" i="1" a="1"/>
  <c r="V427" i="1" s="1"/>
  <c r="V428" i="1" a="1"/>
  <c r="V428" i="1" s="1"/>
  <c r="V429" i="1" a="1"/>
  <c r="V429" i="1"/>
  <c r="V430" i="1" a="1"/>
  <c r="V430" i="1" s="1"/>
  <c r="V431" i="1" a="1"/>
  <c r="V431" i="1" s="1"/>
  <c r="V432" i="1" a="1"/>
  <c r="V432" i="1" s="1"/>
  <c r="V433" i="1" a="1"/>
  <c r="V433" i="1"/>
  <c r="V434" i="1" a="1"/>
  <c r="V434" i="1"/>
  <c r="V435" i="1" a="1"/>
  <c r="V435" i="1" s="1"/>
  <c r="V436" i="1" a="1"/>
  <c r="V436" i="1" s="1"/>
  <c r="V437" i="1" a="1"/>
  <c r="V437" i="1"/>
  <c r="V438" i="1" a="1"/>
  <c r="V438" i="1"/>
  <c r="V439" i="1" a="1"/>
  <c r="V439" i="1" s="1"/>
  <c r="V440" i="1" a="1"/>
  <c r="V440" i="1" s="1"/>
  <c r="V441" i="1" a="1"/>
  <c r="V441" i="1"/>
  <c r="V442" i="1" a="1"/>
  <c r="V442" i="1" s="1"/>
  <c r="V443" i="1" a="1"/>
  <c r="V443" i="1"/>
  <c r="V444" i="1" a="1"/>
  <c r="V444" i="1" s="1"/>
  <c r="V445" i="1" a="1"/>
  <c r="V445" i="1"/>
  <c r="V446" i="1" a="1"/>
  <c r="V446" i="1"/>
  <c r="V447" i="1" a="1"/>
  <c r="V447" i="1"/>
  <c r="V448" i="1" a="1"/>
  <c r="V448" i="1" s="1"/>
  <c r="V449" i="1" a="1"/>
  <c r="V449" i="1"/>
  <c r="V450" i="1" a="1"/>
  <c r="V450" i="1" s="1"/>
  <c r="V451" i="1" a="1"/>
  <c r="V451" i="1" s="1"/>
  <c r="V452" i="1" a="1"/>
  <c r="V452" i="1" s="1"/>
  <c r="V453" i="1" a="1"/>
  <c r="V453" i="1"/>
  <c r="V454" i="1" a="1"/>
  <c r="V454" i="1" s="1"/>
  <c r="V455" i="1" a="1"/>
  <c r="V455" i="1"/>
  <c r="V456" i="1" a="1"/>
  <c r="V456" i="1" s="1"/>
  <c r="V457" i="1" a="1"/>
  <c r="V457" i="1"/>
  <c r="V458" i="1" a="1"/>
  <c r="V458" i="1"/>
  <c r="V459" i="1" a="1"/>
  <c r="V459" i="1" s="1"/>
  <c r="V460" i="1" a="1"/>
  <c r="V460" i="1" s="1"/>
  <c r="V461" i="1" a="1"/>
  <c r="V461" i="1"/>
  <c r="V462" i="1" a="1"/>
  <c r="V462" i="1" s="1"/>
  <c r="V463" i="1" a="1"/>
  <c r="V463" i="1" s="1"/>
  <c r="V464" i="1" a="1"/>
  <c r="V464" i="1" s="1"/>
  <c r="V465" i="1" a="1"/>
  <c r="V465" i="1"/>
  <c r="V466" i="1" a="1"/>
  <c r="V466" i="1"/>
  <c r="V467" i="1" a="1"/>
  <c r="V467" i="1" s="1"/>
  <c r="V468" i="1" a="1"/>
  <c r="V468" i="1" s="1"/>
  <c r="V469" i="1" a="1"/>
  <c r="V469" i="1"/>
  <c r="V470" i="1" a="1"/>
  <c r="V470" i="1"/>
  <c r="V471" i="1" a="1"/>
  <c r="V471" i="1"/>
  <c r="V472" i="1" a="1"/>
  <c r="V472" i="1" s="1"/>
  <c r="V473" i="1" a="1"/>
  <c r="V473" i="1"/>
  <c r="V474" i="1" a="1"/>
  <c r="V474" i="1" s="1"/>
  <c r="V475" i="1" a="1"/>
  <c r="V475" i="1"/>
  <c r="V476" i="1" a="1"/>
  <c r="V476" i="1" s="1"/>
  <c r="V477" i="1" a="1"/>
  <c r="V477" i="1"/>
  <c r="V478" i="1" a="1"/>
  <c r="V478" i="1"/>
  <c r="V479" i="1" a="1"/>
  <c r="V479" i="1"/>
  <c r="V480" i="1" a="1"/>
  <c r="V480" i="1" s="1"/>
  <c r="V481" i="1" a="1"/>
  <c r="V481" i="1"/>
  <c r="V482" i="1" a="1"/>
  <c r="V482" i="1" s="1"/>
  <c r="V483" i="1" a="1"/>
  <c r="V483" i="1" s="1"/>
  <c r="V484" i="1" a="1"/>
  <c r="V484" i="1" s="1"/>
  <c r="V485" i="1" a="1"/>
  <c r="V485" i="1"/>
  <c r="V486" i="1" a="1"/>
  <c r="V486" i="1" s="1"/>
  <c r="V487" i="1" a="1"/>
  <c r="V487" i="1"/>
  <c r="V488" i="1" a="1"/>
  <c r="V488" i="1" s="1"/>
  <c r="V489" i="1" a="1"/>
  <c r="V489" i="1"/>
  <c r="V490" i="1" a="1"/>
  <c r="V490" i="1"/>
  <c r="V491" i="1" a="1"/>
  <c r="V491" i="1" s="1"/>
  <c r="V492" i="1" a="1"/>
  <c r="V492" i="1" s="1"/>
  <c r="V493" i="1" a="1"/>
  <c r="V493" i="1"/>
  <c r="V494" i="1" a="1"/>
  <c r="V494" i="1"/>
  <c r="V495" i="1" a="1"/>
  <c r="V495" i="1" s="1"/>
  <c r="V496" i="1" a="1"/>
  <c r="V496" i="1" s="1"/>
  <c r="V497" i="1" a="1"/>
  <c r="V497" i="1"/>
  <c r="V498" i="1" a="1"/>
  <c r="V498" i="1"/>
  <c r="V499" i="1" a="1"/>
  <c r="V499" i="1"/>
  <c r="V500" i="1" a="1"/>
  <c r="V500" i="1" s="1"/>
  <c r="V501" i="1" a="1"/>
  <c r="V501" i="1"/>
  <c r="V502" i="1" a="1"/>
  <c r="V502" i="1"/>
  <c r="V503" i="1" a="1"/>
  <c r="V503" i="1"/>
  <c r="V504" i="1" a="1"/>
  <c r="V504" i="1" s="1"/>
  <c r="V505" i="1" a="1"/>
  <c r="V505" i="1"/>
  <c r="V506" i="1" a="1"/>
  <c r="V506" i="1" s="1"/>
  <c r="V507" i="1" a="1"/>
  <c r="V507" i="1"/>
  <c r="V508" i="1" a="1"/>
  <c r="V508" i="1" s="1"/>
  <c r="V509" i="1" a="1"/>
  <c r="V509" i="1"/>
  <c r="V510" i="1" a="1"/>
  <c r="V510" i="1"/>
  <c r="V511" i="1" a="1"/>
  <c r="V511" i="1"/>
  <c r="V512" i="1" a="1"/>
  <c r="V512" i="1" s="1"/>
  <c r="V513" i="1" a="1"/>
  <c r="V513" i="1"/>
  <c r="V514" i="1" a="1"/>
  <c r="V514" i="1" s="1"/>
  <c r="V515" i="1" a="1"/>
  <c r="V515" i="1" s="1"/>
  <c r="V516" i="1" a="1"/>
  <c r="V516" i="1" s="1"/>
  <c r="V517" i="1" a="1"/>
  <c r="V517" i="1"/>
  <c r="V518" i="1" a="1"/>
  <c r="V518" i="1" s="1"/>
  <c r="V519" i="1" a="1"/>
  <c r="V519" i="1"/>
  <c r="V520" i="1" a="1"/>
  <c r="V520" i="1" s="1"/>
  <c r="V521" i="1" a="1"/>
  <c r="V521" i="1"/>
  <c r="V522" i="1" a="1"/>
  <c r="V522" i="1" s="1"/>
  <c r="V523" i="1" a="1"/>
  <c r="V523" i="1" s="1"/>
  <c r="V524" i="1" a="1"/>
  <c r="V524" i="1" s="1"/>
  <c r="V525" i="1" a="1"/>
  <c r="V525" i="1"/>
  <c r="V526" i="1" a="1"/>
  <c r="V526" i="1"/>
  <c r="V527" i="1" a="1"/>
  <c r="V527" i="1" s="1"/>
  <c r="V528" i="1" a="1"/>
  <c r="V528" i="1" s="1"/>
  <c r="V529" i="1" a="1"/>
  <c r="V529" i="1"/>
  <c r="V530" i="1" a="1"/>
  <c r="V530" i="1"/>
  <c r="V531" i="1" a="1"/>
  <c r="V531" i="1"/>
  <c r="V532" i="1" a="1"/>
  <c r="V532" i="1" s="1"/>
  <c r="V533" i="1" a="1"/>
  <c r="V533" i="1"/>
  <c r="V534" i="1" a="1"/>
  <c r="V534" i="1"/>
  <c r="V535" i="1" a="1"/>
  <c r="V535" i="1" s="1"/>
  <c r="V536" i="1" a="1"/>
  <c r="V536" i="1" s="1"/>
  <c r="V537" i="1" a="1"/>
  <c r="V537" i="1"/>
  <c r="V538" i="1" a="1"/>
  <c r="V538" i="1" s="1"/>
  <c r="V539" i="1" a="1"/>
  <c r="V539" i="1"/>
  <c r="V540" i="1" a="1"/>
  <c r="V540" i="1" s="1"/>
  <c r="V541" i="1" a="1"/>
  <c r="V541" i="1"/>
  <c r="V542" i="1" a="1"/>
  <c r="V542" i="1"/>
  <c r="V543" i="1" a="1"/>
  <c r="V543" i="1"/>
  <c r="V544" i="1" a="1"/>
  <c r="V544" i="1" s="1"/>
  <c r="V545" i="1" a="1"/>
  <c r="V545" i="1"/>
  <c r="V546" i="1" a="1"/>
  <c r="V546" i="1" s="1"/>
  <c r="V547" i="1" a="1"/>
  <c r="V547" i="1" s="1"/>
  <c r="V548" i="1" a="1"/>
  <c r="V548" i="1" s="1"/>
  <c r="V549" i="1" a="1"/>
  <c r="V549" i="1"/>
  <c r="V550" i="1" a="1"/>
  <c r="V550" i="1" s="1"/>
  <c r="V551" i="1" a="1"/>
  <c r="V551" i="1"/>
  <c r="V552" i="1" a="1"/>
  <c r="V552" i="1" s="1"/>
  <c r="V553" i="1" a="1"/>
  <c r="V553" i="1"/>
  <c r="V554" i="1" a="1"/>
  <c r="V554" i="1" s="1"/>
  <c r="V555" i="1" a="1"/>
  <c r="V555" i="1" s="1"/>
  <c r="V556" i="1" a="1"/>
  <c r="V556" i="1" s="1"/>
  <c r="V557" i="1" a="1"/>
  <c r="V557" i="1"/>
  <c r="V558" i="1" a="1"/>
  <c r="V558" i="1" s="1"/>
  <c r="V559" i="1" a="1"/>
  <c r="V559" i="1" s="1"/>
  <c r="V560" i="1" a="1"/>
  <c r="V560" i="1" s="1"/>
  <c r="V561" i="1" a="1"/>
  <c r="V561" i="1"/>
  <c r="V562" i="1" a="1"/>
  <c r="V562" i="1"/>
  <c r="V563" i="1" a="1"/>
  <c r="V563" i="1" s="1"/>
  <c r="V564" i="1" a="1"/>
  <c r="V564" i="1" s="1"/>
  <c r="V565" i="1" a="1"/>
  <c r="V565" i="1"/>
  <c r="V566" i="1" a="1"/>
  <c r="V566" i="1"/>
  <c r="V567" i="1" a="1"/>
  <c r="V567" i="1" s="1"/>
  <c r="V568" i="1" a="1"/>
  <c r="V568" i="1" s="1"/>
  <c r="V569" i="1" a="1"/>
  <c r="V569" i="1"/>
  <c r="V570" i="1" a="1"/>
  <c r="V570" i="1" s="1"/>
  <c r="V571" i="1" a="1"/>
  <c r="V571" i="1"/>
  <c r="V572" i="1" a="1"/>
  <c r="V572" i="1" s="1"/>
  <c r="V573" i="1" a="1"/>
  <c r="V573" i="1"/>
  <c r="V574" i="1" a="1"/>
  <c r="V574" i="1"/>
  <c r="V575" i="1" a="1"/>
  <c r="V575" i="1"/>
  <c r="V576" i="1" a="1"/>
  <c r="V576" i="1" s="1"/>
  <c r="V577" i="1" a="1"/>
  <c r="V577" i="1"/>
  <c r="V578" i="1" a="1"/>
  <c r="V578" i="1" s="1"/>
  <c r="V579" i="1" a="1"/>
  <c r="V579" i="1" s="1"/>
  <c r="V580" i="1" a="1"/>
  <c r="V580" i="1" s="1"/>
  <c r="V581" i="1" a="1"/>
  <c r="V581" i="1"/>
  <c r="V582" i="1" a="1"/>
  <c r="V582" i="1" s="1"/>
  <c r="V583" i="1" a="1"/>
  <c r="V583" i="1"/>
  <c r="V584" i="1" a="1"/>
  <c r="V584" i="1" s="1"/>
  <c r="V585" i="1" a="1"/>
  <c r="V585" i="1"/>
  <c r="V586" i="1" a="1"/>
  <c r="V586" i="1"/>
  <c r="V587" i="1" a="1"/>
  <c r="V587" i="1" s="1"/>
  <c r="V588" i="1" a="1"/>
  <c r="V588" i="1" s="1"/>
  <c r="V589" i="1" a="1"/>
  <c r="V589" i="1"/>
  <c r="V590" i="1" a="1"/>
  <c r="V590" i="1" s="1"/>
  <c r="V591" i="1" a="1"/>
  <c r="V591" i="1" s="1"/>
  <c r="V592" i="1" a="1"/>
  <c r="V592" i="1" s="1"/>
  <c r="V593" i="1" a="1"/>
  <c r="V593" i="1"/>
  <c r="V594" i="1" a="1"/>
  <c r="V594" i="1"/>
  <c r="V595" i="1" a="1"/>
  <c r="V595" i="1" s="1"/>
  <c r="V596" i="1" a="1"/>
  <c r="V596" i="1" s="1"/>
  <c r="V597" i="1" a="1"/>
  <c r="V597" i="1"/>
  <c r="V598" i="1" a="1"/>
  <c r="V598" i="1"/>
  <c r="V599" i="1" a="1"/>
  <c r="V599" i="1"/>
  <c r="V600" i="1" a="1"/>
  <c r="V600" i="1" s="1"/>
  <c r="V601" i="1" a="1"/>
  <c r="V601" i="1"/>
  <c r="V602" i="1" a="1"/>
  <c r="V602" i="1" s="1"/>
  <c r="V603" i="1" a="1"/>
  <c r="V603" i="1"/>
  <c r="V604" i="1" a="1"/>
  <c r="V604" i="1" s="1"/>
  <c r="V605" i="1" a="1"/>
  <c r="V605" i="1"/>
  <c r="V606" i="1" a="1"/>
  <c r="V606" i="1"/>
  <c r="V607" i="1" a="1"/>
  <c r="V607" i="1"/>
  <c r="V608" i="1" a="1"/>
  <c r="V608" i="1" s="1"/>
  <c r="V609" i="1" a="1"/>
  <c r="V609" i="1"/>
  <c r="V610" i="1" a="1"/>
  <c r="V610" i="1" s="1"/>
  <c r="V611" i="1" a="1"/>
  <c r="V611" i="1" s="1"/>
  <c r="V612" i="1" a="1"/>
  <c r="V612" i="1" s="1"/>
  <c r="V613" i="1" a="1"/>
  <c r="V613" i="1"/>
  <c r="V614" i="1" a="1"/>
  <c r="V614" i="1" s="1"/>
  <c r="V615" i="1" a="1"/>
  <c r="V615" i="1"/>
  <c r="V616" i="1" a="1"/>
  <c r="V616" i="1" s="1"/>
  <c r="V617" i="1" a="1"/>
  <c r="V617" i="1"/>
  <c r="V618" i="1" a="1"/>
  <c r="V618" i="1"/>
  <c r="V619" i="1" a="1"/>
  <c r="V619" i="1" s="1"/>
  <c r="V620" i="1" a="1"/>
  <c r="V620" i="1" s="1"/>
  <c r="V621" i="1" a="1"/>
  <c r="V621" i="1"/>
  <c r="V622" i="1" a="1"/>
  <c r="V622" i="1"/>
  <c r="V623" i="1" a="1"/>
  <c r="V623" i="1" s="1"/>
  <c r="V624" i="1" a="1"/>
  <c r="V624" i="1" s="1"/>
  <c r="V625" i="1" a="1"/>
  <c r="V625" i="1"/>
  <c r="V626" i="1" a="1"/>
  <c r="V626" i="1"/>
  <c r="V627" i="1" a="1"/>
  <c r="V627" i="1"/>
  <c r="V628" i="1" a="1"/>
  <c r="V628" i="1" s="1"/>
  <c r="V629" i="1" a="1"/>
  <c r="V629" i="1"/>
  <c r="V630" i="1" a="1"/>
  <c r="V630" i="1"/>
  <c r="V631" i="1" a="1"/>
  <c r="V631" i="1"/>
  <c r="V632" i="1" a="1"/>
  <c r="V632" i="1" s="1"/>
  <c r="V633" i="1" a="1"/>
  <c r="V633" i="1"/>
  <c r="V634" i="1" a="1"/>
  <c r="V634" i="1" s="1"/>
  <c r="V635" i="1" a="1"/>
  <c r="V635" i="1"/>
  <c r="V636" i="1" a="1"/>
  <c r="V636" i="1" s="1"/>
  <c r="V637" i="1" a="1"/>
  <c r="V637" i="1" s="1"/>
  <c r="V638" i="1" a="1"/>
  <c r="V638" i="1"/>
  <c r="V639" i="1" a="1"/>
  <c r="V639" i="1"/>
  <c r="V640" i="1" a="1"/>
  <c r="V640" i="1" s="1"/>
  <c r="V641" i="1" a="1"/>
  <c r="V641" i="1" s="1"/>
  <c r="V642" i="1" a="1"/>
  <c r="V642" i="1" s="1"/>
  <c r="V643" i="1" a="1"/>
  <c r="V643" i="1" s="1"/>
  <c r="V644" i="1" a="1"/>
  <c r="V644" i="1" s="1"/>
  <c r="V645" i="1" a="1"/>
  <c r="V645" i="1" s="1"/>
  <c r="V646" i="1" a="1"/>
  <c r="V646" i="1" s="1"/>
  <c r="V647" i="1" a="1"/>
  <c r="V647" i="1"/>
  <c r="V648" i="1" a="1"/>
  <c r="V648" i="1" s="1"/>
  <c r="V649" i="1" a="1"/>
  <c r="V649" i="1"/>
  <c r="V650" i="1" a="1"/>
  <c r="V650" i="1" s="1"/>
  <c r="V651" i="1" a="1"/>
  <c r="V651" i="1" s="1"/>
  <c r="V652" i="1" a="1"/>
  <c r="V652" i="1" s="1"/>
  <c r="V653" i="1" a="1"/>
  <c r="V653" i="1"/>
  <c r="V654" i="1" a="1"/>
  <c r="V654" i="1" s="1"/>
  <c r="V655" i="1" a="1"/>
  <c r="V655" i="1" s="1"/>
  <c r="V656" i="1" a="1"/>
  <c r="V656" i="1" s="1"/>
  <c r="V657" i="1" a="1"/>
  <c r="V657" i="1" s="1"/>
  <c r="V658" i="1" a="1"/>
  <c r="V658" i="1"/>
  <c r="V659" i="1" a="1"/>
  <c r="V659" i="1"/>
  <c r="V660" i="1" a="1"/>
  <c r="V660" i="1" s="1"/>
  <c r="V661" i="1" a="1"/>
  <c r="V661" i="1"/>
  <c r="V662" i="1" a="1"/>
  <c r="V662" i="1"/>
  <c r="V663" i="1" a="1"/>
  <c r="V663" i="1"/>
  <c r="V664" i="1" a="1"/>
  <c r="V664" i="1" s="1"/>
  <c r="V665" i="1" a="1"/>
  <c r="V665" i="1" s="1"/>
  <c r="V666" i="1" a="1"/>
  <c r="V666" i="1" s="1"/>
  <c r="V667" i="1" a="1"/>
  <c r="V667" i="1"/>
  <c r="V668" i="1" a="1"/>
  <c r="V668" i="1" s="1"/>
  <c r="V669" i="1" a="1"/>
  <c r="V669" i="1" s="1"/>
  <c r="V670" i="1" a="1"/>
  <c r="V670" i="1"/>
  <c r="V671" i="1" a="1"/>
  <c r="V671" i="1"/>
  <c r="V672" i="1" a="1"/>
  <c r="V672" i="1" s="1"/>
  <c r="V673" i="1" a="1"/>
  <c r="V673" i="1"/>
  <c r="V674" i="1" a="1"/>
  <c r="V674" i="1" s="1"/>
  <c r="V675" i="1" a="1"/>
  <c r="V675" i="1" s="1"/>
  <c r="V676" i="1" a="1"/>
  <c r="V676" i="1" s="1"/>
  <c r="V677" i="1" a="1"/>
  <c r="V677" i="1"/>
  <c r="V678" i="1" a="1"/>
  <c r="V678" i="1" s="1"/>
  <c r="V679" i="1" a="1"/>
  <c r="V679" i="1"/>
  <c r="V680" i="1" a="1"/>
  <c r="V680" i="1" s="1"/>
  <c r="V681" i="1" a="1"/>
  <c r="V681" i="1"/>
  <c r="V682" i="1" a="1"/>
  <c r="V682" i="1"/>
  <c r="V683" i="1" a="1"/>
  <c r="V683" i="1" s="1"/>
  <c r="V684" i="1" a="1"/>
  <c r="V684" i="1" s="1"/>
  <c r="V685" i="1" a="1"/>
  <c r="V685" i="1"/>
  <c r="V686" i="1" a="1"/>
  <c r="V686" i="1"/>
  <c r="V687" i="1" a="1"/>
  <c r="V687" i="1" s="1"/>
  <c r="V688" i="1" a="1"/>
  <c r="V688" i="1" s="1"/>
  <c r="V689" i="1" a="1"/>
  <c r="V689" i="1" s="1"/>
  <c r="V690" i="1" a="1"/>
  <c r="V690" i="1"/>
  <c r="V691" i="1" a="1"/>
  <c r="V691" i="1"/>
  <c r="V692" i="1" a="1"/>
  <c r="V692" i="1" s="1"/>
  <c r="V693" i="1" a="1"/>
  <c r="V693" i="1"/>
  <c r="V694" i="1" a="1"/>
  <c r="V694" i="1"/>
  <c r="V695" i="1" a="1"/>
  <c r="V695" i="1" s="1"/>
  <c r="V696" i="1" a="1"/>
  <c r="V696" i="1" s="1"/>
  <c r="V697" i="1" a="1"/>
  <c r="V697" i="1" s="1"/>
  <c r="V698" i="1" a="1"/>
  <c r="V698" i="1" s="1"/>
  <c r="V699" i="1" a="1"/>
  <c r="V699" i="1"/>
  <c r="V700" i="1" a="1"/>
  <c r="V700" i="1" s="1"/>
  <c r="V701" i="1" a="1"/>
  <c r="V701" i="1" s="1"/>
  <c r="V702" i="1" a="1"/>
  <c r="V702" i="1"/>
  <c r="V703" i="1" a="1"/>
  <c r="V703" i="1"/>
  <c r="V704" i="1" a="1"/>
  <c r="V704" i="1" s="1"/>
  <c r="V705" i="1" a="1"/>
  <c r="V705" i="1" s="1"/>
  <c r="V706" i="1" a="1"/>
  <c r="V706" i="1" s="1"/>
  <c r="V707" i="1" a="1"/>
  <c r="V707" i="1" s="1"/>
  <c r="V708" i="1" a="1"/>
  <c r="V708" i="1" s="1"/>
  <c r="V709" i="1" a="1"/>
  <c r="V709" i="1" s="1"/>
  <c r="V710" i="1" a="1"/>
  <c r="V710" i="1" s="1"/>
  <c r="V711" i="1" a="1"/>
  <c r="V711" i="1"/>
  <c r="V712" i="1" a="1"/>
  <c r="V712" i="1" s="1"/>
  <c r="V713" i="1" a="1"/>
  <c r="V713" i="1"/>
  <c r="V714" i="1" a="1"/>
  <c r="V714" i="1" s="1"/>
  <c r="V715" i="1" a="1"/>
  <c r="V715" i="1" s="1"/>
  <c r="V716" i="1" a="1"/>
  <c r="V716" i="1" s="1"/>
  <c r="V717" i="1" a="1"/>
  <c r="V717" i="1"/>
  <c r="V718" i="1" a="1"/>
  <c r="V718" i="1"/>
  <c r="V719" i="1" a="1"/>
  <c r="V719" i="1" s="1"/>
  <c r="V720" i="1" a="1"/>
  <c r="V720" i="1" s="1"/>
  <c r="V721" i="1" a="1"/>
  <c r="V721" i="1" s="1"/>
  <c r="V722" i="1" a="1"/>
  <c r="V722" i="1"/>
  <c r="V723" i="1" a="1"/>
  <c r="V723" i="1" s="1"/>
  <c r="V724" i="1" a="1"/>
  <c r="V724" i="1" s="1"/>
  <c r="V725" i="1" a="1"/>
  <c r="V725" i="1"/>
  <c r="V726" i="1" a="1"/>
  <c r="V726" i="1"/>
  <c r="V727" i="1" a="1"/>
  <c r="V727" i="1"/>
  <c r="V728" i="1" a="1"/>
  <c r="V728" i="1" s="1"/>
  <c r="V729" i="1" a="1"/>
  <c r="V729" i="1" s="1"/>
  <c r="V730" i="1" a="1"/>
  <c r="V730" i="1" s="1"/>
  <c r="V731" i="1" a="1"/>
  <c r="V731" i="1"/>
  <c r="V732" i="1" a="1"/>
  <c r="V732" i="1" s="1"/>
  <c r="V733" i="1" a="1"/>
  <c r="V733" i="1" s="1"/>
  <c r="V734" i="1" a="1"/>
  <c r="V734" i="1"/>
  <c r="V735" i="1" a="1"/>
  <c r="V735" i="1"/>
  <c r="V736" i="1" a="1"/>
  <c r="V736" i="1" s="1"/>
  <c r="V737" i="1" a="1"/>
  <c r="V737" i="1" s="1"/>
  <c r="V738" i="1" a="1"/>
  <c r="V738" i="1" s="1"/>
  <c r="V739" i="1" a="1"/>
  <c r="V739" i="1" s="1"/>
  <c r="V740" i="1" a="1"/>
  <c r="V740" i="1" s="1"/>
  <c r="V741" i="1" a="1"/>
  <c r="V741" i="1"/>
  <c r="V742" i="1" a="1"/>
  <c r="V742" i="1" s="1"/>
  <c r="V743" i="1" a="1"/>
  <c r="V743" i="1"/>
  <c r="V744" i="1" a="1"/>
  <c r="V744" i="1" s="1"/>
  <c r="V745" i="1" a="1"/>
  <c r="V745" i="1"/>
  <c r="V746" i="1" a="1"/>
  <c r="V746" i="1"/>
  <c r="V747" i="1" a="1"/>
  <c r="V747" i="1" s="1"/>
  <c r="V748" i="1" a="1"/>
  <c r="V748" i="1" s="1"/>
  <c r="V749" i="1" a="1"/>
  <c r="V749" i="1"/>
  <c r="V750" i="1" a="1"/>
  <c r="V750" i="1" s="1"/>
  <c r="V751" i="1" a="1"/>
  <c r="V751" i="1" s="1"/>
  <c r="V752" i="1" a="1"/>
  <c r="V752" i="1" s="1"/>
  <c r="V753" i="1" a="1"/>
  <c r="V753" i="1" s="1"/>
  <c r="V754" i="1" a="1"/>
  <c r="V754" i="1"/>
  <c r="V755" i="1" a="1"/>
  <c r="V755" i="1"/>
  <c r="V756" i="1" a="1"/>
  <c r="V756" i="1" s="1"/>
  <c r="V757" i="1" a="1"/>
  <c r="V757" i="1"/>
  <c r="V758" i="1" a="1"/>
  <c r="V758" i="1"/>
  <c r="V759" i="1" a="1"/>
  <c r="V759" i="1" s="1"/>
  <c r="V760" i="1" a="1"/>
  <c r="V760" i="1" s="1"/>
  <c r="V761" i="1" a="1"/>
  <c r="V761" i="1" s="1"/>
  <c r="V762" i="1" a="1"/>
  <c r="V762" i="1" s="1"/>
  <c r="V763" i="1" a="1"/>
  <c r="V763" i="1"/>
  <c r="V764" i="1" a="1"/>
  <c r="V764" i="1" s="1"/>
  <c r="V765" i="1" a="1"/>
  <c r="V765" i="1" s="1"/>
  <c r="V766" i="1" a="1"/>
  <c r="V766" i="1"/>
  <c r="V767" i="1" a="1"/>
  <c r="V767" i="1"/>
  <c r="V768" i="1" a="1"/>
  <c r="V768" i="1" s="1"/>
  <c r="V769" i="1" a="1"/>
  <c r="V769" i="1"/>
  <c r="V770" i="1" a="1"/>
  <c r="V770" i="1" s="1"/>
  <c r="V771" i="1" a="1"/>
  <c r="V771" i="1" s="1"/>
  <c r="V772" i="1" a="1"/>
  <c r="V772" i="1" s="1"/>
  <c r="V773" i="1" a="1"/>
  <c r="V773" i="1"/>
  <c r="V774" i="1" a="1"/>
  <c r="V774" i="1" s="1"/>
  <c r="V775" i="1" a="1"/>
  <c r="V775" i="1"/>
  <c r="V776" i="1" a="1"/>
  <c r="V776" i="1" s="1"/>
  <c r="V777" i="1" a="1"/>
  <c r="V777" i="1"/>
  <c r="V778" i="1" a="1"/>
  <c r="V778" i="1"/>
  <c r="V779" i="1" a="1"/>
  <c r="V779" i="1" s="1"/>
  <c r="V780" i="1" a="1"/>
  <c r="V780" i="1" s="1"/>
  <c r="V781" i="1" a="1"/>
  <c r="V781" i="1"/>
  <c r="V782" i="1" a="1"/>
  <c r="V782" i="1"/>
  <c r="V783" i="1" a="1"/>
  <c r="V783" i="1" s="1"/>
  <c r="V784" i="1" a="1"/>
  <c r="V784" i="1" s="1"/>
  <c r="V785" i="1" a="1"/>
  <c r="V785" i="1" s="1"/>
  <c r="V786" i="1" a="1"/>
  <c r="V786" i="1"/>
  <c r="V787" i="1" a="1"/>
  <c r="V787" i="1" s="1"/>
  <c r="V788" i="1" a="1"/>
  <c r="V788" i="1" s="1"/>
  <c r="V789" i="1" a="1"/>
  <c r="V789" i="1"/>
  <c r="V790" i="1" a="1"/>
  <c r="V790" i="1"/>
  <c r="V791" i="1" a="1"/>
  <c r="V791" i="1" s="1"/>
  <c r="V792" i="1" a="1"/>
  <c r="V792" i="1" s="1"/>
  <c r="V793" i="1" a="1"/>
  <c r="V793" i="1" s="1"/>
  <c r="V794" i="1" a="1"/>
  <c r="V794" i="1" s="1"/>
  <c r="V795" i="1" a="1"/>
  <c r="V795" i="1"/>
  <c r="V796" i="1" a="1"/>
  <c r="V796" i="1" s="1"/>
  <c r="V797" i="1" a="1"/>
  <c r="V797" i="1" s="1"/>
  <c r="V798" i="1" a="1"/>
  <c r="V798" i="1"/>
  <c r="V799" i="1" a="1"/>
  <c r="V799" i="1"/>
  <c r="V800" i="1" a="1"/>
  <c r="V800" i="1" s="1"/>
  <c r="V801" i="1" a="1"/>
  <c r="V801" i="1" s="1"/>
  <c r="V802" i="1" a="1"/>
  <c r="V802" i="1" s="1"/>
  <c r="V803" i="1" a="1"/>
  <c r="V803" i="1" s="1"/>
  <c r="V804" i="1" a="1"/>
  <c r="V804" i="1" s="1"/>
  <c r="V805" i="1" a="1"/>
  <c r="V805" i="1" s="1"/>
  <c r="V806" i="1" a="1"/>
  <c r="V806" i="1" s="1"/>
  <c r="V807" i="1" a="1"/>
  <c r="V807" i="1"/>
  <c r="V808" i="1" a="1"/>
  <c r="V808" i="1" s="1"/>
  <c r="V809" i="1" a="1"/>
  <c r="V809" i="1"/>
  <c r="V810" i="1" a="1"/>
  <c r="V810" i="1" s="1"/>
  <c r="V811" i="1" a="1"/>
  <c r="V811" i="1" s="1"/>
  <c r="V812" i="1" a="1"/>
  <c r="V812" i="1" s="1"/>
  <c r="V813" i="1" a="1"/>
  <c r="V813" i="1"/>
  <c r="V814" i="1" a="1"/>
  <c r="V814" i="1" s="1"/>
  <c r="V815" i="1" a="1"/>
  <c r="V815" i="1" s="1"/>
  <c r="V816" i="1" a="1"/>
  <c r="V816" i="1" s="1"/>
  <c r="V817" i="1" a="1"/>
  <c r="V817" i="1" s="1"/>
  <c r="V818" i="1" a="1"/>
  <c r="V818" i="1"/>
  <c r="V819" i="1" a="1"/>
  <c r="V819" i="1" s="1"/>
  <c r="V820" i="1" a="1"/>
  <c r="V820" i="1" s="1"/>
  <c r="V821" i="1" a="1"/>
  <c r="V821" i="1"/>
  <c r="V822" i="1" a="1"/>
  <c r="V822" i="1"/>
  <c r="V823" i="1" a="1"/>
  <c r="V823" i="1"/>
  <c r="V824" i="1" a="1"/>
  <c r="V824" i="1" s="1"/>
  <c r="V825" i="1" a="1"/>
  <c r="V825" i="1" s="1"/>
  <c r="V826" i="1" a="1"/>
  <c r="V826" i="1" s="1"/>
  <c r="V827" i="1" a="1"/>
  <c r="V827" i="1"/>
  <c r="V828" i="1" a="1"/>
  <c r="V828" i="1" s="1"/>
  <c r="V829" i="1" a="1"/>
  <c r="V829" i="1" s="1"/>
  <c r="V830" i="1" a="1"/>
  <c r="V830" i="1"/>
  <c r="V831" i="1" a="1"/>
  <c r="V831" i="1"/>
  <c r="V832" i="1" a="1"/>
  <c r="V832" i="1" s="1"/>
  <c r="V833" i="1" a="1"/>
  <c r="V833" i="1"/>
  <c r="V834" i="1" a="1"/>
  <c r="V834" i="1" s="1"/>
  <c r="V835" i="1" a="1"/>
  <c r="V835" i="1" s="1"/>
  <c r="V836" i="1" a="1"/>
  <c r="V836" i="1" s="1"/>
  <c r="V837" i="1" a="1"/>
  <c r="V837" i="1"/>
  <c r="V838" i="1" a="1"/>
  <c r="V838" i="1" s="1"/>
  <c r="V839" i="1" a="1"/>
  <c r="V839" i="1"/>
  <c r="V840" i="1" a="1"/>
  <c r="V840" i="1" s="1"/>
  <c r="V841" i="1" a="1"/>
  <c r="V841" i="1"/>
  <c r="V842" i="1" a="1"/>
  <c r="V842" i="1"/>
  <c r="V843" i="1" a="1"/>
  <c r="V843" i="1" s="1"/>
  <c r="V844" i="1" a="1"/>
  <c r="V844" i="1" s="1"/>
  <c r="V845" i="1" a="1"/>
  <c r="V845" i="1"/>
  <c r="V846" i="1" a="1"/>
  <c r="V846" i="1" s="1"/>
  <c r="V847" i="1" a="1"/>
  <c r="V847" i="1" s="1"/>
  <c r="V848" i="1" a="1"/>
  <c r="V848" i="1" s="1"/>
  <c r="V849" i="1" a="1"/>
  <c r="V849" i="1" s="1"/>
  <c r="V850" i="1" a="1"/>
  <c r="V850" i="1"/>
  <c r="V851" i="1" a="1"/>
  <c r="V851" i="1"/>
  <c r="V852" i="1" a="1"/>
  <c r="V852" i="1" s="1"/>
  <c r="V853" i="1" a="1"/>
  <c r="V853" i="1"/>
  <c r="V854" i="1" a="1"/>
  <c r="V854" i="1"/>
  <c r="V855" i="1" a="1"/>
  <c r="V855" i="1" s="1"/>
  <c r="V856" i="1" a="1"/>
  <c r="V856" i="1" s="1"/>
  <c r="V857" i="1" a="1"/>
  <c r="V857" i="1" s="1"/>
  <c r="V858" i="1" a="1"/>
  <c r="V858" i="1" s="1"/>
  <c r="V859" i="1" a="1"/>
  <c r="V859" i="1"/>
  <c r="V860" i="1" a="1"/>
  <c r="V860" i="1" s="1"/>
  <c r="V861" i="1" a="1"/>
  <c r="V861" i="1" s="1"/>
  <c r="V862" i="1" a="1"/>
  <c r="V862" i="1"/>
  <c r="V863" i="1" a="1"/>
  <c r="V863" i="1"/>
  <c r="V864" i="1" a="1"/>
  <c r="V864" i="1" s="1"/>
  <c r="V865" i="1" a="1"/>
  <c r="V865" i="1" s="1"/>
  <c r="V866" i="1" a="1"/>
  <c r="V866" i="1"/>
  <c r="V867" i="1" a="1"/>
  <c r="V867" i="1"/>
  <c r="V868" i="1" a="1"/>
  <c r="V868" i="1"/>
  <c r="V869" i="1" a="1"/>
  <c r="V869" i="1" s="1"/>
  <c r="V870" i="1" a="1"/>
  <c r="V870" i="1"/>
  <c r="V871" i="1" a="1"/>
  <c r="V871" i="1"/>
  <c r="V872" i="1" a="1"/>
  <c r="V872" i="1" s="1"/>
  <c r="V873" i="1" a="1"/>
  <c r="V873" i="1" s="1"/>
  <c r="V874" i="1" a="1"/>
  <c r="V874" i="1"/>
  <c r="V875" i="1" a="1"/>
  <c r="V875" i="1"/>
  <c r="V876" i="1" a="1"/>
  <c r="V876" i="1" s="1"/>
  <c r="V877" i="1" a="1"/>
  <c r="V877" i="1" s="1"/>
  <c r="V878" i="1" a="1"/>
  <c r="V878" i="1"/>
  <c r="V879" i="1" a="1"/>
  <c r="V879" i="1"/>
  <c r="V880" i="1" a="1"/>
  <c r="V880" i="1"/>
  <c r="V881" i="1" a="1"/>
  <c r="V881" i="1" s="1"/>
  <c r="V882" i="1" a="1"/>
  <c r="V882" i="1"/>
  <c r="V883" i="1" a="1"/>
  <c r="V883" i="1"/>
  <c r="V884" i="1" a="1"/>
  <c r="V884" i="1" s="1"/>
  <c r="V885" i="1" a="1"/>
  <c r="V885" i="1" s="1"/>
  <c r="V886" i="1" a="1"/>
  <c r="V886" i="1"/>
  <c r="V887" i="1" a="1"/>
  <c r="V887" i="1"/>
  <c r="V888" i="1" a="1"/>
  <c r="V888" i="1"/>
  <c r="V889" i="1" a="1"/>
  <c r="V889" i="1" s="1"/>
  <c r="V890" i="1" a="1"/>
  <c r="V890" i="1"/>
  <c r="V891" i="1" a="1"/>
  <c r="V891" i="1"/>
  <c r="V892" i="1" a="1"/>
  <c r="V892" i="1"/>
  <c r="V893" i="1" a="1"/>
  <c r="V893" i="1" s="1"/>
  <c r="V894" i="1" a="1"/>
  <c r="V894" i="1"/>
  <c r="V895" i="1" a="1"/>
  <c r="V895" i="1"/>
  <c r="V896" i="1" a="1"/>
  <c r="V896" i="1" s="1"/>
  <c r="V897" i="1" a="1"/>
  <c r="V897" i="1" s="1"/>
  <c r="V898" i="1" a="1"/>
  <c r="V898" i="1"/>
  <c r="V899" i="1" a="1"/>
  <c r="V899" i="1"/>
  <c r="V900" i="1" a="1"/>
  <c r="V900" i="1"/>
  <c r="V901" i="1" a="1"/>
  <c r="V901" i="1" s="1"/>
  <c r="V902" i="1" a="1"/>
  <c r="V902" i="1"/>
  <c r="V903" i="1" a="1"/>
  <c r="V903" i="1"/>
  <c r="V904" i="1" a="1"/>
  <c r="V904" i="1" s="1"/>
  <c r="V905" i="1" a="1"/>
  <c r="V905" i="1" s="1"/>
  <c r="V906" i="1" a="1"/>
  <c r="V906" i="1"/>
  <c r="V907" i="1" a="1"/>
  <c r="V907" i="1"/>
  <c r="V908" i="1" a="1"/>
  <c r="V908" i="1" s="1"/>
  <c r="V909" i="1" a="1"/>
  <c r="V909" i="1" s="1"/>
  <c r="V910" i="1" a="1"/>
  <c r="V910" i="1"/>
  <c r="V911" i="1" a="1"/>
  <c r="V911" i="1"/>
  <c r="V912" i="1" a="1"/>
  <c r="V912" i="1"/>
  <c r="V913" i="1" a="1"/>
  <c r="V913" i="1" s="1"/>
  <c r="V914" i="1" a="1"/>
  <c r="V914" i="1"/>
  <c r="V915" i="1" a="1"/>
  <c r="V915" i="1"/>
  <c r="V916" i="1" a="1"/>
  <c r="V916" i="1" s="1"/>
  <c r="V917" i="1" a="1"/>
  <c r="V917" i="1" s="1"/>
  <c r="V918" i="1" a="1"/>
  <c r="V918" i="1"/>
  <c r="V919" i="1" a="1"/>
  <c r="V919" i="1"/>
  <c r="V920" i="1" a="1"/>
  <c r="V920" i="1"/>
  <c r="V921" i="1" a="1"/>
  <c r="V921" i="1" s="1"/>
  <c r="V922" i="1" a="1"/>
  <c r="V922" i="1"/>
  <c r="V923" i="1" a="1"/>
  <c r="V923" i="1"/>
  <c r="V924" i="1" a="1"/>
  <c r="V924" i="1"/>
  <c r="V925" i="1" a="1"/>
  <c r="V925" i="1" s="1"/>
  <c r="V926" i="1" a="1"/>
  <c r="V926" i="1"/>
  <c r="V927" i="1" a="1"/>
  <c r="V927" i="1"/>
  <c r="V928" i="1" a="1"/>
  <c r="V928" i="1" s="1"/>
  <c r="V929" i="1" a="1"/>
  <c r="V929" i="1" s="1"/>
  <c r="V930" i="1" a="1"/>
  <c r="V930" i="1"/>
  <c r="V931" i="1" a="1"/>
  <c r="V931" i="1"/>
  <c r="V932" i="1" a="1"/>
  <c r="V932" i="1"/>
  <c r="V933" i="1" a="1"/>
  <c r="V933" i="1" s="1"/>
  <c r="V934" i="1" a="1"/>
  <c r="V934" i="1"/>
  <c r="V935" i="1" a="1"/>
  <c r="V935" i="1"/>
  <c r="V936" i="1" a="1"/>
  <c r="V936" i="1" s="1"/>
  <c r="V937" i="1" a="1"/>
  <c r="V937" i="1" s="1"/>
  <c r="V938" i="1" a="1"/>
  <c r="V938" i="1"/>
  <c r="V939" i="1" a="1"/>
  <c r="V939" i="1"/>
  <c r="V940" i="1" a="1"/>
  <c r="V940" i="1" s="1"/>
  <c r="V941" i="1" a="1"/>
  <c r="V941" i="1" s="1"/>
  <c r="V942" i="1" a="1"/>
  <c r="V942" i="1"/>
  <c r="V943" i="1" a="1"/>
  <c r="V943" i="1"/>
  <c r="V944" i="1" a="1"/>
  <c r="V944" i="1"/>
  <c r="V945" i="1" a="1"/>
  <c r="V945" i="1" s="1"/>
  <c r="V946" i="1" a="1"/>
  <c r="V946" i="1"/>
  <c r="V947" i="1" a="1"/>
  <c r="V947" i="1"/>
  <c r="V948" i="1" a="1"/>
  <c r="V948" i="1" s="1"/>
  <c r="V949" i="1" a="1"/>
  <c r="V949" i="1" s="1"/>
  <c r="V950" i="1" a="1"/>
  <c r="V950" i="1"/>
  <c r="V951" i="1" a="1"/>
  <c r="V951" i="1"/>
  <c r="V952" i="1" a="1"/>
  <c r="V952" i="1"/>
  <c r="V953" i="1" a="1"/>
  <c r="V953" i="1" s="1"/>
  <c r="V954" i="1" a="1"/>
  <c r="V954" i="1"/>
  <c r="V955" i="1" a="1"/>
  <c r="V955" i="1"/>
  <c r="V956" i="1" a="1"/>
  <c r="V956" i="1"/>
  <c r="V957" i="1" a="1"/>
  <c r="V957" i="1" s="1"/>
  <c r="V958" i="1" a="1"/>
  <c r="V958" i="1"/>
  <c r="V959" i="1" a="1"/>
  <c r="V959" i="1"/>
  <c r="V960" i="1" a="1"/>
  <c r="V960" i="1" s="1"/>
  <c r="V961" i="1" a="1"/>
  <c r="V961" i="1" s="1"/>
  <c r="V962" i="1" a="1"/>
  <c r="V962" i="1"/>
  <c r="V963" i="1" a="1"/>
  <c r="V963" i="1" s="1"/>
  <c r="V964" i="1" a="1"/>
  <c r="V964" i="1" s="1"/>
  <c r="V965" i="1" a="1"/>
  <c r="V965" i="1" s="1"/>
  <c r="V966" i="1" a="1"/>
  <c r="V966" i="1"/>
  <c r="V967" i="1" a="1"/>
  <c r="V967" i="1" s="1"/>
  <c r="V968" i="1" a="1"/>
  <c r="V968" i="1"/>
  <c r="V969" i="1" a="1"/>
  <c r="V969" i="1" s="1"/>
  <c r="V970" i="1" a="1"/>
  <c r="V970" i="1"/>
  <c r="V971" i="1" a="1"/>
  <c r="V971" i="1" s="1"/>
  <c r="V972" i="1" a="1"/>
  <c r="V972" i="1"/>
  <c r="V973" i="1" a="1"/>
  <c r="V973" i="1" s="1"/>
  <c r="V974" i="1" a="1"/>
  <c r="V974" i="1" s="1"/>
  <c r="V975" i="1" a="1"/>
  <c r="V975" i="1" s="1"/>
  <c r="V976" i="1" a="1"/>
  <c r="V976" i="1" s="1"/>
  <c r="V977" i="1" a="1"/>
  <c r="V977" i="1" s="1"/>
  <c r="V978" i="1" a="1"/>
  <c r="V978" i="1" s="1"/>
  <c r="V979" i="1" a="1"/>
  <c r="V979" i="1" s="1"/>
  <c r="V980" i="1" a="1"/>
  <c r="V980" i="1" s="1"/>
  <c r="V981" i="1" a="1"/>
  <c r="V981" i="1" s="1"/>
  <c r="V982" i="1" a="1"/>
  <c r="V982" i="1"/>
  <c r="V983" i="1" a="1"/>
  <c r="V983" i="1" s="1"/>
  <c r="V984" i="1" a="1"/>
  <c r="V984" i="1"/>
  <c r="V985" i="1" a="1"/>
  <c r="V985" i="1" s="1"/>
  <c r="V986" i="1" a="1"/>
  <c r="V986" i="1"/>
  <c r="V987" i="1" a="1"/>
  <c r="V987" i="1" s="1"/>
  <c r="V988" i="1" a="1"/>
  <c r="V988" i="1"/>
  <c r="V989" i="1" a="1"/>
  <c r="V989" i="1" s="1"/>
  <c r="V990" i="1" a="1"/>
  <c r="V990" i="1" s="1"/>
  <c r="V991" i="1" a="1"/>
  <c r="V991" i="1" s="1"/>
  <c r="V992" i="1" a="1"/>
  <c r="V992" i="1" s="1"/>
  <c r="V993" i="1" a="1"/>
  <c r="V993" i="1" s="1"/>
  <c r="V994" i="1" a="1"/>
  <c r="V994" i="1" s="1"/>
  <c r="V995" i="1" a="1"/>
  <c r="V995" i="1" s="1"/>
  <c r="V996" i="1" a="1"/>
  <c r="V996" i="1" s="1"/>
  <c r="V997" i="1" a="1"/>
  <c r="V997" i="1" s="1"/>
  <c r="V998" i="1" a="1"/>
  <c r="V998" i="1"/>
  <c r="V999" i="1" a="1"/>
  <c r="V999" i="1" s="1"/>
  <c r="V1000" i="1" a="1"/>
  <c r="V1000" i="1"/>
  <c r="V1001" i="1" a="1"/>
  <c r="V1001" i="1" s="1"/>
  <c r="V1002" i="1" a="1"/>
  <c r="V1002" i="1"/>
  <c r="V1003" i="1" a="1"/>
  <c r="V1003" i="1" s="1"/>
  <c r="V1004" i="1" a="1"/>
  <c r="V1004" i="1"/>
  <c r="V1005" i="1" a="1"/>
  <c r="V1005" i="1" s="1"/>
  <c r="V1006" i="1" a="1"/>
  <c r="V1006" i="1" s="1"/>
  <c r="V1007" i="1" a="1"/>
  <c r="V1007" i="1" s="1"/>
  <c r="V1008" i="1" a="1"/>
  <c r="V1008" i="1" s="1"/>
  <c r="V1009" i="1" a="1"/>
  <c r="V1009" i="1" s="1"/>
  <c r="V1010" i="1" a="1"/>
  <c r="V1010" i="1" s="1"/>
  <c r="V1011" i="1" a="1"/>
  <c r="V1011" i="1" s="1"/>
  <c r="V1012" i="1" a="1"/>
  <c r="V1012" i="1" s="1"/>
  <c r="V1013" i="1" a="1"/>
  <c r="V1013" i="1" s="1"/>
  <c r="V1014" i="1" a="1"/>
  <c r="V1014" i="1"/>
  <c r="V1015" i="1" a="1"/>
  <c r="V1015" i="1" s="1"/>
  <c r="V1016" i="1" a="1"/>
  <c r="V1016" i="1"/>
  <c r="V1017" i="1" a="1"/>
  <c r="V1017" i="1" s="1"/>
  <c r="V1018" i="1" a="1"/>
  <c r="V1018" i="1"/>
  <c r="V1019" i="1" a="1"/>
  <c r="V1019" i="1" s="1"/>
  <c r="V1020" i="1" a="1"/>
  <c r="V1020" i="1"/>
  <c r="V1021" i="1" a="1"/>
  <c r="V1021" i="1" s="1"/>
  <c r="V1022" i="1" a="1"/>
  <c r="V1022" i="1" s="1"/>
  <c r="V1023" i="1" a="1"/>
  <c r="V1023" i="1" s="1"/>
  <c r="V1024" i="1" a="1"/>
  <c r="V1024" i="1" s="1"/>
  <c r="V1025" i="1" a="1"/>
  <c r="V1025" i="1" s="1"/>
  <c r="V1026" i="1" a="1"/>
  <c r="V1026" i="1" s="1"/>
  <c r="V1027" i="1" a="1"/>
  <c r="V1027" i="1" s="1"/>
  <c r="V1028" i="1" a="1"/>
  <c r="V1028" i="1" s="1"/>
  <c r="V1029" i="1" a="1"/>
  <c r="V1029" i="1" s="1"/>
  <c r="V1030" i="1" a="1"/>
  <c r="V1030" i="1"/>
  <c r="V1031" i="1" a="1"/>
  <c r="V1031" i="1" s="1"/>
  <c r="V1032" i="1" a="1"/>
  <c r="V1032" i="1"/>
  <c r="V1033" i="1" a="1"/>
  <c r="V1033" i="1" s="1"/>
  <c r="V1034" i="1" a="1"/>
  <c r="V1034" i="1"/>
  <c r="V1035" i="1" a="1"/>
  <c r="V1035" i="1" s="1"/>
  <c r="V1036" i="1" a="1"/>
  <c r="V1036" i="1"/>
  <c r="V1037" i="1" a="1"/>
  <c r="V1037" i="1" s="1"/>
  <c r="V1038" i="1" a="1"/>
  <c r="V1038" i="1" s="1"/>
  <c r="V1039" i="1" a="1"/>
  <c r="V1039" i="1" s="1"/>
  <c r="V1040" i="1" a="1"/>
  <c r="V1040" i="1" s="1"/>
  <c r="V1041" i="1" a="1"/>
  <c r="V1041" i="1" s="1"/>
  <c r="V1042" i="1" a="1"/>
  <c r="V1042" i="1" s="1"/>
  <c r="V1043" i="1" a="1"/>
  <c r="V1043" i="1" s="1"/>
  <c r="V1044" i="1" a="1"/>
  <c r="V1044" i="1" s="1"/>
  <c r="V1045" i="1" a="1"/>
  <c r="V1045" i="1" s="1"/>
  <c r="V1046" i="1" a="1"/>
  <c r="V1046" i="1"/>
  <c r="V1047" i="1" a="1"/>
  <c r="V1047" i="1"/>
  <c r="V1048" i="1" a="1"/>
  <c r="V1048" i="1" s="1"/>
  <c r="V1049" i="1" a="1"/>
  <c r="V1049" i="1" s="1"/>
  <c r="V1050" i="1" a="1"/>
  <c r="V1050" i="1"/>
  <c r="V1051" i="1" a="1"/>
  <c r="V1051" i="1"/>
  <c r="V1052" i="1" a="1"/>
  <c r="V1052" i="1" s="1"/>
  <c r="V1053" i="1" a="1"/>
  <c r="V1053" i="1" s="1"/>
  <c r="V1054" i="1" a="1"/>
  <c r="V1054" i="1"/>
  <c r="V1055" i="1" a="1"/>
  <c r="V1055" i="1"/>
  <c r="V1056" i="1" a="1"/>
  <c r="V1056" i="1" s="1"/>
  <c r="V1057" i="1" a="1"/>
  <c r="V1057" i="1" s="1"/>
  <c r="V1058" i="1" a="1"/>
  <c r="V1058" i="1"/>
  <c r="V1059" i="1" a="1"/>
  <c r="V1059" i="1"/>
  <c r="V1060" i="1" a="1"/>
  <c r="V1060" i="1" s="1"/>
  <c r="V1061" i="1" a="1"/>
  <c r="V1061" i="1" s="1"/>
  <c r="V1062" i="1" a="1"/>
  <c r="V1062" i="1"/>
  <c r="V1063" i="1" a="1"/>
  <c r="V1063" i="1"/>
  <c r="V1064" i="1" a="1"/>
  <c r="V1064" i="1" s="1"/>
  <c r="V1065" i="1" a="1"/>
  <c r="V1065" i="1" s="1"/>
  <c r="V1066" i="1" a="1"/>
  <c r="V1066" i="1"/>
  <c r="V1067" i="1" a="1"/>
  <c r="V1067" i="1"/>
  <c r="V1068" i="1" a="1"/>
  <c r="V1068" i="1" s="1"/>
  <c r="V1069" i="1" a="1"/>
  <c r="V1069" i="1" s="1"/>
  <c r="V1070" i="1" a="1"/>
  <c r="V1070" i="1"/>
  <c r="V1071" i="1" a="1"/>
  <c r="V1071" i="1"/>
  <c r="V1072" i="1" a="1"/>
  <c r="V1072" i="1" s="1"/>
  <c r="V1073" i="1" a="1"/>
  <c r="V1073" i="1" s="1"/>
  <c r="V1074" i="1" a="1"/>
  <c r="V1074" i="1"/>
  <c r="V1075" i="1" a="1"/>
  <c r="V1075" i="1"/>
  <c r="V1076" i="1" a="1"/>
  <c r="V1076" i="1" s="1"/>
  <c r="V1077" i="1" a="1"/>
  <c r="V1077" i="1" s="1"/>
  <c r="V1078" i="1" a="1"/>
  <c r="V1078" i="1"/>
  <c r="V1079" i="1" a="1"/>
  <c r="V1079" i="1"/>
  <c r="V1080" i="1" a="1"/>
  <c r="V1080" i="1" s="1"/>
  <c r="V1081" i="1" a="1"/>
  <c r="V1081" i="1" s="1"/>
  <c r="V1082" i="1" a="1"/>
  <c r="V1082" i="1"/>
  <c r="V1083" i="1" a="1"/>
  <c r="V1083" i="1"/>
  <c r="V1084" i="1" a="1"/>
  <c r="V1084" i="1" s="1"/>
  <c r="V1085" i="1" a="1"/>
  <c r="V1085" i="1" s="1"/>
  <c r="V1086" i="1" a="1"/>
  <c r="V1086" i="1"/>
  <c r="V1087" i="1" a="1"/>
  <c r="V1087" i="1"/>
  <c r="V1088" i="1" a="1"/>
  <c r="V1088" i="1" s="1"/>
  <c r="V1089" i="1" a="1"/>
  <c r="V1089" i="1" s="1"/>
  <c r="V1090" i="1" a="1"/>
  <c r="V1090" i="1"/>
  <c r="V1091" i="1" a="1"/>
  <c r="V1091" i="1"/>
  <c r="V1092" i="1" a="1"/>
  <c r="V1092" i="1" s="1"/>
  <c r="V1093" i="1" a="1"/>
  <c r="V1093" i="1" s="1"/>
  <c r="V1094" i="1" a="1"/>
  <c r="V1094" i="1"/>
  <c r="V1095" i="1" a="1"/>
  <c r="V1095" i="1"/>
  <c r="V1096" i="1" a="1"/>
  <c r="V1096" i="1" s="1"/>
  <c r="V1097" i="1" a="1"/>
  <c r="V1097" i="1" s="1"/>
  <c r="V1098" i="1" a="1"/>
  <c r="V1098" i="1"/>
  <c r="V1099" i="1" a="1"/>
  <c r="V1099" i="1"/>
  <c r="V1100" i="1" a="1"/>
  <c r="V1100" i="1" s="1"/>
  <c r="V1101" i="1" a="1"/>
  <c r="V1101" i="1" s="1"/>
  <c r="V1102" i="1" a="1"/>
  <c r="V1102" i="1"/>
  <c r="V1103" i="1" a="1"/>
  <c r="V1103" i="1"/>
  <c r="V1104" i="1" a="1"/>
  <c r="V1104" i="1" s="1"/>
  <c r="V1105" i="1" a="1"/>
  <c r="V1105" i="1" s="1"/>
  <c r="V1106" i="1" a="1"/>
  <c r="V1106" i="1"/>
  <c r="V1107" i="1" a="1"/>
  <c r="V1107" i="1"/>
  <c r="V1108" i="1" a="1"/>
  <c r="V1108" i="1" s="1"/>
  <c r="V1109" i="1" a="1"/>
  <c r="V1109" i="1" s="1"/>
  <c r="V1110" i="1" a="1"/>
  <c r="V1110" i="1"/>
  <c r="V1111" i="1" a="1"/>
  <c r="V1111" i="1"/>
  <c r="V1112" i="1" a="1"/>
  <c r="V1112" i="1" s="1"/>
  <c r="V1113" i="1" a="1"/>
  <c r="V1113" i="1" s="1"/>
  <c r="V1114" i="1" a="1"/>
  <c r="V1114" i="1"/>
  <c r="V1115" i="1" a="1"/>
  <c r="V1115" i="1"/>
  <c r="V1116" i="1" a="1"/>
  <c r="V1116" i="1" s="1"/>
  <c r="V1117" i="1" a="1"/>
  <c r="V1117" i="1" s="1"/>
  <c r="V1118" i="1" a="1"/>
  <c r="V1118" i="1"/>
  <c r="V1119" i="1" a="1"/>
  <c r="V1119" i="1"/>
  <c r="V1120" i="1" a="1"/>
  <c r="V1120" i="1" s="1"/>
  <c r="V1121" i="1" a="1"/>
  <c r="V1121" i="1" s="1"/>
  <c r="V1122" i="1" a="1"/>
  <c r="V1122" i="1"/>
  <c r="V1123" i="1" a="1"/>
  <c r="V1123" i="1"/>
  <c r="V1124" i="1" a="1"/>
  <c r="V1124" i="1" s="1"/>
  <c r="V1125" i="1" a="1"/>
  <c r="V1125" i="1" s="1"/>
  <c r="V1126" i="1" a="1"/>
  <c r="V1126" i="1"/>
  <c r="V1127" i="1" a="1"/>
  <c r="V1127" i="1"/>
  <c r="V1128" i="1" a="1"/>
  <c r="V1128" i="1" s="1"/>
  <c r="V1129" i="1" a="1"/>
  <c r="V1129" i="1" s="1"/>
  <c r="V1130" i="1" a="1"/>
  <c r="V1130" i="1"/>
  <c r="V1131" i="1" a="1"/>
  <c r="V1131" i="1"/>
  <c r="V1132" i="1" a="1"/>
  <c r="V1132" i="1" s="1"/>
  <c r="V1133" i="1" a="1"/>
  <c r="V1133" i="1" s="1"/>
  <c r="V1134" i="1" a="1"/>
  <c r="V1134" i="1"/>
  <c r="V1135" i="1" a="1"/>
  <c r="V1135" i="1"/>
  <c r="V1136" i="1" a="1"/>
  <c r="V1136" i="1" s="1"/>
  <c r="V1137" i="1" a="1"/>
  <c r="V1137" i="1" s="1"/>
  <c r="V1138" i="1" a="1"/>
  <c r="V1138" i="1"/>
  <c r="V1139" i="1" a="1"/>
  <c r="V1139" i="1"/>
  <c r="V1140" i="1" a="1"/>
  <c r="V1140" i="1" s="1"/>
  <c r="V1141" i="1" a="1"/>
  <c r="V1141" i="1" s="1"/>
  <c r="V1142" i="1" a="1"/>
  <c r="V1142" i="1"/>
  <c r="V1143" i="1" a="1"/>
  <c r="V1143" i="1"/>
  <c r="V1144" i="1" a="1"/>
  <c r="V1144" i="1" s="1"/>
  <c r="V1145" i="1" a="1"/>
  <c r="V1145" i="1" s="1"/>
  <c r="V1146" i="1" a="1"/>
  <c r="V1146" i="1"/>
  <c r="V1147" i="1" a="1"/>
  <c r="V1147" i="1"/>
  <c r="V1148" i="1" a="1"/>
  <c r="V1148" i="1" s="1"/>
  <c r="V1149" i="1" a="1"/>
  <c r="V1149" i="1" s="1"/>
  <c r="V1150" i="1" a="1"/>
  <c r="V1150" i="1"/>
  <c r="V1151" i="1" a="1"/>
  <c r="V1151" i="1"/>
  <c r="V1152" i="1" a="1"/>
  <c r="V1152" i="1" s="1"/>
  <c r="V1153" i="1" a="1"/>
  <c r="V1153" i="1" s="1"/>
  <c r="V1154" i="1" a="1"/>
  <c r="V1154" i="1"/>
  <c r="V1155" i="1" a="1"/>
  <c r="V1155" i="1"/>
  <c r="V1156" i="1" a="1"/>
  <c r="V1156" i="1" s="1"/>
  <c r="V1157" i="1" a="1"/>
  <c r="V1157" i="1" s="1"/>
  <c r="V1158" i="1" a="1"/>
  <c r="V1158" i="1"/>
  <c r="V1159" i="1" a="1"/>
  <c r="V1159" i="1"/>
  <c r="V1160" i="1" a="1"/>
  <c r="V1160" i="1" s="1"/>
  <c r="V1161" i="1" a="1"/>
  <c r="V1161" i="1" s="1"/>
  <c r="V1162" i="1" a="1"/>
  <c r="V1162" i="1"/>
  <c r="V1163" i="1" a="1"/>
  <c r="V1163" i="1"/>
  <c r="V1164" i="1" a="1"/>
  <c r="V1164" i="1" s="1"/>
  <c r="V1165" i="1" a="1"/>
  <c r="V1165" i="1" s="1"/>
  <c r="V1166" i="1" a="1"/>
  <c r="V1166" i="1"/>
  <c r="V1167" i="1" a="1"/>
  <c r="V1167" i="1"/>
  <c r="V1168" i="1" a="1"/>
  <c r="V1168" i="1" s="1"/>
  <c r="V1169" i="1" a="1"/>
  <c r="V1169" i="1" s="1"/>
  <c r="V1170" i="1" a="1"/>
  <c r="V1170" i="1"/>
  <c r="V1171" i="1" a="1"/>
  <c r="V1171" i="1"/>
  <c r="V1172" i="1" a="1"/>
  <c r="V1172" i="1" s="1"/>
  <c r="V1173" i="1" a="1"/>
  <c r="V1173" i="1" s="1"/>
  <c r="V1174" i="1" a="1"/>
  <c r="V1174" i="1"/>
  <c r="V1175" i="1" a="1"/>
  <c r="V1175" i="1"/>
  <c r="V1176" i="1" a="1"/>
  <c r="V1176" i="1" s="1"/>
  <c r="V1177" i="1" a="1"/>
  <c r="V1177" i="1" s="1"/>
  <c r="V1178" i="1" a="1"/>
  <c r="V1178" i="1"/>
  <c r="V1179" i="1" a="1"/>
  <c r="V1179" i="1"/>
  <c r="V1180" i="1" a="1"/>
  <c r="V1180" i="1" s="1"/>
  <c r="V1181" i="1" a="1"/>
  <c r="V1181" i="1" s="1"/>
  <c r="V1182" i="1" a="1"/>
  <c r="V1182" i="1"/>
  <c r="V1183" i="1" a="1"/>
  <c r="V1183" i="1"/>
  <c r="V1184" i="1" a="1"/>
  <c r="V1184" i="1" s="1"/>
  <c r="V1185" i="1" a="1"/>
  <c r="V1185" i="1" s="1"/>
  <c r="V1186" i="1" a="1"/>
  <c r="V1186" i="1"/>
  <c r="V1187" i="1" a="1"/>
  <c r="V1187" i="1"/>
  <c r="V1188" i="1" a="1"/>
  <c r="V1188" i="1" s="1"/>
  <c r="V1189" i="1" a="1"/>
  <c r="V1189" i="1" s="1"/>
  <c r="V1190" i="1" a="1"/>
  <c r="V1190" i="1"/>
  <c r="V1191" i="1" a="1"/>
  <c r="V1191" i="1"/>
  <c r="V1192" i="1" a="1"/>
  <c r="V1192" i="1" s="1"/>
  <c r="V1193" i="1" a="1"/>
  <c r="V1193" i="1" s="1"/>
  <c r="V1194" i="1" a="1"/>
  <c r="V1194" i="1"/>
  <c r="V1195" i="1" a="1"/>
  <c r="V1195" i="1"/>
  <c r="V1196" i="1" a="1"/>
  <c r="V1196" i="1" s="1"/>
  <c r="V1197" i="1" a="1"/>
  <c r="V1197" i="1" s="1"/>
  <c r="V1198" i="1" a="1"/>
  <c r="V1198" i="1"/>
  <c r="V1199" i="1" a="1"/>
  <c r="V1199" i="1"/>
  <c r="V1200" i="1" a="1"/>
  <c r="V1200" i="1" s="1"/>
  <c r="V1201" i="1" a="1"/>
  <c r="V1201" i="1" s="1"/>
  <c r="V1202" i="1" a="1"/>
  <c r="V1202" i="1"/>
  <c r="V1203" i="1" a="1"/>
  <c r="V1203" i="1"/>
  <c r="V1204" i="1" a="1"/>
  <c r="V1204" i="1" s="1"/>
  <c r="V1205" i="1" a="1"/>
  <c r="V1205" i="1" s="1"/>
  <c r="V1206" i="1" a="1"/>
  <c r="V1206" i="1"/>
  <c r="V1207" i="1" a="1"/>
  <c r="V1207" i="1"/>
  <c r="V1208" i="1" a="1"/>
  <c r="V1208" i="1" s="1"/>
  <c r="V1209" i="1" a="1"/>
  <c r="V1209" i="1" s="1"/>
  <c r="V1210" i="1" a="1"/>
  <c r="V1210" i="1"/>
  <c r="V1211" i="1" a="1"/>
  <c r="V1211" i="1"/>
  <c r="V1212" i="1" a="1"/>
  <c r="V1212" i="1" s="1"/>
  <c r="V1213" i="1" a="1"/>
  <c r="V1213" i="1" s="1"/>
  <c r="V1214" i="1" a="1"/>
  <c r="V1214" i="1"/>
  <c r="V1215" i="1" a="1"/>
  <c r="V1215" i="1"/>
  <c r="V1216" i="1" a="1"/>
  <c r="V1216" i="1" s="1"/>
  <c r="V1217" i="1" a="1"/>
  <c r="V1217" i="1" s="1"/>
  <c r="V1218" i="1" a="1"/>
  <c r="V1218" i="1"/>
  <c r="N3" i="2"/>
  <c r="O3" i="2" s="1" a="1"/>
  <c r="O3" i="2" s="1"/>
  <c r="N4" i="2"/>
  <c r="O4" i="2" s="1" a="1"/>
  <c r="O4" i="2" s="1"/>
  <c r="N5" i="2"/>
  <c r="O5" i="2" s="1" a="1"/>
  <c r="O5" i="2" s="1"/>
  <c r="N6" i="2"/>
  <c r="O6" i="2" s="1" a="1"/>
  <c r="O6" i="2" s="1"/>
  <c r="N7" i="2"/>
  <c r="O7" i="2" s="1" a="1"/>
  <c r="O7" i="2" s="1"/>
  <c r="N8" i="2"/>
  <c r="O8" i="2" s="1" a="1"/>
  <c r="O8" i="2" s="1"/>
  <c r="N9" i="2"/>
  <c r="O9" i="2" s="1" a="1"/>
  <c r="O9" i="2" s="1"/>
  <c r="N10" i="2"/>
  <c r="O10" i="2" s="1" a="1"/>
  <c r="O10" i="2" s="1"/>
  <c r="N11" i="2"/>
  <c r="O11" i="2" s="1" a="1"/>
  <c r="O11" i="2" s="1"/>
  <c r="N12" i="2"/>
  <c r="O12" i="2" s="1" a="1"/>
  <c r="O12" i="2" s="1"/>
  <c r="N13" i="2"/>
  <c r="O13" i="2" s="1" a="1"/>
  <c r="O13" i="2" s="1"/>
  <c r="N14" i="2"/>
  <c r="O14" i="2" s="1" a="1"/>
  <c r="O14" i="2" s="1"/>
  <c r="N15" i="2"/>
  <c r="O15" i="2" s="1" a="1"/>
  <c r="O15" i="2" s="1"/>
  <c r="N16" i="2"/>
  <c r="O16" i="2" s="1" a="1"/>
  <c r="O16" i="2" s="1"/>
  <c r="N17" i="2"/>
  <c r="O17" i="2" s="1" a="1"/>
  <c r="O17" i="2" s="1"/>
  <c r="N18" i="2"/>
  <c r="O18" i="2" s="1" a="1"/>
  <c r="O18" i="2" s="1"/>
  <c r="N19" i="2"/>
  <c r="O19" i="2" s="1" a="1"/>
  <c r="O19" i="2" s="1"/>
  <c r="N20" i="2"/>
  <c r="O20" i="2" s="1" a="1"/>
  <c r="O20" i="2" s="1"/>
  <c r="N21" i="2"/>
  <c r="O21" i="2" s="1" a="1"/>
  <c r="O21" i="2" s="1"/>
  <c r="N22" i="2"/>
  <c r="O22" i="2" s="1" a="1"/>
  <c r="O22" i="2" s="1"/>
  <c r="N23" i="2"/>
  <c r="O23" i="2" s="1" a="1"/>
  <c r="O23" i="2" s="1"/>
  <c r="N24" i="2"/>
  <c r="O24" i="2" s="1" a="1"/>
  <c r="O24" i="2" s="1"/>
  <c r="N25" i="2"/>
  <c r="O25" i="2" s="1" a="1"/>
  <c r="O25" i="2" s="1"/>
  <c r="N26" i="2"/>
  <c r="O26" i="2" s="1" a="1"/>
  <c r="O26" i="2" s="1"/>
  <c r="N27" i="2"/>
  <c r="O27" i="2" s="1" a="1"/>
  <c r="O27" i="2" s="1"/>
  <c r="N28" i="2"/>
  <c r="O28" i="2" s="1" a="1"/>
  <c r="O28" i="2" s="1"/>
  <c r="N29" i="2"/>
  <c r="O29" i="2" s="1" a="1"/>
  <c r="O29" i="2" s="1"/>
  <c r="N30" i="2"/>
  <c r="O30" i="2" s="1" a="1"/>
  <c r="O30" i="2" s="1"/>
  <c r="N31" i="2"/>
  <c r="O31" i="2" s="1" a="1"/>
  <c r="O31" i="2" s="1"/>
  <c r="N32" i="2"/>
  <c r="O32" i="2" s="1" a="1"/>
  <c r="O32" i="2" s="1"/>
  <c r="N33" i="2"/>
  <c r="O33" i="2" s="1" a="1"/>
  <c r="O33" i="2" s="1"/>
  <c r="N34" i="2"/>
  <c r="O34" i="2" s="1" a="1"/>
  <c r="O34" i="2" s="1"/>
  <c r="N35" i="2"/>
  <c r="O35" i="2" s="1" a="1"/>
  <c r="O35" i="2" s="1"/>
  <c r="N36" i="2"/>
  <c r="O36" i="2" s="1" a="1"/>
  <c r="O36" i="2" s="1"/>
  <c r="N37" i="2"/>
  <c r="O37" i="2" s="1" a="1"/>
  <c r="O37" i="2" s="1"/>
  <c r="N38" i="2"/>
  <c r="O38" i="2" s="1" a="1"/>
  <c r="O38" i="2" s="1"/>
  <c r="N39" i="2"/>
  <c r="O39" i="2" s="1" a="1"/>
  <c r="O39" i="2" s="1"/>
  <c r="N40" i="2"/>
  <c r="O40" i="2" s="1" a="1"/>
  <c r="O40" i="2" s="1"/>
  <c r="N41" i="2"/>
  <c r="O41" i="2" s="1" a="1"/>
  <c r="O41" i="2" s="1"/>
  <c r="N42" i="2"/>
  <c r="O42" i="2" s="1" a="1"/>
  <c r="O42" i="2" s="1"/>
  <c r="N43" i="2"/>
  <c r="O43" i="2" s="1" a="1"/>
  <c r="O43" i="2" s="1"/>
  <c r="N44" i="2"/>
  <c r="O44" i="2" s="1" a="1"/>
  <c r="O44" i="2" s="1"/>
  <c r="N45" i="2"/>
  <c r="O45" i="2" s="1" a="1"/>
  <c r="O45" i="2" s="1"/>
  <c r="N46" i="2"/>
  <c r="O46" i="2" s="1" a="1"/>
  <c r="O46" i="2" s="1"/>
  <c r="N47" i="2"/>
  <c r="O47" i="2" s="1" a="1"/>
  <c r="O47" i="2" s="1"/>
  <c r="N48" i="2"/>
  <c r="O48" i="2" s="1" a="1"/>
  <c r="O48" i="2" s="1"/>
  <c r="N49" i="2"/>
  <c r="O49" i="2" s="1" a="1"/>
  <c r="O49" i="2" s="1"/>
  <c r="N50" i="2"/>
  <c r="O50" i="2" s="1" a="1"/>
  <c r="O50" i="2" s="1"/>
  <c r="N51" i="2"/>
  <c r="O51" i="2" s="1" a="1"/>
  <c r="O51" i="2" s="1"/>
  <c r="N52" i="2"/>
  <c r="O52" i="2" s="1" a="1"/>
  <c r="O52" i="2" s="1"/>
  <c r="N53" i="2"/>
  <c r="O53" i="2" s="1" a="1"/>
  <c r="O53" i="2" s="1"/>
  <c r="N54" i="2"/>
  <c r="O54" i="2" s="1" a="1"/>
  <c r="O54" i="2" s="1"/>
  <c r="N55" i="2"/>
  <c r="O55" i="2" s="1" a="1"/>
  <c r="O55" i="2" s="1"/>
  <c r="N56" i="2"/>
  <c r="O56" i="2" s="1" a="1"/>
  <c r="O56" i="2" s="1"/>
  <c r="N57" i="2"/>
  <c r="O57" i="2" s="1" a="1"/>
  <c r="O57" i="2" s="1"/>
  <c r="N58" i="2"/>
  <c r="O58" i="2" s="1" a="1"/>
  <c r="O58" i="2" s="1"/>
  <c r="N59" i="2"/>
  <c r="O59" i="2" s="1" a="1"/>
  <c r="O59" i="2" s="1"/>
  <c r="N60" i="2"/>
  <c r="O60" i="2" s="1" a="1"/>
  <c r="O60" i="2" s="1"/>
  <c r="N61" i="2"/>
  <c r="O61" i="2" s="1" a="1"/>
  <c r="O61" i="2" s="1"/>
  <c r="N62" i="2"/>
  <c r="O62" i="2" s="1" a="1"/>
  <c r="O62" i="2" s="1"/>
  <c r="N63" i="2"/>
  <c r="O63" i="2" s="1" a="1"/>
  <c r="O63" i="2" s="1"/>
  <c r="N64" i="2"/>
  <c r="O64" i="2" s="1" a="1"/>
  <c r="O64" i="2" s="1"/>
  <c r="N65" i="2"/>
  <c r="O65" i="2" s="1" a="1"/>
  <c r="O65" i="2" s="1"/>
  <c r="N66" i="2"/>
  <c r="O66" i="2" s="1" a="1"/>
  <c r="O66" i="2" s="1"/>
  <c r="N67" i="2"/>
  <c r="O67" i="2" s="1" a="1"/>
  <c r="O67" i="2" s="1"/>
  <c r="N68" i="2"/>
  <c r="O68" i="2" s="1" a="1"/>
  <c r="O68" i="2" s="1"/>
  <c r="N69" i="2"/>
  <c r="O69" i="2" s="1" a="1"/>
  <c r="O69" i="2" s="1"/>
  <c r="N70" i="2"/>
  <c r="O70" i="2" s="1" a="1"/>
  <c r="O70" i="2" s="1"/>
  <c r="N71" i="2"/>
  <c r="O71" i="2" s="1" a="1"/>
  <c r="O71" i="2" s="1"/>
  <c r="N72" i="2"/>
  <c r="O72" i="2" s="1" a="1"/>
  <c r="O72" i="2" s="1"/>
  <c r="N73" i="2"/>
  <c r="O73" i="2" s="1" a="1"/>
  <c r="O73" i="2" s="1"/>
  <c r="N74" i="2"/>
  <c r="O74" i="2" s="1" a="1"/>
  <c r="O74" i="2" s="1"/>
  <c r="N75" i="2"/>
  <c r="O75" i="2" s="1" a="1"/>
  <c r="O75" i="2" s="1"/>
  <c r="N76" i="2"/>
  <c r="O76" i="2" s="1" a="1"/>
  <c r="O76" i="2" s="1"/>
  <c r="N77" i="2"/>
  <c r="O77" i="2" s="1" a="1"/>
  <c r="O77" i="2" s="1"/>
  <c r="N78" i="2"/>
  <c r="O78" i="2" s="1" a="1"/>
  <c r="O78" i="2" s="1"/>
  <c r="N79" i="2"/>
  <c r="O79" i="2" s="1" a="1"/>
  <c r="O79" i="2" s="1"/>
  <c r="N80" i="2"/>
  <c r="O80" i="2" s="1" a="1"/>
  <c r="O80" i="2" s="1"/>
  <c r="N81" i="2"/>
  <c r="O81" i="2" s="1" a="1"/>
  <c r="O81" i="2" s="1"/>
  <c r="N82" i="2"/>
  <c r="O82" i="2" s="1" a="1"/>
  <c r="O82" i="2" s="1"/>
  <c r="N83" i="2"/>
  <c r="O83" i="2" s="1" a="1"/>
  <c r="O83" i="2" s="1"/>
  <c r="N84" i="2"/>
  <c r="O84" i="2" s="1" a="1"/>
  <c r="O84" i="2" s="1"/>
  <c r="N85" i="2"/>
  <c r="O85" i="2" s="1" a="1"/>
  <c r="O85" i="2" s="1"/>
  <c r="N86" i="2"/>
  <c r="O86" i="2" s="1" a="1"/>
  <c r="O86" i="2" s="1"/>
  <c r="N87" i="2"/>
  <c r="O87" i="2" s="1" a="1"/>
  <c r="O87" i="2" s="1"/>
  <c r="N88" i="2"/>
  <c r="O88" i="2" s="1" a="1"/>
  <c r="O88" i="2" s="1"/>
  <c r="N89" i="2"/>
  <c r="O89" i="2" s="1" a="1"/>
  <c r="O89" i="2" s="1"/>
  <c r="N90" i="2"/>
  <c r="O90" i="2" s="1" a="1"/>
  <c r="O90" i="2" s="1"/>
  <c r="N91" i="2"/>
  <c r="O91" i="2" s="1" a="1"/>
  <c r="O91" i="2" s="1"/>
  <c r="N92" i="2"/>
  <c r="O92" i="2" s="1" a="1"/>
  <c r="O92" i="2" s="1"/>
  <c r="N93" i="2"/>
  <c r="O93" i="2" s="1" a="1"/>
  <c r="O93" i="2" s="1"/>
  <c r="N94" i="2"/>
  <c r="O94" i="2" s="1" a="1"/>
  <c r="O94" i="2" s="1"/>
  <c r="N95" i="2"/>
  <c r="O95" i="2" s="1" a="1"/>
  <c r="O95" i="2" s="1"/>
  <c r="N96" i="2"/>
  <c r="O96" i="2" s="1" a="1"/>
  <c r="O96" i="2" s="1"/>
  <c r="N97" i="2"/>
  <c r="O97" i="2" s="1" a="1"/>
  <c r="O97" i="2" s="1"/>
  <c r="N98" i="2"/>
  <c r="O98" i="2" s="1" a="1"/>
  <c r="O98" i="2" s="1"/>
  <c r="N99" i="2"/>
  <c r="O99" i="2" s="1" a="1"/>
  <c r="O99" i="2" s="1"/>
  <c r="N100" i="2"/>
  <c r="O100" i="2" s="1" a="1"/>
  <c r="O100" i="2" s="1"/>
  <c r="N101" i="2"/>
  <c r="O101" i="2" s="1" a="1"/>
  <c r="O101" i="2" s="1"/>
  <c r="N102" i="2"/>
  <c r="O102" i="2" s="1" a="1"/>
  <c r="O102" i="2" s="1"/>
  <c r="N103" i="2"/>
  <c r="O103" i="2" s="1" a="1"/>
  <c r="O103" i="2" s="1"/>
  <c r="N104" i="2"/>
  <c r="O104" i="2" s="1" a="1"/>
  <c r="O104" i="2" s="1"/>
  <c r="N105" i="2"/>
  <c r="O105" i="2" s="1" a="1"/>
  <c r="O105" i="2" s="1"/>
  <c r="N106" i="2"/>
  <c r="O106" i="2" s="1" a="1"/>
  <c r="O106" i="2" s="1"/>
  <c r="N107" i="2"/>
  <c r="O107" i="2" s="1" a="1"/>
  <c r="O107" i="2" s="1"/>
  <c r="N108" i="2"/>
  <c r="O108" i="2" s="1" a="1"/>
  <c r="O108" i="2" s="1"/>
  <c r="N109" i="2"/>
  <c r="O109" i="2" s="1" a="1"/>
  <c r="O109" i="2" s="1"/>
  <c r="N110" i="2"/>
  <c r="O110" i="2" s="1" a="1"/>
  <c r="O110" i="2" s="1"/>
  <c r="N111" i="2"/>
  <c r="O111" i="2" s="1" a="1"/>
  <c r="O111" i="2" s="1"/>
  <c r="N112" i="2"/>
  <c r="O112" i="2" s="1" a="1"/>
  <c r="O112" i="2" s="1"/>
  <c r="N113" i="2"/>
  <c r="O113" i="2" s="1" a="1"/>
  <c r="O113" i="2" s="1"/>
  <c r="N114" i="2"/>
  <c r="O114" i="2" s="1" a="1"/>
  <c r="O114" i="2" s="1"/>
  <c r="N115" i="2"/>
  <c r="O115" i="2" s="1" a="1"/>
  <c r="O115" i="2" s="1"/>
  <c r="N116" i="2"/>
  <c r="O116" i="2" s="1" a="1"/>
  <c r="O116" i="2" s="1"/>
  <c r="N117" i="2"/>
  <c r="O117" i="2" s="1" a="1"/>
  <c r="O117" i="2" s="1"/>
  <c r="N118" i="2"/>
  <c r="O118" i="2" s="1" a="1"/>
  <c r="O118" i="2" s="1"/>
  <c r="N119" i="2"/>
  <c r="O119" i="2" s="1" a="1"/>
  <c r="O119" i="2" s="1"/>
  <c r="N120" i="2"/>
  <c r="O120" i="2" s="1" a="1"/>
  <c r="O120" i="2" s="1"/>
  <c r="N121" i="2"/>
  <c r="O121" i="2" s="1" a="1"/>
  <c r="O121" i="2" s="1"/>
  <c r="N122" i="2"/>
  <c r="O122" i="2" s="1" a="1"/>
  <c r="O122" i="2" s="1"/>
  <c r="N123" i="2"/>
  <c r="O123" i="2" s="1" a="1"/>
  <c r="O123" i="2" s="1"/>
  <c r="N124" i="2"/>
  <c r="O124" i="2" s="1" a="1"/>
  <c r="O124" i="2" s="1"/>
  <c r="N125" i="2"/>
  <c r="O125" i="2" s="1" a="1"/>
  <c r="O125" i="2" s="1"/>
  <c r="N126" i="2"/>
  <c r="O126" i="2" s="1" a="1"/>
  <c r="O126" i="2" s="1"/>
  <c r="N127" i="2"/>
  <c r="O127" i="2" s="1" a="1"/>
  <c r="O127" i="2" s="1"/>
  <c r="N128" i="2"/>
  <c r="O128" i="2" s="1" a="1"/>
  <c r="O128" i="2" s="1"/>
  <c r="N129" i="2"/>
  <c r="O129" i="2" s="1" a="1"/>
  <c r="O129" i="2" s="1"/>
  <c r="N130" i="2"/>
  <c r="O130" i="2" s="1" a="1"/>
  <c r="O130" i="2" s="1"/>
  <c r="N131" i="2"/>
  <c r="O131" i="2" s="1" a="1"/>
  <c r="O131" i="2" s="1"/>
  <c r="N132" i="2"/>
  <c r="O132" i="2" s="1" a="1"/>
  <c r="O132" i="2" s="1"/>
  <c r="N133" i="2"/>
  <c r="O133" i="2" s="1" a="1"/>
  <c r="O133" i="2" s="1"/>
  <c r="N134" i="2"/>
  <c r="O134" i="2" s="1" a="1"/>
  <c r="O134" i="2" s="1"/>
  <c r="N135" i="2"/>
  <c r="O135" i="2" s="1" a="1"/>
  <c r="O135" i="2" s="1"/>
  <c r="N136" i="2"/>
  <c r="O136" i="2" s="1" a="1"/>
  <c r="O136" i="2" s="1"/>
  <c r="N137" i="2"/>
  <c r="O137" i="2" s="1" a="1"/>
  <c r="O137" i="2" s="1"/>
  <c r="N138" i="2"/>
  <c r="O138" i="2" s="1" a="1"/>
  <c r="O138" i="2" s="1"/>
  <c r="N139" i="2"/>
  <c r="O139" i="2" s="1" a="1"/>
  <c r="O139" i="2" s="1"/>
  <c r="N140" i="2"/>
  <c r="O140" i="2" s="1" a="1"/>
  <c r="O140" i="2" s="1"/>
  <c r="N141" i="2"/>
  <c r="O141" i="2" s="1" a="1"/>
  <c r="O141" i="2" s="1"/>
  <c r="N142" i="2"/>
  <c r="O142" i="2" s="1" a="1"/>
  <c r="O142" i="2" s="1"/>
  <c r="N143" i="2"/>
  <c r="O143" i="2" s="1" a="1"/>
  <c r="O143" i="2" s="1"/>
  <c r="N144" i="2"/>
  <c r="O144" i="2" s="1" a="1"/>
  <c r="O144" i="2" s="1"/>
  <c r="N145" i="2"/>
  <c r="O145" i="2" s="1" a="1"/>
  <c r="O145" i="2" s="1"/>
  <c r="N146" i="2"/>
  <c r="O146" i="2" s="1" a="1"/>
  <c r="O146" i="2" s="1"/>
  <c r="N147" i="2"/>
  <c r="O147" i="2" s="1" a="1"/>
  <c r="O147" i="2" s="1"/>
  <c r="N148" i="2"/>
  <c r="O148" i="2" s="1" a="1"/>
  <c r="O148" i="2" s="1"/>
  <c r="N149" i="2"/>
  <c r="O149" i="2" s="1" a="1"/>
  <c r="O149" i="2" s="1"/>
  <c r="N150" i="2"/>
  <c r="O150" i="2" s="1" a="1"/>
  <c r="O150" i="2" s="1"/>
  <c r="N151" i="2"/>
  <c r="O151" i="2" s="1" a="1"/>
  <c r="O151" i="2" s="1"/>
  <c r="N152" i="2"/>
  <c r="O152" i="2" s="1" a="1"/>
  <c r="O152" i="2" s="1"/>
  <c r="N153" i="2"/>
  <c r="O153" i="2" s="1" a="1"/>
  <c r="O153" i="2" s="1"/>
  <c r="N154" i="2"/>
  <c r="O154" i="2" s="1" a="1"/>
  <c r="O154" i="2" s="1"/>
  <c r="N155" i="2"/>
  <c r="O155" i="2" s="1" a="1"/>
  <c r="O155" i="2" s="1"/>
  <c r="N156" i="2"/>
  <c r="O156" i="2" s="1" a="1"/>
  <c r="O156" i="2" s="1"/>
  <c r="N157" i="2"/>
  <c r="O157" i="2" s="1" a="1"/>
  <c r="O157" i="2" s="1"/>
  <c r="N158" i="2"/>
  <c r="O158" i="2" s="1" a="1"/>
  <c r="O158" i="2" s="1"/>
  <c r="N159" i="2"/>
  <c r="O159" i="2" s="1" a="1"/>
  <c r="O159" i="2" s="1"/>
  <c r="N160" i="2"/>
  <c r="O160" i="2" s="1" a="1"/>
  <c r="O160" i="2" s="1"/>
  <c r="N161" i="2"/>
  <c r="O161" i="2" s="1" a="1"/>
  <c r="O161" i="2" s="1"/>
  <c r="N162" i="2"/>
  <c r="O162" i="2" s="1" a="1"/>
  <c r="O162" i="2" s="1"/>
  <c r="N163" i="2"/>
  <c r="O163" i="2" s="1" a="1"/>
  <c r="O163" i="2" s="1"/>
  <c r="N164" i="2"/>
  <c r="O164" i="2" s="1" a="1"/>
  <c r="O164" i="2" s="1"/>
  <c r="N165" i="2"/>
  <c r="O165" i="2" s="1" a="1"/>
  <c r="O165" i="2" s="1"/>
  <c r="N166" i="2"/>
  <c r="O166" i="2" s="1" a="1"/>
  <c r="O166" i="2" s="1"/>
  <c r="N167" i="2"/>
  <c r="O167" i="2" s="1" a="1"/>
  <c r="O167" i="2" s="1"/>
  <c r="N168" i="2"/>
  <c r="O168" i="2" s="1" a="1"/>
  <c r="O168" i="2" s="1"/>
  <c r="N169" i="2"/>
  <c r="O169" i="2" s="1" a="1"/>
  <c r="O169" i="2" s="1"/>
  <c r="N170" i="2"/>
  <c r="O170" i="2" s="1" a="1"/>
  <c r="O170" i="2" s="1"/>
  <c r="N171" i="2"/>
  <c r="O171" i="2" s="1" a="1"/>
  <c r="O171" i="2" s="1"/>
  <c r="N172" i="2"/>
  <c r="O172" i="2" s="1" a="1"/>
  <c r="O172" i="2" s="1"/>
  <c r="N173" i="2"/>
  <c r="O173" i="2" s="1" a="1"/>
  <c r="O173" i="2" s="1"/>
  <c r="N174" i="2"/>
  <c r="O174" i="2" s="1" a="1"/>
  <c r="O174" i="2" s="1"/>
  <c r="N175" i="2"/>
  <c r="O175" i="2" s="1" a="1"/>
  <c r="O175" i="2" s="1"/>
  <c r="N176" i="2"/>
  <c r="O176" i="2" s="1" a="1"/>
  <c r="O176" i="2" s="1"/>
  <c r="N177" i="2"/>
  <c r="O177" i="2" s="1" a="1"/>
  <c r="O177" i="2" s="1"/>
  <c r="N178" i="2"/>
  <c r="O178" i="2" s="1" a="1"/>
  <c r="O178" i="2" s="1"/>
  <c r="N179" i="2"/>
  <c r="O179" i="2" s="1" a="1"/>
  <c r="O179" i="2" s="1"/>
  <c r="N180" i="2"/>
  <c r="O180" i="2" s="1" a="1"/>
  <c r="O180" i="2" s="1"/>
  <c r="N181" i="2"/>
  <c r="O181" i="2" s="1" a="1"/>
  <c r="O181" i="2" s="1"/>
  <c r="N182" i="2"/>
  <c r="O182" i="2" s="1" a="1"/>
  <c r="O182" i="2" s="1"/>
  <c r="N183" i="2"/>
  <c r="O183" i="2" s="1" a="1"/>
  <c r="O183" i="2" s="1"/>
  <c r="N184" i="2"/>
  <c r="O184" i="2" s="1" a="1"/>
  <c r="O184" i="2" s="1"/>
  <c r="N185" i="2"/>
  <c r="O185" i="2" s="1" a="1"/>
  <c r="O185" i="2" s="1"/>
  <c r="N186" i="2"/>
  <c r="O186" i="2" s="1" a="1"/>
  <c r="O186" i="2" s="1"/>
  <c r="N187" i="2"/>
  <c r="O187" i="2" s="1" a="1"/>
  <c r="O187" i="2" s="1"/>
  <c r="N188" i="2"/>
  <c r="O188" i="2" s="1" a="1"/>
  <c r="O188" i="2" s="1"/>
  <c r="N189" i="2"/>
  <c r="O189" i="2" s="1" a="1"/>
  <c r="O189" i="2" s="1"/>
  <c r="N190" i="2"/>
  <c r="O190" i="2" s="1" a="1"/>
  <c r="O190" i="2" s="1"/>
  <c r="N191" i="2"/>
  <c r="O191" i="2" s="1" a="1"/>
  <c r="O191" i="2" s="1"/>
  <c r="N192" i="2"/>
  <c r="O192" i="2" s="1" a="1"/>
  <c r="O192" i="2" s="1"/>
  <c r="N193" i="2"/>
  <c r="O193" i="2" s="1" a="1"/>
  <c r="O193" i="2" s="1"/>
  <c r="N194" i="2"/>
  <c r="O194" i="2" s="1" a="1"/>
  <c r="O194" i="2" s="1"/>
  <c r="N195" i="2"/>
  <c r="O195" i="2" s="1" a="1"/>
  <c r="O195" i="2" s="1"/>
  <c r="N196" i="2"/>
  <c r="O196" i="2" s="1" a="1"/>
  <c r="O196" i="2" s="1"/>
  <c r="N197" i="2"/>
  <c r="O197" i="2" s="1" a="1"/>
  <c r="O197" i="2" s="1"/>
  <c r="N198" i="2"/>
  <c r="O198" i="2" s="1" a="1"/>
  <c r="O198" i="2" s="1"/>
  <c r="N199" i="2"/>
  <c r="O199" i="2" s="1" a="1"/>
  <c r="O199" i="2" s="1"/>
  <c r="N200" i="2"/>
  <c r="O200" i="2" s="1" a="1"/>
  <c r="O200" i="2" s="1"/>
  <c r="N201" i="2"/>
  <c r="O201" i="2" s="1" a="1"/>
  <c r="O201" i="2" s="1"/>
  <c r="N202" i="2"/>
  <c r="O202" i="2" s="1" a="1"/>
  <c r="O202" i="2" s="1"/>
  <c r="N203" i="2"/>
  <c r="O203" i="2" s="1" a="1"/>
  <c r="O203" i="2" s="1"/>
  <c r="N204" i="2"/>
  <c r="O204" i="2" s="1" a="1"/>
  <c r="O204" i="2" s="1"/>
  <c r="N205" i="2"/>
  <c r="O205" i="2" s="1" a="1"/>
  <c r="O205" i="2" s="1"/>
  <c r="N206" i="2"/>
  <c r="O206" i="2" s="1" a="1"/>
  <c r="O206" i="2" s="1"/>
  <c r="N207" i="2"/>
  <c r="O207" i="2" s="1" a="1"/>
  <c r="O207" i="2" s="1"/>
  <c r="N208" i="2"/>
  <c r="O208" i="2" s="1" a="1"/>
  <c r="O208" i="2" s="1"/>
  <c r="N209" i="2"/>
  <c r="O209" i="2" s="1" a="1"/>
  <c r="O209" i="2" s="1"/>
  <c r="N210" i="2"/>
  <c r="O210" i="2" s="1" a="1"/>
  <c r="O210" i="2" s="1"/>
  <c r="N211" i="2"/>
  <c r="O211" i="2" s="1" a="1"/>
  <c r="O211" i="2" s="1"/>
  <c r="N212" i="2"/>
  <c r="O212" i="2" s="1" a="1"/>
  <c r="O212" i="2" s="1"/>
  <c r="N213" i="2"/>
  <c r="O213" i="2" s="1" a="1"/>
  <c r="O213" i="2" s="1"/>
  <c r="N214" i="2"/>
  <c r="O214" i="2" s="1" a="1"/>
  <c r="O214" i="2" s="1"/>
  <c r="N215" i="2"/>
  <c r="O215" i="2" s="1" a="1"/>
  <c r="O215" i="2" s="1"/>
  <c r="N216" i="2"/>
  <c r="O216" i="2" s="1" a="1"/>
  <c r="O216" i="2" s="1"/>
  <c r="N217" i="2"/>
  <c r="O217" i="2" s="1" a="1"/>
  <c r="O217" i="2" s="1"/>
  <c r="N218" i="2"/>
  <c r="O218" i="2" s="1" a="1"/>
  <c r="O218" i="2" s="1"/>
  <c r="N219" i="2"/>
  <c r="O219" i="2" s="1" a="1"/>
  <c r="O219" i="2" s="1"/>
  <c r="N220" i="2"/>
  <c r="O220" i="2" s="1" a="1"/>
  <c r="O220" i="2" s="1"/>
  <c r="N221" i="2"/>
  <c r="O221" i="2" s="1" a="1"/>
  <c r="O221" i="2" s="1"/>
  <c r="N222" i="2"/>
  <c r="O222" i="2" s="1" a="1"/>
  <c r="O222" i="2" s="1"/>
  <c r="N223" i="2"/>
  <c r="O223" i="2" s="1" a="1"/>
  <c r="O223" i="2" s="1"/>
  <c r="N224" i="2"/>
  <c r="O224" i="2" s="1" a="1"/>
  <c r="O224" i="2" s="1"/>
  <c r="N225" i="2"/>
  <c r="O225" i="2" s="1" a="1"/>
  <c r="O225" i="2" s="1"/>
  <c r="N226" i="2"/>
  <c r="O226" i="2" s="1" a="1"/>
  <c r="O226" i="2" s="1"/>
  <c r="N227" i="2"/>
  <c r="O227" i="2" s="1" a="1"/>
  <c r="O227" i="2" s="1"/>
  <c r="N228" i="2"/>
  <c r="O228" i="2" s="1" a="1"/>
  <c r="O228" i="2" s="1"/>
  <c r="N229" i="2"/>
  <c r="O229" i="2" s="1" a="1"/>
  <c r="O229" i="2" s="1"/>
  <c r="N230" i="2"/>
  <c r="O230" i="2" s="1" a="1"/>
  <c r="O230" i="2" s="1"/>
  <c r="N231" i="2"/>
  <c r="O231" i="2" s="1" a="1"/>
  <c r="O231" i="2" s="1"/>
  <c r="N232" i="2"/>
  <c r="O232" i="2" s="1" a="1"/>
  <c r="O232" i="2" s="1"/>
  <c r="N233" i="2"/>
  <c r="O233" i="2" s="1" a="1"/>
  <c r="O233" i="2" s="1"/>
  <c r="N234" i="2"/>
  <c r="O234" i="2" s="1" a="1"/>
  <c r="O234" i="2" s="1"/>
  <c r="N235" i="2"/>
  <c r="O235" i="2" s="1" a="1"/>
  <c r="O235" i="2" s="1"/>
  <c r="N236" i="2"/>
  <c r="O236" i="2" s="1" a="1"/>
  <c r="O236" i="2" s="1"/>
  <c r="N237" i="2"/>
  <c r="O237" i="2" s="1" a="1"/>
  <c r="O237" i="2" s="1"/>
  <c r="N238" i="2"/>
  <c r="O238" i="2" s="1" a="1"/>
  <c r="O238" i="2" s="1"/>
  <c r="N239" i="2"/>
  <c r="O239" i="2" s="1" a="1"/>
  <c r="O239" i="2" s="1"/>
  <c r="N240" i="2"/>
  <c r="O240" i="2" s="1" a="1"/>
  <c r="O240" i="2" s="1"/>
  <c r="N241" i="2"/>
  <c r="O241" i="2" s="1" a="1"/>
  <c r="O241" i="2" s="1"/>
  <c r="N242" i="2"/>
  <c r="O242" i="2" s="1" a="1"/>
  <c r="O242" i="2" s="1"/>
  <c r="N243" i="2"/>
  <c r="O243" i="2" s="1" a="1"/>
  <c r="O243" i="2" s="1"/>
  <c r="N244" i="2"/>
  <c r="O244" i="2" s="1" a="1"/>
  <c r="O244" i="2" s="1"/>
  <c r="N245" i="2"/>
  <c r="O245" i="2" s="1" a="1"/>
  <c r="O245" i="2" s="1"/>
  <c r="N246" i="2"/>
  <c r="O246" i="2" s="1" a="1"/>
  <c r="O246" i="2" s="1"/>
  <c r="N247" i="2"/>
  <c r="O247" i="2" s="1" a="1"/>
  <c r="O247" i="2" s="1"/>
  <c r="N248" i="2"/>
  <c r="O248" i="2" s="1" a="1"/>
  <c r="O248" i="2" s="1"/>
  <c r="N249" i="2"/>
  <c r="O249" i="2" s="1" a="1"/>
  <c r="O249" i="2" s="1"/>
  <c r="N250" i="2"/>
  <c r="O250" i="2" s="1" a="1"/>
  <c r="O250" i="2" s="1"/>
  <c r="N251" i="2"/>
  <c r="O251" i="2" s="1" a="1"/>
  <c r="O251" i="2" s="1"/>
  <c r="N252" i="2"/>
  <c r="O252" i="2" s="1" a="1"/>
  <c r="O252" i="2" s="1"/>
  <c r="N253" i="2"/>
  <c r="O253" i="2" s="1" a="1"/>
  <c r="O253" i="2" s="1"/>
  <c r="N254" i="2"/>
  <c r="O254" i="2" s="1" a="1"/>
  <c r="O254" i="2" s="1"/>
  <c r="N255" i="2"/>
  <c r="O255" i="2" s="1" a="1"/>
  <c r="O255" i="2" s="1"/>
  <c r="N256" i="2"/>
  <c r="O256" i="2" s="1" a="1"/>
  <c r="O256" i="2" s="1"/>
  <c r="N257" i="2"/>
  <c r="O257" i="2" s="1" a="1"/>
  <c r="O257" i="2" s="1"/>
  <c r="N258" i="2"/>
  <c r="O258" i="2" s="1" a="1"/>
  <c r="O258" i="2" s="1"/>
  <c r="N259" i="2"/>
  <c r="O259" i="2" s="1" a="1"/>
  <c r="O259" i="2" s="1"/>
  <c r="N260" i="2"/>
  <c r="O260" i="2" s="1" a="1"/>
  <c r="O260" i="2" s="1"/>
  <c r="N261" i="2"/>
  <c r="O261" i="2" s="1" a="1"/>
  <c r="O261" i="2" s="1"/>
  <c r="N262" i="2"/>
  <c r="O262" i="2" s="1" a="1"/>
  <c r="O262" i="2" s="1"/>
  <c r="N263" i="2"/>
  <c r="O263" i="2" s="1" a="1"/>
  <c r="O263" i="2" s="1"/>
  <c r="N264" i="2"/>
  <c r="O264" i="2" s="1" a="1"/>
  <c r="O264" i="2" s="1"/>
  <c r="N265" i="2"/>
  <c r="O265" i="2" s="1" a="1"/>
  <c r="O265" i="2" s="1"/>
  <c r="N266" i="2"/>
  <c r="O266" i="2" s="1" a="1"/>
  <c r="O266" i="2" s="1"/>
  <c r="N267" i="2"/>
  <c r="O267" i="2" s="1" a="1"/>
  <c r="O267" i="2" s="1"/>
  <c r="N268" i="2"/>
  <c r="O268" i="2" s="1" a="1"/>
  <c r="O268" i="2" s="1"/>
  <c r="N269" i="2"/>
  <c r="O269" i="2" s="1" a="1"/>
  <c r="O269" i="2" s="1"/>
  <c r="N270" i="2"/>
  <c r="O270" i="2" s="1" a="1"/>
  <c r="O270" i="2" s="1"/>
  <c r="N271" i="2"/>
  <c r="O271" i="2" s="1" a="1"/>
  <c r="O271" i="2" s="1"/>
  <c r="N272" i="2"/>
  <c r="O272" i="2" s="1" a="1"/>
  <c r="O272" i="2" s="1"/>
  <c r="N273" i="2"/>
  <c r="O273" i="2" s="1" a="1"/>
  <c r="O273" i="2" s="1"/>
  <c r="N274" i="2"/>
  <c r="O274" i="2" s="1" a="1"/>
  <c r="O274" i="2" s="1"/>
  <c r="N275" i="2"/>
  <c r="O275" i="2" s="1" a="1"/>
  <c r="O275" i="2" s="1"/>
  <c r="N276" i="2"/>
  <c r="O276" i="2" s="1" a="1"/>
  <c r="O276" i="2" s="1"/>
  <c r="N277" i="2"/>
  <c r="O277" i="2" s="1" a="1"/>
  <c r="O277" i="2" s="1"/>
  <c r="N278" i="2"/>
  <c r="O278" i="2" s="1" a="1"/>
  <c r="O278" i="2" s="1"/>
  <c r="N279" i="2"/>
  <c r="O279" i="2" s="1" a="1"/>
  <c r="O279" i="2" s="1"/>
  <c r="N280" i="2"/>
  <c r="O280" i="2" s="1" a="1"/>
  <c r="O280" i="2" s="1"/>
  <c r="N281" i="2"/>
  <c r="O281" i="2" s="1" a="1"/>
  <c r="O281" i="2" s="1"/>
  <c r="N282" i="2"/>
  <c r="O282" i="2" s="1" a="1"/>
  <c r="O282" i="2" s="1"/>
  <c r="N283" i="2"/>
  <c r="O283" i="2" s="1" a="1"/>
  <c r="O283" i="2" s="1"/>
  <c r="N284" i="2"/>
  <c r="O284" i="2" s="1" a="1"/>
  <c r="O284" i="2" s="1"/>
  <c r="N285" i="2"/>
  <c r="O285" i="2" s="1" a="1"/>
  <c r="O285" i="2" s="1"/>
  <c r="N286" i="2"/>
  <c r="O286" i="2" s="1" a="1"/>
  <c r="O286" i="2" s="1"/>
  <c r="N287" i="2"/>
  <c r="O287" i="2" s="1" a="1"/>
  <c r="O287" i="2" s="1"/>
  <c r="N288" i="2"/>
  <c r="O288" i="2" s="1" a="1"/>
  <c r="O288" i="2" s="1"/>
  <c r="N289" i="2"/>
  <c r="O289" i="2" s="1" a="1"/>
  <c r="O289" i="2" s="1"/>
  <c r="N290" i="2"/>
  <c r="O290" i="2" s="1" a="1"/>
  <c r="O290" i="2" s="1"/>
  <c r="N291" i="2"/>
  <c r="O291" i="2" s="1" a="1"/>
  <c r="O291" i="2" s="1"/>
  <c r="N292" i="2"/>
  <c r="O292" i="2" s="1" a="1"/>
  <c r="O292" i="2" s="1"/>
  <c r="N293" i="2"/>
  <c r="O293" i="2" s="1" a="1"/>
  <c r="O293" i="2" s="1"/>
  <c r="N294" i="2"/>
  <c r="O294" i="2" s="1" a="1"/>
  <c r="O294" i="2" s="1"/>
  <c r="N295" i="2"/>
  <c r="O295" i="2" s="1" a="1"/>
  <c r="O295" i="2" s="1"/>
  <c r="N296" i="2"/>
  <c r="O296" i="2" s="1" a="1"/>
  <c r="O296" i="2" s="1"/>
  <c r="N297" i="2"/>
  <c r="O297" i="2" s="1" a="1"/>
  <c r="O297" i="2" s="1"/>
  <c r="N298" i="2"/>
  <c r="O298" i="2" s="1" a="1"/>
  <c r="O298" i="2" s="1"/>
  <c r="N299" i="2"/>
  <c r="O299" i="2" s="1" a="1"/>
  <c r="O299" i="2" s="1"/>
  <c r="N300" i="2"/>
  <c r="O300" i="2" s="1" a="1"/>
  <c r="O300" i="2" s="1"/>
  <c r="N301" i="2"/>
  <c r="O301" i="2" s="1" a="1"/>
  <c r="O301" i="2" s="1"/>
  <c r="N302" i="2"/>
  <c r="O302" i="2" s="1" a="1"/>
  <c r="O302" i="2" s="1"/>
  <c r="N303" i="2"/>
  <c r="O303" i="2" s="1" a="1"/>
  <c r="O303" i="2" s="1"/>
  <c r="N304" i="2"/>
  <c r="O304" i="2" s="1" a="1"/>
  <c r="O304" i="2" s="1"/>
  <c r="N305" i="2"/>
  <c r="O305" i="2" s="1" a="1"/>
  <c r="O305" i="2" s="1"/>
  <c r="N306" i="2"/>
  <c r="O306" i="2" s="1" a="1"/>
  <c r="O306" i="2" s="1"/>
  <c r="N307" i="2"/>
  <c r="O307" i="2" s="1" a="1"/>
  <c r="O307" i="2" s="1"/>
  <c r="N308" i="2"/>
  <c r="O308" i="2" s="1" a="1"/>
  <c r="O308" i="2" s="1"/>
  <c r="N309" i="2"/>
  <c r="O309" i="2" s="1" a="1"/>
  <c r="O309" i="2" s="1"/>
  <c r="N310" i="2"/>
  <c r="O310" i="2" s="1" a="1"/>
  <c r="O310" i="2" s="1"/>
  <c r="N311" i="2"/>
  <c r="O311" i="2" s="1" a="1"/>
  <c r="O311" i="2" s="1"/>
  <c r="N312" i="2"/>
  <c r="O312" i="2" s="1" a="1"/>
  <c r="O312" i="2" s="1"/>
  <c r="N313" i="2"/>
  <c r="O313" i="2" s="1" a="1"/>
  <c r="O313" i="2" s="1"/>
  <c r="N314" i="2"/>
  <c r="O314" i="2" s="1" a="1"/>
  <c r="O314" i="2" s="1"/>
  <c r="N315" i="2"/>
  <c r="O315" i="2" s="1" a="1"/>
  <c r="O315" i="2" s="1"/>
  <c r="N316" i="2"/>
  <c r="O316" i="2" s="1" a="1"/>
  <c r="O316" i="2" s="1"/>
  <c r="N317" i="2"/>
  <c r="O317" i="2" s="1" a="1"/>
  <c r="O317" i="2" s="1"/>
  <c r="N318" i="2"/>
  <c r="O318" i="2" s="1" a="1"/>
  <c r="O318" i="2" s="1"/>
  <c r="N319" i="2"/>
  <c r="O319" i="2" s="1" a="1"/>
  <c r="O319" i="2" s="1"/>
  <c r="N320" i="2"/>
  <c r="O320" i="2" s="1" a="1"/>
  <c r="O320" i="2" s="1"/>
  <c r="N321" i="2"/>
  <c r="O321" i="2" s="1" a="1"/>
  <c r="O321" i="2" s="1"/>
  <c r="N322" i="2"/>
  <c r="O322" i="2" s="1" a="1"/>
  <c r="O322" i="2" s="1"/>
  <c r="N323" i="2"/>
  <c r="O323" i="2" s="1" a="1"/>
  <c r="O323" i="2" s="1"/>
  <c r="N324" i="2"/>
  <c r="O324" i="2" s="1" a="1"/>
  <c r="O324" i="2" s="1"/>
  <c r="N325" i="2"/>
  <c r="O325" i="2" s="1" a="1"/>
  <c r="O325" i="2" s="1"/>
  <c r="N326" i="2"/>
  <c r="O326" i="2" s="1" a="1"/>
  <c r="O326" i="2" s="1"/>
  <c r="N327" i="2"/>
  <c r="O327" i="2" s="1" a="1"/>
  <c r="O327" i="2" s="1"/>
  <c r="N328" i="2"/>
  <c r="O328" i="2" s="1" a="1"/>
  <c r="O328" i="2" s="1"/>
  <c r="N329" i="2"/>
  <c r="O329" i="2" s="1" a="1"/>
  <c r="O329" i="2" s="1"/>
  <c r="N330" i="2"/>
  <c r="O330" i="2" s="1" a="1"/>
  <c r="O330" i="2" s="1"/>
  <c r="N331" i="2"/>
  <c r="O331" i="2" s="1" a="1"/>
  <c r="O331" i="2" s="1"/>
  <c r="N332" i="2"/>
  <c r="O332" i="2" s="1" a="1"/>
  <c r="O332" i="2" s="1"/>
  <c r="N333" i="2"/>
  <c r="O333" i="2" s="1" a="1"/>
  <c r="O333" i="2" s="1"/>
  <c r="N334" i="2"/>
  <c r="O334" i="2" s="1" a="1"/>
  <c r="O334" i="2" s="1"/>
  <c r="N335" i="2"/>
  <c r="O335" i="2" s="1" a="1"/>
  <c r="O335" i="2" s="1"/>
  <c r="N336" i="2"/>
  <c r="O336" i="2" s="1" a="1"/>
  <c r="O336" i="2" s="1"/>
  <c r="N337" i="2"/>
  <c r="O337" i="2" s="1" a="1"/>
  <c r="O337" i="2" s="1"/>
  <c r="N338" i="2"/>
  <c r="O338" i="2" s="1" a="1"/>
  <c r="O338" i="2" s="1"/>
  <c r="N339" i="2"/>
  <c r="O339" i="2" s="1" a="1"/>
  <c r="O339" i="2" s="1"/>
  <c r="N340" i="2"/>
  <c r="O340" i="2" s="1" a="1"/>
  <c r="O340" i="2" s="1"/>
  <c r="N341" i="2"/>
  <c r="O341" i="2" s="1" a="1"/>
  <c r="O341" i="2" s="1"/>
  <c r="N342" i="2"/>
  <c r="O342" i="2" s="1" a="1"/>
  <c r="O342" i="2" s="1"/>
  <c r="N343" i="2"/>
  <c r="O343" i="2" s="1" a="1"/>
  <c r="O343" i="2" s="1"/>
  <c r="N344" i="2"/>
  <c r="O344" i="2" s="1" a="1"/>
  <c r="O344" i="2" s="1"/>
  <c r="N345" i="2"/>
  <c r="O345" i="2" s="1" a="1"/>
  <c r="O345" i="2" s="1"/>
  <c r="N346" i="2"/>
  <c r="O346" i="2" s="1" a="1"/>
  <c r="O346" i="2" s="1"/>
  <c r="N347" i="2"/>
  <c r="O347" i="2" s="1" a="1"/>
  <c r="O347" i="2" s="1"/>
  <c r="N348" i="2"/>
  <c r="O348" i="2" s="1" a="1"/>
  <c r="O348" i="2" s="1"/>
  <c r="N349" i="2"/>
  <c r="O349" i="2" s="1" a="1"/>
  <c r="O349" i="2" s="1"/>
  <c r="N350" i="2"/>
  <c r="O350" i="2" s="1" a="1"/>
  <c r="O350" i="2" s="1"/>
  <c r="N351" i="2"/>
  <c r="O351" i="2" s="1" a="1"/>
  <c r="O351" i="2" s="1"/>
  <c r="N352" i="2"/>
  <c r="O352" i="2" s="1" a="1"/>
  <c r="O352" i="2" s="1"/>
  <c r="N353" i="2"/>
  <c r="O353" i="2" s="1" a="1"/>
  <c r="O353" i="2" s="1"/>
  <c r="N354" i="2"/>
  <c r="O354" i="2" s="1" a="1"/>
  <c r="O354" i="2" s="1"/>
  <c r="N355" i="2"/>
  <c r="O355" i="2" s="1" a="1"/>
  <c r="O355" i="2" s="1"/>
  <c r="N356" i="2"/>
  <c r="O356" i="2" s="1" a="1"/>
  <c r="O356" i="2" s="1"/>
  <c r="N357" i="2"/>
  <c r="O357" i="2" s="1" a="1"/>
  <c r="O357" i="2" s="1"/>
  <c r="N358" i="2"/>
  <c r="O358" i="2" s="1" a="1"/>
  <c r="O358" i="2" s="1"/>
  <c r="N359" i="2"/>
  <c r="O359" i="2" s="1" a="1"/>
  <c r="O359" i="2" s="1"/>
  <c r="N360" i="2"/>
  <c r="O360" i="2" s="1" a="1"/>
  <c r="O360" i="2" s="1"/>
  <c r="N361" i="2"/>
  <c r="O361" i="2" s="1" a="1"/>
  <c r="O361" i="2" s="1"/>
  <c r="N362" i="2"/>
  <c r="O362" i="2" s="1" a="1"/>
  <c r="O362" i="2" s="1"/>
  <c r="N363" i="2"/>
  <c r="O363" i="2" s="1" a="1"/>
  <c r="O363" i="2" s="1"/>
  <c r="N364" i="2"/>
  <c r="O364" i="2" s="1" a="1"/>
  <c r="O364" i="2" s="1"/>
  <c r="N365" i="2"/>
  <c r="O365" i="2" s="1" a="1"/>
  <c r="O365" i="2" s="1"/>
  <c r="N366" i="2"/>
  <c r="O366" i="2" s="1" a="1"/>
  <c r="O366" i="2" s="1"/>
  <c r="N367" i="2"/>
  <c r="O367" i="2" s="1" a="1"/>
  <c r="O367" i="2" s="1"/>
  <c r="N368" i="2"/>
  <c r="O368" i="2" s="1" a="1"/>
  <c r="O368" i="2" s="1"/>
  <c r="N369" i="2"/>
  <c r="O369" i="2" s="1" a="1"/>
  <c r="O369" i="2" s="1"/>
  <c r="N370" i="2"/>
  <c r="O370" i="2" s="1" a="1"/>
  <c r="O370" i="2" s="1"/>
  <c r="N371" i="2"/>
  <c r="O371" i="2" s="1" a="1"/>
  <c r="O371" i="2" s="1"/>
  <c r="N372" i="2"/>
  <c r="O372" i="2" s="1" a="1"/>
  <c r="O372" i="2" s="1"/>
  <c r="N373" i="2"/>
  <c r="O373" i="2" s="1" a="1"/>
  <c r="O373" i="2" s="1"/>
  <c r="N374" i="2"/>
  <c r="O374" i="2" s="1" a="1"/>
  <c r="O374" i="2" s="1"/>
  <c r="N375" i="2"/>
  <c r="O375" i="2" s="1" a="1"/>
  <c r="O375" i="2" s="1"/>
  <c r="N376" i="2"/>
  <c r="O376" i="2" s="1" a="1"/>
  <c r="O376" i="2" s="1"/>
  <c r="N377" i="2"/>
  <c r="O377" i="2" s="1" a="1"/>
  <c r="O377" i="2" s="1"/>
  <c r="N378" i="2"/>
  <c r="O378" i="2" s="1" a="1"/>
  <c r="O378" i="2" s="1"/>
  <c r="N379" i="2"/>
  <c r="O379" i="2" s="1" a="1"/>
  <c r="O379" i="2" s="1"/>
  <c r="N380" i="2"/>
  <c r="O380" i="2" s="1" a="1"/>
  <c r="O380" i="2" s="1"/>
  <c r="N381" i="2"/>
  <c r="O381" i="2" s="1" a="1"/>
  <c r="O381" i="2" s="1"/>
  <c r="N382" i="2"/>
  <c r="O382" i="2" s="1" a="1"/>
  <c r="O382" i="2" s="1"/>
  <c r="N383" i="2"/>
  <c r="O383" i="2" s="1" a="1"/>
  <c r="O383" i="2" s="1"/>
  <c r="N384" i="2"/>
  <c r="O384" i="2" s="1" a="1"/>
  <c r="O384" i="2" s="1"/>
  <c r="N385" i="2"/>
  <c r="O385" i="2" s="1" a="1"/>
  <c r="O385" i="2" s="1"/>
  <c r="N386" i="2"/>
  <c r="O386" i="2" s="1" a="1"/>
  <c r="O386" i="2" s="1"/>
  <c r="N387" i="2"/>
  <c r="O387" i="2" s="1" a="1"/>
  <c r="O387" i="2" s="1"/>
  <c r="N388" i="2"/>
  <c r="O388" i="2" s="1" a="1"/>
  <c r="O388" i="2" s="1"/>
  <c r="N389" i="2"/>
  <c r="O389" i="2" s="1" a="1"/>
  <c r="O389" i="2" s="1"/>
  <c r="N390" i="2"/>
  <c r="O390" i="2" s="1" a="1"/>
  <c r="O390" i="2" s="1"/>
  <c r="N391" i="2"/>
  <c r="O391" i="2" s="1" a="1"/>
  <c r="O391" i="2" s="1"/>
  <c r="N392" i="2"/>
  <c r="O392" i="2" s="1" a="1"/>
  <c r="O392" i="2" s="1"/>
  <c r="N393" i="2"/>
  <c r="O393" i="2" s="1" a="1"/>
  <c r="O393" i="2" s="1"/>
  <c r="N394" i="2"/>
  <c r="O394" i="2" s="1" a="1"/>
  <c r="O394" i="2" s="1"/>
  <c r="N395" i="2"/>
  <c r="O395" i="2" s="1" a="1"/>
  <c r="O395" i="2" s="1"/>
  <c r="N396" i="2"/>
  <c r="O396" i="2" s="1" a="1"/>
  <c r="O396" i="2" s="1"/>
  <c r="N397" i="2"/>
  <c r="O397" i="2" s="1" a="1"/>
  <c r="O397" i="2" s="1"/>
  <c r="N398" i="2"/>
  <c r="O398" i="2" s="1" a="1"/>
  <c r="O398" i="2" s="1"/>
  <c r="N399" i="2"/>
  <c r="O399" i="2" s="1" a="1"/>
  <c r="O399" i="2" s="1"/>
  <c r="N400" i="2"/>
  <c r="O400" i="2" s="1" a="1"/>
  <c r="O400" i="2" s="1"/>
  <c r="N401" i="2"/>
  <c r="O401" i="2" s="1" a="1"/>
  <c r="O401" i="2" s="1"/>
  <c r="N402" i="2"/>
  <c r="O402" i="2" s="1" a="1"/>
  <c r="O402" i="2" s="1"/>
  <c r="N403" i="2"/>
  <c r="O403" i="2" s="1" a="1"/>
  <c r="O403" i="2" s="1"/>
  <c r="N404" i="2"/>
  <c r="O404" i="2" s="1" a="1"/>
  <c r="O404" i="2" s="1"/>
  <c r="N405" i="2"/>
  <c r="O405" i="2" s="1" a="1"/>
  <c r="O405" i="2" s="1"/>
  <c r="N406" i="2"/>
  <c r="O406" i="2" s="1" a="1"/>
  <c r="O406" i="2" s="1"/>
  <c r="N407" i="2"/>
  <c r="O407" i="2" s="1" a="1"/>
  <c r="O407" i="2" s="1"/>
  <c r="N408" i="2"/>
  <c r="O408" i="2" s="1" a="1"/>
  <c r="O408" i="2" s="1"/>
  <c r="N409" i="2"/>
  <c r="O409" i="2" s="1" a="1"/>
  <c r="O409" i="2" s="1"/>
  <c r="N410" i="2"/>
  <c r="O410" i="2" s="1" a="1"/>
  <c r="O410" i="2" s="1"/>
  <c r="N411" i="2"/>
  <c r="O411" i="2" s="1" a="1"/>
  <c r="O411" i="2" s="1"/>
  <c r="N412" i="2"/>
  <c r="O412" i="2" s="1" a="1"/>
  <c r="O412" i="2" s="1"/>
  <c r="N413" i="2"/>
  <c r="O413" i="2" s="1" a="1"/>
  <c r="O413" i="2" s="1"/>
  <c r="N414" i="2"/>
  <c r="O414" i="2" s="1" a="1"/>
  <c r="O414" i="2" s="1"/>
  <c r="N415" i="2"/>
  <c r="O415" i="2" s="1" a="1"/>
  <c r="O415" i="2" s="1"/>
  <c r="N416" i="2"/>
  <c r="O416" i="2" s="1" a="1"/>
  <c r="O416" i="2" s="1"/>
  <c r="N417" i="2"/>
  <c r="O417" i="2" s="1" a="1"/>
  <c r="O417" i="2" s="1"/>
  <c r="N418" i="2"/>
  <c r="O418" i="2" s="1" a="1"/>
  <c r="O418" i="2" s="1"/>
  <c r="N419" i="2"/>
  <c r="O419" i="2" s="1" a="1"/>
  <c r="O419" i="2" s="1"/>
  <c r="N420" i="2"/>
  <c r="O420" i="2" s="1" a="1"/>
  <c r="O420" i="2" s="1"/>
  <c r="N421" i="2"/>
  <c r="O421" i="2" s="1" a="1"/>
  <c r="O421" i="2" s="1"/>
  <c r="N422" i="2"/>
  <c r="O422" i="2" s="1" a="1"/>
  <c r="O422" i="2" s="1"/>
  <c r="N423" i="2"/>
  <c r="O423" i="2" s="1" a="1"/>
  <c r="O423" i="2" s="1"/>
  <c r="N424" i="2"/>
  <c r="O424" i="2" s="1" a="1"/>
  <c r="O424" i="2" s="1"/>
  <c r="N425" i="2"/>
  <c r="O425" i="2" s="1" a="1"/>
  <c r="O425" i="2" s="1"/>
  <c r="N426" i="2"/>
  <c r="O426" i="2" s="1" a="1"/>
  <c r="O426" i="2" s="1"/>
  <c r="N427" i="2"/>
  <c r="O427" i="2" s="1" a="1"/>
  <c r="O427" i="2" s="1"/>
  <c r="N428" i="2"/>
  <c r="O428" i="2" s="1" a="1"/>
  <c r="O428" i="2" s="1"/>
  <c r="N429" i="2"/>
  <c r="O429" i="2" s="1" a="1"/>
  <c r="O429" i="2" s="1"/>
  <c r="N430" i="2"/>
  <c r="O430" i="2" s="1" a="1"/>
  <c r="O430" i="2" s="1"/>
  <c r="N431" i="2"/>
  <c r="O431" i="2" s="1" a="1"/>
  <c r="O431" i="2" s="1"/>
  <c r="N432" i="2"/>
  <c r="O432" i="2" s="1" a="1"/>
  <c r="O432" i="2" s="1"/>
  <c r="N433" i="2"/>
  <c r="O433" i="2" s="1" a="1"/>
  <c r="O433" i="2" s="1"/>
  <c r="N434" i="2"/>
  <c r="O434" i="2" s="1" a="1"/>
  <c r="O434" i="2" s="1"/>
  <c r="N435" i="2"/>
  <c r="O435" i="2" s="1" a="1"/>
  <c r="O435" i="2" s="1"/>
  <c r="N436" i="2"/>
  <c r="O436" i="2" s="1" a="1"/>
  <c r="O436" i="2" s="1"/>
  <c r="N437" i="2"/>
  <c r="O437" i="2" s="1" a="1"/>
  <c r="O437" i="2" s="1"/>
  <c r="N438" i="2"/>
  <c r="O438" i="2" s="1" a="1"/>
  <c r="O438" i="2" s="1"/>
  <c r="N439" i="2"/>
  <c r="O439" i="2" s="1" a="1"/>
  <c r="O439" i="2" s="1"/>
  <c r="N440" i="2"/>
  <c r="O440" i="2" s="1" a="1"/>
  <c r="O440" i="2" s="1"/>
  <c r="N441" i="2"/>
  <c r="O441" i="2" s="1" a="1"/>
  <c r="O441" i="2" s="1"/>
  <c r="N442" i="2"/>
  <c r="O442" i="2" s="1" a="1"/>
  <c r="O442" i="2" s="1"/>
  <c r="N443" i="2"/>
  <c r="O443" i="2" s="1" a="1"/>
  <c r="O443" i="2" s="1"/>
  <c r="N444" i="2"/>
  <c r="O444" i="2" s="1" a="1"/>
  <c r="O444" i="2" s="1"/>
  <c r="N445" i="2"/>
  <c r="O445" i="2" s="1" a="1"/>
  <c r="O445" i="2" s="1"/>
  <c r="N446" i="2"/>
  <c r="O446" i="2" s="1" a="1"/>
  <c r="O446" i="2" s="1"/>
  <c r="N447" i="2"/>
  <c r="O447" i="2" s="1" a="1"/>
  <c r="O447" i="2" s="1"/>
  <c r="N448" i="2"/>
  <c r="O448" i="2" s="1" a="1"/>
  <c r="O448" i="2" s="1"/>
  <c r="N449" i="2"/>
  <c r="O449" i="2" s="1" a="1"/>
  <c r="O449" i="2" s="1"/>
  <c r="N450" i="2"/>
  <c r="O450" i="2" s="1" a="1"/>
  <c r="O450" i="2" s="1"/>
  <c r="N451" i="2"/>
  <c r="O451" i="2" s="1" a="1"/>
  <c r="O451" i="2" s="1"/>
  <c r="N452" i="2"/>
  <c r="O452" i="2" s="1" a="1"/>
  <c r="O452" i="2" s="1"/>
  <c r="N453" i="2"/>
  <c r="O453" i="2" s="1" a="1"/>
  <c r="O453" i="2" s="1"/>
  <c r="N454" i="2"/>
  <c r="O454" i="2" s="1" a="1"/>
  <c r="O454" i="2" s="1"/>
  <c r="N455" i="2"/>
  <c r="O455" i="2" s="1" a="1"/>
  <c r="O455" i="2" s="1"/>
  <c r="N456" i="2"/>
  <c r="O456" i="2" s="1" a="1"/>
  <c r="O456" i="2" s="1"/>
  <c r="N457" i="2"/>
  <c r="O457" i="2" s="1" a="1"/>
  <c r="O457" i="2" s="1"/>
  <c r="N458" i="2"/>
  <c r="O458" i="2" s="1" a="1"/>
  <c r="O458" i="2" s="1"/>
  <c r="N459" i="2"/>
  <c r="O459" i="2" s="1" a="1"/>
  <c r="O459" i="2" s="1"/>
  <c r="N460" i="2"/>
  <c r="O460" i="2" s="1" a="1"/>
  <c r="O460" i="2" s="1"/>
  <c r="N461" i="2"/>
  <c r="O461" i="2" s="1" a="1"/>
  <c r="O461" i="2" s="1"/>
  <c r="N462" i="2"/>
  <c r="O462" i="2" s="1" a="1"/>
  <c r="O462" i="2" s="1"/>
  <c r="N463" i="2"/>
  <c r="O463" i="2" s="1" a="1"/>
  <c r="O463" i="2" s="1"/>
  <c r="N464" i="2"/>
  <c r="O464" i="2" s="1" a="1"/>
  <c r="O464" i="2" s="1"/>
  <c r="N465" i="2"/>
  <c r="O465" i="2" s="1" a="1"/>
  <c r="O465" i="2" s="1"/>
  <c r="N466" i="2"/>
  <c r="O466" i="2" s="1" a="1"/>
  <c r="O466" i="2" s="1"/>
  <c r="N467" i="2"/>
  <c r="O467" i="2" s="1" a="1"/>
  <c r="O467" i="2" s="1"/>
  <c r="N468" i="2"/>
  <c r="O468" i="2" s="1" a="1"/>
  <c r="O468" i="2" s="1"/>
  <c r="N469" i="2"/>
  <c r="O469" i="2" s="1" a="1"/>
  <c r="O469" i="2" s="1"/>
  <c r="N470" i="2"/>
  <c r="O470" i="2" s="1" a="1"/>
  <c r="O470" i="2" s="1"/>
  <c r="N471" i="2"/>
  <c r="O471" i="2" s="1" a="1"/>
  <c r="O471" i="2" s="1"/>
  <c r="N472" i="2"/>
  <c r="O472" i="2" s="1" a="1"/>
  <c r="O472" i="2" s="1"/>
  <c r="N473" i="2"/>
  <c r="O473" i="2" s="1" a="1"/>
  <c r="O473" i="2" s="1"/>
  <c r="N474" i="2"/>
  <c r="O474" i="2" s="1" a="1"/>
  <c r="O474" i="2" s="1"/>
  <c r="N475" i="2"/>
  <c r="O475" i="2" s="1" a="1"/>
  <c r="O475" i="2" s="1"/>
  <c r="N476" i="2"/>
  <c r="O476" i="2" s="1" a="1"/>
  <c r="O476" i="2" s="1"/>
  <c r="N477" i="2"/>
  <c r="O477" i="2" s="1" a="1"/>
  <c r="O477" i="2" s="1"/>
  <c r="N478" i="2"/>
  <c r="O478" i="2" s="1" a="1"/>
  <c r="O478" i="2" s="1"/>
  <c r="N479" i="2"/>
  <c r="O479" i="2" s="1" a="1"/>
  <c r="O479" i="2" s="1"/>
  <c r="N480" i="2"/>
  <c r="O480" i="2" s="1" a="1"/>
  <c r="O480" i="2" s="1"/>
  <c r="N481" i="2"/>
  <c r="O481" i="2" s="1" a="1"/>
  <c r="O481" i="2" s="1"/>
  <c r="N482" i="2"/>
  <c r="O482" i="2" s="1" a="1"/>
  <c r="O482" i="2" s="1"/>
  <c r="N483" i="2"/>
  <c r="O483" i="2" s="1" a="1"/>
  <c r="O483" i="2" s="1"/>
  <c r="N484" i="2"/>
  <c r="O484" i="2" s="1" a="1"/>
  <c r="O484" i="2" s="1"/>
  <c r="N485" i="2"/>
  <c r="O485" i="2" s="1" a="1"/>
  <c r="O485" i="2" s="1"/>
  <c r="N486" i="2"/>
  <c r="O486" i="2" s="1" a="1"/>
  <c r="O486" i="2" s="1"/>
  <c r="N487" i="2"/>
  <c r="O487" i="2" s="1" a="1"/>
  <c r="O487" i="2" s="1"/>
  <c r="N488" i="2"/>
  <c r="O488" i="2" s="1" a="1"/>
  <c r="O488" i="2" s="1"/>
  <c r="N489" i="2"/>
  <c r="O489" i="2" s="1" a="1"/>
  <c r="O489" i="2" s="1"/>
  <c r="N490" i="2"/>
  <c r="O490" i="2" s="1" a="1"/>
  <c r="O490" i="2" s="1"/>
  <c r="N491" i="2"/>
  <c r="O491" i="2" s="1" a="1"/>
  <c r="O491" i="2" s="1"/>
  <c r="N492" i="2"/>
  <c r="O492" i="2" s="1" a="1"/>
  <c r="O492" i="2" s="1"/>
  <c r="N493" i="2"/>
  <c r="O493" i="2" s="1" a="1"/>
  <c r="O493" i="2" s="1"/>
  <c r="N494" i="2"/>
  <c r="O494" i="2" s="1" a="1"/>
  <c r="O494" i="2" s="1"/>
  <c r="N495" i="2"/>
  <c r="O495" i="2" s="1" a="1"/>
  <c r="O495" i="2" s="1"/>
  <c r="N496" i="2"/>
  <c r="O496" i="2" s="1" a="1"/>
  <c r="O496" i="2" s="1"/>
  <c r="N497" i="2"/>
  <c r="O497" i="2" s="1" a="1"/>
  <c r="O497" i="2" s="1"/>
  <c r="N498" i="2"/>
  <c r="O498" i="2" s="1" a="1"/>
  <c r="O498" i="2" s="1"/>
  <c r="N499" i="2"/>
  <c r="O499" i="2" s="1" a="1"/>
  <c r="O499" i="2" s="1"/>
  <c r="N500" i="2"/>
  <c r="O500" i="2" s="1" a="1"/>
  <c r="O500" i="2" s="1"/>
  <c r="N501" i="2"/>
  <c r="O501" i="2" s="1" a="1"/>
  <c r="O501" i="2" s="1"/>
  <c r="N502" i="2"/>
  <c r="O502" i="2" s="1" a="1"/>
  <c r="O502" i="2" s="1"/>
  <c r="N503" i="2"/>
  <c r="O503" i="2" s="1" a="1"/>
  <c r="O503" i="2" s="1"/>
  <c r="N504" i="2"/>
  <c r="O504" i="2" s="1" a="1"/>
  <c r="O504" i="2" s="1"/>
  <c r="N505" i="2"/>
  <c r="O505" i="2" s="1" a="1"/>
  <c r="O505" i="2" s="1"/>
  <c r="N506" i="2"/>
  <c r="O506" i="2" s="1" a="1"/>
  <c r="O506" i="2" s="1"/>
  <c r="N507" i="2"/>
  <c r="O507" i="2" s="1" a="1"/>
  <c r="O507" i="2" s="1"/>
  <c r="N508" i="2"/>
  <c r="O508" i="2" s="1" a="1"/>
  <c r="O508" i="2" s="1"/>
  <c r="N509" i="2"/>
  <c r="O509" i="2" s="1" a="1"/>
  <c r="O509" i="2" s="1"/>
  <c r="N510" i="2"/>
  <c r="O510" i="2" s="1" a="1"/>
  <c r="O510" i="2" s="1"/>
  <c r="N511" i="2"/>
  <c r="O511" i="2" s="1" a="1"/>
  <c r="O511" i="2" s="1"/>
  <c r="N512" i="2"/>
  <c r="O512" i="2" s="1" a="1"/>
  <c r="O512" i="2" s="1"/>
  <c r="N513" i="2"/>
  <c r="O513" i="2" s="1" a="1"/>
  <c r="O513" i="2" s="1"/>
  <c r="N514" i="2"/>
  <c r="O514" i="2" s="1" a="1"/>
  <c r="O514" i="2" s="1"/>
  <c r="N515" i="2"/>
  <c r="O515" i="2" s="1" a="1"/>
  <c r="O515" i="2" s="1"/>
  <c r="N516" i="2"/>
  <c r="O516" i="2" s="1" a="1"/>
  <c r="O516" i="2" s="1"/>
  <c r="N517" i="2"/>
  <c r="O517" i="2" s="1" a="1"/>
  <c r="O517" i="2" s="1"/>
  <c r="N518" i="2"/>
  <c r="O518" i="2" s="1" a="1"/>
  <c r="O518" i="2" s="1"/>
  <c r="N519" i="2"/>
  <c r="O519" i="2" s="1" a="1"/>
  <c r="O519" i="2" s="1"/>
  <c r="N520" i="2"/>
  <c r="O520" i="2" s="1" a="1"/>
  <c r="O520" i="2" s="1"/>
  <c r="N521" i="2"/>
  <c r="O521" i="2" s="1" a="1"/>
  <c r="O521" i="2" s="1"/>
  <c r="N522" i="2"/>
  <c r="O522" i="2" s="1" a="1"/>
  <c r="O522" i="2" s="1"/>
  <c r="N523" i="2"/>
  <c r="O523" i="2" s="1" a="1"/>
  <c r="O523" i="2" s="1"/>
  <c r="N524" i="2"/>
  <c r="O524" i="2" s="1" a="1"/>
  <c r="O524" i="2" s="1"/>
  <c r="N525" i="2"/>
  <c r="O525" i="2" s="1" a="1"/>
  <c r="O525" i="2" s="1"/>
  <c r="N526" i="2"/>
  <c r="O526" i="2" s="1" a="1"/>
  <c r="O526" i="2" s="1"/>
  <c r="N527" i="2"/>
  <c r="O527" i="2" s="1" a="1"/>
  <c r="O527" i="2" s="1"/>
  <c r="N528" i="2"/>
  <c r="O528" i="2" s="1" a="1"/>
  <c r="O528" i="2" s="1"/>
  <c r="N529" i="2"/>
  <c r="O529" i="2" s="1" a="1"/>
  <c r="O529" i="2" s="1"/>
  <c r="N530" i="2"/>
  <c r="O530" i="2" s="1" a="1"/>
  <c r="O530" i="2" s="1"/>
  <c r="N531" i="2"/>
  <c r="O531" i="2" s="1" a="1"/>
  <c r="O531" i="2" s="1"/>
  <c r="N532" i="2"/>
  <c r="O532" i="2" s="1" a="1"/>
  <c r="O532" i="2" s="1"/>
  <c r="N533" i="2"/>
  <c r="O533" i="2" s="1" a="1"/>
  <c r="O533" i="2" s="1"/>
  <c r="N534" i="2"/>
  <c r="O534" i="2" s="1" a="1"/>
  <c r="O534" i="2" s="1"/>
  <c r="N535" i="2"/>
  <c r="O535" i="2" s="1" a="1"/>
  <c r="O535" i="2" s="1"/>
  <c r="N536" i="2"/>
  <c r="O536" i="2" s="1" a="1"/>
  <c r="O536" i="2" s="1"/>
  <c r="N537" i="2"/>
  <c r="O537" i="2" s="1" a="1"/>
  <c r="O537" i="2" s="1"/>
  <c r="N538" i="2"/>
  <c r="O538" i="2" s="1" a="1"/>
  <c r="O538" i="2" s="1"/>
  <c r="N539" i="2"/>
  <c r="O539" i="2" s="1" a="1"/>
  <c r="O539" i="2" s="1"/>
  <c r="N540" i="2"/>
  <c r="O540" i="2" s="1" a="1"/>
  <c r="O540" i="2" s="1"/>
  <c r="N541" i="2"/>
  <c r="O541" i="2" s="1" a="1"/>
  <c r="O541" i="2" s="1"/>
  <c r="N542" i="2"/>
  <c r="O542" i="2" s="1" a="1"/>
  <c r="O542" i="2" s="1"/>
  <c r="N543" i="2"/>
  <c r="O543" i="2" s="1" a="1"/>
  <c r="O543" i="2" s="1"/>
  <c r="N544" i="2"/>
  <c r="O544" i="2" s="1" a="1"/>
  <c r="O544" i="2" s="1"/>
  <c r="N545" i="2"/>
  <c r="O545" i="2" s="1" a="1"/>
  <c r="O545" i="2" s="1"/>
  <c r="N546" i="2"/>
  <c r="O546" i="2" s="1" a="1"/>
  <c r="O546" i="2" s="1"/>
  <c r="N547" i="2"/>
  <c r="O547" i="2" s="1" a="1"/>
  <c r="O547" i="2" s="1"/>
  <c r="N548" i="2"/>
  <c r="O548" i="2" s="1" a="1"/>
  <c r="O548" i="2" s="1"/>
  <c r="N549" i="2"/>
  <c r="O549" i="2" s="1" a="1"/>
  <c r="O549" i="2" s="1"/>
  <c r="N550" i="2"/>
  <c r="O550" i="2" s="1" a="1"/>
  <c r="O550" i="2" s="1"/>
  <c r="N551" i="2"/>
  <c r="O551" i="2" s="1" a="1"/>
  <c r="O551" i="2" s="1"/>
  <c r="N552" i="2"/>
  <c r="O552" i="2" s="1" a="1"/>
  <c r="O552" i="2" s="1"/>
  <c r="N553" i="2"/>
  <c r="O553" i="2" s="1" a="1"/>
  <c r="O553" i="2" s="1"/>
  <c r="N554" i="2"/>
  <c r="O554" i="2" s="1" a="1"/>
  <c r="O554" i="2" s="1"/>
  <c r="N555" i="2"/>
  <c r="O555" i="2" s="1" a="1"/>
  <c r="O555" i="2" s="1"/>
  <c r="N556" i="2"/>
  <c r="O556" i="2" s="1" a="1"/>
  <c r="O556" i="2" s="1"/>
  <c r="N557" i="2"/>
  <c r="O557" i="2" s="1" a="1"/>
  <c r="O557" i="2" s="1"/>
  <c r="N558" i="2"/>
  <c r="O558" i="2" s="1" a="1"/>
  <c r="O558" i="2" s="1"/>
  <c r="N559" i="2"/>
  <c r="O559" i="2" s="1" a="1"/>
  <c r="O559" i="2" s="1"/>
  <c r="N560" i="2"/>
  <c r="O560" i="2" s="1" a="1"/>
  <c r="O560" i="2" s="1"/>
  <c r="N561" i="2"/>
  <c r="O561" i="2" s="1" a="1"/>
  <c r="O561" i="2" s="1"/>
  <c r="N562" i="2"/>
  <c r="O562" i="2" s="1" a="1"/>
  <c r="O562" i="2" s="1"/>
  <c r="N563" i="2"/>
  <c r="O563" i="2" s="1" a="1"/>
  <c r="O563" i="2" s="1"/>
  <c r="N564" i="2"/>
  <c r="O564" i="2" s="1" a="1"/>
  <c r="O564" i="2" s="1"/>
  <c r="N565" i="2"/>
  <c r="O565" i="2" s="1" a="1"/>
  <c r="O565" i="2" s="1"/>
  <c r="N566" i="2"/>
  <c r="O566" i="2" s="1" a="1"/>
  <c r="O566" i="2" s="1"/>
  <c r="N567" i="2"/>
  <c r="O567" i="2" s="1" a="1"/>
  <c r="O567" i="2" s="1"/>
  <c r="N568" i="2"/>
  <c r="O568" i="2" s="1" a="1"/>
  <c r="O568" i="2" s="1"/>
  <c r="N569" i="2"/>
  <c r="O569" i="2" s="1" a="1"/>
  <c r="O569" i="2" s="1"/>
  <c r="N570" i="2"/>
  <c r="O570" i="2" s="1" a="1"/>
  <c r="O570" i="2" s="1"/>
  <c r="N571" i="2"/>
  <c r="O571" i="2" s="1" a="1"/>
  <c r="O571" i="2" s="1"/>
  <c r="N572" i="2"/>
  <c r="O572" i="2" s="1" a="1"/>
  <c r="O572" i="2" s="1"/>
  <c r="N573" i="2"/>
  <c r="O573" i="2" s="1" a="1"/>
  <c r="O573" i="2" s="1"/>
  <c r="N574" i="2"/>
  <c r="O574" i="2" s="1" a="1"/>
  <c r="O574" i="2" s="1"/>
  <c r="N575" i="2"/>
  <c r="O575" i="2" s="1" a="1"/>
  <c r="O575" i="2" s="1"/>
  <c r="N576" i="2"/>
  <c r="O576" i="2" s="1" a="1"/>
  <c r="O576" i="2" s="1"/>
  <c r="N577" i="2"/>
  <c r="O577" i="2" s="1" a="1"/>
  <c r="O577" i="2" s="1"/>
  <c r="N578" i="2"/>
  <c r="O578" i="2" s="1" a="1"/>
  <c r="O578" i="2" s="1"/>
  <c r="N579" i="2"/>
  <c r="O579" i="2" s="1" a="1"/>
  <c r="O579" i="2" s="1"/>
  <c r="N580" i="2"/>
  <c r="O580" i="2" s="1" a="1"/>
  <c r="O580" i="2" s="1"/>
  <c r="N581" i="2"/>
  <c r="O581" i="2" s="1" a="1"/>
  <c r="O581" i="2" s="1"/>
  <c r="N582" i="2"/>
  <c r="O582" i="2" s="1" a="1"/>
  <c r="O582" i="2" s="1"/>
  <c r="N583" i="2"/>
  <c r="O583" i="2" s="1" a="1"/>
  <c r="O583" i="2" s="1"/>
  <c r="N584" i="2"/>
  <c r="O584" i="2" s="1" a="1"/>
  <c r="O584" i="2" s="1"/>
  <c r="N585" i="2"/>
  <c r="O585" i="2" s="1" a="1"/>
  <c r="O585" i="2" s="1"/>
  <c r="N586" i="2"/>
  <c r="O586" i="2" s="1" a="1"/>
  <c r="O586" i="2" s="1"/>
  <c r="N587" i="2"/>
  <c r="O587" i="2" s="1" a="1"/>
  <c r="O587" i="2" s="1"/>
  <c r="N588" i="2"/>
  <c r="O588" i="2" s="1" a="1"/>
  <c r="O588" i="2" s="1"/>
  <c r="N589" i="2"/>
  <c r="O589" i="2" s="1" a="1"/>
  <c r="O589" i="2" s="1"/>
  <c r="N590" i="2"/>
  <c r="O590" i="2" s="1" a="1"/>
  <c r="O590" i="2" s="1"/>
  <c r="N591" i="2"/>
  <c r="O591" i="2" s="1" a="1"/>
  <c r="O591" i="2" s="1"/>
  <c r="N592" i="2"/>
  <c r="O592" i="2" s="1" a="1"/>
  <c r="O592" i="2" s="1"/>
  <c r="N593" i="2"/>
  <c r="O593" i="2" s="1" a="1"/>
  <c r="O593" i="2" s="1"/>
  <c r="N594" i="2"/>
  <c r="O594" i="2" s="1" a="1"/>
  <c r="O594" i="2" s="1"/>
  <c r="N595" i="2"/>
  <c r="O595" i="2" s="1" a="1"/>
  <c r="O595" i="2" s="1"/>
  <c r="N596" i="2"/>
  <c r="O596" i="2" s="1" a="1"/>
  <c r="O596" i="2" s="1"/>
  <c r="N597" i="2"/>
  <c r="O597" i="2" s="1" a="1"/>
  <c r="O597" i="2" s="1"/>
  <c r="N598" i="2"/>
  <c r="O598" i="2" s="1" a="1"/>
  <c r="O598" i="2" s="1"/>
  <c r="N599" i="2"/>
  <c r="O599" i="2" s="1" a="1"/>
  <c r="O599" i="2" s="1"/>
  <c r="N600" i="2"/>
  <c r="O600" i="2" s="1" a="1"/>
  <c r="O600" i="2" s="1"/>
  <c r="N601" i="2"/>
  <c r="O601" i="2" s="1" a="1"/>
  <c r="O601" i="2" s="1"/>
  <c r="N602" i="2"/>
  <c r="O602" i="2" s="1" a="1"/>
  <c r="O602" i="2" s="1"/>
  <c r="N603" i="2"/>
  <c r="O603" i="2" s="1" a="1"/>
  <c r="O603" i="2" s="1"/>
  <c r="N604" i="2"/>
  <c r="O604" i="2" s="1" a="1"/>
  <c r="O604" i="2" s="1"/>
  <c r="N605" i="2"/>
  <c r="O605" i="2" s="1" a="1"/>
  <c r="O605" i="2" s="1"/>
  <c r="N606" i="2"/>
  <c r="O606" i="2" s="1" a="1"/>
  <c r="O606" i="2" s="1"/>
  <c r="N607" i="2"/>
  <c r="O607" i="2" s="1" a="1"/>
  <c r="O607" i="2" s="1"/>
  <c r="N608" i="2"/>
  <c r="O608" i="2" s="1" a="1"/>
  <c r="O608" i="2" s="1"/>
  <c r="N609" i="2"/>
  <c r="O609" i="2" s="1" a="1"/>
  <c r="O609" i="2" s="1"/>
  <c r="N610" i="2"/>
  <c r="O610" i="2" s="1" a="1"/>
  <c r="O610" i="2" s="1"/>
  <c r="N611" i="2"/>
  <c r="O611" i="2" s="1" a="1"/>
  <c r="O611" i="2" s="1"/>
  <c r="N612" i="2"/>
  <c r="O612" i="2" s="1" a="1"/>
  <c r="O612" i="2" s="1"/>
  <c r="N613" i="2"/>
  <c r="O613" i="2" s="1" a="1"/>
  <c r="O613" i="2" s="1"/>
  <c r="N614" i="2"/>
  <c r="O614" i="2" s="1" a="1"/>
  <c r="O614" i="2" s="1"/>
  <c r="N615" i="2"/>
  <c r="O615" i="2" s="1" a="1"/>
  <c r="O615" i="2" s="1"/>
  <c r="N616" i="2"/>
  <c r="O616" i="2" s="1" a="1"/>
  <c r="O616" i="2" s="1"/>
  <c r="N617" i="2"/>
  <c r="O617" i="2" s="1" a="1"/>
  <c r="O617" i="2" s="1"/>
  <c r="N618" i="2"/>
  <c r="O618" i="2" s="1" a="1"/>
  <c r="O618" i="2" s="1"/>
  <c r="N619" i="2"/>
  <c r="O619" i="2" s="1" a="1"/>
  <c r="O619" i="2" s="1"/>
  <c r="N620" i="2"/>
  <c r="O620" i="2" s="1" a="1"/>
  <c r="O620" i="2" s="1"/>
  <c r="N621" i="2"/>
  <c r="O621" i="2" s="1" a="1"/>
  <c r="O621" i="2" s="1"/>
  <c r="N622" i="2"/>
  <c r="O622" i="2" s="1" a="1"/>
  <c r="O622" i="2" s="1"/>
  <c r="N623" i="2"/>
  <c r="O623" i="2" s="1" a="1"/>
  <c r="O623" i="2" s="1"/>
  <c r="N624" i="2"/>
  <c r="O624" i="2" s="1" a="1"/>
  <c r="O624" i="2" s="1"/>
  <c r="N625" i="2"/>
  <c r="O625" i="2" s="1" a="1"/>
  <c r="O625" i="2" s="1"/>
  <c r="N626" i="2"/>
  <c r="O626" i="2" s="1" a="1"/>
  <c r="O626" i="2" s="1"/>
  <c r="N627" i="2"/>
  <c r="O627" i="2" s="1" a="1"/>
  <c r="O627" i="2" s="1"/>
  <c r="N628" i="2"/>
  <c r="O628" i="2" s="1" a="1"/>
  <c r="O628" i="2" s="1"/>
  <c r="N629" i="2"/>
  <c r="O629" i="2" s="1" a="1"/>
  <c r="O629" i="2" s="1"/>
  <c r="N630" i="2"/>
  <c r="O630" i="2" s="1" a="1"/>
  <c r="O630" i="2" s="1"/>
  <c r="N631" i="2"/>
  <c r="O631" i="2" s="1" a="1"/>
  <c r="O631" i="2" s="1"/>
  <c r="N632" i="2"/>
  <c r="O632" i="2" s="1" a="1"/>
  <c r="O632" i="2" s="1"/>
  <c r="N633" i="2"/>
  <c r="O633" i="2" s="1" a="1"/>
  <c r="O633" i="2" s="1"/>
  <c r="N634" i="2"/>
  <c r="O634" i="2" s="1" a="1"/>
  <c r="O634" i="2" s="1"/>
  <c r="N635" i="2"/>
  <c r="O635" i="2" s="1" a="1"/>
  <c r="O635" i="2" s="1"/>
  <c r="N636" i="2"/>
  <c r="O636" i="2" s="1" a="1"/>
  <c r="O636" i="2" s="1"/>
  <c r="N637" i="2"/>
  <c r="O637" i="2" s="1" a="1"/>
  <c r="O637" i="2" s="1"/>
  <c r="N638" i="2"/>
  <c r="O638" i="2" s="1" a="1"/>
  <c r="O638" i="2" s="1"/>
  <c r="N639" i="2"/>
  <c r="O639" i="2" s="1" a="1"/>
  <c r="O639" i="2" s="1"/>
  <c r="N640" i="2"/>
  <c r="O640" i="2" s="1" a="1"/>
  <c r="O640" i="2" s="1"/>
  <c r="N641" i="2"/>
  <c r="O641" i="2" s="1" a="1"/>
  <c r="O641" i="2" s="1"/>
  <c r="N642" i="2"/>
  <c r="O642" i="2" s="1" a="1"/>
  <c r="O642" i="2" s="1"/>
  <c r="N643" i="2"/>
  <c r="O643" i="2" s="1" a="1"/>
  <c r="O643" i="2" s="1"/>
  <c r="N644" i="2"/>
  <c r="O644" i="2" s="1" a="1"/>
  <c r="O644" i="2" s="1"/>
  <c r="N645" i="2"/>
  <c r="O645" i="2" s="1" a="1"/>
  <c r="O645" i="2" s="1"/>
  <c r="N646" i="2"/>
  <c r="O646" i="2" s="1" a="1"/>
  <c r="O646" i="2" s="1"/>
  <c r="N647" i="2"/>
  <c r="O647" i="2" s="1" a="1"/>
  <c r="O647" i="2" s="1"/>
  <c r="N648" i="2"/>
  <c r="O648" i="2" s="1" a="1"/>
  <c r="O648" i="2" s="1"/>
  <c r="N649" i="2"/>
  <c r="O649" i="2" s="1" a="1"/>
  <c r="O649" i="2" s="1"/>
  <c r="N650" i="2"/>
  <c r="O650" i="2" s="1" a="1"/>
  <c r="O650" i="2" s="1"/>
  <c r="N651" i="2"/>
  <c r="O651" i="2" s="1" a="1"/>
  <c r="O651" i="2" s="1"/>
  <c r="N652" i="2"/>
  <c r="O652" i="2" s="1" a="1"/>
  <c r="O652" i="2" s="1"/>
  <c r="N653" i="2"/>
  <c r="O653" i="2" s="1" a="1"/>
  <c r="O653" i="2" s="1"/>
  <c r="N654" i="2"/>
  <c r="O654" i="2" s="1" a="1"/>
  <c r="O654" i="2" s="1"/>
  <c r="N655" i="2"/>
  <c r="O655" i="2" s="1" a="1"/>
  <c r="O655" i="2" s="1"/>
  <c r="N656" i="2"/>
  <c r="O656" i="2" s="1" a="1"/>
  <c r="O656" i="2" s="1"/>
  <c r="N657" i="2"/>
  <c r="O657" i="2" s="1" a="1"/>
  <c r="O657" i="2" s="1"/>
  <c r="N658" i="2"/>
  <c r="O658" i="2" s="1" a="1"/>
  <c r="O658" i="2" s="1"/>
  <c r="N659" i="2"/>
  <c r="O659" i="2" s="1" a="1"/>
  <c r="O659" i="2" s="1"/>
  <c r="N660" i="2"/>
  <c r="O660" i="2" s="1" a="1"/>
  <c r="O660" i="2" s="1"/>
  <c r="N661" i="2"/>
  <c r="O661" i="2" s="1" a="1"/>
  <c r="O661" i="2" s="1"/>
  <c r="N662" i="2"/>
  <c r="O662" i="2" s="1" a="1"/>
  <c r="O662" i="2" s="1"/>
  <c r="N663" i="2"/>
  <c r="O663" i="2" s="1" a="1"/>
  <c r="O663" i="2" s="1"/>
  <c r="N664" i="2"/>
  <c r="O664" i="2" s="1" a="1"/>
  <c r="O664" i="2" s="1"/>
  <c r="N665" i="2"/>
  <c r="O665" i="2" s="1" a="1"/>
  <c r="O665" i="2" s="1"/>
  <c r="N666" i="2"/>
  <c r="O666" i="2" s="1" a="1"/>
  <c r="O666" i="2" s="1"/>
  <c r="N667" i="2"/>
  <c r="O667" i="2" s="1" a="1"/>
  <c r="O667" i="2" s="1"/>
  <c r="N668" i="2"/>
  <c r="O668" i="2" s="1" a="1"/>
  <c r="O668" i="2" s="1"/>
  <c r="N669" i="2"/>
  <c r="O669" i="2" s="1" a="1"/>
  <c r="O669" i="2" s="1"/>
  <c r="N670" i="2"/>
  <c r="O670" i="2" s="1" a="1"/>
  <c r="O670" i="2" s="1"/>
  <c r="N671" i="2"/>
  <c r="O671" i="2" s="1" a="1"/>
  <c r="O671" i="2" s="1"/>
  <c r="N672" i="2"/>
  <c r="O672" i="2" s="1" a="1"/>
  <c r="O672" i="2" s="1"/>
  <c r="N673" i="2"/>
  <c r="O673" i="2" s="1" a="1"/>
  <c r="O673" i="2" s="1"/>
  <c r="N674" i="2"/>
  <c r="O674" i="2" s="1" a="1"/>
  <c r="O674" i="2" s="1"/>
  <c r="N675" i="2"/>
  <c r="O675" i="2" s="1" a="1"/>
  <c r="O675" i="2" s="1"/>
  <c r="N676" i="2"/>
  <c r="O676" i="2" s="1" a="1"/>
  <c r="O676" i="2" s="1"/>
  <c r="N677" i="2"/>
  <c r="O677" i="2" s="1" a="1"/>
  <c r="O677" i="2" s="1"/>
  <c r="N678" i="2"/>
  <c r="O678" i="2" s="1" a="1"/>
  <c r="O678" i="2" s="1"/>
  <c r="N679" i="2"/>
  <c r="O679" i="2" s="1" a="1"/>
  <c r="O679" i="2" s="1"/>
  <c r="N680" i="2"/>
  <c r="O680" i="2" s="1" a="1"/>
  <c r="O680" i="2" s="1"/>
  <c r="N681" i="2"/>
  <c r="O681" i="2" s="1" a="1"/>
  <c r="O681" i="2" s="1"/>
  <c r="N682" i="2"/>
  <c r="O682" i="2" s="1" a="1"/>
  <c r="O682" i="2" s="1"/>
  <c r="N683" i="2"/>
  <c r="O683" i="2" s="1" a="1"/>
  <c r="O683" i="2" s="1"/>
  <c r="N684" i="2"/>
  <c r="O684" i="2" s="1" a="1"/>
  <c r="O684" i="2" s="1"/>
  <c r="N685" i="2"/>
  <c r="O685" i="2" s="1" a="1"/>
  <c r="O685" i="2" s="1"/>
  <c r="N686" i="2"/>
  <c r="O686" i="2" s="1" a="1"/>
  <c r="O686" i="2" s="1"/>
  <c r="N687" i="2"/>
  <c r="O687" i="2" s="1" a="1"/>
  <c r="O687" i="2" s="1"/>
  <c r="N688" i="2"/>
  <c r="O688" i="2" s="1" a="1"/>
  <c r="O688" i="2" s="1"/>
  <c r="N689" i="2"/>
  <c r="O689" i="2" s="1" a="1"/>
  <c r="O689" i="2" s="1"/>
  <c r="N690" i="2"/>
  <c r="O690" i="2" s="1" a="1"/>
  <c r="O690" i="2" s="1"/>
  <c r="N691" i="2"/>
  <c r="O691" i="2" s="1" a="1"/>
  <c r="O691" i="2" s="1"/>
  <c r="N692" i="2"/>
  <c r="O692" i="2" s="1" a="1"/>
  <c r="O692" i="2" s="1"/>
  <c r="N693" i="2"/>
  <c r="O693" i="2" s="1" a="1"/>
  <c r="O693" i="2" s="1"/>
  <c r="N694" i="2"/>
  <c r="O694" i="2" s="1" a="1"/>
  <c r="O694" i="2" s="1"/>
  <c r="N695" i="2"/>
  <c r="O695" i="2" s="1" a="1"/>
  <c r="O695" i="2" s="1"/>
  <c r="N696" i="2"/>
  <c r="O696" i="2" s="1" a="1"/>
  <c r="O696" i="2" s="1"/>
  <c r="N697" i="2"/>
  <c r="O697" i="2" s="1" a="1"/>
  <c r="O697" i="2" s="1"/>
  <c r="N698" i="2"/>
  <c r="O698" i="2" s="1" a="1"/>
  <c r="O698" i="2" s="1"/>
  <c r="N699" i="2"/>
  <c r="O699" i="2" s="1" a="1"/>
  <c r="O699" i="2" s="1"/>
  <c r="N700" i="2"/>
  <c r="O700" i="2" s="1" a="1"/>
  <c r="O700" i="2" s="1"/>
  <c r="N701" i="2"/>
  <c r="O701" i="2" s="1" a="1"/>
  <c r="O701" i="2" s="1"/>
  <c r="N702" i="2"/>
  <c r="O702" i="2" s="1" a="1"/>
  <c r="O702" i="2" s="1"/>
  <c r="N703" i="2"/>
  <c r="O703" i="2" s="1" a="1"/>
  <c r="O703" i="2" s="1"/>
  <c r="N704" i="2"/>
  <c r="O704" i="2" s="1" a="1"/>
  <c r="O704" i="2" s="1"/>
  <c r="N705" i="2"/>
  <c r="O705" i="2" s="1" a="1"/>
  <c r="O705" i="2" s="1"/>
  <c r="N706" i="2"/>
  <c r="O706" i="2" s="1" a="1"/>
  <c r="O706" i="2" s="1"/>
  <c r="N707" i="2"/>
  <c r="O707" i="2" s="1" a="1"/>
  <c r="O707" i="2" s="1"/>
  <c r="N708" i="2"/>
  <c r="O708" i="2" s="1" a="1"/>
  <c r="O708" i="2" s="1"/>
  <c r="N709" i="2"/>
  <c r="O709" i="2" s="1" a="1"/>
  <c r="O709" i="2" s="1"/>
  <c r="N710" i="2"/>
  <c r="O710" i="2" s="1" a="1"/>
  <c r="O710" i="2" s="1"/>
  <c r="N711" i="2"/>
  <c r="O711" i="2" s="1" a="1"/>
  <c r="O711" i="2" s="1"/>
  <c r="N712" i="2"/>
  <c r="O712" i="2" s="1" a="1"/>
  <c r="O712" i="2" s="1"/>
  <c r="N713" i="2"/>
  <c r="O713" i="2" s="1" a="1"/>
  <c r="O713" i="2" s="1"/>
  <c r="N714" i="2"/>
  <c r="O714" i="2" s="1" a="1"/>
  <c r="O714" i="2" s="1"/>
  <c r="N715" i="2"/>
  <c r="O715" i="2" s="1" a="1"/>
  <c r="O715" i="2" s="1"/>
  <c r="N716" i="2"/>
  <c r="O716" i="2" s="1" a="1"/>
  <c r="O716" i="2" s="1"/>
  <c r="N717" i="2"/>
  <c r="O717" i="2" s="1" a="1"/>
  <c r="O717" i="2" s="1"/>
  <c r="N718" i="2"/>
  <c r="O718" i="2" s="1" a="1"/>
  <c r="O718" i="2" s="1"/>
  <c r="N719" i="2"/>
  <c r="O719" i="2" s="1" a="1"/>
  <c r="O719" i="2" s="1"/>
  <c r="N720" i="2"/>
  <c r="O720" i="2" s="1" a="1"/>
  <c r="O720" i="2" s="1"/>
  <c r="N721" i="2"/>
  <c r="O721" i="2" s="1" a="1"/>
  <c r="O721" i="2" s="1"/>
  <c r="N722" i="2"/>
  <c r="O722" i="2" s="1" a="1"/>
  <c r="O722" i="2" s="1"/>
  <c r="N723" i="2"/>
  <c r="O723" i="2" s="1" a="1"/>
  <c r="O723" i="2" s="1"/>
  <c r="N724" i="2"/>
  <c r="O724" i="2" s="1" a="1"/>
  <c r="O724" i="2" s="1"/>
  <c r="N725" i="2"/>
  <c r="O725" i="2" s="1" a="1"/>
  <c r="O725" i="2" s="1"/>
  <c r="N726" i="2"/>
  <c r="O726" i="2" s="1" a="1"/>
  <c r="O726" i="2" s="1"/>
  <c r="N727" i="2"/>
  <c r="O727" i="2" s="1" a="1"/>
  <c r="O727" i="2" s="1"/>
  <c r="N728" i="2"/>
  <c r="O728" i="2" s="1" a="1"/>
  <c r="O728" i="2" s="1"/>
  <c r="N729" i="2"/>
  <c r="O729" i="2" s="1" a="1"/>
  <c r="O729" i="2" s="1"/>
  <c r="N730" i="2"/>
  <c r="O730" i="2" s="1" a="1"/>
  <c r="O730" i="2" s="1"/>
  <c r="N731" i="2"/>
  <c r="O731" i="2" s="1" a="1"/>
  <c r="O731" i="2" s="1"/>
  <c r="N732" i="2"/>
  <c r="O732" i="2" s="1" a="1"/>
  <c r="O732" i="2" s="1"/>
  <c r="N733" i="2"/>
  <c r="O733" i="2" s="1" a="1"/>
  <c r="O733" i="2" s="1"/>
  <c r="N734" i="2"/>
  <c r="O734" i="2" s="1" a="1"/>
  <c r="O734" i="2" s="1"/>
  <c r="N735" i="2"/>
  <c r="O735" i="2" s="1" a="1"/>
  <c r="O735" i="2" s="1"/>
  <c r="N736" i="2"/>
  <c r="O736" i="2" s="1" a="1"/>
  <c r="O736" i="2" s="1"/>
  <c r="N737" i="2"/>
  <c r="O737" i="2" s="1" a="1"/>
  <c r="O737" i="2" s="1"/>
  <c r="N738" i="2"/>
  <c r="O738" i="2" s="1" a="1"/>
  <c r="O738" i="2" s="1"/>
  <c r="N739" i="2"/>
  <c r="O739" i="2" s="1" a="1"/>
  <c r="O739" i="2" s="1"/>
  <c r="N740" i="2"/>
  <c r="O740" i="2" s="1" a="1"/>
  <c r="O740" i="2" s="1"/>
  <c r="N741" i="2"/>
  <c r="O741" i="2" s="1" a="1"/>
  <c r="O741" i="2" s="1"/>
  <c r="N742" i="2"/>
  <c r="O742" i="2" s="1" a="1"/>
  <c r="O742" i="2" s="1"/>
  <c r="N743" i="2"/>
  <c r="O743" i="2" s="1" a="1"/>
  <c r="O743" i="2" s="1"/>
  <c r="N744" i="2"/>
  <c r="O744" i="2" s="1" a="1"/>
  <c r="O744" i="2" s="1"/>
  <c r="N745" i="2"/>
  <c r="O745" i="2" s="1" a="1"/>
  <c r="O745" i="2" s="1"/>
  <c r="N746" i="2"/>
  <c r="O746" i="2" s="1" a="1"/>
  <c r="O746" i="2" s="1"/>
  <c r="N747" i="2"/>
  <c r="O747" i="2" s="1" a="1"/>
  <c r="O747" i="2" s="1"/>
  <c r="N748" i="2"/>
  <c r="O748" i="2" s="1" a="1"/>
  <c r="O748" i="2" s="1"/>
  <c r="N749" i="2"/>
  <c r="O749" i="2" s="1" a="1"/>
  <c r="O749" i="2" s="1"/>
  <c r="N750" i="2"/>
  <c r="O750" i="2" s="1" a="1"/>
  <c r="O750" i="2" s="1"/>
  <c r="N751" i="2"/>
  <c r="O751" i="2" s="1" a="1"/>
  <c r="O751" i="2" s="1"/>
  <c r="N752" i="2"/>
  <c r="O752" i="2" s="1" a="1"/>
  <c r="O752" i="2" s="1"/>
  <c r="N753" i="2"/>
  <c r="O753" i="2" s="1" a="1"/>
  <c r="O753" i="2" s="1"/>
  <c r="N754" i="2"/>
  <c r="O754" i="2" s="1" a="1"/>
  <c r="O754" i="2" s="1"/>
  <c r="N755" i="2"/>
  <c r="O755" i="2" s="1" a="1"/>
  <c r="O755" i="2" s="1"/>
  <c r="N756" i="2"/>
  <c r="O756" i="2" s="1" a="1"/>
  <c r="O756" i="2" s="1"/>
  <c r="N757" i="2"/>
  <c r="O757" i="2" s="1" a="1"/>
  <c r="O757" i="2" s="1"/>
  <c r="N758" i="2"/>
  <c r="O758" i="2" s="1" a="1"/>
  <c r="O758" i="2" s="1"/>
  <c r="N759" i="2"/>
  <c r="O759" i="2" s="1" a="1"/>
  <c r="O759" i="2" s="1"/>
  <c r="N760" i="2"/>
  <c r="O760" i="2" s="1" a="1"/>
  <c r="O760" i="2" s="1"/>
  <c r="N761" i="2"/>
  <c r="O761" i="2" s="1" a="1"/>
  <c r="O761" i="2" s="1"/>
  <c r="N762" i="2"/>
  <c r="O762" i="2" s="1" a="1"/>
  <c r="O762" i="2" s="1"/>
  <c r="N763" i="2"/>
  <c r="O763" i="2" s="1" a="1"/>
  <c r="O763" i="2" s="1"/>
  <c r="N764" i="2"/>
  <c r="O764" i="2" s="1" a="1"/>
  <c r="O764" i="2" s="1"/>
  <c r="N765" i="2"/>
  <c r="O765" i="2" s="1" a="1"/>
  <c r="O765" i="2" s="1"/>
  <c r="N766" i="2"/>
  <c r="O766" i="2" s="1" a="1"/>
  <c r="O766" i="2" s="1"/>
  <c r="N767" i="2"/>
  <c r="O767" i="2" s="1" a="1"/>
  <c r="O767" i="2" s="1"/>
  <c r="N768" i="2"/>
  <c r="O768" i="2" s="1" a="1"/>
  <c r="O768" i="2" s="1"/>
  <c r="N769" i="2"/>
  <c r="O769" i="2" s="1" a="1"/>
  <c r="O769" i="2" s="1"/>
  <c r="N770" i="2"/>
  <c r="O770" i="2" s="1" a="1"/>
  <c r="O770" i="2" s="1"/>
  <c r="N771" i="2"/>
  <c r="O771" i="2" s="1" a="1"/>
  <c r="O771" i="2" s="1"/>
  <c r="N772" i="2"/>
  <c r="O772" i="2" s="1" a="1"/>
  <c r="O772" i="2" s="1"/>
  <c r="N773" i="2"/>
  <c r="O773" i="2" s="1" a="1"/>
  <c r="O773" i="2" s="1"/>
  <c r="N774" i="2"/>
  <c r="O774" i="2" s="1" a="1"/>
  <c r="O774" i="2" s="1"/>
  <c r="N775" i="2"/>
  <c r="O775" i="2" s="1" a="1"/>
  <c r="O775" i="2" s="1"/>
  <c r="N776" i="2"/>
  <c r="O776" i="2" s="1" a="1"/>
  <c r="O776" i="2" s="1"/>
  <c r="N777" i="2"/>
  <c r="O777" i="2" s="1" a="1"/>
  <c r="O777" i="2" s="1"/>
  <c r="N778" i="2"/>
  <c r="O778" i="2" s="1" a="1"/>
  <c r="O778" i="2" s="1"/>
  <c r="N779" i="2"/>
  <c r="O779" i="2" s="1" a="1"/>
  <c r="O779" i="2" s="1"/>
  <c r="N780" i="2"/>
  <c r="O780" i="2" s="1" a="1"/>
  <c r="O780" i="2" s="1"/>
  <c r="N781" i="2"/>
  <c r="O781" i="2" s="1" a="1"/>
  <c r="O781" i="2" s="1"/>
  <c r="N782" i="2"/>
  <c r="O782" i="2" s="1" a="1"/>
  <c r="O782" i="2" s="1"/>
  <c r="N783" i="2"/>
  <c r="O783" i="2" s="1" a="1"/>
  <c r="O783" i="2" s="1"/>
  <c r="N784" i="2"/>
  <c r="O784" i="2" s="1" a="1"/>
  <c r="O784" i="2" s="1"/>
  <c r="N785" i="2"/>
  <c r="O785" i="2" s="1" a="1"/>
  <c r="O785" i="2" s="1"/>
  <c r="N786" i="2"/>
  <c r="O786" i="2" s="1" a="1"/>
  <c r="O786" i="2" s="1"/>
  <c r="N787" i="2"/>
  <c r="O787" i="2" s="1" a="1"/>
  <c r="O787" i="2" s="1"/>
  <c r="N788" i="2"/>
  <c r="O788" i="2" s="1" a="1"/>
  <c r="O788" i="2" s="1"/>
  <c r="N789" i="2"/>
  <c r="O789" i="2" s="1" a="1"/>
  <c r="O789" i="2" s="1"/>
  <c r="N790" i="2"/>
  <c r="O790" i="2" s="1" a="1"/>
  <c r="O790" i="2" s="1"/>
  <c r="N791" i="2"/>
  <c r="O791" i="2" s="1" a="1"/>
  <c r="O791" i="2" s="1"/>
  <c r="N792" i="2"/>
  <c r="O792" i="2" s="1" a="1"/>
  <c r="O792" i="2" s="1"/>
  <c r="N793" i="2"/>
  <c r="O793" i="2" s="1" a="1"/>
  <c r="O793" i="2" s="1"/>
  <c r="N794" i="2"/>
  <c r="O794" i="2" s="1" a="1"/>
  <c r="O794" i="2" s="1"/>
  <c r="N795" i="2"/>
  <c r="O795" i="2" s="1" a="1"/>
  <c r="O795" i="2" s="1"/>
  <c r="N796" i="2"/>
  <c r="O796" i="2" s="1" a="1"/>
  <c r="O796" i="2" s="1"/>
  <c r="N797" i="2"/>
  <c r="O797" i="2" s="1" a="1"/>
  <c r="O797" i="2" s="1"/>
  <c r="N798" i="2"/>
  <c r="O798" i="2" s="1" a="1"/>
  <c r="O798" i="2" s="1"/>
  <c r="N799" i="2"/>
  <c r="O799" i="2" s="1" a="1"/>
  <c r="O799" i="2" s="1"/>
  <c r="N800" i="2"/>
  <c r="O800" i="2" s="1" a="1"/>
  <c r="O800" i="2" s="1"/>
  <c r="N801" i="2"/>
  <c r="O801" i="2" s="1" a="1"/>
  <c r="O801" i="2" s="1"/>
  <c r="N802" i="2"/>
  <c r="O802" i="2" s="1" a="1"/>
  <c r="O802" i="2" s="1"/>
  <c r="N803" i="2"/>
  <c r="O803" i="2" s="1" a="1"/>
  <c r="O803" i="2" s="1"/>
  <c r="N804" i="2"/>
  <c r="O804" i="2" s="1" a="1"/>
  <c r="O804" i="2" s="1"/>
  <c r="N805" i="2"/>
  <c r="O805" i="2" s="1" a="1"/>
  <c r="O805" i="2" s="1"/>
  <c r="N806" i="2"/>
  <c r="O806" i="2" s="1" a="1"/>
  <c r="O806" i="2" s="1"/>
  <c r="N807" i="2"/>
  <c r="O807" i="2" s="1" a="1"/>
  <c r="O807" i="2" s="1"/>
  <c r="N808" i="2"/>
  <c r="O808" i="2" s="1" a="1"/>
  <c r="O808" i="2" s="1"/>
  <c r="N809" i="2"/>
  <c r="O809" i="2" s="1" a="1"/>
  <c r="O809" i="2" s="1"/>
  <c r="N810" i="2"/>
  <c r="O810" i="2" s="1" a="1"/>
  <c r="O810" i="2" s="1"/>
  <c r="N811" i="2"/>
  <c r="O811" i="2" s="1" a="1"/>
  <c r="O811" i="2" s="1"/>
  <c r="N812" i="2"/>
  <c r="O812" i="2" s="1" a="1"/>
  <c r="O812" i="2" s="1"/>
  <c r="N813" i="2"/>
  <c r="O813" i="2" s="1" a="1"/>
  <c r="O813" i="2" s="1"/>
  <c r="N814" i="2"/>
  <c r="O814" i="2" s="1" a="1"/>
  <c r="O814" i="2" s="1"/>
  <c r="N815" i="2"/>
  <c r="O815" i="2" s="1" a="1"/>
  <c r="O815" i="2" s="1"/>
  <c r="N816" i="2"/>
  <c r="O816" i="2" s="1" a="1"/>
  <c r="O816" i="2" s="1"/>
  <c r="N817" i="2"/>
  <c r="O817" i="2" s="1" a="1"/>
  <c r="O817" i="2" s="1"/>
  <c r="N818" i="2"/>
  <c r="O818" i="2" s="1" a="1"/>
  <c r="O818" i="2" s="1"/>
  <c r="N819" i="2"/>
  <c r="O819" i="2" s="1" a="1"/>
  <c r="O819" i="2" s="1"/>
  <c r="N820" i="2"/>
  <c r="O820" i="2" s="1" a="1"/>
  <c r="O820" i="2" s="1"/>
  <c r="N821" i="2"/>
  <c r="O821" i="2" s="1" a="1"/>
  <c r="O821" i="2" s="1"/>
  <c r="N822" i="2"/>
  <c r="O822" i="2" s="1" a="1"/>
  <c r="O822" i="2" s="1"/>
  <c r="N823" i="2"/>
  <c r="O823" i="2" s="1" a="1"/>
  <c r="O823" i="2" s="1"/>
  <c r="N824" i="2"/>
  <c r="O824" i="2" s="1" a="1"/>
  <c r="O824" i="2" s="1"/>
  <c r="N825" i="2"/>
  <c r="O825" i="2" s="1" a="1"/>
  <c r="O825" i="2" s="1"/>
  <c r="N826" i="2"/>
  <c r="O826" i="2" s="1" a="1"/>
  <c r="O826" i="2" s="1"/>
  <c r="N827" i="2"/>
  <c r="O827" i="2" s="1" a="1"/>
  <c r="O827" i="2" s="1"/>
  <c r="N828" i="2"/>
  <c r="O828" i="2" s="1" a="1"/>
  <c r="O828" i="2" s="1"/>
  <c r="N829" i="2"/>
  <c r="O829" i="2" s="1" a="1"/>
  <c r="O829" i="2" s="1"/>
  <c r="N830" i="2"/>
  <c r="O830" i="2" s="1" a="1"/>
  <c r="O830" i="2" s="1"/>
  <c r="N831" i="2"/>
  <c r="O831" i="2" s="1" a="1"/>
  <c r="O831" i="2" s="1"/>
  <c r="N832" i="2"/>
  <c r="O832" i="2" s="1" a="1"/>
  <c r="O832" i="2" s="1"/>
  <c r="N833" i="2"/>
  <c r="O833" i="2" s="1" a="1"/>
  <c r="O833" i="2" s="1"/>
  <c r="N834" i="2"/>
  <c r="O834" i="2" s="1" a="1"/>
  <c r="O834" i="2" s="1"/>
  <c r="N835" i="2"/>
  <c r="O835" i="2" s="1" a="1"/>
  <c r="O835" i="2" s="1"/>
  <c r="N836" i="2"/>
  <c r="O836" i="2" s="1" a="1"/>
  <c r="O836" i="2" s="1"/>
  <c r="N837" i="2"/>
  <c r="O837" i="2" s="1" a="1"/>
  <c r="O837" i="2" s="1"/>
  <c r="N838" i="2"/>
  <c r="O838" i="2" s="1" a="1"/>
  <c r="O838" i="2" s="1"/>
  <c r="N839" i="2"/>
  <c r="O839" i="2" s="1" a="1"/>
  <c r="O839" i="2" s="1"/>
  <c r="N840" i="2"/>
  <c r="O840" i="2" s="1" a="1"/>
  <c r="O840" i="2" s="1"/>
  <c r="N841" i="2"/>
  <c r="O841" i="2" s="1" a="1"/>
  <c r="O841" i="2" s="1"/>
  <c r="N842" i="2"/>
  <c r="O842" i="2" s="1" a="1"/>
  <c r="O842" i="2" s="1"/>
  <c r="N843" i="2"/>
  <c r="O843" i="2" s="1" a="1"/>
  <c r="O843" i="2" s="1"/>
  <c r="N844" i="2"/>
  <c r="O844" i="2" s="1" a="1"/>
  <c r="O844" i="2" s="1"/>
  <c r="N845" i="2"/>
  <c r="O845" i="2" s="1" a="1"/>
  <c r="O845" i="2" s="1"/>
  <c r="N846" i="2"/>
  <c r="O846" i="2" s="1" a="1"/>
  <c r="O846" i="2" s="1"/>
  <c r="N847" i="2"/>
  <c r="O847" i="2" s="1" a="1"/>
  <c r="O847" i="2" s="1"/>
  <c r="N848" i="2"/>
  <c r="O848" i="2" s="1" a="1"/>
  <c r="O848" i="2" s="1"/>
  <c r="N849" i="2"/>
  <c r="O849" i="2" s="1" a="1"/>
  <c r="O849" i="2" s="1"/>
  <c r="N850" i="2"/>
  <c r="O850" i="2" s="1" a="1"/>
  <c r="O850" i="2" s="1"/>
  <c r="N851" i="2"/>
  <c r="O851" i="2" s="1" a="1"/>
  <c r="O851" i="2" s="1"/>
  <c r="N852" i="2"/>
  <c r="O852" i="2" s="1" a="1"/>
  <c r="O852" i="2" s="1"/>
  <c r="N853" i="2"/>
  <c r="O853" i="2" s="1" a="1"/>
  <c r="O853" i="2" s="1"/>
  <c r="N854" i="2"/>
  <c r="O854" i="2" s="1" a="1"/>
  <c r="O854" i="2" s="1"/>
  <c r="N855" i="2"/>
  <c r="O855" i="2" s="1" a="1"/>
  <c r="O855" i="2" s="1"/>
  <c r="N856" i="2"/>
  <c r="O856" i="2" s="1" a="1"/>
  <c r="O856" i="2" s="1"/>
  <c r="N857" i="2"/>
  <c r="O857" i="2" s="1" a="1"/>
  <c r="O857" i="2" s="1"/>
  <c r="N858" i="2"/>
  <c r="O858" i="2" s="1" a="1"/>
  <c r="O858" i="2" s="1"/>
  <c r="N859" i="2"/>
  <c r="O859" i="2" s="1" a="1"/>
  <c r="O859" i="2" s="1"/>
  <c r="N860" i="2"/>
  <c r="O860" i="2" s="1" a="1"/>
  <c r="O860" i="2" s="1"/>
  <c r="N861" i="2"/>
  <c r="O861" i="2" s="1" a="1"/>
  <c r="O861" i="2" s="1"/>
  <c r="N862" i="2"/>
  <c r="O862" i="2" s="1" a="1"/>
  <c r="O862" i="2" s="1"/>
  <c r="N863" i="2"/>
  <c r="O863" i="2" s="1" a="1"/>
  <c r="O863" i="2" s="1"/>
  <c r="N864" i="2"/>
  <c r="O864" i="2" s="1" a="1"/>
  <c r="O864" i="2" s="1"/>
  <c r="N865" i="2"/>
  <c r="O865" i="2" s="1" a="1"/>
  <c r="O865" i="2" s="1"/>
  <c r="N866" i="2"/>
  <c r="O866" i="2" s="1" a="1"/>
  <c r="O866" i="2" s="1"/>
  <c r="N867" i="2"/>
  <c r="O867" i="2" s="1" a="1"/>
  <c r="O867" i="2" s="1"/>
  <c r="N868" i="2"/>
  <c r="O868" i="2" s="1" a="1"/>
  <c r="O868" i="2" s="1"/>
  <c r="N869" i="2"/>
  <c r="O869" i="2" s="1" a="1"/>
  <c r="O869" i="2" s="1"/>
  <c r="N870" i="2"/>
  <c r="O870" i="2" s="1" a="1"/>
  <c r="O870" i="2" s="1"/>
  <c r="N871" i="2"/>
  <c r="O871" i="2" s="1" a="1"/>
  <c r="O871" i="2" s="1"/>
  <c r="N872" i="2"/>
  <c r="O872" i="2" s="1" a="1"/>
  <c r="O872" i="2" s="1"/>
  <c r="N873" i="2"/>
  <c r="O873" i="2" s="1" a="1"/>
  <c r="O873" i="2" s="1"/>
  <c r="N874" i="2"/>
  <c r="O874" i="2" s="1" a="1"/>
  <c r="O874" i="2" s="1"/>
  <c r="N875" i="2"/>
  <c r="O875" i="2" s="1" a="1"/>
  <c r="O875" i="2" s="1"/>
  <c r="N876" i="2"/>
  <c r="O876" i="2" s="1" a="1"/>
  <c r="O876" i="2" s="1"/>
  <c r="N877" i="2"/>
  <c r="O877" i="2" s="1" a="1"/>
  <c r="O877" i="2" s="1"/>
  <c r="N878" i="2"/>
  <c r="O878" i="2" s="1" a="1"/>
  <c r="O878" i="2" s="1"/>
  <c r="N879" i="2"/>
  <c r="O879" i="2" s="1" a="1"/>
  <c r="O879" i="2" s="1"/>
  <c r="N880" i="2"/>
  <c r="O880" i="2" s="1" a="1"/>
  <c r="O880" i="2" s="1"/>
  <c r="N881" i="2"/>
  <c r="O881" i="2" s="1" a="1"/>
  <c r="O881" i="2" s="1"/>
  <c r="N882" i="2"/>
  <c r="O882" i="2" s="1" a="1"/>
  <c r="O882" i="2" s="1"/>
  <c r="N883" i="2"/>
  <c r="O883" i="2" s="1" a="1"/>
  <c r="O883" i="2" s="1"/>
  <c r="N884" i="2"/>
  <c r="O884" i="2" s="1" a="1"/>
  <c r="O884" i="2" s="1"/>
  <c r="N885" i="2"/>
  <c r="O885" i="2" s="1" a="1"/>
  <c r="O885" i="2" s="1"/>
  <c r="N886" i="2"/>
  <c r="O886" i="2" s="1" a="1"/>
  <c r="O886" i="2" s="1"/>
  <c r="N887" i="2"/>
  <c r="O887" i="2" s="1" a="1"/>
  <c r="O887" i="2" s="1"/>
  <c r="N888" i="2"/>
  <c r="O888" i="2" s="1" a="1"/>
  <c r="O888" i="2" s="1"/>
  <c r="N889" i="2"/>
  <c r="O889" i="2" s="1" a="1"/>
  <c r="O889" i="2" s="1"/>
  <c r="N890" i="2"/>
  <c r="O890" i="2" s="1" a="1"/>
  <c r="O890" i="2" s="1"/>
  <c r="N891" i="2"/>
  <c r="O891" i="2" s="1" a="1"/>
  <c r="O891" i="2" s="1"/>
  <c r="N892" i="2"/>
  <c r="O892" i="2" s="1" a="1"/>
  <c r="O892" i="2" s="1"/>
  <c r="N893" i="2"/>
  <c r="O893" i="2" s="1" a="1"/>
  <c r="O893" i="2" s="1"/>
  <c r="N894" i="2"/>
  <c r="O894" i="2" s="1" a="1"/>
  <c r="O894" i="2" s="1"/>
  <c r="N895" i="2"/>
  <c r="O895" i="2" s="1" a="1"/>
  <c r="O895" i="2" s="1"/>
  <c r="N896" i="2"/>
  <c r="O896" i="2" s="1" a="1"/>
  <c r="O896" i="2" s="1"/>
  <c r="N897" i="2"/>
  <c r="O897" i="2" s="1" a="1"/>
  <c r="O897" i="2" s="1"/>
  <c r="N898" i="2"/>
  <c r="O898" i="2" s="1" a="1"/>
  <c r="O898" i="2" s="1"/>
  <c r="N899" i="2"/>
  <c r="O899" i="2" s="1" a="1"/>
  <c r="O899" i="2" s="1"/>
  <c r="N900" i="2"/>
  <c r="O900" i="2" s="1" a="1"/>
  <c r="O900" i="2" s="1"/>
  <c r="N901" i="2"/>
  <c r="O901" i="2" s="1" a="1"/>
  <c r="O901" i="2" s="1"/>
  <c r="N902" i="2"/>
  <c r="O902" i="2" s="1" a="1"/>
  <c r="O902" i="2" s="1"/>
  <c r="N903" i="2"/>
  <c r="O903" i="2" s="1" a="1"/>
  <c r="O903" i="2" s="1"/>
  <c r="N904" i="2"/>
  <c r="O904" i="2" s="1" a="1"/>
  <c r="O904" i="2" s="1"/>
  <c r="N905" i="2"/>
  <c r="O905" i="2" s="1" a="1"/>
  <c r="O905" i="2" s="1"/>
  <c r="N906" i="2"/>
  <c r="O906" i="2" s="1" a="1"/>
  <c r="O906" i="2" s="1"/>
  <c r="N907" i="2"/>
  <c r="O907" i="2" s="1" a="1"/>
  <c r="O907" i="2" s="1"/>
  <c r="N908" i="2"/>
  <c r="O908" i="2" s="1" a="1"/>
  <c r="O908" i="2" s="1"/>
  <c r="N909" i="2"/>
  <c r="O909" i="2" s="1" a="1"/>
  <c r="O909" i="2" s="1"/>
  <c r="N910" i="2"/>
  <c r="O910" i="2" s="1" a="1"/>
  <c r="O910" i="2" s="1"/>
  <c r="N911" i="2"/>
  <c r="O911" i="2" s="1" a="1"/>
  <c r="O911" i="2" s="1"/>
  <c r="N912" i="2"/>
  <c r="O912" i="2" s="1" a="1"/>
  <c r="O912" i="2" s="1"/>
  <c r="N913" i="2"/>
  <c r="O913" i="2" s="1" a="1"/>
  <c r="O913" i="2" s="1"/>
  <c r="N914" i="2"/>
  <c r="O914" i="2" s="1" a="1"/>
  <c r="O914" i="2" s="1"/>
  <c r="N915" i="2"/>
  <c r="O915" i="2" s="1" a="1"/>
  <c r="O915" i="2" s="1"/>
  <c r="N916" i="2"/>
  <c r="O916" i="2" s="1" a="1"/>
  <c r="O916" i="2" s="1"/>
  <c r="N917" i="2"/>
  <c r="O917" i="2" s="1" a="1"/>
  <c r="O917" i="2" s="1"/>
  <c r="N918" i="2"/>
  <c r="O918" i="2" s="1" a="1"/>
  <c r="O918" i="2" s="1"/>
  <c r="N919" i="2"/>
  <c r="O919" i="2" s="1" a="1"/>
  <c r="O919" i="2" s="1"/>
  <c r="N920" i="2"/>
  <c r="O920" i="2" s="1" a="1"/>
  <c r="O920" i="2" s="1"/>
  <c r="N921" i="2"/>
  <c r="O921" i="2" s="1" a="1"/>
  <c r="O921" i="2" s="1"/>
  <c r="N922" i="2"/>
  <c r="O922" i="2" s="1" a="1"/>
  <c r="O922" i="2" s="1"/>
  <c r="N923" i="2"/>
  <c r="O923" i="2" s="1" a="1"/>
  <c r="O923" i="2" s="1"/>
  <c r="N924" i="2"/>
  <c r="O924" i="2" s="1" a="1"/>
  <c r="O924" i="2" s="1"/>
  <c r="N925" i="2"/>
  <c r="O925" i="2" s="1" a="1"/>
  <c r="O925" i="2" s="1"/>
  <c r="N926" i="2"/>
  <c r="O926" i="2" s="1" a="1"/>
  <c r="O926" i="2" s="1"/>
  <c r="N927" i="2"/>
  <c r="O927" i="2" s="1" a="1"/>
  <c r="O927" i="2" s="1"/>
  <c r="N928" i="2"/>
  <c r="O928" i="2" s="1" a="1"/>
  <c r="O928" i="2" s="1"/>
  <c r="N929" i="2"/>
  <c r="O929" i="2" s="1" a="1"/>
  <c r="O929" i="2" s="1"/>
  <c r="N930" i="2"/>
  <c r="O930" i="2" s="1" a="1"/>
  <c r="O930" i="2" s="1"/>
  <c r="N931" i="2"/>
  <c r="O931" i="2" s="1" a="1"/>
  <c r="O931" i="2" s="1"/>
  <c r="N932" i="2"/>
  <c r="O932" i="2" s="1" a="1"/>
  <c r="O932" i="2" s="1"/>
  <c r="N933" i="2"/>
  <c r="O933" i="2" s="1" a="1"/>
  <c r="O933" i="2" s="1"/>
  <c r="N934" i="2"/>
  <c r="O934" i="2" s="1" a="1"/>
  <c r="O934" i="2" s="1"/>
  <c r="N935" i="2"/>
  <c r="O935" i="2" s="1" a="1"/>
  <c r="O935" i="2" s="1"/>
  <c r="N936" i="2"/>
  <c r="O936" i="2" s="1" a="1"/>
  <c r="O936" i="2" s="1"/>
  <c r="N937" i="2"/>
  <c r="O937" i="2" s="1" a="1"/>
  <c r="O937" i="2" s="1"/>
  <c r="N938" i="2"/>
  <c r="O938" i="2" s="1" a="1"/>
  <c r="O938" i="2" s="1"/>
  <c r="N939" i="2"/>
  <c r="O939" i="2" s="1" a="1"/>
  <c r="O939" i="2" s="1"/>
  <c r="N940" i="2"/>
  <c r="O940" i="2" s="1" a="1"/>
  <c r="O940" i="2" s="1"/>
  <c r="N941" i="2"/>
  <c r="O941" i="2" s="1" a="1"/>
  <c r="O941" i="2" s="1"/>
  <c r="N942" i="2"/>
  <c r="O942" i="2" s="1" a="1"/>
  <c r="O942" i="2" s="1"/>
  <c r="N943" i="2"/>
  <c r="O943" i="2" s="1" a="1"/>
  <c r="O943" i="2" s="1"/>
  <c r="N944" i="2"/>
  <c r="O944" i="2" s="1" a="1"/>
  <c r="O944" i="2" s="1"/>
  <c r="N945" i="2"/>
  <c r="O945" i="2" s="1" a="1"/>
  <c r="O945" i="2" s="1"/>
  <c r="N946" i="2"/>
  <c r="O946" i="2" s="1" a="1"/>
  <c r="O946" i="2" s="1"/>
  <c r="N947" i="2"/>
  <c r="O947" i="2" s="1" a="1"/>
  <c r="O947" i="2" s="1"/>
  <c r="N948" i="2"/>
  <c r="O948" i="2" s="1" a="1"/>
  <c r="O948" i="2" s="1"/>
  <c r="N949" i="2"/>
  <c r="O949" i="2" s="1" a="1"/>
  <c r="O949" i="2" s="1"/>
  <c r="N950" i="2"/>
  <c r="O950" i="2" s="1" a="1"/>
  <c r="O950" i="2" s="1"/>
  <c r="N951" i="2"/>
  <c r="O951" i="2" s="1" a="1"/>
  <c r="O951" i="2" s="1"/>
  <c r="N952" i="2"/>
  <c r="O952" i="2" s="1" a="1"/>
  <c r="O952" i="2" s="1"/>
  <c r="N953" i="2"/>
  <c r="O953" i="2" s="1" a="1"/>
  <c r="O953" i="2" s="1"/>
  <c r="N954" i="2"/>
  <c r="O954" i="2" s="1" a="1"/>
  <c r="O954" i="2" s="1"/>
  <c r="N955" i="2"/>
  <c r="O955" i="2" s="1" a="1"/>
  <c r="O955" i="2" s="1"/>
  <c r="N956" i="2"/>
  <c r="O956" i="2" s="1" a="1"/>
  <c r="O956" i="2" s="1"/>
  <c r="N957" i="2"/>
  <c r="O957" i="2" s="1" a="1"/>
  <c r="O957" i="2" s="1"/>
  <c r="N958" i="2"/>
  <c r="O958" i="2" s="1" a="1"/>
  <c r="O958" i="2" s="1"/>
  <c r="N959" i="2"/>
  <c r="O959" i="2" s="1" a="1"/>
  <c r="O959" i="2" s="1"/>
  <c r="N960" i="2"/>
  <c r="O960" i="2" s="1" a="1"/>
  <c r="O960" i="2" s="1"/>
  <c r="N961" i="2"/>
  <c r="O961" i="2" s="1" a="1"/>
  <c r="O961" i="2" s="1"/>
  <c r="N962" i="2"/>
  <c r="O962" i="2" s="1" a="1"/>
  <c r="O962" i="2" s="1"/>
  <c r="N963" i="2"/>
  <c r="O963" i="2" s="1" a="1"/>
  <c r="O963" i="2" s="1"/>
  <c r="N964" i="2"/>
  <c r="O964" i="2" s="1" a="1"/>
  <c r="O964" i="2" s="1"/>
  <c r="N965" i="2"/>
  <c r="O965" i="2" s="1" a="1"/>
  <c r="O965" i="2" s="1"/>
  <c r="N966" i="2"/>
  <c r="O966" i="2" s="1" a="1"/>
  <c r="O966" i="2" s="1"/>
  <c r="N967" i="2"/>
  <c r="O967" i="2" s="1" a="1"/>
  <c r="O967" i="2" s="1"/>
  <c r="N968" i="2"/>
  <c r="O968" i="2" s="1" a="1"/>
  <c r="O968" i="2" s="1"/>
  <c r="N969" i="2"/>
  <c r="O969" i="2" s="1" a="1"/>
  <c r="O969" i="2" s="1"/>
  <c r="N970" i="2"/>
  <c r="O970" i="2" s="1" a="1"/>
  <c r="O970" i="2" s="1"/>
  <c r="N971" i="2"/>
  <c r="O971" i="2" s="1" a="1"/>
  <c r="O971" i="2" s="1"/>
  <c r="N972" i="2"/>
  <c r="O972" i="2" s="1" a="1"/>
  <c r="O972" i="2" s="1"/>
  <c r="N973" i="2"/>
  <c r="O973" i="2" s="1" a="1"/>
  <c r="O973" i="2" s="1"/>
  <c r="N974" i="2"/>
  <c r="O974" i="2" s="1" a="1"/>
  <c r="O974" i="2" s="1"/>
  <c r="N975" i="2"/>
  <c r="O975" i="2" s="1" a="1"/>
  <c r="O975" i="2" s="1"/>
  <c r="N976" i="2"/>
  <c r="O976" i="2" s="1" a="1"/>
  <c r="O976" i="2" s="1"/>
  <c r="N977" i="2"/>
  <c r="O977" i="2" s="1" a="1"/>
  <c r="O977" i="2" s="1"/>
  <c r="N978" i="2"/>
  <c r="O978" i="2" s="1" a="1"/>
  <c r="O978" i="2" s="1"/>
  <c r="N979" i="2"/>
  <c r="O979" i="2" s="1" a="1"/>
  <c r="O979" i="2" s="1"/>
  <c r="N980" i="2"/>
  <c r="O980" i="2" s="1" a="1"/>
  <c r="O980" i="2" s="1"/>
  <c r="N981" i="2"/>
  <c r="O981" i="2" s="1" a="1"/>
  <c r="O981" i="2" s="1"/>
  <c r="N982" i="2"/>
  <c r="O982" i="2" s="1" a="1"/>
  <c r="O982" i="2" s="1"/>
  <c r="N983" i="2"/>
  <c r="O983" i="2" s="1" a="1"/>
  <c r="O983" i="2" s="1"/>
  <c r="N984" i="2"/>
  <c r="O984" i="2" s="1" a="1"/>
  <c r="O984" i="2" s="1"/>
  <c r="N985" i="2"/>
  <c r="O985" i="2" s="1" a="1"/>
  <c r="O985" i="2" s="1"/>
  <c r="N986" i="2"/>
  <c r="O986" i="2" s="1" a="1"/>
  <c r="O986" i="2" s="1"/>
  <c r="N987" i="2"/>
  <c r="O987" i="2" s="1" a="1"/>
  <c r="O987" i="2" s="1"/>
  <c r="N988" i="2"/>
  <c r="O988" i="2" s="1" a="1"/>
  <c r="O988" i="2" s="1"/>
  <c r="N989" i="2"/>
  <c r="O989" i="2" s="1" a="1"/>
  <c r="O989" i="2" s="1"/>
  <c r="N990" i="2"/>
  <c r="O990" i="2" s="1" a="1"/>
  <c r="O990" i="2" s="1"/>
  <c r="N991" i="2"/>
  <c r="O991" i="2" s="1" a="1"/>
  <c r="O991" i="2" s="1"/>
  <c r="N992" i="2"/>
  <c r="O992" i="2" s="1" a="1"/>
  <c r="O992" i="2" s="1"/>
  <c r="N993" i="2"/>
  <c r="O993" i="2" s="1" a="1"/>
  <c r="O993" i="2" s="1"/>
  <c r="N994" i="2"/>
  <c r="O994" i="2" s="1" a="1"/>
  <c r="O994" i="2" s="1"/>
  <c r="N995" i="2"/>
  <c r="O995" i="2" s="1" a="1"/>
  <c r="O995" i="2" s="1"/>
  <c r="N996" i="2"/>
  <c r="O996" i="2" s="1" a="1"/>
  <c r="O996" i="2" s="1"/>
  <c r="N997" i="2"/>
  <c r="O997" i="2" s="1" a="1"/>
  <c r="O997" i="2" s="1"/>
  <c r="N998" i="2"/>
  <c r="O998" i="2" s="1" a="1"/>
  <c r="O998" i="2" s="1"/>
  <c r="N999" i="2"/>
  <c r="O999" i="2" s="1" a="1"/>
  <c r="O999" i="2" s="1"/>
  <c r="N1000" i="2"/>
  <c r="O1000" i="2" s="1" a="1"/>
  <c r="O1000" i="2" s="1"/>
  <c r="N1001" i="2"/>
  <c r="O1001" i="2" s="1" a="1"/>
  <c r="O1001" i="2" s="1"/>
  <c r="N1002" i="2"/>
  <c r="O1002" i="2" s="1" a="1"/>
  <c r="O1002" i="2" s="1"/>
  <c r="N1003" i="2"/>
  <c r="O1003" i="2" s="1" a="1"/>
  <c r="O1003" i="2" s="1"/>
  <c r="N1004" i="2"/>
  <c r="O1004" i="2" s="1" a="1"/>
  <c r="O1004" i="2" s="1"/>
  <c r="N1005" i="2"/>
  <c r="O1005" i="2" s="1" a="1"/>
  <c r="O1005" i="2" s="1"/>
  <c r="N1006" i="2"/>
  <c r="O1006" i="2" s="1" a="1"/>
  <c r="O1006" i="2" s="1"/>
  <c r="N1007" i="2"/>
  <c r="O1007" i="2" s="1" a="1"/>
  <c r="O1007" i="2" s="1"/>
  <c r="N1008" i="2"/>
  <c r="O1008" i="2" s="1" a="1"/>
  <c r="O1008" i="2" s="1"/>
  <c r="N1009" i="2"/>
  <c r="O1009" i="2" s="1" a="1"/>
  <c r="O1009" i="2" s="1"/>
  <c r="N1010" i="2"/>
  <c r="O1010" i="2" s="1" a="1"/>
  <c r="O1010" i="2" s="1"/>
  <c r="N1011" i="2"/>
  <c r="O1011" i="2" s="1" a="1"/>
  <c r="O1011" i="2" s="1"/>
  <c r="N1012" i="2"/>
  <c r="O1012" i="2" s="1" a="1"/>
  <c r="O1012" i="2" s="1"/>
  <c r="N1013" i="2"/>
  <c r="O1013" i="2" s="1" a="1"/>
  <c r="O1013" i="2" s="1"/>
  <c r="N1014" i="2"/>
  <c r="O1014" i="2" s="1" a="1"/>
  <c r="O1014" i="2" s="1"/>
  <c r="N1015" i="2"/>
  <c r="O1015" i="2" s="1" a="1"/>
  <c r="O1015" i="2" s="1"/>
  <c r="N1016" i="2"/>
  <c r="O1016" i="2" s="1" a="1"/>
  <c r="O1016" i="2" s="1"/>
  <c r="N1017" i="2"/>
  <c r="O1017" i="2" s="1" a="1"/>
  <c r="O1017" i="2" s="1"/>
  <c r="N1018" i="2"/>
  <c r="O1018" i="2" s="1" a="1"/>
  <c r="O1018" i="2" s="1"/>
  <c r="N1019" i="2"/>
  <c r="O1019" i="2" s="1" a="1"/>
  <c r="O1019" i="2" s="1"/>
  <c r="N1020" i="2"/>
  <c r="O1020" i="2" s="1" a="1"/>
  <c r="O1020" i="2" s="1"/>
  <c r="N1021" i="2"/>
  <c r="O1021" i="2" s="1" a="1"/>
  <c r="O1021" i="2" s="1"/>
  <c r="N1022" i="2"/>
  <c r="O1022" i="2" s="1" a="1"/>
  <c r="O1022" i="2" s="1"/>
  <c r="N1023" i="2"/>
  <c r="O1023" i="2" s="1" a="1"/>
  <c r="O1023" i="2" s="1"/>
  <c r="N1024" i="2"/>
  <c r="O1024" i="2" s="1" a="1"/>
  <c r="O1024" i="2" s="1"/>
  <c r="N1025" i="2"/>
  <c r="O1025" i="2" s="1" a="1"/>
  <c r="O1025" i="2" s="1"/>
  <c r="N1026" i="2"/>
  <c r="O1026" i="2" s="1" a="1"/>
  <c r="O1026" i="2" s="1"/>
  <c r="N1027" i="2"/>
  <c r="O1027" i="2" s="1" a="1"/>
  <c r="O1027" i="2" s="1"/>
  <c r="N1028" i="2"/>
  <c r="O1028" i="2" s="1" a="1"/>
  <c r="O1028" i="2" s="1"/>
  <c r="N1029" i="2"/>
  <c r="O1029" i="2" s="1" a="1"/>
  <c r="O1029" i="2" s="1"/>
  <c r="N1030" i="2"/>
  <c r="O1030" i="2" s="1" a="1"/>
  <c r="O1030" i="2" s="1"/>
  <c r="N1031" i="2"/>
  <c r="O1031" i="2" s="1" a="1"/>
  <c r="O1031" i="2" s="1"/>
  <c r="N1032" i="2"/>
  <c r="O1032" i="2" s="1" a="1"/>
  <c r="O1032" i="2" s="1"/>
  <c r="N1033" i="2"/>
  <c r="O1033" i="2" s="1" a="1"/>
  <c r="O1033" i="2" s="1"/>
  <c r="N1034" i="2"/>
  <c r="O1034" i="2" s="1" a="1"/>
  <c r="O1034" i="2" s="1"/>
  <c r="N1035" i="2"/>
  <c r="O1035" i="2" s="1" a="1"/>
  <c r="O1035" i="2" s="1"/>
  <c r="N1036" i="2"/>
  <c r="O1036" i="2" s="1" a="1"/>
  <c r="O1036" i="2" s="1"/>
  <c r="N1037" i="2"/>
  <c r="O1037" i="2" s="1" a="1"/>
  <c r="O1037" i="2" s="1"/>
  <c r="N1038" i="2"/>
  <c r="O1038" i="2" s="1" a="1"/>
  <c r="O1038" i="2" s="1"/>
  <c r="N1039" i="2"/>
  <c r="O1039" i="2" s="1" a="1"/>
  <c r="O1039" i="2" s="1"/>
  <c r="N1040" i="2"/>
  <c r="O1040" i="2" s="1" a="1"/>
  <c r="O1040" i="2" s="1"/>
  <c r="N1041" i="2"/>
  <c r="O1041" i="2" s="1" a="1"/>
  <c r="O1041" i="2" s="1"/>
  <c r="N1042" i="2"/>
  <c r="O1042" i="2" s="1" a="1"/>
  <c r="O1042" i="2" s="1"/>
  <c r="N1043" i="2"/>
  <c r="O1043" i="2" s="1" a="1"/>
  <c r="O1043" i="2" s="1"/>
  <c r="N1044" i="2"/>
  <c r="O1044" i="2" s="1" a="1"/>
  <c r="O1044" i="2" s="1"/>
  <c r="N1045" i="2"/>
  <c r="O1045" i="2" s="1" a="1"/>
  <c r="O1045" i="2" s="1"/>
  <c r="N1046" i="2"/>
  <c r="O1046" i="2" s="1" a="1"/>
  <c r="O1046" i="2" s="1"/>
  <c r="N1047" i="2"/>
  <c r="O1047" i="2" s="1" a="1"/>
  <c r="O1047" i="2" s="1"/>
  <c r="N1048" i="2"/>
  <c r="O1048" i="2" s="1" a="1"/>
  <c r="O1048" i="2" s="1"/>
  <c r="N1049" i="2"/>
  <c r="O1049" i="2" s="1" a="1"/>
  <c r="O1049" i="2" s="1"/>
  <c r="N1050" i="2"/>
  <c r="O1050" i="2" s="1" a="1"/>
  <c r="O1050" i="2" s="1"/>
  <c r="N1051" i="2"/>
  <c r="O1051" i="2" s="1" a="1"/>
  <c r="O1051" i="2" s="1"/>
  <c r="N1052" i="2"/>
  <c r="O1052" i="2" s="1" a="1"/>
  <c r="O1052" i="2" s="1"/>
  <c r="N1053" i="2"/>
  <c r="O1053" i="2" s="1" a="1"/>
  <c r="O1053" i="2" s="1"/>
  <c r="N1054" i="2"/>
  <c r="O1054" i="2" s="1" a="1"/>
  <c r="O1054" i="2" s="1"/>
  <c r="N1055" i="2"/>
  <c r="O1055" i="2" s="1" a="1"/>
  <c r="O1055" i="2" s="1"/>
  <c r="N1056" i="2"/>
  <c r="O1056" i="2" s="1" a="1"/>
  <c r="O1056" i="2" s="1"/>
  <c r="N1057" i="2"/>
  <c r="O1057" i="2" s="1" a="1"/>
  <c r="O1057" i="2" s="1"/>
  <c r="N1058" i="2"/>
  <c r="O1058" i="2" s="1" a="1"/>
  <c r="O1058" i="2" s="1"/>
  <c r="N1059" i="2"/>
  <c r="O1059" i="2" s="1" a="1"/>
  <c r="O1059" i="2" s="1"/>
  <c r="N1060" i="2"/>
  <c r="O1060" i="2" s="1" a="1"/>
  <c r="O1060" i="2" s="1"/>
  <c r="N1061" i="2"/>
  <c r="O1061" i="2" s="1" a="1"/>
  <c r="O1061" i="2" s="1"/>
  <c r="N1062" i="2"/>
  <c r="O1062" i="2" s="1" a="1"/>
  <c r="O1062" i="2" s="1"/>
  <c r="N1063" i="2"/>
  <c r="O1063" i="2" s="1" a="1"/>
  <c r="O1063" i="2" s="1"/>
  <c r="N1064" i="2"/>
  <c r="O1064" i="2" s="1" a="1"/>
  <c r="O1064" i="2" s="1"/>
  <c r="N1065" i="2"/>
  <c r="O1065" i="2" s="1" a="1"/>
  <c r="O1065" i="2" s="1"/>
  <c r="N1066" i="2"/>
  <c r="O1066" i="2" s="1" a="1"/>
  <c r="O1066" i="2" s="1"/>
  <c r="N1067" i="2"/>
  <c r="O1067" i="2" s="1" a="1"/>
  <c r="O1067" i="2" s="1"/>
  <c r="N1068" i="2"/>
  <c r="O1068" i="2" s="1" a="1"/>
  <c r="O1068" i="2" s="1"/>
  <c r="N1069" i="2"/>
  <c r="O1069" i="2" s="1" a="1"/>
  <c r="O1069" i="2" s="1"/>
  <c r="N1070" i="2"/>
  <c r="O1070" i="2" s="1" a="1"/>
  <c r="O1070" i="2" s="1"/>
  <c r="N1071" i="2"/>
  <c r="O1071" i="2" s="1" a="1"/>
  <c r="O1071" i="2" s="1"/>
  <c r="N1072" i="2"/>
  <c r="O1072" i="2" s="1" a="1"/>
  <c r="O1072" i="2" s="1"/>
  <c r="N1073" i="2"/>
  <c r="O1073" i="2" s="1" a="1"/>
  <c r="O1073" i="2" s="1"/>
  <c r="N1074" i="2"/>
  <c r="O1074" i="2" s="1" a="1"/>
  <c r="O1074" i="2" s="1"/>
  <c r="N1075" i="2"/>
  <c r="O1075" i="2" s="1" a="1"/>
  <c r="O1075" i="2" s="1"/>
  <c r="N1076" i="2"/>
  <c r="O1076" i="2" s="1" a="1"/>
  <c r="O1076" i="2" s="1"/>
  <c r="N1077" i="2"/>
  <c r="O1077" i="2" s="1" a="1"/>
  <c r="O1077" i="2" s="1"/>
  <c r="N1078" i="2"/>
  <c r="O1078" i="2" s="1" a="1"/>
  <c r="O1078" i="2" s="1"/>
  <c r="N1079" i="2"/>
  <c r="O1079" i="2" s="1" a="1"/>
  <c r="O1079" i="2" s="1"/>
  <c r="N1080" i="2"/>
  <c r="O1080" i="2" s="1" a="1"/>
  <c r="O1080" i="2" s="1"/>
  <c r="N1081" i="2"/>
  <c r="O1081" i="2" s="1" a="1"/>
  <c r="O1081" i="2" s="1"/>
  <c r="N1082" i="2"/>
  <c r="O1082" i="2" s="1" a="1"/>
  <c r="O1082" i="2" s="1"/>
  <c r="N1083" i="2"/>
  <c r="O1083" i="2" s="1" a="1"/>
  <c r="O1083" i="2" s="1"/>
  <c r="N1084" i="2"/>
  <c r="O1084" i="2" s="1" a="1"/>
  <c r="O1084" i="2" s="1"/>
  <c r="N1085" i="2"/>
  <c r="O1085" i="2" s="1" a="1"/>
  <c r="O1085" i="2" s="1"/>
  <c r="N1086" i="2"/>
  <c r="O1086" i="2" s="1" a="1"/>
  <c r="O1086" i="2" s="1"/>
  <c r="N1087" i="2"/>
  <c r="O1087" i="2" s="1" a="1"/>
  <c r="O1087" i="2" s="1"/>
  <c r="N1088" i="2"/>
  <c r="O1088" i="2" s="1" a="1"/>
  <c r="O1088" i="2" s="1"/>
  <c r="N1089" i="2"/>
  <c r="O1089" i="2" s="1" a="1"/>
  <c r="O1089" i="2" s="1"/>
  <c r="N1090" i="2"/>
  <c r="O1090" i="2" s="1" a="1"/>
  <c r="O1090" i="2" s="1"/>
  <c r="N1091" i="2"/>
  <c r="O1091" i="2" s="1" a="1"/>
  <c r="O1091" i="2" s="1"/>
  <c r="N1092" i="2"/>
  <c r="O1092" i="2" s="1" a="1"/>
  <c r="O1092" i="2" s="1"/>
  <c r="N1093" i="2"/>
  <c r="O1093" i="2" s="1" a="1"/>
  <c r="O1093" i="2" s="1"/>
  <c r="N1094" i="2"/>
  <c r="O1094" i="2" s="1" a="1"/>
  <c r="O1094" i="2" s="1"/>
  <c r="N1095" i="2"/>
  <c r="O1095" i="2" s="1" a="1"/>
  <c r="O1095" i="2" s="1"/>
  <c r="N1096" i="2"/>
  <c r="O1096" i="2" s="1" a="1"/>
  <c r="O1096" i="2" s="1"/>
  <c r="N1097" i="2"/>
  <c r="O1097" i="2" s="1" a="1"/>
  <c r="O1097" i="2" s="1"/>
  <c r="N1098" i="2"/>
  <c r="O1098" i="2" s="1" a="1"/>
  <c r="O1098" i="2" s="1"/>
  <c r="N1099" i="2"/>
  <c r="O1099" i="2" s="1" a="1"/>
  <c r="O1099" i="2" s="1"/>
  <c r="N1100" i="2"/>
  <c r="O1100" i="2" s="1" a="1"/>
  <c r="O1100" i="2" s="1"/>
  <c r="N1101" i="2"/>
  <c r="O1101" i="2" s="1" a="1"/>
  <c r="O1101" i="2" s="1"/>
  <c r="N1102" i="2"/>
  <c r="O1102" i="2" s="1" a="1"/>
  <c r="O1102" i="2" s="1"/>
  <c r="N1103" i="2"/>
  <c r="O1103" i="2" s="1" a="1"/>
  <c r="O1103" i="2" s="1"/>
  <c r="N1104" i="2"/>
  <c r="O1104" i="2" s="1" a="1"/>
  <c r="O1104" i="2" s="1"/>
  <c r="N1105" i="2"/>
  <c r="O1105" i="2" s="1" a="1"/>
  <c r="O1105" i="2" s="1"/>
  <c r="N1106" i="2"/>
  <c r="O1106" i="2" s="1" a="1"/>
  <c r="O1106" i="2" s="1"/>
  <c r="N1107" i="2"/>
  <c r="O1107" i="2" s="1" a="1"/>
  <c r="O1107" i="2" s="1"/>
  <c r="N1108" i="2"/>
  <c r="O1108" i="2" s="1" a="1"/>
  <c r="O1108" i="2" s="1"/>
  <c r="N1109" i="2"/>
  <c r="O1109" i="2" s="1" a="1"/>
  <c r="O1109" i="2" s="1"/>
  <c r="N1110" i="2"/>
  <c r="O1110" i="2" s="1" a="1"/>
  <c r="O1110" i="2" s="1"/>
  <c r="N1111" i="2"/>
  <c r="O1111" i="2" s="1" a="1"/>
  <c r="O1111" i="2" s="1"/>
  <c r="N1112" i="2"/>
  <c r="O1112" i="2" s="1" a="1"/>
  <c r="O1112" i="2" s="1"/>
  <c r="N1113" i="2"/>
  <c r="O1113" i="2" s="1" a="1"/>
  <c r="O1113" i="2" s="1"/>
  <c r="N1114" i="2"/>
  <c r="O1114" i="2" s="1" a="1"/>
  <c r="O1114" i="2" s="1"/>
  <c r="N1115" i="2"/>
  <c r="O1115" i="2" s="1" a="1"/>
  <c r="O1115" i="2" s="1"/>
  <c r="N1116" i="2"/>
  <c r="O1116" i="2" s="1" a="1"/>
  <c r="O1116" i="2" s="1"/>
  <c r="N1117" i="2"/>
  <c r="O1117" i="2" s="1" a="1"/>
  <c r="O1117" i="2" s="1"/>
  <c r="N1118" i="2"/>
  <c r="O1118" i="2" s="1" a="1"/>
  <c r="O1118" i="2" s="1"/>
  <c r="N1119" i="2"/>
  <c r="O1119" i="2" s="1" a="1"/>
  <c r="O1119" i="2" s="1"/>
  <c r="N1120" i="2"/>
  <c r="O1120" i="2" s="1" a="1"/>
  <c r="O1120" i="2" s="1"/>
  <c r="N1121" i="2"/>
  <c r="O1121" i="2" s="1" a="1"/>
  <c r="O1121" i="2" s="1"/>
  <c r="N1122" i="2"/>
  <c r="O1122" i="2" s="1" a="1"/>
  <c r="O1122" i="2" s="1"/>
  <c r="N1123" i="2"/>
  <c r="O1123" i="2" s="1" a="1"/>
  <c r="O1123" i="2" s="1"/>
  <c r="N1124" i="2"/>
  <c r="O1124" i="2" s="1" a="1"/>
  <c r="O1124" i="2" s="1"/>
  <c r="N1125" i="2"/>
  <c r="O1125" i="2" s="1" a="1"/>
  <c r="O1125" i="2" s="1"/>
  <c r="N1126" i="2"/>
  <c r="O1126" i="2" s="1" a="1"/>
  <c r="O1126" i="2" s="1"/>
  <c r="N1127" i="2"/>
  <c r="O1127" i="2" s="1" a="1"/>
  <c r="O1127" i="2" s="1"/>
  <c r="N1128" i="2"/>
  <c r="O1128" i="2" s="1" a="1"/>
  <c r="O1128" i="2" s="1"/>
  <c r="N1129" i="2"/>
  <c r="O1129" i="2" s="1" a="1"/>
  <c r="O1129" i="2" s="1"/>
  <c r="N1130" i="2"/>
  <c r="O1130" i="2" s="1" a="1"/>
  <c r="O1130" i="2" s="1"/>
  <c r="N1131" i="2"/>
  <c r="O1131" i="2" s="1" a="1"/>
  <c r="O1131" i="2" s="1"/>
  <c r="N1132" i="2"/>
  <c r="O1132" i="2" s="1" a="1"/>
  <c r="O1132" i="2" s="1"/>
  <c r="N1133" i="2"/>
  <c r="O1133" i="2" s="1" a="1"/>
  <c r="O1133" i="2" s="1"/>
  <c r="N1134" i="2"/>
  <c r="O1134" i="2" s="1" a="1"/>
  <c r="O1134" i="2" s="1"/>
  <c r="N1135" i="2"/>
  <c r="O1135" i="2" s="1" a="1"/>
  <c r="O1135" i="2" s="1"/>
  <c r="N1136" i="2"/>
  <c r="O1136" i="2" s="1" a="1"/>
  <c r="O1136" i="2" s="1"/>
  <c r="N1137" i="2"/>
  <c r="O1137" i="2" s="1" a="1"/>
  <c r="O1137" i="2" s="1"/>
  <c r="N1138" i="2"/>
  <c r="O1138" i="2" s="1" a="1"/>
  <c r="O1138" i="2" s="1"/>
  <c r="N1139" i="2"/>
  <c r="O1139" i="2" s="1" a="1"/>
  <c r="O1139" i="2" s="1"/>
  <c r="N1140" i="2"/>
  <c r="O1140" i="2" s="1" a="1"/>
  <c r="O1140" i="2" s="1"/>
  <c r="N1141" i="2"/>
  <c r="O1141" i="2" s="1" a="1"/>
  <c r="O1141" i="2" s="1"/>
  <c r="N1142" i="2"/>
  <c r="O1142" i="2" s="1" a="1"/>
  <c r="O1142" i="2" s="1"/>
  <c r="N1143" i="2"/>
  <c r="O1143" i="2" s="1" a="1"/>
  <c r="O1143" i="2" s="1"/>
  <c r="N1144" i="2"/>
  <c r="O1144" i="2" s="1" a="1"/>
  <c r="O1144" i="2" s="1"/>
  <c r="N1145" i="2"/>
  <c r="O1145" i="2" s="1" a="1"/>
  <c r="O1145" i="2" s="1"/>
  <c r="N1146" i="2"/>
  <c r="O1146" i="2" s="1" a="1"/>
  <c r="O1146" i="2" s="1"/>
  <c r="N1147" i="2"/>
  <c r="O1147" i="2" s="1" a="1"/>
  <c r="O1147" i="2" s="1"/>
  <c r="N1148" i="2"/>
  <c r="O1148" i="2" s="1" a="1"/>
  <c r="O1148" i="2" s="1"/>
  <c r="N1149" i="2"/>
  <c r="O1149" i="2" s="1" a="1"/>
  <c r="O1149" i="2" s="1"/>
  <c r="N1150" i="2"/>
  <c r="O1150" i="2" s="1" a="1"/>
  <c r="O1150" i="2" s="1"/>
  <c r="N1151" i="2"/>
  <c r="O1151" i="2" s="1" a="1"/>
  <c r="O1151" i="2" s="1"/>
  <c r="N1152" i="2"/>
  <c r="O1152" i="2" s="1" a="1"/>
  <c r="O1152" i="2" s="1"/>
  <c r="N1153" i="2"/>
  <c r="O1153" i="2" s="1" a="1"/>
  <c r="O1153" i="2" s="1"/>
  <c r="N1154" i="2"/>
  <c r="O1154" i="2" s="1" a="1"/>
  <c r="O1154" i="2" s="1"/>
  <c r="N1155" i="2"/>
  <c r="O1155" i="2" s="1" a="1"/>
  <c r="O1155" i="2" s="1"/>
  <c r="N1156" i="2"/>
  <c r="O1156" i="2" s="1" a="1"/>
  <c r="O1156" i="2" s="1"/>
  <c r="N1157" i="2"/>
  <c r="O1157" i="2" s="1" a="1"/>
  <c r="O1157" i="2" s="1"/>
  <c r="N1158" i="2"/>
  <c r="O1158" i="2" s="1" a="1"/>
  <c r="O1158" i="2" s="1"/>
  <c r="N1159" i="2"/>
  <c r="O1159" i="2" s="1" a="1"/>
  <c r="O1159" i="2" s="1"/>
  <c r="N1160" i="2"/>
  <c r="O1160" i="2" s="1" a="1"/>
  <c r="O1160" i="2" s="1"/>
  <c r="N1161" i="2"/>
  <c r="O1161" i="2" s="1" a="1"/>
  <c r="O1161" i="2" s="1"/>
  <c r="N1162" i="2"/>
  <c r="O1162" i="2" s="1" a="1"/>
  <c r="O1162" i="2" s="1"/>
  <c r="N1163" i="2"/>
  <c r="O1163" i="2" s="1" a="1"/>
  <c r="O1163" i="2" s="1"/>
  <c r="N1164" i="2"/>
  <c r="O1164" i="2" s="1" a="1"/>
  <c r="O1164" i="2" s="1"/>
  <c r="N1165" i="2"/>
  <c r="O1165" i="2" s="1" a="1"/>
  <c r="O1165" i="2" s="1"/>
  <c r="N1166" i="2"/>
  <c r="O1166" i="2" s="1" a="1"/>
  <c r="O1166" i="2" s="1"/>
  <c r="N1167" i="2"/>
  <c r="O1167" i="2" s="1" a="1"/>
  <c r="O1167" i="2" s="1"/>
  <c r="N1168" i="2"/>
  <c r="O1168" i="2" s="1" a="1"/>
  <c r="O1168" i="2" s="1"/>
  <c r="N1169" i="2"/>
  <c r="O1169" i="2" s="1" a="1"/>
  <c r="O1169" i="2" s="1"/>
  <c r="N1170" i="2"/>
  <c r="O1170" i="2" s="1" a="1"/>
  <c r="O1170" i="2" s="1"/>
  <c r="N1171" i="2"/>
  <c r="O1171" i="2" s="1" a="1"/>
  <c r="O1171" i="2" s="1"/>
  <c r="N1172" i="2"/>
  <c r="O1172" i="2" s="1" a="1"/>
  <c r="O1172" i="2" s="1"/>
  <c r="N1173" i="2"/>
  <c r="O1173" i="2" s="1" a="1"/>
  <c r="O1173" i="2" s="1"/>
  <c r="N1174" i="2"/>
  <c r="O1174" i="2" s="1" a="1"/>
  <c r="O1174" i="2" s="1"/>
  <c r="N1175" i="2"/>
  <c r="O1175" i="2" s="1" a="1"/>
  <c r="O1175" i="2" s="1"/>
  <c r="N1176" i="2"/>
  <c r="O1176" i="2" s="1" a="1"/>
  <c r="O1176" i="2" s="1"/>
  <c r="N1177" i="2"/>
  <c r="O1177" i="2" s="1" a="1"/>
  <c r="O1177" i="2" s="1"/>
  <c r="N1178" i="2"/>
  <c r="O1178" i="2" s="1" a="1"/>
  <c r="O1178" i="2" s="1"/>
  <c r="N1179" i="2"/>
  <c r="O1179" i="2" s="1" a="1"/>
  <c r="O1179" i="2" s="1"/>
  <c r="N1180" i="2"/>
  <c r="O1180" i="2" s="1" a="1"/>
  <c r="O1180" i="2" s="1"/>
  <c r="N1181" i="2"/>
  <c r="O1181" i="2" s="1" a="1"/>
  <c r="O1181" i="2" s="1"/>
  <c r="N1182" i="2"/>
  <c r="O1182" i="2" s="1" a="1"/>
  <c r="O1182" i="2" s="1"/>
  <c r="N1183" i="2"/>
  <c r="O1183" i="2" s="1" a="1"/>
  <c r="O1183" i="2" s="1"/>
  <c r="N1184" i="2"/>
  <c r="O1184" i="2" s="1" a="1"/>
  <c r="O1184" i="2" s="1"/>
  <c r="N1185" i="2"/>
  <c r="O1185" i="2" s="1" a="1"/>
  <c r="O1185" i="2" s="1"/>
  <c r="N1186" i="2"/>
  <c r="O1186" i="2" s="1" a="1"/>
  <c r="O1186" i="2" s="1"/>
  <c r="N1187" i="2"/>
  <c r="O1187" i="2" s="1" a="1"/>
  <c r="O1187" i="2" s="1"/>
  <c r="N1188" i="2"/>
  <c r="O1188" i="2" s="1" a="1"/>
  <c r="O1188" i="2" s="1"/>
  <c r="N1189" i="2"/>
  <c r="O1189" i="2" s="1" a="1"/>
  <c r="O1189" i="2" s="1"/>
  <c r="N1190" i="2"/>
  <c r="O1190" i="2" s="1" a="1"/>
  <c r="O1190" i="2" s="1"/>
  <c r="N1191" i="2"/>
  <c r="O1191" i="2" s="1" a="1"/>
  <c r="O1191" i="2" s="1"/>
  <c r="N1192" i="2"/>
  <c r="O1192" i="2" s="1" a="1"/>
  <c r="O1192" i="2" s="1"/>
  <c r="N1193" i="2"/>
  <c r="O1193" i="2" s="1" a="1"/>
  <c r="O1193" i="2" s="1"/>
  <c r="N1194" i="2"/>
  <c r="O1194" i="2" s="1" a="1"/>
  <c r="O1194" i="2" s="1"/>
  <c r="N1195" i="2"/>
  <c r="O1195" i="2" s="1" a="1"/>
  <c r="O1195" i="2" s="1"/>
  <c r="N1196" i="2"/>
  <c r="O1196" i="2" s="1" a="1"/>
  <c r="O1196" i="2" s="1"/>
  <c r="N1197" i="2"/>
  <c r="O1197" i="2" s="1" a="1"/>
  <c r="O1197" i="2" s="1"/>
  <c r="N1198" i="2"/>
  <c r="O1198" i="2" s="1" a="1"/>
  <c r="O1198" i="2" s="1"/>
  <c r="N1199" i="2"/>
  <c r="O1199" i="2" s="1" a="1"/>
  <c r="O1199" i="2" s="1"/>
  <c r="N1200" i="2"/>
  <c r="O1200" i="2" s="1" a="1"/>
  <c r="O1200" i="2" s="1"/>
  <c r="N1201" i="2"/>
  <c r="O1201" i="2" s="1" a="1"/>
  <c r="O1201" i="2" s="1"/>
  <c r="N1202" i="2"/>
  <c r="O1202" i="2" s="1" a="1"/>
  <c r="O1202" i="2" s="1"/>
  <c r="N1203" i="2"/>
  <c r="O1203" i="2" s="1" a="1"/>
  <c r="O1203" i="2" s="1"/>
  <c r="N1204" i="2"/>
  <c r="O1204" i="2" s="1" a="1"/>
  <c r="O1204" i="2" s="1"/>
  <c r="N1205" i="2"/>
  <c r="O1205" i="2" s="1" a="1"/>
  <c r="O1205" i="2" s="1"/>
  <c r="N1206" i="2"/>
  <c r="O1206" i="2" s="1" a="1"/>
  <c r="O1206" i="2" s="1"/>
  <c r="N1207" i="2"/>
  <c r="O1207" i="2" s="1" a="1"/>
  <c r="O1207" i="2" s="1"/>
  <c r="N1208" i="2"/>
  <c r="O1208" i="2" s="1" a="1"/>
  <c r="O1208" i="2" s="1"/>
  <c r="N1209" i="2"/>
  <c r="O1209" i="2" s="1" a="1"/>
  <c r="O1209" i="2" s="1"/>
  <c r="N1210" i="2"/>
  <c r="O1210" i="2" s="1" a="1"/>
  <c r="O1210" i="2" s="1"/>
  <c r="N1211" i="2"/>
  <c r="O1211" i="2" s="1" a="1"/>
  <c r="O1211" i="2" s="1"/>
  <c r="N1212" i="2"/>
  <c r="O1212" i="2" s="1" a="1"/>
  <c r="O1212" i="2" s="1"/>
  <c r="N1213" i="2"/>
  <c r="O1213" i="2" s="1" a="1"/>
  <c r="O1213" i="2" s="1"/>
  <c r="N1214" i="2"/>
  <c r="O1214" i="2" s="1" a="1"/>
  <c r="O1214" i="2" s="1"/>
  <c r="N1215" i="2"/>
  <c r="O1215" i="2" s="1" a="1"/>
  <c r="O1215" i="2" s="1"/>
  <c r="N1216" i="2"/>
  <c r="O1216" i="2" s="1" a="1"/>
  <c r="O1216" i="2" s="1"/>
  <c r="N2" i="2"/>
  <c r="O2" i="2" s="1" a="1"/>
  <c r="O2" i="2" s="1"/>
  <c r="W2" i="1" a="1"/>
  <c r="W2" i="1" s="1"/>
  <c r="W3" i="1" a="1"/>
  <c r="W3" i="1" s="1"/>
  <c r="W4" i="1" a="1"/>
  <c r="W4" i="1"/>
  <c r="W5" i="1" a="1"/>
  <c r="W5" i="1"/>
  <c r="W6" i="1" a="1"/>
  <c r="W6" i="1" s="1"/>
  <c r="W7" i="1" a="1"/>
  <c r="W7" i="1" s="1"/>
  <c r="W8" i="1" a="1"/>
  <c r="W8" i="1"/>
  <c r="W9" i="1" a="1"/>
  <c r="W9" i="1"/>
  <c r="W10" i="1" a="1"/>
  <c r="W10" i="1" s="1"/>
  <c r="W11" i="1" a="1"/>
  <c r="W11" i="1" s="1"/>
  <c r="W12" i="1" a="1"/>
  <c r="W12" i="1"/>
  <c r="W13" i="1" a="1"/>
  <c r="W13" i="1"/>
  <c r="W14" i="1" a="1"/>
  <c r="W14" i="1" s="1"/>
  <c r="W15" i="1" a="1"/>
  <c r="W15" i="1" s="1"/>
  <c r="W16" i="1" a="1"/>
  <c r="W16" i="1"/>
  <c r="W17" i="1" a="1"/>
  <c r="W17" i="1"/>
  <c r="W18" i="1" a="1"/>
  <c r="W18" i="1" s="1"/>
  <c r="W19" i="1" a="1"/>
  <c r="W19" i="1" s="1"/>
  <c r="W20" i="1" a="1"/>
  <c r="W20" i="1"/>
  <c r="W21" i="1" a="1"/>
  <c r="W21" i="1"/>
  <c r="W22" i="1" a="1"/>
  <c r="W22" i="1" s="1"/>
  <c r="W23" i="1" a="1"/>
  <c r="W23" i="1" s="1"/>
  <c r="W24" i="1" a="1"/>
  <c r="W24" i="1"/>
  <c r="W25" i="1" a="1"/>
  <c r="W25" i="1"/>
  <c r="W26" i="1" a="1"/>
  <c r="W26" i="1" s="1"/>
  <c r="W27" i="1" a="1"/>
  <c r="W27" i="1" s="1"/>
  <c r="W28" i="1" a="1"/>
  <c r="W28" i="1"/>
  <c r="W29" i="1" a="1"/>
  <c r="W29" i="1"/>
  <c r="W30" i="1" a="1"/>
  <c r="W30" i="1" s="1"/>
  <c r="W31" i="1" a="1"/>
  <c r="W31" i="1" s="1"/>
  <c r="W32" i="1" a="1"/>
  <c r="W32" i="1"/>
  <c r="W33" i="1" a="1"/>
  <c r="W33" i="1"/>
  <c r="W34" i="1" a="1"/>
  <c r="W34" i="1" s="1"/>
  <c r="W35" i="1" a="1"/>
  <c r="W35" i="1" s="1"/>
  <c r="W36" i="1" a="1"/>
  <c r="W36" i="1"/>
  <c r="W37" i="1" a="1"/>
  <c r="W37" i="1"/>
  <c r="W38" i="1" a="1"/>
  <c r="W38" i="1" s="1"/>
  <c r="W39" i="1" a="1"/>
  <c r="W39" i="1" s="1"/>
  <c r="W40" i="1" a="1"/>
  <c r="W40" i="1"/>
  <c r="W41" i="1" a="1"/>
  <c r="W41" i="1"/>
  <c r="W42" i="1" a="1"/>
  <c r="W42" i="1" s="1"/>
  <c r="W43" i="1" a="1"/>
  <c r="W43" i="1" s="1"/>
  <c r="W44" i="1" a="1"/>
  <c r="W44" i="1"/>
  <c r="W45" i="1" a="1"/>
  <c r="W45" i="1"/>
  <c r="W46" i="1" a="1"/>
  <c r="W46" i="1" s="1"/>
  <c r="W47" i="1" a="1"/>
  <c r="W47" i="1" s="1"/>
  <c r="W48" i="1" a="1"/>
  <c r="W48" i="1"/>
  <c r="W49" i="1" a="1"/>
  <c r="W49" i="1"/>
  <c r="W50" i="1" a="1"/>
  <c r="W50" i="1" s="1"/>
  <c r="W51" i="1" a="1"/>
  <c r="W51" i="1" s="1"/>
  <c r="W52" i="1" a="1"/>
  <c r="W52" i="1"/>
  <c r="W53" i="1" a="1"/>
  <c r="W53" i="1"/>
  <c r="W54" i="1" a="1"/>
  <c r="W54" i="1" s="1"/>
  <c r="W55" i="1" a="1"/>
  <c r="W55" i="1" s="1"/>
  <c r="W56" i="1" a="1"/>
  <c r="W56" i="1"/>
  <c r="W57" i="1" a="1"/>
  <c r="W57" i="1"/>
  <c r="W58" i="1" a="1"/>
  <c r="W58" i="1" s="1"/>
  <c r="W59" i="1" a="1"/>
  <c r="W59" i="1" s="1"/>
  <c r="W60" i="1" a="1"/>
  <c r="W60" i="1"/>
  <c r="W61" i="1" a="1"/>
  <c r="W61" i="1"/>
  <c r="W62" i="1" a="1"/>
  <c r="W62" i="1" s="1"/>
  <c r="W63" i="1" a="1"/>
  <c r="W63" i="1" s="1"/>
  <c r="W64" i="1" a="1"/>
  <c r="W64" i="1"/>
  <c r="W65" i="1" a="1"/>
  <c r="W65" i="1"/>
  <c r="W66" i="1" a="1"/>
  <c r="W66" i="1" s="1"/>
  <c r="W67" i="1" a="1"/>
  <c r="W67" i="1" s="1"/>
  <c r="W68" i="1" a="1"/>
  <c r="W68" i="1"/>
  <c r="W69" i="1" a="1"/>
  <c r="W69" i="1"/>
  <c r="W70" i="1" a="1"/>
  <c r="W70" i="1" s="1"/>
  <c r="W71" i="1" a="1"/>
  <c r="W71" i="1" s="1"/>
  <c r="W72" i="1" a="1"/>
  <c r="W72" i="1" s="1"/>
  <c r="W73" i="1" a="1"/>
  <c r="W73" i="1"/>
  <c r="W74" i="1" a="1"/>
  <c r="W74" i="1" s="1"/>
  <c r="W75" i="1" a="1"/>
  <c r="W75" i="1" s="1"/>
  <c r="W76" i="1" a="1"/>
  <c r="W76" i="1"/>
  <c r="W77" i="1" a="1"/>
  <c r="W77" i="1" s="1"/>
  <c r="W78" i="1" a="1"/>
  <c r="W78" i="1" s="1"/>
  <c r="W79" i="1" a="1"/>
  <c r="W79" i="1" s="1"/>
  <c r="W80" i="1" a="1"/>
  <c r="W80" i="1"/>
  <c r="W81" i="1" a="1"/>
  <c r="W81" i="1"/>
  <c r="W82" i="1" a="1"/>
  <c r="W82" i="1" s="1"/>
  <c r="W83" i="1" a="1"/>
  <c r="W83" i="1" s="1"/>
  <c r="W84" i="1" a="1"/>
  <c r="W84" i="1"/>
  <c r="W85" i="1" a="1"/>
  <c r="W85" i="1"/>
  <c r="W86" i="1" a="1"/>
  <c r="W86" i="1" s="1"/>
  <c r="W87" i="1" a="1"/>
  <c r="W87" i="1" s="1"/>
  <c r="W88" i="1" a="1"/>
  <c r="W88" i="1" s="1"/>
  <c r="W89" i="1" a="1"/>
  <c r="W89" i="1"/>
  <c r="W90" i="1" a="1"/>
  <c r="W90" i="1" s="1"/>
  <c r="W91" i="1" a="1"/>
  <c r="W91" i="1" s="1"/>
  <c r="W92" i="1" a="1"/>
  <c r="W92" i="1"/>
  <c r="W93" i="1" a="1"/>
  <c r="W93" i="1" s="1"/>
  <c r="W94" i="1" a="1"/>
  <c r="W94" i="1" s="1"/>
  <c r="W95" i="1" a="1"/>
  <c r="W95" i="1" s="1"/>
  <c r="W96" i="1" a="1"/>
  <c r="W96" i="1"/>
  <c r="W97" i="1" a="1"/>
  <c r="W97" i="1"/>
  <c r="W98" i="1" a="1"/>
  <c r="W98" i="1" s="1"/>
  <c r="W99" i="1" a="1"/>
  <c r="W99" i="1" s="1"/>
  <c r="W100" i="1" a="1"/>
  <c r="W100" i="1"/>
  <c r="W101" i="1" a="1"/>
  <c r="W101" i="1"/>
  <c r="W102" i="1" a="1"/>
  <c r="W102" i="1" s="1"/>
  <c r="W103" i="1" a="1"/>
  <c r="W103" i="1" s="1"/>
  <c r="W104" i="1" a="1"/>
  <c r="W104" i="1" s="1"/>
  <c r="W105" i="1" a="1"/>
  <c r="W105" i="1"/>
  <c r="W106" i="1" a="1"/>
  <c r="W106" i="1" s="1"/>
  <c r="W107" i="1" a="1"/>
  <c r="W107" i="1" s="1"/>
  <c r="W108" i="1" a="1"/>
  <c r="W108" i="1"/>
  <c r="W109" i="1" a="1"/>
  <c r="W109" i="1" s="1"/>
  <c r="W110" i="1" a="1"/>
  <c r="W110" i="1" s="1"/>
  <c r="W111" i="1" a="1"/>
  <c r="W111" i="1" s="1"/>
  <c r="W112" i="1" a="1"/>
  <c r="W112" i="1"/>
  <c r="W113" i="1" a="1"/>
  <c r="W113" i="1"/>
  <c r="W114" i="1" a="1"/>
  <c r="W114" i="1" s="1"/>
  <c r="W115" i="1" a="1"/>
  <c r="W115" i="1" s="1"/>
  <c r="W116" i="1" a="1"/>
  <c r="W116" i="1"/>
  <c r="W117" i="1" a="1"/>
  <c r="W117" i="1"/>
  <c r="W118" i="1" a="1"/>
  <c r="W118" i="1" s="1"/>
  <c r="W119" i="1" a="1"/>
  <c r="W119" i="1" s="1"/>
  <c r="W120" i="1" a="1"/>
  <c r="W120" i="1" s="1"/>
  <c r="W121" i="1" a="1"/>
  <c r="W121" i="1"/>
  <c r="W122" i="1" a="1"/>
  <c r="W122" i="1" s="1"/>
  <c r="W123" i="1" a="1"/>
  <c r="W123" i="1" s="1"/>
  <c r="W124" i="1" a="1"/>
  <c r="W124" i="1"/>
  <c r="W125" i="1" a="1"/>
  <c r="W125" i="1" s="1"/>
  <c r="W126" i="1" a="1"/>
  <c r="W126" i="1" s="1"/>
  <c r="W127" i="1" a="1"/>
  <c r="W127" i="1" s="1"/>
  <c r="W128" i="1" a="1"/>
  <c r="W128" i="1"/>
  <c r="W129" i="1" a="1"/>
  <c r="W129" i="1"/>
  <c r="W130" i="1" a="1"/>
  <c r="W130" i="1" s="1"/>
  <c r="W131" i="1" a="1"/>
  <c r="W131" i="1" s="1"/>
  <c r="W132" i="1" a="1"/>
  <c r="W132" i="1"/>
  <c r="W133" i="1" a="1"/>
  <c r="W133" i="1"/>
  <c r="W134" i="1" a="1"/>
  <c r="W134" i="1" s="1"/>
  <c r="W135" i="1" a="1"/>
  <c r="W135" i="1" s="1"/>
  <c r="W136" i="1" a="1"/>
  <c r="W136" i="1" s="1"/>
  <c r="W137" i="1" a="1"/>
  <c r="W137" i="1"/>
  <c r="W138" i="1" a="1"/>
  <c r="W138" i="1" s="1"/>
  <c r="W139" i="1" a="1"/>
  <c r="W139" i="1" s="1"/>
  <c r="W140" i="1" a="1"/>
  <c r="W140" i="1"/>
  <c r="W141" i="1" a="1"/>
  <c r="W141" i="1" s="1"/>
  <c r="W142" i="1" a="1"/>
  <c r="W142" i="1" s="1"/>
  <c r="W143" i="1" a="1"/>
  <c r="W143" i="1" s="1"/>
  <c r="W144" i="1" a="1"/>
  <c r="W144" i="1"/>
  <c r="W145" i="1" a="1"/>
  <c r="W145" i="1"/>
  <c r="W146" i="1" a="1"/>
  <c r="W146" i="1" s="1"/>
  <c r="W147" i="1" a="1"/>
  <c r="W147" i="1" s="1"/>
  <c r="W148" i="1" a="1"/>
  <c r="W148" i="1"/>
  <c r="W149" i="1" a="1"/>
  <c r="W149" i="1"/>
  <c r="W150" i="1" a="1"/>
  <c r="W150" i="1" s="1"/>
  <c r="W151" i="1" a="1"/>
  <c r="W151" i="1" s="1"/>
  <c r="W152" i="1" a="1"/>
  <c r="W152" i="1" s="1"/>
  <c r="W153" i="1" a="1"/>
  <c r="W153" i="1"/>
  <c r="W154" i="1" a="1"/>
  <c r="W154" i="1" s="1"/>
  <c r="W155" i="1" a="1"/>
  <c r="W155" i="1" s="1"/>
  <c r="W156" i="1" a="1"/>
  <c r="W156" i="1"/>
  <c r="W157" i="1" a="1"/>
  <c r="W157" i="1" s="1"/>
  <c r="W158" i="1" a="1"/>
  <c r="W158" i="1" s="1"/>
  <c r="W159" i="1" a="1"/>
  <c r="W159" i="1" s="1"/>
  <c r="W160" i="1" a="1"/>
  <c r="W160" i="1" s="1"/>
  <c r="W161" i="1" a="1"/>
  <c r="W161" i="1"/>
  <c r="W162" i="1" a="1"/>
  <c r="W162" i="1" s="1"/>
  <c r="W163" i="1" a="1"/>
  <c r="W163" i="1" s="1"/>
  <c r="W164" i="1" a="1"/>
  <c r="W164" i="1"/>
  <c r="W165" i="1" a="1"/>
  <c r="W165" i="1" s="1"/>
  <c r="W166" i="1" a="1"/>
  <c r="W166" i="1" s="1"/>
  <c r="W167" i="1" a="1"/>
  <c r="W167" i="1" s="1"/>
  <c r="W168" i="1" a="1"/>
  <c r="W168" i="1" s="1"/>
  <c r="W169" i="1" a="1"/>
  <c r="W169" i="1"/>
  <c r="W170" i="1" a="1"/>
  <c r="W170" i="1" s="1"/>
  <c r="W171" i="1" a="1"/>
  <c r="W171" i="1" s="1"/>
  <c r="W172" i="1" a="1"/>
  <c r="W172" i="1"/>
  <c r="W173" i="1" a="1"/>
  <c r="W173" i="1" s="1"/>
  <c r="W174" i="1" a="1"/>
  <c r="W174" i="1" s="1"/>
  <c r="W175" i="1" a="1"/>
  <c r="W175" i="1" s="1"/>
  <c r="W176" i="1" a="1"/>
  <c r="W176" i="1"/>
  <c r="W177" i="1" a="1"/>
  <c r="W177" i="1"/>
  <c r="W178" i="1" a="1"/>
  <c r="W178" i="1" s="1"/>
  <c r="W179" i="1" a="1"/>
  <c r="W179" i="1" s="1"/>
  <c r="W180" i="1" a="1"/>
  <c r="W180" i="1"/>
  <c r="W181" i="1" a="1"/>
  <c r="W181" i="1"/>
  <c r="W182" i="1" a="1"/>
  <c r="W182" i="1" s="1"/>
  <c r="W183" i="1" a="1"/>
  <c r="W183" i="1" s="1"/>
  <c r="W184" i="1" a="1"/>
  <c r="W184" i="1" s="1"/>
  <c r="W185" i="1" a="1"/>
  <c r="W185" i="1"/>
  <c r="W186" i="1" a="1"/>
  <c r="W186" i="1" s="1"/>
  <c r="W187" i="1" a="1"/>
  <c r="W187" i="1" s="1"/>
  <c r="W188" i="1" a="1"/>
  <c r="W188" i="1"/>
  <c r="W189" i="1" a="1"/>
  <c r="W189" i="1" s="1"/>
  <c r="W190" i="1" a="1"/>
  <c r="W190" i="1" s="1"/>
  <c r="W191" i="1" a="1"/>
  <c r="W191" i="1" s="1"/>
  <c r="W192" i="1" a="1"/>
  <c r="W192" i="1"/>
  <c r="W193" i="1" a="1"/>
  <c r="W193" i="1"/>
  <c r="W194" i="1" a="1"/>
  <c r="W194" i="1" s="1"/>
  <c r="W195" i="1" a="1"/>
  <c r="W195" i="1" s="1"/>
  <c r="W196" i="1" a="1"/>
  <c r="W196" i="1"/>
  <c r="W197" i="1" a="1"/>
  <c r="W197" i="1"/>
  <c r="W198" i="1" a="1"/>
  <c r="W198" i="1" s="1"/>
  <c r="W199" i="1" a="1"/>
  <c r="W199" i="1" s="1"/>
  <c r="W200" i="1" a="1"/>
  <c r="W200" i="1" s="1"/>
  <c r="W201" i="1" a="1"/>
  <c r="W201" i="1"/>
  <c r="W202" i="1" a="1"/>
  <c r="W202" i="1" s="1"/>
  <c r="W203" i="1" a="1"/>
  <c r="W203" i="1" s="1"/>
  <c r="W204" i="1" a="1"/>
  <c r="W204" i="1"/>
  <c r="W205" i="1" a="1"/>
  <c r="W205" i="1" s="1"/>
  <c r="W206" i="1" a="1"/>
  <c r="W206" i="1" s="1"/>
  <c r="W207" i="1" a="1"/>
  <c r="W207" i="1" s="1"/>
  <c r="W208" i="1" a="1"/>
  <c r="W208" i="1"/>
  <c r="W209" i="1" a="1"/>
  <c r="W209" i="1"/>
  <c r="W210" i="1" a="1"/>
  <c r="W210" i="1" s="1"/>
  <c r="W211" i="1" a="1"/>
  <c r="W211" i="1" s="1"/>
  <c r="W212" i="1" a="1"/>
  <c r="W212" i="1" s="1"/>
  <c r="W213" i="1" a="1"/>
  <c r="W213" i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/>
  <c r="W221" i="1" a="1"/>
  <c r="W221" i="1" s="1"/>
  <c r="W222" i="1" a="1"/>
  <c r="W222" i="1" s="1"/>
  <c r="W223" i="1" a="1"/>
  <c r="W223" i="1" s="1"/>
  <c r="W224" i="1" a="1"/>
  <c r="W224" i="1" s="1"/>
  <c r="W225" i="1" a="1"/>
  <c r="W225" i="1"/>
  <c r="W226" i="1" a="1"/>
  <c r="W226" i="1" s="1"/>
  <c r="W227" i="1" a="1"/>
  <c r="W227" i="1" s="1"/>
  <c r="W228" i="1" a="1"/>
  <c r="W228" i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/>
  <c r="W237" i="1" a="1"/>
  <c r="W237" i="1" s="1"/>
  <c r="W238" i="1" a="1"/>
  <c r="W238" i="1" s="1"/>
  <c r="W239" i="1" a="1"/>
  <c r="W239" i="1" s="1"/>
  <c r="W240" i="1" a="1"/>
  <c r="W240" i="1"/>
  <c r="W241" i="1" a="1"/>
  <c r="W241" i="1"/>
  <c r="W242" i="1" a="1"/>
  <c r="W242" i="1" s="1"/>
  <c r="W243" i="1" a="1"/>
  <c r="W243" i="1" s="1"/>
  <c r="W244" i="1" a="1"/>
  <c r="W244" i="1"/>
  <c r="W245" i="1" a="1"/>
  <c r="W245" i="1"/>
  <c r="W246" i="1" a="1"/>
  <c r="W246" i="1" s="1"/>
  <c r="W247" i="1" a="1"/>
  <c r="W247" i="1" s="1"/>
  <c r="W248" i="1" a="1"/>
  <c r="W248" i="1" s="1"/>
  <c r="W249" i="1" a="1"/>
  <c r="W249" i="1"/>
  <c r="W250" i="1" a="1"/>
  <c r="W250" i="1" s="1"/>
  <c r="W251" i="1" a="1"/>
  <c r="W251" i="1" s="1"/>
  <c r="W252" i="1" a="1"/>
  <c r="W252" i="1"/>
  <c r="W253" i="1" a="1"/>
  <c r="W253" i="1" s="1"/>
  <c r="W254" i="1" a="1"/>
  <c r="W254" i="1" s="1"/>
  <c r="W255" i="1" a="1"/>
  <c r="W255" i="1" s="1"/>
  <c r="W256" i="1" a="1"/>
  <c r="W256" i="1"/>
  <c r="W257" i="1" a="1"/>
  <c r="W257" i="1"/>
  <c r="W258" i="1" a="1"/>
  <c r="W258" i="1" s="1"/>
  <c r="W259" i="1" a="1"/>
  <c r="W259" i="1" s="1"/>
  <c r="W260" i="1" a="1"/>
  <c r="W260" i="1"/>
  <c r="W261" i="1" a="1"/>
  <c r="W261" i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/>
  <c r="W269" i="1" a="1"/>
  <c r="W269" i="1" s="1"/>
  <c r="W270" i="1" a="1"/>
  <c r="W270" i="1" s="1"/>
  <c r="W271" i="1" a="1"/>
  <c r="W271" i="1" s="1"/>
  <c r="W272" i="1" a="1"/>
  <c r="W272" i="1"/>
  <c r="W273" i="1" a="1"/>
  <c r="W273" i="1"/>
  <c r="W274" i="1" a="1"/>
  <c r="W274" i="1" s="1"/>
  <c r="W275" i="1" a="1"/>
  <c r="W275" i="1" s="1"/>
  <c r="W276" i="1" a="1"/>
  <c r="W276" i="1" s="1"/>
  <c r="W277" i="1" a="1"/>
  <c r="W277" i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/>
  <c r="W285" i="1" a="1"/>
  <c r="W285" i="1" s="1"/>
  <c r="W286" i="1" a="1"/>
  <c r="W286" i="1" s="1"/>
  <c r="W287" i="1" a="1"/>
  <c r="W287" i="1" s="1"/>
  <c r="W288" i="1" a="1"/>
  <c r="W288" i="1" s="1"/>
  <c r="W289" i="1" a="1"/>
  <c r="W289" i="1"/>
  <c r="W290" i="1" a="1"/>
  <c r="W290" i="1" s="1"/>
  <c r="W291" i="1" a="1"/>
  <c r="W291" i="1" s="1"/>
  <c r="W292" i="1" a="1"/>
  <c r="W292" i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/>
  <c r="W301" i="1" a="1"/>
  <c r="W301" i="1" s="1"/>
  <c r="W302" i="1" a="1"/>
  <c r="W302" i="1" s="1"/>
  <c r="W303" i="1" a="1"/>
  <c r="W303" i="1" s="1"/>
  <c r="W304" i="1" a="1"/>
  <c r="W304" i="1"/>
  <c r="W305" i="1" a="1"/>
  <c r="W305" i="1"/>
  <c r="W306" i="1" a="1"/>
  <c r="W306" i="1" s="1"/>
  <c r="W307" i="1" a="1"/>
  <c r="W307" i="1" s="1"/>
  <c r="W308" i="1" a="1"/>
  <c r="W308" i="1"/>
  <c r="W309" i="1" a="1"/>
  <c r="W309" i="1"/>
  <c r="W310" i="1" a="1"/>
  <c r="W310" i="1" s="1"/>
  <c r="W311" i="1" a="1"/>
  <c r="W311" i="1" s="1"/>
  <c r="W312" i="1" a="1"/>
  <c r="W312" i="1" s="1"/>
  <c r="W313" i="1" a="1"/>
  <c r="W313" i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/>
  <c r="W321" i="1" a="1"/>
  <c r="W321" i="1"/>
  <c r="W322" i="1" a="1"/>
  <c r="W322" i="1" s="1"/>
  <c r="W323" i="1" a="1"/>
  <c r="W323" i="1" s="1"/>
  <c r="W324" i="1" a="1"/>
  <c r="W324" i="1"/>
  <c r="W325" i="1" a="1"/>
  <c r="W325" i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/>
  <c r="W337" i="1" a="1"/>
  <c r="W337" i="1"/>
  <c r="W338" i="1" a="1"/>
  <c r="W338" i="1" s="1"/>
  <c r="W339" i="1" a="1"/>
  <c r="W339" i="1" s="1"/>
  <c r="W340" i="1" a="1"/>
  <c r="W340" i="1" s="1"/>
  <c r="W341" i="1" a="1"/>
  <c r="W341" i="1"/>
  <c r="W342" i="1" a="1"/>
  <c r="W342" i="1"/>
  <c r="W343" i="1" a="1"/>
  <c r="W343" i="1" s="1"/>
  <c r="W344" i="1" a="1"/>
  <c r="W344" i="1" s="1"/>
  <c r="W345" i="1" a="1"/>
  <c r="W345" i="1" s="1"/>
  <c r="W346" i="1" a="1"/>
  <c r="W346" i="1"/>
  <c r="W347" i="1" a="1"/>
  <c r="W347" i="1" s="1"/>
  <c r="W348" i="1" a="1"/>
  <c r="W348" i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/>
  <c r="W355" i="1" a="1"/>
  <c r="W355" i="1" s="1"/>
  <c r="W356" i="1" a="1"/>
  <c r="W356" i="1"/>
  <c r="W357" i="1" a="1"/>
  <c r="W357" i="1"/>
  <c r="W358" i="1" a="1"/>
  <c r="W358" i="1" s="1"/>
  <c r="W359" i="1" a="1"/>
  <c r="W359" i="1" s="1"/>
  <c r="W360" i="1" a="1"/>
  <c r="W360" i="1"/>
  <c r="W361" i="1" a="1"/>
  <c r="W361" i="1" s="1"/>
  <c r="W362" i="1" a="1"/>
  <c r="W362" i="1" s="1"/>
  <c r="W363" i="1" a="1"/>
  <c r="W363" i="1" s="1"/>
  <c r="W364" i="1" a="1"/>
  <c r="W364" i="1" s="1"/>
  <c r="W365" i="1" a="1"/>
  <c r="W365" i="1"/>
  <c r="W366" i="1" a="1"/>
  <c r="W366" i="1"/>
  <c r="W367" i="1" a="1"/>
  <c r="W367" i="1" s="1"/>
  <c r="W368" i="1" a="1"/>
  <c r="W368" i="1"/>
  <c r="W369" i="1" a="1"/>
  <c r="W369" i="1"/>
  <c r="W370" i="1" a="1"/>
  <c r="W370" i="1" s="1"/>
  <c r="W371" i="1" a="1"/>
  <c r="W371" i="1" s="1"/>
  <c r="W372" i="1" a="1"/>
  <c r="W372" i="1" s="1"/>
  <c r="W373" i="1" a="1"/>
  <c r="W373" i="1" s="1"/>
  <c r="W374" i="1" a="1"/>
  <c r="W374" i="1"/>
  <c r="W375" i="1" a="1"/>
  <c r="W375" i="1" s="1"/>
  <c r="W376" i="1" a="1"/>
  <c r="W376" i="1" s="1"/>
  <c r="W377" i="1" a="1"/>
  <c r="W377" i="1"/>
  <c r="W378" i="1" a="1"/>
  <c r="W378" i="1"/>
  <c r="W379" i="1" a="1"/>
  <c r="W379" i="1" s="1"/>
  <c r="W380" i="1" a="1"/>
  <c r="W380" i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/>
  <c r="W387" i="1" a="1"/>
  <c r="W387" i="1" s="1"/>
  <c r="W388" i="1" a="1"/>
  <c r="W388" i="1"/>
  <c r="W389" i="1" a="1"/>
  <c r="W389" i="1"/>
  <c r="W390" i="1" a="1"/>
  <c r="W390" i="1" s="1"/>
  <c r="W391" i="1" a="1"/>
  <c r="W391" i="1" s="1"/>
  <c r="W392" i="1" a="1"/>
  <c r="W392" i="1"/>
  <c r="W393" i="1" a="1"/>
  <c r="W393" i="1" s="1"/>
  <c r="W394" i="1" a="1"/>
  <c r="W394" i="1" s="1"/>
  <c r="W395" i="1" a="1"/>
  <c r="W395" i="1" s="1"/>
  <c r="W396" i="1" a="1"/>
  <c r="W396" i="1" s="1"/>
  <c r="W397" i="1" a="1"/>
  <c r="W397" i="1"/>
  <c r="W398" i="1" a="1"/>
  <c r="W398" i="1"/>
  <c r="W399" i="1" a="1"/>
  <c r="W399" i="1" s="1"/>
  <c r="W400" i="1" a="1"/>
  <c r="W400" i="1"/>
  <c r="W401" i="1" a="1"/>
  <c r="W401" i="1"/>
  <c r="W402" i="1" a="1"/>
  <c r="W402" i="1" s="1"/>
  <c r="W403" i="1" a="1"/>
  <c r="W403" i="1" s="1"/>
  <c r="W404" i="1" a="1"/>
  <c r="W404" i="1" s="1"/>
  <c r="W405" i="1" a="1"/>
  <c r="W405" i="1" s="1"/>
  <c r="W406" i="1" a="1"/>
  <c r="W406" i="1"/>
  <c r="W407" i="1" a="1"/>
  <c r="W407" i="1" s="1"/>
  <c r="W408" i="1" a="1"/>
  <c r="W408" i="1" s="1"/>
  <c r="W409" i="1" a="1"/>
  <c r="W409" i="1"/>
  <c r="W410" i="1" a="1"/>
  <c r="W410" i="1"/>
  <c r="W411" i="1" a="1"/>
  <c r="W411" i="1" s="1"/>
  <c r="W412" i="1" a="1"/>
  <c r="W412" i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/>
  <c r="W419" i="1" a="1"/>
  <c r="W419" i="1" s="1"/>
  <c r="W420" i="1" a="1"/>
  <c r="W420" i="1"/>
  <c r="W421" i="1" a="1"/>
  <c r="W421" i="1"/>
  <c r="W422" i="1" a="1"/>
  <c r="W422" i="1" s="1"/>
  <c r="W423" i="1" a="1"/>
  <c r="W423" i="1" s="1"/>
  <c r="W424" i="1" a="1"/>
  <c r="W424" i="1"/>
  <c r="W425" i="1" a="1"/>
  <c r="W425" i="1" s="1"/>
  <c r="W426" i="1" a="1"/>
  <c r="W426" i="1" s="1"/>
  <c r="W427" i="1" a="1"/>
  <c r="W427" i="1" s="1"/>
  <c r="W428" i="1" a="1"/>
  <c r="W428" i="1" s="1"/>
  <c r="W429" i="1" a="1"/>
  <c r="W429" i="1"/>
  <c r="W430" i="1" a="1"/>
  <c r="W430" i="1"/>
  <c r="W431" i="1" a="1"/>
  <c r="W431" i="1" s="1"/>
  <c r="W432" i="1" a="1"/>
  <c r="W432" i="1"/>
  <c r="W433" i="1" a="1"/>
  <c r="W433" i="1"/>
  <c r="W434" i="1" a="1"/>
  <c r="W434" i="1" s="1"/>
  <c r="W435" i="1" a="1"/>
  <c r="W435" i="1" s="1"/>
  <c r="W436" i="1" a="1"/>
  <c r="W436" i="1" s="1"/>
  <c r="W437" i="1" a="1"/>
  <c r="W437" i="1" s="1"/>
  <c r="W438" i="1" a="1"/>
  <c r="W438" i="1"/>
  <c r="W439" i="1" a="1"/>
  <c r="W439" i="1" s="1"/>
  <c r="W440" i="1" a="1"/>
  <c r="W440" i="1" s="1"/>
  <c r="W441" i="1" a="1"/>
  <c r="W441" i="1"/>
  <c r="W442" i="1" a="1"/>
  <c r="W442" i="1"/>
  <c r="W443" i="1" a="1"/>
  <c r="W443" i="1" s="1"/>
  <c r="W444" i="1" a="1"/>
  <c r="W444" i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/>
  <c r="W451" i="1" a="1"/>
  <c r="W451" i="1" s="1"/>
  <c r="W452" i="1" a="1"/>
  <c r="W452" i="1"/>
  <c r="W453" i="1" a="1"/>
  <c r="W453" i="1"/>
  <c r="W454" i="1" a="1"/>
  <c r="W454" i="1" s="1"/>
  <c r="W455" i="1" a="1"/>
  <c r="W455" i="1" s="1"/>
  <c r="W456" i="1" a="1"/>
  <c r="W456" i="1"/>
  <c r="W457" i="1" a="1"/>
  <c r="W457" i="1" s="1"/>
  <c r="W458" i="1" a="1"/>
  <c r="W458" i="1" s="1"/>
  <c r="W459" i="1" a="1"/>
  <c r="W459" i="1" s="1"/>
  <c r="W460" i="1" a="1"/>
  <c r="W460" i="1"/>
  <c r="W461" i="1" a="1"/>
  <c r="W461" i="1"/>
  <c r="W462" i="1" a="1"/>
  <c r="W462" i="1"/>
  <c r="W463" i="1" a="1"/>
  <c r="W463" i="1" s="1"/>
  <c r="W464" i="1" a="1"/>
  <c r="W464" i="1"/>
  <c r="W465" i="1" a="1"/>
  <c r="W465" i="1"/>
  <c r="W466" i="1" a="1"/>
  <c r="W466" i="1" s="1"/>
  <c r="W467" i="1" a="1"/>
  <c r="W467" i="1" s="1"/>
  <c r="W468" i="1" a="1"/>
  <c r="W468" i="1" s="1"/>
  <c r="W469" i="1" a="1"/>
  <c r="W469" i="1"/>
  <c r="W470" i="1" a="1"/>
  <c r="W470" i="1"/>
  <c r="W471" i="1" a="1"/>
  <c r="W471" i="1" s="1"/>
  <c r="W472" i="1" a="1"/>
  <c r="W472" i="1" s="1"/>
  <c r="W473" i="1" a="1"/>
  <c r="W473" i="1"/>
  <c r="W474" i="1" a="1"/>
  <c r="W474" i="1"/>
  <c r="W475" i="1" a="1"/>
  <c r="W475" i="1" s="1"/>
  <c r="W476" i="1" a="1"/>
  <c r="W476" i="1"/>
  <c r="W477" i="1" a="1"/>
  <c r="W477" i="1" s="1"/>
  <c r="W478" i="1" a="1"/>
  <c r="W478" i="1"/>
  <c r="W479" i="1" a="1"/>
  <c r="W479" i="1" s="1"/>
  <c r="W480" i="1" a="1"/>
  <c r="W480" i="1" s="1"/>
  <c r="W481" i="1" a="1"/>
  <c r="W481" i="1" s="1"/>
  <c r="W482" i="1" a="1"/>
  <c r="W482" i="1"/>
  <c r="W483" i="1" a="1"/>
  <c r="W483" i="1" s="1"/>
  <c r="W484" i="1" a="1"/>
  <c r="W484" i="1"/>
  <c r="W485" i="1" a="1"/>
  <c r="W485" i="1"/>
  <c r="W486" i="1" a="1"/>
  <c r="W486" i="1" s="1"/>
  <c r="W487" i="1" a="1"/>
  <c r="W487" i="1" s="1"/>
  <c r="W488" i="1" a="1"/>
  <c r="W488" i="1"/>
  <c r="W489" i="1" a="1"/>
  <c r="W489" i="1" s="1"/>
  <c r="W490" i="1" a="1"/>
  <c r="W490" i="1" s="1"/>
  <c r="W491" i="1" a="1"/>
  <c r="W491" i="1" s="1"/>
  <c r="W492" i="1" a="1"/>
  <c r="W492" i="1"/>
  <c r="W493" i="1" a="1"/>
  <c r="W493" i="1"/>
  <c r="W494" i="1" a="1"/>
  <c r="W494" i="1"/>
  <c r="W495" i="1" a="1"/>
  <c r="W495" i="1" s="1"/>
  <c r="W496" i="1" a="1"/>
  <c r="W496" i="1"/>
  <c r="W497" i="1" a="1"/>
  <c r="W497" i="1"/>
  <c r="W498" i="1" a="1"/>
  <c r="W498" i="1" s="1"/>
  <c r="W499" i="1" a="1"/>
  <c r="W499" i="1" s="1"/>
  <c r="W500" i="1" a="1"/>
  <c r="W500" i="1" s="1"/>
  <c r="W501" i="1" a="1"/>
  <c r="W501" i="1"/>
  <c r="W502" i="1" a="1"/>
  <c r="W502" i="1"/>
  <c r="W503" i="1" a="1"/>
  <c r="W503" i="1" s="1"/>
  <c r="W504" i="1" a="1"/>
  <c r="W504" i="1" s="1"/>
  <c r="W505" i="1" a="1"/>
  <c r="W505" i="1"/>
  <c r="W506" i="1" a="1"/>
  <c r="W506" i="1"/>
  <c r="W507" i="1" a="1"/>
  <c r="W507" i="1" s="1"/>
  <c r="W508" i="1" a="1"/>
  <c r="W508" i="1"/>
  <c r="W509" i="1" a="1"/>
  <c r="W509" i="1" s="1"/>
  <c r="W510" i="1" a="1"/>
  <c r="W510" i="1"/>
  <c r="W511" i="1" a="1"/>
  <c r="W511" i="1" s="1"/>
  <c r="W512" i="1" a="1"/>
  <c r="W512" i="1" s="1"/>
  <c r="W513" i="1" a="1"/>
  <c r="W513" i="1" s="1"/>
  <c r="W514" i="1" a="1"/>
  <c r="W514" i="1"/>
  <c r="W515" i="1" a="1"/>
  <c r="W515" i="1" s="1"/>
  <c r="W516" i="1" a="1"/>
  <c r="W516" i="1"/>
  <c r="W517" i="1" a="1"/>
  <c r="W517" i="1"/>
  <c r="W518" i="1" a="1"/>
  <c r="W518" i="1" s="1"/>
  <c r="W519" i="1" a="1"/>
  <c r="W519" i="1" s="1"/>
  <c r="W520" i="1" a="1"/>
  <c r="W520" i="1"/>
  <c r="W521" i="1" a="1"/>
  <c r="W521" i="1" s="1"/>
  <c r="W522" i="1" a="1"/>
  <c r="W522" i="1" s="1"/>
  <c r="W523" i="1" a="1"/>
  <c r="W523" i="1" s="1"/>
  <c r="W524" i="1" a="1"/>
  <c r="W524" i="1"/>
  <c r="W525" i="1" a="1"/>
  <c r="W525" i="1"/>
  <c r="W526" i="1" a="1"/>
  <c r="W526" i="1"/>
  <c r="W527" i="1" a="1"/>
  <c r="W527" i="1" s="1"/>
  <c r="W528" i="1" a="1"/>
  <c r="W528" i="1"/>
  <c r="W529" i="1" a="1"/>
  <c r="W529" i="1"/>
  <c r="W530" i="1" a="1"/>
  <c r="W530" i="1" s="1"/>
  <c r="W531" i="1" a="1"/>
  <c r="W531" i="1" s="1"/>
  <c r="W532" i="1" a="1"/>
  <c r="W532" i="1" s="1"/>
  <c r="W533" i="1" a="1"/>
  <c r="W533" i="1"/>
  <c r="W534" i="1" a="1"/>
  <c r="W534" i="1"/>
  <c r="W535" i="1" a="1"/>
  <c r="W535" i="1" s="1"/>
  <c r="W536" i="1" a="1"/>
  <c r="W536" i="1" s="1"/>
  <c r="W537" i="1" a="1"/>
  <c r="W537" i="1"/>
  <c r="W538" i="1" a="1"/>
  <c r="W538" i="1"/>
  <c r="W539" i="1" a="1"/>
  <c r="W539" i="1" s="1"/>
  <c r="W540" i="1" a="1"/>
  <c r="W540" i="1"/>
  <c r="W541" i="1" a="1"/>
  <c r="W541" i="1" s="1"/>
  <c r="W542" i="1" a="1"/>
  <c r="W542" i="1"/>
  <c r="W543" i="1" a="1"/>
  <c r="W543" i="1" s="1"/>
  <c r="W544" i="1" a="1"/>
  <c r="W544" i="1" s="1"/>
  <c r="W545" i="1" a="1"/>
  <c r="W545" i="1" s="1"/>
  <c r="W546" i="1" a="1"/>
  <c r="W546" i="1"/>
  <c r="W547" i="1" a="1"/>
  <c r="W547" i="1" s="1"/>
  <c r="W548" i="1" a="1"/>
  <c r="W548" i="1"/>
  <c r="W549" i="1" a="1"/>
  <c r="W549" i="1"/>
  <c r="W550" i="1" a="1"/>
  <c r="W550" i="1" s="1"/>
  <c r="W551" i="1" a="1"/>
  <c r="W551" i="1" s="1"/>
  <c r="W552" i="1" a="1"/>
  <c r="W552" i="1"/>
  <c r="W553" i="1" a="1"/>
  <c r="W553" i="1" s="1"/>
  <c r="W554" i="1" a="1"/>
  <c r="W554" i="1" s="1"/>
  <c r="W555" i="1" a="1"/>
  <c r="W555" i="1" s="1"/>
  <c r="W556" i="1" a="1"/>
  <c r="W556" i="1"/>
  <c r="W557" i="1" a="1"/>
  <c r="W557" i="1"/>
  <c r="W558" i="1" a="1"/>
  <c r="W558" i="1"/>
  <c r="W559" i="1" a="1"/>
  <c r="W559" i="1" s="1"/>
  <c r="W560" i="1" a="1"/>
  <c r="W560" i="1"/>
  <c r="W561" i="1" a="1"/>
  <c r="W561" i="1"/>
  <c r="W562" i="1" a="1"/>
  <c r="W562" i="1" s="1"/>
  <c r="W563" i="1" a="1"/>
  <c r="W563" i="1" s="1"/>
  <c r="W564" i="1" a="1"/>
  <c r="W564" i="1" s="1"/>
  <c r="W565" i="1" a="1"/>
  <c r="W565" i="1"/>
  <c r="W566" i="1" a="1"/>
  <c r="W566" i="1"/>
  <c r="W567" i="1" a="1"/>
  <c r="W567" i="1" s="1"/>
  <c r="W568" i="1" a="1"/>
  <c r="W568" i="1" s="1"/>
  <c r="W569" i="1" a="1"/>
  <c r="W569" i="1"/>
  <c r="W570" i="1" a="1"/>
  <c r="W570" i="1"/>
  <c r="W571" i="1" a="1"/>
  <c r="W571" i="1" s="1"/>
  <c r="W572" i="1" a="1"/>
  <c r="W572" i="1"/>
  <c r="W573" i="1" a="1"/>
  <c r="W573" i="1" s="1"/>
  <c r="W574" i="1" a="1"/>
  <c r="W574" i="1"/>
  <c r="W575" i="1" a="1"/>
  <c r="W575" i="1" s="1"/>
  <c r="W576" i="1" a="1"/>
  <c r="W576" i="1" s="1"/>
  <c r="W577" i="1" a="1"/>
  <c r="W577" i="1" s="1"/>
  <c r="W578" i="1" a="1"/>
  <c r="W578" i="1"/>
  <c r="W579" i="1" a="1"/>
  <c r="W579" i="1" s="1"/>
  <c r="W580" i="1" a="1"/>
  <c r="W580" i="1"/>
  <c r="W581" i="1" a="1"/>
  <c r="W581" i="1"/>
  <c r="W582" i="1" a="1"/>
  <c r="W582" i="1" s="1"/>
  <c r="W583" i="1" a="1"/>
  <c r="W583" i="1" s="1"/>
  <c r="W584" i="1" a="1"/>
  <c r="W584" i="1"/>
  <c r="W585" i="1" a="1"/>
  <c r="W585" i="1" s="1"/>
  <c r="W586" i="1" a="1"/>
  <c r="W586" i="1" s="1"/>
  <c r="W587" i="1" a="1"/>
  <c r="W587" i="1" s="1"/>
  <c r="W588" i="1" a="1"/>
  <c r="W588" i="1"/>
  <c r="W589" i="1" a="1"/>
  <c r="W589" i="1"/>
  <c r="W590" i="1" a="1"/>
  <c r="W590" i="1"/>
  <c r="W591" i="1" a="1"/>
  <c r="W591" i="1" s="1"/>
  <c r="W592" i="1" a="1"/>
  <c r="W592" i="1" s="1"/>
  <c r="W593" i="1" a="1"/>
  <c r="W593" i="1"/>
  <c r="W594" i="1" a="1"/>
  <c r="W594" i="1" s="1"/>
  <c r="W595" i="1" a="1"/>
  <c r="W595" i="1" s="1"/>
  <c r="W596" i="1" a="1"/>
  <c r="W596" i="1"/>
  <c r="W597" i="1" a="1"/>
  <c r="W597" i="1"/>
  <c r="W598" i="1" a="1"/>
  <c r="W598" i="1"/>
  <c r="W599" i="1" a="1"/>
  <c r="W599" i="1" s="1"/>
  <c r="W600" i="1" a="1"/>
  <c r="W600" i="1" s="1"/>
  <c r="W601" i="1" a="1"/>
  <c r="W601" i="1" s="1"/>
  <c r="W602" i="1" a="1"/>
  <c r="W602" i="1"/>
  <c r="W603" i="1" a="1"/>
  <c r="W603" i="1" s="1"/>
  <c r="W604" i="1" a="1"/>
  <c r="W604" i="1"/>
  <c r="W605" i="1" a="1"/>
  <c r="W605" i="1"/>
  <c r="W606" i="1" a="1"/>
  <c r="W606" i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/>
  <c r="W613" i="1" a="1"/>
  <c r="W613" i="1"/>
  <c r="W614" i="1" a="1"/>
  <c r="W614" i="1"/>
  <c r="W615" i="1" a="1"/>
  <c r="W615" i="1" s="1"/>
  <c r="W616" i="1" a="1"/>
  <c r="W616" i="1"/>
  <c r="W617" i="1" a="1"/>
  <c r="W617" i="1" s="1"/>
  <c r="W618" i="1" a="1"/>
  <c r="W618" i="1" s="1"/>
  <c r="W619" i="1" a="1"/>
  <c r="W619" i="1" s="1"/>
  <c r="W620" i="1" a="1"/>
  <c r="W620" i="1"/>
  <c r="W621" i="1" a="1"/>
  <c r="W621" i="1"/>
  <c r="W622" i="1" a="1"/>
  <c r="W622" i="1"/>
  <c r="W623" i="1" a="1"/>
  <c r="W623" i="1" s="1"/>
  <c r="W624" i="1" a="1"/>
  <c r="W624" i="1" s="1"/>
  <c r="W625" i="1" a="1"/>
  <c r="W625" i="1"/>
  <c r="W626" i="1" a="1"/>
  <c r="W626" i="1" s="1"/>
  <c r="W627" i="1" a="1"/>
  <c r="W627" i="1" s="1"/>
  <c r="W628" i="1" a="1"/>
  <c r="W628" i="1"/>
  <c r="W629" i="1" a="1"/>
  <c r="W629" i="1"/>
  <c r="W630" i="1" a="1"/>
  <c r="W630" i="1"/>
  <c r="W631" i="1" a="1"/>
  <c r="W631" i="1" s="1"/>
  <c r="W632" i="1" a="1"/>
  <c r="W632" i="1" s="1"/>
  <c r="W633" i="1" a="1"/>
  <c r="W633" i="1" s="1"/>
  <c r="W634" i="1" a="1"/>
  <c r="W634" i="1"/>
  <c r="W635" i="1" a="1"/>
  <c r="W635" i="1" s="1"/>
  <c r="W636" i="1" a="1"/>
  <c r="W636" i="1"/>
  <c r="W637" i="1" a="1"/>
  <c r="W637" i="1"/>
  <c r="W638" i="1" a="1"/>
  <c r="W638" i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/>
  <c r="W645" i="1" a="1"/>
  <c r="W645" i="1"/>
  <c r="W646" i="1" a="1"/>
  <c r="W646" i="1"/>
  <c r="W647" i="1" a="1"/>
  <c r="W647" i="1" s="1"/>
  <c r="W648" i="1" a="1"/>
  <c r="W648" i="1"/>
  <c r="W649" i="1" a="1"/>
  <c r="W649" i="1" s="1"/>
  <c r="W650" i="1" a="1"/>
  <c r="W650" i="1" s="1"/>
  <c r="W651" i="1" a="1"/>
  <c r="W651" i="1" s="1"/>
  <c r="W652" i="1" a="1"/>
  <c r="W652" i="1"/>
  <c r="W653" i="1" a="1"/>
  <c r="W653" i="1"/>
  <c r="W654" i="1" a="1"/>
  <c r="W654" i="1"/>
  <c r="W655" i="1" a="1"/>
  <c r="W655" i="1" s="1"/>
  <c r="W656" i="1" a="1"/>
  <c r="W656" i="1" s="1"/>
  <c r="W657" i="1" a="1"/>
  <c r="W657" i="1"/>
  <c r="W658" i="1" a="1"/>
  <c r="W658" i="1" s="1"/>
  <c r="W659" i="1" a="1"/>
  <c r="W659" i="1" s="1"/>
  <c r="W660" i="1" a="1"/>
  <c r="W660" i="1"/>
  <c r="W661" i="1" a="1"/>
  <c r="W661" i="1"/>
  <c r="W662" i="1" a="1"/>
  <c r="W662" i="1"/>
  <c r="W663" i="1" a="1"/>
  <c r="W663" i="1" s="1"/>
  <c r="W664" i="1" a="1"/>
  <c r="W664" i="1" s="1"/>
  <c r="W665" i="1" a="1"/>
  <c r="W665" i="1" s="1"/>
  <c r="W666" i="1" a="1"/>
  <c r="W666" i="1"/>
  <c r="W667" i="1" a="1"/>
  <c r="W667" i="1" s="1"/>
  <c r="W668" i="1" a="1"/>
  <c r="W668" i="1"/>
  <c r="W669" i="1" a="1"/>
  <c r="W669" i="1"/>
  <c r="W670" i="1" a="1"/>
  <c r="W670" i="1"/>
  <c r="W671" i="1" a="1"/>
  <c r="W671" i="1" s="1"/>
  <c r="W672" i="1" a="1"/>
  <c r="W672" i="1" s="1"/>
  <c r="W673" i="1" a="1"/>
  <c r="W673" i="1" s="1"/>
  <c r="W674" i="1" a="1"/>
  <c r="W674" i="1" s="1"/>
  <c r="W675" i="1" a="1"/>
  <c r="W675" i="1" s="1"/>
  <c r="W676" i="1" a="1"/>
  <c r="W676" i="1"/>
  <c r="W677" i="1" a="1"/>
  <c r="W677" i="1"/>
  <c r="W678" i="1" a="1"/>
  <c r="W678" i="1"/>
  <c r="W679" i="1" a="1"/>
  <c r="W679" i="1" s="1"/>
  <c r="W680" i="1" a="1"/>
  <c r="W680" i="1"/>
  <c r="W681" i="1" a="1"/>
  <c r="W681" i="1" s="1"/>
  <c r="W682" i="1" a="1"/>
  <c r="W682" i="1" s="1"/>
  <c r="W683" i="1" a="1"/>
  <c r="W683" i="1" s="1"/>
  <c r="W684" i="1" a="1"/>
  <c r="W684" i="1"/>
  <c r="W685" i="1" a="1"/>
  <c r="W685" i="1"/>
  <c r="W686" i="1" a="1"/>
  <c r="W686" i="1"/>
  <c r="W687" i="1" a="1"/>
  <c r="W687" i="1" s="1"/>
  <c r="W688" i="1" a="1"/>
  <c r="W688" i="1" s="1"/>
  <c r="W689" i="1" a="1"/>
  <c r="W689" i="1"/>
  <c r="W690" i="1" a="1"/>
  <c r="W690" i="1" s="1"/>
  <c r="W691" i="1" a="1"/>
  <c r="W691" i="1" s="1"/>
  <c r="W692" i="1" a="1"/>
  <c r="W692" i="1"/>
  <c r="W693" i="1" a="1"/>
  <c r="W693" i="1"/>
  <c r="W694" i="1" a="1"/>
  <c r="W694" i="1"/>
  <c r="W695" i="1" a="1"/>
  <c r="W695" i="1" s="1"/>
  <c r="W696" i="1" a="1"/>
  <c r="W696" i="1" s="1"/>
  <c r="W697" i="1" a="1"/>
  <c r="W697" i="1" s="1"/>
  <c r="W698" i="1" a="1"/>
  <c r="W698" i="1"/>
  <c r="W699" i="1" a="1"/>
  <c r="W699" i="1" s="1"/>
  <c r="W700" i="1" a="1"/>
  <c r="W700" i="1"/>
  <c r="W701" i="1" a="1"/>
  <c r="W701" i="1"/>
  <c r="W702" i="1" a="1"/>
  <c r="W702" i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/>
  <c r="W709" i="1" a="1"/>
  <c r="W709" i="1"/>
  <c r="W710" i="1" a="1"/>
  <c r="W710" i="1"/>
  <c r="W711" i="1" a="1"/>
  <c r="W711" i="1" s="1"/>
  <c r="W712" i="1" a="1"/>
  <c r="W712" i="1"/>
  <c r="W713" i="1" a="1"/>
  <c r="W713" i="1" s="1"/>
  <c r="W714" i="1" a="1"/>
  <c r="W714" i="1" s="1"/>
  <c r="W715" i="1" a="1"/>
  <c r="W715" i="1" s="1"/>
  <c r="W716" i="1" a="1"/>
  <c r="W716" i="1"/>
  <c r="W717" i="1" a="1"/>
  <c r="W717" i="1"/>
  <c r="W718" i="1" a="1"/>
  <c r="W718" i="1"/>
  <c r="W719" i="1" a="1"/>
  <c r="W719" i="1" s="1"/>
  <c r="W720" i="1" a="1"/>
  <c r="W720" i="1" s="1"/>
  <c r="W721" i="1" a="1"/>
  <c r="W721" i="1"/>
  <c r="W722" i="1" a="1"/>
  <c r="W722" i="1" s="1"/>
  <c r="W723" i="1" a="1"/>
  <c r="W723" i="1" s="1"/>
  <c r="W724" i="1" a="1"/>
  <c r="W724" i="1"/>
  <c r="W725" i="1" a="1"/>
  <c r="W725" i="1"/>
  <c r="W726" i="1" a="1"/>
  <c r="W726" i="1"/>
  <c r="W727" i="1" a="1"/>
  <c r="W727" i="1" s="1"/>
  <c r="W728" i="1" a="1"/>
  <c r="W728" i="1" s="1"/>
  <c r="W729" i="1" a="1"/>
  <c r="W729" i="1" s="1"/>
  <c r="W730" i="1" a="1"/>
  <c r="W730" i="1"/>
  <c r="W731" i="1" a="1"/>
  <c r="W731" i="1" s="1"/>
  <c r="W732" i="1" a="1"/>
  <c r="W732" i="1"/>
  <c r="W733" i="1" a="1"/>
  <c r="W733" i="1"/>
  <c r="W734" i="1" a="1"/>
  <c r="W734" i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/>
  <c r="W741" i="1" a="1"/>
  <c r="W741" i="1"/>
  <c r="W742" i="1" a="1"/>
  <c r="W742" i="1"/>
  <c r="W743" i="1" a="1"/>
  <c r="W743" i="1" s="1"/>
  <c r="W744" i="1" a="1"/>
  <c r="W744" i="1"/>
  <c r="W745" i="1" a="1"/>
  <c r="W745" i="1" s="1"/>
  <c r="W746" i="1" a="1"/>
  <c r="W746" i="1" s="1"/>
  <c r="W747" i="1" a="1"/>
  <c r="W747" i="1" s="1"/>
  <c r="W748" i="1" a="1"/>
  <c r="W748" i="1"/>
  <c r="W749" i="1" a="1"/>
  <c r="W749" i="1"/>
  <c r="W750" i="1" a="1"/>
  <c r="W750" i="1"/>
  <c r="W751" i="1" a="1"/>
  <c r="W751" i="1" s="1"/>
  <c r="W752" i="1" a="1"/>
  <c r="W752" i="1" s="1"/>
  <c r="W753" i="1" a="1"/>
  <c r="W753" i="1"/>
  <c r="W754" i="1" a="1"/>
  <c r="W754" i="1" s="1"/>
  <c r="W755" i="1" a="1"/>
  <c r="W755" i="1" s="1"/>
  <c r="W756" i="1" a="1"/>
  <c r="W756" i="1"/>
  <c r="W757" i="1" a="1"/>
  <c r="W757" i="1"/>
  <c r="W758" i="1" a="1"/>
  <c r="W758" i="1"/>
  <c r="W759" i="1" a="1"/>
  <c r="W759" i="1" s="1"/>
  <c r="W760" i="1" a="1"/>
  <c r="W760" i="1" s="1"/>
  <c r="W761" i="1" a="1"/>
  <c r="W761" i="1" s="1"/>
  <c r="W762" i="1" a="1"/>
  <c r="W762" i="1"/>
  <c r="W763" i="1" a="1"/>
  <c r="W763" i="1" s="1"/>
  <c r="W764" i="1" a="1"/>
  <c r="W764" i="1"/>
  <c r="W765" i="1" a="1"/>
  <c r="W765" i="1"/>
  <c r="W766" i="1" a="1"/>
  <c r="W766" i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/>
  <c r="W773" i="1" a="1"/>
  <c r="W773" i="1"/>
  <c r="W774" i="1" a="1"/>
  <c r="W774" i="1"/>
  <c r="W775" i="1" a="1"/>
  <c r="W775" i="1" s="1"/>
  <c r="W776" i="1" a="1"/>
  <c r="W776" i="1"/>
  <c r="W777" i="1" a="1"/>
  <c r="W777" i="1" s="1"/>
  <c r="W778" i="1" a="1"/>
  <c r="W778" i="1" s="1"/>
  <c r="W779" i="1" a="1"/>
  <c r="W779" i="1" s="1"/>
  <c r="W780" i="1" a="1"/>
  <c r="W780" i="1"/>
  <c r="W781" i="1" a="1"/>
  <c r="W781" i="1"/>
  <c r="W782" i="1" a="1"/>
  <c r="W782" i="1"/>
  <c r="W783" i="1" a="1"/>
  <c r="W783" i="1" s="1"/>
  <c r="W784" i="1" a="1"/>
  <c r="W784" i="1" s="1"/>
  <c r="W785" i="1" a="1"/>
  <c r="W785" i="1"/>
  <c r="W786" i="1" a="1"/>
  <c r="W786" i="1" s="1"/>
  <c r="W787" i="1" a="1"/>
  <c r="W787" i="1" s="1"/>
  <c r="W788" i="1" a="1"/>
  <c r="W788" i="1"/>
  <c r="W789" i="1" a="1"/>
  <c r="W789" i="1"/>
  <c r="W790" i="1" a="1"/>
  <c r="W790" i="1"/>
  <c r="W791" i="1" a="1"/>
  <c r="W791" i="1" s="1"/>
  <c r="W792" i="1" a="1"/>
  <c r="W792" i="1" s="1"/>
  <c r="W793" i="1" a="1"/>
  <c r="W793" i="1" s="1"/>
  <c r="W794" i="1" a="1"/>
  <c r="W794" i="1"/>
  <c r="W795" i="1" a="1"/>
  <c r="W795" i="1" s="1"/>
  <c r="W796" i="1" a="1"/>
  <c r="W796" i="1"/>
  <c r="W797" i="1" a="1"/>
  <c r="W797" i="1"/>
  <c r="W798" i="1" a="1"/>
  <c r="W798" i="1"/>
  <c r="W799" i="1" a="1"/>
  <c r="W799" i="1" s="1"/>
  <c r="W800" i="1" a="1"/>
  <c r="W800" i="1" s="1"/>
  <c r="W801" i="1" a="1"/>
  <c r="W801" i="1" s="1"/>
  <c r="W802" i="1" a="1"/>
  <c r="W802" i="1"/>
  <c r="W803" i="1" a="1"/>
  <c r="W803" i="1" s="1"/>
  <c r="W804" i="1" a="1"/>
  <c r="W804" i="1"/>
  <c r="W805" i="1" a="1"/>
  <c r="W805" i="1"/>
  <c r="W806" i="1" a="1"/>
  <c r="W806" i="1"/>
  <c r="W807" i="1" a="1"/>
  <c r="W807" i="1" s="1"/>
  <c r="W808" i="1" a="1"/>
  <c r="W808" i="1"/>
  <c r="W809" i="1" a="1"/>
  <c r="W809" i="1" s="1"/>
  <c r="W810" i="1" a="1"/>
  <c r="W810" i="1" s="1"/>
  <c r="W811" i="1" a="1"/>
  <c r="W811" i="1" s="1"/>
  <c r="W812" i="1" a="1"/>
  <c r="W812" i="1"/>
  <c r="W813" i="1" a="1"/>
  <c r="W813" i="1"/>
  <c r="W814" i="1" a="1"/>
  <c r="W814" i="1"/>
  <c r="W815" i="1" a="1"/>
  <c r="W815" i="1" s="1"/>
  <c r="W816" i="1" a="1"/>
  <c r="W816" i="1"/>
  <c r="W817" i="1" a="1"/>
  <c r="W817" i="1"/>
  <c r="W818" i="1" a="1"/>
  <c r="W818" i="1" s="1"/>
  <c r="W819" i="1" a="1"/>
  <c r="W819" i="1" s="1"/>
  <c r="W820" i="1" a="1"/>
  <c r="W820" i="1"/>
  <c r="W821" i="1" a="1"/>
  <c r="W821" i="1"/>
  <c r="W822" i="1" a="1"/>
  <c r="W822" i="1"/>
  <c r="W823" i="1" a="1"/>
  <c r="W823" i="1" s="1"/>
  <c r="W824" i="1" a="1"/>
  <c r="W824" i="1" s="1"/>
  <c r="W825" i="1" a="1"/>
  <c r="W825" i="1"/>
  <c r="W826" i="1" a="1"/>
  <c r="W826" i="1"/>
  <c r="W827" i="1" a="1"/>
  <c r="W827" i="1" s="1"/>
  <c r="W828" i="1" a="1"/>
  <c r="W828" i="1"/>
  <c r="W829" i="1" a="1"/>
  <c r="W829" i="1"/>
  <c r="W830" i="1" a="1"/>
  <c r="W830" i="1"/>
  <c r="W831" i="1" a="1"/>
  <c r="W831" i="1" s="1"/>
  <c r="W832" i="1" a="1"/>
  <c r="W832" i="1" s="1"/>
  <c r="W833" i="1" a="1"/>
  <c r="W833" i="1" s="1"/>
  <c r="W834" i="1" a="1"/>
  <c r="W834" i="1"/>
  <c r="W835" i="1" a="1"/>
  <c r="W835" i="1" s="1"/>
  <c r="W836" i="1" a="1"/>
  <c r="W836" i="1"/>
  <c r="W837" i="1" a="1"/>
  <c r="W837" i="1"/>
  <c r="W838" i="1" a="1"/>
  <c r="W838" i="1"/>
  <c r="W839" i="1" a="1"/>
  <c r="W839" i="1" s="1"/>
  <c r="W840" i="1" a="1"/>
  <c r="W840" i="1"/>
  <c r="W841" i="1" a="1"/>
  <c r="W841" i="1" s="1"/>
  <c r="W842" i="1" a="1"/>
  <c r="W842" i="1" s="1"/>
  <c r="W843" i="1" a="1"/>
  <c r="W843" i="1" s="1"/>
  <c r="W844" i="1" a="1"/>
  <c r="W844" i="1"/>
  <c r="W845" i="1" a="1"/>
  <c r="W845" i="1"/>
  <c r="W846" i="1" a="1"/>
  <c r="W846" i="1"/>
  <c r="W847" i="1" a="1"/>
  <c r="W847" i="1" s="1"/>
  <c r="W848" i="1" a="1"/>
  <c r="W848" i="1"/>
  <c r="W849" i="1" a="1"/>
  <c r="W849" i="1"/>
  <c r="W850" i="1" a="1"/>
  <c r="W850" i="1" s="1"/>
  <c r="W851" i="1" a="1"/>
  <c r="W851" i="1" s="1"/>
  <c r="W852" i="1" a="1"/>
  <c r="W852" i="1"/>
  <c r="W853" i="1" a="1"/>
  <c r="W853" i="1"/>
  <c r="W854" i="1" a="1"/>
  <c r="W854" i="1"/>
  <c r="W855" i="1" a="1"/>
  <c r="W855" i="1" s="1"/>
  <c r="W856" i="1" a="1"/>
  <c r="W856" i="1" s="1"/>
  <c r="W857" i="1" a="1"/>
  <c r="W857" i="1"/>
  <c r="W858" i="1" a="1"/>
  <c r="W858" i="1"/>
  <c r="W859" i="1" a="1"/>
  <c r="W859" i="1" s="1"/>
  <c r="W860" i="1" a="1"/>
  <c r="W860" i="1"/>
  <c r="W861" i="1" a="1"/>
  <c r="W861" i="1"/>
  <c r="W862" i="1" a="1"/>
  <c r="W862" i="1"/>
  <c r="W863" i="1" a="1"/>
  <c r="W863" i="1" s="1"/>
  <c r="W864" i="1" a="1"/>
  <c r="W864" i="1" s="1"/>
  <c r="W865" i="1" a="1"/>
  <c r="W865" i="1" s="1"/>
  <c r="W866" i="1" a="1"/>
  <c r="W866" i="1"/>
  <c r="W867" i="1" a="1"/>
  <c r="W867" i="1" s="1"/>
  <c r="W868" i="1" a="1"/>
  <c r="W868" i="1"/>
  <c r="W869" i="1" a="1"/>
  <c r="W869" i="1"/>
  <c r="W870" i="1" a="1"/>
  <c r="W870" i="1"/>
  <c r="W871" i="1" a="1"/>
  <c r="W871" i="1" s="1"/>
  <c r="W872" i="1" a="1"/>
  <c r="W872" i="1"/>
  <c r="W873" i="1" a="1"/>
  <c r="W873" i="1" s="1"/>
  <c r="W874" i="1" a="1"/>
  <c r="W874" i="1" s="1"/>
  <c r="W875" i="1" a="1"/>
  <c r="W875" i="1" s="1"/>
  <c r="W876" i="1" a="1"/>
  <c r="W876" i="1"/>
  <c r="W877" i="1" a="1"/>
  <c r="W877" i="1"/>
  <c r="W878" i="1" a="1"/>
  <c r="W878" i="1"/>
  <c r="W879" i="1" a="1"/>
  <c r="W879" i="1" s="1"/>
  <c r="W880" i="1" a="1"/>
  <c r="W880" i="1"/>
  <c r="W881" i="1" a="1"/>
  <c r="W881" i="1"/>
  <c r="W882" i="1" a="1"/>
  <c r="W882" i="1" s="1"/>
  <c r="W883" i="1" a="1"/>
  <c r="W883" i="1" s="1"/>
  <c r="W884" i="1" a="1"/>
  <c r="W884" i="1"/>
  <c r="W885" i="1" a="1"/>
  <c r="W885" i="1"/>
  <c r="W886" i="1" a="1"/>
  <c r="W886" i="1"/>
  <c r="W887" i="1" a="1"/>
  <c r="W887" i="1"/>
  <c r="W888" i="1" a="1"/>
  <c r="W888" i="1"/>
  <c r="W889" i="1" a="1"/>
  <c r="W889" i="1"/>
  <c r="W890" i="1" a="1"/>
  <c r="W890" i="1"/>
  <c r="W891" i="1" a="1"/>
  <c r="W891" i="1"/>
  <c r="W892" i="1" a="1"/>
  <c r="W892" i="1"/>
  <c r="W893" i="1" a="1"/>
  <c r="W893" i="1"/>
  <c r="W894" i="1" a="1"/>
  <c r="W894" i="1"/>
  <c r="W895" i="1" a="1"/>
  <c r="W895" i="1"/>
  <c r="W896" i="1" a="1"/>
  <c r="W896" i="1"/>
  <c r="W897" i="1" a="1"/>
  <c r="W897" i="1"/>
  <c r="W898" i="1" a="1"/>
  <c r="W898" i="1"/>
  <c r="W899" i="1" a="1"/>
  <c r="W899" i="1"/>
  <c r="W900" i="1" a="1"/>
  <c r="W900" i="1"/>
  <c r="W901" i="1" a="1"/>
  <c r="W901" i="1"/>
  <c r="W902" i="1" a="1"/>
  <c r="W902" i="1"/>
  <c r="W903" i="1" a="1"/>
  <c r="W903" i="1"/>
  <c r="W904" i="1" a="1"/>
  <c r="W904" i="1"/>
  <c r="W905" i="1" a="1"/>
  <c r="W905" i="1"/>
  <c r="W906" i="1" a="1"/>
  <c r="W906" i="1"/>
  <c r="W907" i="1" a="1"/>
  <c r="W907" i="1"/>
  <c r="W908" i="1" a="1"/>
  <c r="W908" i="1"/>
  <c r="W909" i="1" a="1"/>
  <c r="W909" i="1"/>
  <c r="W910" i="1" a="1"/>
  <c r="W910" i="1"/>
  <c r="W911" i="1" a="1"/>
  <c r="W911" i="1"/>
  <c r="W912" i="1" a="1"/>
  <c r="W912" i="1"/>
  <c r="W913" i="1" a="1"/>
  <c r="W913" i="1"/>
  <c r="W914" i="1" a="1"/>
  <c r="W914" i="1"/>
  <c r="W915" i="1" a="1"/>
  <c r="W915" i="1"/>
  <c r="W916" i="1" a="1"/>
  <c r="W916" i="1"/>
  <c r="W917" i="1" a="1"/>
  <c r="W917" i="1"/>
  <c r="W918" i="1" a="1"/>
  <c r="W918" i="1"/>
  <c r="W919" i="1" a="1"/>
  <c r="W919" i="1"/>
  <c r="W920" i="1" a="1"/>
  <c r="W920" i="1"/>
  <c r="W921" i="1" a="1"/>
  <c r="W921" i="1"/>
  <c r="W922" i="1" a="1"/>
  <c r="W922" i="1"/>
  <c r="W923" i="1" a="1"/>
  <c r="W923" i="1"/>
  <c r="W924" i="1" a="1"/>
  <c r="W924" i="1"/>
  <c r="W925" i="1" a="1"/>
  <c r="W925" i="1"/>
  <c r="W926" i="1" a="1"/>
  <c r="W926" i="1"/>
  <c r="W927" i="1" a="1"/>
  <c r="W927" i="1"/>
  <c r="W928" i="1" a="1"/>
  <c r="W928" i="1" s="1"/>
  <c r="W929" i="1" a="1"/>
  <c r="W929" i="1"/>
  <c r="W930" i="1" a="1"/>
  <c r="W930" i="1"/>
  <c r="W931" i="1" a="1"/>
  <c r="W931" i="1"/>
  <c r="W932" i="1" a="1"/>
  <c r="W932" i="1" s="1"/>
  <c r="W933" i="1" a="1"/>
  <c r="W933" i="1"/>
  <c r="W934" i="1" a="1"/>
  <c r="W934" i="1"/>
  <c r="W935" i="1" a="1"/>
  <c r="W935" i="1"/>
  <c r="W936" i="1" a="1"/>
  <c r="W936" i="1" s="1"/>
  <c r="W937" i="1" a="1"/>
  <c r="W937" i="1"/>
  <c r="W938" i="1" a="1"/>
  <c r="W938" i="1"/>
  <c r="W939" i="1" a="1"/>
  <c r="W939" i="1"/>
  <c r="W940" i="1" a="1"/>
  <c r="W940" i="1" s="1"/>
  <c r="W941" i="1" a="1"/>
  <c r="W941" i="1"/>
  <c r="W942" i="1" a="1"/>
  <c r="W942" i="1"/>
  <c r="W943" i="1" a="1"/>
  <c r="W943" i="1"/>
  <c r="W944" i="1" a="1"/>
  <c r="W944" i="1" s="1"/>
  <c r="W945" i="1" a="1"/>
  <c r="W945" i="1"/>
  <c r="W946" i="1" a="1"/>
  <c r="W946" i="1"/>
  <c r="W947" i="1" a="1"/>
  <c r="W947" i="1"/>
  <c r="W948" i="1" a="1"/>
  <c r="W948" i="1" s="1"/>
  <c r="W949" i="1" a="1"/>
  <c r="W949" i="1"/>
  <c r="W950" i="1" a="1"/>
  <c r="W950" i="1"/>
  <c r="W951" i="1" a="1"/>
  <c r="W951" i="1"/>
  <c r="W952" i="1" a="1"/>
  <c r="W952" i="1" s="1"/>
  <c r="W953" i="1" a="1"/>
  <c r="W953" i="1" s="1"/>
  <c r="W954" i="1" a="1"/>
  <c r="W954" i="1"/>
  <c r="W955" i="1" a="1"/>
  <c r="W955" i="1"/>
  <c r="W956" i="1" a="1"/>
  <c r="W956" i="1" s="1"/>
  <c r="W957" i="1" a="1"/>
  <c r="W957" i="1" s="1"/>
  <c r="W958" i="1" a="1"/>
  <c r="W958" i="1"/>
  <c r="W959" i="1" a="1"/>
  <c r="W959" i="1"/>
  <c r="W960" i="1" a="1"/>
  <c r="W960" i="1" s="1"/>
  <c r="W961" i="1" a="1"/>
  <c r="W961" i="1" s="1"/>
  <c r="W962" i="1" a="1"/>
  <c r="W962" i="1"/>
  <c r="W963" i="1" a="1"/>
  <c r="W963" i="1"/>
  <c r="W964" i="1" a="1"/>
  <c r="W964" i="1" s="1"/>
  <c r="W965" i="1" a="1"/>
  <c r="W965" i="1" s="1"/>
  <c r="W966" i="1" a="1"/>
  <c r="W966" i="1"/>
  <c r="W967" i="1" a="1"/>
  <c r="W967" i="1"/>
  <c r="W968" i="1" a="1"/>
  <c r="W968" i="1" s="1"/>
  <c r="W969" i="1" a="1"/>
  <c r="W969" i="1" s="1"/>
  <c r="W970" i="1" a="1"/>
  <c r="W970" i="1"/>
  <c r="W971" i="1" a="1"/>
  <c r="W971" i="1"/>
  <c r="W972" i="1" a="1"/>
  <c r="W972" i="1" s="1"/>
  <c r="W973" i="1" a="1"/>
  <c r="W973" i="1" s="1"/>
  <c r="W974" i="1" a="1"/>
  <c r="W974" i="1"/>
  <c r="W975" i="1" a="1"/>
  <c r="W975" i="1"/>
  <c r="W976" i="1" a="1"/>
  <c r="W976" i="1" s="1"/>
  <c r="W977" i="1" a="1"/>
  <c r="W977" i="1" s="1"/>
  <c r="W978" i="1" a="1"/>
  <c r="W978" i="1"/>
  <c r="W979" i="1" a="1"/>
  <c r="W979" i="1"/>
  <c r="W980" i="1" a="1"/>
  <c r="W980" i="1" s="1"/>
  <c r="W981" i="1" a="1"/>
  <c r="W981" i="1" s="1"/>
  <c r="W982" i="1" a="1"/>
  <c r="W982" i="1"/>
  <c r="W983" i="1" a="1"/>
  <c r="W983" i="1"/>
  <c r="W984" i="1" a="1"/>
  <c r="W984" i="1" s="1"/>
  <c r="W985" i="1" a="1"/>
  <c r="W985" i="1" s="1"/>
  <c r="W986" i="1" a="1"/>
  <c r="W986" i="1"/>
  <c r="W987" i="1" a="1"/>
  <c r="W987" i="1"/>
  <c r="W988" i="1" a="1"/>
  <c r="W988" i="1" s="1"/>
  <c r="W989" i="1" a="1"/>
  <c r="W989" i="1" s="1"/>
  <c r="W990" i="1" a="1"/>
  <c r="W990" i="1"/>
  <c r="W991" i="1" a="1"/>
  <c r="W991" i="1"/>
  <c r="W992" i="1" a="1"/>
  <c r="W992" i="1" s="1"/>
  <c r="W993" i="1" a="1"/>
  <c r="W993" i="1" s="1"/>
  <c r="W994" i="1" a="1"/>
  <c r="W994" i="1"/>
  <c r="W995" i="1" a="1"/>
  <c r="W995" i="1"/>
  <c r="W996" i="1" a="1"/>
  <c r="W996" i="1" s="1"/>
  <c r="W997" i="1" a="1"/>
  <c r="W997" i="1" s="1"/>
  <c r="W998" i="1" a="1"/>
  <c r="W998" i="1"/>
  <c r="W999" i="1" a="1"/>
  <c r="W999" i="1"/>
  <c r="W1000" i="1" a="1"/>
  <c r="W1000" i="1" s="1"/>
  <c r="W1001" i="1" a="1"/>
  <c r="W1001" i="1" s="1"/>
  <c r="W1002" i="1" a="1"/>
  <c r="W1002" i="1"/>
  <c r="W1003" i="1" a="1"/>
  <c r="W1003" i="1"/>
  <c r="W1004" i="1" a="1"/>
  <c r="W1004" i="1" s="1"/>
  <c r="W1005" i="1" a="1"/>
  <c r="W1005" i="1" s="1"/>
  <c r="W1006" i="1" a="1"/>
  <c r="W1006" i="1"/>
  <c r="W1007" i="1" a="1"/>
  <c r="W1007" i="1"/>
  <c r="W1008" i="1" a="1"/>
  <c r="W1008" i="1" s="1"/>
  <c r="W1009" i="1" a="1"/>
  <c r="W1009" i="1" s="1"/>
  <c r="W1010" i="1" a="1"/>
  <c r="W1010" i="1"/>
  <c r="W1011" i="1" a="1"/>
  <c r="W1011" i="1"/>
  <c r="W1012" i="1" a="1"/>
  <c r="W1012" i="1" s="1"/>
  <c r="W1013" i="1" a="1"/>
  <c r="W1013" i="1" s="1"/>
  <c r="W1014" i="1" a="1"/>
  <c r="W1014" i="1"/>
  <c r="W1015" i="1" a="1"/>
  <c r="W1015" i="1"/>
  <c r="W1016" i="1" a="1"/>
  <c r="W1016" i="1" s="1"/>
  <c r="W1017" i="1" a="1"/>
  <c r="W1017" i="1" s="1"/>
  <c r="W1018" i="1" a="1"/>
  <c r="W1018" i="1"/>
  <c r="W1019" i="1" a="1"/>
  <c r="W1019" i="1"/>
  <c r="W1020" i="1" a="1"/>
  <c r="W1020" i="1" s="1"/>
  <c r="W1021" i="1" a="1"/>
  <c r="W1021" i="1" s="1"/>
  <c r="W1022" i="1" a="1"/>
  <c r="W1022" i="1"/>
  <c r="W1023" i="1" a="1"/>
  <c r="W1023" i="1"/>
  <c r="W1024" i="1" a="1"/>
  <c r="W1024" i="1" s="1"/>
  <c r="W1025" i="1" a="1"/>
  <c r="W1025" i="1" s="1"/>
  <c r="W1026" i="1" a="1"/>
  <c r="W1026" i="1"/>
  <c r="W1027" i="1" a="1"/>
  <c r="W1027" i="1"/>
  <c r="W1028" i="1" a="1"/>
  <c r="W1028" i="1" s="1"/>
  <c r="W1029" i="1" a="1"/>
  <c r="W1029" i="1" s="1"/>
  <c r="W1030" i="1" a="1"/>
  <c r="W1030" i="1"/>
  <c r="W1031" i="1" a="1"/>
  <c r="W1031" i="1"/>
  <c r="W1032" i="1" a="1"/>
  <c r="W1032" i="1" s="1"/>
  <c r="W1033" i="1" a="1"/>
  <c r="W1033" i="1" s="1"/>
  <c r="W1034" i="1" a="1"/>
  <c r="W1034" i="1"/>
  <c r="W1035" i="1" a="1"/>
  <c r="W1035" i="1"/>
  <c r="W1036" i="1" a="1"/>
  <c r="W1036" i="1" s="1"/>
  <c r="W1037" i="1" a="1"/>
  <c r="W1037" i="1" s="1"/>
  <c r="W1038" i="1" a="1"/>
  <c r="W1038" i="1"/>
  <c r="W1039" i="1" a="1"/>
  <c r="W1039" i="1"/>
  <c r="W1040" i="1" a="1"/>
  <c r="W1040" i="1" s="1"/>
  <c r="W1041" i="1" a="1"/>
  <c r="W1041" i="1" s="1"/>
  <c r="W1042" i="1" a="1"/>
  <c r="W1042" i="1"/>
  <c r="W1043" i="1" a="1"/>
  <c r="W1043" i="1"/>
  <c r="W1044" i="1" a="1"/>
  <c r="W1044" i="1" s="1"/>
  <c r="W1045" i="1" a="1"/>
  <c r="W1045" i="1" s="1"/>
  <c r="W1046" i="1" a="1"/>
  <c r="W1046" i="1"/>
  <c r="W1047" i="1" a="1"/>
  <c r="W1047" i="1"/>
  <c r="W1048" i="1" a="1"/>
  <c r="W1048" i="1" s="1"/>
  <c r="W1049" i="1" a="1"/>
  <c r="W1049" i="1" s="1"/>
  <c r="W1050" i="1" a="1"/>
  <c r="W1050" i="1"/>
  <c r="W1051" i="1" a="1"/>
  <c r="W1051" i="1"/>
  <c r="W1052" i="1" a="1"/>
  <c r="W1052" i="1" s="1"/>
  <c r="W1053" i="1" a="1"/>
  <c r="W1053" i="1" s="1"/>
  <c r="W1054" i="1" a="1"/>
  <c r="W1054" i="1"/>
  <c r="W1055" i="1" a="1"/>
  <c r="W1055" i="1"/>
  <c r="W1056" i="1" a="1"/>
  <c r="W1056" i="1" s="1"/>
  <c r="W1057" i="1" a="1"/>
  <c r="W1057" i="1" s="1"/>
  <c r="W1058" i="1" a="1"/>
  <c r="W1058" i="1" s="1"/>
  <c r="W1059" i="1" a="1"/>
  <c r="W1059" i="1"/>
  <c r="W1060" i="1" a="1"/>
  <c r="W1060" i="1" s="1"/>
  <c r="W1061" i="1" a="1"/>
  <c r="W1061" i="1" s="1"/>
  <c r="W1062" i="1" a="1"/>
  <c r="W1062" i="1"/>
  <c r="W1063" i="1" a="1"/>
  <c r="W1063" i="1"/>
  <c r="W1064" i="1" a="1"/>
  <c r="W1064" i="1" s="1"/>
  <c r="W1065" i="1" a="1"/>
  <c r="W1065" i="1" s="1"/>
  <c r="W1066" i="1" a="1"/>
  <c r="W1066" i="1"/>
  <c r="W1067" i="1" a="1"/>
  <c r="W1067" i="1"/>
  <c r="W1068" i="1" a="1"/>
  <c r="W1068" i="1" s="1"/>
  <c r="W1069" i="1" a="1"/>
  <c r="W1069" i="1" s="1"/>
  <c r="W1070" i="1" a="1"/>
  <c r="W1070" i="1"/>
  <c r="W1071" i="1" a="1"/>
  <c r="W1071" i="1"/>
  <c r="W1072" i="1" a="1"/>
  <c r="W1072" i="1" s="1"/>
  <c r="W1073" i="1" a="1"/>
  <c r="W1073" i="1" s="1"/>
  <c r="W1074" i="1" a="1"/>
  <c r="W1074" i="1"/>
  <c r="W1075" i="1" a="1"/>
  <c r="W1075" i="1"/>
  <c r="W1076" i="1" a="1"/>
  <c r="W1076" i="1" s="1"/>
  <c r="W1077" i="1" a="1"/>
  <c r="W1077" i="1" s="1"/>
  <c r="W1078" i="1" a="1"/>
  <c r="W1078" i="1"/>
  <c r="W1079" i="1" a="1"/>
  <c r="W1079" i="1"/>
  <c r="W1080" i="1" a="1"/>
  <c r="W1080" i="1" s="1"/>
  <c r="W1081" i="1" a="1"/>
  <c r="W1081" i="1" s="1"/>
  <c r="W1082" i="1" a="1"/>
  <c r="W1082" i="1"/>
  <c r="W1083" i="1" a="1"/>
  <c r="W1083" i="1"/>
  <c r="W1084" i="1" a="1"/>
  <c r="W1084" i="1" s="1"/>
  <c r="W1085" i="1" a="1"/>
  <c r="W1085" i="1" s="1"/>
  <c r="W1086" i="1" a="1"/>
  <c r="W1086" i="1"/>
  <c r="W1087" i="1" a="1"/>
  <c r="W1087" i="1"/>
  <c r="W1088" i="1" a="1"/>
  <c r="W1088" i="1" s="1"/>
  <c r="W1089" i="1" a="1"/>
  <c r="W1089" i="1" s="1"/>
  <c r="W1090" i="1" a="1"/>
  <c r="W1090" i="1"/>
  <c r="W1091" i="1" a="1"/>
  <c r="W1091" i="1"/>
  <c r="W1092" i="1" a="1"/>
  <c r="W1092" i="1" s="1"/>
  <c r="W1093" i="1" a="1"/>
  <c r="W1093" i="1" s="1"/>
  <c r="W1094" i="1" a="1"/>
  <c r="W1094" i="1"/>
  <c r="W1095" i="1" a="1"/>
  <c r="W1095" i="1"/>
  <c r="W1096" i="1" a="1"/>
  <c r="W1096" i="1" s="1"/>
  <c r="W1097" i="1" a="1"/>
  <c r="W1097" i="1" s="1"/>
  <c r="W1098" i="1" a="1"/>
  <c r="W1098" i="1"/>
  <c r="W1099" i="1" a="1"/>
  <c r="W1099" i="1"/>
  <c r="W1100" i="1" a="1"/>
  <c r="W1100" i="1" s="1"/>
  <c r="W1101" i="1" a="1"/>
  <c r="W1101" i="1" s="1"/>
  <c r="W1102" i="1" a="1"/>
  <c r="W1102" i="1"/>
  <c r="W1103" i="1" a="1"/>
  <c r="W1103" i="1"/>
  <c r="W1104" i="1" a="1"/>
  <c r="W1104" i="1" s="1"/>
  <c r="W1105" i="1" a="1"/>
  <c r="W1105" i="1" s="1"/>
  <c r="W1106" i="1" a="1"/>
  <c r="W1106" i="1"/>
  <c r="W1107" i="1" a="1"/>
  <c r="W1107" i="1"/>
  <c r="W1108" i="1" a="1"/>
  <c r="W1108" i="1" s="1"/>
  <c r="W1109" i="1" a="1"/>
  <c r="W1109" i="1" s="1"/>
  <c r="W1110" i="1" a="1"/>
  <c r="W1110" i="1"/>
  <c r="W1111" i="1" a="1"/>
  <c r="W1111" i="1"/>
  <c r="W1112" i="1" a="1"/>
  <c r="W1112" i="1" s="1"/>
  <c r="W1113" i="1" a="1"/>
  <c r="W1113" i="1" s="1"/>
  <c r="W1114" i="1" a="1"/>
  <c r="W1114" i="1"/>
  <c r="W1115" i="1" a="1"/>
  <c r="W1115" i="1"/>
  <c r="W1116" i="1" a="1"/>
  <c r="W1116" i="1" s="1"/>
  <c r="W1117" i="1" a="1"/>
  <c r="W1117" i="1" s="1"/>
  <c r="W1118" i="1" a="1"/>
  <c r="W1118" i="1"/>
  <c r="W1119" i="1" a="1"/>
  <c r="W1119" i="1"/>
  <c r="W1120" i="1" a="1"/>
  <c r="W1120" i="1" s="1"/>
  <c r="W1121" i="1" a="1"/>
  <c r="W1121" i="1" s="1"/>
  <c r="W1122" i="1" a="1"/>
  <c r="W1122" i="1"/>
  <c r="W1123" i="1" a="1"/>
  <c r="W1123" i="1"/>
  <c r="W1124" i="1" a="1"/>
  <c r="W1124" i="1" s="1"/>
  <c r="W1125" i="1" a="1"/>
  <c r="W1125" i="1" s="1"/>
  <c r="W1126" i="1" a="1"/>
  <c r="W1126" i="1"/>
  <c r="W1127" i="1" a="1"/>
  <c r="W1127" i="1"/>
  <c r="W1128" i="1" a="1"/>
  <c r="W1128" i="1" s="1"/>
  <c r="W1129" i="1" a="1"/>
  <c r="W1129" i="1" s="1"/>
  <c r="W1130" i="1" a="1"/>
  <c r="W1130" i="1"/>
  <c r="W1131" i="1" a="1"/>
  <c r="W1131" i="1"/>
  <c r="W1132" i="1" a="1"/>
  <c r="W1132" i="1" s="1"/>
  <c r="W1133" i="1" a="1"/>
  <c r="W1133" i="1" s="1"/>
  <c r="W1134" i="1" a="1"/>
  <c r="W1134" i="1"/>
  <c r="W1135" i="1" a="1"/>
  <c r="W1135" i="1"/>
  <c r="W1136" i="1" a="1"/>
  <c r="W1136" i="1" s="1"/>
  <c r="W1137" i="1" a="1"/>
  <c r="W1137" i="1" s="1"/>
  <c r="W1138" i="1" a="1"/>
  <c r="W1138" i="1"/>
  <c r="W1139" i="1" a="1"/>
  <c r="W1139" i="1"/>
  <c r="W1140" i="1" a="1"/>
  <c r="W1140" i="1" s="1"/>
  <c r="W1141" i="1" a="1"/>
  <c r="W1141" i="1" s="1"/>
  <c r="W1142" i="1" a="1"/>
  <c r="W1142" i="1"/>
  <c r="W1143" i="1" a="1"/>
  <c r="W1143" i="1"/>
  <c r="W1144" i="1" a="1"/>
  <c r="W1144" i="1" s="1"/>
  <c r="W1145" i="1" a="1"/>
  <c r="W1145" i="1" s="1"/>
  <c r="W1146" i="1" a="1"/>
  <c r="W1146" i="1"/>
  <c r="W1147" i="1" a="1"/>
  <c r="W1147" i="1"/>
  <c r="W1148" i="1" a="1"/>
  <c r="W1148" i="1" s="1"/>
  <c r="W1149" i="1" a="1"/>
  <c r="W1149" i="1" s="1"/>
  <c r="W1150" i="1" a="1"/>
  <c r="W1150" i="1"/>
  <c r="W1151" i="1" a="1"/>
  <c r="W1151" i="1"/>
  <c r="W1152" i="1" a="1"/>
  <c r="W1152" i="1" s="1"/>
  <c r="W1153" i="1" a="1"/>
  <c r="W1153" i="1" s="1"/>
  <c r="W1154" i="1" a="1"/>
  <c r="W1154" i="1"/>
  <c r="W1155" i="1" a="1"/>
  <c r="W1155" i="1"/>
  <c r="W1156" i="1" a="1"/>
  <c r="W1156" i="1" s="1"/>
  <c r="W1157" i="1" a="1"/>
  <c r="W1157" i="1" s="1"/>
  <c r="W1158" i="1" a="1"/>
  <c r="W1158" i="1"/>
  <c r="W1159" i="1" a="1"/>
  <c r="W1159" i="1"/>
  <c r="W1160" i="1" a="1"/>
  <c r="W1160" i="1" s="1"/>
  <c r="W1161" i="1" a="1"/>
  <c r="W1161" i="1" s="1"/>
  <c r="W1162" i="1" a="1"/>
  <c r="W1162" i="1"/>
  <c r="W1163" i="1" a="1"/>
  <c r="W1163" i="1"/>
  <c r="W1164" i="1" a="1"/>
  <c r="W1164" i="1" s="1"/>
  <c r="W1165" i="1" a="1"/>
  <c r="W1165" i="1" s="1"/>
  <c r="W1166" i="1" a="1"/>
  <c r="W1166" i="1"/>
  <c r="W1167" i="1" a="1"/>
  <c r="W1167" i="1"/>
  <c r="W1168" i="1" a="1"/>
  <c r="W1168" i="1" s="1"/>
  <c r="W1169" i="1" a="1"/>
  <c r="W1169" i="1" s="1"/>
  <c r="W1170" i="1" a="1"/>
  <c r="W1170" i="1"/>
  <c r="W1171" i="1" a="1"/>
  <c r="W1171" i="1"/>
  <c r="W1172" i="1" a="1"/>
  <c r="W1172" i="1" s="1"/>
  <c r="W1173" i="1" a="1"/>
  <c r="W1173" i="1" s="1"/>
  <c r="W1174" i="1" a="1"/>
  <c r="W1174" i="1"/>
  <c r="W1175" i="1" a="1"/>
  <c r="W1175" i="1"/>
  <c r="W1176" i="1" a="1"/>
  <c r="W1176" i="1" s="1"/>
  <c r="W1177" i="1" a="1"/>
  <c r="W1177" i="1" s="1"/>
  <c r="W1178" i="1" a="1"/>
  <c r="W1178" i="1"/>
  <c r="W1179" i="1" a="1"/>
  <c r="W1179" i="1"/>
  <c r="W1180" i="1" a="1"/>
  <c r="W1180" i="1" s="1"/>
  <c r="W1181" i="1" a="1"/>
  <c r="W1181" i="1" s="1"/>
  <c r="W1182" i="1" a="1"/>
  <c r="W1182" i="1"/>
  <c r="W1183" i="1" a="1"/>
  <c r="W1183" i="1"/>
  <c r="W1184" i="1" a="1"/>
  <c r="W1184" i="1" s="1"/>
  <c r="W1185" i="1" a="1"/>
  <c r="W1185" i="1" s="1"/>
  <c r="W1186" i="1" a="1"/>
  <c r="W1186" i="1"/>
  <c r="W1187" i="1" a="1"/>
  <c r="W1187" i="1"/>
  <c r="W1188" i="1" a="1"/>
  <c r="W1188" i="1" s="1"/>
  <c r="W1189" i="1" a="1"/>
  <c r="W1189" i="1" s="1"/>
  <c r="W1190" i="1" a="1"/>
  <c r="W1190" i="1"/>
  <c r="W1191" i="1" a="1"/>
  <c r="W1191" i="1"/>
  <c r="W1192" i="1" a="1"/>
  <c r="W1192" i="1" s="1"/>
  <c r="W1193" i="1" a="1"/>
  <c r="W1193" i="1" s="1"/>
  <c r="W1194" i="1" a="1"/>
  <c r="W1194" i="1"/>
  <c r="W1195" i="1" a="1"/>
  <c r="W1195" i="1"/>
  <c r="W1196" i="1" a="1"/>
  <c r="W1196" i="1" s="1"/>
  <c r="W1197" i="1" a="1"/>
  <c r="W1197" i="1" s="1"/>
  <c r="W1198" i="1" a="1"/>
  <c r="W1198" i="1"/>
  <c r="W1199" i="1" a="1"/>
  <c r="W1199" i="1"/>
  <c r="W1200" i="1" a="1"/>
  <c r="W1200" i="1" s="1"/>
  <c r="W1201" i="1" a="1"/>
  <c r="W1201" i="1" s="1"/>
  <c r="W1202" i="1" a="1"/>
  <c r="W1202" i="1"/>
  <c r="W1203" i="1" a="1"/>
  <c r="W1203" i="1"/>
  <c r="W1204" i="1" a="1"/>
  <c r="W1204" i="1" s="1"/>
  <c r="W1205" i="1" a="1"/>
  <c r="W1205" i="1" s="1"/>
  <c r="W1206" i="1" a="1"/>
  <c r="W1206" i="1"/>
  <c r="W1207" i="1" a="1"/>
  <c r="W1207" i="1"/>
  <c r="W1208" i="1" a="1"/>
  <c r="W1208" i="1" s="1"/>
  <c r="W1209" i="1" a="1"/>
  <c r="W1209" i="1" s="1"/>
  <c r="W1210" i="1" a="1"/>
  <c r="W1210" i="1"/>
  <c r="W1211" i="1" a="1"/>
  <c r="W1211" i="1"/>
  <c r="W1212" i="1" a="1"/>
  <c r="W1212" i="1" s="1"/>
  <c r="W1213" i="1" a="1"/>
  <c r="W1213" i="1" s="1"/>
  <c r="W1214" i="1" a="1"/>
  <c r="W1214" i="1"/>
  <c r="W1215" i="1" a="1"/>
  <c r="W1215" i="1"/>
  <c r="W1216" i="1" a="1"/>
  <c r="W1216" i="1" s="1"/>
  <c r="W1217" i="1" a="1"/>
  <c r="W1217" i="1" s="1"/>
  <c r="W1218" i="1" a="1"/>
  <c r="W121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2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2" i="1"/>
  <c r="S3" i="2"/>
  <c r="T3" i="2" s="1"/>
  <c r="S4" i="2"/>
  <c r="T4" i="2" s="1"/>
  <c r="S5" i="2"/>
  <c r="T5" i="2" s="1"/>
  <c r="S6" i="2"/>
  <c r="T6" i="2" s="1"/>
  <c r="S7" i="2"/>
  <c r="T7" i="2" s="1"/>
  <c r="S8" i="2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S18" i="2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S35" i="2"/>
  <c r="T35" i="2" s="1"/>
  <c r="S36" i="2"/>
  <c r="T36" i="2" s="1"/>
  <c r="S37" i="2"/>
  <c r="T37" i="2" s="1"/>
  <c r="S38" i="2"/>
  <c r="T38" i="2" s="1"/>
  <c r="S39" i="2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S50" i="2"/>
  <c r="T50" i="2" s="1"/>
  <c r="S51" i="2"/>
  <c r="T51" i="2" s="1"/>
  <c r="S52" i="2"/>
  <c r="T52" i="2" s="1"/>
  <c r="S53" i="2"/>
  <c r="T53" i="2" s="1"/>
  <c r="S54" i="2"/>
  <c r="T54" i="2" s="1"/>
  <c r="S55" i="2"/>
  <c r="T55" i="2" s="1"/>
  <c r="S56" i="2"/>
  <c r="S57" i="2"/>
  <c r="T57" i="2" s="1"/>
  <c r="S58" i="2"/>
  <c r="T58" i="2" s="1"/>
  <c r="S59" i="2"/>
  <c r="T59" i="2" s="1"/>
  <c r="S60" i="2"/>
  <c r="S61" i="2"/>
  <c r="T61" i="2" s="1"/>
  <c r="S62" i="2"/>
  <c r="T62" i="2" s="1"/>
  <c r="S63" i="2"/>
  <c r="T63" i="2" s="1"/>
  <c r="S64" i="2"/>
  <c r="T64" i="2" s="1"/>
  <c r="S65" i="2"/>
  <c r="T65" i="2" s="1"/>
  <c r="S66" i="2"/>
  <c r="T66" i="2" s="1"/>
  <c r="S67" i="2"/>
  <c r="S68" i="2"/>
  <c r="T68" i="2" s="1"/>
  <c r="S69" i="2"/>
  <c r="T69" i="2" s="1"/>
  <c r="S70" i="2"/>
  <c r="T70" i="2" s="1"/>
  <c r="S71" i="2"/>
  <c r="T71" i="2" s="1"/>
  <c r="S72" i="2"/>
  <c r="T72" i="2" s="1"/>
  <c r="S73" i="2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S82" i="2"/>
  <c r="T82" i="2" s="1"/>
  <c r="S83" i="2"/>
  <c r="T83" i="2" s="1"/>
  <c r="S84" i="2"/>
  <c r="T84" i="2" s="1"/>
  <c r="S85" i="2"/>
  <c r="T85" i="2" s="1"/>
  <c r="S86" i="2"/>
  <c r="T86" i="2" s="1"/>
  <c r="S87" i="2"/>
  <c r="T87" i="2" s="1"/>
  <c r="S88" i="2"/>
  <c r="T88" i="2" s="1"/>
  <c r="S89" i="2"/>
  <c r="T89" i="2" s="1"/>
  <c r="S90" i="2"/>
  <c r="T90" i="2" s="1"/>
  <c r="S91" i="2"/>
  <c r="T91" i="2" s="1"/>
  <c r="S92" i="2"/>
  <c r="T92" i="2" s="1"/>
  <c r="S93" i="2"/>
  <c r="T93" i="2" s="1"/>
  <c r="S94" i="2"/>
  <c r="T94" i="2" s="1"/>
  <c r="S95" i="2"/>
  <c r="T95" i="2" s="1"/>
  <c r="S96" i="2"/>
  <c r="T96" i="2" s="1"/>
  <c r="S97" i="2"/>
  <c r="T97" i="2" s="1"/>
  <c r="S98" i="2"/>
  <c r="T98" i="2" s="1"/>
  <c r="S99" i="2"/>
  <c r="T99" i="2" s="1"/>
  <c r="S100" i="2"/>
  <c r="T100" i="2" s="1"/>
  <c r="S101" i="2"/>
  <c r="T101" i="2" s="1"/>
  <c r="S102" i="2"/>
  <c r="T102" i="2" s="1"/>
  <c r="S103" i="2"/>
  <c r="T103" i="2" s="1"/>
  <c r="S104" i="2"/>
  <c r="T104" i="2" s="1"/>
  <c r="S105" i="2"/>
  <c r="S106" i="2"/>
  <c r="T106" i="2" s="1"/>
  <c r="S107" i="2"/>
  <c r="S108" i="2"/>
  <c r="T108" i="2" s="1"/>
  <c r="S109" i="2"/>
  <c r="T109" i="2" s="1"/>
  <c r="S110" i="2"/>
  <c r="T110" i="2" s="1"/>
  <c r="S111" i="2"/>
  <c r="T111" i="2" s="1"/>
  <c r="S112" i="2"/>
  <c r="T112" i="2" s="1"/>
  <c r="S113" i="2"/>
  <c r="T113" i="2" s="1"/>
  <c r="S114" i="2"/>
  <c r="T114" i="2" s="1"/>
  <c r="S115" i="2"/>
  <c r="T115" i="2" s="1"/>
  <c r="S116" i="2"/>
  <c r="T116" i="2" s="1"/>
  <c r="S117" i="2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S129" i="2"/>
  <c r="T129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S138" i="2"/>
  <c r="T138" i="2" s="1"/>
  <c r="S139" i="2"/>
  <c r="T139" i="2" s="1"/>
  <c r="S140" i="2"/>
  <c r="T140" i="2" s="1"/>
  <c r="S141" i="2"/>
  <c r="T141" i="2" s="1"/>
  <c r="S142" i="2"/>
  <c r="T142" i="2" s="1"/>
  <c r="S143" i="2"/>
  <c r="T143" i="2" s="1"/>
  <c r="S144" i="2"/>
  <c r="T144" i="2" s="1"/>
  <c r="S145" i="2"/>
  <c r="S146" i="2"/>
  <c r="T146" i="2" s="1"/>
  <c r="S147" i="2"/>
  <c r="T147" i="2" s="1"/>
  <c r="S148" i="2"/>
  <c r="S149" i="2"/>
  <c r="S150" i="2"/>
  <c r="T150" i="2" s="1"/>
  <c r="S151" i="2"/>
  <c r="S152" i="2"/>
  <c r="T152" i="2" s="1"/>
  <c r="S153" i="2"/>
  <c r="T153" i="2" s="1"/>
  <c r="S154" i="2"/>
  <c r="T154" i="2" s="1"/>
  <c r="S155" i="2"/>
  <c r="T155" i="2" s="1"/>
  <c r="S156" i="2"/>
  <c r="S157" i="2"/>
  <c r="T157" i="2" s="1"/>
  <c r="S158" i="2"/>
  <c r="T158" i="2" s="1"/>
  <c r="S159" i="2"/>
  <c r="T159" i="2" s="1"/>
  <c r="S160" i="2"/>
  <c r="T160" i="2" s="1"/>
  <c r="S161" i="2"/>
  <c r="T161" i="2" s="1"/>
  <c r="S162" i="2"/>
  <c r="T162" i="2" s="1"/>
  <c r="S163" i="2"/>
  <c r="T163" i="2" s="1"/>
  <c r="S164" i="2"/>
  <c r="T164" i="2" s="1"/>
  <c r="S165" i="2"/>
  <c r="T165" i="2" s="1"/>
  <c r="S166" i="2"/>
  <c r="T166" i="2" s="1"/>
  <c r="S167" i="2"/>
  <c r="T167" i="2" s="1"/>
  <c r="S168" i="2"/>
  <c r="T168" i="2" s="1"/>
  <c r="S169" i="2"/>
  <c r="T169" i="2" s="1"/>
  <c r="S170" i="2"/>
  <c r="T170" i="2" s="1"/>
  <c r="S171" i="2"/>
  <c r="T171" i="2" s="1"/>
  <c r="S172" i="2"/>
  <c r="S173" i="2"/>
  <c r="T173" i="2" s="1"/>
  <c r="S174" i="2"/>
  <c r="T174" i="2" s="1"/>
  <c r="S175" i="2"/>
  <c r="T175" i="2" s="1"/>
  <c r="S176" i="2"/>
  <c r="T176" i="2" s="1"/>
  <c r="S177" i="2"/>
  <c r="T177" i="2" s="1"/>
  <c r="S178" i="2"/>
  <c r="T178" i="2" s="1"/>
  <c r="S179" i="2"/>
  <c r="S180" i="2"/>
  <c r="T180" i="2" s="1"/>
  <c r="S181" i="2"/>
  <c r="T181" i="2" s="1"/>
  <c r="S182" i="2"/>
  <c r="S183" i="2"/>
  <c r="T183" i="2" s="1"/>
  <c r="S184" i="2"/>
  <c r="T184" i="2" s="1"/>
  <c r="S185" i="2"/>
  <c r="T185" i="2" s="1"/>
  <c r="S186" i="2"/>
  <c r="T186" i="2" s="1"/>
  <c r="S187" i="2"/>
  <c r="T187" i="2" s="1"/>
  <c r="S188" i="2"/>
  <c r="T188" i="2" s="1"/>
  <c r="S189" i="2"/>
  <c r="T189" i="2" s="1"/>
  <c r="S190" i="2"/>
  <c r="T190" i="2" s="1"/>
  <c r="S191" i="2"/>
  <c r="T191" i="2" s="1"/>
  <c r="S192" i="2"/>
  <c r="T192" i="2" s="1"/>
  <c r="S193" i="2"/>
  <c r="T193" i="2" s="1"/>
  <c r="S194" i="2"/>
  <c r="T194" i="2" s="1"/>
  <c r="S195" i="2"/>
  <c r="T195" i="2" s="1"/>
  <c r="S196" i="2"/>
  <c r="T196" i="2" s="1"/>
  <c r="S197" i="2"/>
  <c r="T197" i="2" s="1"/>
  <c r="S198" i="2"/>
  <c r="T198" i="2" s="1"/>
  <c r="S199" i="2"/>
  <c r="T199" i="2" s="1"/>
  <c r="S200" i="2"/>
  <c r="T200" i="2" s="1"/>
  <c r="S201" i="2"/>
  <c r="T201" i="2" s="1"/>
  <c r="S202" i="2"/>
  <c r="T202" i="2" s="1"/>
  <c r="S203" i="2"/>
  <c r="S204" i="2"/>
  <c r="T204" i="2" s="1"/>
  <c r="S205" i="2"/>
  <c r="T205" i="2" s="1"/>
  <c r="S206" i="2"/>
  <c r="T206" i="2" s="1"/>
  <c r="S207" i="2"/>
  <c r="T207" i="2" s="1"/>
  <c r="S208" i="2"/>
  <c r="T208" i="2" s="1"/>
  <c r="S209" i="2"/>
  <c r="T209" i="2" s="1"/>
  <c r="S210" i="2"/>
  <c r="T210" i="2" s="1"/>
  <c r="S211" i="2"/>
  <c r="T211" i="2" s="1"/>
  <c r="S212" i="2"/>
  <c r="S213" i="2"/>
  <c r="T213" i="2" s="1"/>
  <c r="S214" i="2"/>
  <c r="T214" i="2" s="1"/>
  <c r="S215" i="2"/>
  <c r="T215" i="2" s="1"/>
  <c r="S216" i="2"/>
  <c r="T216" i="2" s="1"/>
  <c r="S217" i="2"/>
  <c r="T217" i="2" s="1"/>
  <c r="S218" i="2"/>
  <c r="T218" i="2" s="1"/>
  <c r="S219" i="2"/>
  <c r="T219" i="2" s="1"/>
  <c r="S220" i="2"/>
  <c r="S221" i="2"/>
  <c r="T221" i="2" s="1"/>
  <c r="S222" i="2"/>
  <c r="T222" i="2" s="1"/>
  <c r="S223" i="2"/>
  <c r="T223" i="2" s="1"/>
  <c r="S224" i="2"/>
  <c r="T224" i="2" s="1"/>
  <c r="S225" i="2"/>
  <c r="T225" i="2" s="1"/>
  <c r="S226" i="2"/>
  <c r="T226" i="2" s="1"/>
  <c r="S227" i="2"/>
  <c r="T227" i="2" s="1"/>
  <c r="S228" i="2"/>
  <c r="T228" i="2" s="1"/>
  <c r="S229" i="2"/>
  <c r="T229" i="2" s="1"/>
  <c r="S230" i="2"/>
  <c r="T230" i="2" s="1"/>
  <c r="S231" i="2"/>
  <c r="T231" i="2" s="1"/>
  <c r="S232" i="2"/>
  <c r="T232" i="2" s="1"/>
  <c r="S233" i="2"/>
  <c r="T233" i="2" s="1"/>
  <c r="S234" i="2"/>
  <c r="T234" i="2" s="1"/>
  <c r="S235" i="2"/>
  <c r="T235" i="2" s="1"/>
  <c r="S236" i="2"/>
  <c r="T236" i="2" s="1"/>
  <c r="S237" i="2"/>
  <c r="T237" i="2" s="1"/>
  <c r="S238" i="2"/>
  <c r="T238" i="2" s="1"/>
  <c r="S239" i="2"/>
  <c r="T239" i="2" s="1"/>
  <c r="S240" i="2"/>
  <c r="T240" i="2" s="1"/>
  <c r="S241" i="2"/>
  <c r="T241" i="2" s="1"/>
  <c r="S242" i="2"/>
  <c r="T242" i="2" s="1"/>
  <c r="S243" i="2"/>
  <c r="T243" i="2" s="1"/>
  <c r="S244" i="2"/>
  <c r="T244" i="2" s="1"/>
  <c r="S245" i="2"/>
  <c r="T245" i="2" s="1"/>
  <c r="S246" i="2"/>
  <c r="T246" i="2" s="1"/>
  <c r="S247" i="2"/>
  <c r="S248" i="2"/>
  <c r="T248" i="2" s="1"/>
  <c r="S249" i="2"/>
  <c r="T249" i="2" s="1"/>
  <c r="S250" i="2"/>
  <c r="T250" i="2" s="1"/>
  <c r="S251" i="2"/>
  <c r="T251" i="2" s="1"/>
  <c r="S252" i="2"/>
  <c r="T252" i="2" s="1"/>
  <c r="S253" i="2"/>
  <c r="T253" i="2" s="1"/>
  <c r="S254" i="2"/>
  <c r="T254" i="2" s="1"/>
  <c r="S255" i="2"/>
  <c r="T255" i="2" s="1"/>
  <c r="S256" i="2"/>
  <c r="T256" i="2" s="1"/>
  <c r="S257" i="2"/>
  <c r="T257" i="2" s="1"/>
  <c r="S258" i="2"/>
  <c r="T258" i="2" s="1"/>
  <c r="S259" i="2"/>
  <c r="T259" i="2" s="1"/>
  <c r="S260" i="2"/>
  <c r="T260" i="2" s="1"/>
  <c r="S261" i="2"/>
  <c r="S262" i="2"/>
  <c r="T262" i="2" s="1"/>
  <c r="S263" i="2"/>
  <c r="T263" i="2" s="1"/>
  <c r="S264" i="2"/>
  <c r="T264" i="2" s="1"/>
  <c r="S265" i="2"/>
  <c r="T265" i="2" s="1"/>
  <c r="S266" i="2"/>
  <c r="T266" i="2" s="1"/>
  <c r="S267" i="2"/>
  <c r="T267" i="2" s="1"/>
  <c r="S268" i="2"/>
  <c r="T268" i="2" s="1"/>
  <c r="S269" i="2"/>
  <c r="T269" i="2" s="1"/>
  <c r="S270" i="2"/>
  <c r="T270" i="2" s="1"/>
  <c r="S271" i="2"/>
  <c r="T271" i="2" s="1"/>
  <c r="S272" i="2"/>
  <c r="S273" i="2"/>
  <c r="T273" i="2" s="1"/>
  <c r="S274" i="2"/>
  <c r="T274" i="2" s="1"/>
  <c r="S275" i="2"/>
  <c r="T275" i="2" s="1"/>
  <c r="S276" i="2"/>
  <c r="T276" i="2" s="1"/>
  <c r="S277" i="2"/>
  <c r="T277" i="2" s="1"/>
  <c r="S278" i="2"/>
  <c r="T278" i="2" s="1"/>
  <c r="S279" i="2"/>
  <c r="T279" i="2" s="1"/>
  <c r="S280" i="2"/>
  <c r="T280" i="2" s="1"/>
  <c r="S281" i="2"/>
  <c r="T281" i="2" s="1"/>
  <c r="S282" i="2"/>
  <c r="T282" i="2" s="1"/>
  <c r="S283" i="2"/>
  <c r="T283" i="2" s="1"/>
  <c r="S284" i="2"/>
  <c r="S285" i="2"/>
  <c r="T285" i="2" s="1"/>
  <c r="S286" i="2"/>
  <c r="T286" i="2" s="1"/>
  <c r="S287" i="2"/>
  <c r="T287" i="2" s="1"/>
  <c r="S288" i="2"/>
  <c r="S289" i="2"/>
  <c r="T289" i="2" s="1"/>
  <c r="S290" i="2"/>
  <c r="T290" i="2" s="1"/>
  <c r="S291" i="2"/>
  <c r="T291" i="2" s="1"/>
  <c r="S292" i="2"/>
  <c r="T292" i="2" s="1"/>
  <c r="S293" i="2"/>
  <c r="T293" i="2" s="1"/>
  <c r="S294" i="2"/>
  <c r="T294" i="2" s="1"/>
  <c r="S295" i="2"/>
  <c r="T295" i="2" s="1"/>
  <c r="S296" i="2"/>
  <c r="T296" i="2" s="1"/>
  <c r="S297" i="2"/>
  <c r="T297" i="2" s="1"/>
  <c r="S298" i="2"/>
  <c r="T298" i="2" s="1"/>
  <c r="S299" i="2"/>
  <c r="T299" i="2" s="1"/>
  <c r="S300" i="2"/>
  <c r="T300" i="2" s="1"/>
  <c r="S301" i="2"/>
  <c r="T301" i="2" s="1"/>
  <c r="S302" i="2"/>
  <c r="T302" i="2" s="1"/>
  <c r="S303" i="2"/>
  <c r="T303" i="2" s="1"/>
  <c r="S304" i="2"/>
  <c r="T304" i="2" s="1"/>
  <c r="S305" i="2"/>
  <c r="T305" i="2" s="1"/>
  <c r="S306" i="2"/>
  <c r="T306" i="2" s="1"/>
  <c r="S307" i="2"/>
  <c r="T307" i="2" s="1"/>
  <c r="S308" i="2"/>
  <c r="T308" i="2" s="1"/>
  <c r="S309" i="2"/>
  <c r="T309" i="2" s="1"/>
  <c r="S310" i="2"/>
  <c r="T310" i="2" s="1"/>
  <c r="S311" i="2"/>
  <c r="T311" i="2" s="1"/>
  <c r="S312" i="2"/>
  <c r="T312" i="2" s="1"/>
  <c r="S313" i="2"/>
  <c r="T313" i="2" s="1"/>
  <c r="S314" i="2"/>
  <c r="T314" i="2" s="1"/>
  <c r="S315" i="2"/>
  <c r="S316" i="2"/>
  <c r="T316" i="2" s="1"/>
  <c r="S317" i="2"/>
  <c r="T317" i="2" s="1"/>
  <c r="S318" i="2"/>
  <c r="T318" i="2" s="1"/>
  <c r="S319" i="2"/>
  <c r="S320" i="2"/>
  <c r="T320" i="2" s="1"/>
  <c r="S321" i="2"/>
  <c r="S322" i="2"/>
  <c r="T322" i="2" s="1"/>
  <c r="S323" i="2"/>
  <c r="T323" i="2" s="1"/>
  <c r="S324" i="2"/>
  <c r="T324" i="2" s="1"/>
  <c r="S325" i="2"/>
  <c r="T325" i="2" s="1"/>
  <c r="S326" i="2"/>
  <c r="T326" i="2" s="1"/>
  <c r="S327" i="2"/>
  <c r="T327" i="2" s="1"/>
  <c r="S328" i="2"/>
  <c r="T328" i="2" s="1"/>
  <c r="S329" i="2"/>
  <c r="T329" i="2" s="1"/>
  <c r="S330" i="2"/>
  <c r="S331" i="2"/>
  <c r="T331" i="2" s="1"/>
  <c r="S332" i="2"/>
  <c r="T332" i="2" s="1"/>
  <c r="S333" i="2"/>
  <c r="T333" i="2" s="1"/>
  <c r="S334" i="2"/>
  <c r="T334" i="2" s="1"/>
  <c r="S335" i="2"/>
  <c r="T335" i="2" s="1"/>
  <c r="S336" i="2"/>
  <c r="T336" i="2" s="1"/>
  <c r="S337" i="2"/>
  <c r="T337" i="2" s="1"/>
  <c r="S338" i="2"/>
  <c r="S339" i="2"/>
  <c r="T339" i="2" s="1"/>
  <c r="S340" i="2"/>
  <c r="T340" i="2" s="1"/>
  <c r="S341" i="2"/>
  <c r="T341" i="2" s="1"/>
  <c r="S342" i="2"/>
  <c r="T342" i="2" s="1"/>
  <c r="S343" i="2"/>
  <c r="T343" i="2" s="1"/>
  <c r="S344" i="2"/>
  <c r="T344" i="2" s="1"/>
  <c r="S345" i="2"/>
  <c r="S346" i="2"/>
  <c r="T346" i="2" s="1"/>
  <c r="S347" i="2"/>
  <c r="T347" i="2" s="1"/>
  <c r="S348" i="2"/>
  <c r="T348" i="2" s="1"/>
  <c r="S349" i="2"/>
  <c r="T349" i="2" s="1"/>
  <c r="S350" i="2"/>
  <c r="T350" i="2" s="1"/>
  <c r="S351" i="2"/>
  <c r="T351" i="2" s="1"/>
  <c r="S352" i="2"/>
  <c r="T352" i="2" s="1"/>
  <c r="S353" i="2"/>
  <c r="T353" i="2" s="1"/>
  <c r="S354" i="2"/>
  <c r="T354" i="2" s="1"/>
  <c r="S355" i="2"/>
  <c r="T355" i="2" s="1"/>
  <c r="S356" i="2"/>
  <c r="T356" i="2" s="1"/>
  <c r="S357" i="2"/>
  <c r="T357" i="2" s="1"/>
  <c r="S358" i="2"/>
  <c r="S359" i="2"/>
  <c r="T359" i="2" s="1"/>
  <c r="S360" i="2"/>
  <c r="T360" i="2" s="1"/>
  <c r="S361" i="2"/>
  <c r="S362" i="2"/>
  <c r="T362" i="2" s="1"/>
  <c r="S363" i="2"/>
  <c r="T363" i="2" s="1"/>
  <c r="S364" i="2"/>
  <c r="T364" i="2" s="1"/>
  <c r="S365" i="2"/>
  <c r="S366" i="2"/>
  <c r="T366" i="2" s="1"/>
  <c r="S367" i="2"/>
  <c r="T367" i="2" s="1"/>
  <c r="S368" i="2"/>
  <c r="T368" i="2" s="1"/>
  <c r="S369" i="2"/>
  <c r="T369" i="2" s="1"/>
  <c r="S370" i="2"/>
  <c r="T370" i="2" s="1"/>
  <c r="S371" i="2"/>
  <c r="T371" i="2" s="1"/>
  <c r="S372" i="2"/>
  <c r="T372" i="2" s="1"/>
  <c r="S373" i="2"/>
  <c r="T373" i="2" s="1"/>
  <c r="S374" i="2"/>
  <c r="S375" i="2"/>
  <c r="T375" i="2" s="1"/>
  <c r="S376" i="2"/>
  <c r="T376" i="2" s="1"/>
  <c r="S377" i="2"/>
  <c r="T377" i="2" s="1"/>
  <c r="S378" i="2"/>
  <c r="T378" i="2" s="1"/>
  <c r="S379" i="2"/>
  <c r="T379" i="2" s="1"/>
  <c r="S380" i="2"/>
  <c r="T380" i="2" s="1"/>
  <c r="S381" i="2"/>
  <c r="T381" i="2" s="1"/>
  <c r="S382" i="2"/>
  <c r="T382" i="2" s="1"/>
  <c r="S383" i="2"/>
  <c r="T383" i="2" s="1"/>
  <c r="S384" i="2"/>
  <c r="T384" i="2" s="1"/>
  <c r="S385" i="2"/>
  <c r="T385" i="2" s="1"/>
  <c r="S386" i="2"/>
  <c r="T386" i="2" s="1"/>
  <c r="S387" i="2"/>
  <c r="T387" i="2" s="1"/>
  <c r="S388" i="2"/>
  <c r="T388" i="2" s="1"/>
  <c r="S389" i="2"/>
  <c r="T389" i="2" s="1"/>
  <c r="S390" i="2"/>
  <c r="T390" i="2" s="1"/>
  <c r="S391" i="2"/>
  <c r="T391" i="2" s="1"/>
  <c r="S392" i="2"/>
  <c r="T392" i="2" s="1"/>
  <c r="S393" i="2"/>
  <c r="T393" i="2" s="1"/>
  <c r="S394" i="2"/>
  <c r="T394" i="2" s="1"/>
  <c r="S395" i="2"/>
  <c r="S396" i="2"/>
  <c r="T396" i="2" s="1"/>
  <c r="S397" i="2"/>
  <c r="S398" i="2"/>
  <c r="T398" i="2" s="1"/>
  <c r="S399" i="2"/>
  <c r="S400" i="2"/>
  <c r="T400" i="2" s="1"/>
  <c r="S401" i="2"/>
  <c r="S402" i="2"/>
  <c r="T402" i="2" s="1"/>
  <c r="S403" i="2"/>
  <c r="T403" i="2" s="1"/>
  <c r="S404" i="2"/>
  <c r="T404" i="2" s="1"/>
  <c r="S405" i="2"/>
  <c r="T405" i="2" s="1"/>
  <c r="S406" i="2"/>
  <c r="T406" i="2" s="1"/>
  <c r="S407" i="2"/>
  <c r="T407" i="2" s="1"/>
  <c r="S408" i="2"/>
  <c r="T408" i="2" s="1"/>
  <c r="S409" i="2"/>
  <c r="T409" i="2" s="1"/>
  <c r="S410" i="2"/>
  <c r="T410" i="2" s="1"/>
  <c r="S411" i="2"/>
  <c r="T411" i="2" s="1"/>
  <c r="S412" i="2"/>
  <c r="T412" i="2" s="1"/>
  <c r="S413" i="2"/>
  <c r="T413" i="2" s="1"/>
  <c r="S414" i="2"/>
  <c r="T414" i="2" s="1"/>
  <c r="S415" i="2"/>
  <c r="T415" i="2" s="1"/>
  <c r="S416" i="2"/>
  <c r="T416" i="2" s="1"/>
  <c r="S417" i="2"/>
  <c r="T417" i="2" s="1"/>
  <c r="S418" i="2"/>
  <c r="T418" i="2" s="1"/>
  <c r="S419" i="2"/>
  <c r="T419" i="2" s="1"/>
  <c r="S420" i="2"/>
  <c r="T420" i="2" s="1"/>
  <c r="S421" i="2"/>
  <c r="T421" i="2" s="1"/>
  <c r="S422" i="2"/>
  <c r="T422" i="2" s="1"/>
  <c r="S423" i="2"/>
  <c r="T423" i="2" s="1"/>
  <c r="S424" i="2"/>
  <c r="T424" i="2" s="1"/>
  <c r="S425" i="2"/>
  <c r="T425" i="2" s="1"/>
  <c r="S426" i="2"/>
  <c r="T426" i="2" s="1"/>
  <c r="S427" i="2"/>
  <c r="T427" i="2" s="1"/>
  <c r="S428" i="2"/>
  <c r="T428" i="2" s="1"/>
  <c r="S429" i="2"/>
  <c r="S430" i="2"/>
  <c r="T430" i="2" s="1"/>
  <c r="S431" i="2"/>
  <c r="T431" i="2" s="1"/>
  <c r="S432" i="2"/>
  <c r="T432" i="2" s="1"/>
  <c r="S433" i="2"/>
  <c r="T433" i="2" s="1"/>
  <c r="S434" i="2"/>
  <c r="S435" i="2"/>
  <c r="T435" i="2" s="1"/>
  <c r="S436" i="2"/>
  <c r="T436" i="2" s="1"/>
  <c r="S437" i="2"/>
  <c r="T437" i="2" s="1"/>
  <c r="S438" i="2"/>
  <c r="T438" i="2" s="1"/>
  <c r="S439" i="2"/>
  <c r="T439" i="2" s="1"/>
  <c r="S440" i="2"/>
  <c r="T440" i="2" s="1"/>
  <c r="S441" i="2"/>
  <c r="T441" i="2" s="1"/>
  <c r="S442" i="2"/>
  <c r="S443" i="2"/>
  <c r="T443" i="2" s="1"/>
  <c r="S444" i="2"/>
  <c r="S445" i="2"/>
  <c r="T445" i="2" s="1"/>
  <c r="S446" i="2"/>
  <c r="T446" i="2" s="1"/>
  <c r="S447" i="2"/>
  <c r="T447" i="2" s="1"/>
  <c r="S448" i="2"/>
  <c r="T448" i="2" s="1"/>
  <c r="S449" i="2"/>
  <c r="T449" i="2" s="1"/>
  <c r="S450" i="2"/>
  <c r="T450" i="2" s="1"/>
  <c r="S451" i="2"/>
  <c r="S452" i="2"/>
  <c r="T452" i="2" s="1"/>
  <c r="S453" i="2"/>
  <c r="S454" i="2"/>
  <c r="T454" i="2" s="1"/>
  <c r="S455" i="2"/>
  <c r="T455" i="2" s="1"/>
  <c r="S456" i="2"/>
  <c r="S457" i="2"/>
  <c r="T457" i="2" s="1"/>
  <c r="S458" i="2"/>
  <c r="T458" i="2" s="1"/>
  <c r="S459" i="2"/>
  <c r="T459" i="2" s="1"/>
  <c r="S460" i="2"/>
  <c r="S461" i="2"/>
  <c r="S462" i="2"/>
  <c r="S463" i="2"/>
  <c r="T463" i="2" s="1"/>
  <c r="S464" i="2"/>
  <c r="T464" i="2" s="1"/>
  <c r="S465" i="2"/>
  <c r="T465" i="2" s="1"/>
  <c r="S466" i="2"/>
  <c r="T466" i="2" s="1"/>
  <c r="S467" i="2"/>
  <c r="T467" i="2" s="1"/>
  <c r="S468" i="2"/>
  <c r="T468" i="2" s="1"/>
  <c r="S469" i="2"/>
  <c r="T469" i="2" s="1"/>
  <c r="S470" i="2"/>
  <c r="T470" i="2" s="1"/>
  <c r="S471" i="2"/>
  <c r="T471" i="2" s="1"/>
  <c r="S472" i="2"/>
  <c r="T472" i="2" s="1"/>
  <c r="S473" i="2"/>
  <c r="T473" i="2" s="1"/>
  <c r="S474" i="2"/>
  <c r="T474" i="2" s="1"/>
  <c r="S475" i="2"/>
  <c r="T475" i="2" s="1"/>
  <c r="S476" i="2"/>
  <c r="T476" i="2" s="1"/>
  <c r="S477" i="2"/>
  <c r="T477" i="2" s="1"/>
  <c r="S478" i="2"/>
  <c r="T478" i="2" s="1"/>
  <c r="S479" i="2"/>
  <c r="T479" i="2" s="1"/>
  <c r="S480" i="2"/>
  <c r="T480" i="2" s="1"/>
  <c r="S481" i="2"/>
  <c r="T481" i="2" s="1"/>
  <c r="S482" i="2"/>
  <c r="T482" i="2" s="1"/>
  <c r="S483" i="2"/>
  <c r="T483" i="2" s="1"/>
  <c r="S484" i="2"/>
  <c r="T484" i="2" s="1"/>
  <c r="S485" i="2"/>
  <c r="T485" i="2" s="1"/>
  <c r="S486" i="2"/>
  <c r="T486" i="2" s="1"/>
  <c r="S487" i="2"/>
  <c r="T487" i="2" s="1"/>
  <c r="S488" i="2"/>
  <c r="T488" i="2" s="1"/>
  <c r="S489" i="2"/>
  <c r="T489" i="2" s="1"/>
  <c r="S490" i="2"/>
  <c r="T490" i="2" s="1"/>
  <c r="S491" i="2"/>
  <c r="T491" i="2" s="1"/>
  <c r="S492" i="2"/>
  <c r="T492" i="2" s="1"/>
  <c r="S493" i="2"/>
  <c r="T493" i="2" s="1"/>
  <c r="S494" i="2"/>
  <c r="T494" i="2" s="1"/>
  <c r="S495" i="2"/>
  <c r="T495" i="2" s="1"/>
  <c r="S496" i="2"/>
  <c r="S497" i="2"/>
  <c r="T497" i="2" s="1"/>
  <c r="S498" i="2"/>
  <c r="T498" i="2" s="1"/>
  <c r="S499" i="2"/>
  <c r="T499" i="2" s="1"/>
  <c r="S500" i="2"/>
  <c r="T500" i="2" s="1"/>
  <c r="S501" i="2"/>
  <c r="T501" i="2" s="1"/>
  <c r="S502" i="2"/>
  <c r="S503" i="2"/>
  <c r="T503" i="2" s="1"/>
  <c r="S504" i="2"/>
  <c r="T504" i="2" s="1"/>
  <c r="S505" i="2"/>
  <c r="T505" i="2" s="1"/>
  <c r="S506" i="2"/>
  <c r="T506" i="2" s="1"/>
  <c r="S507" i="2"/>
  <c r="T507" i="2" s="1"/>
  <c r="S508" i="2"/>
  <c r="S509" i="2"/>
  <c r="S510" i="2"/>
  <c r="T510" i="2" s="1"/>
  <c r="S511" i="2"/>
  <c r="T511" i="2" s="1"/>
  <c r="S512" i="2"/>
  <c r="S513" i="2"/>
  <c r="T513" i="2" s="1"/>
  <c r="S514" i="2"/>
  <c r="T514" i="2" s="1"/>
  <c r="S515" i="2"/>
  <c r="T515" i="2" s="1"/>
  <c r="S516" i="2"/>
  <c r="T516" i="2" s="1"/>
  <c r="S517" i="2"/>
  <c r="T517" i="2" s="1"/>
  <c r="S518" i="2"/>
  <c r="S519" i="2"/>
  <c r="T519" i="2" s="1"/>
  <c r="S520" i="2"/>
  <c r="T520" i="2" s="1"/>
  <c r="S521" i="2"/>
  <c r="T521" i="2" s="1"/>
  <c r="S522" i="2"/>
  <c r="T522" i="2" s="1"/>
  <c r="S523" i="2"/>
  <c r="T523" i="2" s="1"/>
  <c r="S524" i="2"/>
  <c r="T524" i="2" s="1"/>
  <c r="S525" i="2"/>
  <c r="T525" i="2" s="1"/>
  <c r="S526" i="2"/>
  <c r="T526" i="2" s="1"/>
  <c r="S527" i="2"/>
  <c r="T527" i="2" s="1"/>
  <c r="S528" i="2"/>
  <c r="T528" i="2" s="1"/>
  <c r="S529" i="2"/>
  <c r="T529" i="2" s="1"/>
  <c r="S530" i="2"/>
  <c r="T530" i="2" s="1"/>
  <c r="S531" i="2"/>
  <c r="T531" i="2" s="1"/>
  <c r="S532" i="2"/>
  <c r="S533" i="2"/>
  <c r="T533" i="2" s="1"/>
  <c r="S534" i="2"/>
  <c r="T534" i="2" s="1"/>
  <c r="S535" i="2"/>
  <c r="T535" i="2" s="1"/>
  <c r="S536" i="2"/>
  <c r="T536" i="2" s="1"/>
  <c r="S537" i="2"/>
  <c r="T537" i="2" s="1"/>
  <c r="S538" i="2"/>
  <c r="T538" i="2" s="1"/>
  <c r="S539" i="2"/>
  <c r="T539" i="2" s="1"/>
  <c r="S540" i="2"/>
  <c r="T540" i="2" s="1"/>
  <c r="S541" i="2"/>
  <c r="T541" i="2" s="1"/>
  <c r="S542" i="2"/>
  <c r="T542" i="2" s="1"/>
  <c r="S543" i="2"/>
  <c r="T543" i="2" s="1"/>
  <c r="S544" i="2"/>
  <c r="T544" i="2" s="1"/>
  <c r="S545" i="2"/>
  <c r="T545" i="2" s="1"/>
  <c r="S546" i="2"/>
  <c r="T546" i="2" s="1"/>
  <c r="S547" i="2"/>
  <c r="T547" i="2" s="1"/>
  <c r="S548" i="2"/>
  <c r="T548" i="2" s="1"/>
  <c r="S549" i="2"/>
  <c r="T549" i="2" s="1"/>
  <c r="S550" i="2"/>
  <c r="T550" i="2" s="1"/>
  <c r="S551" i="2"/>
  <c r="T551" i="2" s="1"/>
  <c r="S552" i="2"/>
  <c r="T552" i="2" s="1"/>
  <c r="S553" i="2"/>
  <c r="T553" i="2" s="1"/>
  <c r="S554" i="2"/>
  <c r="T554" i="2" s="1"/>
  <c r="S555" i="2"/>
  <c r="T555" i="2" s="1"/>
  <c r="S556" i="2"/>
  <c r="T556" i="2" s="1"/>
  <c r="S557" i="2"/>
  <c r="T557" i="2" s="1"/>
  <c r="S558" i="2"/>
  <c r="S559" i="2"/>
  <c r="T559" i="2" s="1"/>
  <c r="S560" i="2"/>
  <c r="T560" i="2" s="1"/>
  <c r="S561" i="2"/>
  <c r="T561" i="2" s="1"/>
  <c r="S562" i="2"/>
  <c r="T562" i="2" s="1"/>
  <c r="S563" i="2"/>
  <c r="T563" i="2" s="1"/>
  <c r="S564" i="2"/>
  <c r="T564" i="2" s="1"/>
  <c r="S565" i="2"/>
  <c r="T565" i="2" s="1"/>
  <c r="S566" i="2"/>
  <c r="T566" i="2" s="1"/>
  <c r="S567" i="2"/>
  <c r="T567" i="2" s="1"/>
  <c r="S568" i="2"/>
  <c r="T568" i="2" s="1"/>
  <c r="S569" i="2"/>
  <c r="T569" i="2" s="1"/>
  <c r="S570" i="2"/>
  <c r="T570" i="2" s="1"/>
  <c r="S571" i="2"/>
  <c r="T571" i="2" s="1"/>
  <c r="S572" i="2"/>
  <c r="T572" i="2" s="1"/>
  <c r="S573" i="2"/>
  <c r="S574" i="2"/>
  <c r="T574" i="2" s="1"/>
  <c r="S575" i="2"/>
  <c r="T575" i="2" s="1"/>
  <c r="S576" i="2"/>
  <c r="T576" i="2" s="1"/>
  <c r="S577" i="2"/>
  <c r="T577" i="2" s="1"/>
  <c r="S578" i="2"/>
  <c r="T578" i="2" s="1"/>
  <c r="S579" i="2"/>
  <c r="T579" i="2" s="1"/>
  <c r="S580" i="2"/>
  <c r="T580" i="2" s="1"/>
  <c r="S581" i="2"/>
  <c r="T581" i="2" s="1"/>
  <c r="S582" i="2"/>
  <c r="T582" i="2" s="1"/>
  <c r="S583" i="2"/>
  <c r="T583" i="2" s="1"/>
  <c r="S584" i="2"/>
  <c r="T584" i="2" s="1"/>
  <c r="S585" i="2"/>
  <c r="T585" i="2" s="1"/>
  <c r="S586" i="2"/>
  <c r="T586" i="2" s="1"/>
  <c r="S587" i="2"/>
  <c r="T587" i="2" s="1"/>
  <c r="S588" i="2"/>
  <c r="T588" i="2" s="1"/>
  <c r="S589" i="2"/>
  <c r="T589" i="2" s="1"/>
  <c r="S590" i="2"/>
  <c r="T590" i="2" s="1"/>
  <c r="S591" i="2"/>
  <c r="T591" i="2" s="1"/>
  <c r="S592" i="2"/>
  <c r="T592" i="2" s="1"/>
  <c r="S593" i="2"/>
  <c r="T593" i="2" s="1"/>
  <c r="S594" i="2"/>
  <c r="T594" i="2" s="1"/>
  <c r="S595" i="2"/>
  <c r="T595" i="2" s="1"/>
  <c r="S596" i="2"/>
  <c r="T596" i="2" s="1"/>
  <c r="S597" i="2"/>
  <c r="T597" i="2" s="1"/>
  <c r="S598" i="2"/>
  <c r="T598" i="2" s="1"/>
  <c r="S599" i="2"/>
  <c r="T599" i="2" s="1"/>
  <c r="S600" i="2"/>
  <c r="T600" i="2" s="1"/>
  <c r="S601" i="2"/>
  <c r="T601" i="2" s="1"/>
  <c r="S602" i="2"/>
  <c r="T602" i="2" s="1"/>
  <c r="S603" i="2"/>
  <c r="T603" i="2" s="1"/>
  <c r="S604" i="2"/>
  <c r="T604" i="2" s="1"/>
  <c r="S605" i="2"/>
  <c r="T605" i="2" s="1"/>
  <c r="S606" i="2"/>
  <c r="T606" i="2" s="1"/>
  <c r="S607" i="2"/>
  <c r="T607" i="2" s="1"/>
  <c r="S608" i="2"/>
  <c r="T608" i="2" s="1"/>
  <c r="S609" i="2"/>
  <c r="T609" i="2" s="1"/>
  <c r="S610" i="2"/>
  <c r="T610" i="2" s="1"/>
  <c r="S611" i="2"/>
  <c r="T611" i="2" s="1"/>
  <c r="S612" i="2"/>
  <c r="T612" i="2" s="1"/>
  <c r="S613" i="2"/>
  <c r="T613" i="2" s="1"/>
  <c r="S614" i="2"/>
  <c r="T614" i="2" s="1"/>
  <c r="S615" i="2"/>
  <c r="T615" i="2" s="1"/>
  <c r="S616" i="2"/>
  <c r="T616" i="2" s="1"/>
  <c r="S617" i="2"/>
  <c r="T617" i="2" s="1"/>
  <c r="S618" i="2"/>
  <c r="S619" i="2"/>
  <c r="T619" i="2" s="1"/>
  <c r="S620" i="2"/>
  <c r="S621" i="2"/>
  <c r="T621" i="2" s="1"/>
  <c r="S622" i="2"/>
  <c r="T622" i="2" s="1"/>
  <c r="S623" i="2"/>
  <c r="T623" i="2" s="1"/>
  <c r="S624" i="2"/>
  <c r="T624" i="2" s="1"/>
  <c r="S625" i="2"/>
  <c r="T625" i="2" s="1"/>
  <c r="S626" i="2"/>
  <c r="T626" i="2" s="1"/>
  <c r="S627" i="2"/>
  <c r="T627" i="2" s="1"/>
  <c r="S628" i="2"/>
  <c r="T628" i="2" s="1"/>
  <c r="S629" i="2"/>
  <c r="T629" i="2" s="1"/>
  <c r="S630" i="2"/>
  <c r="T630" i="2" s="1"/>
  <c r="S631" i="2"/>
  <c r="T631" i="2" s="1"/>
  <c r="S632" i="2"/>
  <c r="T632" i="2" s="1"/>
  <c r="S633" i="2"/>
  <c r="T633" i="2" s="1"/>
  <c r="S634" i="2"/>
  <c r="S635" i="2"/>
  <c r="T635" i="2" s="1"/>
  <c r="S636" i="2"/>
  <c r="S637" i="2"/>
  <c r="T637" i="2" s="1"/>
  <c r="S638" i="2"/>
  <c r="T638" i="2" s="1"/>
  <c r="S639" i="2"/>
  <c r="T639" i="2" s="1"/>
  <c r="S640" i="2"/>
  <c r="T640" i="2" s="1"/>
  <c r="S641" i="2"/>
  <c r="T641" i="2" s="1"/>
  <c r="S642" i="2"/>
  <c r="T642" i="2" s="1"/>
  <c r="S643" i="2"/>
  <c r="T643" i="2" s="1"/>
  <c r="S644" i="2"/>
  <c r="T644" i="2" s="1"/>
  <c r="S645" i="2"/>
  <c r="T645" i="2" s="1"/>
  <c r="S646" i="2"/>
  <c r="T646" i="2" s="1"/>
  <c r="S647" i="2"/>
  <c r="S648" i="2"/>
  <c r="T648" i="2" s="1"/>
  <c r="S649" i="2"/>
  <c r="T649" i="2" s="1"/>
  <c r="S650" i="2"/>
  <c r="T650" i="2" s="1"/>
  <c r="S651" i="2"/>
  <c r="T651" i="2" s="1"/>
  <c r="S652" i="2"/>
  <c r="T652" i="2" s="1"/>
  <c r="S653" i="2"/>
  <c r="T653" i="2" s="1"/>
  <c r="S654" i="2"/>
  <c r="T654" i="2" s="1"/>
  <c r="S655" i="2"/>
  <c r="T655" i="2" s="1"/>
  <c r="S656" i="2"/>
  <c r="T656" i="2" s="1"/>
  <c r="S657" i="2"/>
  <c r="T657" i="2" s="1"/>
  <c r="S658" i="2"/>
  <c r="T658" i="2" s="1"/>
  <c r="S659" i="2"/>
  <c r="T659" i="2" s="1"/>
  <c r="S660" i="2"/>
  <c r="T660" i="2" s="1"/>
  <c r="S661" i="2"/>
  <c r="T661" i="2" s="1"/>
  <c r="S662" i="2"/>
  <c r="T662" i="2" s="1"/>
  <c r="S663" i="2"/>
  <c r="T663" i="2" s="1"/>
  <c r="S664" i="2"/>
  <c r="T664" i="2" s="1"/>
  <c r="S665" i="2"/>
  <c r="T665" i="2" s="1"/>
  <c r="S666" i="2"/>
  <c r="T666" i="2" s="1"/>
  <c r="S667" i="2"/>
  <c r="T667" i="2" s="1"/>
  <c r="S668" i="2"/>
  <c r="T668" i="2" s="1"/>
  <c r="S669" i="2"/>
  <c r="T669" i="2" s="1"/>
  <c r="S670" i="2"/>
  <c r="S671" i="2"/>
  <c r="S672" i="2"/>
  <c r="T672" i="2" s="1"/>
  <c r="S673" i="2"/>
  <c r="T673" i="2" s="1"/>
  <c r="S674" i="2"/>
  <c r="T674" i="2" s="1"/>
  <c r="S675" i="2"/>
  <c r="T675" i="2" s="1"/>
  <c r="S676" i="2"/>
  <c r="T676" i="2" s="1"/>
  <c r="S677" i="2"/>
  <c r="T677" i="2" s="1"/>
  <c r="S678" i="2"/>
  <c r="T678" i="2" s="1"/>
  <c r="S679" i="2"/>
  <c r="T679" i="2" s="1"/>
  <c r="S680" i="2"/>
  <c r="T680" i="2" s="1"/>
  <c r="S681" i="2"/>
  <c r="T681" i="2" s="1"/>
  <c r="S682" i="2"/>
  <c r="T682" i="2" s="1"/>
  <c r="S683" i="2"/>
  <c r="T683" i="2" s="1"/>
  <c r="S684" i="2"/>
  <c r="T684" i="2" s="1"/>
  <c r="S685" i="2"/>
  <c r="T685" i="2" s="1"/>
  <c r="S686" i="2"/>
  <c r="T686" i="2" s="1"/>
  <c r="S687" i="2"/>
  <c r="T687" i="2" s="1"/>
  <c r="S688" i="2"/>
  <c r="T688" i="2" s="1"/>
  <c r="S689" i="2"/>
  <c r="T689" i="2" s="1"/>
  <c r="S690" i="2"/>
  <c r="T690" i="2" s="1"/>
  <c r="S691" i="2"/>
  <c r="T691" i="2" s="1"/>
  <c r="S692" i="2"/>
  <c r="S693" i="2"/>
  <c r="T693" i="2" s="1"/>
  <c r="S694" i="2"/>
  <c r="T694" i="2" s="1"/>
  <c r="S695" i="2"/>
  <c r="T695" i="2" s="1"/>
  <c r="S696" i="2"/>
  <c r="T696" i="2" s="1"/>
  <c r="S697" i="2"/>
  <c r="T697" i="2" s="1"/>
  <c r="S698" i="2"/>
  <c r="T698" i="2" s="1"/>
  <c r="S699" i="2"/>
  <c r="T699" i="2" s="1"/>
  <c r="S700" i="2"/>
  <c r="T700" i="2" s="1"/>
  <c r="S701" i="2"/>
  <c r="T701" i="2" s="1"/>
  <c r="S702" i="2"/>
  <c r="T702" i="2" s="1"/>
  <c r="S703" i="2"/>
  <c r="T703" i="2" s="1"/>
  <c r="S704" i="2"/>
  <c r="T704" i="2" s="1"/>
  <c r="S705" i="2"/>
  <c r="T705" i="2" s="1"/>
  <c r="S706" i="2"/>
  <c r="T706" i="2" s="1"/>
  <c r="S707" i="2"/>
  <c r="T707" i="2" s="1"/>
  <c r="S708" i="2"/>
  <c r="T708" i="2" s="1"/>
  <c r="S709" i="2"/>
  <c r="T709" i="2" s="1"/>
  <c r="S710" i="2"/>
  <c r="T710" i="2" s="1"/>
  <c r="S711" i="2"/>
  <c r="T711" i="2" s="1"/>
  <c r="S712" i="2"/>
  <c r="T712" i="2" s="1"/>
  <c r="S713" i="2"/>
  <c r="T713" i="2" s="1"/>
  <c r="S714" i="2"/>
  <c r="T714" i="2" s="1"/>
  <c r="S715" i="2"/>
  <c r="T715" i="2" s="1"/>
  <c r="S716" i="2"/>
  <c r="T716" i="2" s="1"/>
  <c r="S717" i="2"/>
  <c r="T717" i="2" s="1"/>
  <c r="S718" i="2"/>
  <c r="T718" i="2" s="1"/>
  <c r="S719" i="2"/>
  <c r="T719" i="2" s="1"/>
  <c r="S720" i="2"/>
  <c r="T720" i="2" s="1"/>
  <c r="S721" i="2"/>
  <c r="T721" i="2" s="1"/>
  <c r="S722" i="2"/>
  <c r="T722" i="2" s="1"/>
  <c r="S723" i="2"/>
  <c r="S724" i="2"/>
  <c r="T724" i="2" s="1"/>
  <c r="S725" i="2"/>
  <c r="T725" i="2" s="1"/>
  <c r="S726" i="2"/>
  <c r="S727" i="2"/>
  <c r="T727" i="2" s="1"/>
  <c r="S728" i="2"/>
  <c r="T728" i="2" s="1"/>
  <c r="S729" i="2"/>
  <c r="T729" i="2" s="1"/>
  <c r="S730" i="2"/>
  <c r="T730" i="2" s="1"/>
  <c r="S731" i="2"/>
  <c r="T731" i="2" s="1"/>
  <c r="S732" i="2"/>
  <c r="T732" i="2" s="1"/>
  <c r="S733" i="2"/>
  <c r="T733" i="2" s="1"/>
  <c r="S734" i="2"/>
  <c r="T734" i="2" s="1"/>
  <c r="S735" i="2"/>
  <c r="T735" i="2" s="1"/>
  <c r="S736" i="2"/>
  <c r="T736" i="2" s="1"/>
  <c r="S737" i="2"/>
  <c r="S738" i="2"/>
  <c r="T738" i="2" s="1"/>
  <c r="S739" i="2"/>
  <c r="T739" i="2" s="1"/>
  <c r="S740" i="2"/>
  <c r="T740" i="2" s="1"/>
  <c r="S741" i="2"/>
  <c r="T741" i="2" s="1"/>
  <c r="S742" i="2"/>
  <c r="T742" i="2" s="1"/>
  <c r="S743" i="2"/>
  <c r="T743" i="2" s="1"/>
  <c r="S744" i="2"/>
  <c r="T744" i="2" s="1"/>
  <c r="S745" i="2"/>
  <c r="S746" i="2"/>
  <c r="T746" i="2" s="1"/>
  <c r="S747" i="2"/>
  <c r="T747" i="2" s="1"/>
  <c r="S748" i="2"/>
  <c r="T748" i="2" s="1"/>
  <c r="S749" i="2"/>
  <c r="T749" i="2" s="1"/>
  <c r="S750" i="2"/>
  <c r="T750" i="2" s="1"/>
  <c r="S751" i="2"/>
  <c r="T751" i="2" s="1"/>
  <c r="S752" i="2"/>
  <c r="T752" i="2" s="1"/>
  <c r="S753" i="2"/>
  <c r="T753" i="2" s="1"/>
  <c r="S754" i="2"/>
  <c r="T754" i="2" s="1"/>
  <c r="S755" i="2"/>
  <c r="T755" i="2" s="1"/>
  <c r="S756" i="2"/>
  <c r="T756" i="2" s="1"/>
  <c r="S757" i="2"/>
  <c r="T757" i="2" s="1"/>
  <c r="S758" i="2"/>
  <c r="T758" i="2" s="1"/>
  <c r="S759" i="2"/>
  <c r="T759" i="2" s="1"/>
  <c r="S760" i="2"/>
  <c r="T760" i="2" s="1"/>
  <c r="S761" i="2"/>
  <c r="T761" i="2" s="1"/>
  <c r="S762" i="2"/>
  <c r="T762" i="2" s="1"/>
  <c r="S763" i="2"/>
  <c r="S764" i="2"/>
  <c r="T764" i="2" s="1"/>
  <c r="S765" i="2"/>
  <c r="T765" i="2" s="1"/>
  <c r="S766" i="2"/>
  <c r="T766" i="2" s="1"/>
  <c r="S767" i="2"/>
  <c r="T767" i="2" s="1"/>
  <c r="S768" i="2"/>
  <c r="T768" i="2" s="1"/>
  <c r="S769" i="2"/>
  <c r="T769" i="2" s="1"/>
  <c r="S770" i="2"/>
  <c r="T770" i="2" s="1"/>
  <c r="S771" i="2"/>
  <c r="T771" i="2" s="1"/>
  <c r="S772" i="2"/>
  <c r="T772" i="2" s="1"/>
  <c r="S773" i="2"/>
  <c r="T773" i="2" s="1"/>
  <c r="S774" i="2"/>
  <c r="S775" i="2"/>
  <c r="T775" i="2" s="1"/>
  <c r="S776" i="2"/>
  <c r="T776" i="2" s="1"/>
  <c r="S777" i="2"/>
  <c r="T777" i="2" s="1"/>
  <c r="S778" i="2"/>
  <c r="T778" i="2" s="1"/>
  <c r="S779" i="2"/>
  <c r="T779" i="2" s="1"/>
  <c r="S780" i="2"/>
  <c r="T780" i="2" s="1"/>
  <c r="S781" i="2"/>
  <c r="T781" i="2" s="1"/>
  <c r="S782" i="2"/>
  <c r="T782" i="2" s="1"/>
  <c r="S783" i="2"/>
  <c r="T783" i="2" s="1"/>
  <c r="S784" i="2"/>
  <c r="T784" i="2" s="1"/>
  <c r="S785" i="2"/>
  <c r="T785" i="2" s="1"/>
  <c r="S786" i="2"/>
  <c r="T786" i="2" s="1"/>
  <c r="S787" i="2"/>
  <c r="T787" i="2" s="1"/>
  <c r="S788" i="2"/>
  <c r="T788" i="2" s="1"/>
  <c r="S789" i="2"/>
  <c r="T789" i="2" s="1"/>
  <c r="S790" i="2"/>
  <c r="T790" i="2" s="1"/>
  <c r="S791" i="2"/>
  <c r="T791" i="2" s="1"/>
  <c r="S792" i="2"/>
  <c r="T792" i="2" s="1"/>
  <c r="S793" i="2"/>
  <c r="T793" i="2" s="1"/>
  <c r="S794" i="2"/>
  <c r="T794" i="2" s="1"/>
  <c r="S795" i="2"/>
  <c r="T795" i="2" s="1"/>
  <c r="S796" i="2"/>
  <c r="T796" i="2" s="1"/>
  <c r="S797" i="2"/>
  <c r="T797" i="2" s="1"/>
  <c r="S798" i="2"/>
  <c r="T798" i="2" s="1"/>
  <c r="S799" i="2"/>
  <c r="T799" i="2" s="1"/>
  <c r="S800" i="2"/>
  <c r="T800" i="2" s="1"/>
  <c r="S801" i="2"/>
  <c r="T801" i="2" s="1"/>
  <c r="S802" i="2"/>
  <c r="T802" i="2" s="1"/>
  <c r="S803" i="2"/>
  <c r="T803" i="2" s="1"/>
  <c r="S804" i="2"/>
  <c r="T804" i="2" s="1"/>
  <c r="S805" i="2"/>
  <c r="T805" i="2" s="1"/>
  <c r="S806" i="2"/>
  <c r="T806" i="2" s="1"/>
  <c r="S807" i="2"/>
  <c r="T807" i="2" s="1"/>
  <c r="S808" i="2"/>
  <c r="T808" i="2" s="1"/>
  <c r="S809" i="2"/>
  <c r="S810" i="2"/>
  <c r="T810" i="2" s="1"/>
  <c r="S811" i="2"/>
  <c r="T811" i="2" s="1"/>
  <c r="S812" i="2"/>
  <c r="T812" i="2" s="1"/>
  <c r="S813" i="2"/>
  <c r="T813" i="2" s="1"/>
  <c r="S814" i="2"/>
  <c r="T814" i="2" s="1"/>
  <c r="S815" i="2"/>
  <c r="S816" i="2"/>
  <c r="T816" i="2" s="1"/>
  <c r="S817" i="2"/>
  <c r="T817" i="2" s="1"/>
  <c r="S818" i="2"/>
  <c r="S819" i="2"/>
  <c r="T819" i="2" s="1"/>
  <c r="S820" i="2"/>
  <c r="T820" i="2" s="1"/>
  <c r="S821" i="2"/>
  <c r="T821" i="2" s="1"/>
  <c r="S822" i="2"/>
  <c r="S823" i="2"/>
  <c r="T823" i="2" s="1"/>
  <c r="S824" i="2"/>
  <c r="T824" i="2" s="1"/>
  <c r="S825" i="2"/>
  <c r="T825" i="2" s="1"/>
  <c r="S826" i="2"/>
  <c r="T826" i="2" s="1"/>
  <c r="S827" i="2"/>
  <c r="T827" i="2" s="1"/>
  <c r="S828" i="2"/>
  <c r="T828" i="2" s="1"/>
  <c r="S829" i="2"/>
  <c r="T829" i="2" s="1"/>
  <c r="S830" i="2"/>
  <c r="T830" i="2" s="1"/>
  <c r="S831" i="2"/>
  <c r="T831" i="2" s="1"/>
  <c r="S832" i="2"/>
  <c r="T832" i="2" s="1"/>
  <c r="S833" i="2"/>
  <c r="T833" i="2" s="1"/>
  <c r="S834" i="2"/>
  <c r="T834" i="2" s="1"/>
  <c r="S835" i="2"/>
  <c r="T835" i="2" s="1"/>
  <c r="S836" i="2"/>
  <c r="T836" i="2" s="1"/>
  <c r="S837" i="2"/>
  <c r="T837" i="2" s="1"/>
  <c r="S838" i="2"/>
  <c r="T838" i="2" s="1"/>
  <c r="S839" i="2"/>
  <c r="T839" i="2" s="1"/>
  <c r="S840" i="2"/>
  <c r="T840" i="2" s="1"/>
  <c r="S841" i="2"/>
  <c r="T841" i="2" s="1"/>
  <c r="S842" i="2"/>
  <c r="T842" i="2" s="1"/>
  <c r="S843" i="2"/>
  <c r="T843" i="2" s="1"/>
  <c r="S844" i="2"/>
  <c r="T844" i="2" s="1"/>
  <c r="S845" i="2"/>
  <c r="S846" i="2"/>
  <c r="T846" i="2" s="1"/>
  <c r="S847" i="2"/>
  <c r="T847" i="2" s="1"/>
  <c r="S848" i="2"/>
  <c r="T848" i="2" s="1"/>
  <c r="S849" i="2"/>
  <c r="T849" i="2" s="1"/>
  <c r="S850" i="2"/>
  <c r="S851" i="2"/>
  <c r="T851" i="2" s="1"/>
  <c r="S852" i="2"/>
  <c r="T852" i="2" s="1"/>
  <c r="S853" i="2"/>
  <c r="T853" i="2" s="1"/>
  <c r="S854" i="2"/>
  <c r="T854" i="2" s="1"/>
  <c r="S855" i="2"/>
  <c r="T855" i="2" s="1"/>
  <c r="S856" i="2"/>
  <c r="T856" i="2" s="1"/>
  <c r="S857" i="2"/>
  <c r="S858" i="2"/>
  <c r="S859" i="2"/>
  <c r="T859" i="2" s="1"/>
  <c r="S860" i="2"/>
  <c r="T860" i="2" s="1"/>
  <c r="S861" i="2"/>
  <c r="T861" i="2" s="1"/>
  <c r="S862" i="2"/>
  <c r="S863" i="2"/>
  <c r="T863" i="2" s="1"/>
  <c r="S864" i="2"/>
  <c r="T864" i="2" s="1"/>
  <c r="S865" i="2"/>
  <c r="T865" i="2" s="1"/>
  <c r="S866" i="2"/>
  <c r="T866" i="2" s="1"/>
  <c r="S867" i="2"/>
  <c r="T867" i="2" s="1"/>
  <c r="S868" i="2"/>
  <c r="T868" i="2" s="1"/>
  <c r="S869" i="2"/>
  <c r="T869" i="2" s="1"/>
  <c r="S870" i="2"/>
  <c r="T870" i="2" s="1"/>
  <c r="S871" i="2"/>
  <c r="T871" i="2" s="1"/>
  <c r="S872" i="2"/>
  <c r="T872" i="2" s="1"/>
  <c r="S873" i="2"/>
  <c r="S874" i="2"/>
  <c r="S875" i="2"/>
  <c r="T875" i="2" s="1"/>
  <c r="S876" i="2"/>
  <c r="S877" i="2"/>
  <c r="S878" i="2"/>
  <c r="T878" i="2" s="1"/>
  <c r="S879" i="2"/>
  <c r="T879" i="2" s="1"/>
  <c r="S880" i="2"/>
  <c r="T880" i="2" s="1"/>
  <c r="S881" i="2"/>
  <c r="T881" i="2" s="1"/>
  <c r="S882" i="2"/>
  <c r="T882" i="2" s="1"/>
  <c r="S883" i="2"/>
  <c r="T883" i="2" s="1"/>
  <c r="S884" i="2"/>
  <c r="T884" i="2" s="1"/>
  <c r="S885" i="2"/>
  <c r="T885" i="2" s="1"/>
  <c r="S886" i="2"/>
  <c r="T886" i="2" s="1"/>
  <c r="S887" i="2"/>
  <c r="T887" i="2" s="1"/>
  <c r="S888" i="2"/>
  <c r="T888" i="2" s="1"/>
  <c r="S889" i="2"/>
  <c r="T889" i="2" s="1"/>
  <c r="S890" i="2"/>
  <c r="S891" i="2"/>
  <c r="T891" i="2" s="1"/>
  <c r="S892" i="2"/>
  <c r="T892" i="2" s="1"/>
  <c r="S893" i="2"/>
  <c r="T893" i="2" s="1"/>
  <c r="S894" i="2"/>
  <c r="T894" i="2" s="1"/>
  <c r="S895" i="2"/>
  <c r="T895" i="2" s="1"/>
  <c r="S896" i="2"/>
  <c r="T896" i="2" s="1"/>
  <c r="S897" i="2"/>
  <c r="T897" i="2" s="1"/>
  <c r="S898" i="2"/>
  <c r="T898" i="2" s="1"/>
  <c r="S899" i="2"/>
  <c r="T899" i="2" s="1"/>
  <c r="S900" i="2"/>
  <c r="T900" i="2" s="1"/>
  <c r="S901" i="2"/>
  <c r="T901" i="2" s="1"/>
  <c r="S902" i="2"/>
  <c r="T902" i="2" s="1"/>
  <c r="S903" i="2"/>
  <c r="T903" i="2" s="1"/>
  <c r="S904" i="2"/>
  <c r="T904" i="2" s="1"/>
  <c r="S905" i="2"/>
  <c r="T905" i="2" s="1"/>
  <c r="S906" i="2"/>
  <c r="T906" i="2" s="1"/>
  <c r="S907" i="2"/>
  <c r="T907" i="2" s="1"/>
  <c r="S908" i="2"/>
  <c r="T908" i="2" s="1"/>
  <c r="S909" i="2"/>
  <c r="T909" i="2" s="1"/>
  <c r="S910" i="2"/>
  <c r="T910" i="2" s="1"/>
  <c r="S911" i="2"/>
  <c r="T911" i="2" s="1"/>
  <c r="S912" i="2"/>
  <c r="T912" i="2" s="1"/>
  <c r="S913" i="2"/>
  <c r="T913" i="2" s="1"/>
  <c r="S914" i="2"/>
  <c r="T914" i="2" s="1"/>
  <c r="S915" i="2"/>
  <c r="T915" i="2" s="1"/>
  <c r="S916" i="2"/>
  <c r="T916" i="2" s="1"/>
  <c r="S917" i="2"/>
  <c r="T917" i="2" s="1"/>
  <c r="S918" i="2"/>
  <c r="T918" i="2" s="1"/>
  <c r="S919" i="2"/>
  <c r="T919" i="2" s="1"/>
  <c r="S920" i="2"/>
  <c r="T920" i="2" s="1"/>
  <c r="S921" i="2"/>
  <c r="T921" i="2" s="1"/>
  <c r="S922" i="2"/>
  <c r="T922" i="2" s="1"/>
  <c r="S923" i="2"/>
  <c r="T923" i="2" s="1"/>
  <c r="S924" i="2"/>
  <c r="T924" i="2" s="1"/>
  <c r="S925" i="2"/>
  <c r="T925" i="2" s="1"/>
  <c r="S926" i="2"/>
  <c r="T926" i="2" s="1"/>
  <c r="S927" i="2"/>
  <c r="T927" i="2" s="1"/>
  <c r="S928" i="2"/>
  <c r="T928" i="2" s="1"/>
  <c r="S929" i="2"/>
  <c r="T929" i="2" s="1"/>
  <c r="S930" i="2"/>
  <c r="T930" i="2" s="1"/>
  <c r="S931" i="2"/>
  <c r="T931" i="2" s="1"/>
  <c r="S932" i="2"/>
  <c r="T932" i="2" s="1"/>
  <c r="S933" i="2"/>
  <c r="T933" i="2" s="1"/>
  <c r="S934" i="2"/>
  <c r="T934" i="2" s="1"/>
  <c r="S935" i="2"/>
  <c r="T935" i="2" s="1"/>
  <c r="S936" i="2"/>
  <c r="T936" i="2" s="1"/>
  <c r="S937" i="2"/>
  <c r="T937" i="2" s="1"/>
  <c r="S938" i="2"/>
  <c r="T938" i="2" s="1"/>
  <c r="S939" i="2"/>
  <c r="T939" i="2" s="1"/>
  <c r="S940" i="2"/>
  <c r="T940" i="2" s="1"/>
  <c r="S941" i="2"/>
  <c r="T941" i="2" s="1"/>
  <c r="S942" i="2"/>
  <c r="T942" i="2" s="1"/>
  <c r="S943" i="2"/>
  <c r="T943" i="2" s="1"/>
  <c r="S944" i="2"/>
  <c r="T944" i="2" s="1"/>
  <c r="S945" i="2"/>
  <c r="T945" i="2" s="1"/>
  <c r="S946" i="2"/>
  <c r="T946" i="2" s="1"/>
  <c r="S947" i="2"/>
  <c r="S948" i="2"/>
  <c r="T948" i="2" s="1"/>
  <c r="S949" i="2"/>
  <c r="T949" i="2" s="1"/>
  <c r="S950" i="2"/>
  <c r="T950" i="2" s="1"/>
  <c r="S951" i="2"/>
  <c r="T951" i="2" s="1"/>
  <c r="S952" i="2"/>
  <c r="T952" i="2" s="1"/>
  <c r="S953" i="2"/>
  <c r="T953" i="2" s="1"/>
  <c r="S954" i="2"/>
  <c r="T954" i="2" s="1"/>
  <c r="S955" i="2"/>
  <c r="T955" i="2" s="1"/>
  <c r="S956" i="2"/>
  <c r="T956" i="2" s="1"/>
  <c r="S957" i="2"/>
  <c r="T957" i="2" s="1"/>
  <c r="S958" i="2"/>
  <c r="T958" i="2" s="1"/>
  <c r="S959" i="2"/>
  <c r="T959" i="2" s="1"/>
  <c r="S960" i="2"/>
  <c r="T960" i="2" s="1"/>
  <c r="S961" i="2"/>
  <c r="T961" i="2" s="1"/>
  <c r="S962" i="2"/>
  <c r="T962" i="2" s="1"/>
  <c r="S963" i="2"/>
  <c r="T963" i="2" s="1"/>
  <c r="S964" i="2"/>
  <c r="T964" i="2" s="1"/>
  <c r="S965" i="2"/>
  <c r="T965" i="2" s="1"/>
  <c r="S966" i="2"/>
  <c r="T966" i="2" s="1"/>
  <c r="S967" i="2"/>
  <c r="T967" i="2" s="1"/>
  <c r="S968" i="2"/>
  <c r="S969" i="2"/>
  <c r="T969" i="2" s="1"/>
  <c r="S970" i="2"/>
  <c r="T970" i="2" s="1"/>
  <c r="S971" i="2"/>
  <c r="S972" i="2"/>
  <c r="T972" i="2" s="1"/>
  <c r="S973" i="2"/>
  <c r="T973" i="2" s="1"/>
  <c r="S974" i="2"/>
  <c r="T974" i="2" s="1"/>
  <c r="S975" i="2"/>
  <c r="T975" i="2" s="1"/>
  <c r="S976" i="2"/>
  <c r="T976" i="2" s="1"/>
  <c r="S977" i="2"/>
  <c r="S978" i="2"/>
  <c r="T978" i="2" s="1"/>
  <c r="S979" i="2"/>
  <c r="T979" i="2" s="1"/>
  <c r="S980" i="2"/>
  <c r="T980" i="2" s="1"/>
  <c r="S981" i="2"/>
  <c r="S982" i="2"/>
  <c r="T982" i="2" s="1"/>
  <c r="S983" i="2"/>
  <c r="T983" i="2" s="1"/>
  <c r="S984" i="2"/>
  <c r="T984" i="2" s="1"/>
  <c r="S985" i="2"/>
  <c r="T985" i="2" s="1"/>
  <c r="S986" i="2"/>
  <c r="T986" i="2" s="1"/>
  <c r="S987" i="2"/>
  <c r="T987" i="2" s="1"/>
  <c r="S988" i="2"/>
  <c r="T988" i="2" s="1"/>
  <c r="S989" i="2"/>
  <c r="T989" i="2" s="1"/>
  <c r="S990" i="2"/>
  <c r="T990" i="2" s="1"/>
  <c r="S991" i="2"/>
  <c r="T991" i="2" s="1"/>
  <c r="S992" i="2"/>
  <c r="T992" i="2" s="1"/>
  <c r="S993" i="2"/>
  <c r="T993" i="2" s="1"/>
  <c r="S994" i="2"/>
  <c r="S995" i="2"/>
  <c r="S996" i="2"/>
  <c r="T996" i="2" s="1"/>
  <c r="S997" i="2"/>
  <c r="T997" i="2" s="1"/>
  <c r="S998" i="2"/>
  <c r="T998" i="2" s="1"/>
  <c r="S999" i="2"/>
  <c r="T999" i="2" s="1"/>
  <c r="S1000" i="2"/>
  <c r="T1000" i="2" s="1"/>
  <c r="S1001" i="2"/>
  <c r="T1001" i="2" s="1"/>
  <c r="S1002" i="2"/>
  <c r="T1002" i="2" s="1"/>
  <c r="S1003" i="2"/>
  <c r="T1003" i="2" s="1"/>
  <c r="S1004" i="2"/>
  <c r="T1004" i="2" s="1"/>
  <c r="S1005" i="2"/>
  <c r="T1005" i="2" s="1"/>
  <c r="S1006" i="2"/>
  <c r="T1006" i="2" s="1"/>
  <c r="S1007" i="2"/>
  <c r="T1007" i="2" s="1"/>
  <c r="S1008" i="2"/>
  <c r="T1008" i="2" s="1"/>
  <c r="S1009" i="2"/>
  <c r="T1009" i="2" s="1"/>
  <c r="S1010" i="2"/>
  <c r="T1010" i="2" s="1"/>
  <c r="S1011" i="2"/>
  <c r="T1011" i="2" s="1"/>
  <c r="S1012" i="2"/>
  <c r="T1012" i="2" s="1"/>
  <c r="S1013" i="2"/>
  <c r="T1013" i="2" s="1"/>
  <c r="S1014" i="2"/>
  <c r="T1014" i="2" s="1"/>
  <c r="S1015" i="2"/>
  <c r="T1015" i="2" s="1"/>
  <c r="S1016" i="2"/>
  <c r="T1016" i="2" s="1"/>
  <c r="S1017" i="2"/>
  <c r="T1017" i="2" s="1"/>
  <c r="S1018" i="2"/>
  <c r="T1018" i="2" s="1"/>
  <c r="S1019" i="2"/>
  <c r="T1019" i="2" s="1"/>
  <c r="S1020" i="2"/>
  <c r="T1020" i="2" s="1"/>
  <c r="S1021" i="2"/>
  <c r="T1021" i="2" s="1"/>
  <c r="S1022" i="2"/>
  <c r="T1022" i="2" s="1"/>
  <c r="S1023" i="2"/>
  <c r="T1023" i="2" s="1"/>
  <c r="S1024" i="2"/>
  <c r="T1024" i="2" s="1"/>
  <c r="S1025" i="2"/>
  <c r="T1025" i="2" s="1"/>
  <c r="S1026" i="2"/>
  <c r="T1026" i="2" s="1"/>
  <c r="S1027" i="2"/>
  <c r="T1027" i="2" s="1"/>
  <c r="S1028" i="2"/>
  <c r="T1028" i="2" s="1"/>
  <c r="S1029" i="2"/>
  <c r="T1029" i="2" s="1"/>
  <c r="S1030" i="2"/>
  <c r="T1030" i="2" s="1"/>
  <c r="S1031" i="2"/>
  <c r="T1031" i="2" s="1"/>
  <c r="S1032" i="2"/>
  <c r="T1032" i="2" s="1"/>
  <c r="S1033" i="2"/>
  <c r="T1033" i="2" s="1"/>
  <c r="S1034" i="2"/>
  <c r="T1034" i="2" s="1"/>
  <c r="S1035" i="2"/>
  <c r="T1035" i="2" s="1"/>
  <c r="S1036" i="2"/>
  <c r="T1036" i="2" s="1"/>
  <c r="S1037" i="2"/>
  <c r="T1037" i="2" s="1"/>
  <c r="S1038" i="2"/>
  <c r="S1039" i="2"/>
  <c r="T1039" i="2" s="1"/>
  <c r="S1040" i="2"/>
  <c r="T1040" i="2" s="1"/>
  <c r="S1041" i="2"/>
  <c r="T1041" i="2" s="1"/>
  <c r="S1042" i="2"/>
  <c r="T1042" i="2" s="1"/>
  <c r="S1043" i="2"/>
  <c r="T1043" i="2" s="1"/>
  <c r="S1044" i="2"/>
  <c r="T1044" i="2" s="1"/>
  <c r="S1045" i="2"/>
  <c r="S1046" i="2"/>
  <c r="T1046" i="2" s="1"/>
  <c r="S1047" i="2"/>
  <c r="T1047" i="2" s="1"/>
  <c r="S1048" i="2"/>
  <c r="T1048" i="2" s="1"/>
  <c r="S1049" i="2"/>
  <c r="T1049" i="2" s="1"/>
  <c r="S1050" i="2"/>
  <c r="T1050" i="2" s="1"/>
  <c r="S1051" i="2"/>
  <c r="T1051" i="2" s="1"/>
  <c r="S1052" i="2"/>
  <c r="T1052" i="2" s="1"/>
  <c r="S1053" i="2"/>
  <c r="T1053" i="2" s="1"/>
  <c r="S1054" i="2"/>
  <c r="T1054" i="2" s="1"/>
  <c r="S1055" i="2"/>
  <c r="T1055" i="2" s="1"/>
  <c r="S1056" i="2"/>
  <c r="T1056" i="2" s="1"/>
  <c r="S1057" i="2"/>
  <c r="T1057" i="2" s="1"/>
  <c r="S1058" i="2"/>
  <c r="S1059" i="2"/>
  <c r="T1059" i="2" s="1"/>
  <c r="S1060" i="2"/>
  <c r="T1060" i="2" s="1"/>
  <c r="S1061" i="2"/>
  <c r="T1061" i="2" s="1"/>
  <c r="S1062" i="2"/>
  <c r="T1062" i="2" s="1"/>
  <c r="S1063" i="2"/>
  <c r="T1063" i="2" s="1"/>
  <c r="S1064" i="2"/>
  <c r="T1064" i="2" s="1"/>
  <c r="S1065" i="2"/>
  <c r="T1065" i="2" s="1"/>
  <c r="S1066" i="2"/>
  <c r="T1066" i="2" s="1"/>
  <c r="S1067" i="2"/>
  <c r="T1067" i="2" s="1"/>
  <c r="S1068" i="2"/>
  <c r="T1068" i="2" s="1"/>
  <c r="S1069" i="2"/>
  <c r="T1069" i="2" s="1"/>
  <c r="S1070" i="2"/>
  <c r="T1070" i="2" s="1"/>
  <c r="S1071" i="2"/>
  <c r="T1071" i="2" s="1"/>
  <c r="S1072" i="2"/>
  <c r="T1072" i="2" s="1"/>
  <c r="S1073" i="2"/>
  <c r="T1073" i="2" s="1"/>
  <c r="S1074" i="2"/>
  <c r="S1075" i="2"/>
  <c r="T1075" i="2" s="1"/>
  <c r="S1076" i="2"/>
  <c r="T1076" i="2" s="1"/>
  <c r="S1077" i="2"/>
  <c r="T1077" i="2" s="1"/>
  <c r="S1078" i="2"/>
  <c r="S1079" i="2"/>
  <c r="T1079" i="2" s="1"/>
  <c r="S1080" i="2"/>
  <c r="T1080" i="2" s="1"/>
  <c r="S1081" i="2"/>
  <c r="T1081" i="2" s="1"/>
  <c r="S1082" i="2"/>
  <c r="T1082" i="2" s="1"/>
  <c r="S1083" i="2"/>
  <c r="S1084" i="2"/>
  <c r="T1084" i="2" s="1"/>
  <c r="S1085" i="2"/>
  <c r="T1085" i="2" s="1"/>
  <c r="S1086" i="2"/>
  <c r="T1086" i="2" s="1"/>
  <c r="S1087" i="2"/>
  <c r="T1087" i="2" s="1"/>
  <c r="S1088" i="2"/>
  <c r="T1088" i="2" s="1"/>
  <c r="S1089" i="2"/>
  <c r="T1089" i="2" s="1"/>
  <c r="S1090" i="2"/>
  <c r="T1090" i="2" s="1"/>
  <c r="S1091" i="2"/>
  <c r="T1091" i="2" s="1"/>
  <c r="S1092" i="2"/>
  <c r="T1092" i="2" s="1"/>
  <c r="S1093" i="2"/>
  <c r="T1093" i="2" s="1"/>
  <c r="S1094" i="2"/>
  <c r="T1094" i="2" s="1"/>
  <c r="S1095" i="2"/>
  <c r="S1096" i="2"/>
  <c r="T1096" i="2" s="1"/>
  <c r="S1097" i="2"/>
  <c r="T1097" i="2" s="1"/>
  <c r="S1098" i="2"/>
  <c r="T1098" i="2" s="1"/>
  <c r="S1099" i="2"/>
  <c r="T1099" i="2" s="1"/>
  <c r="S1100" i="2"/>
  <c r="T1100" i="2" s="1"/>
  <c r="S1101" i="2"/>
  <c r="T1101" i="2" s="1"/>
  <c r="S1102" i="2"/>
  <c r="T1102" i="2" s="1"/>
  <c r="S1103" i="2"/>
  <c r="T1103" i="2" s="1"/>
  <c r="S1104" i="2"/>
  <c r="T1104" i="2" s="1"/>
  <c r="S1105" i="2"/>
  <c r="T1105" i="2" s="1"/>
  <c r="S1106" i="2"/>
  <c r="T1106" i="2" s="1"/>
  <c r="S1107" i="2"/>
  <c r="T1107" i="2" s="1"/>
  <c r="S1108" i="2"/>
  <c r="T1108" i="2" s="1"/>
  <c r="S1109" i="2"/>
  <c r="T1109" i="2" s="1"/>
  <c r="S1110" i="2"/>
  <c r="S1111" i="2"/>
  <c r="T1111" i="2" s="1"/>
  <c r="S1112" i="2"/>
  <c r="S1113" i="2"/>
  <c r="T1113" i="2" s="1"/>
  <c r="S1114" i="2"/>
  <c r="T1114" i="2" s="1"/>
  <c r="S1115" i="2"/>
  <c r="S1116" i="2"/>
  <c r="T1116" i="2" s="1"/>
  <c r="S1117" i="2"/>
  <c r="T1117" i="2" s="1"/>
  <c r="S1118" i="2"/>
  <c r="T1118" i="2" s="1"/>
  <c r="S1119" i="2"/>
  <c r="S1120" i="2"/>
  <c r="T1120" i="2" s="1"/>
  <c r="S1121" i="2"/>
  <c r="T1121" i="2" s="1"/>
  <c r="S1122" i="2"/>
  <c r="T1122" i="2" s="1"/>
  <c r="S1123" i="2"/>
  <c r="T1123" i="2" s="1"/>
  <c r="S1124" i="2"/>
  <c r="T1124" i="2" s="1"/>
  <c r="S1125" i="2"/>
  <c r="T1125" i="2" s="1"/>
  <c r="S1126" i="2"/>
  <c r="T1126" i="2" s="1"/>
  <c r="S1127" i="2"/>
  <c r="T1127" i="2" s="1"/>
  <c r="S1128" i="2"/>
  <c r="S1129" i="2"/>
  <c r="S1130" i="2"/>
  <c r="T1130" i="2" s="1"/>
  <c r="S1131" i="2"/>
  <c r="T1131" i="2" s="1"/>
  <c r="S1132" i="2"/>
  <c r="T1132" i="2" s="1"/>
  <c r="S1133" i="2"/>
  <c r="S1134" i="2"/>
  <c r="S1135" i="2"/>
  <c r="T1135" i="2" s="1"/>
  <c r="S1136" i="2"/>
  <c r="T1136" i="2" s="1"/>
  <c r="S1137" i="2"/>
  <c r="T1137" i="2" s="1"/>
  <c r="S1138" i="2"/>
  <c r="T1138" i="2" s="1"/>
  <c r="S1139" i="2"/>
  <c r="S1140" i="2"/>
  <c r="T1140" i="2" s="1"/>
  <c r="S1141" i="2"/>
  <c r="T1141" i="2" s="1"/>
  <c r="S1142" i="2"/>
  <c r="T1142" i="2" s="1"/>
  <c r="S1143" i="2"/>
  <c r="T1143" i="2" s="1"/>
  <c r="S1144" i="2"/>
  <c r="T1144" i="2" s="1"/>
  <c r="S1145" i="2"/>
  <c r="T1145" i="2" s="1"/>
  <c r="S1146" i="2"/>
  <c r="T1146" i="2" s="1"/>
  <c r="S1147" i="2"/>
  <c r="T1147" i="2" s="1"/>
  <c r="S1148" i="2"/>
  <c r="T1148" i="2" s="1"/>
  <c r="S1149" i="2"/>
  <c r="S1150" i="2"/>
  <c r="T1150" i="2" s="1"/>
  <c r="S1151" i="2"/>
  <c r="T1151" i="2" s="1"/>
  <c r="S1152" i="2"/>
  <c r="T1152" i="2" s="1"/>
  <c r="S1153" i="2"/>
  <c r="T1153" i="2" s="1"/>
  <c r="S1154" i="2"/>
  <c r="T1154" i="2" s="1"/>
  <c r="S1155" i="2"/>
  <c r="T1155" i="2" s="1"/>
  <c r="S1156" i="2"/>
  <c r="T1156" i="2" s="1"/>
  <c r="S1157" i="2"/>
  <c r="T1157" i="2" s="1"/>
  <c r="S1158" i="2"/>
  <c r="T1158" i="2" s="1"/>
  <c r="S1159" i="2"/>
  <c r="T1159" i="2" s="1"/>
  <c r="S1160" i="2"/>
  <c r="T1160" i="2" s="1"/>
  <c r="S1161" i="2"/>
  <c r="T1161" i="2" s="1"/>
  <c r="S1162" i="2"/>
  <c r="S1163" i="2"/>
  <c r="S1164" i="2"/>
  <c r="T1164" i="2" s="1"/>
  <c r="S1165" i="2"/>
  <c r="S1166" i="2"/>
  <c r="T1166" i="2" s="1"/>
  <c r="S1167" i="2"/>
  <c r="S1168" i="2"/>
  <c r="T1168" i="2" s="1"/>
  <c r="S1169" i="2"/>
  <c r="T1169" i="2" s="1"/>
  <c r="S1170" i="2"/>
  <c r="T1170" i="2" s="1"/>
  <c r="S1171" i="2"/>
  <c r="T1171" i="2" s="1"/>
  <c r="S1172" i="2"/>
  <c r="T1172" i="2" s="1"/>
  <c r="S1173" i="2"/>
  <c r="T1173" i="2" s="1"/>
  <c r="S1174" i="2"/>
  <c r="T1174" i="2" s="1"/>
  <c r="S1175" i="2"/>
  <c r="T1175" i="2" s="1"/>
  <c r="S1176" i="2"/>
  <c r="T1176" i="2" s="1"/>
  <c r="S1177" i="2"/>
  <c r="T1177" i="2" s="1"/>
  <c r="S1178" i="2"/>
  <c r="T1178" i="2" s="1"/>
  <c r="S1179" i="2"/>
  <c r="T1179" i="2" s="1"/>
  <c r="S1180" i="2"/>
  <c r="S1181" i="2"/>
  <c r="T1181" i="2" s="1"/>
  <c r="S1182" i="2"/>
  <c r="T1182" i="2" s="1"/>
  <c r="S1183" i="2"/>
  <c r="T1183" i="2" s="1"/>
  <c r="S1184" i="2"/>
  <c r="T1184" i="2" s="1"/>
  <c r="S1185" i="2"/>
  <c r="T1185" i="2" s="1"/>
  <c r="S1186" i="2"/>
  <c r="T1186" i="2" s="1"/>
  <c r="S1187" i="2"/>
  <c r="T1187" i="2" s="1"/>
  <c r="S1188" i="2"/>
  <c r="S1189" i="2"/>
  <c r="T1189" i="2" s="1"/>
  <c r="S1190" i="2"/>
  <c r="S1191" i="2"/>
  <c r="T1191" i="2" s="1"/>
  <c r="S1192" i="2"/>
  <c r="T1192" i="2" s="1"/>
  <c r="S1193" i="2"/>
  <c r="T1193" i="2" s="1"/>
  <c r="S1194" i="2"/>
  <c r="T1194" i="2" s="1"/>
  <c r="S1195" i="2"/>
  <c r="T1195" i="2" s="1"/>
  <c r="S1196" i="2"/>
  <c r="T1196" i="2" s="1"/>
  <c r="S1197" i="2"/>
  <c r="T1197" i="2" s="1"/>
  <c r="S1198" i="2"/>
  <c r="T1198" i="2" s="1"/>
  <c r="S1199" i="2"/>
  <c r="S1200" i="2"/>
  <c r="T1200" i="2" s="1"/>
  <c r="S1201" i="2"/>
  <c r="S1202" i="2"/>
  <c r="T1202" i="2" s="1"/>
  <c r="S1203" i="2"/>
  <c r="S1204" i="2"/>
  <c r="T1204" i="2" s="1"/>
  <c r="S1205" i="2"/>
  <c r="T1205" i="2" s="1"/>
  <c r="S1206" i="2"/>
  <c r="T1206" i="2" s="1"/>
  <c r="S1207" i="2"/>
  <c r="T1207" i="2" s="1"/>
  <c r="S1208" i="2"/>
  <c r="T1208" i="2" s="1"/>
  <c r="S1209" i="2"/>
  <c r="S1210" i="2"/>
  <c r="T1210" i="2" s="1"/>
  <c r="S1211" i="2"/>
  <c r="T1211" i="2" s="1"/>
  <c r="S1212" i="2"/>
  <c r="T1212" i="2" s="1"/>
  <c r="S1213" i="2"/>
  <c r="T1213" i="2" s="1"/>
  <c r="S1214" i="2"/>
  <c r="S1215" i="2"/>
  <c r="T1215" i="2" s="1"/>
  <c r="S1216" i="2"/>
  <c r="T1216" i="2" s="1"/>
  <c r="S2" i="2"/>
  <c r="T2" i="2" s="1"/>
  <c r="R3" i="2" a="1"/>
  <c r="R3" i="2" s="1"/>
  <c r="R4" i="2" a="1"/>
  <c r="R4" i="2" s="1"/>
  <c r="R5" i="2" a="1"/>
  <c r="R5" i="2" s="1"/>
  <c r="R6" i="2" a="1"/>
  <c r="R6" i="2" s="1"/>
  <c r="R7" i="2" a="1"/>
  <c r="R7" i="2" s="1"/>
  <c r="R8" i="2" a="1"/>
  <c r="R8" i="2" s="1"/>
  <c r="R9" i="2" a="1"/>
  <c r="R9" i="2" s="1"/>
  <c r="R10" i="2" a="1"/>
  <c r="R10" i="2" s="1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R17" i="2" a="1"/>
  <c r="R17" i="2" s="1"/>
  <c r="R18" i="2" a="1"/>
  <c r="R18" i="2" s="1"/>
  <c r="R19" i="2" a="1"/>
  <c r="R19" i="2" s="1"/>
  <c r="R20" i="2" a="1"/>
  <c r="R20" i="2" s="1"/>
  <c r="R21" i="2" a="1"/>
  <c r="R21" i="2" s="1"/>
  <c r="U21" i="2" s="1"/>
  <c r="R22" i="2" a="1"/>
  <c r="R22" i="2" s="1"/>
  <c r="R23" i="2" a="1"/>
  <c r="R23" i="2" s="1"/>
  <c r="R24" i="2" a="1"/>
  <c r="R24" i="2" s="1"/>
  <c r="R25" i="2" a="1"/>
  <c r="R25" i="2" s="1"/>
  <c r="R26" i="2" a="1"/>
  <c r="R26" i="2" s="1"/>
  <c r="R27" i="2" a="1"/>
  <c r="R27" i="2" s="1"/>
  <c r="R28" i="2" a="1"/>
  <c r="R28" i="2" s="1"/>
  <c r="R29" i="2" a="1"/>
  <c r="R29" i="2" s="1"/>
  <c r="R30" i="2" a="1"/>
  <c r="R30" i="2" s="1"/>
  <c r="R31" i="2" a="1"/>
  <c r="R31" i="2" s="1"/>
  <c r="R32" i="2" a="1"/>
  <c r="R32" i="2" s="1"/>
  <c r="R33" i="2" a="1"/>
  <c r="R33" i="2" s="1"/>
  <c r="R34" i="2" a="1"/>
  <c r="R34" i="2" s="1"/>
  <c r="R35" i="2" a="1"/>
  <c r="R35" i="2" s="1"/>
  <c r="R36" i="2" a="1"/>
  <c r="R36" i="2" s="1"/>
  <c r="R37" i="2" a="1"/>
  <c r="R37" i="2" s="1"/>
  <c r="R38" i="2" a="1"/>
  <c r="R38" i="2" s="1"/>
  <c r="R39" i="2" a="1"/>
  <c r="R39" i="2" s="1"/>
  <c r="R40" i="2" a="1"/>
  <c r="R40" i="2" s="1"/>
  <c r="R41" i="2" a="1"/>
  <c r="R41" i="2" s="1"/>
  <c r="R42" i="2" a="1"/>
  <c r="R42" i="2" s="1"/>
  <c r="R43" i="2" a="1"/>
  <c r="R43" i="2" s="1"/>
  <c r="R44" i="2" a="1"/>
  <c r="R44" i="2" s="1"/>
  <c r="R45" i="2" a="1"/>
  <c r="R45" i="2" s="1"/>
  <c r="R46" i="2" a="1"/>
  <c r="R46" i="2" s="1"/>
  <c r="R47" i="2" a="1"/>
  <c r="R47" i="2" s="1"/>
  <c r="R48" i="2" a="1"/>
  <c r="R48" i="2" s="1"/>
  <c r="R49" i="2" a="1"/>
  <c r="R49" i="2" s="1"/>
  <c r="R50" i="2" a="1"/>
  <c r="R50" i="2" s="1"/>
  <c r="R51" i="2" a="1"/>
  <c r="R51" i="2" s="1"/>
  <c r="R52" i="2" a="1"/>
  <c r="R52" i="2" s="1"/>
  <c r="R53" i="2" a="1"/>
  <c r="R53" i="2" s="1"/>
  <c r="R54" i="2" a="1"/>
  <c r="R54" i="2" s="1"/>
  <c r="R55" i="2" a="1"/>
  <c r="R55" i="2" s="1"/>
  <c r="R56" i="2" a="1"/>
  <c r="R56" i="2" s="1"/>
  <c r="R57" i="2" a="1"/>
  <c r="R57" i="2" s="1"/>
  <c r="R58" i="2" a="1"/>
  <c r="R58" i="2" s="1"/>
  <c r="R59" i="2" a="1"/>
  <c r="R59" i="2" s="1"/>
  <c r="R60" i="2" a="1"/>
  <c r="R60" i="2" s="1"/>
  <c r="R61" i="2" a="1"/>
  <c r="R61" i="2" s="1"/>
  <c r="R62" i="2" a="1"/>
  <c r="R62" i="2" s="1"/>
  <c r="R63" i="2" a="1"/>
  <c r="R63" i="2" s="1"/>
  <c r="R64" i="2" a="1"/>
  <c r="R64" i="2" s="1"/>
  <c r="R65" i="2" a="1"/>
  <c r="R65" i="2" s="1"/>
  <c r="R66" i="2" a="1"/>
  <c r="R66" i="2" s="1"/>
  <c r="R67" i="2" a="1"/>
  <c r="R67" i="2" s="1"/>
  <c r="R68" i="2" a="1"/>
  <c r="R68" i="2" s="1"/>
  <c r="R69" i="2" a="1"/>
  <c r="R69" i="2" s="1"/>
  <c r="R70" i="2" a="1"/>
  <c r="R70" i="2" s="1"/>
  <c r="R71" i="2" a="1"/>
  <c r="R71" i="2" s="1"/>
  <c r="R72" i="2" a="1"/>
  <c r="R72" i="2" s="1"/>
  <c r="R73" i="2" a="1"/>
  <c r="R73" i="2" s="1"/>
  <c r="R74" i="2" a="1"/>
  <c r="R74" i="2" s="1"/>
  <c r="R75" i="2" a="1"/>
  <c r="R75" i="2" s="1"/>
  <c r="R76" i="2" a="1"/>
  <c r="R76" i="2" s="1"/>
  <c r="R77" i="2" a="1"/>
  <c r="R77" i="2" s="1"/>
  <c r="R78" i="2" a="1"/>
  <c r="R78" i="2" s="1"/>
  <c r="R79" i="2" a="1"/>
  <c r="R79" i="2" s="1"/>
  <c r="R80" i="2" a="1"/>
  <c r="R80" i="2" s="1"/>
  <c r="R81" i="2" a="1"/>
  <c r="R81" i="2" s="1"/>
  <c r="R82" i="2" a="1"/>
  <c r="R82" i="2" s="1"/>
  <c r="R83" i="2" a="1"/>
  <c r="R83" i="2" s="1"/>
  <c r="R84" i="2" a="1"/>
  <c r="R84" i="2" s="1"/>
  <c r="R85" i="2" a="1"/>
  <c r="R85" i="2" s="1"/>
  <c r="R86" i="2" a="1"/>
  <c r="R86" i="2" s="1"/>
  <c r="R87" i="2" a="1"/>
  <c r="R87" i="2" s="1"/>
  <c r="R88" i="2" a="1"/>
  <c r="R88" i="2" s="1"/>
  <c r="R89" i="2" a="1"/>
  <c r="R89" i="2" s="1"/>
  <c r="R90" i="2" a="1"/>
  <c r="R90" i="2" s="1"/>
  <c r="R91" i="2" a="1"/>
  <c r="R91" i="2" s="1"/>
  <c r="R92" i="2" a="1"/>
  <c r="R92" i="2" s="1"/>
  <c r="R93" i="2" a="1"/>
  <c r="R93" i="2" s="1"/>
  <c r="R94" i="2" a="1"/>
  <c r="R94" i="2" s="1"/>
  <c r="R95" i="2" a="1"/>
  <c r="R95" i="2" s="1"/>
  <c r="R96" i="2" a="1"/>
  <c r="R96" i="2" s="1"/>
  <c r="R97" i="2" a="1"/>
  <c r="R97" i="2" s="1"/>
  <c r="R98" i="2" a="1"/>
  <c r="R98" i="2" s="1"/>
  <c r="R99" i="2" a="1"/>
  <c r="R99" i="2" s="1"/>
  <c r="R100" i="2" a="1"/>
  <c r="R100" i="2" s="1"/>
  <c r="R101" i="2" a="1"/>
  <c r="R101" i="2" s="1"/>
  <c r="R102" i="2" a="1"/>
  <c r="R102" i="2" s="1"/>
  <c r="R103" i="2" a="1"/>
  <c r="R103" i="2" s="1"/>
  <c r="R104" i="2" a="1"/>
  <c r="R104" i="2" s="1"/>
  <c r="R105" i="2" a="1"/>
  <c r="R105" i="2" s="1"/>
  <c r="R106" i="2" a="1"/>
  <c r="R106" i="2" s="1"/>
  <c r="R107" i="2" a="1"/>
  <c r="R107" i="2" s="1"/>
  <c r="R108" i="2" a="1"/>
  <c r="R108" i="2" s="1"/>
  <c r="R109" i="2" a="1"/>
  <c r="R109" i="2" s="1"/>
  <c r="R110" i="2" a="1"/>
  <c r="R110" i="2" s="1"/>
  <c r="R111" i="2" a="1"/>
  <c r="R111" i="2" s="1"/>
  <c r="R112" i="2" a="1"/>
  <c r="R112" i="2" s="1"/>
  <c r="R113" i="2" a="1"/>
  <c r="R113" i="2" s="1"/>
  <c r="R114" i="2" a="1"/>
  <c r="R114" i="2" s="1"/>
  <c r="R115" i="2" a="1"/>
  <c r="R115" i="2" s="1"/>
  <c r="R116" i="2" a="1"/>
  <c r="R116" i="2" s="1"/>
  <c r="R117" i="2" a="1"/>
  <c r="R117" i="2" s="1"/>
  <c r="R118" i="2" a="1"/>
  <c r="R118" i="2" s="1"/>
  <c r="R119" i="2" a="1"/>
  <c r="R119" i="2" s="1"/>
  <c r="R120" i="2" a="1"/>
  <c r="R120" i="2" s="1"/>
  <c r="R121" i="2" a="1"/>
  <c r="R121" i="2" s="1"/>
  <c r="R122" i="2" a="1"/>
  <c r="R122" i="2" s="1"/>
  <c r="R123" i="2" a="1"/>
  <c r="R123" i="2" s="1"/>
  <c r="R124" i="2" a="1"/>
  <c r="R124" i="2" s="1"/>
  <c r="R125" i="2" a="1"/>
  <c r="R125" i="2" s="1"/>
  <c r="R126" i="2" a="1"/>
  <c r="R126" i="2" s="1"/>
  <c r="R127" i="2" a="1"/>
  <c r="R127" i="2" s="1"/>
  <c r="R128" i="2" a="1"/>
  <c r="R128" i="2" s="1"/>
  <c r="R129" i="2" a="1"/>
  <c r="R129" i="2" s="1"/>
  <c r="R130" i="2" a="1"/>
  <c r="R130" i="2" s="1"/>
  <c r="R131" i="2" a="1"/>
  <c r="R131" i="2" s="1"/>
  <c r="R132" i="2" a="1"/>
  <c r="R132" i="2" s="1"/>
  <c r="R133" i="2" a="1"/>
  <c r="R133" i="2" s="1"/>
  <c r="R134" i="2" a="1"/>
  <c r="R134" i="2" s="1"/>
  <c r="R135" i="2" a="1"/>
  <c r="R135" i="2" s="1"/>
  <c r="R136" i="2" a="1"/>
  <c r="R136" i="2" s="1"/>
  <c r="R137" i="2" a="1"/>
  <c r="R137" i="2" s="1"/>
  <c r="R138" i="2" a="1"/>
  <c r="R138" i="2" s="1"/>
  <c r="R139" i="2" a="1"/>
  <c r="R139" i="2" s="1"/>
  <c r="R140" i="2" a="1"/>
  <c r="R140" i="2" s="1"/>
  <c r="R141" i="2" a="1"/>
  <c r="R141" i="2" s="1"/>
  <c r="R142" i="2" a="1"/>
  <c r="R142" i="2" s="1"/>
  <c r="R143" i="2" a="1"/>
  <c r="R143" i="2" s="1"/>
  <c r="R144" i="2" a="1"/>
  <c r="R144" i="2" s="1"/>
  <c r="R145" i="2" a="1"/>
  <c r="R145" i="2" s="1"/>
  <c r="R146" i="2" a="1"/>
  <c r="R146" i="2" s="1"/>
  <c r="R147" i="2" a="1"/>
  <c r="R147" i="2" s="1"/>
  <c r="R148" i="2" a="1"/>
  <c r="R148" i="2" s="1"/>
  <c r="R149" i="2" a="1"/>
  <c r="R149" i="2" s="1"/>
  <c r="R150" i="2" a="1"/>
  <c r="R150" i="2" s="1"/>
  <c r="R151" i="2" a="1"/>
  <c r="R151" i="2" s="1"/>
  <c r="R152" i="2" a="1"/>
  <c r="R152" i="2" s="1"/>
  <c r="R153" i="2" a="1"/>
  <c r="R153" i="2" s="1"/>
  <c r="R154" i="2" a="1"/>
  <c r="R154" i="2" s="1"/>
  <c r="R155" i="2" a="1"/>
  <c r="R155" i="2" s="1"/>
  <c r="R156" i="2" a="1"/>
  <c r="R156" i="2" s="1"/>
  <c r="R157" i="2" a="1"/>
  <c r="R157" i="2" s="1"/>
  <c r="R158" i="2" a="1"/>
  <c r="R158" i="2" s="1"/>
  <c r="R159" i="2" a="1"/>
  <c r="R159" i="2" s="1"/>
  <c r="R160" i="2" a="1"/>
  <c r="R160" i="2" s="1"/>
  <c r="R161" i="2" a="1"/>
  <c r="R161" i="2" s="1"/>
  <c r="R162" i="2" a="1"/>
  <c r="R162" i="2" s="1"/>
  <c r="R163" i="2" a="1"/>
  <c r="R163" i="2" s="1"/>
  <c r="R164" i="2" a="1"/>
  <c r="R164" i="2" s="1"/>
  <c r="R165" i="2" a="1"/>
  <c r="R165" i="2" s="1"/>
  <c r="R166" i="2" a="1"/>
  <c r="R166" i="2" s="1"/>
  <c r="R167" i="2" a="1"/>
  <c r="R167" i="2" s="1"/>
  <c r="R168" i="2" a="1"/>
  <c r="R168" i="2" s="1"/>
  <c r="R169" i="2" a="1"/>
  <c r="R169" i="2" s="1"/>
  <c r="R170" i="2" a="1"/>
  <c r="R170" i="2" s="1"/>
  <c r="R171" i="2" a="1"/>
  <c r="R171" i="2" s="1"/>
  <c r="R172" i="2" a="1"/>
  <c r="R172" i="2" s="1"/>
  <c r="R173" i="2" a="1"/>
  <c r="R173" i="2" s="1"/>
  <c r="R174" i="2" a="1"/>
  <c r="R174" i="2" s="1"/>
  <c r="R175" i="2" a="1"/>
  <c r="R175" i="2" s="1"/>
  <c r="R176" i="2" a="1"/>
  <c r="R176" i="2" s="1"/>
  <c r="R177" i="2" a="1"/>
  <c r="R177" i="2" s="1"/>
  <c r="R178" i="2" a="1"/>
  <c r="R178" i="2" s="1"/>
  <c r="R179" i="2" a="1"/>
  <c r="R179" i="2" s="1"/>
  <c r="R180" i="2" a="1"/>
  <c r="R180" i="2" s="1"/>
  <c r="R181" i="2" a="1"/>
  <c r="R181" i="2" s="1"/>
  <c r="R182" i="2" a="1"/>
  <c r="R182" i="2" s="1"/>
  <c r="R183" i="2" a="1"/>
  <c r="R183" i="2" s="1"/>
  <c r="R184" i="2" a="1"/>
  <c r="R184" i="2" s="1"/>
  <c r="R185" i="2" a="1"/>
  <c r="R185" i="2" s="1"/>
  <c r="R186" i="2" a="1"/>
  <c r="R186" i="2" s="1"/>
  <c r="R187" i="2" a="1"/>
  <c r="R187" i="2" s="1"/>
  <c r="R188" i="2" a="1"/>
  <c r="R188" i="2" s="1"/>
  <c r="R189" i="2" a="1"/>
  <c r="R189" i="2" s="1"/>
  <c r="R190" i="2" a="1"/>
  <c r="R190" i="2" s="1"/>
  <c r="R191" i="2" a="1"/>
  <c r="R191" i="2" s="1"/>
  <c r="R192" i="2" a="1"/>
  <c r="R192" i="2" s="1"/>
  <c r="R193" i="2" a="1"/>
  <c r="R193" i="2" s="1"/>
  <c r="R194" i="2" a="1"/>
  <c r="R194" i="2" s="1"/>
  <c r="R195" i="2" a="1"/>
  <c r="R195" i="2" s="1"/>
  <c r="R196" i="2" a="1"/>
  <c r="R196" i="2" s="1"/>
  <c r="R197" i="2" a="1"/>
  <c r="R197" i="2" s="1"/>
  <c r="R198" i="2" a="1"/>
  <c r="R198" i="2" s="1"/>
  <c r="R199" i="2" a="1"/>
  <c r="R199" i="2" s="1"/>
  <c r="R200" i="2" a="1"/>
  <c r="R200" i="2" s="1"/>
  <c r="R201" i="2" a="1"/>
  <c r="R201" i="2" s="1"/>
  <c r="R202" i="2" a="1"/>
  <c r="R202" i="2" s="1"/>
  <c r="R203" i="2" a="1"/>
  <c r="R203" i="2" s="1"/>
  <c r="R204" i="2" a="1"/>
  <c r="R204" i="2" s="1"/>
  <c r="R205" i="2" a="1"/>
  <c r="R205" i="2" s="1"/>
  <c r="R206" i="2" a="1"/>
  <c r="R206" i="2" s="1"/>
  <c r="R207" i="2" a="1"/>
  <c r="R207" i="2" s="1"/>
  <c r="R208" i="2" a="1"/>
  <c r="R208" i="2" s="1"/>
  <c r="R209" i="2" a="1"/>
  <c r="R209" i="2" s="1"/>
  <c r="R210" i="2" a="1"/>
  <c r="R210" i="2" s="1"/>
  <c r="R211" i="2" a="1"/>
  <c r="R211" i="2" s="1"/>
  <c r="R212" i="2" a="1"/>
  <c r="R212" i="2" s="1"/>
  <c r="R213" i="2" a="1"/>
  <c r="R213" i="2" s="1"/>
  <c r="R214" i="2" a="1"/>
  <c r="R214" i="2" s="1"/>
  <c r="R215" i="2" a="1"/>
  <c r="R215" i="2" s="1"/>
  <c r="R216" i="2" a="1"/>
  <c r="R216" i="2" s="1"/>
  <c r="R217" i="2" a="1"/>
  <c r="R217" i="2" s="1"/>
  <c r="R218" i="2" a="1"/>
  <c r="R218" i="2" s="1"/>
  <c r="R219" i="2" a="1"/>
  <c r="R219" i="2" s="1"/>
  <c r="R220" i="2" a="1"/>
  <c r="R220" i="2" s="1"/>
  <c r="R221" i="2" a="1"/>
  <c r="R221" i="2" s="1"/>
  <c r="R222" i="2" a="1"/>
  <c r="R222" i="2" s="1"/>
  <c r="R223" i="2" a="1"/>
  <c r="R223" i="2" s="1"/>
  <c r="R224" i="2" a="1"/>
  <c r="R224" i="2" s="1"/>
  <c r="R225" i="2" a="1"/>
  <c r="R225" i="2" s="1"/>
  <c r="R226" i="2" a="1"/>
  <c r="R226" i="2" s="1"/>
  <c r="R227" i="2" a="1"/>
  <c r="R227" i="2" s="1"/>
  <c r="R228" i="2" a="1"/>
  <c r="R228" i="2" s="1"/>
  <c r="R229" i="2" a="1"/>
  <c r="R229" i="2" s="1"/>
  <c r="R230" i="2" a="1"/>
  <c r="R230" i="2" s="1"/>
  <c r="R231" i="2" a="1"/>
  <c r="R231" i="2" s="1"/>
  <c r="R232" i="2" a="1"/>
  <c r="R232" i="2" s="1"/>
  <c r="R233" i="2" a="1"/>
  <c r="R233" i="2" s="1"/>
  <c r="R234" i="2" a="1"/>
  <c r="R234" i="2" s="1"/>
  <c r="R235" i="2" a="1"/>
  <c r="R235" i="2" s="1"/>
  <c r="R236" i="2" a="1"/>
  <c r="R236" i="2" s="1"/>
  <c r="R237" i="2" a="1"/>
  <c r="R237" i="2" s="1"/>
  <c r="U237" i="2" s="1"/>
  <c r="R238" i="2" a="1"/>
  <c r="R238" i="2" s="1"/>
  <c r="R239" i="2" a="1"/>
  <c r="R239" i="2" s="1"/>
  <c r="R240" i="2" a="1"/>
  <c r="R240" i="2" s="1"/>
  <c r="R241" i="2" a="1"/>
  <c r="R241" i="2" s="1"/>
  <c r="R242" i="2" a="1"/>
  <c r="R242" i="2" s="1"/>
  <c r="R243" i="2" a="1"/>
  <c r="R243" i="2" s="1"/>
  <c r="R244" i="2" a="1"/>
  <c r="R244" i="2" s="1"/>
  <c r="R245" i="2" a="1"/>
  <c r="R245" i="2" s="1"/>
  <c r="R246" i="2" a="1"/>
  <c r="R246" i="2" s="1"/>
  <c r="R247" i="2" a="1"/>
  <c r="R247" i="2" s="1"/>
  <c r="R248" i="2" a="1"/>
  <c r="R248" i="2" s="1"/>
  <c r="R249" i="2" a="1"/>
  <c r="R249" i="2" s="1"/>
  <c r="R250" i="2" a="1"/>
  <c r="R250" i="2" s="1"/>
  <c r="R251" i="2" a="1"/>
  <c r="R251" i="2" s="1"/>
  <c r="R252" i="2" a="1"/>
  <c r="R252" i="2" s="1"/>
  <c r="R253" i="2" a="1"/>
  <c r="R253" i="2" s="1"/>
  <c r="R254" i="2" a="1"/>
  <c r="R254" i="2" s="1"/>
  <c r="R255" i="2" a="1"/>
  <c r="R255" i="2" s="1"/>
  <c r="R256" i="2" a="1"/>
  <c r="R256" i="2" s="1"/>
  <c r="R257" i="2" a="1"/>
  <c r="R257" i="2" s="1"/>
  <c r="R258" i="2" a="1"/>
  <c r="R258" i="2" s="1"/>
  <c r="R259" i="2" a="1"/>
  <c r="R259" i="2" s="1"/>
  <c r="R260" i="2" a="1"/>
  <c r="R260" i="2" s="1"/>
  <c r="R261" i="2" a="1"/>
  <c r="R261" i="2" s="1"/>
  <c r="R262" i="2" a="1"/>
  <c r="R262" i="2" s="1"/>
  <c r="R263" i="2" a="1"/>
  <c r="R263" i="2" s="1"/>
  <c r="R264" i="2" a="1"/>
  <c r="R264" i="2" s="1"/>
  <c r="R265" i="2" a="1"/>
  <c r="R265" i="2" s="1"/>
  <c r="R266" i="2" a="1"/>
  <c r="R266" i="2" s="1"/>
  <c r="R267" i="2" a="1"/>
  <c r="R267" i="2" s="1"/>
  <c r="R268" i="2" a="1"/>
  <c r="R268" i="2" s="1"/>
  <c r="R269" i="2" a="1"/>
  <c r="R269" i="2" s="1"/>
  <c r="R270" i="2" a="1"/>
  <c r="R270" i="2" s="1"/>
  <c r="U270" i="2" s="1"/>
  <c r="R271" i="2" a="1"/>
  <c r="R271" i="2" s="1"/>
  <c r="R272" i="2" a="1"/>
  <c r="R272" i="2" s="1"/>
  <c r="R273" i="2" a="1"/>
  <c r="R273" i="2" s="1"/>
  <c r="R274" i="2" a="1"/>
  <c r="R274" i="2" s="1"/>
  <c r="R275" i="2" a="1"/>
  <c r="R275" i="2" s="1"/>
  <c r="R276" i="2" a="1"/>
  <c r="R276" i="2" s="1"/>
  <c r="U276" i="2" s="1"/>
  <c r="R277" i="2" a="1"/>
  <c r="R277" i="2" s="1"/>
  <c r="R278" i="2" a="1"/>
  <c r="R278" i="2" s="1"/>
  <c r="R279" i="2" a="1"/>
  <c r="R279" i="2" s="1"/>
  <c r="R280" i="2" a="1"/>
  <c r="R280" i="2" s="1"/>
  <c r="R281" i="2" a="1"/>
  <c r="R281" i="2" s="1"/>
  <c r="R282" i="2" a="1"/>
  <c r="R282" i="2" s="1"/>
  <c r="R283" i="2" a="1"/>
  <c r="R283" i="2" s="1"/>
  <c r="R284" i="2" a="1"/>
  <c r="R284" i="2" s="1"/>
  <c r="R285" i="2" a="1"/>
  <c r="R285" i="2" s="1"/>
  <c r="R286" i="2" a="1"/>
  <c r="R286" i="2" s="1"/>
  <c r="R287" i="2" a="1"/>
  <c r="R287" i="2" s="1"/>
  <c r="R288" i="2" a="1"/>
  <c r="R288" i="2" s="1"/>
  <c r="R289" i="2" a="1"/>
  <c r="R289" i="2" s="1"/>
  <c r="R290" i="2" a="1"/>
  <c r="R290" i="2" s="1"/>
  <c r="R291" i="2" a="1"/>
  <c r="R291" i="2" s="1"/>
  <c r="R292" i="2" a="1"/>
  <c r="R292" i="2" s="1"/>
  <c r="R293" i="2" a="1"/>
  <c r="R293" i="2" s="1"/>
  <c r="R294" i="2" a="1"/>
  <c r="R294" i="2" s="1"/>
  <c r="R295" i="2" a="1"/>
  <c r="R295" i="2" s="1"/>
  <c r="R296" i="2" a="1"/>
  <c r="R296" i="2" s="1"/>
  <c r="R297" i="2" a="1"/>
  <c r="R297" i="2" s="1"/>
  <c r="R298" i="2" a="1"/>
  <c r="R298" i="2" s="1"/>
  <c r="R299" i="2" a="1"/>
  <c r="R299" i="2" s="1"/>
  <c r="R300" i="2" a="1"/>
  <c r="R300" i="2" s="1"/>
  <c r="R301" i="2" a="1"/>
  <c r="R301" i="2" s="1"/>
  <c r="R302" i="2" a="1"/>
  <c r="R302" i="2" s="1"/>
  <c r="R303" i="2" a="1"/>
  <c r="R303" i="2" s="1"/>
  <c r="R304" i="2" a="1"/>
  <c r="R304" i="2" s="1"/>
  <c r="R305" i="2" a="1"/>
  <c r="R305" i="2" s="1"/>
  <c r="R306" i="2" a="1"/>
  <c r="R306" i="2" s="1"/>
  <c r="R307" i="2" a="1"/>
  <c r="R307" i="2" s="1"/>
  <c r="R308" i="2" a="1"/>
  <c r="R308" i="2" s="1"/>
  <c r="R309" i="2" a="1"/>
  <c r="R309" i="2" s="1"/>
  <c r="R310" i="2" a="1"/>
  <c r="R310" i="2" s="1"/>
  <c r="R311" i="2" a="1"/>
  <c r="R311" i="2" s="1"/>
  <c r="R312" i="2" a="1"/>
  <c r="R312" i="2" s="1"/>
  <c r="R313" i="2" a="1"/>
  <c r="R313" i="2" s="1"/>
  <c r="R314" i="2" a="1"/>
  <c r="R314" i="2" s="1"/>
  <c r="R315" i="2" a="1"/>
  <c r="R315" i="2" s="1"/>
  <c r="R316" i="2" a="1"/>
  <c r="R316" i="2" s="1"/>
  <c r="R317" i="2" a="1"/>
  <c r="R317" i="2" s="1"/>
  <c r="R318" i="2" a="1"/>
  <c r="R318" i="2" s="1"/>
  <c r="R319" i="2" a="1"/>
  <c r="R319" i="2" s="1"/>
  <c r="R320" i="2" a="1"/>
  <c r="R320" i="2" s="1"/>
  <c r="R321" i="2" a="1"/>
  <c r="R321" i="2" s="1"/>
  <c r="R322" i="2" a="1"/>
  <c r="R322" i="2" s="1"/>
  <c r="R323" i="2" a="1"/>
  <c r="R323" i="2" s="1"/>
  <c r="R324" i="2" a="1"/>
  <c r="R324" i="2" s="1"/>
  <c r="R325" i="2" a="1"/>
  <c r="R325" i="2" s="1"/>
  <c r="R326" i="2" a="1"/>
  <c r="R326" i="2" s="1"/>
  <c r="R327" i="2" a="1"/>
  <c r="R327" i="2" s="1"/>
  <c r="R328" i="2" a="1"/>
  <c r="R328" i="2" s="1"/>
  <c r="R329" i="2" a="1"/>
  <c r="R329" i="2" s="1"/>
  <c r="R330" i="2" a="1"/>
  <c r="R330" i="2" s="1"/>
  <c r="R331" i="2" a="1"/>
  <c r="R331" i="2" s="1"/>
  <c r="R332" i="2" a="1"/>
  <c r="R332" i="2" s="1"/>
  <c r="R333" i="2" a="1"/>
  <c r="R333" i="2" s="1"/>
  <c r="R334" i="2" a="1"/>
  <c r="R334" i="2" s="1"/>
  <c r="R335" i="2" a="1"/>
  <c r="R335" i="2" s="1"/>
  <c r="R336" i="2" a="1"/>
  <c r="R336" i="2" s="1"/>
  <c r="R337" i="2" a="1"/>
  <c r="R337" i="2" s="1"/>
  <c r="R338" i="2" a="1"/>
  <c r="R338" i="2" s="1"/>
  <c r="R339" i="2" a="1"/>
  <c r="R339" i="2" s="1"/>
  <c r="R340" i="2" a="1"/>
  <c r="R340" i="2" s="1"/>
  <c r="R341" i="2" a="1"/>
  <c r="R341" i="2" s="1"/>
  <c r="R342" i="2" a="1"/>
  <c r="R342" i="2" s="1"/>
  <c r="R343" i="2" a="1"/>
  <c r="R343" i="2" s="1"/>
  <c r="R344" i="2" a="1"/>
  <c r="R344" i="2" s="1"/>
  <c r="R345" i="2" a="1"/>
  <c r="R345" i="2" s="1"/>
  <c r="R346" i="2" a="1"/>
  <c r="R346" i="2" s="1"/>
  <c r="R347" i="2" a="1"/>
  <c r="R347" i="2" s="1"/>
  <c r="R348" i="2" a="1"/>
  <c r="R348" i="2" s="1"/>
  <c r="R349" i="2" a="1"/>
  <c r="R349" i="2" s="1"/>
  <c r="R350" i="2" a="1"/>
  <c r="R350" i="2" s="1"/>
  <c r="R351" i="2" a="1"/>
  <c r="R351" i="2" s="1"/>
  <c r="R352" i="2" a="1"/>
  <c r="R352" i="2" s="1"/>
  <c r="R353" i="2" a="1"/>
  <c r="R353" i="2" s="1"/>
  <c r="R354" i="2" a="1"/>
  <c r="R354" i="2" s="1"/>
  <c r="R355" i="2" a="1"/>
  <c r="R355" i="2" s="1"/>
  <c r="R356" i="2" a="1"/>
  <c r="R356" i="2" s="1"/>
  <c r="R357" i="2" a="1"/>
  <c r="R357" i="2" s="1"/>
  <c r="R358" i="2" a="1"/>
  <c r="R358" i="2" s="1"/>
  <c r="R359" i="2" a="1"/>
  <c r="R359" i="2" s="1"/>
  <c r="R360" i="2" a="1"/>
  <c r="R360" i="2" s="1"/>
  <c r="R361" i="2" a="1"/>
  <c r="R361" i="2" s="1"/>
  <c r="R362" i="2" a="1"/>
  <c r="R362" i="2" s="1"/>
  <c r="R363" i="2" a="1"/>
  <c r="R363" i="2" s="1"/>
  <c r="R364" i="2" a="1"/>
  <c r="R364" i="2" s="1"/>
  <c r="R365" i="2" a="1"/>
  <c r="R365" i="2" s="1"/>
  <c r="R366" i="2" a="1"/>
  <c r="R366" i="2" s="1"/>
  <c r="R367" i="2" a="1"/>
  <c r="R367" i="2" s="1"/>
  <c r="R368" i="2" a="1"/>
  <c r="R368" i="2" s="1"/>
  <c r="R369" i="2" a="1"/>
  <c r="R369" i="2" s="1"/>
  <c r="R370" i="2" a="1"/>
  <c r="R370" i="2" s="1"/>
  <c r="R371" i="2" a="1"/>
  <c r="R371" i="2" s="1"/>
  <c r="R372" i="2" a="1"/>
  <c r="R372" i="2" s="1"/>
  <c r="R373" i="2" a="1"/>
  <c r="R373" i="2" s="1"/>
  <c r="U373" i="2" s="1"/>
  <c r="R374" i="2" a="1"/>
  <c r="R374" i="2" s="1"/>
  <c r="R375" i="2" a="1"/>
  <c r="R375" i="2" s="1"/>
  <c r="R376" i="2" a="1"/>
  <c r="R376" i="2" s="1"/>
  <c r="R377" i="2" a="1"/>
  <c r="R377" i="2" s="1"/>
  <c r="R378" i="2" a="1"/>
  <c r="R378" i="2" s="1"/>
  <c r="R379" i="2" a="1"/>
  <c r="R379" i="2" s="1"/>
  <c r="R380" i="2" a="1"/>
  <c r="R380" i="2" s="1"/>
  <c r="R381" i="2" a="1"/>
  <c r="R381" i="2" s="1"/>
  <c r="R382" i="2" a="1"/>
  <c r="R382" i="2" s="1"/>
  <c r="R383" i="2" a="1"/>
  <c r="R383" i="2" s="1"/>
  <c r="R384" i="2" a="1"/>
  <c r="R384" i="2" s="1"/>
  <c r="R385" i="2" a="1"/>
  <c r="R385" i="2" s="1"/>
  <c r="R386" i="2" a="1"/>
  <c r="R386" i="2" s="1"/>
  <c r="R387" i="2" a="1"/>
  <c r="R387" i="2" s="1"/>
  <c r="R388" i="2" a="1"/>
  <c r="R388" i="2" s="1"/>
  <c r="R389" i="2" a="1"/>
  <c r="R389" i="2" s="1"/>
  <c r="R390" i="2" a="1"/>
  <c r="R390" i="2" s="1"/>
  <c r="R391" i="2" a="1"/>
  <c r="R391" i="2" s="1"/>
  <c r="R392" i="2" a="1"/>
  <c r="R392" i="2" s="1"/>
  <c r="R393" i="2" a="1"/>
  <c r="R393" i="2" s="1"/>
  <c r="R394" i="2" a="1"/>
  <c r="R394" i="2" s="1"/>
  <c r="R395" i="2" a="1"/>
  <c r="R395" i="2" s="1"/>
  <c r="R396" i="2" a="1"/>
  <c r="R396" i="2" s="1"/>
  <c r="R397" i="2" a="1"/>
  <c r="R397" i="2" s="1"/>
  <c r="R398" i="2" a="1"/>
  <c r="R398" i="2" s="1"/>
  <c r="R399" i="2" a="1"/>
  <c r="R399" i="2" s="1"/>
  <c r="R400" i="2" a="1"/>
  <c r="R400" i="2" s="1"/>
  <c r="R401" i="2" a="1"/>
  <c r="R401" i="2" s="1"/>
  <c r="R402" i="2" a="1"/>
  <c r="R402" i="2" s="1"/>
  <c r="R403" i="2" a="1"/>
  <c r="R403" i="2" s="1"/>
  <c r="R404" i="2" a="1"/>
  <c r="R404" i="2" s="1"/>
  <c r="R405" i="2" a="1"/>
  <c r="R405" i="2" s="1"/>
  <c r="R406" i="2" a="1"/>
  <c r="R406" i="2" s="1"/>
  <c r="R407" i="2" a="1"/>
  <c r="R407" i="2" s="1"/>
  <c r="R408" i="2" a="1"/>
  <c r="R408" i="2" s="1"/>
  <c r="R409" i="2" a="1"/>
  <c r="R409" i="2" s="1"/>
  <c r="R410" i="2" a="1"/>
  <c r="R410" i="2" s="1"/>
  <c r="R411" i="2" a="1"/>
  <c r="R411" i="2"/>
  <c r="R412" i="2" a="1"/>
  <c r="R412" i="2" s="1"/>
  <c r="R413" i="2" a="1"/>
  <c r="R413" i="2" s="1"/>
  <c r="R414" i="2" a="1"/>
  <c r="R414" i="2" s="1"/>
  <c r="R415" i="2" a="1"/>
  <c r="R415" i="2" s="1"/>
  <c r="R416" i="2" a="1"/>
  <c r="R416" i="2" s="1"/>
  <c r="R417" i="2" a="1"/>
  <c r="R417" i="2" s="1"/>
  <c r="R418" i="2" a="1"/>
  <c r="R418" i="2" s="1"/>
  <c r="R419" i="2" a="1"/>
  <c r="R419" i="2" s="1"/>
  <c r="R420" i="2" a="1"/>
  <c r="R420" i="2" s="1"/>
  <c r="R421" i="2" a="1"/>
  <c r="R421" i="2" s="1"/>
  <c r="R422" i="2" a="1"/>
  <c r="R422" i="2" s="1"/>
  <c r="R423" i="2" a="1"/>
  <c r="R423" i="2" s="1"/>
  <c r="R424" i="2" a="1"/>
  <c r="R424" i="2" s="1"/>
  <c r="R425" i="2" a="1"/>
  <c r="R425" i="2" s="1"/>
  <c r="R426" i="2" a="1"/>
  <c r="R426" i="2" s="1"/>
  <c r="R427" i="2" a="1"/>
  <c r="R427" i="2" s="1"/>
  <c r="R428" i="2" a="1"/>
  <c r="R428" i="2" s="1"/>
  <c r="R429" i="2" a="1"/>
  <c r="R429" i="2" s="1"/>
  <c r="R430" i="2" a="1"/>
  <c r="R430" i="2" s="1"/>
  <c r="R431" i="2" a="1"/>
  <c r="R431" i="2" s="1"/>
  <c r="R432" i="2" a="1"/>
  <c r="R432" i="2" s="1"/>
  <c r="R433" i="2" a="1"/>
  <c r="R433" i="2" s="1"/>
  <c r="R434" i="2" a="1"/>
  <c r="R434" i="2"/>
  <c r="R435" i="2" a="1"/>
  <c r="R435" i="2" s="1"/>
  <c r="R436" i="2" a="1"/>
  <c r="R436" i="2" s="1"/>
  <c r="R437" i="2" a="1"/>
  <c r="R437" i="2" s="1"/>
  <c r="U437" i="2" s="1"/>
  <c r="R438" i="2" a="1"/>
  <c r="R438" i="2" s="1"/>
  <c r="R439" i="2" a="1"/>
  <c r="R439" i="2" s="1"/>
  <c r="R440" i="2" a="1"/>
  <c r="R440" i="2" s="1"/>
  <c r="R441" i="2" a="1"/>
  <c r="R441" i="2" s="1"/>
  <c r="R442" i="2" a="1"/>
  <c r="R442" i="2" s="1"/>
  <c r="R443" i="2" a="1"/>
  <c r="R443" i="2" s="1"/>
  <c r="R444" i="2" a="1"/>
  <c r="R444" i="2" s="1"/>
  <c r="R445" i="2" a="1"/>
  <c r="R445" i="2" s="1"/>
  <c r="R446" i="2" a="1"/>
  <c r="R446" i="2" s="1"/>
  <c r="R447" i="2" a="1"/>
  <c r="R447" i="2" s="1"/>
  <c r="R448" i="2" a="1"/>
  <c r="R448" i="2" s="1"/>
  <c r="R449" i="2" a="1"/>
  <c r="R449" i="2" s="1"/>
  <c r="R450" i="2" a="1"/>
  <c r="R450" i="2" s="1"/>
  <c r="R451" i="2" a="1"/>
  <c r="R451" i="2" s="1"/>
  <c r="R452" i="2" a="1"/>
  <c r="R452" i="2" s="1"/>
  <c r="R453" i="2" a="1"/>
  <c r="R453" i="2" s="1"/>
  <c r="R454" i="2" a="1"/>
  <c r="R454" i="2" s="1"/>
  <c r="R455" i="2" a="1"/>
  <c r="R455" i="2" s="1"/>
  <c r="R456" i="2" a="1"/>
  <c r="R456" i="2" s="1"/>
  <c r="R457" i="2" a="1"/>
  <c r="R457" i="2"/>
  <c r="R458" i="2" a="1"/>
  <c r="R458" i="2"/>
  <c r="R459" i="2" a="1"/>
  <c r="R459" i="2" s="1"/>
  <c r="R460" i="2" a="1"/>
  <c r="R460" i="2" s="1"/>
  <c r="R461" i="2" a="1"/>
  <c r="R461" i="2" s="1"/>
  <c r="R462" i="2" a="1"/>
  <c r="R462" i="2" s="1"/>
  <c r="R463" i="2" a="1"/>
  <c r="R463" i="2"/>
  <c r="R464" i="2" a="1"/>
  <c r="R464" i="2" s="1"/>
  <c r="R465" i="2" a="1"/>
  <c r="R465" i="2" s="1"/>
  <c r="R466" i="2" a="1"/>
  <c r="R466" i="2" s="1"/>
  <c r="R467" i="2" a="1"/>
  <c r="R467" i="2" s="1"/>
  <c r="R468" i="2" a="1"/>
  <c r="R468" i="2" s="1"/>
  <c r="R469" i="2" a="1"/>
  <c r="R469" i="2" s="1"/>
  <c r="U469" i="2" s="1"/>
  <c r="R470" i="2" a="1"/>
  <c r="R470" i="2" s="1"/>
  <c r="R471" i="2" a="1"/>
  <c r="R471" i="2" s="1"/>
  <c r="R472" i="2" a="1"/>
  <c r="R472" i="2" s="1"/>
  <c r="R473" i="2" a="1"/>
  <c r="R473" i="2" s="1"/>
  <c r="R474" i="2" a="1"/>
  <c r="R474" i="2" s="1"/>
  <c r="R475" i="2" a="1"/>
  <c r="R475" i="2" s="1"/>
  <c r="R476" i="2" a="1"/>
  <c r="R476" i="2" s="1"/>
  <c r="R477" i="2" a="1"/>
  <c r="R477" i="2" s="1"/>
  <c r="R478" i="2" a="1"/>
  <c r="R478" i="2" s="1"/>
  <c r="R479" i="2" a="1"/>
  <c r="R479" i="2" s="1"/>
  <c r="R480" i="2" a="1"/>
  <c r="R480" i="2" s="1"/>
  <c r="R481" i="2" a="1"/>
  <c r="R481" i="2" s="1"/>
  <c r="R482" i="2" a="1"/>
  <c r="R482" i="2" s="1"/>
  <c r="R483" i="2" a="1"/>
  <c r="R483" i="2" s="1"/>
  <c r="U483" i="2" s="1"/>
  <c r="R484" i="2" a="1"/>
  <c r="R484" i="2" s="1"/>
  <c r="R485" i="2" a="1"/>
  <c r="R485" i="2" s="1"/>
  <c r="R486" i="2" a="1"/>
  <c r="R486" i="2" s="1"/>
  <c r="R487" i="2" a="1"/>
  <c r="R487" i="2" s="1"/>
  <c r="R488" i="2" a="1"/>
  <c r="R488" i="2" s="1"/>
  <c r="R489" i="2" a="1"/>
  <c r="R489" i="2" s="1"/>
  <c r="R490" i="2" a="1"/>
  <c r="R490" i="2" s="1"/>
  <c r="R491" i="2" a="1"/>
  <c r="R491" i="2" s="1"/>
  <c r="R492" i="2" a="1"/>
  <c r="R492" i="2" s="1"/>
  <c r="R493" i="2" a="1"/>
  <c r="R493" i="2" s="1"/>
  <c r="R494" i="2" a="1"/>
  <c r="R494" i="2" s="1"/>
  <c r="R495" i="2" a="1"/>
  <c r="R495" i="2" s="1"/>
  <c r="R496" i="2" a="1"/>
  <c r="R496" i="2" s="1"/>
  <c r="R497" i="2" a="1"/>
  <c r="R497" i="2" s="1"/>
  <c r="R498" i="2" a="1"/>
  <c r="R498" i="2" s="1"/>
  <c r="R499" i="2" a="1"/>
  <c r="R499" i="2" s="1"/>
  <c r="R500" i="2" a="1"/>
  <c r="R500" i="2" s="1"/>
  <c r="R501" i="2" a="1"/>
  <c r="R501" i="2" s="1"/>
  <c r="R502" i="2" a="1"/>
  <c r="R502" i="2" s="1"/>
  <c r="R503" i="2" a="1"/>
  <c r="R503" i="2" s="1"/>
  <c r="R504" i="2" a="1"/>
  <c r="R504" i="2" s="1"/>
  <c r="R505" i="2" a="1"/>
  <c r="R505" i="2" s="1"/>
  <c r="R506" i="2" a="1"/>
  <c r="R506" i="2" s="1"/>
  <c r="R507" i="2" a="1"/>
  <c r="R507" i="2" s="1"/>
  <c r="R508" i="2" a="1"/>
  <c r="R508" i="2" s="1"/>
  <c r="R509" i="2" a="1"/>
  <c r="R509" i="2" s="1"/>
  <c r="R510" i="2" a="1"/>
  <c r="R510" i="2" s="1"/>
  <c r="R511" i="2" a="1"/>
  <c r="R511" i="2" s="1"/>
  <c r="R512" i="2" a="1"/>
  <c r="R512" i="2" s="1"/>
  <c r="R513" i="2" a="1"/>
  <c r="R513" i="2" s="1"/>
  <c r="R514" i="2" a="1"/>
  <c r="R514" i="2" s="1"/>
  <c r="R515" i="2" a="1"/>
  <c r="R515" i="2" s="1"/>
  <c r="U515" i="2" s="1"/>
  <c r="R516" i="2" a="1"/>
  <c r="R516" i="2" s="1"/>
  <c r="R517" i="2" a="1"/>
  <c r="R517" i="2" s="1"/>
  <c r="R518" i="2" a="1"/>
  <c r="R518" i="2" s="1"/>
  <c r="R519" i="2" a="1"/>
  <c r="R519" i="2" s="1"/>
  <c r="R520" i="2" a="1"/>
  <c r="R520" i="2" s="1"/>
  <c r="R521" i="2" a="1"/>
  <c r="R521" i="2" s="1"/>
  <c r="R522" i="2" a="1"/>
  <c r="R522" i="2"/>
  <c r="R523" i="2" a="1"/>
  <c r="R523" i="2" s="1"/>
  <c r="R524" i="2" a="1"/>
  <c r="R524" i="2" s="1"/>
  <c r="R525" i="2" a="1"/>
  <c r="R525" i="2" s="1"/>
  <c r="R526" i="2" a="1"/>
  <c r="R526" i="2" s="1"/>
  <c r="R527" i="2" a="1"/>
  <c r="R527" i="2" s="1"/>
  <c r="R528" i="2" a="1"/>
  <c r="R528" i="2" s="1"/>
  <c r="R529" i="2" a="1"/>
  <c r="R529" i="2" s="1"/>
  <c r="R530" i="2" a="1"/>
  <c r="R530" i="2" s="1"/>
  <c r="R531" i="2" a="1"/>
  <c r="R531" i="2" s="1"/>
  <c r="R532" i="2" a="1"/>
  <c r="R532" i="2" s="1"/>
  <c r="R533" i="2" a="1"/>
  <c r="R533" i="2" s="1"/>
  <c r="R534" i="2" a="1"/>
  <c r="R534" i="2" s="1"/>
  <c r="R535" i="2" a="1"/>
  <c r="R535" i="2" s="1"/>
  <c r="R536" i="2" a="1"/>
  <c r="R536" i="2" s="1"/>
  <c r="R537" i="2" a="1"/>
  <c r="R537" i="2" s="1"/>
  <c r="R538" i="2" a="1"/>
  <c r="R538" i="2" s="1"/>
  <c r="R539" i="2" a="1"/>
  <c r="R539" i="2" s="1"/>
  <c r="R540" i="2" a="1"/>
  <c r="R540" i="2" s="1"/>
  <c r="R541" i="2" a="1"/>
  <c r="R541" i="2" s="1"/>
  <c r="R542" i="2" a="1"/>
  <c r="R542" i="2" s="1"/>
  <c r="R543" i="2" a="1"/>
  <c r="R543" i="2" s="1"/>
  <c r="R544" i="2" a="1"/>
  <c r="R544" i="2" s="1"/>
  <c r="R545" i="2" a="1"/>
  <c r="R545" i="2" s="1"/>
  <c r="R546" i="2" a="1"/>
  <c r="R546" i="2" s="1"/>
  <c r="R547" i="2" a="1"/>
  <c r="R547" i="2" s="1"/>
  <c r="R548" i="2" a="1"/>
  <c r="R548" i="2" s="1"/>
  <c r="R549" i="2" a="1"/>
  <c r="R549" i="2" s="1"/>
  <c r="R550" i="2" a="1"/>
  <c r="R550" i="2" s="1"/>
  <c r="R551" i="2" a="1"/>
  <c r="R551" i="2" s="1"/>
  <c r="R552" i="2" a="1"/>
  <c r="R552" i="2" s="1"/>
  <c r="R553" i="2" a="1"/>
  <c r="R553" i="2" s="1"/>
  <c r="R554" i="2" a="1"/>
  <c r="R554" i="2" s="1"/>
  <c r="R555" i="2" a="1"/>
  <c r="R555" i="2" s="1"/>
  <c r="R556" i="2" a="1"/>
  <c r="R556" i="2" s="1"/>
  <c r="R557" i="2" a="1"/>
  <c r="R557" i="2" s="1"/>
  <c r="R558" i="2" a="1"/>
  <c r="R558" i="2" s="1"/>
  <c r="R559" i="2" a="1"/>
  <c r="R559" i="2" s="1"/>
  <c r="R560" i="2" a="1"/>
  <c r="R560" i="2" s="1"/>
  <c r="R561" i="2" a="1"/>
  <c r="R561" i="2" s="1"/>
  <c r="R562" i="2" a="1"/>
  <c r="R562" i="2" s="1"/>
  <c r="R563" i="2" a="1"/>
  <c r="R563" i="2" s="1"/>
  <c r="R564" i="2" a="1"/>
  <c r="R564" i="2" s="1"/>
  <c r="R565" i="2" a="1"/>
  <c r="R565" i="2" s="1"/>
  <c r="U565" i="2" s="1"/>
  <c r="R566" i="2" a="1"/>
  <c r="R566" i="2" s="1"/>
  <c r="R567" i="2" a="1"/>
  <c r="R567" i="2" s="1"/>
  <c r="R568" i="2" a="1"/>
  <c r="R568" i="2" s="1"/>
  <c r="R569" i="2" a="1"/>
  <c r="R569" i="2" s="1"/>
  <c r="R570" i="2" a="1"/>
  <c r="R570" i="2" s="1"/>
  <c r="R571" i="2" a="1"/>
  <c r="R571" i="2" s="1"/>
  <c r="R572" i="2" a="1"/>
  <c r="R572" i="2" s="1"/>
  <c r="R573" i="2" a="1"/>
  <c r="R573" i="2" s="1"/>
  <c r="R574" i="2" a="1"/>
  <c r="R574" i="2" s="1"/>
  <c r="R575" i="2" a="1"/>
  <c r="R575" i="2" s="1"/>
  <c r="R576" i="2" a="1"/>
  <c r="R576" i="2" s="1"/>
  <c r="R577" i="2" a="1"/>
  <c r="R577" i="2" s="1"/>
  <c r="R578" i="2" a="1"/>
  <c r="R578" i="2" s="1"/>
  <c r="R579" i="2" a="1"/>
  <c r="R579" i="2" s="1"/>
  <c r="R580" i="2" a="1"/>
  <c r="R580" i="2" s="1"/>
  <c r="R581" i="2" a="1"/>
  <c r="R581" i="2" s="1"/>
  <c r="R582" i="2" a="1"/>
  <c r="R582" i="2" s="1"/>
  <c r="R583" i="2" a="1"/>
  <c r="R583" i="2" s="1"/>
  <c r="R584" i="2" a="1"/>
  <c r="R584" i="2" s="1"/>
  <c r="R585" i="2" a="1"/>
  <c r="R585" i="2" s="1"/>
  <c r="R586" i="2" a="1"/>
  <c r="R586" i="2" s="1"/>
  <c r="R587" i="2" a="1"/>
  <c r="R587" i="2" s="1"/>
  <c r="R588" i="2" a="1"/>
  <c r="R588" i="2" s="1"/>
  <c r="R589" i="2" a="1"/>
  <c r="R589" i="2" s="1"/>
  <c r="R590" i="2" a="1"/>
  <c r="R590" i="2" s="1"/>
  <c r="R591" i="2" a="1"/>
  <c r="R591" i="2"/>
  <c r="R592" i="2" a="1"/>
  <c r="R592" i="2" s="1"/>
  <c r="R593" i="2" a="1"/>
  <c r="R593" i="2" s="1"/>
  <c r="R594" i="2" a="1"/>
  <c r="R594" i="2" s="1"/>
  <c r="R595" i="2" a="1"/>
  <c r="R595" i="2" s="1"/>
  <c r="R596" i="2" a="1"/>
  <c r="R596" i="2" s="1"/>
  <c r="R597" i="2" a="1"/>
  <c r="R597" i="2" s="1"/>
  <c r="U597" i="2" s="1"/>
  <c r="R598" i="2" a="1"/>
  <c r="R598" i="2" s="1"/>
  <c r="R599" i="2" a="1"/>
  <c r="R599" i="2" s="1"/>
  <c r="R600" i="2" a="1"/>
  <c r="R600" i="2" s="1"/>
  <c r="R601" i="2" a="1"/>
  <c r="R601" i="2" s="1"/>
  <c r="R602" i="2" a="1"/>
  <c r="R602" i="2" s="1"/>
  <c r="R603" i="2" a="1"/>
  <c r="R603" i="2" s="1"/>
  <c r="R604" i="2" a="1"/>
  <c r="R604" i="2" s="1"/>
  <c r="R605" i="2" a="1"/>
  <c r="R605" i="2" s="1"/>
  <c r="R606" i="2" a="1"/>
  <c r="R606" i="2" s="1"/>
  <c r="R607" i="2" a="1"/>
  <c r="R607" i="2" s="1"/>
  <c r="R608" i="2" a="1"/>
  <c r="R608" i="2" s="1"/>
  <c r="R609" i="2" a="1"/>
  <c r="R609" i="2" s="1"/>
  <c r="R610" i="2" a="1"/>
  <c r="R610" i="2" s="1"/>
  <c r="R611" i="2" a="1"/>
  <c r="R611" i="2" s="1"/>
  <c r="R612" i="2" a="1"/>
  <c r="R612" i="2" s="1"/>
  <c r="R613" i="2" a="1"/>
  <c r="R613" i="2" s="1"/>
  <c r="R614" i="2" a="1"/>
  <c r="R614" i="2" s="1"/>
  <c r="R615" i="2" a="1"/>
  <c r="R615" i="2" s="1"/>
  <c r="R616" i="2" a="1"/>
  <c r="R616" i="2" s="1"/>
  <c r="R617" i="2" a="1"/>
  <c r="R617" i="2" s="1"/>
  <c r="R618" i="2" a="1"/>
  <c r="R618" i="2" s="1"/>
  <c r="R619" i="2" a="1"/>
  <c r="R619" i="2" s="1"/>
  <c r="R620" i="2" a="1"/>
  <c r="R620" i="2" s="1"/>
  <c r="R621" i="2" a="1"/>
  <c r="R621" i="2" s="1"/>
  <c r="R622" i="2" a="1"/>
  <c r="R622" i="2" s="1"/>
  <c r="R623" i="2" a="1"/>
  <c r="R623" i="2" s="1"/>
  <c r="R624" i="2" a="1"/>
  <c r="R624" i="2" s="1"/>
  <c r="R625" i="2" a="1"/>
  <c r="R625" i="2" s="1"/>
  <c r="R626" i="2" a="1"/>
  <c r="R626" i="2" s="1"/>
  <c r="R627" i="2" a="1"/>
  <c r="R627" i="2" s="1"/>
  <c r="R628" i="2" a="1"/>
  <c r="R628" i="2" s="1"/>
  <c r="R629" i="2" a="1"/>
  <c r="R629" i="2" s="1"/>
  <c r="R630" i="2" a="1"/>
  <c r="R630" i="2" s="1"/>
  <c r="R631" i="2" a="1"/>
  <c r="R631" i="2" s="1"/>
  <c r="R632" i="2" a="1"/>
  <c r="R632" i="2" s="1"/>
  <c r="R633" i="2" a="1"/>
  <c r="R633" i="2" s="1"/>
  <c r="R634" i="2" a="1"/>
  <c r="R634" i="2" s="1"/>
  <c r="R635" i="2" a="1"/>
  <c r="R635" i="2" s="1"/>
  <c r="R636" i="2" a="1"/>
  <c r="R636" i="2" s="1"/>
  <c r="R637" i="2" a="1"/>
  <c r="R637" i="2" s="1"/>
  <c r="R638" i="2" a="1"/>
  <c r="R638" i="2" s="1"/>
  <c r="R639" i="2" a="1"/>
  <c r="R639" i="2" s="1"/>
  <c r="R640" i="2" a="1"/>
  <c r="R640" i="2" s="1"/>
  <c r="R641" i="2" a="1"/>
  <c r="R641" i="2" s="1"/>
  <c r="R642" i="2" a="1"/>
  <c r="R642" i="2" s="1"/>
  <c r="R643" i="2" a="1"/>
  <c r="R643" i="2" s="1"/>
  <c r="R644" i="2" a="1"/>
  <c r="R644" i="2" s="1"/>
  <c r="R645" i="2" a="1"/>
  <c r="R645" i="2" s="1"/>
  <c r="R646" i="2" a="1"/>
  <c r="R646" i="2" s="1"/>
  <c r="R647" i="2" a="1"/>
  <c r="R647" i="2" s="1"/>
  <c r="R648" i="2" a="1"/>
  <c r="R648" i="2" s="1"/>
  <c r="R649" i="2" a="1"/>
  <c r="R649" i="2" s="1"/>
  <c r="R650" i="2" a="1"/>
  <c r="R650" i="2" s="1"/>
  <c r="R651" i="2" a="1"/>
  <c r="R651" i="2" s="1"/>
  <c r="R652" i="2" a="1"/>
  <c r="R652" i="2" s="1"/>
  <c r="R653" i="2" a="1"/>
  <c r="R653" i="2" s="1"/>
  <c r="R654" i="2" a="1"/>
  <c r="R654" i="2" s="1"/>
  <c r="R655" i="2" a="1"/>
  <c r="R655" i="2" s="1"/>
  <c r="R656" i="2" a="1"/>
  <c r="R656" i="2" s="1"/>
  <c r="R657" i="2" a="1"/>
  <c r="R657" i="2" s="1"/>
  <c r="R658" i="2" a="1"/>
  <c r="R658" i="2" s="1"/>
  <c r="R659" i="2" a="1"/>
  <c r="R659" i="2" s="1"/>
  <c r="R660" i="2" a="1"/>
  <c r="R660" i="2" s="1"/>
  <c r="R661" i="2" a="1"/>
  <c r="R661" i="2" s="1"/>
  <c r="U661" i="2" s="1"/>
  <c r="R662" i="2" a="1"/>
  <c r="R662" i="2" s="1"/>
  <c r="R663" i="2" a="1"/>
  <c r="R663" i="2" s="1"/>
  <c r="R664" i="2" a="1"/>
  <c r="R664" i="2" s="1"/>
  <c r="R665" i="2" a="1"/>
  <c r="R665" i="2" s="1"/>
  <c r="R666" i="2" a="1"/>
  <c r="R666" i="2" s="1"/>
  <c r="R667" i="2" a="1"/>
  <c r="R667" i="2" s="1"/>
  <c r="R668" i="2" a="1"/>
  <c r="R668" i="2" s="1"/>
  <c r="R669" i="2" a="1"/>
  <c r="R669" i="2" s="1"/>
  <c r="R670" i="2" a="1"/>
  <c r="R670" i="2" s="1"/>
  <c r="R671" i="2" a="1"/>
  <c r="R671" i="2" s="1"/>
  <c r="R672" i="2" a="1"/>
  <c r="R672" i="2" s="1"/>
  <c r="R673" i="2" a="1"/>
  <c r="R673" i="2" s="1"/>
  <c r="R674" i="2" a="1"/>
  <c r="R674" i="2" s="1"/>
  <c r="R675" i="2" a="1"/>
  <c r="R675" i="2" s="1"/>
  <c r="R676" i="2" a="1"/>
  <c r="R676" i="2" s="1"/>
  <c r="R677" i="2" a="1"/>
  <c r="R677" i="2" s="1"/>
  <c r="R678" i="2" a="1"/>
  <c r="R678" i="2" s="1"/>
  <c r="R679" i="2" a="1"/>
  <c r="R679" i="2" s="1"/>
  <c r="R680" i="2" a="1"/>
  <c r="R680" i="2" s="1"/>
  <c r="R681" i="2" a="1"/>
  <c r="R681" i="2" s="1"/>
  <c r="R682" i="2" a="1"/>
  <c r="R682" i="2" s="1"/>
  <c r="R683" i="2" a="1"/>
  <c r="R683" i="2" s="1"/>
  <c r="R684" i="2" a="1"/>
  <c r="R684" i="2" s="1"/>
  <c r="R685" i="2" a="1"/>
  <c r="R685" i="2" s="1"/>
  <c r="R686" i="2" a="1"/>
  <c r="R686" i="2" s="1"/>
  <c r="R687" i="2" a="1"/>
  <c r="R687" i="2" s="1"/>
  <c r="R688" i="2" a="1"/>
  <c r="R688" i="2" s="1"/>
  <c r="R689" i="2" a="1"/>
  <c r="R689" i="2" s="1"/>
  <c r="R690" i="2" a="1"/>
  <c r="R690" i="2" s="1"/>
  <c r="R691" i="2" a="1"/>
  <c r="R691" i="2" s="1"/>
  <c r="R692" i="2" a="1"/>
  <c r="R692" i="2" s="1"/>
  <c r="R693" i="2" a="1"/>
  <c r="R693" i="2" s="1"/>
  <c r="R694" i="2" a="1"/>
  <c r="R694" i="2" s="1"/>
  <c r="R695" i="2" a="1"/>
  <c r="R695" i="2" s="1"/>
  <c r="R696" i="2" a="1"/>
  <c r="R696" i="2" s="1"/>
  <c r="R697" i="2" a="1"/>
  <c r="R697" i="2" s="1"/>
  <c r="R698" i="2" a="1"/>
  <c r="R698" i="2" s="1"/>
  <c r="R699" i="2" a="1"/>
  <c r="R699" i="2" s="1"/>
  <c r="R700" i="2" a="1"/>
  <c r="R700" i="2" s="1"/>
  <c r="R701" i="2" a="1"/>
  <c r="R701" i="2" s="1"/>
  <c r="R702" i="2" a="1"/>
  <c r="R702" i="2" s="1"/>
  <c r="R703" i="2" a="1"/>
  <c r="R703" i="2" s="1"/>
  <c r="R704" i="2" a="1"/>
  <c r="R704" i="2" s="1"/>
  <c r="R705" i="2" a="1"/>
  <c r="R705" i="2" s="1"/>
  <c r="R706" i="2" a="1"/>
  <c r="R706" i="2" s="1"/>
  <c r="R707" i="2" a="1"/>
  <c r="R707" i="2" s="1"/>
  <c r="R708" i="2" a="1"/>
  <c r="R708" i="2" s="1"/>
  <c r="R709" i="2" a="1"/>
  <c r="R709" i="2" s="1"/>
  <c r="R710" i="2" a="1"/>
  <c r="R710" i="2" s="1"/>
  <c r="R711" i="2" a="1"/>
  <c r="R711" i="2" s="1"/>
  <c r="R712" i="2" a="1"/>
  <c r="R712" i="2" s="1"/>
  <c r="R713" i="2" a="1"/>
  <c r="R713" i="2" s="1"/>
  <c r="R714" i="2" a="1"/>
  <c r="R714" i="2" s="1"/>
  <c r="R715" i="2" a="1"/>
  <c r="R715" i="2" s="1"/>
  <c r="R716" i="2" a="1"/>
  <c r="R716" i="2" s="1"/>
  <c r="R717" i="2" a="1"/>
  <c r="R717" i="2" s="1"/>
  <c r="R718" i="2" a="1"/>
  <c r="R718" i="2" s="1"/>
  <c r="R719" i="2" a="1"/>
  <c r="R719" i="2" s="1"/>
  <c r="R720" i="2" a="1"/>
  <c r="R720" i="2" s="1"/>
  <c r="R721" i="2" a="1"/>
  <c r="R721" i="2" s="1"/>
  <c r="R722" i="2" a="1"/>
  <c r="R722" i="2" s="1"/>
  <c r="R723" i="2" a="1"/>
  <c r="R723" i="2" s="1"/>
  <c r="R724" i="2" a="1"/>
  <c r="R724" i="2" s="1"/>
  <c r="R725" i="2" a="1"/>
  <c r="R725" i="2" s="1"/>
  <c r="U725" i="2" s="1"/>
  <c r="R726" i="2" a="1"/>
  <c r="R726" i="2" s="1"/>
  <c r="R727" i="2" a="1"/>
  <c r="R727" i="2" s="1"/>
  <c r="R728" i="2" a="1"/>
  <c r="R728" i="2" s="1"/>
  <c r="R729" i="2" a="1"/>
  <c r="R729" i="2" s="1"/>
  <c r="R730" i="2" a="1"/>
  <c r="R730" i="2" s="1"/>
  <c r="R731" i="2" a="1"/>
  <c r="R731" i="2" s="1"/>
  <c r="R732" i="2" a="1"/>
  <c r="R732" i="2" s="1"/>
  <c r="R733" i="2" a="1"/>
  <c r="R733" i="2" s="1"/>
  <c r="R734" i="2" a="1"/>
  <c r="R734" i="2" s="1"/>
  <c r="R735" i="2" a="1"/>
  <c r="R735" i="2" s="1"/>
  <c r="R736" i="2" a="1"/>
  <c r="R736" i="2" s="1"/>
  <c r="R737" i="2" a="1"/>
  <c r="R737" i="2" s="1"/>
  <c r="R738" i="2" a="1"/>
  <c r="R738" i="2" s="1"/>
  <c r="R739" i="2" a="1"/>
  <c r="R739" i="2" s="1"/>
  <c r="R740" i="2" a="1"/>
  <c r="R740" i="2" s="1"/>
  <c r="R741" i="2" a="1"/>
  <c r="R741" i="2" s="1"/>
  <c r="R742" i="2" a="1"/>
  <c r="R742" i="2" s="1"/>
  <c r="R743" i="2" a="1"/>
  <c r="R743" i="2" s="1"/>
  <c r="R744" i="2" a="1"/>
  <c r="R744" i="2" s="1"/>
  <c r="R745" i="2" a="1"/>
  <c r="R745" i="2" s="1"/>
  <c r="R746" i="2" a="1"/>
  <c r="R746" i="2" s="1"/>
  <c r="R747" i="2" a="1"/>
  <c r="R747" i="2" s="1"/>
  <c r="R748" i="2" a="1"/>
  <c r="R748" i="2" s="1"/>
  <c r="R749" i="2" a="1"/>
  <c r="R749" i="2" s="1"/>
  <c r="R750" i="2" a="1"/>
  <c r="R750" i="2" s="1"/>
  <c r="R751" i="2" a="1"/>
  <c r="R751" i="2" s="1"/>
  <c r="R752" i="2" a="1"/>
  <c r="R752" i="2" s="1"/>
  <c r="R753" i="2" a="1"/>
  <c r="R753" i="2" s="1"/>
  <c r="R754" i="2" a="1"/>
  <c r="R754" i="2" s="1"/>
  <c r="R755" i="2" a="1"/>
  <c r="R755" i="2" s="1"/>
  <c r="R756" i="2" a="1"/>
  <c r="R756" i="2" s="1"/>
  <c r="R757" i="2" a="1"/>
  <c r="R757" i="2" s="1"/>
  <c r="R758" i="2" a="1"/>
  <c r="R758" i="2" s="1"/>
  <c r="R759" i="2" a="1"/>
  <c r="R759" i="2" s="1"/>
  <c r="R760" i="2" a="1"/>
  <c r="R760" i="2" s="1"/>
  <c r="R761" i="2" a="1"/>
  <c r="R761" i="2" s="1"/>
  <c r="R762" i="2" a="1"/>
  <c r="R762" i="2" s="1"/>
  <c r="R763" i="2" a="1"/>
  <c r="R763" i="2" s="1"/>
  <c r="R764" i="2" a="1"/>
  <c r="R764" i="2" s="1"/>
  <c r="R765" i="2" a="1"/>
  <c r="R765" i="2" s="1"/>
  <c r="R766" i="2" a="1"/>
  <c r="R766" i="2" s="1"/>
  <c r="R767" i="2" a="1"/>
  <c r="R767" i="2" s="1"/>
  <c r="R768" i="2" a="1"/>
  <c r="R768" i="2" s="1"/>
  <c r="R769" i="2" a="1"/>
  <c r="R769" i="2" s="1"/>
  <c r="R770" i="2" a="1"/>
  <c r="R770" i="2" s="1"/>
  <c r="R771" i="2" a="1"/>
  <c r="R771" i="2" s="1"/>
  <c r="R772" i="2" a="1"/>
  <c r="R772" i="2" s="1"/>
  <c r="R773" i="2" a="1"/>
  <c r="R773" i="2" s="1"/>
  <c r="R774" i="2" a="1"/>
  <c r="R774" i="2" s="1"/>
  <c r="R775" i="2" a="1"/>
  <c r="R775" i="2" s="1"/>
  <c r="R776" i="2" a="1"/>
  <c r="R776" i="2" s="1"/>
  <c r="R777" i="2" a="1"/>
  <c r="R777" i="2" s="1"/>
  <c r="R778" i="2" a="1"/>
  <c r="R778" i="2"/>
  <c r="R779" i="2" a="1"/>
  <c r="R779" i="2" s="1"/>
  <c r="R780" i="2" a="1"/>
  <c r="R780" i="2" s="1"/>
  <c r="R781" i="2" a="1"/>
  <c r="R781" i="2" s="1"/>
  <c r="R782" i="2" a="1"/>
  <c r="R782" i="2" s="1"/>
  <c r="R783" i="2" a="1"/>
  <c r="R783" i="2" s="1"/>
  <c r="R784" i="2" a="1"/>
  <c r="R784" i="2" s="1"/>
  <c r="R785" i="2" a="1"/>
  <c r="R785" i="2" s="1"/>
  <c r="R786" i="2" a="1"/>
  <c r="R786" i="2" s="1"/>
  <c r="R787" i="2" a="1"/>
  <c r="R787" i="2" s="1"/>
  <c r="R788" i="2" a="1"/>
  <c r="R788" i="2" s="1"/>
  <c r="R789" i="2" a="1"/>
  <c r="R789" i="2" s="1"/>
  <c r="R790" i="2" a="1"/>
  <c r="R790" i="2" s="1"/>
  <c r="R791" i="2" a="1"/>
  <c r="R791" i="2" s="1"/>
  <c r="R792" i="2" a="1"/>
  <c r="R792" i="2" s="1"/>
  <c r="R793" i="2" a="1"/>
  <c r="R793" i="2" s="1"/>
  <c r="R794" i="2" a="1"/>
  <c r="R794" i="2" s="1"/>
  <c r="R795" i="2" a="1"/>
  <c r="R795" i="2" s="1"/>
  <c r="R796" i="2" a="1"/>
  <c r="R796" i="2" s="1"/>
  <c r="R797" i="2" a="1"/>
  <c r="R797" i="2" s="1"/>
  <c r="R798" i="2" a="1"/>
  <c r="R798" i="2" s="1"/>
  <c r="R799" i="2" a="1"/>
  <c r="R799" i="2" s="1"/>
  <c r="R800" i="2" a="1"/>
  <c r="R800" i="2" s="1"/>
  <c r="R801" i="2" a="1"/>
  <c r="R801" i="2" s="1"/>
  <c r="R802" i="2" a="1"/>
  <c r="R802" i="2" s="1"/>
  <c r="R803" i="2" a="1"/>
  <c r="R803" i="2" s="1"/>
  <c r="R804" i="2" a="1"/>
  <c r="R804" i="2" s="1"/>
  <c r="R805" i="2" a="1"/>
  <c r="R805" i="2" s="1"/>
  <c r="R806" i="2" a="1"/>
  <c r="R806" i="2" s="1"/>
  <c r="R807" i="2" a="1"/>
  <c r="R807" i="2" s="1"/>
  <c r="R808" i="2" a="1"/>
  <c r="R808" i="2" s="1"/>
  <c r="R809" i="2" a="1"/>
  <c r="R809" i="2" s="1"/>
  <c r="R810" i="2" a="1"/>
  <c r="R810" i="2" s="1"/>
  <c r="R811" i="2" a="1"/>
  <c r="R811" i="2" s="1"/>
  <c r="R812" i="2" a="1"/>
  <c r="R812" i="2" s="1"/>
  <c r="R813" i="2" a="1"/>
  <c r="R813" i="2" s="1"/>
  <c r="R814" i="2" a="1"/>
  <c r="R814" i="2" s="1"/>
  <c r="R815" i="2" a="1"/>
  <c r="R815" i="2" s="1"/>
  <c r="R816" i="2" a="1"/>
  <c r="R816" i="2" s="1"/>
  <c r="R817" i="2" a="1"/>
  <c r="R817" i="2" s="1"/>
  <c r="R818" i="2" a="1"/>
  <c r="R818" i="2" s="1"/>
  <c r="R819" i="2" a="1"/>
  <c r="R819" i="2" s="1"/>
  <c r="R820" i="2" a="1"/>
  <c r="R820" i="2" s="1"/>
  <c r="R821" i="2" a="1"/>
  <c r="R821" i="2" s="1"/>
  <c r="R822" i="2" a="1"/>
  <c r="R822" i="2" s="1"/>
  <c r="R823" i="2" a="1"/>
  <c r="R823" i="2" s="1"/>
  <c r="R824" i="2" a="1"/>
  <c r="R824" i="2" s="1"/>
  <c r="R825" i="2" a="1"/>
  <c r="R825" i="2" s="1"/>
  <c r="R826" i="2" a="1"/>
  <c r="R826" i="2" s="1"/>
  <c r="R827" i="2" a="1"/>
  <c r="R827" i="2" s="1"/>
  <c r="R828" i="2" a="1"/>
  <c r="R828" i="2" s="1"/>
  <c r="R829" i="2" a="1"/>
  <c r="R829" i="2" s="1"/>
  <c r="R830" i="2" a="1"/>
  <c r="R830" i="2" s="1"/>
  <c r="R831" i="2" a="1"/>
  <c r="R831" i="2" s="1"/>
  <c r="R832" i="2" a="1"/>
  <c r="R832" i="2" s="1"/>
  <c r="R833" i="2" a="1"/>
  <c r="R833" i="2" s="1"/>
  <c r="R834" i="2" a="1"/>
  <c r="R834" i="2" s="1"/>
  <c r="R835" i="2" a="1"/>
  <c r="R835" i="2" s="1"/>
  <c r="R836" i="2" a="1"/>
  <c r="R836" i="2" s="1"/>
  <c r="R837" i="2" a="1"/>
  <c r="R837" i="2" s="1"/>
  <c r="R838" i="2" a="1"/>
  <c r="R838" i="2" s="1"/>
  <c r="R839" i="2" a="1"/>
  <c r="R839" i="2" s="1"/>
  <c r="R840" i="2" a="1"/>
  <c r="R840" i="2" s="1"/>
  <c r="R841" i="2" a="1"/>
  <c r="R841" i="2" s="1"/>
  <c r="R842" i="2" a="1"/>
  <c r="R842" i="2" s="1"/>
  <c r="R843" i="2" a="1"/>
  <c r="R843" i="2" s="1"/>
  <c r="R844" i="2" a="1"/>
  <c r="R844" i="2" s="1"/>
  <c r="R845" i="2" a="1"/>
  <c r="R845" i="2" s="1"/>
  <c r="R846" i="2" a="1"/>
  <c r="R846" i="2" s="1"/>
  <c r="R847" i="2" a="1"/>
  <c r="R847" i="2" s="1"/>
  <c r="R848" i="2" a="1"/>
  <c r="R848" i="2" s="1"/>
  <c r="R849" i="2" a="1"/>
  <c r="R849" i="2" s="1"/>
  <c r="R850" i="2" a="1"/>
  <c r="R850" i="2" s="1"/>
  <c r="R851" i="2" a="1"/>
  <c r="R851" i="2" s="1"/>
  <c r="R852" i="2" a="1"/>
  <c r="R852" i="2" s="1"/>
  <c r="R853" i="2" a="1"/>
  <c r="R853" i="2" s="1"/>
  <c r="R854" i="2" a="1"/>
  <c r="R854" i="2" s="1"/>
  <c r="R855" i="2" a="1"/>
  <c r="R855" i="2" s="1"/>
  <c r="R856" i="2" a="1"/>
  <c r="R856" i="2" s="1"/>
  <c r="R857" i="2" a="1"/>
  <c r="R857" i="2" s="1"/>
  <c r="R858" i="2" a="1"/>
  <c r="R858" i="2" s="1"/>
  <c r="R859" i="2" a="1"/>
  <c r="R859" i="2" s="1"/>
  <c r="R860" i="2" a="1"/>
  <c r="R860" i="2" s="1"/>
  <c r="R861" i="2" a="1"/>
  <c r="R861" i="2" s="1"/>
  <c r="R862" i="2" a="1"/>
  <c r="R862" i="2" s="1"/>
  <c r="R863" i="2" a="1"/>
  <c r="R863" i="2" s="1"/>
  <c r="R864" i="2" a="1"/>
  <c r="R864" i="2" s="1"/>
  <c r="R865" i="2" a="1"/>
  <c r="R865" i="2" s="1"/>
  <c r="R866" i="2" a="1"/>
  <c r="R866" i="2" s="1"/>
  <c r="R867" i="2" a="1"/>
  <c r="R867" i="2" s="1"/>
  <c r="R868" i="2" a="1"/>
  <c r="R868" i="2" s="1"/>
  <c r="R869" i="2" a="1"/>
  <c r="R869" i="2" s="1"/>
  <c r="R870" i="2" a="1"/>
  <c r="R870" i="2" s="1"/>
  <c r="R871" i="2" a="1"/>
  <c r="R871" i="2" s="1"/>
  <c r="R872" i="2" a="1"/>
  <c r="R872" i="2" s="1"/>
  <c r="R873" i="2" a="1"/>
  <c r="R873" i="2" s="1"/>
  <c r="R874" i="2" a="1"/>
  <c r="R874" i="2" s="1"/>
  <c r="R875" i="2" a="1"/>
  <c r="R875" i="2" s="1"/>
  <c r="R876" i="2" a="1"/>
  <c r="R876" i="2" s="1"/>
  <c r="R877" i="2" a="1"/>
  <c r="R877" i="2" s="1"/>
  <c r="R878" i="2" a="1"/>
  <c r="R878" i="2" s="1"/>
  <c r="R879" i="2" a="1"/>
  <c r="R879" i="2" s="1"/>
  <c r="R880" i="2" a="1"/>
  <c r="R880" i="2" s="1"/>
  <c r="R881" i="2" a="1"/>
  <c r="R881" i="2" s="1"/>
  <c r="R882" i="2" a="1"/>
  <c r="R882" i="2" s="1"/>
  <c r="R883" i="2" a="1"/>
  <c r="R883" i="2" s="1"/>
  <c r="R884" i="2" a="1"/>
  <c r="R884" i="2" s="1"/>
  <c r="R885" i="2" a="1"/>
  <c r="R885" i="2" s="1"/>
  <c r="R886" i="2" a="1"/>
  <c r="R886" i="2" s="1"/>
  <c r="R887" i="2" a="1"/>
  <c r="R887" i="2" s="1"/>
  <c r="R888" i="2" a="1"/>
  <c r="R888" i="2" s="1"/>
  <c r="R889" i="2" a="1"/>
  <c r="R889" i="2" s="1"/>
  <c r="R890" i="2" a="1"/>
  <c r="R890" i="2" s="1"/>
  <c r="R891" i="2" a="1"/>
  <c r="R891" i="2" s="1"/>
  <c r="R892" i="2" a="1"/>
  <c r="R892" i="2" s="1"/>
  <c r="R893" i="2" a="1"/>
  <c r="R893" i="2"/>
  <c r="R894" i="2" a="1"/>
  <c r="R894" i="2" s="1"/>
  <c r="R895" i="2" a="1"/>
  <c r="R895" i="2" s="1"/>
  <c r="R896" i="2" a="1"/>
  <c r="R896" i="2" s="1"/>
  <c r="R897" i="2" a="1"/>
  <c r="R897" i="2" s="1"/>
  <c r="R898" i="2" a="1"/>
  <c r="R898" i="2" s="1"/>
  <c r="R899" i="2" a="1"/>
  <c r="R899" i="2" s="1"/>
  <c r="R900" i="2" a="1"/>
  <c r="R900" i="2" s="1"/>
  <c r="R901" i="2" a="1"/>
  <c r="R901" i="2" s="1"/>
  <c r="R902" i="2" a="1"/>
  <c r="R902" i="2" s="1"/>
  <c r="R903" i="2" a="1"/>
  <c r="R903" i="2" s="1"/>
  <c r="R904" i="2" a="1"/>
  <c r="R904" i="2" s="1"/>
  <c r="R905" i="2" a="1"/>
  <c r="R905" i="2" s="1"/>
  <c r="R906" i="2" a="1"/>
  <c r="R906" i="2" s="1"/>
  <c r="R907" i="2" a="1"/>
  <c r="R907" i="2" s="1"/>
  <c r="R908" i="2" a="1"/>
  <c r="R908" i="2" s="1"/>
  <c r="R909" i="2" a="1"/>
  <c r="R909" i="2" s="1"/>
  <c r="R910" i="2" a="1"/>
  <c r="R910" i="2" s="1"/>
  <c r="R911" i="2" a="1"/>
  <c r="R911" i="2" s="1"/>
  <c r="R912" i="2" a="1"/>
  <c r="R912" i="2" s="1"/>
  <c r="R913" i="2" a="1"/>
  <c r="R913" i="2" s="1"/>
  <c r="R914" i="2" a="1"/>
  <c r="R914" i="2" s="1"/>
  <c r="R915" i="2" a="1"/>
  <c r="R915" i="2" s="1"/>
  <c r="R916" i="2" a="1"/>
  <c r="R916" i="2" s="1"/>
  <c r="R917" i="2" a="1"/>
  <c r="R917" i="2" s="1"/>
  <c r="R918" i="2" a="1"/>
  <c r="R918" i="2" s="1"/>
  <c r="R919" i="2" a="1"/>
  <c r="R919" i="2" s="1"/>
  <c r="R920" i="2" a="1"/>
  <c r="R920" i="2" s="1"/>
  <c r="R921" i="2" a="1"/>
  <c r="R921" i="2" s="1"/>
  <c r="R922" i="2" a="1"/>
  <c r="R922" i="2" s="1"/>
  <c r="R923" i="2" a="1"/>
  <c r="R923" i="2" s="1"/>
  <c r="R924" i="2" a="1"/>
  <c r="R924" i="2" s="1"/>
  <c r="R925" i="2" a="1"/>
  <c r="R925" i="2" s="1"/>
  <c r="R926" i="2" a="1"/>
  <c r="R926" i="2" s="1"/>
  <c r="R927" i="2" a="1"/>
  <c r="R927" i="2" s="1"/>
  <c r="R928" i="2" a="1"/>
  <c r="R928" i="2" s="1"/>
  <c r="R929" i="2" a="1"/>
  <c r="R929" i="2" s="1"/>
  <c r="R930" i="2" a="1"/>
  <c r="R930" i="2" s="1"/>
  <c r="R931" i="2" a="1"/>
  <c r="R931" i="2" s="1"/>
  <c r="R932" i="2" a="1"/>
  <c r="R932" i="2" s="1"/>
  <c r="R933" i="2" a="1"/>
  <c r="R933" i="2" s="1"/>
  <c r="R934" i="2" a="1"/>
  <c r="R934" i="2" s="1"/>
  <c r="R935" i="2" a="1"/>
  <c r="R935" i="2" s="1"/>
  <c r="R936" i="2" a="1"/>
  <c r="R936" i="2" s="1"/>
  <c r="R937" i="2" a="1"/>
  <c r="R937" i="2" s="1"/>
  <c r="R938" i="2" a="1"/>
  <c r="R938" i="2" s="1"/>
  <c r="R939" i="2" a="1"/>
  <c r="R939" i="2" s="1"/>
  <c r="R940" i="2" a="1"/>
  <c r="R940" i="2" s="1"/>
  <c r="R941" i="2" a="1"/>
  <c r="R941" i="2" s="1"/>
  <c r="R942" i="2" a="1"/>
  <c r="R942" i="2" s="1"/>
  <c r="R943" i="2" a="1"/>
  <c r="R943" i="2" s="1"/>
  <c r="R944" i="2" a="1"/>
  <c r="R944" i="2" s="1"/>
  <c r="R945" i="2" a="1"/>
  <c r="R945" i="2" s="1"/>
  <c r="R946" i="2" a="1"/>
  <c r="R946" i="2" s="1"/>
  <c r="R947" i="2" a="1"/>
  <c r="R947" i="2" s="1"/>
  <c r="R948" i="2" a="1"/>
  <c r="R948" i="2" s="1"/>
  <c r="R949" i="2" a="1"/>
  <c r="R949" i="2" s="1"/>
  <c r="R950" i="2" a="1"/>
  <c r="R950" i="2" s="1"/>
  <c r="R951" i="2" a="1"/>
  <c r="R951" i="2" s="1"/>
  <c r="R952" i="2" a="1"/>
  <c r="R952" i="2" s="1"/>
  <c r="R953" i="2" a="1"/>
  <c r="R953" i="2" s="1"/>
  <c r="R954" i="2" a="1"/>
  <c r="R954" i="2" s="1"/>
  <c r="R955" i="2" a="1"/>
  <c r="R955" i="2" s="1"/>
  <c r="R956" i="2" a="1"/>
  <c r="R956" i="2" s="1"/>
  <c r="R957" i="2" a="1"/>
  <c r="R957" i="2" s="1"/>
  <c r="R958" i="2" a="1"/>
  <c r="R958" i="2" s="1"/>
  <c r="R959" i="2" a="1"/>
  <c r="R959" i="2" s="1"/>
  <c r="R960" i="2" a="1"/>
  <c r="R960" i="2" s="1"/>
  <c r="R961" i="2" a="1"/>
  <c r="R961" i="2" s="1"/>
  <c r="R962" i="2" a="1"/>
  <c r="R962" i="2" s="1"/>
  <c r="R963" i="2" a="1"/>
  <c r="R963" i="2" s="1"/>
  <c r="R964" i="2" a="1"/>
  <c r="R964" i="2" s="1"/>
  <c r="R965" i="2" a="1"/>
  <c r="R965" i="2" s="1"/>
  <c r="R966" i="2" a="1"/>
  <c r="R966" i="2" s="1"/>
  <c r="R967" i="2" a="1"/>
  <c r="R967" i="2" s="1"/>
  <c r="R968" i="2" a="1"/>
  <c r="R968" i="2" s="1"/>
  <c r="R969" i="2" a="1"/>
  <c r="R969" i="2" s="1"/>
  <c r="R970" i="2" a="1"/>
  <c r="R970" i="2" s="1"/>
  <c r="R971" i="2" a="1"/>
  <c r="R971" i="2" s="1"/>
  <c r="R972" i="2" a="1"/>
  <c r="R972" i="2" s="1"/>
  <c r="R973" i="2" a="1"/>
  <c r="R973" i="2" s="1"/>
  <c r="R974" i="2" a="1"/>
  <c r="R974" i="2" s="1"/>
  <c r="R975" i="2" a="1"/>
  <c r="R975" i="2" s="1"/>
  <c r="R976" i="2" a="1"/>
  <c r="R976" i="2" s="1"/>
  <c r="R977" i="2" a="1"/>
  <c r="R977" i="2" s="1"/>
  <c r="R978" i="2" a="1"/>
  <c r="R978" i="2" s="1"/>
  <c r="R979" i="2" a="1"/>
  <c r="R979" i="2" s="1"/>
  <c r="R980" i="2" a="1"/>
  <c r="R980" i="2" s="1"/>
  <c r="R981" i="2" a="1"/>
  <c r="R981" i="2" s="1"/>
  <c r="R982" i="2" a="1"/>
  <c r="R982" i="2" s="1"/>
  <c r="R983" i="2" a="1"/>
  <c r="R983" i="2" s="1"/>
  <c r="R984" i="2" a="1"/>
  <c r="R984" i="2" s="1"/>
  <c r="R985" i="2" a="1"/>
  <c r="R985" i="2" s="1"/>
  <c r="R986" i="2" a="1"/>
  <c r="R986" i="2" s="1"/>
  <c r="R987" i="2" a="1"/>
  <c r="R987" i="2" s="1"/>
  <c r="R988" i="2" a="1"/>
  <c r="R988" i="2" s="1"/>
  <c r="R989" i="2" a="1"/>
  <c r="R989" i="2" s="1"/>
  <c r="R990" i="2" a="1"/>
  <c r="R990" i="2" s="1"/>
  <c r="U990" i="2" s="1"/>
  <c r="R991" i="2" a="1"/>
  <c r="R991" i="2" s="1"/>
  <c r="R992" i="2" a="1"/>
  <c r="R992" i="2" s="1"/>
  <c r="R993" i="2" a="1"/>
  <c r="R993" i="2" s="1"/>
  <c r="R994" i="2" a="1"/>
  <c r="R994" i="2" s="1"/>
  <c r="R995" i="2" a="1"/>
  <c r="R995" i="2" s="1"/>
  <c r="R996" i="2" a="1"/>
  <c r="R996" i="2" s="1"/>
  <c r="R997" i="2" a="1"/>
  <c r="R997" i="2" s="1"/>
  <c r="R998" i="2" a="1"/>
  <c r="R998" i="2" s="1"/>
  <c r="R999" i="2" a="1"/>
  <c r="R999" i="2" s="1"/>
  <c r="R1000" i="2" a="1"/>
  <c r="R1000" i="2" s="1"/>
  <c r="R1001" i="2" a="1"/>
  <c r="R1001" i="2" s="1"/>
  <c r="R1002" i="2" a="1"/>
  <c r="R1002" i="2" s="1"/>
  <c r="R1003" i="2" a="1"/>
  <c r="R1003" i="2" s="1"/>
  <c r="R1004" i="2" a="1"/>
  <c r="R1004" i="2" s="1"/>
  <c r="R1005" i="2" a="1"/>
  <c r="R1005" i="2"/>
  <c r="R1006" i="2" a="1"/>
  <c r="R1006" i="2" s="1"/>
  <c r="U1006" i="2" s="1"/>
  <c r="R1007" i="2" a="1"/>
  <c r="R1007" i="2" s="1"/>
  <c r="R1008" i="2" a="1"/>
  <c r="R1008" i="2" s="1"/>
  <c r="R1009" i="2" a="1"/>
  <c r="R1009" i="2" s="1"/>
  <c r="R1010" i="2" a="1"/>
  <c r="R1010" i="2" s="1"/>
  <c r="R1011" i="2" a="1"/>
  <c r="R1011" i="2" s="1"/>
  <c r="R1012" i="2" a="1"/>
  <c r="R1012" i="2"/>
  <c r="R1013" i="2" a="1"/>
  <c r="R1013" i="2" s="1"/>
  <c r="R1014" i="2" a="1"/>
  <c r="R1014" i="2" s="1"/>
  <c r="R1015" i="2" a="1"/>
  <c r="R1015" i="2" s="1"/>
  <c r="R1016" i="2" a="1"/>
  <c r="R1016" i="2" s="1"/>
  <c r="R1017" i="2" a="1"/>
  <c r="R1017" i="2" s="1"/>
  <c r="R1018" i="2" a="1"/>
  <c r="R1018" i="2" s="1"/>
  <c r="R1019" i="2" a="1"/>
  <c r="R1019" i="2" s="1"/>
  <c r="R1020" i="2" a="1"/>
  <c r="R1020" i="2" s="1"/>
  <c r="R1021" i="2" a="1"/>
  <c r="R1021" i="2" s="1"/>
  <c r="R1022" i="2" a="1"/>
  <c r="R1022" i="2" s="1"/>
  <c r="R1023" i="2" a="1"/>
  <c r="R1023" i="2" s="1"/>
  <c r="R1024" i="2" a="1"/>
  <c r="R1024" i="2" s="1"/>
  <c r="R1025" i="2" a="1"/>
  <c r="R1025" i="2" s="1"/>
  <c r="R1026" i="2" a="1"/>
  <c r="R1026" i="2" s="1"/>
  <c r="R1027" i="2" a="1"/>
  <c r="R1027" i="2" s="1"/>
  <c r="R1028" i="2" a="1"/>
  <c r="R1028" i="2" s="1"/>
  <c r="R1029" i="2" a="1"/>
  <c r="R1029" i="2" s="1"/>
  <c r="R1030" i="2" a="1"/>
  <c r="R1030" i="2" s="1"/>
  <c r="R1031" i="2" a="1"/>
  <c r="R1031" i="2" s="1"/>
  <c r="R1032" i="2" a="1"/>
  <c r="R1032" i="2" s="1"/>
  <c r="R1033" i="2" a="1"/>
  <c r="R1033" i="2" s="1"/>
  <c r="R1034" i="2" a="1"/>
  <c r="R1034" i="2" s="1"/>
  <c r="R1035" i="2" a="1"/>
  <c r="R1035" i="2" s="1"/>
  <c r="R1036" i="2" a="1"/>
  <c r="R1036" i="2" s="1"/>
  <c r="R1037" i="2" a="1"/>
  <c r="R1037" i="2" s="1"/>
  <c r="R1038" i="2" a="1"/>
  <c r="R1038" i="2" s="1"/>
  <c r="R1039" i="2" a="1"/>
  <c r="R1039" i="2" s="1"/>
  <c r="R1040" i="2" a="1"/>
  <c r="R1040" i="2" s="1"/>
  <c r="R1041" i="2" a="1"/>
  <c r="R1041" i="2" s="1"/>
  <c r="R1042" i="2" a="1"/>
  <c r="R1042" i="2" s="1"/>
  <c r="R1043" i="2" a="1"/>
  <c r="R1043" i="2" s="1"/>
  <c r="R1044" i="2" a="1"/>
  <c r="R1044" i="2" s="1"/>
  <c r="R1045" i="2" a="1"/>
  <c r="R1045" i="2" s="1"/>
  <c r="R1046" i="2" a="1"/>
  <c r="R1046" i="2" s="1"/>
  <c r="R1047" i="2" a="1"/>
  <c r="R1047" i="2" s="1"/>
  <c r="R1048" i="2" a="1"/>
  <c r="R1048" i="2" s="1"/>
  <c r="R1049" i="2" a="1"/>
  <c r="R1049" i="2" s="1"/>
  <c r="R1050" i="2" a="1"/>
  <c r="R1050" i="2" s="1"/>
  <c r="R1051" i="2" a="1"/>
  <c r="R1051" i="2" s="1"/>
  <c r="R1052" i="2" a="1"/>
  <c r="R1052" i="2" s="1"/>
  <c r="R1053" i="2" a="1"/>
  <c r="R1053" i="2" s="1"/>
  <c r="R1054" i="2" a="1"/>
  <c r="R1054" i="2" s="1"/>
  <c r="R1055" i="2" a="1"/>
  <c r="R1055" i="2" s="1"/>
  <c r="R1056" i="2" a="1"/>
  <c r="R1056" i="2" s="1"/>
  <c r="R1057" i="2" a="1"/>
  <c r="R1057" i="2" s="1"/>
  <c r="R1058" i="2" a="1"/>
  <c r="R1058" i="2" s="1"/>
  <c r="R1059" i="2" a="1"/>
  <c r="R1059" i="2" s="1"/>
  <c r="R1060" i="2" a="1"/>
  <c r="R1060" i="2" s="1"/>
  <c r="R1061" i="2" a="1"/>
  <c r="R1061" i="2" s="1"/>
  <c r="R1062" i="2" a="1"/>
  <c r="R1062" i="2" s="1"/>
  <c r="R1063" i="2" a="1"/>
  <c r="R1063" i="2" s="1"/>
  <c r="R1064" i="2" a="1"/>
  <c r="R1064" i="2" s="1"/>
  <c r="R1065" i="2" a="1"/>
  <c r="R1065" i="2" s="1"/>
  <c r="R1066" i="2" a="1"/>
  <c r="R1066" i="2" s="1"/>
  <c r="R1067" i="2" a="1"/>
  <c r="R1067" i="2" s="1"/>
  <c r="R1068" i="2" a="1"/>
  <c r="R1068" i="2" s="1"/>
  <c r="R1069" i="2" a="1"/>
  <c r="R1069" i="2" s="1"/>
  <c r="R1070" i="2" a="1"/>
  <c r="R1070" i="2" s="1"/>
  <c r="R1071" i="2" a="1"/>
  <c r="R1071" i="2" s="1"/>
  <c r="R1072" i="2" a="1"/>
  <c r="R1072" i="2" s="1"/>
  <c r="R1073" i="2" a="1"/>
  <c r="R1073" i="2" s="1"/>
  <c r="R1074" i="2" a="1"/>
  <c r="R1074" i="2" s="1"/>
  <c r="R1075" i="2" a="1"/>
  <c r="R1075" i="2" s="1"/>
  <c r="R1076" i="2" a="1"/>
  <c r="R1076" i="2" s="1"/>
  <c r="R1077" i="2" a="1"/>
  <c r="R1077" i="2" s="1"/>
  <c r="R1078" i="2" a="1"/>
  <c r="R1078" i="2" s="1"/>
  <c r="R1079" i="2" a="1"/>
  <c r="R1079" i="2" s="1"/>
  <c r="R1080" i="2" a="1"/>
  <c r="R1080" i="2" s="1"/>
  <c r="R1081" i="2" a="1"/>
  <c r="R1081" i="2" s="1"/>
  <c r="R1082" i="2" a="1"/>
  <c r="R1082" i="2" s="1"/>
  <c r="R1083" i="2" a="1"/>
  <c r="R1083" i="2" s="1"/>
  <c r="R1084" i="2" a="1"/>
  <c r="R1084" i="2" s="1"/>
  <c r="R1085" i="2" a="1"/>
  <c r="R1085" i="2" s="1"/>
  <c r="R1086" i="2" a="1"/>
  <c r="R1086" i="2" s="1"/>
  <c r="R1087" i="2" a="1"/>
  <c r="R1087" i="2" s="1"/>
  <c r="R1088" i="2" a="1"/>
  <c r="R1088" i="2" s="1"/>
  <c r="R1089" i="2" a="1"/>
  <c r="R1089" i="2" s="1"/>
  <c r="R1090" i="2" a="1"/>
  <c r="R1090" i="2" s="1"/>
  <c r="R1091" i="2" a="1"/>
  <c r="R1091" i="2" s="1"/>
  <c r="R1092" i="2" a="1"/>
  <c r="R1092" i="2" s="1"/>
  <c r="R1093" i="2" a="1"/>
  <c r="R1093" i="2" s="1"/>
  <c r="R1094" i="2" a="1"/>
  <c r="R1094" i="2" s="1"/>
  <c r="R1095" i="2" a="1"/>
  <c r="R1095" i="2" s="1"/>
  <c r="R1096" i="2" a="1"/>
  <c r="R1096" i="2" s="1"/>
  <c r="R1097" i="2" a="1"/>
  <c r="R1097" i="2" s="1"/>
  <c r="R1098" i="2" a="1"/>
  <c r="R1098" i="2" s="1"/>
  <c r="R1099" i="2" a="1"/>
  <c r="R1099" i="2" s="1"/>
  <c r="R1100" i="2" a="1"/>
  <c r="R1100" i="2" s="1"/>
  <c r="R1101" i="2" a="1"/>
  <c r="R1101" i="2" s="1"/>
  <c r="R1102" i="2" a="1"/>
  <c r="R1102" i="2" s="1"/>
  <c r="R1103" i="2" a="1"/>
  <c r="R1103" i="2" s="1"/>
  <c r="R1104" i="2" a="1"/>
  <c r="R1104" i="2" s="1"/>
  <c r="R1105" i="2" a="1"/>
  <c r="R1105" i="2" s="1"/>
  <c r="R1106" i="2" a="1"/>
  <c r="R1106" i="2" s="1"/>
  <c r="R1107" i="2" a="1"/>
  <c r="R1107" i="2" s="1"/>
  <c r="R1108" i="2" a="1"/>
  <c r="R1108" i="2" s="1"/>
  <c r="R1109" i="2" a="1"/>
  <c r="R1109" i="2" s="1"/>
  <c r="R1110" i="2" a="1"/>
  <c r="R1110" i="2" s="1"/>
  <c r="R1111" i="2" a="1"/>
  <c r="R1111" i="2" s="1"/>
  <c r="R1112" i="2" a="1"/>
  <c r="R1112" i="2" s="1"/>
  <c r="R1113" i="2" a="1"/>
  <c r="R1113" i="2" s="1"/>
  <c r="R1114" i="2" a="1"/>
  <c r="R1114" i="2" s="1"/>
  <c r="R1115" i="2" a="1"/>
  <c r="R1115" i="2" s="1"/>
  <c r="R1116" i="2" a="1"/>
  <c r="R1116" i="2" s="1"/>
  <c r="R1117" i="2" a="1"/>
  <c r="R1117" i="2" s="1"/>
  <c r="R1118" i="2" a="1"/>
  <c r="R1118" i="2" s="1"/>
  <c r="R1119" i="2" a="1"/>
  <c r="R1119" i="2" s="1"/>
  <c r="R1120" i="2" a="1"/>
  <c r="R1120" i="2" s="1"/>
  <c r="R1121" i="2" a="1"/>
  <c r="R1121" i="2" s="1"/>
  <c r="R1122" i="2" a="1"/>
  <c r="R1122" i="2" s="1"/>
  <c r="R1123" i="2" a="1"/>
  <c r="R1123" i="2" s="1"/>
  <c r="R1124" i="2" a="1"/>
  <c r="R1124" i="2" s="1"/>
  <c r="R1125" i="2" a="1"/>
  <c r="R1125" i="2" s="1"/>
  <c r="R1126" i="2" a="1"/>
  <c r="R1126" i="2" s="1"/>
  <c r="R1127" i="2" a="1"/>
  <c r="R1127" i="2" s="1"/>
  <c r="R1128" i="2" a="1"/>
  <c r="R1128" i="2" s="1"/>
  <c r="R1129" i="2" a="1"/>
  <c r="R1129" i="2" s="1"/>
  <c r="R1130" i="2" a="1"/>
  <c r="R1130" i="2" s="1"/>
  <c r="R1131" i="2" a="1"/>
  <c r="R1131" i="2" s="1"/>
  <c r="R1132" i="2" a="1"/>
  <c r="R1132" i="2" s="1"/>
  <c r="R1133" i="2" a="1"/>
  <c r="R1133" i="2" s="1"/>
  <c r="R1134" i="2" a="1"/>
  <c r="R1134" i="2" s="1"/>
  <c r="R1135" i="2" a="1"/>
  <c r="R1135" i="2" s="1"/>
  <c r="R1136" i="2" a="1"/>
  <c r="R1136" i="2" s="1"/>
  <c r="R1137" i="2" a="1"/>
  <c r="R1137" i="2" s="1"/>
  <c r="R1138" i="2" a="1"/>
  <c r="R1138" i="2" s="1"/>
  <c r="R1139" i="2" a="1"/>
  <c r="R1139" i="2" s="1"/>
  <c r="R1140" i="2" a="1"/>
  <c r="R1140" i="2" s="1"/>
  <c r="R1141" i="2" a="1"/>
  <c r="R1141" i="2" s="1"/>
  <c r="R1142" i="2" a="1"/>
  <c r="R1142" i="2" s="1"/>
  <c r="R1143" i="2" a="1"/>
  <c r="R1143" i="2" s="1"/>
  <c r="R1144" i="2" a="1"/>
  <c r="R1144" i="2" s="1"/>
  <c r="R1145" i="2" a="1"/>
  <c r="R1145" i="2" s="1"/>
  <c r="R1146" i="2" a="1"/>
  <c r="R1146" i="2" s="1"/>
  <c r="R1147" i="2" a="1"/>
  <c r="R1147" i="2" s="1"/>
  <c r="R1148" i="2" a="1"/>
  <c r="R1148" i="2" s="1"/>
  <c r="R1149" i="2" a="1"/>
  <c r="R1149" i="2" s="1"/>
  <c r="R1150" i="2" a="1"/>
  <c r="R1150" i="2" s="1"/>
  <c r="R1151" i="2" a="1"/>
  <c r="R1151" i="2" s="1"/>
  <c r="R1152" i="2" a="1"/>
  <c r="R1152" i="2" s="1"/>
  <c r="R1153" i="2" a="1"/>
  <c r="R1153" i="2" s="1"/>
  <c r="R1154" i="2" a="1"/>
  <c r="R1154" i="2" s="1"/>
  <c r="R1155" i="2" a="1"/>
  <c r="R1155" i="2" s="1"/>
  <c r="R1156" i="2" a="1"/>
  <c r="R1156" i="2" s="1"/>
  <c r="R1157" i="2" a="1"/>
  <c r="R1157" i="2" s="1"/>
  <c r="R1158" i="2" a="1"/>
  <c r="R1158" i="2" s="1"/>
  <c r="R1159" i="2" a="1"/>
  <c r="R1159" i="2" s="1"/>
  <c r="R1160" i="2" a="1"/>
  <c r="R1160" i="2" s="1"/>
  <c r="R1161" i="2" a="1"/>
  <c r="R1161" i="2" s="1"/>
  <c r="R1162" i="2" a="1"/>
  <c r="R1162" i="2" s="1"/>
  <c r="R1163" i="2" a="1"/>
  <c r="R1163" i="2" s="1"/>
  <c r="R1164" i="2" a="1"/>
  <c r="R1164" i="2" s="1"/>
  <c r="R1165" i="2" a="1"/>
  <c r="R1165" i="2" s="1"/>
  <c r="R1166" i="2" a="1"/>
  <c r="R1166" i="2" s="1"/>
  <c r="R1167" i="2" a="1"/>
  <c r="R1167" i="2" s="1"/>
  <c r="R1168" i="2" a="1"/>
  <c r="R1168" i="2" s="1"/>
  <c r="R1169" i="2" a="1"/>
  <c r="R1169" i="2" s="1"/>
  <c r="R1170" i="2" a="1"/>
  <c r="R1170" i="2" s="1"/>
  <c r="R1171" i="2" a="1"/>
  <c r="R1171" i="2" s="1"/>
  <c r="R1172" i="2" a="1"/>
  <c r="R1172" i="2"/>
  <c r="R1173" i="2" a="1"/>
  <c r="R1173" i="2" s="1"/>
  <c r="R1174" i="2" a="1"/>
  <c r="R1174" i="2" s="1"/>
  <c r="R1175" i="2" a="1"/>
  <c r="R1175" i="2" s="1"/>
  <c r="R1176" i="2" a="1"/>
  <c r="R1176" i="2" s="1"/>
  <c r="R1177" i="2" a="1"/>
  <c r="R1177" i="2" s="1"/>
  <c r="R1178" i="2" a="1"/>
  <c r="R1178" i="2" s="1"/>
  <c r="R1179" i="2" a="1"/>
  <c r="R1179" i="2" s="1"/>
  <c r="R1180" i="2" a="1"/>
  <c r="R1180" i="2" s="1"/>
  <c r="R1181" i="2" a="1"/>
  <c r="R1181" i="2" s="1"/>
  <c r="R1182" i="2" a="1"/>
  <c r="R1182" i="2" s="1"/>
  <c r="R1183" i="2" a="1"/>
  <c r="R1183" i="2" s="1"/>
  <c r="R1184" i="2" a="1"/>
  <c r="R1184" i="2" s="1"/>
  <c r="R1185" i="2" a="1"/>
  <c r="R1185" i="2" s="1"/>
  <c r="R1186" i="2" a="1"/>
  <c r="R1186" i="2" s="1"/>
  <c r="R1187" i="2" a="1"/>
  <c r="R1187" i="2" s="1"/>
  <c r="R1188" i="2" a="1"/>
  <c r="R1188" i="2" s="1"/>
  <c r="R1189" i="2" a="1"/>
  <c r="R1189" i="2" s="1"/>
  <c r="R1190" i="2" a="1"/>
  <c r="R1190" i="2" s="1"/>
  <c r="R1191" i="2" a="1"/>
  <c r="R1191" i="2" s="1"/>
  <c r="R1192" i="2" a="1"/>
  <c r="R1192" i="2" s="1"/>
  <c r="R1193" i="2" a="1"/>
  <c r="R1193" i="2" s="1"/>
  <c r="R1194" i="2" a="1"/>
  <c r="R1194" i="2" s="1"/>
  <c r="R1195" i="2" a="1"/>
  <c r="R1195" i="2" s="1"/>
  <c r="R1196" i="2" a="1"/>
  <c r="R1196" i="2" s="1"/>
  <c r="R1197" i="2" a="1"/>
  <c r="R1197" i="2" s="1"/>
  <c r="R1198" i="2" a="1"/>
  <c r="R1198" i="2" s="1"/>
  <c r="R1199" i="2" a="1"/>
  <c r="R1199" i="2" s="1"/>
  <c r="R1200" i="2" a="1"/>
  <c r="R1200" i="2" s="1"/>
  <c r="R1201" i="2" a="1"/>
  <c r="R1201" i="2" s="1"/>
  <c r="R1202" i="2" a="1"/>
  <c r="R1202" i="2" s="1"/>
  <c r="R1203" i="2" a="1"/>
  <c r="R1203" i="2" s="1"/>
  <c r="R1204" i="2" a="1"/>
  <c r="R1204" i="2" s="1"/>
  <c r="R1205" i="2" a="1"/>
  <c r="R1205" i="2" s="1"/>
  <c r="R1206" i="2" a="1"/>
  <c r="R1206" i="2" s="1"/>
  <c r="R1207" i="2" a="1"/>
  <c r="R1207" i="2" s="1"/>
  <c r="R1208" i="2" a="1"/>
  <c r="R1208" i="2" s="1"/>
  <c r="R1209" i="2" a="1"/>
  <c r="R1209" i="2" s="1"/>
  <c r="R1210" i="2" a="1"/>
  <c r="R1210" i="2" s="1"/>
  <c r="R1211" i="2" a="1"/>
  <c r="R1211" i="2" s="1"/>
  <c r="R1212" i="2" a="1"/>
  <c r="R1212" i="2" s="1"/>
  <c r="R1213" i="2" a="1"/>
  <c r="R1213" i="2" s="1"/>
  <c r="R1214" i="2" a="1"/>
  <c r="R1214" i="2" s="1"/>
  <c r="R1215" i="2" a="1"/>
  <c r="R1215" i="2" s="1"/>
  <c r="R1216" i="2" a="1"/>
  <c r="R1216" i="2" s="1"/>
  <c r="R2" i="2" a="1"/>
  <c r="R2" i="2" s="1"/>
  <c r="U3" i="1"/>
  <c r="U4" i="1"/>
  <c r="U5" i="1"/>
  <c r="U6" i="1"/>
  <c r="U7" i="1"/>
  <c r="U8" i="1"/>
  <c r="U9" i="1"/>
  <c r="U10" i="1"/>
  <c r="U11" i="1"/>
  <c r="U12" i="1"/>
  <c r="U1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2" i="1"/>
  <c r="X2" i="1" s="1"/>
  <c r="U260" i="2" l="1"/>
  <c r="U204" i="2"/>
  <c r="U452" i="2"/>
  <c r="U267" i="2"/>
  <c r="U243" i="2"/>
  <c r="U195" i="2"/>
  <c r="U171" i="2"/>
  <c r="U75" i="2"/>
  <c r="U236" i="2"/>
  <c r="U164" i="2"/>
  <c r="U100" i="2"/>
  <c r="U52" i="2"/>
  <c r="U28" i="2"/>
  <c r="U259" i="2"/>
  <c r="U163" i="2"/>
  <c r="U27" i="2"/>
  <c r="U428" i="2"/>
  <c r="U542" i="2"/>
  <c r="U404" i="2"/>
  <c r="U302" i="2"/>
  <c r="U228" i="2"/>
  <c r="U196" i="2"/>
  <c r="U132" i="2"/>
  <c r="U116" i="2"/>
  <c r="U108" i="2"/>
  <c r="U92" i="2"/>
  <c r="U68" i="2"/>
  <c r="U44" i="2"/>
  <c r="U20" i="2"/>
  <c r="U155" i="2"/>
  <c r="U3" i="2"/>
  <c r="U915" i="2"/>
  <c r="U836" i="2"/>
  <c r="U804" i="2"/>
  <c r="U574" i="2"/>
  <c r="U396" i="2"/>
  <c r="U334" i="2"/>
  <c r="U294" i="2"/>
  <c r="U772" i="2"/>
  <c r="U748" i="2"/>
  <c r="U740" i="2"/>
  <c r="U716" i="2"/>
  <c r="U708" i="2"/>
  <c r="U684" i="2"/>
  <c r="U676" i="2"/>
  <c r="U660" i="2"/>
  <c r="U644" i="2"/>
  <c r="U612" i="2"/>
  <c r="U510" i="2"/>
  <c r="U478" i="2"/>
  <c r="U388" i="2"/>
  <c r="U380" i="2"/>
  <c r="U364" i="2"/>
  <c r="U91" i="2"/>
  <c r="U19" i="2"/>
  <c r="U771" i="2"/>
  <c r="U379" i="2"/>
  <c r="U340" i="2"/>
  <c r="U324" i="2"/>
  <c r="U308" i="2"/>
  <c r="U300" i="2"/>
  <c r="U292" i="2"/>
  <c r="U244" i="2"/>
  <c r="U180" i="2"/>
  <c r="U84" i="2"/>
  <c r="U36" i="2"/>
  <c r="U4" i="2"/>
  <c r="U83" i="2"/>
  <c r="U11" i="2"/>
  <c r="U420" i="2"/>
  <c r="U747" i="2"/>
  <c r="U651" i="2"/>
  <c r="U611" i="2"/>
  <c r="U588" i="2"/>
  <c r="U580" i="2"/>
  <c r="U556" i="2"/>
  <c r="U524" i="2"/>
  <c r="U1166" i="2"/>
  <c r="U1022" i="2"/>
  <c r="U579" i="2"/>
  <c r="U500" i="2"/>
  <c r="U492" i="2"/>
  <c r="U484" i="2"/>
  <c r="U331" i="2"/>
  <c r="U323" i="2"/>
  <c r="U299" i="2"/>
  <c r="U291" i="2"/>
  <c r="U118" i="2"/>
  <c r="U102" i="2"/>
  <c r="U86" i="2"/>
  <c r="U78" i="2"/>
  <c r="U54" i="2"/>
  <c r="U46" i="2"/>
  <c r="U38" i="2"/>
  <c r="U22" i="2"/>
  <c r="U982" i="2"/>
  <c r="U254" i="2"/>
  <c r="U1206" i="2"/>
  <c r="U1198" i="2"/>
  <c r="U238" i="2"/>
  <c r="U230" i="2"/>
  <c r="U1150" i="2"/>
  <c r="U1118" i="2"/>
  <c r="U1102" i="2"/>
  <c r="U1086" i="2"/>
  <c r="U1054" i="2"/>
  <c r="U1046" i="2"/>
  <c r="U987" i="2"/>
  <c r="U950" i="2"/>
  <c r="U942" i="2"/>
  <c r="U934" i="2"/>
  <c r="U926" i="2"/>
  <c r="U918" i="2"/>
  <c r="U910" i="2"/>
  <c r="U902" i="2"/>
  <c r="U414" i="2"/>
  <c r="U198" i="2"/>
  <c r="U1030" i="2"/>
  <c r="U166" i="2"/>
  <c r="T1162" i="2"/>
  <c r="T1058" i="2"/>
  <c r="T18" i="2"/>
  <c r="U886" i="2"/>
  <c r="U878" i="2"/>
  <c r="U798" i="2"/>
  <c r="U766" i="2"/>
  <c r="U734" i="2"/>
  <c r="U702" i="2"/>
  <c r="U638" i="2"/>
  <c r="U606" i="2"/>
  <c r="T145" i="2"/>
  <c r="T496" i="2"/>
  <c r="T1134" i="2"/>
  <c r="T345" i="2"/>
  <c r="T1214" i="2"/>
  <c r="T1165" i="2"/>
  <c r="T1133" i="2"/>
  <c r="T1188" i="2"/>
  <c r="T1115" i="2"/>
  <c r="T1083" i="2"/>
  <c r="T1201" i="2"/>
  <c r="T977" i="2"/>
  <c r="T17" i="2"/>
  <c r="T873" i="2"/>
  <c r="T105" i="2"/>
  <c r="U105" i="2" s="1"/>
  <c r="T1128" i="2"/>
  <c r="U1128" i="2" s="1"/>
  <c r="T1112" i="2"/>
  <c r="T968" i="2"/>
  <c r="T512" i="2"/>
  <c r="T456" i="2"/>
  <c r="T288" i="2"/>
  <c r="T272" i="2"/>
  <c r="T128" i="2"/>
  <c r="T56" i="2"/>
  <c r="U56" i="2" s="1"/>
  <c r="T8" i="2"/>
  <c r="U110" i="2"/>
  <c r="T247" i="2"/>
  <c r="T809" i="2"/>
  <c r="T361" i="2"/>
  <c r="U966" i="2"/>
  <c r="U870" i="2"/>
  <c r="T1095" i="2"/>
  <c r="U1095" i="2" s="1"/>
  <c r="T671" i="2"/>
  <c r="T319" i="2"/>
  <c r="T1190" i="2"/>
  <c r="T1110" i="2"/>
  <c r="T1078" i="2"/>
  <c r="T1038" i="2"/>
  <c r="T862" i="2"/>
  <c r="U862" i="2" s="1"/>
  <c r="T822" i="2"/>
  <c r="U822" i="2" s="1"/>
  <c r="T774" i="2"/>
  <c r="T726" i="2"/>
  <c r="T670" i="2"/>
  <c r="T558" i="2"/>
  <c r="T518" i="2"/>
  <c r="T502" i="2"/>
  <c r="T462" i="2"/>
  <c r="T374" i="2"/>
  <c r="U374" i="2" s="1"/>
  <c r="T358" i="2"/>
  <c r="T182" i="2"/>
  <c r="T745" i="2"/>
  <c r="T73" i="2"/>
  <c r="U974" i="2"/>
  <c r="U1062" i="2"/>
  <c r="T815" i="2"/>
  <c r="U1014" i="2"/>
  <c r="U192" i="2"/>
  <c r="U154" i="2"/>
  <c r="T1149" i="2"/>
  <c r="T1045" i="2"/>
  <c r="T981" i="2"/>
  <c r="T877" i="2"/>
  <c r="T845" i="2"/>
  <c r="U845" i="2" s="1"/>
  <c r="T573" i="2"/>
  <c r="U573" i="2" s="1"/>
  <c r="T509" i="2"/>
  <c r="T461" i="2"/>
  <c r="T453" i="2"/>
  <c r="T429" i="2"/>
  <c r="T397" i="2"/>
  <c r="T365" i="2"/>
  <c r="T261" i="2"/>
  <c r="T149" i="2"/>
  <c r="U149" i="2" s="1"/>
  <c r="T117" i="2"/>
  <c r="T1209" i="2"/>
  <c r="T857" i="2"/>
  <c r="T737" i="2"/>
  <c r="T321" i="2"/>
  <c r="T1167" i="2"/>
  <c r="T39" i="2"/>
  <c r="U629" i="2"/>
  <c r="U520" i="2"/>
  <c r="U488" i="2"/>
  <c r="U464" i="2"/>
  <c r="U382" i="2"/>
  <c r="U183" i="2"/>
  <c r="U168" i="2"/>
  <c r="U161" i="2"/>
  <c r="T1180" i="2"/>
  <c r="T876" i="2"/>
  <c r="T692" i="2"/>
  <c r="T636" i="2"/>
  <c r="T620" i="2"/>
  <c r="T532" i="2"/>
  <c r="T508" i="2"/>
  <c r="U508" i="2" s="1"/>
  <c r="T460" i="2"/>
  <c r="U460" i="2" s="1"/>
  <c r="T444" i="2"/>
  <c r="T284" i="2"/>
  <c r="T220" i="2"/>
  <c r="T212" i="2"/>
  <c r="T172" i="2"/>
  <c r="T156" i="2"/>
  <c r="T148" i="2"/>
  <c r="U148" i="2" s="1"/>
  <c r="T60" i="2"/>
  <c r="U60" i="2" s="1"/>
  <c r="T1129" i="2"/>
  <c r="T401" i="2"/>
  <c r="T49" i="2"/>
  <c r="T399" i="2"/>
  <c r="T151" i="2"/>
  <c r="U1182" i="2"/>
  <c r="U731" i="2"/>
  <c r="U519" i="2"/>
  <c r="U487" i="2"/>
  <c r="T1203" i="2"/>
  <c r="T1163" i="2"/>
  <c r="T1139" i="2"/>
  <c r="T995" i="2"/>
  <c r="T971" i="2"/>
  <c r="T947" i="2"/>
  <c r="U947" i="2" s="1"/>
  <c r="T763" i="2"/>
  <c r="U763" i="2" s="1"/>
  <c r="T723" i="2"/>
  <c r="T451" i="2"/>
  <c r="T395" i="2"/>
  <c r="T315" i="2"/>
  <c r="T203" i="2"/>
  <c r="T179" i="2"/>
  <c r="T107" i="2"/>
  <c r="U107" i="2" s="1"/>
  <c r="T67" i="2"/>
  <c r="U67" i="2" s="1"/>
  <c r="T137" i="2"/>
  <c r="U1070" i="2"/>
  <c r="U126" i="2"/>
  <c r="T1199" i="2"/>
  <c r="T1119" i="2"/>
  <c r="U1119" i="2" s="1"/>
  <c r="T647" i="2"/>
  <c r="U318" i="2"/>
  <c r="U174" i="2"/>
  <c r="T1074" i="2"/>
  <c r="T994" i="2"/>
  <c r="T890" i="2"/>
  <c r="T874" i="2"/>
  <c r="T858" i="2"/>
  <c r="T850" i="2"/>
  <c r="T818" i="2"/>
  <c r="U818" i="2" s="1"/>
  <c r="T634" i="2"/>
  <c r="U634" i="2" s="1"/>
  <c r="T618" i="2"/>
  <c r="U618" i="2" s="1"/>
  <c r="T442" i="2"/>
  <c r="T434" i="2"/>
  <c r="U434" i="2" s="1"/>
  <c r="T338" i="2"/>
  <c r="T330" i="2"/>
  <c r="T34" i="2"/>
  <c r="U825" i="2"/>
  <c r="U114" i="2"/>
  <c r="U26" i="2"/>
  <c r="U265" i="2"/>
  <c r="U242" i="2"/>
  <c r="U33" i="2"/>
  <c r="U457" i="2"/>
  <c r="U122" i="2"/>
  <c r="U74" i="2"/>
  <c r="U752" i="2"/>
  <c r="U736" i="2"/>
  <c r="U720" i="2"/>
  <c r="U393" i="2"/>
  <c r="U271" i="2"/>
  <c r="U264" i="2"/>
  <c r="U249" i="2"/>
  <c r="U127" i="2"/>
  <c r="U119" i="2"/>
  <c r="U111" i="2"/>
  <c r="U103" i="2"/>
  <c r="U80" i="2"/>
  <c r="U64" i="2"/>
  <c r="U40" i="2"/>
  <c r="U9" i="2"/>
  <c r="U962" i="2"/>
  <c r="U849" i="2"/>
  <c r="U98" i="2"/>
  <c r="U666" i="2"/>
  <c r="U640" i="2"/>
  <c r="U616" i="2"/>
  <c r="U593" i="2"/>
  <c r="U423" i="2"/>
  <c r="U400" i="2"/>
  <c r="U369" i="2"/>
  <c r="U95" i="2"/>
  <c r="U79" i="2"/>
  <c r="U63" i="2"/>
  <c r="U55" i="2"/>
  <c r="U47" i="2"/>
  <c r="U31" i="2"/>
  <c r="U23" i="2"/>
  <c r="U16" i="2"/>
  <c r="U1050" i="2"/>
  <c r="U833" i="2"/>
  <c r="U848" i="2"/>
  <c r="U280" i="2"/>
  <c r="U250" i="2"/>
  <c r="U58" i="2"/>
  <c r="U615" i="2"/>
  <c r="U392" i="2"/>
  <c r="U384" i="2"/>
  <c r="U582" i="2"/>
  <c r="U1189" i="2"/>
  <c r="U403" i="2"/>
  <c r="U997" i="2"/>
  <c r="U917" i="2"/>
  <c r="U901" i="2"/>
  <c r="U540" i="2"/>
  <c r="U477" i="2"/>
  <c r="U188" i="2"/>
  <c r="U427" i="2"/>
  <c r="U310" i="2"/>
  <c r="U50" i="2"/>
  <c r="U854" i="2"/>
  <c r="U838" i="2"/>
  <c r="U814" i="2"/>
  <c r="U587" i="2"/>
  <c r="U476" i="2"/>
  <c r="U316" i="2"/>
  <c r="U278" i="2"/>
  <c r="U210" i="2"/>
  <c r="U187" i="2"/>
  <c r="U134" i="2"/>
  <c r="U88" i="2"/>
  <c r="U865" i="2"/>
  <c r="U1147" i="2"/>
  <c r="U980" i="2"/>
  <c r="U869" i="2"/>
  <c r="U837" i="2"/>
  <c r="U790" i="2"/>
  <c r="U782" i="2"/>
  <c r="U767" i="2"/>
  <c r="U751" i="2"/>
  <c r="U719" i="2"/>
  <c r="U687" i="2"/>
  <c r="U467" i="2"/>
  <c r="U408" i="2"/>
  <c r="U385" i="2"/>
  <c r="U241" i="2"/>
  <c r="U202" i="2"/>
  <c r="U141" i="2"/>
  <c r="U71" i="2"/>
  <c r="U479" i="2"/>
  <c r="U287" i="2"/>
  <c r="U1131" i="2"/>
  <c r="U828" i="2"/>
  <c r="U758" i="2"/>
  <c r="U710" i="2"/>
  <c r="U694" i="2"/>
  <c r="U686" i="2"/>
  <c r="U607" i="2"/>
  <c r="U445" i="2"/>
  <c r="U430" i="2"/>
  <c r="U376" i="2"/>
  <c r="U337" i="2"/>
  <c r="U170" i="2"/>
  <c r="U70" i="2"/>
  <c r="U933" i="2"/>
  <c r="U566" i="2"/>
  <c r="U495" i="2"/>
  <c r="U557" i="2"/>
  <c r="U273" i="2"/>
  <c r="U1099" i="2"/>
  <c r="U1029" i="2"/>
  <c r="U662" i="2"/>
  <c r="U630" i="2"/>
  <c r="U598" i="2"/>
  <c r="U406" i="2"/>
  <c r="U223" i="2"/>
  <c r="U941" i="2"/>
  <c r="U621" i="2"/>
  <c r="U214" i="2"/>
  <c r="U1023" i="2"/>
  <c r="U972" i="2"/>
  <c r="U868" i="2"/>
  <c r="U750" i="2"/>
  <c r="U718" i="2"/>
  <c r="U262" i="2"/>
  <c r="U1068" i="2"/>
  <c r="U1052" i="2"/>
  <c r="U1175" i="2"/>
  <c r="U1075" i="2"/>
  <c r="U1028" i="2"/>
  <c r="U956" i="2"/>
  <c r="U1174" i="2"/>
  <c r="U1151" i="2"/>
  <c r="U1043" i="2"/>
  <c r="U1027" i="2"/>
  <c r="U955" i="2"/>
  <c r="U691" i="2"/>
  <c r="U668" i="2"/>
  <c r="U590" i="2"/>
  <c r="U503" i="2"/>
  <c r="U471" i="2"/>
  <c r="U463" i="2"/>
  <c r="U274" i="2"/>
  <c r="U182" i="2"/>
  <c r="U106" i="2"/>
  <c r="U12" i="2"/>
  <c r="U1171" i="2"/>
  <c r="U1155" i="2"/>
  <c r="U1092" i="2"/>
  <c r="U892" i="2"/>
  <c r="U742" i="2"/>
  <c r="U678" i="2"/>
  <c r="U407" i="2"/>
  <c r="U1123" i="2"/>
  <c r="U1159" i="2"/>
  <c r="U1143" i="2"/>
  <c r="U1035" i="2"/>
  <c r="U1020" i="2"/>
  <c r="U841" i="2"/>
  <c r="U755" i="2"/>
  <c r="U628" i="2"/>
  <c r="U604" i="2"/>
  <c r="U550" i="2"/>
  <c r="U526" i="2"/>
  <c r="U1142" i="2"/>
  <c r="U1019" i="2"/>
  <c r="U932" i="2"/>
  <c r="U895" i="2"/>
  <c r="U888" i="2"/>
  <c r="U864" i="2"/>
  <c r="U667" i="2"/>
  <c r="U619" i="2"/>
  <c r="U549" i="2"/>
  <c r="U541" i="2"/>
  <c r="U494" i="2"/>
  <c r="U486" i="2"/>
  <c r="U372" i="2"/>
  <c r="U326" i="2"/>
  <c r="U303" i="2"/>
  <c r="U66" i="2"/>
  <c r="U42" i="2"/>
  <c r="U1039" i="2"/>
  <c r="U586" i="2"/>
  <c r="U499" i="2"/>
  <c r="U1124" i="2"/>
  <c r="U860" i="2"/>
  <c r="U655" i="2"/>
  <c r="U422" i="2"/>
  <c r="U1107" i="2"/>
  <c r="U1191" i="2"/>
  <c r="U963" i="2"/>
  <c r="U1211" i="2"/>
  <c r="U931" i="2"/>
  <c r="U371" i="2"/>
  <c r="U348" i="2"/>
  <c r="U279" i="2"/>
  <c r="U257" i="2"/>
  <c r="U25" i="2"/>
  <c r="U1091" i="2"/>
  <c r="U1060" i="2"/>
  <c r="U1044" i="2"/>
  <c r="U1183" i="2"/>
  <c r="U1036" i="2"/>
  <c r="U989" i="2"/>
  <c r="U975" i="2"/>
  <c r="U924" i="2"/>
  <c r="U1195" i="2"/>
  <c r="U1187" i="2"/>
  <c r="U1179" i="2"/>
  <c r="U1126" i="2"/>
  <c r="U1094" i="2"/>
  <c r="U996" i="2"/>
  <c r="U988" i="2"/>
  <c r="U923" i="2"/>
  <c r="U908" i="2"/>
  <c r="U900" i="2"/>
  <c r="U846" i="2"/>
  <c r="U783" i="2"/>
  <c r="U768" i="2"/>
  <c r="U571" i="2"/>
  <c r="U555" i="2"/>
  <c r="U468" i="2"/>
  <c r="U332" i="2"/>
  <c r="U96" i="2"/>
  <c r="U72" i="2"/>
  <c r="U48" i="2"/>
  <c r="U32" i="2"/>
  <c r="U979" i="2"/>
  <c r="U964" i="2"/>
  <c r="U891" i="2"/>
  <c r="U883" i="2"/>
  <c r="U827" i="2"/>
  <c r="U819" i="2"/>
  <c r="U773" i="2"/>
  <c r="U709" i="2"/>
  <c r="U654" i="2"/>
  <c r="U646" i="2"/>
  <c r="U622" i="2"/>
  <c r="U614" i="2"/>
  <c r="U481" i="2"/>
  <c r="U473" i="2"/>
  <c r="U436" i="2"/>
  <c r="U398" i="2"/>
  <c r="U215" i="2"/>
  <c r="U177" i="2"/>
  <c r="U169" i="2"/>
  <c r="U124" i="2"/>
  <c r="U29" i="2"/>
  <c r="U14" i="2"/>
  <c r="U6" i="2"/>
  <c r="U948" i="2"/>
  <c r="U795" i="2"/>
  <c r="U787" i="2"/>
  <c r="U779" i="2"/>
  <c r="U764" i="2"/>
  <c r="U756" i="2"/>
  <c r="U732" i="2"/>
  <c r="U724" i="2"/>
  <c r="U700" i="2"/>
  <c r="U669" i="2"/>
  <c r="U645" i="2"/>
  <c r="U637" i="2"/>
  <c r="U613" i="2"/>
  <c r="U605" i="2"/>
  <c r="U535" i="2"/>
  <c r="U527" i="2"/>
  <c r="U504" i="2"/>
  <c r="U480" i="2"/>
  <c r="U472" i="2"/>
  <c r="U443" i="2"/>
  <c r="U435" i="2"/>
  <c r="U412" i="2"/>
  <c r="U390" i="2"/>
  <c r="U268" i="2"/>
  <c r="U252" i="2"/>
  <c r="U222" i="2"/>
  <c r="U206" i="2"/>
  <c r="U199" i="2"/>
  <c r="U176" i="2"/>
  <c r="U153" i="2"/>
  <c r="U76" i="2"/>
  <c r="U1116" i="2"/>
  <c r="U1108" i="2"/>
  <c r="U1100" i="2"/>
  <c r="U1084" i="2"/>
  <c r="U1076" i="2"/>
  <c r="U957" i="2"/>
  <c r="U1212" i="2"/>
  <c r="U1204" i="2"/>
  <c r="U1158" i="2"/>
  <c r="U998" i="2"/>
  <c r="U940" i="2"/>
  <c r="U880" i="2"/>
  <c r="U872" i="2"/>
  <c r="U856" i="2"/>
  <c r="U840" i="2"/>
  <c r="U659" i="2"/>
  <c r="U596" i="2"/>
  <c r="U581" i="2"/>
  <c r="U470" i="2"/>
  <c r="U1012" i="2"/>
  <c r="U1196" i="2"/>
  <c r="U1180" i="2"/>
  <c r="U1172" i="2"/>
  <c r="U1004" i="2"/>
  <c r="U967" i="2"/>
  <c r="U960" i="2"/>
  <c r="U652" i="2"/>
  <c r="U534" i="2"/>
  <c r="U511" i="2"/>
  <c r="U1164" i="2"/>
  <c r="U1156" i="2"/>
  <c r="U1148" i="2"/>
  <c r="U1140" i="2"/>
  <c r="U1003" i="2"/>
  <c r="U959" i="2"/>
  <c r="U916" i="2"/>
  <c r="U893" i="2"/>
  <c r="U830" i="2"/>
  <c r="U807" i="2"/>
  <c r="U791" i="2"/>
  <c r="U776" i="2"/>
  <c r="U760" i="2"/>
  <c r="U744" i="2"/>
  <c r="U1067" i="2"/>
  <c r="U739" i="2"/>
  <c r="U190" i="2"/>
  <c r="U1132" i="2"/>
  <c r="U1125" i="2"/>
  <c r="U1031" i="2"/>
  <c r="U894" i="2"/>
  <c r="U887" i="2"/>
  <c r="U879" i="2"/>
  <c r="U871" i="2"/>
  <c r="U863" i="2"/>
  <c r="U855" i="2"/>
  <c r="U847" i="2"/>
  <c r="U839" i="2"/>
  <c r="U761" i="2"/>
  <c r="U753" i="2"/>
  <c r="U745" i="2"/>
  <c r="U729" i="2"/>
  <c r="U721" i="2"/>
  <c r="U713" i="2"/>
  <c r="U705" i="2"/>
  <c r="U595" i="2"/>
  <c r="U572" i="2"/>
  <c r="U564" i="2"/>
  <c r="U548" i="2"/>
  <c r="U356" i="2"/>
  <c r="U286" i="2"/>
  <c r="U728" i="2"/>
  <c r="U609" i="2"/>
  <c r="U601" i="2"/>
  <c r="U563" i="2"/>
  <c r="U539" i="2"/>
  <c r="U516" i="2"/>
  <c r="U256" i="2"/>
  <c r="U24" i="2"/>
  <c r="U958" i="2"/>
  <c r="U907" i="2"/>
  <c r="U861" i="2"/>
  <c r="U829" i="2"/>
  <c r="U821" i="2"/>
  <c r="U806" i="2"/>
  <c r="U775" i="2"/>
  <c r="U759" i="2"/>
  <c r="U743" i="2"/>
  <c r="U632" i="2"/>
  <c r="U624" i="2"/>
  <c r="U608" i="2"/>
  <c r="U600" i="2"/>
  <c r="U538" i="2"/>
  <c r="U507" i="2"/>
  <c r="U491" i="2"/>
  <c r="U475" i="2"/>
  <c r="U415" i="2"/>
  <c r="U377" i="2"/>
  <c r="U307" i="2"/>
  <c r="U884" i="2"/>
  <c r="U852" i="2"/>
  <c r="U844" i="2"/>
  <c r="U820" i="2"/>
  <c r="U812" i="2"/>
  <c r="U663" i="2"/>
  <c r="U631" i="2"/>
  <c r="U623" i="2"/>
  <c r="U599" i="2"/>
  <c r="U585" i="2"/>
  <c r="U498" i="2"/>
  <c r="U178" i="2"/>
  <c r="U140" i="2"/>
  <c r="U94" i="2"/>
  <c r="U62" i="2"/>
  <c r="U30" i="2"/>
  <c r="U949" i="2"/>
  <c r="U875" i="2"/>
  <c r="U867" i="2"/>
  <c r="U843" i="2"/>
  <c r="U835" i="2"/>
  <c r="U796" i="2"/>
  <c r="U788" i="2"/>
  <c r="U780" i="2"/>
  <c r="U765" i="2"/>
  <c r="U717" i="2"/>
  <c r="U701" i="2"/>
  <c r="U465" i="2"/>
  <c r="U200" i="2"/>
  <c r="U184" i="2"/>
  <c r="U2" i="2"/>
  <c r="U1210" i="2"/>
  <c r="U1032" i="2"/>
  <c r="U1024" i="2"/>
  <c r="U1017" i="2"/>
  <c r="U952" i="2"/>
  <c r="U945" i="2"/>
  <c r="U1042" i="2"/>
  <c r="U953" i="2"/>
  <c r="U1194" i="2"/>
  <c r="U1186" i="2"/>
  <c r="U1016" i="2"/>
  <c r="U1009" i="2"/>
  <c r="U1002" i="2"/>
  <c r="U922" i="2"/>
  <c r="U1193" i="2"/>
  <c r="U1154" i="2"/>
  <c r="U1146" i="2"/>
  <c r="U1200" i="2"/>
  <c r="U1192" i="2"/>
  <c r="U1184" i="2"/>
  <c r="U1176" i="2"/>
  <c r="U1169" i="2"/>
  <c r="U1161" i="2"/>
  <c r="U1153" i="2"/>
  <c r="U1145" i="2"/>
  <c r="U1137" i="2"/>
  <c r="U1130" i="2"/>
  <c r="U1168" i="2"/>
  <c r="U1160" i="2"/>
  <c r="U1152" i="2"/>
  <c r="U1136" i="2"/>
  <c r="U834" i="2"/>
  <c r="U1144" i="2"/>
  <c r="U207" i="2"/>
  <c r="U1121" i="2"/>
  <c r="U1113" i="2"/>
  <c r="U1015" i="2"/>
  <c r="U1008" i="2"/>
  <c r="U1001" i="2"/>
  <c r="U951" i="2"/>
  <c r="U944" i="2"/>
  <c r="U937" i="2"/>
  <c r="U929" i="2"/>
  <c r="U832" i="2"/>
  <c r="U824" i="2"/>
  <c r="U817" i="2"/>
  <c r="U735" i="2"/>
  <c r="U727" i="2"/>
  <c r="U712" i="2"/>
  <c r="U704" i="2"/>
  <c r="U697" i="2"/>
  <c r="U592" i="2"/>
  <c r="U449" i="2"/>
  <c r="U441" i="2"/>
  <c r="U391" i="2"/>
  <c r="U375" i="2"/>
  <c r="U368" i="2"/>
  <c r="U353" i="2"/>
  <c r="U263" i="2"/>
  <c r="U255" i="2"/>
  <c r="U248" i="2"/>
  <c r="U175" i="2"/>
  <c r="U167" i="2"/>
  <c r="U160" i="2"/>
  <c r="U152" i="2"/>
  <c r="U15" i="2"/>
  <c r="U7" i="2"/>
  <c r="U1120" i="2"/>
  <c r="U1105" i="2"/>
  <c r="U1089" i="2"/>
  <c r="U1007" i="2"/>
  <c r="U1000" i="2"/>
  <c r="U943" i="2"/>
  <c r="U816" i="2"/>
  <c r="U703" i="2"/>
  <c r="U696" i="2"/>
  <c r="U689" i="2"/>
  <c r="U591" i="2"/>
  <c r="U577" i="2"/>
  <c r="U448" i="2"/>
  <c r="U440" i="2"/>
  <c r="U433" i="2"/>
  <c r="U367" i="2"/>
  <c r="U360" i="2"/>
  <c r="U352" i="2"/>
  <c r="U344" i="2"/>
  <c r="U159" i="2"/>
  <c r="U1127" i="2"/>
  <c r="U1111" i="2"/>
  <c r="U1104" i="2"/>
  <c r="U1096" i="2"/>
  <c r="U1088" i="2"/>
  <c r="U1080" i="2"/>
  <c r="U1073" i="2"/>
  <c r="U1065" i="2"/>
  <c r="U1057" i="2"/>
  <c r="U1049" i="2"/>
  <c r="U992" i="2"/>
  <c r="U935" i="2"/>
  <c r="U913" i="2"/>
  <c r="U905" i="2"/>
  <c r="U897" i="2"/>
  <c r="U808" i="2"/>
  <c r="U801" i="2"/>
  <c r="U695" i="2"/>
  <c r="U688" i="2"/>
  <c r="U681" i="2"/>
  <c r="U673" i="2"/>
  <c r="U584" i="2"/>
  <c r="U576" i="2"/>
  <c r="U568" i="2"/>
  <c r="U561" i="2"/>
  <c r="U553" i="2"/>
  <c r="U545" i="2"/>
  <c r="U455" i="2"/>
  <c r="U447" i="2"/>
  <c r="U439" i="2"/>
  <c r="U432" i="2"/>
  <c r="U425" i="2"/>
  <c r="U366" i="2"/>
  <c r="U359" i="2"/>
  <c r="U351" i="2"/>
  <c r="U343" i="2"/>
  <c r="U336" i="2"/>
  <c r="U329" i="2"/>
  <c r="U313" i="2"/>
  <c r="U1097" i="2"/>
  <c r="U1081" i="2"/>
  <c r="U993" i="2"/>
  <c r="U985" i="2"/>
  <c r="U936" i="2"/>
  <c r="U928" i="2"/>
  <c r="U921" i="2"/>
  <c r="U831" i="2"/>
  <c r="U823" i="2"/>
  <c r="U1216" i="2"/>
  <c r="U1208" i="2"/>
  <c r="U1215" i="2"/>
  <c r="U1207" i="2"/>
  <c r="U1103" i="2"/>
  <c r="U1079" i="2"/>
  <c r="U1072" i="2"/>
  <c r="U1064" i="2"/>
  <c r="U1056" i="2"/>
  <c r="U1048" i="2"/>
  <c r="U1041" i="2"/>
  <c r="U1033" i="2"/>
  <c r="U999" i="2"/>
  <c r="U991" i="2"/>
  <c r="U984" i="2"/>
  <c r="U969" i="2"/>
  <c r="U927" i="2"/>
  <c r="U920" i="2"/>
  <c r="U912" i="2"/>
  <c r="U904" i="2"/>
  <c r="U896" i="2"/>
  <c r="U793" i="2"/>
  <c r="U785" i="2"/>
  <c r="U680" i="2"/>
  <c r="U672" i="2"/>
  <c r="U665" i="2"/>
  <c r="U657" i="2"/>
  <c r="U649" i="2"/>
  <c r="U583" i="2"/>
  <c r="U575" i="2"/>
  <c r="U567" i="2"/>
  <c r="U560" i="2"/>
  <c r="U1135" i="2"/>
  <c r="U1185" i="2"/>
  <c r="U1177" i="2"/>
  <c r="U1071" i="2"/>
  <c r="U1063" i="2"/>
  <c r="U1055" i="2"/>
  <c r="U1047" i="2"/>
  <c r="U1040" i="2"/>
  <c r="U1025" i="2"/>
  <c r="U983" i="2"/>
  <c r="U976" i="2"/>
  <c r="U961" i="2"/>
  <c r="U919" i="2"/>
  <c r="U911" i="2"/>
  <c r="U903" i="2"/>
  <c r="U889" i="2"/>
  <c r="U881" i="2"/>
  <c r="U799" i="2"/>
  <c r="U792" i="2"/>
  <c r="U784" i="2"/>
  <c r="U777" i="2"/>
  <c r="U769" i="2"/>
  <c r="U679" i="2"/>
  <c r="U664" i="2"/>
  <c r="U656" i="2"/>
  <c r="U648" i="2"/>
  <c r="U641" i="2"/>
  <c r="U633" i="2"/>
  <c r="U625" i="2"/>
  <c r="U617" i="2"/>
  <c r="U559" i="2"/>
  <c r="U551" i="2"/>
  <c r="U543" i="2"/>
  <c r="U536" i="2"/>
  <c r="U528" i="2"/>
  <c r="U521" i="2"/>
  <c r="U513" i="2"/>
  <c r="U505" i="2"/>
  <c r="U497" i="2"/>
  <c r="U489" i="2"/>
  <c r="U416" i="2"/>
  <c r="U409" i="2"/>
  <c r="U327" i="2"/>
  <c r="U311" i="2"/>
  <c r="U304" i="2"/>
  <c r="U296" i="2"/>
  <c r="U281" i="2"/>
  <c r="U231" i="2"/>
  <c r="U224" i="2"/>
  <c r="U216" i="2"/>
  <c r="U208" i="2"/>
  <c r="U201" i="2"/>
  <c r="U193" i="2"/>
  <c r="U185" i="2"/>
  <c r="U120" i="2"/>
  <c r="U112" i="2"/>
  <c r="U104" i="2"/>
  <c r="U97" i="2"/>
  <c r="U89" i="2"/>
  <c r="U81" i="2"/>
  <c r="U65" i="2"/>
  <c r="U57" i="2"/>
  <c r="U41" i="2"/>
  <c r="U246" i="2"/>
  <c r="U240" i="2"/>
  <c r="U233" i="2"/>
  <c r="U173" i="2"/>
  <c r="U165" i="2"/>
  <c r="U158" i="2"/>
  <c r="U150" i="2"/>
  <c r="U143" i="2"/>
  <c r="U136" i="2"/>
  <c r="U129" i="2"/>
  <c r="U552" i="2"/>
  <c r="U544" i="2"/>
  <c r="U537" i="2"/>
  <c r="U529" i="2"/>
  <c r="U454" i="2"/>
  <c r="U446" i="2"/>
  <c r="U438" i="2"/>
  <c r="U431" i="2"/>
  <c r="U424" i="2"/>
  <c r="U417" i="2"/>
  <c r="U350" i="2"/>
  <c r="U342" i="2"/>
  <c r="U335" i="2"/>
  <c r="U328" i="2"/>
  <c r="U320" i="2"/>
  <c r="U312" i="2"/>
  <c r="U305" i="2"/>
  <c r="U297" i="2"/>
  <c r="U289" i="2"/>
  <c r="U245" i="2"/>
  <c r="U239" i="2"/>
  <c r="U232" i="2"/>
  <c r="U225" i="2"/>
  <c r="U217" i="2"/>
  <c r="U209" i="2"/>
  <c r="U142" i="2"/>
  <c r="U135" i="2"/>
  <c r="U121" i="2"/>
  <c r="U113" i="2"/>
  <c r="U1018" i="2"/>
  <c r="U970" i="2"/>
  <c r="U842" i="2"/>
  <c r="U522" i="2"/>
  <c r="U314" i="2"/>
  <c r="U306" i="2"/>
  <c r="U1090" i="2"/>
  <c r="U1082" i="2"/>
  <c r="U802" i="2"/>
  <c r="U698" i="2"/>
  <c r="U530" i="2"/>
  <c r="U322" i="2"/>
  <c r="U1202" i="2"/>
  <c r="U1181" i="2"/>
  <c r="U1173" i="2"/>
  <c r="U1138" i="2"/>
  <c r="U1117" i="2"/>
  <c r="U1109" i="2"/>
  <c r="U1066" i="2"/>
  <c r="U1010" i="2"/>
  <c r="U930" i="2"/>
  <c r="U909" i="2"/>
  <c r="U757" i="2"/>
  <c r="U749" i="2"/>
  <c r="U594" i="2"/>
  <c r="U514" i="2"/>
  <c r="U506" i="2"/>
  <c r="U290" i="2"/>
  <c r="U882" i="2"/>
  <c r="U794" i="2"/>
  <c r="U786" i="2"/>
  <c r="U778" i="2"/>
  <c r="U711" i="2"/>
  <c r="U682" i="2"/>
  <c r="U674" i="2"/>
  <c r="U490" i="2"/>
  <c r="U410" i="2"/>
  <c r="U402" i="2"/>
  <c r="U282" i="2"/>
  <c r="U128" i="2"/>
  <c r="U1157" i="2"/>
  <c r="U1122" i="2"/>
  <c r="U1021" i="2"/>
  <c r="U914" i="2"/>
  <c r="U386" i="2"/>
  <c r="U378" i="2"/>
  <c r="U258" i="2"/>
  <c r="U906" i="2"/>
  <c r="U754" i="2"/>
  <c r="U650" i="2"/>
  <c r="U578" i="2"/>
  <c r="U458" i="2"/>
  <c r="U1213" i="2"/>
  <c r="U1205" i="2"/>
  <c r="U1170" i="2"/>
  <c r="U1141" i="2"/>
  <c r="U1106" i="2"/>
  <c r="U1085" i="2"/>
  <c r="U1077" i="2"/>
  <c r="U1013" i="2"/>
  <c r="U986" i="2"/>
  <c r="U973" i="2"/>
  <c r="U859" i="2"/>
  <c r="U826" i="2"/>
  <c r="U811" i="2"/>
  <c r="U805" i="2"/>
  <c r="U738" i="2"/>
  <c r="U730" i="2"/>
  <c r="U722" i="2"/>
  <c r="U693" i="2"/>
  <c r="U643" i="2"/>
  <c r="U635" i="2"/>
  <c r="U627" i="2"/>
  <c r="U570" i="2"/>
  <c r="U562" i="2"/>
  <c r="U309" i="2"/>
  <c r="U272" i="2"/>
  <c r="U1178" i="2"/>
  <c r="U1114" i="2"/>
  <c r="U1093" i="2"/>
  <c r="U1034" i="2"/>
  <c r="U954" i="2"/>
  <c r="U762" i="2"/>
  <c r="U1098" i="2"/>
  <c r="U1069" i="2"/>
  <c r="U1061" i="2"/>
  <c r="U1026" i="2"/>
  <c r="U1005" i="2"/>
  <c r="U965" i="2"/>
  <c r="U946" i="2"/>
  <c r="U939" i="2"/>
  <c r="U898" i="2"/>
  <c r="U885" i="2"/>
  <c r="U851" i="2"/>
  <c r="U810" i="2"/>
  <c r="U797" i="2"/>
  <c r="U715" i="2"/>
  <c r="U707" i="2"/>
  <c r="U642" i="2"/>
  <c r="U626" i="2"/>
  <c r="U517" i="2"/>
  <c r="U501" i="2"/>
  <c r="U421" i="2"/>
  <c r="U413" i="2"/>
  <c r="U285" i="2"/>
  <c r="U213" i="2"/>
  <c r="U746" i="2"/>
  <c r="U658" i="2"/>
  <c r="U1197" i="2"/>
  <c r="U1053" i="2"/>
  <c r="U925" i="2"/>
  <c r="U803" i="2"/>
  <c r="U789" i="2"/>
  <c r="U781" i="2"/>
  <c r="U714" i="2"/>
  <c r="U706" i="2"/>
  <c r="U602" i="2"/>
  <c r="U589" i="2"/>
  <c r="U546" i="2"/>
  <c r="U493" i="2"/>
  <c r="U485" i="2"/>
  <c r="U426" i="2"/>
  <c r="U450" i="2"/>
  <c r="U394" i="2"/>
  <c r="U387" i="2"/>
  <c r="U301" i="2"/>
  <c r="U293" i="2"/>
  <c r="U266" i="2"/>
  <c r="U251" i="2"/>
  <c r="U194" i="2"/>
  <c r="U186" i="2"/>
  <c r="U157" i="2"/>
  <c r="U90" i="2"/>
  <c r="U82" i="2"/>
  <c r="U59" i="2"/>
  <c r="U51" i="2"/>
  <c r="U43" i="2"/>
  <c r="U35" i="2"/>
  <c r="U13" i="2"/>
  <c r="U5" i="2"/>
  <c r="U699" i="2"/>
  <c r="U685" i="2"/>
  <c r="U677" i="2"/>
  <c r="U610" i="2"/>
  <c r="U603" i="2"/>
  <c r="U569" i="2"/>
  <c r="U554" i="2"/>
  <c r="U547" i="2"/>
  <c r="U533" i="2"/>
  <c r="U525" i="2"/>
  <c r="U482" i="2"/>
  <c r="U419" i="2"/>
  <c r="U405" i="2"/>
  <c r="U370" i="2"/>
  <c r="U363" i="2"/>
  <c r="U357" i="2"/>
  <c r="U349" i="2"/>
  <c r="U341" i="2"/>
  <c r="U298" i="2"/>
  <c r="U235" i="2"/>
  <c r="U229" i="2"/>
  <c r="U221" i="2"/>
  <c r="U191" i="2"/>
  <c r="U162" i="2"/>
  <c r="U147" i="2"/>
  <c r="U133" i="2"/>
  <c r="U87" i="2"/>
  <c r="U418" i="2"/>
  <c r="U411" i="2"/>
  <c r="U383" i="2"/>
  <c r="U362" i="2"/>
  <c r="U333" i="2"/>
  <c r="U277" i="2"/>
  <c r="U269" i="2"/>
  <c r="U234" i="2"/>
  <c r="U220" i="2"/>
  <c r="U205" i="2"/>
  <c r="U146" i="2"/>
  <c r="U139" i="2"/>
  <c r="U125" i="2"/>
  <c r="U109" i="2"/>
  <c r="U101" i="2"/>
  <c r="U39" i="2"/>
  <c r="U1101" i="2"/>
  <c r="U1087" i="2"/>
  <c r="U1059" i="2"/>
  <c r="U1051" i="2"/>
  <c r="U1037" i="2"/>
  <c r="U1011" i="2"/>
  <c r="U978" i="2"/>
  <c r="U938" i="2"/>
  <c r="U899" i="2"/>
  <c r="U866" i="2"/>
  <c r="U853" i="2"/>
  <c r="U813" i="2"/>
  <c r="U800" i="2"/>
  <c r="U770" i="2"/>
  <c r="U741" i="2"/>
  <c r="U733" i="2"/>
  <c r="U690" i="2"/>
  <c r="U683" i="2"/>
  <c r="U675" i="2"/>
  <c r="U653" i="2"/>
  <c r="U639" i="2"/>
  <c r="U531" i="2"/>
  <c r="U523" i="2"/>
  <c r="U474" i="2"/>
  <c r="U466" i="2"/>
  <c r="U459" i="2"/>
  <c r="U397" i="2"/>
  <c r="U355" i="2"/>
  <c r="U347" i="2"/>
  <c r="U339" i="2"/>
  <c r="U325" i="2"/>
  <c r="U283" i="2"/>
  <c r="U227" i="2"/>
  <c r="U219" i="2"/>
  <c r="U197" i="2"/>
  <c r="U189" i="2"/>
  <c r="U138" i="2"/>
  <c r="U131" i="2"/>
  <c r="U93" i="2"/>
  <c r="U85" i="2"/>
  <c r="U77" i="2"/>
  <c r="U69" i="2"/>
  <c r="U389" i="2"/>
  <c r="U381" i="2"/>
  <c r="U354" i="2"/>
  <c r="U346" i="2"/>
  <c r="U317" i="2"/>
  <c r="U295" i="2"/>
  <c r="U275" i="2"/>
  <c r="U253" i="2"/>
  <c r="U226" i="2"/>
  <c r="U218" i="2"/>
  <c r="U211" i="2"/>
  <c r="U181" i="2"/>
  <c r="U144" i="2"/>
  <c r="U130" i="2"/>
  <c r="U123" i="2"/>
  <c r="U115" i="2"/>
  <c r="U99" i="2"/>
  <c r="U61" i="2"/>
  <c r="U53" i="2"/>
  <c r="U45" i="2"/>
  <c r="U37" i="2"/>
  <c r="U1203" i="2"/>
  <c r="U1163" i="2"/>
  <c r="U1139" i="2"/>
  <c r="U1115" i="2"/>
  <c r="U1083" i="2"/>
  <c r="U971" i="2"/>
  <c r="U1167" i="2"/>
  <c r="U858" i="2"/>
  <c r="U850" i="2"/>
  <c r="U815" i="2"/>
  <c r="U1209" i="2"/>
  <c r="U1112" i="2"/>
  <c r="U968" i="2"/>
  <c r="U1162" i="2"/>
  <c r="U1074" i="2"/>
  <c r="U1058" i="2"/>
  <c r="U994" i="2"/>
  <c r="U874" i="2"/>
  <c r="U723" i="2"/>
  <c r="U203" i="2"/>
  <c r="U338" i="2"/>
  <c r="U977" i="2"/>
  <c r="U873" i="2"/>
  <c r="U737" i="2"/>
  <c r="U321" i="2"/>
  <c r="U49" i="2"/>
  <c r="U496" i="2"/>
  <c r="U456" i="2"/>
  <c r="U288" i="2"/>
  <c r="U8" i="2"/>
  <c r="U1199" i="2"/>
  <c r="U399" i="2"/>
  <c r="U179" i="2"/>
  <c r="U890" i="2"/>
  <c r="U151" i="2"/>
  <c r="U1129" i="2"/>
  <c r="U857" i="2"/>
  <c r="U345" i="2"/>
  <c r="U145" i="2"/>
  <c r="U671" i="2"/>
  <c r="U647" i="2"/>
  <c r="U247" i="2"/>
  <c r="U995" i="2"/>
  <c r="U451" i="2"/>
  <c r="U315" i="2"/>
  <c r="U361" i="2"/>
  <c r="U330" i="2"/>
  <c r="U1201" i="2"/>
  <c r="U809" i="2"/>
  <c r="U17" i="2"/>
  <c r="U1214" i="2"/>
  <c r="U1190" i="2"/>
  <c r="U1134" i="2"/>
  <c r="U1110" i="2"/>
  <c r="U1078" i="2"/>
  <c r="U1038" i="2"/>
  <c r="U774" i="2"/>
  <c r="U726" i="2"/>
  <c r="U442" i="2"/>
  <c r="U34" i="2"/>
  <c r="U10" i="2"/>
  <c r="U319" i="2"/>
  <c r="U401" i="2"/>
  <c r="U137" i="2"/>
  <c r="U73" i="2"/>
  <c r="U1165" i="2"/>
  <c r="U1149" i="2"/>
  <c r="U1133" i="2"/>
  <c r="U1045" i="2"/>
  <c r="U981" i="2"/>
  <c r="U877" i="2"/>
  <c r="U395" i="2"/>
  <c r="U512" i="2"/>
  <c r="U18" i="2"/>
  <c r="U1188" i="2"/>
  <c r="U876" i="2"/>
  <c r="U692" i="2"/>
  <c r="U670" i="2"/>
  <c r="U558" i="2"/>
  <c r="U518" i="2"/>
  <c r="U502" i="2"/>
  <c r="U462" i="2"/>
  <c r="U358" i="2"/>
  <c r="U509" i="2"/>
  <c r="U461" i="2"/>
  <c r="U453" i="2"/>
  <c r="U429" i="2"/>
  <c r="U365" i="2"/>
  <c r="U261" i="2"/>
  <c r="U117" i="2"/>
  <c r="U636" i="2"/>
  <c r="U620" i="2"/>
  <c r="U532" i="2"/>
  <c r="U444" i="2"/>
  <c r="U284" i="2"/>
  <c r="U212" i="2"/>
  <c r="U172" i="2"/>
  <c r="U156" i="2"/>
  <c r="Y966" i="1"/>
  <c r="Y934" i="1"/>
  <c r="Y918" i="1"/>
  <c r="Y910" i="1"/>
  <c r="Y894" i="1"/>
  <c r="Y870" i="1"/>
  <c r="Y854" i="1"/>
  <c r="Y838" i="1"/>
  <c r="Y822" i="1"/>
  <c r="Y806" i="1"/>
  <c r="Y782" i="1"/>
  <c r="Y758" i="1"/>
  <c r="Y734" i="1"/>
  <c r="Y702" i="1"/>
  <c r="Y678" i="1"/>
  <c r="Y654" i="1"/>
  <c r="Y646" i="1"/>
  <c r="Y622" i="1"/>
  <c r="Y614" i="1"/>
  <c r="Y606" i="1"/>
  <c r="Y598" i="1"/>
  <c r="Y590" i="1"/>
  <c r="Y582" i="1"/>
  <c r="Y574" i="1"/>
  <c r="Y566" i="1"/>
  <c r="Y558" i="1"/>
  <c r="Y550" i="1"/>
  <c r="Y542" i="1"/>
  <c r="Y534" i="1"/>
  <c r="Y526" i="1"/>
  <c r="Y518" i="1"/>
  <c r="Y510" i="1"/>
  <c r="Y502" i="1"/>
  <c r="Y494" i="1"/>
  <c r="Y486" i="1"/>
  <c r="Y462" i="1"/>
  <c r="Y1198" i="1"/>
  <c r="Y1190" i="1"/>
  <c r="Y1182" i="1"/>
  <c r="Y1166" i="1"/>
  <c r="Y1150" i="1"/>
  <c r="Y1142" i="1"/>
  <c r="Y1134" i="1"/>
  <c r="Y1126" i="1"/>
  <c r="Y1110" i="1"/>
  <c r="Y1094" i="1"/>
  <c r="Y1078" i="1"/>
  <c r="Y1070" i="1"/>
  <c r="Y1062" i="1"/>
  <c r="Y1054" i="1"/>
  <c r="Y1046" i="1"/>
  <c r="Y1030" i="1"/>
  <c r="Y1022" i="1"/>
  <c r="Y1014" i="1"/>
  <c r="Y1006" i="1"/>
  <c r="Y998" i="1"/>
  <c r="Y990" i="1"/>
  <c r="Y982" i="1"/>
  <c r="Y974" i="1"/>
  <c r="Y958" i="1"/>
  <c r="Y942" i="1"/>
  <c r="Y926" i="1"/>
  <c r="Y902" i="1"/>
  <c r="Y886" i="1"/>
  <c r="Y878" i="1"/>
  <c r="Y862" i="1"/>
  <c r="Y846" i="1"/>
  <c r="Y830" i="1"/>
  <c r="Y814" i="1"/>
  <c r="Y766" i="1"/>
  <c r="Y742" i="1"/>
  <c r="Y718" i="1"/>
  <c r="Y694" i="1"/>
  <c r="Y670" i="1"/>
  <c r="Y630" i="1"/>
  <c r="Y798" i="1"/>
  <c r="Y774" i="1"/>
  <c r="Y750" i="1"/>
  <c r="Y726" i="1"/>
  <c r="Y686" i="1"/>
  <c r="Y662" i="1"/>
  <c r="Y638" i="1"/>
  <c r="Y1212" i="1"/>
  <c r="Y1204" i="1"/>
  <c r="Y1196" i="1"/>
  <c r="Y1180" i="1"/>
  <c r="Y1172" i="1"/>
  <c r="Y1164" i="1"/>
  <c r="Y1148" i="1"/>
  <c r="Y1140" i="1"/>
  <c r="Y1132" i="1"/>
  <c r="Y1116" i="1"/>
  <c r="Y1108" i="1"/>
  <c r="Y1092" i="1"/>
  <c r="Y1084" i="1"/>
  <c r="Y1076" i="1"/>
  <c r="Y1060" i="1"/>
  <c r="Y1052" i="1"/>
  <c r="Y1044" i="1"/>
  <c r="Y1020" i="1"/>
  <c r="Y1012" i="1"/>
  <c r="Y1004" i="1"/>
  <c r="Y996" i="1"/>
  <c r="Y988" i="1"/>
  <c r="Y980" i="1"/>
  <c r="Y972" i="1"/>
  <c r="Y964" i="1"/>
  <c r="Y956" i="1"/>
  <c r="Y1205" i="1"/>
  <c r="Y1197" i="1"/>
  <c r="Y1189" i="1"/>
  <c r="Y1181" i="1"/>
  <c r="Y1173" i="1"/>
  <c r="Y1141" i="1"/>
  <c r="Y1133" i="1"/>
  <c r="Y1125" i="1"/>
  <c r="Y1117" i="1"/>
  <c r="Y1109" i="1"/>
  <c r="Y1101" i="1"/>
  <c r="Y1093" i="1"/>
  <c r="Y1085" i="1"/>
  <c r="Y1077" i="1"/>
  <c r="Y1069" i="1"/>
  <c r="Y1061" i="1"/>
  <c r="Y1053" i="1"/>
  <c r="Y1045" i="1"/>
  <c r="Y1037" i="1"/>
  <c r="Y1029" i="1"/>
  <c r="Y1021" i="1"/>
  <c r="Y1005" i="1"/>
  <c r="Y989" i="1"/>
  <c r="Y981" i="1"/>
  <c r="Y973" i="1"/>
  <c r="Y965" i="1"/>
  <c r="Y957" i="1"/>
  <c r="Y941" i="1"/>
  <c r="Y933" i="1"/>
  <c r="Y925" i="1"/>
  <c r="Y917" i="1"/>
  <c r="Y901" i="1"/>
  <c r="Y893" i="1"/>
  <c r="Y837" i="1"/>
  <c r="Y829" i="1"/>
  <c r="Y821" i="1"/>
  <c r="Y813" i="1"/>
  <c r="Y805" i="1"/>
  <c r="Y797" i="1"/>
  <c r="Y781" i="1"/>
  <c r="Y773" i="1"/>
  <c r="Y765" i="1"/>
  <c r="Y757" i="1"/>
  <c r="Y749" i="1"/>
  <c r="Y741" i="1"/>
  <c r="Y733" i="1"/>
  <c r="Y725" i="1"/>
  <c r="Y717" i="1"/>
  <c r="Y709" i="1"/>
  <c r="Y693" i="1"/>
  <c r="Y685" i="1"/>
  <c r="Y677" i="1"/>
  <c r="Y669" i="1"/>
  <c r="Y1211" i="1"/>
  <c r="Y1203" i="1"/>
  <c r="Y1195" i="1"/>
  <c r="Y1187" i="1"/>
  <c r="Y1179" i="1"/>
  <c r="Y1163" i="1"/>
  <c r="Y963" i="1"/>
  <c r="Y947" i="1"/>
  <c r="Y939" i="1"/>
  <c r="Y923" i="1"/>
  <c r="Y915" i="1"/>
  <c r="Y907" i="1"/>
  <c r="Y899" i="1"/>
  <c r="Y891" i="1"/>
  <c r="Y883" i="1"/>
  <c r="Y875" i="1"/>
  <c r="Y867" i="1"/>
  <c r="Y851" i="1"/>
  <c r="Y827" i="1"/>
  <c r="Y819" i="1"/>
  <c r="Y811" i="1"/>
  <c r="Y803" i="1"/>
  <c r="Y795" i="1"/>
  <c r="Y787" i="1"/>
  <c r="Y779" i="1"/>
  <c r="Y771" i="1"/>
  <c r="Y763" i="1"/>
  <c r="Y755" i="1"/>
  <c r="Y747" i="1"/>
  <c r="Y739" i="1"/>
  <c r="Y723" i="1"/>
  <c r="Y715" i="1"/>
  <c r="Y707" i="1"/>
  <c r="Y683" i="1"/>
  <c r="Y1155" i="1"/>
  <c r="Y1147" i="1"/>
  <c r="Y1139" i="1"/>
  <c r="Y1131" i="1"/>
  <c r="Y1099" i="1"/>
  <c r="Y1083" i="1"/>
  <c r="Y1075" i="1"/>
  <c r="Y1051" i="1"/>
  <c r="Y1043" i="1"/>
  <c r="Y1035" i="1"/>
  <c r="Y1011" i="1"/>
  <c r="Y1003" i="1"/>
  <c r="Y995" i="1"/>
  <c r="Y987" i="1"/>
  <c r="Y979" i="1"/>
  <c r="Y955" i="1"/>
  <c r="Y1207" i="1"/>
  <c r="Y661" i="1"/>
  <c r="Y645" i="1"/>
  <c r="Y637" i="1"/>
  <c r="Y629" i="1"/>
  <c r="Y621" i="1"/>
  <c r="Y613" i="1"/>
  <c r="Y605" i="1"/>
  <c r="Y597" i="1"/>
  <c r="Y589" i="1"/>
  <c r="Y581" i="1"/>
  <c r="Y573" i="1"/>
  <c r="Y557" i="1"/>
  <c r="Y549" i="1"/>
  <c r="Y541" i="1"/>
  <c r="Y525" i="1"/>
  <c r="Y517" i="1"/>
  <c r="Y509" i="1"/>
  <c r="Y501" i="1"/>
  <c r="Y493" i="1"/>
  <c r="Y485" i="1"/>
  <c r="Y477" i="1"/>
  <c r="Y469" i="1"/>
  <c r="Y461" i="1"/>
  <c r="Y453" i="1"/>
  <c r="Y445" i="1"/>
  <c r="Y437" i="1"/>
  <c r="Y429" i="1"/>
  <c r="Y421" i="1"/>
  <c r="Y413" i="1"/>
  <c r="Y405" i="1"/>
  <c r="Y397" i="1"/>
  <c r="Y389" i="1"/>
  <c r="Y373" i="1"/>
  <c r="Y365" i="1"/>
  <c r="Y357" i="1"/>
  <c r="Y349" i="1"/>
  <c r="Y341" i="1"/>
  <c r="Y333" i="1"/>
  <c r="Y325" i="1"/>
  <c r="Y317" i="1"/>
  <c r="Y309" i="1"/>
  <c r="Y301" i="1"/>
  <c r="Y293" i="1"/>
  <c r="Y285" i="1"/>
  <c r="Y269" i="1"/>
  <c r="Y261" i="1"/>
  <c r="Y245" i="1"/>
  <c r="Y237" i="1"/>
  <c r="Y221" i="1"/>
  <c r="Y213" i="1"/>
  <c r="Y205" i="1"/>
  <c r="Y197" i="1"/>
  <c r="Y189" i="1"/>
  <c r="Y181" i="1"/>
  <c r="Y173" i="1"/>
  <c r="Y149" i="1"/>
  <c r="Y141" i="1"/>
  <c r="Y133" i="1"/>
  <c r="Y125" i="1"/>
  <c r="Y117" i="1"/>
  <c r="Y109" i="1"/>
  <c r="Y101" i="1"/>
  <c r="Y93" i="1"/>
  <c r="Y85" i="1"/>
  <c r="Y77" i="1"/>
  <c r="Y69" i="1"/>
  <c r="Y53" i="1"/>
  <c r="Y45" i="1"/>
  <c r="Y675" i="1"/>
  <c r="Y667" i="1"/>
  <c r="Y659" i="1"/>
  <c r="Y651" i="1"/>
  <c r="Y643" i="1"/>
  <c r="Y635" i="1"/>
  <c r="Y627" i="1"/>
  <c r="Y37" i="1"/>
  <c r="Y29" i="1"/>
  <c r="Y21" i="1"/>
  <c r="Y13" i="1"/>
  <c r="Y5" i="1"/>
  <c r="Y850" i="1"/>
  <c r="Y909" i="1"/>
  <c r="Y155" i="1"/>
  <c r="Y983" i="1"/>
  <c r="Y650" i="1"/>
  <c r="Y514" i="1"/>
  <c r="Y425" i="1"/>
  <c r="Y1184" i="1"/>
  <c r="Y653" i="1"/>
  <c r="Y790" i="1"/>
  <c r="Y701" i="1"/>
  <c r="Y565" i="1"/>
  <c r="Y943" i="1"/>
  <c r="Y1023" i="1"/>
  <c r="Y855" i="1"/>
  <c r="Y1174" i="1"/>
  <c r="Y134" i="1"/>
  <c r="Y1114" i="1"/>
  <c r="Y1106" i="1"/>
  <c r="Y1090" i="1"/>
  <c r="Y1074" i="1"/>
  <c r="Y1066" i="1"/>
  <c r="Y154" i="1"/>
  <c r="Y146" i="1"/>
  <c r="Y130" i="1"/>
  <c r="Y114" i="1"/>
  <c r="Y98" i="1"/>
  <c r="Y82" i="1"/>
  <c r="Y50" i="1"/>
  <c r="Y1082" i="1"/>
  <c r="Y703" i="1"/>
  <c r="Y55" i="1"/>
  <c r="Y7" i="1"/>
  <c r="Y1218" i="1"/>
  <c r="Y930" i="1"/>
  <c r="Y898" i="1"/>
  <c r="Y882" i="1"/>
  <c r="Y866" i="1"/>
  <c r="Y834" i="1"/>
  <c r="Y818" i="1"/>
  <c r="Y802" i="1"/>
  <c r="Y786" i="1"/>
  <c r="Y770" i="1"/>
  <c r="Y746" i="1"/>
  <c r="Y722" i="1"/>
  <c r="Y698" i="1"/>
  <c r="Y626" i="1"/>
  <c r="Y602" i="1"/>
  <c r="Y578" i="1"/>
  <c r="Y546" i="1"/>
  <c r="Y530" i="1"/>
  <c r="Y506" i="1"/>
  <c r="Y498" i="1"/>
  <c r="Y490" i="1"/>
  <c r="Y482" i="1"/>
  <c r="Y474" i="1"/>
  <c r="Y466" i="1"/>
  <c r="Y458" i="1"/>
  <c r="Y450" i="1"/>
  <c r="Y442" i="1"/>
  <c r="Y434" i="1"/>
  <c r="Y426" i="1"/>
  <c r="Y418" i="1"/>
  <c r="Y410" i="1"/>
  <c r="Y402" i="1"/>
  <c r="Y394" i="1"/>
  <c r="Y386" i="1"/>
  <c r="Y378" i="1"/>
  <c r="Y370" i="1"/>
  <c r="Y362" i="1"/>
  <c r="Y354" i="1"/>
  <c r="Y346" i="1"/>
  <c r="Y338" i="1"/>
  <c r="Y330" i="1"/>
  <c r="Y322" i="1"/>
  <c r="Y314" i="1"/>
  <c r="Y306" i="1"/>
  <c r="Y298" i="1"/>
  <c r="Y290" i="1"/>
  <c r="Y282" i="1"/>
  <c r="Y274" i="1"/>
  <c r="Y266" i="1"/>
  <c r="Y258" i="1"/>
  <c r="Y250" i="1"/>
  <c r="Y242" i="1"/>
  <c r="Y234" i="1"/>
  <c r="Y226" i="1"/>
  <c r="Y218" i="1"/>
  <c r="Y210" i="1"/>
  <c r="Y202" i="1"/>
  <c r="Y194" i="1"/>
  <c r="Y178" i="1"/>
  <c r="Y122" i="1"/>
  <c r="Y106" i="1"/>
  <c r="Y90" i="1"/>
  <c r="Y74" i="1"/>
  <c r="Y42" i="1"/>
  <c r="Y1149" i="1"/>
  <c r="Y997" i="1"/>
  <c r="Y877" i="1"/>
  <c r="Y861" i="1"/>
  <c r="Y853" i="1"/>
  <c r="Y845" i="1"/>
  <c r="Y533" i="1"/>
  <c r="Y253" i="1"/>
  <c r="Y157" i="1"/>
  <c r="Y1208" i="1"/>
  <c r="Y1193" i="1"/>
  <c r="Y1185" i="1"/>
  <c r="Y1177" i="1"/>
  <c r="Y1169" i="1"/>
  <c r="Y1161" i="1"/>
  <c r="Y1145" i="1"/>
  <c r="Y1137" i="1"/>
  <c r="Y1129" i="1"/>
  <c r="Y1121" i="1"/>
  <c r="Y1113" i="1"/>
  <c r="Y1105" i="1"/>
  <c r="Y1089" i="1"/>
  <c r="Y1081" i="1"/>
  <c r="Y1073" i="1"/>
  <c r="Y1049" i="1"/>
  <c r="Y841" i="1"/>
  <c r="Y994" i="1"/>
  <c r="Y951" i="1"/>
  <c r="Y478" i="1"/>
  <c r="Y1058" i="1"/>
  <c r="Y1050" i="1"/>
  <c r="Y1042" i="1"/>
  <c r="Y1034" i="1"/>
  <c r="Y1026" i="1"/>
  <c r="Y1018" i="1"/>
  <c r="Y1010" i="1"/>
  <c r="Y1002" i="1"/>
  <c r="Y986" i="1"/>
  <c r="Y978" i="1"/>
  <c r="Y970" i="1"/>
  <c r="Y754" i="1"/>
  <c r="Y730" i="1"/>
  <c r="Y706" i="1"/>
  <c r="Y682" i="1"/>
  <c r="Y658" i="1"/>
  <c r="Y642" i="1"/>
  <c r="Y586" i="1"/>
  <c r="Y562" i="1"/>
  <c r="Y522" i="1"/>
  <c r="Y162" i="1"/>
  <c r="Y138" i="1"/>
  <c r="Y58" i="1"/>
  <c r="Y916" i="1"/>
  <c r="Y828" i="1"/>
  <c r="Y732" i="1"/>
  <c r="Y540" i="1"/>
  <c r="Y100" i="1"/>
  <c r="Y1215" i="1"/>
  <c r="Y1200" i="1"/>
  <c r="Y1176" i="1"/>
  <c r="Y1168" i="1"/>
  <c r="Y1160" i="1"/>
  <c r="Y1152" i="1"/>
  <c r="Y1144" i="1"/>
  <c r="Y1128" i="1"/>
  <c r="Y1112" i="1"/>
  <c r="Y1104" i="1"/>
  <c r="Y1096" i="1"/>
  <c r="Y1080" i="1"/>
  <c r="Y1072" i="1"/>
  <c r="Y1064" i="1"/>
  <c r="Y1056" i="1"/>
  <c r="Y1048" i="1"/>
  <c r="Y1040" i="1"/>
  <c r="Y1024" i="1"/>
  <c r="Y1016" i="1"/>
  <c r="Y1000" i="1"/>
  <c r="Y992" i="1"/>
  <c r="Y976" i="1"/>
  <c r="Y968" i="1"/>
  <c r="Y960" i="1"/>
  <c r="Y952" i="1"/>
  <c r="Y944" i="1"/>
  <c r="Y936" i="1"/>
  <c r="Y928" i="1"/>
  <c r="Y920" i="1"/>
  <c r="Y912" i="1"/>
  <c r="Y904" i="1"/>
  <c r="Y896" i="1"/>
  <c r="Y888" i="1"/>
  <c r="Y880" i="1"/>
  <c r="Y872" i="1"/>
  <c r="Y864" i="1"/>
  <c r="Y856" i="1"/>
  <c r="Y848" i="1"/>
  <c r="Y840" i="1"/>
  <c r="Y832" i="1"/>
  <c r="Y824" i="1"/>
  <c r="Y816" i="1"/>
  <c r="Y808" i="1"/>
  <c r="Y800" i="1"/>
  <c r="Y792" i="1"/>
  <c r="Y784" i="1"/>
  <c r="Y768" i="1"/>
  <c r="Y760" i="1"/>
  <c r="Y752" i="1"/>
  <c r="Y744" i="1"/>
  <c r="Y736" i="1"/>
  <c r="Y720" i="1"/>
  <c r="Y712" i="1"/>
  <c r="Y704" i="1"/>
  <c r="Y696" i="1"/>
  <c r="Y680" i="1"/>
  <c r="Y672" i="1"/>
  <c r="Y664" i="1"/>
  <c r="Y656" i="1"/>
  <c r="Y640" i="1"/>
  <c r="Y632" i="1"/>
  <c r="Y624" i="1"/>
  <c r="Y608" i="1"/>
  <c r="Y600" i="1"/>
  <c r="Y584" i="1"/>
  <c r="Y576" i="1"/>
  <c r="Y568" i="1"/>
  <c r="Y560" i="1"/>
  <c r="Y552" i="1"/>
  <c r="Y1031" i="1"/>
  <c r="Y1210" i="1"/>
  <c r="Y1038" i="1"/>
  <c r="Y150" i="1"/>
  <c r="Y1217" i="1"/>
  <c r="Y1209" i="1"/>
  <c r="Y1202" i="1"/>
  <c r="Y1186" i="1"/>
  <c r="Y1178" i="1"/>
  <c r="Y1170" i="1"/>
  <c r="Y1162" i="1"/>
  <c r="Y1154" i="1"/>
  <c r="Y1146" i="1"/>
  <c r="Y1138" i="1"/>
  <c r="Y1130" i="1"/>
  <c r="Y1098" i="1"/>
  <c r="Y962" i="1"/>
  <c r="Y954" i="1"/>
  <c r="Y922" i="1"/>
  <c r="Y906" i="1"/>
  <c r="Y890" i="1"/>
  <c r="Y874" i="1"/>
  <c r="Y858" i="1"/>
  <c r="Y826" i="1"/>
  <c r="Y810" i="1"/>
  <c r="Y794" i="1"/>
  <c r="Y778" i="1"/>
  <c r="Y762" i="1"/>
  <c r="Y738" i="1"/>
  <c r="Y714" i="1"/>
  <c r="Y666" i="1"/>
  <c r="Y634" i="1"/>
  <c r="Y610" i="1"/>
  <c r="Y594" i="1"/>
  <c r="Y570" i="1"/>
  <c r="Y538" i="1"/>
  <c r="Y34" i="1"/>
  <c r="Y1124" i="1"/>
  <c r="Y908" i="1"/>
  <c r="Y788" i="1"/>
  <c r="Y644" i="1"/>
  <c r="Y588" i="1"/>
  <c r="Y580" i="1"/>
  <c r="Y516" i="1"/>
  <c r="Y372" i="1"/>
  <c r="Y1171" i="1"/>
  <c r="Y1123" i="1"/>
  <c r="Y1115" i="1"/>
  <c r="Y1107" i="1"/>
  <c r="Y1091" i="1"/>
  <c r="Y1067" i="1"/>
  <c r="Y1059" i="1"/>
  <c r="Y1027" i="1"/>
  <c r="Y1019" i="1"/>
  <c r="Y971" i="1"/>
  <c r="Y931" i="1"/>
  <c r="Y859" i="1"/>
  <c r="Y843" i="1"/>
  <c r="Y835" i="1"/>
  <c r="Y731" i="1"/>
  <c r="Y699" i="1"/>
  <c r="Y691" i="1"/>
  <c r="Y611" i="1"/>
  <c r="Y603" i="1"/>
  <c r="Y491" i="1"/>
  <c r="Y419" i="1"/>
  <c r="Y371" i="1"/>
  <c r="Y339" i="1"/>
  <c r="Y307" i="1"/>
  <c r="Y227" i="1"/>
  <c r="Y195" i="1"/>
  <c r="Y163" i="1"/>
  <c r="Y75" i="1"/>
  <c r="Y11" i="1"/>
  <c r="Y1214" i="1"/>
  <c r="Y1206" i="1"/>
  <c r="Y1199" i="1"/>
  <c r="Y1191" i="1"/>
  <c r="Y1183" i="1"/>
  <c r="Y1175" i="1"/>
  <c r="Y1167" i="1"/>
  <c r="Y1159" i="1"/>
  <c r="Y1151" i="1"/>
  <c r="Y1143" i="1"/>
  <c r="Y1135" i="1"/>
  <c r="Y1127" i="1"/>
  <c r="Y1119" i="1"/>
  <c r="Y1111" i="1"/>
  <c r="Y1103" i="1"/>
  <c r="Y1095" i="1"/>
  <c r="Y1087" i="1"/>
  <c r="Y1079" i="1"/>
  <c r="Y1071" i="1"/>
  <c r="Y1063" i="1"/>
  <c r="Y1055" i="1"/>
  <c r="Y1047" i="1"/>
  <c r="Y1039" i="1"/>
  <c r="Y1015" i="1"/>
  <c r="Y1007" i="1"/>
  <c r="Y999" i="1"/>
  <c r="Y991" i="1"/>
  <c r="Y975" i="1"/>
  <c r="Y967" i="1"/>
  <c r="Y959" i="1"/>
  <c r="Y751" i="1"/>
  <c r="Y687" i="1"/>
  <c r="Y1194" i="1"/>
  <c r="Y938" i="1"/>
  <c r="Y690" i="1"/>
  <c r="Y170" i="1"/>
  <c r="Y1213" i="1"/>
  <c r="Y1118" i="1"/>
  <c r="Y1102" i="1"/>
  <c r="Y710" i="1"/>
  <c r="Y470" i="1"/>
  <c r="Y454" i="1"/>
  <c r="Y446" i="1"/>
  <c r="Y438" i="1"/>
  <c r="Y430" i="1"/>
  <c r="Y422" i="1"/>
  <c r="Y414" i="1"/>
  <c r="Y406" i="1"/>
  <c r="Y398" i="1"/>
  <c r="Y390" i="1"/>
  <c r="Y382" i="1"/>
  <c r="Y374" i="1"/>
  <c r="Y366" i="1"/>
  <c r="Y358" i="1"/>
  <c r="Y350" i="1"/>
  <c r="Y342" i="1"/>
  <c r="Y334" i="1"/>
  <c r="Y326" i="1"/>
  <c r="Y318" i="1"/>
  <c r="Y310" i="1"/>
  <c r="Y302" i="1"/>
  <c r="Y294" i="1"/>
  <c r="Y286" i="1"/>
  <c r="Y278" i="1"/>
  <c r="Y270" i="1"/>
  <c r="Y262" i="1"/>
  <c r="Y254" i="1"/>
  <c r="Y246" i="1"/>
  <c r="Y238" i="1"/>
  <c r="Y230" i="1"/>
  <c r="Y222" i="1"/>
  <c r="Y214" i="1"/>
  <c r="Y206" i="1"/>
  <c r="Y198" i="1"/>
  <c r="Y190" i="1"/>
  <c r="Y182" i="1"/>
  <c r="Y174" i="1"/>
  <c r="Y166" i="1"/>
  <c r="Y158" i="1"/>
  <c r="Y142" i="1"/>
  <c r="Y126" i="1"/>
  <c r="Y118" i="1"/>
  <c r="Y110" i="1"/>
  <c r="Y102" i="1"/>
  <c r="Y94" i="1"/>
  <c r="Y86" i="1"/>
  <c r="Y78" i="1"/>
  <c r="Y70" i="1"/>
  <c r="Y62" i="1"/>
  <c r="Y54" i="1"/>
  <c r="Y46" i="1"/>
  <c r="Y38" i="1"/>
  <c r="Y30" i="1"/>
  <c r="Y22" i="1"/>
  <c r="Y14" i="1"/>
  <c r="Y6" i="1"/>
  <c r="Y1122" i="1"/>
  <c r="Y914" i="1"/>
  <c r="Y674" i="1"/>
  <c r="Y554" i="1"/>
  <c r="Y950" i="1"/>
  <c r="Y1097" i="1"/>
  <c r="Y1001" i="1"/>
  <c r="Y905" i="1"/>
  <c r="Y761" i="1"/>
  <c r="Y697" i="1"/>
  <c r="Y385" i="1"/>
  <c r="Y329" i="1"/>
  <c r="Y161" i="1"/>
  <c r="Y97" i="1"/>
  <c r="Y81" i="1"/>
  <c r="Y1165" i="1"/>
  <c r="Y1157" i="1"/>
  <c r="Y1013" i="1"/>
  <c r="Y949" i="1"/>
  <c r="Y885" i="1"/>
  <c r="Y869" i="1"/>
  <c r="Y789" i="1"/>
  <c r="Y381" i="1"/>
  <c r="Y277" i="1"/>
  <c r="Y229" i="1"/>
  <c r="Y165" i="1"/>
  <c r="Y61" i="1"/>
  <c r="Y946" i="1"/>
  <c r="Y842" i="1"/>
  <c r="Y618" i="1"/>
  <c r="Y186" i="1"/>
  <c r="Y66" i="1"/>
  <c r="Y1158" i="1"/>
  <c r="Y1086" i="1"/>
  <c r="Y1201" i="1"/>
  <c r="Y1153" i="1"/>
  <c r="Y897" i="1"/>
  <c r="Y777" i="1"/>
  <c r="Y737" i="1"/>
  <c r="Y673" i="1"/>
  <c r="Y465" i="1"/>
  <c r="Y1216" i="1"/>
  <c r="Y1192" i="1"/>
  <c r="Y1136" i="1"/>
  <c r="Y1120" i="1"/>
  <c r="Y1088" i="1"/>
  <c r="Y1032" i="1"/>
  <c r="Y1008" i="1"/>
  <c r="Y984" i="1"/>
  <c r="Y776" i="1"/>
  <c r="Y728" i="1"/>
  <c r="Y688" i="1"/>
  <c r="Y648" i="1"/>
  <c r="Y616" i="1"/>
  <c r="Y592" i="1"/>
  <c r="Y544" i="1"/>
  <c r="Y528" i="1"/>
  <c r="Y464" i="1"/>
  <c r="Y416" i="1"/>
  <c r="Y408" i="1"/>
  <c r="Y336" i="1"/>
  <c r="Y288" i="1"/>
  <c r="Y248" i="1"/>
  <c r="Y1188" i="1"/>
  <c r="Y1156" i="1"/>
  <c r="Y1100" i="1"/>
  <c r="Y1068" i="1"/>
  <c r="Y1036" i="1"/>
  <c r="Y1028" i="1"/>
  <c r="Y948" i="1"/>
  <c r="Y940" i="1"/>
  <c r="Y932" i="1"/>
  <c r="Y924" i="1"/>
  <c r="Y900" i="1"/>
  <c r="Y892" i="1"/>
  <c r="Y884" i="1"/>
  <c r="Y876" i="1"/>
  <c r="Y868" i="1"/>
  <c r="Y860" i="1"/>
  <c r="Y852" i="1"/>
  <c r="Y844" i="1"/>
  <c r="Y836" i="1"/>
  <c r="Y820" i="1"/>
  <c r="Y812" i="1"/>
  <c r="Y804" i="1"/>
  <c r="Y796" i="1"/>
  <c r="Y780" i="1"/>
  <c r="Y772" i="1"/>
  <c r="Y764" i="1"/>
  <c r="Y756" i="1"/>
  <c r="Y748" i="1"/>
  <c r="Y740" i="1"/>
  <c r="Y724" i="1"/>
  <c r="Y716" i="1"/>
  <c r="Y708" i="1"/>
  <c r="Y700" i="1"/>
  <c r="Y692" i="1"/>
  <c r="Y684" i="1"/>
  <c r="Y676" i="1"/>
  <c r="Y668" i="1"/>
  <c r="Y660" i="1"/>
  <c r="Y652" i="1"/>
  <c r="Y636" i="1"/>
  <c r="Y628" i="1"/>
  <c r="Y620" i="1"/>
  <c r="Y612" i="1"/>
  <c r="Y604" i="1"/>
  <c r="Y596" i="1"/>
  <c r="Y572" i="1"/>
  <c r="Y564" i="1"/>
  <c r="Y556" i="1"/>
  <c r="Y548" i="1"/>
  <c r="Y532" i="1"/>
  <c r="Y524" i="1"/>
  <c r="Y508" i="1"/>
  <c r="Y500" i="1"/>
  <c r="Y492" i="1"/>
  <c r="Y484" i="1"/>
  <c r="Y476" i="1"/>
  <c r="Y468" i="1"/>
  <c r="Y460" i="1"/>
  <c r="Y452" i="1"/>
  <c r="Y444" i="1"/>
  <c r="Y436" i="1"/>
  <c r="Y428" i="1"/>
  <c r="Y420" i="1"/>
  <c r="Y412" i="1"/>
  <c r="Y404" i="1"/>
  <c r="Y396" i="1"/>
  <c r="Y388" i="1"/>
  <c r="Y380" i="1"/>
  <c r="Y364" i="1"/>
  <c r="Y356" i="1"/>
  <c r="Y348" i="1"/>
  <c r="Y340" i="1"/>
  <c r="Y332" i="1"/>
  <c r="Y324" i="1"/>
  <c r="Y316" i="1"/>
  <c r="Y308" i="1"/>
  <c r="Y300" i="1"/>
  <c r="Y292" i="1"/>
  <c r="Y284" i="1"/>
  <c r="Y276" i="1"/>
  <c r="Y268" i="1"/>
  <c r="Y260" i="1"/>
  <c r="Y252" i="1"/>
  <c r="Y244" i="1"/>
  <c r="Y236" i="1"/>
  <c r="Y228" i="1"/>
  <c r="Y220" i="1"/>
  <c r="Y212" i="1"/>
  <c r="Y204" i="1"/>
  <c r="Y196" i="1"/>
  <c r="Y188" i="1"/>
  <c r="Y180" i="1"/>
  <c r="Y172" i="1"/>
  <c r="Y164" i="1"/>
  <c r="Y156" i="1"/>
  <c r="Y148" i="1"/>
  <c r="Y140" i="1"/>
  <c r="Y132" i="1"/>
  <c r="Y124" i="1"/>
  <c r="Y116" i="1"/>
  <c r="Y108" i="1"/>
  <c r="Y92" i="1"/>
  <c r="Y84" i="1"/>
  <c r="Y76" i="1"/>
  <c r="Y68" i="1"/>
  <c r="Y60" i="1"/>
  <c r="Y52" i="1"/>
  <c r="Y44" i="1"/>
  <c r="Y36" i="1"/>
  <c r="Y28" i="1"/>
  <c r="Y20" i="1"/>
  <c r="Y12" i="1"/>
  <c r="Y4" i="1"/>
  <c r="Y619" i="1"/>
  <c r="Y595" i="1"/>
  <c r="Y587" i="1"/>
  <c r="Y579" i="1"/>
  <c r="Y571" i="1"/>
  <c r="Y563" i="1"/>
  <c r="Y555" i="1"/>
  <c r="Y547" i="1"/>
  <c r="Y539" i="1"/>
  <c r="Y531" i="1"/>
  <c r="Y523" i="1"/>
  <c r="Y515" i="1"/>
  <c r="Y507" i="1"/>
  <c r="Y499" i="1"/>
  <c r="Y483" i="1"/>
  <c r="Y475" i="1"/>
  <c r="Y467" i="1"/>
  <c r="Y459" i="1"/>
  <c r="Y451" i="1"/>
  <c r="Y443" i="1"/>
  <c r="Y435" i="1"/>
  <c r="Y427" i="1"/>
  <c r="Y411" i="1"/>
  <c r="Y403" i="1"/>
  <c r="Y395" i="1"/>
  <c r="Y387" i="1"/>
  <c r="Y379" i="1"/>
  <c r="Y363" i="1"/>
  <c r="Y355" i="1"/>
  <c r="Y347" i="1"/>
  <c r="Y331" i="1"/>
  <c r="Y323" i="1"/>
  <c r="Y315" i="1"/>
  <c r="Y299" i="1"/>
  <c r="Y291" i="1"/>
  <c r="Y283" i="1"/>
  <c r="Y275" i="1"/>
  <c r="Y267" i="1"/>
  <c r="Y259" i="1"/>
  <c r="Y251" i="1"/>
  <c r="Y243" i="1"/>
  <c r="Y235" i="1"/>
  <c r="Y219" i="1"/>
  <c r="Y211" i="1"/>
  <c r="Y203" i="1"/>
  <c r="Y187" i="1"/>
  <c r="Y179" i="1"/>
  <c r="Y171" i="1"/>
  <c r="Y147" i="1"/>
  <c r="Y139" i="1"/>
  <c r="Y131" i="1"/>
  <c r="Y123" i="1"/>
  <c r="Y115" i="1"/>
  <c r="Y107" i="1"/>
  <c r="Y99" i="1"/>
  <c r="Y91" i="1"/>
  <c r="Y83" i="1"/>
  <c r="Y67" i="1"/>
  <c r="Y59" i="1"/>
  <c r="Y51" i="1"/>
  <c r="Y43" i="1"/>
  <c r="Y35" i="1"/>
  <c r="Y27" i="1"/>
  <c r="Y19" i="1"/>
  <c r="Y3" i="1"/>
  <c r="Y26" i="1"/>
  <c r="Y18" i="1"/>
  <c r="Y10" i="1"/>
  <c r="Y1065" i="1"/>
  <c r="Y1057" i="1"/>
  <c r="Y1041" i="1"/>
  <c r="Y1033" i="1"/>
  <c r="Y1025" i="1"/>
  <c r="Y1017" i="1"/>
  <c r="Y1009" i="1"/>
  <c r="Y993" i="1"/>
  <c r="Y985" i="1"/>
  <c r="Y977" i="1"/>
  <c r="Y969" i="1"/>
  <c r="Y961" i="1"/>
  <c r="Y953" i="1"/>
  <c r="Y945" i="1"/>
  <c r="Y937" i="1"/>
  <c r="Y929" i="1"/>
  <c r="Y921" i="1"/>
  <c r="Y913" i="1"/>
  <c r="Y889" i="1"/>
  <c r="Y881" i="1"/>
  <c r="Y873" i="1"/>
  <c r="Y865" i="1"/>
  <c r="Y857" i="1"/>
  <c r="Y849" i="1"/>
  <c r="Y833" i="1"/>
  <c r="Y825" i="1"/>
  <c r="Y817" i="1"/>
  <c r="Y809" i="1"/>
  <c r="Y801" i="1"/>
  <c r="Y793" i="1"/>
  <c r="Y785" i="1"/>
  <c r="Y769" i="1"/>
  <c r="Y753" i="1"/>
  <c r="Y745" i="1"/>
  <c r="Y729" i="1"/>
  <c r="Y721" i="1"/>
  <c r="Y713" i="1"/>
  <c r="Y705" i="1"/>
  <c r="Y689" i="1"/>
  <c r="Y681" i="1"/>
  <c r="Y665" i="1"/>
  <c r="Y657" i="1"/>
  <c r="Y649" i="1"/>
  <c r="Y641" i="1"/>
  <c r="Y633" i="1"/>
  <c r="Y625" i="1"/>
  <c r="Y617" i="1"/>
  <c r="Y609" i="1"/>
  <c r="Y601" i="1"/>
  <c r="Y593" i="1"/>
  <c r="Y585" i="1"/>
  <c r="Y577" i="1"/>
  <c r="Y569" i="1"/>
  <c r="Y561" i="1"/>
  <c r="Y553" i="1"/>
  <c r="Y545" i="1"/>
  <c r="Y537" i="1"/>
  <c r="Y529" i="1"/>
  <c r="Y521" i="1"/>
  <c r="Y513" i="1"/>
  <c r="Y505" i="1"/>
  <c r="Y497" i="1"/>
  <c r="Y489" i="1"/>
  <c r="Y481" i="1"/>
  <c r="Y473" i="1"/>
  <c r="Y457" i="1"/>
  <c r="Y449" i="1"/>
  <c r="Y441" i="1"/>
  <c r="Y433" i="1"/>
  <c r="Y417" i="1"/>
  <c r="Y409" i="1"/>
  <c r="Y401" i="1"/>
  <c r="Y393" i="1"/>
  <c r="Y377" i="1"/>
  <c r="Y369" i="1"/>
  <c r="Y361" i="1"/>
  <c r="Y353" i="1"/>
  <c r="Y345" i="1"/>
  <c r="Y337" i="1"/>
  <c r="Y321" i="1"/>
  <c r="Y313" i="1"/>
  <c r="Y305" i="1"/>
  <c r="Y297" i="1"/>
  <c r="Y289" i="1"/>
  <c r="Y281" i="1"/>
  <c r="Y273" i="1"/>
  <c r="Y265" i="1"/>
  <c r="Y257" i="1"/>
  <c r="Y249" i="1"/>
  <c r="Y241" i="1"/>
  <c r="Y233" i="1"/>
  <c r="Y225" i="1"/>
  <c r="Y217" i="1"/>
  <c r="Y209" i="1"/>
  <c r="Y201" i="1"/>
  <c r="Y193" i="1"/>
  <c r="Y185" i="1"/>
  <c r="Y177" i="1"/>
  <c r="Y169" i="1"/>
  <c r="Y153" i="1"/>
  <c r="Y145" i="1"/>
  <c r="Y137" i="1"/>
  <c r="Y129" i="1"/>
  <c r="Y121" i="1"/>
  <c r="Y113" i="1"/>
  <c r="Y105" i="1"/>
  <c r="Y89" i="1"/>
  <c r="Y73" i="1"/>
  <c r="Y65" i="1"/>
  <c r="Y57" i="1"/>
  <c r="Y49" i="1"/>
  <c r="Y41" i="1"/>
  <c r="Y33" i="1"/>
  <c r="Y25" i="1"/>
  <c r="Y17" i="1"/>
  <c r="Y9" i="1"/>
  <c r="Y536" i="1"/>
  <c r="Y520" i="1"/>
  <c r="Y512" i="1"/>
  <c r="Y504" i="1"/>
  <c r="Y496" i="1"/>
  <c r="Y488" i="1"/>
  <c r="Y480" i="1"/>
  <c r="Y472" i="1"/>
  <c r="Y456" i="1"/>
  <c r="Y448" i="1"/>
  <c r="Y440" i="1"/>
  <c r="Y432" i="1"/>
  <c r="Y424" i="1"/>
  <c r="Y400" i="1"/>
  <c r="Y392" i="1"/>
  <c r="Y384" i="1"/>
  <c r="Y376" i="1"/>
  <c r="Y368" i="1"/>
  <c r="Y360" i="1"/>
  <c r="Y352" i="1"/>
  <c r="Y344" i="1"/>
  <c r="Y328" i="1"/>
  <c r="Y320" i="1"/>
  <c r="Y312" i="1"/>
  <c r="Y304" i="1"/>
  <c r="Y296" i="1"/>
  <c r="Y280" i="1"/>
  <c r="Y272" i="1"/>
  <c r="Y264" i="1"/>
  <c r="Y256" i="1"/>
  <c r="Y240" i="1"/>
  <c r="Y232" i="1"/>
  <c r="Y224" i="1"/>
  <c r="Y216" i="1"/>
  <c r="Y208" i="1"/>
  <c r="Y200" i="1"/>
  <c r="Y192" i="1"/>
  <c r="Y184" i="1"/>
  <c r="Y176" i="1"/>
  <c r="Y168" i="1"/>
  <c r="Y160" i="1"/>
  <c r="Y152" i="1"/>
  <c r="Y144" i="1"/>
  <c r="Y136" i="1"/>
  <c r="Y128" i="1"/>
  <c r="Y120" i="1"/>
  <c r="Y112" i="1"/>
  <c r="Y104" i="1"/>
  <c r="Y96" i="1"/>
  <c r="Y88" i="1"/>
  <c r="Y80" i="1"/>
  <c r="Y72" i="1"/>
  <c r="Y64" i="1"/>
  <c r="Y56" i="1"/>
  <c r="Y48" i="1"/>
  <c r="Y40" i="1"/>
  <c r="Y32" i="1"/>
  <c r="Y24" i="1"/>
  <c r="Y16" i="1"/>
  <c r="Y8" i="1"/>
  <c r="Y935" i="1"/>
  <c r="Y927" i="1"/>
  <c r="Y919" i="1"/>
  <c r="Y911" i="1"/>
  <c r="Y903" i="1"/>
  <c r="Y895" i="1"/>
  <c r="Y887" i="1"/>
  <c r="Y879" i="1"/>
  <c r="Y871" i="1"/>
  <c r="Y863" i="1"/>
  <c r="Y847" i="1"/>
  <c r="Y839" i="1"/>
  <c r="Y831" i="1"/>
  <c r="Y823" i="1"/>
  <c r="Y815" i="1"/>
  <c r="Y807" i="1"/>
  <c r="Y799" i="1"/>
  <c r="Y791" i="1"/>
  <c r="Y783" i="1"/>
  <c r="Y775" i="1"/>
  <c r="Y767" i="1"/>
  <c r="Y759" i="1"/>
  <c r="Y743" i="1"/>
  <c r="Y735" i="1"/>
  <c r="Y727" i="1"/>
  <c r="Y719" i="1"/>
  <c r="Y711" i="1"/>
  <c r="Y695" i="1"/>
  <c r="Y679" i="1"/>
  <c r="Y671" i="1"/>
  <c r="Y663" i="1"/>
  <c r="Y655" i="1"/>
  <c r="Y647" i="1"/>
  <c r="Y639" i="1"/>
  <c r="Y631" i="1"/>
  <c r="Y623" i="1"/>
  <c r="Y615" i="1"/>
  <c r="Y607" i="1"/>
  <c r="Y599" i="1"/>
  <c r="Y591" i="1"/>
  <c r="Y583" i="1"/>
  <c r="Y575" i="1"/>
  <c r="Y567" i="1"/>
  <c r="Y559" i="1"/>
  <c r="Y551" i="1"/>
  <c r="Y543" i="1"/>
  <c r="Y535" i="1"/>
  <c r="Y527" i="1"/>
  <c r="Y519" i="1"/>
  <c r="Y511" i="1"/>
  <c r="Y503" i="1"/>
  <c r="Y495" i="1"/>
  <c r="Y487" i="1"/>
  <c r="Y479" i="1"/>
  <c r="Y471" i="1"/>
  <c r="Y463" i="1"/>
  <c r="Y455" i="1"/>
  <c r="Y447" i="1"/>
  <c r="Y439" i="1"/>
  <c r="Y431" i="1"/>
  <c r="Y423" i="1"/>
  <c r="Y415" i="1"/>
  <c r="Y407" i="1"/>
  <c r="Y399" i="1"/>
  <c r="Y391" i="1"/>
  <c r="Y383" i="1"/>
  <c r="Y375" i="1"/>
  <c r="Y367" i="1"/>
  <c r="Y359" i="1"/>
  <c r="Y351" i="1"/>
  <c r="Y343" i="1"/>
  <c r="Y335" i="1"/>
  <c r="Y327" i="1"/>
  <c r="Y319" i="1"/>
  <c r="Y311" i="1"/>
  <c r="Y303" i="1"/>
  <c r="Y295" i="1"/>
  <c r="Y287" i="1"/>
  <c r="Y279" i="1"/>
  <c r="Y271" i="1"/>
  <c r="Y263" i="1"/>
  <c r="Y255" i="1"/>
  <c r="Y247" i="1"/>
  <c r="Y239" i="1"/>
  <c r="Y231" i="1"/>
  <c r="Y223" i="1"/>
  <c r="Y215" i="1"/>
  <c r="Y207" i="1"/>
  <c r="Y199" i="1"/>
  <c r="Y191" i="1"/>
  <c r="Y183" i="1"/>
  <c r="Y175" i="1"/>
  <c r="Y167" i="1"/>
  <c r="Y159" i="1"/>
  <c r="Y151" i="1"/>
  <c r="Y143" i="1"/>
  <c r="Y135" i="1"/>
  <c r="Y127" i="1"/>
  <c r="Y119" i="1"/>
  <c r="Y111" i="1"/>
  <c r="Y103" i="1"/>
  <c r="Y95" i="1"/>
  <c r="Y87" i="1"/>
  <c r="Y79" i="1"/>
  <c r="Y71" i="1"/>
  <c r="Y63" i="1"/>
  <c r="Y47" i="1"/>
  <c r="Y39" i="1"/>
  <c r="Y31" i="1"/>
  <c r="Y23" i="1"/>
  <c r="Y15" i="1"/>
  <c r="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<sst xmlns="http://schemas.openxmlformats.org/spreadsheetml/2006/main" count="50696" uniqueCount="6656">
  <si>
    <t>patient_id</t>
  </si>
  <si>
    <t>hospital_id</t>
  </si>
  <si>
    <t>hospital_name</t>
  </si>
  <si>
    <t>city</t>
  </si>
  <si>
    <t>department_name</t>
  </si>
  <si>
    <t>disease</t>
  </si>
  <si>
    <t>ward_class</t>
  </si>
  <si>
    <t>age</t>
  </si>
  <si>
    <t>gender</t>
  </si>
  <si>
    <t>admission_date</t>
  </si>
  <si>
    <t>bill_amount</t>
  </si>
  <si>
    <t>payment_method</t>
  </si>
  <si>
    <t>insurance_discount</t>
  </si>
  <si>
    <t>PT7000</t>
  </si>
  <si>
    <t>HS102</t>
  </si>
  <si>
    <t>MAX_HEALTHCARE</t>
  </si>
  <si>
    <t>Bangalore</t>
  </si>
  <si>
    <t>Gynecology</t>
  </si>
  <si>
    <t>PCOS</t>
  </si>
  <si>
    <t>GENERAL</t>
  </si>
  <si>
    <t>Male</t>
  </si>
  <si>
    <t>2024-04-10</t>
  </si>
  <si>
    <t>Rs. 19,627</t>
  </si>
  <si>
    <t>credit_card</t>
  </si>
  <si>
    <t>PT7001</t>
  </si>
  <si>
    <t>HS104</t>
  </si>
  <si>
    <t>NARAYANA</t>
  </si>
  <si>
    <t>Mumbai</t>
  </si>
  <si>
    <t>Oncology</t>
  </si>
  <si>
    <t>Breast Cancer</t>
  </si>
  <si>
    <t>General</t>
  </si>
  <si>
    <t>M</t>
  </si>
  <si>
    <t>2024-03-15</t>
  </si>
  <si>
    <t>Rs. 7,363</t>
  </si>
  <si>
    <t>cash</t>
  </si>
  <si>
    <t>PT7002</t>
  </si>
  <si>
    <t>Chennai</t>
  </si>
  <si>
    <t>Pediatrics</t>
  </si>
  <si>
    <t>Asthma</t>
  </si>
  <si>
    <t>general</t>
  </si>
  <si>
    <t>Female</t>
  </si>
  <si>
    <t>2023-09-12</t>
  </si>
  <si>
    <t>INS</t>
  </si>
  <si>
    <t>18%</t>
  </si>
  <si>
    <t>PT7003</t>
  </si>
  <si>
    <t>HS101</t>
  </si>
  <si>
    <t>fortis</t>
  </si>
  <si>
    <t>Gastroenterology</t>
  </si>
  <si>
    <t>IBS</t>
  </si>
  <si>
    <t>Genral</t>
  </si>
  <si>
    <t>2023-02-07</t>
  </si>
  <si>
    <t>₹6,868</t>
  </si>
  <si>
    <t>Credit_Card</t>
  </si>
  <si>
    <t>PT7004</t>
  </si>
  <si>
    <t>narayana</t>
  </si>
  <si>
    <t>Hyderabad</t>
  </si>
  <si>
    <t>Measles</t>
  </si>
  <si>
    <t>2023-05-19</t>
  </si>
  <si>
    <t>upi</t>
  </si>
  <si>
    <t>PT7005</t>
  </si>
  <si>
    <t>max_healthcare</t>
  </si>
  <si>
    <t>Pune</t>
  </si>
  <si>
    <t>Icu</t>
  </si>
  <si>
    <t>2023-01-31</t>
  </si>
  <si>
    <t>NA</t>
  </si>
  <si>
    <t>PT7006</t>
  </si>
  <si>
    <t>Kolkata</t>
  </si>
  <si>
    <t>Neurology</t>
  </si>
  <si>
    <t>Parkinson's Disease</t>
  </si>
  <si>
    <t>ICU</t>
  </si>
  <si>
    <t>F</t>
  </si>
  <si>
    <t>2024-03-28</t>
  </si>
  <si>
    <t>Cash</t>
  </si>
  <si>
    <t>PT7007</t>
  </si>
  <si>
    <t>General Medicine</t>
  </si>
  <si>
    <t>Fever</t>
  </si>
  <si>
    <t>10%</t>
  </si>
  <si>
    <t>PT7008</t>
  </si>
  <si>
    <t>HS100</t>
  </si>
  <si>
    <t>Apollo</t>
  </si>
  <si>
    <t>Ahmedabad</t>
  </si>
  <si>
    <t>2023-06-24</t>
  </si>
  <si>
    <t>Rs. 4,722</t>
  </si>
  <si>
    <t>debit_card</t>
  </si>
  <si>
    <t>PT7009</t>
  </si>
  <si>
    <t>Stroke</t>
  </si>
  <si>
    <t>2024-03-10</t>
  </si>
  <si>
    <t>Credit Card</t>
  </si>
  <si>
    <t>PT7010</t>
  </si>
  <si>
    <t>Migraine</t>
  </si>
  <si>
    <t>2023-10-06</t>
  </si>
  <si>
    <t>Debit Card</t>
  </si>
  <si>
    <t>PT7011</t>
  </si>
  <si>
    <t>Nephrology</t>
  </si>
  <si>
    <t>UTI</t>
  </si>
  <si>
    <t>2024-01-14</t>
  </si>
  <si>
    <t>Rs. 10,429</t>
  </si>
  <si>
    <t>UPI</t>
  </si>
  <si>
    <t>PT7012</t>
  </si>
  <si>
    <t>ENT</t>
  </si>
  <si>
    <t>Hearing Loss</t>
  </si>
  <si>
    <t>icu</t>
  </si>
  <si>
    <t>2023-08-29</t>
  </si>
  <si>
    <t>₹45,782</t>
  </si>
  <si>
    <t>Insurance</t>
  </si>
  <si>
    <t>PT7013</t>
  </si>
  <si>
    <t>HS105</t>
  </si>
  <si>
    <t>AIIMS</t>
  </si>
  <si>
    <t>Orthopedics</t>
  </si>
  <si>
    <t>Joint Dislocation</t>
  </si>
  <si>
    <t>2024-02-09</t>
  </si>
  <si>
    <t>Rs. 63,583</t>
  </si>
  <si>
    <t>PT7014</t>
  </si>
  <si>
    <t>2023-08-31</t>
  </si>
  <si>
    <t>Rs. 14,482</t>
  </si>
  <si>
    <t>CASH</t>
  </si>
  <si>
    <t>PT7015</t>
  </si>
  <si>
    <t>HS103</t>
  </si>
  <si>
    <t>Manipal</t>
  </si>
  <si>
    <t>2023-05-13</t>
  </si>
  <si>
    <t>PT7016</t>
  </si>
  <si>
    <t>Chronic Kidney Disease</t>
  </si>
  <si>
    <t>2023-11-08</t>
  </si>
  <si>
    <t>PT7017</t>
  </si>
  <si>
    <t>Fracture</t>
  </si>
  <si>
    <t>2023-10-15</t>
  </si>
  <si>
    <t>PT7018</t>
  </si>
  <si>
    <t>manipal</t>
  </si>
  <si>
    <t>2023-08-02</t>
  </si>
  <si>
    <t>₹35,941</t>
  </si>
  <si>
    <t>0%</t>
  </si>
  <si>
    <t>PT7019</t>
  </si>
  <si>
    <t>Chickenpox</t>
  </si>
  <si>
    <t>2023-02-18</t>
  </si>
  <si>
    <t>PT7020</t>
  </si>
  <si>
    <t>Pregnancy Complications</t>
  </si>
  <si>
    <t>2023-10-11</t>
  </si>
  <si>
    <t>₹18,029</t>
  </si>
  <si>
    <t>PT7021</t>
  </si>
  <si>
    <t>2024-01-22</t>
  </si>
  <si>
    <t>-</t>
  </si>
  <si>
    <t>PT7022</t>
  </si>
  <si>
    <t>2023-05-18</t>
  </si>
  <si>
    <t>PT7023</t>
  </si>
  <si>
    <t>Dialysis</t>
  </si>
  <si>
    <t>2023-12-30</t>
  </si>
  <si>
    <t>PT7024</t>
  </si>
  <si>
    <t>Pneumonia</t>
  </si>
  <si>
    <t>2023-01-19</t>
  </si>
  <si>
    <t>INSURANCE</t>
  </si>
  <si>
    <t>PT7025</t>
  </si>
  <si>
    <t>Ear Infection</t>
  </si>
  <si>
    <t>2023-04-12</t>
  </si>
  <si>
    <t>₹38,313</t>
  </si>
  <si>
    <t>PT7026</t>
  </si>
  <si>
    <t>2023-12-21</t>
  </si>
  <si>
    <t>Rs. 12,602</t>
  </si>
  <si>
    <t>PT7027</t>
  </si>
  <si>
    <t>2023-06-21</t>
  </si>
  <si>
    <t>Rs. 70,020</t>
  </si>
  <si>
    <t>PT7028</t>
  </si>
  <si>
    <t>apollo</t>
  </si>
  <si>
    <t>2023-09-28</t>
  </si>
  <si>
    <t>PT7029</t>
  </si>
  <si>
    <t>Cardiology</t>
  </si>
  <si>
    <t>Heart Failure</t>
  </si>
  <si>
    <t>2023-10-19</t>
  </si>
  <si>
    <t>insurance</t>
  </si>
  <si>
    <t>PT7030</t>
  </si>
  <si>
    <t>Menstrual Disorders</t>
  </si>
  <si>
    <t>2023-01-02</t>
  </si>
  <si>
    <t>PT7031</t>
  </si>
  <si>
    <t>Diabetes</t>
  </si>
  <si>
    <t>2023-02-09</t>
  </si>
  <si>
    <t>PT7032</t>
  </si>
  <si>
    <t>Liver Disease</t>
  </si>
  <si>
    <t>PT7033</t>
  </si>
  <si>
    <t>2024-02-24</t>
  </si>
  <si>
    <t>PT7034</t>
  </si>
  <si>
    <t>2023-07-06</t>
  </si>
  <si>
    <t>₹10,581</t>
  </si>
  <si>
    <t>PT7035</t>
  </si>
  <si>
    <t>MANIPAL</t>
  </si>
  <si>
    <t>2024-01-20</t>
  </si>
  <si>
    <t>PT7036</t>
  </si>
  <si>
    <t>Malnutrition</t>
  </si>
  <si>
    <t>2024-03-03</t>
  </si>
  <si>
    <t>35%</t>
  </si>
  <si>
    <t>PT7037</t>
  </si>
  <si>
    <t>Delhi</t>
  </si>
  <si>
    <t>2024-01-21</t>
  </si>
  <si>
    <t>PT7038</t>
  </si>
  <si>
    <t>Typhoid</t>
  </si>
  <si>
    <t>2023-07-21</t>
  </si>
  <si>
    <t>Rs. 6,923</t>
  </si>
  <si>
    <t>PT7039</t>
  </si>
  <si>
    <t>Epilepsy</t>
  </si>
  <si>
    <t>2023-07-08</t>
  </si>
  <si>
    <t>5%</t>
  </si>
  <si>
    <t>PT7040</t>
  </si>
  <si>
    <t>2023-09-15</t>
  </si>
  <si>
    <t>Rs. 10,076</t>
  </si>
  <si>
    <t>PT7041</t>
  </si>
  <si>
    <t>APOLLO</t>
  </si>
  <si>
    <t>2023-01-01</t>
  </si>
  <si>
    <t>₹5,396</t>
  </si>
  <si>
    <t>PT7042</t>
  </si>
  <si>
    <t>Kidney Stones</t>
  </si>
  <si>
    <t>2023-10-10</t>
  </si>
  <si>
    <t>PT7043</t>
  </si>
  <si>
    <t>2023-04-25</t>
  </si>
  <si>
    <t>CC</t>
  </si>
  <si>
    <t>PT7044</t>
  </si>
  <si>
    <t>Fibroids</t>
  </si>
  <si>
    <t>2023-04-27</t>
  </si>
  <si>
    <t>PT7045</t>
  </si>
  <si>
    <t>2023-08-27</t>
  </si>
  <si>
    <t>Rs. 10,256</t>
  </si>
  <si>
    <t>PT7046</t>
  </si>
  <si>
    <t>Coronary Artery Disease</t>
  </si>
  <si>
    <t>2023-08-01</t>
  </si>
  <si>
    <t>PT7047</t>
  </si>
  <si>
    <t>2023-08-15</t>
  </si>
  <si>
    <t>Rs. 8,546</t>
  </si>
  <si>
    <t>PT7048</t>
  </si>
  <si>
    <t>2024-04-15</t>
  </si>
  <si>
    <t>Rs. 17,625</t>
  </si>
  <si>
    <t>25%</t>
  </si>
  <si>
    <t>PT7049</t>
  </si>
  <si>
    <t>2024-01-18</t>
  </si>
  <si>
    <t>PT7050</t>
  </si>
  <si>
    <t>2023-02-24</t>
  </si>
  <si>
    <t>PT7051</t>
  </si>
  <si>
    <t>Arrhythmia</t>
  </si>
  <si>
    <t>2024-03-16</t>
  </si>
  <si>
    <t>₹61,883</t>
  </si>
  <si>
    <t>DC</t>
  </si>
  <si>
    <t>PT7052</t>
  </si>
  <si>
    <t>2023-05-16</t>
  </si>
  <si>
    <t>Rs. 5,755</t>
  </si>
  <si>
    <t>12%</t>
  </si>
  <si>
    <t>PT7053</t>
  </si>
  <si>
    <t>2023-07-10</t>
  </si>
  <si>
    <t>PT7054</t>
  </si>
  <si>
    <t>2023-12-01</t>
  </si>
  <si>
    <t>PT7055</t>
  </si>
  <si>
    <t>2023-09-20</t>
  </si>
  <si>
    <t>₹8,824</t>
  </si>
  <si>
    <t>PT7056</t>
  </si>
  <si>
    <t>2024-01-10</t>
  </si>
  <si>
    <t>PT7057</t>
  </si>
  <si>
    <t>2023-03-21</t>
  </si>
  <si>
    <t>PT7058</t>
  </si>
  <si>
    <t>2023-07-20</t>
  </si>
  <si>
    <t>Rs. 16,270</t>
  </si>
  <si>
    <t>PT7059</t>
  </si>
  <si>
    <t>Tonsillitis</t>
  </si>
  <si>
    <t>2023-02-15</t>
  </si>
  <si>
    <t>PT7060</t>
  </si>
  <si>
    <t>Leukemia</t>
  </si>
  <si>
    <t>Rs. 15,710</t>
  </si>
  <si>
    <t>PT7061</t>
  </si>
  <si>
    <t>2023-03-05</t>
  </si>
  <si>
    <t>Rs. 7,897</t>
  </si>
  <si>
    <t>PT7062</t>
  </si>
  <si>
    <t>2023-06-07</t>
  </si>
  <si>
    <t>₹11,167</t>
  </si>
  <si>
    <t>PT7063</t>
  </si>
  <si>
    <t>Colon Cancer</t>
  </si>
  <si>
    <t>2023-07-24</t>
  </si>
  <si>
    <t>Rs. 34,034</t>
  </si>
  <si>
    <t>PT7064</t>
  </si>
  <si>
    <t>Back Pain</t>
  </si>
  <si>
    <t>PT7065</t>
  </si>
  <si>
    <t>2024-04-04</t>
  </si>
  <si>
    <t>PT7066</t>
  </si>
  <si>
    <t>2024-04-03</t>
  </si>
  <si>
    <t>Rs. 15,348</t>
  </si>
  <si>
    <t>PT7067</t>
  </si>
  <si>
    <t>2023-03-16</t>
  </si>
  <si>
    <t>₹14,804</t>
  </si>
  <si>
    <t>PT7068</t>
  </si>
  <si>
    <t>Hypertension</t>
  </si>
  <si>
    <t>Rs. 4,565</t>
  </si>
  <si>
    <t>PT7069</t>
  </si>
  <si>
    <t>2023-11-16</t>
  </si>
  <si>
    <t>Rs. 18,561</t>
  </si>
  <si>
    <t>PT7070</t>
  </si>
  <si>
    <t>2023-11-27</t>
  </si>
  <si>
    <t>PT7071</t>
  </si>
  <si>
    <t>Lung Cancer</t>
  </si>
  <si>
    <t>2023-12-03</t>
  </si>
  <si>
    <t>Rs. 9,463</t>
  </si>
  <si>
    <t>PT7072</t>
  </si>
  <si>
    <t>2023-01-04</t>
  </si>
  <si>
    <t>PT7073</t>
  </si>
  <si>
    <t>2023-05-17</t>
  </si>
  <si>
    <t>PT7074</t>
  </si>
  <si>
    <t>2023-06-18</t>
  </si>
  <si>
    <t>₹51,348</t>
  </si>
  <si>
    <t>PT7075</t>
  </si>
  <si>
    <t>2024-04-11</t>
  </si>
  <si>
    <t>Rs. 42,484</t>
  </si>
  <si>
    <t>PT7076</t>
  </si>
  <si>
    <t>2024-03-14</t>
  </si>
  <si>
    <t>Rs. 14,908</t>
  </si>
  <si>
    <t>PT7077</t>
  </si>
  <si>
    <t>aiims</t>
  </si>
  <si>
    <t>Osteoarthritis</t>
  </si>
  <si>
    <t>2024-02-27</t>
  </si>
  <si>
    <t>₹12,416</t>
  </si>
  <si>
    <t>Upi</t>
  </si>
  <si>
    <t>PT7078</t>
  </si>
  <si>
    <t>PT7079</t>
  </si>
  <si>
    <t>Rs. 9,620</t>
  </si>
  <si>
    <t>PT7080</t>
  </si>
  <si>
    <t>2024-02-22</t>
  </si>
  <si>
    <t>PT7081</t>
  </si>
  <si>
    <t>2023-01-13</t>
  </si>
  <si>
    <t>Rs. 15,188</t>
  </si>
  <si>
    <t>PT7082</t>
  </si>
  <si>
    <t>Rs. 13,595</t>
  </si>
  <si>
    <t>PT7083</t>
  </si>
  <si>
    <t>2024-01-06</t>
  </si>
  <si>
    <t>PT7084</t>
  </si>
  <si>
    <t>2023-05-21</t>
  </si>
  <si>
    <t>Rs. 9,428</t>
  </si>
  <si>
    <t>PT7085</t>
  </si>
  <si>
    <t>2023-05-05</t>
  </si>
  <si>
    <t>PT7086</t>
  </si>
  <si>
    <t>2024-02-05</t>
  </si>
  <si>
    <t>PT7087</t>
  </si>
  <si>
    <t>Rs. 10,139</t>
  </si>
  <si>
    <t>PT7088</t>
  </si>
  <si>
    <t>FORTIS</t>
  </si>
  <si>
    <t>2023-08-22</t>
  </si>
  <si>
    <t>PT7089</t>
  </si>
  <si>
    <t>2023-12-12</t>
  </si>
  <si>
    <t>PT7090</t>
  </si>
  <si>
    <t>PT7091</t>
  </si>
  <si>
    <t>2023-05-10</t>
  </si>
  <si>
    <t>PT7092</t>
  </si>
  <si>
    <t>2023-02-13</t>
  </si>
  <si>
    <t>PT7093</t>
  </si>
  <si>
    <t>2024-02-06</t>
  </si>
  <si>
    <t>Rs. 8,002</t>
  </si>
  <si>
    <t>PT7094</t>
  </si>
  <si>
    <t>2023-10-12</t>
  </si>
  <si>
    <t>Rs. 6,880</t>
  </si>
  <si>
    <t>PT7095</t>
  </si>
  <si>
    <t>2023-08-28</t>
  </si>
  <si>
    <t>PT7096</t>
  </si>
  <si>
    <t>2023-09-05</t>
  </si>
  <si>
    <t>PT7097</t>
  </si>
  <si>
    <t>2024-02-28</t>
  </si>
  <si>
    <t>Rs. 12,474</t>
  </si>
  <si>
    <t>PT7098</t>
  </si>
  <si>
    <t>₹16,304</t>
  </si>
  <si>
    <t>PT7099</t>
  </si>
  <si>
    <t>2023-12-08</t>
  </si>
  <si>
    <t>PT7100</t>
  </si>
  <si>
    <t>2023-08-04</t>
  </si>
  <si>
    <t>₹24,488</t>
  </si>
  <si>
    <t>PT7101</t>
  </si>
  <si>
    <t>Ulcer</t>
  </si>
  <si>
    <t>2023-10-31</t>
  </si>
  <si>
    <t>₹8,088</t>
  </si>
  <si>
    <t>PT7102</t>
  </si>
  <si>
    <t>2023-03-08</t>
  </si>
  <si>
    <t>PT7103</t>
  </si>
  <si>
    <t>2024-04-12</t>
  </si>
  <si>
    <t>PT7104</t>
  </si>
  <si>
    <t>Sinusitis</t>
  </si>
  <si>
    <t>2023-03-27</t>
  </si>
  <si>
    <t>PT7105</t>
  </si>
  <si>
    <t>2023-01-08</t>
  </si>
  <si>
    <t>PT7106</t>
  </si>
  <si>
    <t>2023-05-28</t>
  </si>
  <si>
    <t>PT7107</t>
  </si>
  <si>
    <t>2023-11-07</t>
  </si>
  <si>
    <t>PT7108</t>
  </si>
  <si>
    <t>2024-03-29</t>
  </si>
  <si>
    <t>₹88,401</t>
  </si>
  <si>
    <t>PT7109</t>
  </si>
  <si>
    <t>2024-04-17</t>
  </si>
  <si>
    <t>₹19,163</t>
  </si>
  <si>
    <t>PT7110</t>
  </si>
  <si>
    <t>2023-04-20</t>
  </si>
  <si>
    <t>PT7111</t>
  </si>
  <si>
    <t>2023-10-13</t>
  </si>
  <si>
    <t>PT7112</t>
  </si>
  <si>
    <t>2024-03-11</t>
  </si>
  <si>
    <t>₹8,233</t>
  </si>
  <si>
    <t>PT7113</t>
  </si>
  <si>
    <t>2023-02-21</t>
  </si>
  <si>
    <t>₹38,978</t>
  </si>
  <si>
    <t>PT7114</t>
  </si>
  <si>
    <t>2023-03-28</t>
  </si>
  <si>
    <t>Rs. 17,463</t>
  </si>
  <si>
    <t>PT7115</t>
  </si>
  <si>
    <t>2023-02-19</t>
  </si>
  <si>
    <t>PT7116</t>
  </si>
  <si>
    <t>2023-08-13</t>
  </si>
  <si>
    <t>Rs. 7,895</t>
  </si>
  <si>
    <t>PT7117</t>
  </si>
  <si>
    <t>2023-01-30</t>
  </si>
  <si>
    <t>PT7118</t>
  </si>
  <si>
    <t>2023-11-24</t>
  </si>
  <si>
    <t>₹3,525</t>
  </si>
  <si>
    <t>PT7119</t>
  </si>
  <si>
    <t>2023-03-12</t>
  </si>
  <si>
    <t>₹8,902</t>
  </si>
  <si>
    <t>PT7120</t>
  </si>
  <si>
    <t>2023-04-14</t>
  </si>
  <si>
    <t>Rs. 3,328</t>
  </si>
  <si>
    <t>PT7121</t>
  </si>
  <si>
    <t>2023-05-08</t>
  </si>
  <si>
    <t>PT7122</t>
  </si>
  <si>
    <t>2023-10-23</t>
  </si>
  <si>
    <t>Rs. 5,005</t>
  </si>
  <si>
    <t>PT7123</t>
  </si>
  <si>
    <t>PT7124</t>
  </si>
  <si>
    <t>₹18,232</t>
  </si>
  <si>
    <t>PT7125</t>
  </si>
  <si>
    <t>2024-04-25</t>
  </si>
  <si>
    <t>PT7126</t>
  </si>
  <si>
    <t>2024-03-09</t>
  </si>
  <si>
    <t>₹27,019</t>
  </si>
  <si>
    <t>PT7127</t>
  </si>
  <si>
    <t>PT7128</t>
  </si>
  <si>
    <t>2023-01-21</t>
  </si>
  <si>
    <t>Rs. 12,421</t>
  </si>
  <si>
    <t>PT7129</t>
  </si>
  <si>
    <t>Rs. 11,982</t>
  </si>
  <si>
    <t>PT7130</t>
  </si>
  <si>
    <t>2023-01-16</t>
  </si>
  <si>
    <t>₹10,938</t>
  </si>
  <si>
    <t>PT7131</t>
  </si>
  <si>
    <t>2024-01-31</t>
  </si>
  <si>
    <t>Rs. 3,713</t>
  </si>
  <si>
    <t>PT7132</t>
  </si>
  <si>
    <t>2023-12-09</t>
  </si>
  <si>
    <t>Rs. 66,196</t>
  </si>
  <si>
    <t>PT7133</t>
  </si>
  <si>
    <t>2023-03-02</t>
  </si>
  <si>
    <t>₹85,258</t>
  </si>
  <si>
    <t>PT7134</t>
  </si>
  <si>
    <t>₹19,369</t>
  </si>
  <si>
    <t>PT7135</t>
  </si>
  <si>
    <t>2023-01-25</t>
  </si>
  <si>
    <t>PT7136</t>
  </si>
  <si>
    <t>2023-12-13</t>
  </si>
  <si>
    <t>₹5,237</t>
  </si>
  <si>
    <t>PT7137</t>
  </si>
  <si>
    <t>Rs. 6,022</t>
  </si>
  <si>
    <t>PT7138</t>
  </si>
  <si>
    <t>2023-07-31</t>
  </si>
  <si>
    <t>Rs. 8,977</t>
  </si>
  <si>
    <t>PT7139</t>
  </si>
  <si>
    <t>Rs. 23,870</t>
  </si>
  <si>
    <t>PT7140</t>
  </si>
  <si>
    <t>Gastritis</t>
  </si>
  <si>
    <t>2023-02-08</t>
  </si>
  <si>
    <t>PT7141</t>
  </si>
  <si>
    <t>₹5,065</t>
  </si>
  <si>
    <t>PT7142</t>
  </si>
  <si>
    <t>2024-04-05</t>
  </si>
  <si>
    <t>₹17,923</t>
  </si>
  <si>
    <t>PT7143</t>
  </si>
  <si>
    <t>2023-03-30</t>
  </si>
  <si>
    <t>₹8,568</t>
  </si>
  <si>
    <t>PT7144</t>
  </si>
  <si>
    <t>2023-05-06</t>
  </si>
  <si>
    <t>Rs. 15,693</t>
  </si>
  <si>
    <t>PT7145</t>
  </si>
  <si>
    <t>Rs. 10,870</t>
  </si>
  <si>
    <t>PT7146</t>
  </si>
  <si>
    <t>2023-10-28</t>
  </si>
  <si>
    <t>₹15,058</t>
  </si>
  <si>
    <t>PT7147</t>
  </si>
  <si>
    <t>2024-02-02</t>
  </si>
  <si>
    <t>₹10,587</t>
  </si>
  <si>
    <t>PT7148</t>
  </si>
  <si>
    <t>2023-07-26</t>
  </si>
  <si>
    <t>PT7149</t>
  </si>
  <si>
    <t>2024-04-08</t>
  </si>
  <si>
    <t>Rs. 6,201</t>
  </si>
  <si>
    <t>PT7150</t>
  </si>
  <si>
    <t>2023-11-23</t>
  </si>
  <si>
    <t>PT7151</t>
  </si>
  <si>
    <t>2023-12-15</t>
  </si>
  <si>
    <t>Rs. 34,573</t>
  </si>
  <si>
    <t>PT7152</t>
  </si>
  <si>
    <t>₹17,836</t>
  </si>
  <si>
    <t>PT7153</t>
  </si>
  <si>
    <t>Rs. 4,945</t>
  </si>
  <si>
    <t>PT7154</t>
  </si>
  <si>
    <t>2023-12-24</t>
  </si>
  <si>
    <t>Rs. 12,809</t>
  </si>
  <si>
    <t>PT7155</t>
  </si>
  <si>
    <t>2023-05-29</t>
  </si>
  <si>
    <t>₹21,621</t>
  </si>
  <si>
    <t>PT7156</t>
  </si>
  <si>
    <t>2023-02-06</t>
  </si>
  <si>
    <t>PT7157</t>
  </si>
  <si>
    <t>2023-11-26</t>
  </si>
  <si>
    <t>PT7158</t>
  </si>
  <si>
    <t>2024-03-01</t>
  </si>
  <si>
    <t>PT7159</t>
  </si>
  <si>
    <t>2023-09-11</t>
  </si>
  <si>
    <t>₹16,860</t>
  </si>
  <si>
    <t>PT7160</t>
  </si>
  <si>
    <t>PT7161</t>
  </si>
  <si>
    <t>2023-06-01</t>
  </si>
  <si>
    <t>₹3,137</t>
  </si>
  <si>
    <t>PT7162</t>
  </si>
  <si>
    <t>PT7163</t>
  </si>
  <si>
    <t>2023-10-24</t>
  </si>
  <si>
    <t>PT7164</t>
  </si>
  <si>
    <t>2023-12-10</t>
  </si>
  <si>
    <t>PT7165</t>
  </si>
  <si>
    <t>2024-01-05</t>
  </si>
  <si>
    <t>Rs. 87,522</t>
  </si>
  <si>
    <t>PT7166</t>
  </si>
  <si>
    <t>2023-11-01</t>
  </si>
  <si>
    <t>₹9,983</t>
  </si>
  <si>
    <t>PT7167</t>
  </si>
  <si>
    <t>2023-05-03</t>
  </si>
  <si>
    <t>₹15,222</t>
  </si>
  <si>
    <t>PT7168</t>
  </si>
  <si>
    <t>2023-04-09</t>
  </si>
  <si>
    <t>PT7169</t>
  </si>
  <si>
    <t>2023-10-03</t>
  </si>
  <si>
    <t>PT7170</t>
  </si>
  <si>
    <t>₹17,699</t>
  </si>
  <si>
    <t>PT7171</t>
  </si>
  <si>
    <t>2023-07-18</t>
  </si>
  <si>
    <t>₹66,357</t>
  </si>
  <si>
    <t>PT7172</t>
  </si>
  <si>
    <t>2023-10-21</t>
  </si>
  <si>
    <t>PT7173</t>
  </si>
  <si>
    <t>2023-06-05</t>
  </si>
  <si>
    <t>PT7174</t>
  </si>
  <si>
    <t>2023-03-11</t>
  </si>
  <si>
    <t>PT7175</t>
  </si>
  <si>
    <t>2023-10-26</t>
  </si>
  <si>
    <t>PT7176</t>
  </si>
  <si>
    <t>2024-01-24</t>
  </si>
  <si>
    <t>PT7177</t>
  </si>
  <si>
    <t>2024-02-19</t>
  </si>
  <si>
    <t>PT7178</t>
  </si>
  <si>
    <t>2024-03-18</t>
  </si>
  <si>
    <t>PT7179</t>
  </si>
  <si>
    <t>2023-01-10</t>
  </si>
  <si>
    <t>Rs. 8,118</t>
  </si>
  <si>
    <t>PT7180</t>
  </si>
  <si>
    <t>2023-06-08</t>
  </si>
  <si>
    <t>PT7181</t>
  </si>
  <si>
    <t>2023-03-04</t>
  </si>
  <si>
    <t>₹4,971</t>
  </si>
  <si>
    <t>PT7182</t>
  </si>
  <si>
    <t>2023-11-22</t>
  </si>
  <si>
    <t>PT7183</t>
  </si>
  <si>
    <t>PT7184</t>
  </si>
  <si>
    <t>PT7185</t>
  </si>
  <si>
    <t>2024-02-04</t>
  </si>
  <si>
    <t>Rs. 77,550</t>
  </si>
  <si>
    <t>PT7186</t>
  </si>
  <si>
    <t>2023-07-23</t>
  </si>
  <si>
    <t>₹5,956</t>
  </si>
  <si>
    <t>PT7187</t>
  </si>
  <si>
    <t>2024-01-08</t>
  </si>
  <si>
    <t>Rs. 3,653</t>
  </si>
  <si>
    <t>PT7188</t>
  </si>
  <si>
    <t>2024-03-05</t>
  </si>
  <si>
    <t>PT7189</t>
  </si>
  <si>
    <t>2023-06-16</t>
  </si>
  <si>
    <t>PT7190</t>
  </si>
  <si>
    <t>2024-03-27</t>
  </si>
  <si>
    <t>PT7191</t>
  </si>
  <si>
    <t>2023-07-27</t>
  </si>
  <si>
    <t>PT7192</t>
  </si>
  <si>
    <t>2023-02-02</t>
  </si>
  <si>
    <t>PT7193</t>
  </si>
  <si>
    <t>2023-04-24</t>
  </si>
  <si>
    <t>Rs. 38,623</t>
  </si>
  <si>
    <t>PT7194</t>
  </si>
  <si>
    <t>2023-07-05</t>
  </si>
  <si>
    <t>Rs. 17,026</t>
  </si>
  <si>
    <t>PT7195</t>
  </si>
  <si>
    <t>2023-08-19</t>
  </si>
  <si>
    <t>PT7196</t>
  </si>
  <si>
    <t>2023-10-20</t>
  </si>
  <si>
    <t>Rs. 54,035</t>
  </si>
  <si>
    <t>PT7197</t>
  </si>
  <si>
    <t>PT7198</t>
  </si>
  <si>
    <t>PT7199</t>
  </si>
  <si>
    <t>2023-04-01</t>
  </si>
  <si>
    <t>₹28,532</t>
  </si>
  <si>
    <t>PT7200</t>
  </si>
  <si>
    <t>PT7201</t>
  </si>
  <si>
    <t>2023-03-13</t>
  </si>
  <si>
    <t>PT7202</t>
  </si>
  <si>
    <t>2023-09-19</t>
  </si>
  <si>
    <t>PT7203</t>
  </si>
  <si>
    <t>₹7,629</t>
  </si>
  <si>
    <t>PT7204</t>
  </si>
  <si>
    <t>PT7205</t>
  </si>
  <si>
    <t>₹41,512</t>
  </si>
  <si>
    <t>PT7206</t>
  </si>
  <si>
    <t>PT7207</t>
  </si>
  <si>
    <t>2023-10-08</t>
  </si>
  <si>
    <t>Rs. 10,031</t>
  </si>
  <si>
    <t>PT7208</t>
  </si>
  <si>
    <t>2023-12-14</t>
  </si>
  <si>
    <t>Rs. 16,152</t>
  </si>
  <si>
    <t>PT7209</t>
  </si>
  <si>
    <t>2023-10-04</t>
  </si>
  <si>
    <t>Rs. 5,897</t>
  </si>
  <si>
    <t>PT7210</t>
  </si>
  <si>
    <t>2023-06-20</t>
  </si>
  <si>
    <t>₹14,476</t>
  </si>
  <si>
    <t>PT7211</t>
  </si>
  <si>
    <t>PT7212</t>
  </si>
  <si>
    <t>Rs. 7,883</t>
  </si>
  <si>
    <t>PT7213</t>
  </si>
  <si>
    <t>2023-05-26</t>
  </si>
  <si>
    <t>PT7214</t>
  </si>
  <si>
    <t>Rs. 87,910</t>
  </si>
  <si>
    <t>PT7215</t>
  </si>
  <si>
    <t>PT7216</t>
  </si>
  <si>
    <t>2023-03-19</t>
  </si>
  <si>
    <t>PT7217</t>
  </si>
  <si>
    <t>2024-03-19</t>
  </si>
  <si>
    <t>PT7218</t>
  </si>
  <si>
    <t>2023-10-30</t>
  </si>
  <si>
    <t>₹41,590</t>
  </si>
  <si>
    <t>PT7219</t>
  </si>
  <si>
    <t>2023-08-23</t>
  </si>
  <si>
    <t>PT7220</t>
  </si>
  <si>
    <t>PT7221</t>
  </si>
  <si>
    <t>PT7222</t>
  </si>
  <si>
    <t>₹7,944</t>
  </si>
  <si>
    <t>PT7223</t>
  </si>
  <si>
    <t>PT7224</t>
  </si>
  <si>
    <t>₹14,856</t>
  </si>
  <si>
    <t>PT7225</t>
  </si>
  <si>
    <t>PT7226</t>
  </si>
  <si>
    <t>2023-05-30</t>
  </si>
  <si>
    <t>₹3,845</t>
  </si>
  <si>
    <t>PT7227</t>
  </si>
  <si>
    <t>2024-04-02</t>
  </si>
  <si>
    <t>Rs. 38,334</t>
  </si>
  <si>
    <t>PT7228</t>
  </si>
  <si>
    <t>2023-11-14</t>
  </si>
  <si>
    <t>PT7229</t>
  </si>
  <si>
    <t>2023-03-23</t>
  </si>
  <si>
    <t>Rs. 61,255</t>
  </si>
  <si>
    <t>PT7230</t>
  </si>
  <si>
    <t>PT7231</t>
  </si>
  <si>
    <t>2024-04-21</t>
  </si>
  <si>
    <t>Rs. 60,232</t>
  </si>
  <si>
    <t>PT7232</t>
  </si>
  <si>
    <t>2023-09-30</t>
  </si>
  <si>
    <t>PT7233</t>
  </si>
  <si>
    <t>PT7234</t>
  </si>
  <si>
    <t>2023-12-31</t>
  </si>
  <si>
    <t>PT7235</t>
  </si>
  <si>
    <t>₹7,546</t>
  </si>
  <si>
    <t>PT7236</t>
  </si>
  <si>
    <t>2024-02-11</t>
  </si>
  <si>
    <t>Rs. 47,391</t>
  </si>
  <si>
    <t>PT7237</t>
  </si>
  <si>
    <t>₹15,789</t>
  </si>
  <si>
    <t>PT7238</t>
  </si>
  <si>
    <t>2023-11-12</t>
  </si>
  <si>
    <t>Rs. 9,223</t>
  </si>
  <si>
    <t>PT7239</t>
  </si>
  <si>
    <t>Rs. 3,516</t>
  </si>
  <si>
    <t>PT7240</t>
  </si>
  <si>
    <t>2024-02-16</t>
  </si>
  <si>
    <t>PT7241</t>
  </si>
  <si>
    <t>2023-04-18</t>
  </si>
  <si>
    <t>Rs. 66,375</t>
  </si>
  <si>
    <t>PT7242</t>
  </si>
  <si>
    <t>2023-10-27</t>
  </si>
  <si>
    <t>PT7243</t>
  </si>
  <si>
    <t>Rs. 10,976</t>
  </si>
  <si>
    <t>PT7244</t>
  </si>
  <si>
    <t>PT7245</t>
  </si>
  <si>
    <t>2024-02-08</t>
  </si>
  <si>
    <t>PT7246</t>
  </si>
  <si>
    <t>Rs. 74,229</t>
  </si>
  <si>
    <t>PT7247</t>
  </si>
  <si>
    <t>2023-11-28</t>
  </si>
  <si>
    <t>₹31,222</t>
  </si>
  <si>
    <t>PT7248</t>
  </si>
  <si>
    <t>2024-02-29</t>
  </si>
  <si>
    <t>PT7249</t>
  </si>
  <si>
    <t>₹11,978</t>
  </si>
  <si>
    <t>PT7250</t>
  </si>
  <si>
    <t>PT7251</t>
  </si>
  <si>
    <t>2023-05-11</t>
  </si>
  <si>
    <t>Rs. 37,581</t>
  </si>
  <si>
    <t>PT7252</t>
  </si>
  <si>
    <t>₹10,562</t>
  </si>
  <si>
    <t>PT7253</t>
  </si>
  <si>
    <t>PT7254</t>
  </si>
  <si>
    <t>2023-08-09</t>
  </si>
  <si>
    <t>PT7255</t>
  </si>
  <si>
    <t>2023-11-03</t>
  </si>
  <si>
    <t>PT7256</t>
  </si>
  <si>
    <t>2023-07-22</t>
  </si>
  <si>
    <t>30%</t>
  </si>
  <si>
    <t>PT7257</t>
  </si>
  <si>
    <t>PT7258</t>
  </si>
  <si>
    <t>Rs. 49,262</t>
  </si>
  <si>
    <t>PT7259</t>
  </si>
  <si>
    <t>2023-05-27</t>
  </si>
  <si>
    <t>PT7260</t>
  </si>
  <si>
    <t>₹18,485</t>
  </si>
  <si>
    <t>PT7261</t>
  </si>
  <si>
    <t>PT7262</t>
  </si>
  <si>
    <t>2023-04-19</t>
  </si>
  <si>
    <t>Rs. 6,325</t>
  </si>
  <si>
    <t>PT7263</t>
  </si>
  <si>
    <t>2023-09-04</t>
  </si>
  <si>
    <t>Rs. 11,431</t>
  </si>
  <si>
    <t>PT7264</t>
  </si>
  <si>
    <t>PT7265</t>
  </si>
  <si>
    <t>2024-01-19</t>
  </si>
  <si>
    <t>PT7266</t>
  </si>
  <si>
    <t>PT7267</t>
  </si>
  <si>
    <t>2024-02-20</t>
  </si>
  <si>
    <t>PT7268</t>
  </si>
  <si>
    <t>2023-04-30</t>
  </si>
  <si>
    <t>Rs. 75,423</t>
  </si>
  <si>
    <t>PT7269</t>
  </si>
  <si>
    <t>PT7270</t>
  </si>
  <si>
    <t>Rs. 17,286</t>
  </si>
  <si>
    <t>PT7271</t>
  </si>
  <si>
    <t>2023-09-01</t>
  </si>
  <si>
    <t>PT7272</t>
  </si>
  <si>
    <t>2024-01-12</t>
  </si>
  <si>
    <t>₹14,785</t>
  </si>
  <si>
    <t>PT7273</t>
  </si>
  <si>
    <t>2023-10-05</t>
  </si>
  <si>
    <t>₹14,654</t>
  </si>
  <si>
    <t>PT7274</t>
  </si>
  <si>
    <t>₹45,729</t>
  </si>
  <si>
    <t>PT7275</t>
  </si>
  <si>
    <t>2024-02-13</t>
  </si>
  <si>
    <t>PT7276</t>
  </si>
  <si>
    <t>₹5,403</t>
  </si>
  <si>
    <t>PT7277</t>
  </si>
  <si>
    <t>₹14,196</t>
  </si>
  <si>
    <t>PT7278</t>
  </si>
  <si>
    <t>Rs. 7,988</t>
  </si>
  <si>
    <t>PT7279</t>
  </si>
  <si>
    <t>2023-05-04</t>
  </si>
  <si>
    <t>₹11,471</t>
  </si>
  <si>
    <t>PT7280</t>
  </si>
  <si>
    <t>Rs. 11,545</t>
  </si>
  <si>
    <t>PT7281</t>
  </si>
  <si>
    <t>2024-04-22</t>
  </si>
  <si>
    <t>₹11,033</t>
  </si>
  <si>
    <t>PT7282</t>
  </si>
  <si>
    <t>Rs. 19,828</t>
  </si>
  <si>
    <t>PT7283</t>
  </si>
  <si>
    <t>Rs. 7,225</t>
  </si>
  <si>
    <t>PT7284</t>
  </si>
  <si>
    <t>₹7,425</t>
  </si>
  <si>
    <t>PT7285</t>
  </si>
  <si>
    <t>₹70,687</t>
  </si>
  <si>
    <t>PT7286</t>
  </si>
  <si>
    <t>PT7287</t>
  </si>
  <si>
    <t>PT7288</t>
  </si>
  <si>
    <t>2023-01-07</t>
  </si>
  <si>
    <t>PT7289</t>
  </si>
  <si>
    <t>2024-01-01</t>
  </si>
  <si>
    <t>PT7290</t>
  </si>
  <si>
    <t>Rs. 67,304</t>
  </si>
  <si>
    <t>PT7291</t>
  </si>
  <si>
    <t>₹81,665</t>
  </si>
  <si>
    <t>PT7292</t>
  </si>
  <si>
    <t>PT7293</t>
  </si>
  <si>
    <t>Rs. 4,893</t>
  </si>
  <si>
    <t>PT7294</t>
  </si>
  <si>
    <t>PT7295</t>
  </si>
  <si>
    <t>2024-04-06</t>
  </si>
  <si>
    <t>₹10,048</t>
  </si>
  <si>
    <t>PT7296</t>
  </si>
  <si>
    <t>Rs. 4,774</t>
  </si>
  <si>
    <t>PT7297</t>
  </si>
  <si>
    <t>PT7298</t>
  </si>
  <si>
    <t>2023-08-24</t>
  </si>
  <si>
    <t>PT7299</t>
  </si>
  <si>
    <t>2023-10-29</t>
  </si>
  <si>
    <t>Rs. 13,347</t>
  </si>
  <si>
    <t>PT7300</t>
  </si>
  <si>
    <t>2023-02-05</t>
  </si>
  <si>
    <t>Rs. 16,218</t>
  </si>
  <si>
    <t>PT7301</t>
  </si>
  <si>
    <t>2023-06-02</t>
  </si>
  <si>
    <t>PT7302</t>
  </si>
  <si>
    <t>Rs. 6,782</t>
  </si>
  <si>
    <t>PT7303</t>
  </si>
  <si>
    <t>2023-11-09</t>
  </si>
  <si>
    <t>PT7304</t>
  </si>
  <si>
    <t>2023-06-09</t>
  </si>
  <si>
    <t>Rs. 10,470</t>
  </si>
  <si>
    <t>PT7305</t>
  </si>
  <si>
    <t>2023-11-19</t>
  </si>
  <si>
    <t>PT7306</t>
  </si>
  <si>
    <t>2023-07-04</t>
  </si>
  <si>
    <t>PT7307</t>
  </si>
  <si>
    <t>2023-08-17</t>
  </si>
  <si>
    <t>PT7308</t>
  </si>
  <si>
    <t>PT7309</t>
  </si>
  <si>
    <t>2023-03-24</t>
  </si>
  <si>
    <t>PT7310</t>
  </si>
  <si>
    <t>₹30,875</t>
  </si>
  <si>
    <t>PT7311</t>
  </si>
  <si>
    <t>₹17,266</t>
  </si>
  <si>
    <t>PT7312</t>
  </si>
  <si>
    <t>2023-09-14</t>
  </si>
  <si>
    <t>PT7313</t>
  </si>
  <si>
    <t>₹7,297</t>
  </si>
  <si>
    <t>PT7314</t>
  </si>
  <si>
    <t>2024-03-06</t>
  </si>
  <si>
    <t>PT7315</t>
  </si>
  <si>
    <t>PT7316</t>
  </si>
  <si>
    <t>PT7317</t>
  </si>
  <si>
    <t>2024-01-26</t>
  </si>
  <si>
    <t>Rs. 63,056</t>
  </si>
  <si>
    <t>PT7318</t>
  </si>
  <si>
    <t>₹12,313</t>
  </si>
  <si>
    <t>PT7319</t>
  </si>
  <si>
    <t>PT7320</t>
  </si>
  <si>
    <t>2023-08-07</t>
  </si>
  <si>
    <t>PT7321</t>
  </si>
  <si>
    <t>Rs. 35,941</t>
  </si>
  <si>
    <t>PT7322</t>
  </si>
  <si>
    <t>Rs. 15,622</t>
  </si>
  <si>
    <t>PT7323</t>
  </si>
  <si>
    <t>2023-10-18</t>
  </si>
  <si>
    <t>PT7324</t>
  </si>
  <si>
    <t>PT7325</t>
  </si>
  <si>
    <t>2023-02-10</t>
  </si>
  <si>
    <t>PT7326</t>
  </si>
  <si>
    <t>PT7327</t>
  </si>
  <si>
    <t>2023-08-21</t>
  </si>
  <si>
    <t>Rs. 5,996</t>
  </si>
  <si>
    <t>PT7328</t>
  </si>
  <si>
    <t>2023-07-25</t>
  </si>
  <si>
    <t>PT7329</t>
  </si>
  <si>
    <t>PT7330</t>
  </si>
  <si>
    <t>Rs. 27,046</t>
  </si>
  <si>
    <t>PT7331</t>
  </si>
  <si>
    <t>2024-04-09</t>
  </si>
  <si>
    <t>PT7332</t>
  </si>
  <si>
    <t>Rs. 89,885</t>
  </si>
  <si>
    <t>PT7333</t>
  </si>
  <si>
    <t>2023-12-07</t>
  </si>
  <si>
    <t>Rs. 9,076</t>
  </si>
  <si>
    <t>PT7334</t>
  </si>
  <si>
    <t>2023-06-14</t>
  </si>
  <si>
    <t>PT7335</t>
  </si>
  <si>
    <t>2023-05-20</t>
  </si>
  <si>
    <t>₹4,994</t>
  </si>
  <si>
    <t>PT7336</t>
  </si>
  <si>
    <t>2023-03-09</t>
  </si>
  <si>
    <t>PT7337</t>
  </si>
  <si>
    <t>2024-03-12</t>
  </si>
  <si>
    <t>PT7338</t>
  </si>
  <si>
    <t>Rs. 68,728</t>
  </si>
  <si>
    <t>PT7339</t>
  </si>
  <si>
    <t>Rs. 13,551</t>
  </si>
  <si>
    <t>PT7340</t>
  </si>
  <si>
    <t>Rs. 16,840</t>
  </si>
  <si>
    <t>PT7341</t>
  </si>
  <si>
    <t>PT7342</t>
  </si>
  <si>
    <t>Rs. 5,981</t>
  </si>
  <si>
    <t>PT7343</t>
  </si>
  <si>
    <t>PT7344</t>
  </si>
  <si>
    <t>₹6,733</t>
  </si>
  <si>
    <t>15%</t>
  </si>
  <si>
    <t>PT7345</t>
  </si>
  <si>
    <t>2023-03-26</t>
  </si>
  <si>
    <t>PT7346</t>
  </si>
  <si>
    <t>PT7347</t>
  </si>
  <si>
    <t>2024-01-16</t>
  </si>
  <si>
    <t>PT7348</t>
  </si>
  <si>
    <t>PT7349</t>
  </si>
  <si>
    <t>2024-01-04</t>
  </si>
  <si>
    <t>Rs. 6,958</t>
  </si>
  <si>
    <t>PT7350</t>
  </si>
  <si>
    <t>2024-04-18</t>
  </si>
  <si>
    <t>PT7351</t>
  </si>
  <si>
    <t>2023-06-06</t>
  </si>
  <si>
    <t>Rs. 15,979</t>
  </si>
  <si>
    <t>PT7352</t>
  </si>
  <si>
    <t>2024-01-27</t>
  </si>
  <si>
    <t>₹8,049</t>
  </si>
  <si>
    <t>PT7353</t>
  </si>
  <si>
    <t>₹10,135</t>
  </si>
  <si>
    <t>PT7354</t>
  </si>
  <si>
    <t>Rs. 17,312</t>
  </si>
  <si>
    <t>PT7355</t>
  </si>
  <si>
    <t>₹9,328</t>
  </si>
  <si>
    <t>PT7356</t>
  </si>
  <si>
    <t>PT7357</t>
  </si>
  <si>
    <t>2024-03-21</t>
  </si>
  <si>
    <t>Rs. 4,654</t>
  </si>
  <si>
    <t>PT7358</t>
  </si>
  <si>
    <t>Rs. 3,270</t>
  </si>
  <si>
    <t>PT7359</t>
  </si>
  <si>
    <t>PT7360</t>
  </si>
  <si>
    <t>Rs. 6,879</t>
  </si>
  <si>
    <t>PT7361</t>
  </si>
  <si>
    <t>PT7362</t>
  </si>
  <si>
    <t>2024-02-18</t>
  </si>
  <si>
    <t>Rs. 8,320</t>
  </si>
  <si>
    <t>PT7363</t>
  </si>
  <si>
    <t>2023-08-26</t>
  </si>
  <si>
    <t>₹12,833</t>
  </si>
  <si>
    <t>PT7364</t>
  </si>
  <si>
    <t>2024-03-23</t>
  </si>
  <si>
    <t>Rs. 46,611</t>
  </si>
  <si>
    <t>PT7365</t>
  </si>
  <si>
    <t>2023-12-06</t>
  </si>
  <si>
    <t>PT7366</t>
  </si>
  <si>
    <t>PT7367</t>
  </si>
  <si>
    <t>2023-07-29</t>
  </si>
  <si>
    <t>PT7368</t>
  </si>
  <si>
    <t>PT7369</t>
  </si>
  <si>
    <t>PT7370</t>
  </si>
  <si>
    <t>2024-04-20</t>
  </si>
  <si>
    <t>₹45,425</t>
  </si>
  <si>
    <t>PT7371</t>
  </si>
  <si>
    <t>2023-07-11</t>
  </si>
  <si>
    <t>₹57,456</t>
  </si>
  <si>
    <t>PT7372</t>
  </si>
  <si>
    <t>2024-04-01</t>
  </si>
  <si>
    <t>₹18,047</t>
  </si>
  <si>
    <t>PT7373</t>
  </si>
  <si>
    <t>PT7374</t>
  </si>
  <si>
    <t>Rs. 11,289</t>
  </si>
  <si>
    <t>PT7375</t>
  </si>
  <si>
    <t>2023-11-18</t>
  </si>
  <si>
    <t>₹18,897</t>
  </si>
  <si>
    <t>PT7376</t>
  </si>
  <si>
    <t>PT7377</t>
  </si>
  <si>
    <t>2023-06-12</t>
  </si>
  <si>
    <t>PT7378</t>
  </si>
  <si>
    <t>2024-02-21</t>
  </si>
  <si>
    <t>Rs. 27,584</t>
  </si>
  <si>
    <t>PT7379</t>
  </si>
  <si>
    <t>₹84,419</t>
  </si>
  <si>
    <t>PT7380</t>
  </si>
  <si>
    <t>PT7381</t>
  </si>
  <si>
    <t>₹6,348</t>
  </si>
  <si>
    <t>PT7382</t>
  </si>
  <si>
    <t>2023-06-29</t>
  </si>
  <si>
    <t>₹18,352</t>
  </si>
  <si>
    <t>PT7383</t>
  </si>
  <si>
    <t>2023-09-02</t>
  </si>
  <si>
    <t>PT7384</t>
  </si>
  <si>
    <t>2023-07-15</t>
  </si>
  <si>
    <t>PT7385</t>
  </si>
  <si>
    <t>2024-02-01</t>
  </si>
  <si>
    <t>PT7386</t>
  </si>
  <si>
    <t>PT7387</t>
  </si>
  <si>
    <t>PT7388</t>
  </si>
  <si>
    <t>PT7389</t>
  </si>
  <si>
    <t>Rs. 6,490</t>
  </si>
  <si>
    <t>PT7390</t>
  </si>
  <si>
    <t>2023-03-01</t>
  </si>
  <si>
    <t>₹4,018</t>
  </si>
  <si>
    <t>PT7391</t>
  </si>
  <si>
    <t>Rs. 17,560</t>
  </si>
  <si>
    <t>PT7392</t>
  </si>
  <si>
    <t>2023-04-29</t>
  </si>
  <si>
    <t>PT7393</t>
  </si>
  <si>
    <t>2023-03-07</t>
  </si>
  <si>
    <t>₹57,718</t>
  </si>
  <si>
    <t>PT7394</t>
  </si>
  <si>
    <t>₹19,285</t>
  </si>
  <si>
    <t>PT7395</t>
  </si>
  <si>
    <t>2024-03-31</t>
  </si>
  <si>
    <t>PT7396</t>
  </si>
  <si>
    <t>2023-07-17</t>
  </si>
  <si>
    <t>PT7397</t>
  </si>
  <si>
    <t>₹73,652</t>
  </si>
  <si>
    <t>PT7398</t>
  </si>
  <si>
    <t>2023-01-23</t>
  </si>
  <si>
    <t>₹5,582</t>
  </si>
  <si>
    <t>PT7399</t>
  </si>
  <si>
    <t>PT7400</t>
  </si>
  <si>
    <t>2024-03-20</t>
  </si>
  <si>
    <t>PT7401</t>
  </si>
  <si>
    <t>2023-10-22</t>
  </si>
  <si>
    <t>PT7402</t>
  </si>
  <si>
    <t>2023-12-22</t>
  </si>
  <si>
    <t>Rs. 11,486</t>
  </si>
  <si>
    <t>PT7403</t>
  </si>
  <si>
    <t>2023-01-12</t>
  </si>
  <si>
    <t>Rs. 6,143</t>
  </si>
  <si>
    <t>PT7404</t>
  </si>
  <si>
    <t>PT7405</t>
  </si>
  <si>
    <t>Rs. 13,123</t>
  </si>
  <si>
    <t>PT7406</t>
  </si>
  <si>
    <t>2023-07-07</t>
  </si>
  <si>
    <t>PT7407</t>
  </si>
  <si>
    <t>2023-12-25</t>
  </si>
  <si>
    <t>Rs. 10,805</t>
  </si>
  <si>
    <t>PT7408</t>
  </si>
  <si>
    <t>2023-06-28</t>
  </si>
  <si>
    <t>₹6,857</t>
  </si>
  <si>
    <t>PT7409</t>
  </si>
  <si>
    <t>PT7410</t>
  </si>
  <si>
    <t>2023-11-25</t>
  </si>
  <si>
    <t>₹13,400</t>
  </si>
  <si>
    <t>PT7411</t>
  </si>
  <si>
    <t>Rs. 5,594</t>
  </si>
  <si>
    <t>PT7412</t>
  </si>
  <si>
    <t>Rs. 11,294</t>
  </si>
  <si>
    <t>PT7413</t>
  </si>
  <si>
    <t>PT7414</t>
  </si>
  <si>
    <t>2024-02-15</t>
  </si>
  <si>
    <t>₹7,307</t>
  </si>
  <si>
    <t>PT7415</t>
  </si>
  <si>
    <t>Rs. 61,048</t>
  </si>
  <si>
    <t>PT7416</t>
  </si>
  <si>
    <t>PT7417</t>
  </si>
  <si>
    <t>PT7418</t>
  </si>
  <si>
    <t>2023-05-14</t>
  </si>
  <si>
    <t>Rs. 15,171</t>
  </si>
  <si>
    <t>PT7419</t>
  </si>
  <si>
    <t>PT7420</t>
  </si>
  <si>
    <t>PT7421</t>
  </si>
  <si>
    <t>PT7422</t>
  </si>
  <si>
    <t>2024-04-24</t>
  </si>
  <si>
    <t>PT7423</t>
  </si>
  <si>
    <t>Rs. 12,606</t>
  </si>
  <si>
    <t>PT7424</t>
  </si>
  <si>
    <t>PT7425</t>
  </si>
  <si>
    <t>PT7426</t>
  </si>
  <si>
    <t>2023-09-13</t>
  </si>
  <si>
    <t>PT7427</t>
  </si>
  <si>
    <t>Rs. 17,080</t>
  </si>
  <si>
    <t>PT7428</t>
  </si>
  <si>
    <t>Rs. 62,461</t>
  </si>
  <si>
    <t>PT7429</t>
  </si>
  <si>
    <t>PT7430</t>
  </si>
  <si>
    <t>2023-11-05</t>
  </si>
  <si>
    <t>PT7431</t>
  </si>
  <si>
    <t>2023-04-03</t>
  </si>
  <si>
    <t>₹7,158</t>
  </si>
  <si>
    <t>PT7432</t>
  </si>
  <si>
    <t>PT7433</t>
  </si>
  <si>
    <t>PT7434</t>
  </si>
  <si>
    <t>2023-09-29</t>
  </si>
  <si>
    <t>PT7435</t>
  </si>
  <si>
    <t>₹8,917</t>
  </si>
  <si>
    <t>PT7436</t>
  </si>
  <si>
    <t>2024-03-26</t>
  </si>
  <si>
    <t>Rs. 7,888</t>
  </si>
  <si>
    <t>PT7437</t>
  </si>
  <si>
    <t>2023-12-17</t>
  </si>
  <si>
    <t>Rs. 79,066</t>
  </si>
  <si>
    <t>PT7438</t>
  </si>
  <si>
    <t>2023-01-15</t>
  </si>
  <si>
    <t>Rs. 19,168</t>
  </si>
  <si>
    <t>PT7439</t>
  </si>
  <si>
    <t>2023-04-22</t>
  </si>
  <si>
    <t>Rs. 17,118</t>
  </si>
  <si>
    <t>PT7440</t>
  </si>
  <si>
    <t>2023-01-29</t>
  </si>
  <si>
    <t>₹3,497</t>
  </si>
  <si>
    <t>PT7441</t>
  </si>
  <si>
    <t>Rs. 13,574</t>
  </si>
  <si>
    <t>PT7442</t>
  </si>
  <si>
    <t>2024-03-08</t>
  </si>
  <si>
    <t>₹14,077</t>
  </si>
  <si>
    <t>PT7443</t>
  </si>
  <si>
    <t>2023-04-21</t>
  </si>
  <si>
    <t>₹73,623</t>
  </si>
  <si>
    <t>PT7444</t>
  </si>
  <si>
    <t>Rs. 58,706</t>
  </si>
  <si>
    <t>PT7445</t>
  </si>
  <si>
    <t>PT7446</t>
  </si>
  <si>
    <t>2023-06-25</t>
  </si>
  <si>
    <t>₹9,064</t>
  </si>
  <si>
    <t>PT7447</t>
  </si>
  <si>
    <t>PT7448</t>
  </si>
  <si>
    <t>₹17,249</t>
  </si>
  <si>
    <t>PT7449</t>
  </si>
  <si>
    <t>PT7450</t>
  </si>
  <si>
    <t>₹8,235</t>
  </si>
  <si>
    <t>PT7451</t>
  </si>
  <si>
    <t>₹6,861</t>
  </si>
  <si>
    <t>PT7452</t>
  </si>
  <si>
    <t>PT7453</t>
  </si>
  <si>
    <t>2023-09-26</t>
  </si>
  <si>
    <t>PT7454</t>
  </si>
  <si>
    <t>PT7455</t>
  </si>
  <si>
    <t>2023-03-03</t>
  </si>
  <si>
    <t>PT7456</t>
  </si>
  <si>
    <t>2023-06-27</t>
  </si>
  <si>
    <t>PT7457</t>
  </si>
  <si>
    <t>2024-01-13</t>
  </si>
  <si>
    <t>PT7458</t>
  </si>
  <si>
    <t>2023-03-06</t>
  </si>
  <si>
    <t>PT7459</t>
  </si>
  <si>
    <t>₹83,148</t>
  </si>
  <si>
    <t>PT7460</t>
  </si>
  <si>
    <t>PT7461</t>
  </si>
  <si>
    <t>2024-03-04</t>
  </si>
  <si>
    <t>PT7462</t>
  </si>
  <si>
    <t>2023-04-05</t>
  </si>
  <si>
    <t>PT7463</t>
  </si>
  <si>
    <t>PT7464</t>
  </si>
  <si>
    <t>₹9,873</t>
  </si>
  <si>
    <t>PT7465</t>
  </si>
  <si>
    <t>Rs. 5,633</t>
  </si>
  <si>
    <t>PT7466</t>
  </si>
  <si>
    <t>PT7467</t>
  </si>
  <si>
    <t>2024-02-14</t>
  </si>
  <si>
    <t>PT7468</t>
  </si>
  <si>
    <t>PT7469</t>
  </si>
  <si>
    <t>2023-11-06</t>
  </si>
  <si>
    <t>Rs. 3,171</t>
  </si>
  <si>
    <t>PT7470</t>
  </si>
  <si>
    <t>₹7,681</t>
  </si>
  <si>
    <t>PT7471</t>
  </si>
  <si>
    <t>₹8,838</t>
  </si>
  <si>
    <t>PT7472</t>
  </si>
  <si>
    <t>₹82,646</t>
  </si>
  <si>
    <t>PT7473</t>
  </si>
  <si>
    <t>2023-05-15</t>
  </si>
  <si>
    <t>₹10,683</t>
  </si>
  <si>
    <t>PT7474</t>
  </si>
  <si>
    <t>2023-01-05</t>
  </si>
  <si>
    <t>Rs. 7,616</t>
  </si>
  <si>
    <t>PT7475</t>
  </si>
  <si>
    <t>2023-09-17</t>
  </si>
  <si>
    <t>PT7476</t>
  </si>
  <si>
    <t>2023-08-05</t>
  </si>
  <si>
    <t>Rs. 8,251</t>
  </si>
  <si>
    <t>PT7477</t>
  </si>
  <si>
    <t>PT7478</t>
  </si>
  <si>
    <t>Rs. 84,090</t>
  </si>
  <si>
    <t>PT7479</t>
  </si>
  <si>
    <t>PT7480</t>
  </si>
  <si>
    <t>2023-05-09</t>
  </si>
  <si>
    <t>₹15,409</t>
  </si>
  <si>
    <t>PT7481</t>
  </si>
  <si>
    <t>PT7482</t>
  </si>
  <si>
    <t>Rs. 19,369</t>
  </si>
  <si>
    <t>PT7483</t>
  </si>
  <si>
    <t>PT7484</t>
  </si>
  <si>
    <t>2023-09-22</t>
  </si>
  <si>
    <t>Rs. 66,111</t>
  </si>
  <si>
    <t>PT7485</t>
  </si>
  <si>
    <t>₹4,004</t>
  </si>
  <si>
    <t>PT7486</t>
  </si>
  <si>
    <t>Rs. 5,869</t>
  </si>
  <si>
    <t>PT7487</t>
  </si>
  <si>
    <t>PT7488</t>
  </si>
  <si>
    <t>₹38,753</t>
  </si>
  <si>
    <t>PT7489</t>
  </si>
  <si>
    <t>2023-02-04</t>
  </si>
  <si>
    <t>₹11,895</t>
  </si>
  <si>
    <t>PT7490</t>
  </si>
  <si>
    <t>2023-08-30</t>
  </si>
  <si>
    <t>PT7491</t>
  </si>
  <si>
    <t>PT7492</t>
  </si>
  <si>
    <t>₹11,733</t>
  </si>
  <si>
    <t>PT7493</t>
  </si>
  <si>
    <t>Rs. 64,528</t>
  </si>
  <si>
    <t>PT7494</t>
  </si>
  <si>
    <t>₹47,971</t>
  </si>
  <si>
    <t>PT7495</t>
  </si>
  <si>
    <t>Rs. 9,803</t>
  </si>
  <si>
    <t>PT7496</t>
  </si>
  <si>
    <t>2023-04-02</t>
  </si>
  <si>
    <t>Rs. 64,350</t>
  </si>
  <si>
    <t>PT7497</t>
  </si>
  <si>
    <t>₹5,266</t>
  </si>
  <si>
    <t>PT7498</t>
  </si>
  <si>
    <t>PT7499</t>
  </si>
  <si>
    <t>2023-04-08</t>
  </si>
  <si>
    <t>PT7500</t>
  </si>
  <si>
    <t>2023-07-30</t>
  </si>
  <si>
    <t>Rs. 13,821</t>
  </si>
  <si>
    <t>PT7501</t>
  </si>
  <si>
    <t>PT7502</t>
  </si>
  <si>
    <t>PT7503</t>
  </si>
  <si>
    <t>Rs. 36,988</t>
  </si>
  <si>
    <t>PT7504</t>
  </si>
  <si>
    <t>2024-03-24</t>
  </si>
  <si>
    <t>PT7505</t>
  </si>
  <si>
    <t>Rs. 13,010</t>
  </si>
  <si>
    <t>PT7506</t>
  </si>
  <si>
    <t>2023-01-20</t>
  </si>
  <si>
    <t>PT7507</t>
  </si>
  <si>
    <t>PT7508</t>
  </si>
  <si>
    <t>Rs. 18,595</t>
  </si>
  <si>
    <t>PT7509</t>
  </si>
  <si>
    <t>₹16,017</t>
  </si>
  <si>
    <t>PT7510</t>
  </si>
  <si>
    <t>PT7511</t>
  </si>
  <si>
    <t>PT7512</t>
  </si>
  <si>
    <t>₹66,326</t>
  </si>
  <si>
    <t>PT7513</t>
  </si>
  <si>
    <t>2023-06-04</t>
  </si>
  <si>
    <t>₹19,310</t>
  </si>
  <si>
    <t>PT7514</t>
  </si>
  <si>
    <t>2023-04-16</t>
  </si>
  <si>
    <t>Rs. 28,380</t>
  </si>
  <si>
    <t>PT7515</t>
  </si>
  <si>
    <t>2023-02-27</t>
  </si>
  <si>
    <t>PT7516</t>
  </si>
  <si>
    <t>Rs. 4,241</t>
  </si>
  <si>
    <t>PT7517</t>
  </si>
  <si>
    <t>2023-01-06</t>
  </si>
  <si>
    <t>PT7518</t>
  </si>
  <si>
    <t>2023-06-10</t>
  </si>
  <si>
    <t>₹5,766</t>
  </si>
  <si>
    <t>PT7519</t>
  </si>
  <si>
    <t>Rs. 62,070</t>
  </si>
  <si>
    <t>PT7520</t>
  </si>
  <si>
    <t>Rs. 11,583</t>
  </si>
  <si>
    <t>PT7521</t>
  </si>
  <si>
    <t>₹11,501</t>
  </si>
  <si>
    <t>PT7522</t>
  </si>
  <si>
    <t>PT7523</t>
  </si>
  <si>
    <t>PT7524</t>
  </si>
  <si>
    <t>2023-08-12</t>
  </si>
  <si>
    <t>₹9,740</t>
  </si>
  <si>
    <t>PT7525</t>
  </si>
  <si>
    <t>2023-02-26</t>
  </si>
  <si>
    <t>PT7526</t>
  </si>
  <si>
    <t>2023-12-20</t>
  </si>
  <si>
    <t>Rs. 14,137</t>
  </si>
  <si>
    <t>PT7527</t>
  </si>
  <si>
    <t>PT7528</t>
  </si>
  <si>
    <t>2023-12-18</t>
  </si>
  <si>
    <t>PT7529</t>
  </si>
  <si>
    <t>PT7530</t>
  </si>
  <si>
    <t>2023-11-04</t>
  </si>
  <si>
    <t>PT7531</t>
  </si>
  <si>
    <t>2023-06-03</t>
  </si>
  <si>
    <t>PT7532</t>
  </si>
  <si>
    <t>₹16,101</t>
  </si>
  <si>
    <t>PT7533</t>
  </si>
  <si>
    <t>₹10,001</t>
  </si>
  <si>
    <t>PT7534</t>
  </si>
  <si>
    <t>₹53,956</t>
  </si>
  <si>
    <t>PT7535</t>
  </si>
  <si>
    <t>2023-03-15</t>
  </si>
  <si>
    <t>PT7536</t>
  </si>
  <si>
    <t>Rs. 19,154</t>
  </si>
  <si>
    <t>PT7537</t>
  </si>
  <si>
    <t>Rs. 10,525</t>
  </si>
  <si>
    <t>PT7538</t>
  </si>
  <si>
    <t>2023-02-11</t>
  </si>
  <si>
    <t>Rs. 9,954</t>
  </si>
  <si>
    <t>PT7539</t>
  </si>
  <si>
    <t>PT7540</t>
  </si>
  <si>
    <t>2024-01-09</t>
  </si>
  <si>
    <t>Rs. 11,426</t>
  </si>
  <si>
    <t>PT7541</t>
  </si>
  <si>
    <t>2023-11-30</t>
  </si>
  <si>
    <t>PT7542</t>
  </si>
  <si>
    <t>Rs. 19,835</t>
  </si>
  <si>
    <t>PT7543</t>
  </si>
  <si>
    <t>PT7544</t>
  </si>
  <si>
    <t>PT7545</t>
  </si>
  <si>
    <t>2024-02-17</t>
  </si>
  <si>
    <t>Rs. 7,765</t>
  </si>
  <si>
    <t>PT7546</t>
  </si>
  <si>
    <t>₹13,609</t>
  </si>
  <si>
    <t>PT7547</t>
  </si>
  <si>
    <t>₹19,892</t>
  </si>
  <si>
    <t>PT7548</t>
  </si>
  <si>
    <t>PT7549</t>
  </si>
  <si>
    <t>2023-11-11</t>
  </si>
  <si>
    <t>PT7550</t>
  </si>
  <si>
    <t>Rs. 10,088</t>
  </si>
  <si>
    <t>PT7551</t>
  </si>
  <si>
    <t>PT7552</t>
  </si>
  <si>
    <t>2024-03-22</t>
  </si>
  <si>
    <t>₹14,705</t>
  </si>
  <si>
    <t>PT7553</t>
  </si>
  <si>
    <t>Rs. 5,046</t>
  </si>
  <si>
    <t>PT7554</t>
  </si>
  <si>
    <t>₹6,435</t>
  </si>
  <si>
    <t>PT7555</t>
  </si>
  <si>
    <t>2024-02-25</t>
  </si>
  <si>
    <t>PT7556</t>
  </si>
  <si>
    <t>PT7557</t>
  </si>
  <si>
    <t>Rs. 10,150</t>
  </si>
  <si>
    <t>PT7558</t>
  </si>
  <si>
    <t>PT7559</t>
  </si>
  <si>
    <t>2023-09-10</t>
  </si>
  <si>
    <t>₹64,288</t>
  </si>
  <si>
    <t>PT7560</t>
  </si>
  <si>
    <t>Rs. 6,684</t>
  </si>
  <si>
    <t>PT7561</t>
  </si>
  <si>
    <t>2023-03-31</t>
  </si>
  <si>
    <t>PT7562</t>
  </si>
  <si>
    <t>2024-01-03</t>
  </si>
  <si>
    <t>₹6,046</t>
  </si>
  <si>
    <t>PT7563</t>
  </si>
  <si>
    <t>₹19,652</t>
  </si>
  <si>
    <t>PT7564</t>
  </si>
  <si>
    <t>PT7565</t>
  </si>
  <si>
    <t>Rs. 18,438</t>
  </si>
  <si>
    <t>PT7566</t>
  </si>
  <si>
    <t>2023-12-19</t>
  </si>
  <si>
    <t>PT7567</t>
  </si>
  <si>
    <t>Rs. 3,686</t>
  </si>
  <si>
    <t>PT7568</t>
  </si>
  <si>
    <t>₹12,269</t>
  </si>
  <si>
    <t>PT7569</t>
  </si>
  <si>
    <t>2023-01-14</t>
  </si>
  <si>
    <t>Rs. 22,502</t>
  </si>
  <si>
    <t>PT7570</t>
  </si>
  <si>
    <t>2024-04-14</t>
  </si>
  <si>
    <t>Rs. 8,441</t>
  </si>
  <si>
    <t>PT7571</t>
  </si>
  <si>
    <t>PT7572</t>
  </si>
  <si>
    <t>PT7573</t>
  </si>
  <si>
    <t>2023-01-09</t>
  </si>
  <si>
    <t>PT7574</t>
  </si>
  <si>
    <t>₹82,723</t>
  </si>
  <si>
    <t>PT7575</t>
  </si>
  <si>
    <t>PT7576</t>
  </si>
  <si>
    <t>2023-09-07</t>
  </si>
  <si>
    <t>PT7577</t>
  </si>
  <si>
    <t>Rs. 6,439</t>
  </si>
  <si>
    <t>PT7578</t>
  </si>
  <si>
    <t>PT7579</t>
  </si>
  <si>
    <t>₹85,619</t>
  </si>
  <si>
    <t>PT7580</t>
  </si>
  <si>
    <t>2023-04-11</t>
  </si>
  <si>
    <t>PT7581</t>
  </si>
  <si>
    <t>₹8,219</t>
  </si>
  <si>
    <t>PT7582</t>
  </si>
  <si>
    <t>Rs. 15,223</t>
  </si>
  <si>
    <t>PT7583</t>
  </si>
  <si>
    <t>2023-02-20</t>
  </si>
  <si>
    <t>₹8,257</t>
  </si>
  <si>
    <t>PT7584</t>
  </si>
  <si>
    <t>PT7585</t>
  </si>
  <si>
    <t>Rs. 9,144</t>
  </si>
  <si>
    <t>PT7586</t>
  </si>
  <si>
    <t>PT7587</t>
  </si>
  <si>
    <t>PT7588</t>
  </si>
  <si>
    <t>PT7589</t>
  </si>
  <si>
    <t>PT7590</t>
  </si>
  <si>
    <t>PT7591</t>
  </si>
  <si>
    <t>PT7592</t>
  </si>
  <si>
    <t>2023-04-28</t>
  </si>
  <si>
    <t>₹31,043</t>
  </si>
  <si>
    <t>PT7593</t>
  </si>
  <si>
    <t>Rs. 17,062</t>
  </si>
  <si>
    <t>PT7594</t>
  </si>
  <si>
    <t>₹6,479</t>
  </si>
  <si>
    <t>PT7595</t>
  </si>
  <si>
    <t>PT7596</t>
  </si>
  <si>
    <t>PT7597</t>
  </si>
  <si>
    <t>2023-10-02</t>
  </si>
  <si>
    <t>PT7598</t>
  </si>
  <si>
    <t>PT7599</t>
  </si>
  <si>
    <t>PT7600</t>
  </si>
  <si>
    <t>PT7601</t>
  </si>
  <si>
    <t>Rs. 19,577</t>
  </si>
  <si>
    <t>PT7602</t>
  </si>
  <si>
    <t>2023-11-02</t>
  </si>
  <si>
    <t>Rs. 59,786</t>
  </si>
  <si>
    <t>PT7603</t>
  </si>
  <si>
    <t>Rs. 18,116</t>
  </si>
  <si>
    <t>20%</t>
  </si>
  <si>
    <t>PT7604</t>
  </si>
  <si>
    <t>PT7605</t>
  </si>
  <si>
    <t>₹16,844</t>
  </si>
  <si>
    <t>PT7606</t>
  </si>
  <si>
    <t>PT7607</t>
  </si>
  <si>
    <t>PT7608</t>
  </si>
  <si>
    <t>2023-04-26</t>
  </si>
  <si>
    <t>Rs. 21,606</t>
  </si>
  <si>
    <t>PT7609</t>
  </si>
  <si>
    <t>PT7610</t>
  </si>
  <si>
    <t>2023-12-27</t>
  </si>
  <si>
    <t>Rs. 8,107</t>
  </si>
  <si>
    <t>PT7611</t>
  </si>
  <si>
    <t>2023-06-15</t>
  </si>
  <si>
    <t>PT7612</t>
  </si>
  <si>
    <t>PT7613</t>
  </si>
  <si>
    <t>2023-10-14</t>
  </si>
  <si>
    <t>₹3,081</t>
  </si>
  <si>
    <t>PT7614</t>
  </si>
  <si>
    <t>PT7615</t>
  </si>
  <si>
    <t>₹9,857</t>
  </si>
  <si>
    <t>PT7616</t>
  </si>
  <si>
    <t>₹16,431</t>
  </si>
  <si>
    <t>PT7617</t>
  </si>
  <si>
    <t>₹15,373</t>
  </si>
  <si>
    <t>PT7618</t>
  </si>
  <si>
    <t>PT7619</t>
  </si>
  <si>
    <t>PT7620</t>
  </si>
  <si>
    <t>PT7621</t>
  </si>
  <si>
    <t>Rs. 50,503</t>
  </si>
  <si>
    <t>PT7622</t>
  </si>
  <si>
    <t>PT7623</t>
  </si>
  <si>
    <t>Rs. 8,935</t>
  </si>
  <si>
    <t>PT7624</t>
  </si>
  <si>
    <t>Rs. 18,301</t>
  </si>
  <si>
    <t>PT7625</t>
  </si>
  <si>
    <t>Rs. 5,221</t>
  </si>
  <si>
    <t>PT7626</t>
  </si>
  <si>
    <t>Rs. 15,333</t>
  </si>
  <si>
    <t>PT7627</t>
  </si>
  <si>
    <t>PT7628</t>
  </si>
  <si>
    <t>2024-01-15</t>
  </si>
  <si>
    <t>PT7629</t>
  </si>
  <si>
    <t>2024-01-25</t>
  </si>
  <si>
    <t>Rs. 7,294</t>
  </si>
  <si>
    <t>PT7630</t>
  </si>
  <si>
    <t>2023-12-23</t>
  </si>
  <si>
    <t>Rs. 15,779</t>
  </si>
  <si>
    <t>PT7631</t>
  </si>
  <si>
    <t>2023-08-08</t>
  </si>
  <si>
    <t>PT7632</t>
  </si>
  <si>
    <t>2024-04-23</t>
  </si>
  <si>
    <t>PT7633</t>
  </si>
  <si>
    <t>Rs. 19,597</t>
  </si>
  <si>
    <t>PT7634</t>
  </si>
  <si>
    <t>PT7635</t>
  </si>
  <si>
    <t>2024-04-19</t>
  </si>
  <si>
    <t>PT7636</t>
  </si>
  <si>
    <t>Rs. 18,816</t>
  </si>
  <si>
    <t>PT7637</t>
  </si>
  <si>
    <t>Rs. 4,719</t>
  </si>
  <si>
    <t>PT7638</t>
  </si>
  <si>
    <t>PT7639</t>
  </si>
  <si>
    <t>Rs. 10,510</t>
  </si>
  <si>
    <t>PT7640</t>
  </si>
  <si>
    <t>PT7641</t>
  </si>
  <si>
    <t>2024-02-07</t>
  </si>
  <si>
    <t>PT7642</t>
  </si>
  <si>
    <t>PT7643</t>
  </si>
  <si>
    <t>2024-02-12</t>
  </si>
  <si>
    <t>Rs. 16,429</t>
  </si>
  <si>
    <t>PT7644</t>
  </si>
  <si>
    <t>PT7645</t>
  </si>
  <si>
    <t>2023-08-03</t>
  </si>
  <si>
    <t>Rs. 7,866</t>
  </si>
  <si>
    <t>PT7646</t>
  </si>
  <si>
    <t>Rs. 67,117</t>
  </si>
  <si>
    <t>PT7647</t>
  </si>
  <si>
    <t>Rs. 6,702</t>
  </si>
  <si>
    <t>PT7648</t>
  </si>
  <si>
    <t>2023-08-18</t>
  </si>
  <si>
    <t>PT7649</t>
  </si>
  <si>
    <t>PT7650</t>
  </si>
  <si>
    <t>2023-09-24</t>
  </si>
  <si>
    <t>PT7651</t>
  </si>
  <si>
    <t>PT7652</t>
  </si>
  <si>
    <t>2023-02-12</t>
  </si>
  <si>
    <t>₹49,056</t>
  </si>
  <si>
    <t>PT7653</t>
  </si>
  <si>
    <t>₹55,034</t>
  </si>
  <si>
    <t>PT7654</t>
  </si>
  <si>
    <t>PT7655</t>
  </si>
  <si>
    <t>PT7656</t>
  </si>
  <si>
    <t>2023-11-15</t>
  </si>
  <si>
    <t>PT7657</t>
  </si>
  <si>
    <t>PT7658</t>
  </si>
  <si>
    <t>Rs. 8,416</t>
  </si>
  <si>
    <t>PT7659</t>
  </si>
  <si>
    <t>2023-06-23</t>
  </si>
  <si>
    <t>PT7660</t>
  </si>
  <si>
    <t>PT7661</t>
  </si>
  <si>
    <t>PT7662</t>
  </si>
  <si>
    <t>2023-06-19</t>
  </si>
  <si>
    <t>Rs. 12,079</t>
  </si>
  <si>
    <t>PT7663</t>
  </si>
  <si>
    <t>PT7664</t>
  </si>
  <si>
    <t>PT7665</t>
  </si>
  <si>
    <t>2023-09-08</t>
  </si>
  <si>
    <t>PT7666</t>
  </si>
  <si>
    <t>2023-09-16</t>
  </si>
  <si>
    <t>PT7667</t>
  </si>
  <si>
    <t>2023-04-10</t>
  </si>
  <si>
    <t>₹10,126</t>
  </si>
  <si>
    <t>PT7668</t>
  </si>
  <si>
    <t>PT7669</t>
  </si>
  <si>
    <t>₹69,346</t>
  </si>
  <si>
    <t>PT7670</t>
  </si>
  <si>
    <t>Rs. 57,407</t>
  </si>
  <si>
    <t>PT7671</t>
  </si>
  <si>
    <t>Rs. 15,921</t>
  </si>
  <si>
    <t>PT7672</t>
  </si>
  <si>
    <t>PT7673</t>
  </si>
  <si>
    <t>₹47,687</t>
  </si>
  <si>
    <t>PT7674</t>
  </si>
  <si>
    <t>PT7675</t>
  </si>
  <si>
    <t>PT7676</t>
  </si>
  <si>
    <t>Rs. 15,976</t>
  </si>
  <si>
    <t>PT7677</t>
  </si>
  <si>
    <t>Rs. 14,234</t>
  </si>
  <si>
    <t>PT7678</t>
  </si>
  <si>
    <t>Rs. 31,402</t>
  </si>
  <si>
    <t>PT7679</t>
  </si>
  <si>
    <t>₹10,440</t>
  </si>
  <si>
    <t>PT7680</t>
  </si>
  <si>
    <t>₹7,726</t>
  </si>
  <si>
    <t>PT7681</t>
  </si>
  <si>
    <t>Rs. 17,123</t>
  </si>
  <si>
    <t>PT7682</t>
  </si>
  <si>
    <t>PT7683</t>
  </si>
  <si>
    <t>Rs. 12,520</t>
  </si>
  <si>
    <t>PT7684</t>
  </si>
  <si>
    <t>2024-02-03</t>
  </si>
  <si>
    <t>PT7685</t>
  </si>
  <si>
    <t>PT7686</t>
  </si>
  <si>
    <t>PT7687</t>
  </si>
  <si>
    <t>PT7688</t>
  </si>
  <si>
    <t>2024-01-11</t>
  </si>
  <si>
    <t>₹39,482</t>
  </si>
  <si>
    <t>PT7689</t>
  </si>
  <si>
    <t>PT7690</t>
  </si>
  <si>
    <t>2023-09-27</t>
  </si>
  <si>
    <t>Rs. 10,633</t>
  </si>
  <si>
    <t>PT7691</t>
  </si>
  <si>
    <t>PT7692</t>
  </si>
  <si>
    <t>₹6,932</t>
  </si>
  <si>
    <t>PT7693</t>
  </si>
  <si>
    <t>2023-04-23</t>
  </si>
  <si>
    <t>PT7694</t>
  </si>
  <si>
    <t>₹10,121</t>
  </si>
  <si>
    <t>PT7695</t>
  </si>
  <si>
    <t>Rs. 19,277</t>
  </si>
  <si>
    <t>PT7696</t>
  </si>
  <si>
    <t>2023-02-03</t>
  </si>
  <si>
    <t>Rs. 13,919</t>
  </si>
  <si>
    <t>PT7697</t>
  </si>
  <si>
    <t>PT7698</t>
  </si>
  <si>
    <t>PT7699</t>
  </si>
  <si>
    <t>Rs. 15,665</t>
  </si>
  <si>
    <t>PT7700</t>
  </si>
  <si>
    <t>Rs. 76,503</t>
  </si>
  <si>
    <t>PT7701</t>
  </si>
  <si>
    <t>2024-01-17</t>
  </si>
  <si>
    <t>PT7702</t>
  </si>
  <si>
    <t>Rs. 7,689</t>
  </si>
  <si>
    <t>PT7703</t>
  </si>
  <si>
    <t>2023-02-01</t>
  </si>
  <si>
    <t>PT7704</t>
  </si>
  <si>
    <t>PT7705</t>
  </si>
  <si>
    <t>Rs. 16,626</t>
  </si>
  <si>
    <t>PT7706</t>
  </si>
  <si>
    <t>Rs. 9,134</t>
  </si>
  <si>
    <t>PT7707</t>
  </si>
  <si>
    <t>Rs. 4,041</t>
  </si>
  <si>
    <t>PT7708</t>
  </si>
  <si>
    <t>₹7,515</t>
  </si>
  <si>
    <t>PT7709</t>
  </si>
  <si>
    <t>PT7710</t>
  </si>
  <si>
    <t>₹17,400</t>
  </si>
  <si>
    <t>PT7711</t>
  </si>
  <si>
    <t>₹8,291</t>
  </si>
  <si>
    <t>PT7712</t>
  </si>
  <si>
    <t>2023-05-22</t>
  </si>
  <si>
    <t>PT7713</t>
  </si>
  <si>
    <t>PT7714</t>
  </si>
  <si>
    <t>Rs. 14,366</t>
  </si>
  <si>
    <t>PT7715</t>
  </si>
  <si>
    <t>PT7716</t>
  </si>
  <si>
    <t>PT7717</t>
  </si>
  <si>
    <t>Rs. 42,843</t>
  </si>
  <si>
    <t>PT7718</t>
  </si>
  <si>
    <t>Rs. 13,674</t>
  </si>
  <si>
    <t>PT7719</t>
  </si>
  <si>
    <t>₹37,969</t>
  </si>
  <si>
    <t>PT7720</t>
  </si>
  <si>
    <t>2023-12-02</t>
  </si>
  <si>
    <t>Rs. 19,819</t>
  </si>
  <si>
    <t>PT7721</t>
  </si>
  <si>
    <t>PT7722</t>
  </si>
  <si>
    <t>PT7723</t>
  </si>
  <si>
    <t>₹53,546</t>
  </si>
  <si>
    <t>PT7724</t>
  </si>
  <si>
    <t>2023-01-11</t>
  </si>
  <si>
    <t>PT7725</t>
  </si>
  <si>
    <t>PT7726</t>
  </si>
  <si>
    <t>PT7727</t>
  </si>
  <si>
    <t>PT7728</t>
  </si>
  <si>
    <t>Rs. 16,721</t>
  </si>
  <si>
    <t>PT7729</t>
  </si>
  <si>
    <t>2023-01-28</t>
  </si>
  <si>
    <t>Rs. 65,448</t>
  </si>
  <si>
    <t>PT7730</t>
  </si>
  <si>
    <t>Rs. 11,852</t>
  </si>
  <si>
    <t>PT7731</t>
  </si>
  <si>
    <t>2023-01-18</t>
  </si>
  <si>
    <t>Rs. 81,046</t>
  </si>
  <si>
    <t>PT7732</t>
  </si>
  <si>
    <t>2023-06-30</t>
  </si>
  <si>
    <t>₹18,794</t>
  </si>
  <si>
    <t>PT7733</t>
  </si>
  <si>
    <t>PT7734</t>
  </si>
  <si>
    <t>Rs. 11,534</t>
  </si>
  <si>
    <t>PT7735</t>
  </si>
  <si>
    <t>Rs. 10,511</t>
  </si>
  <si>
    <t>PT7736</t>
  </si>
  <si>
    <t>PT7737</t>
  </si>
  <si>
    <t>Rs. 10,276</t>
  </si>
  <si>
    <t>PT7738</t>
  </si>
  <si>
    <t>Rs. 6,853</t>
  </si>
  <si>
    <t>PT7739</t>
  </si>
  <si>
    <t>₹13,968</t>
  </si>
  <si>
    <t>40%</t>
  </si>
  <si>
    <t>PT7740</t>
  </si>
  <si>
    <t>Rs. 40,193</t>
  </si>
  <si>
    <t>PT7741</t>
  </si>
  <si>
    <t>2023-04-06</t>
  </si>
  <si>
    <t>Rs. 18,607</t>
  </si>
  <si>
    <t>PT7742</t>
  </si>
  <si>
    <t>PT7743</t>
  </si>
  <si>
    <t>2023-02-25</t>
  </si>
  <si>
    <t>PT7744</t>
  </si>
  <si>
    <t>₹7,807</t>
  </si>
  <si>
    <t>PT7745</t>
  </si>
  <si>
    <t>2023-01-03</t>
  </si>
  <si>
    <t>Rs. 15,674</t>
  </si>
  <si>
    <t>PT7746</t>
  </si>
  <si>
    <t>2023-01-22</t>
  </si>
  <si>
    <t>PT7747</t>
  </si>
  <si>
    <t>PT7748</t>
  </si>
  <si>
    <t>PT7749</t>
  </si>
  <si>
    <t>Rs. 4,188</t>
  </si>
  <si>
    <t>PT7750</t>
  </si>
  <si>
    <t>₹60,645</t>
  </si>
  <si>
    <t>PT7751</t>
  </si>
  <si>
    <t>PT7752</t>
  </si>
  <si>
    <t>2023-07-03</t>
  </si>
  <si>
    <t>PT7753</t>
  </si>
  <si>
    <t>Rs. 9,595</t>
  </si>
  <si>
    <t>PT7754</t>
  </si>
  <si>
    <t>PT7755</t>
  </si>
  <si>
    <t>PT7756</t>
  </si>
  <si>
    <t>Rs. 19,688</t>
  </si>
  <si>
    <t>PT7757</t>
  </si>
  <si>
    <t>PT7758</t>
  </si>
  <si>
    <t>₹16,004</t>
  </si>
  <si>
    <t>PT7759</t>
  </si>
  <si>
    <t>Rs. 15,570</t>
  </si>
  <si>
    <t>PT7760</t>
  </si>
  <si>
    <t>PT7761</t>
  </si>
  <si>
    <t>PT7762</t>
  </si>
  <si>
    <t>Rs. 11,476</t>
  </si>
  <si>
    <t>PT7763</t>
  </si>
  <si>
    <t>₹12,205</t>
  </si>
  <si>
    <t>PT7764</t>
  </si>
  <si>
    <t>Rs. 9,617</t>
  </si>
  <si>
    <t>PT7765</t>
  </si>
  <si>
    <t>₹15,757</t>
  </si>
  <si>
    <t>PT7766</t>
  </si>
  <si>
    <t>PT7767</t>
  </si>
  <si>
    <t>PT7768</t>
  </si>
  <si>
    <t>Rs. 6,799</t>
  </si>
  <si>
    <t>PT7769</t>
  </si>
  <si>
    <t>PT7770</t>
  </si>
  <si>
    <t>₹4,674</t>
  </si>
  <si>
    <t>PT7771</t>
  </si>
  <si>
    <t>2023-12-05</t>
  </si>
  <si>
    <t>PT7772</t>
  </si>
  <si>
    <t>PT7773</t>
  </si>
  <si>
    <t>Rs. 67,136</t>
  </si>
  <si>
    <t>PT7774</t>
  </si>
  <si>
    <t>2023-05-02</t>
  </si>
  <si>
    <t>Rs. 13,930</t>
  </si>
  <si>
    <t>PT7775</t>
  </si>
  <si>
    <t>PT7776</t>
  </si>
  <si>
    <t>₹71,613</t>
  </si>
  <si>
    <t>PT7777</t>
  </si>
  <si>
    <t>PT7778</t>
  </si>
  <si>
    <t>2023-04-13</t>
  </si>
  <si>
    <t>Rs. 30,095</t>
  </si>
  <si>
    <t>PT7779</t>
  </si>
  <si>
    <t>Rs. 12,812</t>
  </si>
  <si>
    <t>PT7780</t>
  </si>
  <si>
    <t>Rs. 68,025</t>
  </si>
  <si>
    <t>PT7781</t>
  </si>
  <si>
    <t>₹13,402</t>
  </si>
  <si>
    <t>PT7782</t>
  </si>
  <si>
    <t>PT7783</t>
  </si>
  <si>
    <t>PT7784</t>
  </si>
  <si>
    <t>PT7785</t>
  </si>
  <si>
    <t>PT7786</t>
  </si>
  <si>
    <t>PT7787</t>
  </si>
  <si>
    <t>₹49,726</t>
  </si>
  <si>
    <t>PT7788</t>
  </si>
  <si>
    <t>Rs. 42,005</t>
  </si>
  <si>
    <t>PT7789</t>
  </si>
  <si>
    <t>2023-08-14</t>
  </si>
  <si>
    <t>PT7790</t>
  </si>
  <si>
    <t>PT7791</t>
  </si>
  <si>
    <t>PT7792</t>
  </si>
  <si>
    <t>2023-08-11</t>
  </si>
  <si>
    <t>PT7793</t>
  </si>
  <si>
    <t>₹5,633</t>
  </si>
  <si>
    <t>PT7794</t>
  </si>
  <si>
    <t>Rs. 84,006</t>
  </si>
  <si>
    <t>PT7795</t>
  </si>
  <si>
    <t>PT7796</t>
  </si>
  <si>
    <t>PT7797</t>
  </si>
  <si>
    <t>2024-02-26</t>
  </si>
  <si>
    <t>PT7798</t>
  </si>
  <si>
    <t>PT7799</t>
  </si>
  <si>
    <t>PT7800</t>
  </si>
  <si>
    <t>2023-11-20</t>
  </si>
  <si>
    <t>Rs. 67,577</t>
  </si>
  <si>
    <t>PT7801</t>
  </si>
  <si>
    <t>Rs. 28,285</t>
  </si>
  <si>
    <t>PT7802</t>
  </si>
  <si>
    <t>2023-12-16</t>
  </si>
  <si>
    <t>Rs. 4,940</t>
  </si>
  <si>
    <t>PT7803</t>
  </si>
  <si>
    <t>₹6,515</t>
  </si>
  <si>
    <t>PT7804</t>
  </si>
  <si>
    <t>₹9,503</t>
  </si>
  <si>
    <t>PT7805</t>
  </si>
  <si>
    <t>PT7806</t>
  </si>
  <si>
    <t>₹17,174</t>
  </si>
  <si>
    <t>PT7807</t>
  </si>
  <si>
    <t>2023-09-06</t>
  </si>
  <si>
    <t>PT7808</t>
  </si>
  <si>
    <t>PT7809</t>
  </si>
  <si>
    <t>PT7810</t>
  </si>
  <si>
    <t>2023-07-16</t>
  </si>
  <si>
    <t>Rs. 13,050</t>
  </si>
  <si>
    <t>PT7811</t>
  </si>
  <si>
    <t>₹21,011</t>
  </si>
  <si>
    <t>PT7812</t>
  </si>
  <si>
    <t>2023-10-25</t>
  </si>
  <si>
    <t>PT7813</t>
  </si>
  <si>
    <t>PT7814</t>
  </si>
  <si>
    <t>PT7815</t>
  </si>
  <si>
    <t>PT7816</t>
  </si>
  <si>
    <t>Rs. 6,598</t>
  </si>
  <si>
    <t>PT7817</t>
  </si>
  <si>
    <t>₹83,383</t>
  </si>
  <si>
    <t>PT7818</t>
  </si>
  <si>
    <t>2024-02-23</t>
  </si>
  <si>
    <t>PT7819</t>
  </si>
  <si>
    <t>PT7820</t>
  </si>
  <si>
    <t>2023-03-10</t>
  </si>
  <si>
    <t>₹8,615</t>
  </si>
  <si>
    <t>PT7821</t>
  </si>
  <si>
    <t>PT7822</t>
  </si>
  <si>
    <t>PT7823</t>
  </si>
  <si>
    <t>PT7824</t>
  </si>
  <si>
    <t>Rs. 42,998</t>
  </si>
  <si>
    <t>PT7825</t>
  </si>
  <si>
    <t>PT7826</t>
  </si>
  <si>
    <t>₹5,945</t>
  </si>
  <si>
    <t>PT7827</t>
  </si>
  <si>
    <t>PT7828</t>
  </si>
  <si>
    <t>Rs. 4,949</t>
  </si>
  <si>
    <t>PT7829</t>
  </si>
  <si>
    <t>PT7830</t>
  </si>
  <si>
    <t>PT7831</t>
  </si>
  <si>
    <t>PT7832</t>
  </si>
  <si>
    <t>PT7833</t>
  </si>
  <si>
    <t>Rs. 5,804</t>
  </si>
  <si>
    <t>PT7834</t>
  </si>
  <si>
    <t>₹11,826</t>
  </si>
  <si>
    <t>PT7835</t>
  </si>
  <si>
    <t>PT7836</t>
  </si>
  <si>
    <t>PT7837</t>
  </si>
  <si>
    <t>PT7838</t>
  </si>
  <si>
    <t>PT7839</t>
  </si>
  <si>
    <t>Rs. 13,451</t>
  </si>
  <si>
    <t>PT7840</t>
  </si>
  <si>
    <t>Rs. 4,502</t>
  </si>
  <si>
    <t>PT7841</t>
  </si>
  <si>
    <t>₹9,470</t>
  </si>
  <si>
    <t>PT7842</t>
  </si>
  <si>
    <t>PT7843</t>
  </si>
  <si>
    <t>2023-07-01</t>
  </si>
  <si>
    <t>PT7844</t>
  </si>
  <si>
    <t>PT7845</t>
  </si>
  <si>
    <t>PT7846</t>
  </si>
  <si>
    <t>₹4,863</t>
  </si>
  <si>
    <t>PT7847</t>
  </si>
  <si>
    <t>Rs. 12,432</t>
  </si>
  <si>
    <t>PT7848</t>
  </si>
  <si>
    <t>₹4,200</t>
  </si>
  <si>
    <t>PT7849</t>
  </si>
  <si>
    <t>₹10,134</t>
  </si>
  <si>
    <t>PT7850</t>
  </si>
  <si>
    <t>PT7851</t>
  </si>
  <si>
    <t>₹18,729</t>
  </si>
  <si>
    <t>PT7852</t>
  </si>
  <si>
    <t>₹4,079</t>
  </si>
  <si>
    <t>PT7853</t>
  </si>
  <si>
    <t>2023-12-26</t>
  </si>
  <si>
    <t>₹36,249</t>
  </si>
  <si>
    <t>PT7854</t>
  </si>
  <si>
    <t>2023-06-13</t>
  </si>
  <si>
    <t>₹9,813</t>
  </si>
  <si>
    <t>PT7855</t>
  </si>
  <si>
    <t>2023-09-25</t>
  </si>
  <si>
    <t>Rs. 6,969</t>
  </si>
  <si>
    <t>PT7856</t>
  </si>
  <si>
    <t>₹69,828</t>
  </si>
  <si>
    <t>PT7857</t>
  </si>
  <si>
    <t>PT7858</t>
  </si>
  <si>
    <t>2023-03-29</t>
  </si>
  <si>
    <t>Rs. 18,618</t>
  </si>
  <si>
    <t>PT7859</t>
  </si>
  <si>
    <t>PT7860</t>
  </si>
  <si>
    <t>PT7861</t>
  </si>
  <si>
    <t>2023-07-14</t>
  </si>
  <si>
    <t>PT7862</t>
  </si>
  <si>
    <t>₹81,465</t>
  </si>
  <si>
    <t>PT7863</t>
  </si>
  <si>
    <t>PT7864</t>
  </si>
  <si>
    <t>2024-03-13</t>
  </si>
  <si>
    <t>Rs. 8,779</t>
  </si>
  <si>
    <t>PT7865</t>
  </si>
  <si>
    <t>Rs. 19,276</t>
  </si>
  <si>
    <t>PT7866</t>
  </si>
  <si>
    <t>2024-04-07</t>
  </si>
  <si>
    <t>Rs. 16,545</t>
  </si>
  <si>
    <t>PT7867</t>
  </si>
  <si>
    <t>PT7868</t>
  </si>
  <si>
    <t>PT7869</t>
  </si>
  <si>
    <t>PT7870</t>
  </si>
  <si>
    <t>₹17,344</t>
  </si>
  <si>
    <t>PT7871</t>
  </si>
  <si>
    <t>₹19,350</t>
  </si>
  <si>
    <t>PT7872</t>
  </si>
  <si>
    <t>2023-11-21</t>
  </si>
  <si>
    <t>₹9,030</t>
  </si>
  <si>
    <t>PT7873</t>
  </si>
  <si>
    <t>₹89,673</t>
  </si>
  <si>
    <t>PT7874</t>
  </si>
  <si>
    <t>2023-11-13</t>
  </si>
  <si>
    <t>PT7875</t>
  </si>
  <si>
    <t>2023-02-16</t>
  </si>
  <si>
    <t>₹9,563</t>
  </si>
  <si>
    <t>PT7876</t>
  </si>
  <si>
    <t>PT7877</t>
  </si>
  <si>
    <t>PT7878</t>
  </si>
  <si>
    <t>₹63,986</t>
  </si>
  <si>
    <t>PT7879</t>
  </si>
  <si>
    <t>2023-02-28</t>
  </si>
  <si>
    <t>₹17,638</t>
  </si>
  <si>
    <t>PT7880</t>
  </si>
  <si>
    <t>Rs. 4,473</t>
  </si>
  <si>
    <t>PT7881</t>
  </si>
  <si>
    <t>PT7882</t>
  </si>
  <si>
    <t>PT7883</t>
  </si>
  <si>
    <t>Rs. 57,110</t>
  </si>
  <si>
    <t>PT7884</t>
  </si>
  <si>
    <t>Rs. 17,094</t>
  </si>
  <si>
    <t>PT7885</t>
  </si>
  <si>
    <t>PT7886</t>
  </si>
  <si>
    <t>₹18,369</t>
  </si>
  <si>
    <t>PT7887</t>
  </si>
  <si>
    <t>PT7888</t>
  </si>
  <si>
    <t>PT7889</t>
  </si>
  <si>
    <t>PT7890</t>
  </si>
  <si>
    <t>₹8,140</t>
  </si>
  <si>
    <t>PT7891</t>
  </si>
  <si>
    <t>Rs. 16,182</t>
  </si>
  <si>
    <t>PT7892</t>
  </si>
  <si>
    <t>Rs. 16,243</t>
  </si>
  <si>
    <t>PT7893</t>
  </si>
  <si>
    <t>PT7894</t>
  </si>
  <si>
    <t>2023-08-16</t>
  </si>
  <si>
    <t>PT7895</t>
  </si>
  <si>
    <t>PT7896</t>
  </si>
  <si>
    <t>Rs. 3,035</t>
  </si>
  <si>
    <t>PT7897</t>
  </si>
  <si>
    <t>PT7898</t>
  </si>
  <si>
    <t>PT7899</t>
  </si>
  <si>
    <t>Rs. 19,766</t>
  </si>
  <si>
    <t>PT7900</t>
  </si>
  <si>
    <t>₹13,251</t>
  </si>
  <si>
    <t>PT7901</t>
  </si>
  <si>
    <t>Rs. 30,879</t>
  </si>
  <si>
    <t>PT7902</t>
  </si>
  <si>
    <t>PT7903</t>
  </si>
  <si>
    <t>2024-03-17</t>
  </si>
  <si>
    <t>₹10,309</t>
  </si>
  <si>
    <t>PT7904</t>
  </si>
  <si>
    <t>PT7905</t>
  </si>
  <si>
    <t>PT7906</t>
  </si>
  <si>
    <t>2023-01-27</t>
  </si>
  <si>
    <t>PT7907</t>
  </si>
  <si>
    <t>₹16,440</t>
  </si>
  <si>
    <t>PT7908</t>
  </si>
  <si>
    <t>PT7909</t>
  </si>
  <si>
    <t>PT7910</t>
  </si>
  <si>
    <t>Rs. 7,500</t>
  </si>
  <si>
    <t>PT7911</t>
  </si>
  <si>
    <t>PT7912</t>
  </si>
  <si>
    <t>PT7913</t>
  </si>
  <si>
    <t>PT7914</t>
  </si>
  <si>
    <t>₹10,266</t>
  </si>
  <si>
    <t>PT7915</t>
  </si>
  <si>
    <t>₹14,474</t>
  </si>
  <si>
    <t>PT7916</t>
  </si>
  <si>
    <t>2023-03-17</t>
  </si>
  <si>
    <t>PT7917</t>
  </si>
  <si>
    <t>PT7918</t>
  </si>
  <si>
    <t>₹7,104</t>
  </si>
  <si>
    <t>PT7919</t>
  </si>
  <si>
    <t>PT7920</t>
  </si>
  <si>
    <t>PT7921</t>
  </si>
  <si>
    <t>PT7922</t>
  </si>
  <si>
    <t>₹46,075</t>
  </si>
  <si>
    <t>PT7923</t>
  </si>
  <si>
    <t>PT7924</t>
  </si>
  <si>
    <t>₹15,513</t>
  </si>
  <si>
    <t>PT7925</t>
  </si>
  <si>
    <t>PT7926</t>
  </si>
  <si>
    <t>PT7927</t>
  </si>
  <si>
    <t>₹9,134</t>
  </si>
  <si>
    <t>PT7928</t>
  </si>
  <si>
    <t>2024-04-16</t>
  </si>
  <si>
    <t>PT7929</t>
  </si>
  <si>
    <t>₹9,529</t>
  </si>
  <si>
    <t>PT7930</t>
  </si>
  <si>
    <t>₹13,804</t>
  </si>
  <si>
    <t>PT7931</t>
  </si>
  <si>
    <t>PT7932</t>
  </si>
  <si>
    <t>₹61,505</t>
  </si>
  <si>
    <t>PT7933</t>
  </si>
  <si>
    <t>₹16,626</t>
  </si>
  <si>
    <t>PT7934</t>
  </si>
  <si>
    <t>₹13,852</t>
  </si>
  <si>
    <t>PT7935</t>
  </si>
  <si>
    <t>₹7,950</t>
  </si>
  <si>
    <t>PT7936</t>
  </si>
  <si>
    <t>Rs. 8,680</t>
  </si>
  <si>
    <t>PT7937</t>
  </si>
  <si>
    <t>PT7938</t>
  </si>
  <si>
    <t>PT7939</t>
  </si>
  <si>
    <t>PT7940</t>
  </si>
  <si>
    <t>PT7941</t>
  </si>
  <si>
    <t>₹11,495</t>
  </si>
  <si>
    <t>PT7942</t>
  </si>
  <si>
    <t>PT7943</t>
  </si>
  <si>
    <t>PT7944</t>
  </si>
  <si>
    <t>PT7945</t>
  </si>
  <si>
    <t>PT7946</t>
  </si>
  <si>
    <t>PT7947</t>
  </si>
  <si>
    <t>PT7948</t>
  </si>
  <si>
    <t>PT7949</t>
  </si>
  <si>
    <t>PT7950</t>
  </si>
  <si>
    <t>Rs. 66,787</t>
  </si>
  <si>
    <t>PT7951</t>
  </si>
  <si>
    <t>PT7952</t>
  </si>
  <si>
    <t>Rs. 16,959</t>
  </si>
  <si>
    <t>PT7953</t>
  </si>
  <si>
    <t>PT7954</t>
  </si>
  <si>
    <t>PT7955</t>
  </si>
  <si>
    <t>₹13,461</t>
  </si>
  <si>
    <t>PT7956</t>
  </si>
  <si>
    <t>₹9,472</t>
  </si>
  <si>
    <t>PT7957</t>
  </si>
  <si>
    <t>Rs. 17,448</t>
  </si>
  <si>
    <t>PT7958</t>
  </si>
  <si>
    <t>2023-10-07</t>
  </si>
  <si>
    <t>PT7959</t>
  </si>
  <si>
    <t>PT7960</t>
  </si>
  <si>
    <t>PT7961</t>
  </si>
  <si>
    <t>PT7962</t>
  </si>
  <si>
    <t>₹74,248</t>
  </si>
  <si>
    <t>PT7963</t>
  </si>
  <si>
    <t>PT7964</t>
  </si>
  <si>
    <t>PT7965</t>
  </si>
  <si>
    <t>2023-12-04</t>
  </si>
  <si>
    <t>₹5,926</t>
  </si>
  <si>
    <t>PT7966</t>
  </si>
  <si>
    <t>PT7967</t>
  </si>
  <si>
    <t>Rs. 19,298</t>
  </si>
  <si>
    <t>PT7968</t>
  </si>
  <si>
    <t>PT7969</t>
  </si>
  <si>
    <t>PT7970</t>
  </si>
  <si>
    <t>Rs. 5,222</t>
  </si>
  <si>
    <t>PT7971</t>
  </si>
  <si>
    <t>2023-09-21</t>
  </si>
  <si>
    <t>Rs. 18,424</t>
  </si>
  <si>
    <t>PT7972</t>
  </si>
  <si>
    <t>2023-06-17</t>
  </si>
  <si>
    <t>₹5,486</t>
  </si>
  <si>
    <t>PT7973</t>
  </si>
  <si>
    <t>₹68,710</t>
  </si>
  <si>
    <t>PT7974</t>
  </si>
  <si>
    <t>PT7975</t>
  </si>
  <si>
    <t>PT7976</t>
  </si>
  <si>
    <t>₹60,155</t>
  </si>
  <si>
    <t>PT7977</t>
  </si>
  <si>
    <t>PT7978</t>
  </si>
  <si>
    <t>PT7979</t>
  </si>
  <si>
    <t>2023-02-22</t>
  </si>
  <si>
    <t>PT7980</t>
  </si>
  <si>
    <t>PT7981</t>
  </si>
  <si>
    <t>Rs. 6,862</t>
  </si>
  <si>
    <t>PT7982</t>
  </si>
  <si>
    <t>₹3,090</t>
  </si>
  <si>
    <t>PT7983</t>
  </si>
  <si>
    <t>Rs. 67,263</t>
  </si>
  <si>
    <t>PT7984</t>
  </si>
  <si>
    <t>PT7985</t>
  </si>
  <si>
    <t>₹17,300</t>
  </si>
  <si>
    <t>PT7986</t>
  </si>
  <si>
    <t>₹17,317</t>
  </si>
  <si>
    <t>PT7987</t>
  </si>
  <si>
    <t>₹16,632</t>
  </si>
  <si>
    <t>PT7988</t>
  </si>
  <si>
    <t>Rs. 11,244</t>
  </si>
  <si>
    <t>PT7989</t>
  </si>
  <si>
    <t>PT7990</t>
  </si>
  <si>
    <t>PT7991</t>
  </si>
  <si>
    <t>Rs. 14,430</t>
  </si>
  <si>
    <t>PT7992</t>
  </si>
  <si>
    <t>PT7993</t>
  </si>
  <si>
    <t>2023-11-10</t>
  </si>
  <si>
    <t>₹4,360</t>
  </si>
  <si>
    <t>PT7994</t>
  </si>
  <si>
    <t>₹7,717</t>
  </si>
  <si>
    <t>PT7995</t>
  </si>
  <si>
    <t>PT7996</t>
  </si>
  <si>
    <t>Rs. 61,602</t>
  </si>
  <si>
    <t>PT7997</t>
  </si>
  <si>
    <t>2024-02-10</t>
  </si>
  <si>
    <t>PT7998</t>
  </si>
  <si>
    <t>PT7999</t>
  </si>
  <si>
    <t>Rs. 8,674</t>
  </si>
  <si>
    <t>PT8000</t>
  </si>
  <si>
    <t>PT8001</t>
  </si>
  <si>
    <t>₹13,777</t>
  </si>
  <si>
    <t>PT8002</t>
  </si>
  <si>
    <t>2024-04-13</t>
  </si>
  <si>
    <t>PT8003</t>
  </si>
  <si>
    <t>Rs. 9,681</t>
  </si>
  <si>
    <t>PT8004</t>
  </si>
  <si>
    <t>PT8005</t>
  </si>
  <si>
    <t>2023-06-26</t>
  </si>
  <si>
    <t>PT8006</t>
  </si>
  <si>
    <t>PT8007</t>
  </si>
  <si>
    <t>2024-01-28</t>
  </si>
  <si>
    <t>PT8008</t>
  </si>
  <si>
    <t>PT8009</t>
  </si>
  <si>
    <t>2023-04-04</t>
  </si>
  <si>
    <t>PT8010</t>
  </si>
  <si>
    <t>PT8011</t>
  </si>
  <si>
    <t>PT8012</t>
  </si>
  <si>
    <t>₹31,314</t>
  </si>
  <si>
    <t>PT8013</t>
  </si>
  <si>
    <t>₹59,077</t>
  </si>
  <si>
    <t>PT8014</t>
  </si>
  <si>
    <t>2023-03-22</t>
  </si>
  <si>
    <t>₹11,073</t>
  </si>
  <si>
    <t>PT8015</t>
  </si>
  <si>
    <t>Rs. 17,885</t>
  </si>
  <si>
    <t>PT8016</t>
  </si>
  <si>
    <t>Rs. 50,217</t>
  </si>
  <si>
    <t>PT8017</t>
  </si>
  <si>
    <t>₹14,580</t>
  </si>
  <si>
    <t>PT8018</t>
  </si>
  <si>
    <t>₹7,737</t>
  </si>
  <si>
    <t>PT8019</t>
  </si>
  <si>
    <t>PT8020</t>
  </si>
  <si>
    <t>PT8021</t>
  </si>
  <si>
    <t>PT8022</t>
  </si>
  <si>
    <t>PT8023</t>
  </si>
  <si>
    <t>₹7,426</t>
  </si>
  <si>
    <t>PT8024</t>
  </si>
  <si>
    <t>₹3,669</t>
  </si>
  <si>
    <t>PT8025</t>
  </si>
  <si>
    <t>₹64,351</t>
  </si>
  <si>
    <t>PT8026</t>
  </si>
  <si>
    <t>Rs. 19,553</t>
  </si>
  <si>
    <t>PT8027</t>
  </si>
  <si>
    <t>Rs. 12,500</t>
  </si>
  <si>
    <t>PT8028</t>
  </si>
  <si>
    <t>Rs. 16,101</t>
  </si>
  <si>
    <t>PT8029</t>
  </si>
  <si>
    <t>2023-02-14</t>
  </si>
  <si>
    <t>Rs. 69,320</t>
  </si>
  <si>
    <t>PT8030</t>
  </si>
  <si>
    <t>PT8031</t>
  </si>
  <si>
    <t>Rs. 54,418</t>
  </si>
  <si>
    <t>PT8032</t>
  </si>
  <si>
    <t>₹11,448</t>
  </si>
  <si>
    <t>PT8033</t>
  </si>
  <si>
    <t>Rs. 81,644</t>
  </si>
  <si>
    <t>PT8034</t>
  </si>
  <si>
    <t>PT8035</t>
  </si>
  <si>
    <t>PT8036</t>
  </si>
  <si>
    <t>2023-05-01</t>
  </si>
  <si>
    <t>PT8037</t>
  </si>
  <si>
    <t>Rs. 12,559</t>
  </si>
  <si>
    <t>PT8038</t>
  </si>
  <si>
    <t>₹9,944</t>
  </si>
  <si>
    <t>PT8039</t>
  </si>
  <si>
    <t>Rs. 14,307</t>
  </si>
  <si>
    <t>PT8040</t>
  </si>
  <si>
    <t>2024-03-30</t>
  </si>
  <si>
    <t>PT8041</t>
  </si>
  <si>
    <t>Rs. 12,731</t>
  </si>
  <si>
    <t>PT8042</t>
  </si>
  <si>
    <t>PT8043</t>
  </si>
  <si>
    <t>2023-09-09</t>
  </si>
  <si>
    <t>PT8044</t>
  </si>
  <si>
    <t>PT8045</t>
  </si>
  <si>
    <t>₹65,471</t>
  </si>
  <si>
    <t>PT8046</t>
  </si>
  <si>
    <t>2024-01-07</t>
  </si>
  <si>
    <t>PT8047</t>
  </si>
  <si>
    <t>PT8048</t>
  </si>
  <si>
    <t>PT8049</t>
  </si>
  <si>
    <t>Rs. 77,386</t>
  </si>
  <si>
    <t>PT8050</t>
  </si>
  <si>
    <t>Rs. 5,065</t>
  </si>
  <si>
    <t>PT8051</t>
  </si>
  <si>
    <t>PT8052</t>
  </si>
  <si>
    <t>Rs. 72,300</t>
  </si>
  <si>
    <t>PT8053</t>
  </si>
  <si>
    <t>PT8054</t>
  </si>
  <si>
    <t>2023-11-17</t>
  </si>
  <si>
    <t>₹80,232</t>
  </si>
  <si>
    <t>PT8055</t>
  </si>
  <si>
    <t>PT8056</t>
  </si>
  <si>
    <t>PT8057</t>
  </si>
  <si>
    <t>₹8,898</t>
  </si>
  <si>
    <t>PT8058</t>
  </si>
  <si>
    <t>₹48,989</t>
  </si>
  <si>
    <t>PT8059</t>
  </si>
  <si>
    <t>Rs. 4,896</t>
  </si>
  <si>
    <t>PT8060</t>
  </si>
  <si>
    <t>PT8061</t>
  </si>
  <si>
    <t>PT8062</t>
  </si>
  <si>
    <t>PT8063</t>
  </si>
  <si>
    <t>PT8064</t>
  </si>
  <si>
    <t>Rs. 8,456</t>
  </si>
  <si>
    <t>PT8065</t>
  </si>
  <si>
    <t>PT8066</t>
  </si>
  <si>
    <t>2023-08-06</t>
  </si>
  <si>
    <t>PT8067</t>
  </si>
  <si>
    <t>PT8068</t>
  </si>
  <si>
    <t>Rs. 18,796</t>
  </si>
  <si>
    <t>PT8069</t>
  </si>
  <si>
    <t>PT8070</t>
  </si>
  <si>
    <t>₹17,560</t>
  </si>
  <si>
    <t>PT8071</t>
  </si>
  <si>
    <t>PT8072</t>
  </si>
  <si>
    <t>₹4,530</t>
  </si>
  <si>
    <t>PT8073</t>
  </si>
  <si>
    <t>Rs. 8,726</t>
  </si>
  <si>
    <t>PT8074</t>
  </si>
  <si>
    <t>PT8075</t>
  </si>
  <si>
    <t>₹9,381</t>
  </si>
  <si>
    <t>PT8076</t>
  </si>
  <si>
    <t>PT8077</t>
  </si>
  <si>
    <t>₹26,536</t>
  </si>
  <si>
    <t>PT8078</t>
  </si>
  <si>
    <t>₹18,967</t>
  </si>
  <si>
    <t>PT8079</t>
  </si>
  <si>
    <t>PT8080</t>
  </si>
  <si>
    <t>₹15,498</t>
  </si>
  <si>
    <t>PT8081</t>
  </si>
  <si>
    <t>₹10,875</t>
  </si>
  <si>
    <t>PT8082</t>
  </si>
  <si>
    <t>PT8083</t>
  </si>
  <si>
    <t>PT8084</t>
  </si>
  <si>
    <t>Rs. 6,899</t>
  </si>
  <si>
    <t>PT8085</t>
  </si>
  <si>
    <t>PT8086</t>
  </si>
  <si>
    <t>Rs. 12,405</t>
  </si>
  <si>
    <t>PT8087</t>
  </si>
  <si>
    <t>PT8088</t>
  </si>
  <si>
    <t>PT8089</t>
  </si>
  <si>
    <t>PT8090</t>
  </si>
  <si>
    <t>PT8091</t>
  </si>
  <si>
    <t>PT8092</t>
  </si>
  <si>
    <t>₹11,245</t>
  </si>
  <si>
    <t>PT8093</t>
  </si>
  <si>
    <t>Rs. 14,501</t>
  </si>
  <si>
    <t>PT8094</t>
  </si>
  <si>
    <t>₹61,599</t>
  </si>
  <si>
    <t>PT8095</t>
  </si>
  <si>
    <t>PT8096</t>
  </si>
  <si>
    <t>₹17,595</t>
  </si>
  <si>
    <t>PT8097</t>
  </si>
  <si>
    <t>PT8098</t>
  </si>
  <si>
    <t>PT8099</t>
  </si>
  <si>
    <t>Rs. 13,082</t>
  </si>
  <si>
    <t>PT8100</t>
  </si>
  <si>
    <t>Rs. 62,662</t>
  </si>
  <si>
    <t>PT8101</t>
  </si>
  <si>
    <t>₹5,218</t>
  </si>
  <si>
    <t>PT8102</t>
  </si>
  <si>
    <t>PT8103</t>
  </si>
  <si>
    <t>₹16,421</t>
  </si>
  <si>
    <t>PT8104</t>
  </si>
  <si>
    <t>₹40,589</t>
  </si>
  <si>
    <t>PT8105</t>
  </si>
  <si>
    <t>Rs. 40,251</t>
  </si>
  <si>
    <t>PT8106</t>
  </si>
  <si>
    <t>2023-11-29</t>
  </si>
  <si>
    <t>Rs. 7,285</t>
  </si>
  <si>
    <t>PT8107</t>
  </si>
  <si>
    <t>PT8108</t>
  </si>
  <si>
    <t>PT8109</t>
  </si>
  <si>
    <t>PT8110</t>
  </si>
  <si>
    <t>Rs. 48,401</t>
  </si>
  <si>
    <t>PT8111</t>
  </si>
  <si>
    <t>₹18,399</t>
  </si>
  <si>
    <t>PT8112</t>
  </si>
  <si>
    <t>PT8113</t>
  </si>
  <si>
    <t>PT8114</t>
  </si>
  <si>
    <t>PT8115</t>
  </si>
  <si>
    <t>2023-06-11</t>
  </si>
  <si>
    <t>Rs. 17,877</t>
  </si>
  <si>
    <t>PT8116</t>
  </si>
  <si>
    <t>Rs. 17,072</t>
  </si>
  <si>
    <t>PT8117</t>
  </si>
  <si>
    <t>Rs. 12,314</t>
  </si>
  <si>
    <t>PT8118</t>
  </si>
  <si>
    <t>PT8119</t>
  </si>
  <si>
    <t>2023-05-12</t>
  </si>
  <si>
    <t>₹16,112</t>
  </si>
  <si>
    <t>PT8120</t>
  </si>
  <si>
    <t>PT8121</t>
  </si>
  <si>
    <t>PT8122</t>
  </si>
  <si>
    <t>Rs. 72,861</t>
  </si>
  <si>
    <t>PT8123</t>
  </si>
  <si>
    <t>PT8124</t>
  </si>
  <si>
    <t>PT8125</t>
  </si>
  <si>
    <t>Rs. 18,487</t>
  </si>
  <si>
    <t>PT8126</t>
  </si>
  <si>
    <t>PT8127</t>
  </si>
  <si>
    <t>PT8128</t>
  </si>
  <si>
    <t>2023-05-31</t>
  </si>
  <si>
    <t>PT8129</t>
  </si>
  <si>
    <t>Rs. 16,123</t>
  </si>
  <si>
    <t>PT8130</t>
  </si>
  <si>
    <t>₹4,989</t>
  </si>
  <si>
    <t>PT8131</t>
  </si>
  <si>
    <t>Rs. 26,636</t>
  </si>
  <si>
    <t>PT8132</t>
  </si>
  <si>
    <t>PT8133</t>
  </si>
  <si>
    <t>Rs. 10,138</t>
  </si>
  <si>
    <t>PT8134</t>
  </si>
  <si>
    <t>2023-07-02</t>
  </si>
  <si>
    <t>PT8135</t>
  </si>
  <si>
    <t>PT8136</t>
  </si>
  <si>
    <t>₹5,082</t>
  </si>
  <si>
    <t>PT8137</t>
  </si>
  <si>
    <t>Rs. 14,076</t>
  </si>
  <si>
    <t>PT8138</t>
  </si>
  <si>
    <t>PT8139</t>
  </si>
  <si>
    <t>2023-05-25</t>
  </si>
  <si>
    <t>PT8140</t>
  </si>
  <si>
    <t>₹18,495</t>
  </si>
  <si>
    <t>PT8141</t>
  </si>
  <si>
    <t>PT8142</t>
  </si>
  <si>
    <t>Rs. 27,061</t>
  </si>
  <si>
    <t>PT8143</t>
  </si>
  <si>
    <t>2023-08-10</t>
  </si>
  <si>
    <t>PT8144</t>
  </si>
  <si>
    <t>PT8145</t>
  </si>
  <si>
    <t>Rs. 14,222</t>
  </si>
  <si>
    <t>PT8146</t>
  </si>
  <si>
    <t>Rs. 83,565</t>
  </si>
  <si>
    <t>PT8147</t>
  </si>
  <si>
    <t>PT8148</t>
  </si>
  <si>
    <t>2023-03-14</t>
  </si>
  <si>
    <t>Rs. 80,266</t>
  </si>
  <si>
    <t>PT8149</t>
  </si>
  <si>
    <t>PT8150</t>
  </si>
  <si>
    <t>₹16,974</t>
  </si>
  <si>
    <t>PT8151</t>
  </si>
  <si>
    <t>PT8152</t>
  </si>
  <si>
    <t>2023-08-20</t>
  </si>
  <si>
    <t>PT8153</t>
  </si>
  <si>
    <t>PT8154</t>
  </si>
  <si>
    <t>2024-01-29</t>
  </si>
  <si>
    <t>PT8155</t>
  </si>
  <si>
    <t>PT8156</t>
  </si>
  <si>
    <t>PT8157</t>
  </si>
  <si>
    <t>PT8158</t>
  </si>
  <si>
    <t>PT8159</t>
  </si>
  <si>
    <t>Rs. 7,214</t>
  </si>
  <si>
    <t>PT8160</t>
  </si>
  <si>
    <t>₹4,696</t>
  </si>
  <si>
    <t>PT8161</t>
  </si>
  <si>
    <t>Rs. 3,984</t>
  </si>
  <si>
    <t>PT8162</t>
  </si>
  <si>
    <t>₹12,448</t>
  </si>
  <si>
    <t>PT8163</t>
  </si>
  <si>
    <t>PT8164</t>
  </si>
  <si>
    <t>₹12,398</t>
  </si>
  <si>
    <t>PT8165</t>
  </si>
  <si>
    <t>Rs. 31,050</t>
  </si>
  <si>
    <t>PT8166</t>
  </si>
  <si>
    <t>PT8167</t>
  </si>
  <si>
    <t>Rs. 15,706</t>
  </si>
  <si>
    <t>PT8168</t>
  </si>
  <si>
    <t>PT8169</t>
  </si>
  <si>
    <t>Rs. 55,417</t>
  </si>
  <si>
    <t>PT8170</t>
  </si>
  <si>
    <t>PT8171</t>
  </si>
  <si>
    <t>PT8172</t>
  </si>
  <si>
    <t>PT8173</t>
  </si>
  <si>
    <t>Rs. 14,167</t>
  </si>
  <si>
    <t>PT8174</t>
  </si>
  <si>
    <t>PT8175</t>
  </si>
  <si>
    <t>PT8176</t>
  </si>
  <si>
    <t>₹53,992</t>
  </si>
  <si>
    <t>PT8177</t>
  </si>
  <si>
    <t>Rs. 70,607</t>
  </si>
  <si>
    <t>PT8178</t>
  </si>
  <si>
    <t>PT8179</t>
  </si>
  <si>
    <t>Rs. 3,082</t>
  </si>
  <si>
    <t>PT8180</t>
  </si>
  <si>
    <t>₹13,705</t>
  </si>
  <si>
    <t>PT8181</t>
  </si>
  <si>
    <t>PT8182</t>
  </si>
  <si>
    <t>Rs. 7,412</t>
  </si>
  <si>
    <t>PT8183</t>
  </si>
  <si>
    <t>PT8184</t>
  </si>
  <si>
    <t>₹14,212</t>
  </si>
  <si>
    <t>PT8185</t>
  </si>
  <si>
    <t>2023-03-25</t>
  </si>
  <si>
    <t>PT8186</t>
  </si>
  <si>
    <t>PT8187</t>
  </si>
  <si>
    <t>PT8188</t>
  </si>
  <si>
    <t>₹6,498</t>
  </si>
  <si>
    <t>PT8189</t>
  </si>
  <si>
    <t>Rs. 4,688</t>
  </si>
  <si>
    <t>PT8190</t>
  </si>
  <si>
    <t>PT8191</t>
  </si>
  <si>
    <t>PT8192</t>
  </si>
  <si>
    <t>₹5,165</t>
  </si>
  <si>
    <t>PT8193</t>
  </si>
  <si>
    <t>Rs. 16,119</t>
  </si>
  <si>
    <t>PT8194</t>
  </si>
  <si>
    <t>Rs. 17,742</t>
  </si>
  <si>
    <t>PT8195</t>
  </si>
  <si>
    <t>Rs. 9,623</t>
  </si>
  <si>
    <t>PT8196</t>
  </si>
  <si>
    <t>Rs. 10,287</t>
  </si>
  <si>
    <t>PT8197</t>
  </si>
  <si>
    <t>PT8198</t>
  </si>
  <si>
    <t>2023-07-28</t>
  </si>
  <si>
    <t>Rs. 9,084</t>
  </si>
  <si>
    <t>PT8199</t>
  </si>
  <si>
    <t>₹16,931</t>
  </si>
  <si>
    <t>PT8200</t>
  </si>
  <si>
    <t>PT8201</t>
  </si>
  <si>
    <t>2023-09-03</t>
  </si>
  <si>
    <t>PT8202</t>
  </si>
  <si>
    <t>PT8203</t>
  </si>
  <si>
    <t>Rs. 7,675</t>
  </si>
  <si>
    <t>PT8204</t>
  </si>
  <si>
    <t>PT8205</t>
  </si>
  <si>
    <t>2023-05-07</t>
  </si>
  <si>
    <t>₹14,292</t>
  </si>
  <si>
    <t>PT8206</t>
  </si>
  <si>
    <t>Rs. 19,700</t>
  </si>
  <si>
    <t>PT8207</t>
  </si>
  <si>
    <t>₹54,848</t>
  </si>
  <si>
    <t>PT8208</t>
  </si>
  <si>
    <t>PT8209</t>
  </si>
  <si>
    <t>2023-03-20</t>
  </si>
  <si>
    <t>Rs. 18,294</t>
  </si>
  <si>
    <t>PT8210</t>
  </si>
  <si>
    <t>PT8211</t>
  </si>
  <si>
    <t>PT8212</t>
  </si>
  <si>
    <t>₹9,940</t>
  </si>
  <si>
    <t>PT8213</t>
  </si>
  <si>
    <t>Rs. 86,836</t>
  </si>
  <si>
    <t>PT8214</t>
  </si>
  <si>
    <t>PT8215</t>
  </si>
  <si>
    <t>PT8216</t>
  </si>
  <si>
    <t>admission_id</t>
  </si>
  <si>
    <t>visit_id</t>
  </si>
  <si>
    <t>department_id</t>
  </si>
  <si>
    <t>prior_admissions</t>
  </si>
  <si>
    <t>stay_duration_days</t>
  </si>
  <si>
    <t>days_since_admission</t>
  </si>
  <si>
    <t>AD5000</t>
  </si>
  <si>
    <t>VS20396</t>
  </si>
  <si>
    <t>DPT16</t>
  </si>
  <si>
    <t>0</t>
  </si>
  <si>
    <t>AD5001</t>
  </si>
  <si>
    <t>VS20736</t>
  </si>
  <si>
    <t>DPT19</t>
  </si>
  <si>
    <t>one</t>
  </si>
  <si>
    <t>AD5002</t>
  </si>
  <si>
    <t>VS20940</t>
  </si>
  <si>
    <t>DPT1</t>
  </si>
  <si>
    <t>AD5003</t>
  </si>
  <si>
    <t>VS20737</t>
  </si>
  <si>
    <t>1</t>
  </si>
  <si>
    <t>Rs. 13,558</t>
  </si>
  <si>
    <t>AD5004</t>
  </si>
  <si>
    <t>VS20853</t>
  </si>
  <si>
    <t>DPT21</t>
  </si>
  <si>
    <t>zero</t>
  </si>
  <si>
    <t>₹19,415</t>
  </si>
  <si>
    <t>AD5005</t>
  </si>
  <si>
    <t>VS20368</t>
  </si>
  <si>
    <t>DPT23</t>
  </si>
  <si>
    <t>two</t>
  </si>
  <si>
    <t>AD5006</t>
  </si>
  <si>
    <t>VS20606</t>
  </si>
  <si>
    <t>DPT8</t>
  </si>
  <si>
    <t>AD5007</t>
  </si>
  <si>
    <t>VS20607</t>
  </si>
  <si>
    <t>DPT10</t>
  </si>
  <si>
    <t>ZERO</t>
  </si>
  <si>
    <t>AD5008</t>
  </si>
  <si>
    <t>VS20616</t>
  </si>
  <si>
    <t>DPT22</t>
  </si>
  <si>
    <t>2</t>
  </si>
  <si>
    <t>AD5009</t>
  </si>
  <si>
    <t>VS20461</t>
  </si>
  <si>
    <t>₹9,653</t>
  </si>
  <si>
    <t>AD5010</t>
  </si>
  <si>
    <t>VS20220</t>
  </si>
  <si>
    <t>DPT6</t>
  </si>
  <si>
    <t>Rs. 15,387</t>
  </si>
  <si>
    <t>AD5011</t>
  </si>
  <si>
    <t>VS20554</t>
  </si>
  <si>
    <t>DPT25</t>
  </si>
  <si>
    <t>One</t>
  </si>
  <si>
    <t>₹17,332</t>
  </si>
  <si>
    <t>AD5012</t>
  </si>
  <si>
    <t>VS20847</t>
  </si>
  <si>
    <t>DPT27</t>
  </si>
  <si>
    <t>ONE</t>
  </si>
  <si>
    <t>₹44,968</t>
  </si>
  <si>
    <t>AD5013</t>
  </si>
  <si>
    <t>VS20957</t>
  </si>
  <si>
    <t>DPT2</t>
  </si>
  <si>
    <t>Rs. 86,232</t>
  </si>
  <si>
    <t>AD5014</t>
  </si>
  <si>
    <t>VS20235</t>
  </si>
  <si>
    <t>DPT7</t>
  </si>
  <si>
    <t>AD5015</t>
  </si>
  <si>
    <t>VS21197</t>
  </si>
  <si>
    <t>DPT17</t>
  </si>
  <si>
    <t>AD5016</t>
  </si>
  <si>
    <t>VS20084</t>
  </si>
  <si>
    <t>DPT11</t>
  </si>
  <si>
    <t>₹8,110</t>
  </si>
  <si>
    <t>AD5017</t>
  </si>
  <si>
    <t>VS20593</t>
  </si>
  <si>
    <t>DPT29</t>
  </si>
  <si>
    <t>Rs. 4,830</t>
  </si>
  <si>
    <t>AD5018</t>
  </si>
  <si>
    <t>VS20270</t>
  </si>
  <si>
    <t>Zero</t>
  </si>
  <si>
    <t>Rs. 35,417</t>
  </si>
  <si>
    <t>AD5019</t>
  </si>
  <si>
    <t>VS20521</t>
  </si>
  <si>
    <t>DPT28</t>
  </si>
  <si>
    <t>₹87,242</t>
  </si>
  <si>
    <t>AD5020</t>
  </si>
  <si>
    <t>VS20960</t>
  </si>
  <si>
    <t>DPT24</t>
  </si>
  <si>
    <t>multiple</t>
  </si>
  <si>
    <t>₹4,498</t>
  </si>
  <si>
    <t>AD5021</t>
  </si>
  <si>
    <t>VS20556</t>
  </si>
  <si>
    <t>DPT14</t>
  </si>
  <si>
    <t>AD5022</t>
  </si>
  <si>
    <t>AD5023</t>
  </si>
  <si>
    <t>VS20491</t>
  </si>
  <si>
    <t>DPT4</t>
  </si>
  <si>
    <t>AD5024</t>
  </si>
  <si>
    <t>VS20720</t>
  </si>
  <si>
    <t>AD5025</t>
  </si>
  <si>
    <t>VS20216</t>
  </si>
  <si>
    <t>Rs. 13,922</t>
  </si>
  <si>
    <t>AD5026</t>
  </si>
  <si>
    <t>VS20230</t>
  </si>
  <si>
    <t>AD5027</t>
  </si>
  <si>
    <t>VS20972</t>
  </si>
  <si>
    <t>DPT5</t>
  </si>
  <si>
    <t>2+</t>
  </si>
  <si>
    <t>Rs. 18,789</t>
  </si>
  <si>
    <t>AD5028</t>
  </si>
  <si>
    <t>VS20301</t>
  </si>
  <si>
    <t>AD5029</t>
  </si>
  <si>
    <t>VS20727</t>
  </si>
  <si>
    <t>₹6,177</t>
  </si>
  <si>
    <t>AD5030</t>
  </si>
  <si>
    <t>VS20872</t>
  </si>
  <si>
    <t>DPT30</t>
  </si>
  <si>
    <t>Rs. 12,297</t>
  </si>
  <si>
    <t>AD5031</t>
  </si>
  <si>
    <t>VS21135</t>
  </si>
  <si>
    <t>DPT9</t>
  </si>
  <si>
    <t>AD5032</t>
  </si>
  <si>
    <t>VS20580</t>
  </si>
  <si>
    <t>DPT18</t>
  </si>
  <si>
    <t>AD5033</t>
  </si>
  <si>
    <t>VS20951</t>
  </si>
  <si>
    <t>AD5034</t>
  </si>
  <si>
    <t>VS20577</t>
  </si>
  <si>
    <t>₹7,188</t>
  </si>
  <si>
    <t>AD5035</t>
  </si>
  <si>
    <t>VS20060</t>
  </si>
  <si>
    <t>Rs. 4,374</t>
  </si>
  <si>
    <t>AD5036</t>
  </si>
  <si>
    <t>VS21076</t>
  </si>
  <si>
    <t>DPT13</t>
  </si>
  <si>
    <t>₹5,848</t>
  </si>
  <si>
    <t>AD5037</t>
  </si>
  <si>
    <t>VS20448</t>
  </si>
  <si>
    <t>DPT12</t>
  </si>
  <si>
    <t>₹3,456</t>
  </si>
  <si>
    <t>AD5038</t>
  </si>
  <si>
    <t>VS20076</t>
  </si>
  <si>
    <t>AD5039</t>
  </si>
  <si>
    <t>VS21155</t>
  </si>
  <si>
    <t>₹43,748</t>
  </si>
  <si>
    <t>AD5040</t>
  </si>
  <si>
    <t>VS20835</t>
  </si>
  <si>
    <t>₹76,193</t>
  </si>
  <si>
    <t>AD5041</t>
  </si>
  <si>
    <t>VS21129</t>
  </si>
  <si>
    <t>AD5042</t>
  </si>
  <si>
    <t>VS20246</t>
  </si>
  <si>
    <t>Rs. 13,901</t>
  </si>
  <si>
    <t>AD5043</t>
  </si>
  <si>
    <t>VS20289</t>
  </si>
  <si>
    <t>₹14,687</t>
  </si>
  <si>
    <t>AD5044</t>
  </si>
  <si>
    <t>VS20540</t>
  </si>
  <si>
    <t>₹9,315</t>
  </si>
  <si>
    <t>AD5045</t>
  </si>
  <si>
    <t>VS20413</t>
  </si>
  <si>
    <t>AD5046</t>
  </si>
  <si>
    <t>VS20923</t>
  </si>
  <si>
    <t>DPT15</t>
  </si>
  <si>
    <t>AD5047</t>
  </si>
  <si>
    <t>VS20800</t>
  </si>
  <si>
    <t>AD5048</t>
  </si>
  <si>
    <t>VS21157</t>
  </si>
  <si>
    <t>AD5049</t>
  </si>
  <si>
    <t>VS20168</t>
  </si>
  <si>
    <t>₹9,146</t>
  </si>
  <si>
    <t>AD5050</t>
  </si>
  <si>
    <t>VS20795</t>
  </si>
  <si>
    <t>Rs. 71,881</t>
  </si>
  <si>
    <t>AD5051</t>
  </si>
  <si>
    <t>VS21103</t>
  </si>
  <si>
    <t>₹15,323</t>
  </si>
  <si>
    <t>AD5052</t>
  </si>
  <si>
    <t>VS20821</t>
  </si>
  <si>
    <t>DPT26</t>
  </si>
  <si>
    <t>Rs. 10,945</t>
  </si>
  <si>
    <t>AD5053</t>
  </si>
  <si>
    <t>VS20426</t>
  </si>
  <si>
    <t>AD5054</t>
  </si>
  <si>
    <t>VS20024</t>
  </si>
  <si>
    <t>AD5055</t>
  </si>
  <si>
    <t>VS20855</t>
  </si>
  <si>
    <t>AD5056</t>
  </si>
  <si>
    <t>VS20706</t>
  </si>
  <si>
    <t>₹12,083</t>
  </si>
  <si>
    <t>AD5057</t>
  </si>
  <si>
    <t>VS20055</t>
  </si>
  <si>
    <t>AD5058</t>
  </si>
  <si>
    <t>VS21008</t>
  </si>
  <si>
    <t>Rs. 11,747</t>
  </si>
  <si>
    <t>AD5059</t>
  </si>
  <si>
    <t>VS21193</t>
  </si>
  <si>
    <t>₹17,681</t>
  </si>
  <si>
    <t>AD5060</t>
  </si>
  <si>
    <t>VS20486</t>
  </si>
  <si>
    <t>AD5061</t>
  </si>
  <si>
    <t>VS20613</t>
  </si>
  <si>
    <t>AD5062</t>
  </si>
  <si>
    <t>VS20547</t>
  </si>
  <si>
    <t>Rs. 11,285</t>
  </si>
  <si>
    <t>AD5063</t>
  </si>
  <si>
    <t>VS20218</t>
  </si>
  <si>
    <t>AD5064</t>
  </si>
  <si>
    <t>VS20106</t>
  </si>
  <si>
    <t>Rs. 12,592</t>
  </si>
  <si>
    <t>AD5065</t>
  </si>
  <si>
    <t>VS20384</t>
  </si>
  <si>
    <t>AD5066</t>
  </si>
  <si>
    <t>VS20763</t>
  </si>
  <si>
    <t>Rs. 8,800</t>
  </si>
  <si>
    <t>AD5067</t>
  </si>
  <si>
    <t>VS20237</t>
  </si>
  <si>
    <t>₹14,513</t>
  </si>
  <si>
    <t>AD5068</t>
  </si>
  <si>
    <t>VS20978</t>
  </si>
  <si>
    <t>AD5069</t>
  </si>
  <si>
    <t>VS21114</t>
  </si>
  <si>
    <t>AD5070</t>
  </si>
  <si>
    <t>VS20710</t>
  </si>
  <si>
    <t>₹4,652</t>
  </si>
  <si>
    <t>AD5071</t>
  </si>
  <si>
    <t>VS20425</t>
  </si>
  <si>
    <t>AD5072</t>
  </si>
  <si>
    <t>VS21183</t>
  </si>
  <si>
    <t>AD5073</t>
  </si>
  <si>
    <t>VS20234</t>
  </si>
  <si>
    <t>DPT20</t>
  </si>
  <si>
    <t>AD5074</t>
  </si>
  <si>
    <t>VS20632</t>
  </si>
  <si>
    <t>AD5075</t>
  </si>
  <si>
    <t>VS20687</t>
  </si>
  <si>
    <t>₹9,243</t>
  </si>
  <si>
    <t>AD5076</t>
  </si>
  <si>
    <t>VS20335</t>
  </si>
  <si>
    <t>AD5077</t>
  </si>
  <si>
    <t>VS20038</t>
  </si>
  <si>
    <t>AD5078</t>
  </si>
  <si>
    <t>VS20919</t>
  </si>
  <si>
    <t>Rs. 4,465</t>
  </si>
  <si>
    <t>AD5079</t>
  </si>
  <si>
    <t>Rs. 58,742</t>
  </si>
  <si>
    <t>AD5080</t>
  </si>
  <si>
    <t>VS20140</t>
  </si>
  <si>
    <t>AD5081</t>
  </si>
  <si>
    <t>VS20193</t>
  </si>
  <si>
    <t>AD5082</t>
  </si>
  <si>
    <t>VS20863</t>
  </si>
  <si>
    <t>₹10,486</t>
  </si>
  <si>
    <t>AD5083</t>
  </si>
  <si>
    <t>VS20478</t>
  </si>
  <si>
    <t>₹4,643</t>
  </si>
  <si>
    <t>AD5084</t>
  </si>
  <si>
    <t>VS20938</t>
  </si>
  <si>
    <t>Rs. 12,730</t>
  </si>
  <si>
    <t>AD5085</t>
  </si>
  <si>
    <t>VS20667</t>
  </si>
  <si>
    <t>AD5086</t>
  </si>
  <si>
    <t>VS20131</t>
  </si>
  <si>
    <t>₹38,301</t>
  </si>
  <si>
    <t>AD5087</t>
  </si>
  <si>
    <t>VS21034</t>
  </si>
  <si>
    <t>AD5088</t>
  </si>
  <si>
    <t>VS20327</t>
  </si>
  <si>
    <t>AD5089</t>
  </si>
  <si>
    <t>VS20250</t>
  </si>
  <si>
    <t>AD5090</t>
  </si>
  <si>
    <t>VS20409</t>
  </si>
  <si>
    <t>₹17,349</t>
  </si>
  <si>
    <t>AD5091</t>
  </si>
  <si>
    <t>₹10,555</t>
  </si>
  <si>
    <t>AD5092</t>
  </si>
  <si>
    <t>VS21165</t>
  </si>
  <si>
    <t>AD5093</t>
  </si>
  <si>
    <t>VS20697</t>
  </si>
  <si>
    <t>Rs. 3,654</t>
  </si>
  <si>
    <t>AD5094</t>
  </si>
  <si>
    <t>VS20116</t>
  </si>
  <si>
    <t>₹18,936</t>
  </si>
  <si>
    <t>AD5095</t>
  </si>
  <si>
    <t>VS21099</t>
  </si>
  <si>
    <t>AD5096</t>
  </si>
  <si>
    <t>VS21106</t>
  </si>
  <si>
    <t>AD5097</t>
  </si>
  <si>
    <t>VS21207</t>
  </si>
  <si>
    <t>₹3,830</t>
  </si>
  <si>
    <t>AD5098</t>
  </si>
  <si>
    <t>VS20362</t>
  </si>
  <si>
    <t>AD5099</t>
  </si>
  <si>
    <t>₹8,642</t>
  </si>
  <si>
    <t>AD5100</t>
  </si>
  <si>
    <t>VS20056</t>
  </si>
  <si>
    <t>₹7,930</t>
  </si>
  <si>
    <t>AD5101</t>
  </si>
  <si>
    <t>VS21166</t>
  </si>
  <si>
    <t>Rs. 78,057</t>
  </si>
  <si>
    <t>AD5102</t>
  </si>
  <si>
    <t>VS20456</t>
  </si>
  <si>
    <t>₹17,733</t>
  </si>
  <si>
    <t>AD5103</t>
  </si>
  <si>
    <t>VS20054</t>
  </si>
  <si>
    <t>₹15,723</t>
  </si>
  <si>
    <t>AD5104</t>
  </si>
  <si>
    <t>VS20641</t>
  </si>
  <si>
    <t>AD5105</t>
  </si>
  <si>
    <t>VS20731</t>
  </si>
  <si>
    <t>AD5106</t>
  </si>
  <si>
    <t>AD5107</t>
  </si>
  <si>
    <t>VS20072</t>
  </si>
  <si>
    <t>AD5108</t>
  </si>
  <si>
    <t>VS20113</t>
  </si>
  <si>
    <t>₹51,487</t>
  </si>
  <si>
    <t>AD5109</t>
  </si>
  <si>
    <t>Rs. 25,003</t>
  </si>
  <si>
    <t>AD5110</t>
  </si>
  <si>
    <t>VS20895</t>
  </si>
  <si>
    <t>₹44,751</t>
  </si>
  <si>
    <t>AD5111</t>
  </si>
  <si>
    <t>VS20377</t>
  </si>
  <si>
    <t>₹74,801</t>
  </si>
  <si>
    <t>AD5112</t>
  </si>
  <si>
    <t>VS20898</t>
  </si>
  <si>
    <t>₹70,616</t>
  </si>
  <si>
    <t>AD5113</t>
  </si>
  <si>
    <t>VS20608</t>
  </si>
  <si>
    <t>Rs. 13,481</t>
  </si>
  <si>
    <t>AD5114</t>
  </si>
  <si>
    <t>VS20816</t>
  </si>
  <si>
    <t>DPT3</t>
  </si>
  <si>
    <t>Rs. 14,898</t>
  </si>
  <si>
    <t>AD5115</t>
  </si>
  <si>
    <t>VS20142</t>
  </si>
  <si>
    <t>AD5116</t>
  </si>
  <si>
    <t>VS20523</t>
  </si>
  <si>
    <t>Rs. 13,879</t>
  </si>
  <si>
    <t>AD5117</t>
  </si>
  <si>
    <t>VS21003</t>
  </si>
  <si>
    <t>AD5118</t>
  </si>
  <si>
    <t>VS21037</t>
  </si>
  <si>
    <t>₹59,477</t>
  </si>
  <si>
    <t>AD5119</t>
  </si>
  <si>
    <t>VS20080</t>
  </si>
  <si>
    <t>AD5120</t>
  </si>
  <si>
    <t>VS21048</t>
  </si>
  <si>
    <t>Two</t>
  </si>
  <si>
    <t>Rs. 8,067</t>
  </si>
  <si>
    <t>AD5121</t>
  </si>
  <si>
    <t>VS20572</t>
  </si>
  <si>
    <t>Rs. 77,770</t>
  </si>
  <si>
    <t>AD5122</t>
  </si>
  <si>
    <t>VS20241</t>
  </si>
  <si>
    <t>Rs. 16,592</t>
  </si>
  <si>
    <t>AD5123</t>
  </si>
  <si>
    <t>VS20407</t>
  </si>
  <si>
    <t>AD5124</t>
  </si>
  <si>
    <t>VS20145</t>
  </si>
  <si>
    <t>AD5125</t>
  </si>
  <si>
    <t>VS20652</t>
  </si>
  <si>
    <t>₹44,644</t>
  </si>
  <si>
    <t>AD5126</t>
  </si>
  <si>
    <t>VS20446</t>
  </si>
  <si>
    <t>₹14,790</t>
  </si>
  <si>
    <t>AD5127</t>
  </si>
  <si>
    <t>AD5128</t>
  </si>
  <si>
    <t>VS21100</t>
  </si>
  <si>
    <t>Rs. 67,021</t>
  </si>
  <si>
    <t>AD5129</t>
  </si>
  <si>
    <t>VS20686</t>
  </si>
  <si>
    <t>Rs. 38,761</t>
  </si>
  <si>
    <t>AD5130</t>
  </si>
  <si>
    <t>VS20272</t>
  </si>
  <si>
    <t>AD5131</t>
  </si>
  <si>
    <t>VS20202</t>
  </si>
  <si>
    <t>AD5132</t>
  </si>
  <si>
    <t>VS21192</t>
  </si>
  <si>
    <t>₹3,860</t>
  </si>
  <si>
    <t>AD5133</t>
  </si>
  <si>
    <t>VS20118</t>
  </si>
  <si>
    <t>₹11,263</t>
  </si>
  <si>
    <t>AD5134</t>
  </si>
  <si>
    <t>VS20139</t>
  </si>
  <si>
    <t>AD5135</t>
  </si>
  <si>
    <t>VS21117</t>
  </si>
  <si>
    <t>AD5136</t>
  </si>
  <si>
    <t>VS20500</t>
  </si>
  <si>
    <t>Rs. 34,601</t>
  </si>
  <si>
    <t>AD5137</t>
  </si>
  <si>
    <t>VS20468</t>
  </si>
  <si>
    <t>AD5138</t>
  </si>
  <si>
    <t>VS21194</t>
  </si>
  <si>
    <t>AD5139</t>
  </si>
  <si>
    <t>VS20589</t>
  </si>
  <si>
    <t>Rs. 11,514</t>
  </si>
  <si>
    <t>AD5140</t>
  </si>
  <si>
    <t>VS20132</t>
  </si>
  <si>
    <t>AD5141</t>
  </si>
  <si>
    <t>VS20504</t>
  </si>
  <si>
    <t>AD5142</t>
  </si>
  <si>
    <t>VS20931</t>
  </si>
  <si>
    <t>AD5143</t>
  </si>
  <si>
    <t>VS20681</t>
  </si>
  <si>
    <t>AD5144</t>
  </si>
  <si>
    <t>VS20680</t>
  </si>
  <si>
    <t>₹13,831</t>
  </si>
  <si>
    <t>AD5145</t>
  </si>
  <si>
    <t>VS20395</t>
  </si>
  <si>
    <t>Rs. 3,708</t>
  </si>
  <si>
    <t>AD5146</t>
  </si>
  <si>
    <t>VS20172</t>
  </si>
  <si>
    <t>₹17,483</t>
  </si>
  <si>
    <t>AD5147</t>
  </si>
  <si>
    <t>VS20458</t>
  </si>
  <si>
    <t>₹47,792</t>
  </si>
  <si>
    <t>AD5148</t>
  </si>
  <si>
    <t>VS20013</t>
  </si>
  <si>
    <t>AD5149</t>
  </si>
  <si>
    <t>VS20761</t>
  </si>
  <si>
    <t>AD5150</t>
  </si>
  <si>
    <t>VS20766</t>
  </si>
  <si>
    <t>₹4,466</t>
  </si>
  <si>
    <t>AD5151</t>
  </si>
  <si>
    <t>VS20470</t>
  </si>
  <si>
    <t>Rs. 35,768</t>
  </si>
  <si>
    <t>AD5152</t>
  </si>
  <si>
    <t>VS20374</t>
  </si>
  <si>
    <t>AD5153</t>
  </si>
  <si>
    <t>VS20453</t>
  </si>
  <si>
    <t>₹42,733</t>
  </si>
  <si>
    <t>AD5154</t>
  </si>
  <si>
    <t>VS21065</t>
  </si>
  <si>
    <t>Rs. 19,701</t>
  </si>
  <si>
    <t>AD5155</t>
  </si>
  <si>
    <t>VS20530</t>
  </si>
  <si>
    <t>AD5156</t>
  </si>
  <si>
    <t>VS20767</t>
  </si>
  <si>
    <t>₹8,085</t>
  </si>
  <si>
    <t>AD5157</t>
  </si>
  <si>
    <t>AD5158</t>
  </si>
  <si>
    <t>VS20794</t>
  </si>
  <si>
    <t>Rs. 10,498</t>
  </si>
  <si>
    <t>AD5159</t>
  </si>
  <si>
    <t>VS20903</t>
  </si>
  <si>
    <t>Rs. 85,608</t>
  </si>
  <si>
    <t>AD5160</t>
  </si>
  <si>
    <t>AD5161</t>
  </si>
  <si>
    <t>VS20908</t>
  </si>
  <si>
    <t>AD5162</t>
  </si>
  <si>
    <t>VS20190</t>
  </si>
  <si>
    <t>AD5163</t>
  </si>
  <si>
    <t>VS20026</t>
  </si>
  <si>
    <t>AD5164</t>
  </si>
  <si>
    <t>VS20406</t>
  </si>
  <si>
    <t>Rs. 7,798</t>
  </si>
  <si>
    <t>AD5165</t>
  </si>
  <si>
    <t>VS20375</t>
  </si>
  <si>
    <t>AD5166</t>
  </si>
  <si>
    <t>VS20846</t>
  </si>
  <si>
    <t>Rs. 9,497</t>
  </si>
  <si>
    <t>AD5167</t>
  </si>
  <si>
    <t>VS20028</t>
  </si>
  <si>
    <t>AD5168</t>
  </si>
  <si>
    <t>VS20728</t>
  </si>
  <si>
    <t>Rs. 73,323</t>
  </si>
  <si>
    <t>AD5169</t>
  </si>
  <si>
    <t>VS21018</t>
  </si>
  <si>
    <t>₹14,863</t>
  </si>
  <si>
    <t>AD5170</t>
  </si>
  <si>
    <t>VS20115</t>
  </si>
  <si>
    <t>AD5171</t>
  </si>
  <si>
    <t>VS20349</t>
  </si>
  <si>
    <t>AD5172</t>
  </si>
  <si>
    <t>VS20011</t>
  </si>
  <si>
    <t>AD5173</t>
  </si>
  <si>
    <t>Rs. 18,076</t>
  </si>
  <si>
    <t>AD5174</t>
  </si>
  <si>
    <t>VS20526</t>
  </si>
  <si>
    <t>₹5,386</t>
  </si>
  <si>
    <t>AD5175</t>
  </si>
  <si>
    <t>VS20799</t>
  </si>
  <si>
    <t>AD5176</t>
  </si>
  <si>
    <t>VS20666</t>
  </si>
  <si>
    <t>AD5177</t>
  </si>
  <si>
    <t>Rs. 10,763</t>
  </si>
  <si>
    <t>AD5178</t>
  </si>
  <si>
    <t>VS21015</t>
  </si>
  <si>
    <t>AD5179</t>
  </si>
  <si>
    <t>VS20154</t>
  </si>
  <si>
    <t>Rs. 12,197</t>
  </si>
  <si>
    <t>AD5180</t>
  </si>
  <si>
    <t>VS20003</t>
  </si>
  <si>
    <t>Rs. 3,355</t>
  </si>
  <si>
    <t>AD5181</t>
  </si>
  <si>
    <t>AD5182</t>
  </si>
  <si>
    <t>₹11,577</t>
  </si>
  <si>
    <t>AD5183</t>
  </si>
  <si>
    <t>VS20029</t>
  </si>
  <si>
    <t>₹8,890</t>
  </si>
  <si>
    <t>AD5184</t>
  </si>
  <si>
    <t>VS20066</t>
  </si>
  <si>
    <t>Rs. 19,128</t>
  </si>
  <si>
    <t>AD5185</t>
  </si>
  <si>
    <t>VS20828</t>
  </si>
  <si>
    <t>₹12,989</t>
  </si>
  <si>
    <t>AD5186</t>
  </si>
  <si>
    <t>VS20353</t>
  </si>
  <si>
    <t>AD5187</t>
  </si>
  <si>
    <t>Rs. 3,255</t>
  </si>
  <si>
    <t>AD5188</t>
  </si>
  <si>
    <t>VS21042</t>
  </si>
  <si>
    <t>AD5189</t>
  </si>
  <si>
    <t>₹13,725</t>
  </si>
  <si>
    <t>AD5190</t>
  </si>
  <si>
    <t>VS20774</t>
  </si>
  <si>
    <t>Rs. 62,994</t>
  </si>
  <si>
    <t>AD5191</t>
  </si>
  <si>
    <t>VS20178</t>
  </si>
  <si>
    <t>₹16,303</t>
  </si>
  <si>
    <t>AD5192</t>
  </si>
  <si>
    <t>VS20347</t>
  </si>
  <si>
    <t>AD5193</t>
  </si>
  <si>
    <t>VS20581</t>
  </si>
  <si>
    <t>AD5194</t>
  </si>
  <si>
    <t>AD5195</t>
  </si>
  <si>
    <t>VS20861</t>
  </si>
  <si>
    <t>Rs. 13,533</t>
  </si>
  <si>
    <t>AD5196</t>
  </si>
  <si>
    <t>VS20639</t>
  </si>
  <si>
    <t>AD5197</t>
  </si>
  <si>
    <t>VS20383</t>
  </si>
  <si>
    <t>AD5198</t>
  </si>
  <si>
    <t>VS20278</t>
  </si>
  <si>
    <t>₹11,507</t>
  </si>
  <si>
    <t>AD5199</t>
  </si>
  <si>
    <t>Rs. 19,914</t>
  </si>
  <si>
    <t>AD5200</t>
  </si>
  <si>
    <t>VS20041</t>
  </si>
  <si>
    <t>₹8,318</t>
  </si>
  <si>
    <t>AD5201</t>
  </si>
  <si>
    <t>VS20705</t>
  </si>
  <si>
    <t>AD5202</t>
  </si>
  <si>
    <t>VS20943</t>
  </si>
  <si>
    <t>₹7,669</t>
  </si>
  <si>
    <t>AD5203</t>
  </si>
  <si>
    <t>VS20255</t>
  </si>
  <si>
    <t>₹6,692</t>
  </si>
  <si>
    <t>AD5204</t>
  </si>
  <si>
    <t>VS20302</t>
  </si>
  <si>
    <t>AD5205</t>
  </si>
  <si>
    <t>VS20513</t>
  </si>
  <si>
    <t>Rs. 78,209</t>
  </si>
  <si>
    <t>AD5206</t>
  </si>
  <si>
    <t>VS20114</t>
  </si>
  <si>
    <t>AD5207</t>
  </si>
  <si>
    <t>VS20108</t>
  </si>
  <si>
    <t>Rs. 6,618</t>
  </si>
  <si>
    <t>AD5208</t>
  </si>
  <si>
    <t>VS21091</t>
  </si>
  <si>
    <t>AD5209</t>
  </si>
  <si>
    <t>VS20798</t>
  </si>
  <si>
    <t>₹11,140</t>
  </si>
  <si>
    <t>AD5210</t>
  </si>
  <si>
    <t>AD5211</t>
  </si>
  <si>
    <t>VS21081</t>
  </si>
  <si>
    <t>AD5212</t>
  </si>
  <si>
    <t>VS20634</t>
  </si>
  <si>
    <t>AD5213</t>
  </si>
  <si>
    <t>AD5214</t>
  </si>
  <si>
    <t>VS20423</t>
  </si>
  <si>
    <t>₹12,951</t>
  </si>
  <si>
    <t>AD5215</t>
  </si>
  <si>
    <t>VS20538</t>
  </si>
  <si>
    <t>₹15,226</t>
  </si>
  <si>
    <t>AD5216</t>
  </si>
  <si>
    <t>VS20636</t>
  </si>
  <si>
    <t>AD5217</t>
  </si>
  <si>
    <t>VS21168</t>
  </si>
  <si>
    <t>Rs. 3,235</t>
  </si>
  <si>
    <t>AD5218</t>
  </si>
  <si>
    <t>VS20700</t>
  </si>
  <si>
    <t>AD5219</t>
  </si>
  <si>
    <t>VS20601</t>
  </si>
  <si>
    <t>₹17,507</t>
  </si>
  <si>
    <t>AD5220</t>
  </si>
  <si>
    <t>VS20679</t>
  </si>
  <si>
    <t>₹61,887</t>
  </si>
  <si>
    <t>AD5221</t>
  </si>
  <si>
    <t>AD5222</t>
  </si>
  <si>
    <t>VS20645</t>
  </si>
  <si>
    <t>Rs. 16,836</t>
  </si>
  <si>
    <t>AD5223</t>
  </si>
  <si>
    <t>VS20052</t>
  </si>
  <si>
    <t>two_or_more</t>
  </si>
  <si>
    <t>AD5224</t>
  </si>
  <si>
    <t>VS20629</t>
  </si>
  <si>
    <t>₹13,576</t>
  </si>
  <si>
    <t>AD5225</t>
  </si>
  <si>
    <t>VS20496</t>
  </si>
  <si>
    <t>AD5226</t>
  </si>
  <si>
    <t>VS21127</t>
  </si>
  <si>
    <t>AD5227</t>
  </si>
  <si>
    <t>Rs. 9,601</t>
  </si>
  <si>
    <t>AD5228</t>
  </si>
  <si>
    <t>VS20758</t>
  </si>
  <si>
    <t>Rs. 12,361</t>
  </si>
  <si>
    <t>AD5229</t>
  </si>
  <si>
    <t>VS20260</t>
  </si>
  <si>
    <t>Rs. 10,777</t>
  </si>
  <si>
    <t>AD5230</t>
  </si>
  <si>
    <t>₹10,589</t>
  </si>
  <si>
    <t>AD5231</t>
  </si>
  <si>
    <t>VS20939</t>
  </si>
  <si>
    <t>AD5232</t>
  </si>
  <si>
    <t>VS20300</t>
  </si>
  <si>
    <t>Rs. 9,297</t>
  </si>
  <si>
    <t>AD5233</t>
  </si>
  <si>
    <t>VS20818</t>
  </si>
  <si>
    <t>AD5234</t>
  </si>
  <si>
    <t>VS21007</t>
  </si>
  <si>
    <t>₹19,351</t>
  </si>
  <si>
    <t>AD5235</t>
  </si>
  <si>
    <t>VS20655</t>
  </si>
  <si>
    <t>Rs. 40,210</t>
  </si>
  <si>
    <t>AD5236</t>
  </si>
  <si>
    <t>VS20849</t>
  </si>
  <si>
    <t>AD5237</t>
  </si>
  <si>
    <t>VS20843</t>
  </si>
  <si>
    <t>₹10,702</t>
  </si>
  <si>
    <t>AD5238</t>
  </si>
  <si>
    <t>AD5239</t>
  </si>
  <si>
    <t>VS20214</t>
  </si>
  <si>
    <t>AD5240</t>
  </si>
  <si>
    <t>VS20276</t>
  </si>
  <si>
    <t>Rs. 11,053</t>
  </si>
  <si>
    <t>AD5241</t>
  </si>
  <si>
    <t>VS20450</t>
  </si>
  <si>
    <t>AD5242</t>
  </si>
  <si>
    <t>VS21164</t>
  </si>
  <si>
    <t>Rs. 23,262</t>
  </si>
  <si>
    <t>AD5243</t>
  </si>
  <si>
    <t>VS21140</t>
  </si>
  <si>
    <t>AD5244</t>
  </si>
  <si>
    <t>VS20844</t>
  </si>
  <si>
    <t>AD5245</t>
  </si>
  <si>
    <t>VS20749</t>
  </si>
  <si>
    <t>Rs. 16,696</t>
  </si>
  <si>
    <t>AD5246</t>
  </si>
  <si>
    <t>VS21071</t>
  </si>
  <si>
    <t>Rs. 16,941</t>
  </si>
  <si>
    <t>AD5247</t>
  </si>
  <si>
    <t>VS20986</t>
  </si>
  <si>
    <t>AD5248</t>
  </si>
  <si>
    <t>VS20557</t>
  </si>
  <si>
    <t>AD5249</t>
  </si>
  <si>
    <t>VS20136</t>
  </si>
  <si>
    <t>₹57,099</t>
  </si>
  <si>
    <t>AD5250</t>
  </si>
  <si>
    <t>VS20065</t>
  </si>
  <si>
    <t>AD5251</t>
  </si>
  <si>
    <t>VS21171</t>
  </si>
  <si>
    <t>AD5252</t>
  </si>
  <si>
    <t>VS20027</t>
  </si>
  <si>
    <t>AD5253</t>
  </si>
  <si>
    <t>VS20969</t>
  </si>
  <si>
    <t>Rs. 3,290</t>
  </si>
  <si>
    <t>AD5254</t>
  </si>
  <si>
    <t>₹15,661</t>
  </si>
  <si>
    <t>AD5255</t>
  </si>
  <si>
    <t>VS20399</t>
  </si>
  <si>
    <t>AD5256</t>
  </si>
  <si>
    <t>VS20365</t>
  </si>
  <si>
    <t>AD5257</t>
  </si>
  <si>
    <t>VS20525</t>
  </si>
  <si>
    <t>₹16,145</t>
  </si>
  <si>
    <t>AD5258</t>
  </si>
  <si>
    <t>VS21143</t>
  </si>
  <si>
    <t>₹68,276</t>
  </si>
  <si>
    <t>AD5259</t>
  </si>
  <si>
    <t>VS20832</t>
  </si>
  <si>
    <t>₹12,975</t>
  </si>
  <si>
    <t>AD5260</t>
  </si>
  <si>
    <t>VS20226</t>
  </si>
  <si>
    <t>₹3,594</t>
  </si>
  <si>
    <t>AD5261</t>
  </si>
  <si>
    <t>VS20149</t>
  </si>
  <si>
    <t>AD5262</t>
  </si>
  <si>
    <t>VS20469</t>
  </si>
  <si>
    <t>Rs. 8,218</t>
  </si>
  <si>
    <t>AD5263</t>
  </si>
  <si>
    <t>VS20654</t>
  </si>
  <si>
    <t>Rs. 43,111</t>
  </si>
  <si>
    <t>AD5264</t>
  </si>
  <si>
    <t>VS21201</t>
  </si>
  <si>
    <t>Rs. 68,022</t>
  </si>
  <si>
    <t>AD5265</t>
  </si>
  <si>
    <t>VS20305</t>
  </si>
  <si>
    <t>₹21,610</t>
  </si>
  <si>
    <t>AD5266</t>
  </si>
  <si>
    <t>₹3,654</t>
  </si>
  <si>
    <t>AD5267</t>
  </si>
  <si>
    <t>VS20830</t>
  </si>
  <si>
    <t>₹87,645</t>
  </si>
  <si>
    <t>AD5268</t>
  </si>
  <si>
    <t>VS20857</t>
  </si>
  <si>
    <t>AD5269</t>
  </si>
  <si>
    <t>VS20968</t>
  </si>
  <si>
    <t>AD5270</t>
  </si>
  <si>
    <t>VS20401</t>
  </si>
  <si>
    <t>₹8,320</t>
  </si>
  <si>
    <t>AD5271</t>
  </si>
  <si>
    <t>VS20045</t>
  </si>
  <si>
    <t>AD5272</t>
  </si>
  <si>
    <t>VS20927</t>
  </si>
  <si>
    <t>₹7,655</t>
  </si>
  <si>
    <t>AD5273</t>
  </si>
  <si>
    <t>VS20879</t>
  </si>
  <si>
    <t>₹16,149</t>
  </si>
  <si>
    <t>AD5274</t>
  </si>
  <si>
    <t>VS20025</t>
  </si>
  <si>
    <t>AD5275</t>
  </si>
  <si>
    <t>Rs. 3,288</t>
  </si>
  <si>
    <t>AD5276</t>
  </si>
  <si>
    <t>VS20924</t>
  </si>
  <si>
    <t>AD5277</t>
  </si>
  <si>
    <t>VS20820</t>
  </si>
  <si>
    <t>Rs. 13,895</t>
  </si>
  <si>
    <t>AD5278</t>
  </si>
  <si>
    <t>Rs. 4,240</t>
  </si>
  <si>
    <t>AD5279</t>
  </si>
  <si>
    <t>AD5280</t>
  </si>
  <si>
    <t>VS20734</t>
  </si>
  <si>
    <t>₹10,677</t>
  </si>
  <si>
    <t>AD5281</t>
  </si>
  <si>
    <t>VS20454</t>
  </si>
  <si>
    <t>AD5282</t>
  </si>
  <si>
    <t>VS20004</t>
  </si>
  <si>
    <t>AD5283</t>
  </si>
  <si>
    <t>VS20364</t>
  </si>
  <si>
    <t>AD5284</t>
  </si>
  <si>
    <t>AD5285</t>
  </si>
  <si>
    <t>VS20768</t>
  </si>
  <si>
    <t>₹7,183</t>
  </si>
  <si>
    <t>AD5286</t>
  </si>
  <si>
    <t>VS20605</t>
  </si>
  <si>
    <t>₹59,542</t>
  </si>
  <si>
    <t>AD5287</t>
  </si>
  <si>
    <t>VS20194</t>
  </si>
  <si>
    <t>AD5288</t>
  </si>
  <si>
    <t>VS20162</t>
  </si>
  <si>
    <t>₹8,480</t>
  </si>
  <si>
    <t>AD5289</t>
  </si>
  <si>
    <t>VS20942</t>
  </si>
  <si>
    <t>₹16,529</t>
  </si>
  <si>
    <t>AD5290</t>
  </si>
  <si>
    <t>VS20829</t>
  </si>
  <si>
    <t>₹13,405</t>
  </si>
  <si>
    <t>AD5291</t>
  </si>
  <si>
    <t>VS20244</t>
  </si>
  <si>
    <t>AD5292</t>
  </si>
  <si>
    <t>VS20756</t>
  </si>
  <si>
    <t>AD5293</t>
  </si>
  <si>
    <t>VS20069</t>
  </si>
  <si>
    <t>AD5294</t>
  </si>
  <si>
    <t>VS21056</t>
  </si>
  <si>
    <t>Rs. 13,801</t>
  </si>
  <si>
    <t>AD5295</t>
  </si>
  <si>
    <t>VS20507</t>
  </si>
  <si>
    <t>Rs. 8,610</t>
  </si>
  <si>
    <t>AD5296</t>
  </si>
  <si>
    <t>VS20963</t>
  </si>
  <si>
    <t>AD5297</t>
  </si>
  <si>
    <t>VS20797</t>
  </si>
  <si>
    <t>AD5298</t>
  </si>
  <si>
    <t>VS20268</t>
  </si>
  <si>
    <t>₹9,227</t>
  </si>
  <si>
    <t>AD5299</t>
  </si>
  <si>
    <t>VS21045</t>
  </si>
  <si>
    <t>₹49,932</t>
  </si>
  <si>
    <t>AD5300</t>
  </si>
  <si>
    <t>VS20773</t>
  </si>
  <si>
    <t>AD5301</t>
  </si>
  <si>
    <t>VS20936</t>
  </si>
  <si>
    <t>AD5302</t>
  </si>
  <si>
    <t>₹8,634</t>
  </si>
  <si>
    <t>AD5303</t>
  </si>
  <si>
    <t>AD5304</t>
  </si>
  <si>
    <t>VS20082</t>
  </si>
  <si>
    <t>AD5305</t>
  </si>
  <si>
    <t>VS20248</t>
  </si>
  <si>
    <t>AD5306</t>
  </si>
  <si>
    <t>VS20121</t>
  </si>
  <si>
    <t>AD5307</t>
  </si>
  <si>
    <t>VS20935</t>
  </si>
  <si>
    <t>Rs. 6,990</t>
  </si>
  <si>
    <t>AD5308</t>
  </si>
  <si>
    <t>VS20786</t>
  </si>
  <si>
    <t>Rs. 7,556</t>
  </si>
  <si>
    <t>AD5309</t>
  </si>
  <si>
    <t>VS20987</t>
  </si>
  <si>
    <t>₹13,668</t>
  </si>
  <si>
    <t>AD5310</t>
  </si>
  <si>
    <t>₹12,539</t>
  </si>
  <si>
    <t>AD5311</t>
  </si>
  <si>
    <t>AD5312</t>
  </si>
  <si>
    <t>VS21098</t>
  </si>
  <si>
    <t>Rs. 15,625</t>
  </si>
  <si>
    <t>AD5313</t>
  </si>
  <si>
    <t>VS21078</t>
  </si>
  <si>
    <t>Rs. 40,068</t>
  </si>
  <si>
    <t>AD5314</t>
  </si>
  <si>
    <t>VS20366</t>
  </si>
  <si>
    <t>Rs. 81,854</t>
  </si>
  <si>
    <t>AD5315</t>
  </si>
  <si>
    <t>VS20410</t>
  </si>
  <si>
    <t>Rs. 15,274</t>
  </si>
  <si>
    <t>AD5316</t>
  </si>
  <si>
    <t>VS20707</t>
  </si>
  <si>
    <t>₹16,740</t>
  </si>
  <si>
    <t>AD5317</t>
  </si>
  <si>
    <t>₹12,084</t>
  </si>
  <si>
    <t>AD5318</t>
  </si>
  <si>
    <t>VS20324</t>
  </si>
  <si>
    <t>Rs. 40,289</t>
  </si>
  <si>
    <t>AD5319</t>
  </si>
  <si>
    <t>VS20814</t>
  </si>
  <si>
    <t>AD5320</t>
  </si>
  <si>
    <t>VS21160</t>
  </si>
  <si>
    <t>AD5321</t>
  </si>
  <si>
    <t>₹18,853</t>
  </si>
  <si>
    <t>AD5322</t>
  </si>
  <si>
    <t>VS20319</t>
  </si>
  <si>
    <t>Rs. 21,666</t>
  </si>
  <si>
    <t>AD5323</t>
  </si>
  <si>
    <t>VS21020</t>
  </si>
  <si>
    <t>₹12,153</t>
  </si>
  <si>
    <t>AD5324</t>
  </si>
  <si>
    <t>AD5325</t>
  </si>
  <si>
    <t>AD5326</t>
  </si>
  <si>
    <t>VS20610</t>
  </si>
  <si>
    <t>Rs. 8,200</t>
  </si>
  <si>
    <t>AD5327</t>
  </si>
  <si>
    <t>₹14,359</t>
  </si>
  <si>
    <t>AD5328</t>
  </si>
  <si>
    <t>VS20053</t>
  </si>
  <si>
    <t>₹22,370</t>
  </si>
  <si>
    <t>AD5329</t>
  </si>
  <si>
    <t>AD5330</t>
  </si>
  <si>
    <t>VS20361</t>
  </si>
  <si>
    <t>₹4,510</t>
  </si>
  <si>
    <t>AD5331</t>
  </si>
  <si>
    <t>VS20130</t>
  </si>
  <si>
    <t>₹19,751</t>
  </si>
  <si>
    <t>AD5332</t>
  </si>
  <si>
    <t>VS20032</t>
  </si>
  <si>
    <t>AD5333</t>
  </si>
  <si>
    <t>VS20421</t>
  </si>
  <si>
    <t>AD5334</t>
  </si>
  <si>
    <t>VS20683</t>
  </si>
  <si>
    <t>Rs. 18,048</t>
  </si>
  <si>
    <t>AD5335</t>
  </si>
  <si>
    <t>VS20285</t>
  </si>
  <si>
    <t>₹14,120</t>
  </si>
  <si>
    <t>AD5336</t>
  </si>
  <si>
    <t>VS20062</t>
  </si>
  <si>
    <t>AD5337</t>
  </si>
  <si>
    <t>VS20539</t>
  </si>
  <si>
    <t>AD5338</t>
  </si>
  <si>
    <t>VS20078</t>
  </si>
  <si>
    <t>₹10,451</t>
  </si>
  <si>
    <t>AD5339</t>
  </si>
  <si>
    <t>VS20303</t>
  </si>
  <si>
    <t>AD5340</t>
  </si>
  <si>
    <t>AD5341</t>
  </si>
  <si>
    <t>VS20837</t>
  </si>
  <si>
    <t>AD5342</t>
  </si>
  <si>
    <t>VS20267</t>
  </si>
  <si>
    <t>₹17,177</t>
  </si>
  <si>
    <t>AD5343</t>
  </si>
  <si>
    <t>Rs. 10,804</t>
  </si>
  <si>
    <t>AD5344</t>
  </si>
  <si>
    <t>VS20442</t>
  </si>
  <si>
    <t>AD5345</t>
  </si>
  <si>
    <t>Rs. 7,777</t>
  </si>
  <si>
    <t>AD5346</t>
  </si>
  <si>
    <t>VS20811</t>
  </si>
  <si>
    <t>AD5347</t>
  </si>
  <si>
    <t>₹9,604</t>
  </si>
  <si>
    <t>AD5348</t>
  </si>
  <si>
    <t>VS21093</t>
  </si>
  <si>
    <t>AD5349</t>
  </si>
  <si>
    <t>VS20341</t>
  </si>
  <si>
    <t>AD5350</t>
  </si>
  <si>
    <t>VS20071</t>
  </si>
  <si>
    <t>AD5351</t>
  </si>
  <si>
    <t>VS20015</t>
  </si>
  <si>
    <t>₹5,539</t>
  </si>
  <si>
    <t>AD5352</t>
  </si>
  <si>
    <t>VS20566</t>
  </si>
  <si>
    <t>₹12,244</t>
  </si>
  <si>
    <t>AD5353</t>
  </si>
  <si>
    <t>AD5354</t>
  </si>
  <si>
    <t>VS20348</t>
  </si>
  <si>
    <t>AD5355</t>
  </si>
  <si>
    <t>VS20691</t>
  </si>
  <si>
    <t>Rs. 18,284</t>
  </si>
  <si>
    <t>AD5356</t>
  </si>
  <si>
    <t>VS20020</t>
  </si>
  <si>
    <t>Rs. 6,666</t>
  </si>
  <si>
    <t>AD5357</t>
  </si>
  <si>
    <t>VS20851</t>
  </si>
  <si>
    <t>AD5358</t>
  </si>
  <si>
    <t>AD5359</t>
  </si>
  <si>
    <t>₹6,429</t>
  </si>
  <si>
    <t>AD5360</t>
  </si>
  <si>
    <t>VS20288</t>
  </si>
  <si>
    <t>AD5361</t>
  </si>
  <si>
    <t>₹4,174</t>
  </si>
  <si>
    <t>AD5362</t>
  </si>
  <si>
    <t>AD5363</t>
  </si>
  <si>
    <t>₹48,320</t>
  </si>
  <si>
    <t>AD5364</t>
  </si>
  <si>
    <t>VS20087</t>
  </si>
  <si>
    <t>₹14,101</t>
  </si>
  <si>
    <t>AD5365</t>
  </si>
  <si>
    <t>VS20385</t>
  </si>
  <si>
    <t>₹10,622</t>
  </si>
  <si>
    <t>AD5366</t>
  </si>
  <si>
    <t>VS20001</t>
  </si>
  <si>
    <t>Rs. 11,017</t>
  </si>
  <si>
    <t>AD5367</t>
  </si>
  <si>
    <t>VS20597</t>
  </si>
  <si>
    <t>₹11,107</t>
  </si>
  <si>
    <t>AD5368</t>
  </si>
  <si>
    <t>VS20044</t>
  </si>
  <si>
    <t>₹6,262</t>
  </si>
  <si>
    <t>AD5369</t>
  </si>
  <si>
    <t>Rs. 4,981</t>
  </si>
  <si>
    <t>AD5370</t>
  </si>
  <si>
    <t>₹17,940</t>
  </si>
  <si>
    <t>AD5371</t>
  </si>
  <si>
    <t>VS21130</t>
  </si>
  <si>
    <t>Rs. 68,351</t>
  </si>
  <si>
    <t>AD5372</t>
  </si>
  <si>
    <t>VS20043</t>
  </si>
  <si>
    <t>AD5373</t>
  </si>
  <si>
    <t>VS20906</t>
  </si>
  <si>
    <t>AD5374</t>
  </si>
  <si>
    <t>₹13,454</t>
  </si>
  <si>
    <t>AD5375</t>
  </si>
  <si>
    <t>VS20294</t>
  </si>
  <si>
    <t>₹9,839</t>
  </si>
  <si>
    <t>AD5376</t>
  </si>
  <si>
    <t>VS20283</t>
  </si>
  <si>
    <t>Rs. 71,574</t>
  </si>
  <si>
    <t>AD5377</t>
  </si>
  <si>
    <t>AD5378</t>
  </si>
  <si>
    <t>VS20765</t>
  </si>
  <si>
    <t>AD5379</t>
  </si>
  <si>
    <t>VS20812</t>
  </si>
  <si>
    <t>₹4,968</t>
  </si>
  <si>
    <t>AD5380</t>
  </si>
  <si>
    <t>VS20109</t>
  </si>
  <si>
    <t>AD5381</t>
  </si>
  <si>
    <t>VS21142</t>
  </si>
  <si>
    <t>₹6,782</t>
  </si>
  <si>
    <t>AD5382</t>
  </si>
  <si>
    <t>₹6,985</t>
  </si>
  <si>
    <t>AD5383</t>
  </si>
  <si>
    <t>AD5384</t>
  </si>
  <si>
    <t>VS21173</t>
  </si>
  <si>
    <t>Rs. 16,589</t>
  </si>
  <si>
    <t>AD5385</t>
  </si>
  <si>
    <t>VS20223</t>
  </si>
  <si>
    <t>AD5386</t>
  </si>
  <si>
    <t>VS20723</t>
  </si>
  <si>
    <t>AD5387</t>
  </si>
  <si>
    <t>VS20430</t>
  </si>
  <si>
    <t>AD5388</t>
  </si>
  <si>
    <t>AD5389</t>
  </si>
  <si>
    <t>VS20310</t>
  </si>
  <si>
    <t>₹38,064</t>
  </si>
  <si>
    <t>AD5390</t>
  </si>
  <si>
    <t>VS20000</t>
  </si>
  <si>
    <t>Rs. 16,472</t>
  </si>
  <si>
    <t>AD5391</t>
  </si>
  <si>
    <t>AD5392</t>
  </si>
  <si>
    <t>VS20227</t>
  </si>
  <si>
    <t>₹73,063</t>
  </si>
  <si>
    <t>AD5393</t>
  </si>
  <si>
    <t>Rs. 18,520</t>
  </si>
  <si>
    <t>AD5394</t>
  </si>
  <si>
    <t>VS20063</t>
  </si>
  <si>
    <t>₹61,940</t>
  </si>
  <si>
    <t>AD5395</t>
  </si>
  <si>
    <t>₹41,572</t>
  </si>
  <si>
    <t>AD5396</t>
  </si>
  <si>
    <t>VS20186</t>
  </si>
  <si>
    <t>AD5397</t>
  </si>
  <si>
    <t>VS20182</t>
  </si>
  <si>
    <t>₹3,109</t>
  </si>
  <si>
    <t>AD5398</t>
  </si>
  <si>
    <t>VS20840</t>
  </si>
  <si>
    <t>Rs. 6,773</t>
  </si>
  <si>
    <t>AD5399</t>
  </si>
  <si>
    <t>VS20546</t>
  </si>
  <si>
    <t>AD5400</t>
  </si>
  <si>
    <t>VS20150</t>
  </si>
  <si>
    <t>Rs. 10,070</t>
  </si>
  <si>
    <t>AD5401</t>
  </si>
  <si>
    <t>VS20463</t>
  </si>
  <si>
    <t>₹74,614</t>
  </si>
  <si>
    <t>AD5402</t>
  </si>
  <si>
    <t>VS20518</t>
  </si>
  <si>
    <t>AD5403</t>
  </si>
  <si>
    <t>VS20532</t>
  </si>
  <si>
    <t>AD5404</t>
  </si>
  <si>
    <t>VS20393</t>
  </si>
  <si>
    <t>Rs. 12,655</t>
  </si>
  <si>
    <t>AD5405</t>
  </si>
  <si>
    <t>₹9,301</t>
  </si>
  <si>
    <t>AD5406</t>
  </si>
  <si>
    <t>VS21061</t>
  </si>
  <si>
    <t>AD5407</t>
  </si>
  <si>
    <t>VS20955</t>
  </si>
  <si>
    <t>AD5408</t>
  </si>
  <si>
    <t>AD5409</t>
  </si>
  <si>
    <t>VS20279</t>
  </si>
  <si>
    <t>Rs. 8,654</t>
  </si>
  <si>
    <t>AD5410</t>
  </si>
  <si>
    <t>VS20902</t>
  </si>
  <si>
    <t>AD5411</t>
  </si>
  <si>
    <t>VS20995</t>
  </si>
  <si>
    <t>AD5412</t>
  </si>
  <si>
    <t>VS20092</t>
  </si>
  <si>
    <t>AD5413</t>
  </si>
  <si>
    <t>VS20049</t>
  </si>
  <si>
    <t>₹23,020</t>
  </si>
  <si>
    <t>AD5414</t>
  </si>
  <si>
    <t>₹4,933</t>
  </si>
  <si>
    <t>AD5415</t>
  </si>
  <si>
    <t>VS21049</t>
  </si>
  <si>
    <t>AD5416</t>
  </si>
  <si>
    <t>₹48,617</t>
  </si>
  <si>
    <t>AD5417</t>
  </si>
  <si>
    <t>VS20813</t>
  </si>
  <si>
    <t>AD5418</t>
  </si>
  <si>
    <t>VS20120</t>
  </si>
  <si>
    <t>AD5419</t>
  </si>
  <si>
    <t>VS20402</t>
  </si>
  <si>
    <t>₹16,432</t>
  </si>
  <si>
    <t>AD5420</t>
  </si>
  <si>
    <t>AD5421</t>
  </si>
  <si>
    <t>VS20159</t>
  </si>
  <si>
    <t>AD5422</t>
  </si>
  <si>
    <t>VS20075</t>
  </si>
  <si>
    <t>Rs. 10,302</t>
  </si>
  <si>
    <t>AD5423</t>
  </si>
  <si>
    <t>VS21063</t>
  </si>
  <si>
    <t>Rs. 3,622</t>
  </si>
  <si>
    <t>AD5424</t>
  </si>
  <si>
    <t>VS20887</t>
  </si>
  <si>
    <t>Rs. 17,566</t>
  </si>
  <si>
    <t>AD5425</t>
  </si>
  <si>
    <t>Rs. 23,054</t>
  </si>
  <si>
    <t>AD5426</t>
  </si>
  <si>
    <t>VS21057</t>
  </si>
  <si>
    <t>AD5427</t>
  </si>
  <si>
    <t>AD5428</t>
  </si>
  <si>
    <t>VS20984</t>
  </si>
  <si>
    <t>AD5429</t>
  </si>
  <si>
    <t>VS20650</t>
  </si>
  <si>
    <t>Rs. 5,878</t>
  </si>
  <si>
    <t>AD5430</t>
  </si>
  <si>
    <t>VS20875</t>
  </si>
  <si>
    <t>AD5431</t>
  </si>
  <si>
    <t>VS20588</t>
  </si>
  <si>
    <t>₹23,406</t>
  </si>
  <si>
    <t>AD5432</t>
  </si>
  <si>
    <t>₹12,314</t>
  </si>
  <si>
    <t>AD5433</t>
  </si>
  <si>
    <t>VS20476</t>
  </si>
  <si>
    <t>AD5434</t>
  </si>
  <si>
    <t>VS20095</t>
  </si>
  <si>
    <t>Rs. 18,373</t>
  </si>
  <si>
    <t>AD5435</t>
  </si>
  <si>
    <t>VS20910</t>
  </si>
  <si>
    <t>AD5436</t>
  </si>
  <si>
    <t>₹9,876</t>
  </si>
  <si>
    <t>AD5437</t>
  </si>
  <si>
    <t>Rs. 45,709</t>
  </si>
  <si>
    <t>AD5438</t>
  </si>
  <si>
    <t>VS20709</t>
  </si>
  <si>
    <t>AD5439</t>
  </si>
  <si>
    <t>VS21149</t>
  </si>
  <si>
    <t>Rs. 18,952</t>
  </si>
  <si>
    <t>AD5440</t>
  </si>
  <si>
    <t>VS20961</t>
  </si>
  <si>
    <t>AD5441</t>
  </si>
  <si>
    <t>Rs. 10,884</t>
  </si>
  <si>
    <t>AD5442</t>
  </si>
  <si>
    <t>VS20296</t>
  </si>
  <si>
    <t>AD5443</t>
  </si>
  <si>
    <t>VS20357</t>
  </si>
  <si>
    <t>AD5444</t>
  </si>
  <si>
    <t>Rs. 7,217</t>
  </si>
  <si>
    <t>AD5445</t>
  </si>
  <si>
    <t>AD5446</t>
  </si>
  <si>
    <t>VS20073</t>
  </si>
  <si>
    <t>AD5447</t>
  </si>
  <si>
    <t>VS20042</t>
  </si>
  <si>
    <t>AD5448</t>
  </si>
  <si>
    <t>AD5449</t>
  </si>
  <si>
    <t>Rs. 87,734</t>
  </si>
  <si>
    <t>AD5450</t>
  </si>
  <si>
    <t>VS21199</t>
  </si>
  <si>
    <t>Rs. 35,465</t>
  </si>
  <si>
    <t>AD5451</t>
  </si>
  <si>
    <t>AD5452</t>
  </si>
  <si>
    <t>AD5453</t>
  </si>
  <si>
    <t>VS21039</t>
  </si>
  <si>
    <t>AD5454</t>
  </si>
  <si>
    <t>VS20779</t>
  </si>
  <si>
    <t>₹5,896</t>
  </si>
  <si>
    <t>AD5455</t>
  </si>
  <si>
    <t>AD5456</t>
  </si>
  <si>
    <t>VS20332</t>
  </si>
  <si>
    <t>AD5457</t>
  </si>
  <si>
    <t>VS20102</t>
  </si>
  <si>
    <t>Rs. 3,286</t>
  </si>
  <si>
    <t>AD5458</t>
  </si>
  <si>
    <t>₹7,520</t>
  </si>
  <si>
    <t>AD5459</t>
  </si>
  <si>
    <t>VS20659</t>
  </si>
  <si>
    <t>AD5460</t>
  </si>
  <si>
    <t>VS20900</t>
  </si>
  <si>
    <t>Rs. 7,407</t>
  </si>
  <si>
    <t>AD5461</t>
  </si>
  <si>
    <t>VS20742</t>
  </si>
  <si>
    <t>AD5462</t>
  </si>
  <si>
    <t>VS20321</t>
  </si>
  <si>
    <t>AD5463</t>
  </si>
  <si>
    <t>VS21123</t>
  </si>
  <si>
    <t>Rs. 16,968</t>
  </si>
  <si>
    <t>AD5464</t>
  </si>
  <si>
    <t>AD5465</t>
  </si>
  <si>
    <t>AD5466</t>
  </si>
  <si>
    <t>VS20435</t>
  </si>
  <si>
    <t>Rs. 4,140</t>
  </si>
  <si>
    <t>AD5467</t>
  </si>
  <si>
    <t>VS21025</t>
  </si>
  <si>
    <t>AD5468</t>
  </si>
  <si>
    <t>Rs. 9,248</t>
  </si>
  <si>
    <t>AD5469</t>
  </si>
  <si>
    <t>VS20125</t>
  </si>
  <si>
    <t>AD5470</t>
  </si>
  <si>
    <t>Rs. 7,972</t>
  </si>
  <si>
    <t>AD5471</t>
  </si>
  <si>
    <t>VS21101</t>
  </si>
  <si>
    <t>AD5472</t>
  </si>
  <si>
    <t>VS20292</t>
  </si>
  <si>
    <t>₹18,411</t>
  </si>
  <si>
    <t>AD5473</t>
  </si>
  <si>
    <t>Rs. 22,874</t>
  </si>
  <si>
    <t>AD5474</t>
  </si>
  <si>
    <t>VS20668</t>
  </si>
  <si>
    <t>₹6,194</t>
  </si>
  <si>
    <t>AD5475</t>
  </si>
  <si>
    <t>VS20746</t>
  </si>
  <si>
    <t>AD5476</t>
  </si>
  <si>
    <t>VS20404</t>
  </si>
  <si>
    <t>AD5477</t>
  </si>
  <si>
    <t>VS20558</t>
  </si>
  <si>
    <t>₹12,225</t>
  </si>
  <si>
    <t>AD5478</t>
  </si>
  <si>
    <t>VS20520</t>
  </si>
  <si>
    <t>AD5479</t>
  </si>
  <si>
    <t>Rs. 10,262</t>
  </si>
  <si>
    <t>AD5480</t>
  </si>
  <si>
    <t>₹4,760</t>
  </si>
  <si>
    <t>AD5481</t>
  </si>
  <si>
    <t>VS20928</t>
  </si>
  <si>
    <t>Rs. 11,160</t>
  </si>
  <si>
    <t>AD5482</t>
  </si>
  <si>
    <t>VS20591</t>
  </si>
  <si>
    <t>₹82,924</t>
  </si>
  <si>
    <t>AD5483</t>
  </si>
  <si>
    <t>VS20123</t>
  </si>
  <si>
    <t>AD5484</t>
  </si>
  <si>
    <t>VS20022</t>
  </si>
  <si>
    <t>Rs. 5,322</t>
  </si>
  <si>
    <t>AD5485</t>
  </si>
  <si>
    <t>VS20432</t>
  </si>
  <si>
    <t>Rs. 8,183</t>
  </si>
  <si>
    <t>AD5486</t>
  </si>
  <si>
    <t>VS21138</t>
  </si>
  <si>
    <t>Rs. 3,462</t>
  </si>
  <si>
    <t>AD5487</t>
  </si>
  <si>
    <t>VS20467</t>
  </si>
  <si>
    <t>AD5488</t>
  </si>
  <si>
    <t>AD5489</t>
  </si>
  <si>
    <t>VS20552</t>
  </si>
  <si>
    <t>AD5490</t>
  </si>
  <si>
    <t>Rs. 15,491</t>
  </si>
  <si>
    <t>AD5491</t>
  </si>
  <si>
    <t>VS20210</t>
  </si>
  <si>
    <t>AD5492</t>
  </si>
  <si>
    <t>VS20614</t>
  </si>
  <si>
    <t>AD5493</t>
  </si>
  <si>
    <t>VS20721</t>
  </si>
  <si>
    <t>AD5494</t>
  </si>
  <si>
    <t>VS20661</t>
  </si>
  <si>
    <t>Rs. 8,289</t>
  </si>
  <si>
    <t>AD5495</t>
  </si>
  <si>
    <t>AD5496</t>
  </si>
  <si>
    <t>VS20522</t>
  </si>
  <si>
    <t>AD5497</t>
  </si>
  <si>
    <t>Rs. 9,609</t>
  </si>
  <si>
    <t>AD5498</t>
  </si>
  <si>
    <t>VS20173</t>
  </si>
  <si>
    <t>Rs. 17,863</t>
  </si>
  <si>
    <t>AD5499</t>
  </si>
  <si>
    <t>₹23,556</t>
  </si>
  <si>
    <t>AD5500</t>
  </si>
  <si>
    <t>VS20735</t>
  </si>
  <si>
    <t>₹76,437</t>
  </si>
  <si>
    <t>AD5501</t>
  </si>
  <si>
    <t>VS20714</t>
  </si>
  <si>
    <t>₹13,177</t>
  </si>
  <si>
    <t>AD5502</t>
  </si>
  <si>
    <t>VS20221</t>
  </si>
  <si>
    <t>Rs. 6,418</t>
  </si>
  <si>
    <t>AD5503</t>
  </si>
  <si>
    <t>VS20175</t>
  </si>
  <si>
    <t>₹19,783</t>
  </si>
  <si>
    <t>AD5504</t>
  </si>
  <si>
    <t>₹15,843</t>
  </si>
  <si>
    <t>AD5505</t>
  </si>
  <si>
    <t>₹9,048</t>
  </si>
  <si>
    <t>AD5506</t>
  </si>
  <si>
    <t>VS21086</t>
  </si>
  <si>
    <t>AD5507</t>
  </si>
  <si>
    <t>VS20744</t>
  </si>
  <si>
    <t>Rs. 82,559</t>
  </si>
  <si>
    <t>AD5508</t>
  </si>
  <si>
    <t>VS20637</t>
  </si>
  <si>
    <t>₹15,115</t>
  </si>
  <si>
    <t>AD5509</t>
  </si>
  <si>
    <t>VS20177</t>
  </si>
  <si>
    <t>₹3,624</t>
  </si>
  <si>
    <t>AD5510</t>
  </si>
  <si>
    <t>₹8,790</t>
  </si>
  <si>
    <t>AD5511</t>
  </si>
  <si>
    <t>VS21113</t>
  </si>
  <si>
    <t>AD5512</t>
  </si>
  <si>
    <t>Rs. 13,141</t>
  </si>
  <si>
    <t>AD5513</t>
  </si>
  <si>
    <t>Rs. 59,470</t>
  </si>
  <si>
    <t>AD5514</t>
  </si>
  <si>
    <t>VS20037</t>
  </si>
  <si>
    <t>Rs. 17,413</t>
  </si>
  <si>
    <t>AD5515</t>
  </si>
  <si>
    <t>VS20880</t>
  </si>
  <si>
    <t>Rs. 7,410</t>
  </si>
  <si>
    <t>AD5516</t>
  </si>
  <si>
    <t>VS20529</t>
  </si>
  <si>
    <t>AD5517</t>
  </si>
  <si>
    <t>₹8,226</t>
  </si>
  <si>
    <t>AD5518</t>
  </si>
  <si>
    <t>Rs. 46,022</t>
  </si>
  <si>
    <t>AD5519</t>
  </si>
  <si>
    <t>VS20161</t>
  </si>
  <si>
    <t>Rs. 18,091</t>
  </si>
  <si>
    <t>AD5520</t>
  </si>
  <si>
    <t>VS20852</t>
  </si>
  <si>
    <t>AD5521</t>
  </si>
  <si>
    <t>VS20089</t>
  </si>
  <si>
    <t>AD5522</t>
  </si>
  <si>
    <t>VS20842</t>
  </si>
  <si>
    <t>AD5523</t>
  </si>
  <si>
    <t>VS20834</t>
  </si>
  <si>
    <t>Rs. 16,960</t>
  </si>
  <si>
    <t>AD5524</t>
  </si>
  <si>
    <t>VS20630</t>
  </si>
  <si>
    <t>AD5525</t>
  </si>
  <si>
    <t>₹3,678</t>
  </si>
  <si>
    <t>AD5526</t>
  </si>
  <si>
    <t>VS20733</t>
  </si>
  <si>
    <t>₹15,329</t>
  </si>
  <si>
    <t>AD5527</t>
  </si>
  <si>
    <t>VS21196</t>
  </si>
  <si>
    <t>AD5528</t>
  </si>
  <si>
    <t>Rs. 4,632</t>
  </si>
  <si>
    <t>AD5529</t>
  </si>
  <si>
    <t>VS20801</t>
  </si>
  <si>
    <t>AD5530</t>
  </si>
  <si>
    <t>VS20899</t>
  </si>
  <si>
    <t>AD5531</t>
  </si>
  <si>
    <t>VS20137</t>
  </si>
  <si>
    <t>Rs. 19,437</t>
  </si>
  <si>
    <t>AD5532</t>
  </si>
  <si>
    <t>VS20215</t>
  </si>
  <si>
    <t>Rs. 83,926</t>
  </si>
  <si>
    <t>AD5533</t>
  </si>
  <si>
    <t>Rs. 7,365</t>
  </si>
  <si>
    <t>AD5534</t>
  </si>
  <si>
    <t>VS20201</t>
  </si>
  <si>
    <t>₹13,205</t>
  </si>
  <si>
    <t>AD5535</t>
  </si>
  <si>
    <t>VS21094</t>
  </si>
  <si>
    <t>AD5536</t>
  </si>
  <si>
    <t>VS20229</t>
  </si>
  <si>
    <t>Rs. 13,403</t>
  </si>
  <si>
    <t>AD5537</t>
  </si>
  <si>
    <t>VS20635</t>
  </si>
  <si>
    <t>₹31,284</t>
  </si>
  <si>
    <t>AD5538</t>
  </si>
  <si>
    <t>AD5539</t>
  </si>
  <si>
    <t>AD5540</t>
  </si>
  <si>
    <t>VS20494</t>
  </si>
  <si>
    <t>AD5541</t>
  </si>
  <si>
    <t>VS20885</t>
  </si>
  <si>
    <t>₹30,689</t>
  </si>
  <si>
    <t>AD5542</t>
  </si>
  <si>
    <t>VS20122</t>
  </si>
  <si>
    <t>Rs. 19,968</t>
  </si>
  <si>
    <t>AD5543</t>
  </si>
  <si>
    <t>VS20112</t>
  </si>
  <si>
    <t>₹11,268</t>
  </si>
  <si>
    <t>AD5544</t>
  </si>
  <si>
    <t>VS20876</t>
  </si>
  <si>
    <t>Rs. 12,504</t>
  </si>
  <si>
    <t>AD5545</t>
  </si>
  <si>
    <t>Rs. 16,612</t>
  </si>
  <si>
    <t>AD5546</t>
  </si>
  <si>
    <t>AD5547</t>
  </si>
  <si>
    <t>₹3,612</t>
  </si>
  <si>
    <t>AD5548</t>
  </si>
  <si>
    <t>VS21177</t>
  </si>
  <si>
    <t>Rs. 4,497</t>
  </si>
  <si>
    <t>AD5549</t>
  </si>
  <si>
    <t>AD5550</t>
  </si>
  <si>
    <t>AD5551</t>
  </si>
  <si>
    <t>₹63,717</t>
  </si>
  <si>
    <t>AD5552</t>
  </si>
  <si>
    <t>AD5553</t>
  </si>
  <si>
    <t>VS21204</t>
  </si>
  <si>
    <t>AD5554</t>
  </si>
  <si>
    <t>Rs. 15,937</t>
  </si>
  <si>
    <t>AD5555</t>
  </si>
  <si>
    <t>₹5,771</t>
  </si>
  <si>
    <t>AD5556</t>
  </si>
  <si>
    <t>AD5557</t>
  </si>
  <si>
    <t>VS20925</t>
  </si>
  <si>
    <t>₹10,017</t>
  </si>
  <si>
    <t>AD5558</t>
  </si>
  <si>
    <t>VS20817</t>
  </si>
  <si>
    <t>AD5559</t>
  </si>
  <si>
    <t>VS21062</t>
  </si>
  <si>
    <t>₹38,802</t>
  </si>
  <si>
    <t>AD5560</t>
  </si>
  <si>
    <t>VS20874</t>
  </si>
  <si>
    <t>Rs. 62,376</t>
  </si>
  <si>
    <t>AD5561</t>
  </si>
  <si>
    <t>VS20781</t>
  </si>
  <si>
    <t>₹43,114</t>
  </si>
  <si>
    <t>AD5562</t>
  </si>
  <si>
    <t>VS20510</t>
  </si>
  <si>
    <t>AD5563</t>
  </si>
  <si>
    <t>VS20946</t>
  </si>
  <si>
    <t>Rs. 87,557</t>
  </si>
  <si>
    <t>AD5564</t>
  </si>
  <si>
    <t>VS20405</t>
  </si>
  <si>
    <t>Rs. 11,848</t>
  </si>
  <si>
    <t>AD5565</t>
  </si>
  <si>
    <t>VS20238</t>
  </si>
  <si>
    <t>AD5566</t>
  </si>
  <si>
    <t>AD5567</t>
  </si>
  <si>
    <t>VS20344</t>
  </si>
  <si>
    <t>Rs. 10,660</t>
  </si>
  <si>
    <t>AD5568</t>
  </si>
  <si>
    <t>VS21079</t>
  </si>
  <si>
    <t>₹8,747</t>
  </si>
  <si>
    <t>AD5569</t>
  </si>
  <si>
    <t>₹6,201</t>
  </si>
  <si>
    <t>AD5570</t>
  </si>
  <si>
    <t>VS20770</t>
  </si>
  <si>
    <t>AD5571</t>
  </si>
  <si>
    <t>VS20171</t>
  </si>
  <si>
    <t>AD5572</t>
  </si>
  <si>
    <t>VS21174</t>
  </si>
  <si>
    <t>AD5573</t>
  </si>
  <si>
    <t>VS20261</t>
  </si>
  <si>
    <t>AD5574</t>
  </si>
  <si>
    <t>VS20057</t>
  </si>
  <si>
    <t>AD5575</t>
  </si>
  <si>
    <t>VS20670</t>
  </si>
  <si>
    <t>AD5576</t>
  </si>
  <si>
    <t>VS20100</t>
  </si>
  <si>
    <t>AD5577</t>
  </si>
  <si>
    <t>₹17,146</t>
  </si>
  <si>
    <t>AD5578</t>
  </si>
  <si>
    <t>Rs. 18,670</t>
  </si>
  <si>
    <t>AD5579</t>
  </si>
  <si>
    <t>VS20164</t>
  </si>
  <si>
    <t>Rs. 14,171</t>
  </si>
  <si>
    <t>AD5580</t>
  </si>
  <si>
    <t>VS20166</t>
  </si>
  <si>
    <t>Rs. 7,490</t>
  </si>
  <si>
    <t>AD5581</t>
  </si>
  <si>
    <t>VS20537</t>
  </si>
  <si>
    <t>Rs. 7,722</t>
  </si>
  <si>
    <t>AD5582</t>
  </si>
  <si>
    <t>VS20473</t>
  </si>
  <si>
    <t>AD5583</t>
  </si>
  <si>
    <t>VS21153</t>
  </si>
  <si>
    <t>₹17,048</t>
  </si>
  <si>
    <t>AD5584</t>
  </si>
  <si>
    <t>VS20512</t>
  </si>
  <si>
    <t>AD5585</t>
  </si>
  <si>
    <t>₹34,305</t>
  </si>
  <si>
    <t>AD5586</t>
  </si>
  <si>
    <t>VS20336</t>
  </si>
  <si>
    <t>AD5587</t>
  </si>
  <si>
    <t>VS20155</t>
  </si>
  <si>
    <t>AD5588</t>
  </si>
  <si>
    <t>Rs. 10,032</t>
  </si>
  <si>
    <t>AD5589</t>
  </si>
  <si>
    <t>VS20258</t>
  </si>
  <si>
    <t>₹12,811</t>
  </si>
  <si>
    <t>AD5590</t>
  </si>
  <si>
    <t>VS20287</t>
  </si>
  <si>
    <t>AD5591</t>
  </si>
  <si>
    <t>VS21029</t>
  </si>
  <si>
    <t>₹62,803</t>
  </si>
  <si>
    <t>AD5592</t>
  </si>
  <si>
    <t>VS20994</t>
  </si>
  <si>
    <t>₹69,841</t>
  </si>
  <si>
    <t>AD5593</t>
  </si>
  <si>
    <t>VS20198</t>
  </si>
  <si>
    <t>AD5594</t>
  </si>
  <si>
    <t>VS20418</t>
  </si>
  <si>
    <t>AD5595</t>
  </si>
  <si>
    <t>Rs. 14,600</t>
  </si>
  <si>
    <t>AD5596</t>
  </si>
  <si>
    <t>VS20351</t>
  </si>
  <si>
    <t>Rs. 63,416</t>
  </si>
  <si>
    <t>AD5597</t>
  </si>
  <si>
    <t>VS21146</t>
  </si>
  <si>
    <t>AD5598</t>
  </si>
  <si>
    <t>VS20802</t>
  </si>
  <si>
    <t>₹89,094</t>
  </si>
  <si>
    <t>AD5599</t>
  </si>
  <si>
    <t>VS20394</t>
  </si>
  <si>
    <t>AD5600</t>
  </si>
  <si>
    <t>AD5601</t>
  </si>
  <si>
    <t>VS20894</t>
  </si>
  <si>
    <t>Rs. 19,034</t>
  </si>
  <si>
    <t>AD5602</t>
  </si>
  <si>
    <t>VS20845</t>
  </si>
  <si>
    <t>AD5603</t>
  </si>
  <si>
    <t>VS20913</t>
  </si>
  <si>
    <t>Rs. 29,943</t>
  </si>
  <si>
    <t>AD5604</t>
  </si>
  <si>
    <t>VS20046</t>
  </si>
  <si>
    <t>Rs. 85,271</t>
  </si>
  <si>
    <t>AD5605</t>
  </si>
  <si>
    <t>₹71,880</t>
  </si>
  <si>
    <t>AD5606</t>
  </si>
  <si>
    <t>VS20440</t>
  </si>
  <si>
    <t>₹5,259</t>
  </si>
  <si>
    <t>AD5607</t>
  </si>
  <si>
    <t>VS21072</t>
  </si>
  <si>
    <t>Rs. 5,248</t>
  </si>
  <si>
    <t>AD5608</t>
  </si>
  <si>
    <t>VS21023</t>
  </si>
  <si>
    <t>Rs. 16,547</t>
  </si>
  <si>
    <t>AD5609</t>
  </si>
  <si>
    <t>VS20019</t>
  </si>
  <si>
    <t>Rs. 14,623</t>
  </si>
  <si>
    <t>AD5610</t>
  </si>
  <si>
    <t>AD5611</t>
  </si>
  <si>
    <t>VS20516</t>
  </si>
  <si>
    <t>₹67,507</t>
  </si>
  <si>
    <t>AD5612</t>
  </si>
  <si>
    <t>AD5613</t>
  </si>
  <si>
    <t>VS20297</t>
  </si>
  <si>
    <t>AD5614</t>
  </si>
  <si>
    <t>AD5615</t>
  </si>
  <si>
    <t>VS20569</t>
  </si>
  <si>
    <t>AD5616</t>
  </si>
  <si>
    <t>VS20564</t>
  </si>
  <si>
    <t>Rs. 13,633</t>
  </si>
  <si>
    <t>AD5617</t>
  </si>
  <si>
    <t>VS20515</t>
  </si>
  <si>
    <t>AD5618</t>
  </si>
  <si>
    <t>VS21184</t>
  </si>
  <si>
    <t>₹44,459</t>
  </si>
  <si>
    <t>AD5619</t>
  </si>
  <si>
    <t>AD5620</t>
  </si>
  <si>
    <t>VS20262</t>
  </si>
  <si>
    <t>Rs. 19,783</t>
  </si>
  <si>
    <t>AD5621</t>
  </si>
  <si>
    <t>VS21014</t>
  </si>
  <si>
    <t>AD5622</t>
  </si>
  <si>
    <t>VS20233</t>
  </si>
  <si>
    <t>AD5623</t>
  </si>
  <si>
    <t>VS20711</t>
  </si>
  <si>
    <t>Rs. 61,118</t>
  </si>
  <si>
    <t>AD5624</t>
  </si>
  <si>
    <t>Rs. 16,918</t>
  </si>
  <si>
    <t>AD5625</t>
  </si>
  <si>
    <t>AD5626</t>
  </si>
  <si>
    <t>VS20099</t>
  </si>
  <si>
    <t>₹72,632</t>
  </si>
  <si>
    <t>AD5627</t>
  </si>
  <si>
    <t>VS20752</t>
  </si>
  <si>
    <t>AD5628</t>
  </si>
  <si>
    <t>Rs. 49,076</t>
  </si>
  <si>
    <t>AD5629</t>
  </si>
  <si>
    <t>₹45,965</t>
  </si>
  <si>
    <t>AD5630</t>
  </si>
  <si>
    <t>VS20567</t>
  </si>
  <si>
    <t>₹19,936</t>
  </si>
  <si>
    <t>AD5631</t>
  </si>
  <si>
    <t>VS20204</t>
  </si>
  <si>
    <t>Rs. 17,235</t>
  </si>
  <si>
    <t>AD5632</t>
  </si>
  <si>
    <t>VS20648</t>
  </si>
  <si>
    <t>AD5633</t>
  </si>
  <si>
    <t>AD5634</t>
  </si>
  <si>
    <t>VS20982</t>
  </si>
  <si>
    <t>AD5635</t>
  </si>
  <si>
    <t>VS20561</t>
  </si>
  <si>
    <t>Rs. 29,202</t>
  </si>
  <si>
    <t>AD5636</t>
  </si>
  <si>
    <t>AD5637</t>
  </si>
  <si>
    <t>VS20628</t>
  </si>
  <si>
    <t>AD5638</t>
  </si>
  <si>
    <t>VS20698</t>
  </si>
  <si>
    <t>AD5639</t>
  </si>
  <si>
    <t>VS20625</t>
  </si>
  <si>
    <t>AD5640</t>
  </si>
  <si>
    <t>VS20200</t>
  </si>
  <si>
    <t>AD5641</t>
  </si>
  <si>
    <t>VS20712</t>
  </si>
  <si>
    <t>AD5642</t>
  </si>
  <si>
    <t>₹15,837</t>
  </si>
  <si>
    <t>AD5643</t>
  </si>
  <si>
    <t>AD5644</t>
  </si>
  <si>
    <t>VS21180</t>
  </si>
  <si>
    <t>AD5645</t>
  </si>
  <si>
    <t>AD5646</t>
  </si>
  <si>
    <t>AD5647</t>
  </si>
  <si>
    <t>₹9,928</t>
  </si>
  <si>
    <t>AD5648</t>
  </si>
  <si>
    <t>AD5649</t>
  </si>
  <si>
    <t>AD5650</t>
  </si>
  <si>
    <t>AD5651</t>
  </si>
  <si>
    <t>VS21141</t>
  </si>
  <si>
    <t>₹10,473</t>
  </si>
  <si>
    <t>AD5652</t>
  </si>
  <si>
    <t>AD5653</t>
  </si>
  <si>
    <t>VS20881</t>
  </si>
  <si>
    <t>Rs. 18,229</t>
  </si>
  <si>
    <t>AD5654</t>
  </si>
  <si>
    <t>VS20785</t>
  </si>
  <si>
    <t>AD5655</t>
  </si>
  <si>
    <t>VS20167</t>
  </si>
  <si>
    <t>₹18,886</t>
  </si>
  <si>
    <t>AD5656</t>
  </si>
  <si>
    <t>AD5657</t>
  </si>
  <si>
    <t>VS20914</t>
  </si>
  <si>
    <t>₹15,100</t>
  </si>
  <si>
    <t>AD5658</t>
  </si>
  <si>
    <t>VS20389</t>
  </si>
  <si>
    <t>Rs. 8,434</t>
  </si>
  <si>
    <t>AD5659</t>
  </si>
  <si>
    <t>VS21150</t>
  </si>
  <si>
    <t>Rs. 6,027</t>
  </si>
  <si>
    <t>AD5660</t>
  </si>
  <si>
    <t>₹19,154</t>
  </si>
  <si>
    <t>AD5661</t>
  </si>
  <si>
    <t>VS20363</t>
  </si>
  <si>
    <t>₹4,575</t>
  </si>
  <si>
    <t>AD5662</t>
  </si>
  <si>
    <t>₹17,291</t>
  </si>
  <si>
    <t>AD5663</t>
  </si>
  <si>
    <t>VS20926</t>
  </si>
  <si>
    <t>AD5664</t>
  </si>
  <si>
    <t>AD5665</t>
  </si>
  <si>
    <t>VS20176</t>
  </si>
  <si>
    <t>AD5666</t>
  </si>
  <si>
    <t>VS20985</t>
  </si>
  <si>
    <t>AD5667</t>
  </si>
  <si>
    <t>VS20497</t>
  </si>
  <si>
    <t>Rs. 9,447</t>
  </si>
  <si>
    <t>AD5668</t>
  </si>
  <si>
    <t>AD5669</t>
  </si>
  <si>
    <t>VS20891</t>
  </si>
  <si>
    <t>AD5670</t>
  </si>
  <si>
    <t>AD5671</t>
  </si>
  <si>
    <t>VS20219</t>
  </si>
  <si>
    <t>AD5672</t>
  </si>
  <si>
    <t>VS21073</t>
  </si>
  <si>
    <t>AD5673</t>
  </si>
  <si>
    <t>VS21115</t>
  </si>
  <si>
    <t>AD5674</t>
  </si>
  <si>
    <t>VS20018</t>
  </si>
  <si>
    <t>₹83,066</t>
  </si>
  <si>
    <t>AD5675</t>
  </si>
  <si>
    <t>VS21067</t>
  </si>
  <si>
    <t>Rs. 31,527</t>
  </si>
  <si>
    <t>AD5676</t>
  </si>
  <si>
    <t>VS20134</t>
  </si>
  <si>
    <t>AD5677</t>
  </si>
  <si>
    <t>VS20941</t>
  </si>
  <si>
    <t>₹6,722</t>
  </si>
  <si>
    <t>AD5678</t>
  </si>
  <si>
    <t>VS21035</t>
  </si>
  <si>
    <t>AD5679</t>
  </si>
  <si>
    <t>VS20424</t>
  </si>
  <si>
    <t>AD5680</t>
  </si>
  <si>
    <t>AD5681</t>
  </si>
  <si>
    <t>AD5682</t>
  </si>
  <si>
    <t>VS20807</t>
  </si>
  <si>
    <t>AD5683</t>
  </si>
  <si>
    <t>VS20543</t>
  </si>
  <si>
    <t>₹18,384</t>
  </si>
  <si>
    <t>AD5684</t>
  </si>
  <si>
    <t>VS20858</t>
  </si>
  <si>
    <t>₹24,408</t>
  </si>
  <si>
    <t>AD5685</t>
  </si>
  <si>
    <t>VS20391</t>
  </si>
  <si>
    <t>₹15,682</t>
  </si>
  <si>
    <t>AD5686</t>
  </si>
  <si>
    <t>VS20414</t>
  </si>
  <si>
    <t>AD5687</t>
  </si>
  <si>
    <t>VS20333</t>
  </si>
  <si>
    <t>Rs. 9,449</t>
  </si>
  <si>
    <t>AD5688</t>
  </si>
  <si>
    <t>VS20081</t>
  </si>
  <si>
    <t>Rs. 72,878</t>
  </si>
  <si>
    <t>AD5689</t>
  </si>
  <si>
    <t>VS20974</t>
  </si>
  <si>
    <t>Rs. 53,862</t>
  </si>
  <si>
    <t>AD5690</t>
  </si>
  <si>
    <t>VS20501</t>
  </si>
  <si>
    <t>Rs. 17,365</t>
  </si>
  <si>
    <t>AD5691</t>
  </si>
  <si>
    <t>VS20135</t>
  </si>
  <si>
    <t>Rs. 9,810</t>
  </si>
  <si>
    <t>AD5692</t>
  </si>
  <si>
    <t>₹6,955</t>
  </si>
  <si>
    <t>AD5693</t>
  </si>
  <si>
    <t>VS20918</t>
  </si>
  <si>
    <t>AD5694</t>
  </si>
  <si>
    <t>VS20314</t>
  </si>
  <si>
    <t>AD5695</t>
  </si>
  <si>
    <t>AD5696</t>
  </si>
  <si>
    <t>AD5697</t>
  </si>
  <si>
    <t>VS20565</t>
  </si>
  <si>
    <t>Rs. 5,541</t>
  </si>
  <si>
    <t>AD5698</t>
  </si>
  <si>
    <t>VS20977</t>
  </si>
  <si>
    <t>Rs. 6,524</t>
  </si>
  <si>
    <t>AD5699</t>
  </si>
  <si>
    <t>VS20074</t>
  </si>
  <si>
    <t>₹18,556</t>
  </si>
  <si>
    <t>AD5700</t>
  </si>
  <si>
    <t>VS21044</t>
  </si>
  <si>
    <t>AD5701</t>
  </si>
  <si>
    <t>AD5702</t>
  </si>
  <si>
    <t>VS20059</t>
  </si>
  <si>
    <t>AD5703</t>
  </si>
  <si>
    <t>VS20777</t>
  </si>
  <si>
    <t>AD5704</t>
  </si>
  <si>
    <t>VS20778</t>
  </si>
  <si>
    <t>AD5705</t>
  </si>
  <si>
    <t>VS20398</t>
  </si>
  <si>
    <t>₹18,913</t>
  </si>
  <si>
    <t>AD5706</t>
  </si>
  <si>
    <t>VS21112</t>
  </si>
  <si>
    <t>Rs. 17,470</t>
  </si>
  <si>
    <t>AD5707</t>
  </si>
  <si>
    <t>VS20991</t>
  </si>
  <si>
    <t>Rs. 15,103</t>
  </si>
  <si>
    <t>AD5708</t>
  </si>
  <si>
    <t>VS21046</t>
  </si>
  <si>
    <t>Rs. 8,304</t>
  </si>
  <si>
    <t>AD5709</t>
  </si>
  <si>
    <t>AD5710</t>
  </si>
  <si>
    <t>VS20769</t>
  </si>
  <si>
    <t>AD5711</t>
  </si>
  <si>
    <t>AD5712</t>
  </si>
  <si>
    <t>AD5713</t>
  </si>
  <si>
    <t>VS21047</t>
  </si>
  <si>
    <t>Rs. 18,086</t>
  </si>
  <si>
    <t>AD5714</t>
  </si>
  <si>
    <t>VS20784</t>
  </si>
  <si>
    <t>AD5715</t>
  </si>
  <si>
    <t>VS20157</t>
  </si>
  <si>
    <t>₹17,466</t>
  </si>
  <si>
    <t>AD5716</t>
  </si>
  <si>
    <t>Rs. 7,567</t>
  </si>
  <si>
    <t>AD5717</t>
  </si>
  <si>
    <t>VS21108</t>
  </si>
  <si>
    <t>AD5718</t>
  </si>
  <si>
    <t>VS20550</t>
  </si>
  <si>
    <t>₹5,966</t>
  </si>
  <si>
    <t>AD5719</t>
  </si>
  <si>
    <t>₹6,610</t>
  </si>
  <si>
    <t>AD5720</t>
  </si>
  <si>
    <t>AD5721</t>
  </si>
  <si>
    <t>VS21131</t>
  </si>
  <si>
    <t>AD5722</t>
  </si>
  <si>
    <t>₹10,338</t>
  </si>
  <si>
    <t>AD5723</t>
  </si>
  <si>
    <t>VS20649</t>
  </si>
  <si>
    <t>AD5724</t>
  </si>
  <si>
    <t>VS20950</t>
  </si>
  <si>
    <t>₹3,032</t>
  </si>
  <si>
    <t>AD5725</t>
  </si>
  <si>
    <t>AD5726</t>
  </si>
  <si>
    <t>VS20901</t>
  </si>
  <si>
    <t>AD5727</t>
  </si>
  <si>
    <t>VS21186</t>
  </si>
  <si>
    <t>Rs. 11,226</t>
  </si>
  <si>
    <t>AD5728</t>
  </si>
  <si>
    <t>AD5729</t>
  </si>
  <si>
    <t>AD5730</t>
  </si>
  <si>
    <t>Rs. 16,286</t>
  </si>
  <si>
    <t>AD5731</t>
  </si>
  <si>
    <t>VS20119</t>
  </si>
  <si>
    <t>Rs. 8,979</t>
  </si>
  <si>
    <t>AD5732</t>
  </si>
  <si>
    <t>₹3,749</t>
  </si>
  <si>
    <t>AD5733</t>
  </si>
  <si>
    <t>VS20904</t>
  </si>
  <si>
    <t>Rs. 17,692</t>
  </si>
  <si>
    <t>AD5734</t>
  </si>
  <si>
    <t>VS20251</t>
  </si>
  <si>
    <t>AD5735</t>
  </si>
  <si>
    <t>VS20126</t>
  </si>
  <si>
    <t>₹66,958</t>
  </si>
  <si>
    <t>AD5736</t>
  </si>
  <si>
    <t>VS20483</t>
  </si>
  <si>
    <t>AD5737</t>
  </si>
  <si>
    <t>VS20373</t>
  </si>
  <si>
    <t>AD5738</t>
  </si>
  <si>
    <t>AD5739</t>
  </si>
  <si>
    <t>AD5740</t>
  </si>
  <si>
    <t>VS20417</t>
  </si>
  <si>
    <t>AD5741</t>
  </si>
  <si>
    <t>VS20694</t>
  </si>
  <si>
    <t>AD5742</t>
  </si>
  <si>
    <t>VS20196</t>
  </si>
  <si>
    <t>AD5743</t>
  </si>
  <si>
    <t>VS20222</t>
  </si>
  <si>
    <t>AD5744</t>
  </si>
  <si>
    <t>VS20905</t>
  </si>
  <si>
    <t>AD5745</t>
  </si>
  <si>
    <t>AD5746</t>
  </si>
  <si>
    <t>VS20077</t>
  </si>
  <si>
    <t>AD5747</t>
  </si>
  <si>
    <t>VS21024</t>
  </si>
  <si>
    <t>AD5748</t>
  </si>
  <si>
    <t>₹4,188</t>
  </si>
  <si>
    <t>AD5749</t>
  </si>
  <si>
    <t>VS20827</t>
  </si>
  <si>
    <t>AD5750</t>
  </si>
  <si>
    <t>VS20647</t>
  </si>
  <si>
    <t>AD5751</t>
  </si>
  <si>
    <t>VS20704</t>
  </si>
  <si>
    <t>Rs. 5,625</t>
  </si>
  <si>
    <t>AD5752</t>
  </si>
  <si>
    <t>VS20958</t>
  </si>
  <si>
    <t>Rs. 56,135</t>
  </si>
  <si>
    <t>AD5753</t>
  </si>
  <si>
    <t>VS20934</t>
  </si>
  <si>
    <t>₹8,297</t>
  </si>
  <si>
    <t>AD5754</t>
  </si>
  <si>
    <t>VS20481</t>
  </si>
  <si>
    <t>AD5755</t>
  </si>
  <si>
    <t>AD5756</t>
  </si>
  <si>
    <t>VS20810</t>
  </si>
  <si>
    <t>AD5757</t>
  </si>
  <si>
    <t>AD5758</t>
  </si>
  <si>
    <t>Rs. 6,016</t>
  </si>
  <si>
    <t>AD5759</t>
  </si>
  <si>
    <t>VS20621</t>
  </si>
  <si>
    <t>Rs. 19,057</t>
  </si>
  <si>
    <t>AD5760</t>
  </si>
  <si>
    <t>₹8,215</t>
  </si>
  <si>
    <t>AD5761</t>
  </si>
  <si>
    <t>VS20676</t>
  </si>
  <si>
    <t>AD5762</t>
  </si>
  <si>
    <t>AD5763</t>
  </si>
  <si>
    <t>VS20560</t>
  </si>
  <si>
    <t>AD5764</t>
  </si>
  <si>
    <t>VS21195</t>
  </si>
  <si>
    <t>₹9,558</t>
  </si>
  <si>
    <t>AD5765</t>
  </si>
  <si>
    <t>VS20624</t>
  </si>
  <si>
    <t>AD5766</t>
  </si>
  <si>
    <t>VS20326</t>
  </si>
  <si>
    <t>₹7,557</t>
  </si>
  <si>
    <t>AD5767</t>
  </si>
  <si>
    <t>Rs. 15,985</t>
  </si>
  <si>
    <t>AD5768</t>
  </si>
  <si>
    <t>VS20592</t>
  </si>
  <si>
    <t>₹55,794</t>
  </si>
  <si>
    <t>AD5769</t>
  </si>
  <si>
    <t>VS20787</t>
  </si>
  <si>
    <t>₹18,510</t>
  </si>
  <si>
    <t>AD5770</t>
  </si>
  <si>
    <t>Rs. 11,553</t>
  </si>
  <si>
    <t>AD5771</t>
  </si>
  <si>
    <t>Rs. 9,978</t>
  </si>
  <si>
    <t>AD5772</t>
  </si>
  <si>
    <t>VS20252</t>
  </si>
  <si>
    <t>Rs. 68,878</t>
  </si>
  <si>
    <t>AD5773</t>
  </si>
  <si>
    <t>AD5774</t>
  </si>
  <si>
    <t>AD5775</t>
  </si>
  <si>
    <t>VS20585</t>
  </si>
  <si>
    <t>AD5776</t>
  </si>
  <si>
    <t>VS20638</t>
  </si>
  <si>
    <t>AD5777</t>
  </si>
  <si>
    <t>VS20612</t>
  </si>
  <si>
    <t>Rs. 10,136</t>
  </si>
  <si>
    <t>AD5778</t>
  </si>
  <si>
    <t>VS20839</t>
  </si>
  <si>
    <t>AD5779</t>
  </si>
  <si>
    <t>VS20788</t>
  </si>
  <si>
    <t>₹78,003</t>
  </si>
  <si>
    <t>AD5780</t>
  </si>
  <si>
    <t>Rs. 17,441</t>
  </si>
  <si>
    <t>AD5781</t>
  </si>
  <si>
    <t>VS21206</t>
  </si>
  <si>
    <t>₹9,530</t>
  </si>
  <si>
    <t>AD5782</t>
  </si>
  <si>
    <t>VS20896</t>
  </si>
  <si>
    <t>AD5783</t>
  </si>
  <si>
    <t>VS21190</t>
  </si>
  <si>
    <t>Rs. 16,550</t>
  </si>
  <si>
    <t>AD5784</t>
  </si>
  <si>
    <t>VS20307</t>
  </si>
  <si>
    <t>AD5785</t>
  </si>
  <si>
    <t>VS20864</t>
  </si>
  <si>
    <t>AD5786</t>
  </si>
  <si>
    <t>AD5787</t>
  </si>
  <si>
    <t>VS21208</t>
  </si>
  <si>
    <t>₹33,717</t>
  </si>
  <si>
    <t>AD5788</t>
  </si>
  <si>
    <t>₹14,839</t>
  </si>
  <si>
    <t>AD5789</t>
  </si>
  <si>
    <t>VS20242</t>
  </si>
  <si>
    <t>₹5,012</t>
  </si>
  <si>
    <t>AD5790</t>
  </si>
  <si>
    <t>₹54,217</t>
  </si>
  <si>
    <t>AD5791</t>
  </si>
  <si>
    <t>VS20999</t>
  </si>
  <si>
    <t>Rs. 8,317</t>
  </si>
  <si>
    <t>AD5792</t>
  </si>
  <si>
    <t>VS20793</t>
  </si>
  <si>
    <t>AD5793</t>
  </si>
  <si>
    <t>₹11,713</t>
  </si>
  <si>
    <t>AD5794</t>
  </si>
  <si>
    <t>VS20265</t>
  </si>
  <si>
    <t>Rs. 48,884</t>
  </si>
  <si>
    <t>AD5795</t>
  </si>
  <si>
    <t>VS20831</t>
  </si>
  <si>
    <t>AD5796</t>
  </si>
  <si>
    <t>AD5797</t>
  </si>
  <si>
    <t>AD5798</t>
  </si>
  <si>
    <t>₹17,979</t>
  </si>
  <si>
    <t>AD5799</t>
  </si>
  <si>
    <t>₹3,898</t>
  </si>
  <si>
    <t>AD5800</t>
  </si>
  <si>
    <t>Rs. 20,742</t>
  </si>
  <si>
    <t>AD5801</t>
  </si>
  <si>
    <t>VS20754</t>
  </si>
  <si>
    <t>₹48,358</t>
  </si>
  <si>
    <t>AD5802</t>
  </si>
  <si>
    <t>VS20499</t>
  </si>
  <si>
    <t>₹10,976</t>
  </si>
  <si>
    <t>AD5803</t>
  </si>
  <si>
    <t>VS21088</t>
  </si>
  <si>
    <t>AD5804</t>
  </si>
  <si>
    <t>VS20225</t>
  </si>
  <si>
    <t>AD5805</t>
  </si>
  <si>
    <t>VS21051</t>
  </si>
  <si>
    <t>₹6,331</t>
  </si>
  <si>
    <t>AD5806</t>
  </si>
  <si>
    <t>VS20224</t>
  </si>
  <si>
    <t>₹5,904</t>
  </si>
  <si>
    <t>AD5807</t>
  </si>
  <si>
    <t>VS21005</t>
  </si>
  <si>
    <t>AD5808</t>
  </si>
  <si>
    <t>VS20514</t>
  </si>
  <si>
    <t>Rs. 12,833</t>
  </si>
  <si>
    <t>AD5809</t>
  </si>
  <si>
    <t>VS21064</t>
  </si>
  <si>
    <t>AD5810</t>
  </si>
  <si>
    <t>VS21156</t>
  </si>
  <si>
    <t>Rs. 19,087</t>
  </si>
  <si>
    <t>AD5811</t>
  </si>
  <si>
    <t>VS20603</t>
  </si>
  <si>
    <t>Rs. 6,000</t>
  </si>
  <si>
    <t>AD5812</t>
  </si>
  <si>
    <t>₹9,347</t>
  </si>
  <si>
    <t>AD5813</t>
  </si>
  <si>
    <t>VS20544</t>
  </si>
  <si>
    <t>₹16,050</t>
  </si>
  <si>
    <t>AD5814</t>
  </si>
  <si>
    <t>VS21028</t>
  </si>
  <si>
    <t>AD5815</t>
  </si>
  <si>
    <t>AD5816</t>
  </si>
  <si>
    <t>VS20992</t>
  </si>
  <si>
    <t>AD5817</t>
  </si>
  <si>
    <t>Rs. 10,811</t>
  </si>
  <si>
    <t>AD5818</t>
  </si>
  <si>
    <t>VS21011</t>
  </si>
  <si>
    <t>₹7,591</t>
  </si>
  <si>
    <t>AD5819</t>
  </si>
  <si>
    <t>VS21178</t>
  </si>
  <si>
    <t>₹10,009</t>
  </si>
  <si>
    <t>AD5820</t>
  </si>
  <si>
    <t>AD5821</t>
  </si>
  <si>
    <t>VS21043</t>
  </si>
  <si>
    <t>Rs. 33,282</t>
  </si>
  <si>
    <t>AD5822</t>
  </si>
  <si>
    <t>VS20519</t>
  </si>
  <si>
    <t>AD5823</t>
  </si>
  <si>
    <t>VS20990</t>
  </si>
  <si>
    <t>AD5824</t>
  </si>
  <si>
    <t>VS20584</t>
  </si>
  <si>
    <t>Rs. 4,092</t>
  </si>
  <si>
    <t>AD5825</t>
  </si>
  <si>
    <t>Rs. 57,360</t>
  </si>
  <si>
    <t>AD5826</t>
  </si>
  <si>
    <t>AD5827</t>
  </si>
  <si>
    <t>VS20867</t>
  </si>
  <si>
    <t>₹67,755</t>
  </si>
  <si>
    <t>AD5828</t>
  </si>
  <si>
    <t>Rs. 39,741</t>
  </si>
  <si>
    <t>AD5829</t>
  </si>
  <si>
    <t>Rs. 7,452</t>
  </si>
  <si>
    <t>AD5830</t>
  </si>
  <si>
    <t>AD5831</t>
  </si>
  <si>
    <t>AD5832</t>
  </si>
  <si>
    <t>₹15,830</t>
  </si>
  <si>
    <t>AD5833</t>
  </si>
  <si>
    <t>₹10,584</t>
  </si>
  <si>
    <t>AD5834</t>
  </si>
  <si>
    <t>VS20485</t>
  </si>
  <si>
    <t>AD5835</t>
  </si>
  <si>
    <t>₹87,887</t>
  </si>
  <si>
    <t>AD5836</t>
  </si>
  <si>
    <t>AD5837</t>
  </si>
  <si>
    <t>VS21191</t>
  </si>
  <si>
    <t>AD5838</t>
  </si>
  <si>
    <t>AD5839</t>
  </si>
  <si>
    <t>₹16,832</t>
  </si>
  <si>
    <t>AD5840</t>
  </si>
  <si>
    <t>AD5841</t>
  </si>
  <si>
    <t>AD5842</t>
  </si>
  <si>
    <t>AD5843</t>
  </si>
  <si>
    <t>VS21132</t>
  </si>
  <si>
    <t>₹4,251</t>
  </si>
  <si>
    <t>AD5844</t>
  </si>
  <si>
    <t>VS21096</t>
  </si>
  <si>
    <t>Rs. 11,810</t>
  </si>
  <si>
    <t>AD5845</t>
  </si>
  <si>
    <t>VS20144</t>
  </si>
  <si>
    <t>Rs. 19,261</t>
  </si>
  <si>
    <t>AD5846</t>
  </si>
  <si>
    <t>VS20290</t>
  </si>
  <si>
    <t>Rs. 9,721</t>
  </si>
  <si>
    <t>AD5847</t>
  </si>
  <si>
    <t>VS20455</t>
  </si>
  <si>
    <t>Rs. 3,092</t>
  </si>
  <si>
    <t>AD5848</t>
  </si>
  <si>
    <t>Rs. 8,946</t>
  </si>
  <si>
    <t>AD5849</t>
  </si>
  <si>
    <t>VS20291</t>
  </si>
  <si>
    <t>AD5850</t>
  </si>
  <si>
    <t>AD5851</t>
  </si>
  <si>
    <t>VS20890</t>
  </si>
  <si>
    <t>AD5852</t>
  </si>
  <si>
    <t>VS20146</t>
  </si>
  <si>
    <t>AD5853</t>
  </si>
  <si>
    <t>VS20008</t>
  </si>
  <si>
    <t>AD5854</t>
  </si>
  <si>
    <t>VS20534</t>
  </si>
  <si>
    <t>AD5855</t>
  </si>
  <si>
    <t>AD5856</t>
  </si>
  <si>
    <t>AD5857</t>
  </si>
  <si>
    <t>VS20682</t>
  </si>
  <si>
    <t>AD5858</t>
  </si>
  <si>
    <t>AD5859</t>
  </si>
  <si>
    <t>VS21060</t>
  </si>
  <si>
    <t>₹89,537</t>
  </si>
  <si>
    <t>AD5860</t>
  </si>
  <si>
    <t>AD5861</t>
  </si>
  <si>
    <t>AD5862</t>
  </si>
  <si>
    <t>AD5863</t>
  </si>
  <si>
    <t>VS21187</t>
  </si>
  <si>
    <t>₹19,832</t>
  </si>
  <si>
    <t>AD5864</t>
  </si>
  <si>
    <t>VS20257</t>
  </si>
  <si>
    <t>AD5865</t>
  </si>
  <si>
    <t>AD5866</t>
  </si>
  <si>
    <t>VS20209</t>
  </si>
  <si>
    <t>Rs. 3,256</t>
  </si>
  <si>
    <t>AD5867</t>
  </si>
  <si>
    <t>AD5868</t>
  </si>
  <si>
    <t>VS20228</t>
  </si>
  <si>
    <t>AD5869</t>
  </si>
  <si>
    <t>Rs. 17,474</t>
  </si>
  <si>
    <t>AD5870</t>
  </si>
  <si>
    <t>VS20586</t>
  </si>
  <si>
    <t>AD5871</t>
  </si>
  <si>
    <t>VS21027</t>
  </si>
  <si>
    <t>₹11,896</t>
  </si>
  <si>
    <t>AD5872</t>
  </si>
  <si>
    <t>AD5873</t>
  </si>
  <si>
    <t>VS20493</t>
  </si>
  <si>
    <t>₹28,578</t>
  </si>
  <si>
    <t>AD5874</t>
  </si>
  <si>
    <t>VS20815</t>
  </si>
  <si>
    <t>Rs. 17,977</t>
  </si>
  <si>
    <t>AD5875</t>
  </si>
  <si>
    <t>AD5876</t>
  </si>
  <si>
    <t>VS20808</t>
  </si>
  <si>
    <t>₹8,974</t>
  </si>
  <si>
    <t>AD5877</t>
  </si>
  <si>
    <t>AD5878</t>
  </si>
  <si>
    <t>VS20331</t>
  </si>
  <si>
    <t>Rs. 7,450</t>
  </si>
  <si>
    <t>AD5879</t>
  </si>
  <si>
    <t>Rs. 5,700</t>
  </si>
  <si>
    <t>AD5880</t>
  </si>
  <si>
    <t>₹11,136</t>
  </si>
  <si>
    <t>AD5881</t>
  </si>
  <si>
    <t>VS20633</t>
  </si>
  <si>
    <t>AD5882</t>
  </si>
  <si>
    <t>AD5883</t>
  </si>
  <si>
    <t>₹8,386</t>
  </si>
  <si>
    <t>AD5884</t>
  </si>
  <si>
    <t>VS20688</t>
  </si>
  <si>
    <t>₹16,148</t>
  </si>
  <si>
    <t>AD5885</t>
  </si>
  <si>
    <t>VS21001</t>
  </si>
  <si>
    <t>AD5886</t>
  </si>
  <si>
    <t>Rs. 5,182</t>
  </si>
  <si>
    <t>AD5887</t>
  </si>
  <si>
    <t>VS20273</t>
  </si>
  <si>
    <t>AD5888</t>
  </si>
  <si>
    <t>VS20819</t>
  </si>
  <si>
    <t>AD5889</t>
  </si>
  <si>
    <t>AD5890</t>
  </si>
  <si>
    <t>VS20431</t>
  </si>
  <si>
    <t>₹15,915</t>
  </si>
  <si>
    <t>AD5891</t>
  </si>
  <si>
    <t>AD5892</t>
  </si>
  <si>
    <t>VS20907</t>
  </si>
  <si>
    <t>₹19,641</t>
  </si>
  <si>
    <t>AD5893</t>
  </si>
  <si>
    <t>VS20806</t>
  </si>
  <si>
    <t>₹52,063</t>
  </si>
  <si>
    <t>AD5894</t>
  </si>
  <si>
    <t>AD5895</t>
  </si>
  <si>
    <t>VS20068</t>
  </si>
  <si>
    <t>₹15,490</t>
  </si>
  <si>
    <t>AD5896</t>
  </si>
  <si>
    <t>AD5897</t>
  </si>
  <si>
    <t>₹19,062</t>
  </si>
  <si>
    <t>AD5898</t>
  </si>
  <si>
    <t>₹6,460</t>
  </si>
  <si>
    <t>AD5899</t>
  </si>
  <si>
    <t>VS20460</t>
  </si>
  <si>
    <t>₹16,443</t>
  </si>
  <si>
    <t>AD5900</t>
  </si>
  <si>
    <t>VS20696</t>
  </si>
  <si>
    <t>AD5901</t>
  </si>
  <si>
    <t>VS21050</t>
  </si>
  <si>
    <t>AD5902</t>
  </si>
  <si>
    <t>₹64,615</t>
  </si>
  <si>
    <t>AD5903</t>
  </si>
  <si>
    <t>VS20381</t>
  </si>
  <si>
    <t>₹11,086</t>
  </si>
  <si>
    <t>AD5904</t>
  </si>
  <si>
    <t>AD5905</t>
  </si>
  <si>
    <t>AD5906</t>
  </si>
  <si>
    <t>VS21116</t>
  </si>
  <si>
    <t>AD5907</t>
  </si>
  <si>
    <t>Rs. 47,919</t>
  </si>
  <si>
    <t>AD5908</t>
  </si>
  <si>
    <t>AD5909</t>
  </si>
  <si>
    <t>₹18,190</t>
  </si>
  <si>
    <t>AD5910</t>
  </si>
  <si>
    <t>VS20371</t>
  </si>
  <si>
    <t>Rs. 5,640</t>
  </si>
  <si>
    <t>AD5911</t>
  </si>
  <si>
    <t>VS21144</t>
  </si>
  <si>
    <t>AD5912</t>
  </si>
  <si>
    <t>Rs. 7,020</t>
  </si>
  <si>
    <t>AD5913</t>
  </si>
  <si>
    <t>AD5914</t>
  </si>
  <si>
    <t>₹3,400</t>
  </si>
  <si>
    <t>AD5915</t>
  </si>
  <si>
    <t>VS20472</t>
  </si>
  <si>
    <t>AD5916</t>
  </si>
  <si>
    <t>AD5917</t>
  </si>
  <si>
    <t>AD5918</t>
  </si>
  <si>
    <t>₹12,017</t>
  </si>
  <si>
    <t>AD5919</t>
  </si>
  <si>
    <t>AD5920</t>
  </si>
  <si>
    <t>VS20623</t>
  </si>
  <si>
    <t>AD5921</t>
  </si>
  <si>
    <t>AD5922</t>
  </si>
  <si>
    <t>₹79,705</t>
  </si>
  <si>
    <t>AD5923</t>
  </si>
  <si>
    <t>₹15,953</t>
  </si>
  <si>
    <t>AD5924</t>
  </si>
  <si>
    <t>VS20191</t>
  </si>
  <si>
    <t>Rs. 12,701</t>
  </si>
  <si>
    <t>AD5925</t>
  </si>
  <si>
    <t>₹8,129</t>
  </si>
  <si>
    <t>AD5926</t>
  </si>
  <si>
    <t>Rs. 3,544</t>
  </si>
  <si>
    <t>AD5927</t>
  </si>
  <si>
    <t>AD5928</t>
  </si>
  <si>
    <t>VS21083</t>
  </si>
  <si>
    <t>AD5929</t>
  </si>
  <si>
    <t>AD5930</t>
  </si>
  <si>
    <t>AD5931</t>
  </si>
  <si>
    <t>VS20804</t>
  </si>
  <si>
    <t>₹3,992</t>
  </si>
  <si>
    <t>AD5932</t>
  </si>
  <si>
    <t>₹14,940</t>
  </si>
  <si>
    <t>AD5933</t>
  </si>
  <si>
    <t>AD5934</t>
  </si>
  <si>
    <t>AD5935</t>
  </si>
  <si>
    <t>VS20551</t>
  </si>
  <si>
    <t>Rs. 18,807</t>
  </si>
  <si>
    <t>AD5936</t>
  </si>
  <si>
    <t>AD5937</t>
  </si>
  <si>
    <t>VS20104</t>
  </si>
  <si>
    <t>AD5938</t>
  </si>
  <si>
    <t>VS20443</t>
  </si>
  <si>
    <t>AD5939</t>
  </si>
  <si>
    <t>VS20477</t>
  </si>
  <si>
    <t>₹44,010</t>
  </si>
  <si>
    <t>AD5940</t>
  </si>
  <si>
    <t>VS20313</t>
  </si>
  <si>
    <t>AD5941</t>
  </si>
  <si>
    <t>VS20531</t>
  </si>
  <si>
    <t>AD5942</t>
  </si>
  <si>
    <t>Rs. 5,109</t>
  </si>
  <si>
    <t>AD5943</t>
  </si>
  <si>
    <t>AD5944</t>
  </si>
  <si>
    <t>VS20664</t>
  </si>
  <si>
    <t>AD5945</t>
  </si>
  <si>
    <t>₹18,213</t>
  </si>
  <si>
    <t>AD5946</t>
  </si>
  <si>
    <t>AD5947</t>
  </si>
  <si>
    <t>Rs. 10,260</t>
  </si>
  <si>
    <t>AD5948</t>
  </si>
  <si>
    <t>VS21158</t>
  </si>
  <si>
    <t>AD5949</t>
  </si>
  <si>
    <t>AD5950</t>
  </si>
  <si>
    <t>AD5951</t>
  </si>
  <si>
    <t>VS20360</t>
  </si>
  <si>
    <t>₹16,184</t>
  </si>
  <si>
    <t>AD5952</t>
  </si>
  <si>
    <t>VS20165</t>
  </si>
  <si>
    <t>AD5953</t>
  </si>
  <si>
    <t>Rs. 16,440</t>
  </si>
  <si>
    <t>AD5954</t>
  </si>
  <si>
    <t>VS20429</t>
  </si>
  <si>
    <t>AD5955</t>
  </si>
  <si>
    <t>VS20503</t>
  </si>
  <si>
    <t>₹7,464</t>
  </si>
  <si>
    <t>AD5956</t>
  </si>
  <si>
    <t>₹8,883</t>
  </si>
  <si>
    <t>AD5957</t>
  </si>
  <si>
    <t>AD5958</t>
  </si>
  <si>
    <t>AD5959</t>
  </si>
  <si>
    <t>AD5960</t>
  </si>
  <si>
    <t>AD5961</t>
  </si>
  <si>
    <t>VS21188</t>
  </si>
  <si>
    <t>Rs. 14,747</t>
  </si>
  <si>
    <t>AD5962</t>
  </si>
  <si>
    <t>AD5963</t>
  </si>
  <si>
    <t>Rs. 15,488</t>
  </si>
  <si>
    <t>AD5964</t>
  </si>
  <si>
    <t>VS20753</t>
  </si>
  <si>
    <t>₹18,734</t>
  </si>
  <si>
    <t>AD5965</t>
  </si>
  <si>
    <t>VS21121</t>
  </si>
  <si>
    <t>Rs. 6,254</t>
  </si>
  <si>
    <t>AD5966</t>
  </si>
  <si>
    <t>₹3,958</t>
  </si>
  <si>
    <t>AD5967</t>
  </si>
  <si>
    <t>AD5968</t>
  </si>
  <si>
    <t>VS20862</t>
  </si>
  <si>
    <t>Rs. 55,311</t>
  </si>
  <si>
    <t>AD5969</t>
  </si>
  <si>
    <t>VS20315</t>
  </si>
  <si>
    <t>AD5970</t>
  </si>
  <si>
    <t>VS21110</t>
  </si>
  <si>
    <t>AD5971</t>
  </si>
  <si>
    <t>VS20574</t>
  </si>
  <si>
    <t>₹17,468</t>
  </si>
  <si>
    <t>AD5972</t>
  </si>
  <si>
    <t>VS20980</t>
  </si>
  <si>
    <t>AD5973</t>
  </si>
  <si>
    <t>AD5974</t>
  </si>
  <si>
    <t>AD5975</t>
  </si>
  <si>
    <t>VS20269</t>
  </si>
  <si>
    <t>Rs. 56,210</t>
  </si>
  <si>
    <t>AD5976</t>
  </si>
  <si>
    <t>Rs. 10,794</t>
  </si>
  <si>
    <t>AD5977</t>
  </si>
  <si>
    <t>₹16,089</t>
  </si>
  <si>
    <t>AD5978</t>
  </si>
  <si>
    <t>VS21203</t>
  </si>
  <si>
    <t>₹11,785</t>
  </si>
  <si>
    <t>AD5979</t>
  </si>
  <si>
    <t>₹17,678</t>
  </si>
  <si>
    <t>AD5980</t>
  </si>
  <si>
    <t>VS21126</t>
  </si>
  <si>
    <t>Rs. 13,339</t>
  </si>
  <si>
    <t>AD5981</t>
  </si>
  <si>
    <t>AD5982</t>
  </si>
  <si>
    <t>VS20640</t>
  </si>
  <si>
    <t>AD5983</t>
  </si>
  <si>
    <t>VS20678</t>
  </si>
  <si>
    <t>Rs. 12,789</t>
  </si>
  <si>
    <t>AD5984</t>
  </si>
  <si>
    <t>VS20732</t>
  </si>
  <si>
    <t>Rs. 43,387</t>
  </si>
  <si>
    <t>AD5985</t>
  </si>
  <si>
    <t>₹7,280</t>
  </si>
  <si>
    <t>AD5986</t>
  </si>
  <si>
    <t>VS20600</t>
  </si>
  <si>
    <t>AD5987</t>
  </si>
  <si>
    <t>₹10,884</t>
  </si>
  <si>
    <t>AD5988</t>
  </si>
  <si>
    <t>₹16,558</t>
  </si>
  <si>
    <t>AD5989</t>
  </si>
  <si>
    <t>Rs. 15,441</t>
  </si>
  <si>
    <t>AD5990</t>
  </si>
  <si>
    <t>VS20755</t>
  </si>
  <si>
    <t>₹9,350</t>
  </si>
  <si>
    <t>AD5991</t>
  </si>
  <si>
    <t>VS20378</t>
  </si>
  <si>
    <t>AD5992</t>
  </si>
  <si>
    <t>₹12,942</t>
  </si>
  <si>
    <t>AD5993</t>
  </si>
  <si>
    <t>VS20181</t>
  </si>
  <si>
    <t>AD5994</t>
  </si>
  <si>
    <t>AD5995</t>
  </si>
  <si>
    <t>₹12,779</t>
  </si>
  <si>
    <t>AD5996</t>
  </si>
  <si>
    <t>AD5997</t>
  </si>
  <si>
    <t>AD5998</t>
  </si>
  <si>
    <t>VS20346</t>
  </si>
  <si>
    <t>AD5999</t>
  </si>
  <si>
    <t>AD6000</t>
  </si>
  <si>
    <t>₹38,254</t>
  </si>
  <si>
    <t>AD6001</t>
  </si>
  <si>
    <t>AD6002</t>
  </si>
  <si>
    <t>VS20048</t>
  </si>
  <si>
    <t>AD6003</t>
  </si>
  <si>
    <t>AD6004</t>
  </si>
  <si>
    <t>VS20163</t>
  </si>
  <si>
    <t>AD6005</t>
  </si>
  <si>
    <t>Rs. 14,019</t>
  </si>
  <si>
    <t>AD6006</t>
  </si>
  <si>
    <t>₹10,735</t>
  </si>
  <si>
    <t>AD6007</t>
  </si>
  <si>
    <t>AD6008</t>
  </si>
  <si>
    <t>VS20452</t>
  </si>
  <si>
    <t>Rs. 17,032</t>
  </si>
  <si>
    <t>AD6009</t>
  </si>
  <si>
    <t>AD6010</t>
  </si>
  <si>
    <t>VS20644</t>
  </si>
  <si>
    <t>AD6011</t>
  </si>
  <si>
    <t>VS21205</t>
  </si>
  <si>
    <t>₹31,785</t>
  </si>
  <si>
    <t>AD6012</t>
  </si>
  <si>
    <t>AD6013</t>
  </si>
  <si>
    <t>AD6014</t>
  </si>
  <si>
    <t>₹7,670</t>
  </si>
  <si>
    <t>AD6015</t>
  </si>
  <si>
    <t>VS21082</t>
  </si>
  <si>
    <t>₹9,676</t>
  </si>
  <si>
    <t>AD6016</t>
  </si>
  <si>
    <t>AD6017</t>
  </si>
  <si>
    <t>AD6018</t>
  </si>
  <si>
    <t>VS20570</t>
  </si>
  <si>
    <t>₹5,459</t>
  </si>
  <si>
    <t>AD6019</t>
  </si>
  <si>
    <t>VS20791</t>
  </si>
  <si>
    <t>₹11,449</t>
  </si>
  <si>
    <t>AD6020</t>
  </si>
  <si>
    <t>VS20508</t>
  </si>
  <si>
    <t>AD6021</t>
  </si>
  <si>
    <t>AD6022</t>
  </si>
  <si>
    <t>Rs. 15,653</t>
  </si>
  <si>
    <t>AD6023</t>
  </si>
  <si>
    <t>₹33,211</t>
  </si>
  <si>
    <t>AD6024</t>
  </si>
  <si>
    <t>Rs. 34,960</t>
  </si>
  <si>
    <t>AD6025</t>
  </si>
  <si>
    <t>Rs. 14,983</t>
  </si>
  <si>
    <t>AD6026</t>
  </si>
  <si>
    <t>AD6027</t>
  </si>
  <si>
    <t>VS20330</t>
  </si>
  <si>
    <t>AD6028</t>
  </si>
  <si>
    <t>VS20342</t>
  </si>
  <si>
    <t>Rs. 18,236</t>
  </si>
  <si>
    <t>AD6029</t>
  </si>
  <si>
    <t>VS20419</t>
  </si>
  <si>
    <t>AD6030</t>
  </si>
  <si>
    <t>AD6031</t>
  </si>
  <si>
    <t>AD6032</t>
  </si>
  <si>
    <t>₹22,745</t>
  </si>
  <si>
    <t>AD6033</t>
  </si>
  <si>
    <t>VS20502</t>
  </si>
  <si>
    <t>AD6034</t>
  </si>
  <si>
    <t>₹14,343</t>
  </si>
  <si>
    <t>AD6035</t>
  </si>
  <si>
    <t>Rs. 15,663</t>
  </si>
  <si>
    <t>AD6036</t>
  </si>
  <si>
    <t>₹6,933</t>
  </si>
  <si>
    <t>AD6037</t>
  </si>
  <si>
    <t>VS20439</t>
  </si>
  <si>
    <t>₹4,733</t>
  </si>
  <si>
    <t>AD6038</t>
  </si>
  <si>
    <t>Rs. 13,527</t>
  </si>
  <si>
    <t>AD6039</t>
  </si>
  <si>
    <t>₹4,473</t>
  </si>
  <si>
    <t>AD6040</t>
  </si>
  <si>
    <t>₹17,086</t>
  </si>
  <si>
    <t>AD6041</t>
  </si>
  <si>
    <t>AD6042</t>
  </si>
  <si>
    <t>VS20400</t>
  </si>
  <si>
    <t>Rs. 5,171</t>
  </si>
  <si>
    <t>AD6043</t>
  </si>
  <si>
    <t>AD6044</t>
  </si>
  <si>
    <t>AD6045</t>
  </si>
  <si>
    <t>AD6046</t>
  </si>
  <si>
    <t>VS20505</t>
  </si>
  <si>
    <t>AD6047</t>
  </si>
  <si>
    <t>VS20989</t>
  </si>
  <si>
    <t>AD6048</t>
  </si>
  <si>
    <t>₹8,926</t>
  </si>
  <si>
    <t>AD6049</t>
  </si>
  <si>
    <t>AD6050</t>
  </si>
  <si>
    <t>₹17,433</t>
  </si>
  <si>
    <t>AD6051</t>
  </si>
  <si>
    <t>₹68,260</t>
  </si>
  <si>
    <t>AD6052</t>
  </si>
  <si>
    <t>AD6053</t>
  </si>
  <si>
    <t>Rs. 18,599</t>
  </si>
  <si>
    <t>AD6054</t>
  </si>
  <si>
    <t>AD6055</t>
  </si>
  <si>
    <t>Rs. 8,162</t>
  </si>
  <si>
    <t>AD6056</t>
  </si>
  <si>
    <t>AD6057</t>
  </si>
  <si>
    <t>VS20803</t>
  </si>
  <si>
    <t>Rs. 3,787</t>
  </si>
  <si>
    <t>AD6058</t>
  </si>
  <si>
    <t>VS20719</t>
  </si>
  <si>
    <t>AD6059</t>
  </si>
  <si>
    <t>VS20952</t>
  </si>
  <si>
    <t>₹10,417</t>
  </si>
  <si>
    <t>AD6060</t>
  </si>
  <si>
    <t>AD6061</t>
  </si>
  <si>
    <t>VS20482</t>
  </si>
  <si>
    <t>AD6062</t>
  </si>
  <si>
    <t>AD6063</t>
  </si>
  <si>
    <t>Rs. 9,419</t>
  </si>
  <si>
    <t>AD6064</t>
  </si>
  <si>
    <t>₹5,634</t>
  </si>
  <si>
    <t>AD6065</t>
  </si>
  <si>
    <t>Rs. 18,831</t>
  </si>
  <si>
    <t>AD6066</t>
  </si>
  <si>
    <t>VS20197</t>
  </si>
  <si>
    <t>Rs. 8,093</t>
  </si>
  <si>
    <t>AD6067</t>
  </si>
  <si>
    <t>AD6068</t>
  </si>
  <si>
    <t>AD6069</t>
  </si>
  <si>
    <t>VS20464</t>
  </si>
  <si>
    <t>₹15,873</t>
  </si>
  <si>
    <t>AD6070</t>
  </si>
  <si>
    <t>AD6071</t>
  </si>
  <si>
    <t>AD6072</t>
  </si>
  <si>
    <t>VS20956</t>
  </si>
  <si>
    <t>Rs. 51,572</t>
  </si>
  <si>
    <t>AD6073</t>
  </si>
  <si>
    <t>AD6074</t>
  </si>
  <si>
    <t>VS20355</t>
  </si>
  <si>
    <t>₹7,065</t>
  </si>
  <si>
    <t>AD6075</t>
  </si>
  <si>
    <t>VS21075</t>
  </si>
  <si>
    <t>AD6076</t>
  </si>
  <si>
    <t>VS20964</t>
  </si>
  <si>
    <t>₹8,061</t>
  </si>
  <si>
    <t>AD6077</t>
  </si>
  <si>
    <t>AD6078</t>
  </si>
  <si>
    <t>VS20050</t>
  </si>
  <si>
    <t>₹5,840</t>
  </si>
  <si>
    <t>AD6079</t>
  </si>
  <si>
    <t>VS20888</t>
  </si>
  <si>
    <t>AD6080</t>
  </si>
  <si>
    <t>AD6081</t>
  </si>
  <si>
    <t>AD6082</t>
  </si>
  <si>
    <t>Rs. 6,724</t>
  </si>
  <si>
    <t>AD6083</t>
  </si>
  <si>
    <t>₹34,925</t>
  </si>
  <si>
    <t>AD6084</t>
  </si>
  <si>
    <t>VS20618</t>
  </si>
  <si>
    <t>AD6085</t>
  </si>
  <si>
    <t>VS20090</t>
  </si>
  <si>
    <t>AD6086</t>
  </si>
  <si>
    <t>VS20438</t>
  </si>
  <si>
    <t>AD6087</t>
  </si>
  <si>
    <t>Rs. 19,392</t>
  </si>
  <si>
    <t>AD6088</t>
  </si>
  <si>
    <t>AD6089</t>
  </si>
  <si>
    <t>AD6090</t>
  </si>
  <si>
    <t>VS20180</t>
  </si>
  <si>
    <t>AD6091</t>
  </si>
  <si>
    <t>VS20281</t>
  </si>
  <si>
    <t>₹16,717</t>
  </si>
  <si>
    <t>AD6092</t>
  </si>
  <si>
    <t>AD6093</t>
  </si>
  <si>
    <t>VS20959</t>
  </si>
  <si>
    <t>Rs. 20,669</t>
  </si>
  <si>
    <t>AD6094</t>
  </si>
  <si>
    <t>VS20555</t>
  </si>
  <si>
    <t>AD6095</t>
  </si>
  <si>
    <t>VS20322</t>
  </si>
  <si>
    <t>AD6096</t>
  </si>
  <si>
    <t>VS20328</t>
  </si>
  <si>
    <t>AD6097</t>
  </si>
  <si>
    <t>Rs. 4,022</t>
  </si>
  <si>
    <t>AD6098</t>
  </si>
  <si>
    <t>₹38,773</t>
  </si>
  <si>
    <t>AD6099</t>
  </si>
  <si>
    <t>Rs. 8,684</t>
  </si>
  <si>
    <t>AD6100</t>
  </si>
  <si>
    <t>Rs. 32,379</t>
  </si>
  <si>
    <t>AD6101</t>
  </si>
  <si>
    <t>VS21170</t>
  </si>
  <si>
    <t>AD6102</t>
  </si>
  <si>
    <t>AD6103</t>
  </si>
  <si>
    <t>Rs. 39,543</t>
  </si>
  <si>
    <t>AD6104</t>
  </si>
  <si>
    <t>VS20970</t>
  </si>
  <si>
    <t>₹8,941</t>
  </si>
  <si>
    <t>AD6105</t>
  </si>
  <si>
    <t>Rs. 10,436</t>
  </si>
  <si>
    <t>AD6106</t>
  </si>
  <si>
    <t>VS20684</t>
  </si>
  <si>
    <t>AD6107</t>
  </si>
  <si>
    <t>Rs. 4,287</t>
  </si>
  <si>
    <t>AD6108</t>
  </si>
  <si>
    <t>AD6109</t>
  </si>
  <si>
    <t>Rs. 10,851</t>
  </si>
  <si>
    <t>AD6110</t>
  </si>
  <si>
    <t>₹8,989</t>
  </si>
  <si>
    <t>AD6111</t>
  </si>
  <si>
    <t>AD6112</t>
  </si>
  <si>
    <t>VS21059</t>
  </si>
  <si>
    <t>Rs. 9,936</t>
  </si>
  <si>
    <t>AD6113</t>
  </si>
  <si>
    <t>VS20034</t>
  </si>
  <si>
    <t>AD6114</t>
  </si>
  <si>
    <t>AD6115</t>
  </si>
  <si>
    <t>VS20826</t>
  </si>
  <si>
    <t>₹15,889</t>
  </si>
  <si>
    <t>AD6116</t>
  </si>
  <si>
    <t>VS20183</t>
  </si>
  <si>
    <t>Rs. 19,099</t>
  </si>
  <si>
    <t>AD6117</t>
  </si>
  <si>
    <t>₹8,023</t>
  </si>
  <si>
    <t>AD6118</t>
  </si>
  <si>
    <t>₹32,057</t>
  </si>
  <si>
    <t>AD6119</t>
  </si>
  <si>
    <t>VS20743</t>
  </si>
  <si>
    <t>AD6120</t>
  </si>
  <si>
    <t>AD6121</t>
  </si>
  <si>
    <t>AD6122</t>
  </si>
  <si>
    <t>AD6123</t>
  </si>
  <si>
    <t>₹10,371</t>
  </si>
  <si>
    <t>AD6124</t>
  </si>
  <si>
    <t>₹66,132</t>
  </si>
  <si>
    <t>AD6125</t>
  </si>
  <si>
    <t>VS20642</t>
  </si>
  <si>
    <t>₹5,203</t>
  </si>
  <si>
    <t>AD6126</t>
  </si>
  <si>
    <t>AD6127</t>
  </si>
  <si>
    <t>VS20471</t>
  </si>
  <si>
    <t>₹16,377</t>
  </si>
  <si>
    <t>AD6128</t>
  </si>
  <si>
    <t>AD6129</t>
  </si>
  <si>
    <t>Rs. 82,148</t>
  </si>
  <si>
    <t>AD6130</t>
  </si>
  <si>
    <t>AD6131</t>
  </si>
  <si>
    <t>AD6132</t>
  </si>
  <si>
    <t>AD6133</t>
  </si>
  <si>
    <t>₹6,291</t>
  </si>
  <si>
    <t>AD6134</t>
  </si>
  <si>
    <t>VS20376</t>
  </si>
  <si>
    <t>AD6135</t>
  </si>
  <si>
    <t>AD6136</t>
  </si>
  <si>
    <t>AD6137</t>
  </si>
  <si>
    <t>AD6138</t>
  </si>
  <si>
    <t>VS20487</t>
  </si>
  <si>
    <t>AD6139</t>
  </si>
  <si>
    <t>AD6140</t>
  </si>
  <si>
    <t>Rs. 15,463</t>
  </si>
  <si>
    <t>AD6141</t>
  </si>
  <si>
    <t>₹4,001</t>
  </si>
  <si>
    <t>AD6142</t>
  </si>
  <si>
    <t>₹12,939</t>
  </si>
  <si>
    <t>AD6143</t>
  </si>
  <si>
    <t>₹7,055</t>
  </si>
  <si>
    <t>AD6144</t>
  </si>
  <si>
    <t>AD6145</t>
  </si>
  <si>
    <t>AD6146</t>
  </si>
  <si>
    <t>VS20932</t>
  </si>
  <si>
    <t>₹17,598</t>
  </si>
  <si>
    <t>AD6147</t>
  </si>
  <si>
    <t>₹17,238</t>
  </si>
  <si>
    <t>AD6148</t>
  </si>
  <si>
    <t>AD6149</t>
  </si>
  <si>
    <t>AD6150</t>
  </si>
  <si>
    <t>Rs. 19,450</t>
  </si>
  <si>
    <t>AD6151</t>
  </si>
  <si>
    <t>VS20911</t>
  </si>
  <si>
    <t>₹6,119</t>
  </si>
  <si>
    <t>AD6152</t>
  </si>
  <si>
    <t>₹12,859</t>
  </si>
  <si>
    <t>AD6153</t>
  </si>
  <si>
    <t>VS20669</t>
  </si>
  <si>
    <t>AD6154</t>
  </si>
  <si>
    <t>AD6155</t>
  </si>
  <si>
    <t>AD6156</t>
  </si>
  <si>
    <t>VS20312</t>
  </si>
  <si>
    <t>AD6157</t>
  </si>
  <si>
    <t>VS20311</t>
  </si>
  <si>
    <t>AD6158</t>
  </si>
  <si>
    <t>VS21017</t>
  </si>
  <si>
    <t>AD6159</t>
  </si>
  <si>
    <t>VS20789</t>
  </si>
  <si>
    <t>AD6160</t>
  </si>
  <si>
    <t>Rs. 74,959</t>
  </si>
  <si>
    <t>AD6161</t>
  </si>
  <si>
    <t>₹11,363</t>
  </si>
  <si>
    <t>AD6162</t>
  </si>
  <si>
    <t>VS20695</t>
  </si>
  <si>
    <t>AD6163</t>
  </si>
  <si>
    <t>Rs. 34,467</t>
  </si>
  <si>
    <t>AD6164</t>
  </si>
  <si>
    <t>AD6165</t>
  </si>
  <si>
    <t>VS20729</t>
  </si>
  <si>
    <t>₹78,961</t>
  </si>
  <si>
    <t>AD6166</t>
  </si>
  <si>
    <t>AD6167</t>
  </si>
  <si>
    <t>AD6168</t>
  </si>
  <si>
    <t>AD6169</t>
  </si>
  <si>
    <t>VS20021</t>
  </si>
  <si>
    <t>AD6170</t>
  </si>
  <si>
    <t>₹3,927</t>
  </si>
  <si>
    <t>AD6171</t>
  </si>
  <si>
    <t>AD6172</t>
  </si>
  <si>
    <t>VS20738</t>
  </si>
  <si>
    <t>AD6173</t>
  </si>
  <si>
    <t>₹64,300</t>
  </si>
  <si>
    <t>AD6174</t>
  </si>
  <si>
    <t>Rs. 5,859</t>
  </si>
  <si>
    <t>AD6175</t>
  </si>
  <si>
    <t>Rs. 9,662</t>
  </si>
  <si>
    <t>AD6176</t>
  </si>
  <si>
    <t>₹17,760</t>
  </si>
  <si>
    <t>AD6177</t>
  </si>
  <si>
    <t>VS20097</t>
  </si>
  <si>
    <t>AD6178</t>
  </si>
  <si>
    <t>VS20304</t>
  </si>
  <si>
    <t>Rs. 16,437</t>
  </si>
  <si>
    <t>AD6179</t>
  </si>
  <si>
    <t>AD6180</t>
  </si>
  <si>
    <t>VS20976</t>
  </si>
  <si>
    <t>₹16,137</t>
  </si>
  <si>
    <t>AD6181</t>
  </si>
  <si>
    <t>AD6182</t>
  </si>
  <si>
    <t>Rs. 44,735</t>
  </si>
  <si>
    <t>AD6183</t>
  </si>
  <si>
    <t>AD6184</t>
  </si>
  <si>
    <t>VS21021</t>
  </si>
  <si>
    <t>AD6185</t>
  </si>
  <si>
    <t>VS20151</t>
  </si>
  <si>
    <t>₹12,911</t>
  </si>
  <si>
    <t>AD6186</t>
  </si>
  <si>
    <t>AD6187</t>
  </si>
  <si>
    <t>VS20184</t>
  </si>
  <si>
    <t>AD6188</t>
  </si>
  <si>
    <t>VS20088</t>
  </si>
  <si>
    <t>Rs. 17,767</t>
  </si>
  <si>
    <t>AD6189</t>
  </si>
  <si>
    <t>VS20790</t>
  </si>
  <si>
    <t>AD6190</t>
  </si>
  <si>
    <t>VS21058</t>
  </si>
  <si>
    <t>AD6191</t>
  </si>
  <si>
    <t>₹6,098</t>
  </si>
  <si>
    <t>AD6192</t>
  </si>
  <si>
    <t>AD6193</t>
  </si>
  <si>
    <t>₹11,236</t>
  </si>
  <si>
    <t>AD6194</t>
  </si>
  <si>
    <t>VS20971</t>
  </si>
  <si>
    <t>Rs. 8,807</t>
  </si>
  <si>
    <t>AD6195</t>
  </si>
  <si>
    <t>Rs. 7,035</t>
  </si>
  <si>
    <t>AD6196</t>
  </si>
  <si>
    <t>AD6197</t>
  </si>
  <si>
    <t>VS20643</t>
  </si>
  <si>
    <t>Rs. 83,347</t>
  </si>
  <si>
    <t>AD6198</t>
  </si>
  <si>
    <t>VS20459</t>
  </si>
  <si>
    <t>AD6199</t>
  </si>
  <si>
    <t>AD6200</t>
  </si>
  <si>
    <t>AD6201</t>
  </si>
  <si>
    <t>VS20390</t>
  </si>
  <si>
    <t>AD6202</t>
  </si>
  <si>
    <t>VS20006</t>
  </si>
  <si>
    <t>AD6203</t>
  </si>
  <si>
    <t>VS20535</t>
  </si>
  <si>
    <t>AD6204</t>
  </si>
  <si>
    <t>VS20249</t>
  </si>
  <si>
    <t>Rs. 8,603</t>
  </si>
  <si>
    <t>AD6205</t>
  </si>
  <si>
    <t>AD6206</t>
  </si>
  <si>
    <t>Rs. 6,187</t>
  </si>
  <si>
    <t>AD6207</t>
  </si>
  <si>
    <t>VS20266</t>
  </si>
  <si>
    <t>AD6208</t>
  </si>
  <si>
    <t>AD6209</t>
  </si>
  <si>
    <t>VS20528</t>
  </si>
  <si>
    <t>AD6210</t>
  </si>
  <si>
    <t>Rs. 33,223</t>
  </si>
  <si>
    <t>AD6211</t>
  </si>
  <si>
    <t>₹13,880</t>
  </si>
  <si>
    <t>AD6212</t>
  </si>
  <si>
    <t>VS20653</t>
  </si>
  <si>
    <t>₹12,948</t>
  </si>
  <si>
    <t>AD6213</t>
  </si>
  <si>
    <t>VS21175</t>
  </si>
  <si>
    <t>AD6214</t>
  </si>
  <si>
    <t>visit_code</t>
  </si>
  <si>
    <t>admission_time</t>
  </si>
  <si>
    <t>discharge_time</t>
  </si>
  <si>
    <t>103-927</t>
  </si>
  <si>
    <t>Early_Morning</t>
  </si>
  <si>
    <t>Evening</t>
  </si>
  <si>
    <t>101-844</t>
  </si>
  <si>
    <t>Afternoon</t>
  </si>
  <si>
    <t>VS20002</t>
  </si>
  <si>
    <t>101-421</t>
  </si>
  <si>
    <t>Morning</t>
  </si>
  <si>
    <t>101-168</t>
  </si>
  <si>
    <t>101-419</t>
  </si>
  <si>
    <t>VS20005</t>
  </si>
  <si>
    <t>104-537</t>
  </si>
  <si>
    <t>Night</t>
  </si>
  <si>
    <t>105-620</t>
  </si>
  <si>
    <t>Late_Night</t>
  </si>
  <si>
    <t>VS20007</t>
  </si>
  <si>
    <t>105-871</t>
  </si>
  <si>
    <t>103-938</t>
  </si>
  <si>
    <t>VS20009</t>
  </si>
  <si>
    <t>100-413</t>
  </si>
  <si>
    <t>VS20010</t>
  </si>
  <si>
    <t>104-355</t>
  </si>
  <si>
    <t>100-717</t>
  </si>
  <si>
    <t>VS20012</t>
  </si>
  <si>
    <t>104-217</t>
  </si>
  <si>
    <t>102-538</t>
  </si>
  <si>
    <t>VS20014</t>
  </si>
  <si>
    <t>103-905</t>
  </si>
  <si>
    <t>101-659</t>
  </si>
  <si>
    <t>VS20016</t>
  </si>
  <si>
    <t>105-729</t>
  </si>
  <si>
    <t>VS20017</t>
  </si>
  <si>
    <t>103-715</t>
  </si>
  <si>
    <t>100-406</t>
  </si>
  <si>
    <t>101-199</t>
  </si>
  <si>
    <t>101-213</t>
  </si>
  <si>
    <t>101-771</t>
  </si>
  <si>
    <t>100-921</t>
  </si>
  <si>
    <t>VS20023</t>
  </si>
  <si>
    <t>100-805</t>
  </si>
  <si>
    <t>101-384</t>
  </si>
  <si>
    <t>105-279</t>
  </si>
  <si>
    <t>102-616</t>
  </si>
  <si>
    <t>100-272</t>
  </si>
  <si>
    <t>105-991</t>
  </si>
  <si>
    <t>102-934</t>
  </si>
  <si>
    <t>VS20030</t>
  </si>
  <si>
    <t>101-967</t>
  </si>
  <si>
    <t>VS20031</t>
  </si>
  <si>
    <t>100-486</t>
  </si>
  <si>
    <t>101-697</t>
  </si>
  <si>
    <t>VS20033</t>
  </si>
  <si>
    <t>104-343</t>
  </si>
  <si>
    <t>104-874</t>
  </si>
  <si>
    <t>VS20035</t>
  </si>
  <si>
    <t>101-592</t>
  </si>
  <si>
    <t>VS20036</t>
  </si>
  <si>
    <t>105-453</t>
  </si>
  <si>
    <t>104-800</t>
  </si>
  <si>
    <t>103-413</t>
  </si>
  <si>
    <t>VS20039</t>
  </si>
  <si>
    <t>104-883</t>
  </si>
  <si>
    <t>VS20040</t>
  </si>
  <si>
    <t>101-295</t>
  </si>
  <si>
    <t>100-465</t>
  </si>
  <si>
    <t>104-799</t>
  </si>
  <si>
    <t>103-830</t>
  </si>
  <si>
    <t>102-669</t>
  </si>
  <si>
    <t>102-953</t>
  </si>
  <si>
    <t>101-700</t>
  </si>
  <si>
    <t>VS20047</t>
  </si>
  <si>
    <t>105-852</t>
  </si>
  <si>
    <t>105-925</t>
  </si>
  <si>
    <t>101-286</t>
  </si>
  <si>
    <t>101-253</t>
  </si>
  <si>
    <t>VS20051</t>
  </si>
  <si>
    <t>101-705</t>
  </si>
  <si>
    <t>103-230</t>
  </si>
  <si>
    <t>102-692</t>
  </si>
  <si>
    <t>103-959</t>
  </si>
  <si>
    <t>101-560</t>
  </si>
  <si>
    <t>102-939</t>
  </si>
  <si>
    <t>101-194</t>
  </si>
  <si>
    <t>VS20058</t>
  </si>
  <si>
    <t>100-895</t>
  </si>
  <si>
    <t>102-947</t>
  </si>
  <si>
    <t>102-742</t>
  </si>
  <si>
    <t>VS20061</t>
  </si>
  <si>
    <t>104-592</t>
  </si>
  <si>
    <t>104-515</t>
  </si>
  <si>
    <t>100-914</t>
  </si>
  <si>
    <t>VS20064</t>
  </si>
  <si>
    <t>105-306</t>
  </si>
  <si>
    <t>101-277</t>
  </si>
  <si>
    <t>100-566</t>
  </si>
  <si>
    <t>VS20067</t>
  </si>
  <si>
    <t>105-782</t>
  </si>
  <si>
    <t>103-814</t>
  </si>
  <si>
    <t>103-268</t>
  </si>
  <si>
    <t>VS20070</t>
  </si>
  <si>
    <t>102-618</t>
  </si>
  <si>
    <t>100-697</t>
  </si>
  <si>
    <t>104-954</t>
  </si>
  <si>
    <t>104-535</t>
  </si>
  <si>
    <t>101-180</t>
  </si>
  <si>
    <t>103-999</t>
  </si>
  <si>
    <t>101-260</t>
  </si>
  <si>
    <t>103-321</t>
  </si>
  <si>
    <t>101-236</t>
  </si>
  <si>
    <t>VS20079</t>
  </si>
  <si>
    <t>103-827</t>
  </si>
  <si>
    <t>100-858</t>
  </si>
  <si>
    <t>101-505</t>
  </si>
  <si>
    <t>100-282</t>
  </si>
  <si>
    <t>VS20083</t>
  </si>
  <si>
    <t>104-234</t>
  </si>
  <si>
    <t>105-781</t>
  </si>
  <si>
    <t>VS20085</t>
  </si>
  <si>
    <t>100-487</t>
  </si>
  <si>
    <t>VS20086</t>
  </si>
  <si>
    <t>101-986</t>
  </si>
  <si>
    <t>105-289</t>
  </si>
  <si>
    <t>100-139</t>
  </si>
  <si>
    <t>102-663</t>
  </si>
  <si>
    <t>105-873</t>
  </si>
  <si>
    <t>VS20091</t>
  </si>
  <si>
    <t>101-849</t>
  </si>
  <si>
    <t>104-323</t>
  </si>
  <si>
    <t>VS20093</t>
  </si>
  <si>
    <t>104-638</t>
  </si>
  <si>
    <t>VS20094</t>
  </si>
  <si>
    <t>100-375</t>
  </si>
  <si>
    <t>103-284</t>
  </si>
  <si>
    <t>VS20096</t>
  </si>
  <si>
    <t>105-328</t>
  </si>
  <si>
    <t>101-913</t>
  </si>
  <si>
    <t>VS20098</t>
  </si>
  <si>
    <t>105-974</t>
  </si>
  <si>
    <t>105-294</t>
  </si>
  <si>
    <t>103-550</t>
  </si>
  <si>
    <t>VS20101</t>
  </si>
  <si>
    <t>101-795</t>
  </si>
  <si>
    <t>104-590</t>
  </si>
  <si>
    <t>VS20103</t>
  </si>
  <si>
    <t>101-918</t>
  </si>
  <si>
    <t>105-749</t>
  </si>
  <si>
    <t>VS20105</t>
  </si>
  <si>
    <t>103-586</t>
  </si>
  <si>
    <t>104-342</t>
  </si>
  <si>
    <t>VS20107</t>
  </si>
  <si>
    <t>101-744</t>
  </si>
  <si>
    <t>100-625</t>
  </si>
  <si>
    <t>100-199</t>
  </si>
  <si>
    <t>VS20110</t>
  </si>
  <si>
    <t>104-577</t>
  </si>
  <si>
    <t>VS20111</t>
  </si>
  <si>
    <t>101-496</t>
  </si>
  <si>
    <t>103-354</t>
  </si>
  <si>
    <t>102-355</t>
  </si>
  <si>
    <t>105-106</t>
  </si>
  <si>
    <t>103-328</t>
  </si>
  <si>
    <t>101-825</t>
  </si>
  <si>
    <t>VS20117</t>
  </si>
  <si>
    <t>100-866</t>
  </si>
  <si>
    <t>103-903</t>
  </si>
  <si>
    <t>103-126</t>
  </si>
  <si>
    <t>101-330</t>
  </si>
  <si>
    <t>105-765</t>
  </si>
  <si>
    <t>105-130</t>
  </si>
  <si>
    <t>103-187</t>
  </si>
  <si>
    <t>VS20124</t>
  </si>
  <si>
    <t>101-979</t>
  </si>
  <si>
    <t>100-829</t>
  </si>
  <si>
    <t>101-683</t>
  </si>
  <si>
    <t>VS20127</t>
  </si>
  <si>
    <t>101-762</t>
  </si>
  <si>
    <t>VS20128</t>
  </si>
  <si>
    <t>102-468</t>
  </si>
  <si>
    <t>VS20129</t>
  </si>
  <si>
    <t>101-390</t>
  </si>
  <si>
    <t>100-385</t>
  </si>
  <si>
    <t>103-307</t>
  </si>
  <si>
    <t>105-666</t>
  </si>
  <si>
    <t>VS20133</t>
  </si>
  <si>
    <t>103-965</t>
  </si>
  <si>
    <t>101-595</t>
  </si>
  <si>
    <t>100-473</t>
  </si>
  <si>
    <t>105-590</t>
  </si>
  <si>
    <t>102-296</t>
  </si>
  <si>
    <t>VS20138</t>
  </si>
  <si>
    <t>105-828</t>
  </si>
  <si>
    <t>105-243</t>
  </si>
  <si>
    <t>102-703</t>
  </si>
  <si>
    <t>VS20141</t>
  </si>
  <si>
    <t>102-654</t>
  </si>
  <si>
    <t>105-313</t>
  </si>
  <si>
    <t>VS20143</t>
  </si>
  <si>
    <t>105-260</t>
  </si>
  <si>
    <t>102-928</t>
  </si>
  <si>
    <t>102-370</t>
  </si>
  <si>
    <t>104-264</t>
  </si>
  <si>
    <t>VS20147</t>
  </si>
  <si>
    <t>101-798</t>
  </si>
  <si>
    <t>VS20148</t>
  </si>
  <si>
    <t>100-240</t>
  </si>
  <si>
    <t>100-809</t>
  </si>
  <si>
    <t>102-482</t>
  </si>
  <si>
    <t>102-500</t>
  </si>
  <si>
    <t>VS20152</t>
  </si>
  <si>
    <t>105-915</t>
  </si>
  <si>
    <t>VS20153</t>
  </si>
  <si>
    <t>101-910</t>
  </si>
  <si>
    <t>100-424</t>
  </si>
  <si>
    <t>VS20156</t>
  </si>
  <si>
    <t>103-276</t>
  </si>
  <si>
    <t>101-905</t>
  </si>
  <si>
    <t>VS20158</t>
  </si>
  <si>
    <t>105-998</t>
  </si>
  <si>
    <t>102-317</t>
  </si>
  <si>
    <t>VS20160</t>
  </si>
  <si>
    <t>101-864</t>
  </si>
  <si>
    <t>100-278</t>
  </si>
  <si>
    <t>105-114</t>
  </si>
  <si>
    <t>104-380</t>
  </si>
  <si>
    <t>102-319</t>
  </si>
  <si>
    <t>105-224</t>
  </si>
  <si>
    <t>102-933</t>
  </si>
  <si>
    <t>102-463</t>
  </si>
  <si>
    <t>VS20169</t>
  </si>
  <si>
    <t>101-300</t>
  </si>
  <si>
    <t>VS20170</t>
  </si>
  <si>
    <t>101-489</t>
  </si>
  <si>
    <t>100-731</t>
  </si>
  <si>
    <t>103-753</t>
  </si>
  <si>
    <t>103-168</t>
  </si>
  <si>
    <t>VS20174</t>
  </si>
  <si>
    <t>104-795</t>
  </si>
  <si>
    <t>105-150</t>
  </si>
  <si>
    <t>104-958</t>
  </si>
  <si>
    <t>100-984</t>
  </si>
  <si>
    <t>102-228</t>
  </si>
  <si>
    <t>VS20179</t>
  </si>
  <si>
    <t>105-183</t>
  </si>
  <si>
    <t>102-314</t>
  </si>
  <si>
    <t>105-582</t>
  </si>
  <si>
    <t>103-408</t>
  </si>
  <si>
    <t>101-598</t>
  </si>
  <si>
    <t>105-567</t>
  </si>
  <si>
    <t>VS20185</t>
  </si>
  <si>
    <t>101-769</t>
  </si>
  <si>
    <t>103-421</t>
  </si>
  <si>
    <t>VS20187</t>
  </si>
  <si>
    <t>102-345</t>
  </si>
  <si>
    <t>VS20188</t>
  </si>
  <si>
    <t>104-461</t>
  </si>
  <si>
    <t>VS20189</t>
  </si>
  <si>
    <t>105-947</t>
  </si>
  <si>
    <t>101-797</t>
  </si>
  <si>
    <t>100-720</t>
  </si>
  <si>
    <t>VS20192</t>
  </si>
  <si>
    <t>104-854</t>
  </si>
  <si>
    <t>101-164</t>
  </si>
  <si>
    <t>102-379</t>
  </si>
  <si>
    <t>VS20195</t>
  </si>
  <si>
    <t>105-226</t>
  </si>
  <si>
    <t>105-340</t>
  </si>
  <si>
    <t>103-595</t>
  </si>
  <si>
    <t>103-214</t>
  </si>
  <si>
    <t>VS20199</t>
  </si>
  <si>
    <t>101-515</t>
  </si>
  <si>
    <t>104-779</t>
  </si>
  <si>
    <t>104-850</t>
  </si>
  <si>
    <t>103-141</t>
  </si>
  <si>
    <t>VS20203</t>
  </si>
  <si>
    <t>101-296</t>
  </si>
  <si>
    <t>102-770</t>
  </si>
  <si>
    <t>VS20205</t>
  </si>
  <si>
    <t>103-720</t>
  </si>
  <si>
    <t>VS20206</t>
  </si>
  <si>
    <t>101-113</t>
  </si>
  <si>
    <t>VS20207</t>
  </si>
  <si>
    <t>103-750</t>
  </si>
  <si>
    <t>VS20208</t>
  </si>
  <si>
    <t>105-862</t>
  </si>
  <si>
    <t>105-732</t>
  </si>
  <si>
    <t>105-842</t>
  </si>
  <si>
    <t>VS20211</t>
  </si>
  <si>
    <t>102-338</t>
  </si>
  <si>
    <t>VS20212</t>
  </si>
  <si>
    <t>102-767</t>
  </si>
  <si>
    <t>VS20213</t>
  </si>
  <si>
    <t>104-488</t>
  </si>
  <si>
    <t>101-656</t>
  </si>
  <si>
    <t>103-322</t>
  </si>
  <si>
    <t>104-437</t>
  </si>
  <si>
    <t>VS20217</t>
  </si>
  <si>
    <t>105-773</t>
  </si>
  <si>
    <t>103-793</t>
  </si>
  <si>
    <t>100-802</t>
  </si>
  <si>
    <t>100-250</t>
  </si>
  <si>
    <t>101-125</t>
  </si>
  <si>
    <t>102-383</t>
  </si>
  <si>
    <t>101-812</t>
  </si>
  <si>
    <t>102-564</t>
  </si>
  <si>
    <t>100-893</t>
  </si>
  <si>
    <t>100-695</t>
  </si>
  <si>
    <t>101-790</t>
  </si>
  <si>
    <t>100-737</t>
  </si>
  <si>
    <t>101-985</t>
  </si>
  <si>
    <t>105-901</t>
  </si>
  <si>
    <t>VS20231</t>
  </si>
  <si>
    <t>100-193</t>
  </si>
  <si>
    <t>VS20232</t>
  </si>
  <si>
    <t>101-119</t>
  </si>
  <si>
    <t>100-231</t>
  </si>
  <si>
    <t>102-517</t>
  </si>
  <si>
    <t>103-289</t>
  </si>
  <si>
    <t>VS20236</t>
  </si>
  <si>
    <t>100-238</t>
  </si>
  <si>
    <t>102-321</t>
  </si>
  <si>
    <t>VS20239</t>
  </si>
  <si>
    <t>105-310</t>
  </si>
  <si>
    <t>VS20240</t>
  </si>
  <si>
    <t>104-247</t>
  </si>
  <si>
    <t>101-334</t>
  </si>
  <si>
    <t>103-183</t>
  </si>
  <si>
    <t>VS20243</t>
  </si>
  <si>
    <t>103-952</t>
  </si>
  <si>
    <t>102-726</t>
  </si>
  <si>
    <t>VS20245</t>
  </si>
  <si>
    <t>103-201</t>
  </si>
  <si>
    <t>103-393</t>
  </si>
  <si>
    <t>VS20247</t>
  </si>
  <si>
    <t>102-365</t>
  </si>
  <si>
    <t>105-685</t>
  </si>
  <si>
    <t>105-220</t>
  </si>
  <si>
    <t>100-755</t>
  </si>
  <si>
    <t>105-249</t>
  </si>
  <si>
    <t>103-645</t>
  </si>
  <si>
    <t>VS20253</t>
  </si>
  <si>
    <t>102-962</t>
  </si>
  <si>
    <t>VS20254</t>
  </si>
  <si>
    <t>102-737</t>
  </si>
  <si>
    <t>102-849</t>
  </si>
  <si>
    <t>VS20256</t>
  </si>
  <si>
    <t>105-908</t>
  </si>
  <si>
    <t>103-331</t>
  </si>
  <si>
    <t>103-404</t>
  </si>
  <si>
    <t>VS20259</t>
  </si>
  <si>
    <t>100-861</t>
  </si>
  <si>
    <t>103-604</t>
  </si>
  <si>
    <t>100-553</t>
  </si>
  <si>
    <t>103-817</t>
  </si>
  <si>
    <t>VS20263</t>
  </si>
  <si>
    <t>104-494</t>
  </si>
  <si>
    <t>VS20264</t>
  </si>
  <si>
    <t>103-992</t>
  </si>
  <si>
    <t>105-603</t>
  </si>
  <si>
    <t>101-149</t>
  </si>
  <si>
    <t>102-915</t>
  </si>
  <si>
    <t>100-883</t>
  </si>
  <si>
    <t>103-345</t>
  </si>
  <si>
    <t>102-956</t>
  </si>
  <si>
    <t>VS20271</t>
  </si>
  <si>
    <t>101-492</t>
  </si>
  <si>
    <t>105-461</t>
  </si>
  <si>
    <t>104-275</t>
  </si>
  <si>
    <t>VS20274</t>
  </si>
  <si>
    <t>103-500</t>
  </si>
  <si>
    <t>VS20275</t>
  </si>
  <si>
    <t>100-573</t>
  </si>
  <si>
    <t>102-404</t>
  </si>
  <si>
    <t>VS20277</t>
  </si>
  <si>
    <t>104-250</t>
  </si>
  <si>
    <t>105-161</t>
  </si>
  <si>
    <t>100-941</t>
  </si>
  <si>
    <t>VS20280</t>
  </si>
  <si>
    <t>100-527</t>
  </si>
  <si>
    <t>104-842</t>
  </si>
  <si>
    <t>VS20282</t>
  </si>
  <si>
    <t>100-692</t>
  </si>
  <si>
    <t>105-385</t>
  </si>
  <si>
    <t>VS20284</t>
  </si>
  <si>
    <t>104-156</t>
  </si>
  <si>
    <t>102-539</t>
  </si>
  <si>
    <t>VS20286</t>
  </si>
  <si>
    <t>102-941</t>
  </si>
  <si>
    <t>101-605</t>
  </si>
  <si>
    <t>101-603</t>
  </si>
  <si>
    <t>102-186</t>
  </si>
  <si>
    <t>102-715</t>
  </si>
  <si>
    <t>105-377</t>
  </si>
  <si>
    <t>104-255</t>
  </si>
  <si>
    <t>VS20293</t>
  </si>
  <si>
    <t>102-635</t>
  </si>
  <si>
    <t>100-171</t>
  </si>
  <si>
    <t>VS20295</t>
  </si>
  <si>
    <t>101-978</t>
  </si>
  <si>
    <t>104-782</t>
  </si>
  <si>
    <t>VS20298</t>
  </si>
  <si>
    <t>105-266</t>
  </si>
  <si>
    <t>VS20299</t>
  </si>
  <si>
    <t>102-246</t>
  </si>
  <si>
    <t>105-399</t>
  </si>
  <si>
    <t>103-682</t>
  </si>
  <si>
    <t>104-444</t>
  </si>
  <si>
    <t>105-146</t>
  </si>
  <si>
    <t>103-628</t>
  </si>
  <si>
    <t>105-446</t>
  </si>
  <si>
    <t>VS20306</t>
  </si>
  <si>
    <t>101-946</t>
  </si>
  <si>
    <t>103-756</t>
  </si>
  <si>
    <t>VS20308</t>
  </si>
  <si>
    <t>102-289</t>
  </si>
  <si>
    <t>VS20309</t>
  </si>
  <si>
    <t>103-933</t>
  </si>
  <si>
    <t>104-932</t>
  </si>
  <si>
    <t>105-467</t>
  </si>
  <si>
    <t>101-675</t>
  </si>
  <si>
    <t>102-453</t>
  </si>
  <si>
    <t>101-932</t>
  </si>
  <si>
    <t>VS20316</t>
  </si>
  <si>
    <t>103-657</t>
  </si>
  <si>
    <t>VS20317</t>
  </si>
  <si>
    <t>VS20318</t>
  </si>
  <si>
    <t>104-348</t>
  </si>
  <si>
    <t>104-212</t>
  </si>
  <si>
    <t>VS20320</t>
  </si>
  <si>
    <t>103-596</t>
  </si>
  <si>
    <t>100-783</t>
  </si>
  <si>
    <t>101-671</t>
  </si>
  <si>
    <t>VS20323</t>
  </si>
  <si>
    <t>102-180</t>
  </si>
  <si>
    <t>103-980</t>
  </si>
  <si>
    <t>VS20325</t>
  </si>
  <si>
    <t>103-433</t>
  </si>
  <si>
    <t>104-285</t>
  </si>
  <si>
    <t>105-495</t>
  </si>
  <si>
    <t>103-493</t>
  </si>
  <si>
    <t>VS20329</t>
  </si>
  <si>
    <t>101-609</t>
  </si>
  <si>
    <t>104-304</t>
  </si>
  <si>
    <t>105-154</t>
  </si>
  <si>
    <t>102-996</t>
  </si>
  <si>
    <t>104-674</t>
  </si>
  <si>
    <t>VS20334</t>
  </si>
  <si>
    <t>105-164</t>
  </si>
  <si>
    <t>101-870</t>
  </si>
  <si>
    <t>103-629</t>
  </si>
  <si>
    <t>VS20337</t>
  </si>
  <si>
    <t>105-502</t>
  </si>
  <si>
    <t>VS20338</t>
  </si>
  <si>
    <t>104-545</t>
  </si>
  <si>
    <t>VS20339</t>
  </si>
  <si>
    <t>VS20340</t>
  </si>
  <si>
    <t>101-222</t>
  </si>
  <si>
    <t>100-907</t>
  </si>
  <si>
    <t>VS20343</t>
  </si>
  <si>
    <t>102-505</t>
  </si>
  <si>
    <t>100-383</t>
  </si>
  <si>
    <t>VS20345</t>
  </si>
  <si>
    <t>100-118</t>
  </si>
  <si>
    <t>102-607</t>
  </si>
  <si>
    <t>103-220</t>
  </si>
  <si>
    <t>104-491</t>
  </si>
  <si>
    <t>103-885</t>
  </si>
  <si>
    <t>VS20350</t>
  </si>
  <si>
    <t>100-295</t>
  </si>
  <si>
    <t>105-938</t>
  </si>
  <si>
    <t>VS20352</t>
  </si>
  <si>
    <t>103-236</t>
  </si>
  <si>
    <t>105-982</t>
  </si>
  <si>
    <t>VS20354</t>
  </si>
  <si>
    <t>103-191</t>
  </si>
  <si>
    <t>104-320</t>
  </si>
  <si>
    <t>VS20356</t>
  </si>
  <si>
    <t>103-274</t>
  </si>
  <si>
    <t>VS20358</t>
  </si>
  <si>
    <t>100-706</t>
  </si>
  <si>
    <t>VS20359</t>
  </si>
  <si>
    <t>104-690</t>
  </si>
  <si>
    <t>103-344</t>
  </si>
  <si>
    <t>105-609</t>
  </si>
  <si>
    <t>104-836</t>
  </si>
  <si>
    <t>102-394</t>
  </si>
  <si>
    <t>103-748</t>
  </si>
  <si>
    <t>101-280</t>
  </si>
  <si>
    <t>103-836</t>
  </si>
  <si>
    <t>VS20367</t>
  </si>
  <si>
    <t>104-692</t>
  </si>
  <si>
    <t>104-176</t>
  </si>
  <si>
    <t>VS20369</t>
  </si>
  <si>
    <t>103-801</t>
  </si>
  <si>
    <t>VS20370</t>
  </si>
  <si>
    <t>100-702</t>
  </si>
  <si>
    <t>102-519</t>
  </si>
  <si>
    <t>VS20372</t>
  </si>
  <si>
    <t>101-396</t>
  </si>
  <si>
    <t>102-746</t>
  </si>
  <si>
    <t>103-481</t>
  </si>
  <si>
    <t>102-653</t>
  </si>
  <si>
    <t>104-880</t>
  </si>
  <si>
    <t>101-891</t>
  </si>
  <si>
    <t>104-178</t>
  </si>
  <si>
    <t>VS20379</t>
  </si>
  <si>
    <t>103-427</t>
  </si>
  <si>
    <t>VS20380</t>
  </si>
  <si>
    <t>100-111</t>
  </si>
  <si>
    <t>101-134</t>
  </si>
  <si>
    <t>VS20382</t>
  </si>
  <si>
    <t>101-610</t>
  </si>
  <si>
    <t>105-626</t>
  </si>
  <si>
    <t>103-581</t>
  </si>
  <si>
    <t>102-613</t>
  </si>
  <si>
    <t>VS20386</t>
  </si>
  <si>
    <t>101-820</t>
  </si>
  <si>
    <t>VS20387</t>
  </si>
  <si>
    <t>104-387</t>
  </si>
  <si>
    <t>VS20388</t>
  </si>
  <si>
    <t>102-722</t>
  </si>
  <si>
    <t>100-550</t>
  </si>
  <si>
    <t>102-918</t>
  </si>
  <si>
    <t>102-925</t>
  </si>
  <si>
    <t>VS20392</t>
  </si>
  <si>
    <t>102-709</t>
  </si>
  <si>
    <t>104-637</t>
  </si>
  <si>
    <t>100-403</t>
  </si>
  <si>
    <t>102-735</t>
  </si>
  <si>
    <t>101-947</t>
  </si>
  <si>
    <t>VS20397</t>
  </si>
  <si>
    <t>100-344</t>
  </si>
  <si>
    <t>104-210</t>
  </si>
  <si>
    <t>104-450</t>
  </si>
  <si>
    <t>102-967</t>
  </si>
  <si>
    <t>101-520</t>
  </si>
  <si>
    <t>105-753</t>
  </si>
  <si>
    <t>VS20403</t>
  </si>
  <si>
    <t>103-116</t>
  </si>
  <si>
    <t>102-178</t>
  </si>
  <si>
    <t>101-498</t>
  </si>
  <si>
    <t>102-118</t>
  </si>
  <si>
    <t>103-858</t>
  </si>
  <si>
    <t>VS20408</t>
  </si>
  <si>
    <t>102-248</t>
  </si>
  <si>
    <t>103-624</t>
  </si>
  <si>
    <t>102-840</t>
  </si>
  <si>
    <t>VS20411</t>
  </si>
  <si>
    <t>103-457</t>
  </si>
  <si>
    <t>VS20412</t>
  </si>
  <si>
    <t>105-223</t>
  </si>
  <si>
    <t>100-964</t>
  </si>
  <si>
    <t>102-413</t>
  </si>
  <si>
    <t>VS20415</t>
  </si>
  <si>
    <t>105-900</t>
  </si>
  <si>
    <t>VS20416</t>
  </si>
  <si>
    <t>102-328</t>
  </si>
  <si>
    <t>103-733</t>
  </si>
  <si>
    <t>100-797</t>
  </si>
  <si>
    <t>102-573</t>
  </si>
  <si>
    <t>VS20420</t>
  </si>
  <si>
    <t>102-986</t>
  </si>
  <si>
    <t>103-525</t>
  </si>
  <si>
    <t>VS20422</t>
  </si>
  <si>
    <t>103-672</t>
  </si>
  <si>
    <t>102-964</t>
  </si>
  <si>
    <t>102-650</t>
  </si>
  <si>
    <t>100-396</t>
  </si>
  <si>
    <t>100-247</t>
  </si>
  <si>
    <t>VS20427</t>
  </si>
  <si>
    <t>101-339</t>
  </si>
  <si>
    <t>VS20428</t>
  </si>
  <si>
    <t>101-254</t>
  </si>
  <si>
    <t>105-432</t>
  </si>
  <si>
    <t>100-377</t>
  </si>
  <si>
    <t>100-256</t>
  </si>
  <si>
    <t>102-699</t>
  </si>
  <si>
    <t>VS20433</t>
  </si>
  <si>
    <t>100-121</t>
  </si>
  <si>
    <t>VS20434</t>
  </si>
  <si>
    <t>101-255</t>
  </si>
  <si>
    <t>105-531</t>
  </si>
  <si>
    <t>VS20436</t>
  </si>
  <si>
    <t>101-458</t>
  </si>
  <si>
    <t>VS20437</t>
  </si>
  <si>
    <t>100-394</t>
  </si>
  <si>
    <t>105-726</t>
  </si>
  <si>
    <t>105-286</t>
  </si>
  <si>
    <t>105-406</t>
  </si>
  <si>
    <t>VS20441</t>
  </si>
  <si>
    <t>105-395</t>
  </si>
  <si>
    <t>104-174</t>
  </si>
  <si>
    <t>105-872</t>
  </si>
  <si>
    <t>VS20444</t>
  </si>
  <si>
    <t>103-535</t>
  </si>
  <si>
    <t>VS20445</t>
  </si>
  <si>
    <t>105-212</t>
  </si>
  <si>
    <t>103-716</t>
  </si>
  <si>
    <t>VS20447</t>
  </si>
  <si>
    <t>101-898</t>
  </si>
  <si>
    <t>105-431</t>
  </si>
  <si>
    <t>VS20449</t>
  </si>
  <si>
    <t>100-258</t>
  </si>
  <si>
    <t>VS20451</t>
  </si>
  <si>
    <t>104-695</t>
  </si>
  <si>
    <t>102-273</t>
  </si>
  <si>
    <t>101-571</t>
  </si>
  <si>
    <t>105-705</t>
  </si>
  <si>
    <t>105-931</t>
  </si>
  <si>
    <t>VS20457</t>
  </si>
  <si>
    <t>104-682</t>
  </si>
  <si>
    <t>105-126</t>
  </si>
  <si>
    <t>105-529</t>
  </si>
  <si>
    <t>VS20462</t>
  </si>
  <si>
    <t>105-754</t>
  </si>
  <si>
    <t>103-542</t>
  </si>
  <si>
    <t>102-876</t>
  </si>
  <si>
    <t>VS20465</t>
  </si>
  <si>
    <t>104-322</t>
  </si>
  <si>
    <t>VS20466</t>
  </si>
  <si>
    <t>104-669</t>
  </si>
  <si>
    <t>104-731</t>
  </si>
  <si>
    <t>103-576</t>
  </si>
  <si>
    <t>102-952</t>
  </si>
  <si>
    <t>105-206</t>
  </si>
  <si>
    <t>101-604</t>
  </si>
  <si>
    <t>104-164</t>
  </si>
  <si>
    <t>100-304</t>
  </si>
  <si>
    <t>VS20474</t>
  </si>
  <si>
    <t>100-214</t>
  </si>
  <si>
    <t>VS20475</t>
  </si>
  <si>
    <t>105-307</t>
  </si>
  <si>
    <t>102-968</t>
  </si>
  <si>
    <t>103-852</t>
  </si>
  <si>
    <t>103-471</t>
  </si>
  <si>
    <t>VS20479</t>
  </si>
  <si>
    <t>104-219</t>
  </si>
  <si>
    <t>VS20480</t>
  </si>
  <si>
    <t>103-966</t>
  </si>
  <si>
    <t>101-880</t>
  </si>
  <si>
    <t>VS20484</t>
  </si>
  <si>
    <t>104-655</t>
  </si>
  <si>
    <t>101-318</t>
  </si>
  <si>
    <t>105-997</t>
  </si>
  <si>
    <t>103-563</t>
  </si>
  <si>
    <t>VS20488</t>
  </si>
  <si>
    <t>101-883</t>
  </si>
  <si>
    <t>VS20489</t>
  </si>
  <si>
    <t>103-766</t>
  </si>
  <si>
    <t>VS20490</t>
  </si>
  <si>
    <t>105-665</t>
  </si>
  <si>
    <t>105-932</t>
  </si>
  <si>
    <t>VS20492</t>
  </si>
  <si>
    <t>101-450</t>
  </si>
  <si>
    <t>101-638</t>
  </si>
  <si>
    <t>VS20495</t>
  </si>
  <si>
    <t>103-729</t>
  </si>
  <si>
    <t>102-728</t>
  </si>
  <si>
    <t>103-438</t>
  </si>
  <si>
    <t>VS20498</t>
  </si>
  <si>
    <t>105-203</t>
  </si>
  <si>
    <t>104-901</t>
  </si>
  <si>
    <t>100-211</t>
  </si>
  <si>
    <t>100-388</t>
  </si>
  <si>
    <t>105-988</t>
  </si>
  <si>
    <t>105-283</t>
  </si>
  <si>
    <t>103-833</t>
  </si>
  <si>
    <t>VS20506</t>
  </si>
  <si>
    <t>105-522</t>
  </si>
  <si>
    <t>100-588</t>
  </si>
  <si>
    <t>101-961</t>
  </si>
  <si>
    <t>VS20509</t>
  </si>
  <si>
    <t>104-930</t>
  </si>
  <si>
    <t>104-960</t>
  </si>
  <si>
    <t>VS20511</t>
  </si>
  <si>
    <t>104-625</t>
  </si>
  <si>
    <t>104-925</t>
  </si>
  <si>
    <t>100-751</t>
  </si>
  <si>
    <t>102-484</t>
  </si>
  <si>
    <t>100-672</t>
  </si>
  <si>
    <t>VS20517</t>
  </si>
  <si>
    <t>104-403</t>
  </si>
  <si>
    <t>100-120</t>
  </si>
  <si>
    <t>101-648</t>
  </si>
  <si>
    <t>105-532</t>
  </si>
  <si>
    <t>103-304</t>
  </si>
  <si>
    <t>104-519</t>
  </si>
  <si>
    <t>VS20524</t>
  </si>
  <si>
    <t>105-259</t>
  </si>
  <si>
    <t>104-427</t>
  </si>
  <si>
    <t>104-802</t>
  </si>
  <si>
    <t>VS20527</t>
  </si>
  <si>
    <t>102-761</t>
  </si>
  <si>
    <t>100-801</t>
  </si>
  <si>
    <t>104-980</t>
  </si>
  <si>
    <t>103-544</t>
  </si>
  <si>
    <t>VS20533</t>
  </si>
  <si>
    <t>105-273</t>
  </si>
  <si>
    <t>102-422</t>
  </si>
  <si>
    <t>105-143</t>
  </si>
  <si>
    <t>VS20536</t>
  </si>
  <si>
    <t>101-650</t>
  </si>
  <si>
    <t>104-500</t>
  </si>
  <si>
    <t>101-606</t>
  </si>
  <si>
    <t>101-809</t>
  </si>
  <si>
    <t>102-105</t>
  </si>
  <si>
    <t>VS20541</t>
  </si>
  <si>
    <t>101-476</t>
  </si>
  <si>
    <t>VS20542</t>
  </si>
  <si>
    <t>101-895</t>
  </si>
  <si>
    <t>100-400</t>
  </si>
  <si>
    <t>102-302</t>
  </si>
  <si>
    <t>VS20545</t>
  </si>
  <si>
    <t>100-680</t>
  </si>
  <si>
    <t>104-410</t>
  </si>
  <si>
    <t>104-411</t>
  </si>
  <si>
    <t>VS20548</t>
  </si>
  <si>
    <t>103-336</t>
  </si>
  <si>
    <t>VS20549</t>
  </si>
  <si>
    <t>103-974</t>
  </si>
  <si>
    <t>101-908</t>
  </si>
  <si>
    <t>100-671</t>
  </si>
  <si>
    <t>104-719</t>
  </si>
  <si>
    <t>VS20553</t>
  </si>
  <si>
    <t>100-848</t>
  </si>
  <si>
    <t>103-513</t>
  </si>
  <si>
    <t>102-756</t>
  </si>
  <si>
    <t>100-905</t>
  </si>
  <si>
    <t>102-569</t>
  </si>
  <si>
    <t>VS20559</t>
  </si>
  <si>
    <t>104-168</t>
  </si>
  <si>
    <t>103-533</t>
  </si>
  <si>
    <t>100-724</t>
  </si>
  <si>
    <t>VS20562</t>
  </si>
  <si>
    <t>105-353</t>
  </si>
  <si>
    <t>VS20563</t>
  </si>
  <si>
    <t>105-823</t>
  </si>
  <si>
    <t>101-478</t>
  </si>
  <si>
    <t>103-372</t>
  </si>
  <si>
    <t>100-650</t>
  </si>
  <si>
    <t>105-942</t>
  </si>
  <si>
    <t>VS20568</t>
  </si>
  <si>
    <t>103-122</t>
  </si>
  <si>
    <t>101-984</t>
  </si>
  <si>
    <t>105-570</t>
  </si>
  <si>
    <t>VS20571</t>
  </si>
  <si>
    <t>105-311</t>
  </si>
  <si>
    <t>103-722</t>
  </si>
  <si>
    <t>VS20573</t>
  </si>
  <si>
    <t>101-490</t>
  </si>
  <si>
    <t>104-831</t>
  </si>
  <si>
    <t>VS20575</t>
  </si>
  <si>
    <t>100-328</t>
  </si>
  <si>
    <t>VS20576</t>
  </si>
  <si>
    <t>101-925</t>
  </si>
  <si>
    <t>104-672</t>
  </si>
  <si>
    <t>VS20578</t>
  </si>
  <si>
    <t>102-732</t>
  </si>
  <si>
    <t>VS20579</t>
  </si>
  <si>
    <t>100-445</t>
  </si>
  <si>
    <t>100-449</t>
  </si>
  <si>
    <t>104-138</t>
  </si>
  <si>
    <t>VS20582</t>
  </si>
  <si>
    <t>102-462</t>
  </si>
  <si>
    <t>VS20583</t>
  </si>
  <si>
    <t>105-646</t>
  </si>
  <si>
    <t>100-781</t>
  </si>
  <si>
    <t>101-779</t>
  </si>
  <si>
    <t>VS20587</t>
  </si>
  <si>
    <t>104-334</t>
  </si>
  <si>
    <t>103-376</t>
  </si>
  <si>
    <t>101-473</t>
  </si>
  <si>
    <t>VS20590</t>
  </si>
  <si>
    <t>105-292</t>
  </si>
  <si>
    <t>105-996</t>
  </si>
  <si>
    <t>100-287</t>
  </si>
  <si>
    <t>104-709</t>
  </si>
  <si>
    <t>VS20594</t>
  </si>
  <si>
    <t>102-880</t>
  </si>
  <si>
    <t>VS20595</t>
  </si>
  <si>
    <t>105-914</t>
  </si>
  <si>
    <t>VS20596</t>
  </si>
  <si>
    <t>100-851</t>
  </si>
  <si>
    <t>104-180</t>
  </si>
  <si>
    <t>VS20598</t>
  </si>
  <si>
    <t>VS20599</t>
  </si>
  <si>
    <t>104-157</t>
  </si>
  <si>
    <t>105-676</t>
  </si>
  <si>
    <t>VS20602</t>
  </si>
  <si>
    <t>105-664</t>
  </si>
  <si>
    <t>VS20604</t>
  </si>
  <si>
    <t>103-553</t>
  </si>
  <si>
    <t>100-611</t>
  </si>
  <si>
    <t>105-980</t>
  </si>
  <si>
    <t>103-538</t>
  </si>
  <si>
    <t>103-871</t>
  </si>
  <si>
    <t>VS20609</t>
  </si>
  <si>
    <t>103-922</t>
  </si>
  <si>
    <t>102-177</t>
  </si>
  <si>
    <t>VS20611</t>
  </si>
  <si>
    <t>104-151</t>
  </si>
  <si>
    <t>100-679</t>
  </si>
  <si>
    <t>103-129</t>
  </si>
  <si>
    <t>102-508</t>
  </si>
  <si>
    <t>VS20615</t>
  </si>
  <si>
    <t>101-312</t>
  </si>
  <si>
    <t>100-235</t>
  </si>
  <si>
    <t>VS20617</t>
  </si>
  <si>
    <t>100-930</t>
  </si>
  <si>
    <t>104-165</t>
  </si>
  <si>
    <t>VS20619</t>
  </si>
  <si>
    <t>105-739</t>
  </si>
  <si>
    <t>VS20620</t>
  </si>
  <si>
    <t>104-542</t>
  </si>
  <si>
    <t>101-223</t>
  </si>
  <si>
    <t>VS20622</t>
  </si>
  <si>
    <t>104-249</t>
  </si>
  <si>
    <t>101-157</t>
  </si>
  <si>
    <t>103-698</t>
  </si>
  <si>
    <t>VS20626</t>
  </si>
  <si>
    <t>104-471</t>
  </si>
  <si>
    <t>VS20627</t>
  </si>
  <si>
    <t>105-102</t>
  </si>
  <si>
    <t>101-903</t>
  </si>
  <si>
    <t>105-703</t>
  </si>
  <si>
    <t>102-128</t>
  </si>
  <si>
    <t>VS20631</t>
  </si>
  <si>
    <t>103-759</t>
  </si>
  <si>
    <t>102-441</t>
  </si>
  <si>
    <t>104-478</t>
  </si>
  <si>
    <t>104-777</t>
  </si>
  <si>
    <t>100-170</t>
  </si>
  <si>
    <t>105-246</t>
  </si>
  <si>
    <t>105-170</t>
  </si>
  <si>
    <t>101-371</t>
  </si>
  <si>
    <t>104-834</t>
  </si>
  <si>
    <t>102-684</t>
  </si>
  <si>
    <t>101-124</t>
  </si>
  <si>
    <t>104-422</t>
  </si>
  <si>
    <t>103-741</t>
  </si>
  <si>
    <t>VS20646</t>
  </si>
  <si>
    <t>102-723</t>
  </si>
  <si>
    <t>102-863</t>
  </si>
  <si>
    <t>101-423</t>
  </si>
  <si>
    <t>101-937</t>
  </si>
  <si>
    <t>100-997</t>
  </si>
  <si>
    <t>VS20651</t>
  </si>
  <si>
    <t>101-465</t>
  </si>
  <si>
    <t>104-339</t>
  </si>
  <si>
    <t>102-625</t>
  </si>
  <si>
    <t>103-721</t>
  </si>
  <si>
    <t>104-725</t>
  </si>
  <si>
    <t>VS20656</t>
  </si>
  <si>
    <t>102-898</t>
  </si>
  <si>
    <t>VS20657</t>
  </si>
  <si>
    <t>105-629</t>
  </si>
  <si>
    <t>VS20658</t>
  </si>
  <si>
    <t>101-667</t>
  </si>
  <si>
    <t>103-232</t>
  </si>
  <si>
    <t>VS20660</t>
  </si>
  <si>
    <t>104-100</t>
  </si>
  <si>
    <t>105-127</t>
  </si>
  <si>
    <t>VS20662</t>
  </si>
  <si>
    <t>100-761</t>
  </si>
  <si>
    <t>VS20663</t>
  </si>
  <si>
    <t>104-618</t>
  </si>
  <si>
    <t>VS20665</t>
  </si>
  <si>
    <t>102-638</t>
  </si>
  <si>
    <t>104-747</t>
  </si>
  <si>
    <t>100-535</t>
  </si>
  <si>
    <t>103-648</t>
  </si>
  <si>
    <t>103-897</t>
  </si>
  <si>
    <t>104-583</t>
  </si>
  <si>
    <t>VS20671</t>
  </si>
  <si>
    <t>VS20672</t>
  </si>
  <si>
    <t>101-531</t>
  </si>
  <si>
    <t>VS20673</t>
  </si>
  <si>
    <t>101-453</t>
  </si>
  <si>
    <t>VS20674</t>
  </si>
  <si>
    <t>VS20675</t>
  </si>
  <si>
    <t>105-162</t>
  </si>
  <si>
    <t>100-499</t>
  </si>
  <si>
    <t>VS20677</t>
  </si>
  <si>
    <t>104-599</t>
  </si>
  <si>
    <t>105-722</t>
  </si>
  <si>
    <t>101-323</t>
  </si>
  <si>
    <t>102-191</t>
  </si>
  <si>
    <t>100-924</t>
  </si>
  <si>
    <t>104-183</t>
  </si>
  <si>
    <t>105-526</t>
  </si>
  <si>
    <t>105-178</t>
  </si>
  <si>
    <t>VS20685</t>
  </si>
  <si>
    <t>103-828</t>
  </si>
  <si>
    <t>105-592</t>
  </si>
  <si>
    <t>101-163</t>
  </si>
  <si>
    <t>VS20689</t>
  </si>
  <si>
    <t>105-277</t>
  </si>
  <si>
    <t>VS20690</t>
  </si>
  <si>
    <t>105-397</t>
  </si>
  <si>
    <t>102-591</t>
  </si>
  <si>
    <t>VS20692</t>
  </si>
  <si>
    <t>100-718</t>
  </si>
  <si>
    <t>VS20693</t>
  </si>
  <si>
    <t>103-107</t>
  </si>
  <si>
    <t>103-348</t>
  </si>
  <si>
    <t>101-994</t>
  </si>
  <si>
    <t>105-601</t>
  </si>
  <si>
    <t>104-773</t>
  </si>
  <si>
    <t>105-555</t>
  </si>
  <si>
    <t>VS20699</t>
  </si>
  <si>
    <t>104-986</t>
  </si>
  <si>
    <t>VS20701</t>
  </si>
  <si>
    <t>104-223</t>
  </si>
  <si>
    <t>VS20702</t>
  </si>
  <si>
    <t>104-886</t>
  </si>
  <si>
    <t>VS20703</t>
  </si>
  <si>
    <t>101-873</t>
  </si>
  <si>
    <t>100-472</t>
  </si>
  <si>
    <t>105-163</t>
  </si>
  <si>
    <t>101-587</t>
  </si>
  <si>
    <t>105-466</t>
  </si>
  <si>
    <t>VS20708</t>
  </si>
  <si>
    <t>102-822</t>
  </si>
  <si>
    <t>101-869</t>
  </si>
  <si>
    <t>101-326</t>
  </si>
  <si>
    <t>100-179</t>
  </si>
  <si>
    <t>104-220</t>
  </si>
  <si>
    <t>VS20713</t>
  </si>
  <si>
    <t>103-718</t>
  </si>
  <si>
    <t>102-400</t>
  </si>
  <si>
    <t>VS20715</t>
  </si>
  <si>
    <t>103-177</t>
  </si>
  <si>
    <t>VS20716</t>
  </si>
  <si>
    <t>100-390</t>
  </si>
  <si>
    <t>VS20717</t>
  </si>
  <si>
    <t>VS20718</t>
  </si>
  <si>
    <t>100-565</t>
  </si>
  <si>
    <t>100-438</t>
  </si>
  <si>
    <t>102-226</t>
  </si>
  <si>
    <t>VS20722</t>
  </si>
  <si>
    <t>101-274</t>
  </si>
  <si>
    <t>104-120</t>
  </si>
  <si>
    <t>VS20724</t>
  </si>
  <si>
    <t>100-267</t>
  </si>
  <si>
    <t>VS20725</t>
  </si>
  <si>
    <t>104-974</t>
  </si>
  <si>
    <t>VS20726</t>
  </si>
  <si>
    <t>102-911</t>
  </si>
  <si>
    <t>104-312</t>
  </si>
  <si>
    <t>101-135</t>
  </si>
  <si>
    <t>VS20730</t>
  </si>
  <si>
    <t>105-314</t>
  </si>
  <si>
    <t>101-486</t>
  </si>
  <si>
    <t>101-309</t>
  </si>
  <si>
    <t>100-323</t>
  </si>
  <si>
    <t>103-209</t>
  </si>
  <si>
    <t>101-691</t>
  </si>
  <si>
    <t>VS20739</t>
  </si>
  <si>
    <t>VS20740</t>
  </si>
  <si>
    <t>VS20741</t>
  </si>
  <si>
    <t>105-384</t>
  </si>
  <si>
    <t>104-853</t>
  </si>
  <si>
    <t>VS20745</t>
  </si>
  <si>
    <t>105-888</t>
  </si>
  <si>
    <t>100-739</t>
  </si>
  <si>
    <t>VS20747</t>
  </si>
  <si>
    <t>103-212</t>
  </si>
  <si>
    <t>VS20748</t>
  </si>
  <si>
    <t>104-122</t>
  </si>
  <si>
    <t>VS20750</t>
  </si>
  <si>
    <t>102-921</t>
  </si>
  <si>
    <t>VS20751</t>
  </si>
  <si>
    <t>105-863</t>
  </si>
  <si>
    <t>102-681</t>
  </si>
  <si>
    <t>104-911</t>
  </si>
  <si>
    <t>102-629</t>
  </si>
  <si>
    <t>105-422</t>
  </si>
  <si>
    <t>103-669</t>
  </si>
  <si>
    <t>VS20757</t>
  </si>
  <si>
    <t>105-344</t>
  </si>
  <si>
    <t>101-696</t>
  </si>
  <si>
    <t>VS20759</t>
  </si>
  <si>
    <t>VS20760</t>
  </si>
  <si>
    <t>105-281</t>
  </si>
  <si>
    <t>101-209</t>
  </si>
  <si>
    <t>VS20762</t>
  </si>
  <si>
    <t>105-933</t>
  </si>
  <si>
    <t>105-661</t>
  </si>
  <si>
    <t>VS20764</t>
  </si>
  <si>
    <t>104-601</t>
  </si>
  <si>
    <t>100-839</t>
  </si>
  <si>
    <t>100-470</t>
  </si>
  <si>
    <t>105-965</t>
  </si>
  <si>
    <t>103-352</t>
  </si>
  <si>
    <t>105-819</t>
  </si>
  <si>
    <t>VS20771</t>
  </si>
  <si>
    <t>100-971</t>
  </si>
  <si>
    <t>VS20772</t>
  </si>
  <si>
    <t>101-554</t>
  </si>
  <si>
    <t>102-824</t>
  </si>
  <si>
    <t>103-492</t>
  </si>
  <si>
    <t>VS20775</t>
  </si>
  <si>
    <t>105-934</t>
  </si>
  <si>
    <t>VS20776</t>
  </si>
  <si>
    <t>100-881</t>
  </si>
  <si>
    <t>102-123</t>
  </si>
  <si>
    <t>105-318</t>
  </si>
  <si>
    <t>VS20780</t>
  </si>
  <si>
    <t>101-636</t>
  </si>
  <si>
    <t>104-117</t>
  </si>
  <si>
    <t>VS20782</t>
  </si>
  <si>
    <t>104-898</t>
  </si>
  <si>
    <t>VS20783</t>
  </si>
  <si>
    <t>105-670</t>
  </si>
  <si>
    <t>101-412</t>
  </si>
  <si>
    <t>100-158</t>
  </si>
  <si>
    <t>104-330</t>
  </si>
  <si>
    <t>102-308</t>
  </si>
  <si>
    <t>104-185</t>
  </si>
  <si>
    <t>103-110</t>
  </si>
  <si>
    <t>VS20792</t>
  </si>
  <si>
    <t>101-753</t>
  </si>
  <si>
    <t>105-728</t>
  </si>
  <si>
    <t>105-404</t>
  </si>
  <si>
    <t>102-434</t>
  </si>
  <si>
    <t>VS20796</t>
  </si>
  <si>
    <t>102-960</t>
  </si>
  <si>
    <t>101-184</t>
  </si>
  <si>
    <t>100-744</t>
  </si>
  <si>
    <t>102-472</t>
  </si>
  <si>
    <t>102-375</t>
  </si>
  <si>
    <t>103-786</t>
  </si>
  <si>
    <t>104-902</t>
  </si>
  <si>
    <t>VS20805</t>
  </si>
  <si>
    <t>100-987</t>
  </si>
  <si>
    <t>103-275</t>
  </si>
  <si>
    <t>102-323</t>
  </si>
  <si>
    <t>105-956</t>
  </si>
  <si>
    <t>VS20809</t>
  </si>
  <si>
    <t>105-424</t>
  </si>
  <si>
    <t>103-195</t>
  </si>
  <si>
    <t>101-389</t>
  </si>
  <si>
    <t>100-146</t>
  </si>
  <si>
    <t>104-619</t>
  </si>
  <si>
    <t>100-688</t>
  </si>
  <si>
    <t>103-679</t>
  </si>
  <si>
    <t>103-864</t>
  </si>
  <si>
    <t>105-233</t>
  </si>
  <si>
    <t>104-787</t>
  </si>
  <si>
    <t>102-786</t>
  </si>
  <si>
    <t>104-546</t>
  </si>
  <si>
    <t>105-655</t>
  </si>
  <si>
    <t>VS20822</t>
  </si>
  <si>
    <t>105-740</t>
  </si>
  <si>
    <t>VS20823</t>
  </si>
  <si>
    <t>105-906</t>
  </si>
  <si>
    <t>VS20824</t>
  </si>
  <si>
    <t>105-886</t>
  </si>
  <si>
    <t>VS20825</t>
  </si>
  <si>
    <t>103-182</t>
  </si>
  <si>
    <t>104-147</t>
  </si>
  <si>
    <t>101-436</t>
  </si>
  <si>
    <t>101-625</t>
  </si>
  <si>
    <t>100-353</t>
  </si>
  <si>
    <t>102-429</t>
  </si>
  <si>
    <t>105-521</t>
  </si>
  <si>
    <t>VS20833</t>
  </si>
  <si>
    <t>103-146</t>
  </si>
  <si>
    <t>100-142</t>
  </si>
  <si>
    <t>104-429</t>
  </si>
  <si>
    <t>VS20836</t>
  </si>
  <si>
    <t>101-881</t>
  </si>
  <si>
    <t>103-521</t>
  </si>
  <si>
    <t>VS20838</t>
  </si>
  <si>
    <t>100-412</t>
  </si>
  <si>
    <t>VS20841</t>
  </si>
  <si>
    <t>102-889</t>
  </si>
  <si>
    <t>100-959</t>
  </si>
  <si>
    <t>100-940</t>
  </si>
  <si>
    <t>101-919</t>
  </si>
  <si>
    <t>100-177</t>
  </si>
  <si>
    <t>102-318</t>
  </si>
  <si>
    <t>VS20848</t>
  </si>
  <si>
    <t>100-937</t>
  </si>
  <si>
    <t>101-652</t>
  </si>
  <si>
    <t>VS20850</t>
  </si>
  <si>
    <t>101-980</t>
  </si>
  <si>
    <t>104-896</t>
  </si>
  <si>
    <t>100-411</t>
  </si>
  <si>
    <t>102-532</t>
  </si>
  <si>
    <t>VS20854</t>
  </si>
  <si>
    <t>101-322</t>
  </si>
  <si>
    <t>101-741</t>
  </si>
  <si>
    <t>VS20856</t>
  </si>
  <si>
    <t>105-597</t>
  </si>
  <si>
    <t>101-708</t>
  </si>
  <si>
    <t>VS20859</t>
  </si>
  <si>
    <t>105-909</t>
  </si>
  <si>
    <t>VS20860</t>
  </si>
  <si>
    <t>104-225</t>
  </si>
  <si>
    <t>103-215</t>
  </si>
  <si>
    <t>100-169</t>
  </si>
  <si>
    <t>103-988</t>
  </si>
  <si>
    <t>VS20865</t>
  </si>
  <si>
    <t>105-733</t>
  </si>
  <si>
    <t>VS20866</t>
  </si>
  <si>
    <t>102-565</t>
  </si>
  <si>
    <t>101-706</t>
  </si>
  <si>
    <t>VS20868</t>
  </si>
  <si>
    <t>104-112</t>
  </si>
  <si>
    <t>VS20869</t>
  </si>
  <si>
    <t>104-233</t>
  </si>
  <si>
    <t>VS20870</t>
  </si>
  <si>
    <t>104-376</t>
  </si>
  <si>
    <t>VS20871</t>
  </si>
  <si>
    <t>104-711</t>
  </si>
  <si>
    <t>102-459</t>
  </si>
  <si>
    <t>VS20873</t>
  </si>
  <si>
    <t>103-649</t>
  </si>
  <si>
    <t>100-305</t>
  </si>
  <si>
    <t>103-839</t>
  </si>
  <si>
    <t>100-273</t>
  </si>
  <si>
    <t>VS20877</t>
  </si>
  <si>
    <t>102-884</t>
  </si>
  <si>
    <t>VS20878</t>
  </si>
  <si>
    <t>103-847</t>
  </si>
  <si>
    <t>100-867</t>
  </si>
  <si>
    <t>VS20882</t>
  </si>
  <si>
    <t>104-105</t>
  </si>
  <si>
    <t>VS20883</t>
  </si>
  <si>
    <t>103-941</t>
  </si>
  <si>
    <t>VS20884</t>
  </si>
  <si>
    <t>100-452</t>
  </si>
  <si>
    <t>101-136</t>
  </si>
  <si>
    <t>VS20886</t>
  </si>
  <si>
    <t>104-607</t>
  </si>
  <si>
    <t>101-785</t>
  </si>
  <si>
    <t>VS20889</t>
  </si>
  <si>
    <t>103-707</t>
  </si>
  <si>
    <t>102-579</t>
  </si>
  <si>
    <t>102-145</t>
  </si>
  <si>
    <t>VS20892</t>
  </si>
  <si>
    <t>103-316</t>
  </si>
  <si>
    <t>VS20893</t>
  </si>
  <si>
    <t>103-388</t>
  </si>
  <si>
    <t>104-103</t>
  </si>
  <si>
    <t>105-363</t>
  </si>
  <si>
    <t>VS20897</t>
  </si>
  <si>
    <t>100-591</t>
  </si>
  <si>
    <t>102-755</t>
  </si>
  <si>
    <t>104-317</t>
  </si>
  <si>
    <t>102-270</t>
  </si>
  <si>
    <t>104-705</t>
  </si>
  <si>
    <t>102-133</t>
  </si>
  <si>
    <t>105-379</t>
  </si>
  <si>
    <t>102-757</t>
  </si>
  <si>
    <t>103-237</t>
  </si>
  <si>
    <t>101-233</t>
  </si>
  <si>
    <t>101-752</t>
  </si>
  <si>
    <t>103-519</t>
  </si>
  <si>
    <t>VS20909</t>
  </si>
  <si>
    <t>104-833</t>
  </si>
  <si>
    <t>101-299</t>
  </si>
  <si>
    <t>101-382</t>
  </si>
  <si>
    <t>VS20912</t>
  </si>
  <si>
    <t>105-677</t>
  </si>
  <si>
    <t>VS20915</t>
  </si>
  <si>
    <t>100-208</t>
  </si>
  <si>
    <t>VS20916</t>
  </si>
  <si>
    <t>100-976</t>
  </si>
  <si>
    <t>VS20917</t>
  </si>
  <si>
    <t>105-595</t>
  </si>
  <si>
    <t>105-792</t>
  </si>
  <si>
    <t>VS20920</t>
  </si>
  <si>
    <t>101-590</t>
  </si>
  <si>
    <t>VS20921</t>
  </si>
  <si>
    <t>104-388</t>
  </si>
  <si>
    <t>VS20922</t>
  </si>
  <si>
    <t>100-776</t>
  </si>
  <si>
    <t>100-916</t>
  </si>
  <si>
    <t>105-771</t>
  </si>
  <si>
    <t>101-460</t>
  </si>
  <si>
    <t>105-575</t>
  </si>
  <si>
    <t>101-561</t>
  </si>
  <si>
    <t>VS20929</t>
  </si>
  <si>
    <t>VS20930</t>
  </si>
  <si>
    <t>104-728</t>
  </si>
  <si>
    <t>101-628</t>
  </si>
  <si>
    <t>105-374</t>
  </si>
  <si>
    <t>VS20933</t>
  </si>
  <si>
    <t>102-295</t>
  </si>
  <si>
    <t>101-719</t>
  </si>
  <si>
    <t>103-282</t>
  </si>
  <si>
    <t>102-983</t>
  </si>
  <si>
    <t>VS20937</t>
  </si>
  <si>
    <t>102-298</t>
  </si>
  <si>
    <t>105-108</t>
  </si>
  <si>
    <t>104-843</t>
  </si>
  <si>
    <t>102-211</t>
  </si>
  <si>
    <t>102-836</t>
  </si>
  <si>
    <t>102-392</t>
  </si>
  <si>
    <t>VS20944</t>
  </si>
  <si>
    <t>104-329</t>
  </si>
  <si>
    <t>VS20945</t>
  </si>
  <si>
    <t>104-814</t>
  </si>
  <si>
    <t>VS20947</t>
  </si>
  <si>
    <t>103-978</t>
  </si>
  <si>
    <t>VS20948</t>
  </si>
  <si>
    <t>103-658</t>
  </si>
  <si>
    <t>VS20949</t>
  </si>
  <si>
    <t>102-542</t>
  </si>
  <si>
    <t>101-928</t>
  </si>
  <si>
    <t>101-868</t>
  </si>
  <si>
    <t>105-201</t>
  </si>
  <si>
    <t>VS20953</t>
  </si>
  <si>
    <t>105-763</t>
  </si>
  <si>
    <t>VS20954</t>
  </si>
  <si>
    <t>104-466</t>
  </si>
  <si>
    <t>105-868</t>
  </si>
  <si>
    <t>102-244</t>
  </si>
  <si>
    <t>105-452</t>
  </si>
  <si>
    <t>VS20962</t>
  </si>
  <si>
    <t>103-100</t>
  </si>
  <si>
    <t>102-560</t>
  </si>
  <si>
    <t>100-785</t>
  </si>
  <si>
    <t>VS20965</t>
  </si>
  <si>
    <t>VS20966</t>
  </si>
  <si>
    <t>100-343</t>
  </si>
  <si>
    <t>VS20967</t>
  </si>
  <si>
    <t>101-130</t>
  </si>
  <si>
    <t>102-329</t>
  </si>
  <si>
    <t>102-779</t>
  </si>
  <si>
    <t>100-549</t>
  </si>
  <si>
    <t>101-971</t>
  </si>
  <si>
    <t>103-853</t>
  </si>
  <si>
    <t>VS20973</t>
  </si>
  <si>
    <t>104-613</t>
  </si>
  <si>
    <t>105-820</t>
  </si>
  <si>
    <t>VS20975</t>
  </si>
  <si>
    <t>105-896</t>
  </si>
  <si>
    <t>102-487</t>
  </si>
  <si>
    <t>VS20979</t>
  </si>
  <si>
    <t>VS20981</t>
  </si>
  <si>
    <t>102-170</t>
  </si>
  <si>
    <t>100-464</t>
  </si>
  <si>
    <t>VS20983</t>
  </si>
  <si>
    <t>103-455</t>
  </si>
  <si>
    <t>105-253</t>
  </si>
  <si>
    <t>105-966</t>
  </si>
  <si>
    <t>103-667</t>
  </si>
  <si>
    <t>105-859</t>
  </si>
  <si>
    <t>VS20988</t>
  </si>
  <si>
    <t>100-543</t>
  </si>
  <si>
    <t>103-156</t>
  </si>
  <si>
    <t>104-933</t>
  </si>
  <si>
    <t>104-817</t>
  </si>
  <si>
    <t>VS20993</t>
  </si>
  <si>
    <t>102-330</t>
  </si>
  <si>
    <t>104-884</t>
  </si>
  <si>
    <t>104-141</t>
  </si>
  <si>
    <t>VS20996</t>
  </si>
  <si>
    <t>102-619</t>
  </si>
  <si>
    <t>VS20997</t>
  </si>
  <si>
    <t>104-857</t>
  </si>
  <si>
    <t>VS20998</t>
  </si>
  <si>
    <t>103-763</t>
  </si>
  <si>
    <t>103-199</t>
  </si>
  <si>
    <t>VS21000</t>
  </si>
  <si>
    <t>100-482</t>
  </si>
  <si>
    <t>102-948</t>
  </si>
  <si>
    <t>VS21002</t>
  </si>
  <si>
    <t>105-331</t>
  </si>
  <si>
    <t>101-602</t>
  </si>
  <si>
    <t>VS21004</t>
  </si>
  <si>
    <t>104-301</t>
  </si>
  <si>
    <t>102-819</t>
  </si>
  <si>
    <t>VS21006</t>
  </si>
  <si>
    <t>104-688</t>
  </si>
  <si>
    <t>100-101</t>
  </si>
  <si>
    <t>VS21009</t>
  </si>
  <si>
    <t>102-384</t>
  </si>
  <si>
    <t>VS21010</t>
  </si>
  <si>
    <t>101-449</t>
  </si>
  <si>
    <t>105-892</t>
  </si>
  <si>
    <t>VS21012</t>
  </si>
  <si>
    <t>VS21013</t>
  </si>
  <si>
    <t>102-562</t>
  </si>
  <si>
    <t>104-303</t>
  </si>
  <si>
    <t>VS21016</t>
  </si>
  <si>
    <t>100-419</t>
  </si>
  <si>
    <t>100-133</t>
  </si>
  <si>
    <t>VS21019</t>
  </si>
  <si>
    <t>101-749</t>
  </si>
  <si>
    <t>101-761</t>
  </si>
  <si>
    <t>VS21022</t>
  </si>
  <si>
    <t>100-432</t>
  </si>
  <si>
    <t>102-313</t>
  </si>
  <si>
    <t>103-473</t>
  </si>
  <si>
    <t>VS21026</t>
  </si>
  <si>
    <t>105-148</t>
  </si>
  <si>
    <t>105-121</t>
  </si>
  <si>
    <t>103-167</t>
  </si>
  <si>
    <t>VS21030</t>
  </si>
  <si>
    <t>105-254</t>
  </si>
  <si>
    <t>VS21031</t>
  </si>
  <si>
    <t>102-488</t>
  </si>
  <si>
    <t>VS21032</t>
  </si>
  <si>
    <t>VS21033</t>
  </si>
  <si>
    <t>102-382</t>
  </si>
  <si>
    <t>102-433</t>
  </si>
  <si>
    <t>100-667</t>
  </si>
  <si>
    <t>VS21036</t>
  </si>
  <si>
    <t>100-950</t>
  </si>
  <si>
    <t>105-697</t>
  </si>
  <si>
    <t>VS21038</t>
  </si>
  <si>
    <t>103-818</t>
  </si>
  <si>
    <t>104-639</t>
  </si>
  <si>
    <t>VS21040</t>
  </si>
  <si>
    <t>105-393</t>
  </si>
  <si>
    <t>VS21041</t>
  </si>
  <si>
    <t>105-672</t>
  </si>
  <si>
    <t>100-461</t>
  </si>
  <si>
    <t>105-405</t>
  </si>
  <si>
    <t>103-338</t>
  </si>
  <si>
    <t>105-391</t>
  </si>
  <si>
    <t>105-444</t>
  </si>
  <si>
    <t>105-605</t>
  </si>
  <si>
    <t>105-904</t>
  </si>
  <si>
    <t>102-776</t>
  </si>
  <si>
    <t>VS21052</t>
  </si>
  <si>
    <t>100-654</t>
  </si>
  <si>
    <t>VS21053</t>
  </si>
  <si>
    <t>VS21054</t>
  </si>
  <si>
    <t>100-355</t>
  </si>
  <si>
    <t>VS21055</t>
  </si>
  <si>
    <t>100-773</t>
  </si>
  <si>
    <t>103-367</t>
  </si>
  <si>
    <t>101-807</t>
  </si>
  <si>
    <t>103-229</t>
  </si>
  <si>
    <t>104-204</t>
  </si>
  <si>
    <t>102-932</t>
  </si>
  <si>
    <t>104-246</t>
  </si>
  <si>
    <t>VS21066</t>
  </si>
  <si>
    <t>103-104</t>
  </si>
  <si>
    <t>101-701</t>
  </si>
  <si>
    <t>VS21068</t>
  </si>
  <si>
    <t>100-397</t>
  </si>
  <si>
    <t>VS21069</t>
  </si>
  <si>
    <t>VS21070</t>
  </si>
  <si>
    <t>103-653</t>
  </si>
  <si>
    <t>104-254</t>
  </si>
  <si>
    <t>102-792</t>
  </si>
  <si>
    <t>102-762</t>
  </si>
  <si>
    <t>VS21074</t>
  </si>
  <si>
    <t>104-767</t>
  </si>
  <si>
    <t>102-788</t>
  </si>
  <si>
    <t>102-166</t>
  </si>
  <si>
    <t>VS21077</t>
  </si>
  <si>
    <t>101-204</t>
  </si>
  <si>
    <t>101-924</t>
  </si>
  <si>
    <t>VS21080</t>
  </si>
  <si>
    <t>104-970</t>
  </si>
  <si>
    <t>103-843</t>
  </si>
  <si>
    <t>101-886</t>
  </si>
  <si>
    <t>VS21084</t>
  </si>
  <si>
    <t>104-106</t>
  </si>
  <si>
    <t>VS21085</t>
  </si>
  <si>
    <t>105-229</t>
  </si>
  <si>
    <t>100-677</t>
  </si>
  <si>
    <t>VS21087</t>
  </si>
  <si>
    <t>103-751</t>
  </si>
  <si>
    <t>103-835</t>
  </si>
  <si>
    <t>VS21089</t>
  </si>
  <si>
    <t>104-215</t>
  </si>
  <si>
    <t>VS21090</t>
  </si>
  <si>
    <t>105-426</t>
  </si>
  <si>
    <t>105-632</t>
  </si>
  <si>
    <t>VS21092</t>
  </si>
  <si>
    <t>103-419</t>
  </si>
  <si>
    <t>104-923</t>
  </si>
  <si>
    <t>104-430</t>
  </si>
  <si>
    <t>VS21095</t>
  </si>
  <si>
    <t>104-822</t>
  </si>
  <si>
    <t>102-984</t>
  </si>
  <si>
    <t>VS21097</t>
  </si>
  <si>
    <t>104-173</t>
  </si>
  <si>
    <t>101-926</t>
  </si>
  <si>
    <t>105-389</t>
  </si>
  <si>
    <t>VS21102</t>
  </si>
  <si>
    <t>103-866</t>
  </si>
  <si>
    <t>105-352</t>
  </si>
  <si>
    <t>VS21104</t>
  </si>
  <si>
    <t>102-602</t>
  </si>
  <si>
    <t>VS21105</t>
  </si>
  <si>
    <t>103-819</t>
  </si>
  <si>
    <t>101-289</t>
  </si>
  <si>
    <t>VS21107</t>
  </si>
  <si>
    <t>105-730</t>
  </si>
  <si>
    <t>VS21109</t>
  </si>
  <si>
    <t>105-204</t>
  </si>
  <si>
    <t>102-979</t>
  </si>
  <si>
    <t>VS21111</t>
  </si>
  <si>
    <t>104-892</t>
  </si>
  <si>
    <t>103-579</t>
  </si>
  <si>
    <t>104-811</t>
  </si>
  <si>
    <t>102-714</t>
  </si>
  <si>
    <t>104-364</t>
  </si>
  <si>
    <t>101-127</t>
  </si>
  <si>
    <t>VS21118</t>
  </si>
  <si>
    <t>VS21119</t>
  </si>
  <si>
    <t>VS21120</t>
  </si>
  <si>
    <t>104-556</t>
  </si>
  <si>
    <t>101-303</t>
  </si>
  <si>
    <t>VS21122</t>
  </si>
  <si>
    <t>103-426</t>
  </si>
  <si>
    <t>103-730</t>
  </si>
  <si>
    <t>VS21124</t>
  </si>
  <si>
    <t>104-721</t>
  </si>
  <si>
    <t>VS21125</t>
  </si>
  <si>
    <t>100-122</t>
  </si>
  <si>
    <t>103-622</t>
  </si>
  <si>
    <t>105-282</t>
  </si>
  <si>
    <t>VS21128</t>
  </si>
  <si>
    <t>104-594</t>
  </si>
  <si>
    <t>102-124</t>
  </si>
  <si>
    <t>102-129</t>
  </si>
  <si>
    <t>102-366</t>
  </si>
  <si>
    <t>104-563</t>
  </si>
  <si>
    <t>VS21133</t>
  </si>
  <si>
    <t>105-327</t>
  </si>
  <si>
    <t>VS21134</t>
  </si>
  <si>
    <t>102-137</t>
  </si>
  <si>
    <t>105-950</t>
  </si>
  <si>
    <t>VS21136</t>
  </si>
  <si>
    <t>105-791</t>
  </si>
  <si>
    <t>VS21137</t>
  </si>
  <si>
    <t>103-782</t>
  </si>
  <si>
    <t>VS21139</t>
  </si>
  <si>
    <t>105-436</t>
  </si>
  <si>
    <t>101-711</t>
  </si>
  <si>
    <t>104-195</t>
  </si>
  <si>
    <t>100-420</t>
  </si>
  <si>
    <t>102-837</t>
  </si>
  <si>
    <t>VS21145</t>
  </si>
  <si>
    <t>104-742</t>
  </si>
  <si>
    <t>VS21147</t>
  </si>
  <si>
    <t>VS21148</t>
  </si>
  <si>
    <t>102-813</t>
  </si>
  <si>
    <t>103-121</t>
  </si>
  <si>
    <t>VS21151</t>
  </si>
  <si>
    <t>105-840</t>
  </si>
  <si>
    <t>VS21152</t>
  </si>
  <si>
    <t>100-955</t>
  </si>
  <si>
    <t>100-709</t>
  </si>
  <si>
    <t>VS21154</t>
  </si>
  <si>
    <t>101-637</t>
  </si>
  <si>
    <t>102-398</t>
  </si>
  <si>
    <t>105-321</t>
  </si>
  <si>
    <t>100-184</t>
  </si>
  <si>
    <t>VS21159</t>
  </si>
  <si>
    <t>105-784</t>
  </si>
  <si>
    <t>104-584</t>
  </si>
  <si>
    <t>VS21161</t>
  </si>
  <si>
    <t>105-858</t>
  </si>
  <si>
    <t>VS21162</t>
  </si>
  <si>
    <t>105-398</t>
  </si>
  <si>
    <t>VS21163</t>
  </si>
  <si>
    <t>103-788</t>
  </si>
  <si>
    <t>102-196</t>
  </si>
  <si>
    <t>100-192</t>
  </si>
  <si>
    <t>104-576</t>
  </si>
  <si>
    <t>VS21167</t>
  </si>
  <si>
    <t>101-485</t>
  </si>
  <si>
    <t>101-802</t>
  </si>
  <si>
    <t>VS21169</t>
  </si>
  <si>
    <t>102-585</t>
  </si>
  <si>
    <t>103-565</t>
  </si>
  <si>
    <t>103-887</t>
  </si>
  <si>
    <t>VS21172</t>
  </si>
  <si>
    <t>104-846</t>
  </si>
  <si>
    <t>104-961</t>
  </si>
  <si>
    <t>105-617</t>
  </si>
  <si>
    <t>102-512</t>
  </si>
  <si>
    <t>VS21176</t>
  </si>
  <si>
    <t>102-905</t>
  </si>
  <si>
    <t>102-381</t>
  </si>
  <si>
    <t>VS21179</t>
  </si>
  <si>
    <t>104-366</t>
  </si>
  <si>
    <t>VS21181</t>
  </si>
  <si>
    <t>VS21182</t>
  </si>
  <si>
    <t>100-202</t>
  </si>
  <si>
    <t>104-997</t>
  </si>
  <si>
    <t>102-147</t>
  </si>
  <si>
    <t>VS21185</t>
  </si>
  <si>
    <t>105-172</t>
  </si>
  <si>
    <t>100-405</t>
  </si>
  <si>
    <t>103-162</t>
  </si>
  <si>
    <t>105-256</t>
  </si>
  <si>
    <t>VS21189</t>
  </si>
  <si>
    <t>103-633</t>
  </si>
  <si>
    <t>104-890</t>
  </si>
  <si>
    <t>102-141</t>
  </si>
  <si>
    <t>101-224</t>
  </si>
  <si>
    <t>102-341</t>
  </si>
  <si>
    <t>105-476</t>
  </si>
  <si>
    <t>101-106</t>
  </si>
  <si>
    <t>VS21198</t>
  </si>
  <si>
    <t>105-443</t>
  </si>
  <si>
    <t>VS21200</t>
  </si>
  <si>
    <t>101-748</t>
  </si>
  <si>
    <t>102-609</t>
  </si>
  <si>
    <t>VS21202</t>
  </si>
  <si>
    <t>100-294</t>
  </si>
  <si>
    <t>100-363</t>
  </si>
  <si>
    <t>101-537</t>
  </si>
  <si>
    <t>101-709</t>
  </si>
  <si>
    <t>101-581</t>
  </si>
  <si>
    <t>VS21209</t>
  </si>
  <si>
    <t>102-283</t>
  </si>
  <si>
    <t>month</t>
  </si>
  <si>
    <t>total_admissions</t>
  </si>
  <si>
    <t>unique_patients</t>
  </si>
  <si>
    <t>hospitals_serving</t>
  </si>
  <si>
    <t>avg_stay_days</t>
  </si>
  <si>
    <t>general_ward_admissions</t>
  </si>
  <si>
    <t>icu_admissions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</si>
  <si>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</si>
  <si>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</si>
  <si>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</si>
  <si>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</si>
  <si>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</si>
  <si>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</si>
  <si>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</si>
  <si>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</si>
  <si>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</si>
  <si>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</si>
  <si>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</si>
  <si>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</si>
  <si>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</si>
  <si>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</si>
  <si>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</si>
  <si>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</si>
  <si>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WARD CLASS</t>
  </si>
  <si>
    <t>BILL AMOUNT</t>
  </si>
  <si>
    <t>DISCOUNT</t>
  </si>
  <si>
    <t>CLEAN DISCOUNT</t>
  </si>
  <si>
    <t>TOTAL AMOUNT</t>
  </si>
  <si>
    <t>GENDER</t>
  </si>
  <si>
    <t>AGE GROUP</t>
  </si>
  <si>
    <t>PAYMENT METHOD</t>
  </si>
  <si>
    <t>HOSPITAL NAME</t>
  </si>
  <si>
    <t>PAYMENT METHOD2</t>
  </si>
  <si>
    <t>PAYMENT METHODE</t>
  </si>
  <si>
    <t>TOTAL PAYMENT</t>
  </si>
  <si>
    <t>STAY DURATION</t>
  </si>
  <si>
    <t>PRIOR ADMISSION</t>
  </si>
  <si>
    <t xml:space="preserve">STAY DURATION </t>
  </si>
  <si>
    <t>Hospital</t>
  </si>
  <si>
    <t>Aiims</t>
  </si>
  <si>
    <t>Fortis</t>
  </si>
  <si>
    <t>Max_Healthcare</t>
  </si>
  <si>
    <t>Narayana</t>
  </si>
  <si>
    <t>Department</t>
  </si>
  <si>
    <t>Ward Class</t>
  </si>
  <si>
    <t>Unknown</t>
  </si>
  <si>
    <t>Patient ID</t>
  </si>
  <si>
    <t>City</t>
  </si>
  <si>
    <t>Disease</t>
  </si>
  <si>
    <t>Age</t>
  </si>
  <si>
    <t>Age Group</t>
  </si>
  <si>
    <t>Gender</t>
  </si>
  <si>
    <t>Admission Date</t>
  </si>
  <si>
    <t>Payment Method</t>
  </si>
  <si>
    <t>Total Amount</t>
  </si>
  <si>
    <t>Discount %</t>
  </si>
  <si>
    <t>SENIOR</t>
  </si>
  <si>
    <t>CHILD</t>
  </si>
  <si>
    <t>ADULT</t>
  </si>
  <si>
    <t>TEEN</t>
  </si>
  <si>
    <t>Row Labels</t>
  </si>
  <si>
    <t>Grand Total</t>
  </si>
  <si>
    <t>Column Labels</t>
  </si>
  <si>
    <t>Sum of Total Amount</t>
  </si>
  <si>
    <t>Average of Total Amount2</t>
  </si>
  <si>
    <t>Max of Total Amount2</t>
  </si>
  <si>
    <t>Min of Total Amount2</t>
  </si>
  <si>
    <t>Count of Total Amount2</t>
  </si>
  <si>
    <t>Min of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</si>
</sst>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  <numFmt numFmtId="165" formatCode="yyyy/mm/dd"/>
    <numFmt numFmtId="166" formatCode="0\%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 Black"/>
      <family val="2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8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3">
    <xf numFmtId="0" fontId="0" fillId="0" borderId="0" xfId="0"/>
    <xf numFmtId="9" fontId="0" fillId="0" borderId="0" xfId="2" applyFont="1"/>
    <xf numFmtId="44" fontId="0" fillId="0" borderId="0" xfId="1" applyFont="1"/>
    <xf numFmtId="164" fontId="0" fillId="0" borderId="0" xfId="1" applyNumberFormat="1" applyFont="1"/>
    <xf numFmtId="0" fontId="2" fillId="0" borderId="5" xfId="0" applyFont="1" applyBorder="1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9" fontId="0" fillId="0" borderId="1" xfId="2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164" fontId="0" fillId="0" borderId="8" xfId="1" applyNumberFormat="1" applyFont="1" applyBorder="1"/>
    <xf numFmtId="0" fontId="0" fillId="0" borderId="9" xfId="0" applyBorder="1"/>
    <xf numFmtId="0" fontId="5" fillId="0" borderId="3" xfId="0" applyFont="1" applyBorder="1"/>
    <xf numFmtId="0" fontId="6" fillId="0" borderId="3" xfId="0" applyFont="1" applyBorder="1"/>
    <xf numFmtId="164" fontId="5" fillId="0" borderId="3" xfId="1" applyNumberFormat="1" applyFont="1" applyBorder="1"/>
    <xf numFmtId="9" fontId="5" fillId="0" borderId="3" xfId="2" applyFont="1" applyBorder="1"/>
    <xf numFmtId="0" fontId="5" fillId="0" borderId="4" xfId="0" applyFont="1" applyBorder="1"/>
    <xf numFmtId="0" fontId="4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44" fontId="4" fillId="4" borderId="1" xfId="1" applyFont="1" applyFill="1" applyBorder="1"/>
    <xf numFmtId="9" fontId="4" fillId="4" borderId="1" xfId="2" applyFont="1" applyFill="1" applyBorder="1"/>
    <xf numFmtId="164" fontId="7" fillId="2" borderId="1" xfId="1" applyNumberFormat="1" applyFont="1" applyFill="1" applyBorder="1" applyAlignment="1">
      <alignment horizontal="center"/>
    </xf>
    <xf numFmtId="2" fontId="2" fillId="0" borderId="1" xfId="0" applyNumberFormat="1" applyFont="1" applyBorder="1"/>
    <xf numFmtId="44" fontId="1" fillId="2" borderId="1" xfId="1" applyFont="1" applyFill="1" applyBorder="1" applyAlignment="1">
      <alignment horizontal="center"/>
    </xf>
    <xf numFmtId="9" fontId="1" fillId="2" borderId="1" xfId="2" applyFont="1" applyFill="1" applyBorder="1" applyAlignment="1">
      <alignment horizontal="center"/>
    </xf>
    <xf numFmtId="44" fontId="2" fillId="0" borderId="1" xfId="1" applyFont="1" applyBorder="1"/>
    <xf numFmtId="9" fontId="2" fillId="0" borderId="1" xfId="2" applyFont="1" applyBorder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4" fontId="0" fillId="0" borderId="0" xfId="0" applyNumberFormat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/>
    <xf numFmtId="44" fontId="5" fillId="0" borderId="1" xfId="1" applyFont="1" applyBorder="1"/>
    <xf numFmtId="0" fontId="5" fillId="0" borderId="1" xfId="0" applyFont="1" applyBorder="1"/>
    <xf numFmtId="9" fontId="5" fillId="0" borderId="1" xfId="2" applyFont="1" applyBorder="1"/>
    <xf numFmtId="164" fontId="5" fillId="0" borderId="1" xfId="1" applyNumberFormat="1" applyFont="1" applyBorder="1"/>
    <xf numFmtId="0" fontId="9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3" fontId="11" fillId="0" borderId="0" xfId="0" applyNumberFormat="1" applyFont="1"/>
    <xf numFmtId="166" fontId="1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&quot;₹&quot;\ * #,##0_ ;_ &quot;₹&quot;\ * \-#,##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&quot;₹&quot;\ * #,##0_ ;_ &quot;₹&quot;\ * \-#,##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%20hospital.xlsx#BgEIDA4ADAMGBAcBBAQECw=24.0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IBAN M" refreshedDate="46276.461810416666" createdVersion="8" refreshedVersion="8" minRefreshableVersion="3" recordCount="1217" xr:uid="{9007864D-8E17-41DB-9FA2-70082EB1FD8B}">
  <cacheSource type="worksheet">
    <worksheetSource ref="A1:M1218" sheet="DATA" r:id="rId2"/>
  </cacheSource>
  <cacheFields count="13">
    <cacheField name="Patient ID" numFmtId="0">
      <sharedItems count="1217">
        <s v="PT7000"/>
        <s v="PT7001"/>
        <s v="PT7002"/>
        <s v="PT7003"/>
        <s v="PT7004"/>
        <s v="PT7005"/>
        <s v="PT7006"/>
        <s v="PT7007"/>
        <s v="PT7008"/>
        <s v="PT7009"/>
        <s v="PT7010"/>
        <s v="PT7011"/>
        <s v="PT7012"/>
        <s v="PT7013"/>
        <s v="PT7014"/>
        <s v="PT7015"/>
        <s v="PT7016"/>
        <s v="PT7017"/>
        <s v="PT7018"/>
        <s v="PT7019"/>
        <s v="PT7020"/>
        <s v="PT7021"/>
        <s v="PT7022"/>
        <s v="PT7023"/>
        <s v="PT7024"/>
        <s v="PT7025"/>
        <s v="PT7026"/>
        <s v="PT7027"/>
        <s v="PT7028"/>
        <s v="PT7029"/>
        <s v="PT7030"/>
        <s v="PT7031"/>
        <s v="PT7032"/>
        <s v="PT7033"/>
        <s v="PT7034"/>
        <s v="PT7035"/>
        <s v="PT7036"/>
        <s v="PT7037"/>
        <s v="PT7038"/>
        <s v="PT7039"/>
        <s v="PT7040"/>
        <s v="PT7041"/>
        <s v="PT7042"/>
        <s v="PT7043"/>
        <s v="PT7044"/>
        <s v="PT7045"/>
        <s v="PT7046"/>
        <s v="PT7047"/>
        <s v="PT7048"/>
        <s v="PT7049"/>
        <s v="PT7050"/>
        <s v="PT7051"/>
        <s v="PT7052"/>
        <s v="PT7053"/>
        <s v="PT7054"/>
        <s v="PT7055"/>
        <s v="PT7056"/>
        <s v="PT7057"/>
        <s v="PT7058"/>
        <s v="PT7059"/>
        <s v="PT7060"/>
        <s v="PT7061"/>
        <s v="PT7062"/>
        <s v="PT7063"/>
        <s v="PT7064"/>
        <s v="PT7065"/>
        <s v="PT7066"/>
        <s v="PT7067"/>
        <s v="PT7068"/>
        <s v="PT7069"/>
        <s v="PT7070"/>
        <s v="PT7071"/>
        <s v="PT7072"/>
        <s v="PT7073"/>
        <s v="PT7074"/>
        <s v="PT7075"/>
        <s v="PT7076"/>
        <s v="PT7077"/>
        <s v="PT7078"/>
        <s v="PT7079"/>
        <s v="PT7080"/>
        <s v="PT7081"/>
        <s v="PT7082"/>
        <s v="PT7083"/>
        <s v="PT7084"/>
        <s v="PT7085"/>
        <s v="PT7086"/>
        <s v="PT7087"/>
        <s v="PT7088"/>
        <s v="PT7089"/>
        <s v="PT7090"/>
        <s v="PT7091"/>
        <s v="PT7092"/>
        <s v="PT7093"/>
        <s v="PT7094"/>
        <s v="PT7095"/>
        <s v="PT7096"/>
        <s v="PT7097"/>
        <s v="PT7098"/>
        <s v="PT7099"/>
        <s v="PT7100"/>
        <s v="PT7101"/>
        <s v="PT7102"/>
        <s v="PT7103"/>
        <s v="PT7104"/>
        <s v="PT7105"/>
        <s v="PT7106"/>
        <s v="PT7107"/>
        <s v="PT7108"/>
        <s v="PT7109"/>
        <s v="PT7110"/>
        <s v="PT7111"/>
        <s v="PT7112"/>
        <s v="PT7113"/>
        <s v="PT7114"/>
        <s v="PT7115"/>
        <s v="PT7116"/>
        <s v="PT7117"/>
        <s v="PT7118"/>
        <s v="PT7119"/>
        <s v="PT7120"/>
        <s v="PT7121"/>
        <s v="PT7122"/>
        <s v="PT7123"/>
        <s v="PT7124"/>
        <s v="PT7125"/>
        <s v="PT7126"/>
        <s v="PT7127"/>
        <s v="PT7128"/>
        <s v="PT7129"/>
        <s v="PT7130"/>
        <s v="PT7131"/>
        <s v="PT7132"/>
        <s v="PT7133"/>
        <s v="PT7134"/>
        <s v="PT7135"/>
        <s v="PT7136"/>
        <s v="PT7137"/>
        <s v="PT7138"/>
        <s v="PT7139"/>
        <s v="PT7140"/>
        <s v="PT7141"/>
        <s v="PT7142"/>
        <s v="PT7143"/>
        <s v="PT7144"/>
        <s v="PT7145"/>
        <s v="PT7146"/>
        <s v="PT7147"/>
        <s v="PT7148"/>
        <s v="PT7149"/>
        <s v="PT7150"/>
        <s v="PT7151"/>
        <s v="PT7152"/>
        <s v="PT7153"/>
        <s v="PT7154"/>
        <s v="PT7155"/>
        <s v="PT7156"/>
        <s v="PT7157"/>
        <s v="PT7158"/>
        <s v="PT7159"/>
        <s v="PT7160"/>
        <s v="PT7161"/>
        <s v="PT7162"/>
        <s v="PT7163"/>
        <s v="PT7164"/>
        <s v="PT7165"/>
        <s v="PT7166"/>
        <s v="PT7167"/>
        <s v="PT7168"/>
        <s v="PT7169"/>
        <s v="PT7170"/>
        <s v="PT7171"/>
        <s v="PT7172"/>
        <s v="PT7173"/>
        <s v="PT7174"/>
        <s v="PT7175"/>
        <s v="PT7176"/>
        <s v="PT7177"/>
        <s v="PT7178"/>
        <s v="PT7179"/>
        <s v="PT7180"/>
        <s v="PT7181"/>
        <s v="PT7182"/>
        <s v="PT7183"/>
        <s v="PT7184"/>
        <s v="PT7185"/>
        <s v="PT7186"/>
        <s v="PT7187"/>
        <s v="PT7188"/>
        <s v="PT7189"/>
        <s v="PT7190"/>
        <s v="PT7191"/>
        <s v="PT7192"/>
        <s v="PT7193"/>
        <s v="PT7194"/>
        <s v="PT7195"/>
        <s v="PT7196"/>
        <s v="PT7197"/>
        <s v="PT7198"/>
        <s v="PT7199"/>
        <s v="PT7200"/>
        <s v="PT7201"/>
        <s v="PT7202"/>
        <s v="PT7203"/>
        <s v="PT7204"/>
        <s v="PT7205"/>
        <s v="PT7206"/>
        <s v="PT7207"/>
        <s v="PT7208"/>
        <s v="PT7209"/>
        <s v="PT7210"/>
        <s v="PT7211"/>
        <s v="PT7212"/>
        <s v="PT7213"/>
        <s v="PT7214"/>
        <s v="PT7215"/>
        <s v="PT7216"/>
        <s v="PT7217"/>
        <s v="PT7218"/>
        <s v="PT7219"/>
        <s v="PT7220"/>
        <s v="PT7221"/>
        <s v="PT7222"/>
        <s v="PT7223"/>
        <s v="PT7224"/>
        <s v="PT7225"/>
        <s v="PT7226"/>
        <s v="PT7227"/>
        <s v="PT7228"/>
        <s v="PT7229"/>
        <s v="PT7230"/>
        <s v="PT7231"/>
        <s v="PT7232"/>
        <s v="PT7233"/>
        <s v="PT7234"/>
        <s v="PT7235"/>
        <s v="PT7236"/>
        <s v="PT7237"/>
        <s v="PT7238"/>
        <s v="PT7239"/>
        <s v="PT7240"/>
        <s v="PT7241"/>
        <s v="PT7242"/>
        <s v="PT7243"/>
        <s v="PT7244"/>
        <s v="PT7245"/>
        <s v="PT7246"/>
        <s v="PT7247"/>
        <s v="PT7248"/>
        <s v="PT7249"/>
        <s v="PT7250"/>
        <s v="PT7251"/>
        <s v="PT7252"/>
        <s v="PT7253"/>
        <s v="PT7254"/>
        <s v="PT7255"/>
        <s v="PT7256"/>
        <s v="PT7257"/>
        <s v="PT7258"/>
        <s v="PT7259"/>
        <s v="PT7260"/>
        <s v="PT7261"/>
        <s v="PT7262"/>
        <s v="PT7263"/>
        <s v="PT7264"/>
        <s v="PT7265"/>
        <s v="PT7266"/>
        <s v="PT7267"/>
        <s v="PT7268"/>
        <s v="PT7269"/>
        <s v="PT7270"/>
        <s v="PT7271"/>
        <s v="PT7272"/>
        <s v="PT7273"/>
        <s v="PT7274"/>
        <s v="PT7275"/>
        <s v="PT7276"/>
        <s v="PT7277"/>
        <s v="PT7278"/>
        <s v="PT7279"/>
        <s v="PT7280"/>
        <s v="PT7281"/>
        <s v="PT7282"/>
        <s v="PT7283"/>
        <s v="PT7284"/>
        <s v="PT7285"/>
        <s v="PT7286"/>
        <s v="PT7287"/>
        <s v="PT7288"/>
        <s v="PT7289"/>
        <s v="PT7290"/>
        <s v="PT7291"/>
        <s v="PT7292"/>
        <s v="PT7293"/>
        <s v="PT7294"/>
        <s v="PT7295"/>
        <s v="PT7296"/>
        <s v="PT7297"/>
        <s v="PT7298"/>
        <s v="PT7299"/>
        <s v="PT7300"/>
        <s v="PT7301"/>
        <s v="PT7302"/>
        <s v="PT7303"/>
        <s v="PT7304"/>
        <s v="PT7305"/>
        <s v="PT7306"/>
        <s v="PT7307"/>
        <s v="PT7308"/>
        <s v="PT7309"/>
        <s v="PT7310"/>
        <s v="PT7311"/>
        <s v="PT7312"/>
        <s v="PT7313"/>
        <s v="PT7314"/>
        <s v="PT7315"/>
        <s v="PT7316"/>
        <s v="PT7317"/>
        <s v="PT7318"/>
        <s v="PT7319"/>
        <s v="PT7320"/>
        <s v="PT7321"/>
        <s v="PT7322"/>
        <s v="PT7323"/>
        <s v="PT7324"/>
        <s v="PT7325"/>
        <s v="PT7326"/>
        <s v="PT7327"/>
        <s v="PT7328"/>
        <s v="PT7329"/>
        <s v="PT7330"/>
        <s v="PT7331"/>
        <s v="PT7332"/>
        <s v="PT7333"/>
        <s v="PT7334"/>
        <s v="PT7335"/>
        <s v="PT7336"/>
        <s v="PT7337"/>
        <s v="PT7338"/>
        <s v="PT7339"/>
        <s v="PT7340"/>
        <s v="PT7341"/>
        <s v="PT7342"/>
        <s v="PT7343"/>
        <s v="PT7344"/>
        <s v="PT7345"/>
        <s v="PT7346"/>
        <s v="PT7347"/>
        <s v="PT7348"/>
        <s v="PT7349"/>
        <s v="PT7350"/>
        <s v="PT7351"/>
        <s v="PT7352"/>
        <s v="PT7353"/>
        <s v="PT7354"/>
        <s v="PT7355"/>
        <s v="PT7356"/>
        <s v="PT7357"/>
        <s v="PT7358"/>
        <s v="PT7359"/>
        <s v="PT7360"/>
        <s v="PT7361"/>
        <s v="PT7362"/>
        <s v="PT7363"/>
        <s v="PT7364"/>
        <s v="PT7365"/>
        <s v="PT7366"/>
        <s v="PT7367"/>
        <s v="PT7368"/>
        <s v="PT7369"/>
        <s v="PT7370"/>
        <s v="PT7371"/>
        <s v="PT7372"/>
        <s v="PT7373"/>
        <s v="PT7374"/>
        <s v="PT7375"/>
        <s v="PT7376"/>
        <s v="PT7377"/>
        <s v="PT7378"/>
        <s v="PT7379"/>
        <s v="PT7380"/>
        <s v="PT7381"/>
        <s v="PT7382"/>
        <s v="PT7383"/>
        <s v="PT7384"/>
        <s v="PT7385"/>
        <s v="PT7386"/>
        <s v="PT7387"/>
        <s v="PT7388"/>
        <s v="PT7389"/>
        <s v="PT7390"/>
        <s v="PT7391"/>
        <s v="PT7392"/>
        <s v="PT7393"/>
        <s v="PT7394"/>
        <s v="PT7395"/>
        <s v="PT7396"/>
        <s v="PT7397"/>
        <s v="PT7398"/>
        <s v="PT7399"/>
        <s v="PT7400"/>
        <s v="PT7401"/>
        <s v="PT7402"/>
        <s v="PT7403"/>
        <s v="PT7404"/>
        <s v="PT7405"/>
        <s v="PT7406"/>
        <s v="PT7407"/>
        <s v="PT7408"/>
        <s v="PT7409"/>
        <s v="PT7410"/>
        <s v="PT7411"/>
        <s v="PT7412"/>
        <s v="PT7413"/>
        <s v="PT7414"/>
        <s v="PT7415"/>
        <s v="PT7416"/>
        <s v="PT7417"/>
        <s v="PT7418"/>
        <s v="PT7419"/>
        <s v="PT7420"/>
        <s v="PT7421"/>
        <s v="PT7422"/>
        <s v="PT7423"/>
        <s v="PT7424"/>
        <s v="PT7425"/>
        <s v="PT7426"/>
        <s v="PT7427"/>
        <s v="PT7428"/>
        <s v="PT7429"/>
        <s v="PT7430"/>
        <s v="PT7431"/>
        <s v="PT7432"/>
        <s v="PT7433"/>
        <s v="PT7434"/>
        <s v="PT7435"/>
        <s v="PT7436"/>
        <s v="PT7437"/>
        <s v="PT7438"/>
        <s v="PT7439"/>
        <s v="PT7440"/>
        <s v="PT7441"/>
        <s v="PT7442"/>
        <s v="PT7443"/>
        <s v="PT7444"/>
        <s v="PT7445"/>
        <s v="PT7446"/>
        <s v="PT7447"/>
        <s v="PT7448"/>
        <s v="PT7449"/>
        <s v="PT7450"/>
        <s v="PT7451"/>
        <s v="PT7452"/>
        <s v="PT7453"/>
        <s v="PT7454"/>
        <s v="PT7455"/>
        <s v="PT7456"/>
        <s v="PT7457"/>
        <s v="PT7458"/>
        <s v="PT7459"/>
        <s v="PT7460"/>
        <s v="PT7461"/>
        <s v="PT7462"/>
        <s v="PT7463"/>
        <s v="PT7464"/>
        <s v="PT7465"/>
        <s v="PT7466"/>
        <s v="PT7467"/>
        <s v="PT7468"/>
        <s v="PT7469"/>
        <s v="PT7470"/>
        <s v="PT7471"/>
        <s v="PT7472"/>
        <s v="PT7473"/>
        <s v="PT7474"/>
        <s v="PT7475"/>
        <s v="PT7476"/>
        <s v="PT7477"/>
        <s v="PT7478"/>
        <s v="PT7479"/>
        <s v="PT7480"/>
        <s v="PT7481"/>
        <s v="PT7482"/>
        <s v="PT7483"/>
        <s v="PT7484"/>
        <s v="PT7485"/>
        <s v="PT7486"/>
        <s v="PT7487"/>
        <s v="PT7488"/>
        <s v="PT7489"/>
        <s v="PT7490"/>
        <s v="PT7491"/>
        <s v="PT7492"/>
        <s v="PT7493"/>
        <s v="PT7494"/>
        <s v="PT7495"/>
        <s v="PT7496"/>
        <s v="PT7497"/>
        <s v="PT7498"/>
        <s v="PT7499"/>
        <s v="PT7500"/>
        <s v="PT7501"/>
        <s v="PT7502"/>
        <s v="PT7503"/>
        <s v="PT7504"/>
        <s v="PT7505"/>
        <s v="PT7506"/>
        <s v="PT7507"/>
        <s v="PT7508"/>
        <s v="PT7509"/>
        <s v="PT7510"/>
        <s v="PT7511"/>
        <s v="PT7512"/>
        <s v="PT7513"/>
        <s v="PT7514"/>
        <s v="PT7515"/>
        <s v="PT7516"/>
        <s v="PT7517"/>
        <s v="PT7518"/>
        <s v="PT7519"/>
        <s v="PT7520"/>
        <s v="PT7521"/>
        <s v="PT7522"/>
        <s v="PT7523"/>
        <s v="PT7524"/>
        <s v="PT7525"/>
        <s v="PT7526"/>
        <s v="PT7527"/>
        <s v="PT7528"/>
        <s v="PT7529"/>
        <s v="PT7530"/>
        <s v="PT7531"/>
        <s v="PT7532"/>
        <s v="PT7533"/>
        <s v="PT7534"/>
        <s v="PT7535"/>
        <s v="PT7536"/>
        <s v="PT7537"/>
        <s v="PT7538"/>
        <s v="PT7539"/>
        <s v="PT7540"/>
        <s v="PT7541"/>
        <s v="PT7542"/>
        <s v="PT7543"/>
        <s v="PT7544"/>
        <s v="PT7545"/>
        <s v="PT7546"/>
        <s v="PT7547"/>
        <s v="PT7548"/>
        <s v="PT7549"/>
        <s v="PT7550"/>
        <s v="PT7551"/>
        <s v="PT7552"/>
        <s v="PT7553"/>
        <s v="PT7554"/>
        <s v="PT7555"/>
        <s v="PT7556"/>
        <s v="PT7557"/>
        <s v="PT7558"/>
        <s v="PT7559"/>
        <s v="PT7560"/>
        <s v="PT7561"/>
        <s v="PT7562"/>
        <s v="PT7563"/>
        <s v="PT7564"/>
        <s v="PT7565"/>
        <s v="PT7566"/>
        <s v="PT7567"/>
        <s v="PT7568"/>
        <s v="PT7569"/>
        <s v="PT7570"/>
        <s v="PT7571"/>
        <s v="PT7572"/>
        <s v="PT7573"/>
        <s v="PT7574"/>
        <s v="PT7575"/>
        <s v="PT7576"/>
        <s v="PT7577"/>
        <s v="PT7578"/>
        <s v="PT7579"/>
        <s v="PT7580"/>
        <s v="PT7581"/>
        <s v="PT7582"/>
        <s v="PT7583"/>
        <s v="PT7584"/>
        <s v="PT7585"/>
        <s v="PT7586"/>
        <s v="PT7587"/>
        <s v="PT7588"/>
        <s v="PT7589"/>
        <s v="PT7590"/>
        <s v="PT7591"/>
        <s v="PT7592"/>
        <s v="PT7593"/>
        <s v="PT7594"/>
        <s v="PT7595"/>
        <s v="PT7596"/>
        <s v="PT7597"/>
        <s v="PT7598"/>
        <s v="PT7599"/>
        <s v="PT7600"/>
        <s v="PT7601"/>
        <s v="PT7602"/>
        <s v="PT7603"/>
        <s v="PT7604"/>
        <s v="PT7605"/>
        <s v="PT7606"/>
        <s v="PT7607"/>
        <s v="PT7608"/>
        <s v="PT7609"/>
        <s v="PT7610"/>
        <s v="PT7611"/>
        <s v="PT7612"/>
        <s v="PT7613"/>
        <s v="PT7614"/>
        <s v="PT7615"/>
        <s v="PT7616"/>
        <s v="PT7617"/>
        <s v="PT7618"/>
        <s v="PT7619"/>
        <s v="PT7620"/>
        <s v="PT7621"/>
        <s v="PT7622"/>
        <s v="PT7623"/>
        <s v="PT7624"/>
        <s v="PT7625"/>
        <s v="PT7626"/>
        <s v="PT7627"/>
        <s v="PT7628"/>
        <s v="PT7629"/>
        <s v="PT7630"/>
        <s v="PT7631"/>
        <s v="PT7632"/>
        <s v="PT7633"/>
        <s v="PT7634"/>
        <s v="PT7635"/>
        <s v="PT7636"/>
        <s v="PT7637"/>
        <s v="PT7638"/>
        <s v="PT7639"/>
        <s v="PT7640"/>
        <s v="PT7641"/>
        <s v="PT7642"/>
        <s v="PT7643"/>
        <s v="PT7644"/>
        <s v="PT7645"/>
        <s v="PT7646"/>
        <s v="PT7647"/>
        <s v="PT7648"/>
        <s v="PT7649"/>
        <s v="PT7650"/>
        <s v="PT7651"/>
        <s v="PT7652"/>
        <s v="PT7653"/>
        <s v="PT7654"/>
        <s v="PT7655"/>
        <s v="PT7656"/>
        <s v="PT7657"/>
        <s v="PT7658"/>
        <s v="PT7659"/>
        <s v="PT7660"/>
        <s v="PT7661"/>
        <s v="PT7662"/>
        <s v="PT7663"/>
        <s v="PT7664"/>
        <s v="PT7665"/>
        <s v="PT7666"/>
        <s v="PT7667"/>
        <s v="PT7668"/>
        <s v="PT7669"/>
        <s v="PT7670"/>
        <s v="PT7671"/>
        <s v="PT7672"/>
        <s v="PT7673"/>
        <s v="PT7674"/>
        <s v="PT7675"/>
        <s v="PT7676"/>
        <s v="PT7677"/>
        <s v="PT7678"/>
        <s v="PT7679"/>
        <s v="PT7680"/>
        <s v="PT7681"/>
        <s v="PT7682"/>
        <s v="PT7683"/>
        <s v="PT7684"/>
        <s v="PT7685"/>
        <s v="PT7686"/>
        <s v="PT7687"/>
        <s v="PT7688"/>
        <s v="PT7689"/>
        <s v="PT7690"/>
        <s v="PT7691"/>
        <s v="PT7692"/>
        <s v="PT7693"/>
        <s v="PT7694"/>
        <s v="PT7695"/>
        <s v="PT7696"/>
        <s v="PT7697"/>
        <s v="PT7698"/>
        <s v="PT7699"/>
        <s v="PT7700"/>
        <s v="PT7701"/>
        <s v="PT7702"/>
        <s v="PT7703"/>
        <s v="PT7704"/>
        <s v="PT7705"/>
        <s v="PT7706"/>
        <s v="PT7707"/>
        <s v="PT7708"/>
        <s v="PT7709"/>
        <s v="PT7710"/>
        <s v="PT7711"/>
        <s v="PT7712"/>
        <s v="PT7713"/>
        <s v="PT7714"/>
        <s v="PT7715"/>
        <s v="PT7716"/>
        <s v="PT7717"/>
        <s v="PT7718"/>
        <s v="PT7719"/>
        <s v="PT7720"/>
        <s v="PT7721"/>
        <s v="PT7722"/>
        <s v="PT7723"/>
        <s v="PT7724"/>
        <s v="PT7725"/>
        <s v="PT7726"/>
        <s v="PT7727"/>
        <s v="PT7728"/>
        <s v="PT7729"/>
        <s v="PT7730"/>
        <s v="PT7731"/>
        <s v="PT7732"/>
        <s v="PT7733"/>
        <s v="PT7734"/>
        <s v="PT7735"/>
        <s v="PT7736"/>
        <s v="PT7737"/>
        <s v="PT7738"/>
        <s v="PT7739"/>
        <s v="PT7740"/>
        <s v="PT7741"/>
        <s v="PT7742"/>
        <s v="PT7743"/>
        <s v="PT7744"/>
        <s v="PT7745"/>
        <s v="PT7746"/>
        <s v="PT7747"/>
        <s v="PT7748"/>
        <s v="PT7749"/>
        <s v="PT7750"/>
        <s v="PT7751"/>
        <s v="PT7752"/>
        <s v="PT7753"/>
        <s v="PT7754"/>
        <s v="PT7755"/>
        <s v="PT7756"/>
        <s v="PT7757"/>
        <s v="PT7758"/>
        <s v="PT7759"/>
        <s v="PT7760"/>
        <s v="PT7761"/>
        <s v="PT7762"/>
        <s v="PT7763"/>
        <s v="PT7764"/>
        <s v="PT7765"/>
        <s v="PT7766"/>
        <s v="PT7767"/>
        <s v="PT7768"/>
        <s v="PT7769"/>
        <s v="PT7770"/>
        <s v="PT7771"/>
        <s v="PT7772"/>
        <s v="PT7773"/>
        <s v="PT7774"/>
        <s v="PT7775"/>
        <s v="PT7776"/>
        <s v="PT7777"/>
        <s v="PT7778"/>
        <s v="PT7779"/>
        <s v="PT7780"/>
        <s v="PT7781"/>
        <s v="PT7782"/>
        <s v="PT7783"/>
        <s v="PT7784"/>
        <s v="PT7785"/>
        <s v="PT7786"/>
        <s v="PT7787"/>
        <s v="PT7788"/>
        <s v="PT7789"/>
        <s v="PT7790"/>
        <s v="PT7791"/>
        <s v="PT7792"/>
        <s v="PT7793"/>
        <s v="PT7794"/>
        <s v="PT7795"/>
        <s v="PT7796"/>
        <s v="PT7797"/>
        <s v="PT7798"/>
        <s v="PT7799"/>
        <s v="PT7800"/>
        <s v="PT7801"/>
        <s v="PT7802"/>
        <s v="PT7803"/>
        <s v="PT7804"/>
        <s v="PT7805"/>
        <s v="PT7806"/>
        <s v="PT7807"/>
        <s v="PT7808"/>
        <s v="PT7809"/>
        <s v="PT7810"/>
        <s v="PT7811"/>
        <s v="PT7812"/>
        <s v="PT7813"/>
        <s v="PT7814"/>
        <s v="PT7815"/>
        <s v="PT7816"/>
        <s v="PT7817"/>
        <s v="PT7818"/>
        <s v="PT7819"/>
        <s v="PT7820"/>
        <s v="PT7821"/>
        <s v="PT7822"/>
        <s v="PT7823"/>
        <s v="PT7824"/>
        <s v="PT7825"/>
        <s v="PT7826"/>
        <s v="PT7827"/>
        <s v="PT7828"/>
        <s v="PT7829"/>
        <s v="PT7830"/>
        <s v="PT7831"/>
        <s v="PT7832"/>
        <s v="PT7833"/>
        <s v="PT7834"/>
        <s v="PT7835"/>
        <s v="PT7836"/>
        <s v="PT7837"/>
        <s v="PT7838"/>
        <s v="PT7839"/>
        <s v="PT7840"/>
        <s v="PT7841"/>
        <s v="PT7842"/>
        <s v="PT7843"/>
        <s v="PT7844"/>
        <s v="PT7845"/>
        <s v="PT7846"/>
        <s v="PT7847"/>
        <s v="PT7848"/>
        <s v="PT7849"/>
        <s v="PT7850"/>
        <s v="PT7851"/>
        <s v="PT7852"/>
        <s v="PT7853"/>
        <s v="PT7854"/>
        <s v="PT7855"/>
        <s v="PT7856"/>
        <s v="PT7857"/>
        <s v="PT7858"/>
        <s v="PT7859"/>
        <s v="PT7860"/>
        <s v="PT7861"/>
        <s v="PT7862"/>
        <s v="PT7863"/>
        <s v="PT7864"/>
        <s v="PT7865"/>
        <s v="PT7866"/>
        <s v="PT7867"/>
        <s v="PT7868"/>
        <s v="PT7869"/>
        <s v="PT7870"/>
        <s v="PT7871"/>
        <s v="PT7872"/>
        <s v="PT7873"/>
        <s v="PT7874"/>
        <s v="PT7875"/>
        <s v="PT7876"/>
        <s v="PT7877"/>
        <s v="PT7878"/>
        <s v="PT7879"/>
        <s v="PT7880"/>
        <s v="PT7881"/>
        <s v="PT7882"/>
        <s v="PT7883"/>
        <s v="PT7884"/>
        <s v="PT7885"/>
        <s v="PT7886"/>
        <s v="PT7887"/>
        <s v="PT7888"/>
        <s v="PT7889"/>
        <s v="PT7890"/>
        <s v="PT7891"/>
        <s v="PT7892"/>
        <s v="PT7893"/>
        <s v="PT7894"/>
        <s v="PT7895"/>
        <s v="PT7896"/>
        <s v="PT7897"/>
        <s v="PT7898"/>
        <s v="PT7899"/>
        <s v="PT7900"/>
        <s v="PT7901"/>
        <s v="PT7902"/>
        <s v="PT7903"/>
        <s v="PT7904"/>
        <s v="PT7905"/>
        <s v="PT7906"/>
        <s v="PT7907"/>
        <s v="PT7908"/>
        <s v="PT7909"/>
        <s v="PT7910"/>
        <s v="PT7911"/>
        <s v="PT7912"/>
        <s v="PT7913"/>
        <s v="PT7914"/>
        <s v="PT7915"/>
        <s v="PT7916"/>
        <s v="PT7917"/>
        <s v="PT7918"/>
        <s v="PT7919"/>
        <s v="PT7920"/>
        <s v="PT7921"/>
        <s v="PT7922"/>
        <s v="PT7923"/>
        <s v="PT7924"/>
        <s v="PT7925"/>
        <s v="PT7926"/>
        <s v="PT7927"/>
        <s v="PT7928"/>
        <s v="PT7929"/>
        <s v="PT7930"/>
        <s v="PT7931"/>
        <s v="PT7932"/>
        <s v="PT7933"/>
        <s v="PT7934"/>
        <s v="PT7935"/>
        <s v="PT7936"/>
        <s v="PT7937"/>
        <s v="PT7938"/>
        <s v="PT7939"/>
        <s v="PT7940"/>
        <s v="PT7941"/>
        <s v="PT7942"/>
        <s v="PT7943"/>
        <s v="PT7944"/>
        <s v="PT7945"/>
        <s v="PT7946"/>
        <s v="PT7947"/>
        <s v="PT7948"/>
        <s v="PT7949"/>
        <s v="PT7950"/>
        <s v="PT7951"/>
        <s v="PT7952"/>
        <s v="PT7953"/>
        <s v="PT7954"/>
        <s v="PT7955"/>
        <s v="PT7956"/>
        <s v="PT7957"/>
        <s v="PT7958"/>
        <s v="PT7959"/>
        <s v="PT7960"/>
        <s v="PT7961"/>
        <s v="PT7962"/>
        <s v="PT7963"/>
        <s v="PT7964"/>
        <s v="PT7965"/>
        <s v="PT7966"/>
        <s v="PT7967"/>
        <s v="PT7968"/>
        <s v="PT7969"/>
        <s v="PT7970"/>
        <s v="PT7971"/>
        <s v="PT7972"/>
        <s v="PT7973"/>
        <s v="PT7974"/>
        <s v="PT7975"/>
        <s v="PT7976"/>
        <s v="PT7977"/>
        <s v="PT7978"/>
        <s v="PT7979"/>
        <s v="PT7980"/>
        <s v="PT7981"/>
        <s v="PT7982"/>
        <s v="PT7983"/>
        <s v="PT7984"/>
        <s v="PT7985"/>
        <s v="PT7986"/>
        <s v="PT7987"/>
        <s v="PT7988"/>
        <s v="PT7989"/>
        <s v="PT7990"/>
        <s v="PT7991"/>
        <s v="PT7992"/>
        <s v="PT7993"/>
        <s v="PT7994"/>
        <s v="PT7995"/>
        <s v="PT7996"/>
        <s v="PT7997"/>
        <s v="PT7998"/>
        <s v="PT7999"/>
        <s v="PT8000"/>
        <s v="PT8001"/>
        <s v="PT8002"/>
        <s v="PT8003"/>
        <s v="PT8004"/>
        <s v="PT8005"/>
        <s v="PT8006"/>
        <s v="PT8007"/>
        <s v="PT8008"/>
        <s v="PT8009"/>
        <s v="PT8010"/>
        <s v="PT8011"/>
        <s v="PT8012"/>
        <s v="PT8013"/>
        <s v="PT8014"/>
        <s v="PT8015"/>
        <s v="PT8016"/>
        <s v="PT8017"/>
        <s v="PT8018"/>
        <s v="PT8019"/>
        <s v="PT8020"/>
        <s v="PT8021"/>
        <s v="PT8022"/>
        <s v="PT8023"/>
        <s v="PT8024"/>
        <s v="PT8025"/>
        <s v="PT8026"/>
        <s v="PT8027"/>
        <s v="PT8028"/>
        <s v="PT8029"/>
        <s v="PT8030"/>
        <s v="PT8031"/>
        <s v="PT8032"/>
        <s v="PT8033"/>
        <s v="PT8034"/>
        <s v="PT8035"/>
        <s v="PT8036"/>
        <s v="PT8037"/>
        <s v="PT8038"/>
        <s v="PT8039"/>
        <s v="PT8040"/>
        <s v="PT8041"/>
        <s v="PT8042"/>
        <s v="PT8043"/>
        <s v="PT8044"/>
        <s v="PT8045"/>
        <s v="PT8046"/>
        <s v="PT8047"/>
        <s v="PT8048"/>
        <s v="PT8049"/>
        <s v="PT8050"/>
        <s v="PT8051"/>
        <s v="PT8052"/>
        <s v="PT8053"/>
        <s v="PT8054"/>
        <s v="PT8055"/>
        <s v="PT8056"/>
        <s v="PT8057"/>
        <s v="PT8058"/>
        <s v="PT8059"/>
        <s v="PT8060"/>
        <s v="PT8061"/>
        <s v="PT8062"/>
        <s v="PT8063"/>
        <s v="PT8064"/>
        <s v="PT8065"/>
        <s v="PT8066"/>
        <s v="PT8067"/>
        <s v="PT8068"/>
        <s v="PT8069"/>
        <s v="PT8070"/>
        <s v="PT8071"/>
        <s v="PT8072"/>
        <s v="PT8073"/>
        <s v="PT8074"/>
        <s v="PT8075"/>
        <s v="PT8076"/>
        <s v="PT8077"/>
        <s v="PT8078"/>
        <s v="PT8079"/>
        <s v="PT8080"/>
        <s v="PT8081"/>
        <s v="PT8082"/>
        <s v="PT8083"/>
        <s v="PT8084"/>
        <s v="PT8085"/>
        <s v="PT8086"/>
        <s v="PT8087"/>
        <s v="PT8088"/>
        <s v="PT8089"/>
        <s v="PT8090"/>
        <s v="PT8091"/>
        <s v="PT8092"/>
        <s v="PT8093"/>
        <s v="PT8094"/>
        <s v="PT8095"/>
        <s v="PT8096"/>
        <s v="PT8097"/>
        <s v="PT8098"/>
        <s v="PT8099"/>
        <s v="PT8100"/>
        <s v="PT8101"/>
        <s v="PT8102"/>
        <s v="PT8103"/>
        <s v="PT8104"/>
        <s v="PT8105"/>
        <s v="PT8106"/>
        <s v="PT8107"/>
        <s v="PT8108"/>
        <s v="PT8109"/>
        <s v="PT8110"/>
        <s v="PT8111"/>
        <s v="PT8112"/>
        <s v="PT8113"/>
        <s v="PT8114"/>
        <s v="PT8115"/>
        <s v="PT8116"/>
        <s v="PT8117"/>
        <s v="PT8118"/>
        <s v="PT8119"/>
        <s v="PT8120"/>
        <s v="PT8121"/>
        <s v="PT8122"/>
        <s v="PT8123"/>
        <s v="PT8124"/>
        <s v="PT8125"/>
        <s v="PT8126"/>
        <s v="PT8127"/>
        <s v="PT8128"/>
        <s v="PT8129"/>
        <s v="PT8130"/>
        <s v="PT8131"/>
        <s v="PT8132"/>
        <s v="PT8133"/>
        <s v="PT8134"/>
        <s v="PT8135"/>
        <s v="PT8136"/>
        <s v="PT8137"/>
        <s v="PT8138"/>
        <s v="PT8139"/>
        <s v="PT8140"/>
        <s v="PT8141"/>
        <s v="PT8142"/>
        <s v="PT8143"/>
        <s v="PT8144"/>
        <s v="PT8145"/>
        <s v="PT8146"/>
        <s v="PT8147"/>
        <s v="PT8148"/>
        <s v="PT8149"/>
        <s v="PT8150"/>
        <s v="PT8151"/>
        <s v="PT8152"/>
        <s v="PT8153"/>
        <s v="PT8154"/>
        <s v="PT8155"/>
        <s v="PT8156"/>
        <s v="PT8157"/>
        <s v="PT8158"/>
        <s v="PT8159"/>
        <s v="PT8160"/>
        <s v="PT8161"/>
        <s v="PT8162"/>
        <s v="PT8163"/>
        <s v="PT8164"/>
        <s v="PT8165"/>
        <s v="PT8166"/>
        <s v="PT8167"/>
        <s v="PT8168"/>
        <s v="PT8169"/>
        <s v="PT8170"/>
        <s v="PT8171"/>
        <s v="PT8172"/>
        <s v="PT8173"/>
        <s v="PT8174"/>
        <s v="PT8175"/>
        <s v="PT8176"/>
        <s v="PT8177"/>
        <s v="PT8178"/>
        <s v="PT8179"/>
        <s v="PT8180"/>
        <s v="PT8181"/>
        <s v="PT8182"/>
        <s v="PT8183"/>
        <s v="PT8184"/>
        <s v="PT8185"/>
        <s v="PT8186"/>
        <s v="PT8187"/>
        <s v="PT8188"/>
        <s v="PT8189"/>
        <s v="PT8190"/>
        <s v="PT8191"/>
        <s v="PT8192"/>
        <s v="PT8193"/>
        <s v="PT8194"/>
        <s v="PT8195"/>
        <s v="PT8196"/>
        <s v="PT8197"/>
        <s v="PT8198"/>
        <s v="PT8199"/>
        <s v="PT8200"/>
        <s v="PT8201"/>
        <s v="PT8202"/>
        <s v="PT8203"/>
        <s v="PT8204"/>
        <s v="PT8205"/>
        <s v="PT8206"/>
        <s v="PT8207"/>
        <s v="PT8208"/>
        <s v="PT8209"/>
        <s v="PT8210"/>
        <s v="PT8211"/>
        <s v="PT8212"/>
        <s v="PT8213"/>
        <s v="PT8214"/>
        <s v="PT8215"/>
        <s v="PT8216"/>
      </sharedItems>
    </cacheField>
    <cacheField name="Hospital" numFmtId="0">
      <sharedItems count="6">
        <s v="Max_Healthcare"/>
        <s v="Narayana"/>
        <s v="Fortis"/>
        <s v="Apollo"/>
        <s v="Aiims"/>
        <s v="Manipal"/>
      </sharedItems>
    </cacheField>
    <cacheField name="City" numFmtId="0">
      <sharedItems count="8">
        <s v="Bangalore"/>
        <s v="Mumbai"/>
        <s v="Chennai"/>
        <s v="Hyderabad"/>
        <s v="Pune"/>
        <s v="Kolkata"/>
        <s v="Ahmedabad"/>
        <s v="Delhi"/>
      </sharedItems>
    </cacheField>
    <cacheField name="Department" numFmtId="0">
      <sharedItems count="10">
        <s v="Gynecology"/>
        <s v="Oncology"/>
        <s v="Pediatrics"/>
        <s v="Gastroenterology"/>
        <s v="Neurology"/>
        <s v="General Medicine"/>
        <s v="Nephrology"/>
        <s v="ENT"/>
        <s v="Orthopedics"/>
        <s v="Cardiology"/>
      </sharedItems>
    </cacheField>
    <cacheField name="Disease" numFmtId="0">
      <sharedItems count="40">
        <s v="PCOS"/>
        <s v="Breast Cancer"/>
        <s v="Asthma"/>
        <s v="IBS"/>
        <s v="Measles"/>
        <s v="Parkinson's Disease"/>
        <s v="Fever"/>
        <s v="Stroke"/>
        <s v="Migraine"/>
        <s v="UTI"/>
        <s v="Hearing Loss"/>
        <s v="Joint Dislocation"/>
        <s v="Chronic Kidney Disease"/>
        <s v="Fracture"/>
        <s v="Chickenpox"/>
        <s v="Pregnancy Complications"/>
        <s v="Dialysis"/>
        <s v="Pneumonia"/>
        <s v="Ear Infection"/>
        <s v="Heart Failure"/>
        <s v="Menstrual Disorders"/>
        <s v="Diabetes"/>
        <s v="Liver Disease"/>
        <s v="Malnutrition"/>
        <s v="Typhoid"/>
        <s v="Epilepsy"/>
        <s v="Kidney Stones"/>
        <s v="Fibroids"/>
        <s v="Coronary Artery Disease"/>
        <s v="Arrhythmia"/>
        <s v="Tonsillitis"/>
        <s v="Leukemia"/>
        <s v="Colon Cancer"/>
        <s v="Back Pain"/>
        <s v="Hypertension"/>
        <s v="Lung Cancer"/>
        <s v="Osteoarthritis"/>
        <s v="Ulcer"/>
        <s v="Sinusitis"/>
        <s v="Gastritis"/>
      </sharedItems>
    </cacheField>
    <cacheField name="Ward Class" numFmtId="0">
      <sharedItems count="3">
        <s v="General"/>
        <s v="ICU"/>
        <s v="Unknown"/>
      </sharedItems>
    </cacheField>
    <cacheField name="Age" numFmtId="0">
      <sharedItems containsSemiMixedTypes="0" containsString="0" containsNumber="1" containsInteger="1" minValue="1" maxValue="92" count="92">
        <n v="75"/>
        <n v="6"/>
        <n v="80"/>
        <n v="37"/>
        <n v="9"/>
        <n v="15"/>
        <n v="46"/>
        <n v="17"/>
        <n v="21"/>
        <n v="16"/>
        <n v="19"/>
        <n v="31"/>
        <n v="14"/>
        <n v="23"/>
        <n v="79"/>
        <n v="76"/>
        <n v="57"/>
        <n v="65"/>
        <n v="58"/>
        <n v="29"/>
        <n v="3"/>
        <n v="24"/>
        <n v="55"/>
        <n v="30"/>
        <n v="77"/>
        <n v="11"/>
        <n v="68"/>
        <n v="63"/>
        <n v="64"/>
        <n v="87"/>
        <n v="59"/>
        <n v="1"/>
        <n v="72"/>
        <n v="41"/>
        <n v="50"/>
        <n v="25"/>
        <n v="48"/>
        <n v="33"/>
        <n v="4"/>
        <n v="73"/>
        <n v="84"/>
        <n v="10"/>
        <n v="5"/>
        <n v="85"/>
        <n v="83"/>
        <n v="54"/>
        <n v="27"/>
        <n v="45"/>
        <n v="92"/>
        <n v="82"/>
        <n v="42"/>
        <n v="22"/>
        <n v="20"/>
        <n v="39"/>
        <n v="53"/>
        <n v="81"/>
        <n v="61"/>
        <n v="49"/>
        <n v="86"/>
        <n v="13"/>
        <n v="71"/>
        <n v="28"/>
        <n v="78"/>
        <n v="67"/>
        <n v="32"/>
        <n v="7"/>
        <n v="62"/>
        <n v="18"/>
        <n v="38"/>
        <n v="74"/>
        <n v="40"/>
        <n v="56"/>
        <n v="2"/>
        <n v="89"/>
        <n v="52"/>
        <n v="44"/>
        <n v="70"/>
        <n v="88"/>
        <n v="47"/>
        <n v="60"/>
        <n v="90"/>
        <n v="35"/>
        <n v="26"/>
        <n v="12"/>
        <n v="34"/>
        <n v="69"/>
        <n v="66"/>
        <n v="51"/>
        <n v="43"/>
        <n v="91"/>
        <n v="8"/>
        <n v="36"/>
      </sharedItems>
    </cacheField>
    <cacheField name="Age Group" numFmtId="0">
      <sharedItems/>
    </cacheField>
    <cacheField name="Gender" numFmtId="0">
      <sharedItems count="2">
        <s v="Male"/>
        <s v="Female"/>
      </sharedItems>
    </cacheField>
    <cacheField name="Admission Date" numFmtId="165">
      <sharedItems containsSemiMixedTypes="0" containsNonDate="0" containsDate="1" containsString="0" minDate="2023-01-01T00:00:00" maxDate="2024-04-26T00:00:00"/>
    </cacheField>
    <cacheField name="Payment Method" numFmtId="0">
      <sharedItems count="6">
        <s v="Credit Card"/>
        <s v="Cash"/>
        <s v="Insurance"/>
        <s v="UPI"/>
        <s v="Debit Card"/>
        <s v="Unknown"/>
      </sharedItems>
    </cacheField>
    <cacheField name="Total Amount" numFmtId="3">
      <sharedItems containsSemiMixedTypes="0" containsString="0" containsNumber="1" containsInteger="1" minValue="2378" maxValue="89885" count="1180">
        <n v="19627"/>
        <n v="6627"/>
        <n v="13949"/>
        <n v="6868"/>
        <n v="16682"/>
        <n v="47142"/>
        <n v="69865"/>
        <n v="17902"/>
        <n v="4722"/>
        <n v="81453"/>
        <n v="3886"/>
        <n v="10429"/>
        <n v="32047"/>
        <n v="60404"/>
        <n v="14482"/>
        <n v="15057"/>
        <n v="3128"/>
        <n v="3913"/>
        <n v="35941"/>
        <n v="16050"/>
        <n v="16226"/>
        <n v="7028"/>
        <n v="3551"/>
        <n v="51252"/>
        <n v="12324"/>
        <n v="38313"/>
        <n v="12602"/>
        <n v="63018"/>
        <n v="6470"/>
        <n v="3526"/>
        <n v="17973"/>
        <n v="18696"/>
        <n v="9626"/>
        <n v="86403"/>
        <n v="10581"/>
        <n v="11549"/>
        <n v="37334"/>
        <n v="7314"/>
        <n v="6231"/>
        <n v="10892"/>
        <n v="9572"/>
        <n v="5126"/>
        <n v="12783"/>
        <n v="13871"/>
        <n v="16059"/>
        <n v="9743"/>
        <n v="26794"/>
        <n v="8546"/>
        <n v="13219"/>
        <n v="5059"/>
        <n v="17642"/>
        <n v="61883"/>
        <n v="5064"/>
        <n v="51700"/>
        <n v="17291"/>
        <n v="8824"/>
        <n v="9666"/>
        <n v="5986"/>
        <n v="15619"/>
        <n v="14696"/>
        <n v="15710"/>
        <n v="5133"/>
        <n v="11167"/>
        <n v="30631"/>
        <n v="13455"/>
        <n v="12010"/>
        <n v="15348"/>
        <n v="14804"/>
        <n v="4565"/>
        <n v="18561"/>
        <n v="78163"/>
        <n v="8990"/>
        <n v="69172"/>
        <n v="62495"/>
        <n v="35944"/>
        <n v="42484"/>
        <n v="14908"/>
        <n v="12416"/>
        <n v="82401"/>
        <n v="9331"/>
        <n v="48143"/>
        <n v="11391"/>
        <n v="13187"/>
        <n v="13700"/>
        <n v="9428"/>
        <n v="15382"/>
        <n v="15305"/>
        <n v="9125"/>
        <n v="8896"/>
        <n v="13084"/>
        <n v="9885"/>
        <n v="75850"/>
        <n v="13639"/>
        <n v="7202"/>
        <n v="6880"/>
        <n v="18726"/>
        <n v="18881"/>
        <n v="11227"/>
        <n v="15815"/>
        <n v="17103"/>
        <n v="23264"/>
        <n v="7684"/>
        <n v="13785"/>
        <n v="4725"/>
        <n v="5811"/>
        <n v="7553"/>
        <n v="6848"/>
        <n v="24790"/>
        <n v="85749"/>
        <n v="19163"/>
        <n v="10415"/>
        <n v="41069"/>
        <n v="8233"/>
        <n v="38978"/>
        <n v="16590"/>
        <n v="70473"/>
        <n v="7106"/>
        <n v="9919"/>
        <n v="3525"/>
        <n v="8902"/>
        <n v="2995"/>
        <n v="9096"/>
        <n v="5005"/>
        <n v="14747"/>
        <n v="18232"/>
        <n v="14951"/>
        <n v="27019"/>
        <n v="16010"/>
        <n v="11179"/>
        <n v="10784"/>
        <n v="10938"/>
        <n v="3527"/>
        <n v="64210"/>
        <n v="76732"/>
        <n v="18401"/>
        <n v="34857"/>
        <n v="4713"/>
        <n v="4878"/>
        <n v="8977"/>
        <n v="21483"/>
        <n v="8588"/>
        <n v="5065"/>
        <n v="16131"/>
        <n v="6426"/>
        <n v="15693"/>
        <n v="9783"/>
        <n v="15058"/>
        <n v="10587"/>
        <n v="14757"/>
        <n v="5891"/>
        <n v="8443"/>
        <n v="34573"/>
        <n v="16052"/>
        <n v="4797"/>
        <n v="12809"/>
        <n v="20972"/>
        <n v="13353"/>
        <n v="12370"/>
        <n v="13169"/>
        <n v="16354"/>
        <n v="14514"/>
        <n v="3043"/>
        <n v="60282"/>
        <n v="13671"/>
        <n v="10118"/>
        <n v="87522"/>
        <n v="8985"/>
        <n v="15222"/>
        <n v="12913"/>
        <n v="55220"/>
        <n v="17699"/>
        <n v="66357"/>
        <n v="7557"/>
        <n v="58285"/>
        <n v="15248"/>
        <n v="5622"/>
        <n v="39491"/>
        <n v="14179"/>
        <n v="14917"/>
        <n v="8118"/>
        <n v="17849"/>
        <n v="4474"/>
        <n v="14279"/>
        <n v="7249"/>
        <n v="73673"/>
        <n v="5956"/>
        <n v="3653"/>
        <n v="17335"/>
        <n v="4138"/>
        <n v="14790"/>
        <n v="13629"/>
        <n v="15894"/>
        <n v="37464"/>
        <n v="17026"/>
        <n v="18674"/>
        <n v="54035"/>
        <n v="68708"/>
        <n v="4822"/>
        <n v="28532"/>
        <n v="30110"/>
        <n v="73339"/>
        <n v="15931"/>
        <n v="6866"/>
        <n v="9860"/>
        <n v="41512"/>
        <n v="11440"/>
        <n v="9529"/>
        <n v="14537"/>
        <n v="5307"/>
        <n v="14476"/>
        <n v="78558"/>
        <n v="7489"/>
        <n v="16229"/>
        <n v="79119"/>
        <n v="7852"/>
        <n v="58617"/>
        <n v="26596"/>
        <n v="41590"/>
        <n v="38263"/>
        <n v="75914"/>
        <n v="18267"/>
        <n v="6514"/>
        <n v="17895"/>
        <n v="14856"/>
        <n v="4026"/>
        <n v="37184"/>
        <n v="58957"/>
        <n v="55130"/>
        <n v="17734"/>
        <n v="60232"/>
        <n v="16554"/>
        <n v="10280"/>
        <n v="5205"/>
        <n v="7169"/>
        <n v="47391"/>
        <n v="15789"/>
        <n v="9223"/>
        <n v="3164"/>
        <n v="12538"/>
        <n v="54428"/>
        <n v="9347"/>
        <n v="6586"/>
        <n v="50720"/>
        <n v="49383"/>
        <n v="72002"/>
        <n v="31222"/>
        <n v="19613"/>
        <n v="10780"/>
        <n v="16349"/>
        <n v="36454"/>
        <n v="10562"/>
        <n v="32375"/>
        <n v="6877"/>
        <n v="5225"/>
        <n v="51520"/>
        <n v="19157"/>
        <n v="49262"/>
        <n v="14703"/>
        <n v="18485"/>
        <n v="10292"/>
        <n v="6325"/>
        <n v="10288"/>
        <n v="70771"/>
        <n v="61159"/>
        <n v="13154"/>
        <n v="53796"/>
        <n v="75423"/>
        <n v="11221"/>
        <n v="17286"/>
        <n v="13435"/>
        <n v="14785"/>
        <n v="14654"/>
        <n v="45729"/>
        <n v="3060"/>
        <n v="5403"/>
        <n v="14196"/>
        <n v="7748"/>
        <n v="11471"/>
        <n v="11545"/>
        <n v="9930"/>
        <n v="19828"/>
        <n v="7225"/>
        <n v="7425"/>
        <n v="67153"/>
        <n v="66015"/>
        <n v="45335"/>
        <n v="16453"/>
        <n v="11218"/>
        <n v="67304"/>
        <n v="81665"/>
        <n v="10432"/>
        <n v="4306"/>
        <n v="14445"/>
        <n v="10048"/>
        <n v="4774"/>
        <n v="6268"/>
        <n v="42491"/>
        <n v="12012"/>
        <n v="16218"/>
        <n v="8127"/>
        <n v="4747"/>
        <n v="10470"/>
        <n v="8615"/>
        <n v="6613"/>
        <n v="89496"/>
        <n v="38649"/>
        <n v="8020"/>
        <n v="30875"/>
        <n v="16403"/>
        <n v="16134"/>
        <n v="7297"/>
        <n v="9072"/>
        <n v="53618"/>
        <n v="9420"/>
        <n v="63056"/>
        <n v="12313"/>
        <n v="5281"/>
        <n v="34144"/>
        <n v="15622"/>
        <n v="6147"/>
        <n v="78316"/>
        <n v="16880"/>
        <n v="40523"/>
        <n v="5816"/>
        <n v="16650"/>
        <n v="5079"/>
        <n v="27046"/>
        <n v="8091"/>
        <n v="89885"/>
        <n v="8622"/>
        <n v="9677"/>
        <n v="4994"/>
        <n v="14104"/>
        <n v="8410"/>
        <n v="61855"/>
        <n v="12196"/>
        <n v="15156"/>
        <n v="42962"/>
        <n v="5682"/>
        <n v="10224"/>
        <n v="5723"/>
        <n v="14522"/>
        <n v="7461"/>
        <n v="12129"/>
        <n v="12484"/>
        <n v="6958"/>
        <n v="75096"/>
        <n v="15180"/>
        <n v="6842"/>
        <n v="8311"/>
        <n v="17312"/>
        <n v="9328"/>
        <n v="9955"/>
        <n v="4654"/>
        <n v="3270"/>
        <n v="18792"/>
        <n v="6535"/>
        <n v="71522"/>
        <n v="8320"/>
        <n v="12191"/>
        <n v="46611"/>
        <n v="12921"/>
        <n v="30681"/>
        <n v="11704"/>
        <n v="11520"/>
        <n v="10571"/>
        <n v="44062"/>
        <n v="54583"/>
        <n v="16242"/>
        <n v="59977"/>
        <n v="10160"/>
        <n v="17952"/>
        <n v="4553"/>
        <n v="34391"/>
        <n v="26205"/>
        <n v="84419"/>
        <n v="79999"/>
        <n v="6348"/>
        <n v="18352"/>
        <n v="12570"/>
        <n v="29806"/>
        <n v="57866"/>
        <n v="4324"/>
        <n v="8961"/>
        <n v="15189"/>
        <n v="6490"/>
        <n v="4018"/>
        <n v="17560"/>
        <n v="85795"/>
        <n v="54832"/>
        <n v="18321"/>
        <n v="17889"/>
        <n v="12002"/>
        <n v="73652"/>
        <n v="5582"/>
        <n v="15868"/>
        <n v="15410"/>
        <n v="3975"/>
        <n v="10337"/>
        <n v="6143"/>
        <n v="10074"/>
        <n v="11155"/>
        <n v="19352"/>
        <n v="10805"/>
        <n v="4457"/>
        <n v="13272"/>
        <n v="13400"/>
        <n v="5594"/>
        <n v="9261"/>
        <n v="14857"/>
        <n v="7088"/>
        <n v="57996"/>
        <n v="80786"/>
        <n v="11458"/>
        <n v="15171"/>
        <n v="15507"/>
        <n v="18048"/>
        <n v="6989"/>
        <n v="10211"/>
        <n v="59712"/>
        <n v="80127"/>
        <n v="62834"/>
        <n v="17080"/>
        <n v="62461"/>
        <n v="6632"/>
        <n v="4966"/>
        <n v="6800"/>
        <n v="35408"/>
        <n v="53048"/>
        <n v="16228"/>
        <n v="8917"/>
        <n v="5522"/>
        <n v="79066"/>
        <n v="18210"/>
        <n v="15406"/>
        <n v="3322"/>
        <n v="11945"/>
        <n v="14077"/>
        <n v="73623"/>
        <n v="52835"/>
        <n v="9662"/>
        <n v="9064"/>
        <n v="3894"/>
        <n v="16387"/>
        <n v="10334"/>
        <n v="8235"/>
        <n v="6861"/>
        <n v="62643"/>
        <n v="15119"/>
        <n v="17550"/>
        <n v="12282"/>
        <n v="17250"/>
        <n v="15236"/>
        <n v="10452"/>
        <n v="74833"/>
        <n v="13113"/>
        <n v="43524"/>
        <n v="15787"/>
        <n v="9873"/>
        <n v="3661"/>
        <n v="4246"/>
        <n v="51858"/>
        <n v="16671"/>
        <n v="2378"/>
        <n v="7681"/>
        <n v="8396"/>
        <n v="78514"/>
        <n v="6410"/>
        <n v="7616"/>
        <n v="10096"/>
        <n v="8003"/>
        <n v="78466"/>
        <n v="84090"/>
        <n v="10832"/>
        <n v="13868"/>
        <n v="55904"/>
        <n v="19369"/>
        <n v="10523"/>
        <n v="66111"/>
        <n v="4004"/>
        <n v="5869"/>
        <n v="63508"/>
        <n v="38753"/>
        <n v="9635"/>
        <n v="6862"/>
        <n v="19022"/>
        <n v="11146"/>
        <n v="64528"/>
        <n v="47971"/>
        <n v="9803"/>
        <n v="64350"/>
        <n v="4739"/>
        <n v="13256"/>
        <n v="7343"/>
        <n v="12439"/>
        <n v="10666"/>
        <n v="14485"/>
        <n v="33289"/>
        <n v="12632"/>
        <n v="13010"/>
        <n v="16773"/>
        <n v="8331"/>
        <n v="16736"/>
        <n v="14415"/>
        <n v="17893"/>
        <n v="64336"/>
        <n v="18345"/>
        <n v="22988"/>
        <n v="3001"/>
        <n v="2757"/>
        <n v="13258"/>
        <n v="5478"/>
        <n v="62070"/>
        <n v="11583"/>
        <n v="11501"/>
        <n v="19309"/>
        <n v="15308"/>
        <n v="9740"/>
        <n v="13049"/>
        <n v="13713"/>
        <n v="12669"/>
        <n v="86355"/>
        <n v="9043"/>
        <n v="10179"/>
        <n v="6416"/>
        <n v="15296"/>
        <n v="10001"/>
        <n v="51258"/>
        <n v="77988"/>
        <n v="19154"/>
        <n v="9473"/>
        <n v="8063"/>
        <n v="12624"/>
        <n v="9712"/>
        <n v="72442"/>
        <n v="19240"/>
        <n v="59863"/>
        <n v="16130"/>
        <n v="7532"/>
        <n v="13609"/>
        <n v="18897"/>
        <n v="12169"/>
        <n v="24495"/>
        <n v="7566"/>
        <n v="58392"/>
        <n v="14264"/>
        <n v="3785"/>
        <n v="6113"/>
        <n v="3253"/>
        <n v="15031"/>
        <n v="10150"/>
        <n v="19985"/>
        <n v="57859"/>
        <n v="5481"/>
        <n v="10584"/>
        <n v="6046"/>
        <n v="19062"/>
        <n v="4081"/>
        <n v="17516"/>
        <n v="14051"/>
        <n v="3502"/>
        <n v="12269"/>
        <n v="22502"/>
        <n v="7597"/>
        <n v="60469"/>
        <n v="82723"/>
        <n v="45661"/>
        <n v="10250"/>
        <n v="6439"/>
        <n v="14559"/>
        <n v="85619"/>
        <n v="3633"/>
        <n v="7808"/>
        <n v="15223"/>
        <n v="7844"/>
        <n v="15481"/>
        <n v="9144"/>
        <n v="9120"/>
        <n v="13356"/>
        <n v="33320"/>
        <n v="8366"/>
        <n v="13001"/>
        <n v="6801"/>
        <n v="31043"/>
        <n v="16209"/>
        <n v="6479"/>
        <n v="8067"/>
        <n v="18665"/>
        <n v="6112"/>
        <n v="16947"/>
        <n v="7058"/>
        <n v="71568"/>
        <n v="18990"/>
        <n v="59786"/>
        <n v="14493"/>
        <n v="11712"/>
        <n v="16844"/>
        <n v="5883"/>
        <n v="32515"/>
        <n v="20526"/>
        <n v="18921"/>
        <n v="7864"/>
        <n v="9727"/>
        <n v="18718"/>
        <n v="2989"/>
        <n v="16848"/>
        <n v="9857"/>
        <n v="13309"/>
        <n v="13067"/>
        <n v="6642"/>
        <n v="12407"/>
        <n v="13096"/>
        <n v="47978"/>
        <n v="18447"/>
        <n v="8935"/>
        <n v="18301"/>
        <n v="5221"/>
        <n v="9966"/>
        <n v="67553"/>
        <n v="10494"/>
        <n v="4741"/>
        <n v="14990"/>
        <n v="13373"/>
        <n v="5231"/>
        <n v="19597"/>
        <n v="12646"/>
        <n v="10538"/>
        <n v="15053"/>
        <n v="4719"/>
        <n v="16451"/>
        <n v="10195"/>
        <n v="4964"/>
        <n v="18395"/>
        <n v="9925"/>
        <n v="13472"/>
        <n v="75859"/>
        <n v="7866"/>
        <n v="65103"/>
        <n v="5697"/>
        <n v="71992"/>
        <n v="50369"/>
        <n v="68211"/>
        <n v="3209"/>
        <n v="49056"/>
        <n v="44027"/>
        <n v="5349"/>
        <n v="44279"/>
        <n v="6960"/>
        <n v="11177"/>
        <n v="7574"/>
        <n v="3587"/>
        <n v="8851"/>
        <n v="3331"/>
        <n v="12079"/>
        <n v="4403"/>
        <n v="13956"/>
        <n v="19595"/>
        <n v="8616"/>
        <n v="9620"/>
        <n v="16744"/>
        <n v="69346"/>
        <n v="57407"/>
        <n v="12896"/>
        <n v="6505"/>
        <n v="47687"/>
        <n v="10382"/>
        <n v="45370"/>
        <n v="14378"/>
        <n v="14234"/>
        <n v="31402"/>
        <n v="8561"/>
        <n v="7726"/>
        <n v="17123"/>
        <n v="3906"/>
        <n v="12520"/>
        <n v="7047"/>
        <n v="19258"/>
        <n v="18998"/>
        <n v="53070"/>
        <n v="38298"/>
        <n v="16696"/>
        <n v="10633"/>
        <n v="4891"/>
        <n v="6932"/>
        <n v="10121"/>
        <n v="18699"/>
        <n v="13919"/>
        <n v="6500"/>
        <n v="16145"/>
        <n v="15195"/>
        <n v="76503"/>
        <n v="83563"/>
        <n v="7305"/>
        <n v="51385"/>
        <n v="13778"/>
        <n v="16626"/>
        <n v="9134"/>
        <n v="3637"/>
        <n v="7290"/>
        <n v="14306"/>
        <n v="15660"/>
        <n v="7876"/>
        <n v="10218"/>
        <n v="5749"/>
        <n v="14366"/>
        <n v="49353"/>
        <n v="16924"/>
        <n v="38559"/>
        <n v="13674"/>
        <n v="37969"/>
        <n v="14864"/>
        <n v="59259"/>
        <n v="53546"/>
        <n v="4951"/>
        <n v="16617"/>
        <n v="3773"/>
        <n v="9818"/>
        <n v="16721"/>
        <n v="63485"/>
        <n v="11496"/>
        <n v="81046"/>
        <n v="18794"/>
        <n v="66553"/>
        <n v="11534"/>
        <n v="10196"/>
        <n v="15334"/>
        <n v="9762"/>
        <n v="6853"/>
        <n v="8381"/>
        <n v="26125"/>
        <n v="18607"/>
        <n v="70869"/>
        <n v="19411"/>
        <n v="7807"/>
        <n v="15674"/>
        <n v="17101"/>
        <n v="19379"/>
        <n v="14528"/>
        <n v="3769"/>
        <n v="57613"/>
        <n v="68147"/>
        <n v="14844"/>
        <n v="9595"/>
        <n v="14158"/>
        <n v="44093"/>
        <n v="18704"/>
        <n v="14345"/>
        <n v="15204"/>
        <n v="15103"/>
        <n v="7090"/>
        <n v="8354"/>
        <n v="11476"/>
        <n v="12205"/>
        <n v="9617"/>
        <n v="14181"/>
        <n v="5392"/>
        <n v="67299"/>
        <n v="6799"/>
        <n v="75877"/>
        <n v="4674"/>
        <n v="14905"/>
        <n v="6950"/>
        <n v="67136"/>
        <n v="13512"/>
        <n v="19044"/>
        <n v="71613"/>
        <n v="13407"/>
        <n v="30095"/>
        <n v="8328"/>
        <n v="61223"/>
        <n v="13402"/>
        <n v="9357"/>
        <n v="22213"/>
        <n v="16090"/>
        <n v="81800"/>
        <n v="6353"/>
        <n v="49726"/>
        <n v="34024"/>
        <n v="10386"/>
        <n v="87406"/>
        <n v="11602"/>
        <n v="5070"/>
        <n v="79806"/>
        <n v="17861"/>
        <n v="16556"/>
        <n v="4093"/>
        <n v="4920"/>
        <n v="60819"/>
        <n v="28285"/>
        <n v="4446"/>
        <n v="5864"/>
        <n v="9503"/>
        <n v="38268"/>
        <n v="12022"/>
        <n v="14062"/>
        <n v="4678"/>
        <n v="85981"/>
        <n v="10701"/>
        <n v="21011"/>
        <n v="14574"/>
        <n v="2715"/>
        <n v="8555"/>
        <n v="49467"/>
        <n v="5938"/>
        <n v="83383"/>
        <n v="7608"/>
        <n v="38408"/>
        <n v="18313"/>
        <n v="5136"/>
        <n v="19852"/>
        <n v="38698"/>
        <n v="8785"/>
        <n v="5707"/>
        <n v="15315"/>
        <n v="4949"/>
        <n v="8436"/>
        <n v="3598"/>
        <n v="13615"/>
        <n v="5630"/>
        <n v="9461"/>
        <n v="76276"/>
        <n v="7550"/>
        <n v="3191"/>
        <n v="5106"/>
        <n v="13451"/>
        <n v="4367"/>
        <n v="9186"/>
        <n v="9048"/>
        <n v="14647"/>
        <n v="78948"/>
        <n v="12903"/>
        <n v="4620"/>
        <n v="12432"/>
        <n v="4200"/>
        <n v="10134"/>
        <n v="65635"/>
        <n v="18167"/>
        <n v="4079"/>
        <n v="29362"/>
        <n v="8047"/>
        <n v="6621"/>
        <n v="69828"/>
        <n v="37885"/>
        <n v="16756"/>
        <n v="9340"/>
        <n v="16913"/>
        <n v="4169"/>
        <n v="66801"/>
        <n v="66304"/>
        <n v="7901"/>
        <n v="19276"/>
        <n v="14063"/>
        <n v="10627"/>
        <n v="64990"/>
        <n v="13715"/>
        <n v="17344"/>
        <n v="19350"/>
        <n v="9030"/>
        <n v="85189"/>
        <n v="14343"/>
        <n v="9276"/>
        <n v="8503"/>
        <n v="4950"/>
        <n v="47990"/>
        <n v="17638"/>
        <n v="4473"/>
        <n v="17502"/>
        <n v="64063"/>
        <n v="55397"/>
        <n v="17094"/>
        <n v="15642"/>
        <n v="16532"/>
        <n v="17738"/>
        <n v="4364"/>
        <n v="11068"/>
        <n v="8140"/>
        <n v="16182"/>
        <n v="16243"/>
        <n v="6736"/>
        <n v="5209"/>
        <n v="15079"/>
        <n v="3035"/>
        <n v="17590"/>
        <n v="7824"/>
        <n v="19766"/>
        <n v="8613"/>
        <n v="30879"/>
        <n v="11512"/>
        <n v="10000"/>
        <n v="14197"/>
        <n v="76463"/>
        <n v="15947"/>
        <n v="41451"/>
        <n v="7633"/>
        <n v="7500"/>
        <n v="18096"/>
        <n v="19360"/>
        <n v="12258"/>
        <n v="9958"/>
        <n v="14474"/>
        <n v="9585"/>
        <n v="4289"/>
        <n v="6394"/>
        <n v="5924"/>
        <n v="14612"/>
        <n v="6624"/>
        <n v="46075"/>
        <n v="17854"/>
        <n v="15513"/>
        <n v="41779"/>
        <n v="13608"/>
        <n v="30408"/>
        <n v="9243"/>
        <n v="13804"/>
        <n v="9592"/>
        <n v="61505"/>
        <n v="12467"/>
        <n v="7950"/>
        <n v="8420"/>
        <n v="76616"/>
        <n v="18974"/>
        <n v="51305"/>
        <n v="13582"/>
        <n v="11150"/>
        <n v="65084"/>
        <n v="3724"/>
        <n v="13371"/>
        <n v="6547"/>
        <n v="7912"/>
        <n v="5729"/>
        <n v="10324"/>
        <n v="63448"/>
        <n v="19333"/>
        <n v="16111"/>
        <n v="8813"/>
        <n v="70143"/>
        <n v="8077"/>
        <n v="8525"/>
        <n v="17448"/>
        <n v="8112"/>
        <n v="4361"/>
        <n v="9586"/>
        <n v="10403"/>
        <n v="74248"/>
        <n v="4480"/>
        <n v="5748"/>
        <n v="70824"/>
        <n v="19298"/>
        <n v="22584"/>
        <n v="4961"/>
        <n v="17503"/>
        <n v="5486"/>
        <n v="61839"/>
        <n v="3004"/>
        <n v="64848"/>
        <n v="60155"/>
        <n v="8841"/>
        <n v="17093"/>
        <n v="8392"/>
        <n v="18905"/>
        <n v="6519"/>
        <n v="2997"/>
        <n v="67263"/>
        <n v="10220"/>
        <n v="17300"/>
        <n v="17317"/>
        <n v="14137"/>
        <n v="7309"/>
        <n v="12685"/>
        <n v="14430"/>
        <n v="86653"/>
        <n v="4360"/>
        <n v="7331"/>
        <n v="6818"/>
        <n v="58522"/>
        <n v="46387"/>
        <n v="8414"/>
        <n v="14436"/>
        <n v="13777"/>
        <n v="3272"/>
        <n v="9197"/>
        <n v="17480"/>
        <n v="85191"/>
        <n v="10058"/>
        <n v="12545"/>
        <n v="77304"/>
        <n v="12319"/>
        <n v="9751"/>
        <n v="31314"/>
        <n v="56123"/>
        <n v="11073"/>
        <n v="11625"/>
        <n v="50217"/>
        <n v="14143"/>
        <n v="7737"/>
        <n v="88285"/>
        <n v="8918"/>
        <n v="3957"/>
        <n v="5941"/>
        <n v="3669"/>
        <n v="62420"/>
        <n v="18575"/>
        <n v="11875"/>
        <n v="67240"/>
        <n v="68712"/>
        <n v="48976"/>
        <n v="11448"/>
        <n v="81644"/>
        <n v="3662"/>
        <n v="4638"/>
        <n v="8704"/>
        <n v="11931"/>
        <n v="9447"/>
        <n v="14307"/>
        <n v="13311"/>
        <n v="10439"/>
        <n v="31262"/>
        <n v="7889"/>
        <n v="19768"/>
        <n v="62197"/>
        <n v="16364"/>
        <n v="21384"/>
        <n v="77386"/>
        <n v="17159"/>
        <n v="72300"/>
        <n v="10537"/>
        <n v="80232"/>
        <n v="5003"/>
        <n v="10949"/>
        <n v="8631"/>
        <n v="46540"/>
        <n v="4896"/>
        <n v="7279"/>
        <n v="35218"/>
        <n v="17411"/>
        <n v="3934"/>
        <n v="8456"/>
        <n v="15576"/>
        <n v="11765"/>
        <n v="11620"/>
        <n v="18796"/>
        <n v="29916"/>
        <n v="9941"/>
        <n v="4530"/>
        <n v="8726"/>
        <n v="14008"/>
        <n v="9381"/>
        <n v="5495"/>
        <n v="26536"/>
        <n v="18019"/>
        <n v="14305"/>
        <n v="15033"/>
        <n v="9788"/>
        <n v="4782"/>
        <n v="30526"/>
        <n v="6692"/>
        <n v="10077"/>
        <n v="12033"/>
        <n v="17474"/>
        <n v="10751"/>
        <n v="19061"/>
        <n v="14622"/>
        <n v="13734"/>
        <n v="10683"/>
        <n v="14501"/>
        <n v="61599"/>
        <n v="18588"/>
        <n v="15836"/>
        <n v="65090"/>
        <n v="16994"/>
        <n v="11120"/>
        <n v="56396"/>
        <n v="3131"/>
        <n v="7396"/>
        <n v="14779"/>
        <n v="38560"/>
        <n v="38641"/>
        <n v="7285"/>
        <n v="28435"/>
        <n v="12952"/>
        <n v="48401"/>
        <n v="17479"/>
        <n v="7439"/>
        <n v="12518"/>
        <n v="3593"/>
        <n v="17877"/>
        <n v="16560"/>
        <n v="12314"/>
        <n v="4905"/>
        <n v="13212"/>
        <n v="23103"/>
        <n v="70675"/>
        <n v="19403"/>
        <n v="29017"/>
        <n v="17563"/>
        <n v="9840"/>
        <n v="25905"/>
        <n v="87544"/>
        <n v="15317"/>
        <n v="4989"/>
        <n v="26636"/>
        <n v="42968"/>
        <n v="9124"/>
        <n v="16152"/>
        <n v="4574"/>
        <n v="14076"/>
        <n v="36087"/>
        <n v="6141"/>
        <n v="17570"/>
        <n v="4727"/>
        <n v="25708"/>
        <n v="5788"/>
        <n v="8160"/>
        <n v="14222"/>
        <n v="79387"/>
        <n v="70664"/>
        <n v="80266"/>
        <n v="20067"/>
        <n v="15277"/>
        <n v="18581"/>
        <n v="12401"/>
        <n v="11338"/>
        <n v="13213"/>
        <n v="15566"/>
        <n v="17966"/>
        <n v="26006"/>
        <n v="6493"/>
        <n v="4461"/>
        <n v="12448"/>
        <n v="20381"/>
        <n v="12398"/>
        <n v="20183"/>
        <n v="15132"/>
        <n v="14921"/>
        <n v="18507"/>
        <n v="53754"/>
        <n v="16790"/>
        <n v="13644"/>
        <n v="3411"/>
        <n v="12750"/>
        <n v="16839"/>
        <n v="13768"/>
        <n v="53992"/>
        <n v="57898"/>
        <n v="18445"/>
        <n v="3082"/>
        <n v="13020"/>
        <n v="12929"/>
        <n v="7190"/>
        <n v="3055"/>
        <n v="14212"/>
        <n v="12429"/>
        <n v="16709"/>
        <n v="23040"/>
        <n v="6498"/>
        <n v="4688"/>
        <n v="39561"/>
        <n v="5010"/>
        <n v="14507"/>
        <n v="17742"/>
        <n v="9623"/>
        <n v="9258"/>
        <n v="9722"/>
        <n v="9084"/>
        <n v="16423"/>
        <n v="18412"/>
        <n v="4981"/>
        <n v="6754"/>
        <n v="20008"/>
        <n v="14292"/>
        <n v="17730"/>
        <n v="49363"/>
        <n v="16465"/>
        <n v="16968"/>
        <n v="11251"/>
        <n v="9642"/>
        <n v="86836"/>
        <n v="77975"/>
        <n v="61044"/>
        <n v="10974"/>
      </sharedItems>
    </cacheField>
    <cacheField name="Discount %" numFmtId="166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x v="0"/>
    <x v="0"/>
    <x v="0"/>
    <x v="0"/>
    <x v="0"/>
    <x v="0"/>
    <s v="SENIOR"/>
    <x v="0"/>
    <d v="2024-04-10T00:00:00"/>
    <x v="0"/>
    <x v="0"/>
    <n v="0"/>
  </r>
  <r>
    <x v="1"/>
    <x v="1"/>
    <x v="1"/>
    <x v="1"/>
    <x v="1"/>
    <x v="0"/>
    <x v="1"/>
    <s v="CHILD"/>
    <x v="0"/>
    <d v="2024-03-15T00:00:00"/>
    <x v="1"/>
    <x v="1"/>
    <n v="10"/>
  </r>
  <r>
    <x v="2"/>
    <x v="1"/>
    <x v="2"/>
    <x v="2"/>
    <x v="2"/>
    <x v="0"/>
    <x v="2"/>
    <s v="SENIOR"/>
    <x v="1"/>
    <d v="2023-09-12T00:00:00"/>
    <x v="2"/>
    <x v="2"/>
    <n v="18"/>
  </r>
  <r>
    <x v="3"/>
    <x v="2"/>
    <x v="1"/>
    <x v="3"/>
    <x v="3"/>
    <x v="0"/>
    <x v="3"/>
    <s v="ADULT"/>
    <x v="0"/>
    <d v="2023-02-07T00:00:00"/>
    <x v="0"/>
    <x v="3"/>
    <n v="0"/>
  </r>
  <r>
    <x v="4"/>
    <x v="1"/>
    <x v="3"/>
    <x v="2"/>
    <x v="4"/>
    <x v="0"/>
    <x v="4"/>
    <s v="CHILD"/>
    <x v="0"/>
    <d v="2023-05-19T00:00:00"/>
    <x v="3"/>
    <x v="4"/>
    <n v="10"/>
  </r>
  <r>
    <x v="5"/>
    <x v="0"/>
    <x v="4"/>
    <x v="2"/>
    <x v="2"/>
    <x v="1"/>
    <x v="5"/>
    <s v="TEEN"/>
    <x v="1"/>
    <d v="2023-01-31T00:00:00"/>
    <x v="1"/>
    <x v="5"/>
    <n v="3"/>
  </r>
  <r>
    <x v="6"/>
    <x v="1"/>
    <x v="5"/>
    <x v="4"/>
    <x v="5"/>
    <x v="1"/>
    <x v="6"/>
    <s v="ADULT"/>
    <x v="1"/>
    <d v="2024-03-28T00:00:00"/>
    <x v="1"/>
    <x v="6"/>
    <n v="0"/>
  </r>
  <r>
    <x v="7"/>
    <x v="2"/>
    <x v="5"/>
    <x v="5"/>
    <x v="6"/>
    <x v="0"/>
    <x v="7"/>
    <s v="TEEN"/>
    <x v="1"/>
    <d v="2024-03-15T00:00:00"/>
    <x v="3"/>
    <x v="7"/>
    <n v="10"/>
  </r>
  <r>
    <x v="8"/>
    <x v="3"/>
    <x v="6"/>
    <x v="0"/>
    <x v="0"/>
    <x v="0"/>
    <x v="8"/>
    <s v="ADULT"/>
    <x v="0"/>
    <d v="2023-06-24T00:00:00"/>
    <x v="4"/>
    <x v="8"/>
    <n v="0"/>
  </r>
  <r>
    <x v="9"/>
    <x v="1"/>
    <x v="4"/>
    <x v="4"/>
    <x v="7"/>
    <x v="1"/>
    <x v="9"/>
    <s v="TEEN"/>
    <x v="0"/>
    <d v="2024-03-10T00:00:00"/>
    <x v="0"/>
    <x v="9"/>
    <n v="3"/>
  </r>
  <r>
    <x v="10"/>
    <x v="0"/>
    <x v="6"/>
    <x v="4"/>
    <x v="8"/>
    <x v="0"/>
    <x v="10"/>
    <s v="TEEN"/>
    <x v="1"/>
    <d v="2023-10-06T00:00:00"/>
    <x v="4"/>
    <x v="10"/>
    <n v="0"/>
  </r>
  <r>
    <x v="11"/>
    <x v="0"/>
    <x v="2"/>
    <x v="6"/>
    <x v="9"/>
    <x v="0"/>
    <x v="11"/>
    <s v="ADULT"/>
    <x v="1"/>
    <d v="2024-01-14T00:00:00"/>
    <x v="3"/>
    <x v="11"/>
    <n v="0"/>
  </r>
  <r>
    <x v="12"/>
    <x v="1"/>
    <x v="3"/>
    <x v="7"/>
    <x v="10"/>
    <x v="1"/>
    <x v="12"/>
    <s v="TEEN"/>
    <x v="1"/>
    <d v="2023-08-29T00:00:00"/>
    <x v="2"/>
    <x v="12"/>
    <n v="30"/>
  </r>
  <r>
    <x v="13"/>
    <x v="4"/>
    <x v="1"/>
    <x v="8"/>
    <x v="11"/>
    <x v="1"/>
    <x v="13"/>
    <s v="ADULT"/>
    <x v="1"/>
    <d v="2024-02-09T00:00:00"/>
    <x v="3"/>
    <x v="13"/>
    <n v="5"/>
  </r>
  <r>
    <x v="14"/>
    <x v="2"/>
    <x v="0"/>
    <x v="4"/>
    <x v="8"/>
    <x v="0"/>
    <x v="14"/>
    <s v="SENIOR"/>
    <x v="0"/>
    <d v="2023-08-31T00:00:00"/>
    <x v="1"/>
    <x v="14"/>
    <n v="0"/>
  </r>
  <r>
    <x v="15"/>
    <x v="5"/>
    <x v="2"/>
    <x v="1"/>
    <x v="1"/>
    <x v="0"/>
    <x v="15"/>
    <s v="SENIOR"/>
    <x v="0"/>
    <d v="2023-05-13T00:00:00"/>
    <x v="3"/>
    <x v="15"/>
    <n v="10"/>
  </r>
  <r>
    <x v="16"/>
    <x v="1"/>
    <x v="0"/>
    <x v="6"/>
    <x v="12"/>
    <x v="2"/>
    <x v="16"/>
    <s v="ADULT"/>
    <x v="1"/>
    <d v="2023-11-08T00:00:00"/>
    <x v="1"/>
    <x v="16"/>
    <n v="0"/>
  </r>
  <r>
    <x v="17"/>
    <x v="1"/>
    <x v="6"/>
    <x v="8"/>
    <x v="13"/>
    <x v="0"/>
    <x v="17"/>
    <s v="SENIOR"/>
    <x v="1"/>
    <d v="2023-10-15T00:00:00"/>
    <x v="0"/>
    <x v="17"/>
    <n v="0"/>
  </r>
  <r>
    <x v="18"/>
    <x v="5"/>
    <x v="2"/>
    <x v="6"/>
    <x v="9"/>
    <x v="1"/>
    <x v="18"/>
    <s v="ADULT"/>
    <x v="1"/>
    <d v="2023-08-02T00:00:00"/>
    <x v="3"/>
    <x v="18"/>
    <n v="0"/>
  </r>
  <r>
    <x v="19"/>
    <x v="3"/>
    <x v="0"/>
    <x v="2"/>
    <x v="14"/>
    <x v="0"/>
    <x v="19"/>
    <s v="ADULT"/>
    <x v="1"/>
    <d v="2023-02-18T00:00:00"/>
    <x v="4"/>
    <x v="19"/>
    <n v="0"/>
  </r>
  <r>
    <x v="20"/>
    <x v="5"/>
    <x v="3"/>
    <x v="0"/>
    <x v="15"/>
    <x v="0"/>
    <x v="20"/>
    <s v="CHILD"/>
    <x v="0"/>
    <d v="2023-10-11T00:00:00"/>
    <x v="5"/>
    <x v="20"/>
    <n v="10"/>
  </r>
  <r>
    <x v="21"/>
    <x v="3"/>
    <x v="2"/>
    <x v="8"/>
    <x v="13"/>
    <x v="2"/>
    <x v="21"/>
    <s v="ADULT"/>
    <x v="0"/>
    <d v="2024-01-22T00:00:00"/>
    <x v="3"/>
    <x v="21"/>
    <n v="3"/>
  </r>
  <r>
    <x v="22"/>
    <x v="1"/>
    <x v="6"/>
    <x v="2"/>
    <x v="2"/>
    <x v="0"/>
    <x v="22"/>
    <s v="ADULT"/>
    <x v="0"/>
    <d v="2023-05-18T00:00:00"/>
    <x v="1"/>
    <x v="22"/>
    <n v="0"/>
  </r>
  <r>
    <x v="23"/>
    <x v="3"/>
    <x v="3"/>
    <x v="6"/>
    <x v="16"/>
    <x v="1"/>
    <x v="1"/>
    <s v="CHILD"/>
    <x v="0"/>
    <d v="2023-12-30T00:00:00"/>
    <x v="1"/>
    <x v="23"/>
    <n v="0"/>
  </r>
  <r>
    <x v="24"/>
    <x v="1"/>
    <x v="2"/>
    <x v="5"/>
    <x v="17"/>
    <x v="0"/>
    <x v="20"/>
    <s v="CHILD"/>
    <x v="0"/>
    <d v="2023-01-19T00:00:00"/>
    <x v="2"/>
    <x v="24"/>
    <n v="15"/>
  </r>
  <r>
    <x v="25"/>
    <x v="4"/>
    <x v="4"/>
    <x v="7"/>
    <x v="18"/>
    <x v="1"/>
    <x v="23"/>
    <s v="ADULT"/>
    <x v="0"/>
    <d v="2023-04-12T00:00:00"/>
    <x v="1"/>
    <x v="25"/>
    <n v="0"/>
  </r>
  <r>
    <x v="26"/>
    <x v="0"/>
    <x v="4"/>
    <x v="4"/>
    <x v="8"/>
    <x v="0"/>
    <x v="24"/>
    <s v="SENIOR"/>
    <x v="1"/>
    <d v="2023-12-21T00:00:00"/>
    <x v="1"/>
    <x v="26"/>
    <n v="0"/>
  </r>
  <r>
    <x v="27"/>
    <x v="1"/>
    <x v="3"/>
    <x v="1"/>
    <x v="1"/>
    <x v="1"/>
    <x v="21"/>
    <s v="ADULT"/>
    <x v="0"/>
    <d v="2023-06-21T00:00:00"/>
    <x v="4"/>
    <x v="27"/>
    <n v="10"/>
  </r>
  <r>
    <x v="28"/>
    <x v="3"/>
    <x v="0"/>
    <x v="0"/>
    <x v="0"/>
    <x v="0"/>
    <x v="25"/>
    <s v="CHILD"/>
    <x v="0"/>
    <d v="2023-09-28T00:00:00"/>
    <x v="2"/>
    <x v="28"/>
    <n v="20"/>
  </r>
  <r>
    <x v="29"/>
    <x v="0"/>
    <x v="0"/>
    <x v="9"/>
    <x v="19"/>
    <x v="0"/>
    <x v="26"/>
    <s v="SENIOR"/>
    <x v="0"/>
    <d v="2023-10-19T00:00:00"/>
    <x v="2"/>
    <x v="29"/>
    <n v="0"/>
  </r>
  <r>
    <x v="30"/>
    <x v="0"/>
    <x v="1"/>
    <x v="0"/>
    <x v="20"/>
    <x v="0"/>
    <x v="27"/>
    <s v="SENIOR"/>
    <x v="0"/>
    <d v="2023-01-02T00:00:00"/>
    <x v="0"/>
    <x v="30"/>
    <n v="0"/>
  </r>
  <r>
    <x v="31"/>
    <x v="0"/>
    <x v="1"/>
    <x v="5"/>
    <x v="21"/>
    <x v="0"/>
    <x v="28"/>
    <s v="SENIOR"/>
    <x v="1"/>
    <d v="2023-02-09T00:00:00"/>
    <x v="1"/>
    <x v="31"/>
    <n v="0"/>
  </r>
  <r>
    <x v="32"/>
    <x v="0"/>
    <x v="5"/>
    <x v="3"/>
    <x v="22"/>
    <x v="0"/>
    <x v="29"/>
    <s v="SENIOR"/>
    <x v="0"/>
    <d v="2023-12-21T00:00:00"/>
    <x v="0"/>
    <x v="32"/>
    <n v="5"/>
  </r>
  <r>
    <x v="33"/>
    <x v="1"/>
    <x v="2"/>
    <x v="5"/>
    <x v="6"/>
    <x v="2"/>
    <x v="30"/>
    <s v="ADULT"/>
    <x v="0"/>
    <d v="2024-02-24T00:00:00"/>
    <x v="1"/>
    <x v="33"/>
    <n v="0"/>
  </r>
  <r>
    <x v="34"/>
    <x v="4"/>
    <x v="5"/>
    <x v="2"/>
    <x v="14"/>
    <x v="0"/>
    <x v="5"/>
    <s v="TEEN"/>
    <x v="1"/>
    <d v="2023-07-06T00:00:00"/>
    <x v="0"/>
    <x v="34"/>
    <n v="0"/>
  </r>
  <r>
    <x v="35"/>
    <x v="5"/>
    <x v="5"/>
    <x v="4"/>
    <x v="5"/>
    <x v="0"/>
    <x v="31"/>
    <s v="CHILD"/>
    <x v="0"/>
    <d v="2024-01-20T00:00:00"/>
    <x v="2"/>
    <x v="35"/>
    <n v="18"/>
  </r>
  <r>
    <x v="36"/>
    <x v="5"/>
    <x v="1"/>
    <x v="2"/>
    <x v="23"/>
    <x v="1"/>
    <x v="12"/>
    <s v="TEEN"/>
    <x v="0"/>
    <d v="2024-03-03T00:00:00"/>
    <x v="2"/>
    <x v="36"/>
    <n v="35"/>
  </r>
  <r>
    <x v="37"/>
    <x v="5"/>
    <x v="7"/>
    <x v="0"/>
    <x v="15"/>
    <x v="0"/>
    <x v="18"/>
    <s v="ADULT"/>
    <x v="0"/>
    <d v="2024-01-21T00:00:00"/>
    <x v="1"/>
    <x v="37"/>
    <n v="3"/>
  </r>
  <r>
    <x v="38"/>
    <x v="0"/>
    <x v="5"/>
    <x v="5"/>
    <x v="24"/>
    <x v="0"/>
    <x v="32"/>
    <s v="SENIOR"/>
    <x v="1"/>
    <d v="2023-07-21T00:00:00"/>
    <x v="1"/>
    <x v="38"/>
    <n v="10"/>
  </r>
  <r>
    <x v="39"/>
    <x v="5"/>
    <x v="4"/>
    <x v="4"/>
    <x v="25"/>
    <x v="0"/>
    <x v="33"/>
    <s v="ADULT"/>
    <x v="1"/>
    <d v="2023-07-08T00:00:00"/>
    <x v="1"/>
    <x v="39"/>
    <n v="5"/>
  </r>
  <r>
    <x v="40"/>
    <x v="5"/>
    <x v="5"/>
    <x v="2"/>
    <x v="2"/>
    <x v="0"/>
    <x v="7"/>
    <s v="TEEN"/>
    <x v="1"/>
    <d v="2023-09-15T00:00:00"/>
    <x v="0"/>
    <x v="40"/>
    <n v="5"/>
  </r>
  <r>
    <x v="41"/>
    <x v="3"/>
    <x v="0"/>
    <x v="9"/>
    <x v="19"/>
    <x v="0"/>
    <x v="15"/>
    <s v="SENIOR"/>
    <x v="1"/>
    <d v="2023-01-01T00:00:00"/>
    <x v="3"/>
    <x v="41"/>
    <n v="5"/>
  </r>
  <r>
    <x v="42"/>
    <x v="2"/>
    <x v="0"/>
    <x v="6"/>
    <x v="26"/>
    <x v="1"/>
    <x v="30"/>
    <s v="ADULT"/>
    <x v="0"/>
    <d v="2023-10-10T00:00:00"/>
    <x v="4"/>
    <x v="42"/>
    <n v="0"/>
  </r>
  <r>
    <x v="43"/>
    <x v="1"/>
    <x v="4"/>
    <x v="8"/>
    <x v="13"/>
    <x v="0"/>
    <x v="34"/>
    <s v="ADULT"/>
    <x v="0"/>
    <d v="2023-04-25T00:00:00"/>
    <x v="0"/>
    <x v="43"/>
    <n v="0"/>
  </r>
  <r>
    <x v="44"/>
    <x v="2"/>
    <x v="7"/>
    <x v="0"/>
    <x v="27"/>
    <x v="0"/>
    <x v="25"/>
    <s v="CHILD"/>
    <x v="0"/>
    <d v="2023-04-27T00:00:00"/>
    <x v="1"/>
    <x v="44"/>
    <n v="5"/>
  </r>
  <r>
    <x v="45"/>
    <x v="3"/>
    <x v="5"/>
    <x v="6"/>
    <x v="26"/>
    <x v="0"/>
    <x v="35"/>
    <s v="ADULT"/>
    <x v="1"/>
    <d v="2023-08-27T00:00:00"/>
    <x v="1"/>
    <x v="45"/>
    <n v="5"/>
  </r>
  <r>
    <x v="46"/>
    <x v="5"/>
    <x v="4"/>
    <x v="9"/>
    <x v="28"/>
    <x v="1"/>
    <x v="24"/>
    <s v="SENIOR"/>
    <x v="1"/>
    <d v="2023-08-01T00:00:00"/>
    <x v="0"/>
    <x v="46"/>
    <n v="0"/>
  </r>
  <r>
    <x v="47"/>
    <x v="0"/>
    <x v="2"/>
    <x v="4"/>
    <x v="5"/>
    <x v="0"/>
    <x v="36"/>
    <s v="ADULT"/>
    <x v="0"/>
    <d v="2023-08-15T00:00:00"/>
    <x v="1"/>
    <x v="47"/>
    <n v="0"/>
  </r>
  <r>
    <x v="48"/>
    <x v="5"/>
    <x v="3"/>
    <x v="5"/>
    <x v="17"/>
    <x v="0"/>
    <x v="36"/>
    <s v="ADULT"/>
    <x v="0"/>
    <d v="2024-04-15T00:00:00"/>
    <x v="2"/>
    <x v="48"/>
    <n v="25"/>
  </r>
  <r>
    <x v="49"/>
    <x v="5"/>
    <x v="7"/>
    <x v="0"/>
    <x v="0"/>
    <x v="0"/>
    <x v="37"/>
    <s v="ADULT"/>
    <x v="1"/>
    <d v="2024-01-18T00:00:00"/>
    <x v="1"/>
    <x v="49"/>
    <n v="0"/>
  </r>
  <r>
    <x v="50"/>
    <x v="0"/>
    <x v="5"/>
    <x v="5"/>
    <x v="6"/>
    <x v="0"/>
    <x v="38"/>
    <s v="CHILD"/>
    <x v="1"/>
    <d v="2023-02-24T00:00:00"/>
    <x v="3"/>
    <x v="50"/>
    <n v="5"/>
  </r>
  <r>
    <x v="51"/>
    <x v="5"/>
    <x v="0"/>
    <x v="9"/>
    <x v="29"/>
    <x v="1"/>
    <x v="11"/>
    <s v="ADULT"/>
    <x v="0"/>
    <d v="2024-03-16T00:00:00"/>
    <x v="4"/>
    <x v="51"/>
    <n v="0"/>
  </r>
  <r>
    <x v="52"/>
    <x v="5"/>
    <x v="1"/>
    <x v="9"/>
    <x v="19"/>
    <x v="0"/>
    <x v="12"/>
    <s v="TEEN"/>
    <x v="0"/>
    <d v="2023-05-16T00:00:00"/>
    <x v="2"/>
    <x v="52"/>
    <n v="12"/>
  </r>
  <r>
    <x v="53"/>
    <x v="1"/>
    <x v="2"/>
    <x v="6"/>
    <x v="26"/>
    <x v="1"/>
    <x v="39"/>
    <s v="SENIOR"/>
    <x v="0"/>
    <d v="2023-07-10T00:00:00"/>
    <x v="1"/>
    <x v="53"/>
    <n v="3"/>
  </r>
  <r>
    <x v="54"/>
    <x v="1"/>
    <x v="2"/>
    <x v="2"/>
    <x v="2"/>
    <x v="0"/>
    <x v="40"/>
    <s v="SENIOR"/>
    <x v="0"/>
    <d v="2023-12-01T00:00:00"/>
    <x v="0"/>
    <x v="54"/>
    <n v="5"/>
  </r>
  <r>
    <x v="55"/>
    <x v="0"/>
    <x v="2"/>
    <x v="8"/>
    <x v="13"/>
    <x v="0"/>
    <x v="41"/>
    <s v="CHILD"/>
    <x v="0"/>
    <d v="2023-09-20T00:00:00"/>
    <x v="3"/>
    <x v="55"/>
    <n v="0"/>
  </r>
  <r>
    <x v="56"/>
    <x v="0"/>
    <x v="2"/>
    <x v="9"/>
    <x v="29"/>
    <x v="0"/>
    <x v="42"/>
    <s v="CHILD"/>
    <x v="0"/>
    <d v="2024-01-10T00:00:00"/>
    <x v="0"/>
    <x v="56"/>
    <n v="0"/>
  </r>
  <r>
    <x v="57"/>
    <x v="3"/>
    <x v="6"/>
    <x v="6"/>
    <x v="16"/>
    <x v="0"/>
    <x v="43"/>
    <s v="SENIOR"/>
    <x v="0"/>
    <d v="2023-03-21T00:00:00"/>
    <x v="1"/>
    <x v="57"/>
    <n v="0"/>
  </r>
  <r>
    <x v="58"/>
    <x v="4"/>
    <x v="3"/>
    <x v="0"/>
    <x v="20"/>
    <x v="0"/>
    <x v="44"/>
    <s v="SENIOR"/>
    <x v="1"/>
    <d v="2023-07-20T00:00:00"/>
    <x v="5"/>
    <x v="58"/>
    <n v="4"/>
  </r>
  <r>
    <x v="59"/>
    <x v="1"/>
    <x v="3"/>
    <x v="7"/>
    <x v="30"/>
    <x v="0"/>
    <x v="44"/>
    <s v="SENIOR"/>
    <x v="1"/>
    <d v="2023-02-15T00:00:00"/>
    <x v="0"/>
    <x v="59"/>
    <n v="3"/>
  </r>
  <r>
    <x v="60"/>
    <x v="5"/>
    <x v="6"/>
    <x v="1"/>
    <x v="31"/>
    <x v="0"/>
    <x v="33"/>
    <s v="ADULT"/>
    <x v="0"/>
    <d v="2023-11-08T00:00:00"/>
    <x v="3"/>
    <x v="60"/>
    <n v="0"/>
  </r>
  <r>
    <x v="61"/>
    <x v="2"/>
    <x v="6"/>
    <x v="4"/>
    <x v="25"/>
    <x v="0"/>
    <x v="34"/>
    <s v="ADULT"/>
    <x v="0"/>
    <d v="2023-03-05T00:00:00"/>
    <x v="2"/>
    <x v="61"/>
    <n v="35"/>
  </r>
  <r>
    <x v="62"/>
    <x v="4"/>
    <x v="3"/>
    <x v="8"/>
    <x v="11"/>
    <x v="0"/>
    <x v="40"/>
    <s v="SENIOR"/>
    <x v="1"/>
    <d v="2023-06-07T00:00:00"/>
    <x v="0"/>
    <x v="62"/>
    <n v="0"/>
  </r>
  <r>
    <x v="63"/>
    <x v="5"/>
    <x v="6"/>
    <x v="1"/>
    <x v="32"/>
    <x v="1"/>
    <x v="13"/>
    <s v="ADULT"/>
    <x v="1"/>
    <d v="2023-07-24T00:00:00"/>
    <x v="0"/>
    <x v="63"/>
    <n v="10"/>
  </r>
  <r>
    <x v="64"/>
    <x v="4"/>
    <x v="0"/>
    <x v="8"/>
    <x v="33"/>
    <x v="1"/>
    <x v="17"/>
    <s v="SENIOR"/>
    <x v="1"/>
    <d v="2023-12-01T00:00:00"/>
    <x v="4"/>
    <x v="64"/>
    <n v="3"/>
  </r>
  <r>
    <x v="65"/>
    <x v="5"/>
    <x v="5"/>
    <x v="4"/>
    <x v="25"/>
    <x v="0"/>
    <x v="8"/>
    <s v="ADULT"/>
    <x v="0"/>
    <d v="2024-04-04T00:00:00"/>
    <x v="1"/>
    <x v="65"/>
    <n v="0"/>
  </r>
  <r>
    <x v="66"/>
    <x v="2"/>
    <x v="3"/>
    <x v="2"/>
    <x v="2"/>
    <x v="0"/>
    <x v="29"/>
    <s v="SENIOR"/>
    <x v="0"/>
    <d v="2024-04-03T00:00:00"/>
    <x v="1"/>
    <x v="66"/>
    <n v="0"/>
  </r>
  <r>
    <x v="67"/>
    <x v="5"/>
    <x v="1"/>
    <x v="5"/>
    <x v="17"/>
    <x v="0"/>
    <x v="36"/>
    <s v="ADULT"/>
    <x v="0"/>
    <d v="2023-03-16T00:00:00"/>
    <x v="1"/>
    <x v="67"/>
    <n v="0"/>
  </r>
  <r>
    <x v="68"/>
    <x v="0"/>
    <x v="3"/>
    <x v="9"/>
    <x v="34"/>
    <x v="0"/>
    <x v="45"/>
    <s v="ADULT"/>
    <x v="0"/>
    <d v="2023-07-06T00:00:00"/>
    <x v="4"/>
    <x v="68"/>
    <n v="0"/>
  </r>
  <r>
    <x v="69"/>
    <x v="3"/>
    <x v="3"/>
    <x v="6"/>
    <x v="12"/>
    <x v="0"/>
    <x v="46"/>
    <s v="ADULT"/>
    <x v="0"/>
    <d v="2023-11-16T00:00:00"/>
    <x v="5"/>
    <x v="69"/>
    <n v="0"/>
  </r>
  <r>
    <x v="70"/>
    <x v="2"/>
    <x v="5"/>
    <x v="0"/>
    <x v="27"/>
    <x v="1"/>
    <x v="47"/>
    <s v="ADULT"/>
    <x v="0"/>
    <d v="2023-11-27T00:00:00"/>
    <x v="0"/>
    <x v="70"/>
    <n v="0"/>
  </r>
  <r>
    <x v="71"/>
    <x v="5"/>
    <x v="0"/>
    <x v="1"/>
    <x v="35"/>
    <x v="0"/>
    <x v="14"/>
    <s v="SENIOR"/>
    <x v="0"/>
    <d v="2023-12-03T00:00:00"/>
    <x v="4"/>
    <x v="71"/>
    <n v="5"/>
  </r>
  <r>
    <x v="72"/>
    <x v="0"/>
    <x v="1"/>
    <x v="5"/>
    <x v="6"/>
    <x v="1"/>
    <x v="48"/>
    <s v="SENIOR"/>
    <x v="0"/>
    <d v="2023-01-04T00:00:00"/>
    <x v="0"/>
    <x v="72"/>
    <n v="0"/>
  </r>
  <r>
    <x v="73"/>
    <x v="2"/>
    <x v="7"/>
    <x v="8"/>
    <x v="33"/>
    <x v="1"/>
    <x v="48"/>
    <s v="SENIOR"/>
    <x v="0"/>
    <d v="2023-05-17T00:00:00"/>
    <x v="2"/>
    <x v="73"/>
    <n v="19"/>
  </r>
  <r>
    <x v="74"/>
    <x v="2"/>
    <x v="5"/>
    <x v="1"/>
    <x v="35"/>
    <x v="1"/>
    <x v="35"/>
    <s v="ADULT"/>
    <x v="1"/>
    <d v="2023-06-18T00:00:00"/>
    <x v="2"/>
    <x v="74"/>
    <n v="30"/>
  </r>
  <r>
    <x v="75"/>
    <x v="3"/>
    <x v="4"/>
    <x v="1"/>
    <x v="31"/>
    <x v="1"/>
    <x v="41"/>
    <s v="CHILD"/>
    <x v="0"/>
    <d v="2024-04-11T00:00:00"/>
    <x v="5"/>
    <x v="75"/>
    <n v="0"/>
  </r>
  <r>
    <x v="76"/>
    <x v="3"/>
    <x v="7"/>
    <x v="9"/>
    <x v="28"/>
    <x v="0"/>
    <x v="1"/>
    <s v="CHILD"/>
    <x v="0"/>
    <d v="2024-03-14T00:00:00"/>
    <x v="4"/>
    <x v="76"/>
    <n v="0"/>
  </r>
  <r>
    <x v="77"/>
    <x v="4"/>
    <x v="4"/>
    <x v="8"/>
    <x v="36"/>
    <x v="0"/>
    <x v="49"/>
    <s v="SENIOR"/>
    <x v="0"/>
    <d v="2024-02-27T00:00:00"/>
    <x v="3"/>
    <x v="77"/>
    <n v="0"/>
  </r>
  <r>
    <x v="78"/>
    <x v="0"/>
    <x v="7"/>
    <x v="2"/>
    <x v="4"/>
    <x v="1"/>
    <x v="50"/>
    <s v="ADULT"/>
    <x v="0"/>
    <d v="2023-09-15T00:00:00"/>
    <x v="1"/>
    <x v="78"/>
    <n v="0"/>
  </r>
  <r>
    <x v="79"/>
    <x v="0"/>
    <x v="6"/>
    <x v="9"/>
    <x v="28"/>
    <x v="0"/>
    <x v="51"/>
    <s v="ADULT"/>
    <x v="1"/>
    <d v="2023-01-01T00:00:00"/>
    <x v="1"/>
    <x v="79"/>
    <n v="3"/>
  </r>
  <r>
    <x v="80"/>
    <x v="2"/>
    <x v="6"/>
    <x v="3"/>
    <x v="3"/>
    <x v="1"/>
    <x v="8"/>
    <s v="ADULT"/>
    <x v="0"/>
    <d v="2024-02-22T00:00:00"/>
    <x v="1"/>
    <x v="80"/>
    <n v="0"/>
  </r>
  <r>
    <x v="81"/>
    <x v="1"/>
    <x v="1"/>
    <x v="2"/>
    <x v="4"/>
    <x v="0"/>
    <x v="22"/>
    <s v="ADULT"/>
    <x v="1"/>
    <d v="2023-01-13T00:00:00"/>
    <x v="2"/>
    <x v="81"/>
    <n v="25"/>
  </r>
  <r>
    <x v="82"/>
    <x v="5"/>
    <x v="0"/>
    <x v="6"/>
    <x v="26"/>
    <x v="0"/>
    <x v="18"/>
    <s v="ADULT"/>
    <x v="1"/>
    <d v="2023-10-11T00:00:00"/>
    <x v="3"/>
    <x v="82"/>
    <n v="3"/>
  </r>
  <r>
    <x v="83"/>
    <x v="4"/>
    <x v="2"/>
    <x v="6"/>
    <x v="12"/>
    <x v="0"/>
    <x v="52"/>
    <s v="ADULT"/>
    <x v="1"/>
    <d v="2024-01-06T00:00:00"/>
    <x v="1"/>
    <x v="83"/>
    <n v="0"/>
  </r>
  <r>
    <x v="84"/>
    <x v="3"/>
    <x v="0"/>
    <x v="8"/>
    <x v="36"/>
    <x v="0"/>
    <x v="53"/>
    <s v="ADULT"/>
    <x v="1"/>
    <d v="2023-05-21T00:00:00"/>
    <x v="1"/>
    <x v="84"/>
    <n v="0"/>
  </r>
  <r>
    <x v="85"/>
    <x v="5"/>
    <x v="2"/>
    <x v="6"/>
    <x v="9"/>
    <x v="0"/>
    <x v="31"/>
    <s v="CHILD"/>
    <x v="1"/>
    <d v="2023-05-05T00:00:00"/>
    <x v="4"/>
    <x v="85"/>
    <n v="10"/>
  </r>
  <r>
    <x v="86"/>
    <x v="4"/>
    <x v="1"/>
    <x v="7"/>
    <x v="18"/>
    <x v="0"/>
    <x v="45"/>
    <s v="ADULT"/>
    <x v="1"/>
    <d v="2024-02-05T00:00:00"/>
    <x v="1"/>
    <x v="86"/>
    <n v="5"/>
  </r>
  <r>
    <x v="87"/>
    <x v="5"/>
    <x v="0"/>
    <x v="2"/>
    <x v="2"/>
    <x v="0"/>
    <x v="42"/>
    <s v="CHILD"/>
    <x v="0"/>
    <d v="2023-10-06T00:00:00"/>
    <x v="2"/>
    <x v="87"/>
    <n v="10"/>
  </r>
  <r>
    <x v="88"/>
    <x v="2"/>
    <x v="6"/>
    <x v="6"/>
    <x v="26"/>
    <x v="0"/>
    <x v="54"/>
    <s v="ADULT"/>
    <x v="1"/>
    <d v="2023-08-22T00:00:00"/>
    <x v="0"/>
    <x v="88"/>
    <n v="10"/>
  </r>
  <r>
    <x v="89"/>
    <x v="0"/>
    <x v="4"/>
    <x v="0"/>
    <x v="0"/>
    <x v="0"/>
    <x v="55"/>
    <s v="SENIOR"/>
    <x v="1"/>
    <d v="2023-12-12T00:00:00"/>
    <x v="0"/>
    <x v="89"/>
    <n v="10"/>
  </r>
  <r>
    <x v="90"/>
    <x v="5"/>
    <x v="6"/>
    <x v="1"/>
    <x v="35"/>
    <x v="0"/>
    <x v="56"/>
    <s v="SENIOR"/>
    <x v="1"/>
    <d v="2023-10-15T00:00:00"/>
    <x v="4"/>
    <x v="90"/>
    <n v="5"/>
  </r>
  <r>
    <x v="91"/>
    <x v="4"/>
    <x v="0"/>
    <x v="7"/>
    <x v="10"/>
    <x v="1"/>
    <x v="57"/>
    <s v="ADULT"/>
    <x v="1"/>
    <d v="2023-05-10T00:00:00"/>
    <x v="3"/>
    <x v="91"/>
    <n v="0"/>
  </r>
  <r>
    <x v="92"/>
    <x v="5"/>
    <x v="6"/>
    <x v="0"/>
    <x v="0"/>
    <x v="0"/>
    <x v="34"/>
    <s v="ADULT"/>
    <x v="0"/>
    <d v="2023-02-13T00:00:00"/>
    <x v="3"/>
    <x v="92"/>
    <n v="0"/>
  </r>
  <r>
    <x v="93"/>
    <x v="3"/>
    <x v="5"/>
    <x v="5"/>
    <x v="6"/>
    <x v="0"/>
    <x v="18"/>
    <s v="ADULT"/>
    <x v="0"/>
    <d v="2024-02-06T00:00:00"/>
    <x v="4"/>
    <x v="93"/>
    <n v="10"/>
  </r>
  <r>
    <x v="94"/>
    <x v="1"/>
    <x v="5"/>
    <x v="1"/>
    <x v="32"/>
    <x v="0"/>
    <x v="58"/>
    <s v="SENIOR"/>
    <x v="0"/>
    <d v="2023-10-12T00:00:00"/>
    <x v="1"/>
    <x v="94"/>
    <n v="0"/>
  </r>
  <r>
    <x v="95"/>
    <x v="2"/>
    <x v="6"/>
    <x v="1"/>
    <x v="32"/>
    <x v="0"/>
    <x v="8"/>
    <s v="ADULT"/>
    <x v="0"/>
    <d v="2023-08-28T00:00:00"/>
    <x v="0"/>
    <x v="95"/>
    <n v="3"/>
  </r>
  <r>
    <x v="96"/>
    <x v="4"/>
    <x v="7"/>
    <x v="9"/>
    <x v="34"/>
    <x v="0"/>
    <x v="59"/>
    <s v="TEEN"/>
    <x v="0"/>
    <d v="2023-09-05T00:00:00"/>
    <x v="1"/>
    <x v="96"/>
    <n v="0"/>
  </r>
  <r>
    <x v="97"/>
    <x v="0"/>
    <x v="3"/>
    <x v="7"/>
    <x v="30"/>
    <x v="0"/>
    <x v="60"/>
    <s v="SENIOR"/>
    <x v="0"/>
    <d v="2024-02-28T00:00:00"/>
    <x v="0"/>
    <x v="97"/>
    <n v="10"/>
  </r>
  <r>
    <x v="98"/>
    <x v="5"/>
    <x v="1"/>
    <x v="2"/>
    <x v="14"/>
    <x v="0"/>
    <x v="1"/>
    <s v="CHILD"/>
    <x v="1"/>
    <d v="2024-01-06T00:00:00"/>
    <x v="0"/>
    <x v="98"/>
    <n v="3"/>
  </r>
  <r>
    <x v="99"/>
    <x v="1"/>
    <x v="7"/>
    <x v="6"/>
    <x v="16"/>
    <x v="0"/>
    <x v="61"/>
    <s v="ADULT"/>
    <x v="0"/>
    <d v="2023-12-08T00:00:00"/>
    <x v="4"/>
    <x v="99"/>
    <n v="5"/>
  </r>
  <r>
    <x v="100"/>
    <x v="4"/>
    <x v="7"/>
    <x v="2"/>
    <x v="14"/>
    <x v="1"/>
    <x v="53"/>
    <s v="ADULT"/>
    <x v="1"/>
    <d v="2023-08-04T00:00:00"/>
    <x v="4"/>
    <x v="100"/>
    <n v="5"/>
  </r>
  <r>
    <x v="101"/>
    <x v="3"/>
    <x v="4"/>
    <x v="3"/>
    <x v="37"/>
    <x v="2"/>
    <x v="34"/>
    <s v="ADULT"/>
    <x v="0"/>
    <d v="2023-10-31T00:00:00"/>
    <x v="1"/>
    <x v="101"/>
    <n v="5"/>
  </r>
  <r>
    <x v="102"/>
    <x v="3"/>
    <x v="4"/>
    <x v="9"/>
    <x v="34"/>
    <x v="0"/>
    <x v="61"/>
    <s v="ADULT"/>
    <x v="0"/>
    <d v="2023-03-08T00:00:00"/>
    <x v="1"/>
    <x v="102"/>
    <n v="0"/>
  </r>
  <r>
    <x v="103"/>
    <x v="4"/>
    <x v="0"/>
    <x v="8"/>
    <x v="33"/>
    <x v="0"/>
    <x v="58"/>
    <s v="SENIOR"/>
    <x v="0"/>
    <d v="2024-04-12T00:00:00"/>
    <x v="5"/>
    <x v="103"/>
    <n v="0"/>
  </r>
  <r>
    <x v="104"/>
    <x v="4"/>
    <x v="0"/>
    <x v="7"/>
    <x v="38"/>
    <x v="0"/>
    <x v="56"/>
    <s v="SENIOR"/>
    <x v="1"/>
    <d v="2023-03-27T00:00:00"/>
    <x v="2"/>
    <x v="104"/>
    <n v="25"/>
  </r>
  <r>
    <x v="105"/>
    <x v="5"/>
    <x v="5"/>
    <x v="3"/>
    <x v="3"/>
    <x v="0"/>
    <x v="62"/>
    <s v="SENIOR"/>
    <x v="1"/>
    <d v="2023-01-08T00:00:00"/>
    <x v="0"/>
    <x v="105"/>
    <n v="5"/>
  </r>
  <r>
    <x v="106"/>
    <x v="2"/>
    <x v="6"/>
    <x v="5"/>
    <x v="6"/>
    <x v="0"/>
    <x v="15"/>
    <s v="SENIOR"/>
    <x v="0"/>
    <d v="2023-05-28T00:00:00"/>
    <x v="4"/>
    <x v="106"/>
    <n v="10"/>
  </r>
  <r>
    <x v="107"/>
    <x v="0"/>
    <x v="1"/>
    <x v="6"/>
    <x v="16"/>
    <x v="1"/>
    <x v="23"/>
    <s v="ADULT"/>
    <x v="0"/>
    <d v="2023-11-07T00:00:00"/>
    <x v="1"/>
    <x v="107"/>
    <n v="10"/>
  </r>
  <r>
    <x v="108"/>
    <x v="5"/>
    <x v="1"/>
    <x v="6"/>
    <x v="9"/>
    <x v="1"/>
    <x v="63"/>
    <s v="SENIOR"/>
    <x v="0"/>
    <d v="2024-03-29T00:00:00"/>
    <x v="1"/>
    <x v="108"/>
    <n v="3"/>
  </r>
  <r>
    <x v="109"/>
    <x v="0"/>
    <x v="3"/>
    <x v="3"/>
    <x v="3"/>
    <x v="0"/>
    <x v="64"/>
    <s v="ADULT"/>
    <x v="0"/>
    <d v="2024-04-17T00:00:00"/>
    <x v="4"/>
    <x v="109"/>
    <n v="0"/>
  </r>
  <r>
    <x v="110"/>
    <x v="0"/>
    <x v="7"/>
    <x v="8"/>
    <x v="13"/>
    <x v="0"/>
    <x v="15"/>
    <s v="SENIOR"/>
    <x v="0"/>
    <d v="2023-04-20T00:00:00"/>
    <x v="1"/>
    <x v="110"/>
    <n v="10"/>
  </r>
  <r>
    <x v="111"/>
    <x v="0"/>
    <x v="7"/>
    <x v="2"/>
    <x v="14"/>
    <x v="1"/>
    <x v="65"/>
    <s v="CHILD"/>
    <x v="0"/>
    <d v="2023-10-13T00:00:00"/>
    <x v="2"/>
    <x v="111"/>
    <n v="40"/>
  </r>
  <r>
    <x v="112"/>
    <x v="4"/>
    <x v="1"/>
    <x v="5"/>
    <x v="24"/>
    <x v="0"/>
    <x v="21"/>
    <s v="ADULT"/>
    <x v="1"/>
    <d v="2024-03-11T00:00:00"/>
    <x v="3"/>
    <x v="112"/>
    <n v="0"/>
  </r>
  <r>
    <x v="113"/>
    <x v="3"/>
    <x v="7"/>
    <x v="9"/>
    <x v="29"/>
    <x v="1"/>
    <x v="66"/>
    <s v="SENIOR"/>
    <x v="0"/>
    <d v="2023-02-21T00:00:00"/>
    <x v="5"/>
    <x v="113"/>
    <n v="0"/>
  </r>
  <r>
    <x v="114"/>
    <x v="4"/>
    <x v="1"/>
    <x v="7"/>
    <x v="10"/>
    <x v="0"/>
    <x v="66"/>
    <s v="SENIOR"/>
    <x v="1"/>
    <d v="2023-03-28T00:00:00"/>
    <x v="3"/>
    <x v="114"/>
    <n v="5"/>
  </r>
  <r>
    <x v="115"/>
    <x v="3"/>
    <x v="0"/>
    <x v="1"/>
    <x v="1"/>
    <x v="1"/>
    <x v="67"/>
    <s v="TEEN"/>
    <x v="1"/>
    <d v="2023-02-19T00:00:00"/>
    <x v="0"/>
    <x v="115"/>
    <n v="0"/>
  </r>
  <r>
    <x v="116"/>
    <x v="4"/>
    <x v="3"/>
    <x v="4"/>
    <x v="7"/>
    <x v="0"/>
    <x v="60"/>
    <s v="SENIOR"/>
    <x v="1"/>
    <d v="2023-08-13T00:00:00"/>
    <x v="1"/>
    <x v="116"/>
    <n v="10"/>
  </r>
  <r>
    <x v="117"/>
    <x v="2"/>
    <x v="5"/>
    <x v="7"/>
    <x v="38"/>
    <x v="0"/>
    <x v="52"/>
    <s v="ADULT"/>
    <x v="0"/>
    <d v="2023-01-30T00:00:00"/>
    <x v="1"/>
    <x v="117"/>
    <n v="0"/>
  </r>
  <r>
    <x v="118"/>
    <x v="2"/>
    <x v="2"/>
    <x v="8"/>
    <x v="11"/>
    <x v="0"/>
    <x v="68"/>
    <s v="ADULT"/>
    <x v="1"/>
    <d v="2023-11-24T00:00:00"/>
    <x v="0"/>
    <x v="118"/>
    <n v="0"/>
  </r>
  <r>
    <x v="119"/>
    <x v="0"/>
    <x v="0"/>
    <x v="2"/>
    <x v="23"/>
    <x v="0"/>
    <x v="69"/>
    <s v="SENIOR"/>
    <x v="1"/>
    <d v="2023-03-12T00:00:00"/>
    <x v="1"/>
    <x v="119"/>
    <n v="0"/>
  </r>
  <r>
    <x v="120"/>
    <x v="4"/>
    <x v="6"/>
    <x v="5"/>
    <x v="21"/>
    <x v="0"/>
    <x v="0"/>
    <s v="SENIOR"/>
    <x v="0"/>
    <d v="2023-04-14T00:00:00"/>
    <x v="0"/>
    <x v="120"/>
    <n v="10"/>
  </r>
  <r>
    <x v="121"/>
    <x v="4"/>
    <x v="6"/>
    <x v="8"/>
    <x v="13"/>
    <x v="0"/>
    <x v="58"/>
    <s v="SENIOR"/>
    <x v="0"/>
    <d v="2023-05-08T00:00:00"/>
    <x v="1"/>
    <x v="121"/>
    <n v="0"/>
  </r>
  <r>
    <x v="122"/>
    <x v="0"/>
    <x v="6"/>
    <x v="6"/>
    <x v="26"/>
    <x v="0"/>
    <x v="48"/>
    <s v="SENIOR"/>
    <x v="1"/>
    <d v="2023-10-23T00:00:00"/>
    <x v="3"/>
    <x v="122"/>
    <n v="0"/>
  </r>
  <r>
    <x v="123"/>
    <x v="2"/>
    <x v="7"/>
    <x v="1"/>
    <x v="1"/>
    <x v="0"/>
    <x v="70"/>
    <s v="ADULT"/>
    <x v="0"/>
    <d v="2023-10-12T00:00:00"/>
    <x v="3"/>
    <x v="123"/>
    <n v="0"/>
  </r>
  <r>
    <x v="124"/>
    <x v="5"/>
    <x v="2"/>
    <x v="7"/>
    <x v="38"/>
    <x v="0"/>
    <x v="1"/>
    <s v="CHILD"/>
    <x v="0"/>
    <d v="2023-03-05T00:00:00"/>
    <x v="1"/>
    <x v="124"/>
    <n v="0"/>
  </r>
  <r>
    <x v="125"/>
    <x v="1"/>
    <x v="2"/>
    <x v="1"/>
    <x v="35"/>
    <x v="0"/>
    <x v="51"/>
    <s v="ADULT"/>
    <x v="0"/>
    <d v="2024-04-25T00:00:00"/>
    <x v="4"/>
    <x v="125"/>
    <n v="5"/>
  </r>
  <r>
    <x v="126"/>
    <x v="0"/>
    <x v="3"/>
    <x v="0"/>
    <x v="15"/>
    <x v="1"/>
    <x v="50"/>
    <s v="ADULT"/>
    <x v="1"/>
    <d v="2024-03-09T00:00:00"/>
    <x v="3"/>
    <x v="126"/>
    <n v="0"/>
  </r>
  <r>
    <x v="127"/>
    <x v="3"/>
    <x v="3"/>
    <x v="8"/>
    <x v="36"/>
    <x v="0"/>
    <x v="19"/>
    <s v="ADULT"/>
    <x v="1"/>
    <d v="2023-08-04T00:00:00"/>
    <x v="4"/>
    <x v="127"/>
    <n v="0"/>
  </r>
  <r>
    <x v="128"/>
    <x v="4"/>
    <x v="5"/>
    <x v="6"/>
    <x v="26"/>
    <x v="0"/>
    <x v="71"/>
    <s v="ADULT"/>
    <x v="1"/>
    <d v="2023-01-21T00:00:00"/>
    <x v="1"/>
    <x v="128"/>
    <n v="10"/>
  </r>
  <r>
    <x v="129"/>
    <x v="0"/>
    <x v="1"/>
    <x v="7"/>
    <x v="30"/>
    <x v="0"/>
    <x v="54"/>
    <s v="ADULT"/>
    <x v="0"/>
    <d v="2023-05-28T00:00:00"/>
    <x v="4"/>
    <x v="129"/>
    <n v="10"/>
  </r>
  <r>
    <x v="130"/>
    <x v="5"/>
    <x v="2"/>
    <x v="6"/>
    <x v="9"/>
    <x v="0"/>
    <x v="56"/>
    <s v="SENIOR"/>
    <x v="0"/>
    <d v="2023-01-16T00:00:00"/>
    <x v="4"/>
    <x v="130"/>
    <n v="0"/>
  </r>
  <r>
    <x v="131"/>
    <x v="2"/>
    <x v="3"/>
    <x v="6"/>
    <x v="9"/>
    <x v="0"/>
    <x v="68"/>
    <s v="ADULT"/>
    <x v="0"/>
    <d v="2024-01-31T00:00:00"/>
    <x v="2"/>
    <x v="131"/>
    <n v="5"/>
  </r>
  <r>
    <x v="132"/>
    <x v="0"/>
    <x v="1"/>
    <x v="6"/>
    <x v="12"/>
    <x v="1"/>
    <x v="45"/>
    <s v="ADULT"/>
    <x v="0"/>
    <d v="2023-12-09T00:00:00"/>
    <x v="4"/>
    <x v="132"/>
    <n v="3"/>
  </r>
  <r>
    <x v="133"/>
    <x v="5"/>
    <x v="5"/>
    <x v="4"/>
    <x v="5"/>
    <x v="2"/>
    <x v="60"/>
    <s v="SENIOR"/>
    <x v="0"/>
    <d v="2023-03-02T00:00:00"/>
    <x v="1"/>
    <x v="133"/>
    <n v="10"/>
  </r>
  <r>
    <x v="134"/>
    <x v="5"/>
    <x v="6"/>
    <x v="5"/>
    <x v="24"/>
    <x v="0"/>
    <x v="44"/>
    <s v="SENIOR"/>
    <x v="0"/>
    <d v="2023-01-04T00:00:00"/>
    <x v="4"/>
    <x v="134"/>
    <n v="5"/>
  </r>
  <r>
    <x v="135"/>
    <x v="3"/>
    <x v="3"/>
    <x v="2"/>
    <x v="14"/>
    <x v="1"/>
    <x v="72"/>
    <s v="CHILD"/>
    <x v="0"/>
    <d v="2023-01-25T00:00:00"/>
    <x v="2"/>
    <x v="135"/>
    <n v="35"/>
  </r>
  <r>
    <x v="136"/>
    <x v="1"/>
    <x v="4"/>
    <x v="0"/>
    <x v="20"/>
    <x v="0"/>
    <x v="18"/>
    <s v="ADULT"/>
    <x v="0"/>
    <d v="2023-12-13T00:00:00"/>
    <x v="0"/>
    <x v="136"/>
    <n v="10"/>
  </r>
  <r>
    <x v="137"/>
    <x v="2"/>
    <x v="4"/>
    <x v="7"/>
    <x v="18"/>
    <x v="0"/>
    <x v="73"/>
    <s v="SENIOR"/>
    <x v="0"/>
    <d v="2024-01-18T00:00:00"/>
    <x v="2"/>
    <x v="137"/>
    <n v="19"/>
  </r>
  <r>
    <x v="138"/>
    <x v="0"/>
    <x v="3"/>
    <x v="6"/>
    <x v="16"/>
    <x v="0"/>
    <x v="17"/>
    <s v="SENIOR"/>
    <x v="1"/>
    <d v="2023-07-31T00:00:00"/>
    <x v="1"/>
    <x v="138"/>
    <n v="0"/>
  </r>
  <r>
    <x v="139"/>
    <x v="3"/>
    <x v="5"/>
    <x v="6"/>
    <x v="26"/>
    <x v="1"/>
    <x v="15"/>
    <s v="SENIOR"/>
    <x v="0"/>
    <d v="2023-12-09T00:00:00"/>
    <x v="4"/>
    <x v="139"/>
    <n v="10"/>
  </r>
  <r>
    <x v="140"/>
    <x v="2"/>
    <x v="4"/>
    <x v="3"/>
    <x v="39"/>
    <x v="0"/>
    <x v="38"/>
    <s v="CHILD"/>
    <x v="0"/>
    <d v="2023-02-08T00:00:00"/>
    <x v="0"/>
    <x v="140"/>
    <n v="0"/>
  </r>
  <r>
    <x v="141"/>
    <x v="1"/>
    <x v="3"/>
    <x v="4"/>
    <x v="25"/>
    <x v="0"/>
    <x v="55"/>
    <s v="SENIOR"/>
    <x v="0"/>
    <d v="2024-03-15T00:00:00"/>
    <x v="0"/>
    <x v="141"/>
    <n v="0"/>
  </r>
  <r>
    <x v="142"/>
    <x v="3"/>
    <x v="6"/>
    <x v="9"/>
    <x v="28"/>
    <x v="0"/>
    <x v="33"/>
    <s v="ADULT"/>
    <x v="0"/>
    <d v="2024-04-05T00:00:00"/>
    <x v="2"/>
    <x v="142"/>
    <n v="10"/>
  </r>
  <r>
    <x v="143"/>
    <x v="4"/>
    <x v="2"/>
    <x v="0"/>
    <x v="27"/>
    <x v="0"/>
    <x v="64"/>
    <s v="ADULT"/>
    <x v="0"/>
    <d v="2023-03-30T00:00:00"/>
    <x v="2"/>
    <x v="143"/>
    <n v="25"/>
  </r>
  <r>
    <x v="144"/>
    <x v="1"/>
    <x v="4"/>
    <x v="2"/>
    <x v="23"/>
    <x v="0"/>
    <x v="47"/>
    <s v="ADULT"/>
    <x v="0"/>
    <d v="2023-05-06T00:00:00"/>
    <x v="1"/>
    <x v="144"/>
    <n v="0"/>
  </r>
  <r>
    <x v="145"/>
    <x v="2"/>
    <x v="2"/>
    <x v="4"/>
    <x v="8"/>
    <x v="0"/>
    <x v="32"/>
    <s v="SENIOR"/>
    <x v="1"/>
    <d v="2023-08-28T00:00:00"/>
    <x v="3"/>
    <x v="145"/>
    <n v="10"/>
  </r>
  <r>
    <x v="146"/>
    <x v="1"/>
    <x v="2"/>
    <x v="1"/>
    <x v="32"/>
    <x v="0"/>
    <x v="24"/>
    <s v="SENIOR"/>
    <x v="1"/>
    <d v="2023-10-28T00:00:00"/>
    <x v="0"/>
    <x v="146"/>
    <n v="0"/>
  </r>
  <r>
    <x v="147"/>
    <x v="0"/>
    <x v="4"/>
    <x v="9"/>
    <x v="28"/>
    <x v="0"/>
    <x v="73"/>
    <s v="SENIOR"/>
    <x v="1"/>
    <d v="2024-02-02T00:00:00"/>
    <x v="1"/>
    <x v="147"/>
    <n v="0"/>
  </r>
  <r>
    <x v="148"/>
    <x v="2"/>
    <x v="1"/>
    <x v="5"/>
    <x v="6"/>
    <x v="0"/>
    <x v="3"/>
    <s v="ADULT"/>
    <x v="0"/>
    <d v="2023-07-26T00:00:00"/>
    <x v="2"/>
    <x v="148"/>
    <n v="19"/>
  </r>
  <r>
    <x v="149"/>
    <x v="4"/>
    <x v="3"/>
    <x v="0"/>
    <x v="0"/>
    <x v="0"/>
    <x v="74"/>
    <s v="ADULT"/>
    <x v="0"/>
    <d v="2024-04-08T00:00:00"/>
    <x v="2"/>
    <x v="149"/>
    <n v="5"/>
  </r>
  <r>
    <x v="150"/>
    <x v="5"/>
    <x v="2"/>
    <x v="5"/>
    <x v="21"/>
    <x v="2"/>
    <x v="70"/>
    <s v="ADULT"/>
    <x v="1"/>
    <d v="2023-11-23T00:00:00"/>
    <x v="0"/>
    <x v="150"/>
    <n v="5"/>
  </r>
  <r>
    <x v="151"/>
    <x v="3"/>
    <x v="1"/>
    <x v="5"/>
    <x v="6"/>
    <x v="1"/>
    <x v="65"/>
    <s v="CHILD"/>
    <x v="1"/>
    <d v="2023-12-15T00:00:00"/>
    <x v="3"/>
    <x v="151"/>
    <n v="0"/>
  </r>
  <r>
    <x v="152"/>
    <x v="4"/>
    <x v="2"/>
    <x v="5"/>
    <x v="6"/>
    <x v="0"/>
    <x v="75"/>
    <s v="ADULT"/>
    <x v="1"/>
    <d v="2023-09-15T00:00:00"/>
    <x v="1"/>
    <x v="152"/>
    <n v="10"/>
  </r>
  <r>
    <x v="153"/>
    <x v="5"/>
    <x v="2"/>
    <x v="9"/>
    <x v="29"/>
    <x v="0"/>
    <x v="76"/>
    <s v="SENIOR"/>
    <x v="0"/>
    <d v="2023-05-08T00:00:00"/>
    <x v="1"/>
    <x v="153"/>
    <n v="3"/>
  </r>
  <r>
    <x v="154"/>
    <x v="5"/>
    <x v="6"/>
    <x v="1"/>
    <x v="35"/>
    <x v="0"/>
    <x v="44"/>
    <s v="SENIOR"/>
    <x v="0"/>
    <d v="2023-12-24T00:00:00"/>
    <x v="4"/>
    <x v="154"/>
    <n v="0"/>
  </r>
  <r>
    <x v="155"/>
    <x v="5"/>
    <x v="0"/>
    <x v="4"/>
    <x v="5"/>
    <x v="1"/>
    <x v="5"/>
    <s v="TEEN"/>
    <x v="1"/>
    <d v="2023-05-29T00:00:00"/>
    <x v="1"/>
    <x v="155"/>
    <n v="3"/>
  </r>
  <r>
    <x v="156"/>
    <x v="5"/>
    <x v="1"/>
    <x v="4"/>
    <x v="7"/>
    <x v="0"/>
    <x v="51"/>
    <s v="ADULT"/>
    <x v="0"/>
    <d v="2023-02-06T00:00:00"/>
    <x v="3"/>
    <x v="156"/>
    <n v="0"/>
  </r>
  <r>
    <x v="157"/>
    <x v="3"/>
    <x v="6"/>
    <x v="0"/>
    <x v="20"/>
    <x v="0"/>
    <x v="6"/>
    <s v="ADULT"/>
    <x v="0"/>
    <d v="2023-11-26T00:00:00"/>
    <x v="4"/>
    <x v="157"/>
    <n v="0"/>
  </r>
  <r>
    <x v="158"/>
    <x v="3"/>
    <x v="4"/>
    <x v="4"/>
    <x v="7"/>
    <x v="0"/>
    <x v="12"/>
    <s v="TEEN"/>
    <x v="1"/>
    <d v="2024-03-01T00:00:00"/>
    <x v="1"/>
    <x v="158"/>
    <n v="0"/>
  </r>
  <r>
    <x v="159"/>
    <x v="0"/>
    <x v="5"/>
    <x v="1"/>
    <x v="1"/>
    <x v="0"/>
    <x v="65"/>
    <s v="CHILD"/>
    <x v="1"/>
    <d v="2023-09-11T00:00:00"/>
    <x v="1"/>
    <x v="159"/>
    <n v="3"/>
  </r>
  <r>
    <x v="160"/>
    <x v="2"/>
    <x v="6"/>
    <x v="0"/>
    <x v="0"/>
    <x v="1"/>
    <x v="35"/>
    <s v="ADULT"/>
    <x v="1"/>
    <d v="2024-01-06T00:00:00"/>
    <x v="2"/>
    <x v="160"/>
    <n v="12"/>
  </r>
  <r>
    <x v="161"/>
    <x v="1"/>
    <x v="4"/>
    <x v="2"/>
    <x v="2"/>
    <x v="0"/>
    <x v="51"/>
    <s v="ADULT"/>
    <x v="1"/>
    <d v="2023-06-01T00:00:00"/>
    <x v="0"/>
    <x v="161"/>
    <n v="3"/>
  </r>
  <r>
    <x v="162"/>
    <x v="5"/>
    <x v="4"/>
    <x v="6"/>
    <x v="12"/>
    <x v="1"/>
    <x v="25"/>
    <s v="CHILD"/>
    <x v="0"/>
    <d v="2024-01-06T00:00:00"/>
    <x v="4"/>
    <x v="162"/>
    <n v="5"/>
  </r>
  <r>
    <x v="163"/>
    <x v="0"/>
    <x v="7"/>
    <x v="1"/>
    <x v="35"/>
    <x v="0"/>
    <x v="10"/>
    <s v="TEEN"/>
    <x v="1"/>
    <d v="2023-10-24T00:00:00"/>
    <x v="0"/>
    <x v="163"/>
    <n v="10"/>
  </r>
  <r>
    <x v="164"/>
    <x v="2"/>
    <x v="0"/>
    <x v="1"/>
    <x v="1"/>
    <x v="0"/>
    <x v="35"/>
    <s v="ADULT"/>
    <x v="0"/>
    <d v="2023-12-10T00:00:00"/>
    <x v="0"/>
    <x v="164"/>
    <n v="10"/>
  </r>
  <r>
    <x v="165"/>
    <x v="5"/>
    <x v="1"/>
    <x v="7"/>
    <x v="30"/>
    <x v="1"/>
    <x v="5"/>
    <s v="TEEN"/>
    <x v="1"/>
    <d v="2024-01-05T00:00:00"/>
    <x v="0"/>
    <x v="165"/>
    <n v="0"/>
  </r>
  <r>
    <x v="166"/>
    <x v="2"/>
    <x v="3"/>
    <x v="3"/>
    <x v="39"/>
    <x v="0"/>
    <x v="72"/>
    <s v="CHILD"/>
    <x v="1"/>
    <d v="2023-11-01T00:00:00"/>
    <x v="1"/>
    <x v="166"/>
    <n v="10"/>
  </r>
  <r>
    <x v="167"/>
    <x v="3"/>
    <x v="3"/>
    <x v="4"/>
    <x v="7"/>
    <x v="0"/>
    <x v="37"/>
    <s v="ADULT"/>
    <x v="0"/>
    <d v="2023-05-03T00:00:00"/>
    <x v="0"/>
    <x v="167"/>
    <n v="0"/>
  </r>
  <r>
    <x v="168"/>
    <x v="0"/>
    <x v="3"/>
    <x v="3"/>
    <x v="39"/>
    <x v="0"/>
    <x v="37"/>
    <s v="ADULT"/>
    <x v="0"/>
    <d v="2023-04-09T00:00:00"/>
    <x v="0"/>
    <x v="168"/>
    <n v="3"/>
  </r>
  <r>
    <x v="169"/>
    <x v="2"/>
    <x v="0"/>
    <x v="6"/>
    <x v="9"/>
    <x v="1"/>
    <x v="15"/>
    <s v="SENIOR"/>
    <x v="0"/>
    <d v="2023-10-03T00:00:00"/>
    <x v="5"/>
    <x v="169"/>
    <n v="0"/>
  </r>
  <r>
    <x v="170"/>
    <x v="3"/>
    <x v="7"/>
    <x v="8"/>
    <x v="36"/>
    <x v="0"/>
    <x v="56"/>
    <s v="SENIOR"/>
    <x v="1"/>
    <d v="2023-12-21T00:00:00"/>
    <x v="4"/>
    <x v="170"/>
    <n v="0"/>
  </r>
  <r>
    <x v="171"/>
    <x v="2"/>
    <x v="7"/>
    <x v="1"/>
    <x v="35"/>
    <x v="1"/>
    <x v="69"/>
    <s v="SENIOR"/>
    <x v="1"/>
    <d v="2023-07-18T00:00:00"/>
    <x v="0"/>
    <x v="171"/>
    <n v="0"/>
  </r>
  <r>
    <x v="172"/>
    <x v="1"/>
    <x v="7"/>
    <x v="4"/>
    <x v="25"/>
    <x v="0"/>
    <x v="6"/>
    <s v="ADULT"/>
    <x v="0"/>
    <d v="2023-10-21T00:00:00"/>
    <x v="4"/>
    <x v="172"/>
    <n v="0"/>
  </r>
  <r>
    <x v="173"/>
    <x v="4"/>
    <x v="1"/>
    <x v="2"/>
    <x v="4"/>
    <x v="1"/>
    <x v="77"/>
    <s v="SENIOR"/>
    <x v="0"/>
    <d v="2023-06-05T00:00:00"/>
    <x v="4"/>
    <x v="173"/>
    <n v="10"/>
  </r>
  <r>
    <x v="174"/>
    <x v="4"/>
    <x v="3"/>
    <x v="2"/>
    <x v="23"/>
    <x v="0"/>
    <x v="47"/>
    <s v="ADULT"/>
    <x v="1"/>
    <d v="2023-03-11T00:00:00"/>
    <x v="0"/>
    <x v="174"/>
    <n v="5"/>
  </r>
  <r>
    <x v="175"/>
    <x v="2"/>
    <x v="1"/>
    <x v="4"/>
    <x v="7"/>
    <x v="0"/>
    <x v="41"/>
    <s v="CHILD"/>
    <x v="1"/>
    <d v="2023-10-26T00:00:00"/>
    <x v="0"/>
    <x v="175"/>
    <n v="0"/>
  </r>
  <r>
    <x v="176"/>
    <x v="4"/>
    <x v="1"/>
    <x v="7"/>
    <x v="10"/>
    <x v="1"/>
    <x v="76"/>
    <s v="SENIOR"/>
    <x v="0"/>
    <d v="2024-01-24T00:00:00"/>
    <x v="1"/>
    <x v="176"/>
    <n v="5"/>
  </r>
  <r>
    <x v="177"/>
    <x v="0"/>
    <x v="1"/>
    <x v="1"/>
    <x v="35"/>
    <x v="0"/>
    <x v="25"/>
    <s v="CHILD"/>
    <x v="0"/>
    <d v="2024-02-19T00:00:00"/>
    <x v="5"/>
    <x v="177"/>
    <n v="0"/>
  </r>
  <r>
    <x v="178"/>
    <x v="2"/>
    <x v="3"/>
    <x v="2"/>
    <x v="2"/>
    <x v="0"/>
    <x v="13"/>
    <s v="ADULT"/>
    <x v="0"/>
    <d v="2024-03-18T00:00:00"/>
    <x v="4"/>
    <x v="178"/>
    <n v="10"/>
  </r>
  <r>
    <x v="179"/>
    <x v="3"/>
    <x v="7"/>
    <x v="2"/>
    <x v="4"/>
    <x v="0"/>
    <x v="8"/>
    <s v="ADULT"/>
    <x v="0"/>
    <d v="2023-01-10T00:00:00"/>
    <x v="3"/>
    <x v="179"/>
    <n v="0"/>
  </r>
  <r>
    <x v="180"/>
    <x v="1"/>
    <x v="0"/>
    <x v="3"/>
    <x v="3"/>
    <x v="0"/>
    <x v="42"/>
    <s v="CHILD"/>
    <x v="1"/>
    <d v="2023-06-08T00:00:00"/>
    <x v="4"/>
    <x v="180"/>
    <n v="0"/>
  </r>
  <r>
    <x v="181"/>
    <x v="3"/>
    <x v="3"/>
    <x v="4"/>
    <x v="25"/>
    <x v="0"/>
    <x v="2"/>
    <s v="SENIOR"/>
    <x v="1"/>
    <d v="2023-03-04T00:00:00"/>
    <x v="3"/>
    <x v="181"/>
    <n v="10"/>
  </r>
  <r>
    <x v="182"/>
    <x v="2"/>
    <x v="0"/>
    <x v="6"/>
    <x v="26"/>
    <x v="0"/>
    <x v="28"/>
    <s v="SENIOR"/>
    <x v="1"/>
    <d v="2023-11-22T00:00:00"/>
    <x v="1"/>
    <x v="182"/>
    <n v="0"/>
  </r>
  <r>
    <x v="183"/>
    <x v="4"/>
    <x v="4"/>
    <x v="2"/>
    <x v="2"/>
    <x v="0"/>
    <x v="43"/>
    <s v="SENIOR"/>
    <x v="1"/>
    <d v="2024-03-16T00:00:00"/>
    <x v="5"/>
    <x v="19"/>
    <n v="0"/>
  </r>
  <r>
    <x v="184"/>
    <x v="5"/>
    <x v="5"/>
    <x v="5"/>
    <x v="17"/>
    <x v="0"/>
    <x v="66"/>
    <s v="SENIOR"/>
    <x v="0"/>
    <d v="2024-01-20T00:00:00"/>
    <x v="0"/>
    <x v="183"/>
    <n v="3"/>
  </r>
  <r>
    <x v="185"/>
    <x v="1"/>
    <x v="6"/>
    <x v="1"/>
    <x v="1"/>
    <x v="1"/>
    <x v="78"/>
    <s v="ADULT"/>
    <x v="0"/>
    <d v="2024-02-04T00:00:00"/>
    <x v="2"/>
    <x v="184"/>
    <n v="5"/>
  </r>
  <r>
    <x v="186"/>
    <x v="3"/>
    <x v="0"/>
    <x v="5"/>
    <x v="21"/>
    <x v="0"/>
    <x v="79"/>
    <s v="SENIOR"/>
    <x v="1"/>
    <d v="2023-07-23T00:00:00"/>
    <x v="4"/>
    <x v="185"/>
    <n v="0"/>
  </r>
  <r>
    <x v="187"/>
    <x v="2"/>
    <x v="2"/>
    <x v="9"/>
    <x v="34"/>
    <x v="0"/>
    <x v="80"/>
    <s v="SENIOR"/>
    <x v="0"/>
    <d v="2024-01-08T00:00:00"/>
    <x v="1"/>
    <x v="186"/>
    <n v="0"/>
  </r>
  <r>
    <x v="188"/>
    <x v="1"/>
    <x v="4"/>
    <x v="9"/>
    <x v="28"/>
    <x v="0"/>
    <x v="26"/>
    <s v="SENIOR"/>
    <x v="0"/>
    <d v="2024-03-05T00:00:00"/>
    <x v="2"/>
    <x v="187"/>
    <n v="10"/>
  </r>
  <r>
    <x v="189"/>
    <x v="0"/>
    <x v="5"/>
    <x v="8"/>
    <x v="13"/>
    <x v="0"/>
    <x v="81"/>
    <s v="ADULT"/>
    <x v="0"/>
    <d v="2023-06-16T00:00:00"/>
    <x v="4"/>
    <x v="188"/>
    <n v="5"/>
  </r>
  <r>
    <x v="190"/>
    <x v="4"/>
    <x v="5"/>
    <x v="0"/>
    <x v="20"/>
    <x v="0"/>
    <x v="34"/>
    <s v="ADULT"/>
    <x v="1"/>
    <d v="2024-03-27T00:00:00"/>
    <x v="4"/>
    <x v="189"/>
    <n v="10"/>
  </r>
  <r>
    <x v="191"/>
    <x v="4"/>
    <x v="4"/>
    <x v="1"/>
    <x v="35"/>
    <x v="0"/>
    <x v="48"/>
    <s v="SENIOR"/>
    <x v="0"/>
    <d v="2023-07-27T00:00:00"/>
    <x v="4"/>
    <x v="190"/>
    <n v="0"/>
  </r>
  <r>
    <x v="192"/>
    <x v="5"/>
    <x v="3"/>
    <x v="3"/>
    <x v="37"/>
    <x v="0"/>
    <x v="6"/>
    <s v="ADULT"/>
    <x v="1"/>
    <d v="2023-02-02T00:00:00"/>
    <x v="4"/>
    <x v="191"/>
    <n v="0"/>
  </r>
  <r>
    <x v="193"/>
    <x v="2"/>
    <x v="5"/>
    <x v="5"/>
    <x v="17"/>
    <x v="1"/>
    <x v="66"/>
    <s v="SENIOR"/>
    <x v="0"/>
    <d v="2023-04-24T00:00:00"/>
    <x v="0"/>
    <x v="192"/>
    <n v="3"/>
  </r>
  <r>
    <x v="194"/>
    <x v="4"/>
    <x v="0"/>
    <x v="4"/>
    <x v="5"/>
    <x v="0"/>
    <x v="50"/>
    <s v="ADULT"/>
    <x v="1"/>
    <d v="2023-07-05T00:00:00"/>
    <x v="1"/>
    <x v="193"/>
    <n v="0"/>
  </r>
  <r>
    <x v="195"/>
    <x v="1"/>
    <x v="5"/>
    <x v="7"/>
    <x v="38"/>
    <x v="0"/>
    <x v="73"/>
    <s v="SENIOR"/>
    <x v="0"/>
    <d v="2023-08-19T00:00:00"/>
    <x v="0"/>
    <x v="194"/>
    <n v="0"/>
  </r>
  <r>
    <x v="196"/>
    <x v="2"/>
    <x v="3"/>
    <x v="6"/>
    <x v="9"/>
    <x v="1"/>
    <x v="82"/>
    <s v="ADULT"/>
    <x v="0"/>
    <d v="2023-10-20T00:00:00"/>
    <x v="3"/>
    <x v="195"/>
    <n v="0"/>
  </r>
  <r>
    <x v="197"/>
    <x v="5"/>
    <x v="1"/>
    <x v="6"/>
    <x v="16"/>
    <x v="1"/>
    <x v="68"/>
    <s v="ADULT"/>
    <x v="0"/>
    <d v="2024-02-04T00:00:00"/>
    <x v="0"/>
    <x v="196"/>
    <n v="0"/>
  </r>
  <r>
    <x v="198"/>
    <x v="1"/>
    <x v="5"/>
    <x v="2"/>
    <x v="14"/>
    <x v="0"/>
    <x v="48"/>
    <s v="SENIOR"/>
    <x v="0"/>
    <d v="2023-07-10T00:00:00"/>
    <x v="1"/>
    <x v="197"/>
    <n v="5"/>
  </r>
  <r>
    <x v="199"/>
    <x v="4"/>
    <x v="7"/>
    <x v="8"/>
    <x v="11"/>
    <x v="1"/>
    <x v="45"/>
    <s v="ADULT"/>
    <x v="1"/>
    <d v="2023-04-01T00:00:00"/>
    <x v="0"/>
    <x v="198"/>
    <n v="0"/>
  </r>
  <r>
    <x v="200"/>
    <x v="3"/>
    <x v="5"/>
    <x v="6"/>
    <x v="9"/>
    <x v="1"/>
    <x v="83"/>
    <s v="CHILD"/>
    <x v="1"/>
    <d v="2024-03-10T00:00:00"/>
    <x v="5"/>
    <x v="199"/>
    <n v="0"/>
  </r>
  <r>
    <x v="201"/>
    <x v="4"/>
    <x v="2"/>
    <x v="2"/>
    <x v="23"/>
    <x v="1"/>
    <x v="45"/>
    <s v="ADULT"/>
    <x v="0"/>
    <d v="2023-03-13T00:00:00"/>
    <x v="1"/>
    <x v="200"/>
    <n v="0"/>
  </r>
  <r>
    <x v="202"/>
    <x v="1"/>
    <x v="5"/>
    <x v="6"/>
    <x v="9"/>
    <x v="0"/>
    <x v="32"/>
    <s v="SENIOR"/>
    <x v="1"/>
    <d v="2023-09-19T00:00:00"/>
    <x v="1"/>
    <x v="201"/>
    <n v="5"/>
  </r>
  <r>
    <x v="203"/>
    <x v="2"/>
    <x v="0"/>
    <x v="9"/>
    <x v="28"/>
    <x v="0"/>
    <x v="43"/>
    <s v="SENIOR"/>
    <x v="1"/>
    <d v="2023-12-30T00:00:00"/>
    <x v="1"/>
    <x v="202"/>
    <n v="10"/>
  </r>
  <r>
    <x v="204"/>
    <x v="3"/>
    <x v="1"/>
    <x v="0"/>
    <x v="27"/>
    <x v="0"/>
    <x v="68"/>
    <s v="ADULT"/>
    <x v="1"/>
    <d v="2023-12-30T00:00:00"/>
    <x v="0"/>
    <x v="203"/>
    <n v="0"/>
  </r>
  <r>
    <x v="205"/>
    <x v="5"/>
    <x v="1"/>
    <x v="9"/>
    <x v="28"/>
    <x v="1"/>
    <x v="28"/>
    <s v="SENIOR"/>
    <x v="1"/>
    <d v="2023-01-08T00:00:00"/>
    <x v="3"/>
    <x v="204"/>
    <n v="0"/>
  </r>
  <r>
    <x v="206"/>
    <x v="4"/>
    <x v="2"/>
    <x v="6"/>
    <x v="26"/>
    <x v="0"/>
    <x v="65"/>
    <s v="CHILD"/>
    <x v="1"/>
    <d v="2023-04-25T00:00:00"/>
    <x v="0"/>
    <x v="205"/>
    <n v="0"/>
  </r>
  <r>
    <x v="207"/>
    <x v="0"/>
    <x v="2"/>
    <x v="3"/>
    <x v="3"/>
    <x v="0"/>
    <x v="84"/>
    <s v="ADULT"/>
    <x v="0"/>
    <d v="2023-10-08T00:00:00"/>
    <x v="2"/>
    <x v="206"/>
    <n v="5"/>
  </r>
  <r>
    <x v="208"/>
    <x v="0"/>
    <x v="2"/>
    <x v="6"/>
    <x v="26"/>
    <x v="0"/>
    <x v="71"/>
    <s v="ADULT"/>
    <x v="0"/>
    <d v="2023-12-14T00:00:00"/>
    <x v="1"/>
    <x v="207"/>
    <n v="10"/>
  </r>
  <r>
    <x v="209"/>
    <x v="0"/>
    <x v="7"/>
    <x v="7"/>
    <x v="38"/>
    <x v="0"/>
    <x v="24"/>
    <s v="SENIOR"/>
    <x v="0"/>
    <d v="2023-10-04T00:00:00"/>
    <x v="3"/>
    <x v="208"/>
    <n v="10"/>
  </r>
  <r>
    <x v="210"/>
    <x v="1"/>
    <x v="1"/>
    <x v="9"/>
    <x v="29"/>
    <x v="0"/>
    <x v="65"/>
    <s v="CHILD"/>
    <x v="1"/>
    <d v="2023-06-20T00:00:00"/>
    <x v="3"/>
    <x v="209"/>
    <n v="0"/>
  </r>
  <r>
    <x v="211"/>
    <x v="3"/>
    <x v="6"/>
    <x v="8"/>
    <x v="13"/>
    <x v="1"/>
    <x v="42"/>
    <s v="CHILD"/>
    <x v="0"/>
    <d v="2023-01-21T00:00:00"/>
    <x v="3"/>
    <x v="210"/>
    <n v="10"/>
  </r>
  <r>
    <x v="212"/>
    <x v="4"/>
    <x v="0"/>
    <x v="2"/>
    <x v="14"/>
    <x v="0"/>
    <x v="44"/>
    <s v="SENIOR"/>
    <x v="1"/>
    <d v="2023-06-05T00:00:00"/>
    <x v="1"/>
    <x v="211"/>
    <n v="5"/>
  </r>
  <r>
    <x v="213"/>
    <x v="0"/>
    <x v="6"/>
    <x v="1"/>
    <x v="35"/>
    <x v="0"/>
    <x v="78"/>
    <s v="ADULT"/>
    <x v="1"/>
    <d v="2023-05-26T00:00:00"/>
    <x v="2"/>
    <x v="212"/>
    <n v="0"/>
  </r>
  <r>
    <x v="214"/>
    <x v="5"/>
    <x v="2"/>
    <x v="1"/>
    <x v="1"/>
    <x v="1"/>
    <x v="38"/>
    <s v="CHILD"/>
    <x v="1"/>
    <d v="2023-07-21T00:00:00"/>
    <x v="1"/>
    <x v="213"/>
    <n v="10"/>
  </r>
  <r>
    <x v="215"/>
    <x v="1"/>
    <x v="7"/>
    <x v="1"/>
    <x v="1"/>
    <x v="0"/>
    <x v="61"/>
    <s v="ADULT"/>
    <x v="0"/>
    <d v="2024-01-31T00:00:00"/>
    <x v="3"/>
    <x v="214"/>
    <n v="10"/>
  </r>
  <r>
    <x v="216"/>
    <x v="5"/>
    <x v="4"/>
    <x v="9"/>
    <x v="34"/>
    <x v="1"/>
    <x v="29"/>
    <s v="SENIOR"/>
    <x v="1"/>
    <d v="2023-03-19T00:00:00"/>
    <x v="2"/>
    <x v="215"/>
    <n v="10"/>
  </r>
  <r>
    <x v="217"/>
    <x v="5"/>
    <x v="7"/>
    <x v="7"/>
    <x v="10"/>
    <x v="1"/>
    <x v="4"/>
    <s v="CHILD"/>
    <x v="1"/>
    <d v="2024-03-19T00:00:00"/>
    <x v="1"/>
    <x v="216"/>
    <n v="0"/>
  </r>
  <r>
    <x v="218"/>
    <x v="5"/>
    <x v="6"/>
    <x v="4"/>
    <x v="7"/>
    <x v="1"/>
    <x v="79"/>
    <s v="SENIOR"/>
    <x v="1"/>
    <d v="2023-10-30T00:00:00"/>
    <x v="3"/>
    <x v="217"/>
    <n v="0"/>
  </r>
  <r>
    <x v="219"/>
    <x v="4"/>
    <x v="1"/>
    <x v="8"/>
    <x v="33"/>
    <x v="1"/>
    <x v="82"/>
    <s v="ADULT"/>
    <x v="0"/>
    <d v="2023-08-23T00:00:00"/>
    <x v="2"/>
    <x v="218"/>
    <n v="25"/>
  </r>
  <r>
    <x v="220"/>
    <x v="4"/>
    <x v="3"/>
    <x v="0"/>
    <x v="20"/>
    <x v="1"/>
    <x v="75"/>
    <s v="ADULT"/>
    <x v="1"/>
    <d v="2023-11-01T00:00:00"/>
    <x v="5"/>
    <x v="219"/>
    <n v="0"/>
  </r>
  <r>
    <x v="221"/>
    <x v="5"/>
    <x v="4"/>
    <x v="0"/>
    <x v="27"/>
    <x v="0"/>
    <x v="25"/>
    <s v="CHILD"/>
    <x v="0"/>
    <d v="2023-07-21T00:00:00"/>
    <x v="1"/>
    <x v="220"/>
    <n v="0"/>
  </r>
  <r>
    <x v="222"/>
    <x v="4"/>
    <x v="2"/>
    <x v="8"/>
    <x v="36"/>
    <x v="0"/>
    <x v="34"/>
    <s v="ADULT"/>
    <x v="0"/>
    <d v="2023-06-20T00:00:00"/>
    <x v="2"/>
    <x v="221"/>
    <n v="18"/>
  </r>
  <r>
    <x v="223"/>
    <x v="1"/>
    <x v="2"/>
    <x v="4"/>
    <x v="5"/>
    <x v="2"/>
    <x v="13"/>
    <s v="ADULT"/>
    <x v="0"/>
    <d v="2023-05-06T00:00:00"/>
    <x v="3"/>
    <x v="222"/>
    <n v="0"/>
  </r>
  <r>
    <x v="224"/>
    <x v="1"/>
    <x v="4"/>
    <x v="4"/>
    <x v="7"/>
    <x v="0"/>
    <x v="16"/>
    <s v="ADULT"/>
    <x v="0"/>
    <d v="2023-06-01T00:00:00"/>
    <x v="3"/>
    <x v="223"/>
    <n v="0"/>
  </r>
  <r>
    <x v="225"/>
    <x v="0"/>
    <x v="7"/>
    <x v="9"/>
    <x v="34"/>
    <x v="0"/>
    <x v="62"/>
    <s v="SENIOR"/>
    <x v="1"/>
    <d v="2023-08-23T00:00:00"/>
    <x v="1"/>
    <x v="224"/>
    <n v="3"/>
  </r>
  <r>
    <x v="226"/>
    <x v="1"/>
    <x v="7"/>
    <x v="0"/>
    <x v="15"/>
    <x v="0"/>
    <x v="55"/>
    <s v="SENIOR"/>
    <x v="1"/>
    <d v="2023-05-30T00:00:00"/>
    <x v="4"/>
    <x v="186"/>
    <n v="5"/>
  </r>
  <r>
    <x v="227"/>
    <x v="0"/>
    <x v="5"/>
    <x v="2"/>
    <x v="14"/>
    <x v="1"/>
    <x v="85"/>
    <s v="SENIOR"/>
    <x v="0"/>
    <d v="2024-04-02T00:00:00"/>
    <x v="1"/>
    <x v="225"/>
    <n v="3"/>
  </r>
  <r>
    <x v="228"/>
    <x v="3"/>
    <x v="5"/>
    <x v="0"/>
    <x v="27"/>
    <x v="1"/>
    <x v="56"/>
    <s v="SENIOR"/>
    <x v="1"/>
    <d v="2023-11-14T00:00:00"/>
    <x v="3"/>
    <x v="226"/>
    <n v="5"/>
  </r>
  <r>
    <x v="229"/>
    <x v="5"/>
    <x v="5"/>
    <x v="8"/>
    <x v="36"/>
    <x v="1"/>
    <x v="54"/>
    <s v="ADULT"/>
    <x v="1"/>
    <d v="2023-03-23T00:00:00"/>
    <x v="4"/>
    <x v="227"/>
    <n v="10"/>
  </r>
  <r>
    <x v="230"/>
    <x v="3"/>
    <x v="5"/>
    <x v="0"/>
    <x v="27"/>
    <x v="0"/>
    <x v="55"/>
    <s v="SENIOR"/>
    <x v="0"/>
    <d v="2023-05-13T00:00:00"/>
    <x v="3"/>
    <x v="228"/>
    <n v="0"/>
  </r>
  <r>
    <x v="231"/>
    <x v="0"/>
    <x v="2"/>
    <x v="8"/>
    <x v="13"/>
    <x v="1"/>
    <x v="48"/>
    <s v="SENIOR"/>
    <x v="0"/>
    <d v="2024-04-21T00:00:00"/>
    <x v="3"/>
    <x v="229"/>
    <n v="0"/>
  </r>
  <r>
    <x v="232"/>
    <x v="4"/>
    <x v="3"/>
    <x v="0"/>
    <x v="20"/>
    <x v="0"/>
    <x v="48"/>
    <s v="SENIOR"/>
    <x v="1"/>
    <d v="2023-09-30T00:00:00"/>
    <x v="1"/>
    <x v="230"/>
    <n v="0"/>
  </r>
  <r>
    <x v="233"/>
    <x v="3"/>
    <x v="2"/>
    <x v="3"/>
    <x v="37"/>
    <x v="0"/>
    <x v="29"/>
    <s v="SENIOR"/>
    <x v="1"/>
    <d v="2023-03-19T00:00:00"/>
    <x v="0"/>
    <x v="231"/>
    <n v="0"/>
  </r>
  <r>
    <x v="234"/>
    <x v="4"/>
    <x v="4"/>
    <x v="5"/>
    <x v="21"/>
    <x v="0"/>
    <x v="14"/>
    <s v="SENIOR"/>
    <x v="0"/>
    <d v="2023-12-31T00:00:00"/>
    <x v="0"/>
    <x v="232"/>
    <n v="0"/>
  </r>
  <r>
    <x v="235"/>
    <x v="1"/>
    <x v="1"/>
    <x v="2"/>
    <x v="2"/>
    <x v="0"/>
    <x v="61"/>
    <s v="ADULT"/>
    <x v="0"/>
    <d v="2023-08-23T00:00:00"/>
    <x v="2"/>
    <x v="233"/>
    <n v="5"/>
  </r>
  <r>
    <x v="236"/>
    <x v="5"/>
    <x v="2"/>
    <x v="5"/>
    <x v="24"/>
    <x v="1"/>
    <x v="61"/>
    <s v="ADULT"/>
    <x v="0"/>
    <d v="2024-02-11T00:00:00"/>
    <x v="4"/>
    <x v="234"/>
    <n v="0"/>
  </r>
  <r>
    <x v="237"/>
    <x v="1"/>
    <x v="5"/>
    <x v="0"/>
    <x v="27"/>
    <x v="0"/>
    <x v="0"/>
    <s v="SENIOR"/>
    <x v="0"/>
    <d v="2023-07-24T00:00:00"/>
    <x v="1"/>
    <x v="235"/>
    <n v="0"/>
  </r>
  <r>
    <x v="238"/>
    <x v="0"/>
    <x v="1"/>
    <x v="7"/>
    <x v="30"/>
    <x v="0"/>
    <x v="35"/>
    <s v="ADULT"/>
    <x v="0"/>
    <d v="2023-11-12T00:00:00"/>
    <x v="3"/>
    <x v="236"/>
    <n v="0"/>
  </r>
  <r>
    <x v="239"/>
    <x v="4"/>
    <x v="2"/>
    <x v="5"/>
    <x v="21"/>
    <x v="0"/>
    <x v="20"/>
    <s v="CHILD"/>
    <x v="1"/>
    <d v="2024-01-05T00:00:00"/>
    <x v="1"/>
    <x v="237"/>
    <n v="10"/>
  </r>
  <r>
    <x v="240"/>
    <x v="2"/>
    <x v="3"/>
    <x v="2"/>
    <x v="4"/>
    <x v="0"/>
    <x v="45"/>
    <s v="ADULT"/>
    <x v="0"/>
    <d v="2024-02-16T00:00:00"/>
    <x v="2"/>
    <x v="238"/>
    <n v="30"/>
  </r>
  <r>
    <x v="241"/>
    <x v="0"/>
    <x v="3"/>
    <x v="7"/>
    <x v="30"/>
    <x v="1"/>
    <x v="86"/>
    <s v="SENIOR"/>
    <x v="1"/>
    <d v="2023-04-18T00:00:00"/>
    <x v="5"/>
    <x v="239"/>
    <n v="18"/>
  </r>
  <r>
    <x v="242"/>
    <x v="5"/>
    <x v="4"/>
    <x v="4"/>
    <x v="5"/>
    <x v="2"/>
    <x v="61"/>
    <s v="ADULT"/>
    <x v="1"/>
    <d v="2023-10-27T00:00:00"/>
    <x v="2"/>
    <x v="240"/>
    <n v="30"/>
  </r>
  <r>
    <x v="243"/>
    <x v="1"/>
    <x v="1"/>
    <x v="2"/>
    <x v="4"/>
    <x v="0"/>
    <x v="49"/>
    <s v="SENIOR"/>
    <x v="1"/>
    <d v="2023-01-04T00:00:00"/>
    <x v="2"/>
    <x v="241"/>
    <n v="40"/>
  </r>
  <r>
    <x v="244"/>
    <x v="5"/>
    <x v="6"/>
    <x v="3"/>
    <x v="37"/>
    <x v="1"/>
    <x v="65"/>
    <s v="CHILD"/>
    <x v="1"/>
    <d v="2023-03-28T00:00:00"/>
    <x v="2"/>
    <x v="242"/>
    <n v="30"/>
  </r>
  <r>
    <x v="245"/>
    <x v="5"/>
    <x v="4"/>
    <x v="8"/>
    <x v="36"/>
    <x v="1"/>
    <x v="87"/>
    <s v="ADULT"/>
    <x v="0"/>
    <d v="2024-02-08T00:00:00"/>
    <x v="1"/>
    <x v="243"/>
    <n v="0"/>
  </r>
  <r>
    <x v="246"/>
    <x v="3"/>
    <x v="4"/>
    <x v="1"/>
    <x v="35"/>
    <x v="1"/>
    <x v="49"/>
    <s v="SENIOR"/>
    <x v="0"/>
    <d v="2024-04-15T00:00:00"/>
    <x v="1"/>
    <x v="244"/>
    <n v="3"/>
  </r>
  <r>
    <x v="247"/>
    <x v="2"/>
    <x v="3"/>
    <x v="8"/>
    <x v="11"/>
    <x v="2"/>
    <x v="38"/>
    <s v="CHILD"/>
    <x v="0"/>
    <d v="2023-11-28T00:00:00"/>
    <x v="4"/>
    <x v="245"/>
    <n v="0"/>
  </r>
  <r>
    <x v="248"/>
    <x v="1"/>
    <x v="5"/>
    <x v="7"/>
    <x v="18"/>
    <x v="0"/>
    <x v="38"/>
    <s v="CHILD"/>
    <x v="1"/>
    <d v="2024-02-29T00:00:00"/>
    <x v="1"/>
    <x v="246"/>
    <n v="0"/>
  </r>
  <r>
    <x v="249"/>
    <x v="1"/>
    <x v="1"/>
    <x v="6"/>
    <x v="9"/>
    <x v="0"/>
    <x v="59"/>
    <s v="TEEN"/>
    <x v="0"/>
    <d v="2023-07-08T00:00:00"/>
    <x v="1"/>
    <x v="247"/>
    <n v="10"/>
  </r>
  <r>
    <x v="250"/>
    <x v="3"/>
    <x v="1"/>
    <x v="8"/>
    <x v="13"/>
    <x v="0"/>
    <x v="63"/>
    <s v="SENIOR"/>
    <x v="1"/>
    <d v="2023-08-22T00:00:00"/>
    <x v="1"/>
    <x v="248"/>
    <n v="0"/>
  </r>
  <r>
    <x v="251"/>
    <x v="4"/>
    <x v="7"/>
    <x v="4"/>
    <x v="5"/>
    <x v="1"/>
    <x v="68"/>
    <s v="ADULT"/>
    <x v="1"/>
    <d v="2023-05-11T00:00:00"/>
    <x v="0"/>
    <x v="249"/>
    <n v="3"/>
  </r>
  <r>
    <x v="252"/>
    <x v="4"/>
    <x v="6"/>
    <x v="3"/>
    <x v="3"/>
    <x v="0"/>
    <x v="85"/>
    <s v="SENIOR"/>
    <x v="0"/>
    <d v="2023-06-24T00:00:00"/>
    <x v="3"/>
    <x v="250"/>
    <n v="0"/>
  </r>
  <r>
    <x v="253"/>
    <x v="1"/>
    <x v="0"/>
    <x v="8"/>
    <x v="13"/>
    <x v="1"/>
    <x v="75"/>
    <s v="ADULT"/>
    <x v="0"/>
    <d v="2023-02-02T00:00:00"/>
    <x v="4"/>
    <x v="251"/>
    <n v="10"/>
  </r>
  <r>
    <x v="254"/>
    <x v="1"/>
    <x v="1"/>
    <x v="1"/>
    <x v="35"/>
    <x v="0"/>
    <x v="48"/>
    <s v="SENIOR"/>
    <x v="0"/>
    <d v="2023-08-09T00:00:00"/>
    <x v="0"/>
    <x v="252"/>
    <n v="0"/>
  </r>
  <r>
    <x v="255"/>
    <x v="0"/>
    <x v="7"/>
    <x v="8"/>
    <x v="36"/>
    <x v="0"/>
    <x v="40"/>
    <s v="SENIOR"/>
    <x v="0"/>
    <d v="2023-11-03T00:00:00"/>
    <x v="1"/>
    <x v="253"/>
    <n v="0"/>
  </r>
  <r>
    <x v="256"/>
    <x v="2"/>
    <x v="1"/>
    <x v="7"/>
    <x v="10"/>
    <x v="1"/>
    <x v="37"/>
    <s v="ADULT"/>
    <x v="0"/>
    <d v="2023-07-22T00:00:00"/>
    <x v="2"/>
    <x v="254"/>
    <n v="30"/>
  </r>
  <r>
    <x v="257"/>
    <x v="3"/>
    <x v="4"/>
    <x v="1"/>
    <x v="1"/>
    <x v="1"/>
    <x v="88"/>
    <s v="ADULT"/>
    <x v="0"/>
    <d v="2023-11-16T00:00:00"/>
    <x v="1"/>
    <x v="255"/>
    <n v="10"/>
  </r>
  <r>
    <x v="258"/>
    <x v="3"/>
    <x v="0"/>
    <x v="7"/>
    <x v="38"/>
    <x v="1"/>
    <x v="40"/>
    <s v="SENIOR"/>
    <x v="0"/>
    <d v="2023-10-19T00:00:00"/>
    <x v="1"/>
    <x v="256"/>
    <n v="0"/>
  </r>
  <r>
    <x v="259"/>
    <x v="2"/>
    <x v="3"/>
    <x v="5"/>
    <x v="24"/>
    <x v="0"/>
    <x v="64"/>
    <s v="ADULT"/>
    <x v="1"/>
    <d v="2023-05-27T00:00:00"/>
    <x v="4"/>
    <x v="257"/>
    <n v="5"/>
  </r>
  <r>
    <x v="260"/>
    <x v="5"/>
    <x v="5"/>
    <x v="9"/>
    <x v="34"/>
    <x v="0"/>
    <x v="11"/>
    <s v="ADULT"/>
    <x v="0"/>
    <d v="2023-01-16T00:00:00"/>
    <x v="0"/>
    <x v="258"/>
    <n v="0"/>
  </r>
  <r>
    <x v="261"/>
    <x v="2"/>
    <x v="2"/>
    <x v="0"/>
    <x v="20"/>
    <x v="0"/>
    <x v="78"/>
    <s v="ADULT"/>
    <x v="1"/>
    <d v="2023-08-29T00:00:00"/>
    <x v="1"/>
    <x v="259"/>
    <n v="5"/>
  </r>
  <r>
    <x v="262"/>
    <x v="5"/>
    <x v="1"/>
    <x v="9"/>
    <x v="19"/>
    <x v="0"/>
    <x v="86"/>
    <s v="SENIOR"/>
    <x v="0"/>
    <d v="2023-04-19T00:00:00"/>
    <x v="2"/>
    <x v="260"/>
    <n v="0"/>
  </r>
  <r>
    <x v="263"/>
    <x v="0"/>
    <x v="1"/>
    <x v="1"/>
    <x v="31"/>
    <x v="0"/>
    <x v="89"/>
    <s v="SENIOR"/>
    <x v="1"/>
    <d v="2023-09-04T00:00:00"/>
    <x v="5"/>
    <x v="261"/>
    <n v="10"/>
  </r>
  <r>
    <x v="264"/>
    <x v="4"/>
    <x v="7"/>
    <x v="6"/>
    <x v="12"/>
    <x v="1"/>
    <x v="40"/>
    <s v="SENIOR"/>
    <x v="0"/>
    <d v="2023-03-16T00:00:00"/>
    <x v="3"/>
    <x v="262"/>
    <n v="0"/>
  </r>
  <r>
    <x v="265"/>
    <x v="5"/>
    <x v="1"/>
    <x v="7"/>
    <x v="30"/>
    <x v="1"/>
    <x v="35"/>
    <s v="ADULT"/>
    <x v="0"/>
    <d v="2024-01-19T00:00:00"/>
    <x v="0"/>
    <x v="263"/>
    <n v="0"/>
  </r>
  <r>
    <x v="266"/>
    <x v="3"/>
    <x v="6"/>
    <x v="2"/>
    <x v="23"/>
    <x v="0"/>
    <x v="35"/>
    <s v="ADULT"/>
    <x v="1"/>
    <d v="2023-04-14T00:00:00"/>
    <x v="1"/>
    <x v="264"/>
    <n v="0"/>
  </r>
  <r>
    <x v="267"/>
    <x v="4"/>
    <x v="7"/>
    <x v="3"/>
    <x v="3"/>
    <x v="1"/>
    <x v="52"/>
    <s v="ADULT"/>
    <x v="0"/>
    <d v="2024-02-20T00:00:00"/>
    <x v="4"/>
    <x v="265"/>
    <n v="0"/>
  </r>
  <r>
    <x v="268"/>
    <x v="0"/>
    <x v="4"/>
    <x v="4"/>
    <x v="25"/>
    <x v="1"/>
    <x v="90"/>
    <s v="CHILD"/>
    <x v="1"/>
    <d v="2023-04-30T00:00:00"/>
    <x v="0"/>
    <x v="266"/>
    <n v="0"/>
  </r>
  <r>
    <x v="269"/>
    <x v="2"/>
    <x v="5"/>
    <x v="0"/>
    <x v="0"/>
    <x v="0"/>
    <x v="20"/>
    <s v="CHILD"/>
    <x v="0"/>
    <d v="2023-02-06T00:00:00"/>
    <x v="1"/>
    <x v="267"/>
    <n v="10"/>
  </r>
  <r>
    <x v="270"/>
    <x v="4"/>
    <x v="1"/>
    <x v="7"/>
    <x v="30"/>
    <x v="0"/>
    <x v="63"/>
    <s v="SENIOR"/>
    <x v="0"/>
    <d v="2023-04-09T00:00:00"/>
    <x v="4"/>
    <x v="268"/>
    <n v="0"/>
  </r>
  <r>
    <x v="271"/>
    <x v="1"/>
    <x v="5"/>
    <x v="8"/>
    <x v="13"/>
    <x v="0"/>
    <x v="72"/>
    <s v="CHILD"/>
    <x v="1"/>
    <d v="2023-09-01T00:00:00"/>
    <x v="4"/>
    <x v="269"/>
    <n v="5"/>
  </r>
  <r>
    <x v="272"/>
    <x v="2"/>
    <x v="4"/>
    <x v="8"/>
    <x v="36"/>
    <x v="0"/>
    <x v="23"/>
    <s v="ADULT"/>
    <x v="0"/>
    <d v="2024-01-12T00:00:00"/>
    <x v="0"/>
    <x v="270"/>
    <n v="0"/>
  </r>
  <r>
    <x v="273"/>
    <x v="1"/>
    <x v="0"/>
    <x v="0"/>
    <x v="20"/>
    <x v="0"/>
    <x v="88"/>
    <s v="ADULT"/>
    <x v="0"/>
    <d v="2023-10-05T00:00:00"/>
    <x v="0"/>
    <x v="271"/>
    <n v="0"/>
  </r>
  <r>
    <x v="274"/>
    <x v="5"/>
    <x v="3"/>
    <x v="8"/>
    <x v="33"/>
    <x v="1"/>
    <x v="64"/>
    <s v="ADULT"/>
    <x v="1"/>
    <d v="2023-10-31T00:00:00"/>
    <x v="4"/>
    <x v="272"/>
    <n v="0"/>
  </r>
  <r>
    <x v="275"/>
    <x v="1"/>
    <x v="7"/>
    <x v="1"/>
    <x v="1"/>
    <x v="0"/>
    <x v="38"/>
    <s v="CHILD"/>
    <x v="0"/>
    <d v="2024-02-13T00:00:00"/>
    <x v="1"/>
    <x v="273"/>
    <n v="3"/>
  </r>
  <r>
    <x v="276"/>
    <x v="2"/>
    <x v="7"/>
    <x v="9"/>
    <x v="34"/>
    <x v="0"/>
    <x v="52"/>
    <s v="ADULT"/>
    <x v="1"/>
    <d v="2023-06-21T00:00:00"/>
    <x v="0"/>
    <x v="274"/>
    <n v="0"/>
  </r>
  <r>
    <x v="277"/>
    <x v="0"/>
    <x v="0"/>
    <x v="5"/>
    <x v="6"/>
    <x v="0"/>
    <x v="7"/>
    <s v="TEEN"/>
    <x v="1"/>
    <d v="2023-06-18T00:00:00"/>
    <x v="4"/>
    <x v="275"/>
    <n v="0"/>
  </r>
  <r>
    <x v="278"/>
    <x v="5"/>
    <x v="4"/>
    <x v="5"/>
    <x v="6"/>
    <x v="0"/>
    <x v="59"/>
    <s v="TEEN"/>
    <x v="0"/>
    <d v="2023-10-28T00:00:00"/>
    <x v="3"/>
    <x v="276"/>
    <n v="3"/>
  </r>
  <r>
    <x v="279"/>
    <x v="1"/>
    <x v="4"/>
    <x v="4"/>
    <x v="8"/>
    <x v="0"/>
    <x v="49"/>
    <s v="SENIOR"/>
    <x v="1"/>
    <d v="2023-05-04T00:00:00"/>
    <x v="0"/>
    <x v="277"/>
    <n v="0"/>
  </r>
  <r>
    <x v="280"/>
    <x v="1"/>
    <x v="5"/>
    <x v="1"/>
    <x v="32"/>
    <x v="0"/>
    <x v="70"/>
    <s v="ADULT"/>
    <x v="1"/>
    <d v="2024-04-05T00:00:00"/>
    <x v="0"/>
    <x v="278"/>
    <n v="0"/>
  </r>
  <r>
    <x v="281"/>
    <x v="0"/>
    <x v="7"/>
    <x v="3"/>
    <x v="3"/>
    <x v="0"/>
    <x v="52"/>
    <s v="ADULT"/>
    <x v="1"/>
    <d v="2024-04-22T00:00:00"/>
    <x v="1"/>
    <x v="279"/>
    <n v="10"/>
  </r>
  <r>
    <x v="282"/>
    <x v="5"/>
    <x v="5"/>
    <x v="8"/>
    <x v="13"/>
    <x v="0"/>
    <x v="66"/>
    <s v="SENIOR"/>
    <x v="0"/>
    <d v="2023-05-10T00:00:00"/>
    <x v="0"/>
    <x v="280"/>
    <n v="0"/>
  </r>
  <r>
    <x v="283"/>
    <x v="4"/>
    <x v="3"/>
    <x v="3"/>
    <x v="39"/>
    <x v="0"/>
    <x v="67"/>
    <s v="TEEN"/>
    <x v="0"/>
    <d v="2024-03-15T00:00:00"/>
    <x v="1"/>
    <x v="281"/>
    <n v="0"/>
  </r>
  <r>
    <x v="284"/>
    <x v="0"/>
    <x v="4"/>
    <x v="6"/>
    <x v="26"/>
    <x v="0"/>
    <x v="42"/>
    <s v="CHILD"/>
    <x v="0"/>
    <d v="2024-04-10T00:00:00"/>
    <x v="0"/>
    <x v="282"/>
    <n v="0"/>
  </r>
  <r>
    <x v="285"/>
    <x v="5"/>
    <x v="3"/>
    <x v="2"/>
    <x v="2"/>
    <x v="1"/>
    <x v="5"/>
    <s v="TEEN"/>
    <x v="0"/>
    <d v="2023-05-13T00:00:00"/>
    <x v="4"/>
    <x v="283"/>
    <n v="5"/>
  </r>
  <r>
    <x v="286"/>
    <x v="2"/>
    <x v="2"/>
    <x v="7"/>
    <x v="38"/>
    <x v="1"/>
    <x v="38"/>
    <s v="CHILD"/>
    <x v="0"/>
    <d v="2023-09-20T00:00:00"/>
    <x v="2"/>
    <x v="284"/>
    <n v="19"/>
  </r>
  <r>
    <x v="287"/>
    <x v="0"/>
    <x v="2"/>
    <x v="0"/>
    <x v="0"/>
    <x v="1"/>
    <x v="47"/>
    <s v="ADULT"/>
    <x v="0"/>
    <d v="2024-02-08T00:00:00"/>
    <x v="2"/>
    <x v="285"/>
    <n v="15"/>
  </r>
  <r>
    <x v="288"/>
    <x v="0"/>
    <x v="3"/>
    <x v="5"/>
    <x v="24"/>
    <x v="0"/>
    <x v="5"/>
    <s v="TEEN"/>
    <x v="1"/>
    <d v="2023-01-07T00:00:00"/>
    <x v="4"/>
    <x v="286"/>
    <n v="0"/>
  </r>
  <r>
    <x v="289"/>
    <x v="2"/>
    <x v="5"/>
    <x v="5"/>
    <x v="24"/>
    <x v="0"/>
    <x v="11"/>
    <s v="ADULT"/>
    <x v="0"/>
    <d v="2024-01-01T00:00:00"/>
    <x v="2"/>
    <x v="287"/>
    <n v="20"/>
  </r>
  <r>
    <x v="290"/>
    <x v="4"/>
    <x v="7"/>
    <x v="6"/>
    <x v="16"/>
    <x v="1"/>
    <x v="61"/>
    <s v="ADULT"/>
    <x v="1"/>
    <d v="2023-06-24T00:00:00"/>
    <x v="0"/>
    <x v="288"/>
    <n v="0"/>
  </r>
  <r>
    <x v="291"/>
    <x v="3"/>
    <x v="6"/>
    <x v="9"/>
    <x v="28"/>
    <x v="1"/>
    <x v="66"/>
    <s v="SENIOR"/>
    <x v="1"/>
    <d v="2023-06-08T00:00:00"/>
    <x v="3"/>
    <x v="289"/>
    <n v="0"/>
  </r>
  <r>
    <x v="292"/>
    <x v="1"/>
    <x v="1"/>
    <x v="7"/>
    <x v="18"/>
    <x v="0"/>
    <x v="46"/>
    <s v="ADULT"/>
    <x v="1"/>
    <d v="2023-07-05T00:00:00"/>
    <x v="2"/>
    <x v="290"/>
    <n v="30"/>
  </r>
  <r>
    <x v="293"/>
    <x v="4"/>
    <x v="0"/>
    <x v="0"/>
    <x v="0"/>
    <x v="0"/>
    <x v="59"/>
    <s v="TEEN"/>
    <x v="1"/>
    <d v="2024-02-11T00:00:00"/>
    <x v="2"/>
    <x v="291"/>
    <n v="12"/>
  </r>
  <r>
    <x v="294"/>
    <x v="5"/>
    <x v="2"/>
    <x v="2"/>
    <x v="4"/>
    <x v="1"/>
    <x v="27"/>
    <s v="SENIOR"/>
    <x v="0"/>
    <d v="2024-01-21T00:00:00"/>
    <x v="4"/>
    <x v="292"/>
    <n v="10"/>
  </r>
  <r>
    <x v="295"/>
    <x v="3"/>
    <x v="1"/>
    <x v="3"/>
    <x v="3"/>
    <x v="0"/>
    <x v="17"/>
    <s v="SENIOR"/>
    <x v="1"/>
    <d v="2024-04-06T00:00:00"/>
    <x v="4"/>
    <x v="293"/>
    <n v="0"/>
  </r>
  <r>
    <x v="296"/>
    <x v="5"/>
    <x v="0"/>
    <x v="3"/>
    <x v="3"/>
    <x v="0"/>
    <x v="86"/>
    <s v="SENIOR"/>
    <x v="1"/>
    <d v="2023-08-28T00:00:00"/>
    <x v="5"/>
    <x v="294"/>
    <n v="0"/>
  </r>
  <r>
    <x v="297"/>
    <x v="0"/>
    <x v="2"/>
    <x v="6"/>
    <x v="12"/>
    <x v="0"/>
    <x v="0"/>
    <s v="SENIOR"/>
    <x v="1"/>
    <d v="2024-01-05T00:00:00"/>
    <x v="3"/>
    <x v="295"/>
    <n v="5"/>
  </r>
  <r>
    <x v="298"/>
    <x v="3"/>
    <x v="6"/>
    <x v="8"/>
    <x v="13"/>
    <x v="1"/>
    <x v="10"/>
    <s v="TEEN"/>
    <x v="0"/>
    <d v="2023-08-24T00:00:00"/>
    <x v="0"/>
    <x v="296"/>
    <n v="0"/>
  </r>
  <r>
    <x v="299"/>
    <x v="0"/>
    <x v="4"/>
    <x v="5"/>
    <x v="24"/>
    <x v="0"/>
    <x v="10"/>
    <s v="TEEN"/>
    <x v="1"/>
    <d v="2023-10-29T00:00:00"/>
    <x v="0"/>
    <x v="297"/>
    <n v="10"/>
  </r>
  <r>
    <x v="300"/>
    <x v="5"/>
    <x v="2"/>
    <x v="7"/>
    <x v="30"/>
    <x v="0"/>
    <x v="80"/>
    <s v="SENIOR"/>
    <x v="1"/>
    <d v="2023-02-05T00:00:00"/>
    <x v="0"/>
    <x v="298"/>
    <n v="0"/>
  </r>
  <r>
    <x v="301"/>
    <x v="1"/>
    <x v="7"/>
    <x v="9"/>
    <x v="19"/>
    <x v="0"/>
    <x v="71"/>
    <s v="ADULT"/>
    <x v="0"/>
    <d v="2023-06-02T00:00:00"/>
    <x v="3"/>
    <x v="299"/>
    <n v="0"/>
  </r>
  <r>
    <x v="302"/>
    <x v="5"/>
    <x v="3"/>
    <x v="3"/>
    <x v="22"/>
    <x v="0"/>
    <x v="40"/>
    <s v="SENIOR"/>
    <x v="1"/>
    <d v="2023-05-27T00:00:00"/>
    <x v="2"/>
    <x v="300"/>
    <n v="30"/>
  </r>
  <r>
    <x v="303"/>
    <x v="1"/>
    <x v="7"/>
    <x v="2"/>
    <x v="4"/>
    <x v="0"/>
    <x v="37"/>
    <s v="ADULT"/>
    <x v="1"/>
    <d v="2023-11-09T00:00:00"/>
    <x v="1"/>
    <x v="19"/>
    <n v="0"/>
  </r>
  <r>
    <x v="304"/>
    <x v="0"/>
    <x v="6"/>
    <x v="4"/>
    <x v="5"/>
    <x v="0"/>
    <x v="67"/>
    <s v="TEEN"/>
    <x v="1"/>
    <d v="2023-06-09T00:00:00"/>
    <x v="1"/>
    <x v="301"/>
    <n v="0"/>
  </r>
  <r>
    <x v="305"/>
    <x v="3"/>
    <x v="0"/>
    <x v="0"/>
    <x v="15"/>
    <x v="0"/>
    <x v="22"/>
    <s v="ADULT"/>
    <x v="0"/>
    <d v="2023-11-19T00:00:00"/>
    <x v="1"/>
    <x v="302"/>
    <n v="3"/>
  </r>
  <r>
    <x v="306"/>
    <x v="4"/>
    <x v="0"/>
    <x v="8"/>
    <x v="11"/>
    <x v="0"/>
    <x v="29"/>
    <s v="SENIOR"/>
    <x v="1"/>
    <d v="2023-07-04T00:00:00"/>
    <x v="0"/>
    <x v="303"/>
    <n v="5"/>
  </r>
  <r>
    <x v="307"/>
    <x v="4"/>
    <x v="0"/>
    <x v="4"/>
    <x v="25"/>
    <x v="1"/>
    <x v="40"/>
    <s v="SENIOR"/>
    <x v="0"/>
    <d v="2023-08-17T00:00:00"/>
    <x v="3"/>
    <x v="304"/>
    <n v="0"/>
  </r>
  <r>
    <x v="308"/>
    <x v="3"/>
    <x v="3"/>
    <x v="0"/>
    <x v="15"/>
    <x v="1"/>
    <x v="63"/>
    <s v="SENIOR"/>
    <x v="1"/>
    <d v="2023-09-12T00:00:00"/>
    <x v="4"/>
    <x v="305"/>
    <n v="10"/>
  </r>
  <r>
    <x v="309"/>
    <x v="0"/>
    <x v="4"/>
    <x v="1"/>
    <x v="32"/>
    <x v="0"/>
    <x v="0"/>
    <s v="SENIOR"/>
    <x v="0"/>
    <d v="2023-03-24T00:00:00"/>
    <x v="2"/>
    <x v="306"/>
    <n v="40"/>
  </r>
  <r>
    <x v="310"/>
    <x v="4"/>
    <x v="3"/>
    <x v="2"/>
    <x v="4"/>
    <x v="1"/>
    <x v="76"/>
    <s v="SENIOR"/>
    <x v="1"/>
    <d v="2023-05-21T00:00:00"/>
    <x v="1"/>
    <x v="307"/>
    <n v="0"/>
  </r>
  <r>
    <x v="311"/>
    <x v="1"/>
    <x v="4"/>
    <x v="9"/>
    <x v="34"/>
    <x v="0"/>
    <x v="91"/>
    <s v="ADULT"/>
    <x v="0"/>
    <d v="2023-11-07T00:00:00"/>
    <x v="1"/>
    <x v="308"/>
    <n v="5"/>
  </r>
  <r>
    <x v="312"/>
    <x v="5"/>
    <x v="5"/>
    <x v="1"/>
    <x v="1"/>
    <x v="0"/>
    <x v="46"/>
    <s v="ADULT"/>
    <x v="0"/>
    <d v="2023-09-14T00:00:00"/>
    <x v="4"/>
    <x v="309"/>
    <n v="5"/>
  </r>
  <r>
    <x v="313"/>
    <x v="4"/>
    <x v="6"/>
    <x v="8"/>
    <x v="13"/>
    <x v="0"/>
    <x v="65"/>
    <s v="CHILD"/>
    <x v="0"/>
    <d v="2024-03-18T00:00:00"/>
    <x v="2"/>
    <x v="310"/>
    <n v="0"/>
  </r>
  <r>
    <x v="314"/>
    <x v="3"/>
    <x v="1"/>
    <x v="9"/>
    <x v="28"/>
    <x v="0"/>
    <x v="68"/>
    <s v="ADULT"/>
    <x v="0"/>
    <d v="2024-03-06T00:00:00"/>
    <x v="3"/>
    <x v="311"/>
    <n v="0"/>
  </r>
  <r>
    <x v="315"/>
    <x v="2"/>
    <x v="0"/>
    <x v="1"/>
    <x v="32"/>
    <x v="1"/>
    <x v="90"/>
    <s v="CHILD"/>
    <x v="1"/>
    <d v="2023-03-24T00:00:00"/>
    <x v="4"/>
    <x v="312"/>
    <n v="10"/>
  </r>
  <r>
    <x v="316"/>
    <x v="3"/>
    <x v="4"/>
    <x v="7"/>
    <x v="10"/>
    <x v="0"/>
    <x v="40"/>
    <s v="SENIOR"/>
    <x v="1"/>
    <d v="2023-09-04T00:00:00"/>
    <x v="3"/>
    <x v="313"/>
    <n v="0"/>
  </r>
  <r>
    <x v="317"/>
    <x v="2"/>
    <x v="6"/>
    <x v="7"/>
    <x v="18"/>
    <x v="1"/>
    <x v="60"/>
    <s v="SENIOR"/>
    <x v="1"/>
    <d v="2024-01-26T00:00:00"/>
    <x v="0"/>
    <x v="314"/>
    <n v="0"/>
  </r>
  <r>
    <x v="318"/>
    <x v="0"/>
    <x v="4"/>
    <x v="3"/>
    <x v="22"/>
    <x v="2"/>
    <x v="46"/>
    <s v="ADULT"/>
    <x v="1"/>
    <d v="2023-03-05T00:00:00"/>
    <x v="3"/>
    <x v="315"/>
    <n v="0"/>
  </r>
  <r>
    <x v="319"/>
    <x v="2"/>
    <x v="0"/>
    <x v="2"/>
    <x v="14"/>
    <x v="0"/>
    <x v="89"/>
    <s v="SENIOR"/>
    <x v="0"/>
    <d v="2023-02-02T00:00:00"/>
    <x v="1"/>
    <x v="19"/>
    <n v="0"/>
  </r>
  <r>
    <x v="320"/>
    <x v="3"/>
    <x v="5"/>
    <x v="8"/>
    <x v="36"/>
    <x v="0"/>
    <x v="81"/>
    <s v="ADULT"/>
    <x v="0"/>
    <d v="2023-08-07T00:00:00"/>
    <x v="4"/>
    <x v="316"/>
    <n v="10"/>
  </r>
  <r>
    <x v="321"/>
    <x v="1"/>
    <x v="0"/>
    <x v="9"/>
    <x v="28"/>
    <x v="1"/>
    <x v="12"/>
    <s v="TEEN"/>
    <x v="1"/>
    <d v="2024-04-22T00:00:00"/>
    <x v="0"/>
    <x v="317"/>
    <n v="5"/>
  </r>
  <r>
    <x v="322"/>
    <x v="3"/>
    <x v="4"/>
    <x v="8"/>
    <x v="33"/>
    <x v="0"/>
    <x v="38"/>
    <s v="CHILD"/>
    <x v="0"/>
    <d v="2023-08-07T00:00:00"/>
    <x v="4"/>
    <x v="318"/>
    <n v="0"/>
  </r>
  <r>
    <x v="323"/>
    <x v="2"/>
    <x v="0"/>
    <x v="4"/>
    <x v="8"/>
    <x v="0"/>
    <x v="70"/>
    <s v="ADULT"/>
    <x v="0"/>
    <d v="2023-10-18T00:00:00"/>
    <x v="4"/>
    <x v="319"/>
    <n v="0"/>
  </r>
  <r>
    <x v="324"/>
    <x v="3"/>
    <x v="2"/>
    <x v="2"/>
    <x v="14"/>
    <x v="1"/>
    <x v="34"/>
    <s v="ADULT"/>
    <x v="1"/>
    <d v="2023-06-21T00:00:00"/>
    <x v="3"/>
    <x v="320"/>
    <n v="5"/>
  </r>
  <r>
    <x v="325"/>
    <x v="3"/>
    <x v="0"/>
    <x v="1"/>
    <x v="1"/>
    <x v="0"/>
    <x v="75"/>
    <s v="ADULT"/>
    <x v="1"/>
    <d v="2023-02-10T00:00:00"/>
    <x v="3"/>
    <x v="321"/>
    <n v="0"/>
  </r>
  <r>
    <x v="326"/>
    <x v="5"/>
    <x v="3"/>
    <x v="8"/>
    <x v="11"/>
    <x v="1"/>
    <x v="9"/>
    <s v="TEEN"/>
    <x v="1"/>
    <d v="2023-11-28T00:00:00"/>
    <x v="1"/>
    <x v="322"/>
    <n v="0"/>
  </r>
  <r>
    <x v="327"/>
    <x v="4"/>
    <x v="2"/>
    <x v="6"/>
    <x v="16"/>
    <x v="0"/>
    <x v="84"/>
    <s v="ADULT"/>
    <x v="1"/>
    <d v="2023-08-21T00:00:00"/>
    <x v="3"/>
    <x v="323"/>
    <n v="3"/>
  </r>
  <r>
    <x v="328"/>
    <x v="1"/>
    <x v="5"/>
    <x v="2"/>
    <x v="4"/>
    <x v="0"/>
    <x v="19"/>
    <s v="ADULT"/>
    <x v="0"/>
    <d v="2023-07-25T00:00:00"/>
    <x v="1"/>
    <x v="324"/>
    <n v="0"/>
  </r>
  <r>
    <x v="329"/>
    <x v="4"/>
    <x v="1"/>
    <x v="0"/>
    <x v="20"/>
    <x v="0"/>
    <x v="39"/>
    <s v="SENIOR"/>
    <x v="1"/>
    <d v="2023-05-30T00:00:00"/>
    <x v="0"/>
    <x v="325"/>
    <n v="0"/>
  </r>
  <r>
    <x v="330"/>
    <x v="4"/>
    <x v="7"/>
    <x v="4"/>
    <x v="8"/>
    <x v="1"/>
    <x v="5"/>
    <s v="TEEN"/>
    <x v="0"/>
    <d v="2023-05-03T00:00:00"/>
    <x v="1"/>
    <x v="326"/>
    <n v="0"/>
  </r>
  <r>
    <x v="331"/>
    <x v="2"/>
    <x v="6"/>
    <x v="7"/>
    <x v="30"/>
    <x v="0"/>
    <x v="11"/>
    <s v="ADULT"/>
    <x v="1"/>
    <d v="2024-04-09T00:00:00"/>
    <x v="1"/>
    <x v="327"/>
    <n v="0"/>
  </r>
  <r>
    <x v="332"/>
    <x v="3"/>
    <x v="3"/>
    <x v="8"/>
    <x v="33"/>
    <x v="1"/>
    <x v="32"/>
    <s v="SENIOR"/>
    <x v="0"/>
    <d v="2023-08-15T00:00:00"/>
    <x v="0"/>
    <x v="328"/>
    <n v="0"/>
  </r>
  <r>
    <x v="333"/>
    <x v="1"/>
    <x v="2"/>
    <x v="3"/>
    <x v="3"/>
    <x v="0"/>
    <x v="45"/>
    <s v="ADULT"/>
    <x v="1"/>
    <d v="2023-12-07T00:00:00"/>
    <x v="1"/>
    <x v="329"/>
    <n v="5"/>
  </r>
  <r>
    <x v="334"/>
    <x v="2"/>
    <x v="4"/>
    <x v="6"/>
    <x v="9"/>
    <x v="0"/>
    <x v="37"/>
    <s v="ADULT"/>
    <x v="1"/>
    <d v="2023-06-14T00:00:00"/>
    <x v="3"/>
    <x v="330"/>
    <n v="3"/>
  </r>
  <r>
    <x v="335"/>
    <x v="4"/>
    <x v="2"/>
    <x v="1"/>
    <x v="32"/>
    <x v="0"/>
    <x v="73"/>
    <s v="SENIOR"/>
    <x v="0"/>
    <d v="2023-05-20T00:00:00"/>
    <x v="0"/>
    <x v="331"/>
    <n v="0"/>
  </r>
  <r>
    <x v="336"/>
    <x v="4"/>
    <x v="0"/>
    <x v="7"/>
    <x v="38"/>
    <x v="0"/>
    <x v="1"/>
    <s v="CHILD"/>
    <x v="1"/>
    <d v="2023-03-09T00:00:00"/>
    <x v="0"/>
    <x v="332"/>
    <n v="0"/>
  </r>
  <r>
    <x v="337"/>
    <x v="2"/>
    <x v="0"/>
    <x v="2"/>
    <x v="4"/>
    <x v="0"/>
    <x v="88"/>
    <s v="ADULT"/>
    <x v="0"/>
    <d v="2024-03-12T00:00:00"/>
    <x v="1"/>
    <x v="333"/>
    <n v="3"/>
  </r>
  <r>
    <x v="338"/>
    <x v="5"/>
    <x v="4"/>
    <x v="3"/>
    <x v="3"/>
    <x v="1"/>
    <x v="57"/>
    <s v="ADULT"/>
    <x v="0"/>
    <d v="2024-01-12T00:00:00"/>
    <x v="1"/>
    <x v="334"/>
    <n v="10"/>
  </r>
  <r>
    <x v="339"/>
    <x v="1"/>
    <x v="2"/>
    <x v="5"/>
    <x v="6"/>
    <x v="0"/>
    <x v="23"/>
    <s v="ADULT"/>
    <x v="1"/>
    <d v="2023-10-28T00:00:00"/>
    <x v="0"/>
    <x v="335"/>
    <n v="10"/>
  </r>
  <r>
    <x v="340"/>
    <x v="5"/>
    <x v="5"/>
    <x v="0"/>
    <x v="27"/>
    <x v="0"/>
    <x v="74"/>
    <s v="ADULT"/>
    <x v="1"/>
    <d v="2023-12-01T00:00:00"/>
    <x v="0"/>
    <x v="336"/>
    <n v="10"/>
  </r>
  <r>
    <x v="341"/>
    <x v="0"/>
    <x v="6"/>
    <x v="7"/>
    <x v="18"/>
    <x v="1"/>
    <x v="79"/>
    <s v="SENIOR"/>
    <x v="1"/>
    <d v="2023-11-03T00:00:00"/>
    <x v="4"/>
    <x v="337"/>
    <n v="0"/>
  </r>
  <r>
    <x v="342"/>
    <x v="0"/>
    <x v="6"/>
    <x v="8"/>
    <x v="33"/>
    <x v="0"/>
    <x v="4"/>
    <s v="CHILD"/>
    <x v="0"/>
    <d v="2024-04-08T00:00:00"/>
    <x v="5"/>
    <x v="338"/>
    <n v="5"/>
  </r>
  <r>
    <x v="343"/>
    <x v="1"/>
    <x v="3"/>
    <x v="4"/>
    <x v="8"/>
    <x v="0"/>
    <x v="68"/>
    <s v="ADULT"/>
    <x v="0"/>
    <d v="2023-04-18T00:00:00"/>
    <x v="0"/>
    <x v="339"/>
    <n v="0"/>
  </r>
  <r>
    <x v="344"/>
    <x v="4"/>
    <x v="3"/>
    <x v="8"/>
    <x v="33"/>
    <x v="0"/>
    <x v="67"/>
    <s v="TEEN"/>
    <x v="0"/>
    <d v="2023-12-12T00:00:00"/>
    <x v="2"/>
    <x v="340"/>
    <n v="15"/>
  </r>
  <r>
    <x v="345"/>
    <x v="4"/>
    <x v="2"/>
    <x v="6"/>
    <x v="16"/>
    <x v="0"/>
    <x v="89"/>
    <s v="SENIOR"/>
    <x v="1"/>
    <d v="2023-03-26T00:00:00"/>
    <x v="0"/>
    <x v="341"/>
    <n v="5"/>
  </r>
  <r>
    <x v="346"/>
    <x v="5"/>
    <x v="2"/>
    <x v="6"/>
    <x v="12"/>
    <x v="0"/>
    <x v="84"/>
    <s v="ADULT"/>
    <x v="1"/>
    <d v="2023-09-14T00:00:00"/>
    <x v="4"/>
    <x v="342"/>
    <n v="0"/>
  </r>
  <r>
    <x v="347"/>
    <x v="5"/>
    <x v="1"/>
    <x v="4"/>
    <x v="7"/>
    <x v="0"/>
    <x v="58"/>
    <s v="SENIOR"/>
    <x v="1"/>
    <d v="2024-01-16T00:00:00"/>
    <x v="0"/>
    <x v="343"/>
    <n v="10"/>
  </r>
  <r>
    <x v="348"/>
    <x v="4"/>
    <x v="1"/>
    <x v="8"/>
    <x v="13"/>
    <x v="0"/>
    <x v="81"/>
    <s v="ADULT"/>
    <x v="0"/>
    <d v="2023-04-01T00:00:00"/>
    <x v="0"/>
    <x v="344"/>
    <n v="10"/>
  </r>
  <r>
    <x v="349"/>
    <x v="0"/>
    <x v="3"/>
    <x v="3"/>
    <x v="39"/>
    <x v="0"/>
    <x v="20"/>
    <s v="CHILD"/>
    <x v="0"/>
    <d v="2024-01-04T00:00:00"/>
    <x v="3"/>
    <x v="345"/>
    <n v="0"/>
  </r>
  <r>
    <x v="350"/>
    <x v="5"/>
    <x v="5"/>
    <x v="6"/>
    <x v="26"/>
    <x v="1"/>
    <x v="70"/>
    <s v="ADULT"/>
    <x v="0"/>
    <d v="2024-04-18T00:00:00"/>
    <x v="1"/>
    <x v="346"/>
    <n v="10"/>
  </r>
  <r>
    <x v="351"/>
    <x v="5"/>
    <x v="2"/>
    <x v="1"/>
    <x v="31"/>
    <x v="0"/>
    <x v="67"/>
    <s v="TEEN"/>
    <x v="1"/>
    <d v="2023-06-06T00:00:00"/>
    <x v="0"/>
    <x v="347"/>
    <n v="5"/>
  </r>
  <r>
    <x v="352"/>
    <x v="3"/>
    <x v="3"/>
    <x v="0"/>
    <x v="15"/>
    <x v="0"/>
    <x v="8"/>
    <s v="ADULT"/>
    <x v="0"/>
    <d v="2024-01-27T00:00:00"/>
    <x v="2"/>
    <x v="348"/>
    <n v="15"/>
  </r>
  <r>
    <x v="353"/>
    <x v="1"/>
    <x v="1"/>
    <x v="5"/>
    <x v="24"/>
    <x v="0"/>
    <x v="57"/>
    <s v="ADULT"/>
    <x v="0"/>
    <d v="2023-10-24T00:00:00"/>
    <x v="2"/>
    <x v="349"/>
    <n v="18"/>
  </r>
  <r>
    <x v="354"/>
    <x v="1"/>
    <x v="0"/>
    <x v="4"/>
    <x v="7"/>
    <x v="0"/>
    <x v="79"/>
    <s v="SENIOR"/>
    <x v="1"/>
    <d v="2024-03-03T00:00:00"/>
    <x v="0"/>
    <x v="350"/>
    <n v="0"/>
  </r>
  <r>
    <x v="355"/>
    <x v="5"/>
    <x v="5"/>
    <x v="4"/>
    <x v="8"/>
    <x v="0"/>
    <x v="8"/>
    <s v="ADULT"/>
    <x v="1"/>
    <d v="2023-10-28T00:00:00"/>
    <x v="3"/>
    <x v="351"/>
    <n v="0"/>
  </r>
  <r>
    <x v="356"/>
    <x v="4"/>
    <x v="1"/>
    <x v="6"/>
    <x v="16"/>
    <x v="0"/>
    <x v="55"/>
    <s v="SENIOR"/>
    <x v="1"/>
    <d v="2023-11-01T00:00:00"/>
    <x v="0"/>
    <x v="352"/>
    <n v="5"/>
  </r>
  <r>
    <x v="357"/>
    <x v="2"/>
    <x v="5"/>
    <x v="4"/>
    <x v="7"/>
    <x v="0"/>
    <x v="90"/>
    <s v="CHILD"/>
    <x v="0"/>
    <d v="2024-03-21T00:00:00"/>
    <x v="1"/>
    <x v="353"/>
    <n v="0"/>
  </r>
  <r>
    <x v="358"/>
    <x v="0"/>
    <x v="6"/>
    <x v="1"/>
    <x v="31"/>
    <x v="0"/>
    <x v="5"/>
    <s v="TEEN"/>
    <x v="1"/>
    <d v="2024-03-18T00:00:00"/>
    <x v="0"/>
    <x v="354"/>
    <n v="0"/>
  </r>
  <r>
    <x v="359"/>
    <x v="3"/>
    <x v="3"/>
    <x v="0"/>
    <x v="20"/>
    <x v="0"/>
    <x v="70"/>
    <s v="ADULT"/>
    <x v="1"/>
    <d v="2023-02-07T00:00:00"/>
    <x v="4"/>
    <x v="355"/>
    <n v="5"/>
  </r>
  <r>
    <x v="360"/>
    <x v="5"/>
    <x v="2"/>
    <x v="9"/>
    <x v="28"/>
    <x v="0"/>
    <x v="32"/>
    <s v="SENIOR"/>
    <x v="0"/>
    <d v="2024-03-18T00:00:00"/>
    <x v="2"/>
    <x v="356"/>
    <n v="5"/>
  </r>
  <r>
    <x v="361"/>
    <x v="2"/>
    <x v="2"/>
    <x v="7"/>
    <x v="30"/>
    <x v="1"/>
    <x v="46"/>
    <s v="ADULT"/>
    <x v="1"/>
    <d v="2023-11-26T00:00:00"/>
    <x v="1"/>
    <x v="357"/>
    <n v="0"/>
  </r>
  <r>
    <x v="362"/>
    <x v="3"/>
    <x v="0"/>
    <x v="9"/>
    <x v="34"/>
    <x v="0"/>
    <x v="76"/>
    <s v="SENIOR"/>
    <x v="1"/>
    <d v="2024-02-18T00:00:00"/>
    <x v="1"/>
    <x v="358"/>
    <n v="0"/>
  </r>
  <r>
    <x v="363"/>
    <x v="4"/>
    <x v="0"/>
    <x v="3"/>
    <x v="37"/>
    <x v="0"/>
    <x v="9"/>
    <s v="TEEN"/>
    <x v="0"/>
    <d v="2023-08-26T00:00:00"/>
    <x v="1"/>
    <x v="359"/>
    <n v="5"/>
  </r>
  <r>
    <x v="364"/>
    <x v="4"/>
    <x v="4"/>
    <x v="0"/>
    <x v="27"/>
    <x v="1"/>
    <x v="18"/>
    <s v="ADULT"/>
    <x v="0"/>
    <d v="2024-03-23T00:00:00"/>
    <x v="4"/>
    <x v="360"/>
    <n v="0"/>
  </r>
  <r>
    <x v="365"/>
    <x v="2"/>
    <x v="5"/>
    <x v="1"/>
    <x v="1"/>
    <x v="0"/>
    <x v="14"/>
    <s v="SENIOR"/>
    <x v="1"/>
    <d v="2023-12-06T00:00:00"/>
    <x v="3"/>
    <x v="361"/>
    <n v="0"/>
  </r>
  <r>
    <x v="366"/>
    <x v="3"/>
    <x v="4"/>
    <x v="2"/>
    <x v="14"/>
    <x v="1"/>
    <x v="52"/>
    <s v="ADULT"/>
    <x v="0"/>
    <d v="2023-04-24T00:00:00"/>
    <x v="4"/>
    <x v="362"/>
    <n v="0"/>
  </r>
  <r>
    <x v="367"/>
    <x v="5"/>
    <x v="5"/>
    <x v="3"/>
    <x v="22"/>
    <x v="0"/>
    <x v="76"/>
    <s v="SENIOR"/>
    <x v="1"/>
    <d v="2023-07-29T00:00:00"/>
    <x v="1"/>
    <x v="363"/>
    <n v="10"/>
  </r>
  <r>
    <x v="368"/>
    <x v="4"/>
    <x v="5"/>
    <x v="7"/>
    <x v="10"/>
    <x v="0"/>
    <x v="30"/>
    <s v="ADULT"/>
    <x v="0"/>
    <d v="2023-06-16T00:00:00"/>
    <x v="0"/>
    <x v="364"/>
    <n v="10"/>
  </r>
  <r>
    <x v="369"/>
    <x v="3"/>
    <x v="3"/>
    <x v="6"/>
    <x v="9"/>
    <x v="0"/>
    <x v="86"/>
    <s v="SENIOR"/>
    <x v="0"/>
    <d v="2023-11-01T00:00:00"/>
    <x v="1"/>
    <x v="365"/>
    <n v="3"/>
  </r>
  <r>
    <x v="370"/>
    <x v="2"/>
    <x v="7"/>
    <x v="8"/>
    <x v="33"/>
    <x v="1"/>
    <x v="73"/>
    <s v="SENIOR"/>
    <x v="0"/>
    <d v="2024-04-20T00:00:00"/>
    <x v="4"/>
    <x v="366"/>
    <n v="3"/>
  </r>
  <r>
    <x v="371"/>
    <x v="1"/>
    <x v="4"/>
    <x v="9"/>
    <x v="28"/>
    <x v="1"/>
    <x v="22"/>
    <s v="ADULT"/>
    <x v="1"/>
    <d v="2023-07-11T00:00:00"/>
    <x v="0"/>
    <x v="367"/>
    <n v="5"/>
  </r>
  <r>
    <x v="372"/>
    <x v="0"/>
    <x v="6"/>
    <x v="9"/>
    <x v="34"/>
    <x v="0"/>
    <x v="78"/>
    <s v="ADULT"/>
    <x v="0"/>
    <d v="2024-04-01T00:00:00"/>
    <x v="0"/>
    <x v="368"/>
    <n v="10"/>
  </r>
  <r>
    <x v="373"/>
    <x v="2"/>
    <x v="2"/>
    <x v="7"/>
    <x v="10"/>
    <x v="1"/>
    <x v="48"/>
    <s v="SENIOR"/>
    <x v="0"/>
    <d v="2023-04-25T00:00:00"/>
    <x v="1"/>
    <x v="369"/>
    <n v="5"/>
  </r>
  <r>
    <x v="374"/>
    <x v="2"/>
    <x v="4"/>
    <x v="7"/>
    <x v="38"/>
    <x v="0"/>
    <x v="59"/>
    <s v="TEEN"/>
    <x v="1"/>
    <d v="2023-07-26T00:00:00"/>
    <x v="0"/>
    <x v="370"/>
    <n v="10"/>
  </r>
  <r>
    <x v="375"/>
    <x v="5"/>
    <x v="5"/>
    <x v="1"/>
    <x v="1"/>
    <x v="0"/>
    <x v="15"/>
    <s v="SENIOR"/>
    <x v="0"/>
    <d v="2023-11-18T00:00:00"/>
    <x v="1"/>
    <x v="371"/>
    <n v="5"/>
  </r>
  <r>
    <x v="376"/>
    <x v="2"/>
    <x v="1"/>
    <x v="3"/>
    <x v="3"/>
    <x v="0"/>
    <x v="39"/>
    <s v="SENIOR"/>
    <x v="1"/>
    <d v="2023-06-16T00:00:00"/>
    <x v="1"/>
    <x v="372"/>
    <n v="0"/>
  </r>
  <r>
    <x v="377"/>
    <x v="4"/>
    <x v="5"/>
    <x v="5"/>
    <x v="17"/>
    <x v="1"/>
    <x v="79"/>
    <s v="SENIOR"/>
    <x v="0"/>
    <d v="2023-06-12T00:00:00"/>
    <x v="1"/>
    <x v="373"/>
    <n v="0"/>
  </r>
  <r>
    <x v="378"/>
    <x v="4"/>
    <x v="3"/>
    <x v="1"/>
    <x v="31"/>
    <x v="1"/>
    <x v="55"/>
    <s v="SENIOR"/>
    <x v="1"/>
    <d v="2024-02-21T00:00:00"/>
    <x v="0"/>
    <x v="374"/>
    <n v="5"/>
  </r>
  <r>
    <x v="379"/>
    <x v="3"/>
    <x v="4"/>
    <x v="1"/>
    <x v="35"/>
    <x v="1"/>
    <x v="75"/>
    <s v="ADULT"/>
    <x v="0"/>
    <d v="2023-11-19T00:00:00"/>
    <x v="2"/>
    <x v="375"/>
    <n v="0"/>
  </r>
  <r>
    <x v="380"/>
    <x v="5"/>
    <x v="2"/>
    <x v="1"/>
    <x v="31"/>
    <x v="2"/>
    <x v="90"/>
    <s v="CHILD"/>
    <x v="1"/>
    <d v="2024-03-15T00:00:00"/>
    <x v="3"/>
    <x v="376"/>
    <n v="5"/>
  </r>
  <r>
    <x v="381"/>
    <x v="5"/>
    <x v="5"/>
    <x v="0"/>
    <x v="0"/>
    <x v="0"/>
    <x v="27"/>
    <s v="SENIOR"/>
    <x v="0"/>
    <d v="2023-07-27T00:00:00"/>
    <x v="0"/>
    <x v="377"/>
    <n v="0"/>
  </r>
  <r>
    <x v="382"/>
    <x v="0"/>
    <x v="7"/>
    <x v="3"/>
    <x v="37"/>
    <x v="0"/>
    <x v="56"/>
    <s v="SENIOR"/>
    <x v="1"/>
    <d v="2023-06-29T00:00:00"/>
    <x v="3"/>
    <x v="378"/>
    <n v="0"/>
  </r>
  <r>
    <x v="383"/>
    <x v="1"/>
    <x v="4"/>
    <x v="3"/>
    <x v="39"/>
    <x v="0"/>
    <x v="2"/>
    <s v="SENIOR"/>
    <x v="1"/>
    <d v="2023-09-02T00:00:00"/>
    <x v="3"/>
    <x v="379"/>
    <n v="3"/>
  </r>
  <r>
    <x v="384"/>
    <x v="4"/>
    <x v="7"/>
    <x v="1"/>
    <x v="1"/>
    <x v="1"/>
    <x v="11"/>
    <s v="ADULT"/>
    <x v="1"/>
    <d v="2023-07-15T00:00:00"/>
    <x v="2"/>
    <x v="380"/>
    <n v="40"/>
  </r>
  <r>
    <x v="385"/>
    <x v="3"/>
    <x v="2"/>
    <x v="7"/>
    <x v="18"/>
    <x v="1"/>
    <x v="13"/>
    <s v="ADULT"/>
    <x v="0"/>
    <d v="2024-02-01T00:00:00"/>
    <x v="5"/>
    <x v="381"/>
    <n v="0"/>
  </r>
  <r>
    <x v="386"/>
    <x v="3"/>
    <x v="4"/>
    <x v="6"/>
    <x v="26"/>
    <x v="0"/>
    <x v="67"/>
    <s v="TEEN"/>
    <x v="0"/>
    <d v="2023-10-05T00:00:00"/>
    <x v="3"/>
    <x v="382"/>
    <n v="0"/>
  </r>
  <r>
    <x v="387"/>
    <x v="3"/>
    <x v="2"/>
    <x v="4"/>
    <x v="7"/>
    <x v="2"/>
    <x v="84"/>
    <s v="ADULT"/>
    <x v="0"/>
    <d v="2024-04-04T00:00:00"/>
    <x v="3"/>
    <x v="383"/>
    <n v="0"/>
  </r>
  <r>
    <x v="388"/>
    <x v="4"/>
    <x v="4"/>
    <x v="4"/>
    <x v="5"/>
    <x v="0"/>
    <x v="67"/>
    <s v="TEEN"/>
    <x v="0"/>
    <d v="2024-03-16T00:00:00"/>
    <x v="3"/>
    <x v="384"/>
    <n v="0"/>
  </r>
  <r>
    <x v="389"/>
    <x v="3"/>
    <x v="5"/>
    <x v="2"/>
    <x v="2"/>
    <x v="0"/>
    <x v="76"/>
    <s v="SENIOR"/>
    <x v="1"/>
    <d v="2023-08-15T00:00:00"/>
    <x v="1"/>
    <x v="385"/>
    <n v="0"/>
  </r>
  <r>
    <x v="390"/>
    <x v="4"/>
    <x v="4"/>
    <x v="8"/>
    <x v="36"/>
    <x v="0"/>
    <x v="55"/>
    <s v="SENIOR"/>
    <x v="1"/>
    <d v="2023-03-01T00:00:00"/>
    <x v="4"/>
    <x v="386"/>
    <n v="0"/>
  </r>
  <r>
    <x v="391"/>
    <x v="4"/>
    <x v="0"/>
    <x v="0"/>
    <x v="0"/>
    <x v="0"/>
    <x v="61"/>
    <s v="ADULT"/>
    <x v="1"/>
    <d v="2023-06-16T00:00:00"/>
    <x v="4"/>
    <x v="387"/>
    <n v="0"/>
  </r>
  <r>
    <x v="392"/>
    <x v="3"/>
    <x v="6"/>
    <x v="8"/>
    <x v="11"/>
    <x v="1"/>
    <x v="87"/>
    <s v="ADULT"/>
    <x v="0"/>
    <d v="2023-04-29T00:00:00"/>
    <x v="0"/>
    <x v="388"/>
    <n v="0"/>
  </r>
  <r>
    <x v="393"/>
    <x v="0"/>
    <x v="4"/>
    <x v="8"/>
    <x v="13"/>
    <x v="1"/>
    <x v="54"/>
    <s v="ADULT"/>
    <x v="0"/>
    <d v="2023-03-07T00:00:00"/>
    <x v="1"/>
    <x v="389"/>
    <n v="5"/>
  </r>
  <r>
    <x v="394"/>
    <x v="2"/>
    <x v="5"/>
    <x v="6"/>
    <x v="26"/>
    <x v="0"/>
    <x v="91"/>
    <s v="ADULT"/>
    <x v="0"/>
    <d v="2024-02-24T00:00:00"/>
    <x v="1"/>
    <x v="390"/>
    <n v="5"/>
  </r>
  <r>
    <x v="395"/>
    <x v="4"/>
    <x v="1"/>
    <x v="8"/>
    <x v="36"/>
    <x v="0"/>
    <x v="69"/>
    <s v="SENIOR"/>
    <x v="1"/>
    <d v="2024-03-31T00:00:00"/>
    <x v="1"/>
    <x v="391"/>
    <n v="0"/>
  </r>
  <r>
    <x v="396"/>
    <x v="5"/>
    <x v="4"/>
    <x v="2"/>
    <x v="23"/>
    <x v="0"/>
    <x v="88"/>
    <s v="ADULT"/>
    <x v="0"/>
    <d v="2023-07-17T00:00:00"/>
    <x v="1"/>
    <x v="392"/>
    <n v="10"/>
  </r>
  <r>
    <x v="397"/>
    <x v="2"/>
    <x v="7"/>
    <x v="2"/>
    <x v="4"/>
    <x v="1"/>
    <x v="28"/>
    <s v="SENIOR"/>
    <x v="0"/>
    <d v="2023-08-15T00:00:00"/>
    <x v="1"/>
    <x v="393"/>
    <n v="0"/>
  </r>
  <r>
    <x v="398"/>
    <x v="1"/>
    <x v="5"/>
    <x v="2"/>
    <x v="2"/>
    <x v="0"/>
    <x v="19"/>
    <s v="ADULT"/>
    <x v="0"/>
    <d v="2023-01-23T00:00:00"/>
    <x v="3"/>
    <x v="394"/>
    <n v="0"/>
  </r>
  <r>
    <x v="399"/>
    <x v="0"/>
    <x v="0"/>
    <x v="7"/>
    <x v="30"/>
    <x v="0"/>
    <x v="67"/>
    <s v="TEEN"/>
    <x v="0"/>
    <d v="2024-01-01T00:00:00"/>
    <x v="0"/>
    <x v="395"/>
    <n v="0"/>
  </r>
  <r>
    <x v="400"/>
    <x v="3"/>
    <x v="3"/>
    <x v="0"/>
    <x v="15"/>
    <x v="0"/>
    <x v="16"/>
    <s v="ADULT"/>
    <x v="1"/>
    <d v="2024-03-20T00:00:00"/>
    <x v="0"/>
    <x v="396"/>
    <n v="10"/>
  </r>
  <r>
    <x v="401"/>
    <x v="4"/>
    <x v="3"/>
    <x v="6"/>
    <x v="16"/>
    <x v="0"/>
    <x v="25"/>
    <s v="CHILD"/>
    <x v="0"/>
    <d v="2023-10-22T00:00:00"/>
    <x v="4"/>
    <x v="397"/>
    <n v="0"/>
  </r>
  <r>
    <x v="402"/>
    <x v="4"/>
    <x v="2"/>
    <x v="7"/>
    <x v="38"/>
    <x v="0"/>
    <x v="56"/>
    <s v="SENIOR"/>
    <x v="0"/>
    <d v="2023-12-22T00:00:00"/>
    <x v="1"/>
    <x v="398"/>
    <n v="10"/>
  </r>
  <r>
    <x v="403"/>
    <x v="1"/>
    <x v="6"/>
    <x v="3"/>
    <x v="22"/>
    <x v="0"/>
    <x v="87"/>
    <s v="ADULT"/>
    <x v="0"/>
    <d v="2023-01-12T00:00:00"/>
    <x v="1"/>
    <x v="399"/>
    <n v="0"/>
  </r>
  <r>
    <x v="404"/>
    <x v="0"/>
    <x v="0"/>
    <x v="8"/>
    <x v="33"/>
    <x v="0"/>
    <x v="44"/>
    <s v="SENIOR"/>
    <x v="1"/>
    <d v="2024-04-25T00:00:00"/>
    <x v="2"/>
    <x v="400"/>
    <n v="18"/>
  </r>
  <r>
    <x v="405"/>
    <x v="4"/>
    <x v="7"/>
    <x v="1"/>
    <x v="31"/>
    <x v="0"/>
    <x v="84"/>
    <s v="ADULT"/>
    <x v="0"/>
    <d v="2023-01-13T00:00:00"/>
    <x v="2"/>
    <x v="401"/>
    <n v="15"/>
  </r>
  <r>
    <x v="406"/>
    <x v="0"/>
    <x v="1"/>
    <x v="6"/>
    <x v="12"/>
    <x v="0"/>
    <x v="28"/>
    <s v="SENIOR"/>
    <x v="0"/>
    <d v="2023-07-07T00:00:00"/>
    <x v="0"/>
    <x v="402"/>
    <n v="3"/>
  </r>
  <r>
    <x v="407"/>
    <x v="2"/>
    <x v="2"/>
    <x v="5"/>
    <x v="6"/>
    <x v="0"/>
    <x v="42"/>
    <s v="CHILD"/>
    <x v="1"/>
    <d v="2023-12-25T00:00:00"/>
    <x v="0"/>
    <x v="403"/>
    <n v="0"/>
  </r>
  <r>
    <x v="408"/>
    <x v="4"/>
    <x v="2"/>
    <x v="0"/>
    <x v="20"/>
    <x v="0"/>
    <x v="25"/>
    <s v="CHILD"/>
    <x v="0"/>
    <d v="2023-06-28T00:00:00"/>
    <x v="2"/>
    <x v="404"/>
    <n v="35"/>
  </r>
  <r>
    <x v="409"/>
    <x v="2"/>
    <x v="5"/>
    <x v="1"/>
    <x v="31"/>
    <x v="0"/>
    <x v="87"/>
    <s v="ADULT"/>
    <x v="1"/>
    <d v="2024-01-31T00:00:00"/>
    <x v="0"/>
    <x v="405"/>
    <n v="10"/>
  </r>
  <r>
    <x v="410"/>
    <x v="4"/>
    <x v="6"/>
    <x v="1"/>
    <x v="1"/>
    <x v="0"/>
    <x v="32"/>
    <s v="SENIOR"/>
    <x v="1"/>
    <d v="2023-11-25T00:00:00"/>
    <x v="1"/>
    <x v="406"/>
    <n v="0"/>
  </r>
  <r>
    <x v="411"/>
    <x v="5"/>
    <x v="6"/>
    <x v="5"/>
    <x v="24"/>
    <x v="0"/>
    <x v="35"/>
    <s v="ADULT"/>
    <x v="1"/>
    <d v="2023-04-01T00:00:00"/>
    <x v="4"/>
    <x v="407"/>
    <n v="0"/>
  </r>
  <r>
    <x v="412"/>
    <x v="4"/>
    <x v="7"/>
    <x v="3"/>
    <x v="22"/>
    <x v="0"/>
    <x v="24"/>
    <s v="SENIOR"/>
    <x v="1"/>
    <d v="2024-02-22T00:00:00"/>
    <x v="5"/>
    <x v="408"/>
    <n v="18"/>
  </r>
  <r>
    <x v="413"/>
    <x v="5"/>
    <x v="2"/>
    <x v="1"/>
    <x v="35"/>
    <x v="0"/>
    <x v="7"/>
    <s v="TEEN"/>
    <x v="1"/>
    <d v="2023-07-31T00:00:00"/>
    <x v="5"/>
    <x v="409"/>
    <n v="0"/>
  </r>
  <r>
    <x v="414"/>
    <x v="5"/>
    <x v="7"/>
    <x v="0"/>
    <x v="15"/>
    <x v="0"/>
    <x v="86"/>
    <s v="SENIOR"/>
    <x v="1"/>
    <d v="2024-02-15T00:00:00"/>
    <x v="1"/>
    <x v="410"/>
    <n v="3"/>
  </r>
  <r>
    <x v="415"/>
    <x v="0"/>
    <x v="1"/>
    <x v="6"/>
    <x v="12"/>
    <x v="1"/>
    <x v="83"/>
    <s v="CHILD"/>
    <x v="0"/>
    <d v="2023-04-29T00:00:00"/>
    <x v="1"/>
    <x v="411"/>
    <n v="5"/>
  </r>
  <r>
    <x v="416"/>
    <x v="4"/>
    <x v="2"/>
    <x v="0"/>
    <x v="27"/>
    <x v="1"/>
    <x v="32"/>
    <s v="SENIOR"/>
    <x v="1"/>
    <d v="2023-11-01T00:00:00"/>
    <x v="0"/>
    <x v="412"/>
    <n v="0"/>
  </r>
  <r>
    <x v="417"/>
    <x v="2"/>
    <x v="6"/>
    <x v="8"/>
    <x v="13"/>
    <x v="0"/>
    <x v="77"/>
    <s v="SENIOR"/>
    <x v="1"/>
    <d v="2023-01-25T00:00:00"/>
    <x v="3"/>
    <x v="413"/>
    <n v="3"/>
  </r>
  <r>
    <x v="418"/>
    <x v="5"/>
    <x v="1"/>
    <x v="0"/>
    <x v="15"/>
    <x v="0"/>
    <x v="10"/>
    <s v="TEEN"/>
    <x v="1"/>
    <d v="2023-05-14T00:00:00"/>
    <x v="0"/>
    <x v="414"/>
    <n v="0"/>
  </r>
  <r>
    <x v="419"/>
    <x v="1"/>
    <x v="1"/>
    <x v="2"/>
    <x v="2"/>
    <x v="2"/>
    <x v="65"/>
    <s v="CHILD"/>
    <x v="1"/>
    <d v="2023-05-27T00:00:00"/>
    <x v="2"/>
    <x v="415"/>
    <n v="15"/>
  </r>
  <r>
    <x v="420"/>
    <x v="5"/>
    <x v="6"/>
    <x v="0"/>
    <x v="0"/>
    <x v="0"/>
    <x v="5"/>
    <s v="TEEN"/>
    <x v="0"/>
    <d v="2023-10-31T00:00:00"/>
    <x v="0"/>
    <x v="416"/>
    <n v="0"/>
  </r>
  <r>
    <x v="421"/>
    <x v="1"/>
    <x v="6"/>
    <x v="3"/>
    <x v="22"/>
    <x v="0"/>
    <x v="54"/>
    <s v="ADULT"/>
    <x v="1"/>
    <d v="2023-09-15T00:00:00"/>
    <x v="1"/>
    <x v="417"/>
    <n v="0"/>
  </r>
  <r>
    <x v="422"/>
    <x v="2"/>
    <x v="3"/>
    <x v="8"/>
    <x v="33"/>
    <x v="2"/>
    <x v="37"/>
    <s v="ADULT"/>
    <x v="1"/>
    <d v="2024-04-24T00:00:00"/>
    <x v="1"/>
    <x v="337"/>
    <n v="0"/>
  </r>
  <r>
    <x v="423"/>
    <x v="0"/>
    <x v="0"/>
    <x v="6"/>
    <x v="9"/>
    <x v="0"/>
    <x v="18"/>
    <s v="ADULT"/>
    <x v="1"/>
    <d v="2023-03-21T00:00:00"/>
    <x v="2"/>
    <x v="418"/>
    <n v="19"/>
  </r>
  <r>
    <x v="424"/>
    <x v="2"/>
    <x v="3"/>
    <x v="4"/>
    <x v="5"/>
    <x v="1"/>
    <x v="87"/>
    <s v="ADULT"/>
    <x v="1"/>
    <d v="2024-02-01T00:00:00"/>
    <x v="2"/>
    <x v="419"/>
    <n v="12"/>
  </r>
  <r>
    <x v="425"/>
    <x v="4"/>
    <x v="2"/>
    <x v="0"/>
    <x v="27"/>
    <x v="1"/>
    <x v="80"/>
    <s v="SENIOR"/>
    <x v="1"/>
    <d v="2023-09-20T00:00:00"/>
    <x v="4"/>
    <x v="420"/>
    <n v="10"/>
  </r>
  <r>
    <x v="426"/>
    <x v="4"/>
    <x v="4"/>
    <x v="4"/>
    <x v="8"/>
    <x v="1"/>
    <x v="68"/>
    <s v="ADULT"/>
    <x v="0"/>
    <d v="2023-09-13T00:00:00"/>
    <x v="3"/>
    <x v="421"/>
    <n v="0"/>
  </r>
  <r>
    <x v="427"/>
    <x v="4"/>
    <x v="1"/>
    <x v="3"/>
    <x v="39"/>
    <x v="0"/>
    <x v="55"/>
    <s v="SENIOR"/>
    <x v="0"/>
    <d v="2024-03-19T00:00:00"/>
    <x v="4"/>
    <x v="422"/>
    <n v="0"/>
  </r>
  <r>
    <x v="428"/>
    <x v="0"/>
    <x v="1"/>
    <x v="0"/>
    <x v="27"/>
    <x v="1"/>
    <x v="59"/>
    <s v="TEEN"/>
    <x v="1"/>
    <d v="2023-04-12T00:00:00"/>
    <x v="1"/>
    <x v="423"/>
    <n v="0"/>
  </r>
  <r>
    <x v="429"/>
    <x v="2"/>
    <x v="4"/>
    <x v="2"/>
    <x v="4"/>
    <x v="0"/>
    <x v="13"/>
    <s v="ADULT"/>
    <x v="0"/>
    <d v="2024-03-23T00:00:00"/>
    <x v="0"/>
    <x v="424"/>
    <n v="0"/>
  </r>
  <r>
    <x v="430"/>
    <x v="1"/>
    <x v="6"/>
    <x v="4"/>
    <x v="8"/>
    <x v="0"/>
    <x v="10"/>
    <s v="TEEN"/>
    <x v="0"/>
    <d v="2023-11-05T00:00:00"/>
    <x v="1"/>
    <x v="425"/>
    <n v="0"/>
  </r>
  <r>
    <x v="431"/>
    <x v="5"/>
    <x v="0"/>
    <x v="6"/>
    <x v="9"/>
    <x v="0"/>
    <x v="18"/>
    <s v="ADULT"/>
    <x v="1"/>
    <d v="2023-04-03T00:00:00"/>
    <x v="0"/>
    <x v="426"/>
    <n v="5"/>
  </r>
  <r>
    <x v="432"/>
    <x v="1"/>
    <x v="3"/>
    <x v="3"/>
    <x v="37"/>
    <x v="1"/>
    <x v="60"/>
    <s v="SENIOR"/>
    <x v="1"/>
    <d v="2023-10-21T00:00:00"/>
    <x v="1"/>
    <x v="427"/>
    <n v="0"/>
  </r>
  <r>
    <x v="433"/>
    <x v="3"/>
    <x v="1"/>
    <x v="4"/>
    <x v="5"/>
    <x v="1"/>
    <x v="90"/>
    <s v="CHILD"/>
    <x v="1"/>
    <d v="2024-01-19T00:00:00"/>
    <x v="0"/>
    <x v="428"/>
    <n v="5"/>
  </r>
  <r>
    <x v="434"/>
    <x v="0"/>
    <x v="5"/>
    <x v="2"/>
    <x v="2"/>
    <x v="0"/>
    <x v="48"/>
    <s v="SENIOR"/>
    <x v="1"/>
    <d v="2023-09-29T00:00:00"/>
    <x v="4"/>
    <x v="429"/>
    <n v="0"/>
  </r>
  <r>
    <x v="435"/>
    <x v="3"/>
    <x v="5"/>
    <x v="8"/>
    <x v="36"/>
    <x v="0"/>
    <x v="26"/>
    <s v="SENIOR"/>
    <x v="0"/>
    <d v="2023-10-11T00:00:00"/>
    <x v="1"/>
    <x v="430"/>
    <n v="0"/>
  </r>
  <r>
    <x v="436"/>
    <x v="5"/>
    <x v="7"/>
    <x v="1"/>
    <x v="1"/>
    <x v="0"/>
    <x v="57"/>
    <s v="ADULT"/>
    <x v="0"/>
    <d v="2024-03-26T00:00:00"/>
    <x v="2"/>
    <x v="431"/>
    <n v="30"/>
  </r>
  <r>
    <x v="437"/>
    <x v="2"/>
    <x v="3"/>
    <x v="5"/>
    <x v="17"/>
    <x v="2"/>
    <x v="71"/>
    <s v="ADULT"/>
    <x v="1"/>
    <d v="2023-12-17T00:00:00"/>
    <x v="4"/>
    <x v="432"/>
    <n v="0"/>
  </r>
  <r>
    <x v="438"/>
    <x v="4"/>
    <x v="6"/>
    <x v="6"/>
    <x v="12"/>
    <x v="0"/>
    <x v="36"/>
    <s v="ADULT"/>
    <x v="0"/>
    <d v="2023-01-15T00:00:00"/>
    <x v="1"/>
    <x v="433"/>
    <n v="5"/>
  </r>
  <r>
    <x v="439"/>
    <x v="5"/>
    <x v="1"/>
    <x v="7"/>
    <x v="18"/>
    <x v="0"/>
    <x v="27"/>
    <s v="SENIOR"/>
    <x v="1"/>
    <d v="2023-04-22T00:00:00"/>
    <x v="0"/>
    <x v="434"/>
    <n v="10"/>
  </r>
  <r>
    <x v="440"/>
    <x v="2"/>
    <x v="2"/>
    <x v="1"/>
    <x v="35"/>
    <x v="2"/>
    <x v="91"/>
    <s v="ADULT"/>
    <x v="0"/>
    <d v="2023-01-29T00:00:00"/>
    <x v="3"/>
    <x v="435"/>
    <n v="5"/>
  </r>
  <r>
    <x v="441"/>
    <x v="4"/>
    <x v="0"/>
    <x v="7"/>
    <x v="18"/>
    <x v="0"/>
    <x v="59"/>
    <s v="TEEN"/>
    <x v="1"/>
    <d v="2023-11-12T00:00:00"/>
    <x v="2"/>
    <x v="436"/>
    <n v="12"/>
  </r>
  <r>
    <x v="442"/>
    <x v="1"/>
    <x v="1"/>
    <x v="2"/>
    <x v="2"/>
    <x v="0"/>
    <x v="24"/>
    <s v="SENIOR"/>
    <x v="0"/>
    <d v="2024-03-08T00:00:00"/>
    <x v="3"/>
    <x v="437"/>
    <n v="0"/>
  </r>
  <r>
    <x v="443"/>
    <x v="3"/>
    <x v="6"/>
    <x v="6"/>
    <x v="9"/>
    <x v="1"/>
    <x v="31"/>
    <s v="CHILD"/>
    <x v="0"/>
    <d v="2023-04-21T00:00:00"/>
    <x v="1"/>
    <x v="438"/>
    <n v="0"/>
  </r>
  <r>
    <x v="444"/>
    <x v="1"/>
    <x v="3"/>
    <x v="8"/>
    <x v="11"/>
    <x v="1"/>
    <x v="47"/>
    <s v="ADULT"/>
    <x v="1"/>
    <d v="2023-01-13T00:00:00"/>
    <x v="4"/>
    <x v="439"/>
    <n v="10"/>
  </r>
  <r>
    <x v="445"/>
    <x v="3"/>
    <x v="3"/>
    <x v="8"/>
    <x v="33"/>
    <x v="0"/>
    <x v="30"/>
    <s v="ADULT"/>
    <x v="1"/>
    <d v="2024-02-11T00:00:00"/>
    <x v="4"/>
    <x v="440"/>
    <n v="10"/>
  </r>
  <r>
    <x v="446"/>
    <x v="5"/>
    <x v="5"/>
    <x v="0"/>
    <x v="15"/>
    <x v="0"/>
    <x v="10"/>
    <s v="TEEN"/>
    <x v="1"/>
    <d v="2023-06-25T00:00:00"/>
    <x v="1"/>
    <x v="441"/>
    <n v="0"/>
  </r>
  <r>
    <x v="447"/>
    <x v="1"/>
    <x v="0"/>
    <x v="4"/>
    <x v="7"/>
    <x v="0"/>
    <x v="48"/>
    <s v="SENIOR"/>
    <x v="0"/>
    <d v="2024-01-22T00:00:00"/>
    <x v="1"/>
    <x v="442"/>
    <n v="0"/>
  </r>
  <r>
    <x v="448"/>
    <x v="5"/>
    <x v="2"/>
    <x v="8"/>
    <x v="36"/>
    <x v="0"/>
    <x v="0"/>
    <s v="SENIOR"/>
    <x v="0"/>
    <d v="2023-06-16T00:00:00"/>
    <x v="1"/>
    <x v="443"/>
    <n v="5"/>
  </r>
  <r>
    <x v="449"/>
    <x v="5"/>
    <x v="0"/>
    <x v="6"/>
    <x v="26"/>
    <x v="0"/>
    <x v="12"/>
    <s v="TEEN"/>
    <x v="0"/>
    <d v="2024-01-18T00:00:00"/>
    <x v="1"/>
    <x v="444"/>
    <n v="5"/>
  </r>
  <r>
    <x v="450"/>
    <x v="4"/>
    <x v="0"/>
    <x v="3"/>
    <x v="37"/>
    <x v="0"/>
    <x v="60"/>
    <s v="SENIOR"/>
    <x v="0"/>
    <d v="2024-04-03T00:00:00"/>
    <x v="4"/>
    <x v="445"/>
    <n v="0"/>
  </r>
  <r>
    <x v="451"/>
    <x v="5"/>
    <x v="6"/>
    <x v="0"/>
    <x v="15"/>
    <x v="0"/>
    <x v="4"/>
    <s v="CHILD"/>
    <x v="0"/>
    <d v="2023-06-06T00:00:00"/>
    <x v="4"/>
    <x v="446"/>
    <n v="0"/>
  </r>
  <r>
    <x v="452"/>
    <x v="3"/>
    <x v="4"/>
    <x v="1"/>
    <x v="1"/>
    <x v="1"/>
    <x v="82"/>
    <s v="ADULT"/>
    <x v="0"/>
    <d v="2023-07-31T00:00:00"/>
    <x v="4"/>
    <x v="447"/>
    <n v="0"/>
  </r>
  <r>
    <x v="453"/>
    <x v="2"/>
    <x v="3"/>
    <x v="6"/>
    <x v="26"/>
    <x v="0"/>
    <x v="38"/>
    <s v="CHILD"/>
    <x v="1"/>
    <d v="2023-09-26T00:00:00"/>
    <x v="3"/>
    <x v="448"/>
    <n v="10"/>
  </r>
  <r>
    <x v="454"/>
    <x v="3"/>
    <x v="0"/>
    <x v="7"/>
    <x v="10"/>
    <x v="0"/>
    <x v="20"/>
    <s v="CHILD"/>
    <x v="0"/>
    <d v="2023-06-24T00:00:00"/>
    <x v="1"/>
    <x v="449"/>
    <n v="0"/>
  </r>
  <r>
    <x v="455"/>
    <x v="4"/>
    <x v="6"/>
    <x v="8"/>
    <x v="13"/>
    <x v="0"/>
    <x v="87"/>
    <s v="ADULT"/>
    <x v="1"/>
    <d v="2023-03-03T00:00:00"/>
    <x v="0"/>
    <x v="450"/>
    <n v="10"/>
  </r>
  <r>
    <x v="456"/>
    <x v="3"/>
    <x v="1"/>
    <x v="4"/>
    <x v="25"/>
    <x v="0"/>
    <x v="87"/>
    <s v="ADULT"/>
    <x v="0"/>
    <d v="2023-06-27T00:00:00"/>
    <x v="3"/>
    <x v="451"/>
    <n v="0"/>
  </r>
  <r>
    <x v="457"/>
    <x v="0"/>
    <x v="4"/>
    <x v="1"/>
    <x v="32"/>
    <x v="0"/>
    <x v="1"/>
    <s v="CHILD"/>
    <x v="0"/>
    <d v="2024-01-13T00:00:00"/>
    <x v="4"/>
    <x v="452"/>
    <n v="3"/>
  </r>
  <r>
    <x v="458"/>
    <x v="3"/>
    <x v="6"/>
    <x v="9"/>
    <x v="34"/>
    <x v="0"/>
    <x v="42"/>
    <s v="CHILD"/>
    <x v="1"/>
    <d v="2023-03-06T00:00:00"/>
    <x v="1"/>
    <x v="453"/>
    <n v="0"/>
  </r>
  <r>
    <x v="459"/>
    <x v="5"/>
    <x v="0"/>
    <x v="7"/>
    <x v="10"/>
    <x v="1"/>
    <x v="61"/>
    <s v="ADULT"/>
    <x v="0"/>
    <d v="2023-04-27T00:00:00"/>
    <x v="4"/>
    <x v="454"/>
    <n v="10"/>
  </r>
  <r>
    <x v="460"/>
    <x v="4"/>
    <x v="7"/>
    <x v="6"/>
    <x v="12"/>
    <x v="0"/>
    <x v="20"/>
    <s v="CHILD"/>
    <x v="1"/>
    <d v="2023-09-11T00:00:00"/>
    <x v="0"/>
    <x v="42"/>
    <n v="0"/>
  </r>
  <r>
    <x v="461"/>
    <x v="2"/>
    <x v="3"/>
    <x v="4"/>
    <x v="5"/>
    <x v="0"/>
    <x v="20"/>
    <s v="CHILD"/>
    <x v="0"/>
    <d v="2024-03-04T00:00:00"/>
    <x v="1"/>
    <x v="455"/>
    <n v="0"/>
  </r>
  <r>
    <x v="462"/>
    <x v="2"/>
    <x v="6"/>
    <x v="4"/>
    <x v="8"/>
    <x v="1"/>
    <x v="31"/>
    <s v="CHILD"/>
    <x v="0"/>
    <d v="2023-04-05T00:00:00"/>
    <x v="0"/>
    <x v="456"/>
    <n v="3"/>
  </r>
  <r>
    <x v="463"/>
    <x v="0"/>
    <x v="1"/>
    <x v="8"/>
    <x v="36"/>
    <x v="0"/>
    <x v="91"/>
    <s v="ADULT"/>
    <x v="1"/>
    <d v="2023-05-14T00:00:00"/>
    <x v="1"/>
    <x v="457"/>
    <n v="3"/>
  </r>
  <r>
    <x v="464"/>
    <x v="2"/>
    <x v="0"/>
    <x v="4"/>
    <x v="7"/>
    <x v="0"/>
    <x v="26"/>
    <s v="SENIOR"/>
    <x v="1"/>
    <d v="2024-01-21T00:00:00"/>
    <x v="1"/>
    <x v="458"/>
    <n v="0"/>
  </r>
  <r>
    <x v="465"/>
    <x v="4"/>
    <x v="3"/>
    <x v="8"/>
    <x v="36"/>
    <x v="0"/>
    <x v="38"/>
    <s v="CHILD"/>
    <x v="1"/>
    <d v="2023-02-18T00:00:00"/>
    <x v="2"/>
    <x v="459"/>
    <n v="35"/>
  </r>
  <r>
    <x v="466"/>
    <x v="4"/>
    <x v="4"/>
    <x v="3"/>
    <x v="37"/>
    <x v="0"/>
    <x v="77"/>
    <s v="SENIOR"/>
    <x v="0"/>
    <d v="2024-04-10T00:00:00"/>
    <x v="1"/>
    <x v="460"/>
    <n v="5"/>
  </r>
  <r>
    <x v="467"/>
    <x v="5"/>
    <x v="2"/>
    <x v="8"/>
    <x v="11"/>
    <x v="1"/>
    <x v="53"/>
    <s v="ADULT"/>
    <x v="1"/>
    <d v="2024-02-14T00:00:00"/>
    <x v="3"/>
    <x v="461"/>
    <n v="5"/>
  </r>
  <r>
    <x v="468"/>
    <x v="4"/>
    <x v="6"/>
    <x v="4"/>
    <x v="7"/>
    <x v="0"/>
    <x v="41"/>
    <s v="CHILD"/>
    <x v="1"/>
    <d v="2023-08-13T00:00:00"/>
    <x v="1"/>
    <x v="462"/>
    <n v="5"/>
  </r>
  <r>
    <x v="469"/>
    <x v="4"/>
    <x v="1"/>
    <x v="2"/>
    <x v="4"/>
    <x v="0"/>
    <x v="54"/>
    <s v="ADULT"/>
    <x v="1"/>
    <d v="2023-11-06T00:00:00"/>
    <x v="2"/>
    <x v="463"/>
    <n v="25"/>
  </r>
  <r>
    <x v="470"/>
    <x v="1"/>
    <x v="6"/>
    <x v="3"/>
    <x v="39"/>
    <x v="0"/>
    <x v="88"/>
    <s v="ADULT"/>
    <x v="1"/>
    <d v="2023-01-19T00:00:00"/>
    <x v="1"/>
    <x v="464"/>
    <n v="0"/>
  </r>
  <r>
    <x v="471"/>
    <x v="0"/>
    <x v="4"/>
    <x v="6"/>
    <x v="9"/>
    <x v="0"/>
    <x v="19"/>
    <s v="ADULT"/>
    <x v="1"/>
    <d v="2023-05-19T00:00:00"/>
    <x v="1"/>
    <x v="465"/>
    <n v="5"/>
  </r>
  <r>
    <x v="472"/>
    <x v="5"/>
    <x v="5"/>
    <x v="8"/>
    <x v="13"/>
    <x v="1"/>
    <x v="19"/>
    <s v="ADULT"/>
    <x v="1"/>
    <d v="2023-02-10T00:00:00"/>
    <x v="2"/>
    <x v="466"/>
    <n v="5"/>
  </r>
  <r>
    <x v="473"/>
    <x v="2"/>
    <x v="6"/>
    <x v="3"/>
    <x v="22"/>
    <x v="0"/>
    <x v="12"/>
    <s v="TEEN"/>
    <x v="1"/>
    <d v="2023-05-15T00:00:00"/>
    <x v="2"/>
    <x v="467"/>
    <n v="40"/>
  </r>
  <r>
    <x v="474"/>
    <x v="4"/>
    <x v="0"/>
    <x v="1"/>
    <x v="35"/>
    <x v="0"/>
    <x v="67"/>
    <s v="TEEN"/>
    <x v="1"/>
    <d v="2023-01-05T00:00:00"/>
    <x v="0"/>
    <x v="468"/>
    <n v="0"/>
  </r>
  <r>
    <x v="475"/>
    <x v="3"/>
    <x v="2"/>
    <x v="0"/>
    <x v="27"/>
    <x v="0"/>
    <x v="67"/>
    <s v="TEEN"/>
    <x v="1"/>
    <d v="2023-09-17T00:00:00"/>
    <x v="1"/>
    <x v="469"/>
    <n v="0"/>
  </r>
  <r>
    <x v="476"/>
    <x v="2"/>
    <x v="0"/>
    <x v="5"/>
    <x v="17"/>
    <x v="0"/>
    <x v="4"/>
    <s v="CHILD"/>
    <x v="0"/>
    <d v="2023-08-05T00:00:00"/>
    <x v="1"/>
    <x v="470"/>
    <n v="3"/>
  </r>
  <r>
    <x v="477"/>
    <x v="5"/>
    <x v="3"/>
    <x v="8"/>
    <x v="13"/>
    <x v="1"/>
    <x v="59"/>
    <s v="TEEN"/>
    <x v="1"/>
    <d v="2023-10-24T00:00:00"/>
    <x v="0"/>
    <x v="471"/>
    <n v="0"/>
  </r>
  <r>
    <x v="478"/>
    <x v="2"/>
    <x v="5"/>
    <x v="3"/>
    <x v="39"/>
    <x v="1"/>
    <x v="55"/>
    <s v="SENIOR"/>
    <x v="1"/>
    <d v="2023-05-05T00:00:00"/>
    <x v="1"/>
    <x v="472"/>
    <n v="0"/>
  </r>
  <r>
    <x v="479"/>
    <x v="3"/>
    <x v="7"/>
    <x v="8"/>
    <x v="36"/>
    <x v="0"/>
    <x v="59"/>
    <s v="TEEN"/>
    <x v="0"/>
    <d v="2024-04-04T00:00:00"/>
    <x v="1"/>
    <x v="473"/>
    <n v="0"/>
  </r>
  <r>
    <x v="480"/>
    <x v="1"/>
    <x v="7"/>
    <x v="8"/>
    <x v="13"/>
    <x v="0"/>
    <x v="12"/>
    <s v="TEEN"/>
    <x v="0"/>
    <d v="2023-05-09T00:00:00"/>
    <x v="2"/>
    <x v="474"/>
    <n v="10"/>
  </r>
  <r>
    <x v="481"/>
    <x v="0"/>
    <x v="4"/>
    <x v="7"/>
    <x v="18"/>
    <x v="1"/>
    <x v="65"/>
    <s v="CHILD"/>
    <x v="0"/>
    <d v="2024-03-06T00:00:00"/>
    <x v="5"/>
    <x v="475"/>
    <n v="10"/>
  </r>
  <r>
    <x v="482"/>
    <x v="5"/>
    <x v="6"/>
    <x v="8"/>
    <x v="33"/>
    <x v="0"/>
    <x v="85"/>
    <s v="SENIOR"/>
    <x v="1"/>
    <d v="2023-07-17T00:00:00"/>
    <x v="1"/>
    <x v="476"/>
    <n v="0"/>
  </r>
  <r>
    <x v="483"/>
    <x v="4"/>
    <x v="7"/>
    <x v="9"/>
    <x v="29"/>
    <x v="0"/>
    <x v="8"/>
    <s v="ADULT"/>
    <x v="1"/>
    <d v="2023-07-06T00:00:00"/>
    <x v="4"/>
    <x v="477"/>
    <n v="0"/>
  </r>
  <r>
    <x v="484"/>
    <x v="3"/>
    <x v="5"/>
    <x v="3"/>
    <x v="37"/>
    <x v="1"/>
    <x v="56"/>
    <s v="SENIOR"/>
    <x v="0"/>
    <d v="2023-09-22T00:00:00"/>
    <x v="2"/>
    <x v="478"/>
    <n v="0"/>
  </r>
  <r>
    <x v="485"/>
    <x v="2"/>
    <x v="1"/>
    <x v="3"/>
    <x v="39"/>
    <x v="0"/>
    <x v="8"/>
    <s v="ADULT"/>
    <x v="0"/>
    <d v="2023-07-20T00:00:00"/>
    <x v="1"/>
    <x v="479"/>
    <n v="0"/>
  </r>
  <r>
    <x v="486"/>
    <x v="1"/>
    <x v="7"/>
    <x v="3"/>
    <x v="22"/>
    <x v="0"/>
    <x v="76"/>
    <s v="SENIOR"/>
    <x v="1"/>
    <d v="2023-04-09T00:00:00"/>
    <x v="0"/>
    <x v="480"/>
    <n v="0"/>
  </r>
  <r>
    <x v="487"/>
    <x v="3"/>
    <x v="1"/>
    <x v="8"/>
    <x v="11"/>
    <x v="1"/>
    <x v="50"/>
    <s v="ADULT"/>
    <x v="1"/>
    <d v="2024-01-21T00:00:00"/>
    <x v="3"/>
    <x v="481"/>
    <n v="0"/>
  </r>
  <r>
    <x v="488"/>
    <x v="3"/>
    <x v="4"/>
    <x v="2"/>
    <x v="23"/>
    <x v="1"/>
    <x v="76"/>
    <s v="SENIOR"/>
    <x v="1"/>
    <d v="2024-04-06T00:00:00"/>
    <x v="4"/>
    <x v="482"/>
    <n v="0"/>
  </r>
  <r>
    <x v="489"/>
    <x v="5"/>
    <x v="5"/>
    <x v="6"/>
    <x v="12"/>
    <x v="0"/>
    <x v="43"/>
    <s v="SENIOR"/>
    <x v="1"/>
    <d v="2023-02-04T00:00:00"/>
    <x v="2"/>
    <x v="483"/>
    <n v="19"/>
  </r>
  <r>
    <x v="490"/>
    <x v="0"/>
    <x v="7"/>
    <x v="3"/>
    <x v="37"/>
    <x v="0"/>
    <x v="41"/>
    <s v="CHILD"/>
    <x v="1"/>
    <d v="2023-08-30T00:00:00"/>
    <x v="1"/>
    <x v="484"/>
    <n v="5"/>
  </r>
  <r>
    <x v="491"/>
    <x v="1"/>
    <x v="7"/>
    <x v="2"/>
    <x v="23"/>
    <x v="0"/>
    <x v="40"/>
    <s v="SENIOR"/>
    <x v="0"/>
    <d v="2023-03-23T00:00:00"/>
    <x v="3"/>
    <x v="485"/>
    <n v="0"/>
  </r>
  <r>
    <x v="492"/>
    <x v="0"/>
    <x v="5"/>
    <x v="6"/>
    <x v="12"/>
    <x v="0"/>
    <x v="32"/>
    <s v="SENIOR"/>
    <x v="0"/>
    <d v="2024-01-27T00:00:00"/>
    <x v="2"/>
    <x v="486"/>
    <n v="5"/>
  </r>
  <r>
    <x v="493"/>
    <x v="1"/>
    <x v="7"/>
    <x v="7"/>
    <x v="10"/>
    <x v="1"/>
    <x v="75"/>
    <s v="ADULT"/>
    <x v="0"/>
    <d v="2024-04-24T00:00:00"/>
    <x v="1"/>
    <x v="487"/>
    <n v="0"/>
  </r>
  <r>
    <x v="494"/>
    <x v="5"/>
    <x v="2"/>
    <x v="2"/>
    <x v="4"/>
    <x v="1"/>
    <x v="24"/>
    <s v="SENIOR"/>
    <x v="1"/>
    <d v="2023-02-05T00:00:00"/>
    <x v="4"/>
    <x v="488"/>
    <n v="0"/>
  </r>
  <r>
    <x v="495"/>
    <x v="3"/>
    <x v="1"/>
    <x v="7"/>
    <x v="38"/>
    <x v="0"/>
    <x v="72"/>
    <s v="CHILD"/>
    <x v="1"/>
    <d v="2023-10-23T00:00:00"/>
    <x v="3"/>
    <x v="489"/>
    <n v="0"/>
  </r>
  <r>
    <x v="496"/>
    <x v="2"/>
    <x v="3"/>
    <x v="1"/>
    <x v="32"/>
    <x v="1"/>
    <x v="58"/>
    <s v="SENIOR"/>
    <x v="0"/>
    <d v="2023-04-02T00:00:00"/>
    <x v="3"/>
    <x v="490"/>
    <n v="0"/>
  </r>
  <r>
    <x v="497"/>
    <x v="3"/>
    <x v="7"/>
    <x v="7"/>
    <x v="10"/>
    <x v="0"/>
    <x v="6"/>
    <s v="ADULT"/>
    <x v="1"/>
    <d v="2023-07-07T00:00:00"/>
    <x v="0"/>
    <x v="491"/>
    <n v="10"/>
  </r>
  <r>
    <x v="498"/>
    <x v="5"/>
    <x v="0"/>
    <x v="1"/>
    <x v="35"/>
    <x v="0"/>
    <x v="71"/>
    <s v="ADULT"/>
    <x v="0"/>
    <d v="2023-01-31T00:00:00"/>
    <x v="2"/>
    <x v="492"/>
    <n v="19"/>
  </r>
  <r>
    <x v="499"/>
    <x v="5"/>
    <x v="1"/>
    <x v="7"/>
    <x v="18"/>
    <x v="0"/>
    <x v="90"/>
    <s v="CHILD"/>
    <x v="0"/>
    <d v="2023-04-08T00:00:00"/>
    <x v="1"/>
    <x v="493"/>
    <n v="0"/>
  </r>
  <r>
    <x v="500"/>
    <x v="2"/>
    <x v="5"/>
    <x v="0"/>
    <x v="15"/>
    <x v="0"/>
    <x v="58"/>
    <s v="SENIOR"/>
    <x v="1"/>
    <d v="2023-07-30T00:00:00"/>
    <x v="4"/>
    <x v="494"/>
    <n v="10"/>
  </r>
  <r>
    <x v="501"/>
    <x v="3"/>
    <x v="5"/>
    <x v="8"/>
    <x v="11"/>
    <x v="0"/>
    <x v="43"/>
    <s v="SENIOR"/>
    <x v="0"/>
    <d v="2023-04-30T00:00:00"/>
    <x v="0"/>
    <x v="495"/>
    <n v="0"/>
  </r>
  <r>
    <x v="502"/>
    <x v="5"/>
    <x v="6"/>
    <x v="8"/>
    <x v="33"/>
    <x v="0"/>
    <x v="49"/>
    <s v="SENIOR"/>
    <x v="0"/>
    <d v="2023-02-15T00:00:00"/>
    <x v="0"/>
    <x v="496"/>
    <n v="10"/>
  </r>
  <r>
    <x v="503"/>
    <x v="2"/>
    <x v="1"/>
    <x v="6"/>
    <x v="12"/>
    <x v="1"/>
    <x v="51"/>
    <s v="ADULT"/>
    <x v="1"/>
    <d v="2023-01-13T00:00:00"/>
    <x v="1"/>
    <x v="497"/>
    <n v="10"/>
  </r>
  <r>
    <x v="504"/>
    <x v="1"/>
    <x v="0"/>
    <x v="6"/>
    <x v="16"/>
    <x v="0"/>
    <x v="69"/>
    <s v="SENIOR"/>
    <x v="0"/>
    <d v="2024-03-24T00:00:00"/>
    <x v="1"/>
    <x v="498"/>
    <n v="0"/>
  </r>
  <r>
    <x v="505"/>
    <x v="0"/>
    <x v="7"/>
    <x v="8"/>
    <x v="36"/>
    <x v="0"/>
    <x v="57"/>
    <s v="ADULT"/>
    <x v="1"/>
    <d v="2023-09-20T00:00:00"/>
    <x v="1"/>
    <x v="499"/>
    <n v="0"/>
  </r>
  <r>
    <x v="506"/>
    <x v="1"/>
    <x v="6"/>
    <x v="2"/>
    <x v="2"/>
    <x v="0"/>
    <x v="89"/>
    <s v="SENIOR"/>
    <x v="0"/>
    <d v="2023-01-20T00:00:00"/>
    <x v="0"/>
    <x v="500"/>
    <n v="0"/>
  </r>
  <r>
    <x v="507"/>
    <x v="4"/>
    <x v="4"/>
    <x v="3"/>
    <x v="39"/>
    <x v="0"/>
    <x v="67"/>
    <s v="TEEN"/>
    <x v="1"/>
    <d v="2024-03-14T00:00:00"/>
    <x v="0"/>
    <x v="501"/>
    <n v="0"/>
  </r>
  <r>
    <x v="508"/>
    <x v="1"/>
    <x v="4"/>
    <x v="6"/>
    <x v="12"/>
    <x v="0"/>
    <x v="1"/>
    <s v="CHILD"/>
    <x v="1"/>
    <d v="2024-03-03T00:00:00"/>
    <x v="3"/>
    <x v="502"/>
    <n v="10"/>
  </r>
  <r>
    <x v="509"/>
    <x v="5"/>
    <x v="0"/>
    <x v="0"/>
    <x v="20"/>
    <x v="0"/>
    <x v="79"/>
    <s v="SENIOR"/>
    <x v="1"/>
    <d v="2023-01-23T00:00:00"/>
    <x v="4"/>
    <x v="503"/>
    <n v="10"/>
  </r>
  <r>
    <x v="510"/>
    <x v="3"/>
    <x v="1"/>
    <x v="4"/>
    <x v="7"/>
    <x v="2"/>
    <x v="27"/>
    <s v="SENIOR"/>
    <x v="0"/>
    <d v="2024-02-15T00:00:00"/>
    <x v="0"/>
    <x v="504"/>
    <n v="0"/>
  </r>
  <r>
    <x v="511"/>
    <x v="1"/>
    <x v="1"/>
    <x v="6"/>
    <x v="12"/>
    <x v="0"/>
    <x v="83"/>
    <s v="CHILD"/>
    <x v="1"/>
    <d v="2023-07-11T00:00:00"/>
    <x v="5"/>
    <x v="235"/>
    <n v="4"/>
  </r>
  <r>
    <x v="512"/>
    <x v="2"/>
    <x v="4"/>
    <x v="4"/>
    <x v="8"/>
    <x v="1"/>
    <x v="83"/>
    <s v="CHILD"/>
    <x v="0"/>
    <d v="2023-09-05T00:00:00"/>
    <x v="4"/>
    <x v="505"/>
    <n v="3"/>
  </r>
  <r>
    <x v="513"/>
    <x v="2"/>
    <x v="6"/>
    <x v="4"/>
    <x v="5"/>
    <x v="0"/>
    <x v="18"/>
    <s v="ADULT"/>
    <x v="1"/>
    <d v="2023-06-04T00:00:00"/>
    <x v="1"/>
    <x v="506"/>
    <n v="5"/>
  </r>
  <r>
    <x v="514"/>
    <x v="4"/>
    <x v="6"/>
    <x v="9"/>
    <x v="28"/>
    <x v="1"/>
    <x v="3"/>
    <s v="ADULT"/>
    <x v="1"/>
    <d v="2023-04-16T00:00:00"/>
    <x v="2"/>
    <x v="507"/>
    <n v="19"/>
  </r>
  <r>
    <x v="515"/>
    <x v="1"/>
    <x v="3"/>
    <x v="4"/>
    <x v="7"/>
    <x v="0"/>
    <x v="24"/>
    <s v="SENIOR"/>
    <x v="0"/>
    <d v="2023-02-27T00:00:00"/>
    <x v="4"/>
    <x v="508"/>
    <n v="10"/>
  </r>
  <r>
    <x v="516"/>
    <x v="1"/>
    <x v="0"/>
    <x v="0"/>
    <x v="15"/>
    <x v="0"/>
    <x v="4"/>
    <s v="CHILD"/>
    <x v="0"/>
    <d v="2023-08-02T00:00:00"/>
    <x v="2"/>
    <x v="509"/>
    <n v="35"/>
  </r>
  <r>
    <x v="517"/>
    <x v="5"/>
    <x v="5"/>
    <x v="7"/>
    <x v="38"/>
    <x v="0"/>
    <x v="66"/>
    <s v="SENIOR"/>
    <x v="1"/>
    <d v="2023-01-06T00:00:00"/>
    <x v="4"/>
    <x v="510"/>
    <n v="0"/>
  </r>
  <r>
    <x v="518"/>
    <x v="3"/>
    <x v="7"/>
    <x v="9"/>
    <x v="28"/>
    <x v="0"/>
    <x v="61"/>
    <s v="ADULT"/>
    <x v="0"/>
    <d v="2023-06-10T00:00:00"/>
    <x v="0"/>
    <x v="511"/>
    <n v="5"/>
  </r>
  <r>
    <x v="519"/>
    <x v="3"/>
    <x v="0"/>
    <x v="7"/>
    <x v="38"/>
    <x v="1"/>
    <x v="8"/>
    <s v="ADULT"/>
    <x v="1"/>
    <d v="2023-04-22T00:00:00"/>
    <x v="0"/>
    <x v="512"/>
    <n v="0"/>
  </r>
  <r>
    <x v="520"/>
    <x v="0"/>
    <x v="1"/>
    <x v="2"/>
    <x v="4"/>
    <x v="0"/>
    <x v="80"/>
    <s v="SENIOR"/>
    <x v="1"/>
    <d v="2023-10-31T00:00:00"/>
    <x v="3"/>
    <x v="513"/>
    <n v="0"/>
  </r>
  <r>
    <x v="521"/>
    <x v="4"/>
    <x v="1"/>
    <x v="2"/>
    <x v="2"/>
    <x v="0"/>
    <x v="86"/>
    <s v="SENIOR"/>
    <x v="1"/>
    <d v="2023-05-13T00:00:00"/>
    <x v="0"/>
    <x v="514"/>
    <n v="0"/>
  </r>
  <r>
    <x v="522"/>
    <x v="1"/>
    <x v="7"/>
    <x v="8"/>
    <x v="11"/>
    <x v="0"/>
    <x v="41"/>
    <s v="CHILD"/>
    <x v="1"/>
    <d v="2024-02-24T00:00:00"/>
    <x v="3"/>
    <x v="515"/>
    <n v="0"/>
  </r>
  <r>
    <x v="523"/>
    <x v="2"/>
    <x v="7"/>
    <x v="6"/>
    <x v="12"/>
    <x v="0"/>
    <x v="69"/>
    <s v="SENIOR"/>
    <x v="1"/>
    <d v="2024-01-12T00:00:00"/>
    <x v="4"/>
    <x v="516"/>
    <n v="5"/>
  </r>
  <r>
    <x v="524"/>
    <x v="4"/>
    <x v="5"/>
    <x v="8"/>
    <x v="36"/>
    <x v="2"/>
    <x v="16"/>
    <s v="ADULT"/>
    <x v="0"/>
    <d v="2023-08-12T00:00:00"/>
    <x v="1"/>
    <x v="517"/>
    <n v="0"/>
  </r>
  <r>
    <x v="525"/>
    <x v="5"/>
    <x v="0"/>
    <x v="5"/>
    <x v="17"/>
    <x v="0"/>
    <x v="77"/>
    <s v="SENIOR"/>
    <x v="0"/>
    <d v="2023-02-26T00:00:00"/>
    <x v="1"/>
    <x v="518"/>
    <n v="10"/>
  </r>
  <r>
    <x v="526"/>
    <x v="2"/>
    <x v="3"/>
    <x v="6"/>
    <x v="26"/>
    <x v="0"/>
    <x v="0"/>
    <s v="SENIOR"/>
    <x v="1"/>
    <d v="2023-12-20T00:00:00"/>
    <x v="3"/>
    <x v="519"/>
    <n v="3"/>
  </r>
  <r>
    <x v="527"/>
    <x v="5"/>
    <x v="1"/>
    <x v="9"/>
    <x v="34"/>
    <x v="0"/>
    <x v="7"/>
    <s v="TEEN"/>
    <x v="0"/>
    <d v="2024-01-19T00:00:00"/>
    <x v="1"/>
    <x v="520"/>
    <n v="5"/>
  </r>
  <r>
    <x v="528"/>
    <x v="0"/>
    <x v="5"/>
    <x v="0"/>
    <x v="27"/>
    <x v="1"/>
    <x v="9"/>
    <s v="TEEN"/>
    <x v="1"/>
    <d v="2023-12-18T00:00:00"/>
    <x v="1"/>
    <x v="521"/>
    <n v="0"/>
  </r>
  <r>
    <x v="529"/>
    <x v="5"/>
    <x v="5"/>
    <x v="3"/>
    <x v="37"/>
    <x v="0"/>
    <x v="3"/>
    <s v="ADULT"/>
    <x v="0"/>
    <d v="2023-05-21T00:00:00"/>
    <x v="1"/>
    <x v="522"/>
    <n v="0"/>
  </r>
  <r>
    <x v="530"/>
    <x v="1"/>
    <x v="3"/>
    <x v="5"/>
    <x v="24"/>
    <x v="0"/>
    <x v="17"/>
    <s v="SENIOR"/>
    <x v="0"/>
    <d v="2023-11-04T00:00:00"/>
    <x v="3"/>
    <x v="523"/>
    <n v="10"/>
  </r>
  <r>
    <x v="531"/>
    <x v="3"/>
    <x v="1"/>
    <x v="3"/>
    <x v="39"/>
    <x v="0"/>
    <x v="40"/>
    <s v="SENIOR"/>
    <x v="0"/>
    <d v="2023-06-03T00:00:00"/>
    <x v="1"/>
    <x v="524"/>
    <n v="3"/>
  </r>
  <r>
    <x v="532"/>
    <x v="4"/>
    <x v="7"/>
    <x v="3"/>
    <x v="39"/>
    <x v="0"/>
    <x v="29"/>
    <s v="SENIOR"/>
    <x v="1"/>
    <d v="2023-04-29T00:00:00"/>
    <x v="2"/>
    <x v="525"/>
    <n v="5"/>
  </r>
  <r>
    <x v="533"/>
    <x v="1"/>
    <x v="2"/>
    <x v="3"/>
    <x v="37"/>
    <x v="0"/>
    <x v="91"/>
    <s v="ADULT"/>
    <x v="1"/>
    <d v="2023-09-22T00:00:00"/>
    <x v="4"/>
    <x v="526"/>
    <n v="0"/>
  </r>
  <r>
    <x v="534"/>
    <x v="1"/>
    <x v="7"/>
    <x v="7"/>
    <x v="18"/>
    <x v="1"/>
    <x v="77"/>
    <s v="SENIOR"/>
    <x v="1"/>
    <d v="2023-03-03T00:00:00"/>
    <x v="1"/>
    <x v="527"/>
    <n v="5"/>
  </r>
  <r>
    <x v="535"/>
    <x v="0"/>
    <x v="3"/>
    <x v="4"/>
    <x v="7"/>
    <x v="1"/>
    <x v="33"/>
    <s v="ADULT"/>
    <x v="1"/>
    <d v="2023-03-15T00:00:00"/>
    <x v="0"/>
    <x v="528"/>
    <n v="5"/>
  </r>
  <r>
    <x v="536"/>
    <x v="0"/>
    <x v="0"/>
    <x v="2"/>
    <x v="14"/>
    <x v="0"/>
    <x v="13"/>
    <s v="ADULT"/>
    <x v="1"/>
    <d v="2023-09-01T00:00:00"/>
    <x v="0"/>
    <x v="529"/>
    <n v="0"/>
  </r>
  <r>
    <x v="537"/>
    <x v="3"/>
    <x v="2"/>
    <x v="5"/>
    <x v="24"/>
    <x v="0"/>
    <x v="40"/>
    <s v="SENIOR"/>
    <x v="0"/>
    <d v="2023-10-08T00:00:00"/>
    <x v="0"/>
    <x v="530"/>
    <n v="10"/>
  </r>
  <r>
    <x v="538"/>
    <x v="2"/>
    <x v="0"/>
    <x v="4"/>
    <x v="25"/>
    <x v="2"/>
    <x v="60"/>
    <s v="SENIOR"/>
    <x v="1"/>
    <d v="2023-02-11T00:00:00"/>
    <x v="2"/>
    <x v="531"/>
    <n v="19"/>
  </r>
  <r>
    <x v="539"/>
    <x v="4"/>
    <x v="0"/>
    <x v="8"/>
    <x v="11"/>
    <x v="0"/>
    <x v="76"/>
    <s v="SENIOR"/>
    <x v="0"/>
    <d v="2024-02-13T00:00:00"/>
    <x v="4"/>
    <x v="532"/>
    <n v="10"/>
  </r>
  <r>
    <x v="540"/>
    <x v="5"/>
    <x v="5"/>
    <x v="1"/>
    <x v="1"/>
    <x v="0"/>
    <x v="15"/>
    <s v="SENIOR"/>
    <x v="1"/>
    <d v="2024-01-09T00:00:00"/>
    <x v="2"/>
    <x v="533"/>
    <n v="15"/>
  </r>
  <r>
    <x v="541"/>
    <x v="0"/>
    <x v="6"/>
    <x v="9"/>
    <x v="28"/>
    <x v="1"/>
    <x v="63"/>
    <s v="SENIOR"/>
    <x v="1"/>
    <d v="2023-11-30T00:00:00"/>
    <x v="0"/>
    <x v="534"/>
    <n v="3"/>
  </r>
  <r>
    <x v="542"/>
    <x v="2"/>
    <x v="3"/>
    <x v="0"/>
    <x v="0"/>
    <x v="0"/>
    <x v="29"/>
    <s v="SENIOR"/>
    <x v="1"/>
    <d v="2023-04-25T00:00:00"/>
    <x v="3"/>
    <x v="535"/>
    <n v="3"/>
  </r>
  <r>
    <x v="543"/>
    <x v="1"/>
    <x v="6"/>
    <x v="8"/>
    <x v="33"/>
    <x v="2"/>
    <x v="21"/>
    <s v="ADULT"/>
    <x v="1"/>
    <d v="2024-03-09T00:00:00"/>
    <x v="4"/>
    <x v="536"/>
    <n v="0"/>
  </r>
  <r>
    <x v="544"/>
    <x v="1"/>
    <x v="0"/>
    <x v="1"/>
    <x v="1"/>
    <x v="0"/>
    <x v="27"/>
    <s v="SENIOR"/>
    <x v="0"/>
    <d v="2023-11-24T00:00:00"/>
    <x v="3"/>
    <x v="537"/>
    <n v="0"/>
  </r>
  <r>
    <x v="545"/>
    <x v="5"/>
    <x v="1"/>
    <x v="8"/>
    <x v="13"/>
    <x v="0"/>
    <x v="26"/>
    <s v="SENIOR"/>
    <x v="1"/>
    <d v="2024-02-17T00:00:00"/>
    <x v="1"/>
    <x v="538"/>
    <n v="3"/>
  </r>
  <r>
    <x v="546"/>
    <x v="4"/>
    <x v="7"/>
    <x v="8"/>
    <x v="11"/>
    <x v="0"/>
    <x v="5"/>
    <s v="TEEN"/>
    <x v="0"/>
    <d v="2023-10-22T00:00:00"/>
    <x v="1"/>
    <x v="539"/>
    <n v="0"/>
  </r>
  <r>
    <x v="547"/>
    <x v="5"/>
    <x v="3"/>
    <x v="9"/>
    <x v="28"/>
    <x v="0"/>
    <x v="87"/>
    <s v="ADULT"/>
    <x v="0"/>
    <d v="2023-05-04T00:00:00"/>
    <x v="3"/>
    <x v="540"/>
    <n v="5"/>
  </r>
  <r>
    <x v="548"/>
    <x v="1"/>
    <x v="4"/>
    <x v="9"/>
    <x v="19"/>
    <x v="0"/>
    <x v="74"/>
    <s v="ADULT"/>
    <x v="0"/>
    <d v="2023-10-22T00:00:00"/>
    <x v="0"/>
    <x v="541"/>
    <n v="0"/>
  </r>
  <r>
    <x v="549"/>
    <x v="2"/>
    <x v="0"/>
    <x v="5"/>
    <x v="24"/>
    <x v="1"/>
    <x v="59"/>
    <s v="TEEN"/>
    <x v="0"/>
    <d v="2023-11-11T00:00:00"/>
    <x v="2"/>
    <x v="542"/>
    <n v="15"/>
  </r>
  <r>
    <x v="550"/>
    <x v="0"/>
    <x v="0"/>
    <x v="9"/>
    <x v="34"/>
    <x v="0"/>
    <x v="13"/>
    <s v="ADULT"/>
    <x v="0"/>
    <d v="2023-06-28T00:00:00"/>
    <x v="2"/>
    <x v="543"/>
    <n v="25"/>
  </r>
  <r>
    <x v="551"/>
    <x v="2"/>
    <x v="1"/>
    <x v="3"/>
    <x v="3"/>
    <x v="1"/>
    <x v="78"/>
    <s v="ADULT"/>
    <x v="0"/>
    <d v="2024-03-24T00:00:00"/>
    <x v="2"/>
    <x v="544"/>
    <n v="30"/>
  </r>
  <r>
    <x v="552"/>
    <x v="0"/>
    <x v="2"/>
    <x v="9"/>
    <x v="19"/>
    <x v="0"/>
    <x v="76"/>
    <s v="SENIOR"/>
    <x v="1"/>
    <d v="2024-03-22T00:00:00"/>
    <x v="1"/>
    <x v="545"/>
    <n v="3"/>
  </r>
  <r>
    <x v="553"/>
    <x v="5"/>
    <x v="3"/>
    <x v="0"/>
    <x v="27"/>
    <x v="0"/>
    <x v="15"/>
    <s v="SENIOR"/>
    <x v="1"/>
    <d v="2023-12-07T00:00:00"/>
    <x v="2"/>
    <x v="546"/>
    <n v="25"/>
  </r>
  <r>
    <x v="554"/>
    <x v="0"/>
    <x v="2"/>
    <x v="3"/>
    <x v="22"/>
    <x v="0"/>
    <x v="76"/>
    <s v="SENIOR"/>
    <x v="1"/>
    <d v="2024-02-14T00:00:00"/>
    <x v="1"/>
    <x v="547"/>
    <n v="5"/>
  </r>
  <r>
    <x v="555"/>
    <x v="0"/>
    <x v="0"/>
    <x v="1"/>
    <x v="31"/>
    <x v="0"/>
    <x v="45"/>
    <s v="ADULT"/>
    <x v="1"/>
    <d v="2024-02-25T00:00:00"/>
    <x v="4"/>
    <x v="548"/>
    <n v="5"/>
  </r>
  <r>
    <x v="556"/>
    <x v="4"/>
    <x v="3"/>
    <x v="6"/>
    <x v="12"/>
    <x v="0"/>
    <x v="35"/>
    <s v="ADULT"/>
    <x v="0"/>
    <d v="2023-09-02T00:00:00"/>
    <x v="1"/>
    <x v="549"/>
    <n v="0"/>
  </r>
  <r>
    <x v="557"/>
    <x v="2"/>
    <x v="1"/>
    <x v="5"/>
    <x v="24"/>
    <x v="0"/>
    <x v="65"/>
    <s v="CHILD"/>
    <x v="1"/>
    <d v="2023-08-04T00:00:00"/>
    <x v="0"/>
    <x v="550"/>
    <n v="0"/>
  </r>
  <r>
    <x v="558"/>
    <x v="5"/>
    <x v="7"/>
    <x v="4"/>
    <x v="5"/>
    <x v="0"/>
    <x v="53"/>
    <s v="ADULT"/>
    <x v="1"/>
    <d v="2023-08-27T00:00:00"/>
    <x v="1"/>
    <x v="551"/>
    <n v="0"/>
  </r>
  <r>
    <x v="559"/>
    <x v="2"/>
    <x v="0"/>
    <x v="0"/>
    <x v="0"/>
    <x v="1"/>
    <x v="0"/>
    <s v="SENIOR"/>
    <x v="0"/>
    <d v="2023-09-10T00:00:00"/>
    <x v="0"/>
    <x v="552"/>
    <n v="10"/>
  </r>
  <r>
    <x v="560"/>
    <x v="1"/>
    <x v="3"/>
    <x v="1"/>
    <x v="35"/>
    <x v="0"/>
    <x v="56"/>
    <s v="SENIOR"/>
    <x v="0"/>
    <d v="2023-01-05T00:00:00"/>
    <x v="2"/>
    <x v="553"/>
    <n v="18"/>
  </r>
  <r>
    <x v="561"/>
    <x v="0"/>
    <x v="3"/>
    <x v="9"/>
    <x v="19"/>
    <x v="0"/>
    <x v="82"/>
    <s v="ADULT"/>
    <x v="0"/>
    <d v="2023-03-31T00:00:00"/>
    <x v="2"/>
    <x v="554"/>
    <n v="12"/>
  </r>
  <r>
    <x v="562"/>
    <x v="0"/>
    <x v="4"/>
    <x v="6"/>
    <x v="12"/>
    <x v="0"/>
    <x v="55"/>
    <s v="SENIOR"/>
    <x v="0"/>
    <d v="2024-01-03T00:00:00"/>
    <x v="1"/>
    <x v="555"/>
    <n v="0"/>
  </r>
  <r>
    <x v="563"/>
    <x v="2"/>
    <x v="2"/>
    <x v="6"/>
    <x v="16"/>
    <x v="2"/>
    <x v="62"/>
    <s v="SENIOR"/>
    <x v="0"/>
    <d v="2023-07-24T00:00:00"/>
    <x v="3"/>
    <x v="556"/>
    <n v="3"/>
  </r>
  <r>
    <x v="564"/>
    <x v="0"/>
    <x v="5"/>
    <x v="0"/>
    <x v="20"/>
    <x v="0"/>
    <x v="50"/>
    <s v="ADULT"/>
    <x v="0"/>
    <d v="2024-01-08T00:00:00"/>
    <x v="4"/>
    <x v="557"/>
    <n v="0"/>
  </r>
  <r>
    <x v="565"/>
    <x v="3"/>
    <x v="3"/>
    <x v="4"/>
    <x v="5"/>
    <x v="0"/>
    <x v="87"/>
    <s v="ADULT"/>
    <x v="1"/>
    <d v="2023-11-12T00:00:00"/>
    <x v="0"/>
    <x v="558"/>
    <n v="5"/>
  </r>
  <r>
    <x v="566"/>
    <x v="4"/>
    <x v="1"/>
    <x v="5"/>
    <x v="21"/>
    <x v="0"/>
    <x v="4"/>
    <s v="CHILD"/>
    <x v="1"/>
    <d v="2023-12-19T00:00:00"/>
    <x v="1"/>
    <x v="559"/>
    <n v="0"/>
  </r>
  <r>
    <x v="567"/>
    <x v="0"/>
    <x v="0"/>
    <x v="5"/>
    <x v="6"/>
    <x v="0"/>
    <x v="34"/>
    <s v="ADULT"/>
    <x v="0"/>
    <d v="2023-11-26T00:00:00"/>
    <x v="1"/>
    <x v="560"/>
    <n v="5"/>
  </r>
  <r>
    <x v="568"/>
    <x v="0"/>
    <x v="1"/>
    <x v="1"/>
    <x v="32"/>
    <x v="0"/>
    <x v="68"/>
    <s v="ADULT"/>
    <x v="0"/>
    <d v="2023-07-20T00:00:00"/>
    <x v="1"/>
    <x v="561"/>
    <n v="0"/>
  </r>
  <r>
    <x v="569"/>
    <x v="2"/>
    <x v="4"/>
    <x v="4"/>
    <x v="5"/>
    <x v="1"/>
    <x v="41"/>
    <s v="CHILD"/>
    <x v="1"/>
    <d v="2023-01-14T00:00:00"/>
    <x v="1"/>
    <x v="562"/>
    <n v="0"/>
  </r>
  <r>
    <x v="570"/>
    <x v="4"/>
    <x v="1"/>
    <x v="0"/>
    <x v="15"/>
    <x v="0"/>
    <x v="3"/>
    <s v="ADULT"/>
    <x v="1"/>
    <d v="2024-04-14T00:00:00"/>
    <x v="1"/>
    <x v="563"/>
    <n v="10"/>
  </r>
  <r>
    <x v="571"/>
    <x v="0"/>
    <x v="3"/>
    <x v="2"/>
    <x v="2"/>
    <x v="0"/>
    <x v="78"/>
    <s v="ADULT"/>
    <x v="0"/>
    <d v="2023-06-18T00:00:00"/>
    <x v="0"/>
    <x v="261"/>
    <n v="0"/>
  </r>
  <r>
    <x v="572"/>
    <x v="5"/>
    <x v="6"/>
    <x v="5"/>
    <x v="21"/>
    <x v="1"/>
    <x v="74"/>
    <s v="ADULT"/>
    <x v="0"/>
    <d v="2023-08-05T00:00:00"/>
    <x v="3"/>
    <x v="564"/>
    <n v="10"/>
  </r>
  <r>
    <x v="573"/>
    <x v="0"/>
    <x v="5"/>
    <x v="2"/>
    <x v="2"/>
    <x v="2"/>
    <x v="30"/>
    <s v="ADULT"/>
    <x v="0"/>
    <d v="2023-01-09T00:00:00"/>
    <x v="5"/>
    <x v="189"/>
    <n v="0"/>
  </r>
  <r>
    <x v="574"/>
    <x v="1"/>
    <x v="6"/>
    <x v="6"/>
    <x v="12"/>
    <x v="1"/>
    <x v="39"/>
    <s v="SENIOR"/>
    <x v="1"/>
    <d v="2023-12-14T00:00:00"/>
    <x v="0"/>
    <x v="565"/>
    <n v="0"/>
  </r>
  <r>
    <x v="575"/>
    <x v="3"/>
    <x v="4"/>
    <x v="2"/>
    <x v="23"/>
    <x v="1"/>
    <x v="3"/>
    <s v="ADULT"/>
    <x v="0"/>
    <d v="2023-02-02T00:00:00"/>
    <x v="3"/>
    <x v="566"/>
    <n v="5"/>
  </r>
  <r>
    <x v="576"/>
    <x v="1"/>
    <x v="0"/>
    <x v="1"/>
    <x v="32"/>
    <x v="0"/>
    <x v="30"/>
    <s v="ADULT"/>
    <x v="1"/>
    <d v="2023-09-07T00:00:00"/>
    <x v="1"/>
    <x v="567"/>
    <n v="5"/>
  </r>
  <r>
    <x v="577"/>
    <x v="4"/>
    <x v="3"/>
    <x v="5"/>
    <x v="21"/>
    <x v="0"/>
    <x v="0"/>
    <s v="SENIOR"/>
    <x v="1"/>
    <d v="2024-01-16T00:00:00"/>
    <x v="5"/>
    <x v="568"/>
    <n v="0"/>
  </r>
  <r>
    <x v="578"/>
    <x v="4"/>
    <x v="4"/>
    <x v="7"/>
    <x v="18"/>
    <x v="0"/>
    <x v="78"/>
    <s v="ADULT"/>
    <x v="1"/>
    <d v="2023-05-28T00:00:00"/>
    <x v="1"/>
    <x v="569"/>
    <n v="3"/>
  </r>
  <r>
    <x v="579"/>
    <x v="1"/>
    <x v="5"/>
    <x v="4"/>
    <x v="5"/>
    <x v="1"/>
    <x v="9"/>
    <s v="TEEN"/>
    <x v="0"/>
    <d v="2023-11-25T00:00:00"/>
    <x v="1"/>
    <x v="570"/>
    <n v="0"/>
  </r>
  <r>
    <x v="580"/>
    <x v="3"/>
    <x v="7"/>
    <x v="2"/>
    <x v="4"/>
    <x v="0"/>
    <x v="44"/>
    <s v="SENIOR"/>
    <x v="1"/>
    <d v="2023-04-11T00:00:00"/>
    <x v="3"/>
    <x v="571"/>
    <n v="10"/>
  </r>
  <r>
    <x v="581"/>
    <x v="1"/>
    <x v="4"/>
    <x v="3"/>
    <x v="37"/>
    <x v="0"/>
    <x v="24"/>
    <s v="SENIOR"/>
    <x v="1"/>
    <d v="2023-01-05T00:00:00"/>
    <x v="3"/>
    <x v="572"/>
    <n v="5"/>
  </r>
  <r>
    <x v="582"/>
    <x v="0"/>
    <x v="1"/>
    <x v="9"/>
    <x v="34"/>
    <x v="0"/>
    <x v="18"/>
    <s v="ADULT"/>
    <x v="0"/>
    <d v="2023-02-02T00:00:00"/>
    <x v="3"/>
    <x v="573"/>
    <n v="0"/>
  </r>
  <r>
    <x v="583"/>
    <x v="5"/>
    <x v="1"/>
    <x v="4"/>
    <x v="8"/>
    <x v="0"/>
    <x v="52"/>
    <s v="ADULT"/>
    <x v="1"/>
    <d v="2023-02-20T00:00:00"/>
    <x v="2"/>
    <x v="574"/>
    <n v="5"/>
  </r>
  <r>
    <x v="584"/>
    <x v="4"/>
    <x v="6"/>
    <x v="3"/>
    <x v="3"/>
    <x v="0"/>
    <x v="87"/>
    <s v="ADULT"/>
    <x v="0"/>
    <d v="2024-04-01T00:00:00"/>
    <x v="0"/>
    <x v="575"/>
    <n v="5"/>
  </r>
  <r>
    <x v="585"/>
    <x v="3"/>
    <x v="3"/>
    <x v="1"/>
    <x v="32"/>
    <x v="0"/>
    <x v="5"/>
    <s v="TEEN"/>
    <x v="0"/>
    <d v="2023-09-07T00:00:00"/>
    <x v="3"/>
    <x v="576"/>
    <n v="0"/>
  </r>
  <r>
    <x v="586"/>
    <x v="0"/>
    <x v="4"/>
    <x v="7"/>
    <x v="30"/>
    <x v="0"/>
    <x v="83"/>
    <s v="CHILD"/>
    <x v="1"/>
    <d v="2023-09-28T00:00:00"/>
    <x v="4"/>
    <x v="577"/>
    <n v="3"/>
  </r>
  <r>
    <x v="587"/>
    <x v="5"/>
    <x v="6"/>
    <x v="5"/>
    <x v="17"/>
    <x v="0"/>
    <x v="64"/>
    <s v="ADULT"/>
    <x v="1"/>
    <d v="2024-03-21T00:00:00"/>
    <x v="2"/>
    <x v="578"/>
    <n v="10"/>
  </r>
  <r>
    <x v="588"/>
    <x v="5"/>
    <x v="6"/>
    <x v="0"/>
    <x v="0"/>
    <x v="1"/>
    <x v="15"/>
    <s v="SENIOR"/>
    <x v="0"/>
    <d v="2023-08-19T00:00:00"/>
    <x v="0"/>
    <x v="579"/>
    <n v="0"/>
  </r>
  <r>
    <x v="589"/>
    <x v="2"/>
    <x v="1"/>
    <x v="8"/>
    <x v="13"/>
    <x v="0"/>
    <x v="41"/>
    <s v="CHILD"/>
    <x v="0"/>
    <d v="2024-04-15T00:00:00"/>
    <x v="3"/>
    <x v="580"/>
    <n v="0"/>
  </r>
  <r>
    <x v="590"/>
    <x v="0"/>
    <x v="6"/>
    <x v="2"/>
    <x v="23"/>
    <x v="0"/>
    <x v="78"/>
    <s v="ADULT"/>
    <x v="0"/>
    <d v="2024-02-25T00:00:00"/>
    <x v="2"/>
    <x v="581"/>
    <n v="19"/>
  </r>
  <r>
    <x v="591"/>
    <x v="0"/>
    <x v="1"/>
    <x v="8"/>
    <x v="36"/>
    <x v="0"/>
    <x v="10"/>
    <s v="TEEN"/>
    <x v="0"/>
    <d v="2024-01-04T00:00:00"/>
    <x v="0"/>
    <x v="582"/>
    <n v="0"/>
  </r>
  <r>
    <x v="592"/>
    <x v="3"/>
    <x v="5"/>
    <x v="1"/>
    <x v="35"/>
    <x v="1"/>
    <x v="6"/>
    <s v="ADULT"/>
    <x v="1"/>
    <d v="2023-04-28T00:00:00"/>
    <x v="0"/>
    <x v="583"/>
    <n v="0"/>
  </r>
  <r>
    <x v="593"/>
    <x v="0"/>
    <x v="7"/>
    <x v="5"/>
    <x v="6"/>
    <x v="0"/>
    <x v="3"/>
    <s v="ADULT"/>
    <x v="0"/>
    <d v="2024-03-03T00:00:00"/>
    <x v="1"/>
    <x v="584"/>
    <n v="5"/>
  </r>
  <r>
    <x v="594"/>
    <x v="5"/>
    <x v="7"/>
    <x v="0"/>
    <x v="15"/>
    <x v="0"/>
    <x v="70"/>
    <s v="ADULT"/>
    <x v="0"/>
    <d v="2024-03-06T00:00:00"/>
    <x v="1"/>
    <x v="585"/>
    <n v="0"/>
  </r>
  <r>
    <x v="595"/>
    <x v="1"/>
    <x v="3"/>
    <x v="3"/>
    <x v="3"/>
    <x v="0"/>
    <x v="77"/>
    <s v="SENIOR"/>
    <x v="0"/>
    <d v="2023-11-28T00:00:00"/>
    <x v="1"/>
    <x v="586"/>
    <n v="0"/>
  </r>
  <r>
    <x v="596"/>
    <x v="3"/>
    <x v="5"/>
    <x v="3"/>
    <x v="3"/>
    <x v="0"/>
    <x v="65"/>
    <s v="CHILD"/>
    <x v="0"/>
    <d v="2024-02-13T00:00:00"/>
    <x v="2"/>
    <x v="587"/>
    <n v="0"/>
  </r>
  <r>
    <x v="597"/>
    <x v="2"/>
    <x v="3"/>
    <x v="4"/>
    <x v="5"/>
    <x v="0"/>
    <x v="18"/>
    <s v="ADULT"/>
    <x v="0"/>
    <d v="2023-10-02T00:00:00"/>
    <x v="4"/>
    <x v="588"/>
    <n v="10"/>
  </r>
  <r>
    <x v="598"/>
    <x v="3"/>
    <x v="3"/>
    <x v="1"/>
    <x v="32"/>
    <x v="0"/>
    <x v="56"/>
    <s v="SENIOR"/>
    <x v="1"/>
    <d v="2024-02-27T00:00:00"/>
    <x v="0"/>
    <x v="589"/>
    <n v="0"/>
  </r>
  <r>
    <x v="599"/>
    <x v="2"/>
    <x v="6"/>
    <x v="6"/>
    <x v="26"/>
    <x v="2"/>
    <x v="71"/>
    <s v="ADULT"/>
    <x v="1"/>
    <d v="2023-02-24T00:00:00"/>
    <x v="1"/>
    <x v="590"/>
    <n v="10"/>
  </r>
  <r>
    <x v="600"/>
    <x v="2"/>
    <x v="6"/>
    <x v="0"/>
    <x v="15"/>
    <x v="1"/>
    <x v="15"/>
    <s v="SENIOR"/>
    <x v="1"/>
    <d v="2023-09-26T00:00:00"/>
    <x v="2"/>
    <x v="591"/>
    <n v="18"/>
  </r>
  <r>
    <x v="601"/>
    <x v="5"/>
    <x v="1"/>
    <x v="0"/>
    <x v="27"/>
    <x v="0"/>
    <x v="84"/>
    <s v="ADULT"/>
    <x v="0"/>
    <d v="2023-06-27T00:00:00"/>
    <x v="3"/>
    <x v="592"/>
    <n v="3"/>
  </r>
  <r>
    <x v="602"/>
    <x v="2"/>
    <x v="4"/>
    <x v="9"/>
    <x v="34"/>
    <x v="1"/>
    <x v="32"/>
    <s v="SENIOR"/>
    <x v="0"/>
    <d v="2023-11-02T00:00:00"/>
    <x v="0"/>
    <x v="593"/>
    <n v="0"/>
  </r>
  <r>
    <x v="603"/>
    <x v="5"/>
    <x v="5"/>
    <x v="4"/>
    <x v="25"/>
    <x v="0"/>
    <x v="36"/>
    <s v="ADULT"/>
    <x v="1"/>
    <d v="2023-10-28T00:00:00"/>
    <x v="2"/>
    <x v="594"/>
    <n v="20"/>
  </r>
  <r>
    <x v="604"/>
    <x v="5"/>
    <x v="4"/>
    <x v="4"/>
    <x v="25"/>
    <x v="0"/>
    <x v="73"/>
    <s v="SENIOR"/>
    <x v="1"/>
    <d v="2024-02-18T00:00:00"/>
    <x v="3"/>
    <x v="595"/>
    <n v="0"/>
  </r>
  <r>
    <x v="605"/>
    <x v="4"/>
    <x v="3"/>
    <x v="5"/>
    <x v="17"/>
    <x v="0"/>
    <x v="7"/>
    <s v="TEEN"/>
    <x v="1"/>
    <d v="2023-04-21T00:00:00"/>
    <x v="1"/>
    <x v="596"/>
    <n v="0"/>
  </r>
  <r>
    <x v="606"/>
    <x v="1"/>
    <x v="6"/>
    <x v="0"/>
    <x v="0"/>
    <x v="0"/>
    <x v="60"/>
    <s v="SENIOR"/>
    <x v="0"/>
    <d v="2023-03-11T00:00:00"/>
    <x v="3"/>
    <x v="597"/>
    <n v="10"/>
  </r>
  <r>
    <x v="607"/>
    <x v="5"/>
    <x v="4"/>
    <x v="5"/>
    <x v="24"/>
    <x v="1"/>
    <x v="59"/>
    <s v="TEEN"/>
    <x v="0"/>
    <d v="2024-04-01T00:00:00"/>
    <x v="0"/>
    <x v="598"/>
    <n v="5"/>
  </r>
  <r>
    <x v="608"/>
    <x v="1"/>
    <x v="1"/>
    <x v="9"/>
    <x v="29"/>
    <x v="1"/>
    <x v="74"/>
    <s v="ADULT"/>
    <x v="0"/>
    <d v="2023-04-26T00:00:00"/>
    <x v="2"/>
    <x v="599"/>
    <n v="5"/>
  </r>
  <r>
    <x v="609"/>
    <x v="0"/>
    <x v="6"/>
    <x v="0"/>
    <x v="15"/>
    <x v="0"/>
    <x v="40"/>
    <s v="SENIOR"/>
    <x v="0"/>
    <d v="2023-08-13T00:00:00"/>
    <x v="1"/>
    <x v="600"/>
    <n v="3"/>
  </r>
  <r>
    <x v="610"/>
    <x v="1"/>
    <x v="7"/>
    <x v="1"/>
    <x v="32"/>
    <x v="2"/>
    <x v="9"/>
    <s v="TEEN"/>
    <x v="1"/>
    <d v="2023-12-27T00:00:00"/>
    <x v="1"/>
    <x v="601"/>
    <n v="3"/>
  </r>
  <r>
    <x v="611"/>
    <x v="2"/>
    <x v="3"/>
    <x v="9"/>
    <x v="29"/>
    <x v="0"/>
    <x v="34"/>
    <s v="ADULT"/>
    <x v="1"/>
    <d v="2023-06-15T00:00:00"/>
    <x v="0"/>
    <x v="602"/>
    <n v="10"/>
  </r>
  <r>
    <x v="612"/>
    <x v="4"/>
    <x v="3"/>
    <x v="7"/>
    <x v="38"/>
    <x v="0"/>
    <x v="26"/>
    <s v="SENIOR"/>
    <x v="1"/>
    <d v="2023-07-24T00:00:00"/>
    <x v="1"/>
    <x v="603"/>
    <n v="0"/>
  </r>
  <r>
    <x v="613"/>
    <x v="5"/>
    <x v="6"/>
    <x v="9"/>
    <x v="28"/>
    <x v="0"/>
    <x v="85"/>
    <s v="SENIOR"/>
    <x v="0"/>
    <d v="2023-10-14T00:00:00"/>
    <x v="0"/>
    <x v="604"/>
    <n v="3"/>
  </r>
  <r>
    <x v="614"/>
    <x v="0"/>
    <x v="4"/>
    <x v="7"/>
    <x v="10"/>
    <x v="0"/>
    <x v="72"/>
    <s v="CHILD"/>
    <x v="1"/>
    <d v="2023-02-24T00:00:00"/>
    <x v="5"/>
    <x v="605"/>
    <n v="4"/>
  </r>
  <r>
    <x v="615"/>
    <x v="1"/>
    <x v="5"/>
    <x v="6"/>
    <x v="9"/>
    <x v="0"/>
    <x v="66"/>
    <s v="SENIOR"/>
    <x v="0"/>
    <d v="2023-02-05T00:00:00"/>
    <x v="0"/>
    <x v="606"/>
    <n v="0"/>
  </r>
  <r>
    <x v="616"/>
    <x v="4"/>
    <x v="1"/>
    <x v="1"/>
    <x v="32"/>
    <x v="0"/>
    <x v="26"/>
    <s v="SENIOR"/>
    <x v="0"/>
    <d v="2023-06-27T00:00:00"/>
    <x v="2"/>
    <x v="607"/>
    <n v="19"/>
  </r>
  <r>
    <x v="617"/>
    <x v="1"/>
    <x v="3"/>
    <x v="4"/>
    <x v="5"/>
    <x v="0"/>
    <x v="86"/>
    <s v="SENIOR"/>
    <x v="1"/>
    <d v="2023-10-18T00:00:00"/>
    <x v="2"/>
    <x v="608"/>
    <n v="15"/>
  </r>
  <r>
    <x v="618"/>
    <x v="2"/>
    <x v="1"/>
    <x v="9"/>
    <x v="29"/>
    <x v="0"/>
    <x v="36"/>
    <s v="ADULT"/>
    <x v="0"/>
    <d v="2024-01-31T00:00:00"/>
    <x v="0"/>
    <x v="609"/>
    <n v="5"/>
  </r>
  <r>
    <x v="619"/>
    <x v="1"/>
    <x v="5"/>
    <x v="9"/>
    <x v="29"/>
    <x v="1"/>
    <x v="55"/>
    <s v="SENIOR"/>
    <x v="1"/>
    <d v="2023-08-05T00:00:00"/>
    <x v="1"/>
    <x v="610"/>
    <n v="10"/>
  </r>
  <r>
    <x v="620"/>
    <x v="5"/>
    <x v="4"/>
    <x v="9"/>
    <x v="34"/>
    <x v="0"/>
    <x v="79"/>
    <s v="SENIOR"/>
    <x v="1"/>
    <d v="2023-08-15T00:00:00"/>
    <x v="1"/>
    <x v="611"/>
    <n v="5"/>
  </r>
  <r>
    <x v="621"/>
    <x v="1"/>
    <x v="2"/>
    <x v="5"/>
    <x v="21"/>
    <x v="1"/>
    <x v="12"/>
    <s v="TEEN"/>
    <x v="1"/>
    <d v="2023-05-29T00:00:00"/>
    <x v="3"/>
    <x v="612"/>
    <n v="5"/>
  </r>
  <r>
    <x v="622"/>
    <x v="3"/>
    <x v="7"/>
    <x v="7"/>
    <x v="18"/>
    <x v="0"/>
    <x v="6"/>
    <s v="ADULT"/>
    <x v="0"/>
    <d v="2023-09-11T00:00:00"/>
    <x v="1"/>
    <x v="613"/>
    <n v="0"/>
  </r>
  <r>
    <x v="623"/>
    <x v="5"/>
    <x v="0"/>
    <x v="6"/>
    <x v="16"/>
    <x v="0"/>
    <x v="52"/>
    <s v="ADULT"/>
    <x v="0"/>
    <d v="2024-03-10T00:00:00"/>
    <x v="4"/>
    <x v="614"/>
    <n v="0"/>
  </r>
  <r>
    <x v="624"/>
    <x v="0"/>
    <x v="0"/>
    <x v="6"/>
    <x v="16"/>
    <x v="0"/>
    <x v="54"/>
    <s v="ADULT"/>
    <x v="1"/>
    <d v="2023-03-01T00:00:00"/>
    <x v="3"/>
    <x v="615"/>
    <n v="0"/>
  </r>
  <r>
    <x v="625"/>
    <x v="0"/>
    <x v="1"/>
    <x v="3"/>
    <x v="37"/>
    <x v="0"/>
    <x v="80"/>
    <s v="SENIOR"/>
    <x v="1"/>
    <d v="2023-12-22T00:00:00"/>
    <x v="4"/>
    <x v="616"/>
    <n v="0"/>
  </r>
  <r>
    <x v="626"/>
    <x v="3"/>
    <x v="4"/>
    <x v="6"/>
    <x v="12"/>
    <x v="0"/>
    <x v="30"/>
    <s v="ADULT"/>
    <x v="0"/>
    <d v="2024-04-15T00:00:00"/>
    <x v="2"/>
    <x v="617"/>
    <n v="35"/>
  </r>
  <r>
    <x v="627"/>
    <x v="5"/>
    <x v="0"/>
    <x v="7"/>
    <x v="18"/>
    <x v="1"/>
    <x v="61"/>
    <s v="ADULT"/>
    <x v="1"/>
    <d v="2023-05-26T00:00:00"/>
    <x v="3"/>
    <x v="618"/>
    <n v="10"/>
  </r>
  <r>
    <x v="628"/>
    <x v="2"/>
    <x v="3"/>
    <x v="2"/>
    <x v="4"/>
    <x v="2"/>
    <x v="16"/>
    <s v="ADULT"/>
    <x v="0"/>
    <d v="2024-01-15T00:00:00"/>
    <x v="0"/>
    <x v="619"/>
    <n v="5"/>
  </r>
  <r>
    <x v="629"/>
    <x v="2"/>
    <x v="6"/>
    <x v="8"/>
    <x v="11"/>
    <x v="0"/>
    <x v="63"/>
    <s v="SENIOR"/>
    <x v="1"/>
    <d v="2024-01-25T00:00:00"/>
    <x v="2"/>
    <x v="620"/>
    <n v="35"/>
  </r>
  <r>
    <x v="630"/>
    <x v="0"/>
    <x v="0"/>
    <x v="2"/>
    <x v="23"/>
    <x v="0"/>
    <x v="69"/>
    <s v="SENIOR"/>
    <x v="0"/>
    <d v="2023-12-23T00:00:00"/>
    <x v="0"/>
    <x v="621"/>
    <n v="5"/>
  </r>
  <r>
    <x v="631"/>
    <x v="5"/>
    <x v="2"/>
    <x v="9"/>
    <x v="34"/>
    <x v="0"/>
    <x v="18"/>
    <s v="ADULT"/>
    <x v="0"/>
    <d v="2023-08-08T00:00:00"/>
    <x v="0"/>
    <x v="622"/>
    <n v="0"/>
  </r>
  <r>
    <x v="632"/>
    <x v="4"/>
    <x v="7"/>
    <x v="2"/>
    <x v="4"/>
    <x v="0"/>
    <x v="45"/>
    <s v="ADULT"/>
    <x v="1"/>
    <d v="2024-04-23T00:00:00"/>
    <x v="2"/>
    <x v="623"/>
    <n v="18"/>
  </r>
  <r>
    <x v="633"/>
    <x v="0"/>
    <x v="7"/>
    <x v="9"/>
    <x v="28"/>
    <x v="0"/>
    <x v="60"/>
    <s v="SENIOR"/>
    <x v="1"/>
    <d v="2024-01-15T00:00:00"/>
    <x v="1"/>
    <x v="624"/>
    <n v="0"/>
  </r>
  <r>
    <x v="634"/>
    <x v="4"/>
    <x v="3"/>
    <x v="3"/>
    <x v="22"/>
    <x v="0"/>
    <x v="11"/>
    <s v="ADULT"/>
    <x v="1"/>
    <d v="2023-05-03T00:00:00"/>
    <x v="1"/>
    <x v="625"/>
    <n v="5"/>
  </r>
  <r>
    <x v="635"/>
    <x v="1"/>
    <x v="4"/>
    <x v="8"/>
    <x v="36"/>
    <x v="0"/>
    <x v="71"/>
    <s v="ADULT"/>
    <x v="0"/>
    <d v="2024-04-19T00:00:00"/>
    <x v="1"/>
    <x v="626"/>
    <n v="0"/>
  </r>
  <r>
    <x v="636"/>
    <x v="2"/>
    <x v="7"/>
    <x v="9"/>
    <x v="19"/>
    <x v="0"/>
    <x v="84"/>
    <s v="ADULT"/>
    <x v="1"/>
    <d v="2023-09-02T00:00:00"/>
    <x v="5"/>
    <x v="627"/>
    <n v="20"/>
  </r>
  <r>
    <x v="637"/>
    <x v="5"/>
    <x v="3"/>
    <x v="0"/>
    <x v="15"/>
    <x v="0"/>
    <x v="45"/>
    <s v="ADULT"/>
    <x v="1"/>
    <d v="2023-04-09T00:00:00"/>
    <x v="3"/>
    <x v="628"/>
    <n v="0"/>
  </r>
  <r>
    <x v="638"/>
    <x v="1"/>
    <x v="6"/>
    <x v="0"/>
    <x v="0"/>
    <x v="0"/>
    <x v="43"/>
    <s v="SENIOR"/>
    <x v="1"/>
    <d v="2024-01-25T00:00:00"/>
    <x v="4"/>
    <x v="629"/>
    <n v="5"/>
  </r>
  <r>
    <x v="639"/>
    <x v="0"/>
    <x v="5"/>
    <x v="0"/>
    <x v="15"/>
    <x v="0"/>
    <x v="38"/>
    <s v="CHILD"/>
    <x v="1"/>
    <d v="2023-06-27T00:00:00"/>
    <x v="0"/>
    <x v="630"/>
    <n v="3"/>
  </r>
  <r>
    <x v="640"/>
    <x v="1"/>
    <x v="4"/>
    <x v="0"/>
    <x v="20"/>
    <x v="0"/>
    <x v="3"/>
    <s v="ADULT"/>
    <x v="0"/>
    <d v="2024-04-06T00:00:00"/>
    <x v="1"/>
    <x v="631"/>
    <n v="0"/>
  </r>
  <r>
    <x v="641"/>
    <x v="2"/>
    <x v="7"/>
    <x v="6"/>
    <x v="26"/>
    <x v="0"/>
    <x v="13"/>
    <s v="ADULT"/>
    <x v="0"/>
    <d v="2024-02-07T00:00:00"/>
    <x v="1"/>
    <x v="632"/>
    <n v="0"/>
  </r>
  <r>
    <x v="642"/>
    <x v="4"/>
    <x v="4"/>
    <x v="5"/>
    <x v="17"/>
    <x v="0"/>
    <x v="6"/>
    <s v="ADULT"/>
    <x v="0"/>
    <d v="2023-10-27T00:00:00"/>
    <x v="1"/>
    <x v="633"/>
    <n v="3"/>
  </r>
  <r>
    <x v="643"/>
    <x v="3"/>
    <x v="4"/>
    <x v="0"/>
    <x v="15"/>
    <x v="0"/>
    <x v="50"/>
    <s v="ADULT"/>
    <x v="0"/>
    <d v="2024-02-12T00:00:00"/>
    <x v="2"/>
    <x v="634"/>
    <n v="18"/>
  </r>
  <r>
    <x v="644"/>
    <x v="2"/>
    <x v="6"/>
    <x v="8"/>
    <x v="11"/>
    <x v="1"/>
    <x v="36"/>
    <s v="ADULT"/>
    <x v="1"/>
    <d v="2023-01-10T00:00:00"/>
    <x v="3"/>
    <x v="635"/>
    <n v="0"/>
  </r>
  <r>
    <x v="645"/>
    <x v="4"/>
    <x v="0"/>
    <x v="3"/>
    <x v="3"/>
    <x v="0"/>
    <x v="54"/>
    <s v="ADULT"/>
    <x v="0"/>
    <d v="2023-08-03T00:00:00"/>
    <x v="0"/>
    <x v="636"/>
    <n v="0"/>
  </r>
  <r>
    <x v="646"/>
    <x v="0"/>
    <x v="4"/>
    <x v="3"/>
    <x v="37"/>
    <x v="1"/>
    <x v="73"/>
    <s v="SENIOR"/>
    <x v="0"/>
    <d v="2023-10-18T00:00:00"/>
    <x v="1"/>
    <x v="637"/>
    <n v="3"/>
  </r>
  <r>
    <x v="647"/>
    <x v="4"/>
    <x v="7"/>
    <x v="2"/>
    <x v="2"/>
    <x v="0"/>
    <x v="40"/>
    <s v="SENIOR"/>
    <x v="1"/>
    <d v="2023-01-01T00:00:00"/>
    <x v="2"/>
    <x v="638"/>
    <n v="15"/>
  </r>
  <r>
    <x v="648"/>
    <x v="3"/>
    <x v="5"/>
    <x v="7"/>
    <x v="38"/>
    <x v="2"/>
    <x v="62"/>
    <s v="SENIOR"/>
    <x v="1"/>
    <d v="2023-08-18T00:00:00"/>
    <x v="2"/>
    <x v="639"/>
    <n v="19"/>
  </r>
  <r>
    <x v="649"/>
    <x v="2"/>
    <x v="4"/>
    <x v="7"/>
    <x v="10"/>
    <x v="1"/>
    <x v="81"/>
    <s v="ADULT"/>
    <x v="1"/>
    <d v="2023-07-10T00:00:00"/>
    <x v="1"/>
    <x v="640"/>
    <n v="10"/>
  </r>
  <r>
    <x v="650"/>
    <x v="1"/>
    <x v="1"/>
    <x v="3"/>
    <x v="37"/>
    <x v="1"/>
    <x v="0"/>
    <s v="SENIOR"/>
    <x v="1"/>
    <d v="2023-09-24T00:00:00"/>
    <x v="3"/>
    <x v="641"/>
    <n v="0"/>
  </r>
  <r>
    <x v="651"/>
    <x v="3"/>
    <x v="5"/>
    <x v="1"/>
    <x v="32"/>
    <x v="0"/>
    <x v="76"/>
    <s v="SENIOR"/>
    <x v="0"/>
    <d v="2024-02-16T00:00:00"/>
    <x v="1"/>
    <x v="642"/>
    <n v="3"/>
  </r>
  <r>
    <x v="652"/>
    <x v="3"/>
    <x v="6"/>
    <x v="1"/>
    <x v="32"/>
    <x v="1"/>
    <x v="56"/>
    <s v="SENIOR"/>
    <x v="0"/>
    <d v="2023-02-12T00:00:00"/>
    <x v="1"/>
    <x v="643"/>
    <n v="0"/>
  </r>
  <r>
    <x v="653"/>
    <x v="0"/>
    <x v="3"/>
    <x v="9"/>
    <x v="19"/>
    <x v="1"/>
    <x v="61"/>
    <s v="ADULT"/>
    <x v="0"/>
    <d v="2024-04-22T00:00:00"/>
    <x v="2"/>
    <x v="644"/>
    <n v="20"/>
  </r>
  <r>
    <x v="654"/>
    <x v="0"/>
    <x v="4"/>
    <x v="1"/>
    <x v="32"/>
    <x v="0"/>
    <x v="23"/>
    <s v="ADULT"/>
    <x v="0"/>
    <d v="2023-02-21T00:00:00"/>
    <x v="1"/>
    <x v="645"/>
    <n v="0"/>
  </r>
  <r>
    <x v="655"/>
    <x v="5"/>
    <x v="4"/>
    <x v="9"/>
    <x v="19"/>
    <x v="1"/>
    <x v="62"/>
    <s v="SENIOR"/>
    <x v="0"/>
    <d v="2023-02-18T00:00:00"/>
    <x v="1"/>
    <x v="646"/>
    <n v="0"/>
  </r>
  <r>
    <x v="656"/>
    <x v="3"/>
    <x v="2"/>
    <x v="6"/>
    <x v="16"/>
    <x v="2"/>
    <x v="70"/>
    <s v="ADULT"/>
    <x v="1"/>
    <d v="2023-11-15T00:00:00"/>
    <x v="1"/>
    <x v="647"/>
    <n v="0"/>
  </r>
  <r>
    <x v="657"/>
    <x v="4"/>
    <x v="6"/>
    <x v="8"/>
    <x v="33"/>
    <x v="0"/>
    <x v="53"/>
    <s v="ADULT"/>
    <x v="1"/>
    <d v="2023-06-12T00:00:00"/>
    <x v="1"/>
    <x v="648"/>
    <n v="0"/>
  </r>
  <r>
    <x v="658"/>
    <x v="1"/>
    <x v="0"/>
    <x v="4"/>
    <x v="8"/>
    <x v="0"/>
    <x v="74"/>
    <s v="ADULT"/>
    <x v="0"/>
    <d v="2023-02-06T00:00:00"/>
    <x v="4"/>
    <x v="649"/>
    <n v="10"/>
  </r>
  <r>
    <x v="659"/>
    <x v="0"/>
    <x v="5"/>
    <x v="9"/>
    <x v="19"/>
    <x v="0"/>
    <x v="71"/>
    <s v="ADULT"/>
    <x v="1"/>
    <d v="2023-06-23T00:00:00"/>
    <x v="2"/>
    <x v="650"/>
    <n v="40"/>
  </r>
  <r>
    <x v="660"/>
    <x v="5"/>
    <x v="2"/>
    <x v="5"/>
    <x v="24"/>
    <x v="0"/>
    <x v="60"/>
    <s v="SENIOR"/>
    <x v="0"/>
    <d v="2023-06-01T00:00:00"/>
    <x v="1"/>
    <x v="651"/>
    <n v="0"/>
  </r>
  <r>
    <x v="661"/>
    <x v="3"/>
    <x v="1"/>
    <x v="1"/>
    <x v="35"/>
    <x v="0"/>
    <x v="29"/>
    <s v="SENIOR"/>
    <x v="0"/>
    <d v="2023-07-30T00:00:00"/>
    <x v="1"/>
    <x v="652"/>
    <n v="10"/>
  </r>
  <r>
    <x v="662"/>
    <x v="1"/>
    <x v="6"/>
    <x v="5"/>
    <x v="24"/>
    <x v="0"/>
    <x v="88"/>
    <s v="ADULT"/>
    <x v="0"/>
    <d v="2023-06-19T00:00:00"/>
    <x v="1"/>
    <x v="653"/>
    <n v="0"/>
  </r>
  <r>
    <x v="663"/>
    <x v="2"/>
    <x v="4"/>
    <x v="6"/>
    <x v="12"/>
    <x v="0"/>
    <x v="66"/>
    <s v="SENIOR"/>
    <x v="0"/>
    <d v="2023-01-13T00:00:00"/>
    <x v="1"/>
    <x v="654"/>
    <n v="0"/>
  </r>
  <r>
    <x v="664"/>
    <x v="4"/>
    <x v="7"/>
    <x v="4"/>
    <x v="7"/>
    <x v="0"/>
    <x v="6"/>
    <s v="ADULT"/>
    <x v="0"/>
    <d v="2023-03-23T00:00:00"/>
    <x v="0"/>
    <x v="655"/>
    <n v="0"/>
  </r>
  <r>
    <x v="665"/>
    <x v="3"/>
    <x v="5"/>
    <x v="0"/>
    <x v="15"/>
    <x v="0"/>
    <x v="86"/>
    <s v="SENIOR"/>
    <x v="0"/>
    <d v="2023-09-08T00:00:00"/>
    <x v="0"/>
    <x v="656"/>
    <n v="0"/>
  </r>
  <r>
    <x v="666"/>
    <x v="2"/>
    <x v="2"/>
    <x v="5"/>
    <x v="21"/>
    <x v="0"/>
    <x v="86"/>
    <s v="SENIOR"/>
    <x v="0"/>
    <d v="2023-09-16T00:00:00"/>
    <x v="0"/>
    <x v="657"/>
    <n v="0"/>
  </r>
  <r>
    <x v="667"/>
    <x v="0"/>
    <x v="5"/>
    <x v="1"/>
    <x v="35"/>
    <x v="0"/>
    <x v="21"/>
    <s v="ADULT"/>
    <x v="0"/>
    <d v="2023-04-10T00:00:00"/>
    <x v="3"/>
    <x v="658"/>
    <n v="5"/>
  </r>
  <r>
    <x v="668"/>
    <x v="1"/>
    <x v="2"/>
    <x v="0"/>
    <x v="20"/>
    <x v="0"/>
    <x v="19"/>
    <s v="ADULT"/>
    <x v="0"/>
    <d v="2023-01-20T00:00:00"/>
    <x v="3"/>
    <x v="659"/>
    <n v="0"/>
  </r>
  <r>
    <x v="669"/>
    <x v="3"/>
    <x v="2"/>
    <x v="7"/>
    <x v="38"/>
    <x v="1"/>
    <x v="88"/>
    <s v="ADULT"/>
    <x v="0"/>
    <d v="2023-05-04T00:00:00"/>
    <x v="3"/>
    <x v="660"/>
    <n v="0"/>
  </r>
  <r>
    <x v="670"/>
    <x v="1"/>
    <x v="1"/>
    <x v="5"/>
    <x v="24"/>
    <x v="1"/>
    <x v="16"/>
    <s v="ADULT"/>
    <x v="0"/>
    <d v="2023-10-18T00:00:00"/>
    <x v="0"/>
    <x v="661"/>
    <n v="0"/>
  </r>
  <r>
    <x v="671"/>
    <x v="5"/>
    <x v="2"/>
    <x v="9"/>
    <x v="29"/>
    <x v="0"/>
    <x v="88"/>
    <s v="ADULT"/>
    <x v="1"/>
    <d v="2023-01-13T00:00:00"/>
    <x v="2"/>
    <x v="662"/>
    <n v="19"/>
  </r>
  <r>
    <x v="672"/>
    <x v="4"/>
    <x v="4"/>
    <x v="3"/>
    <x v="22"/>
    <x v="0"/>
    <x v="6"/>
    <s v="ADULT"/>
    <x v="1"/>
    <d v="2024-04-08T00:00:00"/>
    <x v="4"/>
    <x v="663"/>
    <n v="3"/>
  </r>
  <r>
    <x v="673"/>
    <x v="5"/>
    <x v="2"/>
    <x v="7"/>
    <x v="30"/>
    <x v="1"/>
    <x v="40"/>
    <s v="SENIOR"/>
    <x v="1"/>
    <d v="2023-10-26T00:00:00"/>
    <x v="1"/>
    <x v="664"/>
    <n v="0"/>
  </r>
  <r>
    <x v="674"/>
    <x v="0"/>
    <x v="4"/>
    <x v="0"/>
    <x v="20"/>
    <x v="0"/>
    <x v="30"/>
    <s v="ADULT"/>
    <x v="1"/>
    <d v="2023-04-24T00:00:00"/>
    <x v="1"/>
    <x v="665"/>
    <n v="0"/>
  </r>
  <r>
    <x v="675"/>
    <x v="1"/>
    <x v="3"/>
    <x v="5"/>
    <x v="6"/>
    <x v="1"/>
    <x v="14"/>
    <s v="SENIOR"/>
    <x v="0"/>
    <d v="2023-08-18T00:00:00"/>
    <x v="4"/>
    <x v="666"/>
    <n v="5"/>
  </r>
  <r>
    <x v="676"/>
    <x v="1"/>
    <x v="3"/>
    <x v="2"/>
    <x v="23"/>
    <x v="0"/>
    <x v="5"/>
    <s v="TEEN"/>
    <x v="0"/>
    <d v="2023-08-29T00:00:00"/>
    <x v="4"/>
    <x v="667"/>
    <n v="10"/>
  </r>
  <r>
    <x v="677"/>
    <x v="4"/>
    <x v="4"/>
    <x v="1"/>
    <x v="35"/>
    <x v="0"/>
    <x v="78"/>
    <s v="ADULT"/>
    <x v="1"/>
    <d v="2023-08-27T00:00:00"/>
    <x v="0"/>
    <x v="668"/>
    <n v="0"/>
  </r>
  <r>
    <x v="678"/>
    <x v="3"/>
    <x v="0"/>
    <x v="6"/>
    <x v="9"/>
    <x v="1"/>
    <x v="47"/>
    <s v="ADULT"/>
    <x v="0"/>
    <d v="2023-06-16T00:00:00"/>
    <x v="1"/>
    <x v="669"/>
    <n v="0"/>
  </r>
  <r>
    <x v="679"/>
    <x v="0"/>
    <x v="2"/>
    <x v="7"/>
    <x v="30"/>
    <x v="0"/>
    <x v="79"/>
    <s v="SENIOR"/>
    <x v="0"/>
    <d v="2023-06-10T00:00:00"/>
    <x v="2"/>
    <x v="670"/>
    <n v="18"/>
  </r>
  <r>
    <x v="680"/>
    <x v="4"/>
    <x v="0"/>
    <x v="6"/>
    <x v="16"/>
    <x v="0"/>
    <x v="31"/>
    <s v="CHILD"/>
    <x v="1"/>
    <d v="2023-11-24T00:00:00"/>
    <x v="3"/>
    <x v="671"/>
    <n v="0"/>
  </r>
  <r>
    <x v="681"/>
    <x v="3"/>
    <x v="0"/>
    <x v="8"/>
    <x v="13"/>
    <x v="0"/>
    <x v="49"/>
    <s v="SENIOR"/>
    <x v="1"/>
    <d v="2024-02-08T00:00:00"/>
    <x v="3"/>
    <x v="672"/>
    <n v="0"/>
  </r>
  <r>
    <x v="682"/>
    <x v="0"/>
    <x v="0"/>
    <x v="5"/>
    <x v="24"/>
    <x v="0"/>
    <x v="34"/>
    <s v="ADULT"/>
    <x v="0"/>
    <d v="2023-12-08T00:00:00"/>
    <x v="3"/>
    <x v="673"/>
    <n v="0"/>
  </r>
  <r>
    <x v="683"/>
    <x v="4"/>
    <x v="0"/>
    <x v="5"/>
    <x v="6"/>
    <x v="0"/>
    <x v="39"/>
    <s v="SENIOR"/>
    <x v="0"/>
    <d v="2023-05-20T00:00:00"/>
    <x v="0"/>
    <x v="674"/>
    <n v="0"/>
  </r>
  <r>
    <x v="684"/>
    <x v="2"/>
    <x v="4"/>
    <x v="6"/>
    <x v="9"/>
    <x v="0"/>
    <x v="44"/>
    <s v="SENIOR"/>
    <x v="1"/>
    <d v="2024-02-03T00:00:00"/>
    <x v="0"/>
    <x v="675"/>
    <n v="0"/>
  </r>
  <r>
    <x v="685"/>
    <x v="5"/>
    <x v="7"/>
    <x v="6"/>
    <x v="16"/>
    <x v="0"/>
    <x v="48"/>
    <s v="SENIOR"/>
    <x v="1"/>
    <d v="2023-02-10T00:00:00"/>
    <x v="4"/>
    <x v="676"/>
    <n v="0"/>
  </r>
  <r>
    <x v="686"/>
    <x v="5"/>
    <x v="7"/>
    <x v="9"/>
    <x v="28"/>
    <x v="0"/>
    <x v="62"/>
    <s v="SENIOR"/>
    <x v="1"/>
    <d v="2023-02-15T00:00:00"/>
    <x v="3"/>
    <x v="677"/>
    <n v="3"/>
  </r>
  <r>
    <x v="687"/>
    <x v="3"/>
    <x v="7"/>
    <x v="8"/>
    <x v="13"/>
    <x v="1"/>
    <x v="8"/>
    <s v="ADULT"/>
    <x v="1"/>
    <d v="2023-03-05T00:00:00"/>
    <x v="0"/>
    <x v="678"/>
    <n v="5"/>
  </r>
  <r>
    <x v="688"/>
    <x v="4"/>
    <x v="2"/>
    <x v="5"/>
    <x v="21"/>
    <x v="1"/>
    <x v="36"/>
    <s v="ADULT"/>
    <x v="0"/>
    <d v="2024-01-11T00:00:00"/>
    <x v="1"/>
    <x v="679"/>
    <n v="3"/>
  </r>
  <r>
    <x v="689"/>
    <x v="0"/>
    <x v="7"/>
    <x v="4"/>
    <x v="25"/>
    <x v="0"/>
    <x v="68"/>
    <s v="ADULT"/>
    <x v="1"/>
    <d v="2024-02-15T00:00:00"/>
    <x v="3"/>
    <x v="680"/>
    <n v="3"/>
  </r>
  <r>
    <x v="690"/>
    <x v="4"/>
    <x v="2"/>
    <x v="1"/>
    <x v="32"/>
    <x v="0"/>
    <x v="37"/>
    <s v="ADULT"/>
    <x v="0"/>
    <d v="2023-09-27T00:00:00"/>
    <x v="0"/>
    <x v="681"/>
    <n v="0"/>
  </r>
  <r>
    <x v="691"/>
    <x v="2"/>
    <x v="0"/>
    <x v="3"/>
    <x v="37"/>
    <x v="0"/>
    <x v="36"/>
    <s v="ADULT"/>
    <x v="0"/>
    <d v="2024-04-04T00:00:00"/>
    <x v="3"/>
    <x v="682"/>
    <n v="10"/>
  </r>
  <r>
    <x v="692"/>
    <x v="0"/>
    <x v="6"/>
    <x v="6"/>
    <x v="16"/>
    <x v="0"/>
    <x v="82"/>
    <s v="ADULT"/>
    <x v="1"/>
    <d v="2023-08-27T00:00:00"/>
    <x v="3"/>
    <x v="683"/>
    <n v="0"/>
  </r>
  <r>
    <x v="693"/>
    <x v="2"/>
    <x v="6"/>
    <x v="9"/>
    <x v="34"/>
    <x v="1"/>
    <x v="87"/>
    <s v="ADULT"/>
    <x v="1"/>
    <d v="2023-04-23T00:00:00"/>
    <x v="0"/>
    <x v="611"/>
    <n v="5"/>
  </r>
  <r>
    <x v="694"/>
    <x v="0"/>
    <x v="0"/>
    <x v="2"/>
    <x v="14"/>
    <x v="0"/>
    <x v="4"/>
    <s v="CHILD"/>
    <x v="0"/>
    <d v="2024-03-19T00:00:00"/>
    <x v="1"/>
    <x v="684"/>
    <n v="0"/>
  </r>
  <r>
    <x v="695"/>
    <x v="3"/>
    <x v="3"/>
    <x v="2"/>
    <x v="14"/>
    <x v="0"/>
    <x v="15"/>
    <s v="SENIOR"/>
    <x v="1"/>
    <d v="2023-03-08T00:00:00"/>
    <x v="1"/>
    <x v="685"/>
    <n v="3"/>
  </r>
  <r>
    <x v="696"/>
    <x v="3"/>
    <x v="2"/>
    <x v="4"/>
    <x v="25"/>
    <x v="0"/>
    <x v="64"/>
    <s v="ADULT"/>
    <x v="0"/>
    <d v="2023-02-03T00:00:00"/>
    <x v="3"/>
    <x v="686"/>
    <n v="0"/>
  </r>
  <r>
    <x v="697"/>
    <x v="4"/>
    <x v="6"/>
    <x v="6"/>
    <x v="9"/>
    <x v="0"/>
    <x v="60"/>
    <s v="SENIOR"/>
    <x v="0"/>
    <d v="2023-07-20T00:00:00"/>
    <x v="2"/>
    <x v="687"/>
    <n v="19"/>
  </r>
  <r>
    <x v="698"/>
    <x v="1"/>
    <x v="3"/>
    <x v="4"/>
    <x v="8"/>
    <x v="0"/>
    <x v="17"/>
    <s v="SENIOR"/>
    <x v="0"/>
    <d v="2024-01-25T00:00:00"/>
    <x v="1"/>
    <x v="688"/>
    <n v="0"/>
  </r>
  <r>
    <x v="699"/>
    <x v="3"/>
    <x v="5"/>
    <x v="3"/>
    <x v="39"/>
    <x v="0"/>
    <x v="38"/>
    <s v="CHILD"/>
    <x v="0"/>
    <d v="2024-01-03T00:00:00"/>
    <x v="1"/>
    <x v="689"/>
    <n v="3"/>
  </r>
  <r>
    <x v="700"/>
    <x v="2"/>
    <x v="6"/>
    <x v="7"/>
    <x v="10"/>
    <x v="1"/>
    <x v="35"/>
    <s v="ADULT"/>
    <x v="0"/>
    <d v="2023-08-01T00:00:00"/>
    <x v="1"/>
    <x v="690"/>
    <n v="0"/>
  </r>
  <r>
    <x v="701"/>
    <x v="2"/>
    <x v="5"/>
    <x v="0"/>
    <x v="0"/>
    <x v="1"/>
    <x v="52"/>
    <s v="ADULT"/>
    <x v="0"/>
    <d v="2024-01-17T00:00:00"/>
    <x v="5"/>
    <x v="691"/>
    <n v="4"/>
  </r>
  <r>
    <x v="702"/>
    <x v="5"/>
    <x v="2"/>
    <x v="5"/>
    <x v="17"/>
    <x v="0"/>
    <x v="8"/>
    <s v="ADULT"/>
    <x v="1"/>
    <d v="2023-12-03T00:00:00"/>
    <x v="2"/>
    <x v="692"/>
    <n v="5"/>
  </r>
  <r>
    <x v="703"/>
    <x v="1"/>
    <x v="2"/>
    <x v="6"/>
    <x v="9"/>
    <x v="1"/>
    <x v="78"/>
    <s v="ADULT"/>
    <x v="0"/>
    <d v="2023-02-01T00:00:00"/>
    <x v="0"/>
    <x v="693"/>
    <n v="0"/>
  </r>
  <r>
    <x v="704"/>
    <x v="0"/>
    <x v="0"/>
    <x v="3"/>
    <x v="3"/>
    <x v="0"/>
    <x v="29"/>
    <s v="SENIOR"/>
    <x v="0"/>
    <d v="2024-04-24T00:00:00"/>
    <x v="1"/>
    <x v="694"/>
    <n v="0"/>
  </r>
  <r>
    <x v="705"/>
    <x v="3"/>
    <x v="6"/>
    <x v="0"/>
    <x v="15"/>
    <x v="0"/>
    <x v="47"/>
    <s v="ADULT"/>
    <x v="1"/>
    <d v="2023-02-06T00:00:00"/>
    <x v="1"/>
    <x v="695"/>
    <n v="0"/>
  </r>
  <r>
    <x v="706"/>
    <x v="0"/>
    <x v="5"/>
    <x v="2"/>
    <x v="14"/>
    <x v="0"/>
    <x v="85"/>
    <s v="SENIOR"/>
    <x v="0"/>
    <d v="2023-09-29T00:00:00"/>
    <x v="3"/>
    <x v="696"/>
    <n v="0"/>
  </r>
  <r>
    <x v="707"/>
    <x v="3"/>
    <x v="3"/>
    <x v="5"/>
    <x v="17"/>
    <x v="0"/>
    <x v="46"/>
    <s v="ADULT"/>
    <x v="1"/>
    <d v="2023-02-21T00:00:00"/>
    <x v="4"/>
    <x v="697"/>
    <n v="10"/>
  </r>
  <r>
    <x v="708"/>
    <x v="4"/>
    <x v="2"/>
    <x v="0"/>
    <x v="20"/>
    <x v="0"/>
    <x v="7"/>
    <s v="TEEN"/>
    <x v="0"/>
    <d v="2024-03-12T00:00:00"/>
    <x v="1"/>
    <x v="698"/>
    <n v="3"/>
  </r>
  <r>
    <x v="709"/>
    <x v="2"/>
    <x v="3"/>
    <x v="8"/>
    <x v="33"/>
    <x v="0"/>
    <x v="67"/>
    <s v="TEEN"/>
    <x v="0"/>
    <d v="2024-02-05T00:00:00"/>
    <x v="2"/>
    <x v="699"/>
    <n v="15"/>
  </r>
  <r>
    <x v="710"/>
    <x v="1"/>
    <x v="1"/>
    <x v="1"/>
    <x v="32"/>
    <x v="0"/>
    <x v="29"/>
    <s v="SENIOR"/>
    <x v="0"/>
    <d v="2023-04-19T00:00:00"/>
    <x v="1"/>
    <x v="700"/>
    <n v="10"/>
  </r>
  <r>
    <x v="711"/>
    <x v="3"/>
    <x v="0"/>
    <x v="8"/>
    <x v="13"/>
    <x v="0"/>
    <x v="15"/>
    <s v="SENIOR"/>
    <x v="0"/>
    <d v="2024-03-11T00:00:00"/>
    <x v="4"/>
    <x v="701"/>
    <n v="5"/>
  </r>
  <r>
    <x v="712"/>
    <x v="5"/>
    <x v="5"/>
    <x v="5"/>
    <x v="24"/>
    <x v="0"/>
    <x v="79"/>
    <s v="SENIOR"/>
    <x v="0"/>
    <d v="2023-05-22T00:00:00"/>
    <x v="0"/>
    <x v="702"/>
    <n v="0"/>
  </r>
  <r>
    <x v="713"/>
    <x v="2"/>
    <x v="3"/>
    <x v="2"/>
    <x v="2"/>
    <x v="0"/>
    <x v="42"/>
    <s v="CHILD"/>
    <x v="1"/>
    <d v="2023-06-08T00:00:00"/>
    <x v="2"/>
    <x v="703"/>
    <n v="15"/>
  </r>
  <r>
    <x v="714"/>
    <x v="3"/>
    <x v="6"/>
    <x v="2"/>
    <x v="23"/>
    <x v="0"/>
    <x v="21"/>
    <s v="ADULT"/>
    <x v="1"/>
    <d v="2023-10-08T00:00:00"/>
    <x v="0"/>
    <x v="704"/>
    <n v="0"/>
  </r>
  <r>
    <x v="715"/>
    <x v="1"/>
    <x v="3"/>
    <x v="3"/>
    <x v="22"/>
    <x v="1"/>
    <x v="16"/>
    <s v="ADULT"/>
    <x v="1"/>
    <d v="2024-04-25T00:00:00"/>
    <x v="0"/>
    <x v="705"/>
    <n v="5"/>
  </r>
  <r>
    <x v="716"/>
    <x v="2"/>
    <x v="1"/>
    <x v="0"/>
    <x v="20"/>
    <x v="0"/>
    <x v="66"/>
    <s v="SENIOR"/>
    <x v="1"/>
    <d v="2023-10-22T00:00:00"/>
    <x v="1"/>
    <x v="706"/>
    <n v="0"/>
  </r>
  <r>
    <x v="717"/>
    <x v="4"/>
    <x v="5"/>
    <x v="8"/>
    <x v="13"/>
    <x v="1"/>
    <x v="89"/>
    <s v="SENIOR"/>
    <x v="0"/>
    <d v="2023-11-09T00:00:00"/>
    <x v="5"/>
    <x v="707"/>
    <n v="10"/>
  </r>
  <r>
    <x v="718"/>
    <x v="5"/>
    <x v="7"/>
    <x v="4"/>
    <x v="8"/>
    <x v="0"/>
    <x v="64"/>
    <s v="ADULT"/>
    <x v="0"/>
    <d v="2023-05-20T00:00:00"/>
    <x v="0"/>
    <x v="708"/>
    <n v="0"/>
  </r>
  <r>
    <x v="719"/>
    <x v="5"/>
    <x v="0"/>
    <x v="9"/>
    <x v="29"/>
    <x v="1"/>
    <x v="48"/>
    <s v="SENIOR"/>
    <x v="0"/>
    <d v="2023-05-20T00:00:00"/>
    <x v="4"/>
    <x v="709"/>
    <n v="0"/>
  </r>
  <r>
    <x v="720"/>
    <x v="5"/>
    <x v="6"/>
    <x v="2"/>
    <x v="14"/>
    <x v="0"/>
    <x v="49"/>
    <s v="SENIOR"/>
    <x v="1"/>
    <d v="2023-12-02T00:00:00"/>
    <x v="2"/>
    <x v="710"/>
    <n v="25"/>
  </r>
  <r>
    <x v="721"/>
    <x v="1"/>
    <x v="4"/>
    <x v="7"/>
    <x v="38"/>
    <x v="0"/>
    <x v="72"/>
    <s v="CHILD"/>
    <x v="1"/>
    <d v="2023-08-27T00:00:00"/>
    <x v="0"/>
    <x v="449"/>
    <n v="0"/>
  </r>
  <r>
    <x v="722"/>
    <x v="1"/>
    <x v="4"/>
    <x v="5"/>
    <x v="21"/>
    <x v="1"/>
    <x v="63"/>
    <s v="SENIOR"/>
    <x v="0"/>
    <d v="2023-12-30T00:00:00"/>
    <x v="2"/>
    <x v="711"/>
    <n v="18"/>
  </r>
  <r>
    <x v="723"/>
    <x v="3"/>
    <x v="4"/>
    <x v="1"/>
    <x v="32"/>
    <x v="1"/>
    <x v="51"/>
    <s v="ADULT"/>
    <x v="1"/>
    <d v="2023-03-30T00:00:00"/>
    <x v="0"/>
    <x v="712"/>
    <n v="0"/>
  </r>
  <r>
    <x v="724"/>
    <x v="3"/>
    <x v="7"/>
    <x v="7"/>
    <x v="18"/>
    <x v="0"/>
    <x v="28"/>
    <s v="SENIOR"/>
    <x v="0"/>
    <d v="2023-01-11T00:00:00"/>
    <x v="3"/>
    <x v="713"/>
    <n v="0"/>
  </r>
  <r>
    <x v="725"/>
    <x v="0"/>
    <x v="6"/>
    <x v="4"/>
    <x v="25"/>
    <x v="0"/>
    <x v="27"/>
    <s v="SENIOR"/>
    <x v="0"/>
    <d v="2024-03-09T00:00:00"/>
    <x v="1"/>
    <x v="714"/>
    <n v="0"/>
  </r>
  <r>
    <x v="726"/>
    <x v="2"/>
    <x v="7"/>
    <x v="6"/>
    <x v="26"/>
    <x v="0"/>
    <x v="67"/>
    <s v="TEEN"/>
    <x v="0"/>
    <d v="2023-06-14T00:00:00"/>
    <x v="0"/>
    <x v="715"/>
    <n v="3"/>
  </r>
  <r>
    <x v="727"/>
    <x v="4"/>
    <x v="5"/>
    <x v="1"/>
    <x v="35"/>
    <x v="0"/>
    <x v="64"/>
    <s v="ADULT"/>
    <x v="0"/>
    <d v="2023-04-19T00:00:00"/>
    <x v="4"/>
    <x v="716"/>
    <n v="0"/>
  </r>
  <r>
    <x v="728"/>
    <x v="2"/>
    <x v="2"/>
    <x v="0"/>
    <x v="0"/>
    <x v="0"/>
    <x v="66"/>
    <s v="SENIOR"/>
    <x v="0"/>
    <d v="2023-08-09T00:00:00"/>
    <x v="0"/>
    <x v="717"/>
    <n v="0"/>
  </r>
  <r>
    <x v="729"/>
    <x v="0"/>
    <x v="6"/>
    <x v="1"/>
    <x v="31"/>
    <x v="1"/>
    <x v="50"/>
    <s v="ADULT"/>
    <x v="0"/>
    <d v="2023-01-28T00:00:00"/>
    <x v="1"/>
    <x v="718"/>
    <n v="3"/>
  </r>
  <r>
    <x v="730"/>
    <x v="2"/>
    <x v="1"/>
    <x v="6"/>
    <x v="16"/>
    <x v="0"/>
    <x v="18"/>
    <s v="ADULT"/>
    <x v="0"/>
    <d v="2023-04-19T00:00:00"/>
    <x v="0"/>
    <x v="719"/>
    <n v="3"/>
  </r>
  <r>
    <x v="731"/>
    <x v="0"/>
    <x v="6"/>
    <x v="1"/>
    <x v="1"/>
    <x v="1"/>
    <x v="51"/>
    <s v="ADULT"/>
    <x v="1"/>
    <d v="2023-01-18T00:00:00"/>
    <x v="0"/>
    <x v="720"/>
    <n v="0"/>
  </r>
  <r>
    <x v="732"/>
    <x v="2"/>
    <x v="0"/>
    <x v="1"/>
    <x v="32"/>
    <x v="0"/>
    <x v="64"/>
    <s v="ADULT"/>
    <x v="1"/>
    <d v="2023-06-30T00:00:00"/>
    <x v="0"/>
    <x v="721"/>
    <n v="0"/>
  </r>
  <r>
    <x v="733"/>
    <x v="2"/>
    <x v="6"/>
    <x v="1"/>
    <x v="35"/>
    <x v="1"/>
    <x v="53"/>
    <s v="ADULT"/>
    <x v="1"/>
    <d v="2024-01-03T00:00:00"/>
    <x v="4"/>
    <x v="722"/>
    <n v="5"/>
  </r>
  <r>
    <x v="734"/>
    <x v="4"/>
    <x v="2"/>
    <x v="0"/>
    <x v="20"/>
    <x v="0"/>
    <x v="89"/>
    <s v="SENIOR"/>
    <x v="0"/>
    <d v="2023-01-04T00:00:00"/>
    <x v="4"/>
    <x v="723"/>
    <n v="0"/>
  </r>
  <r>
    <x v="735"/>
    <x v="1"/>
    <x v="1"/>
    <x v="0"/>
    <x v="20"/>
    <x v="0"/>
    <x v="77"/>
    <s v="SENIOR"/>
    <x v="1"/>
    <d v="2023-07-24T00:00:00"/>
    <x v="1"/>
    <x v="724"/>
    <n v="3"/>
  </r>
  <r>
    <x v="736"/>
    <x v="3"/>
    <x v="0"/>
    <x v="1"/>
    <x v="1"/>
    <x v="0"/>
    <x v="15"/>
    <s v="SENIOR"/>
    <x v="0"/>
    <d v="2023-03-16T00:00:00"/>
    <x v="1"/>
    <x v="725"/>
    <n v="0"/>
  </r>
  <r>
    <x v="737"/>
    <x v="4"/>
    <x v="4"/>
    <x v="2"/>
    <x v="4"/>
    <x v="0"/>
    <x v="40"/>
    <s v="SENIOR"/>
    <x v="0"/>
    <d v="2024-03-24T00:00:00"/>
    <x v="3"/>
    <x v="726"/>
    <n v="5"/>
  </r>
  <r>
    <x v="738"/>
    <x v="0"/>
    <x v="5"/>
    <x v="0"/>
    <x v="20"/>
    <x v="0"/>
    <x v="2"/>
    <s v="SENIOR"/>
    <x v="0"/>
    <d v="2023-05-05T00:00:00"/>
    <x v="0"/>
    <x v="727"/>
    <n v="0"/>
  </r>
  <r>
    <x v="739"/>
    <x v="2"/>
    <x v="1"/>
    <x v="3"/>
    <x v="3"/>
    <x v="0"/>
    <x v="70"/>
    <s v="ADULT"/>
    <x v="0"/>
    <d v="2024-01-27T00:00:00"/>
    <x v="2"/>
    <x v="728"/>
    <n v="40"/>
  </r>
  <r>
    <x v="740"/>
    <x v="3"/>
    <x v="1"/>
    <x v="7"/>
    <x v="38"/>
    <x v="1"/>
    <x v="59"/>
    <s v="TEEN"/>
    <x v="1"/>
    <d v="2023-04-10T00:00:00"/>
    <x v="2"/>
    <x v="729"/>
    <n v="35"/>
  </r>
  <r>
    <x v="741"/>
    <x v="4"/>
    <x v="2"/>
    <x v="4"/>
    <x v="25"/>
    <x v="0"/>
    <x v="4"/>
    <s v="CHILD"/>
    <x v="0"/>
    <d v="2023-04-06T00:00:00"/>
    <x v="1"/>
    <x v="730"/>
    <n v="0"/>
  </r>
  <r>
    <x v="742"/>
    <x v="1"/>
    <x v="7"/>
    <x v="5"/>
    <x v="24"/>
    <x v="1"/>
    <x v="51"/>
    <s v="ADULT"/>
    <x v="1"/>
    <d v="2023-06-19T00:00:00"/>
    <x v="4"/>
    <x v="731"/>
    <n v="10"/>
  </r>
  <r>
    <x v="743"/>
    <x v="3"/>
    <x v="1"/>
    <x v="2"/>
    <x v="14"/>
    <x v="0"/>
    <x v="63"/>
    <s v="SENIOR"/>
    <x v="1"/>
    <d v="2023-02-25T00:00:00"/>
    <x v="1"/>
    <x v="732"/>
    <n v="0"/>
  </r>
  <r>
    <x v="744"/>
    <x v="0"/>
    <x v="0"/>
    <x v="8"/>
    <x v="11"/>
    <x v="0"/>
    <x v="35"/>
    <s v="ADULT"/>
    <x v="1"/>
    <d v="2023-09-14T00:00:00"/>
    <x v="3"/>
    <x v="733"/>
    <n v="0"/>
  </r>
  <r>
    <x v="745"/>
    <x v="5"/>
    <x v="2"/>
    <x v="0"/>
    <x v="15"/>
    <x v="0"/>
    <x v="84"/>
    <s v="ADULT"/>
    <x v="1"/>
    <d v="2023-01-03T00:00:00"/>
    <x v="3"/>
    <x v="734"/>
    <n v="0"/>
  </r>
  <r>
    <x v="746"/>
    <x v="2"/>
    <x v="2"/>
    <x v="6"/>
    <x v="16"/>
    <x v="0"/>
    <x v="68"/>
    <s v="ADULT"/>
    <x v="1"/>
    <d v="2023-01-22T00:00:00"/>
    <x v="0"/>
    <x v="735"/>
    <n v="0"/>
  </r>
  <r>
    <x v="747"/>
    <x v="2"/>
    <x v="6"/>
    <x v="7"/>
    <x v="38"/>
    <x v="0"/>
    <x v="61"/>
    <s v="ADULT"/>
    <x v="1"/>
    <d v="2023-03-24T00:00:00"/>
    <x v="1"/>
    <x v="736"/>
    <n v="0"/>
  </r>
  <r>
    <x v="748"/>
    <x v="1"/>
    <x v="0"/>
    <x v="1"/>
    <x v="35"/>
    <x v="0"/>
    <x v="28"/>
    <s v="SENIOR"/>
    <x v="0"/>
    <d v="2023-11-23T00:00:00"/>
    <x v="4"/>
    <x v="737"/>
    <n v="10"/>
  </r>
  <r>
    <x v="749"/>
    <x v="5"/>
    <x v="7"/>
    <x v="1"/>
    <x v="31"/>
    <x v="0"/>
    <x v="28"/>
    <s v="SENIOR"/>
    <x v="0"/>
    <d v="2023-01-08T00:00:00"/>
    <x v="0"/>
    <x v="738"/>
    <n v="10"/>
  </r>
  <r>
    <x v="750"/>
    <x v="5"/>
    <x v="6"/>
    <x v="8"/>
    <x v="36"/>
    <x v="1"/>
    <x v="69"/>
    <s v="SENIOR"/>
    <x v="0"/>
    <d v="2023-12-12T00:00:00"/>
    <x v="4"/>
    <x v="739"/>
    <n v="5"/>
  </r>
  <r>
    <x v="751"/>
    <x v="2"/>
    <x v="3"/>
    <x v="3"/>
    <x v="37"/>
    <x v="1"/>
    <x v="2"/>
    <s v="SENIOR"/>
    <x v="0"/>
    <d v="2024-03-26T00:00:00"/>
    <x v="2"/>
    <x v="740"/>
    <n v="20"/>
  </r>
  <r>
    <x v="752"/>
    <x v="4"/>
    <x v="5"/>
    <x v="0"/>
    <x v="0"/>
    <x v="0"/>
    <x v="78"/>
    <s v="ADULT"/>
    <x v="1"/>
    <d v="2023-07-03T00:00:00"/>
    <x v="0"/>
    <x v="741"/>
    <n v="10"/>
  </r>
  <r>
    <x v="753"/>
    <x v="0"/>
    <x v="4"/>
    <x v="3"/>
    <x v="39"/>
    <x v="0"/>
    <x v="33"/>
    <s v="ADULT"/>
    <x v="0"/>
    <d v="2023-02-15T00:00:00"/>
    <x v="2"/>
    <x v="742"/>
    <n v="0"/>
  </r>
  <r>
    <x v="754"/>
    <x v="4"/>
    <x v="3"/>
    <x v="5"/>
    <x v="21"/>
    <x v="0"/>
    <x v="87"/>
    <s v="ADULT"/>
    <x v="1"/>
    <d v="2023-05-03T00:00:00"/>
    <x v="0"/>
    <x v="743"/>
    <n v="0"/>
  </r>
  <r>
    <x v="755"/>
    <x v="1"/>
    <x v="2"/>
    <x v="3"/>
    <x v="37"/>
    <x v="1"/>
    <x v="23"/>
    <s v="ADULT"/>
    <x v="1"/>
    <d v="2024-04-24T00:00:00"/>
    <x v="0"/>
    <x v="744"/>
    <n v="0"/>
  </r>
  <r>
    <x v="756"/>
    <x v="3"/>
    <x v="7"/>
    <x v="7"/>
    <x v="30"/>
    <x v="0"/>
    <x v="86"/>
    <s v="SENIOR"/>
    <x v="0"/>
    <d v="2023-08-03T00:00:00"/>
    <x v="1"/>
    <x v="745"/>
    <n v="5"/>
  </r>
  <r>
    <x v="757"/>
    <x v="3"/>
    <x v="4"/>
    <x v="8"/>
    <x v="36"/>
    <x v="0"/>
    <x v="35"/>
    <s v="ADULT"/>
    <x v="1"/>
    <d v="2023-10-15T00:00:00"/>
    <x v="3"/>
    <x v="746"/>
    <n v="0"/>
  </r>
  <r>
    <x v="758"/>
    <x v="0"/>
    <x v="1"/>
    <x v="9"/>
    <x v="19"/>
    <x v="0"/>
    <x v="26"/>
    <s v="SENIOR"/>
    <x v="0"/>
    <d v="2023-03-30T00:00:00"/>
    <x v="4"/>
    <x v="747"/>
    <n v="5"/>
  </r>
  <r>
    <x v="759"/>
    <x v="3"/>
    <x v="2"/>
    <x v="3"/>
    <x v="3"/>
    <x v="0"/>
    <x v="45"/>
    <s v="ADULT"/>
    <x v="1"/>
    <d v="2023-06-15T00:00:00"/>
    <x v="3"/>
    <x v="748"/>
    <n v="3"/>
  </r>
  <r>
    <x v="760"/>
    <x v="0"/>
    <x v="0"/>
    <x v="0"/>
    <x v="0"/>
    <x v="0"/>
    <x v="72"/>
    <s v="CHILD"/>
    <x v="0"/>
    <d v="2023-08-19T00:00:00"/>
    <x v="3"/>
    <x v="749"/>
    <n v="10"/>
  </r>
  <r>
    <x v="761"/>
    <x v="4"/>
    <x v="5"/>
    <x v="8"/>
    <x v="11"/>
    <x v="0"/>
    <x v="16"/>
    <s v="ADULT"/>
    <x v="0"/>
    <d v="2023-06-03T00:00:00"/>
    <x v="1"/>
    <x v="750"/>
    <n v="10"/>
  </r>
  <r>
    <x v="762"/>
    <x v="3"/>
    <x v="1"/>
    <x v="6"/>
    <x v="16"/>
    <x v="0"/>
    <x v="29"/>
    <s v="SENIOR"/>
    <x v="1"/>
    <d v="2023-02-05T00:00:00"/>
    <x v="4"/>
    <x v="751"/>
    <n v="0"/>
  </r>
  <r>
    <x v="763"/>
    <x v="2"/>
    <x v="1"/>
    <x v="1"/>
    <x v="32"/>
    <x v="0"/>
    <x v="36"/>
    <s v="ADULT"/>
    <x v="1"/>
    <d v="2024-01-08T00:00:00"/>
    <x v="0"/>
    <x v="752"/>
    <n v="0"/>
  </r>
  <r>
    <x v="764"/>
    <x v="0"/>
    <x v="3"/>
    <x v="9"/>
    <x v="28"/>
    <x v="0"/>
    <x v="42"/>
    <s v="CHILD"/>
    <x v="1"/>
    <d v="2023-03-07T00:00:00"/>
    <x v="1"/>
    <x v="753"/>
    <n v="0"/>
  </r>
  <r>
    <x v="765"/>
    <x v="3"/>
    <x v="3"/>
    <x v="7"/>
    <x v="18"/>
    <x v="0"/>
    <x v="73"/>
    <s v="SENIOR"/>
    <x v="0"/>
    <d v="2024-02-28T00:00:00"/>
    <x v="3"/>
    <x v="754"/>
    <n v="10"/>
  </r>
  <r>
    <x v="766"/>
    <x v="4"/>
    <x v="2"/>
    <x v="6"/>
    <x v="16"/>
    <x v="0"/>
    <x v="81"/>
    <s v="ADULT"/>
    <x v="1"/>
    <d v="2023-09-27T00:00:00"/>
    <x v="5"/>
    <x v="755"/>
    <n v="10"/>
  </r>
  <r>
    <x v="767"/>
    <x v="2"/>
    <x v="0"/>
    <x v="0"/>
    <x v="15"/>
    <x v="1"/>
    <x v="26"/>
    <s v="SENIOR"/>
    <x v="0"/>
    <d v="2023-01-07T00:00:00"/>
    <x v="0"/>
    <x v="756"/>
    <n v="10"/>
  </r>
  <r>
    <x v="768"/>
    <x v="5"/>
    <x v="6"/>
    <x v="9"/>
    <x v="28"/>
    <x v="0"/>
    <x v="43"/>
    <s v="SENIOR"/>
    <x v="1"/>
    <d v="2023-05-22T00:00:00"/>
    <x v="1"/>
    <x v="757"/>
    <n v="0"/>
  </r>
  <r>
    <x v="769"/>
    <x v="4"/>
    <x v="7"/>
    <x v="2"/>
    <x v="4"/>
    <x v="1"/>
    <x v="68"/>
    <s v="ADULT"/>
    <x v="0"/>
    <d v="2024-03-03T00:00:00"/>
    <x v="4"/>
    <x v="758"/>
    <n v="0"/>
  </r>
  <r>
    <x v="770"/>
    <x v="4"/>
    <x v="6"/>
    <x v="8"/>
    <x v="33"/>
    <x v="0"/>
    <x v="47"/>
    <s v="ADULT"/>
    <x v="1"/>
    <d v="2023-12-02T00:00:00"/>
    <x v="0"/>
    <x v="759"/>
    <n v="0"/>
  </r>
  <r>
    <x v="771"/>
    <x v="4"/>
    <x v="3"/>
    <x v="6"/>
    <x v="9"/>
    <x v="0"/>
    <x v="77"/>
    <s v="SENIOR"/>
    <x v="0"/>
    <d v="2023-12-05T00:00:00"/>
    <x v="1"/>
    <x v="760"/>
    <n v="0"/>
  </r>
  <r>
    <x v="772"/>
    <x v="1"/>
    <x v="0"/>
    <x v="6"/>
    <x v="9"/>
    <x v="0"/>
    <x v="76"/>
    <s v="SENIOR"/>
    <x v="0"/>
    <d v="2024-04-10T00:00:00"/>
    <x v="0"/>
    <x v="761"/>
    <n v="0"/>
  </r>
  <r>
    <x v="773"/>
    <x v="2"/>
    <x v="5"/>
    <x v="7"/>
    <x v="10"/>
    <x v="1"/>
    <x v="67"/>
    <s v="TEEN"/>
    <x v="1"/>
    <d v="2023-03-28T00:00:00"/>
    <x v="1"/>
    <x v="762"/>
    <n v="0"/>
  </r>
  <r>
    <x v="774"/>
    <x v="2"/>
    <x v="5"/>
    <x v="7"/>
    <x v="18"/>
    <x v="0"/>
    <x v="76"/>
    <s v="SENIOR"/>
    <x v="1"/>
    <d v="2023-05-02T00:00:00"/>
    <x v="3"/>
    <x v="763"/>
    <n v="3"/>
  </r>
  <r>
    <x v="775"/>
    <x v="4"/>
    <x v="2"/>
    <x v="8"/>
    <x v="13"/>
    <x v="0"/>
    <x v="11"/>
    <s v="ADULT"/>
    <x v="0"/>
    <d v="2024-02-04T00:00:00"/>
    <x v="4"/>
    <x v="764"/>
    <n v="3"/>
  </r>
  <r>
    <x v="776"/>
    <x v="0"/>
    <x v="1"/>
    <x v="4"/>
    <x v="25"/>
    <x v="1"/>
    <x v="33"/>
    <s v="ADULT"/>
    <x v="0"/>
    <d v="2023-07-11T00:00:00"/>
    <x v="0"/>
    <x v="765"/>
    <n v="0"/>
  </r>
  <r>
    <x v="777"/>
    <x v="4"/>
    <x v="6"/>
    <x v="0"/>
    <x v="20"/>
    <x v="0"/>
    <x v="15"/>
    <s v="SENIOR"/>
    <x v="0"/>
    <d v="2023-06-08T00:00:00"/>
    <x v="1"/>
    <x v="766"/>
    <n v="5"/>
  </r>
  <r>
    <x v="778"/>
    <x v="1"/>
    <x v="2"/>
    <x v="1"/>
    <x v="31"/>
    <x v="1"/>
    <x v="30"/>
    <s v="ADULT"/>
    <x v="0"/>
    <d v="2023-04-13T00:00:00"/>
    <x v="1"/>
    <x v="767"/>
    <n v="0"/>
  </r>
  <r>
    <x v="779"/>
    <x v="4"/>
    <x v="7"/>
    <x v="6"/>
    <x v="9"/>
    <x v="0"/>
    <x v="55"/>
    <s v="SENIOR"/>
    <x v="0"/>
    <d v="2023-04-30T00:00:00"/>
    <x v="2"/>
    <x v="768"/>
    <n v="35"/>
  </r>
  <r>
    <x v="780"/>
    <x v="1"/>
    <x v="6"/>
    <x v="8"/>
    <x v="11"/>
    <x v="1"/>
    <x v="70"/>
    <s v="ADULT"/>
    <x v="1"/>
    <d v="2023-02-08T00:00:00"/>
    <x v="3"/>
    <x v="769"/>
    <n v="10"/>
  </r>
  <r>
    <x v="781"/>
    <x v="0"/>
    <x v="7"/>
    <x v="7"/>
    <x v="18"/>
    <x v="0"/>
    <x v="85"/>
    <s v="SENIOR"/>
    <x v="0"/>
    <d v="2024-02-01T00:00:00"/>
    <x v="3"/>
    <x v="770"/>
    <n v="0"/>
  </r>
  <r>
    <x v="782"/>
    <x v="1"/>
    <x v="3"/>
    <x v="1"/>
    <x v="35"/>
    <x v="0"/>
    <x v="31"/>
    <s v="CHILD"/>
    <x v="1"/>
    <d v="2023-04-25T00:00:00"/>
    <x v="1"/>
    <x v="771"/>
    <n v="0"/>
  </r>
  <r>
    <x v="783"/>
    <x v="0"/>
    <x v="6"/>
    <x v="7"/>
    <x v="38"/>
    <x v="1"/>
    <x v="71"/>
    <s v="ADULT"/>
    <x v="0"/>
    <d v="2023-01-09T00:00:00"/>
    <x v="2"/>
    <x v="772"/>
    <n v="15"/>
  </r>
  <r>
    <x v="784"/>
    <x v="4"/>
    <x v="0"/>
    <x v="3"/>
    <x v="37"/>
    <x v="0"/>
    <x v="50"/>
    <s v="ADULT"/>
    <x v="0"/>
    <d v="2024-03-10T00:00:00"/>
    <x v="3"/>
    <x v="773"/>
    <n v="0"/>
  </r>
  <r>
    <x v="785"/>
    <x v="4"/>
    <x v="3"/>
    <x v="9"/>
    <x v="29"/>
    <x v="1"/>
    <x v="35"/>
    <s v="ADULT"/>
    <x v="1"/>
    <d v="2023-09-28T00:00:00"/>
    <x v="2"/>
    <x v="774"/>
    <n v="5"/>
  </r>
  <r>
    <x v="786"/>
    <x v="5"/>
    <x v="7"/>
    <x v="4"/>
    <x v="8"/>
    <x v="0"/>
    <x v="45"/>
    <s v="ADULT"/>
    <x v="1"/>
    <d v="2023-11-19T00:00:00"/>
    <x v="1"/>
    <x v="775"/>
    <n v="3"/>
  </r>
  <r>
    <x v="787"/>
    <x v="5"/>
    <x v="6"/>
    <x v="4"/>
    <x v="8"/>
    <x v="1"/>
    <x v="85"/>
    <s v="SENIOR"/>
    <x v="0"/>
    <d v="2024-01-14T00:00:00"/>
    <x v="1"/>
    <x v="776"/>
    <n v="0"/>
  </r>
  <r>
    <x v="788"/>
    <x v="4"/>
    <x v="6"/>
    <x v="1"/>
    <x v="31"/>
    <x v="1"/>
    <x v="13"/>
    <s v="ADULT"/>
    <x v="1"/>
    <d v="2023-03-02T00:00:00"/>
    <x v="2"/>
    <x v="777"/>
    <n v="19"/>
  </r>
  <r>
    <x v="789"/>
    <x v="4"/>
    <x v="3"/>
    <x v="0"/>
    <x v="27"/>
    <x v="0"/>
    <x v="23"/>
    <s v="ADULT"/>
    <x v="1"/>
    <d v="2023-08-14T00:00:00"/>
    <x v="0"/>
    <x v="778"/>
    <n v="10"/>
  </r>
  <r>
    <x v="790"/>
    <x v="1"/>
    <x v="0"/>
    <x v="4"/>
    <x v="7"/>
    <x v="1"/>
    <x v="23"/>
    <s v="ADULT"/>
    <x v="1"/>
    <d v="2023-07-21T00:00:00"/>
    <x v="1"/>
    <x v="779"/>
    <n v="0"/>
  </r>
  <r>
    <x v="791"/>
    <x v="2"/>
    <x v="3"/>
    <x v="4"/>
    <x v="7"/>
    <x v="2"/>
    <x v="86"/>
    <s v="SENIOR"/>
    <x v="0"/>
    <d v="2024-03-19T00:00:00"/>
    <x v="4"/>
    <x v="780"/>
    <n v="10"/>
  </r>
  <r>
    <x v="792"/>
    <x v="0"/>
    <x v="6"/>
    <x v="5"/>
    <x v="17"/>
    <x v="0"/>
    <x v="17"/>
    <s v="SENIOR"/>
    <x v="0"/>
    <d v="2023-08-11T00:00:00"/>
    <x v="3"/>
    <x v="571"/>
    <n v="0"/>
  </r>
  <r>
    <x v="793"/>
    <x v="4"/>
    <x v="0"/>
    <x v="6"/>
    <x v="12"/>
    <x v="0"/>
    <x v="71"/>
    <s v="ADULT"/>
    <x v="0"/>
    <d v="2023-04-14T00:00:00"/>
    <x v="3"/>
    <x v="781"/>
    <n v="10"/>
  </r>
  <r>
    <x v="794"/>
    <x v="0"/>
    <x v="0"/>
    <x v="6"/>
    <x v="9"/>
    <x v="1"/>
    <x v="35"/>
    <s v="ADULT"/>
    <x v="1"/>
    <d v="2023-07-25T00:00:00"/>
    <x v="0"/>
    <x v="782"/>
    <n v="5"/>
  </r>
  <r>
    <x v="795"/>
    <x v="4"/>
    <x v="0"/>
    <x v="9"/>
    <x v="29"/>
    <x v="0"/>
    <x v="8"/>
    <s v="ADULT"/>
    <x v="0"/>
    <d v="2023-03-05T00:00:00"/>
    <x v="3"/>
    <x v="783"/>
    <n v="0"/>
  </r>
  <r>
    <x v="796"/>
    <x v="2"/>
    <x v="6"/>
    <x v="8"/>
    <x v="13"/>
    <x v="0"/>
    <x v="81"/>
    <s v="ADULT"/>
    <x v="1"/>
    <d v="2023-09-05T00:00:00"/>
    <x v="1"/>
    <x v="43"/>
    <n v="0"/>
  </r>
  <r>
    <x v="797"/>
    <x v="4"/>
    <x v="0"/>
    <x v="1"/>
    <x v="32"/>
    <x v="1"/>
    <x v="63"/>
    <s v="SENIOR"/>
    <x v="1"/>
    <d v="2024-02-26T00:00:00"/>
    <x v="2"/>
    <x v="784"/>
    <n v="35"/>
  </r>
  <r>
    <x v="798"/>
    <x v="2"/>
    <x v="1"/>
    <x v="6"/>
    <x v="16"/>
    <x v="0"/>
    <x v="8"/>
    <s v="ADULT"/>
    <x v="1"/>
    <d v="2023-05-28T00:00:00"/>
    <x v="1"/>
    <x v="785"/>
    <n v="0"/>
  </r>
  <r>
    <x v="799"/>
    <x v="4"/>
    <x v="1"/>
    <x v="9"/>
    <x v="28"/>
    <x v="0"/>
    <x v="12"/>
    <s v="TEEN"/>
    <x v="1"/>
    <d v="2023-11-27T00:00:00"/>
    <x v="4"/>
    <x v="786"/>
    <n v="0"/>
  </r>
  <r>
    <x v="800"/>
    <x v="3"/>
    <x v="4"/>
    <x v="9"/>
    <x v="29"/>
    <x v="1"/>
    <x v="12"/>
    <s v="TEEN"/>
    <x v="0"/>
    <d v="2023-11-20T00:00:00"/>
    <x v="1"/>
    <x v="787"/>
    <n v="10"/>
  </r>
  <r>
    <x v="801"/>
    <x v="4"/>
    <x v="7"/>
    <x v="6"/>
    <x v="26"/>
    <x v="1"/>
    <x v="0"/>
    <s v="SENIOR"/>
    <x v="1"/>
    <d v="2023-07-24T00:00:00"/>
    <x v="0"/>
    <x v="788"/>
    <n v="0"/>
  </r>
  <r>
    <x v="802"/>
    <x v="5"/>
    <x v="0"/>
    <x v="8"/>
    <x v="11"/>
    <x v="0"/>
    <x v="89"/>
    <s v="SENIOR"/>
    <x v="0"/>
    <d v="2023-12-16T00:00:00"/>
    <x v="2"/>
    <x v="789"/>
    <n v="10"/>
  </r>
  <r>
    <x v="803"/>
    <x v="2"/>
    <x v="2"/>
    <x v="4"/>
    <x v="5"/>
    <x v="0"/>
    <x v="11"/>
    <s v="ADULT"/>
    <x v="1"/>
    <d v="2023-10-26T00:00:00"/>
    <x v="0"/>
    <x v="790"/>
    <n v="10"/>
  </r>
  <r>
    <x v="804"/>
    <x v="3"/>
    <x v="4"/>
    <x v="7"/>
    <x v="18"/>
    <x v="0"/>
    <x v="27"/>
    <s v="SENIOR"/>
    <x v="0"/>
    <d v="2023-04-14T00:00:00"/>
    <x v="0"/>
    <x v="791"/>
    <n v="0"/>
  </r>
  <r>
    <x v="805"/>
    <x v="0"/>
    <x v="3"/>
    <x v="6"/>
    <x v="26"/>
    <x v="1"/>
    <x v="22"/>
    <s v="ADULT"/>
    <x v="0"/>
    <d v="2023-08-19T00:00:00"/>
    <x v="4"/>
    <x v="792"/>
    <n v="0"/>
  </r>
  <r>
    <x v="806"/>
    <x v="4"/>
    <x v="6"/>
    <x v="2"/>
    <x v="23"/>
    <x v="0"/>
    <x v="88"/>
    <s v="ADULT"/>
    <x v="1"/>
    <d v="2023-10-22T00:00:00"/>
    <x v="2"/>
    <x v="793"/>
    <n v="30"/>
  </r>
  <r>
    <x v="807"/>
    <x v="2"/>
    <x v="2"/>
    <x v="4"/>
    <x v="7"/>
    <x v="0"/>
    <x v="26"/>
    <s v="SENIOR"/>
    <x v="1"/>
    <d v="2023-09-06T00:00:00"/>
    <x v="0"/>
    <x v="794"/>
    <n v="5"/>
  </r>
  <r>
    <x v="808"/>
    <x v="5"/>
    <x v="5"/>
    <x v="7"/>
    <x v="18"/>
    <x v="0"/>
    <x v="26"/>
    <s v="SENIOR"/>
    <x v="0"/>
    <d v="2024-01-09T00:00:00"/>
    <x v="1"/>
    <x v="795"/>
    <n v="0"/>
  </r>
  <r>
    <x v="809"/>
    <x v="4"/>
    <x v="2"/>
    <x v="3"/>
    <x v="22"/>
    <x v="1"/>
    <x v="5"/>
    <s v="TEEN"/>
    <x v="1"/>
    <d v="2023-05-02T00:00:00"/>
    <x v="0"/>
    <x v="796"/>
    <n v="0"/>
  </r>
  <r>
    <x v="810"/>
    <x v="2"/>
    <x v="1"/>
    <x v="5"/>
    <x v="17"/>
    <x v="0"/>
    <x v="24"/>
    <s v="SENIOR"/>
    <x v="0"/>
    <d v="2023-07-16T00:00:00"/>
    <x v="2"/>
    <x v="797"/>
    <n v="18"/>
  </r>
  <r>
    <x v="811"/>
    <x v="4"/>
    <x v="7"/>
    <x v="3"/>
    <x v="22"/>
    <x v="2"/>
    <x v="37"/>
    <s v="ADULT"/>
    <x v="1"/>
    <d v="2023-11-11T00:00:00"/>
    <x v="3"/>
    <x v="798"/>
    <n v="0"/>
  </r>
  <r>
    <x v="812"/>
    <x v="3"/>
    <x v="0"/>
    <x v="7"/>
    <x v="38"/>
    <x v="0"/>
    <x v="82"/>
    <s v="ADULT"/>
    <x v="1"/>
    <d v="2023-10-25T00:00:00"/>
    <x v="1"/>
    <x v="799"/>
    <n v="0"/>
  </r>
  <r>
    <x v="813"/>
    <x v="2"/>
    <x v="2"/>
    <x v="8"/>
    <x v="11"/>
    <x v="0"/>
    <x v="59"/>
    <s v="TEEN"/>
    <x v="0"/>
    <d v="2023-06-14T00:00:00"/>
    <x v="2"/>
    <x v="800"/>
    <n v="30"/>
  </r>
  <r>
    <x v="814"/>
    <x v="0"/>
    <x v="1"/>
    <x v="9"/>
    <x v="28"/>
    <x v="0"/>
    <x v="53"/>
    <s v="ADULT"/>
    <x v="1"/>
    <d v="2023-01-25T00:00:00"/>
    <x v="2"/>
    <x v="801"/>
    <n v="25"/>
  </r>
  <r>
    <x v="815"/>
    <x v="0"/>
    <x v="0"/>
    <x v="7"/>
    <x v="18"/>
    <x v="2"/>
    <x v="14"/>
    <s v="SENIOR"/>
    <x v="0"/>
    <d v="2024-02-14T00:00:00"/>
    <x v="0"/>
    <x v="802"/>
    <n v="0"/>
  </r>
  <r>
    <x v="816"/>
    <x v="2"/>
    <x v="4"/>
    <x v="5"/>
    <x v="24"/>
    <x v="0"/>
    <x v="74"/>
    <s v="ADULT"/>
    <x v="1"/>
    <d v="2024-03-21T00:00:00"/>
    <x v="0"/>
    <x v="803"/>
    <n v="10"/>
  </r>
  <r>
    <x v="817"/>
    <x v="3"/>
    <x v="4"/>
    <x v="2"/>
    <x v="23"/>
    <x v="1"/>
    <x v="16"/>
    <s v="ADULT"/>
    <x v="1"/>
    <d v="2023-08-13T00:00:00"/>
    <x v="4"/>
    <x v="804"/>
    <n v="0"/>
  </r>
  <r>
    <x v="818"/>
    <x v="5"/>
    <x v="1"/>
    <x v="6"/>
    <x v="16"/>
    <x v="0"/>
    <x v="24"/>
    <s v="SENIOR"/>
    <x v="1"/>
    <d v="2024-02-23T00:00:00"/>
    <x v="1"/>
    <x v="805"/>
    <n v="10"/>
  </r>
  <r>
    <x v="819"/>
    <x v="0"/>
    <x v="2"/>
    <x v="6"/>
    <x v="16"/>
    <x v="2"/>
    <x v="50"/>
    <s v="ADULT"/>
    <x v="1"/>
    <d v="2024-03-23T00:00:00"/>
    <x v="2"/>
    <x v="806"/>
    <n v="30"/>
  </r>
  <r>
    <x v="820"/>
    <x v="5"/>
    <x v="1"/>
    <x v="7"/>
    <x v="38"/>
    <x v="0"/>
    <x v="5"/>
    <s v="TEEN"/>
    <x v="1"/>
    <d v="2023-03-10T00:00:00"/>
    <x v="1"/>
    <x v="302"/>
    <n v="0"/>
  </r>
  <r>
    <x v="821"/>
    <x v="4"/>
    <x v="7"/>
    <x v="3"/>
    <x v="3"/>
    <x v="0"/>
    <x v="59"/>
    <s v="TEEN"/>
    <x v="1"/>
    <d v="2023-11-28T00:00:00"/>
    <x v="1"/>
    <x v="807"/>
    <n v="0"/>
  </r>
  <r>
    <x v="822"/>
    <x v="4"/>
    <x v="5"/>
    <x v="9"/>
    <x v="29"/>
    <x v="0"/>
    <x v="2"/>
    <s v="SENIOR"/>
    <x v="1"/>
    <d v="2024-03-16T00:00:00"/>
    <x v="4"/>
    <x v="808"/>
    <n v="0"/>
  </r>
  <r>
    <x v="823"/>
    <x v="5"/>
    <x v="1"/>
    <x v="9"/>
    <x v="34"/>
    <x v="0"/>
    <x v="38"/>
    <s v="CHILD"/>
    <x v="1"/>
    <d v="2023-06-18T00:00:00"/>
    <x v="1"/>
    <x v="809"/>
    <n v="0"/>
  </r>
  <r>
    <x v="824"/>
    <x v="1"/>
    <x v="2"/>
    <x v="1"/>
    <x v="1"/>
    <x v="1"/>
    <x v="56"/>
    <s v="SENIOR"/>
    <x v="1"/>
    <d v="2024-02-22T00:00:00"/>
    <x v="0"/>
    <x v="810"/>
    <n v="10"/>
  </r>
  <r>
    <x v="825"/>
    <x v="1"/>
    <x v="3"/>
    <x v="1"/>
    <x v="1"/>
    <x v="0"/>
    <x v="29"/>
    <s v="SENIOR"/>
    <x v="0"/>
    <d v="2023-12-25T00:00:00"/>
    <x v="4"/>
    <x v="811"/>
    <n v="0"/>
  </r>
  <r>
    <x v="826"/>
    <x v="5"/>
    <x v="7"/>
    <x v="4"/>
    <x v="8"/>
    <x v="0"/>
    <x v="6"/>
    <s v="ADULT"/>
    <x v="1"/>
    <d v="2023-09-22T00:00:00"/>
    <x v="5"/>
    <x v="812"/>
    <n v="4"/>
  </r>
  <r>
    <x v="827"/>
    <x v="1"/>
    <x v="5"/>
    <x v="6"/>
    <x v="16"/>
    <x v="0"/>
    <x v="75"/>
    <s v="ADULT"/>
    <x v="1"/>
    <d v="2023-01-07T00:00:00"/>
    <x v="1"/>
    <x v="813"/>
    <n v="10"/>
  </r>
  <r>
    <x v="828"/>
    <x v="0"/>
    <x v="3"/>
    <x v="8"/>
    <x v="11"/>
    <x v="0"/>
    <x v="72"/>
    <s v="CHILD"/>
    <x v="0"/>
    <d v="2023-10-02T00:00:00"/>
    <x v="1"/>
    <x v="814"/>
    <n v="0"/>
  </r>
  <r>
    <x v="829"/>
    <x v="2"/>
    <x v="5"/>
    <x v="1"/>
    <x v="32"/>
    <x v="0"/>
    <x v="18"/>
    <s v="ADULT"/>
    <x v="0"/>
    <d v="2023-04-19T00:00:00"/>
    <x v="1"/>
    <x v="123"/>
    <n v="0"/>
  </r>
  <r>
    <x v="830"/>
    <x v="3"/>
    <x v="2"/>
    <x v="6"/>
    <x v="12"/>
    <x v="0"/>
    <x v="9"/>
    <s v="TEEN"/>
    <x v="0"/>
    <d v="2023-04-26T00:00:00"/>
    <x v="1"/>
    <x v="815"/>
    <n v="10"/>
  </r>
  <r>
    <x v="831"/>
    <x v="3"/>
    <x v="6"/>
    <x v="4"/>
    <x v="7"/>
    <x v="0"/>
    <x v="8"/>
    <s v="ADULT"/>
    <x v="0"/>
    <d v="2023-12-10T00:00:00"/>
    <x v="4"/>
    <x v="816"/>
    <n v="0"/>
  </r>
  <r>
    <x v="832"/>
    <x v="2"/>
    <x v="0"/>
    <x v="2"/>
    <x v="23"/>
    <x v="0"/>
    <x v="11"/>
    <s v="ADULT"/>
    <x v="0"/>
    <d v="2024-01-20T00:00:00"/>
    <x v="0"/>
    <x v="817"/>
    <n v="0"/>
  </r>
  <r>
    <x v="833"/>
    <x v="4"/>
    <x v="7"/>
    <x v="2"/>
    <x v="2"/>
    <x v="0"/>
    <x v="48"/>
    <s v="SENIOR"/>
    <x v="1"/>
    <d v="2023-07-23T00:00:00"/>
    <x v="4"/>
    <x v="818"/>
    <n v="3"/>
  </r>
  <r>
    <x v="834"/>
    <x v="2"/>
    <x v="6"/>
    <x v="9"/>
    <x v="29"/>
    <x v="0"/>
    <x v="35"/>
    <s v="ADULT"/>
    <x v="0"/>
    <d v="2023-08-08T00:00:00"/>
    <x v="2"/>
    <x v="819"/>
    <n v="20"/>
  </r>
  <r>
    <x v="835"/>
    <x v="3"/>
    <x v="3"/>
    <x v="5"/>
    <x v="17"/>
    <x v="2"/>
    <x v="79"/>
    <s v="SENIOR"/>
    <x v="0"/>
    <d v="2023-06-08T00:00:00"/>
    <x v="1"/>
    <x v="820"/>
    <n v="0"/>
  </r>
  <r>
    <x v="836"/>
    <x v="4"/>
    <x v="6"/>
    <x v="0"/>
    <x v="20"/>
    <x v="0"/>
    <x v="53"/>
    <s v="ADULT"/>
    <x v="0"/>
    <d v="2023-11-06T00:00:00"/>
    <x v="1"/>
    <x v="821"/>
    <n v="5"/>
  </r>
  <r>
    <x v="837"/>
    <x v="3"/>
    <x v="3"/>
    <x v="1"/>
    <x v="35"/>
    <x v="0"/>
    <x v="64"/>
    <s v="ADULT"/>
    <x v="1"/>
    <d v="2023-01-19T00:00:00"/>
    <x v="5"/>
    <x v="822"/>
    <n v="0"/>
  </r>
  <r>
    <x v="838"/>
    <x v="2"/>
    <x v="2"/>
    <x v="0"/>
    <x v="20"/>
    <x v="0"/>
    <x v="24"/>
    <s v="SENIOR"/>
    <x v="0"/>
    <d v="2023-02-27T00:00:00"/>
    <x v="1"/>
    <x v="823"/>
    <n v="0"/>
  </r>
  <r>
    <x v="839"/>
    <x v="5"/>
    <x v="5"/>
    <x v="5"/>
    <x v="24"/>
    <x v="0"/>
    <x v="56"/>
    <s v="SENIOR"/>
    <x v="0"/>
    <d v="2023-06-10T00:00:00"/>
    <x v="0"/>
    <x v="824"/>
    <n v="0"/>
  </r>
  <r>
    <x v="840"/>
    <x v="5"/>
    <x v="1"/>
    <x v="9"/>
    <x v="28"/>
    <x v="0"/>
    <x v="8"/>
    <s v="ADULT"/>
    <x v="1"/>
    <d v="2023-06-05T00:00:00"/>
    <x v="3"/>
    <x v="825"/>
    <n v="3"/>
  </r>
  <r>
    <x v="841"/>
    <x v="3"/>
    <x v="3"/>
    <x v="1"/>
    <x v="31"/>
    <x v="0"/>
    <x v="73"/>
    <s v="SENIOR"/>
    <x v="1"/>
    <d v="2024-01-24T00:00:00"/>
    <x v="1"/>
    <x v="826"/>
    <n v="3"/>
  </r>
  <r>
    <x v="842"/>
    <x v="4"/>
    <x v="4"/>
    <x v="0"/>
    <x v="15"/>
    <x v="0"/>
    <x v="76"/>
    <s v="SENIOR"/>
    <x v="1"/>
    <d v="2023-09-29T00:00:00"/>
    <x v="3"/>
    <x v="827"/>
    <n v="0"/>
  </r>
  <r>
    <x v="843"/>
    <x v="0"/>
    <x v="0"/>
    <x v="5"/>
    <x v="21"/>
    <x v="0"/>
    <x v="37"/>
    <s v="ADULT"/>
    <x v="1"/>
    <d v="2023-07-01T00:00:00"/>
    <x v="3"/>
    <x v="828"/>
    <n v="3"/>
  </r>
  <r>
    <x v="844"/>
    <x v="1"/>
    <x v="5"/>
    <x v="1"/>
    <x v="35"/>
    <x v="1"/>
    <x v="32"/>
    <s v="SENIOR"/>
    <x v="1"/>
    <d v="2023-11-12T00:00:00"/>
    <x v="4"/>
    <x v="829"/>
    <n v="0"/>
  </r>
  <r>
    <x v="845"/>
    <x v="3"/>
    <x v="0"/>
    <x v="7"/>
    <x v="18"/>
    <x v="0"/>
    <x v="38"/>
    <s v="CHILD"/>
    <x v="1"/>
    <d v="2023-08-19T00:00:00"/>
    <x v="0"/>
    <x v="830"/>
    <n v="0"/>
  </r>
  <r>
    <x v="846"/>
    <x v="3"/>
    <x v="5"/>
    <x v="2"/>
    <x v="14"/>
    <x v="0"/>
    <x v="34"/>
    <s v="ADULT"/>
    <x v="0"/>
    <d v="2023-11-06T00:00:00"/>
    <x v="4"/>
    <x v="831"/>
    <n v="5"/>
  </r>
  <r>
    <x v="847"/>
    <x v="3"/>
    <x v="5"/>
    <x v="1"/>
    <x v="32"/>
    <x v="0"/>
    <x v="54"/>
    <s v="ADULT"/>
    <x v="1"/>
    <d v="2023-01-11T00:00:00"/>
    <x v="1"/>
    <x v="832"/>
    <n v="0"/>
  </r>
  <r>
    <x v="848"/>
    <x v="5"/>
    <x v="5"/>
    <x v="0"/>
    <x v="20"/>
    <x v="0"/>
    <x v="83"/>
    <s v="CHILD"/>
    <x v="0"/>
    <d v="2023-02-20T00:00:00"/>
    <x v="1"/>
    <x v="833"/>
    <n v="0"/>
  </r>
  <r>
    <x v="849"/>
    <x v="0"/>
    <x v="7"/>
    <x v="1"/>
    <x v="32"/>
    <x v="0"/>
    <x v="24"/>
    <s v="SENIOR"/>
    <x v="1"/>
    <d v="2023-04-19T00:00:00"/>
    <x v="0"/>
    <x v="834"/>
    <n v="0"/>
  </r>
  <r>
    <x v="850"/>
    <x v="0"/>
    <x v="4"/>
    <x v="2"/>
    <x v="14"/>
    <x v="1"/>
    <x v="22"/>
    <s v="ADULT"/>
    <x v="1"/>
    <d v="2023-03-01T00:00:00"/>
    <x v="1"/>
    <x v="835"/>
    <n v="5"/>
  </r>
  <r>
    <x v="851"/>
    <x v="4"/>
    <x v="5"/>
    <x v="5"/>
    <x v="21"/>
    <x v="0"/>
    <x v="24"/>
    <s v="SENIOR"/>
    <x v="1"/>
    <d v="2023-10-30T00:00:00"/>
    <x v="0"/>
    <x v="836"/>
    <n v="3"/>
  </r>
  <r>
    <x v="852"/>
    <x v="1"/>
    <x v="4"/>
    <x v="4"/>
    <x v="5"/>
    <x v="2"/>
    <x v="25"/>
    <s v="CHILD"/>
    <x v="1"/>
    <d v="2023-06-15T00:00:00"/>
    <x v="3"/>
    <x v="837"/>
    <n v="0"/>
  </r>
  <r>
    <x v="853"/>
    <x v="0"/>
    <x v="1"/>
    <x v="4"/>
    <x v="7"/>
    <x v="1"/>
    <x v="76"/>
    <s v="SENIOR"/>
    <x v="0"/>
    <d v="2023-12-26T00:00:00"/>
    <x v="2"/>
    <x v="838"/>
    <n v="19"/>
  </r>
  <r>
    <x v="854"/>
    <x v="2"/>
    <x v="7"/>
    <x v="6"/>
    <x v="26"/>
    <x v="0"/>
    <x v="42"/>
    <s v="CHILD"/>
    <x v="1"/>
    <d v="2023-06-13T00:00:00"/>
    <x v="2"/>
    <x v="839"/>
    <n v="18"/>
  </r>
  <r>
    <x v="855"/>
    <x v="0"/>
    <x v="3"/>
    <x v="9"/>
    <x v="29"/>
    <x v="0"/>
    <x v="52"/>
    <s v="ADULT"/>
    <x v="1"/>
    <d v="2023-09-25T00:00:00"/>
    <x v="4"/>
    <x v="840"/>
    <n v="5"/>
  </r>
  <r>
    <x v="856"/>
    <x v="5"/>
    <x v="7"/>
    <x v="3"/>
    <x v="39"/>
    <x v="1"/>
    <x v="52"/>
    <s v="ADULT"/>
    <x v="1"/>
    <d v="2023-06-19T00:00:00"/>
    <x v="0"/>
    <x v="841"/>
    <n v="0"/>
  </r>
  <r>
    <x v="857"/>
    <x v="4"/>
    <x v="6"/>
    <x v="8"/>
    <x v="36"/>
    <x v="1"/>
    <x v="25"/>
    <s v="CHILD"/>
    <x v="1"/>
    <d v="2023-08-04T00:00:00"/>
    <x v="1"/>
    <x v="842"/>
    <n v="3"/>
  </r>
  <r>
    <x v="858"/>
    <x v="0"/>
    <x v="4"/>
    <x v="7"/>
    <x v="18"/>
    <x v="0"/>
    <x v="45"/>
    <s v="ADULT"/>
    <x v="0"/>
    <d v="2023-03-29T00:00:00"/>
    <x v="1"/>
    <x v="843"/>
    <n v="10"/>
  </r>
  <r>
    <x v="859"/>
    <x v="1"/>
    <x v="0"/>
    <x v="2"/>
    <x v="2"/>
    <x v="0"/>
    <x v="34"/>
    <s v="ADULT"/>
    <x v="0"/>
    <d v="2023-03-05T00:00:00"/>
    <x v="3"/>
    <x v="844"/>
    <n v="3"/>
  </r>
  <r>
    <x v="860"/>
    <x v="3"/>
    <x v="1"/>
    <x v="3"/>
    <x v="39"/>
    <x v="0"/>
    <x v="42"/>
    <s v="CHILD"/>
    <x v="0"/>
    <d v="2023-07-06T00:00:00"/>
    <x v="0"/>
    <x v="845"/>
    <n v="5"/>
  </r>
  <r>
    <x v="861"/>
    <x v="0"/>
    <x v="7"/>
    <x v="9"/>
    <x v="29"/>
    <x v="0"/>
    <x v="54"/>
    <s v="ADULT"/>
    <x v="0"/>
    <d v="2023-07-14T00:00:00"/>
    <x v="5"/>
    <x v="846"/>
    <n v="0"/>
  </r>
  <r>
    <x v="862"/>
    <x v="0"/>
    <x v="0"/>
    <x v="8"/>
    <x v="13"/>
    <x v="1"/>
    <x v="82"/>
    <s v="ADULT"/>
    <x v="1"/>
    <d v="2023-07-16T00:00:00"/>
    <x v="2"/>
    <x v="847"/>
    <n v="18"/>
  </r>
  <r>
    <x v="863"/>
    <x v="5"/>
    <x v="4"/>
    <x v="8"/>
    <x v="13"/>
    <x v="1"/>
    <x v="6"/>
    <s v="ADULT"/>
    <x v="1"/>
    <d v="2024-04-02T00:00:00"/>
    <x v="0"/>
    <x v="848"/>
    <n v="5"/>
  </r>
  <r>
    <x v="864"/>
    <x v="5"/>
    <x v="5"/>
    <x v="4"/>
    <x v="5"/>
    <x v="0"/>
    <x v="39"/>
    <s v="SENIOR"/>
    <x v="0"/>
    <d v="2024-03-13T00:00:00"/>
    <x v="0"/>
    <x v="849"/>
    <n v="10"/>
  </r>
  <r>
    <x v="865"/>
    <x v="0"/>
    <x v="6"/>
    <x v="7"/>
    <x v="10"/>
    <x v="0"/>
    <x v="59"/>
    <s v="TEEN"/>
    <x v="0"/>
    <d v="2023-04-03T00:00:00"/>
    <x v="3"/>
    <x v="850"/>
    <n v="0"/>
  </r>
  <r>
    <x v="866"/>
    <x v="2"/>
    <x v="0"/>
    <x v="4"/>
    <x v="8"/>
    <x v="0"/>
    <x v="64"/>
    <s v="ADULT"/>
    <x v="0"/>
    <d v="2024-04-07T00:00:00"/>
    <x v="2"/>
    <x v="851"/>
    <n v="15"/>
  </r>
  <r>
    <x v="867"/>
    <x v="0"/>
    <x v="4"/>
    <x v="1"/>
    <x v="35"/>
    <x v="0"/>
    <x v="56"/>
    <s v="SENIOR"/>
    <x v="0"/>
    <d v="2024-03-22T00:00:00"/>
    <x v="1"/>
    <x v="852"/>
    <n v="0"/>
  </r>
  <r>
    <x v="868"/>
    <x v="3"/>
    <x v="1"/>
    <x v="5"/>
    <x v="21"/>
    <x v="1"/>
    <x v="39"/>
    <s v="SENIOR"/>
    <x v="1"/>
    <d v="2023-09-16T00:00:00"/>
    <x v="1"/>
    <x v="853"/>
    <n v="10"/>
  </r>
  <r>
    <x v="869"/>
    <x v="1"/>
    <x v="2"/>
    <x v="8"/>
    <x v="33"/>
    <x v="0"/>
    <x v="79"/>
    <s v="SENIOR"/>
    <x v="0"/>
    <d v="2023-08-27T00:00:00"/>
    <x v="0"/>
    <x v="854"/>
    <n v="0"/>
  </r>
  <r>
    <x v="870"/>
    <x v="5"/>
    <x v="4"/>
    <x v="8"/>
    <x v="36"/>
    <x v="0"/>
    <x v="25"/>
    <s v="CHILD"/>
    <x v="0"/>
    <d v="2023-11-27T00:00:00"/>
    <x v="0"/>
    <x v="855"/>
    <n v="0"/>
  </r>
  <r>
    <x v="871"/>
    <x v="4"/>
    <x v="2"/>
    <x v="2"/>
    <x v="2"/>
    <x v="0"/>
    <x v="85"/>
    <s v="SENIOR"/>
    <x v="0"/>
    <d v="2023-08-22T00:00:00"/>
    <x v="1"/>
    <x v="856"/>
    <n v="0"/>
  </r>
  <r>
    <x v="872"/>
    <x v="0"/>
    <x v="4"/>
    <x v="0"/>
    <x v="27"/>
    <x v="0"/>
    <x v="22"/>
    <s v="ADULT"/>
    <x v="1"/>
    <d v="2023-11-21T00:00:00"/>
    <x v="1"/>
    <x v="857"/>
    <n v="0"/>
  </r>
  <r>
    <x v="873"/>
    <x v="1"/>
    <x v="0"/>
    <x v="1"/>
    <x v="32"/>
    <x v="1"/>
    <x v="18"/>
    <s v="ADULT"/>
    <x v="0"/>
    <d v="2024-04-20T00:00:00"/>
    <x v="3"/>
    <x v="858"/>
    <n v="5"/>
  </r>
  <r>
    <x v="874"/>
    <x v="2"/>
    <x v="5"/>
    <x v="7"/>
    <x v="30"/>
    <x v="0"/>
    <x v="86"/>
    <s v="SENIOR"/>
    <x v="0"/>
    <d v="2023-11-13T00:00:00"/>
    <x v="1"/>
    <x v="859"/>
    <n v="0"/>
  </r>
  <r>
    <x v="875"/>
    <x v="5"/>
    <x v="7"/>
    <x v="5"/>
    <x v="24"/>
    <x v="0"/>
    <x v="68"/>
    <s v="ADULT"/>
    <x v="0"/>
    <d v="2023-02-16T00:00:00"/>
    <x v="0"/>
    <x v="860"/>
    <n v="3"/>
  </r>
  <r>
    <x v="876"/>
    <x v="3"/>
    <x v="1"/>
    <x v="0"/>
    <x v="15"/>
    <x v="0"/>
    <x v="29"/>
    <s v="SENIOR"/>
    <x v="1"/>
    <d v="2023-09-19T00:00:00"/>
    <x v="0"/>
    <x v="861"/>
    <n v="10"/>
  </r>
  <r>
    <x v="877"/>
    <x v="0"/>
    <x v="6"/>
    <x v="1"/>
    <x v="35"/>
    <x v="0"/>
    <x v="61"/>
    <s v="ADULT"/>
    <x v="0"/>
    <d v="2023-03-08T00:00:00"/>
    <x v="0"/>
    <x v="862"/>
    <n v="0"/>
  </r>
  <r>
    <x v="878"/>
    <x v="5"/>
    <x v="5"/>
    <x v="2"/>
    <x v="4"/>
    <x v="1"/>
    <x v="79"/>
    <s v="SENIOR"/>
    <x v="0"/>
    <d v="2023-03-05T00:00:00"/>
    <x v="2"/>
    <x v="863"/>
    <n v="25"/>
  </r>
  <r>
    <x v="879"/>
    <x v="2"/>
    <x v="1"/>
    <x v="3"/>
    <x v="37"/>
    <x v="0"/>
    <x v="44"/>
    <s v="SENIOR"/>
    <x v="1"/>
    <d v="2023-02-28T00:00:00"/>
    <x v="0"/>
    <x v="864"/>
    <n v="0"/>
  </r>
  <r>
    <x v="880"/>
    <x v="0"/>
    <x v="2"/>
    <x v="2"/>
    <x v="4"/>
    <x v="0"/>
    <x v="43"/>
    <s v="SENIOR"/>
    <x v="0"/>
    <d v="2023-09-02T00:00:00"/>
    <x v="1"/>
    <x v="865"/>
    <n v="0"/>
  </r>
  <r>
    <x v="881"/>
    <x v="3"/>
    <x v="0"/>
    <x v="0"/>
    <x v="27"/>
    <x v="0"/>
    <x v="77"/>
    <s v="SENIOR"/>
    <x v="1"/>
    <d v="2023-11-11T00:00:00"/>
    <x v="4"/>
    <x v="866"/>
    <n v="5"/>
  </r>
  <r>
    <x v="882"/>
    <x v="5"/>
    <x v="5"/>
    <x v="2"/>
    <x v="14"/>
    <x v="1"/>
    <x v="45"/>
    <s v="ADULT"/>
    <x v="1"/>
    <d v="2023-02-16T00:00:00"/>
    <x v="0"/>
    <x v="867"/>
    <n v="5"/>
  </r>
  <r>
    <x v="883"/>
    <x v="4"/>
    <x v="6"/>
    <x v="5"/>
    <x v="6"/>
    <x v="1"/>
    <x v="44"/>
    <s v="SENIOR"/>
    <x v="0"/>
    <d v="2023-12-20T00:00:00"/>
    <x v="0"/>
    <x v="868"/>
    <n v="3"/>
  </r>
  <r>
    <x v="884"/>
    <x v="5"/>
    <x v="1"/>
    <x v="9"/>
    <x v="19"/>
    <x v="0"/>
    <x v="33"/>
    <s v="ADULT"/>
    <x v="0"/>
    <d v="2023-02-27T00:00:00"/>
    <x v="0"/>
    <x v="869"/>
    <n v="0"/>
  </r>
  <r>
    <x v="885"/>
    <x v="3"/>
    <x v="7"/>
    <x v="4"/>
    <x v="7"/>
    <x v="0"/>
    <x v="66"/>
    <s v="SENIOR"/>
    <x v="0"/>
    <d v="2024-01-24T00:00:00"/>
    <x v="0"/>
    <x v="870"/>
    <n v="10"/>
  </r>
  <r>
    <x v="886"/>
    <x v="1"/>
    <x v="3"/>
    <x v="9"/>
    <x v="34"/>
    <x v="0"/>
    <x v="30"/>
    <s v="ADULT"/>
    <x v="1"/>
    <d v="2023-08-08T00:00:00"/>
    <x v="1"/>
    <x v="871"/>
    <n v="10"/>
  </r>
  <r>
    <x v="887"/>
    <x v="1"/>
    <x v="5"/>
    <x v="0"/>
    <x v="0"/>
    <x v="0"/>
    <x v="26"/>
    <s v="SENIOR"/>
    <x v="0"/>
    <d v="2024-01-03T00:00:00"/>
    <x v="3"/>
    <x v="872"/>
    <n v="10"/>
  </r>
  <r>
    <x v="888"/>
    <x v="5"/>
    <x v="1"/>
    <x v="2"/>
    <x v="4"/>
    <x v="0"/>
    <x v="38"/>
    <s v="CHILD"/>
    <x v="0"/>
    <d v="2024-03-14T00:00:00"/>
    <x v="1"/>
    <x v="873"/>
    <n v="0"/>
  </r>
  <r>
    <x v="889"/>
    <x v="4"/>
    <x v="3"/>
    <x v="2"/>
    <x v="2"/>
    <x v="0"/>
    <x v="76"/>
    <s v="SENIOR"/>
    <x v="1"/>
    <d v="2023-07-27T00:00:00"/>
    <x v="0"/>
    <x v="874"/>
    <n v="10"/>
  </r>
  <r>
    <x v="890"/>
    <x v="5"/>
    <x v="0"/>
    <x v="2"/>
    <x v="2"/>
    <x v="0"/>
    <x v="17"/>
    <s v="SENIOR"/>
    <x v="1"/>
    <d v="2023-01-20T00:00:00"/>
    <x v="1"/>
    <x v="875"/>
    <n v="0"/>
  </r>
  <r>
    <x v="891"/>
    <x v="1"/>
    <x v="0"/>
    <x v="5"/>
    <x v="21"/>
    <x v="0"/>
    <x v="63"/>
    <s v="SENIOR"/>
    <x v="0"/>
    <d v="2023-12-12T00:00:00"/>
    <x v="4"/>
    <x v="876"/>
    <n v="0"/>
  </r>
  <r>
    <x v="892"/>
    <x v="3"/>
    <x v="5"/>
    <x v="0"/>
    <x v="27"/>
    <x v="0"/>
    <x v="34"/>
    <s v="ADULT"/>
    <x v="1"/>
    <d v="2023-12-16T00:00:00"/>
    <x v="4"/>
    <x v="877"/>
    <n v="0"/>
  </r>
  <r>
    <x v="893"/>
    <x v="5"/>
    <x v="7"/>
    <x v="9"/>
    <x v="28"/>
    <x v="0"/>
    <x v="31"/>
    <s v="CHILD"/>
    <x v="0"/>
    <d v="2023-09-11T00:00:00"/>
    <x v="4"/>
    <x v="878"/>
    <n v="0"/>
  </r>
  <r>
    <x v="894"/>
    <x v="3"/>
    <x v="0"/>
    <x v="1"/>
    <x v="32"/>
    <x v="0"/>
    <x v="46"/>
    <s v="ADULT"/>
    <x v="1"/>
    <d v="2023-08-16T00:00:00"/>
    <x v="1"/>
    <x v="879"/>
    <n v="0"/>
  </r>
  <r>
    <x v="895"/>
    <x v="4"/>
    <x v="7"/>
    <x v="2"/>
    <x v="4"/>
    <x v="0"/>
    <x v="45"/>
    <s v="ADULT"/>
    <x v="1"/>
    <d v="2023-09-30T00:00:00"/>
    <x v="0"/>
    <x v="880"/>
    <n v="3"/>
  </r>
  <r>
    <x v="896"/>
    <x v="3"/>
    <x v="4"/>
    <x v="9"/>
    <x v="28"/>
    <x v="0"/>
    <x v="26"/>
    <s v="SENIOR"/>
    <x v="1"/>
    <d v="2024-03-24T00:00:00"/>
    <x v="1"/>
    <x v="881"/>
    <n v="0"/>
  </r>
  <r>
    <x v="897"/>
    <x v="0"/>
    <x v="0"/>
    <x v="3"/>
    <x v="37"/>
    <x v="0"/>
    <x v="58"/>
    <s v="SENIOR"/>
    <x v="0"/>
    <d v="2023-09-15T00:00:00"/>
    <x v="5"/>
    <x v="882"/>
    <n v="0"/>
  </r>
  <r>
    <x v="898"/>
    <x v="0"/>
    <x v="5"/>
    <x v="3"/>
    <x v="22"/>
    <x v="0"/>
    <x v="44"/>
    <s v="SENIOR"/>
    <x v="0"/>
    <d v="2023-02-13T00:00:00"/>
    <x v="4"/>
    <x v="883"/>
    <n v="0"/>
  </r>
  <r>
    <x v="899"/>
    <x v="2"/>
    <x v="2"/>
    <x v="1"/>
    <x v="1"/>
    <x v="0"/>
    <x v="78"/>
    <s v="ADULT"/>
    <x v="1"/>
    <d v="2024-04-24T00:00:00"/>
    <x v="1"/>
    <x v="884"/>
    <n v="0"/>
  </r>
  <r>
    <x v="900"/>
    <x v="0"/>
    <x v="5"/>
    <x v="1"/>
    <x v="31"/>
    <x v="0"/>
    <x v="91"/>
    <s v="ADULT"/>
    <x v="0"/>
    <d v="2023-01-14T00:00:00"/>
    <x v="2"/>
    <x v="885"/>
    <n v="35"/>
  </r>
  <r>
    <x v="901"/>
    <x v="5"/>
    <x v="7"/>
    <x v="9"/>
    <x v="34"/>
    <x v="1"/>
    <x v="57"/>
    <s v="ADULT"/>
    <x v="1"/>
    <d v="2024-03-01T00:00:00"/>
    <x v="1"/>
    <x v="886"/>
    <n v="0"/>
  </r>
  <r>
    <x v="902"/>
    <x v="1"/>
    <x v="4"/>
    <x v="8"/>
    <x v="33"/>
    <x v="0"/>
    <x v="83"/>
    <s v="CHILD"/>
    <x v="0"/>
    <d v="2024-03-18T00:00:00"/>
    <x v="2"/>
    <x v="887"/>
    <n v="12"/>
  </r>
  <r>
    <x v="903"/>
    <x v="0"/>
    <x v="3"/>
    <x v="1"/>
    <x v="31"/>
    <x v="0"/>
    <x v="12"/>
    <s v="TEEN"/>
    <x v="0"/>
    <d v="2024-03-17T00:00:00"/>
    <x v="3"/>
    <x v="888"/>
    <n v="3"/>
  </r>
  <r>
    <x v="904"/>
    <x v="3"/>
    <x v="0"/>
    <x v="6"/>
    <x v="12"/>
    <x v="0"/>
    <x v="84"/>
    <s v="ADULT"/>
    <x v="1"/>
    <d v="2024-01-31T00:00:00"/>
    <x v="1"/>
    <x v="71"/>
    <n v="10"/>
  </r>
  <r>
    <x v="905"/>
    <x v="2"/>
    <x v="6"/>
    <x v="9"/>
    <x v="28"/>
    <x v="0"/>
    <x v="56"/>
    <s v="SENIOR"/>
    <x v="0"/>
    <d v="2023-09-22T00:00:00"/>
    <x v="2"/>
    <x v="889"/>
    <n v="0"/>
  </r>
  <r>
    <x v="906"/>
    <x v="0"/>
    <x v="2"/>
    <x v="8"/>
    <x v="36"/>
    <x v="1"/>
    <x v="46"/>
    <s v="ADULT"/>
    <x v="1"/>
    <d v="2023-01-27T00:00:00"/>
    <x v="1"/>
    <x v="890"/>
    <n v="3"/>
  </r>
  <r>
    <x v="907"/>
    <x v="4"/>
    <x v="5"/>
    <x v="8"/>
    <x v="11"/>
    <x v="0"/>
    <x v="62"/>
    <s v="SENIOR"/>
    <x v="0"/>
    <d v="2023-10-22T00:00:00"/>
    <x v="4"/>
    <x v="891"/>
    <n v="3"/>
  </r>
  <r>
    <x v="908"/>
    <x v="5"/>
    <x v="2"/>
    <x v="2"/>
    <x v="14"/>
    <x v="1"/>
    <x v="87"/>
    <s v="ADULT"/>
    <x v="0"/>
    <d v="2023-06-19T00:00:00"/>
    <x v="2"/>
    <x v="892"/>
    <n v="10"/>
  </r>
  <r>
    <x v="909"/>
    <x v="3"/>
    <x v="1"/>
    <x v="9"/>
    <x v="34"/>
    <x v="0"/>
    <x v="37"/>
    <s v="ADULT"/>
    <x v="0"/>
    <d v="2023-04-13T00:00:00"/>
    <x v="5"/>
    <x v="893"/>
    <n v="0"/>
  </r>
  <r>
    <x v="910"/>
    <x v="2"/>
    <x v="3"/>
    <x v="6"/>
    <x v="9"/>
    <x v="0"/>
    <x v="82"/>
    <s v="ADULT"/>
    <x v="0"/>
    <d v="2024-04-23T00:00:00"/>
    <x v="1"/>
    <x v="894"/>
    <n v="0"/>
  </r>
  <r>
    <x v="911"/>
    <x v="2"/>
    <x v="1"/>
    <x v="5"/>
    <x v="17"/>
    <x v="0"/>
    <x v="15"/>
    <s v="SENIOR"/>
    <x v="1"/>
    <d v="2023-09-05T00:00:00"/>
    <x v="1"/>
    <x v="895"/>
    <n v="0"/>
  </r>
  <r>
    <x v="912"/>
    <x v="2"/>
    <x v="7"/>
    <x v="9"/>
    <x v="19"/>
    <x v="0"/>
    <x v="70"/>
    <s v="ADULT"/>
    <x v="0"/>
    <d v="2023-07-10T00:00:00"/>
    <x v="0"/>
    <x v="896"/>
    <n v="3"/>
  </r>
  <r>
    <x v="913"/>
    <x v="3"/>
    <x v="5"/>
    <x v="3"/>
    <x v="37"/>
    <x v="0"/>
    <x v="52"/>
    <s v="ADULT"/>
    <x v="1"/>
    <d v="2023-01-03T00:00:00"/>
    <x v="2"/>
    <x v="897"/>
    <n v="10"/>
  </r>
  <r>
    <x v="914"/>
    <x v="4"/>
    <x v="2"/>
    <x v="9"/>
    <x v="29"/>
    <x v="0"/>
    <x v="69"/>
    <s v="SENIOR"/>
    <x v="0"/>
    <d v="2023-04-06T00:00:00"/>
    <x v="3"/>
    <x v="898"/>
    <n v="3"/>
  </r>
  <r>
    <x v="915"/>
    <x v="4"/>
    <x v="2"/>
    <x v="0"/>
    <x v="15"/>
    <x v="0"/>
    <x v="35"/>
    <s v="ADULT"/>
    <x v="1"/>
    <d v="2023-04-21T00:00:00"/>
    <x v="4"/>
    <x v="899"/>
    <n v="0"/>
  </r>
  <r>
    <x v="916"/>
    <x v="5"/>
    <x v="2"/>
    <x v="4"/>
    <x v="5"/>
    <x v="0"/>
    <x v="70"/>
    <s v="ADULT"/>
    <x v="1"/>
    <d v="2023-03-17T00:00:00"/>
    <x v="0"/>
    <x v="900"/>
    <n v="0"/>
  </r>
  <r>
    <x v="917"/>
    <x v="1"/>
    <x v="3"/>
    <x v="5"/>
    <x v="21"/>
    <x v="0"/>
    <x v="23"/>
    <s v="ADULT"/>
    <x v="1"/>
    <d v="2023-04-06T00:00:00"/>
    <x v="1"/>
    <x v="901"/>
    <n v="0"/>
  </r>
  <r>
    <x v="918"/>
    <x v="1"/>
    <x v="7"/>
    <x v="5"/>
    <x v="24"/>
    <x v="0"/>
    <x v="86"/>
    <s v="SENIOR"/>
    <x v="0"/>
    <d v="2023-02-28T00:00:00"/>
    <x v="1"/>
    <x v="902"/>
    <n v="10"/>
  </r>
  <r>
    <x v="919"/>
    <x v="2"/>
    <x v="4"/>
    <x v="7"/>
    <x v="18"/>
    <x v="0"/>
    <x v="1"/>
    <s v="CHILD"/>
    <x v="0"/>
    <d v="2023-08-08T00:00:00"/>
    <x v="2"/>
    <x v="903"/>
    <n v="20"/>
  </r>
  <r>
    <x v="920"/>
    <x v="0"/>
    <x v="4"/>
    <x v="9"/>
    <x v="34"/>
    <x v="0"/>
    <x v="47"/>
    <s v="ADULT"/>
    <x v="1"/>
    <d v="2023-02-04T00:00:00"/>
    <x v="4"/>
    <x v="904"/>
    <n v="0"/>
  </r>
  <r>
    <x v="921"/>
    <x v="0"/>
    <x v="3"/>
    <x v="5"/>
    <x v="6"/>
    <x v="0"/>
    <x v="28"/>
    <s v="SENIOR"/>
    <x v="1"/>
    <d v="2023-06-16T00:00:00"/>
    <x v="2"/>
    <x v="905"/>
    <n v="25"/>
  </r>
  <r>
    <x v="922"/>
    <x v="2"/>
    <x v="0"/>
    <x v="8"/>
    <x v="36"/>
    <x v="1"/>
    <x v="71"/>
    <s v="ADULT"/>
    <x v="1"/>
    <d v="2023-09-14T00:00:00"/>
    <x v="1"/>
    <x v="906"/>
    <n v="0"/>
  </r>
  <r>
    <x v="923"/>
    <x v="0"/>
    <x v="7"/>
    <x v="2"/>
    <x v="23"/>
    <x v="0"/>
    <x v="72"/>
    <s v="CHILD"/>
    <x v="0"/>
    <d v="2023-11-04T00:00:00"/>
    <x v="1"/>
    <x v="907"/>
    <n v="10"/>
  </r>
  <r>
    <x v="924"/>
    <x v="1"/>
    <x v="0"/>
    <x v="8"/>
    <x v="11"/>
    <x v="0"/>
    <x v="58"/>
    <s v="SENIOR"/>
    <x v="0"/>
    <d v="2023-03-11T00:00:00"/>
    <x v="4"/>
    <x v="908"/>
    <n v="0"/>
  </r>
  <r>
    <x v="925"/>
    <x v="3"/>
    <x v="6"/>
    <x v="2"/>
    <x v="4"/>
    <x v="1"/>
    <x v="46"/>
    <s v="ADULT"/>
    <x v="0"/>
    <d v="2024-04-11T00:00:00"/>
    <x v="1"/>
    <x v="909"/>
    <n v="5"/>
  </r>
  <r>
    <x v="926"/>
    <x v="3"/>
    <x v="2"/>
    <x v="8"/>
    <x v="33"/>
    <x v="0"/>
    <x v="87"/>
    <s v="ADULT"/>
    <x v="1"/>
    <d v="2023-01-03T00:00:00"/>
    <x v="1"/>
    <x v="910"/>
    <n v="0"/>
  </r>
  <r>
    <x v="927"/>
    <x v="4"/>
    <x v="7"/>
    <x v="2"/>
    <x v="14"/>
    <x v="0"/>
    <x v="11"/>
    <s v="ADULT"/>
    <x v="0"/>
    <d v="2023-07-08T00:00:00"/>
    <x v="1"/>
    <x v="696"/>
    <n v="0"/>
  </r>
  <r>
    <x v="928"/>
    <x v="2"/>
    <x v="7"/>
    <x v="2"/>
    <x v="4"/>
    <x v="1"/>
    <x v="50"/>
    <s v="ADULT"/>
    <x v="1"/>
    <d v="2024-04-16T00:00:00"/>
    <x v="4"/>
    <x v="911"/>
    <n v="5"/>
  </r>
  <r>
    <x v="929"/>
    <x v="2"/>
    <x v="6"/>
    <x v="0"/>
    <x v="27"/>
    <x v="2"/>
    <x v="70"/>
    <s v="ADULT"/>
    <x v="0"/>
    <d v="2023-06-07T00:00:00"/>
    <x v="4"/>
    <x v="912"/>
    <n v="3"/>
  </r>
  <r>
    <x v="930"/>
    <x v="0"/>
    <x v="7"/>
    <x v="0"/>
    <x v="20"/>
    <x v="0"/>
    <x v="22"/>
    <s v="ADULT"/>
    <x v="1"/>
    <d v="2023-06-27T00:00:00"/>
    <x v="1"/>
    <x v="913"/>
    <n v="0"/>
  </r>
  <r>
    <x v="931"/>
    <x v="4"/>
    <x v="4"/>
    <x v="6"/>
    <x v="16"/>
    <x v="0"/>
    <x v="86"/>
    <s v="SENIOR"/>
    <x v="1"/>
    <d v="2023-12-26T00:00:00"/>
    <x v="3"/>
    <x v="914"/>
    <n v="10"/>
  </r>
  <r>
    <x v="932"/>
    <x v="1"/>
    <x v="3"/>
    <x v="5"/>
    <x v="24"/>
    <x v="1"/>
    <x v="60"/>
    <s v="SENIOR"/>
    <x v="0"/>
    <d v="2023-12-09T00:00:00"/>
    <x v="1"/>
    <x v="915"/>
    <n v="0"/>
  </r>
  <r>
    <x v="933"/>
    <x v="5"/>
    <x v="6"/>
    <x v="2"/>
    <x v="23"/>
    <x v="0"/>
    <x v="66"/>
    <s v="SENIOR"/>
    <x v="0"/>
    <d v="2023-09-22T00:00:00"/>
    <x v="4"/>
    <x v="695"/>
    <n v="0"/>
  </r>
  <r>
    <x v="934"/>
    <x v="3"/>
    <x v="1"/>
    <x v="6"/>
    <x v="9"/>
    <x v="0"/>
    <x v="29"/>
    <s v="SENIOR"/>
    <x v="1"/>
    <d v="2023-05-14T00:00:00"/>
    <x v="2"/>
    <x v="916"/>
    <n v="10"/>
  </r>
  <r>
    <x v="935"/>
    <x v="4"/>
    <x v="3"/>
    <x v="4"/>
    <x v="25"/>
    <x v="0"/>
    <x v="29"/>
    <s v="SENIOR"/>
    <x v="0"/>
    <d v="2023-07-08T00:00:00"/>
    <x v="3"/>
    <x v="917"/>
    <n v="0"/>
  </r>
  <r>
    <x v="936"/>
    <x v="0"/>
    <x v="6"/>
    <x v="6"/>
    <x v="9"/>
    <x v="0"/>
    <x v="81"/>
    <s v="ADULT"/>
    <x v="1"/>
    <d v="2023-01-31T00:00:00"/>
    <x v="0"/>
    <x v="918"/>
    <n v="3"/>
  </r>
  <r>
    <x v="937"/>
    <x v="2"/>
    <x v="3"/>
    <x v="6"/>
    <x v="9"/>
    <x v="1"/>
    <x v="16"/>
    <s v="ADULT"/>
    <x v="0"/>
    <d v="2023-12-24T00:00:00"/>
    <x v="4"/>
    <x v="919"/>
    <n v="0"/>
  </r>
  <r>
    <x v="938"/>
    <x v="4"/>
    <x v="2"/>
    <x v="7"/>
    <x v="18"/>
    <x v="0"/>
    <x v="91"/>
    <s v="ADULT"/>
    <x v="1"/>
    <d v="2023-08-21T00:00:00"/>
    <x v="3"/>
    <x v="920"/>
    <n v="0"/>
  </r>
  <r>
    <x v="939"/>
    <x v="3"/>
    <x v="7"/>
    <x v="4"/>
    <x v="25"/>
    <x v="1"/>
    <x v="16"/>
    <s v="ADULT"/>
    <x v="1"/>
    <d v="2023-11-25T00:00:00"/>
    <x v="0"/>
    <x v="921"/>
    <n v="5"/>
  </r>
  <r>
    <x v="940"/>
    <x v="4"/>
    <x v="1"/>
    <x v="0"/>
    <x v="0"/>
    <x v="0"/>
    <x v="41"/>
    <s v="CHILD"/>
    <x v="1"/>
    <d v="2023-09-26T00:00:00"/>
    <x v="3"/>
    <x v="922"/>
    <n v="0"/>
  </r>
  <r>
    <x v="941"/>
    <x v="1"/>
    <x v="7"/>
    <x v="1"/>
    <x v="1"/>
    <x v="0"/>
    <x v="89"/>
    <s v="SENIOR"/>
    <x v="1"/>
    <d v="2023-04-30T00:00:00"/>
    <x v="1"/>
    <x v="923"/>
    <n v="3"/>
  </r>
  <r>
    <x v="942"/>
    <x v="5"/>
    <x v="1"/>
    <x v="1"/>
    <x v="31"/>
    <x v="1"/>
    <x v="22"/>
    <s v="ADULT"/>
    <x v="1"/>
    <d v="2023-09-15T00:00:00"/>
    <x v="2"/>
    <x v="924"/>
    <n v="10"/>
  </r>
  <r>
    <x v="943"/>
    <x v="1"/>
    <x v="6"/>
    <x v="2"/>
    <x v="2"/>
    <x v="0"/>
    <x v="31"/>
    <s v="CHILD"/>
    <x v="0"/>
    <d v="2024-03-03T00:00:00"/>
    <x v="0"/>
    <x v="925"/>
    <n v="0"/>
  </r>
  <r>
    <x v="944"/>
    <x v="1"/>
    <x v="3"/>
    <x v="9"/>
    <x v="28"/>
    <x v="1"/>
    <x v="57"/>
    <s v="ADULT"/>
    <x v="0"/>
    <d v="2024-01-03T00:00:00"/>
    <x v="4"/>
    <x v="926"/>
    <n v="3"/>
  </r>
  <r>
    <x v="945"/>
    <x v="0"/>
    <x v="7"/>
    <x v="1"/>
    <x v="32"/>
    <x v="0"/>
    <x v="64"/>
    <s v="ADULT"/>
    <x v="0"/>
    <d v="2023-03-21T00:00:00"/>
    <x v="0"/>
    <x v="927"/>
    <n v="0"/>
  </r>
  <r>
    <x v="946"/>
    <x v="5"/>
    <x v="0"/>
    <x v="5"/>
    <x v="24"/>
    <x v="0"/>
    <x v="53"/>
    <s v="ADULT"/>
    <x v="0"/>
    <d v="2023-08-28T00:00:00"/>
    <x v="0"/>
    <x v="297"/>
    <n v="0"/>
  </r>
  <r>
    <x v="947"/>
    <x v="1"/>
    <x v="5"/>
    <x v="5"/>
    <x v="21"/>
    <x v="0"/>
    <x v="15"/>
    <s v="SENIOR"/>
    <x v="0"/>
    <d v="2024-03-23T00:00:00"/>
    <x v="3"/>
    <x v="928"/>
    <n v="0"/>
  </r>
  <r>
    <x v="948"/>
    <x v="5"/>
    <x v="2"/>
    <x v="4"/>
    <x v="25"/>
    <x v="0"/>
    <x v="60"/>
    <s v="SENIOR"/>
    <x v="0"/>
    <d v="2023-01-04T00:00:00"/>
    <x v="3"/>
    <x v="929"/>
    <n v="5"/>
  </r>
  <r>
    <x v="949"/>
    <x v="2"/>
    <x v="6"/>
    <x v="2"/>
    <x v="23"/>
    <x v="0"/>
    <x v="15"/>
    <s v="SENIOR"/>
    <x v="1"/>
    <d v="2023-06-25T00:00:00"/>
    <x v="0"/>
    <x v="930"/>
    <n v="3"/>
  </r>
  <r>
    <x v="950"/>
    <x v="5"/>
    <x v="1"/>
    <x v="6"/>
    <x v="26"/>
    <x v="1"/>
    <x v="9"/>
    <s v="TEEN"/>
    <x v="1"/>
    <d v="2023-06-23T00:00:00"/>
    <x v="1"/>
    <x v="931"/>
    <n v="5"/>
  </r>
  <r>
    <x v="951"/>
    <x v="2"/>
    <x v="6"/>
    <x v="7"/>
    <x v="10"/>
    <x v="0"/>
    <x v="84"/>
    <s v="ADULT"/>
    <x v="1"/>
    <d v="2023-11-26T00:00:00"/>
    <x v="0"/>
    <x v="932"/>
    <n v="0"/>
  </r>
  <r>
    <x v="952"/>
    <x v="3"/>
    <x v="7"/>
    <x v="8"/>
    <x v="11"/>
    <x v="0"/>
    <x v="88"/>
    <s v="ADULT"/>
    <x v="1"/>
    <d v="2023-06-16T00:00:00"/>
    <x v="1"/>
    <x v="933"/>
    <n v="5"/>
  </r>
  <r>
    <x v="953"/>
    <x v="5"/>
    <x v="0"/>
    <x v="6"/>
    <x v="9"/>
    <x v="0"/>
    <x v="61"/>
    <s v="ADULT"/>
    <x v="1"/>
    <d v="2023-06-09T00:00:00"/>
    <x v="4"/>
    <x v="934"/>
    <n v="0"/>
  </r>
  <r>
    <x v="954"/>
    <x v="3"/>
    <x v="7"/>
    <x v="6"/>
    <x v="9"/>
    <x v="1"/>
    <x v="52"/>
    <s v="ADULT"/>
    <x v="1"/>
    <d v="2023-06-03T00:00:00"/>
    <x v="2"/>
    <x v="935"/>
    <n v="18"/>
  </r>
  <r>
    <x v="955"/>
    <x v="3"/>
    <x v="5"/>
    <x v="1"/>
    <x v="31"/>
    <x v="0"/>
    <x v="76"/>
    <s v="SENIOR"/>
    <x v="0"/>
    <d v="2023-09-30T00:00:00"/>
    <x v="2"/>
    <x v="936"/>
    <n v="40"/>
  </r>
  <r>
    <x v="956"/>
    <x v="2"/>
    <x v="7"/>
    <x v="8"/>
    <x v="13"/>
    <x v="0"/>
    <x v="1"/>
    <s v="CHILD"/>
    <x v="0"/>
    <d v="2023-03-03T00:00:00"/>
    <x v="3"/>
    <x v="937"/>
    <n v="10"/>
  </r>
  <r>
    <x v="957"/>
    <x v="0"/>
    <x v="7"/>
    <x v="0"/>
    <x v="20"/>
    <x v="0"/>
    <x v="1"/>
    <s v="CHILD"/>
    <x v="0"/>
    <d v="2023-02-20T00:00:00"/>
    <x v="1"/>
    <x v="938"/>
    <n v="0"/>
  </r>
  <r>
    <x v="958"/>
    <x v="5"/>
    <x v="3"/>
    <x v="5"/>
    <x v="17"/>
    <x v="0"/>
    <x v="63"/>
    <s v="SENIOR"/>
    <x v="1"/>
    <d v="2023-10-07T00:00:00"/>
    <x v="3"/>
    <x v="939"/>
    <n v="10"/>
  </r>
  <r>
    <x v="959"/>
    <x v="4"/>
    <x v="4"/>
    <x v="6"/>
    <x v="9"/>
    <x v="2"/>
    <x v="8"/>
    <s v="ADULT"/>
    <x v="1"/>
    <d v="2024-04-10T00:00:00"/>
    <x v="0"/>
    <x v="940"/>
    <n v="5"/>
  </r>
  <r>
    <x v="960"/>
    <x v="5"/>
    <x v="5"/>
    <x v="1"/>
    <x v="32"/>
    <x v="0"/>
    <x v="41"/>
    <s v="CHILD"/>
    <x v="1"/>
    <d v="2024-01-01T00:00:00"/>
    <x v="2"/>
    <x v="941"/>
    <n v="35"/>
  </r>
  <r>
    <x v="961"/>
    <x v="3"/>
    <x v="7"/>
    <x v="8"/>
    <x v="36"/>
    <x v="0"/>
    <x v="55"/>
    <s v="SENIOR"/>
    <x v="1"/>
    <d v="2023-11-26T00:00:00"/>
    <x v="2"/>
    <x v="942"/>
    <n v="25"/>
  </r>
  <r>
    <x v="962"/>
    <x v="2"/>
    <x v="4"/>
    <x v="9"/>
    <x v="29"/>
    <x v="1"/>
    <x v="74"/>
    <s v="ADULT"/>
    <x v="0"/>
    <d v="2023-10-31T00:00:00"/>
    <x v="5"/>
    <x v="943"/>
    <n v="0"/>
  </r>
  <r>
    <x v="963"/>
    <x v="2"/>
    <x v="5"/>
    <x v="4"/>
    <x v="8"/>
    <x v="0"/>
    <x v="61"/>
    <s v="ADULT"/>
    <x v="1"/>
    <d v="2023-03-08T00:00:00"/>
    <x v="2"/>
    <x v="944"/>
    <n v="15"/>
  </r>
  <r>
    <x v="964"/>
    <x v="0"/>
    <x v="4"/>
    <x v="6"/>
    <x v="26"/>
    <x v="0"/>
    <x v="21"/>
    <s v="ADULT"/>
    <x v="1"/>
    <d v="2024-01-26T00:00:00"/>
    <x v="0"/>
    <x v="42"/>
    <n v="0"/>
  </r>
  <r>
    <x v="965"/>
    <x v="0"/>
    <x v="1"/>
    <x v="1"/>
    <x v="1"/>
    <x v="0"/>
    <x v="7"/>
    <s v="TEEN"/>
    <x v="0"/>
    <d v="2023-12-04T00:00:00"/>
    <x v="0"/>
    <x v="945"/>
    <n v="3"/>
  </r>
  <r>
    <x v="966"/>
    <x v="1"/>
    <x v="6"/>
    <x v="9"/>
    <x v="28"/>
    <x v="1"/>
    <x v="43"/>
    <s v="SENIOR"/>
    <x v="0"/>
    <d v="2023-05-02T00:00:00"/>
    <x v="4"/>
    <x v="946"/>
    <n v="0"/>
  </r>
  <r>
    <x v="967"/>
    <x v="4"/>
    <x v="2"/>
    <x v="9"/>
    <x v="29"/>
    <x v="0"/>
    <x v="25"/>
    <s v="CHILD"/>
    <x v="1"/>
    <d v="2023-02-15T00:00:00"/>
    <x v="0"/>
    <x v="947"/>
    <n v="0"/>
  </r>
  <r>
    <x v="968"/>
    <x v="2"/>
    <x v="2"/>
    <x v="5"/>
    <x v="17"/>
    <x v="0"/>
    <x v="13"/>
    <s v="ADULT"/>
    <x v="0"/>
    <d v="2024-02-17T00:00:00"/>
    <x v="0"/>
    <x v="343"/>
    <n v="5"/>
  </r>
  <r>
    <x v="969"/>
    <x v="1"/>
    <x v="7"/>
    <x v="5"/>
    <x v="6"/>
    <x v="1"/>
    <x v="16"/>
    <s v="ADULT"/>
    <x v="0"/>
    <d v="2023-02-15T00:00:00"/>
    <x v="3"/>
    <x v="948"/>
    <n v="3"/>
  </r>
  <r>
    <x v="970"/>
    <x v="1"/>
    <x v="4"/>
    <x v="6"/>
    <x v="12"/>
    <x v="0"/>
    <x v="25"/>
    <s v="CHILD"/>
    <x v="1"/>
    <d v="2023-01-31T00:00:00"/>
    <x v="1"/>
    <x v="949"/>
    <n v="5"/>
  </r>
  <r>
    <x v="971"/>
    <x v="1"/>
    <x v="6"/>
    <x v="5"/>
    <x v="17"/>
    <x v="0"/>
    <x v="24"/>
    <s v="SENIOR"/>
    <x v="0"/>
    <d v="2023-09-21T00:00:00"/>
    <x v="1"/>
    <x v="950"/>
    <n v="5"/>
  </r>
  <r>
    <x v="972"/>
    <x v="2"/>
    <x v="2"/>
    <x v="4"/>
    <x v="7"/>
    <x v="0"/>
    <x v="3"/>
    <s v="ADULT"/>
    <x v="1"/>
    <d v="2023-06-17T00:00:00"/>
    <x v="3"/>
    <x v="951"/>
    <n v="0"/>
  </r>
  <r>
    <x v="973"/>
    <x v="4"/>
    <x v="4"/>
    <x v="3"/>
    <x v="37"/>
    <x v="1"/>
    <x v="62"/>
    <s v="SENIOR"/>
    <x v="0"/>
    <d v="2024-03-09T00:00:00"/>
    <x v="0"/>
    <x v="952"/>
    <n v="10"/>
  </r>
  <r>
    <x v="974"/>
    <x v="1"/>
    <x v="7"/>
    <x v="4"/>
    <x v="5"/>
    <x v="0"/>
    <x v="44"/>
    <s v="SENIOR"/>
    <x v="0"/>
    <d v="2023-07-04T00:00:00"/>
    <x v="1"/>
    <x v="953"/>
    <n v="5"/>
  </r>
  <r>
    <x v="975"/>
    <x v="1"/>
    <x v="5"/>
    <x v="9"/>
    <x v="28"/>
    <x v="1"/>
    <x v="32"/>
    <s v="SENIOR"/>
    <x v="0"/>
    <d v="2023-02-16T00:00:00"/>
    <x v="0"/>
    <x v="954"/>
    <n v="10"/>
  </r>
  <r>
    <x v="976"/>
    <x v="0"/>
    <x v="1"/>
    <x v="5"/>
    <x v="17"/>
    <x v="1"/>
    <x v="35"/>
    <s v="ADULT"/>
    <x v="1"/>
    <d v="2023-06-08T00:00:00"/>
    <x v="4"/>
    <x v="955"/>
    <n v="0"/>
  </r>
  <r>
    <x v="977"/>
    <x v="4"/>
    <x v="5"/>
    <x v="6"/>
    <x v="9"/>
    <x v="0"/>
    <x v="15"/>
    <s v="SENIOR"/>
    <x v="1"/>
    <d v="2023-10-30T00:00:00"/>
    <x v="1"/>
    <x v="956"/>
    <n v="10"/>
  </r>
  <r>
    <x v="978"/>
    <x v="0"/>
    <x v="2"/>
    <x v="5"/>
    <x v="6"/>
    <x v="0"/>
    <x v="7"/>
    <s v="TEEN"/>
    <x v="1"/>
    <d v="2023-01-18T00:00:00"/>
    <x v="1"/>
    <x v="957"/>
    <n v="10"/>
  </r>
  <r>
    <x v="979"/>
    <x v="4"/>
    <x v="2"/>
    <x v="4"/>
    <x v="5"/>
    <x v="0"/>
    <x v="89"/>
    <s v="SENIOR"/>
    <x v="0"/>
    <d v="2023-02-22T00:00:00"/>
    <x v="2"/>
    <x v="958"/>
    <n v="15"/>
  </r>
  <r>
    <x v="980"/>
    <x v="2"/>
    <x v="2"/>
    <x v="4"/>
    <x v="8"/>
    <x v="0"/>
    <x v="69"/>
    <s v="SENIOR"/>
    <x v="0"/>
    <d v="2023-06-28T00:00:00"/>
    <x v="0"/>
    <x v="959"/>
    <n v="0"/>
  </r>
  <r>
    <x v="981"/>
    <x v="1"/>
    <x v="6"/>
    <x v="9"/>
    <x v="29"/>
    <x v="0"/>
    <x v="32"/>
    <s v="SENIOR"/>
    <x v="1"/>
    <d v="2023-08-18T00:00:00"/>
    <x v="3"/>
    <x v="960"/>
    <n v="5"/>
  </r>
  <r>
    <x v="982"/>
    <x v="0"/>
    <x v="7"/>
    <x v="9"/>
    <x v="19"/>
    <x v="2"/>
    <x v="72"/>
    <s v="CHILD"/>
    <x v="1"/>
    <d v="2024-02-01T00:00:00"/>
    <x v="1"/>
    <x v="961"/>
    <n v="3"/>
  </r>
  <r>
    <x v="983"/>
    <x v="5"/>
    <x v="4"/>
    <x v="1"/>
    <x v="1"/>
    <x v="1"/>
    <x v="83"/>
    <s v="CHILD"/>
    <x v="1"/>
    <d v="2023-01-13T00:00:00"/>
    <x v="1"/>
    <x v="962"/>
    <n v="0"/>
  </r>
  <r>
    <x v="984"/>
    <x v="3"/>
    <x v="2"/>
    <x v="9"/>
    <x v="29"/>
    <x v="0"/>
    <x v="76"/>
    <s v="SENIOR"/>
    <x v="1"/>
    <d v="2024-02-23T00:00:00"/>
    <x v="2"/>
    <x v="963"/>
    <n v="0"/>
  </r>
  <r>
    <x v="985"/>
    <x v="5"/>
    <x v="2"/>
    <x v="4"/>
    <x v="8"/>
    <x v="0"/>
    <x v="53"/>
    <s v="ADULT"/>
    <x v="1"/>
    <d v="2024-02-25T00:00:00"/>
    <x v="3"/>
    <x v="964"/>
    <n v="0"/>
  </r>
  <r>
    <x v="986"/>
    <x v="1"/>
    <x v="3"/>
    <x v="9"/>
    <x v="28"/>
    <x v="0"/>
    <x v="70"/>
    <s v="ADULT"/>
    <x v="0"/>
    <d v="2023-01-30T00:00:00"/>
    <x v="3"/>
    <x v="965"/>
    <n v="0"/>
  </r>
  <r>
    <x v="987"/>
    <x v="0"/>
    <x v="6"/>
    <x v="8"/>
    <x v="11"/>
    <x v="0"/>
    <x v="87"/>
    <s v="ADULT"/>
    <x v="1"/>
    <d v="2023-06-01T00:00:00"/>
    <x v="2"/>
    <x v="966"/>
    <n v="15"/>
  </r>
  <r>
    <x v="988"/>
    <x v="0"/>
    <x v="5"/>
    <x v="7"/>
    <x v="18"/>
    <x v="0"/>
    <x v="12"/>
    <s v="TEEN"/>
    <x v="0"/>
    <d v="2023-01-23T00:00:00"/>
    <x v="2"/>
    <x v="967"/>
    <n v="35"/>
  </r>
  <r>
    <x v="989"/>
    <x v="0"/>
    <x v="2"/>
    <x v="4"/>
    <x v="25"/>
    <x v="0"/>
    <x v="24"/>
    <s v="SENIOR"/>
    <x v="0"/>
    <d v="2024-01-11T00:00:00"/>
    <x v="4"/>
    <x v="968"/>
    <n v="5"/>
  </r>
  <r>
    <x v="990"/>
    <x v="3"/>
    <x v="2"/>
    <x v="8"/>
    <x v="11"/>
    <x v="0"/>
    <x v="8"/>
    <s v="ADULT"/>
    <x v="0"/>
    <d v="2024-03-29T00:00:00"/>
    <x v="1"/>
    <x v="43"/>
    <n v="0"/>
  </r>
  <r>
    <x v="991"/>
    <x v="4"/>
    <x v="3"/>
    <x v="6"/>
    <x v="12"/>
    <x v="0"/>
    <x v="68"/>
    <s v="ADULT"/>
    <x v="0"/>
    <d v="2023-02-12T00:00:00"/>
    <x v="3"/>
    <x v="969"/>
    <n v="0"/>
  </r>
  <r>
    <x v="992"/>
    <x v="2"/>
    <x v="3"/>
    <x v="3"/>
    <x v="3"/>
    <x v="1"/>
    <x v="4"/>
    <s v="CHILD"/>
    <x v="0"/>
    <d v="2024-04-08T00:00:00"/>
    <x v="4"/>
    <x v="970"/>
    <n v="3"/>
  </r>
  <r>
    <x v="993"/>
    <x v="0"/>
    <x v="1"/>
    <x v="2"/>
    <x v="23"/>
    <x v="0"/>
    <x v="27"/>
    <s v="SENIOR"/>
    <x v="0"/>
    <d v="2023-11-10T00:00:00"/>
    <x v="3"/>
    <x v="971"/>
    <n v="0"/>
  </r>
  <r>
    <x v="994"/>
    <x v="5"/>
    <x v="5"/>
    <x v="3"/>
    <x v="39"/>
    <x v="0"/>
    <x v="72"/>
    <s v="CHILD"/>
    <x v="1"/>
    <d v="2024-01-25T00:00:00"/>
    <x v="0"/>
    <x v="972"/>
    <n v="5"/>
  </r>
  <r>
    <x v="995"/>
    <x v="2"/>
    <x v="7"/>
    <x v="1"/>
    <x v="35"/>
    <x v="0"/>
    <x v="34"/>
    <s v="ADULT"/>
    <x v="1"/>
    <d v="2023-07-29T00:00:00"/>
    <x v="1"/>
    <x v="973"/>
    <n v="3"/>
  </r>
  <r>
    <x v="996"/>
    <x v="0"/>
    <x v="3"/>
    <x v="0"/>
    <x v="15"/>
    <x v="1"/>
    <x v="67"/>
    <s v="TEEN"/>
    <x v="1"/>
    <d v="2023-07-10T00:00:00"/>
    <x v="2"/>
    <x v="974"/>
    <n v="5"/>
  </r>
  <r>
    <x v="997"/>
    <x v="0"/>
    <x v="3"/>
    <x v="6"/>
    <x v="9"/>
    <x v="2"/>
    <x v="82"/>
    <s v="ADULT"/>
    <x v="1"/>
    <d v="2024-02-10T00:00:00"/>
    <x v="1"/>
    <x v="975"/>
    <n v="10"/>
  </r>
  <r>
    <x v="998"/>
    <x v="1"/>
    <x v="5"/>
    <x v="6"/>
    <x v="12"/>
    <x v="0"/>
    <x v="67"/>
    <s v="TEEN"/>
    <x v="1"/>
    <d v="2023-12-07T00:00:00"/>
    <x v="3"/>
    <x v="42"/>
    <n v="0"/>
  </r>
  <r>
    <x v="999"/>
    <x v="5"/>
    <x v="0"/>
    <x v="9"/>
    <x v="19"/>
    <x v="0"/>
    <x v="82"/>
    <s v="ADULT"/>
    <x v="1"/>
    <d v="2023-03-26T00:00:00"/>
    <x v="3"/>
    <x v="976"/>
    <n v="3"/>
  </r>
  <r>
    <x v="1000"/>
    <x v="2"/>
    <x v="7"/>
    <x v="6"/>
    <x v="9"/>
    <x v="0"/>
    <x v="42"/>
    <s v="CHILD"/>
    <x v="0"/>
    <d v="2023-03-28T00:00:00"/>
    <x v="0"/>
    <x v="977"/>
    <n v="5"/>
  </r>
  <r>
    <x v="1001"/>
    <x v="5"/>
    <x v="7"/>
    <x v="7"/>
    <x v="18"/>
    <x v="0"/>
    <x v="69"/>
    <s v="SENIOR"/>
    <x v="0"/>
    <d v="2023-05-26T00:00:00"/>
    <x v="3"/>
    <x v="978"/>
    <n v="0"/>
  </r>
  <r>
    <x v="1002"/>
    <x v="0"/>
    <x v="6"/>
    <x v="6"/>
    <x v="12"/>
    <x v="0"/>
    <x v="91"/>
    <s v="ADULT"/>
    <x v="0"/>
    <d v="2024-04-13T00:00:00"/>
    <x v="4"/>
    <x v="979"/>
    <n v="10"/>
  </r>
  <r>
    <x v="1003"/>
    <x v="1"/>
    <x v="7"/>
    <x v="3"/>
    <x v="3"/>
    <x v="0"/>
    <x v="72"/>
    <s v="CHILD"/>
    <x v="1"/>
    <d v="2023-08-09T00:00:00"/>
    <x v="3"/>
    <x v="980"/>
    <n v="5"/>
  </r>
  <r>
    <x v="1004"/>
    <x v="5"/>
    <x v="2"/>
    <x v="9"/>
    <x v="34"/>
    <x v="2"/>
    <x v="4"/>
    <s v="CHILD"/>
    <x v="0"/>
    <d v="2023-05-13T00:00:00"/>
    <x v="5"/>
    <x v="981"/>
    <n v="0"/>
  </r>
  <r>
    <x v="1005"/>
    <x v="5"/>
    <x v="6"/>
    <x v="4"/>
    <x v="25"/>
    <x v="1"/>
    <x v="10"/>
    <s v="TEEN"/>
    <x v="0"/>
    <d v="2023-06-26T00:00:00"/>
    <x v="1"/>
    <x v="156"/>
    <n v="0"/>
  </r>
  <r>
    <x v="1006"/>
    <x v="4"/>
    <x v="6"/>
    <x v="8"/>
    <x v="13"/>
    <x v="1"/>
    <x v="86"/>
    <s v="SENIOR"/>
    <x v="1"/>
    <d v="2023-09-10T00:00:00"/>
    <x v="1"/>
    <x v="982"/>
    <n v="3"/>
  </r>
  <r>
    <x v="1007"/>
    <x v="1"/>
    <x v="7"/>
    <x v="2"/>
    <x v="23"/>
    <x v="0"/>
    <x v="70"/>
    <s v="ADULT"/>
    <x v="1"/>
    <d v="2024-01-28T00:00:00"/>
    <x v="1"/>
    <x v="983"/>
    <n v="0"/>
  </r>
  <r>
    <x v="1008"/>
    <x v="0"/>
    <x v="0"/>
    <x v="5"/>
    <x v="24"/>
    <x v="0"/>
    <x v="45"/>
    <s v="ADULT"/>
    <x v="1"/>
    <d v="2023-01-23T00:00:00"/>
    <x v="2"/>
    <x v="984"/>
    <n v="20"/>
  </r>
  <r>
    <x v="1009"/>
    <x v="2"/>
    <x v="7"/>
    <x v="0"/>
    <x v="0"/>
    <x v="1"/>
    <x v="33"/>
    <s v="ADULT"/>
    <x v="0"/>
    <d v="2023-04-04T00:00:00"/>
    <x v="4"/>
    <x v="985"/>
    <n v="10"/>
  </r>
  <r>
    <x v="1010"/>
    <x v="3"/>
    <x v="5"/>
    <x v="2"/>
    <x v="23"/>
    <x v="2"/>
    <x v="77"/>
    <s v="SENIOR"/>
    <x v="0"/>
    <d v="2023-01-12T00:00:00"/>
    <x v="2"/>
    <x v="986"/>
    <n v="25"/>
  </r>
  <r>
    <x v="1011"/>
    <x v="4"/>
    <x v="6"/>
    <x v="2"/>
    <x v="4"/>
    <x v="0"/>
    <x v="84"/>
    <s v="ADULT"/>
    <x v="1"/>
    <d v="2023-08-11T00:00:00"/>
    <x v="4"/>
    <x v="987"/>
    <n v="3"/>
  </r>
  <r>
    <x v="1012"/>
    <x v="1"/>
    <x v="7"/>
    <x v="5"/>
    <x v="6"/>
    <x v="1"/>
    <x v="91"/>
    <s v="ADULT"/>
    <x v="1"/>
    <d v="2023-05-14T00:00:00"/>
    <x v="1"/>
    <x v="988"/>
    <n v="0"/>
  </r>
  <r>
    <x v="1013"/>
    <x v="1"/>
    <x v="4"/>
    <x v="2"/>
    <x v="14"/>
    <x v="1"/>
    <x v="41"/>
    <s v="CHILD"/>
    <x v="0"/>
    <d v="2023-04-27T00:00:00"/>
    <x v="1"/>
    <x v="989"/>
    <n v="5"/>
  </r>
  <r>
    <x v="1014"/>
    <x v="1"/>
    <x v="2"/>
    <x v="1"/>
    <x v="1"/>
    <x v="0"/>
    <x v="63"/>
    <s v="SENIOR"/>
    <x v="0"/>
    <d v="2023-03-22T00:00:00"/>
    <x v="0"/>
    <x v="990"/>
    <n v="0"/>
  </r>
  <r>
    <x v="1015"/>
    <x v="0"/>
    <x v="5"/>
    <x v="1"/>
    <x v="32"/>
    <x v="0"/>
    <x v="12"/>
    <s v="TEEN"/>
    <x v="0"/>
    <d v="2023-04-19T00:00:00"/>
    <x v="2"/>
    <x v="991"/>
    <n v="35"/>
  </r>
  <r>
    <x v="1016"/>
    <x v="0"/>
    <x v="0"/>
    <x v="1"/>
    <x v="1"/>
    <x v="1"/>
    <x v="53"/>
    <s v="ADULT"/>
    <x v="1"/>
    <d v="2024-03-10T00:00:00"/>
    <x v="1"/>
    <x v="992"/>
    <n v="0"/>
  </r>
  <r>
    <x v="1017"/>
    <x v="4"/>
    <x v="5"/>
    <x v="2"/>
    <x v="4"/>
    <x v="0"/>
    <x v="90"/>
    <s v="CHILD"/>
    <x v="1"/>
    <d v="2023-07-05T00:00:00"/>
    <x v="3"/>
    <x v="993"/>
    <n v="3"/>
  </r>
  <r>
    <x v="1018"/>
    <x v="5"/>
    <x v="0"/>
    <x v="1"/>
    <x v="1"/>
    <x v="0"/>
    <x v="30"/>
    <s v="ADULT"/>
    <x v="1"/>
    <d v="2024-04-16T00:00:00"/>
    <x v="4"/>
    <x v="994"/>
    <n v="0"/>
  </r>
  <r>
    <x v="1019"/>
    <x v="0"/>
    <x v="3"/>
    <x v="9"/>
    <x v="34"/>
    <x v="0"/>
    <x v="5"/>
    <s v="TEEN"/>
    <x v="0"/>
    <d v="2023-06-02T00:00:00"/>
    <x v="1"/>
    <x v="54"/>
    <n v="10"/>
  </r>
  <r>
    <x v="1020"/>
    <x v="5"/>
    <x v="3"/>
    <x v="1"/>
    <x v="35"/>
    <x v="1"/>
    <x v="34"/>
    <s v="ADULT"/>
    <x v="1"/>
    <d v="2023-09-15T00:00:00"/>
    <x v="1"/>
    <x v="995"/>
    <n v="0"/>
  </r>
  <r>
    <x v="1021"/>
    <x v="5"/>
    <x v="4"/>
    <x v="5"/>
    <x v="21"/>
    <x v="0"/>
    <x v="3"/>
    <s v="ADULT"/>
    <x v="1"/>
    <d v="2023-02-02T00:00:00"/>
    <x v="0"/>
    <x v="996"/>
    <n v="3"/>
  </r>
  <r>
    <x v="1022"/>
    <x v="2"/>
    <x v="2"/>
    <x v="2"/>
    <x v="4"/>
    <x v="0"/>
    <x v="42"/>
    <s v="CHILD"/>
    <x v="1"/>
    <d v="2023-04-25T00:00:00"/>
    <x v="3"/>
    <x v="997"/>
    <n v="10"/>
  </r>
  <r>
    <x v="1023"/>
    <x v="2"/>
    <x v="0"/>
    <x v="9"/>
    <x v="28"/>
    <x v="0"/>
    <x v="30"/>
    <s v="ADULT"/>
    <x v="1"/>
    <d v="2023-05-05T00:00:00"/>
    <x v="2"/>
    <x v="998"/>
    <n v="20"/>
  </r>
  <r>
    <x v="1024"/>
    <x v="1"/>
    <x v="5"/>
    <x v="1"/>
    <x v="32"/>
    <x v="0"/>
    <x v="62"/>
    <s v="SENIOR"/>
    <x v="1"/>
    <d v="2024-02-19T00:00:00"/>
    <x v="0"/>
    <x v="999"/>
    <n v="0"/>
  </r>
  <r>
    <x v="1025"/>
    <x v="2"/>
    <x v="7"/>
    <x v="1"/>
    <x v="35"/>
    <x v="1"/>
    <x v="14"/>
    <s v="SENIOR"/>
    <x v="0"/>
    <d v="2024-03-09T00:00:00"/>
    <x v="0"/>
    <x v="1000"/>
    <n v="3"/>
  </r>
  <r>
    <x v="1026"/>
    <x v="3"/>
    <x v="2"/>
    <x v="2"/>
    <x v="14"/>
    <x v="0"/>
    <x v="28"/>
    <s v="SENIOR"/>
    <x v="0"/>
    <d v="2024-01-08T00:00:00"/>
    <x v="0"/>
    <x v="1001"/>
    <n v="5"/>
  </r>
  <r>
    <x v="1027"/>
    <x v="1"/>
    <x v="1"/>
    <x v="8"/>
    <x v="13"/>
    <x v="0"/>
    <x v="78"/>
    <s v="ADULT"/>
    <x v="0"/>
    <d v="2023-11-26T00:00:00"/>
    <x v="3"/>
    <x v="1002"/>
    <n v="5"/>
  </r>
  <r>
    <x v="1028"/>
    <x v="3"/>
    <x v="4"/>
    <x v="2"/>
    <x v="4"/>
    <x v="0"/>
    <x v="65"/>
    <s v="CHILD"/>
    <x v="0"/>
    <d v="2023-07-25T00:00:00"/>
    <x v="0"/>
    <x v="525"/>
    <n v="5"/>
  </r>
  <r>
    <x v="1029"/>
    <x v="3"/>
    <x v="0"/>
    <x v="2"/>
    <x v="4"/>
    <x v="1"/>
    <x v="32"/>
    <s v="SENIOR"/>
    <x v="1"/>
    <d v="2023-02-14T00:00:00"/>
    <x v="1"/>
    <x v="1003"/>
    <n v="3"/>
  </r>
  <r>
    <x v="1030"/>
    <x v="4"/>
    <x v="6"/>
    <x v="9"/>
    <x v="28"/>
    <x v="2"/>
    <x v="35"/>
    <s v="ADULT"/>
    <x v="1"/>
    <d v="2023-06-29T00:00:00"/>
    <x v="1"/>
    <x v="1004"/>
    <n v="3"/>
  </r>
  <r>
    <x v="1031"/>
    <x v="5"/>
    <x v="1"/>
    <x v="9"/>
    <x v="29"/>
    <x v="1"/>
    <x v="70"/>
    <s v="ADULT"/>
    <x v="1"/>
    <d v="2023-05-09T00:00:00"/>
    <x v="1"/>
    <x v="1005"/>
    <n v="10"/>
  </r>
  <r>
    <x v="1032"/>
    <x v="5"/>
    <x v="2"/>
    <x v="9"/>
    <x v="19"/>
    <x v="0"/>
    <x v="63"/>
    <s v="SENIOR"/>
    <x v="0"/>
    <d v="2023-01-28T00:00:00"/>
    <x v="4"/>
    <x v="1006"/>
    <n v="0"/>
  </r>
  <r>
    <x v="1033"/>
    <x v="0"/>
    <x v="1"/>
    <x v="6"/>
    <x v="12"/>
    <x v="1"/>
    <x v="25"/>
    <s v="CHILD"/>
    <x v="0"/>
    <d v="2023-09-22T00:00:00"/>
    <x v="1"/>
    <x v="1007"/>
    <n v="0"/>
  </r>
  <r>
    <x v="1034"/>
    <x v="4"/>
    <x v="6"/>
    <x v="6"/>
    <x v="16"/>
    <x v="0"/>
    <x v="12"/>
    <s v="TEEN"/>
    <x v="0"/>
    <d v="2023-08-15T00:00:00"/>
    <x v="4"/>
    <x v="1008"/>
    <n v="3"/>
  </r>
  <r>
    <x v="1035"/>
    <x v="1"/>
    <x v="0"/>
    <x v="0"/>
    <x v="15"/>
    <x v="0"/>
    <x v="9"/>
    <s v="TEEN"/>
    <x v="0"/>
    <d v="2023-06-01T00:00:00"/>
    <x v="1"/>
    <x v="1009"/>
    <n v="0"/>
  </r>
  <r>
    <x v="1036"/>
    <x v="2"/>
    <x v="3"/>
    <x v="1"/>
    <x v="32"/>
    <x v="0"/>
    <x v="35"/>
    <s v="ADULT"/>
    <x v="1"/>
    <d v="2023-05-01T00:00:00"/>
    <x v="1"/>
    <x v="1010"/>
    <n v="3"/>
  </r>
  <r>
    <x v="1037"/>
    <x v="4"/>
    <x v="3"/>
    <x v="3"/>
    <x v="22"/>
    <x v="0"/>
    <x v="82"/>
    <s v="ADULT"/>
    <x v="1"/>
    <d v="2024-01-17T00:00:00"/>
    <x v="1"/>
    <x v="1011"/>
    <n v="5"/>
  </r>
  <r>
    <x v="1038"/>
    <x v="4"/>
    <x v="2"/>
    <x v="1"/>
    <x v="32"/>
    <x v="0"/>
    <x v="46"/>
    <s v="ADULT"/>
    <x v="1"/>
    <d v="2023-01-06T00:00:00"/>
    <x v="0"/>
    <x v="1012"/>
    <n v="5"/>
  </r>
  <r>
    <x v="1039"/>
    <x v="0"/>
    <x v="3"/>
    <x v="6"/>
    <x v="9"/>
    <x v="0"/>
    <x v="36"/>
    <s v="ADULT"/>
    <x v="0"/>
    <d v="2023-05-02T00:00:00"/>
    <x v="1"/>
    <x v="1013"/>
    <n v="0"/>
  </r>
  <r>
    <x v="1040"/>
    <x v="5"/>
    <x v="1"/>
    <x v="8"/>
    <x v="11"/>
    <x v="0"/>
    <x v="45"/>
    <s v="ADULT"/>
    <x v="0"/>
    <d v="2024-03-30T00:00:00"/>
    <x v="0"/>
    <x v="1014"/>
    <n v="0"/>
  </r>
  <r>
    <x v="1041"/>
    <x v="1"/>
    <x v="5"/>
    <x v="6"/>
    <x v="9"/>
    <x v="0"/>
    <x v="91"/>
    <s v="ADULT"/>
    <x v="0"/>
    <d v="2023-12-08T00:00:00"/>
    <x v="2"/>
    <x v="1015"/>
    <n v="18"/>
  </r>
  <r>
    <x v="1042"/>
    <x v="2"/>
    <x v="2"/>
    <x v="9"/>
    <x v="28"/>
    <x v="1"/>
    <x v="79"/>
    <s v="SENIOR"/>
    <x v="0"/>
    <d v="2023-05-30T00:00:00"/>
    <x v="5"/>
    <x v="1016"/>
    <n v="0"/>
  </r>
  <r>
    <x v="1043"/>
    <x v="2"/>
    <x v="1"/>
    <x v="5"/>
    <x v="21"/>
    <x v="0"/>
    <x v="47"/>
    <s v="ADULT"/>
    <x v="1"/>
    <d v="2023-09-09T00:00:00"/>
    <x v="3"/>
    <x v="1017"/>
    <n v="10"/>
  </r>
  <r>
    <x v="1044"/>
    <x v="2"/>
    <x v="7"/>
    <x v="0"/>
    <x v="20"/>
    <x v="0"/>
    <x v="47"/>
    <s v="ADULT"/>
    <x v="0"/>
    <d v="2023-03-05T00:00:00"/>
    <x v="0"/>
    <x v="1018"/>
    <n v="0"/>
  </r>
  <r>
    <x v="1045"/>
    <x v="5"/>
    <x v="1"/>
    <x v="1"/>
    <x v="1"/>
    <x v="1"/>
    <x v="22"/>
    <s v="ADULT"/>
    <x v="1"/>
    <d v="2023-10-05T00:00:00"/>
    <x v="4"/>
    <x v="1019"/>
    <n v="5"/>
  </r>
  <r>
    <x v="1046"/>
    <x v="1"/>
    <x v="7"/>
    <x v="9"/>
    <x v="28"/>
    <x v="0"/>
    <x v="84"/>
    <s v="ADULT"/>
    <x v="1"/>
    <d v="2024-01-07T00:00:00"/>
    <x v="4"/>
    <x v="610"/>
    <n v="10"/>
  </r>
  <r>
    <x v="1047"/>
    <x v="5"/>
    <x v="3"/>
    <x v="7"/>
    <x v="10"/>
    <x v="0"/>
    <x v="48"/>
    <s v="SENIOR"/>
    <x v="1"/>
    <d v="2023-03-16T00:00:00"/>
    <x v="3"/>
    <x v="1020"/>
    <n v="0"/>
  </r>
  <r>
    <x v="1048"/>
    <x v="2"/>
    <x v="5"/>
    <x v="8"/>
    <x v="36"/>
    <x v="1"/>
    <x v="26"/>
    <s v="SENIOR"/>
    <x v="0"/>
    <d v="2024-01-06T00:00:00"/>
    <x v="4"/>
    <x v="1021"/>
    <n v="0"/>
  </r>
  <r>
    <x v="1049"/>
    <x v="4"/>
    <x v="6"/>
    <x v="0"/>
    <x v="27"/>
    <x v="1"/>
    <x v="43"/>
    <s v="SENIOR"/>
    <x v="0"/>
    <d v="2023-08-27T00:00:00"/>
    <x v="1"/>
    <x v="1022"/>
    <n v="0"/>
  </r>
  <r>
    <x v="1050"/>
    <x v="5"/>
    <x v="7"/>
    <x v="7"/>
    <x v="10"/>
    <x v="0"/>
    <x v="22"/>
    <s v="ADULT"/>
    <x v="1"/>
    <d v="2023-10-07T00:00:00"/>
    <x v="4"/>
    <x v="141"/>
    <n v="0"/>
  </r>
  <r>
    <x v="1051"/>
    <x v="1"/>
    <x v="4"/>
    <x v="5"/>
    <x v="6"/>
    <x v="2"/>
    <x v="89"/>
    <s v="SENIOR"/>
    <x v="0"/>
    <d v="2024-01-31T00:00:00"/>
    <x v="3"/>
    <x v="1023"/>
    <n v="0"/>
  </r>
  <r>
    <x v="1052"/>
    <x v="1"/>
    <x v="0"/>
    <x v="9"/>
    <x v="19"/>
    <x v="1"/>
    <x v="32"/>
    <s v="SENIOR"/>
    <x v="0"/>
    <d v="2023-06-27T00:00:00"/>
    <x v="0"/>
    <x v="1024"/>
    <n v="0"/>
  </r>
  <r>
    <x v="1053"/>
    <x v="2"/>
    <x v="4"/>
    <x v="8"/>
    <x v="33"/>
    <x v="0"/>
    <x v="51"/>
    <s v="ADULT"/>
    <x v="1"/>
    <d v="2023-08-11T00:00:00"/>
    <x v="1"/>
    <x v="1025"/>
    <n v="10"/>
  </r>
  <r>
    <x v="1054"/>
    <x v="0"/>
    <x v="6"/>
    <x v="7"/>
    <x v="18"/>
    <x v="1"/>
    <x v="47"/>
    <s v="ADULT"/>
    <x v="0"/>
    <d v="2023-11-17T00:00:00"/>
    <x v="0"/>
    <x v="1026"/>
    <n v="0"/>
  </r>
  <r>
    <x v="1055"/>
    <x v="0"/>
    <x v="5"/>
    <x v="2"/>
    <x v="14"/>
    <x v="0"/>
    <x v="23"/>
    <s v="ADULT"/>
    <x v="1"/>
    <d v="2023-07-08T00:00:00"/>
    <x v="0"/>
    <x v="1027"/>
    <n v="10"/>
  </r>
  <r>
    <x v="1056"/>
    <x v="5"/>
    <x v="2"/>
    <x v="4"/>
    <x v="25"/>
    <x v="0"/>
    <x v="41"/>
    <s v="CHILD"/>
    <x v="0"/>
    <d v="2023-06-14T00:00:00"/>
    <x v="2"/>
    <x v="1028"/>
    <n v="18"/>
  </r>
  <r>
    <x v="1057"/>
    <x v="3"/>
    <x v="2"/>
    <x v="8"/>
    <x v="13"/>
    <x v="0"/>
    <x v="91"/>
    <s v="ADULT"/>
    <x v="0"/>
    <d v="2024-03-14T00:00:00"/>
    <x v="0"/>
    <x v="1029"/>
    <n v="3"/>
  </r>
  <r>
    <x v="1058"/>
    <x v="2"/>
    <x v="6"/>
    <x v="2"/>
    <x v="14"/>
    <x v="1"/>
    <x v="48"/>
    <s v="SENIOR"/>
    <x v="0"/>
    <d v="2023-06-13T00:00:00"/>
    <x v="4"/>
    <x v="1030"/>
    <n v="5"/>
  </r>
  <r>
    <x v="1059"/>
    <x v="0"/>
    <x v="0"/>
    <x v="4"/>
    <x v="7"/>
    <x v="0"/>
    <x v="84"/>
    <s v="ADULT"/>
    <x v="1"/>
    <d v="2024-02-16T00:00:00"/>
    <x v="1"/>
    <x v="1031"/>
    <n v="0"/>
  </r>
  <r>
    <x v="1060"/>
    <x v="4"/>
    <x v="0"/>
    <x v="0"/>
    <x v="27"/>
    <x v="0"/>
    <x v="74"/>
    <s v="ADULT"/>
    <x v="0"/>
    <d v="2023-04-09T00:00:00"/>
    <x v="0"/>
    <x v="1032"/>
    <n v="0"/>
  </r>
  <r>
    <x v="1061"/>
    <x v="5"/>
    <x v="0"/>
    <x v="5"/>
    <x v="24"/>
    <x v="1"/>
    <x v="9"/>
    <s v="TEEN"/>
    <x v="0"/>
    <d v="2023-11-08T00:00:00"/>
    <x v="0"/>
    <x v="1033"/>
    <n v="0"/>
  </r>
  <r>
    <x v="1062"/>
    <x v="4"/>
    <x v="0"/>
    <x v="8"/>
    <x v="36"/>
    <x v="0"/>
    <x v="66"/>
    <s v="SENIOR"/>
    <x v="1"/>
    <d v="2023-05-02T00:00:00"/>
    <x v="4"/>
    <x v="1034"/>
    <n v="10"/>
  </r>
  <r>
    <x v="1063"/>
    <x v="1"/>
    <x v="2"/>
    <x v="4"/>
    <x v="7"/>
    <x v="0"/>
    <x v="3"/>
    <s v="ADULT"/>
    <x v="0"/>
    <d v="2023-01-29T00:00:00"/>
    <x v="4"/>
    <x v="1035"/>
    <n v="0"/>
  </r>
  <r>
    <x v="1064"/>
    <x v="5"/>
    <x v="6"/>
    <x v="2"/>
    <x v="14"/>
    <x v="0"/>
    <x v="46"/>
    <s v="ADULT"/>
    <x v="0"/>
    <d v="2023-04-03T00:00:00"/>
    <x v="2"/>
    <x v="1036"/>
    <n v="0"/>
  </r>
  <r>
    <x v="1065"/>
    <x v="0"/>
    <x v="5"/>
    <x v="5"/>
    <x v="17"/>
    <x v="0"/>
    <x v="42"/>
    <s v="CHILD"/>
    <x v="0"/>
    <d v="2023-01-21T00:00:00"/>
    <x v="0"/>
    <x v="1037"/>
    <n v="3"/>
  </r>
  <r>
    <x v="1066"/>
    <x v="5"/>
    <x v="4"/>
    <x v="2"/>
    <x v="4"/>
    <x v="0"/>
    <x v="61"/>
    <s v="ADULT"/>
    <x v="0"/>
    <d v="2023-08-06T00:00:00"/>
    <x v="3"/>
    <x v="1038"/>
    <n v="3"/>
  </r>
  <r>
    <x v="1067"/>
    <x v="1"/>
    <x v="2"/>
    <x v="8"/>
    <x v="36"/>
    <x v="0"/>
    <x v="0"/>
    <s v="SENIOR"/>
    <x v="0"/>
    <d v="2023-12-23T00:00:00"/>
    <x v="4"/>
    <x v="1039"/>
    <n v="0"/>
  </r>
  <r>
    <x v="1068"/>
    <x v="5"/>
    <x v="5"/>
    <x v="8"/>
    <x v="11"/>
    <x v="0"/>
    <x v="1"/>
    <s v="CHILD"/>
    <x v="1"/>
    <d v="2023-11-21T00:00:00"/>
    <x v="4"/>
    <x v="1040"/>
    <n v="0"/>
  </r>
  <r>
    <x v="1069"/>
    <x v="1"/>
    <x v="1"/>
    <x v="0"/>
    <x v="15"/>
    <x v="1"/>
    <x v="29"/>
    <s v="SENIOR"/>
    <x v="0"/>
    <d v="2023-09-26T00:00:00"/>
    <x v="2"/>
    <x v="1041"/>
    <n v="5"/>
  </r>
  <r>
    <x v="1070"/>
    <x v="0"/>
    <x v="5"/>
    <x v="8"/>
    <x v="11"/>
    <x v="0"/>
    <x v="72"/>
    <s v="CHILD"/>
    <x v="1"/>
    <d v="2024-04-22T00:00:00"/>
    <x v="4"/>
    <x v="387"/>
    <n v="0"/>
  </r>
  <r>
    <x v="1071"/>
    <x v="3"/>
    <x v="5"/>
    <x v="5"/>
    <x v="17"/>
    <x v="0"/>
    <x v="77"/>
    <s v="SENIOR"/>
    <x v="0"/>
    <d v="2023-08-11T00:00:00"/>
    <x v="4"/>
    <x v="1042"/>
    <n v="0"/>
  </r>
  <r>
    <x v="1072"/>
    <x v="4"/>
    <x v="2"/>
    <x v="2"/>
    <x v="4"/>
    <x v="0"/>
    <x v="69"/>
    <s v="SENIOR"/>
    <x v="0"/>
    <d v="2023-05-21T00:00:00"/>
    <x v="1"/>
    <x v="1043"/>
    <n v="0"/>
  </r>
  <r>
    <x v="1073"/>
    <x v="5"/>
    <x v="5"/>
    <x v="3"/>
    <x v="22"/>
    <x v="0"/>
    <x v="3"/>
    <s v="ADULT"/>
    <x v="0"/>
    <d v="2023-03-15T00:00:00"/>
    <x v="1"/>
    <x v="1044"/>
    <n v="0"/>
  </r>
  <r>
    <x v="1074"/>
    <x v="5"/>
    <x v="2"/>
    <x v="0"/>
    <x v="20"/>
    <x v="0"/>
    <x v="40"/>
    <s v="SENIOR"/>
    <x v="1"/>
    <d v="2023-01-25T00:00:00"/>
    <x v="3"/>
    <x v="1045"/>
    <n v="0"/>
  </r>
  <r>
    <x v="1075"/>
    <x v="4"/>
    <x v="2"/>
    <x v="0"/>
    <x v="20"/>
    <x v="0"/>
    <x v="89"/>
    <s v="SENIOR"/>
    <x v="0"/>
    <d v="2024-04-14T00:00:00"/>
    <x v="0"/>
    <x v="1046"/>
    <n v="0"/>
  </r>
  <r>
    <x v="1076"/>
    <x v="5"/>
    <x v="2"/>
    <x v="0"/>
    <x v="27"/>
    <x v="0"/>
    <x v="80"/>
    <s v="SENIOR"/>
    <x v="1"/>
    <d v="2023-09-14T00:00:00"/>
    <x v="3"/>
    <x v="1047"/>
    <n v="0"/>
  </r>
  <r>
    <x v="1077"/>
    <x v="4"/>
    <x v="2"/>
    <x v="4"/>
    <x v="5"/>
    <x v="1"/>
    <x v="61"/>
    <s v="ADULT"/>
    <x v="1"/>
    <d v="2024-04-18T00:00:00"/>
    <x v="3"/>
    <x v="1048"/>
    <n v="0"/>
  </r>
  <r>
    <x v="1078"/>
    <x v="4"/>
    <x v="0"/>
    <x v="1"/>
    <x v="32"/>
    <x v="0"/>
    <x v="26"/>
    <s v="SENIOR"/>
    <x v="0"/>
    <d v="2023-06-18T00:00:00"/>
    <x v="0"/>
    <x v="1049"/>
    <n v="5"/>
  </r>
  <r>
    <x v="1079"/>
    <x v="5"/>
    <x v="0"/>
    <x v="0"/>
    <x v="0"/>
    <x v="0"/>
    <x v="6"/>
    <s v="ADULT"/>
    <x v="1"/>
    <d v="2024-03-05T00:00:00"/>
    <x v="0"/>
    <x v="1050"/>
    <n v="5"/>
  </r>
  <r>
    <x v="1080"/>
    <x v="5"/>
    <x v="1"/>
    <x v="3"/>
    <x v="22"/>
    <x v="0"/>
    <x v="58"/>
    <s v="SENIOR"/>
    <x v="0"/>
    <d v="2024-03-03T00:00:00"/>
    <x v="1"/>
    <x v="1051"/>
    <n v="3"/>
  </r>
  <r>
    <x v="1081"/>
    <x v="5"/>
    <x v="6"/>
    <x v="7"/>
    <x v="10"/>
    <x v="0"/>
    <x v="67"/>
    <s v="TEEN"/>
    <x v="0"/>
    <d v="2023-05-06T00:00:00"/>
    <x v="1"/>
    <x v="1052"/>
    <n v="10"/>
  </r>
  <r>
    <x v="1082"/>
    <x v="3"/>
    <x v="4"/>
    <x v="4"/>
    <x v="5"/>
    <x v="0"/>
    <x v="15"/>
    <s v="SENIOR"/>
    <x v="1"/>
    <d v="2023-10-26T00:00:00"/>
    <x v="0"/>
    <x v="1053"/>
    <n v="0"/>
  </r>
  <r>
    <x v="1083"/>
    <x v="0"/>
    <x v="4"/>
    <x v="9"/>
    <x v="29"/>
    <x v="1"/>
    <x v="40"/>
    <s v="SENIOR"/>
    <x v="0"/>
    <d v="2023-09-05T00:00:00"/>
    <x v="2"/>
    <x v="1054"/>
    <n v="15"/>
  </r>
  <r>
    <x v="1084"/>
    <x v="1"/>
    <x v="2"/>
    <x v="1"/>
    <x v="31"/>
    <x v="0"/>
    <x v="62"/>
    <s v="SENIOR"/>
    <x v="1"/>
    <d v="2023-06-02T00:00:00"/>
    <x v="0"/>
    <x v="1055"/>
    <n v="3"/>
  </r>
  <r>
    <x v="1085"/>
    <x v="3"/>
    <x v="3"/>
    <x v="9"/>
    <x v="19"/>
    <x v="2"/>
    <x v="48"/>
    <s v="SENIOR"/>
    <x v="0"/>
    <d v="2023-10-02T00:00:00"/>
    <x v="0"/>
    <x v="1056"/>
    <n v="0"/>
  </r>
  <r>
    <x v="1086"/>
    <x v="0"/>
    <x v="7"/>
    <x v="5"/>
    <x v="6"/>
    <x v="2"/>
    <x v="76"/>
    <s v="SENIOR"/>
    <x v="0"/>
    <d v="2024-02-29T00:00:00"/>
    <x v="4"/>
    <x v="1057"/>
    <n v="3"/>
  </r>
  <r>
    <x v="1087"/>
    <x v="3"/>
    <x v="0"/>
    <x v="9"/>
    <x v="19"/>
    <x v="0"/>
    <x v="19"/>
    <s v="ADULT"/>
    <x v="0"/>
    <d v="2023-04-23T00:00:00"/>
    <x v="1"/>
    <x v="1058"/>
    <n v="5"/>
  </r>
  <r>
    <x v="1088"/>
    <x v="4"/>
    <x v="1"/>
    <x v="8"/>
    <x v="33"/>
    <x v="0"/>
    <x v="25"/>
    <s v="CHILD"/>
    <x v="0"/>
    <d v="2023-09-04T00:00:00"/>
    <x v="4"/>
    <x v="1059"/>
    <n v="0"/>
  </r>
  <r>
    <x v="1089"/>
    <x v="0"/>
    <x v="2"/>
    <x v="9"/>
    <x v="19"/>
    <x v="0"/>
    <x v="78"/>
    <s v="ADULT"/>
    <x v="0"/>
    <d v="2023-05-11T00:00:00"/>
    <x v="1"/>
    <x v="1060"/>
    <n v="3"/>
  </r>
  <r>
    <x v="1090"/>
    <x v="1"/>
    <x v="2"/>
    <x v="4"/>
    <x v="5"/>
    <x v="0"/>
    <x v="75"/>
    <s v="ADULT"/>
    <x v="0"/>
    <d v="2024-04-25T00:00:00"/>
    <x v="3"/>
    <x v="1061"/>
    <n v="5"/>
  </r>
  <r>
    <x v="1091"/>
    <x v="4"/>
    <x v="4"/>
    <x v="4"/>
    <x v="7"/>
    <x v="0"/>
    <x v="74"/>
    <s v="ADULT"/>
    <x v="0"/>
    <d v="2023-12-17T00:00:00"/>
    <x v="1"/>
    <x v="1062"/>
    <n v="0"/>
  </r>
  <r>
    <x v="1092"/>
    <x v="1"/>
    <x v="1"/>
    <x v="4"/>
    <x v="7"/>
    <x v="0"/>
    <x v="8"/>
    <s v="ADULT"/>
    <x v="0"/>
    <d v="2024-02-09T00:00:00"/>
    <x v="1"/>
    <x v="1063"/>
    <n v="5"/>
  </r>
  <r>
    <x v="1093"/>
    <x v="1"/>
    <x v="1"/>
    <x v="0"/>
    <x v="15"/>
    <x v="0"/>
    <x v="23"/>
    <s v="ADULT"/>
    <x v="0"/>
    <d v="2023-08-09T00:00:00"/>
    <x v="0"/>
    <x v="1064"/>
    <n v="0"/>
  </r>
  <r>
    <x v="1094"/>
    <x v="5"/>
    <x v="4"/>
    <x v="3"/>
    <x v="3"/>
    <x v="1"/>
    <x v="0"/>
    <s v="SENIOR"/>
    <x v="0"/>
    <d v="2023-11-18T00:00:00"/>
    <x v="4"/>
    <x v="1065"/>
    <n v="0"/>
  </r>
  <r>
    <x v="1095"/>
    <x v="4"/>
    <x v="4"/>
    <x v="4"/>
    <x v="25"/>
    <x v="0"/>
    <x v="90"/>
    <s v="CHILD"/>
    <x v="0"/>
    <d v="2023-12-27T00:00:00"/>
    <x v="1"/>
    <x v="1066"/>
    <n v="3"/>
  </r>
  <r>
    <x v="1096"/>
    <x v="3"/>
    <x v="0"/>
    <x v="0"/>
    <x v="0"/>
    <x v="0"/>
    <x v="48"/>
    <s v="SENIOR"/>
    <x v="0"/>
    <d v="2024-02-13T00:00:00"/>
    <x v="3"/>
    <x v="1067"/>
    <n v="10"/>
  </r>
  <r>
    <x v="1097"/>
    <x v="5"/>
    <x v="6"/>
    <x v="0"/>
    <x v="0"/>
    <x v="1"/>
    <x v="36"/>
    <s v="ADULT"/>
    <x v="1"/>
    <d v="2023-02-08T00:00:00"/>
    <x v="0"/>
    <x v="1068"/>
    <n v="0"/>
  </r>
  <r>
    <x v="1098"/>
    <x v="1"/>
    <x v="0"/>
    <x v="6"/>
    <x v="9"/>
    <x v="0"/>
    <x v="10"/>
    <s v="TEEN"/>
    <x v="0"/>
    <d v="2023-11-22T00:00:00"/>
    <x v="4"/>
    <x v="1069"/>
    <n v="10"/>
  </r>
  <r>
    <x v="1099"/>
    <x v="1"/>
    <x v="7"/>
    <x v="5"/>
    <x v="17"/>
    <x v="0"/>
    <x v="86"/>
    <s v="SENIOR"/>
    <x v="0"/>
    <d v="2023-02-13T00:00:00"/>
    <x v="5"/>
    <x v="1070"/>
    <n v="15"/>
  </r>
  <r>
    <x v="1100"/>
    <x v="4"/>
    <x v="6"/>
    <x v="6"/>
    <x v="12"/>
    <x v="1"/>
    <x v="70"/>
    <s v="ADULT"/>
    <x v="0"/>
    <d v="2023-11-22T00:00:00"/>
    <x v="2"/>
    <x v="1071"/>
    <n v="10"/>
  </r>
  <r>
    <x v="1101"/>
    <x v="5"/>
    <x v="6"/>
    <x v="8"/>
    <x v="36"/>
    <x v="0"/>
    <x v="39"/>
    <s v="SENIOR"/>
    <x v="1"/>
    <d v="2023-09-29T00:00:00"/>
    <x v="2"/>
    <x v="1072"/>
    <n v="40"/>
  </r>
  <r>
    <x v="1102"/>
    <x v="4"/>
    <x v="2"/>
    <x v="4"/>
    <x v="7"/>
    <x v="0"/>
    <x v="65"/>
    <s v="CHILD"/>
    <x v="0"/>
    <d v="2023-01-30T00:00:00"/>
    <x v="2"/>
    <x v="1073"/>
    <n v="12"/>
  </r>
  <r>
    <x v="1103"/>
    <x v="3"/>
    <x v="6"/>
    <x v="3"/>
    <x v="37"/>
    <x v="0"/>
    <x v="5"/>
    <s v="TEEN"/>
    <x v="1"/>
    <d v="2023-02-05T00:00:00"/>
    <x v="4"/>
    <x v="1074"/>
    <n v="10"/>
  </r>
  <r>
    <x v="1104"/>
    <x v="3"/>
    <x v="3"/>
    <x v="0"/>
    <x v="0"/>
    <x v="1"/>
    <x v="10"/>
    <s v="TEEN"/>
    <x v="1"/>
    <d v="2023-06-08T00:00:00"/>
    <x v="1"/>
    <x v="1075"/>
    <n v="5"/>
  </r>
  <r>
    <x v="1105"/>
    <x v="1"/>
    <x v="6"/>
    <x v="9"/>
    <x v="29"/>
    <x v="1"/>
    <x v="54"/>
    <s v="ADULT"/>
    <x v="0"/>
    <d v="2023-06-19T00:00:00"/>
    <x v="5"/>
    <x v="1076"/>
    <n v="4"/>
  </r>
  <r>
    <x v="1106"/>
    <x v="3"/>
    <x v="1"/>
    <x v="9"/>
    <x v="29"/>
    <x v="0"/>
    <x v="78"/>
    <s v="ADULT"/>
    <x v="1"/>
    <d v="2023-11-29T00:00:00"/>
    <x v="4"/>
    <x v="1077"/>
    <n v="0"/>
  </r>
  <r>
    <x v="1107"/>
    <x v="0"/>
    <x v="5"/>
    <x v="0"/>
    <x v="20"/>
    <x v="1"/>
    <x v="47"/>
    <s v="ADULT"/>
    <x v="1"/>
    <d v="2023-10-21T00:00:00"/>
    <x v="1"/>
    <x v="1078"/>
    <n v="0"/>
  </r>
  <r>
    <x v="1108"/>
    <x v="4"/>
    <x v="5"/>
    <x v="2"/>
    <x v="4"/>
    <x v="0"/>
    <x v="70"/>
    <s v="ADULT"/>
    <x v="0"/>
    <d v="2023-01-21T00:00:00"/>
    <x v="0"/>
    <x v="253"/>
    <n v="0"/>
  </r>
  <r>
    <x v="1109"/>
    <x v="1"/>
    <x v="6"/>
    <x v="5"/>
    <x v="17"/>
    <x v="0"/>
    <x v="62"/>
    <s v="SENIOR"/>
    <x v="1"/>
    <d v="2023-01-16T00:00:00"/>
    <x v="1"/>
    <x v="1079"/>
    <n v="0"/>
  </r>
  <r>
    <x v="1110"/>
    <x v="5"/>
    <x v="3"/>
    <x v="6"/>
    <x v="16"/>
    <x v="1"/>
    <x v="71"/>
    <s v="ADULT"/>
    <x v="0"/>
    <d v="2023-04-14T00:00:00"/>
    <x v="2"/>
    <x v="1080"/>
    <n v="0"/>
  </r>
  <r>
    <x v="1111"/>
    <x v="3"/>
    <x v="4"/>
    <x v="7"/>
    <x v="38"/>
    <x v="0"/>
    <x v="51"/>
    <s v="ADULT"/>
    <x v="1"/>
    <d v="2023-09-09T00:00:00"/>
    <x v="1"/>
    <x v="1081"/>
    <n v="5"/>
  </r>
  <r>
    <x v="1112"/>
    <x v="1"/>
    <x v="6"/>
    <x v="0"/>
    <x v="15"/>
    <x v="0"/>
    <x v="9"/>
    <s v="TEEN"/>
    <x v="1"/>
    <d v="2024-04-16T00:00:00"/>
    <x v="3"/>
    <x v="1082"/>
    <n v="0"/>
  </r>
  <r>
    <x v="1113"/>
    <x v="5"/>
    <x v="5"/>
    <x v="5"/>
    <x v="21"/>
    <x v="0"/>
    <x v="44"/>
    <s v="SENIOR"/>
    <x v="1"/>
    <d v="2023-06-08T00:00:00"/>
    <x v="0"/>
    <x v="1083"/>
    <n v="3"/>
  </r>
  <r>
    <x v="1114"/>
    <x v="4"/>
    <x v="0"/>
    <x v="3"/>
    <x v="22"/>
    <x v="0"/>
    <x v="24"/>
    <s v="SENIOR"/>
    <x v="0"/>
    <d v="2023-03-24T00:00:00"/>
    <x v="1"/>
    <x v="1084"/>
    <n v="0"/>
  </r>
  <r>
    <x v="1115"/>
    <x v="0"/>
    <x v="4"/>
    <x v="0"/>
    <x v="15"/>
    <x v="0"/>
    <x v="37"/>
    <s v="ADULT"/>
    <x v="1"/>
    <d v="2023-06-11T00:00:00"/>
    <x v="1"/>
    <x v="1085"/>
    <n v="0"/>
  </r>
  <r>
    <x v="1116"/>
    <x v="1"/>
    <x v="6"/>
    <x v="1"/>
    <x v="1"/>
    <x v="0"/>
    <x v="21"/>
    <s v="ADULT"/>
    <x v="1"/>
    <d v="2023-06-16T00:00:00"/>
    <x v="1"/>
    <x v="1086"/>
    <n v="3"/>
  </r>
  <r>
    <x v="1117"/>
    <x v="0"/>
    <x v="4"/>
    <x v="0"/>
    <x v="27"/>
    <x v="0"/>
    <x v="18"/>
    <s v="ADULT"/>
    <x v="0"/>
    <d v="2024-03-28T00:00:00"/>
    <x v="1"/>
    <x v="1087"/>
    <n v="0"/>
  </r>
  <r>
    <x v="1118"/>
    <x v="2"/>
    <x v="1"/>
    <x v="5"/>
    <x v="17"/>
    <x v="0"/>
    <x v="46"/>
    <s v="ADULT"/>
    <x v="0"/>
    <d v="2023-10-23T00:00:00"/>
    <x v="4"/>
    <x v="1088"/>
    <n v="3"/>
  </r>
  <r>
    <x v="1119"/>
    <x v="5"/>
    <x v="3"/>
    <x v="5"/>
    <x v="17"/>
    <x v="0"/>
    <x v="79"/>
    <s v="SENIOR"/>
    <x v="1"/>
    <d v="2023-05-12T00:00:00"/>
    <x v="2"/>
    <x v="1089"/>
    <n v="18"/>
  </r>
  <r>
    <x v="1120"/>
    <x v="0"/>
    <x v="7"/>
    <x v="7"/>
    <x v="18"/>
    <x v="1"/>
    <x v="4"/>
    <s v="CHILD"/>
    <x v="0"/>
    <d v="2024-01-25T00:00:00"/>
    <x v="2"/>
    <x v="1090"/>
    <n v="19"/>
  </r>
  <r>
    <x v="1121"/>
    <x v="3"/>
    <x v="0"/>
    <x v="8"/>
    <x v="36"/>
    <x v="0"/>
    <x v="69"/>
    <s v="SENIOR"/>
    <x v="0"/>
    <d v="2024-04-16T00:00:00"/>
    <x v="0"/>
    <x v="413"/>
    <n v="3"/>
  </r>
  <r>
    <x v="1122"/>
    <x v="3"/>
    <x v="3"/>
    <x v="5"/>
    <x v="6"/>
    <x v="1"/>
    <x v="68"/>
    <s v="ADULT"/>
    <x v="0"/>
    <d v="2023-10-23T00:00:00"/>
    <x v="1"/>
    <x v="1091"/>
    <n v="3"/>
  </r>
  <r>
    <x v="1123"/>
    <x v="3"/>
    <x v="0"/>
    <x v="7"/>
    <x v="10"/>
    <x v="2"/>
    <x v="53"/>
    <s v="ADULT"/>
    <x v="0"/>
    <d v="2023-06-19T00:00:00"/>
    <x v="4"/>
    <x v="1092"/>
    <n v="0"/>
  </r>
  <r>
    <x v="1124"/>
    <x v="3"/>
    <x v="5"/>
    <x v="3"/>
    <x v="37"/>
    <x v="1"/>
    <x v="66"/>
    <s v="SENIOR"/>
    <x v="0"/>
    <d v="2023-03-17T00:00:00"/>
    <x v="2"/>
    <x v="1093"/>
    <n v="18"/>
  </r>
  <r>
    <x v="1125"/>
    <x v="2"/>
    <x v="0"/>
    <x v="6"/>
    <x v="16"/>
    <x v="0"/>
    <x v="7"/>
    <s v="TEEN"/>
    <x v="1"/>
    <d v="2023-12-02T00:00:00"/>
    <x v="3"/>
    <x v="1094"/>
    <n v="5"/>
  </r>
  <r>
    <x v="1126"/>
    <x v="0"/>
    <x v="3"/>
    <x v="8"/>
    <x v="13"/>
    <x v="0"/>
    <x v="42"/>
    <s v="CHILD"/>
    <x v="1"/>
    <d v="2024-01-19T00:00:00"/>
    <x v="5"/>
    <x v="1095"/>
    <n v="0"/>
  </r>
  <r>
    <x v="1127"/>
    <x v="3"/>
    <x v="1"/>
    <x v="9"/>
    <x v="19"/>
    <x v="1"/>
    <x v="75"/>
    <s v="ADULT"/>
    <x v="0"/>
    <d v="2023-12-27T00:00:00"/>
    <x v="0"/>
    <x v="1096"/>
    <n v="0"/>
  </r>
  <r>
    <x v="1128"/>
    <x v="1"/>
    <x v="2"/>
    <x v="3"/>
    <x v="37"/>
    <x v="1"/>
    <x v="5"/>
    <s v="TEEN"/>
    <x v="1"/>
    <d v="2023-05-31T00:00:00"/>
    <x v="3"/>
    <x v="1097"/>
    <n v="0"/>
  </r>
  <r>
    <x v="1129"/>
    <x v="5"/>
    <x v="2"/>
    <x v="8"/>
    <x v="11"/>
    <x v="0"/>
    <x v="30"/>
    <s v="ADULT"/>
    <x v="0"/>
    <d v="2023-02-03T00:00:00"/>
    <x v="4"/>
    <x v="1098"/>
    <n v="5"/>
  </r>
  <r>
    <x v="1130"/>
    <x v="3"/>
    <x v="3"/>
    <x v="7"/>
    <x v="18"/>
    <x v="0"/>
    <x v="69"/>
    <s v="SENIOR"/>
    <x v="1"/>
    <d v="2024-04-03T00:00:00"/>
    <x v="0"/>
    <x v="1099"/>
    <n v="0"/>
  </r>
  <r>
    <x v="1131"/>
    <x v="1"/>
    <x v="0"/>
    <x v="5"/>
    <x v="17"/>
    <x v="1"/>
    <x v="30"/>
    <s v="ADULT"/>
    <x v="0"/>
    <d v="2023-06-25T00:00:00"/>
    <x v="3"/>
    <x v="1100"/>
    <n v="0"/>
  </r>
  <r>
    <x v="1132"/>
    <x v="1"/>
    <x v="0"/>
    <x v="2"/>
    <x v="4"/>
    <x v="1"/>
    <x v="86"/>
    <s v="SENIOR"/>
    <x v="1"/>
    <d v="2023-07-22T00:00:00"/>
    <x v="3"/>
    <x v="1101"/>
    <n v="10"/>
  </r>
  <r>
    <x v="1133"/>
    <x v="4"/>
    <x v="4"/>
    <x v="9"/>
    <x v="28"/>
    <x v="0"/>
    <x v="48"/>
    <s v="SENIOR"/>
    <x v="0"/>
    <d v="2023-04-20T00:00:00"/>
    <x v="0"/>
    <x v="1102"/>
    <n v="10"/>
  </r>
  <r>
    <x v="1134"/>
    <x v="2"/>
    <x v="4"/>
    <x v="7"/>
    <x v="10"/>
    <x v="0"/>
    <x v="48"/>
    <s v="SENIOR"/>
    <x v="1"/>
    <d v="2023-07-02T00:00:00"/>
    <x v="3"/>
    <x v="1103"/>
    <n v="3"/>
  </r>
  <r>
    <x v="1135"/>
    <x v="2"/>
    <x v="7"/>
    <x v="2"/>
    <x v="14"/>
    <x v="0"/>
    <x v="4"/>
    <s v="CHILD"/>
    <x v="1"/>
    <d v="2023-01-20T00:00:00"/>
    <x v="5"/>
    <x v="19"/>
    <n v="0"/>
  </r>
  <r>
    <x v="1136"/>
    <x v="4"/>
    <x v="2"/>
    <x v="2"/>
    <x v="4"/>
    <x v="0"/>
    <x v="56"/>
    <s v="SENIOR"/>
    <x v="1"/>
    <d v="2023-05-29T00:00:00"/>
    <x v="3"/>
    <x v="1104"/>
    <n v="10"/>
  </r>
  <r>
    <x v="1137"/>
    <x v="4"/>
    <x v="7"/>
    <x v="6"/>
    <x v="26"/>
    <x v="0"/>
    <x v="14"/>
    <s v="SENIOR"/>
    <x v="0"/>
    <d v="2023-11-21T00:00:00"/>
    <x v="4"/>
    <x v="1105"/>
    <n v="0"/>
  </r>
  <r>
    <x v="1138"/>
    <x v="2"/>
    <x v="2"/>
    <x v="2"/>
    <x v="2"/>
    <x v="1"/>
    <x v="71"/>
    <s v="ADULT"/>
    <x v="0"/>
    <d v="2023-11-13T00:00:00"/>
    <x v="3"/>
    <x v="1106"/>
    <n v="0"/>
  </r>
  <r>
    <x v="1139"/>
    <x v="0"/>
    <x v="1"/>
    <x v="8"/>
    <x v="33"/>
    <x v="0"/>
    <x v="7"/>
    <s v="TEEN"/>
    <x v="1"/>
    <d v="2023-05-25T00:00:00"/>
    <x v="4"/>
    <x v="1107"/>
    <n v="10"/>
  </r>
  <r>
    <x v="1140"/>
    <x v="1"/>
    <x v="1"/>
    <x v="0"/>
    <x v="20"/>
    <x v="0"/>
    <x v="89"/>
    <s v="SENIOR"/>
    <x v="0"/>
    <d v="2023-02-07T00:00:00"/>
    <x v="1"/>
    <x v="1108"/>
    <n v="5"/>
  </r>
  <r>
    <x v="1141"/>
    <x v="5"/>
    <x v="1"/>
    <x v="5"/>
    <x v="24"/>
    <x v="0"/>
    <x v="1"/>
    <s v="CHILD"/>
    <x v="1"/>
    <d v="2023-08-24T00:00:00"/>
    <x v="4"/>
    <x v="1109"/>
    <n v="0"/>
  </r>
  <r>
    <x v="1142"/>
    <x v="4"/>
    <x v="1"/>
    <x v="6"/>
    <x v="9"/>
    <x v="1"/>
    <x v="31"/>
    <s v="CHILD"/>
    <x v="0"/>
    <d v="2024-04-13T00:00:00"/>
    <x v="3"/>
    <x v="1110"/>
    <n v="5"/>
  </r>
  <r>
    <x v="1143"/>
    <x v="1"/>
    <x v="0"/>
    <x v="0"/>
    <x v="0"/>
    <x v="2"/>
    <x v="87"/>
    <s v="ADULT"/>
    <x v="1"/>
    <d v="2023-08-10T00:00:00"/>
    <x v="1"/>
    <x v="1111"/>
    <n v="0"/>
  </r>
  <r>
    <x v="1144"/>
    <x v="5"/>
    <x v="1"/>
    <x v="4"/>
    <x v="5"/>
    <x v="0"/>
    <x v="52"/>
    <s v="ADULT"/>
    <x v="0"/>
    <d v="2023-06-03T00:00:00"/>
    <x v="5"/>
    <x v="1112"/>
    <n v="10"/>
  </r>
  <r>
    <x v="1145"/>
    <x v="4"/>
    <x v="1"/>
    <x v="4"/>
    <x v="5"/>
    <x v="0"/>
    <x v="32"/>
    <s v="SENIOR"/>
    <x v="0"/>
    <d v="2023-11-23T00:00:00"/>
    <x v="1"/>
    <x v="1113"/>
    <n v="0"/>
  </r>
  <r>
    <x v="1146"/>
    <x v="2"/>
    <x v="4"/>
    <x v="9"/>
    <x v="29"/>
    <x v="1"/>
    <x v="88"/>
    <s v="ADULT"/>
    <x v="1"/>
    <d v="2024-03-09T00:00:00"/>
    <x v="2"/>
    <x v="1114"/>
    <n v="5"/>
  </r>
  <r>
    <x v="1147"/>
    <x v="2"/>
    <x v="0"/>
    <x v="1"/>
    <x v="1"/>
    <x v="1"/>
    <x v="8"/>
    <s v="ADULT"/>
    <x v="0"/>
    <d v="2023-11-25T00:00:00"/>
    <x v="2"/>
    <x v="1115"/>
    <n v="19"/>
  </r>
  <r>
    <x v="1148"/>
    <x v="0"/>
    <x v="3"/>
    <x v="2"/>
    <x v="4"/>
    <x v="1"/>
    <x v="28"/>
    <s v="SENIOR"/>
    <x v="0"/>
    <d v="2023-03-14T00:00:00"/>
    <x v="0"/>
    <x v="1116"/>
    <n v="0"/>
  </r>
  <r>
    <x v="1149"/>
    <x v="3"/>
    <x v="4"/>
    <x v="5"/>
    <x v="17"/>
    <x v="1"/>
    <x v="49"/>
    <s v="SENIOR"/>
    <x v="1"/>
    <d v="2023-07-14T00:00:00"/>
    <x v="3"/>
    <x v="1117"/>
    <n v="10"/>
  </r>
  <r>
    <x v="1150"/>
    <x v="5"/>
    <x v="7"/>
    <x v="8"/>
    <x v="36"/>
    <x v="0"/>
    <x v="37"/>
    <s v="ADULT"/>
    <x v="0"/>
    <d v="2023-01-16T00:00:00"/>
    <x v="2"/>
    <x v="1118"/>
    <n v="10"/>
  </r>
  <r>
    <x v="1151"/>
    <x v="3"/>
    <x v="1"/>
    <x v="5"/>
    <x v="21"/>
    <x v="0"/>
    <x v="7"/>
    <s v="TEEN"/>
    <x v="1"/>
    <d v="2023-01-20T00:00:00"/>
    <x v="3"/>
    <x v="1119"/>
    <n v="3"/>
  </r>
  <r>
    <x v="1152"/>
    <x v="3"/>
    <x v="6"/>
    <x v="3"/>
    <x v="37"/>
    <x v="0"/>
    <x v="32"/>
    <s v="SENIOR"/>
    <x v="1"/>
    <d v="2023-08-20T00:00:00"/>
    <x v="4"/>
    <x v="1120"/>
    <n v="0"/>
  </r>
  <r>
    <x v="1153"/>
    <x v="4"/>
    <x v="7"/>
    <x v="1"/>
    <x v="32"/>
    <x v="0"/>
    <x v="81"/>
    <s v="ADULT"/>
    <x v="1"/>
    <d v="2023-02-11T00:00:00"/>
    <x v="1"/>
    <x v="123"/>
    <n v="0"/>
  </r>
  <r>
    <x v="1154"/>
    <x v="0"/>
    <x v="1"/>
    <x v="3"/>
    <x v="22"/>
    <x v="0"/>
    <x v="82"/>
    <s v="ADULT"/>
    <x v="0"/>
    <d v="2024-01-29T00:00:00"/>
    <x v="0"/>
    <x v="1121"/>
    <n v="3"/>
  </r>
  <r>
    <x v="1155"/>
    <x v="4"/>
    <x v="3"/>
    <x v="2"/>
    <x v="2"/>
    <x v="0"/>
    <x v="14"/>
    <s v="SENIOR"/>
    <x v="0"/>
    <d v="2023-05-29T00:00:00"/>
    <x v="3"/>
    <x v="1122"/>
    <n v="0"/>
  </r>
  <r>
    <x v="1156"/>
    <x v="3"/>
    <x v="3"/>
    <x v="6"/>
    <x v="26"/>
    <x v="0"/>
    <x v="20"/>
    <s v="CHILD"/>
    <x v="0"/>
    <d v="2023-03-01T00:00:00"/>
    <x v="4"/>
    <x v="1123"/>
    <n v="5"/>
  </r>
  <r>
    <x v="1157"/>
    <x v="4"/>
    <x v="0"/>
    <x v="2"/>
    <x v="23"/>
    <x v="1"/>
    <x v="76"/>
    <s v="SENIOR"/>
    <x v="1"/>
    <d v="2023-07-17T00:00:00"/>
    <x v="2"/>
    <x v="1124"/>
    <n v="19"/>
  </r>
  <r>
    <x v="1158"/>
    <x v="3"/>
    <x v="7"/>
    <x v="2"/>
    <x v="4"/>
    <x v="1"/>
    <x v="46"/>
    <s v="ADULT"/>
    <x v="0"/>
    <d v="2024-04-09T00:00:00"/>
    <x v="1"/>
    <x v="1125"/>
    <n v="10"/>
  </r>
  <r>
    <x v="1159"/>
    <x v="4"/>
    <x v="0"/>
    <x v="9"/>
    <x v="34"/>
    <x v="0"/>
    <x v="40"/>
    <s v="SENIOR"/>
    <x v="1"/>
    <d v="2023-01-13T00:00:00"/>
    <x v="1"/>
    <x v="1126"/>
    <n v="10"/>
  </r>
  <r>
    <x v="1160"/>
    <x v="1"/>
    <x v="7"/>
    <x v="8"/>
    <x v="33"/>
    <x v="0"/>
    <x v="54"/>
    <s v="ADULT"/>
    <x v="0"/>
    <d v="2023-06-26T00:00:00"/>
    <x v="0"/>
    <x v="1127"/>
    <n v="5"/>
  </r>
  <r>
    <x v="1161"/>
    <x v="3"/>
    <x v="6"/>
    <x v="8"/>
    <x v="11"/>
    <x v="0"/>
    <x v="8"/>
    <s v="ADULT"/>
    <x v="1"/>
    <d v="2023-01-20T00:00:00"/>
    <x v="3"/>
    <x v="546"/>
    <n v="5"/>
  </r>
  <r>
    <x v="1162"/>
    <x v="1"/>
    <x v="3"/>
    <x v="1"/>
    <x v="31"/>
    <x v="0"/>
    <x v="56"/>
    <s v="SENIOR"/>
    <x v="1"/>
    <d v="2023-04-09T00:00:00"/>
    <x v="0"/>
    <x v="1128"/>
    <n v="0"/>
  </r>
  <r>
    <x v="1163"/>
    <x v="2"/>
    <x v="4"/>
    <x v="9"/>
    <x v="29"/>
    <x v="1"/>
    <x v="51"/>
    <s v="ADULT"/>
    <x v="1"/>
    <d v="2023-05-09T00:00:00"/>
    <x v="5"/>
    <x v="1129"/>
    <n v="4"/>
  </r>
  <r>
    <x v="1164"/>
    <x v="0"/>
    <x v="4"/>
    <x v="7"/>
    <x v="38"/>
    <x v="0"/>
    <x v="3"/>
    <s v="ADULT"/>
    <x v="0"/>
    <d v="2023-11-19T00:00:00"/>
    <x v="1"/>
    <x v="1130"/>
    <n v="0"/>
  </r>
  <r>
    <x v="1165"/>
    <x v="2"/>
    <x v="6"/>
    <x v="7"/>
    <x v="30"/>
    <x v="1"/>
    <x v="61"/>
    <s v="ADULT"/>
    <x v="1"/>
    <d v="2023-06-07T00:00:00"/>
    <x v="2"/>
    <x v="1131"/>
    <n v="35"/>
  </r>
  <r>
    <x v="1166"/>
    <x v="0"/>
    <x v="1"/>
    <x v="2"/>
    <x v="2"/>
    <x v="0"/>
    <x v="17"/>
    <s v="SENIOR"/>
    <x v="1"/>
    <d v="2023-10-05T00:00:00"/>
    <x v="1"/>
    <x v="1132"/>
    <n v="5"/>
  </r>
  <r>
    <x v="1167"/>
    <x v="2"/>
    <x v="6"/>
    <x v="4"/>
    <x v="7"/>
    <x v="0"/>
    <x v="63"/>
    <s v="SENIOR"/>
    <x v="1"/>
    <d v="2023-01-05T00:00:00"/>
    <x v="4"/>
    <x v="1133"/>
    <n v="5"/>
  </r>
  <r>
    <x v="1168"/>
    <x v="0"/>
    <x v="2"/>
    <x v="9"/>
    <x v="28"/>
    <x v="0"/>
    <x v="45"/>
    <s v="ADULT"/>
    <x v="0"/>
    <d v="2024-03-12T00:00:00"/>
    <x v="3"/>
    <x v="1134"/>
    <n v="0"/>
  </r>
  <r>
    <x v="1169"/>
    <x v="3"/>
    <x v="1"/>
    <x v="1"/>
    <x v="31"/>
    <x v="1"/>
    <x v="82"/>
    <s v="ADULT"/>
    <x v="1"/>
    <d v="2024-03-15T00:00:00"/>
    <x v="0"/>
    <x v="1135"/>
    <n v="3"/>
  </r>
  <r>
    <x v="1170"/>
    <x v="2"/>
    <x v="1"/>
    <x v="1"/>
    <x v="1"/>
    <x v="0"/>
    <x v="33"/>
    <s v="ADULT"/>
    <x v="1"/>
    <d v="2023-07-17T00:00:00"/>
    <x v="3"/>
    <x v="1136"/>
    <n v="10"/>
  </r>
  <r>
    <x v="1171"/>
    <x v="1"/>
    <x v="3"/>
    <x v="7"/>
    <x v="18"/>
    <x v="0"/>
    <x v="29"/>
    <s v="SENIOR"/>
    <x v="0"/>
    <d v="2023-03-01T00:00:00"/>
    <x v="0"/>
    <x v="1137"/>
    <n v="0"/>
  </r>
  <r>
    <x v="1172"/>
    <x v="4"/>
    <x v="0"/>
    <x v="2"/>
    <x v="2"/>
    <x v="0"/>
    <x v="21"/>
    <s v="ADULT"/>
    <x v="1"/>
    <d v="2023-10-11T00:00:00"/>
    <x v="3"/>
    <x v="1138"/>
    <n v="3"/>
  </r>
  <r>
    <x v="1173"/>
    <x v="2"/>
    <x v="3"/>
    <x v="3"/>
    <x v="22"/>
    <x v="2"/>
    <x v="59"/>
    <s v="TEEN"/>
    <x v="0"/>
    <d v="2023-02-26T00:00:00"/>
    <x v="0"/>
    <x v="1139"/>
    <n v="10"/>
  </r>
  <r>
    <x v="1174"/>
    <x v="2"/>
    <x v="0"/>
    <x v="5"/>
    <x v="6"/>
    <x v="0"/>
    <x v="55"/>
    <s v="SENIOR"/>
    <x v="0"/>
    <d v="2024-04-12T00:00:00"/>
    <x v="0"/>
    <x v="1140"/>
    <n v="5"/>
  </r>
  <r>
    <x v="1175"/>
    <x v="0"/>
    <x v="1"/>
    <x v="5"/>
    <x v="21"/>
    <x v="0"/>
    <x v="62"/>
    <s v="SENIOR"/>
    <x v="0"/>
    <d v="2023-06-14T00:00:00"/>
    <x v="1"/>
    <x v="1141"/>
    <n v="0"/>
  </r>
  <r>
    <x v="1176"/>
    <x v="0"/>
    <x v="1"/>
    <x v="8"/>
    <x v="33"/>
    <x v="1"/>
    <x v="10"/>
    <s v="TEEN"/>
    <x v="0"/>
    <d v="2023-08-14T00:00:00"/>
    <x v="0"/>
    <x v="1142"/>
    <n v="0"/>
  </r>
  <r>
    <x v="1177"/>
    <x v="0"/>
    <x v="1"/>
    <x v="7"/>
    <x v="38"/>
    <x v="1"/>
    <x v="73"/>
    <s v="SENIOR"/>
    <x v="0"/>
    <d v="2024-02-14T00:00:00"/>
    <x v="2"/>
    <x v="1143"/>
    <n v="18"/>
  </r>
  <r>
    <x v="1178"/>
    <x v="0"/>
    <x v="5"/>
    <x v="0"/>
    <x v="0"/>
    <x v="0"/>
    <x v="53"/>
    <s v="ADULT"/>
    <x v="0"/>
    <d v="2024-01-29T00:00:00"/>
    <x v="0"/>
    <x v="1144"/>
    <n v="0"/>
  </r>
  <r>
    <x v="1179"/>
    <x v="4"/>
    <x v="2"/>
    <x v="2"/>
    <x v="2"/>
    <x v="0"/>
    <x v="77"/>
    <s v="SENIOR"/>
    <x v="1"/>
    <d v="2023-09-16T00:00:00"/>
    <x v="4"/>
    <x v="1145"/>
    <n v="0"/>
  </r>
  <r>
    <x v="1180"/>
    <x v="4"/>
    <x v="5"/>
    <x v="8"/>
    <x v="33"/>
    <x v="0"/>
    <x v="0"/>
    <s v="SENIOR"/>
    <x v="1"/>
    <d v="2023-01-07T00:00:00"/>
    <x v="0"/>
    <x v="1146"/>
    <n v="5"/>
  </r>
  <r>
    <x v="1181"/>
    <x v="5"/>
    <x v="0"/>
    <x v="0"/>
    <x v="20"/>
    <x v="0"/>
    <x v="65"/>
    <s v="CHILD"/>
    <x v="0"/>
    <d v="2024-03-30T00:00:00"/>
    <x v="2"/>
    <x v="1147"/>
    <n v="35"/>
  </r>
  <r>
    <x v="1182"/>
    <x v="3"/>
    <x v="6"/>
    <x v="6"/>
    <x v="16"/>
    <x v="0"/>
    <x v="26"/>
    <s v="SENIOR"/>
    <x v="1"/>
    <d v="2024-03-24T00:00:00"/>
    <x v="4"/>
    <x v="1148"/>
    <n v="3"/>
  </r>
  <r>
    <x v="1183"/>
    <x v="0"/>
    <x v="5"/>
    <x v="3"/>
    <x v="37"/>
    <x v="0"/>
    <x v="4"/>
    <s v="CHILD"/>
    <x v="0"/>
    <d v="2023-03-10T00:00:00"/>
    <x v="4"/>
    <x v="1149"/>
    <n v="0"/>
  </r>
  <r>
    <x v="1184"/>
    <x v="0"/>
    <x v="4"/>
    <x v="8"/>
    <x v="33"/>
    <x v="0"/>
    <x v="76"/>
    <s v="SENIOR"/>
    <x v="1"/>
    <d v="2024-01-27T00:00:00"/>
    <x v="4"/>
    <x v="1150"/>
    <n v="0"/>
  </r>
  <r>
    <x v="1185"/>
    <x v="5"/>
    <x v="1"/>
    <x v="0"/>
    <x v="0"/>
    <x v="0"/>
    <x v="72"/>
    <s v="CHILD"/>
    <x v="1"/>
    <d v="2023-03-25T00:00:00"/>
    <x v="4"/>
    <x v="1151"/>
    <n v="0"/>
  </r>
  <r>
    <x v="1186"/>
    <x v="3"/>
    <x v="6"/>
    <x v="0"/>
    <x v="27"/>
    <x v="0"/>
    <x v="79"/>
    <s v="SENIOR"/>
    <x v="1"/>
    <d v="2023-01-20T00:00:00"/>
    <x v="3"/>
    <x v="1152"/>
    <n v="0"/>
  </r>
  <r>
    <x v="1187"/>
    <x v="3"/>
    <x v="0"/>
    <x v="5"/>
    <x v="21"/>
    <x v="1"/>
    <x v="19"/>
    <s v="ADULT"/>
    <x v="0"/>
    <d v="2023-10-24T00:00:00"/>
    <x v="0"/>
    <x v="1153"/>
    <n v="0"/>
  </r>
  <r>
    <x v="1188"/>
    <x v="1"/>
    <x v="1"/>
    <x v="5"/>
    <x v="24"/>
    <x v="0"/>
    <x v="69"/>
    <s v="SENIOR"/>
    <x v="0"/>
    <d v="2023-02-27T00:00:00"/>
    <x v="1"/>
    <x v="1154"/>
    <n v="0"/>
  </r>
  <r>
    <x v="1189"/>
    <x v="2"/>
    <x v="2"/>
    <x v="2"/>
    <x v="14"/>
    <x v="0"/>
    <x v="48"/>
    <s v="SENIOR"/>
    <x v="1"/>
    <d v="2023-12-21T00:00:00"/>
    <x v="1"/>
    <x v="1155"/>
    <n v="0"/>
  </r>
  <r>
    <x v="1190"/>
    <x v="0"/>
    <x v="7"/>
    <x v="0"/>
    <x v="20"/>
    <x v="1"/>
    <x v="90"/>
    <s v="CHILD"/>
    <x v="0"/>
    <d v="2023-06-21T00:00:00"/>
    <x v="1"/>
    <x v="1156"/>
    <n v="3"/>
  </r>
  <r>
    <x v="1191"/>
    <x v="5"/>
    <x v="4"/>
    <x v="2"/>
    <x v="23"/>
    <x v="1"/>
    <x v="63"/>
    <s v="SENIOR"/>
    <x v="0"/>
    <d v="2023-04-16T00:00:00"/>
    <x v="1"/>
    <x v="184"/>
    <n v="5"/>
  </r>
  <r>
    <x v="1192"/>
    <x v="0"/>
    <x v="1"/>
    <x v="0"/>
    <x v="27"/>
    <x v="0"/>
    <x v="86"/>
    <s v="SENIOR"/>
    <x v="0"/>
    <d v="2024-04-22T00:00:00"/>
    <x v="1"/>
    <x v="1157"/>
    <n v="3"/>
  </r>
  <r>
    <x v="1193"/>
    <x v="4"/>
    <x v="0"/>
    <x v="8"/>
    <x v="11"/>
    <x v="2"/>
    <x v="59"/>
    <s v="TEEN"/>
    <x v="1"/>
    <d v="2024-03-27T00:00:00"/>
    <x v="3"/>
    <x v="1158"/>
    <n v="10"/>
  </r>
  <r>
    <x v="1194"/>
    <x v="3"/>
    <x v="4"/>
    <x v="2"/>
    <x v="2"/>
    <x v="0"/>
    <x v="42"/>
    <s v="CHILD"/>
    <x v="1"/>
    <d v="2023-10-28T00:00:00"/>
    <x v="0"/>
    <x v="1159"/>
    <n v="0"/>
  </r>
  <r>
    <x v="1195"/>
    <x v="5"/>
    <x v="6"/>
    <x v="1"/>
    <x v="1"/>
    <x v="0"/>
    <x v="82"/>
    <s v="ADULT"/>
    <x v="1"/>
    <d v="2023-04-02T00:00:00"/>
    <x v="0"/>
    <x v="1160"/>
    <n v="0"/>
  </r>
  <r>
    <x v="1196"/>
    <x v="1"/>
    <x v="4"/>
    <x v="2"/>
    <x v="23"/>
    <x v="0"/>
    <x v="31"/>
    <s v="CHILD"/>
    <x v="0"/>
    <d v="2023-08-06T00:00:00"/>
    <x v="3"/>
    <x v="1161"/>
    <n v="10"/>
  </r>
  <r>
    <x v="1197"/>
    <x v="2"/>
    <x v="6"/>
    <x v="0"/>
    <x v="0"/>
    <x v="0"/>
    <x v="68"/>
    <s v="ADULT"/>
    <x v="1"/>
    <d v="2023-04-03T00:00:00"/>
    <x v="3"/>
    <x v="1162"/>
    <n v="5"/>
  </r>
  <r>
    <x v="1198"/>
    <x v="5"/>
    <x v="4"/>
    <x v="7"/>
    <x v="10"/>
    <x v="0"/>
    <x v="50"/>
    <s v="ADULT"/>
    <x v="1"/>
    <d v="2023-07-28T00:00:00"/>
    <x v="1"/>
    <x v="1163"/>
    <n v="0"/>
  </r>
  <r>
    <x v="1199"/>
    <x v="1"/>
    <x v="6"/>
    <x v="7"/>
    <x v="18"/>
    <x v="0"/>
    <x v="25"/>
    <s v="CHILD"/>
    <x v="0"/>
    <d v="2023-11-30T00:00:00"/>
    <x v="1"/>
    <x v="1164"/>
    <n v="3"/>
  </r>
  <r>
    <x v="1200"/>
    <x v="5"/>
    <x v="6"/>
    <x v="4"/>
    <x v="8"/>
    <x v="0"/>
    <x v="70"/>
    <s v="ADULT"/>
    <x v="1"/>
    <d v="2023-05-25T00:00:00"/>
    <x v="0"/>
    <x v="1165"/>
    <n v="0"/>
  </r>
  <r>
    <x v="1201"/>
    <x v="3"/>
    <x v="2"/>
    <x v="0"/>
    <x v="27"/>
    <x v="0"/>
    <x v="36"/>
    <s v="ADULT"/>
    <x v="1"/>
    <d v="2023-09-03T00:00:00"/>
    <x v="1"/>
    <x v="1166"/>
    <n v="0"/>
  </r>
  <r>
    <x v="1202"/>
    <x v="5"/>
    <x v="0"/>
    <x v="0"/>
    <x v="20"/>
    <x v="0"/>
    <x v="77"/>
    <s v="SENIOR"/>
    <x v="1"/>
    <d v="2023-01-23T00:00:00"/>
    <x v="1"/>
    <x v="1154"/>
    <n v="5"/>
  </r>
  <r>
    <x v="1203"/>
    <x v="4"/>
    <x v="6"/>
    <x v="1"/>
    <x v="1"/>
    <x v="0"/>
    <x v="77"/>
    <s v="SENIOR"/>
    <x v="1"/>
    <d v="2023-07-02T00:00:00"/>
    <x v="2"/>
    <x v="1167"/>
    <n v="12"/>
  </r>
  <r>
    <x v="1204"/>
    <x v="0"/>
    <x v="7"/>
    <x v="4"/>
    <x v="8"/>
    <x v="1"/>
    <x v="45"/>
    <s v="ADULT"/>
    <x v="0"/>
    <d v="2023-10-19T00:00:00"/>
    <x v="1"/>
    <x v="1168"/>
    <n v="0"/>
  </r>
  <r>
    <x v="1205"/>
    <x v="1"/>
    <x v="1"/>
    <x v="1"/>
    <x v="31"/>
    <x v="0"/>
    <x v="23"/>
    <s v="ADULT"/>
    <x v="0"/>
    <d v="2023-05-07T00:00:00"/>
    <x v="0"/>
    <x v="1169"/>
    <n v="0"/>
  </r>
  <r>
    <x v="1206"/>
    <x v="0"/>
    <x v="6"/>
    <x v="5"/>
    <x v="24"/>
    <x v="0"/>
    <x v="45"/>
    <s v="ADULT"/>
    <x v="0"/>
    <d v="2024-03-18T00:00:00"/>
    <x v="0"/>
    <x v="1170"/>
    <n v="10"/>
  </r>
  <r>
    <x v="1207"/>
    <x v="3"/>
    <x v="6"/>
    <x v="3"/>
    <x v="3"/>
    <x v="1"/>
    <x v="10"/>
    <s v="TEEN"/>
    <x v="0"/>
    <d v="2023-06-17T00:00:00"/>
    <x v="3"/>
    <x v="1171"/>
    <n v="10"/>
  </r>
  <r>
    <x v="1208"/>
    <x v="3"/>
    <x v="5"/>
    <x v="0"/>
    <x v="15"/>
    <x v="1"/>
    <x v="2"/>
    <s v="SENIOR"/>
    <x v="0"/>
    <d v="2023-07-29T00:00:00"/>
    <x v="1"/>
    <x v="741"/>
    <n v="10"/>
  </r>
  <r>
    <x v="1209"/>
    <x v="5"/>
    <x v="1"/>
    <x v="4"/>
    <x v="5"/>
    <x v="0"/>
    <x v="65"/>
    <s v="CHILD"/>
    <x v="1"/>
    <d v="2023-03-20T00:00:00"/>
    <x v="1"/>
    <x v="1172"/>
    <n v="10"/>
  </r>
  <r>
    <x v="1210"/>
    <x v="5"/>
    <x v="6"/>
    <x v="9"/>
    <x v="19"/>
    <x v="0"/>
    <x v="83"/>
    <s v="CHILD"/>
    <x v="0"/>
    <d v="2023-04-16T00:00:00"/>
    <x v="1"/>
    <x v="1173"/>
    <n v="10"/>
  </r>
  <r>
    <x v="1211"/>
    <x v="1"/>
    <x v="1"/>
    <x v="3"/>
    <x v="3"/>
    <x v="0"/>
    <x v="43"/>
    <s v="SENIOR"/>
    <x v="1"/>
    <d v="2023-01-08T00:00:00"/>
    <x v="0"/>
    <x v="1174"/>
    <n v="0"/>
  </r>
  <r>
    <x v="1212"/>
    <x v="5"/>
    <x v="0"/>
    <x v="4"/>
    <x v="25"/>
    <x v="0"/>
    <x v="73"/>
    <s v="SENIOR"/>
    <x v="0"/>
    <d v="2023-03-23T00:00:00"/>
    <x v="4"/>
    <x v="1175"/>
    <n v="3"/>
  </r>
  <r>
    <x v="1213"/>
    <x v="0"/>
    <x v="0"/>
    <x v="2"/>
    <x v="23"/>
    <x v="1"/>
    <x v="68"/>
    <s v="ADULT"/>
    <x v="1"/>
    <d v="2023-01-14T00:00:00"/>
    <x v="1"/>
    <x v="1176"/>
    <n v="0"/>
  </r>
  <r>
    <x v="1214"/>
    <x v="1"/>
    <x v="6"/>
    <x v="8"/>
    <x v="33"/>
    <x v="1"/>
    <x v="90"/>
    <s v="CHILD"/>
    <x v="1"/>
    <d v="2023-10-30T00:00:00"/>
    <x v="0"/>
    <x v="1177"/>
    <n v="3"/>
  </r>
  <r>
    <x v="1215"/>
    <x v="4"/>
    <x v="5"/>
    <x v="8"/>
    <x v="11"/>
    <x v="1"/>
    <x v="66"/>
    <s v="SENIOR"/>
    <x v="0"/>
    <d v="2023-07-05T00:00:00"/>
    <x v="4"/>
    <x v="1178"/>
    <n v="0"/>
  </r>
  <r>
    <x v="1216"/>
    <x v="3"/>
    <x v="6"/>
    <x v="1"/>
    <x v="1"/>
    <x v="0"/>
    <x v="6"/>
    <s v="ADULT"/>
    <x v="1"/>
    <d v="2023-04-01T00:00:00"/>
    <x v="4"/>
    <x v="117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67C70-9086-4557-9E4C-9DA78D5BD69D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E52" firstHeaderRow="0" firstDataRow="1" firstDataCol="1"/>
  <pivotFields count="13">
    <pivotField showAll="0">
      <items count="1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showAll="0">
      <items count="7">
        <item x="4"/>
        <item x="3"/>
        <item x="2"/>
        <item x="5"/>
        <item x="0"/>
        <item x="1"/>
        <item t="default"/>
      </items>
    </pivotField>
    <pivotField showAll="0">
      <items count="9">
        <item x="6"/>
        <item x="0"/>
        <item x="2"/>
        <item x="7"/>
        <item x="3"/>
        <item x="5"/>
        <item x="1"/>
        <item x="4"/>
        <item t="default"/>
      </items>
    </pivotField>
    <pivotField showAll="0">
      <items count="11">
        <item x="9"/>
        <item x="7"/>
        <item x="3"/>
        <item x="5"/>
        <item x="0"/>
        <item x="6"/>
        <item x="4"/>
        <item x="1"/>
        <item x="8"/>
        <item x="2"/>
        <item t="default"/>
      </items>
    </pivotField>
    <pivotField showAll="0">
      <items count="41">
        <item x="29"/>
        <item x="2"/>
        <item x="33"/>
        <item x="1"/>
        <item x="14"/>
        <item x="12"/>
        <item x="32"/>
        <item x="28"/>
        <item x="21"/>
        <item x="16"/>
        <item x="18"/>
        <item x="25"/>
        <item x="6"/>
        <item x="27"/>
        <item x="13"/>
        <item x="39"/>
        <item x="10"/>
        <item x="19"/>
        <item x="34"/>
        <item x="3"/>
        <item x="11"/>
        <item x="26"/>
        <item x="31"/>
        <item x="22"/>
        <item x="35"/>
        <item x="23"/>
        <item x="4"/>
        <item x="20"/>
        <item x="8"/>
        <item x="36"/>
        <item x="5"/>
        <item x="0"/>
        <item x="17"/>
        <item x="15"/>
        <item x="38"/>
        <item x="7"/>
        <item x="30"/>
        <item x="24"/>
        <item x="37"/>
        <item x="9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65" showAll="0"/>
    <pivotField showAll="0">
      <items count="7">
        <item x="1"/>
        <item x="0"/>
        <item x="4"/>
        <item x="2"/>
        <item x="5"/>
        <item x="3"/>
        <item t="default"/>
      </items>
    </pivotField>
    <pivotField dataField="1" numFmtId="3" showAll="0">
      <items count="1181">
        <item x="463"/>
        <item x="800"/>
        <item x="509"/>
        <item x="604"/>
        <item x="120"/>
        <item x="961"/>
        <item x="508"/>
        <item x="953"/>
        <item x="881"/>
        <item x="161"/>
        <item x="1149"/>
        <item x="273"/>
        <item x="1145"/>
        <item x="16"/>
        <item x="1072"/>
        <item x="237"/>
        <item x="822"/>
        <item x="642"/>
        <item x="548"/>
        <item x="354"/>
        <item x="979"/>
        <item x="435"/>
        <item x="652"/>
        <item x="1138"/>
        <item x="560"/>
        <item x="118"/>
        <item x="29"/>
        <item x="131"/>
        <item x="22"/>
        <item x="650"/>
        <item x="1084"/>
        <item x="816"/>
        <item x="571"/>
        <item x="697"/>
        <item x="186"/>
        <item x="459"/>
        <item x="1008"/>
        <item x="999"/>
        <item x="925"/>
        <item x="738"/>
        <item x="715"/>
        <item x="546"/>
        <item x="10"/>
        <item x="442"/>
        <item x="673"/>
        <item x="17"/>
        <item x="1035"/>
        <item x="997"/>
        <item x="397"/>
        <item x="479"/>
        <item x="386"/>
        <item x="224"/>
        <item x="837"/>
        <item x="557"/>
        <item x="785"/>
        <item x="188"/>
        <item x="846"/>
        <item x="833"/>
        <item x="460"/>
        <item x="901"/>
        <item x="291"/>
        <item x="382"/>
        <item x="971"/>
        <item x="940"/>
        <item x="873"/>
        <item x="825"/>
        <item x="654"/>
        <item x="789"/>
        <item x="404"/>
        <item x="1127"/>
        <item x="865"/>
        <item x="181"/>
        <item x="944"/>
        <item x="1043"/>
        <item x="372"/>
        <item x="68"/>
        <item x="1104"/>
        <item x="831"/>
        <item x="1009"/>
        <item x="353"/>
        <item x="759"/>
        <item x="795"/>
        <item x="1155"/>
        <item x="136"/>
        <item x="628"/>
        <item x="8"/>
        <item x="103"/>
        <item x="1109"/>
        <item x="491"/>
        <item x="620"/>
        <item x="300"/>
        <item x="294"/>
        <item x="1053"/>
        <item x="153"/>
        <item x="197"/>
        <item x="137"/>
        <item x="682"/>
        <item x="1031"/>
        <item x="1088"/>
        <item x="786"/>
        <item x="814"/>
        <item x="862"/>
        <item x="713"/>
        <item x="949"/>
        <item x="631"/>
        <item x="425"/>
        <item x="1166"/>
        <item x="1099"/>
        <item x="331"/>
        <item x="1027"/>
        <item x="122"/>
        <item x="1157"/>
        <item x="49"/>
        <item x="52"/>
        <item x="141"/>
        <item x="781"/>
        <item x="325"/>
        <item x="823"/>
        <item x="41"/>
        <item x="61"/>
        <item x="808"/>
        <item x="232"/>
        <item x="879"/>
        <item x="616"/>
        <item x="253"/>
        <item x="623"/>
        <item x="316"/>
        <item x="208"/>
        <item x="645"/>
        <item x="755"/>
        <item x="274"/>
        <item x="511"/>
        <item x="553"/>
        <item x="951"/>
        <item x="1047"/>
        <item x="431"/>
        <item x="394"/>
        <item x="407"/>
        <item x="175"/>
        <item x="818"/>
        <item x="338"/>
        <item x="638"/>
        <item x="812"/>
        <item x="340"/>
        <item x="929"/>
        <item x="945"/>
        <item x="703"/>
        <item x="1111"/>
        <item x="104"/>
        <item x="323"/>
        <item x="790"/>
        <item x="480"/>
        <item x="597"/>
        <item x="149"/>
        <item x="903"/>
        <item x="803"/>
        <item x="998"/>
        <item x="185"/>
        <item x="57"/>
        <item x="555"/>
        <item x="588"/>
        <item x="547"/>
        <item x="1107"/>
        <item x="399"/>
        <item x="319"/>
        <item x="38"/>
        <item x="295"/>
        <item x="260"/>
        <item x="377"/>
        <item x="775"/>
        <item x="902"/>
        <item x="467"/>
        <item x="524"/>
        <item x="143"/>
        <item x="568"/>
        <item x="28"/>
        <item x="585"/>
        <item x="385"/>
        <item x="1126"/>
        <item x="1154"/>
        <item x="687"/>
        <item x="663"/>
        <item x="221"/>
        <item x="960"/>
        <item x="356"/>
        <item x="927"/>
        <item x="241"/>
        <item x="303"/>
        <item x="840"/>
        <item x="905"/>
        <item x="1"/>
        <item x="424"/>
        <item x="609"/>
        <item x="1055"/>
        <item x="878"/>
        <item x="1167"/>
        <item x="757"/>
        <item x="426"/>
        <item x="582"/>
        <item x="973"/>
        <item x="348"/>
        <item x="106"/>
        <item x="727"/>
        <item x="446"/>
        <item x="484"/>
        <item x="202"/>
        <item x="3"/>
        <item x="252"/>
        <item x="94"/>
        <item x="683"/>
        <item x="761"/>
        <item x="345"/>
        <item x="647"/>
        <item x="417"/>
        <item x="21"/>
        <item x="675"/>
        <item x="590"/>
        <item x="410"/>
        <item x="749"/>
        <item x="116"/>
        <item x="233"/>
        <item x="1148"/>
        <item x="93"/>
        <item x="281"/>
        <item x="183"/>
        <item x="1032"/>
        <item x="1077"/>
        <item x="698"/>
        <item x="310"/>
        <item x="692"/>
        <item x="967"/>
        <item x="37"/>
        <item x="972"/>
        <item x="493"/>
        <item x="1073"/>
        <item x="282"/>
        <item x="1082"/>
        <item x="342"/>
        <item x="211"/>
        <item x="894"/>
        <item x="538"/>
        <item x="821"/>
        <item x="105"/>
        <item x="172"/>
        <item x="543"/>
        <item x="649"/>
        <item x="563"/>
        <item x="805"/>
        <item x="468"/>
        <item x="893"/>
        <item x="464"/>
        <item x="101"/>
        <item x="671"/>
        <item x="994"/>
        <item x="276"/>
        <item x="733"/>
        <item x="572"/>
        <item x="883"/>
        <item x="574"/>
        <item x="214"/>
        <item x="601"/>
        <item x="636"/>
        <item x="701"/>
        <item x="1017"/>
        <item x="849"/>
        <item x="928"/>
        <item x="917"/>
        <item x="470"/>
        <item x="306"/>
        <item x="839"/>
        <item x="531"/>
        <item x="586"/>
        <item x="936"/>
        <item x="327"/>
        <item x="939"/>
        <item x="179"/>
        <item x="299"/>
        <item x="875"/>
        <item x="1112"/>
        <item x="112"/>
        <item x="445"/>
        <item x="349"/>
        <item x="358"/>
        <item x="768"/>
        <item x="501"/>
        <item x="750"/>
        <item x="580"/>
        <item x="728"/>
        <item x="958"/>
        <item x="465"/>
        <item x="333"/>
        <item x="976"/>
        <item x="918"/>
        <item x="815"/>
        <item x="150"/>
        <item x="1036"/>
        <item x="861"/>
        <item x="937"/>
        <item x="47"/>
        <item x="801"/>
        <item x="670"/>
        <item x="140"/>
        <item x="885"/>
        <item x="302"/>
        <item x="657"/>
        <item x="329"/>
        <item x="1029"/>
        <item x="1010"/>
        <item x="1044"/>
        <item x="811"/>
        <item x="934"/>
        <item x="55"/>
        <item x="956"/>
        <item x="651"/>
        <item x="88"/>
        <item x="119"/>
        <item x="430"/>
        <item x="996"/>
        <item x="614"/>
        <item x="383"/>
        <item x="138"/>
        <item x="166"/>
        <item x="71"/>
        <item x="857"/>
        <item x="522"/>
        <item x="827"/>
        <item x="441"/>
        <item x="311"/>
        <item x="1163"/>
        <item x="121"/>
        <item x="577"/>
        <item x="1102"/>
        <item x="87"/>
        <item x="696"/>
        <item x="576"/>
        <item x="826"/>
        <item x="980"/>
        <item x="236"/>
        <item x="912"/>
        <item x="1161"/>
        <item x="408"/>
        <item x="860"/>
        <item x="351"/>
        <item x="79"/>
        <item x="844"/>
        <item x="240"/>
        <item x="771"/>
        <item x="1046"/>
        <item x="313"/>
        <item x="84"/>
        <item x="1012"/>
        <item x="819"/>
        <item x="530"/>
        <item x="791"/>
        <item x="206"/>
        <item x="40"/>
        <item x="900"/>
        <item x="941"/>
        <item x="914"/>
        <item x="742"/>
        <item x="753"/>
        <item x="658"/>
        <item x="1160"/>
        <item x="32"/>
        <item x="483"/>
        <item x="1175"/>
        <item x="440"/>
        <item x="56"/>
        <item x="330"/>
        <item x="533"/>
        <item x="1162"/>
        <item x="602"/>
        <item x="517"/>
        <item x="45"/>
        <item x="987"/>
        <item x="726"/>
        <item x="145"/>
        <item x="1052"/>
        <item x="489"/>
        <item x="716"/>
        <item x="1095"/>
        <item x="606"/>
        <item x="203"/>
        <item x="458"/>
        <item x="90"/>
        <item x="117"/>
        <item x="633"/>
        <item x="279"/>
        <item x="1042"/>
        <item x="352"/>
        <item x="898"/>
        <item x="617"/>
        <item x="888"/>
        <item x="526"/>
        <item x="293"/>
        <item x="983"/>
        <item x="400"/>
        <item x="1056"/>
        <item x="469"/>
        <item x="164"/>
        <item x="684"/>
        <item x="834"/>
        <item x="550"/>
        <item x="370"/>
        <item x="523"/>
        <item x="630"/>
        <item x="724"/>
        <item x="418"/>
        <item x="702"/>
        <item x="963"/>
        <item x="339"/>
        <item x="567"/>
        <item x="231"/>
        <item x="261"/>
        <item x="259"/>
        <item x="930"/>
        <item x="444"/>
        <item x="398"/>
        <item x="665"/>
        <item x="778"/>
        <item x="942"/>
        <item x="110"/>
        <item x="11"/>
        <item x="290"/>
        <item x="1015"/>
        <item x="453"/>
        <item x="301"/>
        <item x="619"/>
        <item x="477"/>
        <item x="1025"/>
        <item x="626"/>
        <item x="250"/>
        <item x="365"/>
        <item x="34"/>
        <item x="554"/>
        <item x="147"/>
        <item x="852"/>
        <item x="681"/>
        <item x="495"/>
        <item x="1063"/>
        <item x="797"/>
        <item x="1059"/>
        <item x="247"/>
        <item x="129"/>
        <item x="403"/>
        <item x="473"/>
        <item x="39"/>
        <item x="130"/>
        <item x="1028"/>
        <item x="1179"/>
        <item x="874"/>
        <item x="990"/>
        <item x="1070"/>
        <item x="486"/>
        <item x="923"/>
        <item x="401"/>
        <item x="62"/>
        <item x="648"/>
        <item x="128"/>
        <item x="287"/>
        <item x="267"/>
        <item x="97"/>
        <item x="1174"/>
        <item x="1121"/>
        <item x="81"/>
        <item x="205"/>
        <item x="1006"/>
        <item x="413"/>
        <item x="277"/>
        <item x="751"/>
        <item x="719"/>
        <item x="514"/>
        <item x="887"/>
        <item x="364"/>
        <item x="723"/>
        <item x="278"/>
        <item x="35"/>
        <item x="513"/>
        <item x="780"/>
        <item x="1039"/>
        <item x="991"/>
        <item x="363"/>
        <item x="595"/>
        <item x="1038"/>
        <item x="1002"/>
        <item x="1011"/>
        <item x="436"/>
        <item x="392"/>
        <item x="65"/>
        <item x="297"/>
        <item x="793"/>
        <item x="1057"/>
        <item x="653"/>
        <item x="343"/>
        <item x="541"/>
        <item x="359"/>
        <item x="335"/>
        <item x="752"/>
        <item x="897"/>
        <item x="561"/>
        <item x="450"/>
        <item x="315"/>
        <item x="1087"/>
        <item x="986"/>
        <item x="24"/>
        <item x="157"/>
        <item x="1130"/>
        <item x="1120"/>
        <item x="610"/>
        <item x="77"/>
        <item x="1151"/>
        <item x="832"/>
        <item x="494"/>
        <item x="1128"/>
        <item x="916"/>
        <item x="344"/>
        <item x="1083"/>
        <item x="674"/>
        <item x="238"/>
        <item x="984"/>
        <item x="379"/>
        <item x="26"/>
        <item x="532"/>
        <item x="498"/>
        <item x="625"/>
        <item x="520"/>
        <item x="968"/>
        <item x="1139"/>
        <item x="42"/>
        <item x="154"/>
        <item x="662"/>
        <item x="830"/>
        <item x="168"/>
        <item x="361"/>
        <item x="1147"/>
        <item x="1079"/>
        <item x="581"/>
        <item x="499"/>
        <item x="1146"/>
        <item x="518"/>
        <item x="608"/>
        <item x="89"/>
        <item x="611"/>
        <item x="455"/>
        <item x="264"/>
        <item x="158"/>
        <item x="82"/>
        <item x="1089"/>
        <item x="1122"/>
        <item x="48"/>
        <item x="492"/>
        <item x="510"/>
        <item x="405"/>
        <item x="607"/>
        <item x="1014"/>
        <item x="156"/>
        <item x="578"/>
        <item x="926"/>
        <item x="622"/>
        <item x="406"/>
        <item x="770"/>
        <item x="766"/>
        <item x="269"/>
        <item x="824"/>
        <item x="64"/>
        <item x="634"/>
        <item x="763"/>
        <item x="922"/>
        <item x="910"/>
        <item x="539"/>
        <item x="817"/>
        <item x="190"/>
        <item x="92"/>
        <item x="1137"/>
        <item x="163"/>
        <item x="708"/>
        <item x="83"/>
        <item x="519"/>
        <item x="854"/>
        <item x="1062"/>
        <item x="1141"/>
        <item x="978"/>
        <item x="694"/>
        <item x="102"/>
        <item x="913"/>
        <item x="474"/>
        <item x="43"/>
        <item x="686"/>
        <item x="2"/>
        <item x="655"/>
        <item x="1045"/>
        <item x="559"/>
        <item x="794"/>
        <item x="851"/>
        <item x="1105"/>
        <item x="437"/>
        <item x="332"/>
        <item x="966"/>
        <item x="993"/>
        <item x="743"/>
        <item x="177"/>
        <item x="754"/>
        <item x="275"/>
        <item x="889"/>
        <item x="1150"/>
        <item x="1113"/>
        <item x="668"/>
        <item x="545"/>
        <item x="182"/>
        <item x="1169"/>
        <item x="1050"/>
        <item x="699"/>
        <item x="1013"/>
        <item x="859"/>
        <item x="746"/>
        <item x="704"/>
        <item x="667"/>
        <item x="503"/>
        <item x="969"/>
        <item x="977"/>
        <item x="292"/>
        <item x="899"/>
        <item x="209"/>
        <item x="14"/>
        <item x="496"/>
        <item x="594"/>
        <item x="1064"/>
        <item x="1158"/>
        <item x="160"/>
        <item x="341"/>
        <item x="737"/>
        <item x="207"/>
        <item x="569"/>
        <item x="799"/>
        <item x="904"/>
        <item x="1061"/>
        <item x="828"/>
        <item x="271"/>
        <item x="59"/>
        <item x="257"/>
        <item x="123"/>
        <item x="148"/>
        <item x="1074"/>
        <item x="270"/>
        <item x="189"/>
        <item x="67"/>
        <item x="741"/>
        <item x="223"/>
        <item x="409"/>
        <item x="710"/>
        <item x="760"/>
        <item x="76"/>
        <item x="178"/>
        <item x="1133"/>
        <item x="125"/>
        <item x="621"/>
        <item x="549"/>
        <item x="1051"/>
        <item x="627"/>
        <item x="15"/>
        <item x="146"/>
        <item x="880"/>
        <item x="748"/>
        <item x="448"/>
        <item x="1132"/>
        <item x="336"/>
        <item x="414"/>
        <item x="347"/>
        <item x="384"/>
        <item x="689"/>
        <item x="747"/>
        <item x="167"/>
        <item x="573"/>
        <item x="452"/>
        <item x="174"/>
        <item x="1118"/>
        <item x="525"/>
        <item x="86"/>
        <item x="516"/>
        <item x="813"/>
        <item x="1098"/>
        <item x="725"/>
        <item x="66"/>
        <item x="85"/>
        <item x="434"/>
        <item x="396"/>
        <item x="575"/>
        <item x="415"/>
        <item x="908"/>
        <item x="1123"/>
        <item x="1037"/>
        <item x="58"/>
        <item x="318"/>
        <item x="870"/>
        <item x="700"/>
        <item x="734"/>
        <item x="144"/>
        <item x="60"/>
        <item x="457"/>
        <item x="235"/>
        <item x="98"/>
        <item x="1067"/>
        <item x="395"/>
        <item x="191"/>
        <item x="201"/>
        <item x="891"/>
        <item x="127"/>
        <item x="19"/>
        <item x="152"/>
        <item x="44"/>
        <item x="773"/>
        <item x="933"/>
        <item x="537"/>
        <item x="142"/>
        <item x="309"/>
        <item x="688"/>
        <item x="1103"/>
        <item x="876"/>
        <item x="584"/>
        <item x="298"/>
        <item x="20"/>
        <item x="429"/>
        <item x="212"/>
        <item x="368"/>
        <item x="877"/>
        <item x="248"/>
        <item x="159"/>
        <item x="1020"/>
        <item x="443"/>
        <item x="308"/>
        <item x="1164"/>
        <item x="629"/>
        <item x="286"/>
        <item x="1172"/>
        <item x="871"/>
        <item x="230"/>
        <item x="784"/>
        <item x="1086"/>
        <item x="114"/>
        <item x="714"/>
        <item x="695"/>
        <item x="324"/>
        <item x="462"/>
        <item x="4"/>
        <item x="680"/>
        <item x="1152"/>
        <item x="717"/>
        <item x="502"/>
        <item x="659"/>
        <item x="843"/>
        <item x="500"/>
        <item x="1136"/>
        <item x="1140"/>
        <item x="596"/>
        <item x="605"/>
        <item x="321"/>
        <item x="845"/>
        <item x="706"/>
        <item x="589"/>
        <item x="1173"/>
        <item x="1069"/>
        <item x="193"/>
        <item x="422"/>
        <item x="957"/>
        <item x="869"/>
        <item x="735"/>
        <item x="99"/>
        <item x="672"/>
        <item x="1023"/>
        <item x="451"/>
        <item x="268"/>
        <item x="54"/>
        <item x="964"/>
        <item x="350"/>
        <item x="965"/>
        <item x="187"/>
        <item x="855"/>
        <item x="1034"/>
        <item x="938"/>
        <item x="1058"/>
        <item x="1081"/>
        <item x="981"/>
        <item x="866"/>
        <item x="950"/>
        <item x="558"/>
        <item x="449"/>
        <item x="387"/>
        <item x="1094"/>
        <item x="1108"/>
        <item x="882"/>
        <item x="864"/>
        <item x="50"/>
        <item x="170"/>
        <item x="1170"/>
        <item x="228"/>
        <item x="872"/>
        <item x="1159"/>
        <item x="180"/>
        <item x="907"/>
        <item x="783"/>
        <item x="1085"/>
        <item x="391"/>
        <item x="504"/>
        <item x="222"/>
        <item x="7"/>
        <item x="371"/>
        <item x="1124"/>
        <item x="30"/>
        <item x="1049"/>
        <item x="416"/>
        <item x="895"/>
        <item x="836"/>
        <item x="433"/>
        <item x="124"/>
        <item x="220"/>
        <item x="615"/>
        <item x="807"/>
        <item x="390"/>
        <item x="506"/>
        <item x="378"/>
        <item x="632"/>
        <item x="134"/>
        <item x="1165"/>
        <item x="1144"/>
        <item x="613"/>
        <item x="258"/>
        <item x="1134"/>
        <item x="69"/>
        <item x="1001"/>
        <item x="1119"/>
        <item x="1066"/>
        <item x="730"/>
        <item x="587"/>
        <item x="194"/>
        <item x="31"/>
        <item x="685"/>
        <item x="745"/>
        <item x="603"/>
        <item x="95"/>
        <item x="355"/>
        <item x="721"/>
        <item x="1040"/>
        <item x="96"/>
        <item x="540"/>
        <item x="959"/>
        <item x="600"/>
        <item x="920"/>
        <item x="592"/>
        <item x="677"/>
        <item x="485"/>
        <item x="764"/>
        <item x="1060"/>
        <item x="556"/>
        <item x="529"/>
        <item x="255"/>
        <item x="109"/>
        <item x="535"/>
        <item x="676"/>
        <item x="850"/>
        <item x="947"/>
        <item x="515"/>
        <item x="932"/>
        <item x="856"/>
        <item x="402"/>
        <item x="896"/>
        <item x="476"/>
        <item x="736"/>
        <item x="1092"/>
        <item x="732"/>
        <item x="656"/>
        <item x="624"/>
        <item x="246"/>
        <item x="0"/>
        <item x="884"/>
        <item x="1018"/>
        <item x="280"/>
        <item x="809"/>
        <item x="551"/>
        <item x="1168"/>
        <item x="1117"/>
        <item x="1131"/>
        <item x="1129"/>
        <item x="599"/>
        <item x="155"/>
        <item x="798"/>
        <item x="1021"/>
        <item x="139"/>
        <item x="772"/>
        <item x="562"/>
        <item x="948"/>
        <item x="507"/>
        <item x="1153"/>
        <item x="1090"/>
        <item x="100"/>
        <item x="542"/>
        <item x="107"/>
        <item x="1110"/>
        <item x="1096"/>
        <item x="1125"/>
        <item x="729"/>
        <item x="374"/>
        <item x="1048"/>
        <item x="216"/>
        <item x="1100"/>
        <item x="46"/>
        <item x="126"/>
        <item x="326"/>
        <item x="788"/>
        <item x="1078"/>
        <item x="198"/>
        <item x="1093"/>
        <item x="838"/>
        <item x="380"/>
        <item x="1041"/>
        <item x="767"/>
        <item x="199"/>
        <item x="911"/>
        <item x="1054"/>
        <item x="63"/>
        <item x="362"/>
        <item x="307"/>
        <item x="886"/>
        <item x="583"/>
        <item x="245"/>
        <item x="1016"/>
        <item x="988"/>
        <item x="669"/>
        <item x="12"/>
        <item x="251"/>
        <item x="598"/>
        <item x="497"/>
        <item x="579"/>
        <item x="777"/>
        <item x="317"/>
        <item x="373"/>
        <item x="151"/>
        <item x="135"/>
        <item x="1033"/>
        <item x="427"/>
        <item x="18"/>
        <item x="74"/>
        <item x="1106"/>
        <item x="249"/>
        <item x="225"/>
        <item x="36"/>
        <item x="192"/>
        <item x="842"/>
        <item x="709"/>
        <item x="218"/>
        <item x="792"/>
        <item x="679"/>
        <item x="25"/>
        <item x="806"/>
        <item x="707"/>
        <item x="1075"/>
        <item x="1076"/>
        <item x="305"/>
        <item x="810"/>
        <item x="482"/>
        <item x="113"/>
        <item x="176"/>
        <item x="1156"/>
        <item x="322"/>
        <item x="111"/>
        <item x="892"/>
        <item x="204"/>
        <item x="217"/>
        <item x="909"/>
        <item x="75"/>
        <item x="296"/>
        <item x="337"/>
        <item x="1101"/>
        <item x="456"/>
        <item x="644"/>
        <item x="366"/>
        <item x="744"/>
        <item x="646"/>
        <item x="285"/>
        <item x="666"/>
        <item x="566"/>
        <item x="272"/>
        <item x="906"/>
        <item x="975"/>
        <item x="1030"/>
        <item x="360"/>
        <item x="5"/>
        <item x="234"/>
        <item x="664"/>
        <item x="488"/>
        <item x="612"/>
        <item x="863"/>
        <item x="80"/>
        <item x="1080"/>
        <item x="1005"/>
        <item x="643"/>
        <item x="256"/>
        <item x="705"/>
        <item x="1171"/>
        <item x="243"/>
        <item x="802"/>
        <item x="776"/>
        <item x="992"/>
        <item x="640"/>
        <item x="242"/>
        <item x="23"/>
        <item x="527"/>
        <item x="921"/>
        <item x="693"/>
        <item x="254"/>
        <item x="53"/>
        <item x="461"/>
        <item x="439"/>
        <item x="428"/>
        <item x="678"/>
        <item x="712"/>
        <item x="312"/>
        <item x="1135"/>
        <item x="265"/>
        <item x="1142"/>
        <item x="195"/>
        <item x="239"/>
        <item x="367"/>
        <item x="389"/>
        <item x="227"/>
        <item x="169"/>
        <item x="868"/>
        <item x="475"/>
        <item x="989"/>
        <item x="1071"/>
        <item x="661"/>
        <item x="739"/>
        <item x="552"/>
        <item x="381"/>
        <item x="1143"/>
        <item x="411"/>
        <item x="173"/>
        <item x="544"/>
        <item x="974"/>
        <item x="215"/>
        <item x="226"/>
        <item x="711"/>
        <item x="419"/>
        <item x="593"/>
        <item x="536"/>
        <item x="369"/>
        <item x="955"/>
        <item x="229"/>
        <item x="162"/>
        <item x="13"/>
        <item x="564"/>
        <item x="787"/>
        <item x="1178"/>
        <item x="263"/>
        <item x="769"/>
        <item x="915"/>
        <item x="1065"/>
        <item x="952"/>
        <item x="334"/>
        <item x="51"/>
        <item x="512"/>
        <item x="1019"/>
        <item x="1000"/>
        <item x="423"/>
        <item x="73"/>
        <item x="447"/>
        <item x="421"/>
        <item x="27"/>
        <item x="314"/>
        <item x="931"/>
        <item x="718"/>
        <item x="481"/>
        <item x="867"/>
        <item x="132"/>
        <item x="505"/>
        <item x="490"/>
        <item x="487"/>
        <item x="954"/>
        <item x="853"/>
        <item x="924"/>
        <item x="1068"/>
        <item x="637"/>
        <item x="835"/>
        <item x="284"/>
        <item x="478"/>
        <item x="848"/>
        <item x="171"/>
        <item x="722"/>
        <item x="847"/>
        <item x="762"/>
        <item x="283"/>
        <item x="1003"/>
        <item x="962"/>
        <item x="756"/>
        <item x="288"/>
        <item x="618"/>
        <item x="740"/>
        <item x="641"/>
        <item x="196"/>
        <item x="1004"/>
        <item x="72"/>
        <item x="660"/>
        <item x="841"/>
        <item x="6"/>
        <item x="935"/>
        <item x="115"/>
        <item x="1115"/>
        <item x="1091"/>
        <item x="262"/>
        <item x="946"/>
        <item x="731"/>
        <item x="357"/>
        <item x="591"/>
        <item x="765"/>
        <item x="639"/>
        <item x="244"/>
        <item x="1024"/>
        <item x="534"/>
        <item x="200"/>
        <item x="438"/>
        <item x="393"/>
        <item x="184"/>
        <item x="943"/>
        <item x="454"/>
        <item x="346"/>
        <item x="266"/>
        <item x="91"/>
        <item x="635"/>
        <item x="758"/>
        <item x="219"/>
        <item x="820"/>
        <item x="890"/>
        <item x="690"/>
        <item x="919"/>
        <item x="133"/>
        <item x="985"/>
        <item x="1022"/>
        <item x="1177"/>
        <item x="528"/>
        <item x="70"/>
        <item x="320"/>
        <item x="471"/>
        <item x="466"/>
        <item x="210"/>
        <item x="829"/>
        <item x="432"/>
        <item x="213"/>
        <item x="1114"/>
        <item x="782"/>
        <item x="376"/>
        <item x="420"/>
        <item x="1026"/>
        <item x="1116"/>
        <item x="412"/>
        <item x="720"/>
        <item x="9"/>
        <item x="1007"/>
        <item x="289"/>
        <item x="774"/>
        <item x="78"/>
        <item x="565"/>
        <item x="804"/>
        <item x="691"/>
        <item x="472"/>
        <item x="375"/>
        <item x="858"/>
        <item x="982"/>
        <item x="570"/>
        <item x="108"/>
        <item x="388"/>
        <item x="796"/>
        <item x="521"/>
        <item x="33"/>
        <item x="970"/>
        <item x="1176"/>
        <item x="779"/>
        <item x="165"/>
        <item x="1097"/>
        <item x="995"/>
        <item x="304"/>
        <item x="328"/>
        <item t="default"/>
      </items>
    </pivotField>
    <pivotField numFmtId="166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Amount" fld="11" baseField="0" baseItem="0" numFmtId="3"/>
    <dataField name="Average of Total Amount2" fld="11" subtotal="average" baseField="8" baseItem="0" numFmtId="3"/>
    <dataField name="Max of Total Amount2" fld="11" subtotal="max" baseField="8" baseItem="0" numFmtId="3"/>
    <dataField name="Count of Total Amount2" fld="1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6F79D-6BEB-41ED-9A0C-69DC8F9586F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F45" firstHeaderRow="0" firstDataRow="1" firstDataCol="1"/>
  <pivotFields count="13">
    <pivotField showAll="0">
      <items count="1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showAll="0">
      <items count="7">
        <item x="4"/>
        <item x="3"/>
        <item x="2"/>
        <item x="5"/>
        <item x="0"/>
        <item x="1"/>
        <item t="default"/>
      </items>
    </pivotField>
    <pivotField axis="axisRow" showAll="0">
      <items count="9">
        <item x="6"/>
        <item x="0"/>
        <item x="2"/>
        <item x="7"/>
        <item x="3"/>
        <item x="5"/>
        <item x="1"/>
        <item x="4"/>
        <item t="default"/>
      </items>
    </pivotField>
    <pivotField showAll="0">
      <items count="11">
        <item x="9"/>
        <item x="7"/>
        <item x="3"/>
        <item x="5"/>
        <item x="0"/>
        <item x="6"/>
        <item x="4"/>
        <item x="1"/>
        <item x="8"/>
        <item x="2"/>
        <item t="default"/>
      </items>
    </pivotField>
    <pivotField showAll="0">
      <items count="41">
        <item x="29"/>
        <item x="2"/>
        <item x="33"/>
        <item x="1"/>
        <item x="14"/>
        <item x="12"/>
        <item x="32"/>
        <item x="28"/>
        <item x="21"/>
        <item x="16"/>
        <item x="18"/>
        <item x="25"/>
        <item x="6"/>
        <item x="27"/>
        <item x="13"/>
        <item x="39"/>
        <item x="10"/>
        <item x="19"/>
        <item x="34"/>
        <item x="3"/>
        <item x="11"/>
        <item x="26"/>
        <item x="31"/>
        <item x="22"/>
        <item x="35"/>
        <item x="23"/>
        <item x="4"/>
        <item x="20"/>
        <item x="8"/>
        <item x="36"/>
        <item x="5"/>
        <item x="0"/>
        <item x="17"/>
        <item x="15"/>
        <item x="38"/>
        <item x="7"/>
        <item x="30"/>
        <item x="24"/>
        <item x="37"/>
        <item x="9"/>
        <item t="default"/>
      </items>
    </pivotField>
    <pivotField showAll="0"/>
    <pivotField showAll="0">
      <items count="93">
        <item x="31"/>
        <item x="72"/>
        <item x="20"/>
        <item x="38"/>
        <item x="42"/>
        <item x="1"/>
        <item x="65"/>
        <item x="90"/>
        <item x="4"/>
        <item x="41"/>
        <item x="25"/>
        <item x="83"/>
        <item x="59"/>
        <item x="12"/>
        <item x="5"/>
        <item x="9"/>
        <item x="7"/>
        <item x="67"/>
        <item x="10"/>
        <item x="52"/>
        <item x="8"/>
        <item x="51"/>
        <item x="13"/>
        <item x="21"/>
        <item x="35"/>
        <item x="82"/>
        <item x="46"/>
        <item x="61"/>
        <item x="19"/>
        <item x="23"/>
        <item x="11"/>
        <item x="64"/>
        <item x="37"/>
        <item x="84"/>
        <item x="81"/>
        <item x="91"/>
        <item x="3"/>
        <item x="68"/>
        <item x="53"/>
        <item x="70"/>
        <item x="33"/>
        <item x="50"/>
        <item x="88"/>
        <item x="75"/>
        <item x="47"/>
        <item x="6"/>
        <item x="78"/>
        <item x="36"/>
        <item x="57"/>
        <item x="34"/>
        <item x="87"/>
        <item x="74"/>
        <item x="54"/>
        <item x="45"/>
        <item x="22"/>
        <item x="71"/>
        <item x="16"/>
        <item x="18"/>
        <item x="30"/>
        <item x="79"/>
        <item x="56"/>
        <item x="66"/>
        <item x="27"/>
        <item x="28"/>
        <item x="17"/>
        <item x="86"/>
        <item x="63"/>
        <item x="26"/>
        <item x="85"/>
        <item x="76"/>
        <item x="60"/>
        <item x="32"/>
        <item x="39"/>
        <item x="69"/>
        <item x="0"/>
        <item x="15"/>
        <item x="24"/>
        <item x="62"/>
        <item x="14"/>
        <item x="2"/>
        <item x="55"/>
        <item x="49"/>
        <item x="44"/>
        <item x="40"/>
        <item x="43"/>
        <item x="58"/>
        <item x="29"/>
        <item x="77"/>
        <item x="73"/>
        <item x="80"/>
        <item x="89"/>
        <item x="48"/>
        <item t="default"/>
      </items>
    </pivotField>
    <pivotField showAll="0"/>
    <pivotField showAll="0"/>
    <pivotField numFmtId="165" showAll="0"/>
    <pivotField showAll="0">
      <items count="7">
        <item x="1"/>
        <item x="0"/>
        <item x="4"/>
        <item x="2"/>
        <item x="5"/>
        <item x="3"/>
        <item t="default"/>
      </items>
    </pivotField>
    <pivotField dataField="1" numFmtId="3" showAll="0">
      <items count="1181">
        <item x="463"/>
        <item x="800"/>
        <item x="509"/>
        <item x="604"/>
        <item x="120"/>
        <item x="961"/>
        <item x="508"/>
        <item x="953"/>
        <item x="881"/>
        <item x="161"/>
        <item x="1149"/>
        <item x="273"/>
        <item x="1145"/>
        <item x="16"/>
        <item x="1072"/>
        <item x="237"/>
        <item x="822"/>
        <item x="642"/>
        <item x="548"/>
        <item x="354"/>
        <item x="979"/>
        <item x="435"/>
        <item x="652"/>
        <item x="1138"/>
        <item x="560"/>
        <item x="118"/>
        <item x="29"/>
        <item x="131"/>
        <item x="22"/>
        <item x="650"/>
        <item x="1084"/>
        <item x="816"/>
        <item x="571"/>
        <item x="697"/>
        <item x="186"/>
        <item x="459"/>
        <item x="1008"/>
        <item x="999"/>
        <item x="925"/>
        <item x="738"/>
        <item x="715"/>
        <item x="546"/>
        <item x="10"/>
        <item x="442"/>
        <item x="673"/>
        <item x="17"/>
        <item x="1035"/>
        <item x="997"/>
        <item x="397"/>
        <item x="479"/>
        <item x="386"/>
        <item x="224"/>
        <item x="837"/>
        <item x="557"/>
        <item x="785"/>
        <item x="188"/>
        <item x="846"/>
        <item x="833"/>
        <item x="460"/>
        <item x="901"/>
        <item x="291"/>
        <item x="382"/>
        <item x="971"/>
        <item x="940"/>
        <item x="873"/>
        <item x="825"/>
        <item x="654"/>
        <item x="789"/>
        <item x="404"/>
        <item x="1127"/>
        <item x="865"/>
        <item x="181"/>
        <item x="944"/>
        <item x="1043"/>
        <item x="372"/>
        <item x="68"/>
        <item x="1104"/>
        <item x="831"/>
        <item x="1009"/>
        <item x="353"/>
        <item x="759"/>
        <item x="795"/>
        <item x="1155"/>
        <item x="136"/>
        <item x="628"/>
        <item x="8"/>
        <item x="103"/>
        <item x="1109"/>
        <item x="491"/>
        <item x="620"/>
        <item x="300"/>
        <item x="294"/>
        <item x="1053"/>
        <item x="153"/>
        <item x="197"/>
        <item x="137"/>
        <item x="682"/>
        <item x="1031"/>
        <item x="1088"/>
        <item x="786"/>
        <item x="814"/>
        <item x="862"/>
        <item x="713"/>
        <item x="949"/>
        <item x="631"/>
        <item x="425"/>
        <item x="1166"/>
        <item x="1099"/>
        <item x="331"/>
        <item x="1027"/>
        <item x="122"/>
        <item x="1157"/>
        <item x="49"/>
        <item x="52"/>
        <item x="141"/>
        <item x="781"/>
        <item x="325"/>
        <item x="823"/>
        <item x="41"/>
        <item x="61"/>
        <item x="808"/>
        <item x="232"/>
        <item x="879"/>
        <item x="616"/>
        <item x="253"/>
        <item x="623"/>
        <item x="316"/>
        <item x="208"/>
        <item x="645"/>
        <item x="755"/>
        <item x="274"/>
        <item x="511"/>
        <item x="553"/>
        <item x="951"/>
        <item x="1047"/>
        <item x="431"/>
        <item x="394"/>
        <item x="407"/>
        <item x="175"/>
        <item x="818"/>
        <item x="338"/>
        <item x="638"/>
        <item x="812"/>
        <item x="340"/>
        <item x="929"/>
        <item x="945"/>
        <item x="703"/>
        <item x="1111"/>
        <item x="104"/>
        <item x="323"/>
        <item x="790"/>
        <item x="480"/>
        <item x="597"/>
        <item x="149"/>
        <item x="903"/>
        <item x="803"/>
        <item x="998"/>
        <item x="185"/>
        <item x="57"/>
        <item x="555"/>
        <item x="588"/>
        <item x="547"/>
        <item x="1107"/>
        <item x="399"/>
        <item x="319"/>
        <item x="38"/>
        <item x="295"/>
        <item x="260"/>
        <item x="377"/>
        <item x="775"/>
        <item x="902"/>
        <item x="467"/>
        <item x="524"/>
        <item x="143"/>
        <item x="568"/>
        <item x="28"/>
        <item x="585"/>
        <item x="385"/>
        <item x="1126"/>
        <item x="1154"/>
        <item x="687"/>
        <item x="663"/>
        <item x="221"/>
        <item x="960"/>
        <item x="356"/>
        <item x="927"/>
        <item x="241"/>
        <item x="303"/>
        <item x="840"/>
        <item x="905"/>
        <item x="1"/>
        <item x="424"/>
        <item x="609"/>
        <item x="1055"/>
        <item x="878"/>
        <item x="1167"/>
        <item x="757"/>
        <item x="426"/>
        <item x="582"/>
        <item x="973"/>
        <item x="348"/>
        <item x="106"/>
        <item x="727"/>
        <item x="446"/>
        <item x="484"/>
        <item x="202"/>
        <item x="3"/>
        <item x="252"/>
        <item x="94"/>
        <item x="683"/>
        <item x="761"/>
        <item x="345"/>
        <item x="647"/>
        <item x="417"/>
        <item x="21"/>
        <item x="675"/>
        <item x="590"/>
        <item x="410"/>
        <item x="749"/>
        <item x="116"/>
        <item x="233"/>
        <item x="1148"/>
        <item x="93"/>
        <item x="281"/>
        <item x="183"/>
        <item x="1032"/>
        <item x="1077"/>
        <item x="698"/>
        <item x="310"/>
        <item x="692"/>
        <item x="967"/>
        <item x="37"/>
        <item x="972"/>
        <item x="493"/>
        <item x="1073"/>
        <item x="282"/>
        <item x="1082"/>
        <item x="342"/>
        <item x="211"/>
        <item x="894"/>
        <item x="538"/>
        <item x="821"/>
        <item x="105"/>
        <item x="172"/>
        <item x="543"/>
        <item x="649"/>
        <item x="563"/>
        <item x="805"/>
        <item x="468"/>
        <item x="893"/>
        <item x="464"/>
        <item x="101"/>
        <item x="671"/>
        <item x="994"/>
        <item x="276"/>
        <item x="733"/>
        <item x="572"/>
        <item x="883"/>
        <item x="574"/>
        <item x="214"/>
        <item x="601"/>
        <item x="636"/>
        <item x="701"/>
        <item x="1017"/>
        <item x="849"/>
        <item x="928"/>
        <item x="917"/>
        <item x="470"/>
        <item x="306"/>
        <item x="839"/>
        <item x="531"/>
        <item x="586"/>
        <item x="936"/>
        <item x="327"/>
        <item x="939"/>
        <item x="179"/>
        <item x="299"/>
        <item x="875"/>
        <item x="1112"/>
        <item x="112"/>
        <item x="445"/>
        <item x="349"/>
        <item x="358"/>
        <item x="768"/>
        <item x="501"/>
        <item x="750"/>
        <item x="580"/>
        <item x="728"/>
        <item x="958"/>
        <item x="465"/>
        <item x="333"/>
        <item x="976"/>
        <item x="918"/>
        <item x="815"/>
        <item x="150"/>
        <item x="1036"/>
        <item x="861"/>
        <item x="937"/>
        <item x="47"/>
        <item x="801"/>
        <item x="670"/>
        <item x="140"/>
        <item x="885"/>
        <item x="302"/>
        <item x="657"/>
        <item x="329"/>
        <item x="1029"/>
        <item x="1010"/>
        <item x="1044"/>
        <item x="811"/>
        <item x="934"/>
        <item x="55"/>
        <item x="956"/>
        <item x="651"/>
        <item x="88"/>
        <item x="119"/>
        <item x="430"/>
        <item x="996"/>
        <item x="614"/>
        <item x="383"/>
        <item x="138"/>
        <item x="166"/>
        <item x="71"/>
        <item x="857"/>
        <item x="522"/>
        <item x="827"/>
        <item x="441"/>
        <item x="311"/>
        <item x="1163"/>
        <item x="121"/>
        <item x="577"/>
        <item x="1102"/>
        <item x="87"/>
        <item x="696"/>
        <item x="576"/>
        <item x="826"/>
        <item x="980"/>
        <item x="236"/>
        <item x="912"/>
        <item x="1161"/>
        <item x="408"/>
        <item x="860"/>
        <item x="351"/>
        <item x="79"/>
        <item x="844"/>
        <item x="240"/>
        <item x="771"/>
        <item x="1046"/>
        <item x="313"/>
        <item x="84"/>
        <item x="1012"/>
        <item x="819"/>
        <item x="530"/>
        <item x="791"/>
        <item x="206"/>
        <item x="40"/>
        <item x="900"/>
        <item x="941"/>
        <item x="914"/>
        <item x="742"/>
        <item x="753"/>
        <item x="658"/>
        <item x="1160"/>
        <item x="32"/>
        <item x="483"/>
        <item x="1175"/>
        <item x="440"/>
        <item x="56"/>
        <item x="330"/>
        <item x="533"/>
        <item x="1162"/>
        <item x="602"/>
        <item x="517"/>
        <item x="45"/>
        <item x="987"/>
        <item x="726"/>
        <item x="145"/>
        <item x="1052"/>
        <item x="489"/>
        <item x="716"/>
        <item x="1095"/>
        <item x="606"/>
        <item x="203"/>
        <item x="458"/>
        <item x="90"/>
        <item x="117"/>
        <item x="633"/>
        <item x="279"/>
        <item x="1042"/>
        <item x="352"/>
        <item x="898"/>
        <item x="617"/>
        <item x="888"/>
        <item x="526"/>
        <item x="293"/>
        <item x="983"/>
        <item x="400"/>
        <item x="1056"/>
        <item x="469"/>
        <item x="164"/>
        <item x="684"/>
        <item x="834"/>
        <item x="550"/>
        <item x="370"/>
        <item x="523"/>
        <item x="630"/>
        <item x="724"/>
        <item x="418"/>
        <item x="702"/>
        <item x="963"/>
        <item x="339"/>
        <item x="567"/>
        <item x="231"/>
        <item x="261"/>
        <item x="259"/>
        <item x="930"/>
        <item x="444"/>
        <item x="398"/>
        <item x="665"/>
        <item x="778"/>
        <item x="942"/>
        <item x="110"/>
        <item x="11"/>
        <item x="290"/>
        <item x="1015"/>
        <item x="453"/>
        <item x="301"/>
        <item x="619"/>
        <item x="477"/>
        <item x="1025"/>
        <item x="626"/>
        <item x="250"/>
        <item x="365"/>
        <item x="34"/>
        <item x="554"/>
        <item x="147"/>
        <item x="852"/>
        <item x="681"/>
        <item x="495"/>
        <item x="1063"/>
        <item x="797"/>
        <item x="1059"/>
        <item x="247"/>
        <item x="129"/>
        <item x="403"/>
        <item x="473"/>
        <item x="39"/>
        <item x="130"/>
        <item x="1028"/>
        <item x="1179"/>
        <item x="874"/>
        <item x="990"/>
        <item x="1070"/>
        <item x="486"/>
        <item x="923"/>
        <item x="401"/>
        <item x="62"/>
        <item x="648"/>
        <item x="128"/>
        <item x="287"/>
        <item x="267"/>
        <item x="97"/>
        <item x="1174"/>
        <item x="1121"/>
        <item x="81"/>
        <item x="205"/>
        <item x="1006"/>
        <item x="413"/>
        <item x="277"/>
        <item x="751"/>
        <item x="719"/>
        <item x="514"/>
        <item x="887"/>
        <item x="364"/>
        <item x="723"/>
        <item x="278"/>
        <item x="35"/>
        <item x="513"/>
        <item x="780"/>
        <item x="1039"/>
        <item x="991"/>
        <item x="363"/>
        <item x="595"/>
        <item x="1038"/>
        <item x="1002"/>
        <item x="1011"/>
        <item x="436"/>
        <item x="392"/>
        <item x="65"/>
        <item x="297"/>
        <item x="793"/>
        <item x="1057"/>
        <item x="653"/>
        <item x="343"/>
        <item x="541"/>
        <item x="359"/>
        <item x="335"/>
        <item x="752"/>
        <item x="897"/>
        <item x="561"/>
        <item x="450"/>
        <item x="315"/>
        <item x="1087"/>
        <item x="986"/>
        <item x="24"/>
        <item x="157"/>
        <item x="1130"/>
        <item x="1120"/>
        <item x="610"/>
        <item x="77"/>
        <item x="1151"/>
        <item x="832"/>
        <item x="494"/>
        <item x="1128"/>
        <item x="916"/>
        <item x="344"/>
        <item x="1083"/>
        <item x="674"/>
        <item x="238"/>
        <item x="984"/>
        <item x="379"/>
        <item x="26"/>
        <item x="532"/>
        <item x="498"/>
        <item x="625"/>
        <item x="520"/>
        <item x="968"/>
        <item x="1139"/>
        <item x="42"/>
        <item x="154"/>
        <item x="662"/>
        <item x="830"/>
        <item x="168"/>
        <item x="361"/>
        <item x="1147"/>
        <item x="1079"/>
        <item x="581"/>
        <item x="499"/>
        <item x="1146"/>
        <item x="518"/>
        <item x="608"/>
        <item x="89"/>
        <item x="611"/>
        <item x="455"/>
        <item x="264"/>
        <item x="158"/>
        <item x="82"/>
        <item x="1089"/>
        <item x="1122"/>
        <item x="48"/>
        <item x="492"/>
        <item x="510"/>
        <item x="405"/>
        <item x="607"/>
        <item x="1014"/>
        <item x="156"/>
        <item x="578"/>
        <item x="926"/>
        <item x="622"/>
        <item x="406"/>
        <item x="770"/>
        <item x="766"/>
        <item x="269"/>
        <item x="824"/>
        <item x="64"/>
        <item x="634"/>
        <item x="763"/>
        <item x="922"/>
        <item x="910"/>
        <item x="539"/>
        <item x="817"/>
        <item x="190"/>
        <item x="92"/>
        <item x="1137"/>
        <item x="163"/>
        <item x="708"/>
        <item x="83"/>
        <item x="519"/>
        <item x="854"/>
        <item x="1062"/>
        <item x="1141"/>
        <item x="978"/>
        <item x="694"/>
        <item x="102"/>
        <item x="913"/>
        <item x="474"/>
        <item x="43"/>
        <item x="686"/>
        <item x="2"/>
        <item x="655"/>
        <item x="1045"/>
        <item x="559"/>
        <item x="794"/>
        <item x="851"/>
        <item x="1105"/>
        <item x="437"/>
        <item x="332"/>
        <item x="966"/>
        <item x="993"/>
        <item x="743"/>
        <item x="177"/>
        <item x="754"/>
        <item x="275"/>
        <item x="889"/>
        <item x="1150"/>
        <item x="1113"/>
        <item x="668"/>
        <item x="545"/>
        <item x="182"/>
        <item x="1169"/>
        <item x="1050"/>
        <item x="699"/>
        <item x="1013"/>
        <item x="859"/>
        <item x="746"/>
        <item x="704"/>
        <item x="667"/>
        <item x="503"/>
        <item x="969"/>
        <item x="977"/>
        <item x="292"/>
        <item x="899"/>
        <item x="209"/>
        <item x="14"/>
        <item x="496"/>
        <item x="594"/>
        <item x="1064"/>
        <item x="1158"/>
        <item x="160"/>
        <item x="341"/>
        <item x="737"/>
        <item x="207"/>
        <item x="569"/>
        <item x="799"/>
        <item x="904"/>
        <item x="1061"/>
        <item x="828"/>
        <item x="271"/>
        <item x="59"/>
        <item x="257"/>
        <item x="123"/>
        <item x="148"/>
        <item x="1074"/>
        <item x="270"/>
        <item x="189"/>
        <item x="67"/>
        <item x="741"/>
        <item x="223"/>
        <item x="409"/>
        <item x="710"/>
        <item x="760"/>
        <item x="76"/>
        <item x="178"/>
        <item x="1133"/>
        <item x="125"/>
        <item x="621"/>
        <item x="549"/>
        <item x="1051"/>
        <item x="627"/>
        <item x="15"/>
        <item x="146"/>
        <item x="880"/>
        <item x="748"/>
        <item x="448"/>
        <item x="1132"/>
        <item x="336"/>
        <item x="414"/>
        <item x="347"/>
        <item x="384"/>
        <item x="689"/>
        <item x="747"/>
        <item x="167"/>
        <item x="573"/>
        <item x="452"/>
        <item x="174"/>
        <item x="1118"/>
        <item x="525"/>
        <item x="86"/>
        <item x="516"/>
        <item x="813"/>
        <item x="1098"/>
        <item x="725"/>
        <item x="66"/>
        <item x="85"/>
        <item x="434"/>
        <item x="396"/>
        <item x="575"/>
        <item x="415"/>
        <item x="908"/>
        <item x="1123"/>
        <item x="1037"/>
        <item x="58"/>
        <item x="318"/>
        <item x="870"/>
        <item x="700"/>
        <item x="734"/>
        <item x="144"/>
        <item x="60"/>
        <item x="457"/>
        <item x="235"/>
        <item x="98"/>
        <item x="1067"/>
        <item x="395"/>
        <item x="191"/>
        <item x="201"/>
        <item x="891"/>
        <item x="127"/>
        <item x="19"/>
        <item x="152"/>
        <item x="44"/>
        <item x="773"/>
        <item x="933"/>
        <item x="537"/>
        <item x="142"/>
        <item x="309"/>
        <item x="688"/>
        <item x="1103"/>
        <item x="876"/>
        <item x="584"/>
        <item x="298"/>
        <item x="20"/>
        <item x="429"/>
        <item x="212"/>
        <item x="368"/>
        <item x="877"/>
        <item x="248"/>
        <item x="159"/>
        <item x="1020"/>
        <item x="443"/>
        <item x="308"/>
        <item x="1164"/>
        <item x="629"/>
        <item x="286"/>
        <item x="1172"/>
        <item x="871"/>
        <item x="230"/>
        <item x="784"/>
        <item x="1086"/>
        <item x="114"/>
        <item x="714"/>
        <item x="695"/>
        <item x="324"/>
        <item x="462"/>
        <item x="4"/>
        <item x="680"/>
        <item x="1152"/>
        <item x="717"/>
        <item x="502"/>
        <item x="659"/>
        <item x="843"/>
        <item x="500"/>
        <item x="1136"/>
        <item x="1140"/>
        <item x="596"/>
        <item x="605"/>
        <item x="321"/>
        <item x="845"/>
        <item x="706"/>
        <item x="589"/>
        <item x="1173"/>
        <item x="1069"/>
        <item x="193"/>
        <item x="422"/>
        <item x="957"/>
        <item x="869"/>
        <item x="735"/>
        <item x="99"/>
        <item x="672"/>
        <item x="1023"/>
        <item x="451"/>
        <item x="268"/>
        <item x="54"/>
        <item x="964"/>
        <item x="350"/>
        <item x="965"/>
        <item x="187"/>
        <item x="855"/>
        <item x="1034"/>
        <item x="938"/>
        <item x="1058"/>
        <item x="1081"/>
        <item x="981"/>
        <item x="866"/>
        <item x="950"/>
        <item x="558"/>
        <item x="449"/>
        <item x="387"/>
        <item x="1094"/>
        <item x="1108"/>
        <item x="882"/>
        <item x="864"/>
        <item x="50"/>
        <item x="170"/>
        <item x="1170"/>
        <item x="228"/>
        <item x="872"/>
        <item x="1159"/>
        <item x="180"/>
        <item x="907"/>
        <item x="783"/>
        <item x="1085"/>
        <item x="391"/>
        <item x="504"/>
        <item x="222"/>
        <item x="7"/>
        <item x="371"/>
        <item x="1124"/>
        <item x="30"/>
        <item x="1049"/>
        <item x="416"/>
        <item x="895"/>
        <item x="836"/>
        <item x="433"/>
        <item x="124"/>
        <item x="220"/>
        <item x="615"/>
        <item x="807"/>
        <item x="390"/>
        <item x="506"/>
        <item x="378"/>
        <item x="632"/>
        <item x="134"/>
        <item x="1165"/>
        <item x="1144"/>
        <item x="613"/>
        <item x="258"/>
        <item x="1134"/>
        <item x="69"/>
        <item x="1001"/>
        <item x="1119"/>
        <item x="1066"/>
        <item x="730"/>
        <item x="587"/>
        <item x="194"/>
        <item x="31"/>
        <item x="685"/>
        <item x="745"/>
        <item x="603"/>
        <item x="95"/>
        <item x="355"/>
        <item x="721"/>
        <item x="1040"/>
        <item x="96"/>
        <item x="540"/>
        <item x="959"/>
        <item x="600"/>
        <item x="920"/>
        <item x="592"/>
        <item x="677"/>
        <item x="485"/>
        <item x="764"/>
        <item x="1060"/>
        <item x="556"/>
        <item x="529"/>
        <item x="255"/>
        <item x="109"/>
        <item x="535"/>
        <item x="676"/>
        <item x="850"/>
        <item x="947"/>
        <item x="515"/>
        <item x="932"/>
        <item x="856"/>
        <item x="402"/>
        <item x="896"/>
        <item x="476"/>
        <item x="736"/>
        <item x="1092"/>
        <item x="732"/>
        <item x="656"/>
        <item x="624"/>
        <item x="246"/>
        <item x="0"/>
        <item x="884"/>
        <item x="1018"/>
        <item x="280"/>
        <item x="809"/>
        <item x="551"/>
        <item x="1168"/>
        <item x="1117"/>
        <item x="1131"/>
        <item x="1129"/>
        <item x="599"/>
        <item x="155"/>
        <item x="798"/>
        <item x="1021"/>
        <item x="139"/>
        <item x="772"/>
        <item x="562"/>
        <item x="948"/>
        <item x="507"/>
        <item x="1153"/>
        <item x="1090"/>
        <item x="100"/>
        <item x="542"/>
        <item x="107"/>
        <item x="1110"/>
        <item x="1096"/>
        <item x="1125"/>
        <item x="729"/>
        <item x="374"/>
        <item x="1048"/>
        <item x="216"/>
        <item x="1100"/>
        <item x="46"/>
        <item x="126"/>
        <item x="326"/>
        <item x="788"/>
        <item x="1078"/>
        <item x="198"/>
        <item x="1093"/>
        <item x="838"/>
        <item x="380"/>
        <item x="1041"/>
        <item x="767"/>
        <item x="199"/>
        <item x="911"/>
        <item x="1054"/>
        <item x="63"/>
        <item x="362"/>
        <item x="307"/>
        <item x="886"/>
        <item x="583"/>
        <item x="245"/>
        <item x="1016"/>
        <item x="988"/>
        <item x="669"/>
        <item x="12"/>
        <item x="251"/>
        <item x="598"/>
        <item x="497"/>
        <item x="579"/>
        <item x="777"/>
        <item x="317"/>
        <item x="373"/>
        <item x="151"/>
        <item x="135"/>
        <item x="1033"/>
        <item x="427"/>
        <item x="18"/>
        <item x="74"/>
        <item x="1106"/>
        <item x="249"/>
        <item x="225"/>
        <item x="36"/>
        <item x="192"/>
        <item x="842"/>
        <item x="709"/>
        <item x="218"/>
        <item x="792"/>
        <item x="679"/>
        <item x="25"/>
        <item x="806"/>
        <item x="707"/>
        <item x="1075"/>
        <item x="1076"/>
        <item x="305"/>
        <item x="810"/>
        <item x="482"/>
        <item x="113"/>
        <item x="176"/>
        <item x="1156"/>
        <item x="322"/>
        <item x="111"/>
        <item x="892"/>
        <item x="204"/>
        <item x="217"/>
        <item x="909"/>
        <item x="75"/>
        <item x="296"/>
        <item x="337"/>
        <item x="1101"/>
        <item x="456"/>
        <item x="644"/>
        <item x="366"/>
        <item x="744"/>
        <item x="646"/>
        <item x="285"/>
        <item x="666"/>
        <item x="566"/>
        <item x="272"/>
        <item x="906"/>
        <item x="975"/>
        <item x="1030"/>
        <item x="360"/>
        <item x="5"/>
        <item x="234"/>
        <item x="664"/>
        <item x="488"/>
        <item x="612"/>
        <item x="863"/>
        <item x="80"/>
        <item x="1080"/>
        <item x="1005"/>
        <item x="643"/>
        <item x="256"/>
        <item x="705"/>
        <item x="1171"/>
        <item x="243"/>
        <item x="802"/>
        <item x="776"/>
        <item x="992"/>
        <item x="640"/>
        <item x="242"/>
        <item x="23"/>
        <item x="527"/>
        <item x="921"/>
        <item x="693"/>
        <item x="254"/>
        <item x="53"/>
        <item x="461"/>
        <item x="439"/>
        <item x="428"/>
        <item x="678"/>
        <item x="712"/>
        <item x="312"/>
        <item x="1135"/>
        <item x="265"/>
        <item x="1142"/>
        <item x="195"/>
        <item x="239"/>
        <item x="367"/>
        <item x="389"/>
        <item x="227"/>
        <item x="169"/>
        <item x="868"/>
        <item x="475"/>
        <item x="989"/>
        <item x="1071"/>
        <item x="661"/>
        <item x="739"/>
        <item x="552"/>
        <item x="381"/>
        <item x="1143"/>
        <item x="411"/>
        <item x="173"/>
        <item x="544"/>
        <item x="974"/>
        <item x="215"/>
        <item x="226"/>
        <item x="711"/>
        <item x="419"/>
        <item x="593"/>
        <item x="536"/>
        <item x="369"/>
        <item x="955"/>
        <item x="229"/>
        <item x="162"/>
        <item x="13"/>
        <item x="564"/>
        <item x="787"/>
        <item x="1178"/>
        <item x="263"/>
        <item x="769"/>
        <item x="915"/>
        <item x="1065"/>
        <item x="952"/>
        <item x="334"/>
        <item x="51"/>
        <item x="512"/>
        <item x="1019"/>
        <item x="1000"/>
        <item x="423"/>
        <item x="73"/>
        <item x="447"/>
        <item x="421"/>
        <item x="27"/>
        <item x="314"/>
        <item x="931"/>
        <item x="718"/>
        <item x="481"/>
        <item x="867"/>
        <item x="132"/>
        <item x="505"/>
        <item x="490"/>
        <item x="487"/>
        <item x="954"/>
        <item x="853"/>
        <item x="924"/>
        <item x="1068"/>
        <item x="637"/>
        <item x="835"/>
        <item x="284"/>
        <item x="478"/>
        <item x="848"/>
        <item x="171"/>
        <item x="722"/>
        <item x="847"/>
        <item x="762"/>
        <item x="283"/>
        <item x="1003"/>
        <item x="962"/>
        <item x="756"/>
        <item x="288"/>
        <item x="618"/>
        <item x="740"/>
        <item x="641"/>
        <item x="196"/>
        <item x="1004"/>
        <item x="72"/>
        <item x="660"/>
        <item x="841"/>
        <item x="6"/>
        <item x="935"/>
        <item x="115"/>
        <item x="1115"/>
        <item x="1091"/>
        <item x="262"/>
        <item x="946"/>
        <item x="731"/>
        <item x="357"/>
        <item x="591"/>
        <item x="765"/>
        <item x="639"/>
        <item x="244"/>
        <item x="1024"/>
        <item x="534"/>
        <item x="200"/>
        <item x="438"/>
        <item x="393"/>
        <item x="184"/>
        <item x="943"/>
        <item x="454"/>
        <item x="346"/>
        <item x="266"/>
        <item x="91"/>
        <item x="635"/>
        <item x="758"/>
        <item x="219"/>
        <item x="820"/>
        <item x="890"/>
        <item x="690"/>
        <item x="919"/>
        <item x="133"/>
        <item x="985"/>
        <item x="1022"/>
        <item x="1177"/>
        <item x="528"/>
        <item x="70"/>
        <item x="320"/>
        <item x="471"/>
        <item x="466"/>
        <item x="210"/>
        <item x="829"/>
        <item x="432"/>
        <item x="213"/>
        <item x="1114"/>
        <item x="782"/>
        <item x="376"/>
        <item x="420"/>
        <item x="1026"/>
        <item x="1116"/>
        <item x="412"/>
        <item x="720"/>
        <item x="9"/>
        <item x="1007"/>
        <item x="289"/>
        <item x="774"/>
        <item x="78"/>
        <item x="565"/>
        <item x="804"/>
        <item x="691"/>
        <item x="472"/>
        <item x="375"/>
        <item x="858"/>
        <item x="982"/>
        <item x="570"/>
        <item x="108"/>
        <item x="388"/>
        <item x="796"/>
        <item x="521"/>
        <item x="33"/>
        <item x="970"/>
        <item x="1176"/>
        <item x="779"/>
        <item x="165"/>
        <item x="1097"/>
        <item x="995"/>
        <item x="304"/>
        <item x="328"/>
        <item t="default"/>
      </items>
    </pivotField>
    <pivotField numFmtId="166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Amount" fld="11" baseField="0" baseItem="0" numFmtId="3"/>
    <dataField name="Count of Total Amount2" fld="11" subtotal="count" baseField="2" baseItem="0"/>
    <dataField name="Average of Total Amount2" fld="11" subtotal="average" baseField="2" baseItem="0" numFmtId="3"/>
    <dataField name="Max of Total Amount2" fld="11" subtotal="max" baseField="2" baseItem="0" numFmtId="3"/>
    <dataField name="Min of Total Amount" fld="11" subtotal="min" baseField="2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5C9B0-6EE5-428A-84A4-765734FA0F4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L34" firstHeaderRow="1" firstDataRow="2" firstDataCol="1"/>
  <pivotFields count="13">
    <pivotField showAll="0">
      <items count="1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showAll="0">
      <items count="7">
        <item x="4"/>
        <item x="3"/>
        <item x="2"/>
        <item x="5"/>
        <item x="0"/>
        <item x="1"/>
        <item t="default"/>
      </items>
    </pivotField>
    <pivotField showAll="0">
      <items count="9">
        <item x="6"/>
        <item x="0"/>
        <item x="2"/>
        <item x="7"/>
        <item x="3"/>
        <item x="5"/>
        <item x="1"/>
        <item x="4"/>
        <item t="default"/>
      </items>
    </pivotField>
    <pivotField axis="axisCol" showAll="0">
      <items count="11">
        <item x="9"/>
        <item x="7"/>
        <item x="3"/>
        <item x="5"/>
        <item x="0"/>
        <item x="6"/>
        <item x="4"/>
        <item x="1"/>
        <item x="8"/>
        <item x="2"/>
        <item t="default"/>
      </items>
    </pivotField>
    <pivotField showAll="0">
      <items count="41">
        <item x="29"/>
        <item x="2"/>
        <item x="33"/>
        <item x="1"/>
        <item x="14"/>
        <item x="12"/>
        <item x="32"/>
        <item x="28"/>
        <item x="21"/>
        <item x="16"/>
        <item x="18"/>
        <item x="25"/>
        <item x="6"/>
        <item x="27"/>
        <item x="13"/>
        <item x="39"/>
        <item x="10"/>
        <item x="19"/>
        <item x="34"/>
        <item x="3"/>
        <item x="11"/>
        <item x="26"/>
        <item x="31"/>
        <item x="22"/>
        <item x="35"/>
        <item x="23"/>
        <item x="4"/>
        <item x="20"/>
        <item x="8"/>
        <item x="36"/>
        <item x="5"/>
        <item x="0"/>
        <item x="17"/>
        <item x="15"/>
        <item x="38"/>
        <item x="7"/>
        <item x="30"/>
        <item x="24"/>
        <item x="37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showAll="0">
      <items count="7">
        <item x="1"/>
        <item x="0"/>
        <item x="4"/>
        <item x="2"/>
        <item x="5"/>
        <item x="3"/>
        <item t="default"/>
      </items>
    </pivotField>
    <pivotField dataField="1" numFmtId="3" showAll="0">
      <items count="1181">
        <item x="463"/>
        <item x="800"/>
        <item x="509"/>
        <item x="604"/>
        <item x="120"/>
        <item x="961"/>
        <item x="508"/>
        <item x="953"/>
        <item x="881"/>
        <item x="161"/>
        <item x="1149"/>
        <item x="273"/>
        <item x="1145"/>
        <item x="16"/>
        <item x="1072"/>
        <item x="237"/>
        <item x="822"/>
        <item x="642"/>
        <item x="548"/>
        <item x="354"/>
        <item x="979"/>
        <item x="435"/>
        <item x="652"/>
        <item x="1138"/>
        <item x="560"/>
        <item x="118"/>
        <item x="29"/>
        <item x="131"/>
        <item x="22"/>
        <item x="650"/>
        <item x="1084"/>
        <item x="816"/>
        <item x="571"/>
        <item x="697"/>
        <item x="186"/>
        <item x="459"/>
        <item x="1008"/>
        <item x="999"/>
        <item x="925"/>
        <item x="738"/>
        <item x="715"/>
        <item x="546"/>
        <item x="10"/>
        <item x="442"/>
        <item x="673"/>
        <item x="17"/>
        <item x="1035"/>
        <item x="997"/>
        <item x="397"/>
        <item x="479"/>
        <item x="386"/>
        <item x="224"/>
        <item x="837"/>
        <item x="557"/>
        <item x="785"/>
        <item x="188"/>
        <item x="846"/>
        <item x="833"/>
        <item x="460"/>
        <item x="901"/>
        <item x="291"/>
        <item x="382"/>
        <item x="971"/>
        <item x="940"/>
        <item x="873"/>
        <item x="825"/>
        <item x="654"/>
        <item x="789"/>
        <item x="404"/>
        <item x="1127"/>
        <item x="865"/>
        <item x="181"/>
        <item x="944"/>
        <item x="1043"/>
        <item x="372"/>
        <item x="68"/>
        <item x="1104"/>
        <item x="831"/>
        <item x="1009"/>
        <item x="353"/>
        <item x="759"/>
        <item x="795"/>
        <item x="1155"/>
        <item x="136"/>
        <item x="628"/>
        <item x="8"/>
        <item x="103"/>
        <item x="1109"/>
        <item x="491"/>
        <item x="620"/>
        <item x="300"/>
        <item x="294"/>
        <item x="1053"/>
        <item x="153"/>
        <item x="197"/>
        <item x="137"/>
        <item x="682"/>
        <item x="1031"/>
        <item x="1088"/>
        <item x="786"/>
        <item x="814"/>
        <item x="862"/>
        <item x="713"/>
        <item x="949"/>
        <item x="631"/>
        <item x="425"/>
        <item x="1166"/>
        <item x="1099"/>
        <item x="331"/>
        <item x="1027"/>
        <item x="122"/>
        <item x="1157"/>
        <item x="49"/>
        <item x="52"/>
        <item x="141"/>
        <item x="781"/>
        <item x="325"/>
        <item x="823"/>
        <item x="41"/>
        <item x="61"/>
        <item x="808"/>
        <item x="232"/>
        <item x="879"/>
        <item x="616"/>
        <item x="253"/>
        <item x="623"/>
        <item x="316"/>
        <item x="208"/>
        <item x="645"/>
        <item x="755"/>
        <item x="274"/>
        <item x="511"/>
        <item x="553"/>
        <item x="951"/>
        <item x="1047"/>
        <item x="431"/>
        <item x="394"/>
        <item x="407"/>
        <item x="175"/>
        <item x="818"/>
        <item x="338"/>
        <item x="638"/>
        <item x="812"/>
        <item x="340"/>
        <item x="929"/>
        <item x="945"/>
        <item x="703"/>
        <item x="1111"/>
        <item x="104"/>
        <item x="323"/>
        <item x="790"/>
        <item x="480"/>
        <item x="597"/>
        <item x="149"/>
        <item x="903"/>
        <item x="803"/>
        <item x="998"/>
        <item x="185"/>
        <item x="57"/>
        <item x="555"/>
        <item x="588"/>
        <item x="547"/>
        <item x="1107"/>
        <item x="399"/>
        <item x="319"/>
        <item x="38"/>
        <item x="295"/>
        <item x="260"/>
        <item x="377"/>
        <item x="775"/>
        <item x="902"/>
        <item x="467"/>
        <item x="524"/>
        <item x="143"/>
        <item x="568"/>
        <item x="28"/>
        <item x="585"/>
        <item x="385"/>
        <item x="1126"/>
        <item x="1154"/>
        <item x="687"/>
        <item x="663"/>
        <item x="221"/>
        <item x="960"/>
        <item x="356"/>
        <item x="927"/>
        <item x="241"/>
        <item x="303"/>
        <item x="840"/>
        <item x="905"/>
        <item x="1"/>
        <item x="424"/>
        <item x="609"/>
        <item x="1055"/>
        <item x="878"/>
        <item x="1167"/>
        <item x="757"/>
        <item x="426"/>
        <item x="582"/>
        <item x="973"/>
        <item x="348"/>
        <item x="106"/>
        <item x="727"/>
        <item x="446"/>
        <item x="484"/>
        <item x="202"/>
        <item x="3"/>
        <item x="252"/>
        <item x="94"/>
        <item x="683"/>
        <item x="761"/>
        <item x="345"/>
        <item x="647"/>
        <item x="417"/>
        <item x="21"/>
        <item x="675"/>
        <item x="590"/>
        <item x="410"/>
        <item x="749"/>
        <item x="116"/>
        <item x="233"/>
        <item x="1148"/>
        <item x="93"/>
        <item x="281"/>
        <item x="183"/>
        <item x="1032"/>
        <item x="1077"/>
        <item x="698"/>
        <item x="310"/>
        <item x="692"/>
        <item x="967"/>
        <item x="37"/>
        <item x="972"/>
        <item x="493"/>
        <item x="1073"/>
        <item x="282"/>
        <item x="1082"/>
        <item x="342"/>
        <item x="211"/>
        <item x="894"/>
        <item x="538"/>
        <item x="821"/>
        <item x="105"/>
        <item x="172"/>
        <item x="543"/>
        <item x="649"/>
        <item x="563"/>
        <item x="805"/>
        <item x="468"/>
        <item x="893"/>
        <item x="464"/>
        <item x="101"/>
        <item x="671"/>
        <item x="994"/>
        <item x="276"/>
        <item x="733"/>
        <item x="572"/>
        <item x="883"/>
        <item x="574"/>
        <item x="214"/>
        <item x="601"/>
        <item x="636"/>
        <item x="701"/>
        <item x="1017"/>
        <item x="849"/>
        <item x="928"/>
        <item x="917"/>
        <item x="470"/>
        <item x="306"/>
        <item x="839"/>
        <item x="531"/>
        <item x="586"/>
        <item x="936"/>
        <item x="327"/>
        <item x="939"/>
        <item x="179"/>
        <item x="299"/>
        <item x="875"/>
        <item x="1112"/>
        <item x="112"/>
        <item x="445"/>
        <item x="349"/>
        <item x="358"/>
        <item x="768"/>
        <item x="501"/>
        <item x="750"/>
        <item x="580"/>
        <item x="728"/>
        <item x="958"/>
        <item x="465"/>
        <item x="333"/>
        <item x="976"/>
        <item x="918"/>
        <item x="815"/>
        <item x="150"/>
        <item x="1036"/>
        <item x="861"/>
        <item x="937"/>
        <item x="47"/>
        <item x="801"/>
        <item x="670"/>
        <item x="140"/>
        <item x="885"/>
        <item x="302"/>
        <item x="657"/>
        <item x="329"/>
        <item x="1029"/>
        <item x="1010"/>
        <item x="1044"/>
        <item x="811"/>
        <item x="934"/>
        <item x="55"/>
        <item x="956"/>
        <item x="651"/>
        <item x="88"/>
        <item x="119"/>
        <item x="430"/>
        <item x="996"/>
        <item x="614"/>
        <item x="383"/>
        <item x="138"/>
        <item x="166"/>
        <item x="71"/>
        <item x="857"/>
        <item x="522"/>
        <item x="827"/>
        <item x="441"/>
        <item x="311"/>
        <item x="1163"/>
        <item x="121"/>
        <item x="577"/>
        <item x="1102"/>
        <item x="87"/>
        <item x="696"/>
        <item x="576"/>
        <item x="826"/>
        <item x="980"/>
        <item x="236"/>
        <item x="912"/>
        <item x="1161"/>
        <item x="408"/>
        <item x="860"/>
        <item x="351"/>
        <item x="79"/>
        <item x="844"/>
        <item x="240"/>
        <item x="771"/>
        <item x="1046"/>
        <item x="313"/>
        <item x="84"/>
        <item x="1012"/>
        <item x="819"/>
        <item x="530"/>
        <item x="791"/>
        <item x="206"/>
        <item x="40"/>
        <item x="900"/>
        <item x="941"/>
        <item x="914"/>
        <item x="742"/>
        <item x="753"/>
        <item x="658"/>
        <item x="1160"/>
        <item x="32"/>
        <item x="483"/>
        <item x="1175"/>
        <item x="440"/>
        <item x="56"/>
        <item x="330"/>
        <item x="533"/>
        <item x="1162"/>
        <item x="602"/>
        <item x="517"/>
        <item x="45"/>
        <item x="987"/>
        <item x="726"/>
        <item x="145"/>
        <item x="1052"/>
        <item x="489"/>
        <item x="716"/>
        <item x="1095"/>
        <item x="606"/>
        <item x="203"/>
        <item x="458"/>
        <item x="90"/>
        <item x="117"/>
        <item x="633"/>
        <item x="279"/>
        <item x="1042"/>
        <item x="352"/>
        <item x="898"/>
        <item x="617"/>
        <item x="888"/>
        <item x="526"/>
        <item x="293"/>
        <item x="983"/>
        <item x="400"/>
        <item x="1056"/>
        <item x="469"/>
        <item x="164"/>
        <item x="684"/>
        <item x="834"/>
        <item x="550"/>
        <item x="370"/>
        <item x="523"/>
        <item x="630"/>
        <item x="724"/>
        <item x="418"/>
        <item x="702"/>
        <item x="963"/>
        <item x="339"/>
        <item x="567"/>
        <item x="231"/>
        <item x="261"/>
        <item x="259"/>
        <item x="930"/>
        <item x="444"/>
        <item x="398"/>
        <item x="665"/>
        <item x="778"/>
        <item x="942"/>
        <item x="110"/>
        <item x="11"/>
        <item x="290"/>
        <item x="1015"/>
        <item x="453"/>
        <item x="301"/>
        <item x="619"/>
        <item x="477"/>
        <item x="1025"/>
        <item x="626"/>
        <item x="250"/>
        <item x="365"/>
        <item x="34"/>
        <item x="554"/>
        <item x="147"/>
        <item x="852"/>
        <item x="681"/>
        <item x="495"/>
        <item x="1063"/>
        <item x="797"/>
        <item x="1059"/>
        <item x="247"/>
        <item x="129"/>
        <item x="403"/>
        <item x="473"/>
        <item x="39"/>
        <item x="130"/>
        <item x="1028"/>
        <item x="1179"/>
        <item x="874"/>
        <item x="990"/>
        <item x="1070"/>
        <item x="486"/>
        <item x="923"/>
        <item x="401"/>
        <item x="62"/>
        <item x="648"/>
        <item x="128"/>
        <item x="287"/>
        <item x="267"/>
        <item x="97"/>
        <item x="1174"/>
        <item x="1121"/>
        <item x="81"/>
        <item x="205"/>
        <item x="1006"/>
        <item x="413"/>
        <item x="277"/>
        <item x="751"/>
        <item x="719"/>
        <item x="514"/>
        <item x="887"/>
        <item x="364"/>
        <item x="723"/>
        <item x="278"/>
        <item x="35"/>
        <item x="513"/>
        <item x="780"/>
        <item x="1039"/>
        <item x="991"/>
        <item x="363"/>
        <item x="595"/>
        <item x="1038"/>
        <item x="1002"/>
        <item x="1011"/>
        <item x="436"/>
        <item x="392"/>
        <item x="65"/>
        <item x="297"/>
        <item x="793"/>
        <item x="1057"/>
        <item x="653"/>
        <item x="343"/>
        <item x="541"/>
        <item x="359"/>
        <item x="335"/>
        <item x="752"/>
        <item x="897"/>
        <item x="561"/>
        <item x="450"/>
        <item x="315"/>
        <item x="1087"/>
        <item x="986"/>
        <item x="24"/>
        <item x="157"/>
        <item x="1130"/>
        <item x="1120"/>
        <item x="610"/>
        <item x="77"/>
        <item x="1151"/>
        <item x="832"/>
        <item x="494"/>
        <item x="1128"/>
        <item x="916"/>
        <item x="344"/>
        <item x="1083"/>
        <item x="674"/>
        <item x="238"/>
        <item x="984"/>
        <item x="379"/>
        <item x="26"/>
        <item x="532"/>
        <item x="498"/>
        <item x="625"/>
        <item x="520"/>
        <item x="968"/>
        <item x="1139"/>
        <item x="42"/>
        <item x="154"/>
        <item x="662"/>
        <item x="830"/>
        <item x="168"/>
        <item x="361"/>
        <item x="1147"/>
        <item x="1079"/>
        <item x="581"/>
        <item x="499"/>
        <item x="1146"/>
        <item x="518"/>
        <item x="608"/>
        <item x="89"/>
        <item x="611"/>
        <item x="455"/>
        <item x="264"/>
        <item x="158"/>
        <item x="82"/>
        <item x="1089"/>
        <item x="1122"/>
        <item x="48"/>
        <item x="492"/>
        <item x="510"/>
        <item x="405"/>
        <item x="607"/>
        <item x="1014"/>
        <item x="156"/>
        <item x="578"/>
        <item x="926"/>
        <item x="622"/>
        <item x="406"/>
        <item x="770"/>
        <item x="766"/>
        <item x="269"/>
        <item x="824"/>
        <item x="64"/>
        <item x="634"/>
        <item x="763"/>
        <item x="922"/>
        <item x="910"/>
        <item x="539"/>
        <item x="817"/>
        <item x="190"/>
        <item x="92"/>
        <item x="1137"/>
        <item x="163"/>
        <item x="708"/>
        <item x="83"/>
        <item x="519"/>
        <item x="854"/>
        <item x="1062"/>
        <item x="1141"/>
        <item x="978"/>
        <item x="694"/>
        <item x="102"/>
        <item x="913"/>
        <item x="474"/>
        <item x="43"/>
        <item x="686"/>
        <item x="2"/>
        <item x="655"/>
        <item x="1045"/>
        <item x="559"/>
        <item x="794"/>
        <item x="851"/>
        <item x="1105"/>
        <item x="437"/>
        <item x="332"/>
        <item x="966"/>
        <item x="993"/>
        <item x="743"/>
        <item x="177"/>
        <item x="754"/>
        <item x="275"/>
        <item x="889"/>
        <item x="1150"/>
        <item x="1113"/>
        <item x="668"/>
        <item x="545"/>
        <item x="182"/>
        <item x="1169"/>
        <item x="1050"/>
        <item x="699"/>
        <item x="1013"/>
        <item x="859"/>
        <item x="746"/>
        <item x="704"/>
        <item x="667"/>
        <item x="503"/>
        <item x="969"/>
        <item x="977"/>
        <item x="292"/>
        <item x="899"/>
        <item x="209"/>
        <item x="14"/>
        <item x="496"/>
        <item x="594"/>
        <item x="1064"/>
        <item x="1158"/>
        <item x="160"/>
        <item x="341"/>
        <item x="737"/>
        <item x="207"/>
        <item x="569"/>
        <item x="799"/>
        <item x="904"/>
        <item x="1061"/>
        <item x="828"/>
        <item x="271"/>
        <item x="59"/>
        <item x="257"/>
        <item x="123"/>
        <item x="148"/>
        <item x="1074"/>
        <item x="270"/>
        <item x="189"/>
        <item x="67"/>
        <item x="741"/>
        <item x="223"/>
        <item x="409"/>
        <item x="710"/>
        <item x="760"/>
        <item x="76"/>
        <item x="178"/>
        <item x="1133"/>
        <item x="125"/>
        <item x="621"/>
        <item x="549"/>
        <item x="1051"/>
        <item x="627"/>
        <item x="15"/>
        <item x="146"/>
        <item x="880"/>
        <item x="748"/>
        <item x="448"/>
        <item x="1132"/>
        <item x="336"/>
        <item x="414"/>
        <item x="347"/>
        <item x="384"/>
        <item x="689"/>
        <item x="747"/>
        <item x="167"/>
        <item x="573"/>
        <item x="452"/>
        <item x="174"/>
        <item x="1118"/>
        <item x="525"/>
        <item x="86"/>
        <item x="516"/>
        <item x="813"/>
        <item x="1098"/>
        <item x="725"/>
        <item x="66"/>
        <item x="85"/>
        <item x="434"/>
        <item x="396"/>
        <item x="575"/>
        <item x="415"/>
        <item x="908"/>
        <item x="1123"/>
        <item x="1037"/>
        <item x="58"/>
        <item x="318"/>
        <item x="870"/>
        <item x="700"/>
        <item x="734"/>
        <item x="144"/>
        <item x="60"/>
        <item x="457"/>
        <item x="235"/>
        <item x="98"/>
        <item x="1067"/>
        <item x="395"/>
        <item x="191"/>
        <item x="201"/>
        <item x="891"/>
        <item x="127"/>
        <item x="19"/>
        <item x="152"/>
        <item x="44"/>
        <item x="773"/>
        <item x="933"/>
        <item x="537"/>
        <item x="142"/>
        <item x="309"/>
        <item x="688"/>
        <item x="1103"/>
        <item x="876"/>
        <item x="584"/>
        <item x="298"/>
        <item x="20"/>
        <item x="429"/>
        <item x="212"/>
        <item x="368"/>
        <item x="877"/>
        <item x="248"/>
        <item x="159"/>
        <item x="1020"/>
        <item x="443"/>
        <item x="308"/>
        <item x="1164"/>
        <item x="629"/>
        <item x="286"/>
        <item x="1172"/>
        <item x="871"/>
        <item x="230"/>
        <item x="784"/>
        <item x="1086"/>
        <item x="114"/>
        <item x="714"/>
        <item x="695"/>
        <item x="324"/>
        <item x="462"/>
        <item x="4"/>
        <item x="680"/>
        <item x="1152"/>
        <item x="717"/>
        <item x="502"/>
        <item x="659"/>
        <item x="843"/>
        <item x="500"/>
        <item x="1136"/>
        <item x="1140"/>
        <item x="596"/>
        <item x="605"/>
        <item x="321"/>
        <item x="845"/>
        <item x="706"/>
        <item x="589"/>
        <item x="1173"/>
        <item x="1069"/>
        <item x="193"/>
        <item x="422"/>
        <item x="957"/>
        <item x="869"/>
        <item x="735"/>
        <item x="99"/>
        <item x="672"/>
        <item x="1023"/>
        <item x="451"/>
        <item x="268"/>
        <item x="54"/>
        <item x="964"/>
        <item x="350"/>
        <item x="965"/>
        <item x="187"/>
        <item x="855"/>
        <item x="1034"/>
        <item x="938"/>
        <item x="1058"/>
        <item x="1081"/>
        <item x="981"/>
        <item x="866"/>
        <item x="950"/>
        <item x="558"/>
        <item x="449"/>
        <item x="387"/>
        <item x="1094"/>
        <item x="1108"/>
        <item x="882"/>
        <item x="864"/>
        <item x="50"/>
        <item x="170"/>
        <item x="1170"/>
        <item x="228"/>
        <item x="872"/>
        <item x="1159"/>
        <item x="180"/>
        <item x="907"/>
        <item x="783"/>
        <item x="1085"/>
        <item x="391"/>
        <item x="504"/>
        <item x="222"/>
        <item x="7"/>
        <item x="371"/>
        <item x="1124"/>
        <item x="30"/>
        <item x="1049"/>
        <item x="416"/>
        <item x="895"/>
        <item x="836"/>
        <item x="433"/>
        <item x="124"/>
        <item x="220"/>
        <item x="615"/>
        <item x="807"/>
        <item x="390"/>
        <item x="506"/>
        <item x="378"/>
        <item x="632"/>
        <item x="134"/>
        <item x="1165"/>
        <item x="1144"/>
        <item x="613"/>
        <item x="258"/>
        <item x="1134"/>
        <item x="69"/>
        <item x="1001"/>
        <item x="1119"/>
        <item x="1066"/>
        <item x="730"/>
        <item x="587"/>
        <item x="194"/>
        <item x="31"/>
        <item x="685"/>
        <item x="745"/>
        <item x="603"/>
        <item x="95"/>
        <item x="355"/>
        <item x="721"/>
        <item x="1040"/>
        <item x="96"/>
        <item x="540"/>
        <item x="959"/>
        <item x="600"/>
        <item x="920"/>
        <item x="592"/>
        <item x="677"/>
        <item x="485"/>
        <item x="764"/>
        <item x="1060"/>
        <item x="556"/>
        <item x="529"/>
        <item x="255"/>
        <item x="109"/>
        <item x="535"/>
        <item x="676"/>
        <item x="850"/>
        <item x="947"/>
        <item x="515"/>
        <item x="932"/>
        <item x="856"/>
        <item x="402"/>
        <item x="896"/>
        <item x="476"/>
        <item x="736"/>
        <item x="1092"/>
        <item x="732"/>
        <item x="656"/>
        <item x="624"/>
        <item x="246"/>
        <item x="0"/>
        <item x="884"/>
        <item x="1018"/>
        <item x="280"/>
        <item x="809"/>
        <item x="551"/>
        <item x="1168"/>
        <item x="1117"/>
        <item x="1131"/>
        <item x="1129"/>
        <item x="599"/>
        <item x="155"/>
        <item x="798"/>
        <item x="1021"/>
        <item x="139"/>
        <item x="772"/>
        <item x="562"/>
        <item x="948"/>
        <item x="507"/>
        <item x="1153"/>
        <item x="1090"/>
        <item x="100"/>
        <item x="542"/>
        <item x="107"/>
        <item x="1110"/>
        <item x="1096"/>
        <item x="1125"/>
        <item x="729"/>
        <item x="374"/>
        <item x="1048"/>
        <item x="216"/>
        <item x="1100"/>
        <item x="46"/>
        <item x="126"/>
        <item x="326"/>
        <item x="788"/>
        <item x="1078"/>
        <item x="198"/>
        <item x="1093"/>
        <item x="838"/>
        <item x="380"/>
        <item x="1041"/>
        <item x="767"/>
        <item x="199"/>
        <item x="911"/>
        <item x="1054"/>
        <item x="63"/>
        <item x="362"/>
        <item x="307"/>
        <item x="886"/>
        <item x="583"/>
        <item x="245"/>
        <item x="1016"/>
        <item x="988"/>
        <item x="669"/>
        <item x="12"/>
        <item x="251"/>
        <item x="598"/>
        <item x="497"/>
        <item x="579"/>
        <item x="777"/>
        <item x="317"/>
        <item x="373"/>
        <item x="151"/>
        <item x="135"/>
        <item x="1033"/>
        <item x="427"/>
        <item x="18"/>
        <item x="74"/>
        <item x="1106"/>
        <item x="249"/>
        <item x="225"/>
        <item x="36"/>
        <item x="192"/>
        <item x="842"/>
        <item x="709"/>
        <item x="218"/>
        <item x="792"/>
        <item x="679"/>
        <item x="25"/>
        <item x="806"/>
        <item x="707"/>
        <item x="1075"/>
        <item x="1076"/>
        <item x="305"/>
        <item x="810"/>
        <item x="482"/>
        <item x="113"/>
        <item x="176"/>
        <item x="1156"/>
        <item x="322"/>
        <item x="111"/>
        <item x="892"/>
        <item x="204"/>
        <item x="217"/>
        <item x="909"/>
        <item x="75"/>
        <item x="296"/>
        <item x="337"/>
        <item x="1101"/>
        <item x="456"/>
        <item x="644"/>
        <item x="366"/>
        <item x="744"/>
        <item x="646"/>
        <item x="285"/>
        <item x="666"/>
        <item x="566"/>
        <item x="272"/>
        <item x="906"/>
        <item x="975"/>
        <item x="1030"/>
        <item x="360"/>
        <item x="5"/>
        <item x="234"/>
        <item x="664"/>
        <item x="488"/>
        <item x="612"/>
        <item x="863"/>
        <item x="80"/>
        <item x="1080"/>
        <item x="1005"/>
        <item x="643"/>
        <item x="256"/>
        <item x="705"/>
        <item x="1171"/>
        <item x="243"/>
        <item x="802"/>
        <item x="776"/>
        <item x="992"/>
        <item x="640"/>
        <item x="242"/>
        <item x="23"/>
        <item x="527"/>
        <item x="921"/>
        <item x="693"/>
        <item x="254"/>
        <item x="53"/>
        <item x="461"/>
        <item x="439"/>
        <item x="428"/>
        <item x="678"/>
        <item x="712"/>
        <item x="312"/>
        <item x="1135"/>
        <item x="265"/>
        <item x="1142"/>
        <item x="195"/>
        <item x="239"/>
        <item x="367"/>
        <item x="389"/>
        <item x="227"/>
        <item x="169"/>
        <item x="868"/>
        <item x="475"/>
        <item x="989"/>
        <item x="1071"/>
        <item x="661"/>
        <item x="739"/>
        <item x="552"/>
        <item x="381"/>
        <item x="1143"/>
        <item x="411"/>
        <item x="173"/>
        <item x="544"/>
        <item x="974"/>
        <item x="215"/>
        <item x="226"/>
        <item x="711"/>
        <item x="419"/>
        <item x="593"/>
        <item x="536"/>
        <item x="369"/>
        <item x="955"/>
        <item x="229"/>
        <item x="162"/>
        <item x="13"/>
        <item x="564"/>
        <item x="787"/>
        <item x="1178"/>
        <item x="263"/>
        <item x="769"/>
        <item x="915"/>
        <item x="1065"/>
        <item x="952"/>
        <item x="334"/>
        <item x="51"/>
        <item x="512"/>
        <item x="1019"/>
        <item x="1000"/>
        <item x="423"/>
        <item x="73"/>
        <item x="447"/>
        <item x="421"/>
        <item x="27"/>
        <item x="314"/>
        <item x="931"/>
        <item x="718"/>
        <item x="481"/>
        <item x="867"/>
        <item x="132"/>
        <item x="505"/>
        <item x="490"/>
        <item x="487"/>
        <item x="954"/>
        <item x="853"/>
        <item x="924"/>
        <item x="1068"/>
        <item x="637"/>
        <item x="835"/>
        <item x="284"/>
        <item x="478"/>
        <item x="848"/>
        <item x="171"/>
        <item x="722"/>
        <item x="847"/>
        <item x="762"/>
        <item x="283"/>
        <item x="1003"/>
        <item x="962"/>
        <item x="756"/>
        <item x="288"/>
        <item x="618"/>
        <item x="740"/>
        <item x="641"/>
        <item x="196"/>
        <item x="1004"/>
        <item x="72"/>
        <item x="660"/>
        <item x="841"/>
        <item x="6"/>
        <item x="935"/>
        <item x="115"/>
        <item x="1115"/>
        <item x="1091"/>
        <item x="262"/>
        <item x="946"/>
        <item x="731"/>
        <item x="357"/>
        <item x="591"/>
        <item x="765"/>
        <item x="639"/>
        <item x="244"/>
        <item x="1024"/>
        <item x="534"/>
        <item x="200"/>
        <item x="438"/>
        <item x="393"/>
        <item x="184"/>
        <item x="943"/>
        <item x="454"/>
        <item x="346"/>
        <item x="266"/>
        <item x="91"/>
        <item x="635"/>
        <item x="758"/>
        <item x="219"/>
        <item x="820"/>
        <item x="890"/>
        <item x="690"/>
        <item x="919"/>
        <item x="133"/>
        <item x="985"/>
        <item x="1022"/>
        <item x="1177"/>
        <item x="528"/>
        <item x="70"/>
        <item x="320"/>
        <item x="471"/>
        <item x="466"/>
        <item x="210"/>
        <item x="829"/>
        <item x="432"/>
        <item x="213"/>
        <item x="1114"/>
        <item x="782"/>
        <item x="376"/>
        <item x="420"/>
        <item x="1026"/>
        <item x="1116"/>
        <item x="412"/>
        <item x="720"/>
        <item x="9"/>
        <item x="1007"/>
        <item x="289"/>
        <item x="774"/>
        <item x="78"/>
        <item x="565"/>
        <item x="804"/>
        <item x="691"/>
        <item x="472"/>
        <item x="375"/>
        <item x="858"/>
        <item x="982"/>
        <item x="570"/>
        <item x="108"/>
        <item x="388"/>
        <item x="796"/>
        <item x="521"/>
        <item x="33"/>
        <item x="970"/>
        <item x="1176"/>
        <item x="779"/>
        <item x="165"/>
        <item x="1097"/>
        <item x="995"/>
        <item x="304"/>
        <item x="328"/>
        <item t="default"/>
      </items>
    </pivotField>
    <pivotField numFmtId="166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 Amount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072B9-83F6-4211-80A3-EBEAE63B083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D61" firstHeaderRow="0" firstDataRow="1" firstDataCol="1"/>
  <pivotFields count="13">
    <pivotField showAll="0">
      <items count="1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showAll="0">
      <items count="7">
        <item x="4"/>
        <item x="3"/>
        <item x="2"/>
        <item x="5"/>
        <item x="0"/>
        <item x="1"/>
        <item t="default"/>
      </items>
    </pivotField>
    <pivotField showAll="0">
      <items count="9">
        <item x="6"/>
        <item x="0"/>
        <item x="2"/>
        <item x="7"/>
        <item x="3"/>
        <item x="5"/>
        <item x="1"/>
        <item x="4"/>
        <item t="default"/>
      </items>
    </pivotField>
    <pivotField showAll="0">
      <items count="11">
        <item x="9"/>
        <item x="7"/>
        <item x="3"/>
        <item x="5"/>
        <item x="0"/>
        <item x="6"/>
        <item x="4"/>
        <item x="1"/>
        <item x="8"/>
        <item x="2"/>
        <item t="default"/>
      </items>
    </pivotField>
    <pivotField showAll="0">
      <items count="41">
        <item x="29"/>
        <item x="2"/>
        <item x="33"/>
        <item x="1"/>
        <item x="14"/>
        <item x="12"/>
        <item x="32"/>
        <item x="28"/>
        <item x="21"/>
        <item x="16"/>
        <item x="18"/>
        <item x="25"/>
        <item x="6"/>
        <item x="27"/>
        <item x="13"/>
        <item x="39"/>
        <item x="10"/>
        <item x="19"/>
        <item x="34"/>
        <item x="3"/>
        <item x="11"/>
        <item x="26"/>
        <item x="31"/>
        <item x="22"/>
        <item x="35"/>
        <item x="23"/>
        <item x="4"/>
        <item x="20"/>
        <item x="8"/>
        <item x="36"/>
        <item x="5"/>
        <item x="0"/>
        <item x="17"/>
        <item x="15"/>
        <item x="38"/>
        <item x="7"/>
        <item x="30"/>
        <item x="24"/>
        <item x="37"/>
        <item x="9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numFmtId="165" showAll="0"/>
    <pivotField axis="axisRow" showAll="0">
      <items count="7">
        <item x="1"/>
        <item x="0"/>
        <item x="4"/>
        <item x="2"/>
        <item x="5"/>
        <item x="3"/>
        <item t="default"/>
      </items>
    </pivotField>
    <pivotField dataField="1" numFmtId="3" showAll="0">
      <items count="1181">
        <item x="463"/>
        <item x="800"/>
        <item x="509"/>
        <item x="604"/>
        <item x="120"/>
        <item x="961"/>
        <item x="508"/>
        <item x="953"/>
        <item x="881"/>
        <item x="161"/>
        <item x="1149"/>
        <item x="273"/>
        <item x="1145"/>
        <item x="16"/>
        <item x="1072"/>
        <item x="237"/>
        <item x="822"/>
        <item x="642"/>
        <item x="548"/>
        <item x="354"/>
        <item x="979"/>
        <item x="435"/>
        <item x="652"/>
        <item x="1138"/>
        <item x="560"/>
        <item x="118"/>
        <item x="29"/>
        <item x="131"/>
        <item x="22"/>
        <item x="650"/>
        <item x="1084"/>
        <item x="816"/>
        <item x="571"/>
        <item x="697"/>
        <item x="186"/>
        <item x="459"/>
        <item x="1008"/>
        <item x="999"/>
        <item x="925"/>
        <item x="738"/>
        <item x="715"/>
        <item x="546"/>
        <item x="10"/>
        <item x="442"/>
        <item x="673"/>
        <item x="17"/>
        <item x="1035"/>
        <item x="997"/>
        <item x="397"/>
        <item x="479"/>
        <item x="386"/>
        <item x="224"/>
        <item x="837"/>
        <item x="557"/>
        <item x="785"/>
        <item x="188"/>
        <item x="846"/>
        <item x="833"/>
        <item x="460"/>
        <item x="901"/>
        <item x="291"/>
        <item x="382"/>
        <item x="971"/>
        <item x="940"/>
        <item x="873"/>
        <item x="825"/>
        <item x="654"/>
        <item x="789"/>
        <item x="404"/>
        <item x="1127"/>
        <item x="865"/>
        <item x="181"/>
        <item x="944"/>
        <item x="1043"/>
        <item x="372"/>
        <item x="68"/>
        <item x="1104"/>
        <item x="831"/>
        <item x="1009"/>
        <item x="353"/>
        <item x="759"/>
        <item x="795"/>
        <item x="1155"/>
        <item x="136"/>
        <item x="628"/>
        <item x="8"/>
        <item x="103"/>
        <item x="1109"/>
        <item x="491"/>
        <item x="620"/>
        <item x="300"/>
        <item x="294"/>
        <item x="1053"/>
        <item x="153"/>
        <item x="197"/>
        <item x="137"/>
        <item x="682"/>
        <item x="1031"/>
        <item x="1088"/>
        <item x="786"/>
        <item x="814"/>
        <item x="862"/>
        <item x="713"/>
        <item x="949"/>
        <item x="631"/>
        <item x="425"/>
        <item x="1166"/>
        <item x="1099"/>
        <item x="331"/>
        <item x="1027"/>
        <item x="122"/>
        <item x="1157"/>
        <item x="49"/>
        <item x="52"/>
        <item x="141"/>
        <item x="781"/>
        <item x="325"/>
        <item x="823"/>
        <item x="41"/>
        <item x="61"/>
        <item x="808"/>
        <item x="232"/>
        <item x="879"/>
        <item x="616"/>
        <item x="253"/>
        <item x="623"/>
        <item x="316"/>
        <item x="208"/>
        <item x="645"/>
        <item x="755"/>
        <item x="274"/>
        <item x="511"/>
        <item x="553"/>
        <item x="951"/>
        <item x="1047"/>
        <item x="431"/>
        <item x="394"/>
        <item x="407"/>
        <item x="175"/>
        <item x="818"/>
        <item x="338"/>
        <item x="638"/>
        <item x="812"/>
        <item x="340"/>
        <item x="929"/>
        <item x="945"/>
        <item x="703"/>
        <item x="1111"/>
        <item x="104"/>
        <item x="323"/>
        <item x="790"/>
        <item x="480"/>
        <item x="597"/>
        <item x="149"/>
        <item x="903"/>
        <item x="803"/>
        <item x="998"/>
        <item x="185"/>
        <item x="57"/>
        <item x="555"/>
        <item x="588"/>
        <item x="547"/>
        <item x="1107"/>
        <item x="399"/>
        <item x="319"/>
        <item x="38"/>
        <item x="295"/>
        <item x="260"/>
        <item x="377"/>
        <item x="775"/>
        <item x="902"/>
        <item x="467"/>
        <item x="524"/>
        <item x="143"/>
        <item x="568"/>
        <item x="28"/>
        <item x="585"/>
        <item x="385"/>
        <item x="1126"/>
        <item x="1154"/>
        <item x="687"/>
        <item x="663"/>
        <item x="221"/>
        <item x="960"/>
        <item x="356"/>
        <item x="927"/>
        <item x="241"/>
        <item x="303"/>
        <item x="840"/>
        <item x="905"/>
        <item x="1"/>
        <item x="424"/>
        <item x="609"/>
        <item x="1055"/>
        <item x="878"/>
        <item x="1167"/>
        <item x="757"/>
        <item x="426"/>
        <item x="582"/>
        <item x="973"/>
        <item x="348"/>
        <item x="106"/>
        <item x="727"/>
        <item x="446"/>
        <item x="484"/>
        <item x="202"/>
        <item x="3"/>
        <item x="252"/>
        <item x="94"/>
        <item x="683"/>
        <item x="761"/>
        <item x="345"/>
        <item x="647"/>
        <item x="417"/>
        <item x="21"/>
        <item x="675"/>
        <item x="590"/>
        <item x="410"/>
        <item x="749"/>
        <item x="116"/>
        <item x="233"/>
        <item x="1148"/>
        <item x="93"/>
        <item x="281"/>
        <item x="183"/>
        <item x="1032"/>
        <item x="1077"/>
        <item x="698"/>
        <item x="310"/>
        <item x="692"/>
        <item x="967"/>
        <item x="37"/>
        <item x="972"/>
        <item x="493"/>
        <item x="1073"/>
        <item x="282"/>
        <item x="1082"/>
        <item x="342"/>
        <item x="211"/>
        <item x="894"/>
        <item x="538"/>
        <item x="821"/>
        <item x="105"/>
        <item x="172"/>
        <item x="543"/>
        <item x="649"/>
        <item x="563"/>
        <item x="805"/>
        <item x="468"/>
        <item x="893"/>
        <item x="464"/>
        <item x="101"/>
        <item x="671"/>
        <item x="994"/>
        <item x="276"/>
        <item x="733"/>
        <item x="572"/>
        <item x="883"/>
        <item x="574"/>
        <item x="214"/>
        <item x="601"/>
        <item x="636"/>
        <item x="701"/>
        <item x="1017"/>
        <item x="849"/>
        <item x="928"/>
        <item x="917"/>
        <item x="470"/>
        <item x="306"/>
        <item x="839"/>
        <item x="531"/>
        <item x="586"/>
        <item x="936"/>
        <item x="327"/>
        <item x="939"/>
        <item x="179"/>
        <item x="299"/>
        <item x="875"/>
        <item x="1112"/>
        <item x="112"/>
        <item x="445"/>
        <item x="349"/>
        <item x="358"/>
        <item x="768"/>
        <item x="501"/>
        <item x="750"/>
        <item x="580"/>
        <item x="728"/>
        <item x="958"/>
        <item x="465"/>
        <item x="333"/>
        <item x="976"/>
        <item x="918"/>
        <item x="815"/>
        <item x="150"/>
        <item x="1036"/>
        <item x="861"/>
        <item x="937"/>
        <item x="47"/>
        <item x="801"/>
        <item x="670"/>
        <item x="140"/>
        <item x="885"/>
        <item x="302"/>
        <item x="657"/>
        <item x="329"/>
        <item x="1029"/>
        <item x="1010"/>
        <item x="1044"/>
        <item x="811"/>
        <item x="934"/>
        <item x="55"/>
        <item x="956"/>
        <item x="651"/>
        <item x="88"/>
        <item x="119"/>
        <item x="430"/>
        <item x="996"/>
        <item x="614"/>
        <item x="383"/>
        <item x="138"/>
        <item x="166"/>
        <item x="71"/>
        <item x="857"/>
        <item x="522"/>
        <item x="827"/>
        <item x="441"/>
        <item x="311"/>
        <item x="1163"/>
        <item x="121"/>
        <item x="577"/>
        <item x="1102"/>
        <item x="87"/>
        <item x="696"/>
        <item x="576"/>
        <item x="826"/>
        <item x="980"/>
        <item x="236"/>
        <item x="912"/>
        <item x="1161"/>
        <item x="408"/>
        <item x="860"/>
        <item x="351"/>
        <item x="79"/>
        <item x="844"/>
        <item x="240"/>
        <item x="771"/>
        <item x="1046"/>
        <item x="313"/>
        <item x="84"/>
        <item x="1012"/>
        <item x="819"/>
        <item x="530"/>
        <item x="791"/>
        <item x="206"/>
        <item x="40"/>
        <item x="900"/>
        <item x="941"/>
        <item x="914"/>
        <item x="742"/>
        <item x="753"/>
        <item x="658"/>
        <item x="1160"/>
        <item x="32"/>
        <item x="483"/>
        <item x="1175"/>
        <item x="440"/>
        <item x="56"/>
        <item x="330"/>
        <item x="533"/>
        <item x="1162"/>
        <item x="602"/>
        <item x="517"/>
        <item x="45"/>
        <item x="987"/>
        <item x="726"/>
        <item x="145"/>
        <item x="1052"/>
        <item x="489"/>
        <item x="716"/>
        <item x="1095"/>
        <item x="606"/>
        <item x="203"/>
        <item x="458"/>
        <item x="90"/>
        <item x="117"/>
        <item x="633"/>
        <item x="279"/>
        <item x="1042"/>
        <item x="352"/>
        <item x="898"/>
        <item x="617"/>
        <item x="888"/>
        <item x="526"/>
        <item x="293"/>
        <item x="983"/>
        <item x="400"/>
        <item x="1056"/>
        <item x="469"/>
        <item x="164"/>
        <item x="684"/>
        <item x="834"/>
        <item x="550"/>
        <item x="370"/>
        <item x="523"/>
        <item x="630"/>
        <item x="724"/>
        <item x="418"/>
        <item x="702"/>
        <item x="963"/>
        <item x="339"/>
        <item x="567"/>
        <item x="231"/>
        <item x="261"/>
        <item x="259"/>
        <item x="930"/>
        <item x="444"/>
        <item x="398"/>
        <item x="665"/>
        <item x="778"/>
        <item x="942"/>
        <item x="110"/>
        <item x="11"/>
        <item x="290"/>
        <item x="1015"/>
        <item x="453"/>
        <item x="301"/>
        <item x="619"/>
        <item x="477"/>
        <item x="1025"/>
        <item x="626"/>
        <item x="250"/>
        <item x="365"/>
        <item x="34"/>
        <item x="554"/>
        <item x="147"/>
        <item x="852"/>
        <item x="681"/>
        <item x="495"/>
        <item x="1063"/>
        <item x="797"/>
        <item x="1059"/>
        <item x="247"/>
        <item x="129"/>
        <item x="403"/>
        <item x="473"/>
        <item x="39"/>
        <item x="130"/>
        <item x="1028"/>
        <item x="1179"/>
        <item x="874"/>
        <item x="990"/>
        <item x="1070"/>
        <item x="486"/>
        <item x="923"/>
        <item x="401"/>
        <item x="62"/>
        <item x="648"/>
        <item x="128"/>
        <item x="287"/>
        <item x="267"/>
        <item x="97"/>
        <item x="1174"/>
        <item x="1121"/>
        <item x="81"/>
        <item x="205"/>
        <item x="1006"/>
        <item x="413"/>
        <item x="277"/>
        <item x="751"/>
        <item x="719"/>
        <item x="514"/>
        <item x="887"/>
        <item x="364"/>
        <item x="723"/>
        <item x="278"/>
        <item x="35"/>
        <item x="513"/>
        <item x="780"/>
        <item x="1039"/>
        <item x="991"/>
        <item x="363"/>
        <item x="595"/>
        <item x="1038"/>
        <item x="1002"/>
        <item x="1011"/>
        <item x="436"/>
        <item x="392"/>
        <item x="65"/>
        <item x="297"/>
        <item x="793"/>
        <item x="1057"/>
        <item x="653"/>
        <item x="343"/>
        <item x="541"/>
        <item x="359"/>
        <item x="335"/>
        <item x="752"/>
        <item x="897"/>
        <item x="561"/>
        <item x="450"/>
        <item x="315"/>
        <item x="1087"/>
        <item x="986"/>
        <item x="24"/>
        <item x="157"/>
        <item x="1130"/>
        <item x="1120"/>
        <item x="610"/>
        <item x="77"/>
        <item x="1151"/>
        <item x="832"/>
        <item x="494"/>
        <item x="1128"/>
        <item x="916"/>
        <item x="344"/>
        <item x="1083"/>
        <item x="674"/>
        <item x="238"/>
        <item x="984"/>
        <item x="379"/>
        <item x="26"/>
        <item x="532"/>
        <item x="498"/>
        <item x="625"/>
        <item x="520"/>
        <item x="968"/>
        <item x="1139"/>
        <item x="42"/>
        <item x="154"/>
        <item x="662"/>
        <item x="830"/>
        <item x="168"/>
        <item x="361"/>
        <item x="1147"/>
        <item x="1079"/>
        <item x="581"/>
        <item x="499"/>
        <item x="1146"/>
        <item x="518"/>
        <item x="608"/>
        <item x="89"/>
        <item x="611"/>
        <item x="455"/>
        <item x="264"/>
        <item x="158"/>
        <item x="82"/>
        <item x="1089"/>
        <item x="1122"/>
        <item x="48"/>
        <item x="492"/>
        <item x="510"/>
        <item x="405"/>
        <item x="607"/>
        <item x="1014"/>
        <item x="156"/>
        <item x="578"/>
        <item x="926"/>
        <item x="622"/>
        <item x="406"/>
        <item x="770"/>
        <item x="766"/>
        <item x="269"/>
        <item x="824"/>
        <item x="64"/>
        <item x="634"/>
        <item x="763"/>
        <item x="922"/>
        <item x="910"/>
        <item x="539"/>
        <item x="817"/>
        <item x="190"/>
        <item x="92"/>
        <item x="1137"/>
        <item x="163"/>
        <item x="708"/>
        <item x="83"/>
        <item x="519"/>
        <item x="854"/>
        <item x="1062"/>
        <item x="1141"/>
        <item x="978"/>
        <item x="694"/>
        <item x="102"/>
        <item x="913"/>
        <item x="474"/>
        <item x="43"/>
        <item x="686"/>
        <item x="2"/>
        <item x="655"/>
        <item x="1045"/>
        <item x="559"/>
        <item x="794"/>
        <item x="851"/>
        <item x="1105"/>
        <item x="437"/>
        <item x="332"/>
        <item x="966"/>
        <item x="993"/>
        <item x="743"/>
        <item x="177"/>
        <item x="754"/>
        <item x="275"/>
        <item x="889"/>
        <item x="1150"/>
        <item x="1113"/>
        <item x="668"/>
        <item x="545"/>
        <item x="182"/>
        <item x="1169"/>
        <item x="1050"/>
        <item x="699"/>
        <item x="1013"/>
        <item x="859"/>
        <item x="746"/>
        <item x="704"/>
        <item x="667"/>
        <item x="503"/>
        <item x="969"/>
        <item x="977"/>
        <item x="292"/>
        <item x="899"/>
        <item x="209"/>
        <item x="14"/>
        <item x="496"/>
        <item x="594"/>
        <item x="1064"/>
        <item x="1158"/>
        <item x="160"/>
        <item x="341"/>
        <item x="737"/>
        <item x="207"/>
        <item x="569"/>
        <item x="799"/>
        <item x="904"/>
        <item x="1061"/>
        <item x="828"/>
        <item x="271"/>
        <item x="59"/>
        <item x="257"/>
        <item x="123"/>
        <item x="148"/>
        <item x="1074"/>
        <item x="270"/>
        <item x="189"/>
        <item x="67"/>
        <item x="741"/>
        <item x="223"/>
        <item x="409"/>
        <item x="710"/>
        <item x="760"/>
        <item x="76"/>
        <item x="178"/>
        <item x="1133"/>
        <item x="125"/>
        <item x="621"/>
        <item x="549"/>
        <item x="1051"/>
        <item x="627"/>
        <item x="15"/>
        <item x="146"/>
        <item x="880"/>
        <item x="748"/>
        <item x="448"/>
        <item x="1132"/>
        <item x="336"/>
        <item x="414"/>
        <item x="347"/>
        <item x="384"/>
        <item x="689"/>
        <item x="747"/>
        <item x="167"/>
        <item x="573"/>
        <item x="452"/>
        <item x="174"/>
        <item x="1118"/>
        <item x="525"/>
        <item x="86"/>
        <item x="516"/>
        <item x="813"/>
        <item x="1098"/>
        <item x="725"/>
        <item x="66"/>
        <item x="85"/>
        <item x="434"/>
        <item x="396"/>
        <item x="575"/>
        <item x="415"/>
        <item x="908"/>
        <item x="1123"/>
        <item x="1037"/>
        <item x="58"/>
        <item x="318"/>
        <item x="870"/>
        <item x="700"/>
        <item x="734"/>
        <item x="144"/>
        <item x="60"/>
        <item x="457"/>
        <item x="235"/>
        <item x="98"/>
        <item x="1067"/>
        <item x="395"/>
        <item x="191"/>
        <item x="201"/>
        <item x="891"/>
        <item x="127"/>
        <item x="19"/>
        <item x="152"/>
        <item x="44"/>
        <item x="773"/>
        <item x="933"/>
        <item x="537"/>
        <item x="142"/>
        <item x="309"/>
        <item x="688"/>
        <item x="1103"/>
        <item x="876"/>
        <item x="584"/>
        <item x="298"/>
        <item x="20"/>
        <item x="429"/>
        <item x="212"/>
        <item x="368"/>
        <item x="877"/>
        <item x="248"/>
        <item x="159"/>
        <item x="1020"/>
        <item x="443"/>
        <item x="308"/>
        <item x="1164"/>
        <item x="629"/>
        <item x="286"/>
        <item x="1172"/>
        <item x="871"/>
        <item x="230"/>
        <item x="784"/>
        <item x="1086"/>
        <item x="114"/>
        <item x="714"/>
        <item x="695"/>
        <item x="324"/>
        <item x="462"/>
        <item x="4"/>
        <item x="680"/>
        <item x="1152"/>
        <item x="717"/>
        <item x="502"/>
        <item x="659"/>
        <item x="843"/>
        <item x="500"/>
        <item x="1136"/>
        <item x="1140"/>
        <item x="596"/>
        <item x="605"/>
        <item x="321"/>
        <item x="845"/>
        <item x="706"/>
        <item x="589"/>
        <item x="1173"/>
        <item x="1069"/>
        <item x="193"/>
        <item x="422"/>
        <item x="957"/>
        <item x="869"/>
        <item x="735"/>
        <item x="99"/>
        <item x="672"/>
        <item x="1023"/>
        <item x="451"/>
        <item x="268"/>
        <item x="54"/>
        <item x="964"/>
        <item x="350"/>
        <item x="965"/>
        <item x="187"/>
        <item x="855"/>
        <item x="1034"/>
        <item x="938"/>
        <item x="1058"/>
        <item x="1081"/>
        <item x="981"/>
        <item x="866"/>
        <item x="950"/>
        <item x="558"/>
        <item x="449"/>
        <item x="387"/>
        <item x="1094"/>
        <item x="1108"/>
        <item x="882"/>
        <item x="864"/>
        <item x="50"/>
        <item x="170"/>
        <item x="1170"/>
        <item x="228"/>
        <item x="872"/>
        <item x="1159"/>
        <item x="180"/>
        <item x="907"/>
        <item x="783"/>
        <item x="1085"/>
        <item x="391"/>
        <item x="504"/>
        <item x="222"/>
        <item x="7"/>
        <item x="371"/>
        <item x="1124"/>
        <item x="30"/>
        <item x="1049"/>
        <item x="416"/>
        <item x="895"/>
        <item x="836"/>
        <item x="433"/>
        <item x="124"/>
        <item x="220"/>
        <item x="615"/>
        <item x="807"/>
        <item x="390"/>
        <item x="506"/>
        <item x="378"/>
        <item x="632"/>
        <item x="134"/>
        <item x="1165"/>
        <item x="1144"/>
        <item x="613"/>
        <item x="258"/>
        <item x="1134"/>
        <item x="69"/>
        <item x="1001"/>
        <item x="1119"/>
        <item x="1066"/>
        <item x="730"/>
        <item x="587"/>
        <item x="194"/>
        <item x="31"/>
        <item x="685"/>
        <item x="745"/>
        <item x="603"/>
        <item x="95"/>
        <item x="355"/>
        <item x="721"/>
        <item x="1040"/>
        <item x="96"/>
        <item x="540"/>
        <item x="959"/>
        <item x="600"/>
        <item x="920"/>
        <item x="592"/>
        <item x="677"/>
        <item x="485"/>
        <item x="764"/>
        <item x="1060"/>
        <item x="556"/>
        <item x="529"/>
        <item x="255"/>
        <item x="109"/>
        <item x="535"/>
        <item x="676"/>
        <item x="850"/>
        <item x="947"/>
        <item x="515"/>
        <item x="932"/>
        <item x="856"/>
        <item x="402"/>
        <item x="896"/>
        <item x="476"/>
        <item x="736"/>
        <item x="1092"/>
        <item x="732"/>
        <item x="656"/>
        <item x="624"/>
        <item x="246"/>
        <item x="0"/>
        <item x="884"/>
        <item x="1018"/>
        <item x="280"/>
        <item x="809"/>
        <item x="551"/>
        <item x="1168"/>
        <item x="1117"/>
        <item x="1131"/>
        <item x="1129"/>
        <item x="599"/>
        <item x="155"/>
        <item x="798"/>
        <item x="1021"/>
        <item x="139"/>
        <item x="772"/>
        <item x="562"/>
        <item x="948"/>
        <item x="507"/>
        <item x="1153"/>
        <item x="1090"/>
        <item x="100"/>
        <item x="542"/>
        <item x="107"/>
        <item x="1110"/>
        <item x="1096"/>
        <item x="1125"/>
        <item x="729"/>
        <item x="374"/>
        <item x="1048"/>
        <item x="216"/>
        <item x="1100"/>
        <item x="46"/>
        <item x="126"/>
        <item x="326"/>
        <item x="788"/>
        <item x="1078"/>
        <item x="198"/>
        <item x="1093"/>
        <item x="838"/>
        <item x="380"/>
        <item x="1041"/>
        <item x="767"/>
        <item x="199"/>
        <item x="911"/>
        <item x="1054"/>
        <item x="63"/>
        <item x="362"/>
        <item x="307"/>
        <item x="886"/>
        <item x="583"/>
        <item x="245"/>
        <item x="1016"/>
        <item x="988"/>
        <item x="669"/>
        <item x="12"/>
        <item x="251"/>
        <item x="598"/>
        <item x="497"/>
        <item x="579"/>
        <item x="777"/>
        <item x="317"/>
        <item x="373"/>
        <item x="151"/>
        <item x="135"/>
        <item x="1033"/>
        <item x="427"/>
        <item x="18"/>
        <item x="74"/>
        <item x="1106"/>
        <item x="249"/>
        <item x="225"/>
        <item x="36"/>
        <item x="192"/>
        <item x="842"/>
        <item x="709"/>
        <item x="218"/>
        <item x="792"/>
        <item x="679"/>
        <item x="25"/>
        <item x="806"/>
        <item x="707"/>
        <item x="1075"/>
        <item x="1076"/>
        <item x="305"/>
        <item x="810"/>
        <item x="482"/>
        <item x="113"/>
        <item x="176"/>
        <item x="1156"/>
        <item x="322"/>
        <item x="111"/>
        <item x="892"/>
        <item x="204"/>
        <item x="217"/>
        <item x="909"/>
        <item x="75"/>
        <item x="296"/>
        <item x="337"/>
        <item x="1101"/>
        <item x="456"/>
        <item x="644"/>
        <item x="366"/>
        <item x="744"/>
        <item x="646"/>
        <item x="285"/>
        <item x="666"/>
        <item x="566"/>
        <item x="272"/>
        <item x="906"/>
        <item x="975"/>
        <item x="1030"/>
        <item x="360"/>
        <item x="5"/>
        <item x="234"/>
        <item x="664"/>
        <item x="488"/>
        <item x="612"/>
        <item x="863"/>
        <item x="80"/>
        <item x="1080"/>
        <item x="1005"/>
        <item x="643"/>
        <item x="256"/>
        <item x="705"/>
        <item x="1171"/>
        <item x="243"/>
        <item x="802"/>
        <item x="776"/>
        <item x="992"/>
        <item x="640"/>
        <item x="242"/>
        <item x="23"/>
        <item x="527"/>
        <item x="921"/>
        <item x="693"/>
        <item x="254"/>
        <item x="53"/>
        <item x="461"/>
        <item x="439"/>
        <item x="428"/>
        <item x="678"/>
        <item x="712"/>
        <item x="312"/>
        <item x="1135"/>
        <item x="265"/>
        <item x="1142"/>
        <item x="195"/>
        <item x="239"/>
        <item x="367"/>
        <item x="389"/>
        <item x="227"/>
        <item x="169"/>
        <item x="868"/>
        <item x="475"/>
        <item x="989"/>
        <item x="1071"/>
        <item x="661"/>
        <item x="739"/>
        <item x="552"/>
        <item x="381"/>
        <item x="1143"/>
        <item x="411"/>
        <item x="173"/>
        <item x="544"/>
        <item x="974"/>
        <item x="215"/>
        <item x="226"/>
        <item x="711"/>
        <item x="419"/>
        <item x="593"/>
        <item x="536"/>
        <item x="369"/>
        <item x="955"/>
        <item x="229"/>
        <item x="162"/>
        <item x="13"/>
        <item x="564"/>
        <item x="787"/>
        <item x="1178"/>
        <item x="263"/>
        <item x="769"/>
        <item x="915"/>
        <item x="1065"/>
        <item x="952"/>
        <item x="334"/>
        <item x="51"/>
        <item x="512"/>
        <item x="1019"/>
        <item x="1000"/>
        <item x="423"/>
        <item x="73"/>
        <item x="447"/>
        <item x="421"/>
        <item x="27"/>
        <item x="314"/>
        <item x="931"/>
        <item x="718"/>
        <item x="481"/>
        <item x="867"/>
        <item x="132"/>
        <item x="505"/>
        <item x="490"/>
        <item x="487"/>
        <item x="954"/>
        <item x="853"/>
        <item x="924"/>
        <item x="1068"/>
        <item x="637"/>
        <item x="835"/>
        <item x="284"/>
        <item x="478"/>
        <item x="848"/>
        <item x="171"/>
        <item x="722"/>
        <item x="847"/>
        <item x="762"/>
        <item x="283"/>
        <item x="1003"/>
        <item x="962"/>
        <item x="756"/>
        <item x="288"/>
        <item x="618"/>
        <item x="740"/>
        <item x="641"/>
        <item x="196"/>
        <item x="1004"/>
        <item x="72"/>
        <item x="660"/>
        <item x="841"/>
        <item x="6"/>
        <item x="935"/>
        <item x="115"/>
        <item x="1115"/>
        <item x="1091"/>
        <item x="262"/>
        <item x="946"/>
        <item x="731"/>
        <item x="357"/>
        <item x="591"/>
        <item x="765"/>
        <item x="639"/>
        <item x="244"/>
        <item x="1024"/>
        <item x="534"/>
        <item x="200"/>
        <item x="438"/>
        <item x="393"/>
        <item x="184"/>
        <item x="943"/>
        <item x="454"/>
        <item x="346"/>
        <item x="266"/>
        <item x="91"/>
        <item x="635"/>
        <item x="758"/>
        <item x="219"/>
        <item x="820"/>
        <item x="890"/>
        <item x="690"/>
        <item x="919"/>
        <item x="133"/>
        <item x="985"/>
        <item x="1022"/>
        <item x="1177"/>
        <item x="528"/>
        <item x="70"/>
        <item x="320"/>
        <item x="471"/>
        <item x="466"/>
        <item x="210"/>
        <item x="829"/>
        <item x="432"/>
        <item x="213"/>
        <item x="1114"/>
        <item x="782"/>
        <item x="376"/>
        <item x="420"/>
        <item x="1026"/>
        <item x="1116"/>
        <item x="412"/>
        <item x="720"/>
        <item x="9"/>
        <item x="1007"/>
        <item x="289"/>
        <item x="774"/>
        <item x="78"/>
        <item x="565"/>
        <item x="804"/>
        <item x="691"/>
        <item x="472"/>
        <item x="375"/>
        <item x="858"/>
        <item x="982"/>
        <item x="570"/>
        <item x="108"/>
        <item x="388"/>
        <item x="796"/>
        <item x="521"/>
        <item x="33"/>
        <item x="970"/>
        <item x="1176"/>
        <item x="779"/>
        <item x="165"/>
        <item x="1097"/>
        <item x="995"/>
        <item x="304"/>
        <item x="328"/>
        <item t="default"/>
      </items>
    </pivotField>
    <pivotField numFmtId="166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Amount" fld="11" baseField="0" baseItem="0" numFmtId="3"/>
    <dataField name="Average of Total Amount2" fld="11" subtotal="average" baseField="8" baseItem="0" numFmtId="3"/>
    <dataField name="Count of Total Amount2" fld="11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1248A-154D-4265-901D-93A96C649CA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E26" firstHeaderRow="0" firstDataRow="1" firstDataCol="1"/>
  <pivotFields count="13">
    <pivotField showAll="0">
      <items count="1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showAll="0">
      <items count="7">
        <item x="4"/>
        <item x="3"/>
        <item x="2"/>
        <item x="5"/>
        <item x="0"/>
        <item x="1"/>
        <item t="default"/>
      </items>
    </pivotField>
    <pivotField showAll="0">
      <items count="9">
        <item x="6"/>
        <item x="0"/>
        <item x="2"/>
        <item x="7"/>
        <item x="3"/>
        <item x="5"/>
        <item x="1"/>
        <item x="4"/>
        <item t="default"/>
      </items>
    </pivotField>
    <pivotField axis="axisRow" showAll="0">
      <items count="11">
        <item x="9"/>
        <item x="7"/>
        <item x="3"/>
        <item x="5"/>
        <item x="0"/>
        <item x="6"/>
        <item x="4"/>
        <item x="1"/>
        <item x="8"/>
        <item x="2"/>
        <item t="default"/>
      </items>
    </pivotField>
    <pivotField showAll="0">
      <items count="41">
        <item x="29"/>
        <item x="2"/>
        <item x="33"/>
        <item x="1"/>
        <item x="14"/>
        <item x="12"/>
        <item x="32"/>
        <item x="28"/>
        <item x="21"/>
        <item x="16"/>
        <item x="18"/>
        <item x="25"/>
        <item x="6"/>
        <item x="27"/>
        <item x="13"/>
        <item x="39"/>
        <item x="10"/>
        <item x="19"/>
        <item x="34"/>
        <item x="3"/>
        <item x="11"/>
        <item x="26"/>
        <item x="31"/>
        <item x="22"/>
        <item x="35"/>
        <item x="23"/>
        <item x="4"/>
        <item x="20"/>
        <item x="8"/>
        <item x="36"/>
        <item x="5"/>
        <item x="0"/>
        <item x="17"/>
        <item x="15"/>
        <item x="38"/>
        <item x="7"/>
        <item x="30"/>
        <item x="24"/>
        <item x="37"/>
        <item x="9"/>
        <item t="default"/>
      </items>
    </pivotField>
    <pivotField showAll="0"/>
    <pivotField showAll="0"/>
    <pivotField showAll="0"/>
    <pivotField showAll="0"/>
    <pivotField numFmtId="165" showAll="0"/>
    <pivotField showAll="0">
      <items count="7">
        <item x="1"/>
        <item x="0"/>
        <item x="4"/>
        <item x="2"/>
        <item x="5"/>
        <item x="3"/>
        <item t="default"/>
      </items>
    </pivotField>
    <pivotField dataField="1" numFmtId="3" showAll="0">
      <items count="1181">
        <item x="463"/>
        <item x="800"/>
        <item x="509"/>
        <item x="604"/>
        <item x="120"/>
        <item x="961"/>
        <item x="508"/>
        <item x="953"/>
        <item x="881"/>
        <item x="161"/>
        <item x="1149"/>
        <item x="273"/>
        <item x="1145"/>
        <item x="16"/>
        <item x="1072"/>
        <item x="237"/>
        <item x="822"/>
        <item x="642"/>
        <item x="548"/>
        <item x="354"/>
        <item x="979"/>
        <item x="435"/>
        <item x="652"/>
        <item x="1138"/>
        <item x="560"/>
        <item x="118"/>
        <item x="29"/>
        <item x="131"/>
        <item x="22"/>
        <item x="650"/>
        <item x="1084"/>
        <item x="816"/>
        <item x="571"/>
        <item x="697"/>
        <item x="186"/>
        <item x="459"/>
        <item x="1008"/>
        <item x="999"/>
        <item x="925"/>
        <item x="738"/>
        <item x="715"/>
        <item x="546"/>
        <item x="10"/>
        <item x="442"/>
        <item x="673"/>
        <item x="17"/>
        <item x="1035"/>
        <item x="997"/>
        <item x="397"/>
        <item x="479"/>
        <item x="386"/>
        <item x="224"/>
        <item x="837"/>
        <item x="557"/>
        <item x="785"/>
        <item x="188"/>
        <item x="846"/>
        <item x="833"/>
        <item x="460"/>
        <item x="901"/>
        <item x="291"/>
        <item x="382"/>
        <item x="971"/>
        <item x="940"/>
        <item x="873"/>
        <item x="825"/>
        <item x="654"/>
        <item x="789"/>
        <item x="404"/>
        <item x="1127"/>
        <item x="865"/>
        <item x="181"/>
        <item x="944"/>
        <item x="1043"/>
        <item x="372"/>
        <item x="68"/>
        <item x="1104"/>
        <item x="831"/>
        <item x="1009"/>
        <item x="353"/>
        <item x="759"/>
        <item x="795"/>
        <item x="1155"/>
        <item x="136"/>
        <item x="628"/>
        <item x="8"/>
        <item x="103"/>
        <item x="1109"/>
        <item x="491"/>
        <item x="620"/>
        <item x="300"/>
        <item x="294"/>
        <item x="1053"/>
        <item x="153"/>
        <item x="197"/>
        <item x="137"/>
        <item x="682"/>
        <item x="1031"/>
        <item x="1088"/>
        <item x="786"/>
        <item x="814"/>
        <item x="862"/>
        <item x="713"/>
        <item x="949"/>
        <item x="631"/>
        <item x="425"/>
        <item x="1166"/>
        <item x="1099"/>
        <item x="331"/>
        <item x="1027"/>
        <item x="122"/>
        <item x="1157"/>
        <item x="49"/>
        <item x="52"/>
        <item x="141"/>
        <item x="781"/>
        <item x="325"/>
        <item x="823"/>
        <item x="41"/>
        <item x="61"/>
        <item x="808"/>
        <item x="232"/>
        <item x="879"/>
        <item x="616"/>
        <item x="253"/>
        <item x="623"/>
        <item x="316"/>
        <item x="208"/>
        <item x="645"/>
        <item x="755"/>
        <item x="274"/>
        <item x="511"/>
        <item x="553"/>
        <item x="951"/>
        <item x="1047"/>
        <item x="431"/>
        <item x="394"/>
        <item x="407"/>
        <item x="175"/>
        <item x="818"/>
        <item x="338"/>
        <item x="638"/>
        <item x="812"/>
        <item x="340"/>
        <item x="929"/>
        <item x="945"/>
        <item x="703"/>
        <item x="1111"/>
        <item x="104"/>
        <item x="323"/>
        <item x="790"/>
        <item x="480"/>
        <item x="597"/>
        <item x="149"/>
        <item x="903"/>
        <item x="803"/>
        <item x="998"/>
        <item x="185"/>
        <item x="57"/>
        <item x="555"/>
        <item x="588"/>
        <item x="547"/>
        <item x="1107"/>
        <item x="399"/>
        <item x="319"/>
        <item x="38"/>
        <item x="295"/>
        <item x="260"/>
        <item x="377"/>
        <item x="775"/>
        <item x="902"/>
        <item x="467"/>
        <item x="524"/>
        <item x="143"/>
        <item x="568"/>
        <item x="28"/>
        <item x="585"/>
        <item x="385"/>
        <item x="1126"/>
        <item x="1154"/>
        <item x="687"/>
        <item x="663"/>
        <item x="221"/>
        <item x="960"/>
        <item x="356"/>
        <item x="927"/>
        <item x="241"/>
        <item x="303"/>
        <item x="840"/>
        <item x="905"/>
        <item x="1"/>
        <item x="424"/>
        <item x="609"/>
        <item x="1055"/>
        <item x="878"/>
        <item x="1167"/>
        <item x="757"/>
        <item x="426"/>
        <item x="582"/>
        <item x="973"/>
        <item x="348"/>
        <item x="106"/>
        <item x="727"/>
        <item x="446"/>
        <item x="484"/>
        <item x="202"/>
        <item x="3"/>
        <item x="252"/>
        <item x="94"/>
        <item x="683"/>
        <item x="761"/>
        <item x="345"/>
        <item x="647"/>
        <item x="417"/>
        <item x="21"/>
        <item x="675"/>
        <item x="590"/>
        <item x="410"/>
        <item x="749"/>
        <item x="116"/>
        <item x="233"/>
        <item x="1148"/>
        <item x="93"/>
        <item x="281"/>
        <item x="183"/>
        <item x="1032"/>
        <item x="1077"/>
        <item x="698"/>
        <item x="310"/>
        <item x="692"/>
        <item x="967"/>
        <item x="37"/>
        <item x="972"/>
        <item x="493"/>
        <item x="1073"/>
        <item x="282"/>
        <item x="1082"/>
        <item x="342"/>
        <item x="211"/>
        <item x="894"/>
        <item x="538"/>
        <item x="821"/>
        <item x="105"/>
        <item x="172"/>
        <item x="543"/>
        <item x="649"/>
        <item x="563"/>
        <item x="805"/>
        <item x="468"/>
        <item x="893"/>
        <item x="464"/>
        <item x="101"/>
        <item x="671"/>
        <item x="994"/>
        <item x="276"/>
        <item x="733"/>
        <item x="572"/>
        <item x="883"/>
        <item x="574"/>
        <item x="214"/>
        <item x="601"/>
        <item x="636"/>
        <item x="701"/>
        <item x="1017"/>
        <item x="849"/>
        <item x="928"/>
        <item x="917"/>
        <item x="470"/>
        <item x="306"/>
        <item x="839"/>
        <item x="531"/>
        <item x="586"/>
        <item x="936"/>
        <item x="327"/>
        <item x="939"/>
        <item x="179"/>
        <item x="299"/>
        <item x="875"/>
        <item x="1112"/>
        <item x="112"/>
        <item x="445"/>
        <item x="349"/>
        <item x="358"/>
        <item x="768"/>
        <item x="501"/>
        <item x="750"/>
        <item x="580"/>
        <item x="728"/>
        <item x="958"/>
        <item x="465"/>
        <item x="333"/>
        <item x="976"/>
        <item x="918"/>
        <item x="815"/>
        <item x="150"/>
        <item x="1036"/>
        <item x="861"/>
        <item x="937"/>
        <item x="47"/>
        <item x="801"/>
        <item x="670"/>
        <item x="140"/>
        <item x="885"/>
        <item x="302"/>
        <item x="657"/>
        <item x="329"/>
        <item x="1029"/>
        <item x="1010"/>
        <item x="1044"/>
        <item x="811"/>
        <item x="934"/>
        <item x="55"/>
        <item x="956"/>
        <item x="651"/>
        <item x="88"/>
        <item x="119"/>
        <item x="430"/>
        <item x="996"/>
        <item x="614"/>
        <item x="383"/>
        <item x="138"/>
        <item x="166"/>
        <item x="71"/>
        <item x="857"/>
        <item x="522"/>
        <item x="827"/>
        <item x="441"/>
        <item x="311"/>
        <item x="1163"/>
        <item x="121"/>
        <item x="577"/>
        <item x="1102"/>
        <item x="87"/>
        <item x="696"/>
        <item x="576"/>
        <item x="826"/>
        <item x="980"/>
        <item x="236"/>
        <item x="912"/>
        <item x="1161"/>
        <item x="408"/>
        <item x="860"/>
        <item x="351"/>
        <item x="79"/>
        <item x="844"/>
        <item x="240"/>
        <item x="771"/>
        <item x="1046"/>
        <item x="313"/>
        <item x="84"/>
        <item x="1012"/>
        <item x="819"/>
        <item x="530"/>
        <item x="791"/>
        <item x="206"/>
        <item x="40"/>
        <item x="900"/>
        <item x="941"/>
        <item x="914"/>
        <item x="742"/>
        <item x="753"/>
        <item x="658"/>
        <item x="1160"/>
        <item x="32"/>
        <item x="483"/>
        <item x="1175"/>
        <item x="440"/>
        <item x="56"/>
        <item x="330"/>
        <item x="533"/>
        <item x="1162"/>
        <item x="602"/>
        <item x="517"/>
        <item x="45"/>
        <item x="987"/>
        <item x="726"/>
        <item x="145"/>
        <item x="1052"/>
        <item x="489"/>
        <item x="716"/>
        <item x="1095"/>
        <item x="606"/>
        <item x="203"/>
        <item x="458"/>
        <item x="90"/>
        <item x="117"/>
        <item x="633"/>
        <item x="279"/>
        <item x="1042"/>
        <item x="352"/>
        <item x="898"/>
        <item x="617"/>
        <item x="888"/>
        <item x="526"/>
        <item x="293"/>
        <item x="983"/>
        <item x="400"/>
        <item x="1056"/>
        <item x="469"/>
        <item x="164"/>
        <item x="684"/>
        <item x="834"/>
        <item x="550"/>
        <item x="370"/>
        <item x="523"/>
        <item x="630"/>
        <item x="724"/>
        <item x="418"/>
        <item x="702"/>
        <item x="963"/>
        <item x="339"/>
        <item x="567"/>
        <item x="231"/>
        <item x="261"/>
        <item x="259"/>
        <item x="930"/>
        <item x="444"/>
        <item x="398"/>
        <item x="665"/>
        <item x="778"/>
        <item x="942"/>
        <item x="110"/>
        <item x="11"/>
        <item x="290"/>
        <item x="1015"/>
        <item x="453"/>
        <item x="301"/>
        <item x="619"/>
        <item x="477"/>
        <item x="1025"/>
        <item x="626"/>
        <item x="250"/>
        <item x="365"/>
        <item x="34"/>
        <item x="554"/>
        <item x="147"/>
        <item x="852"/>
        <item x="681"/>
        <item x="495"/>
        <item x="1063"/>
        <item x="797"/>
        <item x="1059"/>
        <item x="247"/>
        <item x="129"/>
        <item x="403"/>
        <item x="473"/>
        <item x="39"/>
        <item x="130"/>
        <item x="1028"/>
        <item x="1179"/>
        <item x="874"/>
        <item x="990"/>
        <item x="1070"/>
        <item x="486"/>
        <item x="923"/>
        <item x="401"/>
        <item x="62"/>
        <item x="648"/>
        <item x="128"/>
        <item x="287"/>
        <item x="267"/>
        <item x="97"/>
        <item x="1174"/>
        <item x="1121"/>
        <item x="81"/>
        <item x="205"/>
        <item x="1006"/>
        <item x="413"/>
        <item x="277"/>
        <item x="751"/>
        <item x="719"/>
        <item x="514"/>
        <item x="887"/>
        <item x="364"/>
        <item x="723"/>
        <item x="278"/>
        <item x="35"/>
        <item x="513"/>
        <item x="780"/>
        <item x="1039"/>
        <item x="991"/>
        <item x="363"/>
        <item x="595"/>
        <item x="1038"/>
        <item x="1002"/>
        <item x="1011"/>
        <item x="436"/>
        <item x="392"/>
        <item x="65"/>
        <item x="297"/>
        <item x="793"/>
        <item x="1057"/>
        <item x="653"/>
        <item x="343"/>
        <item x="541"/>
        <item x="359"/>
        <item x="335"/>
        <item x="752"/>
        <item x="897"/>
        <item x="561"/>
        <item x="450"/>
        <item x="315"/>
        <item x="1087"/>
        <item x="986"/>
        <item x="24"/>
        <item x="157"/>
        <item x="1130"/>
        <item x="1120"/>
        <item x="610"/>
        <item x="77"/>
        <item x="1151"/>
        <item x="832"/>
        <item x="494"/>
        <item x="1128"/>
        <item x="916"/>
        <item x="344"/>
        <item x="1083"/>
        <item x="674"/>
        <item x="238"/>
        <item x="984"/>
        <item x="379"/>
        <item x="26"/>
        <item x="532"/>
        <item x="498"/>
        <item x="625"/>
        <item x="520"/>
        <item x="968"/>
        <item x="1139"/>
        <item x="42"/>
        <item x="154"/>
        <item x="662"/>
        <item x="830"/>
        <item x="168"/>
        <item x="361"/>
        <item x="1147"/>
        <item x="1079"/>
        <item x="581"/>
        <item x="499"/>
        <item x="1146"/>
        <item x="518"/>
        <item x="608"/>
        <item x="89"/>
        <item x="611"/>
        <item x="455"/>
        <item x="264"/>
        <item x="158"/>
        <item x="82"/>
        <item x="1089"/>
        <item x="1122"/>
        <item x="48"/>
        <item x="492"/>
        <item x="510"/>
        <item x="405"/>
        <item x="607"/>
        <item x="1014"/>
        <item x="156"/>
        <item x="578"/>
        <item x="926"/>
        <item x="622"/>
        <item x="406"/>
        <item x="770"/>
        <item x="766"/>
        <item x="269"/>
        <item x="824"/>
        <item x="64"/>
        <item x="634"/>
        <item x="763"/>
        <item x="922"/>
        <item x="910"/>
        <item x="539"/>
        <item x="817"/>
        <item x="190"/>
        <item x="92"/>
        <item x="1137"/>
        <item x="163"/>
        <item x="708"/>
        <item x="83"/>
        <item x="519"/>
        <item x="854"/>
        <item x="1062"/>
        <item x="1141"/>
        <item x="978"/>
        <item x="694"/>
        <item x="102"/>
        <item x="913"/>
        <item x="474"/>
        <item x="43"/>
        <item x="686"/>
        <item x="2"/>
        <item x="655"/>
        <item x="1045"/>
        <item x="559"/>
        <item x="794"/>
        <item x="851"/>
        <item x="1105"/>
        <item x="437"/>
        <item x="332"/>
        <item x="966"/>
        <item x="993"/>
        <item x="743"/>
        <item x="177"/>
        <item x="754"/>
        <item x="275"/>
        <item x="889"/>
        <item x="1150"/>
        <item x="1113"/>
        <item x="668"/>
        <item x="545"/>
        <item x="182"/>
        <item x="1169"/>
        <item x="1050"/>
        <item x="699"/>
        <item x="1013"/>
        <item x="859"/>
        <item x="746"/>
        <item x="704"/>
        <item x="667"/>
        <item x="503"/>
        <item x="969"/>
        <item x="977"/>
        <item x="292"/>
        <item x="899"/>
        <item x="209"/>
        <item x="14"/>
        <item x="496"/>
        <item x="594"/>
        <item x="1064"/>
        <item x="1158"/>
        <item x="160"/>
        <item x="341"/>
        <item x="737"/>
        <item x="207"/>
        <item x="569"/>
        <item x="799"/>
        <item x="904"/>
        <item x="1061"/>
        <item x="828"/>
        <item x="271"/>
        <item x="59"/>
        <item x="257"/>
        <item x="123"/>
        <item x="148"/>
        <item x="1074"/>
        <item x="270"/>
        <item x="189"/>
        <item x="67"/>
        <item x="741"/>
        <item x="223"/>
        <item x="409"/>
        <item x="710"/>
        <item x="760"/>
        <item x="76"/>
        <item x="178"/>
        <item x="1133"/>
        <item x="125"/>
        <item x="621"/>
        <item x="549"/>
        <item x="1051"/>
        <item x="627"/>
        <item x="15"/>
        <item x="146"/>
        <item x="880"/>
        <item x="748"/>
        <item x="448"/>
        <item x="1132"/>
        <item x="336"/>
        <item x="414"/>
        <item x="347"/>
        <item x="384"/>
        <item x="689"/>
        <item x="747"/>
        <item x="167"/>
        <item x="573"/>
        <item x="452"/>
        <item x="174"/>
        <item x="1118"/>
        <item x="525"/>
        <item x="86"/>
        <item x="516"/>
        <item x="813"/>
        <item x="1098"/>
        <item x="725"/>
        <item x="66"/>
        <item x="85"/>
        <item x="434"/>
        <item x="396"/>
        <item x="575"/>
        <item x="415"/>
        <item x="908"/>
        <item x="1123"/>
        <item x="1037"/>
        <item x="58"/>
        <item x="318"/>
        <item x="870"/>
        <item x="700"/>
        <item x="734"/>
        <item x="144"/>
        <item x="60"/>
        <item x="457"/>
        <item x="235"/>
        <item x="98"/>
        <item x="1067"/>
        <item x="395"/>
        <item x="191"/>
        <item x="201"/>
        <item x="891"/>
        <item x="127"/>
        <item x="19"/>
        <item x="152"/>
        <item x="44"/>
        <item x="773"/>
        <item x="933"/>
        <item x="537"/>
        <item x="142"/>
        <item x="309"/>
        <item x="688"/>
        <item x="1103"/>
        <item x="876"/>
        <item x="584"/>
        <item x="298"/>
        <item x="20"/>
        <item x="429"/>
        <item x="212"/>
        <item x="368"/>
        <item x="877"/>
        <item x="248"/>
        <item x="159"/>
        <item x="1020"/>
        <item x="443"/>
        <item x="308"/>
        <item x="1164"/>
        <item x="629"/>
        <item x="286"/>
        <item x="1172"/>
        <item x="871"/>
        <item x="230"/>
        <item x="784"/>
        <item x="1086"/>
        <item x="114"/>
        <item x="714"/>
        <item x="695"/>
        <item x="324"/>
        <item x="462"/>
        <item x="4"/>
        <item x="680"/>
        <item x="1152"/>
        <item x="717"/>
        <item x="502"/>
        <item x="659"/>
        <item x="843"/>
        <item x="500"/>
        <item x="1136"/>
        <item x="1140"/>
        <item x="596"/>
        <item x="605"/>
        <item x="321"/>
        <item x="845"/>
        <item x="706"/>
        <item x="589"/>
        <item x="1173"/>
        <item x="1069"/>
        <item x="193"/>
        <item x="422"/>
        <item x="957"/>
        <item x="869"/>
        <item x="735"/>
        <item x="99"/>
        <item x="672"/>
        <item x="1023"/>
        <item x="451"/>
        <item x="268"/>
        <item x="54"/>
        <item x="964"/>
        <item x="350"/>
        <item x="965"/>
        <item x="187"/>
        <item x="855"/>
        <item x="1034"/>
        <item x="938"/>
        <item x="1058"/>
        <item x="1081"/>
        <item x="981"/>
        <item x="866"/>
        <item x="950"/>
        <item x="558"/>
        <item x="449"/>
        <item x="387"/>
        <item x="1094"/>
        <item x="1108"/>
        <item x="882"/>
        <item x="864"/>
        <item x="50"/>
        <item x="170"/>
        <item x="1170"/>
        <item x="228"/>
        <item x="872"/>
        <item x="1159"/>
        <item x="180"/>
        <item x="907"/>
        <item x="783"/>
        <item x="1085"/>
        <item x="391"/>
        <item x="504"/>
        <item x="222"/>
        <item x="7"/>
        <item x="371"/>
        <item x="1124"/>
        <item x="30"/>
        <item x="1049"/>
        <item x="416"/>
        <item x="895"/>
        <item x="836"/>
        <item x="433"/>
        <item x="124"/>
        <item x="220"/>
        <item x="615"/>
        <item x="807"/>
        <item x="390"/>
        <item x="506"/>
        <item x="378"/>
        <item x="632"/>
        <item x="134"/>
        <item x="1165"/>
        <item x="1144"/>
        <item x="613"/>
        <item x="258"/>
        <item x="1134"/>
        <item x="69"/>
        <item x="1001"/>
        <item x="1119"/>
        <item x="1066"/>
        <item x="730"/>
        <item x="587"/>
        <item x="194"/>
        <item x="31"/>
        <item x="685"/>
        <item x="745"/>
        <item x="603"/>
        <item x="95"/>
        <item x="355"/>
        <item x="721"/>
        <item x="1040"/>
        <item x="96"/>
        <item x="540"/>
        <item x="959"/>
        <item x="600"/>
        <item x="920"/>
        <item x="592"/>
        <item x="677"/>
        <item x="485"/>
        <item x="764"/>
        <item x="1060"/>
        <item x="556"/>
        <item x="529"/>
        <item x="255"/>
        <item x="109"/>
        <item x="535"/>
        <item x="676"/>
        <item x="850"/>
        <item x="947"/>
        <item x="515"/>
        <item x="932"/>
        <item x="856"/>
        <item x="402"/>
        <item x="896"/>
        <item x="476"/>
        <item x="736"/>
        <item x="1092"/>
        <item x="732"/>
        <item x="656"/>
        <item x="624"/>
        <item x="246"/>
        <item x="0"/>
        <item x="884"/>
        <item x="1018"/>
        <item x="280"/>
        <item x="809"/>
        <item x="551"/>
        <item x="1168"/>
        <item x="1117"/>
        <item x="1131"/>
        <item x="1129"/>
        <item x="599"/>
        <item x="155"/>
        <item x="798"/>
        <item x="1021"/>
        <item x="139"/>
        <item x="772"/>
        <item x="562"/>
        <item x="948"/>
        <item x="507"/>
        <item x="1153"/>
        <item x="1090"/>
        <item x="100"/>
        <item x="542"/>
        <item x="107"/>
        <item x="1110"/>
        <item x="1096"/>
        <item x="1125"/>
        <item x="729"/>
        <item x="374"/>
        <item x="1048"/>
        <item x="216"/>
        <item x="1100"/>
        <item x="46"/>
        <item x="126"/>
        <item x="326"/>
        <item x="788"/>
        <item x="1078"/>
        <item x="198"/>
        <item x="1093"/>
        <item x="838"/>
        <item x="380"/>
        <item x="1041"/>
        <item x="767"/>
        <item x="199"/>
        <item x="911"/>
        <item x="1054"/>
        <item x="63"/>
        <item x="362"/>
        <item x="307"/>
        <item x="886"/>
        <item x="583"/>
        <item x="245"/>
        <item x="1016"/>
        <item x="988"/>
        <item x="669"/>
        <item x="12"/>
        <item x="251"/>
        <item x="598"/>
        <item x="497"/>
        <item x="579"/>
        <item x="777"/>
        <item x="317"/>
        <item x="373"/>
        <item x="151"/>
        <item x="135"/>
        <item x="1033"/>
        <item x="427"/>
        <item x="18"/>
        <item x="74"/>
        <item x="1106"/>
        <item x="249"/>
        <item x="225"/>
        <item x="36"/>
        <item x="192"/>
        <item x="842"/>
        <item x="709"/>
        <item x="218"/>
        <item x="792"/>
        <item x="679"/>
        <item x="25"/>
        <item x="806"/>
        <item x="707"/>
        <item x="1075"/>
        <item x="1076"/>
        <item x="305"/>
        <item x="810"/>
        <item x="482"/>
        <item x="113"/>
        <item x="176"/>
        <item x="1156"/>
        <item x="322"/>
        <item x="111"/>
        <item x="892"/>
        <item x="204"/>
        <item x="217"/>
        <item x="909"/>
        <item x="75"/>
        <item x="296"/>
        <item x="337"/>
        <item x="1101"/>
        <item x="456"/>
        <item x="644"/>
        <item x="366"/>
        <item x="744"/>
        <item x="646"/>
        <item x="285"/>
        <item x="666"/>
        <item x="566"/>
        <item x="272"/>
        <item x="906"/>
        <item x="975"/>
        <item x="1030"/>
        <item x="360"/>
        <item x="5"/>
        <item x="234"/>
        <item x="664"/>
        <item x="488"/>
        <item x="612"/>
        <item x="863"/>
        <item x="80"/>
        <item x="1080"/>
        <item x="1005"/>
        <item x="643"/>
        <item x="256"/>
        <item x="705"/>
        <item x="1171"/>
        <item x="243"/>
        <item x="802"/>
        <item x="776"/>
        <item x="992"/>
        <item x="640"/>
        <item x="242"/>
        <item x="23"/>
        <item x="527"/>
        <item x="921"/>
        <item x="693"/>
        <item x="254"/>
        <item x="53"/>
        <item x="461"/>
        <item x="439"/>
        <item x="428"/>
        <item x="678"/>
        <item x="712"/>
        <item x="312"/>
        <item x="1135"/>
        <item x="265"/>
        <item x="1142"/>
        <item x="195"/>
        <item x="239"/>
        <item x="367"/>
        <item x="389"/>
        <item x="227"/>
        <item x="169"/>
        <item x="868"/>
        <item x="475"/>
        <item x="989"/>
        <item x="1071"/>
        <item x="661"/>
        <item x="739"/>
        <item x="552"/>
        <item x="381"/>
        <item x="1143"/>
        <item x="411"/>
        <item x="173"/>
        <item x="544"/>
        <item x="974"/>
        <item x="215"/>
        <item x="226"/>
        <item x="711"/>
        <item x="419"/>
        <item x="593"/>
        <item x="536"/>
        <item x="369"/>
        <item x="955"/>
        <item x="229"/>
        <item x="162"/>
        <item x="13"/>
        <item x="564"/>
        <item x="787"/>
        <item x="1178"/>
        <item x="263"/>
        <item x="769"/>
        <item x="915"/>
        <item x="1065"/>
        <item x="952"/>
        <item x="334"/>
        <item x="51"/>
        <item x="512"/>
        <item x="1019"/>
        <item x="1000"/>
        <item x="423"/>
        <item x="73"/>
        <item x="447"/>
        <item x="421"/>
        <item x="27"/>
        <item x="314"/>
        <item x="931"/>
        <item x="718"/>
        <item x="481"/>
        <item x="867"/>
        <item x="132"/>
        <item x="505"/>
        <item x="490"/>
        <item x="487"/>
        <item x="954"/>
        <item x="853"/>
        <item x="924"/>
        <item x="1068"/>
        <item x="637"/>
        <item x="835"/>
        <item x="284"/>
        <item x="478"/>
        <item x="848"/>
        <item x="171"/>
        <item x="722"/>
        <item x="847"/>
        <item x="762"/>
        <item x="283"/>
        <item x="1003"/>
        <item x="962"/>
        <item x="756"/>
        <item x="288"/>
        <item x="618"/>
        <item x="740"/>
        <item x="641"/>
        <item x="196"/>
        <item x="1004"/>
        <item x="72"/>
        <item x="660"/>
        <item x="841"/>
        <item x="6"/>
        <item x="935"/>
        <item x="115"/>
        <item x="1115"/>
        <item x="1091"/>
        <item x="262"/>
        <item x="946"/>
        <item x="731"/>
        <item x="357"/>
        <item x="591"/>
        <item x="765"/>
        <item x="639"/>
        <item x="244"/>
        <item x="1024"/>
        <item x="534"/>
        <item x="200"/>
        <item x="438"/>
        <item x="393"/>
        <item x="184"/>
        <item x="943"/>
        <item x="454"/>
        <item x="346"/>
        <item x="266"/>
        <item x="91"/>
        <item x="635"/>
        <item x="758"/>
        <item x="219"/>
        <item x="820"/>
        <item x="890"/>
        <item x="690"/>
        <item x="919"/>
        <item x="133"/>
        <item x="985"/>
        <item x="1022"/>
        <item x="1177"/>
        <item x="528"/>
        <item x="70"/>
        <item x="320"/>
        <item x="471"/>
        <item x="466"/>
        <item x="210"/>
        <item x="829"/>
        <item x="432"/>
        <item x="213"/>
        <item x="1114"/>
        <item x="782"/>
        <item x="376"/>
        <item x="420"/>
        <item x="1026"/>
        <item x="1116"/>
        <item x="412"/>
        <item x="720"/>
        <item x="9"/>
        <item x="1007"/>
        <item x="289"/>
        <item x="774"/>
        <item x="78"/>
        <item x="565"/>
        <item x="804"/>
        <item x="691"/>
        <item x="472"/>
        <item x="375"/>
        <item x="858"/>
        <item x="982"/>
        <item x="570"/>
        <item x="108"/>
        <item x="388"/>
        <item x="796"/>
        <item x="521"/>
        <item x="33"/>
        <item x="970"/>
        <item x="1176"/>
        <item x="779"/>
        <item x="165"/>
        <item x="1097"/>
        <item x="995"/>
        <item x="304"/>
        <item x="328"/>
        <item t="default"/>
      </items>
    </pivotField>
    <pivotField numFmtId="166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Amount" fld="11" baseField="0" baseItem="0" numFmtId="3"/>
    <dataField name="Average of Total Amount2" fld="11" subtotal="average" baseField="3" baseItem="0" numFmtId="3"/>
    <dataField name="Max of Total Amount2" fld="11" subtotal="max" baseField="3" baseItem="0" numFmtId="3"/>
    <dataField name="Min of Total Amount2" fld="11" subtotal="min" baseField="3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87349-3423-4DA0-AF97-3FAC0C0E29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13">
    <pivotField showAll="0">
      <items count="1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axis="axisRow" showAll="0">
      <items count="7">
        <item x="4"/>
        <item x="3"/>
        <item x="2"/>
        <item x="5"/>
        <item x="0"/>
        <item x="1"/>
        <item t="default"/>
      </items>
    </pivotField>
    <pivotField showAll="0">
      <items count="9">
        <item x="6"/>
        <item x="0"/>
        <item x="2"/>
        <item x="7"/>
        <item x="3"/>
        <item x="5"/>
        <item x="1"/>
        <item x="4"/>
        <item t="default"/>
      </items>
    </pivotField>
    <pivotField showAll="0">
      <items count="11">
        <item x="9"/>
        <item x="7"/>
        <item x="3"/>
        <item x="5"/>
        <item x="0"/>
        <item x="6"/>
        <item x="4"/>
        <item x="1"/>
        <item x="8"/>
        <item x="2"/>
        <item t="default"/>
      </items>
    </pivotField>
    <pivotField showAll="0">
      <items count="41">
        <item x="29"/>
        <item x="2"/>
        <item x="33"/>
        <item x="1"/>
        <item x="14"/>
        <item x="12"/>
        <item x="32"/>
        <item x="28"/>
        <item x="21"/>
        <item x="16"/>
        <item x="18"/>
        <item x="25"/>
        <item x="6"/>
        <item x="27"/>
        <item x="13"/>
        <item x="39"/>
        <item x="10"/>
        <item x="19"/>
        <item x="34"/>
        <item x="3"/>
        <item x="11"/>
        <item x="26"/>
        <item x="31"/>
        <item x="22"/>
        <item x="35"/>
        <item x="23"/>
        <item x="4"/>
        <item x="20"/>
        <item x="8"/>
        <item x="36"/>
        <item x="5"/>
        <item x="0"/>
        <item x="17"/>
        <item x="15"/>
        <item x="38"/>
        <item x="7"/>
        <item x="30"/>
        <item x="24"/>
        <item x="37"/>
        <item x="9"/>
        <item t="default"/>
      </items>
    </pivotField>
    <pivotField showAll="0"/>
    <pivotField showAll="0"/>
    <pivotField showAll="0"/>
    <pivotField showAll="0"/>
    <pivotField numFmtId="165" showAll="0"/>
    <pivotField axis="axisCol" showAll="0">
      <items count="7">
        <item x="1"/>
        <item x="0"/>
        <item x="4"/>
        <item x="2"/>
        <item x="5"/>
        <item x="3"/>
        <item t="default"/>
      </items>
    </pivotField>
    <pivotField dataField="1" numFmtId="3" showAll="0">
      <items count="1181">
        <item x="463"/>
        <item x="800"/>
        <item x="509"/>
        <item x="604"/>
        <item x="120"/>
        <item x="961"/>
        <item x="508"/>
        <item x="953"/>
        <item x="881"/>
        <item x="161"/>
        <item x="1149"/>
        <item x="273"/>
        <item x="1145"/>
        <item x="16"/>
        <item x="1072"/>
        <item x="237"/>
        <item x="822"/>
        <item x="642"/>
        <item x="548"/>
        <item x="354"/>
        <item x="979"/>
        <item x="435"/>
        <item x="652"/>
        <item x="1138"/>
        <item x="560"/>
        <item x="118"/>
        <item x="29"/>
        <item x="131"/>
        <item x="22"/>
        <item x="650"/>
        <item x="1084"/>
        <item x="816"/>
        <item x="571"/>
        <item x="697"/>
        <item x="186"/>
        <item x="459"/>
        <item x="1008"/>
        <item x="999"/>
        <item x="925"/>
        <item x="738"/>
        <item x="715"/>
        <item x="546"/>
        <item x="10"/>
        <item x="442"/>
        <item x="673"/>
        <item x="17"/>
        <item x="1035"/>
        <item x="997"/>
        <item x="397"/>
        <item x="479"/>
        <item x="386"/>
        <item x="224"/>
        <item x="837"/>
        <item x="557"/>
        <item x="785"/>
        <item x="188"/>
        <item x="846"/>
        <item x="833"/>
        <item x="460"/>
        <item x="901"/>
        <item x="291"/>
        <item x="382"/>
        <item x="971"/>
        <item x="940"/>
        <item x="873"/>
        <item x="825"/>
        <item x="654"/>
        <item x="789"/>
        <item x="404"/>
        <item x="1127"/>
        <item x="865"/>
        <item x="181"/>
        <item x="944"/>
        <item x="1043"/>
        <item x="372"/>
        <item x="68"/>
        <item x="1104"/>
        <item x="831"/>
        <item x="1009"/>
        <item x="353"/>
        <item x="759"/>
        <item x="795"/>
        <item x="1155"/>
        <item x="136"/>
        <item x="628"/>
        <item x="8"/>
        <item x="103"/>
        <item x="1109"/>
        <item x="491"/>
        <item x="620"/>
        <item x="300"/>
        <item x="294"/>
        <item x="1053"/>
        <item x="153"/>
        <item x="197"/>
        <item x="137"/>
        <item x="682"/>
        <item x="1031"/>
        <item x="1088"/>
        <item x="786"/>
        <item x="814"/>
        <item x="862"/>
        <item x="713"/>
        <item x="949"/>
        <item x="631"/>
        <item x="425"/>
        <item x="1166"/>
        <item x="1099"/>
        <item x="331"/>
        <item x="1027"/>
        <item x="122"/>
        <item x="1157"/>
        <item x="49"/>
        <item x="52"/>
        <item x="141"/>
        <item x="781"/>
        <item x="325"/>
        <item x="823"/>
        <item x="41"/>
        <item x="61"/>
        <item x="808"/>
        <item x="232"/>
        <item x="879"/>
        <item x="616"/>
        <item x="253"/>
        <item x="623"/>
        <item x="316"/>
        <item x="208"/>
        <item x="645"/>
        <item x="755"/>
        <item x="274"/>
        <item x="511"/>
        <item x="553"/>
        <item x="951"/>
        <item x="1047"/>
        <item x="431"/>
        <item x="394"/>
        <item x="407"/>
        <item x="175"/>
        <item x="818"/>
        <item x="338"/>
        <item x="638"/>
        <item x="812"/>
        <item x="340"/>
        <item x="929"/>
        <item x="945"/>
        <item x="703"/>
        <item x="1111"/>
        <item x="104"/>
        <item x="323"/>
        <item x="790"/>
        <item x="480"/>
        <item x="597"/>
        <item x="149"/>
        <item x="903"/>
        <item x="803"/>
        <item x="998"/>
        <item x="185"/>
        <item x="57"/>
        <item x="555"/>
        <item x="588"/>
        <item x="547"/>
        <item x="1107"/>
        <item x="399"/>
        <item x="319"/>
        <item x="38"/>
        <item x="295"/>
        <item x="260"/>
        <item x="377"/>
        <item x="775"/>
        <item x="902"/>
        <item x="467"/>
        <item x="524"/>
        <item x="143"/>
        <item x="568"/>
        <item x="28"/>
        <item x="585"/>
        <item x="385"/>
        <item x="1126"/>
        <item x="1154"/>
        <item x="687"/>
        <item x="663"/>
        <item x="221"/>
        <item x="960"/>
        <item x="356"/>
        <item x="927"/>
        <item x="241"/>
        <item x="303"/>
        <item x="840"/>
        <item x="905"/>
        <item x="1"/>
        <item x="424"/>
        <item x="609"/>
        <item x="1055"/>
        <item x="878"/>
        <item x="1167"/>
        <item x="757"/>
        <item x="426"/>
        <item x="582"/>
        <item x="973"/>
        <item x="348"/>
        <item x="106"/>
        <item x="727"/>
        <item x="446"/>
        <item x="484"/>
        <item x="202"/>
        <item x="3"/>
        <item x="252"/>
        <item x="94"/>
        <item x="683"/>
        <item x="761"/>
        <item x="345"/>
        <item x="647"/>
        <item x="417"/>
        <item x="21"/>
        <item x="675"/>
        <item x="590"/>
        <item x="410"/>
        <item x="749"/>
        <item x="116"/>
        <item x="233"/>
        <item x="1148"/>
        <item x="93"/>
        <item x="281"/>
        <item x="183"/>
        <item x="1032"/>
        <item x="1077"/>
        <item x="698"/>
        <item x="310"/>
        <item x="692"/>
        <item x="967"/>
        <item x="37"/>
        <item x="972"/>
        <item x="493"/>
        <item x="1073"/>
        <item x="282"/>
        <item x="1082"/>
        <item x="342"/>
        <item x="211"/>
        <item x="894"/>
        <item x="538"/>
        <item x="821"/>
        <item x="105"/>
        <item x="172"/>
        <item x="543"/>
        <item x="649"/>
        <item x="563"/>
        <item x="805"/>
        <item x="468"/>
        <item x="893"/>
        <item x="464"/>
        <item x="101"/>
        <item x="671"/>
        <item x="994"/>
        <item x="276"/>
        <item x="733"/>
        <item x="572"/>
        <item x="883"/>
        <item x="574"/>
        <item x="214"/>
        <item x="601"/>
        <item x="636"/>
        <item x="701"/>
        <item x="1017"/>
        <item x="849"/>
        <item x="928"/>
        <item x="917"/>
        <item x="470"/>
        <item x="306"/>
        <item x="839"/>
        <item x="531"/>
        <item x="586"/>
        <item x="936"/>
        <item x="327"/>
        <item x="939"/>
        <item x="179"/>
        <item x="299"/>
        <item x="875"/>
        <item x="1112"/>
        <item x="112"/>
        <item x="445"/>
        <item x="349"/>
        <item x="358"/>
        <item x="768"/>
        <item x="501"/>
        <item x="750"/>
        <item x="580"/>
        <item x="728"/>
        <item x="958"/>
        <item x="465"/>
        <item x="333"/>
        <item x="976"/>
        <item x="918"/>
        <item x="815"/>
        <item x="150"/>
        <item x="1036"/>
        <item x="861"/>
        <item x="937"/>
        <item x="47"/>
        <item x="801"/>
        <item x="670"/>
        <item x="140"/>
        <item x="885"/>
        <item x="302"/>
        <item x="657"/>
        <item x="329"/>
        <item x="1029"/>
        <item x="1010"/>
        <item x="1044"/>
        <item x="811"/>
        <item x="934"/>
        <item x="55"/>
        <item x="956"/>
        <item x="651"/>
        <item x="88"/>
        <item x="119"/>
        <item x="430"/>
        <item x="996"/>
        <item x="614"/>
        <item x="383"/>
        <item x="138"/>
        <item x="166"/>
        <item x="71"/>
        <item x="857"/>
        <item x="522"/>
        <item x="827"/>
        <item x="441"/>
        <item x="311"/>
        <item x="1163"/>
        <item x="121"/>
        <item x="577"/>
        <item x="1102"/>
        <item x="87"/>
        <item x="696"/>
        <item x="576"/>
        <item x="826"/>
        <item x="980"/>
        <item x="236"/>
        <item x="912"/>
        <item x="1161"/>
        <item x="408"/>
        <item x="860"/>
        <item x="351"/>
        <item x="79"/>
        <item x="844"/>
        <item x="240"/>
        <item x="771"/>
        <item x="1046"/>
        <item x="313"/>
        <item x="84"/>
        <item x="1012"/>
        <item x="819"/>
        <item x="530"/>
        <item x="791"/>
        <item x="206"/>
        <item x="40"/>
        <item x="900"/>
        <item x="941"/>
        <item x="914"/>
        <item x="742"/>
        <item x="753"/>
        <item x="658"/>
        <item x="1160"/>
        <item x="32"/>
        <item x="483"/>
        <item x="1175"/>
        <item x="440"/>
        <item x="56"/>
        <item x="330"/>
        <item x="533"/>
        <item x="1162"/>
        <item x="602"/>
        <item x="517"/>
        <item x="45"/>
        <item x="987"/>
        <item x="726"/>
        <item x="145"/>
        <item x="1052"/>
        <item x="489"/>
        <item x="716"/>
        <item x="1095"/>
        <item x="606"/>
        <item x="203"/>
        <item x="458"/>
        <item x="90"/>
        <item x="117"/>
        <item x="633"/>
        <item x="279"/>
        <item x="1042"/>
        <item x="352"/>
        <item x="898"/>
        <item x="617"/>
        <item x="888"/>
        <item x="526"/>
        <item x="293"/>
        <item x="983"/>
        <item x="400"/>
        <item x="1056"/>
        <item x="469"/>
        <item x="164"/>
        <item x="684"/>
        <item x="834"/>
        <item x="550"/>
        <item x="370"/>
        <item x="523"/>
        <item x="630"/>
        <item x="724"/>
        <item x="418"/>
        <item x="702"/>
        <item x="963"/>
        <item x="339"/>
        <item x="567"/>
        <item x="231"/>
        <item x="261"/>
        <item x="259"/>
        <item x="930"/>
        <item x="444"/>
        <item x="398"/>
        <item x="665"/>
        <item x="778"/>
        <item x="942"/>
        <item x="110"/>
        <item x="11"/>
        <item x="290"/>
        <item x="1015"/>
        <item x="453"/>
        <item x="301"/>
        <item x="619"/>
        <item x="477"/>
        <item x="1025"/>
        <item x="626"/>
        <item x="250"/>
        <item x="365"/>
        <item x="34"/>
        <item x="554"/>
        <item x="147"/>
        <item x="852"/>
        <item x="681"/>
        <item x="495"/>
        <item x="1063"/>
        <item x="797"/>
        <item x="1059"/>
        <item x="247"/>
        <item x="129"/>
        <item x="403"/>
        <item x="473"/>
        <item x="39"/>
        <item x="130"/>
        <item x="1028"/>
        <item x="1179"/>
        <item x="874"/>
        <item x="990"/>
        <item x="1070"/>
        <item x="486"/>
        <item x="923"/>
        <item x="401"/>
        <item x="62"/>
        <item x="648"/>
        <item x="128"/>
        <item x="287"/>
        <item x="267"/>
        <item x="97"/>
        <item x="1174"/>
        <item x="1121"/>
        <item x="81"/>
        <item x="205"/>
        <item x="1006"/>
        <item x="413"/>
        <item x="277"/>
        <item x="751"/>
        <item x="719"/>
        <item x="514"/>
        <item x="887"/>
        <item x="364"/>
        <item x="723"/>
        <item x="278"/>
        <item x="35"/>
        <item x="513"/>
        <item x="780"/>
        <item x="1039"/>
        <item x="991"/>
        <item x="363"/>
        <item x="595"/>
        <item x="1038"/>
        <item x="1002"/>
        <item x="1011"/>
        <item x="436"/>
        <item x="392"/>
        <item x="65"/>
        <item x="297"/>
        <item x="793"/>
        <item x="1057"/>
        <item x="653"/>
        <item x="343"/>
        <item x="541"/>
        <item x="359"/>
        <item x="335"/>
        <item x="752"/>
        <item x="897"/>
        <item x="561"/>
        <item x="450"/>
        <item x="315"/>
        <item x="1087"/>
        <item x="986"/>
        <item x="24"/>
        <item x="157"/>
        <item x="1130"/>
        <item x="1120"/>
        <item x="610"/>
        <item x="77"/>
        <item x="1151"/>
        <item x="832"/>
        <item x="494"/>
        <item x="1128"/>
        <item x="916"/>
        <item x="344"/>
        <item x="1083"/>
        <item x="674"/>
        <item x="238"/>
        <item x="984"/>
        <item x="379"/>
        <item x="26"/>
        <item x="532"/>
        <item x="498"/>
        <item x="625"/>
        <item x="520"/>
        <item x="968"/>
        <item x="1139"/>
        <item x="42"/>
        <item x="154"/>
        <item x="662"/>
        <item x="830"/>
        <item x="168"/>
        <item x="361"/>
        <item x="1147"/>
        <item x="1079"/>
        <item x="581"/>
        <item x="499"/>
        <item x="1146"/>
        <item x="518"/>
        <item x="608"/>
        <item x="89"/>
        <item x="611"/>
        <item x="455"/>
        <item x="264"/>
        <item x="158"/>
        <item x="82"/>
        <item x="1089"/>
        <item x="1122"/>
        <item x="48"/>
        <item x="492"/>
        <item x="510"/>
        <item x="405"/>
        <item x="607"/>
        <item x="1014"/>
        <item x="156"/>
        <item x="578"/>
        <item x="926"/>
        <item x="622"/>
        <item x="406"/>
        <item x="770"/>
        <item x="766"/>
        <item x="269"/>
        <item x="824"/>
        <item x="64"/>
        <item x="634"/>
        <item x="763"/>
        <item x="922"/>
        <item x="910"/>
        <item x="539"/>
        <item x="817"/>
        <item x="190"/>
        <item x="92"/>
        <item x="1137"/>
        <item x="163"/>
        <item x="708"/>
        <item x="83"/>
        <item x="519"/>
        <item x="854"/>
        <item x="1062"/>
        <item x="1141"/>
        <item x="978"/>
        <item x="694"/>
        <item x="102"/>
        <item x="913"/>
        <item x="474"/>
        <item x="43"/>
        <item x="686"/>
        <item x="2"/>
        <item x="655"/>
        <item x="1045"/>
        <item x="559"/>
        <item x="794"/>
        <item x="851"/>
        <item x="1105"/>
        <item x="437"/>
        <item x="332"/>
        <item x="966"/>
        <item x="993"/>
        <item x="743"/>
        <item x="177"/>
        <item x="754"/>
        <item x="275"/>
        <item x="889"/>
        <item x="1150"/>
        <item x="1113"/>
        <item x="668"/>
        <item x="545"/>
        <item x="182"/>
        <item x="1169"/>
        <item x="1050"/>
        <item x="699"/>
        <item x="1013"/>
        <item x="859"/>
        <item x="746"/>
        <item x="704"/>
        <item x="667"/>
        <item x="503"/>
        <item x="969"/>
        <item x="977"/>
        <item x="292"/>
        <item x="899"/>
        <item x="209"/>
        <item x="14"/>
        <item x="496"/>
        <item x="594"/>
        <item x="1064"/>
        <item x="1158"/>
        <item x="160"/>
        <item x="341"/>
        <item x="737"/>
        <item x="207"/>
        <item x="569"/>
        <item x="799"/>
        <item x="904"/>
        <item x="1061"/>
        <item x="828"/>
        <item x="271"/>
        <item x="59"/>
        <item x="257"/>
        <item x="123"/>
        <item x="148"/>
        <item x="1074"/>
        <item x="270"/>
        <item x="189"/>
        <item x="67"/>
        <item x="741"/>
        <item x="223"/>
        <item x="409"/>
        <item x="710"/>
        <item x="760"/>
        <item x="76"/>
        <item x="178"/>
        <item x="1133"/>
        <item x="125"/>
        <item x="621"/>
        <item x="549"/>
        <item x="1051"/>
        <item x="627"/>
        <item x="15"/>
        <item x="146"/>
        <item x="880"/>
        <item x="748"/>
        <item x="448"/>
        <item x="1132"/>
        <item x="336"/>
        <item x="414"/>
        <item x="347"/>
        <item x="384"/>
        <item x="689"/>
        <item x="747"/>
        <item x="167"/>
        <item x="573"/>
        <item x="452"/>
        <item x="174"/>
        <item x="1118"/>
        <item x="525"/>
        <item x="86"/>
        <item x="516"/>
        <item x="813"/>
        <item x="1098"/>
        <item x="725"/>
        <item x="66"/>
        <item x="85"/>
        <item x="434"/>
        <item x="396"/>
        <item x="575"/>
        <item x="415"/>
        <item x="908"/>
        <item x="1123"/>
        <item x="1037"/>
        <item x="58"/>
        <item x="318"/>
        <item x="870"/>
        <item x="700"/>
        <item x="734"/>
        <item x="144"/>
        <item x="60"/>
        <item x="457"/>
        <item x="235"/>
        <item x="98"/>
        <item x="1067"/>
        <item x="395"/>
        <item x="191"/>
        <item x="201"/>
        <item x="891"/>
        <item x="127"/>
        <item x="19"/>
        <item x="152"/>
        <item x="44"/>
        <item x="773"/>
        <item x="933"/>
        <item x="537"/>
        <item x="142"/>
        <item x="309"/>
        <item x="688"/>
        <item x="1103"/>
        <item x="876"/>
        <item x="584"/>
        <item x="298"/>
        <item x="20"/>
        <item x="429"/>
        <item x="212"/>
        <item x="368"/>
        <item x="877"/>
        <item x="248"/>
        <item x="159"/>
        <item x="1020"/>
        <item x="443"/>
        <item x="308"/>
        <item x="1164"/>
        <item x="629"/>
        <item x="286"/>
        <item x="1172"/>
        <item x="871"/>
        <item x="230"/>
        <item x="784"/>
        <item x="1086"/>
        <item x="114"/>
        <item x="714"/>
        <item x="695"/>
        <item x="324"/>
        <item x="462"/>
        <item x="4"/>
        <item x="680"/>
        <item x="1152"/>
        <item x="717"/>
        <item x="502"/>
        <item x="659"/>
        <item x="843"/>
        <item x="500"/>
        <item x="1136"/>
        <item x="1140"/>
        <item x="596"/>
        <item x="605"/>
        <item x="321"/>
        <item x="845"/>
        <item x="706"/>
        <item x="589"/>
        <item x="1173"/>
        <item x="1069"/>
        <item x="193"/>
        <item x="422"/>
        <item x="957"/>
        <item x="869"/>
        <item x="735"/>
        <item x="99"/>
        <item x="672"/>
        <item x="1023"/>
        <item x="451"/>
        <item x="268"/>
        <item x="54"/>
        <item x="964"/>
        <item x="350"/>
        <item x="965"/>
        <item x="187"/>
        <item x="855"/>
        <item x="1034"/>
        <item x="938"/>
        <item x="1058"/>
        <item x="1081"/>
        <item x="981"/>
        <item x="866"/>
        <item x="950"/>
        <item x="558"/>
        <item x="449"/>
        <item x="387"/>
        <item x="1094"/>
        <item x="1108"/>
        <item x="882"/>
        <item x="864"/>
        <item x="50"/>
        <item x="170"/>
        <item x="1170"/>
        <item x="228"/>
        <item x="872"/>
        <item x="1159"/>
        <item x="180"/>
        <item x="907"/>
        <item x="783"/>
        <item x="1085"/>
        <item x="391"/>
        <item x="504"/>
        <item x="222"/>
        <item x="7"/>
        <item x="371"/>
        <item x="1124"/>
        <item x="30"/>
        <item x="1049"/>
        <item x="416"/>
        <item x="895"/>
        <item x="836"/>
        <item x="433"/>
        <item x="124"/>
        <item x="220"/>
        <item x="615"/>
        <item x="807"/>
        <item x="390"/>
        <item x="506"/>
        <item x="378"/>
        <item x="632"/>
        <item x="134"/>
        <item x="1165"/>
        <item x="1144"/>
        <item x="613"/>
        <item x="258"/>
        <item x="1134"/>
        <item x="69"/>
        <item x="1001"/>
        <item x="1119"/>
        <item x="1066"/>
        <item x="730"/>
        <item x="587"/>
        <item x="194"/>
        <item x="31"/>
        <item x="685"/>
        <item x="745"/>
        <item x="603"/>
        <item x="95"/>
        <item x="355"/>
        <item x="721"/>
        <item x="1040"/>
        <item x="96"/>
        <item x="540"/>
        <item x="959"/>
        <item x="600"/>
        <item x="920"/>
        <item x="592"/>
        <item x="677"/>
        <item x="485"/>
        <item x="764"/>
        <item x="1060"/>
        <item x="556"/>
        <item x="529"/>
        <item x="255"/>
        <item x="109"/>
        <item x="535"/>
        <item x="676"/>
        <item x="850"/>
        <item x="947"/>
        <item x="515"/>
        <item x="932"/>
        <item x="856"/>
        <item x="402"/>
        <item x="896"/>
        <item x="476"/>
        <item x="736"/>
        <item x="1092"/>
        <item x="732"/>
        <item x="656"/>
        <item x="624"/>
        <item x="246"/>
        <item x="0"/>
        <item x="884"/>
        <item x="1018"/>
        <item x="280"/>
        <item x="809"/>
        <item x="551"/>
        <item x="1168"/>
        <item x="1117"/>
        <item x="1131"/>
        <item x="1129"/>
        <item x="599"/>
        <item x="155"/>
        <item x="798"/>
        <item x="1021"/>
        <item x="139"/>
        <item x="772"/>
        <item x="562"/>
        <item x="948"/>
        <item x="507"/>
        <item x="1153"/>
        <item x="1090"/>
        <item x="100"/>
        <item x="542"/>
        <item x="107"/>
        <item x="1110"/>
        <item x="1096"/>
        <item x="1125"/>
        <item x="729"/>
        <item x="374"/>
        <item x="1048"/>
        <item x="216"/>
        <item x="1100"/>
        <item x="46"/>
        <item x="126"/>
        <item x="326"/>
        <item x="788"/>
        <item x="1078"/>
        <item x="198"/>
        <item x="1093"/>
        <item x="838"/>
        <item x="380"/>
        <item x="1041"/>
        <item x="767"/>
        <item x="199"/>
        <item x="911"/>
        <item x="1054"/>
        <item x="63"/>
        <item x="362"/>
        <item x="307"/>
        <item x="886"/>
        <item x="583"/>
        <item x="245"/>
        <item x="1016"/>
        <item x="988"/>
        <item x="669"/>
        <item x="12"/>
        <item x="251"/>
        <item x="598"/>
        <item x="497"/>
        <item x="579"/>
        <item x="777"/>
        <item x="317"/>
        <item x="373"/>
        <item x="151"/>
        <item x="135"/>
        <item x="1033"/>
        <item x="427"/>
        <item x="18"/>
        <item x="74"/>
        <item x="1106"/>
        <item x="249"/>
        <item x="225"/>
        <item x="36"/>
        <item x="192"/>
        <item x="842"/>
        <item x="709"/>
        <item x="218"/>
        <item x="792"/>
        <item x="679"/>
        <item x="25"/>
        <item x="806"/>
        <item x="707"/>
        <item x="1075"/>
        <item x="1076"/>
        <item x="305"/>
        <item x="810"/>
        <item x="482"/>
        <item x="113"/>
        <item x="176"/>
        <item x="1156"/>
        <item x="322"/>
        <item x="111"/>
        <item x="892"/>
        <item x="204"/>
        <item x="217"/>
        <item x="909"/>
        <item x="75"/>
        <item x="296"/>
        <item x="337"/>
        <item x="1101"/>
        <item x="456"/>
        <item x="644"/>
        <item x="366"/>
        <item x="744"/>
        <item x="646"/>
        <item x="285"/>
        <item x="666"/>
        <item x="566"/>
        <item x="272"/>
        <item x="906"/>
        <item x="975"/>
        <item x="1030"/>
        <item x="360"/>
        <item x="5"/>
        <item x="234"/>
        <item x="664"/>
        <item x="488"/>
        <item x="612"/>
        <item x="863"/>
        <item x="80"/>
        <item x="1080"/>
        <item x="1005"/>
        <item x="643"/>
        <item x="256"/>
        <item x="705"/>
        <item x="1171"/>
        <item x="243"/>
        <item x="802"/>
        <item x="776"/>
        <item x="992"/>
        <item x="640"/>
        <item x="242"/>
        <item x="23"/>
        <item x="527"/>
        <item x="921"/>
        <item x="693"/>
        <item x="254"/>
        <item x="53"/>
        <item x="461"/>
        <item x="439"/>
        <item x="428"/>
        <item x="678"/>
        <item x="712"/>
        <item x="312"/>
        <item x="1135"/>
        <item x="265"/>
        <item x="1142"/>
        <item x="195"/>
        <item x="239"/>
        <item x="367"/>
        <item x="389"/>
        <item x="227"/>
        <item x="169"/>
        <item x="868"/>
        <item x="475"/>
        <item x="989"/>
        <item x="1071"/>
        <item x="661"/>
        <item x="739"/>
        <item x="552"/>
        <item x="381"/>
        <item x="1143"/>
        <item x="411"/>
        <item x="173"/>
        <item x="544"/>
        <item x="974"/>
        <item x="215"/>
        <item x="226"/>
        <item x="711"/>
        <item x="419"/>
        <item x="593"/>
        <item x="536"/>
        <item x="369"/>
        <item x="955"/>
        <item x="229"/>
        <item x="162"/>
        <item x="13"/>
        <item x="564"/>
        <item x="787"/>
        <item x="1178"/>
        <item x="263"/>
        <item x="769"/>
        <item x="915"/>
        <item x="1065"/>
        <item x="952"/>
        <item x="334"/>
        <item x="51"/>
        <item x="512"/>
        <item x="1019"/>
        <item x="1000"/>
        <item x="423"/>
        <item x="73"/>
        <item x="447"/>
        <item x="421"/>
        <item x="27"/>
        <item x="314"/>
        <item x="931"/>
        <item x="718"/>
        <item x="481"/>
        <item x="867"/>
        <item x="132"/>
        <item x="505"/>
        <item x="490"/>
        <item x="487"/>
        <item x="954"/>
        <item x="853"/>
        <item x="924"/>
        <item x="1068"/>
        <item x="637"/>
        <item x="835"/>
        <item x="284"/>
        <item x="478"/>
        <item x="848"/>
        <item x="171"/>
        <item x="722"/>
        <item x="847"/>
        <item x="762"/>
        <item x="283"/>
        <item x="1003"/>
        <item x="962"/>
        <item x="756"/>
        <item x="288"/>
        <item x="618"/>
        <item x="740"/>
        <item x="641"/>
        <item x="196"/>
        <item x="1004"/>
        <item x="72"/>
        <item x="660"/>
        <item x="841"/>
        <item x="6"/>
        <item x="935"/>
        <item x="115"/>
        <item x="1115"/>
        <item x="1091"/>
        <item x="262"/>
        <item x="946"/>
        <item x="731"/>
        <item x="357"/>
        <item x="591"/>
        <item x="765"/>
        <item x="639"/>
        <item x="244"/>
        <item x="1024"/>
        <item x="534"/>
        <item x="200"/>
        <item x="438"/>
        <item x="393"/>
        <item x="184"/>
        <item x="943"/>
        <item x="454"/>
        <item x="346"/>
        <item x="266"/>
        <item x="91"/>
        <item x="635"/>
        <item x="758"/>
        <item x="219"/>
        <item x="820"/>
        <item x="890"/>
        <item x="690"/>
        <item x="919"/>
        <item x="133"/>
        <item x="985"/>
        <item x="1022"/>
        <item x="1177"/>
        <item x="528"/>
        <item x="70"/>
        <item x="320"/>
        <item x="471"/>
        <item x="466"/>
        <item x="210"/>
        <item x="829"/>
        <item x="432"/>
        <item x="213"/>
        <item x="1114"/>
        <item x="782"/>
        <item x="376"/>
        <item x="420"/>
        <item x="1026"/>
        <item x="1116"/>
        <item x="412"/>
        <item x="720"/>
        <item x="9"/>
        <item x="1007"/>
        <item x="289"/>
        <item x="774"/>
        <item x="78"/>
        <item x="565"/>
        <item x="804"/>
        <item x="691"/>
        <item x="472"/>
        <item x="375"/>
        <item x="858"/>
        <item x="982"/>
        <item x="570"/>
        <item x="108"/>
        <item x="388"/>
        <item x="796"/>
        <item x="521"/>
        <item x="33"/>
        <item x="970"/>
        <item x="1176"/>
        <item x="779"/>
        <item x="165"/>
        <item x="1097"/>
        <item x="995"/>
        <item x="304"/>
        <item x="328"/>
        <item t="default"/>
      </items>
    </pivotField>
    <pivotField numFmtId="166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Amount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590B-E545-415A-95F5-D0CCCB600015}" name="Table1" displayName="Table1" ref="O1:Z1218" totalsRowShown="0" headerRowDxfId="18" headerRowBorderDxfId="17" tableBorderDxfId="16" totalsRowBorderDxfId="15">
  <tableColumns count="12">
    <tableColumn id="1" xr3:uid="{882A398C-CFFE-436A-BEF0-7D7BF63AF719}" name="disease" dataDxfId="14"/>
    <tableColumn id="2" xr3:uid="{F641459B-92FD-4FDB-A06B-9B6E2A9EE56D}" name="city" dataDxfId="13">
      <calculatedColumnFormula>PROPER(D2)</calculatedColumnFormula>
    </tableColumn>
    <tableColumn id="3" xr3:uid="{5C7C8864-0633-4B69-BB0E-82D9008A19EC}" name="department_name" dataDxfId="12">
      <calculatedColumnFormula>PROPER(E2)</calculatedColumnFormula>
    </tableColumn>
    <tableColumn id="4" xr3:uid="{BE65E699-D1E3-4537-AB43-59B9DBDD05DB}" name="HOSPITAL NAME" dataDxfId="11">
      <calculatedColumnFormula>PROPER(C2)</calculatedColumnFormula>
    </tableColumn>
    <tableColumn id="5" xr3:uid="{8537E30D-EA2B-45AA-89C3-96041B8F7287}" name="PAYMENT METHOD" dataDxfId="10">
      <calculatedColumnFormula>IF(OR(UPPER(TRIM(L2))="CREDIT_CARD",UPPER(TRIM(L2))="CREDIT CARD",UPPER(TRIM(L2))="CC"),"Credit Card", IF(OR(UPPER(TRIM(L2))="DEBIT_CARD",UPPER(TRIM(L2))="DEBIT CARD",UPPER(TRIM(L2))="DC"),"Debit Card", IF(UPPER(TRIM(L2))="CASH","Cash", IF(UPPER(TRIM(L2))="UPI","UPI", IF(OR(UPPER(TRIM(L2))="INSURANCE",UPPER(TRIM(L2))="INS"),"Insurance", IF(TRIM(L2)="","Unknown","Unknown"))))))</calculatedColumnFormula>
    </tableColumn>
    <tableColumn id="6" xr3:uid="{40B71E0A-655D-4629-862C-103B2A81B200}" name="GENDER" dataDxfId="9">
      <calculatedColumnFormula>IF(OR(UPPER(TRIM(I2))="M",UPPER(TRIM(I2))="MALE"),"Male",IF(OR(UPPER(TRIM(I2))="F",UPPER(TRIM(I2))="FEMALE"),"Female","Unknown"))</calculatedColumnFormula>
    </tableColumn>
    <tableColumn id="7" xr3:uid="{156D3686-584A-4C9C-AE83-15BF5FFED948}" name="WARD CLASS" dataDxfId="8">
      <calculatedColumnFormula>IF(OR(UPPER(TRIM(G2))="GENERAL",UPPER(TRIM(G2))="GENRAL"),"General",IF(UPPER(TRIM(G2))="ICU","ICU","Unknown"))</calculatedColumnFormula>
    </tableColumn>
    <tableColumn id="8" xr3:uid="{57BA5D39-22EB-47BC-878F-2931F4D3E8B4}" name="PAYMENT METHOD2" dataDxfId="7">
      <calculatedColumnFormula array="1">IF(TRIM(S2)="",INDEX($S$2:$S$1500,MATCH(MAX(COUNTIF($S$2:$S$1500,S2)),COUNTIF($S$2:$S$1500,$S$2:$S$1500),0)),S2)</calculatedColumnFormula>
    </tableColumn>
    <tableColumn id="9" xr3:uid="{85D3F0C6-CA8F-47F0-88BF-868B8919FBB7}" name="BILL AMOUNT" dataDxfId="6" dataCellStyle="Currency">
      <calculatedColumnFormula array="1">IF(OR(TRIM(K2)="",TRIM(K2)="-"), MEDIAN(IF($E$2:$E$1500=E2,$K$2:$K$1500)),  VALUE(SUBSTITUTE(SUBSTITUTE(SUBSTITUTE(K2,"Rs. ",""),"₹",""),",","")))</calculatedColumnFormula>
    </tableColumn>
    <tableColumn id="10" xr3:uid="{2DA545C2-2EC7-47EE-A9DB-E33083CEB92A}" name="DISCOUNT" dataDxfId="5" dataCellStyle="Percent">
      <calculatedColumnFormula>ROUND(IF(OR(TRIM(N2)="-",UPPER(TRIM(N2))="N/A",UPPER(TRIM(N2))="NA"), IFERROR(AVERAGEIF($V$2:$V$1500,V2,$N$2:$N$1500),AVERAGE($N$2:$N$1500)), N2),0)</calculatedColumnFormula>
    </tableColumn>
    <tableColumn id="11" xr3:uid="{037FE684-25B8-4517-A82F-25C3259164AD}" name="TOTAL AMOUNT" dataDxfId="4" dataCellStyle="Currency">
      <calculatedColumnFormula>ROUND(W2*(1-X2/100),0)</calculatedColumnFormula>
    </tableColumn>
    <tableColumn id="12" xr3:uid="{D174D06D-E6E8-4205-A523-6F2BEB459ED2}" name="AGE GROUP" dataDxfId="3">
      <calculatedColumnFormula>IF(H2&lt;13,"CHILD",IF(H2&lt;20,"TEEN",IF(H2&lt;60,"ADULT","SENIOR")))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8"/>
  <sheetViews>
    <sheetView zoomScale="70" zoomScaleNormal="70" workbookViewId="0">
      <pane ySplit="1" topLeftCell="A2" activePane="bottomLeft" state="frozen"/>
      <selection pane="bottomLeft" activeCell="P6" sqref="P6"/>
    </sheetView>
  </sheetViews>
  <sheetFormatPr defaultRowHeight="14.4" x14ac:dyDescent="0.3"/>
  <cols>
    <col min="1" max="1" width="12" customWidth="1"/>
    <col min="2" max="2" width="13" customWidth="1"/>
    <col min="3" max="3" width="16" customWidth="1"/>
    <col min="4" max="4" width="11" customWidth="1"/>
    <col min="5" max="5" width="18" customWidth="1"/>
    <col min="6" max="6" width="25" customWidth="1"/>
    <col min="7" max="7" width="12" customWidth="1"/>
    <col min="8" max="9" width="10" customWidth="1"/>
    <col min="10" max="10" width="16" style="35" customWidth="1"/>
    <col min="11" max="11" width="13" style="2" customWidth="1"/>
    <col min="12" max="12" width="16" customWidth="1"/>
    <col min="13" max="13" width="20" style="1" customWidth="1"/>
    <col min="14" max="14" width="8.88671875" customWidth="1"/>
    <col min="15" max="15" width="25" customWidth="1"/>
    <col min="16" max="16" width="11" customWidth="1"/>
    <col min="17" max="17" width="20.6640625" customWidth="1"/>
    <col min="18" max="18" width="15" customWidth="1"/>
    <col min="19" max="19" width="19.6640625" customWidth="1"/>
    <col min="20" max="20" width="16.109375" customWidth="1"/>
    <col min="21" max="21" width="15.6640625" customWidth="1"/>
    <col min="22" max="22" width="19.33203125" customWidth="1"/>
    <col min="23" max="23" width="15.6640625" style="3" customWidth="1"/>
    <col min="24" max="24" width="12.77734375" style="1" customWidth="1"/>
    <col min="25" max="25" width="17.6640625" style="3" customWidth="1"/>
    <col min="26" max="26" width="14.33203125" customWidth="1"/>
  </cols>
  <sheetData>
    <row r="1" spans="1:26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33" t="s">
        <v>9</v>
      </c>
      <c r="K1" s="29" t="s">
        <v>10</v>
      </c>
      <c r="L1" s="23" t="s">
        <v>11</v>
      </c>
      <c r="M1" s="30" t="s">
        <v>12</v>
      </c>
      <c r="N1" s="6"/>
      <c r="O1" s="21" t="s">
        <v>5</v>
      </c>
      <c r="P1" s="20" t="s">
        <v>3</v>
      </c>
      <c r="Q1" s="19" t="s">
        <v>4</v>
      </c>
      <c r="R1" s="14" t="s">
        <v>6618</v>
      </c>
      <c r="S1" s="14" t="s">
        <v>6617</v>
      </c>
      <c r="T1" s="14" t="s">
        <v>6615</v>
      </c>
      <c r="U1" s="14" t="s">
        <v>6610</v>
      </c>
      <c r="V1" s="15" t="s">
        <v>6619</v>
      </c>
      <c r="W1" s="16" t="s">
        <v>6611</v>
      </c>
      <c r="X1" s="17" t="s">
        <v>6612</v>
      </c>
      <c r="Y1" s="16" t="s">
        <v>6614</v>
      </c>
      <c r="Z1" s="18" t="s">
        <v>6616</v>
      </c>
    </row>
    <row r="2" spans="1:26" x14ac:dyDescent="0.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>
        <v>75</v>
      </c>
      <c r="I2" s="5" t="s">
        <v>20</v>
      </c>
      <c r="J2" s="34" t="s">
        <v>21</v>
      </c>
      <c r="K2" s="31" t="s">
        <v>22</v>
      </c>
      <c r="L2" s="5" t="s">
        <v>23</v>
      </c>
      <c r="M2" s="32">
        <v>0</v>
      </c>
      <c r="N2" s="6">
        <f>IF(RIGHT(TRIM(M2),1)="%",VALUE(LEFT(TRIM(M2),LEN(TRIM(M2))-1)),  IF(AND(ISNUMBER(M2),M2&lt;=1,M2&gt;0),M2*100,M2))</f>
        <v>0</v>
      </c>
      <c r="O2" s="4" t="s">
        <v>18</v>
      </c>
      <c r="P2" s="5" t="str">
        <f>PROPER(D2)</f>
        <v>Bangalore</v>
      </c>
      <c r="Q2" s="5" t="str">
        <f>PROPER(E2)</f>
        <v>Gynecology</v>
      </c>
      <c r="R2" s="6" t="str">
        <f>PROPER(C2)</f>
        <v>Max_Healthcare</v>
      </c>
      <c r="S2" s="6" t="str">
        <f>IF(OR(UPPER(TRIM(L2))="CREDIT_CARD",UPPER(TRIM(L2))="CREDIT CARD",UPPER(TRIM(L2))="CC"),"Credit Card", IF(OR(UPPER(TRIM(L2))="DEBIT_CARD",UPPER(TRIM(L2))="DEBIT CARD",UPPER(TRIM(L2))="DC"),"Debit Card", IF(UPPER(TRIM(L2))="CASH","Cash", IF(UPPER(TRIM(L2))="UPI","UPI", IF(OR(UPPER(TRIM(L2))="INSURANCE",UPPER(TRIM(L2))="INS"),"Insurance", IF(TRIM(L2)="","Unknown","Unknown"))))))</f>
        <v>Credit Card</v>
      </c>
      <c r="T2" s="6" t="str">
        <f>IF(OR(UPPER(TRIM(I2))="M",UPPER(TRIM(I2))="MALE"),"Male",IF(OR(UPPER(TRIM(I2))="F",UPPER(TRIM(I2))="FEMALE"),"Female","Unknown"))</f>
        <v>Male</v>
      </c>
      <c r="U2" s="6" t="str">
        <f t="shared" ref="U2:U13" si="0">IF(OR(UPPER(TRIM(G2))="GENERAL",UPPER(TRIM(G2))="GENRAL"),"General",IF(UPPER(TRIM(G2))="ICU","ICU","Unknown"))</f>
        <v>General</v>
      </c>
      <c r="V2" s="6" t="str" cm="1">
        <f t="array" ref="V2">IF(TRIM(S2)="",INDEX($S$2:$S$1500,MATCH(MAX(COUNTIF($S$2:$S$1500,S2)),COUNTIF($S$2:$S$1500,$S$2:$S$1500),0)),S2)</f>
        <v>Credit Card</v>
      </c>
      <c r="W2" s="7" cm="1">
        <f t="array" ref="W2">IF(OR(TRIM(K2)="",TRIM(K2)="-"), MEDIAN(IF($E$2:$E$1500=E2,$K$2:$K$1500)),  VALUE(SUBSTITUTE(SUBSTITUTE(SUBSTITUTE(K2,"Rs. ",""),"₹",""),",","")))</f>
        <v>19627</v>
      </c>
      <c r="X2" s="8">
        <f>ROUND(IF(OR(TRIM(N2)="-",UPPER(TRIM(N2))="N/A",UPPER(TRIM(N2))="NA"), IFERROR(AVERAGEIF($V$2:$V$1500,V2,$N$2:$N$1500),AVERAGE($N$2:$N$1500)), N2),0)</f>
        <v>0</v>
      </c>
      <c r="Y2" s="7">
        <f>ROUND(W2*(1-X2/100),0)</f>
        <v>19627</v>
      </c>
      <c r="Z2" s="9" t="str">
        <f t="shared" ref="Z2:Z65" si="1">IF(H2&lt;13,"CHILD",IF(H2&lt;20,"TEEN",IF(H2&lt;60,"ADULT","SENIOR")))</f>
        <v>SENIOR</v>
      </c>
    </row>
    <row r="3" spans="1:26" x14ac:dyDescent="0.3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>
        <v>6</v>
      </c>
      <c r="I3" s="5" t="s">
        <v>31</v>
      </c>
      <c r="J3" s="34" t="s">
        <v>32</v>
      </c>
      <c r="K3" s="31" t="s">
        <v>33</v>
      </c>
      <c r="L3" s="5" t="s">
        <v>34</v>
      </c>
      <c r="M3" s="32">
        <v>10</v>
      </c>
      <c r="N3" s="6">
        <f t="shared" ref="N3:N66" si="2">IF(RIGHT(TRIM(M3),1)="%",VALUE(LEFT(TRIM(M3),LEN(TRIM(M3))-1)),  IF(AND(ISNUMBER(M3),M3&lt;=1,M3&gt;0),M3*100,M3))</f>
        <v>10</v>
      </c>
      <c r="O3" s="4" t="s">
        <v>29</v>
      </c>
      <c r="P3" s="5" t="str">
        <f t="shared" ref="P3:P66" si="3">PROPER(D3)</f>
        <v>Mumbai</v>
      </c>
      <c r="Q3" s="5" t="str">
        <f t="shared" ref="Q3:Q66" si="4">PROPER(E3)</f>
        <v>Oncology</v>
      </c>
      <c r="R3" s="6" t="str">
        <f t="shared" ref="R3:R66" si="5">PROPER(C3)</f>
        <v>Narayana</v>
      </c>
      <c r="S3" s="6" t="str">
        <f t="shared" ref="S3:S66" si="6">IF(OR(UPPER(TRIM(L3))="CREDIT_CARD",UPPER(TRIM(L3))="CREDIT CARD",UPPER(TRIM(L3))="CC"),"Credit Card", IF(OR(UPPER(TRIM(L3))="DEBIT_CARD",UPPER(TRIM(L3))="DEBIT CARD",UPPER(TRIM(L3))="DC"),"Debit Card", IF(UPPER(TRIM(L3))="CASH","Cash", IF(UPPER(TRIM(L3))="UPI","UPI", IF(OR(UPPER(TRIM(L3))="INSURANCE",UPPER(TRIM(L3))="INS"),"Insurance", IF(TRIM(L3)="","Unknown","Unknown"))))))</f>
        <v>Cash</v>
      </c>
      <c r="T3" s="6" t="str">
        <f t="shared" ref="T3:T66" si="7">IF(OR(UPPER(TRIM(I3))="M",UPPER(TRIM(I3))="MALE"),"Male",IF(OR(UPPER(TRIM(I3))="F",UPPER(TRIM(I3))="FEMALE"),"Female","Unknown"))</f>
        <v>Male</v>
      </c>
      <c r="U3" s="6" t="str">
        <f t="shared" si="0"/>
        <v>General</v>
      </c>
      <c r="V3" s="6" t="str" cm="1">
        <f t="array" ref="V3">IF(TRIM(S3)="",INDEX($S$2:$S$1500,MATCH(MAX(COUNTIF($S$2:$S$1500,S3)),COUNTIF($S$2:$S$1500,$S$2:$S$1500),0)),S3)</f>
        <v>Cash</v>
      </c>
      <c r="W3" s="7" cm="1">
        <f t="array" ref="W3">IF(OR(TRIM(K3)="",TRIM(K3)="-"), MEDIAN(IF($E$2:$E$1500=E3,$K$2:$K$1500)),  VALUE(SUBSTITUTE(SUBSTITUTE(SUBSTITUTE(K3,"Rs. ",""),"₹",""),",","")))</f>
        <v>7363</v>
      </c>
      <c r="X3" s="8">
        <f t="shared" ref="X3:X66" si="8">ROUND(IF(OR(TRIM(N3)="-",UPPER(TRIM(N3))="N/A",UPPER(TRIM(N3))="NA"), IFERROR(AVERAGEIF($V$2:$V$1500,V3,$N$2:$N$1500),AVERAGE($N$2:$N$1500)), N3),0)</f>
        <v>10</v>
      </c>
      <c r="Y3" s="7">
        <f t="shared" ref="Y3:Y66" si="9">ROUND(W3*(1-X3/100),0)</f>
        <v>6627</v>
      </c>
      <c r="Z3" s="9" t="str">
        <f t="shared" si="1"/>
        <v>CHILD</v>
      </c>
    </row>
    <row r="4" spans="1:26" x14ac:dyDescent="0.3">
      <c r="A4" s="5" t="s">
        <v>35</v>
      </c>
      <c r="B4" s="5" t="s">
        <v>25</v>
      </c>
      <c r="C4" s="5" t="s">
        <v>26</v>
      </c>
      <c r="D4" s="5" t="s">
        <v>36</v>
      </c>
      <c r="E4" s="5" t="s">
        <v>37</v>
      </c>
      <c r="F4" s="5" t="s">
        <v>38</v>
      </c>
      <c r="G4" s="5" t="s">
        <v>39</v>
      </c>
      <c r="H4" s="5">
        <v>80</v>
      </c>
      <c r="I4" s="5" t="s">
        <v>40</v>
      </c>
      <c r="J4" s="34" t="s">
        <v>41</v>
      </c>
      <c r="K4" s="31">
        <v>17011</v>
      </c>
      <c r="L4" s="5" t="s">
        <v>42</v>
      </c>
      <c r="M4" s="32" t="s">
        <v>43</v>
      </c>
      <c r="N4" s="6">
        <f t="shared" si="2"/>
        <v>18</v>
      </c>
      <c r="O4" s="4" t="s">
        <v>38</v>
      </c>
      <c r="P4" s="5" t="str">
        <f t="shared" si="3"/>
        <v>Chennai</v>
      </c>
      <c r="Q4" s="5" t="str">
        <f t="shared" si="4"/>
        <v>Pediatrics</v>
      </c>
      <c r="R4" s="6" t="str">
        <f t="shared" si="5"/>
        <v>Narayana</v>
      </c>
      <c r="S4" s="6" t="str">
        <f t="shared" si="6"/>
        <v>Insurance</v>
      </c>
      <c r="T4" s="6" t="str">
        <f t="shared" si="7"/>
        <v>Female</v>
      </c>
      <c r="U4" s="6" t="str">
        <f t="shared" si="0"/>
        <v>General</v>
      </c>
      <c r="V4" s="6" t="str" cm="1">
        <f t="array" ref="V4">IF(TRIM(S4)="",INDEX($S$2:$S$1500,MATCH(MAX(COUNTIF($S$2:$S$1500,S4)),COUNTIF($S$2:$S$1500,$S$2:$S$1500),0)),S4)</f>
        <v>Insurance</v>
      </c>
      <c r="W4" s="7" cm="1">
        <f t="array" ref="W4">IF(OR(TRIM(K4)="",TRIM(K4)="-"), MEDIAN(IF($E$2:$E$1500=E4,$K$2:$K$1500)),  VALUE(SUBSTITUTE(SUBSTITUTE(SUBSTITUTE(K4,"Rs. ",""),"₹",""),",","")))</f>
        <v>17011</v>
      </c>
      <c r="X4" s="8">
        <f t="shared" si="8"/>
        <v>18</v>
      </c>
      <c r="Y4" s="7">
        <f t="shared" si="9"/>
        <v>13949</v>
      </c>
      <c r="Z4" s="9" t="str">
        <f t="shared" si="1"/>
        <v>SENIOR</v>
      </c>
    </row>
    <row r="5" spans="1:26" x14ac:dyDescent="0.3">
      <c r="A5" s="5" t="s">
        <v>44</v>
      </c>
      <c r="B5" s="5" t="s">
        <v>45</v>
      </c>
      <c r="C5" s="5" t="s">
        <v>46</v>
      </c>
      <c r="D5" s="5" t="s">
        <v>27</v>
      </c>
      <c r="E5" s="5" t="s">
        <v>47</v>
      </c>
      <c r="F5" s="5" t="s">
        <v>48</v>
      </c>
      <c r="G5" s="5" t="s">
        <v>49</v>
      </c>
      <c r="H5" s="5">
        <v>37</v>
      </c>
      <c r="I5" s="5" t="s">
        <v>31</v>
      </c>
      <c r="J5" s="34" t="s">
        <v>50</v>
      </c>
      <c r="K5" s="31" t="s">
        <v>51</v>
      </c>
      <c r="L5" s="5" t="s">
        <v>52</v>
      </c>
      <c r="M5" s="32"/>
      <c r="N5" s="6">
        <f t="shared" si="2"/>
        <v>0</v>
      </c>
      <c r="O5" s="4" t="s">
        <v>48</v>
      </c>
      <c r="P5" s="5" t="str">
        <f t="shared" si="3"/>
        <v>Mumbai</v>
      </c>
      <c r="Q5" s="5" t="str">
        <f t="shared" si="4"/>
        <v>Gastroenterology</v>
      </c>
      <c r="R5" s="6" t="str">
        <f t="shared" si="5"/>
        <v>Fortis</v>
      </c>
      <c r="S5" s="6" t="str">
        <f t="shared" si="6"/>
        <v>Credit Card</v>
      </c>
      <c r="T5" s="6" t="str">
        <f t="shared" si="7"/>
        <v>Male</v>
      </c>
      <c r="U5" s="6" t="str">
        <f t="shared" si="0"/>
        <v>General</v>
      </c>
      <c r="V5" s="6" t="str" cm="1">
        <f t="array" ref="V5">IF(TRIM(S5)="",INDEX($S$2:$S$1500,MATCH(MAX(COUNTIF($S$2:$S$1500,S5)),COUNTIF($S$2:$S$1500,$S$2:$S$1500),0)),S5)</f>
        <v>Credit Card</v>
      </c>
      <c r="W5" s="7" cm="1">
        <f t="array" ref="W5">IF(OR(TRIM(K5)="",TRIM(K5)="-"), MEDIAN(IF($E$2:$E$1500=E5,$K$2:$K$1500)),  VALUE(SUBSTITUTE(SUBSTITUTE(SUBSTITUTE(K5,"Rs. ",""),"₹",""),",","")))</f>
        <v>6868</v>
      </c>
      <c r="X5" s="8">
        <f t="shared" si="8"/>
        <v>0</v>
      </c>
      <c r="Y5" s="7">
        <f t="shared" si="9"/>
        <v>6868</v>
      </c>
      <c r="Z5" s="9" t="str">
        <f t="shared" si="1"/>
        <v>ADULT</v>
      </c>
    </row>
    <row r="6" spans="1:26" x14ac:dyDescent="0.3">
      <c r="A6" s="5" t="s">
        <v>53</v>
      </c>
      <c r="B6" s="5" t="s">
        <v>25</v>
      </c>
      <c r="C6" s="5" t="s">
        <v>54</v>
      </c>
      <c r="D6" s="5" t="s">
        <v>55</v>
      </c>
      <c r="E6" s="5" t="s">
        <v>37</v>
      </c>
      <c r="F6" s="5" t="s">
        <v>56</v>
      </c>
      <c r="G6" s="5" t="s">
        <v>49</v>
      </c>
      <c r="H6" s="5">
        <v>9</v>
      </c>
      <c r="I6" s="5" t="s">
        <v>20</v>
      </c>
      <c r="J6" s="34" t="s">
        <v>57</v>
      </c>
      <c r="K6" s="31">
        <v>18535</v>
      </c>
      <c r="L6" s="5" t="s">
        <v>58</v>
      </c>
      <c r="M6" s="32">
        <v>10</v>
      </c>
      <c r="N6" s="6">
        <f t="shared" si="2"/>
        <v>10</v>
      </c>
      <c r="O6" s="4" t="s">
        <v>56</v>
      </c>
      <c r="P6" s="5" t="str">
        <f t="shared" si="3"/>
        <v>Hyderabad</v>
      </c>
      <c r="Q6" s="5" t="str">
        <f t="shared" si="4"/>
        <v>Pediatrics</v>
      </c>
      <c r="R6" s="6" t="str">
        <f t="shared" si="5"/>
        <v>Narayana</v>
      </c>
      <c r="S6" s="6" t="str">
        <f t="shared" si="6"/>
        <v>UPI</v>
      </c>
      <c r="T6" s="6" t="str">
        <f t="shared" si="7"/>
        <v>Male</v>
      </c>
      <c r="U6" s="6" t="str">
        <f t="shared" si="0"/>
        <v>General</v>
      </c>
      <c r="V6" s="6" t="str" cm="1">
        <f t="array" ref="V6">IF(TRIM(S6)="",INDEX($S$2:$S$1500,MATCH(MAX(COUNTIF($S$2:$S$1500,S6)),COUNTIF($S$2:$S$1500,$S$2:$S$1500),0)),S6)</f>
        <v>UPI</v>
      </c>
      <c r="W6" s="7" cm="1">
        <f t="array" ref="W6">IF(OR(TRIM(K6)="",TRIM(K6)="-"), MEDIAN(IF($E$2:$E$1500=E6,$K$2:$K$1500)),  VALUE(SUBSTITUTE(SUBSTITUTE(SUBSTITUTE(K6,"Rs. ",""),"₹",""),",","")))</f>
        <v>18535</v>
      </c>
      <c r="X6" s="8">
        <f t="shared" si="8"/>
        <v>10</v>
      </c>
      <c r="Y6" s="7">
        <f t="shared" si="9"/>
        <v>16682</v>
      </c>
      <c r="Z6" s="9" t="str">
        <f t="shared" si="1"/>
        <v>CHILD</v>
      </c>
    </row>
    <row r="7" spans="1:26" x14ac:dyDescent="0.3">
      <c r="A7" s="5" t="s">
        <v>59</v>
      </c>
      <c r="B7" s="5" t="s">
        <v>14</v>
      </c>
      <c r="C7" s="5" t="s">
        <v>60</v>
      </c>
      <c r="D7" s="5" t="s">
        <v>61</v>
      </c>
      <c r="E7" s="5" t="s">
        <v>37</v>
      </c>
      <c r="F7" s="5" t="s">
        <v>38</v>
      </c>
      <c r="G7" s="5" t="s">
        <v>62</v>
      </c>
      <c r="H7" s="5">
        <v>15</v>
      </c>
      <c r="I7" s="5" t="s">
        <v>40</v>
      </c>
      <c r="J7" s="34" t="s">
        <v>63</v>
      </c>
      <c r="K7" s="31">
        <v>48600</v>
      </c>
      <c r="L7" s="5" t="s">
        <v>34</v>
      </c>
      <c r="M7" s="32" t="s">
        <v>64</v>
      </c>
      <c r="N7" s="6" t="str">
        <f t="shared" si="2"/>
        <v>NA</v>
      </c>
      <c r="O7" s="4" t="s">
        <v>38</v>
      </c>
      <c r="P7" s="5" t="str">
        <f t="shared" si="3"/>
        <v>Pune</v>
      </c>
      <c r="Q7" s="5" t="str">
        <f t="shared" si="4"/>
        <v>Pediatrics</v>
      </c>
      <c r="R7" s="6" t="str">
        <f t="shared" si="5"/>
        <v>Max_Healthcare</v>
      </c>
      <c r="S7" s="6" t="str">
        <f t="shared" si="6"/>
        <v>Cash</v>
      </c>
      <c r="T7" s="6" t="str">
        <f t="shared" si="7"/>
        <v>Female</v>
      </c>
      <c r="U7" s="6" t="str">
        <f t="shared" si="0"/>
        <v>ICU</v>
      </c>
      <c r="V7" s="6" t="str" cm="1">
        <f t="array" ref="V7">IF(TRIM(S7)="",INDEX($S$2:$S$1500,MATCH(MAX(COUNTIF($S$2:$S$1500,S7)),COUNTIF($S$2:$S$1500,$S$2:$S$1500),0)),S7)</f>
        <v>Cash</v>
      </c>
      <c r="W7" s="7" cm="1">
        <f t="array" ref="W7">IF(OR(TRIM(K7)="",TRIM(K7)="-"), MEDIAN(IF($E$2:$E$1500=E7,$K$2:$K$1500)),  VALUE(SUBSTITUTE(SUBSTITUTE(SUBSTITUTE(K7,"Rs. ",""),"₹",""),",","")))</f>
        <v>48600</v>
      </c>
      <c r="X7" s="8">
        <f t="shared" si="8"/>
        <v>3</v>
      </c>
      <c r="Y7" s="7">
        <f t="shared" si="9"/>
        <v>47142</v>
      </c>
      <c r="Z7" s="9" t="str">
        <f t="shared" si="1"/>
        <v>TEEN</v>
      </c>
    </row>
    <row r="8" spans="1:26" x14ac:dyDescent="0.3">
      <c r="A8" s="5" t="s">
        <v>65</v>
      </c>
      <c r="B8" s="5" t="s">
        <v>25</v>
      </c>
      <c r="C8" s="5" t="s">
        <v>54</v>
      </c>
      <c r="D8" s="5" t="s">
        <v>66</v>
      </c>
      <c r="E8" s="5" t="s">
        <v>67</v>
      </c>
      <c r="F8" s="5" t="s">
        <v>68</v>
      </c>
      <c r="G8" s="5" t="s">
        <v>69</v>
      </c>
      <c r="H8" s="5">
        <v>46</v>
      </c>
      <c r="I8" s="5" t="s">
        <v>70</v>
      </c>
      <c r="J8" s="34" t="s">
        <v>71</v>
      </c>
      <c r="K8" s="31">
        <v>69865</v>
      </c>
      <c r="L8" s="5" t="s">
        <v>72</v>
      </c>
      <c r="M8" s="32"/>
      <c r="N8" s="6">
        <f t="shared" si="2"/>
        <v>0</v>
      </c>
      <c r="O8" s="4" t="s">
        <v>68</v>
      </c>
      <c r="P8" s="5" t="str">
        <f t="shared" si="3"/>
        <v>Kolkata</v>
      </c>
      <c r="Q8" s="5" t="str">
        <f t="shared" si="4"/>
        <v>Neurology</v>
      </c>
      <c r="R8" s="6" t="str">
        <f t="shared" si="5"/>
        <v>Narayana</v>
      </c>
      <c r="S8" s="6" t="str">
        <f t="shared" si="6"/>
        <v>Cash</v>
      </c>
      <c r="T8" s="6" t="str">
        <f t="shared" si="7"/>
        <v>Female</v>
      </c>
      <c r="U8" s="6" t="str">
        <f t="shared" si="0"/>
        <v>ICU</v>
      </c>
      <c r="V8" s="6" t="str" cm="1">
        <f t="array" ref="V8">IF(TRIM(S8)="",INDEX($S$2:$S$1500,MATCH(MAX(COUNTIF($S$2:$S$1500,S8)),COUNTIF($S$2:$S$1500,$S$2:$S$1500),0)),S8)</f>
        <v>Cash</v>
      </c>
      <c r="W8" s="7" cm="1">
        <f t="array" ref="W8">IF(OR(TRIM(K8)="",TRIM(K8)="-"), MEDIAN(IF($E$2:$E$1500=E8,$K$2:$K$1500)),  VALUE(SUBSTITUTE(SUBSTITUTE(SUBSTITUTE(K8,"Rs. ",""),"₹",""),",","")))</f>
        <v>69865</v>
      </c>
      <c r="X8" s="8">
        <f t="shared" si="8"/>
        <v>0</v>
      </c>
      <c r="Y8" s="7">
        <f t="shared" si="9"/>
        <v>69865</v>
      </c>
      <c r="Z8" s="9" t="str">
        <f t="shared" si="1"/>
        <v>ADULT</v>
      </c>
    </row>
    <row r="9" spans="1:26" x14ac:dyDescent="0.3">
      <c r="A9" s="5" t="s">
        <v>73</v>
      </c>
      <c r="B9" s="5" t="s">
        <v>45</v>
      </c>
      <c r="C9" s="5" t="s">
        <v>46</v>
      </c>
      <c r="D9" s="5" t="s">
        <v>66</v>
      </c>
      <c r="E9" s="5" t="s">
        <v>74</v>
      </c>
      <c r="F9" s="5" t="s">
        <v>75</v>
      </c>
      <c r="G9" s="5" t="s">
        <v>19</v>
      </c>
      <c r="H9" s="5">
        <v>17</v>
      </c>
      <c r="I9" s="5" t="s">
        <v>70</v>
      </c>
      <c r="J9" s="34" t="s">
        <v>32</v>
      </c>
      <c r="K9" s="31">
        <v>19891</v>
      </c>
      <c r="L9" s="5" t="s">
        <v>58</v>
      </c>
      <c r="M9" s="32" t="s">
        <v>76</v>
      </c>
      <c r="N9" s="6">
        <f t="shared" si="2"/>
        <v>10</v>
      </c>
      <c r="O9" s="4" t="s">
        <v>75</v>
      </c>
      <c r="P9" s="5" t="str">
        <f t="shared" si="3"/>
        <v>Kolkata</v>
      </c>
      <c r="Q9" s="5" t="str">
        <f t="shared" si="4"/>
        <v>General Medicine</v>
      </c>
      <c r="R9" s="6" t="str">
        <f t="shared" si="5"/>
        <v>Fortis</v>
      </c>
      <c r="S9" s="6" t="str">
        <f t="shared" si="6"/>
        <v>UPI</v>
      </c>
      <c r="T9" s="6" t="str">
        <f t="shared" si="7"/>
        <v>Female</v>
      </c>
      <c r="U9" s="6" t="str">
        <f t="shared" si="0"/>
        <v>General</v>
      </c>
      <c r="V9" s="6" t="str" cm="1">
        <f t="array" ref="V9">IF(TRIM(S9)="",INDEX($S$2:$S$1500,MATCH(MAX(COUNTIF($S$2:$S$1500,S9)),COUNTIF($S$2:$S$1500,$S$2:$S$1500),0)),S9)</f>
        <v>UPI</v>
      </c>
      <c r="W9" s="7" cm="1">
        <f t="array" ref="W9">IF(OR(TRIM(K9)="",TRIM(K9)="-"), MEDIAN(IF($E$2:$E$1500=E9,$K$2:$K$1500)),  VALUE(SUBSTITUTE(SUBSTITUTE(SUBSTITUTE(K9,"Rs. ",""),"₹",""),",","")))</f>
        <v>19891</v>
      </c>
      <c r="X9" s="8">
        <f t="shared" si="8"/>
        <v>10</v>
      </c>
      <c r="Y9" s="7">
        <f t="shared" si="9"/>
        <v>17902</v>
      </c>
      <c r="Z9" s="9" t="str">
        <f t="shared" si="1"/>
        <v>TEEN</v>
      </c>
    </row>
    <row r="10" spans="1:26" x14ac:dyDescent="0.3">
      <c r="A10" s="5" t="s">
        <v>77</v>
      </c>
      <c r="B10" s="5" t="s">
        <v>78</v>
      </c>
      <c r="C10" s="5" t="s">
        <v>79</v>
      </c>
      <c r="D10" s="5" t="s">
        <v>80</v>
      </c>
      <c r="E10" s="5" t="s">
        <v>17</v>
      </c>
      <c r="F10" s="5" t="s">
        <v>18</v>
      </c>
      <c r="G10" s="5" t="s">
        <v>49</v>
      </c>
      <c r="H10" s="5">
        <v>21</v>
      </c>
      <c r="I10" s="5" t="s">
        <v>20</v>
      </c>
      <c r="J10" s="34" t="s">
        <v>81</v>
      </c>
      <c r="K10" s="31" t="s">
        <v>82</v>
      </c>
      <c r="L10" s="5" t="s">
        <v>83</v>
      </c>
      <c r="M10" s="32"/>
      <c r="N10" s="6">
        <f t="shared" si="2"/>
        <v>0</v>
      </c>
      <c r="O10" s="4" t="s">
        <v>18</v>
      </c>
      <c r="P10" s="5" t="str">
        <f t="shared" si="3"/>
        <v>Ahmedabad</v>
      </c>
      <c r="Q10" s="5" t="str">
        <f t="shared" si="4"/>
        <v>Gynecology</v>
      </c>
      <c r="R10" s="6" t="str">
        <f t="shared" si="5"/>
        <v>Apollo</v>
      </c>
      <c r="S10" s="6" t="str">
        <f t="shared" si="6"/>
        <v>Debit Card</v>
      </c>
      <c r="T10" s="6" t="str">
        <f t="shared" si="7"/>
        <v>Male</v>
      </c>
      <c r="U10" s="6" t="str">
        <f t="shared" si="0"/>
        <v>General</v>
      </c>
      <c r="V10" s="6" t="str" cm="1">
        <f t="array" ref="V10">IF(TRIM(S10)="",INDEX($S$2:$S$1500,MATCH(MAX(COUNTIF($S$2:$S$1500,S10)),COUNTIF($S$2:$S$1500,$S$2:$S$1500),0)),S10)</f>
        <v>Debit Card</v>
      </c>
      <c r="W10" s="7" cm="1">
        <f t="array" ref="W10">IF(OR(TRIM(K10)="",TRIM(K10)="-"), MEDIAN(IF($E$2:$E$1500=E10,$K$2:$K$1500)),  VALUE(SUBSTITUTE(SUBSTITUTE(SUBSTITUTE(K10,"Rs. ",""),"₹",""),",","")))</f>
        <v>4722</v>
      </c>
      <c r="X10" s="8">
        <f t="shared" si="8"/>
        <v>0</v>
      </c>
      <c r="Y10" s="7">
        <f t="shared" si="9"/>
        <v>4722</v>
      </c>
      <c r="Z10" s="9" t="str">
        <f t="shared" si="1"/>
        <v>ADULT</v>
      </c>
    </row>
    <row r="11" spans="1:26" x14ac:dyDescent="0.3">
      <c r="A11" s="5" t="s">
        <v>84</v>
      </c>
      <c r="B11" s="5" t="s">
        <v>25</v>
      </c>
      <c r="C11" s="5" t="s">
        <v>54</v>
      </c>
      <c r="D11" s="5" t="s">
        <v>61</v>
      </c>
      <c r="E11" s="5" t="s">
        <v>67</v>
      </c>
      <c r="F11" s="5" t="s">
        <v>85</v>
      </c>
      <c r="G11" s="5" t="s">
        <v>69</v>
      </c>
      <c r="H11" s="5">
        <v>16</v>
      </c>
      <c r="I11" s="5" t="s">
        <v>20</v>
      </c>
      <c r="J11" s="34" t="s">
        <v>86</v>
      </c>
      <c r="K11" s="31">
        <v>83972</v>
      </c>
      <c r="L11" s="5" t="s">
        <v>87</v>
      </c>
      <c r="M11" s="32" t="s">
        <v>64</v>
      </c>
      <c r="N11" s="6" t="str">
        <f t="shared" si="2"/>
        <v>NA</v>
      </c>
      <c r="O11" s="4" t="s">
        <v>85</v>
      </c>
      <c r="P11" s="5" t="str">
        <f t="shared" si="3"/>
        <v>Pune</v>
      </c>
      <c r="Q11" s="5" t="str">
        <f t="shared" si="4"/>
        <v>Neurology</v>
      </c>
      <c r="R11" s="6" t="str">
        <f t="shared" si="5"/>
        <v>Narayana</v>
      </c>
      <c r="S11" s="6" t="str">
        <f t="shared" si="6"/>
        <v>Credit Card</v>
      </c>
      <c r="T11" s="6" t="str">
        <f t="shared" si="7"/>
        <v>Male</v>
      </c>
      <c r="U11" s="6" t="str">
        <f t="shared" si="0"/>
        <v>ICU</v>
      </c>
      <c r="V11" s="6" t="str" cm="1">
        <f t="array" ref="V11">IF(TRIM(S11)="",INDEX($S$2:$S$1500,MATCH(MAX(COUNTIF($S$2:$S$1500,S11)),COUNTIF($S$2:$S$1500,$S$2:$S$1500),0)),S11)</f>
        <v>Credit Card</v>
      </c>
      <c r="W11" s="7" cm="1">
        <f t="array" ref="W11">IF(OR(TRIM(K11)="",TRIM(K11)="-"), MEDIAN(IF($E$2:$E$1500=E11,$K$2:$K$1500)),  VALUE(SUBSTITUTE(SUBSTITUTE(SUBSTITUTE(K11,"Rs. ",""),"₹",""),",","")))</f>
        <v>83972</v>
      </c>
      <c r="X11" s="8">
        <f t="shared" si="8"/>
        <v>3</v>
      </c>
      <c r="Y11" s="7">
        <f t="shared" si="9"/>
        <v>81453</v>
      </c>
      <c r="Z11" s="9" t="str">
        <f t="shared" si="1"/>
        <v>TEEN</v>
      </c>
    </row>
    <row r="12" spans="1:26" x14ac:dyDescent="0.3">
      <c r="A12" s="5" t="s">
        <v>88</v>
      </c>
      <c r="B12" s="5" t="s">
        <v>14</v>
      </c>
      <c r="C12" s="5" t="s">
        <v>60</v>
      </c>
      <c r="D12" s="5" t="s">
        <v>80</v>
      </c>
      <c r="E12" s="5" t="s">
        <v>67</v>
      </c>
      <c r="F12" s="5" t="s">
        <v>89</v>
      </c>
      <c r="G12" s="5" t="s">
        <v>19</v>
      </c>
      <c r="H12" s="5">
        <v>19</v>
      </c>
      <c r="I12" s="5" t="s">
        <v>70</v>
      </c>
      <c r="J12" s="34" t="s">
        <v>90</v>
      </c>
      <c r="K12" s="31">
        <v>3886</v>
      </c>
      <c r="L12" s="5" t="s">
        <v>91</v>
      </c>
      <c r="M12" s="32">
        <v>0</v>
      </c>
      <c r="N12" s="6">
        <f t="shared" si="2"/>
        <v>0</v>
      </c>
      <c r="O12" s="4" t="s">
        <v>89</v>
      </c>
      <c r="P12" s="5" t="str">
        <f t="shared" si="3"/>
        <v>Ahmedabad</v>
      </c>
      <c r="Q12" s="5" t="str">
        <f t="shared" si="4"/>
        <v>Neurology</v>
      </c>
      <c r="R12" s="6" t="str">
        <f t="shared" si="5"/>
        <v>Max_Healthcare</v>
      </c>
      <c r="S12" s="6" t="str">
        <f t="shared" si="6"/>
        <v>Debit Card</v>
      </c>
      <c r="T12" s="6" t="str">
        <f t="shared" si="7"/>
        <v>Female</v>
      </c>
      <c r="U12" s="6" t="str">
        <f t="shared" si="0"/>
        <v>General</v>
      </c>
      <c r="V12" s="6" t="str" cm="1">
        <f t="array" ref="V12">IF(TRIM(S12)="",INDEX($S$2:$S$1500,MATCH(MAX(COUNTIF($S$2:$S$1500,S12)),COUNTIF($S$2:$S$1500,$S$2:$S$1500),0)),S12)</f>
        <v>Debit Card</v>
      </c>
      <c r="W12" s="7" cm="1">
        <f t="array" ref="W12">IF(OR(TRIM(K12)="",TRIM(K12)="-"), MEDIAN(IF($E$2:$E$1500=E12,$K$2:$K$1500)),  VALUE(SUBSTITUTE(SUBSTITUTE(SUBSTITUTE(K12,"Rs. ",""),"₹",""),",","")))</f>
        <v>3886</v>
      </c>
      <c r="X12" s="8">
        <f t="shared" si="8"/>
        <v>0</v>
      </c>
      <c r="Y12" s="7">
        <f t="shared" si="9"/>
        <v>3886</v>
      </c>
      <c r="Z12" s="9" t="str">
        <f t="shared" si="1"/>
        <v>TEEN</v>
      </c>
    </row>
    <row r="13" spans="1:26" x14ac:dyDescent="0.3">
      <c r="A13" s="5" t="s">
        <v>92</v>
      </c>
      <c r="B13" s="5" t="s">
        <v>14</v>
      </c>
      <c r="C13" s="5" t="s">
        <v>15</v>
      </c>
      <c r="D13" s="5" t="s">
        <v>36</v>
      </c>
      <c r="E13" s="5" t="s">
        <v>93</v>
      </c>
      <c r="F13" s="5" t="s">
        <v>94</v>
      </c>
      <c r="G13" s="5" t="s">
        <v>30</v>
      </c>
      <c r="H13" s="5">
        <v>31</v>
      </c>
      <c r="I13" s="5" t="s">
        <v>40</v>
      </c>
      <c r="J13" s="34" t="s">
        <v>95</v>
      </c>
      <c r="K13" s="31" t="s">
        <v>96</v>
      </c>
      <c r="L13" s="5" t="s">
        <v>97</v>
      </c>
      <c r="M13" s="32">
        <v>0</v>
      </c>
      <c r="N13" s="6">
        <f t="shared" si="2"/>
        <v>0</v>
      </c>
      <c r="O13" s="4" t="s">
        <v>94</v>
      </c>
      <c r="P13" s="5" t="str">
        <f t="shared" si="3"/>
        <v>Chennai</v>
      </c>
      <c r="Q13" s="5" t="str">
        <f t="shared" si="4"/>
        <v>Nephrology</v>
      </c>
      <c r="R13" s="6" t="str">
        <f t="shared" si="5"/>
        <v>Max_Healthcare</v>
      </c>
      <c r="S13" s="6" t="str">
        <f t="shared" si="6"/>
        <v>UPI</v>
      </c>
      <c r="T13" s="6" t="str">
        <f t="shared" si="7"/>
        <v>Female</v>
      </c>
      <c r="U13" s="6" t="str">
        <f t="shared" si="0"/>
        <v>General</v>
      </c>
      <c r="V13" s="6" t="str" cm="1">
        <f t="array" ref="V13">IF(TRIM(S13)="",INDEX($S$2:$S$1500,MATCH(MAX(COUNTIF($S$2:$S$1500,S13)),COUNTIF($S$2:$S$1500,$S$2:$S$1500),0)),S13)</f>
        <v>UPI</v>
      </c>
      <c r="W13" s="7" cm="1">
        <f t="array" ref="W13">IF(OR(TRIM(K13)="",TRIM(K13)="-"), MEDIAN(IF($E$2:$E$1500=E13,$K$2:$K$1500)),  VALUE(SUBSTITUTE(SUBSTITUTE(SUBSTITUTE(K13,"Rs. ",""),"₹",""),",","")))</f>
        <v>10429</v>
      </c>
      <c r="X13" s="8">
        <f t="shared" si="8"/>
        <v>0</v>
      </c>
      <c r="Y13" s="7">
        <f t="shared" si="9"/>
        <v>10429</v>
      </c>
      <c r="Z13" s="9" t="str">
        <f t="shared" si="1"/>
        <v>ADULT</v>
      </c>
    </row>
    <row r="14" spans="1:26" x14ac:dyDescent="0.3">
      <c r="A14" s="5" t="s">
        <v>98</v>
      </c>
      <c r="B14" s="5" t="s">
        <v>25</v>
      </c>
      <c r="C14" s="5" t="s">
        <v>54</v>
      </c>
      <c r="D14" s="5" t="s">
        <v>55</v>
      </c>
      <c r="E14" s="5" t="s">
        <v>99</v>
      </c>
      <c r="F14" s="5" t="s">
        <v>100</v>
      </c>
      <c r="G14" s="5" t="s">
        <v>101</v>
      </c>
      <c r="H14" s="5">
        <v>14</v>
      </c>
      <c r="I14" s="5" t="s">
        <v>40</v>
      </c>
      <c r="J14" s="34" t="s">
        <v>102</v>
      </c>
      <c r="K14" s="31" t="s">
        <v>103</v>
      </c>
      <c r="L14" s="5" t="s">
        <v>104</v>
      </c>
      <c r="M14" s="32">
        <v>30</v>
      </c>
      <c r="N14" s="6">
        <f t="shared" si="2"/>
        <v>30</v>
      </c>
      <c r="O14" s="4" t="s">
        <v>100</v>
      </c>
      <c r="P14" s="5" t="str">
        <f t="shared" si="3"/>
        <v>Hyderabad</v>
      </c>
      <c r="Q14" s="5" t="str">
        <f t="shared" si="4"/>
        <v>Ent</v>
      </c>
      <c r="R14" s="6" t="str">
        <f t="shared" si="5"/>
        <v>Narayana</v>
      </c>
      <c r="S14" s="6" t="str">
        <f t="shared" si="6"/>
        <v>Insurance</v>
      </c>
      <c r="T14" s="6" t="str">
        <f t="shared" si="7"/>
        <v>Female</v>
      </c>
      <c r="U14" s="6" t="str">
        <f t="shared" ref="U14:U77" si="10">IF(OR(UPPER(TRIM(G14))="GENERAL",UPPER(TRIM(G14))="GENRAL"),"General",IF(UPPER(TRIM(G14))="ICU","ICU","Unknown"))</f>
        <v>ICU</v>
      </c>
      <c r="V14" s="6" t="str" cm="1">
        <f t="array" ref="V14">IF(TRIM(S14)="",INDEX($S$2:$S$1500,MATCH(MAX(COUNTIF($S$2:$S$1500,S14)),COUNTIF($S$2:$S$1500,$S$2:$S$1500),0)),S14)</f>
        <v>Insurance</v>
      </c>
      <c r="W14" s="7" cm="1">
        <f t="array" ref="W14">IF(OR(TRIM(K14)="",TRIM(K14)="-"), MEDIAN(IF($E$2:$E$1500=E14,$K$2:$K$1500)),  VALUE(SUBSTITUTE(SUBSTITUTE(SUBSTITUTE(K14,"Rs. ",""),"₹",""),",","")))</f>
        <v>45782</v>
      </c>
      <c r="X14" s="8">
        <f t="shared" si="8"/>
        <v>30</v>
      </c>
      <c r="Y14" s="7">
        <f t="shared" si="9"/>
        <v>32047</v>
      </c>
      <c r="Z14" s="9" t="str">
        <f t="shared" si="1"/>
        <v>TEEN</v>
      </c>
    </row>
    <row r="15" spans="1:26" x14ac:dyDescent="0.3">
      <c r="A15" s="5" t="s">
        <v>105</v>
      </c>
      <c r="B15" s="5" t="s">
        <v>106</v>
      </c>
      <c r="C15" s="5" t="s">
        <v>107</v>
      </c>
      <c r="D15" s="5" t="s">
        <v>27</v>
      </c>
      <c r="E15" s="5" t="s">
        <v>108</v>
      </c>
      <c r="F15" s="5" t="s">
        <v>109</v>
      </c>
      <c r="G15" s="5" t="s">
        <v>69</v>
      </c>
      <c r="H15" s="5">
        <v>23</v>
      </c>
      <c r="I15" s="5" t="s">
        <v>40</v>
      </c>
      <c r="J15" s="34" t="s">
        <v>110</v>
      </c>
      <c r="K15" s="31" t="s">
        <v>111</v>
      </c>
      <c r="L15" s="5" t="s">
        <v>58</v>
      </c>
      <c r="M15" s="32">
        <v>5</v>
      </c>
      <c r="N15" s="6">
        <f t="shared" si="2"/>
        <v>5</v>
      </c>
      <c r="O15" s="4" t="s">
        <v>109</v>
      </c>
      <c r="P15" s="5" t="str">
        <f t="shared" si="3"/>
        <v>Mumbai</v>
      </c>
      <c r="Q15" s="5" t="str">
        <f t="shared" si="4"/>
        <v>Orthopedics</v>
      </c>
      <c r="R15" s="6" t="str">
        <f t="shared" si="5"/>
        <v>Aiims</v>
      </c>
      <c r="S15" s="6" t="str">
        <f t="shared" si="6"/>
        <v>UPI</v>
      </c>
      <c r="T15" s="6" t="str">
        <f t="shared" si="7"/>
        <v>Female</v>
      </c>
      <c r="U15" s="6" t="str">
        <f t="shared" si="10"/>
        <v>ICU</v>
      </c>
      <c r="V15" s="6" t="str" cm="1">
        <f t="array" ref="V15">IF(TRIM(S15)="",INDEX($S$2:$S$1500,MATCH(MAX(COUNTIF($S$2:$S$1500,S15)),COUNTIF($S$2:$S$1500,$S$2:$S$1500),0)),S15)</f>
        <v>UPI</v>
      </c>
      <c r="W15" s="7" cm="1">
        <f t="array" ref="W15">IF(OR(TRIM(K15)="",TRIM(K15)="-"), MEDIAN(IF($E$2:$E$1500=E15,$K$2:$K$1500)),  VALUE(SUBSTITUTE(SUBSTITUTE(SUBSTITUTE(K15,"Rs. ",""),"₹",""),",","")))</f>
        <v>63583</v>
      </c>
      <c r="X15" s="8">
        <f t="shared" si="8"/>
        <v>5</v>
      </c>
      <c r="Y15" s="7">
        <f t="shared" si="9"/>
        <v>60404</v>
      </c>
      <c r="Z15" s="9" t="str">
        <f t="shared" si="1"/>
        <v>ADULT</v>
      </c>
    </row>
    <row r="16" spans="1:26" x14ac:dyDescent="0.3">
      <c r="A16" s="5" t="s">
        <v>112</v>
      </c>
      <c r="B16" s="5" t="s">
        <v>45</v>
      </c>
      <c r="C16" s="5" t="s">
        <v>46</v>
      </c>
      <c r="D16" s="5" t="s">
        <v>16</v>
      </c>
      <c r="E16" s="5" t="s">
        <v>67</v>
      </c>
      <c r="F16" s="5" t="s">
        <v>89</v>
      </c>
      <c r="G16" s="5" t="s">
        <v>30</v>
      </c>
      <c r="H16" s="5">
        <v>79</v>
      </c>
      <c r="I16" s="5" t="s">
        <v>31</v>
      </c>
      <c r="J16" s="34" t="s">
        <v>113</v>
      </c>
      <c r="K16" s="31" t="s">
        <v>114</v>
      </c>
      <c r="L16" s="5" t="s">
        <v>115</v>
      </c>
      <c r="M16" s="32">
        <v>0</v>
      </c>
      <c r="N16" s="6">
        <f t="shared" si="2"/>
        <v>0</v>
      </c>
      <c r="O16" s="4" t="s">
        <v>89</v>
      </c>
      <c r="P16" s="5" t="str">
        <f t="shared" si="3"/>
        <v>Bangalore</v>
      </c>
      <c r="Q16" s="5" t="str">
        <f t="shared" si="4"/>
        <v>Neurology</v>
      </c>
      <c r="R16" s="6" t="str">
        <f t="shared" si="5"/>
        <v>Fortis</v>
      </c>
      <c r="S16" s="6" t="str">
        <f t="shared" si="6"/>
        <v>Cash</v>
      </c>
      <c r="T16" s="6" t="str">
        <f t="shared" si="7"/>
        <v>Male</v>
      </c>
      <c r="U16" s="6" t="str">
        <f t="shared" si="10"/>
        <v>General</v>
      </c>
      <c r="V16" s="6" t="str" cm="1">
        <f t="array" ref="V16">IF(TRIM(S16)="",INDEX($S$2:$S$1500,MATCH(MAX(COUNTIF($S$2:$S$1500,S16)),COUNTIF($S$2:$S$1500,$S$2:$S$1500),0)),S16)</f>
        <v>Cash</v>
      </c>
      <c r="W16" s="7" cm="1">
        <f t="array" ref="W16">IF(OR(TRIM(K16)="",TRIM(K16)="-"), MEDIAN(IF($E$2:$E$1500=E16,$K$2:$K$1500)),  VALUE(SUBSTITUTE(SUBSTITUTE(SUBSTITUTE(K16,"Rs. ",""),"₹",""),",","")))</f>
        <v>14482</v>
      </c>
      <c r="X16" s="8">
        <f t="shared" si="8"/>
        <v>0</v>
      </c>
      <c r="Y16" s="7">
        <f t="shared" si="9"/>
        <v>14482</v>
      </c>
      <c r="Z16" s="9" t="str">
        <f t="shared" si="1"/>
        <v>SENIOR</v>
      </c>
    </row>
    <row r="17" spans="1:26" x14ac:dyDescent="0.3">
      <c r="A17" s="5" t="s">
        <v>116</v>
      </c>
      <c r="B17" s="5" t="s">
        <v>117</v>
      </c>
      <c r="C17" s="5" t="s">
        <v>118</v>
      </c>
      <c r="D17" s="5" t="s">
        <v>36</v>
      </c>
      <c r="E17" s="5" t="s">
        <v>28</v>
      </c>
      <c r="F17" s="5" t="s">
        <v>29</v>
      </c>
      <c r="G17" s="5" t="s">
        <v>30</v>
      </c>
      <c r="H17" s="5">
        <v>76</v>
      </c>
      <c r="I17" s="5" t="s">
        <v>20</v>
      </c>
      <c r="J17" s="34" t="s">
        <v>119</v>
      </c>
      <c r="K17" s="31">
        <v>16730</v>
      </c>
      <c r="L17" s="5" t="s">
        <v>58</v>
      </c>
      <c r="M17" s="32">
        <v>10</v>
      </c>
      <c r="N17" s="6">
        <f t="shared" si="2"/>
        <v>10</v>
      </c>
      <c r="O17" s="4" t="s">
        <v>29</v>
      </c>
      <c r="P17" s="5" t="str">
        <f t="shared" si="3"/>
        <v>Chennai</v>
      </c>
      <c r="Q17" s="5" t="str">
        <f t="shared" si="4"/>
        <v>Oncology</v>
      </c>
      <c r="R17" s="6" t="str">
        <f t="shared" si="5"/>
        <v>Manipal</v>
      </c>
      <c r="S17" s="6" t="str">
        <f t="shared" si="6"/>
        <v>UPI</v>
      </c>
      <c r="T17" s="6" t="str">
        <f t="shared" si="7"/>
        <v>Male</v>
      </c>
      <c r="U17" s="6" t="str">
        <f t="shared" si="10"/>
        <v>General</v>
      </c>
      <c r="V17" s="6" t="str" cm="1">
        <f t="array" ref="V17">IF(TRIM(S17)="",INDEX($S$2:$S$1500,MATCH(MAX(COUNTIF($S$2:$S$1500,S17)),COUNTIF($S$2:$S$1500,$S$2:$S$1500),0)),S17)</f>
        <v>UPI</v>
      </c>
      <c r="W17" s="7" cm="1">
        <f t="array" ref="W17">IF(OR(TRIM(K17)="",TRIM(K17)="-"), MEDIAN(IF($E$2:$E$1500=E17,$K$2:$K$1500)),  VALUE(SUBSTITUTE(SUBSTITUTE(SUBSTITUTE(K17,"Rs. ",""),"₹",""),",","")))</f>
        <v>16730</v>
      </c>
      <c r="X17" s="8">
        <f t="shared" si="8"/>
        <v>10</v>
      </c>
      <c r="Y17" s="7">
        <f t="shared" si="9"/>
        <v>15057</v>
      </c>
      <c r="Z17" s="9" t="str">
        <f t="shared" si="1"/>
        <v>SENIOR</v>
      </c>
    </row>
    <row r="18" spans="1:26" x14ac:dyDescent="0.3">
      <c r="A18" s="5" t="s">
        <v>120</v>
      </c>
      <c r="B18" s="5" t="s">
        <v>25</v>
      </c>
      <c r="C18" s="5" t="s">
        <v>54</v>
      </c>
      <c r="D18" s="5" t="s">
        <v>16</v>
      </c>
      <c r="E18" s="5" t="s">
        <v>93</v>
      </c>
      <c r="F18" s="5" t="s">
        <v>121</v>
      </c>
      <c r="G18" s="5"/>
      <c r="H18" s="5">
        <v>57</v>
      </c>
      <c r="I18" s="5" t="s">
        <v>40</v>
      </c>
      <c r="J18" s="34" t="s">
        <v>122</v>
      </c>
      <c r="K18" s="31">
        <v>3128</v>
      </c>
      <c r="L18" s="5" t="s">
        <v>115</v>
      </c>
      <c r="M18" s="32">
        <v>0</v>
      </c>
      <c r="N18" s="6">
        <f t="shared" si="2"/>
        <v>0</v>
      </c>
      <c r="O18" s="4" t="s">
        <v>121</v>
      </c>
      <c r="P18" s="5" t="str">
        <f t="shared" si="3"/>
        <v>Bangalore</v>
      </c>
      <c r="Q18" s="5" t="str">
        <f t="shared" si="4"/>
        <v>Nephrology</v>
      </c>
      <c r="R18" s="6" t="str">
        <f t="shared" si="5"/>
        <v>Narayana</v>
      </c>
      <c r="S18" s="6" t="str">
        <f t="shared" si="6"/>
        <v>Cash</v>
      </c>
      <c r="T18" s="6" t="str">
        <f t="shared" si="7"/>
        <v>Female</v>
      </c>
      <c r="U18" s="6" t="str">
        <f t="shared" si="10"/>
        <v>Unknown</v>
      </c>
      <c r="V18" s="6" t="str" cm="1">
        <f t="array" ref="V18">IF(TRIM(S18)="",INDEX($S$2:$S$1500,MATCH(MAX(COUNTIF($S$2:$S$1500,S18)),COUNTIF($S$2:$S$1500,$S$2:$S$1500),0)),S18)</f>
        <v>Cash</v>
      </c>
      <c r="W18" s="7" cm="1">
        <f t="array" ref="W18">IF(OR(TRIM(K18)="",TRIM(K18)="-"), MEDIAN(IF($E$2:$E$1500=E18,$K$2:$K$1500)),  VALUE(SUBSTITUTE(SUBSTITUTE(SUBSTITUTE(K18,"Rs. ",""),"₹",""),",","")))</f>
        <v>3128</v>
      </c>
      <c r="X18" s="8">
        <f t="shared" si="8"/>
        <v>0</v>
      </c>
      <c r="Y18" s="7">
        <f t="shared" si="9"/>
        <v>3128</v>
      </c>
      <c r="Z18" s="9" t="str">
        <f t="shared" si="1"/>
        <v>ADULT</v>
      </c>
    </row>
    <row r="19" spans="1:26" x14ac:dyDescent="0.3">
      <c r="A19" s="5" t="s">
        <v>123</v>
      </c>
      <c r="B19" s="5" t="s">
        <v>25</v>
      </c>
      <c r="C19" s="5" t="s">
        <v>54</v>
      </c>
      <c r="D19" s="5" t="s">
        <v>80</v>
      </c>
      <c r="E19" s="5" t="s">
        <v>108</v>
      </c>
      <c r="F19" s="5" t="s">
        <v>124</v>
      </c>
      <c r="G19" s="5" t="s">
        <v>39</v>
      </c>
      <c r="H19" s="5">
        <v>65</v>
      </c>
      <c r="I19" s="5" t="s">
        <v>40</v>
      </c>
      <c r="J19" s="34" t="s">
        <v>125</v>
      </c>
      <c r="K19" s="31">
        <v>3913</v>
      </c>
      <c r="L19" s="5" t="s">
        <v>23</v>
      </c>
      <c r="M19" s="32">
        <v>0</v>
      </c>
      <c r="N19" s="6">
        <f t="shared" si="2"/>
        <v>0</v>
      </c>
      <c r="O19" s="4" t="s">
        <v>124</v>
      </c>
      <c r="P19" s="5" t="str">
        <f t="shared" si="3"/>
        <v>Ahmedabad</v>
      </c>
      <c r="Q19" s="5" t="str">
        <f t="shared" si="4"/>
        <v>Orthopedics</v>
      </c>
      <c r="R19" s="6" t="str">
        <f t="shared" si="5"/>
        <v>Narayana</v>
      </c>
      <c r="S19" s="6" t="str">
        <f t="shared" si="6"/>
        <v>Credit Card</v>
      </c>
      <c r="T19" s="6" t="str">
        <f t="shared" si="7"/>
        <v>Female</v>
      </c>
      <c r="U19" s="6" t="str">
        <f t="shared" si="10"/>
        <v>General</v>
      </c>
      <c r="V19" s="6" t="str" cm="1">
        <f t="array" ref="V19">IF(TRIM(S19)="",INDEX($S$2:$S$1500,MATCH(MAX(COUNTIF($S$2:$S$1500,S19)),COUNTIF($S$2:$S$1500,$S$2:$S$1500),0)),S19)</f>
        <v>Credit Card</v>
      </c>
      <c r="W19" s="7" cm="1">
        <f t="array" ref="W19">IF(OR(TRIM(K19)="",TRIM(K19)="-"), MEDIAN(IF($E$2:$E$1500=E19,$K$2:$K$1500)),  VALUE(SUBSTITUTE(SUBSTITUTE(SUBSTITUTE(K19,"Rs. ",""),"₹",""),",","")))</f>
        <v>3913</v>
      </c>
      <c r="X19" s="8">
        <f t="shared" si="8"/>
        <v>0</v>
      </c>
      <c r="Y19" s="7">
        <f t="shared" si="9"/>
        <v>3913</v>
      </c>
      <c r="Z19" s="9" t="str">
        <f t="shared" si="1"/>
        <v>SENIOR</v>
      </c>
    </row>
    <row r="20" spans="1:26" x14ac:dyDescent="0.3">
      <c r="A20" s="5" t="s">
        <v>126</v>
      </c>
      <c r="B20" s="5" t="s">
        <v>117</v>
      </c>
      <c r="C20" s="5" t="s">
        <v>127</v>
      </c>
      <c r="D20" s="5" t="s">
        <v>36</v>
      </c>
      <c r="E20" s="5" t="s">
        <v>93</v>
      </c>
      <c r="F20" s="5" t="s">
        <v>94</v>
      </c>
      <c r="G20" s="5" t="s">
        <v>101</v>
      </c>
      <c r="H20" s="5">
        <v>58</v>
      </c>
      <c r="I20" s="5" t="s">
        <v>40</v>
      </c>
      <c r="J20" s="34" t="s">
        <v>128</v>
      </c>
      <c r="K20" s="31" t="s">
        <v>129</v>
      </c>
      <c r="L20" s="5" t="s">
        <v>58</v>
      </c>
      <c r="M20" s="32" t="s">
        <v>130</v>
      </c>
      <c r="N20" s="6">
        <f t="shared" si="2"/>
        <v>0</v>
      </c>
      <c r="O20" s="4" t="s">
        <v>94</v>
      </c>
      <c r="P20" s="5" t="str">
        <f t="shared" si="3"/>
        <v>Chennai</v>
      </c>
      <c r="Q20" s="5" t="str">
        <f t="shared" si="4"/>
        <v>Nephrology</v>
      </c>
      <c r="R20" s="6" t="str">
        <f t="shared" si="5"/>
        <v>Manipal</v>
      </c>
      <c r="S20" s="6" t="str">
        <f t="shared" si="6"/>
        <v>UPI</v>
      </c>
      <c r="T20" s="6" t="str">
        <f t="shared" si="7"/>
        <v>Female</v>
      </c>
      <c r="U20" s="6" t="str">
        <f t="shared" si="10"/>
        <v>ICU</v>
      </c>
      <c r="V20" s="6" t="str" cm="1">
        <f t="array" ref="V20">IF(TRIM(S20)="",INDEX($S$2:$S$1500,MATCH(MAX(COUNTIF($S$2:$S$1500,S20)),COUNTIF($S$2:$S$1500,$S$2:$S$1500),0)),S20)</f>
        <v>UPI</v>
      </c>
      <c r="W20" s="7" cm="1">
        <f t="array" ref="W20">IF(OR(TRIM(K20)="",TRIM(K20)="-"), MEDIAN(IF($E$2:$E$1500=E20,$K$2:$K$1500)),  VALUE(SUBSTITUTE(SUBSTITUTE(SUBSTITUTE(K20,"Rs. ",""),"₹",""),",","")))</f>
        <v>35941</v>
      </c>
      <c r="X20" s="8">
        <f t="shared" si="8"/>
        <v>0</v>
      </c>
      <c r="Y20" s="7">
        <f t="shared" si="9"/>
        <v>35941</v>
      </c>
      <c r="Z20" s="9" t="str">
        <f t="shared" si="1"/>
        <v>ADULT</v>
      </c>
    </row>
    <row r="21" spans="1:26" x14ac:dyDescent="0.3">
      <c r="A21" s="5" t="s">
        <v>131</v>
      </c>
      <c r="B21" s="5" t="s">
        <v>78</v>
      </c>
      <c r="C21" s="5" t="s">
        <v>79</v>
      </c>
      <c r="D21" s="5" t="s">
        <v>16</v>
      </c>
      <c r="E21" s="5" t="s">
        <v>37</v>
      </c>
      <c r="F21" s="5" t="s">
        <v>132</v>
      </c>
      <c r="G21" s="5" t="s">
        <v>49</v>
      </c>
      <c r="H21" s="5">
        <v>29</v>
      </c>
      <c r="I21" s="5" t="s">
        <v>70</v>
      </c>
      <c r="J21" s="34" t="s">
        <v>133</v>
      </c>
      <c r="K21" s="31">
        <v>16050</v>
      </c>
      <c r="L21" s="5" t="s">
        <v>91</v>
      </c>
      <c r="M21" s="32">
        <v>0</v>
      </c>
      <c r="N21" s="6">
        <f t="shared" si="2"/>
        <v>0</v>
      </c>
      <c r="O21" s="4" t="s">
        <v>132</v>
      </c>
      <c r="P21" s="5" t="str">
        <f t="shared" si="3"/>
        <v>Bangalore</v>
      </c>
      <c r="Q21" s="5" t="str">
        <f t="shared" si="4"/>
        <v>Pediatrics</v>
      </c>
      <c r="R21" s="6" t="str">
        <f t="shared" si="5"/>
        <v>Apollo</v>
      </c>
      <c r="S21" s="6" t="str">
        <f t="shared" si="6"/>
        <v>Debit Card</v>
      </c>
      <c r="T21" s="6" t="str">
        <f t="shared" si="7"/>
        <v>Female</v>
      </c>
      <c r="U21" s="6" t="str">
        <f t="shared" si="10"/>
        <v>General</v>
      </c>
      <c r="V21" s="6" t="str" cm="1">
        <f t="array" ref="V21">IF(TRIM(S21)="",INDEX($S$2:$S$1500,MATCH(MAX(COUNTIF($S$2:$S$1500,S21)),COUNTIF($S$2:$S$1500,$S$2:$S$1500),0)),S21)</f>
        <v>Debit Card</v>
      </c>
      <c r="W21" s="7" cm="1">
        <f t="array" ref="W21">IF(OR(TRIM(K21)="",TRIM(K21)="-"), MEDIAN(IF($E$2:$E$1500=E21,$K$2:$K$1500)),  VALUE(SUBSTITUTE(SUBSTITUTE(SUBSTITUTE(K21,"Rs. ",""),"₹",""),",","")))</f>
        <v>16050</v>
      </c>
      <c r="X21" s="8">
        <f t="shared" si="8"/>
        <v>0</v>
      </c>
      <c r="Y21" s="7">
        <f t="shared" si="9"/>
        <v>16050</v>
      </c>
      <c r="Z21" s="9" t="str">
        <f t="shared" si="1"/>
        <v>ADULT</v>
      </c>
    </row>
    <row r="22" spans="1:26" x14ac:dyDescent="0.3">
      <c r="A22" s="5" t="s">
        <v>134</v>
      </c>
      <c r="B22" s="5" t="s">
        <v>117</v>
      </c>
      <c r="C22" s="5" t="s">
        <v>118</v>
      </c>
      <c r="D22" s="5" t="s">
        <v>55</v>
      </c>
      <c r="E22" s="5" t="s">
        <v>17</v>
      </c>
      <c r="F22" s="5" t="s">
        <v>135</v>
      </c>
      <c r="G22" s="5" t="s">
        <v>19</v>
      </c>
      <c r="H22" s="5">
        <v>3</v>
      </c>
      <c r="I22" s="5" t="s">
        <v>20</v>
      </c>
      <c r="J22" s="34" t="s">
        <v>136</v>
      </c>
      <c r="K22" s="31" t="s">
        <v>137</v>
      </c>
      <c r="L22" s="5"/>
      <c r="M22" s="32" t="s">
        <v>76</v>
      </c>
      <c r="N22" s="6">
        <f t="shared" si="2"/>
        <v>10</v>
      </c>
      <c r="O22" s="4" t="s">
        <v>135</v>
      </c>
      <c r="P22" s="5" t="str">
        <f t="shared" si="3"/>
        <v>Hyderabad</v>
      </c>
      <c r="Q22" s="5" t="str">
        <f t="shared" si="4"/>
        <v>Gynecology</v>
      </c>
      <c r="R22" s="6" t="str">
        <f t="shared" si="5"/>
        <v>Manipal</v>
      </c>
      <c r="S22" s="6" t="str">
        <f t="shared" si="6"/>
        <v>Unknown</v>
      </c>
      <c r="T22" s="6" t="str">
        <f t="shared" si="7"/>
        <v>Male</v>
      </c>
      <c r="U22" s="6" t="str">
        <f t="shared" si="10"/>
        <v>General</v>
      </c>
      <c r="V22" s="6" t="str" cm="1">
        <f t="array" ref="V22">IF(TRIM(S22)="",INDEX($S$2:$S$1500,MATCH(MAX(COUNTIF($S$2:$S$1500,S22)),COUNTIF($S$2:$S$1500,$S$2:$S$1500),0)),S22)</f>
        <v>Unknown</v>
      </c>
      <c r="W22" s="7" cm="1">
        <f t="array" ref="W22">IF(OR(TRIM(K22)="",TRIM(K22)="-"), MEDIAN(IF($E$2:$E$1500=E22,$K$2:$K$1500)),  VALUE(SUBSTITUTE(SUBSTITUTE(SUBSTITUTE(K22,"Rs. ",""),"₹",""),",","")))</f>
        <v>18029</v>
      </c>
      <c r="X22" s="8">
        <f t="shared" si="8"/>
        <v>10</v>
      </c>
      <c r="Y22" s="7">
        <f t="shared" si="9"/>
        <v>16226</v>
      </c>
      <c r="Z22" s="9" t="str">
        <f t="shared" si="1"/>
        <v>CHILD</v>
      </c>
    </row>
    <row r="23" spans="1:26" x14ac:dyDescent="0.3">
      <c r="A23" s="5" t="s">
        <v>138</v>
      </c>
      <c r="B23" s="5" t="s">
        <v>78</v>
      </c>
      <c r="C23" s="5" t="s">
        <v>79</v>
      </c>
      <c r="D23" s="5" t="s">
        <v>36</v>
      </c>
      <c r="E23" s="5" t="s">
        <v>108</v>
      </c>
      <c r="F23" s="5" t="s">
        <v>124</v>
      </c>
      <c r="G23" s="5"/>
      <c r="H23" s="5">
        <v>24</v>
      </c>
      <c r="I23" s="5" t="s">
        <v>20</v>
      </c>
      <c r="J23" s="34" t="s">
        <v>139</v>
      </c>
      <c r="K23" s="31">
        <v>7245</v>
      </c>
      <c r="L23" s="5" t="s">
        <v>58</v>
      </c>
      <c r="M23" s="32" t="s">
        <v>140</v>
      </c>
      <c r="N23" s="6" t="str">
        <f t="shared" si="2"/>
        <v>-</v>
      </c>
      <c r="O23" s="4" t="s">
        <v>124</v>
      </c>
      <c r="P23" s="5" t="str">
        <f t="shared" si="3"/>
        <v>Chennai</v>
      </c>
      <c r="Q23" s="5" t="str">
        <f t="shared" si="4"/>
        <v>Orthopedics</v>
      </c>
      <c r="R23" s="6" t="str">
        <f t="shared" si="5"/>
        <v>Apollo</v>
      </c>
      <c r="S23" s="6" t="str">
        <f t="shared" si="6"/>
        <v>UPI</v>
      </c>
      <c r="T23" s="6" t="str">
        <f t="shared" si="7"/>
        <v>Male</v>
      </c>
      <c r="U23" s="6" t="str">
        <f t="shared" si="10"/>
        <v>Unknown</v>
      </c>
      <c r="V23" s="6" t="str" cm="1">
        <f t="array" ref="V23">IF(TRIM(S23)="",INDEX($S$2:$S$1500,MATCH(MAX(COUNTIF($S$2:$S$1500,S23)),COUNTIF($S$2:$S$1500,$S$2:$S$1500),0)),S23)</f>
        <v>UPI</v>
      </c>
      <c r="W23" s="7" cm="1">
        <f t="array" ref="W23">IF(OR(TRIM(K23)="",TRIM(K23)="-"), MEDIAN(IF($E$2:$E$1500=E23,$K$2:$K$1500)),  VALUE(SUBSTITUTE(SUBSTITUTE(SUBSTITUTE(K23,"Rs. ",""),"₹",""),",","")))</f>
        <v>7245</v>
      </c>
      <c r="X23" s="8">
        <f t="shared" si="8"/>
        <v>3</v>
      </c>
      <c r="Y23" s="7">
        <f t="shared" si="9"/>
        <v>7028</v>
      </c>
      <c r="Z23" s="9" t="str">
        <f t="shared" si="1"/>
        <v>ADULT</v>
      </c>
    </row>
    <row r="24" spans="1:26" x14ac:dyDescent="0.3">
      <c r="A24" s="5" t="s">
        <v>141</v>
      </c>
      <c r="B24" s="5" t="s">
        <v>25</v>
      </c>
      <c r="C24" s="5" t="s">
        <v>26</v>
      </c>
      <c r="D24" s="5" t="s">
        <v>80</v>
      </c>
      <c r="E24" s="5" t="s">
        <v>37</v>
      </c>
      <c r="F24" s="5" t="s">
        <v>38</v>
      </c>
      <c r="G24" s="5" t="s">
        <v>30</v>
      </c>
      <c r="H24" s="5">
        <v>55</v>
      </c>
      <c r="I24" s="5" t="s">
        <v>20</v>
      </c>
      <c r="J24" s="34" t="s">
        <v>142</v>
      </c>
      <c r="K24" s="31">
        <v>3551</v>
      </c>
      <c r="L24" s="5" t="s">
        <v>72</v>
      </c>
      <c r="M24" s="32" t="s">
        <v>130</v>
      </c>
      <c r="N24" s="6">
        <f t="shared" si="2"/>
        <v>0</v>
      </c>
      <c r="O24" s="4" t="s">
        <v>38</v>
      </c>
      <c r="P24" s="5" t="str">
        <f t="shared" si="3"/>
        <v>Ahmedabad</v>
      </c>
      <c r="Q24" s="5" t="str">
        <f t="shared" si="4"/>
        <v>Pediatrics</v>
      </c>
      <c r="R24" s="6" t="str">
        <f t="shared" si="5"/>
        <v>Narayana</v>
      </c>
      <c r="S24" s="6" t="str">
        <f t="shared" si="6"/>
        <v>Cash</v>
      </c>
      <c r="T24" s="6" t="str">
        <f t="shared" si="7"/>
        <v>Male</v>
      </c>
      <c r="U24" s="6" t="str">
        <f t="shared" si="10"/>
        <v>General</v>
      </c>
      <c r="V24" s="6" t="str" cm="1">
        <f t="array" ref="V24">IF(TRIM(S24)="",INDEX($S$2:$S$1500,MATCH(MAX(COUNTIF($S$2:$S$1500,S24)),COUNTIF($S$2:$S$1500,$S$2:$S$1500),0)),S24)</f>
        <v>Cash</v>
      </c>
      <c r="W24" s="7" cm="1">
        <f t="array" ref="W24">IF(OR(TRIM(K24)="",TRIM(K24)="-"), MEDIAN(IF($E$2:$E$1500=E24,$K$2:$K$1500)),  VALUE(SUBSTITUTE(SUBSTITUTE(SUBSTITUTE(K24,"Rs. ",""),"₹",""),",","")))</f>
        <v>3551</v>
      </c>
      <c r="X24" s="8">
        <f t="shared" si="8"/>
        <v>0</v>
      </c>
      <c r="Y24" s="7">
        <f t="shared" si="9"/>
        <v>3551</v>
      </c>
      <c r="Z24" s="9" t="str">
        <f t="shared" si="1"/>
        <v>ADULT</v>
      </c>
    </row>
    <row r="25" spans="1:26" x14ac:dyDescent="0.3">
      <c r="A25" s="5" t="s">
        <v>143</v>
      </c>
      <c r="B25" s="5" t="s">
        <v>78</v>
      </c>
      <c r="C25" s="5" t="s">
        <v>79</v>
      </c>
      <c r="D25" s="5" t="s">
        <v>55</v>
      </c>
      <c r="E25" s="5" t="s">
        <v>93</v>
      </c>
      <c r="F25" s="5" t="s">
        <v>144</v>
      </c>
      <c r="G25" s="5" t="s">
        <v>101</v>
      </c>
      <c r="H25" s="5">
        <v>6</v>
      </c>
      <c r="I25" s="5" t="s">
        <v>31</v>
      </c>
      <c r="J25" s="34" t="s">
        <v>145</v>
      </c>
      <c r="K25" s="31">
        <v>51252</v>
      </c>
      <c r="L25" s="5" t="s">
        <v>72</v>
      </c>
      <c r="M25" s="32">
        <v>0</v>
      </c>
      <c r="N25" s="6">
        <f t="shared" si="2"/>
        <v>0</v>
      </c>
      <c r="O25" s="4" t="s">
        <v>144</v>
      </c>
      <c r="P25" s="5" t="str">
        <f t="shared" si="3"/>
        <v>Hyderabad</v>
      </c>
      <c r="Q25" s="5" t="str">
        <f t="shared" si="4"/>
        <v>Nephrology</v>
      </c>
      <c r="R25" s="6" t="str">
        <f t="shared" si="5"/>
        <v>Apollo</v>
      </c>
      <c r="S25" s="6" t="str">
        <f t="shared" si="6"/>
        <v>Cash</v>
      </c>
      <c r="T25" s="6" t="str">
        <f t="shared" si="7"/>
        <v>Male</v>
      </c>
      <c r="U25" s="6" t="str">
        <f t="shared" si="10"/>
        <v>ICU</v>
      </c>
      <c r="V25" s="6" t="str" cm="1">
        <f t="array" ref="V25">IF(TRIM(S25)="",INDEX($S$2:$S$1500,MATCH(MAX(COUNTIF($S$2:$S$1500,S25)),COUNTIF($S$2:$S$1500,$S$2:$S$1500),0)),S25)</f>
        <v>Cash</v>
      </c>
      <c r="W25" s="7" cm="1">
        <f t="array" ref="W25">IF(OR(TRIM(K25)="",TRIM(K25)="-"), MEDIAN(IF($E$2:$E$1500=E25,$K$2:$K$1500)),  VALUE(SUBSTITUTE(SUBSTITUTE(SUBSTITUTE(K25,"Rs. ",""),"₹",""),",","")))</f>
        <v>51252</v>
      </c>
      <c r="X25" s="8">
        <f t="shared" si="8"/>
        <v>0</v>
      </c>
      <c r="Y25" s="7">
        <f t="shared" si="9"/>
        <v>51252</v>
      </c>
      <c r="Z25" s="9" t="str">
        <f t="shared" si="1"/>
        <v>CHILD</v>
      </c>
    </row>
    <row r="26" spans="1:26" x14ac:dyDescent="0.3">
      <c r="A26" s="5" t="s">
        <v>146</v>
      </c>
      <c r="B26" s="5" t="s">
        <v>25</v>
      </c>
      <c r="C26" s="5" t="s">
        <v>26</v>
      </c>
      <c r="D26" s="5" t="s">
        <v>36</v>
      </c>
      <c r="E26" s="5" t="s">
        <v>74</v>
      </c>
      <c r="F26" s="5" t="s">
        <v>147</v>
      </c>
      <c r="G26" s="5" t="s">
        <v>19</v>
      </c>
      <c r="H26" s="5">
        <v>3</v>
      </c>
      <c r="I26" s="5" t="s">
        <v>20</v>
      </c>
      <c r="J26" s="34" t="s">
        <v>148</v>
      </c>
      <c r="K26" s="31"/>
      <c r="L26" s="5" t="s">
        <v>149</v>
      </c>
      <c r="M26" s="32">
        <v>15</v>
      </c>
      <c r="N26" s="6">
        <f t="shared" si="2"/>
        <v>15</v>
      </c>
      <c r="O26" s="4" t="s">
        <v>147</v>
      </c>
      <c r="P26" s="5" t="str">
        <f t="shared" si="3"/>
        <v>Chennai</v>
      </c>
      <c r="Q26" s="5" t="str">
        <f t="shared" si="4"/>
        <v>General Medicine</v>
      </c>
      <c r="R26" s="6" t="str">
        <f t="shared" si="5"/>
        <v>Narayana</v>
      </c>
      <c r="S26" s="6" t="str">
        <f t="shared" si="6"/>
        <v>Insurance</v>
      </c>
      <c r="T26" s="6" t="str">
        <f t="shared" si="7"/>
        <v>Male</v>
      </c>
      <c r="U26" s="6" t="str">
        <f t="shared" si="10"/>
        <v>General</v>
      </c>
      <c r="V26" s="6" t="str" cm="1">
        <f t="array" ref="V26">IF(TRIM(S26)="",INDEX($S$2:$S$1500,MATCH(MAX(COUNTIF($S$2:$S$1500,S26)),COUNTIF($S$2:$S$1500,$S$2:$S$1500),0)),S26)</f>
        <v>Insurance</v>
      </c>
      <c r="W26" s="7" cm="1">
        <f t="array" ref="W26">IF(OR(TRIM(K26)="",TRIM(K26)="-"), MEDIAN(IF($E$2:$E$1500=E26,$K$2:$K$1500)),  VALUE(SUBSTITUTE(SUBSTITUTE(SUBSTITUTE(K26,"Rs. ",""),"₹",""),",","")))</f>
        <v>14499</v>
      </c>
      <c r="X26" s="8">
        <f t="shared" si="8"/>
        <v>15</v>
      </c>
      <c r="Y26" s="7">
        <f t="shared" si="9"/>
        <v>12324</v>
      </c>
      <c r="Z26" s="9" t="str">
        <f t="shared" si="1"/>
        <v>CHILD</v>
      </c>
    </row>
    <row r="27" spans="1:26" x14ac:dyDescent="0.3">
      <c r="A27" s="5" t="s">
        <v>150</v>
      </c>
      <c r="B27" s="5" t="s">
        <v>106</v>
      </c>
      <c r="C27" s="5" t="s">
        <v>107</v>
      </c>
      <c r="D27" s="5" t="s">
        <v>61</v>
      </c>
      <c r="E27" s="5" t="s">
        <v>99</v>
      </c>
      <c r="F27" s="5" t="s">
        <v>151</v>
      </c>
      <c r="G27" s="5" t="s">
        <v>101</v>
      </c>
      <c r="H27" s="5">
        <v>30</v>
      </c>
      <c r="I27" s="5" t="s">
        <v>20</v>
      </c>
      <c r="J27" s="34" t="s">
        <v>152</v>
      </c>
      <c r="K27" s="31" t="s">
        <v>153</v>
      </c>
      <c r="L27" s="5" t="s">
        <v>72</v>
      </c>
      <c r="M27" s="32"/>
      <c r="N27" s="6">
        <f t="shared" si="2"/>
        <v>0</v>
      </c>
      <c r="O27" s="4" t="s">
        <v>151</v>
      </c>
      <c r="P27" s="5" t="str">
        <f t="shared" si="3"/>
        <v>Pune</v>
      </c>
      <c r="Q27" s="5" t="str">
        <f t="shared" si="4"/>
        <v>Ent</v>
      </c>
      <c r="R27" s="6" t="str">
        <f t="shared" si="5"/>
        <v>Aiims</v>
      </c>
      <c r="S27" s="6" t="str">
        <f t="shared" si="6"/>
        <v>Cash</v>
      </c>
      <c r="T27" s="6" t="str">
        <f t="shared" si="7"/>
        <v>Male</v>
      </c>
      <c r="U27" s="6" t="str">
        <f t="shared" si="10"/>
        <v>ICU</v>
      </c>
      <c r="V27" s="6" t="str" cm="1">
        <f t="array" ref="V27">IF(TRIM(S27)="",INDEX($S$2:$S$1500,MATCH(MAX(COUNTIF($S$2:$S$1500,S27)),COUNTIF($S$2:$S$1500,$S$2:$S$1500),0)),S27)</f>
        <v>Cash</v>
      </c>
      <c r="W27" s="7" cm="1">
        <f t="array" ref="W27">IF(OR(TRIM(K27)="",TRIM(K27)="-"), MEDIAN(IF($E$2:$E$1500=E27,$K$2:$K$1500)),  VALUE(SUBSTITUTE(SUBSTITUTE(SUBSTITUTE(K27,"Rs. ",""),"₹",""),",","")))</f>
        <v>38313</v>
      </c>
      <c r="X27" s="8">
        <f t="shared" si="8"/>
        <v>0</v>
      </c>
      <c r="Y27" s="7">
        <f t="shared" si="9"/>
        <v>38313</v>
      </c>
      <c r="Z27" s="9" t="str">
        <f t="shared" si="1"/>
        <v>ADULT</v>
      </c>
    </row>
    <row r="28" spans="1:26" x14ac:dyDescent="0.3">
      <c r="A28" s="5" t="s">
        <v>154</v>
      </c>
      <c r="B28" s="5" t="s">
        <v>14</v>
      </c>
      <c r="C28" s="5" t="s">
        <v>60</v>
      </c>
      <c r="D28" s="5" t="s">
        <v>61</v>
      </c>
      <c r="E28" s="5" t="s">
        <v>67</v>
      </c>
      <c r="F28" s="5" t="s">
        <v>89</v>
      </c>
      <c r="G28" s="5" t="s">
        <v>19</v>
      </c>
      <c r="H28" s="5">
        <v>77</v>
      </c>
      <c r="I28" s="5" t="s">
        <v>40</v>
      </c>
      <c r="J28" s="34" t="s">
        <v>155</v>
      </c>
      <c r="K28" s="31" t="s">
        <v>156</v>
      </c>
      <c r="L28" s="5" t="s">
        <v>72</v>
      </c>
      <c r="M28" s="32" t="s">
        <v>130</v>
      </c>
      <c r="N28" s="6">
        <f t="shared" si="2"/>
        <v>0</v>
      </c>
      <c r="O28" s="4" t="s">
        <v>89</v>
      </c>
      <c r="P28" s="5" t="str">
        <f t="shared" si="3"/>
        <v>Pune</v>
      </c>
      <c r="Q28" s="5" t="str">
        <f t="shared" si="4"/>
        <v>Neurology</v>
      </c>
      <c r="R28" s="6" t="str">
        <f t="shared" si="5"/>
        <v>Max_Healthcare</v>
      </c>
      <c r="S28" s="6" t="str">
        <f t="shared" si="6"/>
        <v>Cash</v>
      </c>
      <c r="T28" s="6" t="str">
        <f t="shared" si="7"/>
        <v>Female</v>
      </c>
      <c r="U28" s="6" t="str">
        <f t="shared" si="10"/>
        <v>General</v>
      </c>
      <c r="V28" s="6" t="str" cm="1">
        <f t="array" ref="V28">IF(TRIM(S28)="",INDEX($S$2:$S$1500,MATCH(MAX(COUNTIF($S$2:$S$1500,S28)),COUNTIF($S$2:$S$1500,$S$2:$S$1500),0)),S28)</f>
        <v>Cash</v>
      </c>
      <c r="W28" s="7" cm="1">
        <f t="array" ref="W28">IF(OR(TRIM(K28)="",TRIM(K28)="-"), MEDIAN(IF($E$2:$E$1500=E28,$K$2:$K$1500)),  VALUE(SUBSTITUTE(SUBSTITUTE(SUBSTITUTE(K28,"Rs. ",""),"₹",""),",","")))</f>
        <v>12602</v>
      </c>
      <c r="X28" s="8">
        <f t="shared" si="8"/>
        <v>0</v>
      </c>
      <c r="Y28" s="7">
        <f t="shared" si="9"/>
        <v>12602</v>
      </c>
      <c r="Z28" s="9" t="str">
        <f t="shared" si="1"/>
        <v>SENIOR</v>
      </c>
    </row>
    <row r="29" spans="1:26" x14ac:dyDescent="0.3">
      <c r="A29" s="5" t="s">
        <v>157</v>
      </c>
      <c r="B29" s="5" t="s">
        <v>25</v>
      </c>
      <c r="C29" s="5" t="s">
        <v>26</v>
      </c>
      <c r="D29" s="5" t="s">
        <v>55</v>
      </c>
      <c r="E29" s="5" t="s">
        <v>28</v>
      </c>
      <c r="F29" s="5" t="s">
        <v>29</v>
      </c>
      <c r="G29" s="5" t="s">
        <v>69</v>
      </c>
      <c r="H29" s="5">
        <v>24</v>
      </c>
      <c r="I29" s="5" t="s">
        <v>20</v>
      </c>
      <c r="J29" s="34" t="s">
        <v>158</v>
      </c>
      <c r="K29" s="31" t="s">
        <v>159</v>
      </c>
      <c r="L29" s="5" t="s">
        <v>91</v>
      </c>
      <c r="M29" s="32">
        <v>10</v>
      </c>
      <c r="N29" s="6">
        <f t="shared" si="2"/>
        <v>10</v>
      </c>
      <c r="O29" s="4" t="s">
        <v>29</v>
      </c>
      <c r="P29" s="5" t="str">
        <f t="shared" si="3"/>
        <v>Hyderabad</v>
      </c>
      <c r="Q29" s="5" t="str">
        <f t="shared" si="4"/>
        <v>Oncology</v>
      </c>
      <c r="R29" s="6" t="str">
        <f t="shared" si="5"/>
        <v>Narayana</v>
      </c>
      <c r="S29" s="6" t="str">
        <f t="shared" si="6"/>
        <v>Debit Card</v>
      </c>
      <c r="T29" s="6" t="str">
        <f t="shared" si="7"/>
        <v>Male</v>
      </c>
      <c r="U29" s="6" t="str">
        <f t="shared" si="10"/>
        <v>ICU</v>
      </c>
      <c r="V29" s="6" t="str" cm="1">
        <f t="array" ref="V29">IF(TRIM(S29)="",INDEX($S$2:$S$1500,MATCH(MAX(COUNTIF($S$2:$S$1500,S29)),COUNTIF($S$2:$S$1500,$S$2:$S$1500),0)),S29)</f>
        <v>Debit Card</v>
      </c>
      <c r="W29" s="7" cm="1">
        <f t="array" ref="W29">IF(OR(TRIM(K29)="",TRIM(K29)="-"), MEDIAN(IF($E$2:$E$1500=E29,$K$2:$K$1500)),  VALUE(SUBSTITUTE(SUBSTITUTE(SUBSTITUTE(K29,"Rs. ",""),"₹",""),",","")))</f>
        <v>70020</v>
      </c>
      <c r="X29" s="8">
        <f t="shared" si="8"/>
        <v>10</v>
      </c>
      <c r="Y29" s="7">
        <f t="shared" si="9"/>
        <v>63018</v>
      </c>
      <c r="Z29" s="9" t="str">
        <f t="shared" si="1"/>
        <v>ADULT</v>
      </c>
    </row>
    <row r="30" spans="1:26" x14ac:dyDescent="0.3">
      <c r="A30" s="5" t="s">
        <v>160</v>
      </c>
      <c r="B30" s="5" t="s">
        <v>78</v>
      </c>
      <c r="C30" s="5" t="s">
        <v>161</v>
      </c>
      <c r="D30" s="5" t="s">
        <v>16</v>
      </c>
      <c r="E30" s="5" t="s">
        <v>17</v>
      </c>
      <c r="F30" s="5" t="s">
        <v>18</v>
      </c>
      <c r="G30" s="5" t="s">
        <v>30</v>
      </c>
      <c r="H30" s="5">
        <v>11</v>
      </c>
      <c r="I30" s="5" t="s">
        <v>31</v>
      </c>
      <c r="J30" s="34" t="s">
        <v>162</v>
      </c>
      <c r="K30" s="31">
        <v>8087</v>
      </c>
      <c r="L30" s="5" t="s">
        <v>149</v>
      </c>
      <c r="M30" s="32">
        <v>20</v>
      </c>
      <c r="N30" s="6">
        <f t="shared" si="2"/>
        <v>20</v>
      </c>
      <c r="O30" s="4" t="s">
        <v>18</v>
      </c>
      <c r="P30" s="5" t="str">
        <f t="shared" si="3"/>
        <v>Bangalore</v>
      </c>
      <c r="Q30" s="5" t="str">
        <f t="shared" si="4"/>
        <v>Gynecology</v>
      </c>
      <c r="R30" s="6" t="str">
        <f t="shared" si="5"/>
        <v>Apollo</v>
      </c>
      <c r="S30" s="6" t="str">
        <f t="shared" si="6"/>
        <v>Insurance</v>
      </c>
      <c r="T30" s="6" t="str">
        <f t="shared" si="7"/>
        <v>Male</v>
      </c>
      <c r="U30" s="6" t="str">
        <f t="shared" si="10"/>
        <v>General</v>
      </c>
      <c r="V30" s="6" t="str" cm="1">
        <f t="array" ref="V30">IF(TRIM(S30)="",INDEX($S$2:$S$1500,MATCH(MAX(COUNTIF($S$2:$S$1500,S30)),COUNTIF($S$2:$S$1500,$S$2:$S$1500),0)),S30)</f>
        <v>Insurance</v>
      </c>
      <c r="W30" s="7" cm="1">
        <f t="array" ref="W30">IF(OR(TRIM(K30)="",TRIM(K30)="-"), MEDIAN(IF($E$2:$E$1500=E30,$K$2:$K$1500)),  VALUE(SUBSTITUTE(SUBSTITUTE(SUBSTITUTE(K30,"Rs. ",""),"₹",""),",","")))</f>
        <v>8087</v>
      </c>
      <c r="X30" s="8">
        <f t="shared" si="8"/>
        <v>20</v>
      </c>
      <c r="Y30" s="7">
        <f t="shared" si="9"/>
        <v>6470</v>
      </c>
      <c r="Z30" s="9" t="str">
        <f t="shared" si="1"/>
        <v>CHILD</v>
      </c>
    </row>
    <row r="31" spans="1:26" x14ac:dyDescent="0.3">
      <c r="A31" s="5" t="s">
        <v>163</v>
      </c>
      <c r="B31" s="5" t="s">
        <v>14</v>
      </c>
      <c r="C31" s="5" t="s">
        <v>15</v>
      </c>
      <c r="D31" s="5" t="s">
        <v>16</v>
      </c>
      <c r="E31" s="5" t="s">
        <v>164</v>
      </c>
      <c r="F31" s="5" t="s">
        <v>165</v>
      </c>
      <c r="G31" s="5" t="s">
        <v>30</v>
      </c>
      <c r="H31" s="5">
        <v>68</v>
      </c>
      <c r="I31" s="5" t="s">
        <v>31</v>
      </c>
      <c r="J31" s="34" t="s">
        <v>166</v>
      </c>
      <c r="K31" s="31">
        <v>3526</v>
      </c>
      <c r="L31" s="5" t="s">
        <v>167</v>
      </c>
      <c r="M31" s="32"/>
      <c r="N31" s="6">
        <f t="shared" si="2"/>
        <v>0</v>
      </c>
      <c r="O31" s="4" t="s">
        <v>165</v>
      </c>
      <c r="P31" s="5" t="str">
        <f t="shared" si="3"/>
        <v>Bangalore</v>
      </c>
      <c r="Q31" s="5" t="str">
        <f t="shared" si="4"/>
        <v>Cardiology</v>
      </c>
      <c r="R31" s="6" t="str">
        <f t="shared" si="5"/>
        <v>Max_Healthcare</v>
      </c>
      <c r="S31" s="6" t="str">
        <f t="shared" si="6"/>
        <v>Insurance</v>
      </c>
      <c r="T31" s="6" t="str">
        <f t="shared" si="7"/>
        <v>Male</v>
      </c>
      <c r="U31" s="6" t="str">
        <f t="shared" si="10"/>
        <v>General</v>
      </c>
      <c r="V31" s="6" t="str" cm="1">
        <f t="array" ref="V31">IF(TRIM(S31)="",INDEX($S$2:$S$1500,MATCH(MAX(COUNTIF($S$2:$S$1500,S31)),COUNTIF($S$2:$S$1500,$S$2:$S$1500),0)),S31)</f>
        <v>Insurance</v>
      </c>
      <c r="W31" s="7" cm="1">
        <f t="array" ref="W31">IF(OR(TRIM(K31)="",TRIM(K31)="-"), MEDIAN(IF($E$2:$E$1500=E31,$K$2:$K$1500)),  VALUE(SUBSTITUTE(SUBSTITUTE(SUBSTITUTE(K31,"Rs. ",""),"₹",""),",","")))</f>
        <v>3526</v>
      </c>
      <c r="X31" s="8">
        <f t="shared" si="8"/>
        <v>0</v>
      </c>
      <c r="Y31" s="7">
        <f t="shared" si="9"/>
        <v>3526</v>
      </c>
      <c r="Z31" s="9" t="str">
        <f t="shared" si="1"/>
        <v>SENIOR</v>
      </c>
    </row>
    <row r="32" spans="1:26" x14ac:dyDescent="0.3">
      <c r="A32" s="5" t="s">
        <v>168</v>
      </c>
      <c r="B32" s="5" t="s">
        <v>14</v>
      </c>
      <c r="C32" s="5" t="s">
        <v>60</v>
      </c>
      <c r="D32" s="5" t="s">
        <v>27</v>
      </c>
      <c r="E32" s="5" t="s">
        <v>17</v>
      </c>
      <c r="F32" s="5" t="s">
        <v>169</v>
      </c>
      <c r="G32" s="5" t="s">
        <v>30</v>
      </c>
      <c r="H32" s="5">
        <v>63</v>
      </c>
      <c r="I32" s="5" t="s">
        <v>20</v>
      </c>
      <c r="J32" s="34" t="s">
        <v>170</v>
      </c>
      <c r="K32" s="31">
        <v>17973</v>
      </c>
      <c r="L32" s="5" t="s">
        <v>87</v>
      </c>
      <c r="M32" s="32"/>
      <c r="N32" s="6">
        <f t="shared" si="2"/>
        <v>0</v>
      </c>
      <c r="O32" s="4" t="s">
        <v>169</v>
      </c>
      <c r="P32" s="5" t="str">
        <f t="shared" si="3"/>
        <v>Mumbai</v>
      </c>
      <c r="Q32" s="5" t="str">
        <f t="shared" si="4"/>
        <v>Gynecology</v>
      </c>
      <c r="R32" s="6" t="str">
        <f t="shared" si="5"/>
        <v>Max_Healthcare</v>
      </c>
      <c r="S32" s="6" t="str">
        <f t="shared" si="6"/>
        <v>Credit Card</v>
      </c>
      <c r="T32" s="6" t="str">
        <f t="shared" si="7"/>
        <v>Male</v>
      </c>
      <c r="U32" s="6" t="str">
        <f t="shared" si="10"/>
        <v>General</v>
      </c>
      <c r="V32" s="6" t="str" cm="1">
        <f t="array" ref="V32">IF(TRIM(S32)="",INDEX($S$2:$S$1500,MATCH(MAX(COUNTIF($S$2:$S$1500,S32)),COUNTIF($S$2:$S$1500,$S$2:$S$1500),0)),S32)</f>
        <v>Credit Card</v>
      </c>
      <c r="W32" s="7" cm="1">
        <f t="array" ref="W32">IF(OR(TRIM(K32)="",TRIM(K32)="-"), MEDIAN(IF($E$2:$E$1500=E32,$K$2:$K$1500)),  VALUE(SUBSTITUTE(SUBSTITUTE(SUBSTITUTE(K32,"Rs. ",""),"₹",""),",","")))</f>
        <v>17973</v>
      </c>
      <c r="X32" s="8">
        <f t="shared" si="8"/>
        <v>0</v>
      </c>
      <c r="Y32" s="7">
        <f t="shared" si="9"/>
        <v>17973</v>
      </c>
      <c r="Z32" s="9" t="str">
        <f t="shared" si="1"/>
        <v>SENIOR</v>
      </c>
    </row>
    <row r="33" spans="1:26" x14ac:dyDescent="0.3">
      <c r="A33" s="5" t="s">
        <v>171</v>
      </c>
      <c r="B33" s="5" t="s">
        <v>14</v>
      </c>
      <c r="C33" s="5" t="s">
        <v>15</v>
      </c>
      <c r="D33" s="5" t="s">
        <v>27</v>
      </c>
      <c r="E33" s="5" t="s">
        <v>74</v>
      </c>
      <c r="F33" s="5" t="s">
        <v>172</v>
      </c>
      <c r="G33" s="5" t="s">
        <v>49</v>
      </c>
      <c r="H33" s="5">
        <v>64</v>
      </c>
      <c r="I33" s="5" t="s">
        <v>40</v>
      </c>
      <c r="J33" s="34" t="s">
        <v>173</v>
      </c>
      <c r="K33" s="31">
        <v>18696</v>
      </c>
      <c r="L33" s="5" t="s">
        <v>115</v>
      </c>
      <c r="M33" s="32"/>
      <c r="N33" s="6">
        <f t="shared" si="2"/>
        <v>0</v>
      </c>
      <c r="O33" s="4" t="s">
        <v>172</v>
      </c>
      <c r="P33" s="5" t="str">
        <f t="shared" si="3"/>
        <v>Mumbai</v>
      </c>
      <c r="Q33" s="5" t="str">
        <f t="shared" si="4"/>
        <v>General Medicine</v>
      </c>
      <c r="R33" s="6" t="str">
        <f t="shared" si="5"/>
        <v>Max_Healthcare</v>
      </c>
      <c r="S33" s="6" t="str">
        <f t="shared" si="6"/>
        <v>Cash</v>
      </c>
      <c r="T33" s="6" t="str">
        <f t="shared" si="7"/>
        <v>Female</v>
      </c>
      <c r="U33" s="6" t="str">
        <f t="shared" si="10"/>
        <v>General</v>
      </c>
      <c r="V33" s="6" t="str" cm="1">
        <f t="array" ref="V33">IF(TRIM(S33)="",INDEX($S$2:$S$1500,MATCH(MAX(COUNTIF($S$2:$S$1500,S33)),COUNTIF($S$2:$S$1500,$S$2:$S$1500),0)),S33)</f>
        <v>Cash</v>
      </c>
      <c r="W33" s="7" cm="1">
        <f t="array" ref="W33">IF(OR(TRIM(K33)="",TRIM(K33)="-"), MEDIAN(IF($E$2:$E$1500=E33,$K$2:$K$1500)),  VALUE(SUBSTITUTE(SUBSTITUTE(SUBSTITUTE(K33,"Rs. ",""),"₹",""),",","")))</f>
        <v>18696</v>
      </c>
      <c r="X33" s="8">
        <f t="shared" si="8"/>
        <v>0</v>
      </c>
      <c r="Y33" s="7">
        <f t="shared" si="9"/>
        <v>18696</v>
      </c>
      <c r="Z33" s="9" t="str">
        <f t="shared" si="1"/>
        <v>SENIOR</v>
      </c>
    </row>
    <row r="34" spans="1:26" x14ac:dyDescent="0.3">
      <c r="A34" s="5" t="s">
        <v>174</v>
      </c>
      <c r="B34" s="5" t="s">
        <v>14</v>
      </c>
      <c r="C34" s="5" t="s">
        <v>15</v>
      </c>
      <c r="D34" s="5" t="s">
        <v>66</v>
      </c>
      <c r="E34" s="5" t="s">
        <v>47</v>
      </c>
      <c r="F34" s="5" t="s">
        <v>175</v>
      </c>
      <c r="G34" s="5" t="s">
        <v>19</v>
      </c>
      <c r="H34" s="5">
        <v>87</v>
      </c>
      <c r="I34" s="5" t="s">
        <v>20</v>
      </c>
      <c r="J34" s="34" t="s">
        <v>155</v>
      </c>
      <c r="K34" s="31">
        <v>10133</v>
      </c>
      <c r="L34" s="5" t="s">
        <v>52</v>
      </c>
      <c r="M34" s="32">
        <v>0.05</v>
      </c>
      <c r="N34" s="6">
        <f t="shared" si="2"/>
        <v>5</v>
      </c>
      <c r="O34" s="4" t="s">
        <v>175</v>
      </c>
      <c r="P34" s="5" t="str">
        <f t="shared" si="3"/>
        <v>Kolkata</v>
      </c>
      <c r="Q34" s="5" t="str">
        <f t="shared" si="4"/>
        <v>Gastroenterology</v>
      </c>
      <c r="R34" s="6" t="str">
        <f t="shared" si="5"/>
        <v>Max_Healthcare</v>
      </c>
      <c r="S34" s="6" t="str">
        <f t="shared" si="6"/>
        <v>Credit Card</v>
      </c>
      <c r="T34" s="6" t="str">
        <f t="shared" si="7"/>
        <v>Male</v>
      </c>
      <c r="U34" s="6" t="str">
        <f t="shared" si="10"/>
        <v>General</v>
      </c>
      <c r="V34" s="6" t="str" cm="1">
        <f t="array" ref="V34">IF(TRIM(S34)="",INDEX($S$2:$S$1500,MATCH(MAX(COUNTIF($S$2:$S$1500,S34)),COUNTIF($S$2:$S$1500,$S$2:$S$1500),0)),S34)</f>
        <v>Credit Card</v>
      </c>
      <c r="W34" s="7" cm="1">
        <f t="array" ref="W34">IF(OR(TRIM(K34)="",TRIM(K34)="-"), MEDIAN(IF($E$2:$E$1500=E34,$K$2:$K$1500)),  VALUE(SUBSTITUTE(SUBSTITUTE(SUBSTITUTE(K34,"Rs. ",""),"₹",""),",","")))</f>
        <v>10133</v>
      </c>
      <c r="X34" s="8">
        <f t="shared" si="8"/>
        <v>5</v>
      </c>
      <c r="Y34" s="7">
        <f t="shared" si="9"/>
        <v>9626</v>
      </c>
      <c r="Z34" s="9" t="str">
        <f t="shared" si="1"/>
        <v>SENIOR</v>
      </c>
    </row>
    <row r="35" spans="1:26" x14ac:dyDescent="0.3">
      <c r="A35" s="5" t="s">
        <v>176</v>
      </c>
      <c r="B35" s="5" t="s">
        <v>25</v>
      </c>
      <c r="C35" s="5" t="s">
        <v>26</v>
      </c>
      <c r="D35" s="5" t="s">
        <v>36</v>
      </c>
      <c r="E35" s="5" t="s">
        <v>74</v>
      </c>
      <c r="F35" s="5" t="s">
        <v>75</v>
      </c>
      <c r="G35" s="5"/>
      <c r="H35" s="5">
        <v>59</v>
      </c>
      <c r="I35" s="5" t="s">
        <v>20</v>
      </c>
      <c r="J35" s="34" t="s">
        <v>177</v>
      </c>
      <c r="K35" s="31">
        <v>86403</v>
      </c>
      <c r="L35" s="5" t="s">
        <v>72</v>
      </c>
      <c r="M35" s="32"/>
      <c r="N35" s="6">
        <f t="shared" si="2"/>
        <v>0</v>
      </c>
      <c r="O35" s="4" t="s">
        <v>75</v>
      </c>
      <c r="P35" s="5" t="str">
        <f t="shared" si="3"/>
        <v>Chennai</v>
      </c>
      <c r="Q35" s="5" t="str">
        <f t="shared" si="4"/>
        <v>General Medicine</v>
      </c>
      <c r="R35" s="6" t="str">
        <f t="shared" si="5"/>
        <v>Narayana</v>
      </c>
      <c r="S35" s="6" t="str">
        <f t="shared" si="6"/>
        <v>Cash</v>
      </c>
      <c r="T35" s="6" t="str">
        <f t="shared" si="7"/>
        <v>Male</v>
      </c>
      <c r="U35" s="6" t="str">
        <f t="shared" si="10"/>
        <v>Unknown</v>
      </c>
      <c r="V35" s="6" t="str" cm="1">
        <f t="array" ref="V35">IF(TRIM(S35)="",INDEX($S$2:$S$1500,MATCH(MAX(COUNTIF($S$2:$S$1500,S35)),COUNTIF($S$2:$S$1500,$S$2:$S$1500),0)),S35)</f>
        <v>Cash</v>
      </c>
      <c r="W35" s="7" cm="1">
        <f t="array" ref="W35">IF(OR(TRIM(K35)="",TRIM(K35)="-"), MEDIAN(IF($E$2:$E$1500=E35,$K$2:$K$1500)),  VALUE(SUBSTITUTE(SUBSTITUTE(SUBSTITUTE(K35,"Rs. ",""),"₹",""),",","")))</f>
        <v>86403</v>
      </c>
      <c r="X35" s="8">
        <f t="shared" si="8"/>
        <v>0</v>
      </c>
      <c r="Y35" s="7">
        <f t="shared" si="9"/>
        <v>86403</v>
      </c>
      <c r="Z35" s="9" t="str">
        <f t="shared" si="1"/>
        <v>ADULT</v>
      </c>
    </row>
    <row r="36" spans="1:26" x14ac:dyDescent="0.3">
      <c r="A36" s="5" t="s">
        <v>178</v>
      </c>
      <c r="B36" s="5" t="s">
        <v>106</v>
      </c>
      <c r="C36" s="5" t="s">
        <v>107</v>
      </c>
      <c r="D36" s="5" t="s">
        <v>66</v>
      </c>
      <c r="E36" s="5" t="s">
        <v>37</v>
      </c>
      <c r="F36" s="5" t="s">
        <v>132</v>
      </c>
      <c r="G36" s="5" t="s">
        <v>19</v>
      </c>
      <c r="H36" s="5">
        <v>15</v>
      </c>
      <c r="I36" s="5" t="s">
        <v>70</v>
      </c>
      <c r="J36" s="34" t="s">
        <v>179</v>
      </c>
      <c r="K36" s="31" t="s">
        <v>180</v>
      </c>
      <c r="L36" s="5" t="s">
        <v>23</v>
      </c>
      <c r="M36" s="32">
        <v>0</v>
      </c>
      <c r="N36" s="6">
        <f t="shared" si="2"/>
        <v>0</v>
      </c>
      <c r="O36" s="4" t="s">
        <v>132</v>
      </c>
      <c r="P36" s="5" t="str">
        <f t="shared" si="3"/>
        <v>Kolkata</v>
      </c>
      <c r="Q36" s="5" t="str">
        <f t="shared" si="4"/>
        <v>Pediatrics</v>
      </c>
      <c r="R36" s="6" t="str">
        <f t="shared" si="5"/>
        <v>Aiims</v>
      </c>
      <c r="S36" s="6" t="str">
        <f t="shared" si="6"/>
        <v>Credit Card</v>
      </c>
      <c r="T36" s="6" t="str">
        <f t="shared" si="7"/>
        <v>Female</v>
      </c>
      <c r="U36" s="6" t="str">
        <f t="shared" si="10"/>
        <v>General</v>
      </c>
      <c r="V36" s="6" t="str" cm="1">
        <f t="array" ref="V36">IF(TRIM(S36)="",INDEX($S$2:$S$1500,MATCH(MAX(COUNTIF($S$2:$S$1500,S36)),COUNTIF($S$2:$S$1500,$S$2:$S$1500),0)),S36)</f>
        <v>Credit Card</v>
      </c>
      <c r="W36" s="7" cm="1">
        <f t="array" ref="W36">IF(OR(TRIM(K36)="",TRIM(K36)="-"), MEDIAN(IF($E$2:$E$1500=E36,$K$2:$K$1500)),  VALUE(SUBSTITUTE(SUBSTITUTE(SUBSTITUTE(K36,"Rs. ",""),"₹",""),",","")))</f>
        <v>10581</v>
      </c>
      <c r="X36" s="8">
        <f t="shared" si="8"/>
        <v>0</v>
      </c>
      <c r="Y36" s="7">
        <f t="shared" si="9"/>
        <v>10581</v>
      </c>
      <c r="Z36" s="9" t="str">
        <f t="shared" si="1"/>
        <v>TEEN</v>
      </c>
    </row>
    <row r="37" spans="1:26" x14ac:dyDescent="0.3">
      <c r="A37" s="5" t="s">
        <v>181</v>
      </c>
      <c r="B37" s="5" t="s">
        <v>117</v>
      </c>
      <c r="C37" s="5" t="s">
        <v>182</v>
      </c>
      <c r="D37" s="5" t="s">
        <v>66</v>
      </c>
      <c r="E37" s="5" t="s">
        <v>67</v>
      </c>
      <c r="F37" s="5" t="s">
        <v>68</v>
      </c>
      <c r="G37" s="5" t="s">
        <v>19</v>
      </c>
      <c r="H37" s="5">
        <v>1</v>
      </c>
      <c r="I37" s="5" t="s">
        <v>20</v>
      </c>
      <c r="J37" s="34" t="s">
        <v>183</v>
      </c>
      <c r="K37" s="31">
        <v>14084</v>
      </c>
      <c r="L37" s="5" t="s">
        <v>104</v>
      </c>
      <c r="M37" s="32" t="s">
        <v>43</v>
      </c>
      <c r="N37" s="6">
        <f t="shared" si="2"/>
        <v>18</v>
      </c>
      <c r="O37" s="4" t="s">
        <v>68</v>
      </c>
      <c r="P37" s="5" t="str">
        <f t="shared" si="3"/>
        <v>Kolkata</v>
      </c>
      <c r="Q37" s="5" t="str">
        <f t="shared" si="4"/>
        <v>Neurology</v>
      </c>
      <c r="R37" s="6" t="str">
        <f t="shared" si="5"/>
        <v>Manipal</v>
      </c>
      <c r="S37" s="6" t="str">
        <f t="shared" si="6"/>
        <v>Insurance</v>
      </c>
      <c r="T37" s="6" t="str">
        <f t="shared" si="7"/>
        <v>Male</v>
      </c>
      <c r="U37" s="6" t="str">
        <f t="shared" si="10"/>
        <v>General</v>
      </c>
      <c r="V37" s="6" t="str" cm="1">
        <f t="array" ref="V37">IF(TRIM(S37)="",INDEX($S$2:$S$1500,MATCH(MAX(COUNTIF($S$2:$S$1500,S37)),COUNTIF($S$2:$S$1500,$S$2:$S$1500),0)),S37)</f>
        <v>Insurance</v>
      </c>
      <c r="W37" s="7" cm="1">
        <f t="array" ref="W37">IF(OR(TRIM(K37)="",TRIM(K37)="-"), MEDIAN(IF($E$2:$E$1500=E37,$K$2:$K$1500)),  VALUE(SUBSTITUTE(SUBSTITUTE(SUBSTITUTE(K37,"Rs. ",""),"₹",""),",","")))</f>
        <v>14084</v>
      </c>
      <c r="X37" s="8">
        <f t="shared" si="8"/>
        <v>18</v>
      </c>
      <c r="Y37" s="7">
        <f t="shared" si="9"/>
        <v>11549</v>
      </c>
      <c r="Z37" s="9" t="str">
        <f t="shared" si="1"/>
        <v>CHILD</v>
      </c>
    </row>
    <row r="38" spans="1:26" x14ac:dyDescent="0.3">
      <c r="A38" s="5" t="s">
        <v>184</v>
      </c>
      <c r="B38" s="5" t="s">
        <v>117</v>
      </c>
      <c r="C38" s="5" t="s">
        <v>118</v>
      </c>
      <c r="D38" s="5" t="s">
        <v>27</v>
      </c>
      <c r="E38" s="5" t="s">
        <v>37</v>
      </c>
      <c r="F38" s="5" t="s">
        <v>185</v>
      </c>
      <c r="G38" s="5" t="s">
        <v>69</v>
      </c>
      <c r="H38" s="5">
        <v>14</v>
      </c>
      <c r="I38" s="5" t="s">
        <v>20</v>
      </c>
      <c r="J38" s="34" t="s">
        <v>186</v>
      </c>
      <c r="K38" s="31">
        <v>57437</v>
      </c>
      <c r="L38" s="5" t="s">
        <v>149</v>
      </c>
      <c r="M38" s="32" t="s">
        <v>187</v>
      </c>
      <c r="N38" s="6">
        <f t="shared" si="2"/>
        <v>35</v>
      </c>
      <c r="O38" s="4" t="s">
        <v>185</v>
      </c>
      <c r="P38" s="5" t="str">
        <f t="shared" si="3"/>
        <v>Mumbai</v>
      </c>
      <c r="Q38" s="5" t="str">
        <f t="shared" si="4"/>
        <v>Pediatrics</v>
      </c>
      <c r="R38" s="6" t="str">
        <f t="shared" si="5"/>
        <v>Manipal</v>
      </c>
      <c r="S38" s="6" t="str">
        <f t="shared" si="6"/>
        <v>Insurance</v>
      </c>
      <c r="T38" s="6" t="str">
        <f t="shared" si="7"/>
        <v>Male</v>
      </c>
      <c r="U38" s="6" t="str">
        <f t="shared" si="10"/>
        <v>ICU</v>
      </c>
      <c r="V38" s="6" t="str" cm="1">
        <f t="array" ref="V38">IF(TRIM(S38)="",INDEX($S$2:$S$1500,MATCH(MAX(COUNTIF($S$2:$S$1500,S38)),COUNTIF($S$2:$S$1500,$S$2:$S$1500),0)),S38)</f>
        <v>Insurance</v>
      </c>
      <c r="W38" s="7" cm="1">
        <f t="array" ref="W38">IF(OR(TRIM(K38)="",TRIM(K38)="-"), MEDIAN(IF($E$2:$E$1500=E38,$K$2:$K$1500)),  VALUE(SUBSTITUTE(SUBSTITUTE(SUBSTITUTE(K38,"Rs. ",""),"₹",""),",","")))</f>
        <v>57437</v>
      </c>
      <c r="X38" s="8">
        <f t="shared" si="8"/>
        <v>35</v>
      </c>
      <c r="Y38" s="7">
        <f t="shared" si="9"/>
        <v>37334</v>
      </c>
      <c r="Z38" s="9" t="str">
        <f t="shared" si="1"/>
        <v>TEEN</v>
      </c>
    </row>
    <row r="39" spans="1:26" x14ac:dyDescent="0.3">
      <c r="A39" s="5" t="s">
        <v>188</v>
      </c>
      <c r="B39" s="5" t="s">
        <v>117</v>
      </c>
      <c r="C39" s="5" t="s">
        <v>127</v>
      </c>
      <c r="D39" s="5" t="s">
        <v>189</v>
      </c>
      <c r="E39" s="5" t="s">
        <v>17</v>
      </c>
      <c r="F39" s="5" t="s">
        <v>135</v>
      </c>
      <c r="G39" s="5" t="s">
        <v>49</v>
      </c>
      <c r="H39" s="5">
        <v>58</v>
      </c>
      <c r="I39" s="5" t="s">
        <v>31</v>
      </c>
      <c r="J39" s="34" t="s">
        <v>190</v>
      </c>
      <c r="K39" s="31">
        <v>7540</v>
      </c>
      <c r="L39" s="5" t="s">
        <v>115</v>
      </c>
      <c r="M39" s="32" t="s">
        <v>140</v>
      </c>
      <c r="N39" s="6" t="str">
        <f t="shared" si="2"/>
        <v>-</v>
      </c>
      <c r="O39" s="4" t="s">
        <v>135</v>
      </c>
      <c r="P39" s="5" t="str">
        <f t="shared" si="3"/>
        <v>Delhi</v>
      </c>
      <c r="Q39" s="5" t="str">
        <f t="shared" si="4"/>
        <v>Gynecology</v>
      </c>
      <c r="R39" s="6" t="str">
        <f t="shared" si="5"/>
        <v>Manipal</v>
      </c>
      <c r="S39" s="6" t="str">
        <f t="shared" si="6"/>
        <v>Cash</v>
      </c>
      <c r="T39" s="6" t="str">
        <f t="shared" si="7"/>
        <v>Male</v>
      </c>
      <c r="U39" s="6" t="str">
        <f t="shared" si="10"/>
        <v>General</v>
      </c>
      <c r="V39" s="6" t="str" cm="1">
        <f t="array" ref="V39">IF(TRIM(S39)="",INDEX($S$2:$S$1500,MATCH(MAX(COUNTIF($S$2:$S$1500,S39)),COUNTIF($S$2:$S$1500,$S$2:$S$1500),0)),S39)</f>
        <v>Cash</v>
      </c>
      <c r="W39" s="7" cm="1">
        <f t="array" ref="W39">IF(OR(TRIM(K39)="",TRIM(K39)="-"), MEDIAN(IF($E$2:$E$1500=E39,$K$2:$K$1500)),  VALUE(SUBSTITUTE(SUBSTITUTE(SUBSTITUTE(K39,"Rs. ",""),"₹",""),",","")))</f>
        <v>7540</v>
      </c>
      <c r="X39" s="8">
        <f t="shared" si="8"/>
        <v>3</v>
      </c>
      <c r="Y39" s="7">
        <f t="shared" si="9"/>
        <v>7314</v>
      </c>
      <c r="Z39" s="9" t="str">
        <f t="shared" si="1"/>
        <v>ADULT</v>
      </c>
    </row>
    <row r="40" spans="1:26" x14ac:dyDescent="0.3">
      <c r="A40" s="5" t="s">
        <v>191</v>
      </c>
      <c r="B40" s="5" t="s">
        <v>14</v>
      </c>
      <c r="C40" s="5" t="s">
        <v>60</v>
      </c>
      <c r="D40" s="5" t="s">
        <v>66</v>
      </c>
      <c r="E40" s="5" t="s">
        <v>74</v>
      </c>
      <c r="F40" s="5" t="s">
        <v>192</v>
      </c>
      <c r="G40" s="5" t="s">
        <v>49</v>
      </c>
      <c r="H40" s="5">
        <v>72</v>
      </c>
      <c r="I40" s="5" t="s">
        <v>70</v>
      </c>
      <c r="J40" s="34" t="s">
        <v>193</v>
      </c>
      <c r="K40" s="31" t="s">
        <v>194</v>
      </c>
      <c r="L40" s="5" t="s">
        <v>34</v>
      </c>
      <c r="M40" s="32" t="s">
        <v>76</v>
      </c>
      <c r="N40" s="6">
        <f t="shared" si="2"/>
        <v>10</v>
      </c>
      <c r="O40" s="4" t="s">
        <v>192</v>
      </c>
      <c r="P40" s="5" t="str">
        <f t="shared" si="3"/>
        <v>Kolkata</v>
      </c>
      <c r="Q40" s="5" t="str">
        <f t="shared" si="4"/>
        <v>General Medicine</v>
      </c>
      <c r="R40" s="6" t="str">
        <f t="shared" si="5"/>
        <v>Max_Healthcare</v>
      </c>
      <c r="S40" s="6" t="str">
        <f t="shared" si="6"/>
        <v>Cash</v>
      </c>
      <c r="T40" s="6" t="str">
        <f t="shared" si="7"/>
        <v>Female</v>
      </c>
      <c r="U40" s="6" t="str">
        <f t="shared" si="10"/>
        <v>General</v>
      </c>
      <c r="V40" s="6" t="str" cm="1">
        <f t="array" ref="V40">IF(TRIM(S40)="",INDEX($S$2:$S$1500,MATCH(MAX(COUNTIF($S$2:$S$1500,S40)),COUNTIF($S$2:$S$1500,$S$2:$S$1500),0)),S40)</f>
        <v>Cash</v>
      </c>
      <c r="W40" s="7" cm="1">
        <f t="array" ref="W40">IF(OR(TRIM(K40)="",TRIM(K40)="-"), MEDIAN(IF($E$2:$E$1500=E40,$K$2:$K$1500)),  VALUE(SUBSTITUTE(SUBSTITUTE(SUBSTITUTE(K40,"Rs. ",""),"₹",""),",","")))</f>
        <v>6923</v>
      </c>
      <c r="X40" s="8">
        <f t="shared" si="8"/>
        <v>10</v>
      </c>
      <c r="Y40" s="7">
        <f t="shared" si="9"/>
        <v>6231</v>
      </c>
      <c r="Z40" s="9" t="str">
        <f t="shared" si="1"/>
        <v>SENIOR</v>
      </c>
    </row>
    <row r="41" spans="1:26" x14ac:dyDescent="0.3">
      <c r="A41" s="5" t="s">
        <v>195</v>
      </c>
      <c r="B41" s="5" t="s">
        <v>117</v>
      </c>
      <c r="C41" s="5" t="s">
        <v>118</v>
      </c>
      <c r="D41" s="5" t="s">
        <v>61</v>
      </c>
      <c r="E41" s="5" t="s">
        <v>67</v>
      </c>
      <c r="F41" s="5" t="s">
        <v>196</v>
      </c>
      <c r="G41" s="5" t="s">
        <v>39</v>
      </c>
      <c r="H41" s="5">
        <v>41</v>
      </c>
      <c r="I41" s="5" t="s">
        <v>40</v>
      </c>
      <c r="J41" s="34" t="s">
        <v>197</v>
      </c>
      <c r="K41" s="31">
        <v>11465</v>
      </c>
      <c r="L41" s="5" t="s">
        <v>34</v>
      </c>
      <c r="M41" s="32" t="s">
        <v>198</v>
      </c>
      <c r="N41" s="6">
        <f t="shared" si="2"/>
        <v>5</v>
      </c>
      <c r="O41" s="4" t="s">
        <v>196</v>
      </c>
      <c r="P41" s="5" t="str">
        <f t="shared" si="3"/>
        <v>Pune</v>
      </c>
      <c r="Q41" s="5" t="str">
        <f t="shared" si="4"/>
        <v>Neurology</v>
      </c>
      <c r="R41" s="6" t="str">
        <f t="shared" si="5"/>
        <v>Manipal</v>
      </c>
      <c r="S41" s="6" t="str">
        <f t="shared" si="6"/>
        <v>Cash</v>
      </c>
      <c r="T41" s="6" t="str">
        <f t="shared" si="7"/>
        <v>Female</v>
      </c>
      <c r="U41" s="6" t="str">
        <f t="shared" si="10"/>
        <v>General</v>
      </c>
      <c r="V41" s="6" t="str" cm="1">
        <f t="array" ref="V41">IF(TRIM(S41)="",INDEX($S$2:$S$1500,MATCH(MAX(COUNTIF($S$2:$S$1500,S41)),COUNTIF($S$2:$S$1500,$S$2:$S$1500),0)),S41)</f>
        <v>Cash</v>
      </c>
      <c r="W41" s="7" cm="1">
        <f t="array" ref="W41">IF(OR(TRIM(K41)="",TRIM(K41)="-"), MEDIAN(IF($E$2:$E$1500=E41,$K$2:$K$1500)),  VALUE(SUBSTITUTE(SUBSTITUTE(SUBSTITUTE(K41,"Rs. ",""),"₹",""),",","")))</f>
        <v>11465</v>
      </c>
      <c r="X41" s="8">
        <f t="shared" si="8"/>
        <v>5</v>
      </c>
      <c r="Y41" s="7">
        <f t="shared" si="9"/>
        <v>10892</v>
      </c>
      <c r="Z41" s="9" t="str">
        <f t="shared" si="1"/>
        <v>ADULT</v>
      </c>
    </row>
    <row r="42" spans="1:26" x14ac:dyDescent="0.3">
      <c r="A42" s="5" t="s">
        <v>199</v>
      </c>
      <c r="B42" s="5" t="s">
        <v>117</v>
      </c>
      <c r="C42" s="5" t="s">
        <v>118</v>
      </c>
      <c r="D42" s="5" t="s">
        <v>66</v>
      </c>
      <c r="E42" s="5" t="s">
        <v>37</v>
      </c>
      <c r="F42" s="5" t="s">
        <v>38</v>
      </c>
      <c r="G42" s="5" t="s">
        <v>19</v>
      </c>
      <c r="H42" s="5">
        <v>17</v>
      </c>
      <c r="I42" s="5" t="s">
        <v>70</v>
      </c>
      <c r="J42" s="34" t="s">
        <v>200</v>
      </c>
      <c r="K42" s="31" t="s">
        <v>201</v>
      </c>
      <c r="L42" s="5" t="s">
        <v>52</v>
      </c>
      <c r="M42" s="32">
        <v>5</v>
      </c>
      <c r="N42" s="6">
        <f t="shared" si="2"/>
        <v>5</v>
      </c>
      <c r="O42" s="4" t="s">
        <v>38</v>
      </c>
      <c r="P42" s="5" t="str">
        <f t="shared" si="3"/>
        <v>Kolkata</v>
      </c>
      <c r="Q42" s="5" t="str">
        <f t="shared" si="4"/>
        <v>Pediatrics</v>
      </c>
      <c r="R42" s="6" t="str">
        <f t="shared" si="5"/>
        <v>Manipal</v>
      </c>
      <c r="S42" s="6" t="str">
        <f t="shared" si="6"/>
        <v>Credit Card</v>
      </c>
      <c r="T42" s="6" t="str">
        <f t="shared" si="7"/>
        <v>Female</v>
      </c>
      <c r="U42" s="6" t="str">
        <f t="shared" si="10"/>
        <v>General</v>
      </c>
      <c r="V42" s="6" t="str" cm="1">
        <f t="array" ref="V42">IF(TRIM(S42)="",INDEX($S$2:$S$1500,MATCH(MAX(COUNTIF($S$2:$S$1500,S42)),COUNTIF($S$2:$S$1500,$S$2:$S$1500),0)),S42)</f>
        <v>Credit Card</v>
      </c>
      <c r="W42" s="7" cm="1">
        <f t="array" ref="W42">IF(OR(TRIM(K42)="",TRIM(K42)="-"), MEDIAN(IF($E$2:$E$1500=E42,$K$2:$K$1500)),  VALUE(SUBSTITUTE(SUBSTITUTE(SUBSTITUTE(K42,"Rs. ",""),"₹",""),",","")))</f>
        <v>10076</v>
      </c>
      <c r="X42" s="8">
        <f t="shared" si="8"/>
        <v>5</v>
      </c>
      <c r="Y42" s="7">
        <f t="shared" si="9"/>
        <v>9572</v>
      </c>
      <c r="Z42" s="9" t="str">
        <f t="shared" si="1"/>
        <v>TEEN</v>
      </c>
    </row>
    <row r="43" spans="1:26" x14ac:dyDescent="0.3">
      <c r="A43" s="5" t="s">
        <v>202</v>
      </c>
      <c r="B43" s="5" t="s">
        <v>78</v>
      </c>
      <c r="C43" s="5" t="s">
        <v>203</v>
      </c>
      <c r="D43" s="5" t="s">
        <v>16</v>
      </c>
      <c r="E43" s="5" t="s">
        <v>164</v>
      </c>
      <c r="F43" s="5" t="s">
        <v>165</v>
      </c>
      <c r="G43" s="5" t="s">
        <v>49</v>
      </c>
      <c r="H43" s="5">
        <v>76</v>
      </c>
      <c r="I43" s="5" t="s">
        <v>40</v>
      </c>
      <c r="J43" s="34" t="s">
        <v>204</v>
      </c>
      <c r="K43" s="31" t="s">
        <v>205</v>
      </c>
      <c r="L43" s="5" t="s">
        <v>58</v>
      </c>
      <c r="M43" s="32" t="s">
        <v>198</v>
      </c>
      <c r="N43" s="6">
        <f t="shared" si="2"/>
        <v>5</v>
      </c>
      <c r="O43" s="4" t="s">
        <v>165</v>
      </c>
      <c r="P43" s="5" t="str">
        <f t="shared" si="3"/>
        <v>Bangalore</v>
      </c>
      <c r="Q43" s="5" t="str">
        <f t="shared" si="4"/>
        <v>Cardiology</v>
      </c>
      <c r="R43" s="6" t="str">
        <f t="shared" si="5"/>
        <v>Apollo</v>
      </c>
      <c r="S43" s="6" t="str">
        <f t="shared" si="6"/>
        <v>UPI</v>
      </c>
      <c r="T43" s="6" t="str">
        <f t="shared" si="7"/>
        <v>Female</v>
      </c>
      <c r="U43" s="6" t="str">
        <f t="shared" si="10"/>
        <v>General</v>
      </c>
      <c r="V43" s="6" t="str" cm="1">
        <f t="array" ref="V43">IF(TRIM(S43)="",INDEX($S$2:$S$1500,MATCH(MAX(COUNTIF($S$2:$S$1500,S43)),COUNTIF($S$2:$S$1500,$S$2:$S$1500),0)),S43)</f>
        <v>UPI</v>
      </c>
      <c r="W43" s="7" cm="1">
        <f t="array" ref="W43">IF(OR(TRIM(K43)="",TRIM(K43)="-"), MEDIAN(IF($E$2:$E$1500=E43,$K$2:$K$1500)),  VALUE(SUBSTITUTE(SUBSTITUTE(SUBSTITUTE(K43,"Rs. ",""),"₹",""),",","")))</f>
        <v>5396</v>
      </c>
      <c r="X43" s="8">
        <f t="shared" si="8"/>
        <v>5</v>
      </c>
      <c r="Y43" s="7">
        <f t="shared" si="9"/>
        <v>5126</v>
      </c>
      <c r="Z43" s="9" t="str">
        <f t="shared" si="1"/>
        <v>SENIOR</v>
      </c>
    </row>
    <row r="44" spans="1:26" x14ac:dyDescent="0.3">
      <c r="A44" s="5" t="s">
        <v>206</v>
      </c>
      <c r="B44" s="5" t="s">
        <v>45</v>
      </c>
      <c r="C44" s="5" t="s">
        <v>46</v>
      </c>
      <c r="D44" s="5" t="s">
        <v>16</v>
      </c>
      <c r="E44" s="5" t="s">
        <v>93</v>
      </c>
      <c r="F44" s="5" t="s">
        <v>207</v>
      </c>
      <c r="G44" s="5" t="s">
        <v>62</v>
      </c>
      <c r="H44" s="5">
        <v>59</v>
      </c>
      <c r="I44" s="5" t="s">
        <v>20</v>
      </c>
      <c r="J44" s="34" t="s">
        <v>208</v>
      </c>
      <c r="K44" s="31"/>
      <c r="L44" s="5" t="s">
        <v>91</v>
      </c>
      <c r="M44" s="32">
        <v>0</v>
      </c>
      <c r="N44" s="6">
        <f t="shared" si="2"/>
        <v>0</v>
      </c>
      <c r="O44" s="4" t="s">
        <v>207</v>
      </c>
      <c r="P44" s="5" t="str">
        <f t="shared" si="3"/>
        <v>Bangalore</v>
      </c>
      <c r="Q44" s="5" t="str">
        <f t="shared" si="4"/>
        <v>Nephrology</v>
      </c>
      <c r="R44" s="6" t="str">
        <f t="shared" si="5"/>
        <v>Fortis</v>
      </c>
      <c r="S44" s="6" t="str">
        <f t="shared" si="6"/>
        <v>Debit Card</v>
      </c>
      <c r="T44" s="6" t="str">
        <f t="shared" si="7"/>
        <v>Male</v>
      </c>
      <c r="U44" s="6" t="str">
        <f t="shared" si="10"/>
        <v>ICU</v>
      </c>
      <c r="V44" s="6" t="str" cm="1">
        <f t="array" ref="V44">IF(TRIM(S44)="",INDEX($S$2:$S$1500,MATCH(MAX(COUNTIF($S$2:$S$1500,S44)),COUNTIF($S$2:$S$1500,$S$2:$S$1500),0)),S44)</f>
        <v>Debit Card</v>
      </c>
      <c r="W44" s="7" cm="1">
        <f t="array" ref="W44">IF(OR(TRIM(K44)="",TRIM(K44)="-"), MEDIAN(IF($E$2:$E$1500=E44,$K$2:$K$1500)),  VALUE(SUBSTITUTE(SUBSTITUTE(SUBSTITUTE(K44,"Rs. ",""),"₹",""),",","")))</f>
        <v>12783</v>
      </c>
      <c r="X44" s="8">
        <f t="shared" si="8"/>
        <v>0</v>
      </c>
      <c r="Y44" s="7">
        <f t="shared" si="9"/>
        <v>12783</v>
      </c>
      <c r="Z44" s="9" t="str">
        <f t="shared" si="1"/>
        <v>ADULT</v>
      </c>
    </row>
    <row r="45" spans="1:26" x14ac:dyDescent="0.3">
      <c r="A45" s="5" t="s">
        <v>209</v>
      </c>
      <c r="B45" s="5" t="s">
        <v>25</v>
      </c>
      <c r="C45" s="5" t="s">
        <v>26</v>
      </c>
      <c r="D45" s="5" t="s">
        <v>61</v>
      </c>
      <c r="E45" s="5" t="s">
        <v>108</v>
      </c>
      <c r="F45" s="5" t="s">
        <v>124</v>
      </c>
      <c r="G45" s="5" t="s">
        <v>30</v>
      </c>
      <c r="H45" s="5">
        <v>50</v>
      </c>
      <c r="I45" s="5" t="s">
        <v>20</v>
      </c>
      <c r="J45" s="34" t="s">
        <v>210</v>
      </c>
      <c r="K45" s="31"/>
      <c r="L45" s="5" t="s">
        <v>211</v>
      </c>
      <c r="M45" s="32">
        <v>0</v>
      </c>
      <c r="N45" s="6">
        <f t="shared" si="2"/>
        <v>0</v>
      </c>
      <c r="O45" s="4" t="s">
        <v>124</v>
      </c>
      <c r="P45" s="5" t="str">
        <f t="shared" si="3"/>
        <v>Pune</v>
      </c>
      <c r="Q45" s="5" t="str">
        <f t="shared" si="4"/>
        <v>Orthopedics</v>
      </c>
      <c r="R45" s="6" t="str">
        <f t="shared" si="5"/>
        <v>Narayana</v>
      </c>
      <c r="S45" s="6" t="str">
        <f t="shared" si="6"/>
        <v>Credit Card</v>
      </c>
      <c r="T45" s="6" t="str">
        <f t="shared" si="7"/>
        <v>Male</v>
      </c>
      <c r="U45" s="6" t="str">
        <f t="shared" si="10"/>
        <v>General</v>
      </c>
      <c r="V45" s="6" t="str" cm="1">
        <f t="array" ref="V45">IF(TRIM(S45)="",INDEX($S$2:$S$1500,MATCH(MAX(COUNTIF($S$2:$S$1500,S45)),COUNTIF($S$2:$S$1500,$S$2:$S$1500),0)),S45)</f>
        <v>Credit Card</v>
      </c>
      <c r="W45" s="7" cm="1">
        <f t="array" ref="W45">IF(OR(TRIM(K45)="",TRIM(K45)="-"), MEDIAN(IF($E$2:$E$1500=E45,$K$2:$K$1500)),  VALUE(SUBSTITUTE(SUBSTITUTE(SUBSTITUTE(K45,"Rs. ",""),"₹",""),",","")))</f>
        <v>13871</v>
      </c>
      <c r="X45" s="8">
        <f t="shared" si="8"/>
        <v>0</v>
      </c>
      <c r="Y45" s="7">
        <f t="shared" si="9"/>
        <v>13871</v>
      </c>
      <c r="Z45" s="9" t="str">
        <f t="shared" si="1"/>
        <v>ADULT</v>
      </c>
    </row>
    <row r="46" spans="1:26" x14ac:dyDescent="0.3">
      <c r="A46" s="5" t="s">
        <v>212</v>
      </c>
      <c r="B46" s="5" t="s">
        <v>45</v>
      </c>
      <c r="C46" s="5" t="s">
        <v>46</v>
      </c>
      <c r="D46" s="5" t="s">
        <v>189</v>
      </c>
      <c r="E46" s="5" t="s">
        <v>17</v>
      </c>
      <c r="F46" s="5" t="s">
        <v>213</v>
      </c>
      <c r="G46" s="5" t="s">
        <v>49</v>
      </c>
      <c r="H46" s="5">
        <v>11</v>
      </c>
      <c r="I46" s="5" t="s">
        <v>20</v>
      </c>
      <c r="J46" s="34" t="s">
        <v>214</v>
      </c>
      <c r="K46" s="31">
        <v>16904</v>
      </c>
      <c r="L46" s="5" t="s">
        <v>34</v>
      </c>
      <c r="M46" s="32" t="s">
        <v>198</v>
      </c>
      <c r="N46" s="6">
        <f t="shared" si="2"/>
        <v>5</v>
      </c>
      <c r="O46" s="4" t="s">
        <v>213</v>
      </c>
      <c r="P46" s="5" t="str">
        <f t="shared" si="3"/>
        <v>Delhi</v>
      </c>
      <c r="Q46" s="5" t="str">
        <f t="shared" si="4"/>
        <v>Gynecology</v>
      </c>
      <c r="R46" s="6" t="str">
        <f t="shared" si="5"/>
        <v>Fortis</v>
      </c>
      <c r="S46" s="6" t="str">
        <f t="shared" si="6"/>
        <v>Cash</v>
      </c>
      <c r="T46" s="6" t="str">
        <f t="shared" si="7"/>
        <v>Male</v>
      </c>
      <c r="U46" s="6" t="str">
        <f t="shared" si="10"/>
        <v>General</v>
      </c>
      <c r="V46" s="6" t="str" cm="1">
        <f t="array" ref="V46">IF(TRIM(S46)="",INDEX($S$2:$S$1500,MATCH(MAX(COUNTIF($S$2:$S$1500,S46)),COUNTIF($S$2:$S$1500,$S$2:$S$1500),0)),S46)</f>
        <v>Cash</v>
      </c>
      <c r="W46" s="7" cm="1">
        <f t="array" ref="W46">IF(OR(TRIM(K46)="",TRIM(K46)="-"), MEDIAN(IF($E$2:$E$1500=E46,$K$2:$K$1500)),  VALUE(SUBSTITUTE(SUBSTITUTE(SUBSTITUTE(K46,"Rs. ",""),"₹",""),",","")))</f>
        <v>16904</v>
      </c>
      <c r="X46" s="8">
        <f t="shared" si="8"/>
        <v>5</v>
      </c>
      <c r="Y46" s="7">
        <f t="shared" si="9"/>
        <v>16059</v>
      </c>
      <c r="Z46" s="9" t="str">
        <f t="shared" si="1"/>
        <v>CHILD</v>
      </c>
    </row>
    <row r="47" spans="1:26" x14ac:dyDescent="0.3">
      <c r="A47" s="5" t="s">
        <v>215</v>
      </c>
      <c r="B47" s="5" t="s">
        <v>78</v>
      </c>
      <c r="C47" s="5" t="s">
        <v>79</v>
      </c>
      <c r="D47" s="5" t="s">
        <v>66</v>
      </c>
      <c r="E47" s="5" t="s">
        <v>93</v>
      </c>
      <c r="F47" s="5" t="s">
        <v>207</v>
      </c>
      <c r="G47" s="5" t="s">
        <v>19</v>
      </c>
      <c r="H47" s="5">
        <v>25</v>
      </c>
      <c r="I47" s="5" t="s">
        <v>40</v>
      </c>
      <c r="J47" s="34" t="s">
        <v>216</v>
      </c>
      <c r="K47" s="31" t="s">
        <v>217</v>
      </c>
      <c r="L47" s="5" t="s">
        <v>115</v>
      </c>
      <c r="M47" s="32">
        <v>5</v>
      </c>
      <c r="N47" s="6">
        <f t="shared" si="2"/>
        <v>5</v>
      </c>
      <c r="O47" s="4" t="s">
        <v>207</v>
      </c>
      <c r="P47" s="5" t="str">
        <f t="shared" si="3"/>
        <v>Kolkata</v>
      </c>
      <c r="Q47" s="5" t="str">
        <f t="shared" si="4"/>
        <v>Nephrology</v>
      </c>
      <c r="R47" s="6" t="str">
        <f t="shared" si="5"/>
        <v>Apollo</v>
      </c>
      <c r="S47" s="6" t="str">
        <f t="shared" si="6"/>
        <v>Cash</v>
      </c>
      <c r="T47" s="6" t="str">
        <f t="shared" si="7"/>
        <v>Female</v>
      </c>
      <c r="U47" s="6" t="str">
        <f t="shared" si="10"/>
        <v>General</v>
      </c>
      <c r="V47" s="6" t="str" cm="1">
        <f t="array" ref="V47">IF(TRIM(S47)="",INDEX($S$2:$S$1500,MATCH(MAX(COUNTIF($S$2:$S$1500,S47)),COUNTIF($S$2:$S$1500,$S$2:$S$1500),0)),S47)</f>
        <v>Cash</v>
      </c>
      <c r="W47" s="7" cm="1">
        <f t="array" ref="W47">IF(OR(TRIM(K47)="",TRIM(K47)="-"), MEDIAN(IF($E$2:$E$1500=E47,$K$2:$K$1500)),  VALUE(SUBSTITUTE(SUBSTITUTE(SUBSTITUTE(K47,"Rs. ",""),"₹",""),",","")))</f>
        <v>10256</v>
      </c>
      <c r="X47" s="8">
        <f t="shared" si="8"/>
        <v>5</v>
      </c>
      <c r="Y47" s="7">
        <f t="shared" si="9"/>
        <v>9743</v>
      </c>
      <c r="Z47" s="9" t="str">
        <f t="shared" si="1"/>
        <v>ADULT</v>
      </c>
    </row>
    <row r="48" spans="1:26" x14ac:dyDescent="0.3">
      <c r="A48" s="5" t="s">
        <v>218</v>
      </c>
      <c r="B48" s="5" t="s">
        <v>117</v>
      </c>
      <c r="C48" s="5" t="s">
        <v>118</v>
      </c>
      <c r="D48" s="5" t="s">
        <v>61</v>
      </c>
      <c r="E48" s="5" t="s">
        <v>164</v>
      </c>
      <c r="F48" s="5" t="s">
        <v>219</v>
      </c>
      <c r="G48" s="5" t="s">
        <v>101</v>
      </c>
      <c r="H48" s="5">
        <v>77</v>
      </c>
      <c r="I48" s="5" t="s">
        <v>40</v>
      </c>
      <c r="J48" s="34" t="s">
        <v>220</v>
      </c>
      <c r="K48" s="31">
        <v>26794</v>
      </c>
      <c r="L48" s="5" t="s">
        <v>211</v>
      </c>
      <c r="M48" s="32">
        <v>0</v>
      </c>
      <c r="N48" s="6">
        <f t="shared" si="2"/>
        <v>0</v>
      </c>
      <c r="O48" s="4" t="s">
        <v>219</v>
      </c>
      <c r="P48" s="5" t="str">
        <f t="shared" si="3"/>
        <v>Pune</v>
      </c>
      <c r="Q48" s="5" t="str">
        <f t="shared" si="4"/>
        <v>Cardiology</v>
      </c>
      <c r="R48" s="6" t="str">
        <f t="shared" si="5"/>
        <v>Manipal</v>
      </c>
      <c r="S48" s="6" t="str">
        <f t="shared" si="6"/>
        <v>Credit Card</v>
      </c>
      <c r="T48" s="6" t="str">
        <f t="shared" si="7"/>
        <v>Female</v>
      </c>
      <c r="U48" s="6" t="str">
        <f t="shared" si="10"/>
        <v>ICU</v>
      </c>
      <c r="V48" s="6" t="str" cm="1">
        <f t="array" ref="V48">IF(TRIM(S48)="",INDEX($S$2:$S$1500,MATCH(MAX(COUNTIF($S$2:$S$1500,S48)),COUNTIF($S$2:$S$1500,$S$2:$S$1500),0)),S48)</f>
        <v>Credit Card</v>
      </c>
      <c r="W48" s="7" cm="1">
        <f t="array" ref="W48">IF(OR(TRIM(K48)="",TRIM(K48)="-"), MEDIAN(IF($E$2:$E$1500=E48,$K$2:$K$1500)),  VALUE(SUBSTITUTE(SUBSTITUTE(SUBSTITUTE(K48,"Rs. ",""),"₹",""),",","")))</f>
        <v>26794</v>
      </c>
      <c r="X48" s="8">
        <f t="shared" si="8"/>
        <v>0</v>
      </c>
      <c r="Y48" s="7">
        <f t="shared" si="9"/>
        <v>26794</v>
      </c>
      <c r="Z48" s="9" t="str">
        <f t="shared" si="1"/>
        <v>SENIOR</v>
      </c>
    </row>
    <row r="49" spans="1:26" x14ac:dyDescent="0.3">
      <c r="A49" s="5" t="s">
        <v>221</v>
      </c>
      <c r="B49" s="5" t="s">
        <v>14</v>
      </c>
      <c r="C49" s="5" t="s">
        <v>60</v>
      </c>
      <c r="D49" s="5" t="s">
        <v>36</v>
      </c>
      <c r="E49" s="5" t="s">
        <v>67</v>
      </c>
      <c r="F49" s="5" t="s">
        <v>68</v>
      </c>
      <c r="G49" s="5" t="s">
        <v>49</v>
      </c>
      <c r="H49" s="5">
        <v>48</v>
      </c>
      <c r="I49" s="5" t="s">
        <v>20</v>
      </c>
      <c r="J49" s="34" t="s">
        <v>222</v>
      </c>
      <c r="K49" s="31" t="s">
        <v>223</v>
      </c>
      <c r="L49" s="5" t="s">
        <v>34</v>
      </c>
      <c r="M49" s="32">
        <v>0</v>
      </c>
      <c r="N49" s="6">
        <f t="shared" si="2"/>
        <v>0</v>
      </c>
      <c r="O49" s="4" t="s">
        <v>68</v>
      </c>
      <c r="P49" s="5" t="str">
        <f t="shared" si="3"/>
        <v>Chennai</v>
      </c>
      <c r="Q49" s="5" t="str">
        <f t="shared" si="4"/>
        <v>Neurology</v>
      </c>
      <c r="R49" s="6" t="str">
        <f t="shared" si="5"/>
        <v>Max_Healthcare</v>
      </c>
      <c r="S49" s="6" t="str">
        <f t="shared" si="6"/>
        <v>Cash</v>
      </c>
      <c r="T49" s="6" t="str">
        <f t="shared" si="7"/>
        <v>Male</v>
      </c>
      <c r="U49" s="6" t="str">
        <f t="shared" si="10"/>
        <v>General</v>
      </c>
      <c r="V49" s="6" t="str" cm="1">
        <f t="array" ref="V49">IF(TRIM(S49)="",INDEX($S$2:$S$1500,MATCH(MAX(COUNTIF($S$2:$S$1500,S49)),COUNTIF($S$2:$S$1500,$S$2:$S$1500),0)),S49)</f>
        <v>Cash</v>
      </c>
      <c r="W49" s="7" cm="1">
        <f t="array" ref="W49">IF(OR(TRIM(K49)="",TRIM(K49)="-"), MEDIAN(IF($E$2:$E$1500=E49,$K$2:$K$1500)),  VALUE(SUBSTITUTE(SUBSTITUTE(SUBSTITUTE(K49,"Rs. ",""),"₹",""),",","")))</f>
        <v>8546</v>
      </c>
      <c r="X49" s="8">
        <f t="shared" si="8"/>
        <v>0</v>
      </c>
      <c r="Y49" s="7">
        <f t="shared" si="9"/>
        <v>8546</v>
      </c>
      <c r="Z49" s="9" t="str">
        <f t="shared" si="1"/>
        <v>ADULT</v>
      </c>
    </row>
    <row r="50" spans="1:26" x14ac:dyDescent="0.3">
      <c r="A50" s="5" t="s">
        <v>224</v>
      </c>
      <c r="B50" s="5" t="s">
        <v>117</v>
      </c>
      <c r="C50" s="5" t="s">
        <v>118</v>
      </c>
      <c r="D50" s="5" t="s">
        <v>55</v>
      </c>
      <c r="E50" s="5" t="s">
        <v>74</v>
      </c>
      <c r="F50" s="5" t="s">
        <v>147</v>
      </c>
      <c r="G50" s="5" t="s">
        <v>30</v>
      </c>
      <c r="H50" s="5">
        <v>48</v>
      </c>
      <c r="I50" s="5" t="s">
        <v>31</v>
      </c>
      <c r="J50" s="34" t="s">
        <v>225</v>
      </c>
      <c r="K50" s="31" t="s">
        <v>226</v>
      </c>
      <c r="L50" s="5" t="s">
        <v>104</v>
      </c>
      <c r="M50" s="32" t="s">
        <v>227</v>
      </c>
      <c r="N50" s="6">
        <f t="shared" si="2"/>
        <v>25</v>
      </c>
      <c r="O50" s="4" t="s">
        <v>147</v>
      </c>
      <c r="P50" s="5" t="str">
        <f t="shared" si="3"/>
        <v>Hyderabad</v>
      </c>
      <c r="Q50" s="5" t="str">
        <f t="shared" si="4"/>
        <v>General Medicine</v>
      </c>
      <c r="R50" s="6" t="str">
        <f t="shared" si="5"/>
        <v>Manipal</v>
      </c>
      <c r="S50" s="6" t="str">
        <f t="shared" si="6"/>
        <v>Insurance</v>
      </c>
      <c r="T50" s="6" t="str">
        <f t="shared" si="7"/>
        <v>Male</v>
      </c>
      <c r="U50" s="6" t="str">
        <f t="shared" si="10"/>
        <v>General</v>
      </c>
      <c r="V50" s="6" t="str" cm="1">
        <f t="array" ref="V50">IF(TRIM(S50)="",INDEX($S$2:$S$1500,MATCH(MAX(COUNTIF($S$2:$S$1500,S50)),COUNTIF($S$2:$S$1500,$S$2:$S$1500),0)),S50)</f>
        <v>Insurance</v>
      </c>
      <c r="W50" s="7" cm="1">
        <f t="array" ref="W50">IF(OR(TRIM(K50)="",TRIM(K50)="-"), MEDIAN(IF($E$2:$E$1500=E50,$K$2:$K$1500)),  VALUE(SUBSTITUTE(SUBSTITUTE(SUBSTITUTE(K50,"Rs. ",""),"₹",""),",","")))</f>
        <v>17625</v>
      </c>
      <c r="X50" s="8">
        <f t="shared" si="8"/>
        <v>25</v>
      </c>
      <c r="Y50" s="7">
        <f t="shared" si="9"/>
        <v>13219</v>
      </c>
      <c r="Z50" s="9" t="str">
        <f t="shared" si="1"/>
        <v>ADULT</v>
      </c>
    </row>
    <row r="51" spans="1:26" x14ac:dyDescent="0.3">
      <c r="A51" s="5" t="s">
        <v>228</v>
      </c>
      <c r="B51" s="5" t="s">
        <v>117</v>
      </c>
      <c r="C51" s="5" t="s">
        <v>118</v>
      </c>
      <c r="D51" s="5" t="s">
        <v>189</v>
      </c>
      <c r="E51" s="5" t="s">
        <v>17</v>
      </c>
      <c r="F51" s="5" t="s">
        <v>18</v>
      </c>
      <c r="G51" s="5" t="s">
        <v>39</v>
      </c>
      <c r="H51" s="5">
        <v>33</v>
      </c>
      <c r="I51" s="5" t="s">
        <v>40</v>
      </c>
      <c r="J51" s="34" t="s">
        <v>229</v>
      </c>
      <c r="K51" s="31">
        <v>5059</v>
      </c>
      <c r="L51" s="5" t="s">
        <v>115</v>
      </c>
      <c r="M51" s="32" t="s">
        <v>130</v>
      </c>
      <c r="N51" s="6">
        <f t="shared" si="2"/>
        <v>0</v>
      </c>
      <c r="O51" s="4" t="s">
        <v>18</v>
      </c>
      <c r="P51" s="5" t="str">
        <f t="shared" si="3"/>
        <v>Delhi</v>
      </c>
      <c r="Q51" s="5" t="str">
        <f t="shared" si="4"/>
        <v>Gynecology</v>
      </c>
      <c r="R51" s="6" t="str">
        <f t="shared" si="5"/>
        <v>Manipal</v>
      </c>
      <c r="S51" s="6" t="str">
        <f t="shared" si="6"/>
        <v>Cash</v>
      </c>
      <c r="T51" s="6" t="str">
        <f t="shared" si="7"/>
        <v>Female</v>
      </c>
      <c r="U51" s="6" t="str">
        <f t="shared" si="10"/>
        <v>General</v>
      </c>
      <c r="V51" s="6" t="str" cm="1">
        <f t="array" ref="V51">IF(TRIM(S51)="",INDEX($S$2:$S$1500,MATCH(MAX(COUNTIF($S$2:$S$1500,S51)),COUNTIF($S$2:$S$1500,$S$2:$S$1500),0)),S51)</f>
        <v>Cash</v>
      </c>
      <c r="W51" s="7" cm="1">
        <f t="array" ref="W51">IF(OR(TRIM(K51)="",TRIM(K51)="-"), MEDIAN(IF($E$2:$E$1500=E51,$K$2:$K$1500)),  VALUE(SUBSTITUTE(SUBSTITUTE(SUBSTITUTE(K51,"Rs. ",""),"₹",""),",","")))</f>
        <v>5059</v>
      </c>
      <c r="X51" s="8">
        <f t="shared" si="8"/>
        <v>0</v>
      </c>
      <c r="Y51" s="7">
        <f t="shared" si="9"/>
        <v>5059</v>
      </c>
      <c r="Z51" s="9" t="str">
        <f t="shared" si="1"/>
        <v>ADULT</v>
      </c>
    </row>
    <row r="52" spans="1:26" x14ac:dyDescent="0.3">
      <c r="A52" s="5" t="s">
        <v>230</v>
      </c>
      <c r="B52" s="5" t="s">
        <v>14</v>
      </c>
      <c r="C52" s="5" t="s">
        <v>15</v>
      </c>
      <c r="D52" s="5" t="s">
        <v>66</v>
      </c>
      <c r="E52" s="5" t="s">
        <v>74</v>
      </c>
      <c r="F52" s="5" t="s">
        <v>75</v>
      </c>
      <c r="G52" s="5" t="s">
        <v>39</v>
      </c>
      <c r="H52" s="5">
        <v>4</v>
      </c>
      <c r="I52" s="5" t="s">
        <v>40</v>
      </c>
      <c r="J52" s="34" t="s">
        <v>231</v>
      </c>
      <c r="K52" s="31">
        <v>18570</v>
      </c>
      <c r="L52" s="5" t="s">
        <v>58</v>
      </c>
      <c r="M52" s="32">
        <v>5</v>
      </c>
      <c r="N52" s="6">
        <f t="shared" si="2"/>
        <v>5</v>
      </c>
      <c r="O52" s="4" t="s">
        <v>75</v>
      </c>
      <c r="P52" s="5" t="str">
        <f t="shared" si="3"/>
        <v>Kolkata</v>
      </c>
      <c r="Q52" s="5" t="str">
        <f t="shared" si="4"/>
        <v>General Medicine</v>
      </c>
      <c r="R52" s="6" t="str">
        <f t="shared" si="5"/>
        <v>Max_Healthcare</v>
      </c>
      <c r="S52" s="6" t="str">
        <f t="shared" si="6"/>
        <v>UPI</v>
      </c>
      <c r="T52" s="6" t="str">
        <f t="shared" si="7"/>
        <v>Female</v>
      </c>
      <c r="U52" s="6" t="str">
        <f t="shared" si="10"/>
        <v>General</v>
      </c>
      <c r="V52" s="6" t="str" cm="1">
        <f t="array" ref="V52">IF(TRIM(S52)="",INDEX($S$2:$S$1500,MATCH(MAX(COUNTIF($S$2:$S$1500,S52)),COUNTIF($S$2:$S$1500,$S$2:$S$1500),0)),S52)</f>
        <v>UPI</v>
      </c>
      <c r="W52" s="7" cm="1">
        <f t="array" ref="W52">IF(OR(TRIM(K52)="",TRIM(K52)="-"), MEDIAN(IF($E$2:$E$1500=E52,$K$2:$K$1500)),  VALUE(SUBSTITUTE(SUBSTITUTE(SUBSTITUTE(K52,"Rs. ",""),"₹",""),",","")))</f>
        <v>18570</v>
      </c>
      <c r="X52" s="8">
        <f t="shared" si="8"/>
        <v>5</v>
      </c>
      <c r="Y52" s="7">
        <f t="shared" si="9"/>
        <v>17642</v>
      </c>
      <c r="Z52" s="9" t="str">
        <f t="shared" si="1"/>
        <v>CHILD</v>
      </c>
    </row>
    <row r="53" spans="1:26" x14ac:dyDescent="0.3">
      <c r="A53" s="5" t="s">
        <v>232</v>
      </c>
      <c r="B53" s="5" t="s">
        <v>117</v>
      </c>
      <c r="C53" s="5" t="s">
        <v>182</v>
      </c>
      <c r="D53" s="5" t="s">
        <v>16</v>
      </c>
      <c r="E53" s="5" t="s">
        <v>164</v>
      </c>
      <c r="F53" s="5" t="s">
        <v>233</v>
      </c>
      <c r="G53" s="5" t="s">
        <v>62</v>
      </c>
      <c r="H53" s="5">
        <v>31</v>
      </c>
      <c r="I53" s="5" t="s">
        <v>20</v>
      </c>
      <c r="J53" s="34" t="s">
        <v>234</v>
      </c>
      <c r="K53" s="31" t="s">
        <v>235</v>
      </c>
      <c r="L53" s="5" t="s">
        <v>236</v>
      </c>
      <c r="M53" s="32" t="s">
        <v>130</v>
      </c>
      <c r="N53" s="6">
        <f t="shared" si="2"/>
        <v>0</v>
      </c>
      <c r="O53" s="4" t="s">
        <v>233</v>
      </c>
      <c r="P53" s="5" t="str">
        <f t="shared" si="3"/>
        <v>Bangalore</v>
      </c>
      <c r="Q53" s="5" t="str">
        <f t="shared" si="4"/>
        <v>Cardiology</v>
      </c>
      <c r="R53" s="6" t="str">
        <f t="shared" si="5"/>
        <v>Manipal</v>
      </c>
      <c r="S53" s="6" t="str">
        <f t="shared" si="6"/>
        <v>Debit Card</v>
      </c>
      <c r="T53" s="6" t="str">
        <f t="shared" si="7"/>
        <v>Male</v>
      </c>
      <c r="U53" s="6" t="str">
        <f t="shared" si="10"/>
        <v>ICU</v>
      </c>
      <c r="V53" s="6" t="str" cm="1">
        <f t="array" ref="V53">IF(TRIM(S53)="",INDEX($S$2:$S$1500,MATCH(MAX(COUNTIF($S$2:$S$1500,S53)),COUNTIF($S$2:$S$1500,$S$2:$S$1500),0)),S53)</f>
        <v>Debit Card</v>
      </c>
      <c r="W53" s="7" cm="1">
        <f t="array" ref="W53">IF(OR(TRIM(K53)="",TRIM(K53)="-"), MEDIAN(IF($E$2:$E$1500=E53,$K$2:$K$1500)),  VALUE(SUBSTITUTE(SUBSTITUTE(SUBSTITUTE(K53,"Rs. ",""),"₹",""),",","")))</f>
        <v>61883</v>
      </c>
      <c r="X53" s="8">
        <f t="shared" si="8"/>
        <v>0</v>
      </c>
      <c r="Y53" s="7">
        <f t="shared" si="9"/>
        <v>61883</v>
      </c>
      <c r="Z53" s="9" t="str">
        <f t="shared" si="1"/>
        <v>ADULT</v>
      </c>
    </row>
    <row r="54" spans="1:26" x14ac:dyDescent="0.3">
      <c r="A54" s="5" t="s">
        <v>237</v>
      </c>
      <c r="B54" s="5" t="s">
        <v>117</v>
      </c>
      <c r="C54" s="5" t="s">
        <v>127</v>
      </c>
      <c r="D54" s="5" t="s">
        <v>27</v>
      </c>
      <c r="E54" s="5" t="s">
        <v>164</v>
      </c>
      <c r="F54" s="5" t="s">
        <v>165</v>
      </c>
      <c r="G54" s="5" t="s">
        <v>49</v>
      </c>
      <c r="H54" s="5">
        <v>14</v>
      </c>
      <c r="I54" s="5" t="s">
        <v>20</v>
      </c>
      <c r="J54" s="34" t="s">
        <v>238</v>
      </c>
      <c r="K54" s="31" t="s">
        <v>239</v>
      </c>
      <c r="L54" s="5" t="s">
        <v>149</v>
      </c>
      <c r="M54" s="32" t="s">
        <v>240</v>
      </c>
      <c r="N54" s="6">
        <f t="shared" si="2"/>
        <v>12</v>
      </c>
      <c r="O54" s="4" t="s">
        <v>165</v>
      </c>
      <c r="P54" s="5" t="str">
        <f t="shared" si="3"/>
        <v>Mumbai</v>
      </c>
      <c r="Q54" s="5" t="str">
        <f t="shared" si="4"/>
        <v>Cardiology</v>
      </c>
      <c r="R54" s="6" t="str">
        <f t="shared" si="5"/>
        <v>Manipal</v>
      </c>
      <c r="S54" s="6" t="str">
        <f t="shared" si="6"/>
        <v>Insurance</v>
      </c>
      <c r="T54" s="6" t="str">
        <f t="shared" si="7"/>
        <v>Male</v>
      </c>
      <c r="U54" s="6" t="str">
        <f t="shared" si="10"/>
        <v>General</v>
      </c>
      <c r="V54" s="6" t="str" cm="1">
        <f t="array" ref="V54">IF(TRIM(S54)="",INDEX($S$2:$S$1500,MATCH(MAX(COUNTIF($S$2:$S$1500,S54)),COUNTIF($S$2:$S$1500,$S$2:$S$1500),0)),S54)</f>
        <v>Insurance</v>
      </c>
      <c r="W54" s="7" cm="1">
        <f t="array" ref="W54">IF(OR(TRIM(K54)="",TRIM(K54)="-"), MEDIAN(IF($E$2:$E$1500=E54,$K$2:$K$1500)),  VALUE(SUBSTITUTE(SUBSTITUTE(SUBSTITUTE(K54,"Rs. ",""),"₹",""),",","")))</f>
        <v>5755</v>
      </c>
      <c r="X54" s="8">
        <f t="shared" si="8"/>
        <v>12</v>
      </c>
      <c r="Y54" s="7">
        <f t="shared" si="9"/>
        <v>5064</v>
      </c>
      <c r="Z54" s="9" t="str">
        <f t="shared" si="1"/>
        <v>TEEN</v>
      </c>
    </row>
    <row r="55" spans="1:26" x14ac:dyDescent="0.3">
      <c r="A55" s="5" t="s">
        <v>241</v>
      </c>
      <c r="B55" s="5" t="s">
        <v>25</v>
      </c>
      <c r="C55" s="5" t="s">
        <v>54</v>
      </c>
      <c r="D55" s="5" t="s">
        <v>36</v>
      </c>
      <c r="E55" s="5" t="s">
        <v>93</v>
      </c>
      <c r="F55" s="5" t="s">
        <v>207</v>
      </c>
      <c r="G55" s="5" t="s">
        <v>69</v>
      </c>
      <c r="H55" s="5">
        <v>73</v>
      </c>
      <c r="I55" s="5" t="s">
        <v>20</v>
      </c>
      <c r="J55" s="34" t="s">
        <v>242</v>
      </c>
      <c r="K55" s="31">
        <v>53299</v>
      </c>
      <c r="L55" s="5" t="s">
        <v>72</v>
      </c>
      <c r="M55" s="32" t="s">
        <v>140</v>
      </c>
      <c r="N55" s="6" t="str">
        <f t="shared" si="2"/>
        <v>-</v>
      </c>
      <c r="O55" s="4" t="s">
        <v>207</v>
      </c>
      <c r="P55" s="5" t="str">
        <f t="shared" si="3"/>
        <v>Chennai</v>
      </c>
      <c r="Q55" s="5" t="str">
        <f t="shared" si="4"/>
        <v>Nephrology</v>
      </c>
      <c r="R55" s="6" t="str">
        <f t="shared" si="5"/>
        <v>Narayana</v>
      </c>
      <c r="S55" s="6" t="str">
        <f t="shared" si="6"/>
        <v>Cash</v>
      </c>
      <c r="T55" s="6" t="str">
        <f t="shared" si="7"/>
        <v>Male</v>
      </c>
      <c r="U55" s="6" t="str">
        <f t="shared" si="10"/>
        <v>ICU</v>
      </c>
      <c r="V55" s="6" t="str" cm="1">
        <f t="array" ref="V55">IF(TRIM(S55)="",INDEX($S$2:$S$1500,MATCH(MAX(COUNTIF($S$2:$S$1500,S55)),COUNTIF($S$2:$S$1500,$S$2:$S$1500),0)),S55)</f>
        <v>Cash</v>
      </c>
      <c r="W55" s="7" cm="1">
        <f t="array" ref="W55">IF(OR(TRIM(K55)="",TRIM(K55)="-"), MEDIAN(IF($E$2:$E$1500=E55,$K$2:$K$1500)),  VALUE(SUBSTITUTE(SUBSTITUTE(SUBSTITUTE(K55,"Rs. ",""),"₹",""),",","")))</f>
        <v>53299</v>
      </c>
      <c r="X55" s="8">
        <f t="shared" si="8"/>
        <v>3</v>
      </c>
      <c r="Y55" s="7">
        <f t="shared" si="9"/>
        <v>51700</v>
      </c>
      <c r="Z55" s="9" t="str">
        <f t="shared" si="1"/>
        <v>SENIOR</v>
      </c>
    </row>
    <row r="56" spans="1:26" x14ac:dyDescent="0.3">
      <c r="A56" s="5" t="s">
        <v>243</v>
      </c>
      <c r="B56" s="5" t="s">
        <v>25</v>
      </c>
      <c r="C56" s="5" t="s">
        <v>26</v>
      </c>
      <c r="D56" s="5" t="s">
        <v>36</v>
      </c>
      <c r="E56" s="5" t="s">
        <v>37</v>
      </c>
      <c r="F56" s="5" t="s">
        <v>38</v>
      </c>
      <c r="G56" s="5" t="s">
        <v>30</v>
      </c>
      <c r="H56" s="5">
        <v>84</v>
      </c>
      <c r="I56" s="5" t="s">
        <v>20</v>
      </c>
      <c r="J56" s="34" t="s">
        <v>244</v>
      </c>
      <c r="K56" s="31">
        <v>18201</v>
      </c>
      <c r="L56" s="5" t="s">
        <v>23</v>
      </c>
      <c r="M56" s="32">
        <v>5</v>
      </c>
      <c r="N56" s="6">
        <f t="shared" si="2"/>
        <v>5</v>
      </c>
      <c r="O56" s="4" t="s">
        <v>38</v>
      </c>
      <c r="P56" s="5" t="str">
        <f t="shared" si="3"/>
        <v>Chennai</v>
      </c>
      <c r="Q56" s="5" t="str">
        <f t="shared" si="4"/>
        <v>Pediatrics</v>
      </c>
      <c r="R56" s="6" t="str">
        <f t="shared" si="5"/>
        <v>Narayana</v>
      </c>
      <c r="S56" s="6" t="str">
        <f t="shared" si="6"/>
        <v>Credit Card</v>
      </c>
      <c r="T56" s="6" t="str">
        <f t="shared" si="7"/>
        <v>Male</v>
      </c>
      <c r="U56" s="6" t="str">
        <f t="shared" si="10"/>
        <v>General</v>
      </c>
      <c r="V56" s="6" t="str" cm="1">
        <f t="array" ref="V56">IF(TRIM(S56)="",INDEX($S$2:$S$1500,MATCH(MAX(COUNTIF($S$2:$S$1500,S56)),COUNTIF($S$2:$S$1500,$S$2:$S$1500),0)),S56)</f>
        <v>Credit Card</v>
      </c>
      <c r="W56" s="7" cm="1">
        <f t="array" ref="W56">IF(OR(TRIM(K56)="",TRIM(K56)="-"), MEDIAN(IF($E$2:$E$1500=E56,$K$2:$K$1500)),  VALUE(SUBSTITUTE(SUBSTITUTE(SUBSTITUTE(K56,"Rs. ",""),"₹",""),",","")))</f>
        <v>18201</v>
      </c>
      <c r="X56" s="8">
        <f t="shared" si="8"/>
        <v>5</v>
      </c>
      <c r="Y56" s="7">
        <f t="shared" si="9"/>
        <v>17291</v>
      </c>
      <c r="Z56" s="9" t="str">
        <f t="shared" si="1"/>
        <v>SENIOR</v>
      </c>
    </row>
    <row r="57" spans="1:26" x14ac:dyDescent="0.3">
      <c r="A57" s="5" t="s">
        <v>245</v>
      </c>
      <c r="B57" s="5" t="s">
        <v>14</v>
      </c>
      <c r="C57" s="5" t="s">
        <v>60</v>
      </c>
      <c r="D57" s="5" t="s">
        <v>36</v>
      </c>
      <c r="E57" s="5" t="s">
        <v>108</v>
      </c>
      <c r="F57" s="5" t="s">
        <v>124</v>
      </c>
      <c r="G57" s="5" t="s">
        <v>30</v>
      </c>
      <c r="H57" s="5">
        <v>10</v>
      </c>
      <c r="I57" s="5" t="s">
        <v>20</v>
      </c>
      <c r="J57" s="34" t="s">
        <v>246</v>
      </c>
      <c r="K57" s="31" t="s">
        <v>247</v>
      </c>
      <c r="L57" s="5" t="s">
        <v>97</v>
      </c>
      <c r="M57" s="32">
        <v>0</v>
      </c>
      <c r="N57" s="6">
        <f t="shared" si="2"/>
        <v>0</v>
      </c>
      <c r="O57" s="4" t="s">
        <v>124</v>
      </c>
      <c r="P57" s="5" t="str">
        <f t="shared" si="3"/>
        <v>Chennai</v>
      </c>
      <c r="Q57" s="5" t="str">
        <f t="shared" si="4"/>
        <v>Orthopedics</v>
      </c>
      <c r="R57" s="6" t="str">
        <f t="shared" si="5"/>
        <v>Max_Healthcare</v>
      </c>
      <c r="S57" s="6" t="str">
        <f t="shared" si="6"/>
        <v>UPI</v>
      </c>
      <c r="T57" s="6" t="str">
        <f t="shared" si="7"/>
        <v>Male</v>
      </c>
      <c r="U57" s="6" t="str">
        <f t="shared" si="10"/>
        <v>General</v>
      </c>
      <c r="V57" s="6" t="str" cm="1">
        <f t="array" ref="V57">IF(TRIM(S57)="",INDEX($S$2:$S$1500,MATCH(MAX(COUNTIF($S$2:$S$1500,S57)),COUNTIF($S$2:$S$1500,$S$2:$S$1500),0)),S57)</f>
        <v>UPI</v>
      </c>
      <c r="W57" s="7" cm="1">
        <f t="array" ref="W57">IF(OR(TRIM(K57)="",TRIM(K57)="-"), MEDIAN(IF($E$2:$E$1500=E57,$K$2:$K$1500)),  VALUE(SUBSTITUTE(SUBSTITUTE(SUBSTITUTE(K57,"Rs. ",""),"₹",""),",","")))</f>
        <v>8824</v>
      </c>
      <c r="X57" s="8">
        <f t="shared" si="8"/>
        <v>0</v>
      </c>
      <c r="Y57" s="7">
        <f t="shared" si="9"/>
        <v>8824</v>
      </c>
      <c r="Z57" s="9" t="str">
        <f t="shared" si="1"/>
        <v>CHILD</v>
      </c>
    </row>
    <row r="58" spans="1:26" x14ac:dyDescent="0.3">
      <c r="A58" s="5" t="s">
        <v>248</v>
      </c>
      <c r="B58" s="5" t="s">
        <v>14</v>
      </c>
      <c r="C58" s="5" t="s">
        <v>15</v>
      </c>
      <c r="D58" s="5" t="s">
        <v>36</v>
      </c>
      <c r="E58" s="5" t="s">
        <v>164</v>
      </c>
      <c r="F58" s="5" t="s">
        <v>233</v>
      </c>
      <c r="G58" s="5" t="s">
        <v>19</v>
      </c>
      <c r="H58" s="5">
        <v>5</v>
      </c>
      <c r="I58" s="5" t="s">
        <v>31</v>
      </c>
      <c r="J58" s="34" t="s">
        <v>249</v>
      </c>
      <c r="K58" s="31">
        <v>9666</v>
      </c>
      <c r="L58" s="5" t="s">
        <v>211</v>
      </c>
      <c r="M58" s="32">
        <v>0</v>
      </c>
      <c r="N58" s="6">
        <f t="shared" si="2"/>
        <v>0</v>
      </c>
      <c r="O58" s="4" t="s">
        <v>233</v>
      </c>
      <c r="P58" s="5" t="str">
        <f t="shared" si="3"/>
        <v>Chennai</v>
      </c>
      <c r="Q58" s="5" t="str">
        <f t="shared" si="4"/>
        <v>Cardiology</v>
      </c>
      <c r="R58" s="6" t="str">
        <f t="shared" si="5"/>
        <v>Max_Healthcare</v>
      </c>
      <c r="S58" s="6" t="str">
        <f t="shared" si="6"/>
        <v>Credit Card</v>
      </c>
      <c r="T58" s="6" t="str">
        <f t="shared" si="7"/>
        <v>Male</v>
      </c>
      <c r="U58" s="6" t="str">
        <f t="shared" si="10"/>
        <v>General</v>
      </c>
      <c r="V58" s="6" t="str" cm="1">
        <f t="array" ref="V58">IF(TRIM(S58)="",INDEX($S$2:$S$1500,MATCH(MAX(COUNTIF($S$2:$S$1500,S58)),COUNTIF($S$2:$S$1500,$S$2:$S$1500),0)),S58)</f>
        <v>Credit Card</v>
      </c>
      <c r="W58" s="7" cm="1">
        <f t="array" ref="W58">IF(OR(TRIM(K58)="",TRIM(K58)="-"), MEDIAN(IF($E$2:$E$1500=E58,$K$2:$K$1500)),  VALUE(SUBSTITUTE(SUBSTITUTE(SUBSTITUTE(K58,"Rs. ",""),"₹",""),",","")))</f>
        <v>9666</v>
      </c>
      <c r="X58" s="8">
        <f t="shared" si="8"/>
        <v>0</v>
      </c>
      <c r="Y58" s="7">
        <f t="shared" si="9"/>
        <v>9666</v>
      </c>
      <c r="Z58" s="9" t="str">
        <f t="shared" si="1"/>
        <v>CHILD</v>
      </c>
    </row>
    <row r="59" spans="1:26" x14ac:dyDescent="0.3">
      <c r="A59" s="5" t="s">
        <v>250</v>
      </c>
      <c r="B59" s="5" t="s">
        <v>78</v>
      </c>
      <c r="C59" s="5" t="s">
        <v>203</v>
      </c>
      <c r="D59" s="5" t="s">
        <v>80</v>
      </c>
      <c r="E59" s="5" t="s">
        <v>93</v>
      </c>
      <c r="F59" s="5" t="s">
        <v>144</v>
      </c>
      <c r="G59" s="5" t="s">
        <v>49</v>
      </c>
      <c r="H59" s="5">
        <v>85</v>
      </c>
      <c r="I59" s="5" t="s">
        <v>31</v>
      </c>
      <c r="J59" s="34" t="s">
        <v>251</v>
      </c>
      <c r="K59" s="31">
        <v>5986</v>
      </c>
      <c r="L59" s="5" t="s">
        <v>34</v>
      </c>
      <c r="M59" s="32" t="s">
        <v>130</v>
      </c>
      <c r="N59" s="6">
        <f t="shared" si="2"/>
        <v>0</v>
      </c>
      <c r="O59" s="4" t="s">
        <v>144</v>
      </c>
      <c r="P59" s="5" t="str">
        <f t="shared" si="3"/>
        <v>Ahmedabad</v>
      </c>
      <c r="Q59" s="5" t="str">
        <f t="shared" si="4"/>
        <v>Nephrology</v>
      </c>
      <c r="R59" s="6" t="str">
        <f t="shared" si="5"/>
        <v>Apollo</v>
      </c>
      <c r="S59" s="6" t="str">
        <f t="shared" si="6"/>
        <v>Cash</v>
      </c>
      <c r="T59" s="6" t="str">
        <f t="shared" si="7"/>
        <v>Male</v>
      </c>
      <c r="U59" s="6" t="str">
        <f t="shared" si="10"/>
        <v>General</v>
      </c>
      <c r="V59" s="6" t="str" cm="1">
        <f t="array" ref="V59">IF(TRIM(S59)="",INDEX($S$2:$S$1500,MATCH(MAX(COUNTIF($S$2:$S$1500,S59)),COUNTIF($S$2:$S$1500,$S$2:$S$1500),0)),S59)</f>
        <v>Cash</v>
      </c>
      <c r="W59" s="7" cm="1">
        <f t="array" ref="W59">IF(OR(TRIM(K59)="",TRIM(K59)="-"), MEDIAN(IF($E$2:$E$1500=E59,$K$2:$K$1500)),  VALUE(SUBSTITUTE(SUBSTITUTE(SUBSTITUTE(K59,"Rs. ",""),"₹",""),",","")))</f>
        <v>5986</v>
      </c>
      <c r="X59" s="8">
        <f t="shared" si="8"/>
        <v>0</v>
      </c>
      <c r="Y59" s="7">
        <f t="shared" si="9"/>
        <v>5986</v>
      </c>
      <c r="Z59" s="9" t="str">
        <f t="shared" si="1"/>
        <v>SENIOR</v>
      </c>
    </row>
    <row r="60" spans="1:26" x14ac:dyDescent="0.3">
      <c r="A60" s="5" t="s">
        <v>252</v>
      </c>
      <c r="B60" s="5" t="s">
        <v>106</v>
      </c>
      <c r="C60" s="5" t="s">
        <v>107</v>
      </c>
      <c r="D60" s="5" t="s">
        <v>55</v>
      </c>
      <c r="E60" s="5" t="s">
        <v>17</v>
      </c>
      <c r="F60" s="5" t="s">
        <v>169</v>
      </c>
      <c r="G60" s="5" t="s">
        <v>19</v>
      </c>
      <c r="H60" s="5">
        <v>83</v>
      </c>
      <c r="I60" s="5" t="s">
        <v>40</v>
      </c>
      <c r="J60" s="34" t="s">
        <v>253</v>
      </c>
      <c r="K60" s="31" t="s">
        <v>254</v>
      </c>
      <c r="L60" s="5"/>
      <c r="M60" s="32" t="s">
        <v>64</v>
      </c>
      <c r="N60" s="6" t="str">
        <f t="shared" si="2"/>
        <v>NA</v>
      </c>
      <c r="O60" s="4" t="s">
        <v>169</v>
      </c>
      <c r="P60" s="5" t="str">
        <f t="shared" si="3"/>
        <v>Hyderabad</v>
      </c>
      <c r="Q60" s="5" t="str">
        <f t="shared" si="4"/>
        <v>Gynecology</v>
      </c>
      <c r="R60" s="6" t="str">
        <f t="shared" si="5"/>
        <v>Aiims</v>
      </c>
      <c r="S60" s="6" t="str">
        <f t="shared" si="6"/>
        <v>Unknown</v>
      </c>
      <c r="T60" s="6" t="str">
        <f t="shared" si="7"/>
        <v>Female</v>
      </c>
      <c r="U60" s="6" t="str">
        <f t="shared" si="10"/>
        <v>General</v>
      </c>
      <c r="V60" s="6" t="str" cm="1">
        <f t="array" ref="V60">IF(TRIM(S60)="",INDEX($S$2:$S$1500,MATCH(MAX(COUNTIF($S$2:$S$1500,S60)),COUNTIF($S$2:$S$1500,$S$2:$S$1500),0)),S60)</f>
        <v>Unknown</v>
      </c>
      <c r="W60" s="7" cm="1">
        <f t="array" ref="W60">IF(OR(TRIM(K60)="",TRIM(K60)="-"), MEDIAN(IF($E$2:$E$1500=E60,$K$2:$K$1500)),  VALUE(SUBSTITUTE(SUBSTITUTE(SUBSTITUTE(K60,"Rs. ",""),"₹",""),",","")))</f>
        <v>16270</v>
      </c>
      <c r="X60" s="8">
        <f t="shared" si="8"/>
        <v>4</v>
      </c>
      <c r="Y60" s="7">
        <f t="shared" si="9"/>
        <v>15619</v>
      </c>
      <c r="Z60" s="9" t="str">
        <f t="shared" si="1"/>
        <v>SENIOR</v>
      </c>
    </row>
    <row r="61" spans="1:26" x14ac:dyDescent="0.3">
      <c r="A61" s="5" t="s">
        <v>255</v>
      </c>
      <c r="B61" s="5" t="s">
        <v>25</v>
      </c>
      <c r="C61" s="5" t="s">
        <v>26</v>
      </c>
      <c r="D61" s="5" t="s">
        <v>55</v>
      </c>
      <c r="E61" s="5" t="s">
        <v>99</v>
      </c>
      <c r="F61" s="5" t="s">
        <v>256</v>
      </c>
      <c r="G61" s="5" t="s">
        <v>30</v>
      </c>
      <c r="H61" s="5">
        <v>83</v>
      </c>
      <c r="I61" s="5" t="s">
        <v>40</v>
      </c>
      <c r="J61" s="34" t="s">
        <v>257</v>
      </c>
      <c r="K61" s="31">
        <v>15151</v>
      </c>
      <c r="L61" s="5" t="s">
        <v>23</v>
      </c>
      <c r="M61" s="32" t="s">
        <v>140</v>
      </c>
      <c r="N61" s="6" t="str">
        <f t="shared" si="2"/>
        <v>-</v>
      </c>
      <c r="O61" s="4" t="s">
        <v>256</v>
      </c>
      <c r="P61" s="5" t="str">
        <f t="shared" si="3"/>
        <v>Hyderabad</v>
      </c>
      <c r="Q61" s="5" t="str">
        <f t="shared" si="4"/>
        <v>Ent</v>
      </c>
      <c r="R61" s="6" t="str">
        <f t="shared" si="5"/>
        <v>Narayana</v>
      </c>
      <c r="S61" s="6" t="str">
        <f t="shared" si="6"/>
        <v>Credit Card</v>
      </c>
      <c r="T61" s="6" t="str">
        <f t="shared" si="7"/>
        <v>Female</v>
      </c>
      <c r="U61" s="6" t="str">
        <f t="shared" si="10"/>
        <v>General</v>
      </c>
      <c r="V61" s="6" t="str" cm="1">
        <f t="array" ref="V61">IF(TRIM(S61)="",INDEX($S$2:$S$1500,MATCH(MAX(COUNTIF($S$2:$S$1500,S61)),COUNTIF($S$2:$S$1500,$S$2:$S$1500),0)),S61)</f>
        <v>Credit Card</v>
      </c>
      <c r="W61" s="7" cm="1">
        <f t="array" ref="W61">IF(OR(TRIM(K61)="",TRIM(K61)="-"), MEDIAN(IF($E$2:$E$1500=E61,$K$2:$K$1500)),  VALUE(SUBSTITUTE(SUBSTITUTE(SUBSTITUTE(K61,"Rs. ",""),"₹",""),",","")))</f>
        <v>15151</v>
      </c>
      <c r="X61" s="8">
        <f t="shared" si="8"/>
        <v>3</v>
      </c>
      <c r="Y61" s="7">
        <f t="shared" si="9"/>
        <v>14696</v>
      </c>
      <c r="Z61" s="9" t="str">
        <f t="shared" si="1"/>
        <v>SENIOR</v>
      </c>
    </row>
    <row r="62" spans="1:26" x14ac:dyDescent="0.3">
      <c r="A62" s="5" t="s">
        <v>258</v>
      </c>
      <c r="B62" s="5" t="s">
        <v>117</v>
      </c>
      <c r="C62" s="5" t="s">
        <v>118</v>
      </c>
      <c r="D62" s="5" t="s">
        <v>80</v>
      </c>
      <c r="E62" s="5" t="s">
        <v>28</v>
      </c>
      <c r="F62" s="5" t="s">
        <v>259</v>
      </c>
      <c r="G62" s="5" t="s">
        <v>49</v>
      </c>
      <c r="H62" s="5">
        <v>41</v>
      </c>
      <c r="I62" s="5" t="s">
        <v>20</v>
      </c>
      <c r="J62" s="34" t="s">
        <v>122</v>
      </c>
      <c r="K62" s="31" t="s">
        <v>260</v>
      </c>
      <c r="L62" s="5" t="s">
        <v>97</v>
      </c>
      <c r="M62" s="32">
        <v>0</v>
      </c>
      <c r="N62" s="6">
        <f t="shared" si="2"/>
        <v>0</v>
      </c>
      <c r="O62" s="4" t="s">
        <v>259</v>
      </c>
      <c r="P62" s="5" t="str">
        <f t="shared" si="3"/>
        <v>Ahmedabad</v>
      </c>
      <c r="Q62" s="5" t="str">
        <f t="shared" si="4"/>
        <v>Oncology</v>
      </c>
      <c r="R62" s="6" t="str">
        <f t="shared" si="5"/>
        <v>Manipal</v>
      </c>
      <c r="S62" s="6" t="str">
        <f t="shared" si="6"/>
        <v>UPI</v>
      </c>
      <c r="T62" s="6" t="str">
        <f t="shared" si="7"/>
        <v>Male</v>
      </c>
      <c r="U62" s="6" t="str">
        <f t="shared" si="10"/>
        <v>General</v>
      </c>
      <c r="V62" s="6" t="str" cm="1">
        <f t="array" ref="V62">IF(TRIM(S62)="",INDEX($S$2:$S$1500,MATCH(MAX(COUNTIF($S$2:$S$1500,S62)),COUNTIF($S$2:$S$1500,$S$2:$S$1500),0)),S62)</f>
        <v>UPI</v>
      </c>
      <c r="W62" s="7" cm="1">
        <f t="array" ref="W62">IF(OR(TRIM(K62)="",TRIM(K62)="-"), MEDIAN(IF($E$2:$E$1500=E62,$K$2:$K$1500)),  VALUE(SUBSTITUTE(SUBSTITUTE(SUBSTITUTE(K62,"Rs. ",""),"₹",""),",","")))</f>
        <v>15710</v>
      </c>
      <c r="X62" s="8">
        <f t="shared" si="8"/>
        <v>0</v>
      </c>
      <c r="Y62" s="7">
        <f t="shared" si="9"/>
        <v>15710</v>
      </c>
      <c r="Z62" s="9" t="str">
        <f t="shared" si="1"/>
        <v>ADULT</v>
      </c>
    </row>
    <row r="63" spans="1:26" x14ac:dyDescent="0.3">
      <c r="A63" s="5" t="s">
        <v>261</v>
      </c>
      <c r="B63" s="5" t="s">
        <v>45</v>
      </c>
      <c r="C63" s="5" t="s">
        <v>46</v>
      </c>
      <c r="D63" s="5" t="s">
        <v>80</v>
      </c>
      <c r="E63" s="5" t="s">
        <v>67</v>
      </c>
      <c r="F63" s="5" t="s">
        <v>196</v>
      </c>
      <c r="G63" s="5" t="s">
        <v>30</v>
      </c>
      <c r="H63" s="5">
        <v>50</v>
      </c>
      <c r="I63" s="5" t="s">
        <v>20</v>
      </c>
      <c r="J63" s="34" t="s">
        <v>262</v>
      </c>
      <c r="K63" s="31" t="s">
        <v>263</v>
      </c>
      <c r="L63" s="5" t="s">
        <v>104</v>
      </c>
      <c r="M63" s="32">
        <v>35</v>
      </c>
      <c r="N63" s="6">
        <f t="shared" si="2"/>
        <v>35</v>
      </c>
      <c r="O63" s="4" t="s">
        <v>196</v>
      </c>
      <c r="P63" s="5" t="str">
        <f t="shared" si="3"/>
        <v>Ahmedabad</v>
      </c>
      <c r="Q63" s="5" t="str">
        <f t="shared" si="4"/>
        <v>Neurology</v>
      </c>
      <c r="R63" s="6" t="str">
        <f t="shared" si="5"/>
        <v>Fortis</v>
      </c>
      <c r="S63" s="6" t="str">
        <f t="shared" si="6"/>
        <v>Insurance</v>
      </c>
      <c r="T63" s="6" t="str">
        <f t="shared" si="7"/>
        <v>Male</v>
      </c>
      <c r="U63" s="6" t="str">
        <f t="shared" si="10"/>
        <v>General</v>
      </c>
      <c r="V63" s="6" t="str" cm="1">
        <f t="array" ref="V63">IF(TRIM(S63)="",INDEX($S$2:$S$1500,MATCH(MAX(COUNTIF($S$2:$S$1500,S63)),COUNTIF($S$2:$S$1500,$S$2:$S$1500),0)),S63)</f>
        <v>Insurance</v>
      </c>
      <c r="W63" s="7" cm="1">
        <f t="array" ref="W63">IF(OR(TRIM(K63)="",TRIM(K63)="-"), MEDIAN(IF($E$2:$E$1500=E63,$K$2:$K$1500)),  VALUE(SUBSTITUTE(SUBSTITUTE(SUBSTITUTE(K63,"Rs. ",""),"₹",""),",","")))</f>
        <v>7897</v>
      </c>
      <c r="X63" s="8">
        <f t="shared" si="8"/>
        <v>35</v>
      </c>
      <c r="Y63" s="7">
        <f t="shared" si="9"/>
        <v>5133</v>
      </c>
      <c r="Z63" s="9" t="str">
        <f t="shared" si="1"/>
        <v>ADULT</v>
      </c>
    </row>
    <row r="64" spans="1:26" x14ac:dyDescent="0.3">
      <c r="A64" s="5" t="s">
        <v>264</v>
      </c>
      <c r="B64" s="5" t="s">
        <v>106</v>
      </c>
      <c r="C64" s="5" t="s">
        <v>107</v>
      </c>
      <c r="D64" s="5" t="s">
        <v>55</v>
      </c>
      <c r="E64" s="5" t="s">
        <v>108</v>
      </c>
      <c r="F64" s="5" t="s">
        <v>109</v>
      </c>
      <c r="G64" s="5" t="s">
        <v>19</v>
      </c>
      <c r="H64" s="5">
        <v>84</v>
      </c>
      <c r="I64" s="5" t="s">
        <v>40</v>
      </c>
      <c r="J64" s="34" t="s">
        <v>265</v>
      </c>
      <c r="K64" s="31" t="s">
        <v>266</v>
      </c>
      <c r="L64" s="5" t="s">
        <v>52</v>
      </c>
      <c r="M64" s="32"/>
      <c r="N64" s="6">
        <f t="shared" si="2"/>
        <v>0</v>
      </c>
      <c r="O64" s="4" t="s">
        <v>109</v>
      </c>
      <c r="P64" s="5" t="str">
        <f t="shared" si="3"/>
        <v>Hyderabad</v>
      </c>
      <c r="Q64" s="5" t="str">
        <f t="shared" si="4"/>
        <v>Orthopedics</v>
      </c>
      <c r="R64" s="6" t="str">
        <f t="shared" si="5"/>
        <v>Aiims</v>
      </c>
      <c r="S64" s="6" t="str">
        <f t="shared" si="6"/>
        <v>Credit Card</v>
      </c>
      <c r="T64" s="6" t="str">
        <f t="shared" si="7"/>
        <v>Female</v>
      </c>
      <c r="U64" s="6" t="str">
        <f t="shared" si="10"/>
        <v>General</v>
      </c>
      <c r="V64" s="6" t="str" cm="1">
        <f t="array" ref="V64">IF(TRIM(S64)="",INDEX($S$2:$S$1500,MATCH(MAX(COUNTIF($S$2:$S$1500,S64)),COUNTIF($S$2:$S$1500,$S$2:$S$1500),0)),S64)</f>
        <v>Credit Card</v>
      </c>
      <c r="W64" s="7" cm="1">
        <f t="array" ref="W64">IF(OR(TRIM(K64)="",TRIM(K64)="-"), MEDIAN(IF($E$2:$E$1500=E64,$K$2:$K$1500)),  VALUE(SUBSTITUTE(SUBSTITUTE(SUBSTITUTE(K64,"Rs. ",""),"₹",""),",","")))</f>
        <v>11167</v>
      </c>
      <c r="X64" s="8">
        <f t="shared" si="8"/>
        <v>0</v>
      </c>
      <c r="Y64" s="7">
        <f t="shared" si="9"/>
        <v>11167</v>
      </c>
      <c r="Z64" s="9" t="str">
        <f t="shared" si="1"/>
        <v>SENIOR</v>
      </c>
    </row>
    <row r="65" spans="1:26" x14ac:dyDescent="0.3">
      <c r="A65" s="5" t="s">
        <v>267</v>
      </c>
      <c r="B65" s="5" t="s">
        <v>117</v>
      </c>
      <c r="C65" s="5" t="s">
        <v>182</v>
      </c>
      <c r="D65" s="5" t="s">
        <v>80</v>
      </c>
      <c r="E65" s="5" t="s">
        <v>28</v>
      </c>
      <c r="F65" s="5" t="s">
        <v>268</v>
      </c>
      <c r="G65" s="5" t="s">
        <v>69</v>
      </c>
      <c r="H65" s="5">
        <v>23</v>
      </c>
      <c r="I65" s="5" t="s">
        <v>40</v>
      </c>
      <c r="J65" s="34" t="s">
        <v>269</v>
      </c>
      <c r="K65" s="31" t="s">
        <v>270</v>
      </c>
      <c r="L65" s="5" t="s">
        <v>52</v>
      </c>
      <c r="M65" s="32">
        <v>0.1</v>
      </c>
      <c r="N65" s="6">
        <f t="shared" si="2"/>
        <v>10</v>
      </c>
      <c r="O65" s="4" t="s">
        <v>268</v>
      </c>
      <c r="P65" s="5" t="str">
        <f t="shared" si="3"/>
        <v>Ahmedabad</v>
      </c>
      <c r="Q65" s="5" t="str">
        <f t="shared" si="4"/>
        <v>Oncology</v>
      </c>
      <c r="R65" s="6" t="str">
        <f t="shared" si="5"/>
        <v>Manipal</v>
      </c>
      <c r="S65" s="6" t="str">
        <f t="shared" si="6"/>
        <v>Credit Card</v>
      </c>
      <c r="T65" s="6" t="str">
        <f t="shared" si="7"/>
        <v>Female</v>
      </c>
      <c r="U65" s="6" t="str">
        <f t="shared" si="10"/>
        <v>ICU</v>
      </c>
      <c r="V65" s="6" t="str" cm="1">
        <f t="array" ref="V65">IF(TRIM(S65)="",INDEX($S$2:$S$1500,MATCH(MAX(COUNTIF($S$2:$S$1500,S65)),COUNTIF($S$2:$S$1500,$S$2:$S$1500),0)),S65)</f>
        <v>Credit Card</v>
      </c>
      <c r="W65" s="7" cm="1">
        <f t="array" ref="W65">IF(OR(TRIM(K65)="",TRIM(K65)="-"), MEDIAN(IF($E$2:$E$1500=E65,$K$2:$K$1500)),  VALUE(SUBSTITUTE(SUBSTITUTE(SUBSTITUTE(K65,"Rs. ",""),"₹",""),",","")))</f>
        <v>34034</v>
      </c>
      <c r="X65" s="8">
        <f t="shared" si="8"/>
        <v>10</v>
      </c>
      <c r="Y65" s="7">
        <f t="shared" si="9"/>
        <v>30631</v>
      </c>
      <c r="Z65" s="9" t="str">
        <f t="shared" si="1"/>
        <v>ADULT</v>
      </c>
    </row>
    <row r="66" spans="1:26" x14ac:dyDescent="0.3">
      <c r="A66" s="5" t="s">
        <v>271</v>
      </c>
      <c r="B66" s="5" t="s">
        <v>106</v>
      </c>
      <c r="C66" s="5" t="s">
        <v>107</v>
      </c>
      <c r="D66" s="5" t="s">
        <v>16</v>
      </c>
      <c r="E66" s="5" t="s">
        <v>108</v>
      </c>
      <c r="F66" s="5" t="s">
        <v>272</v>
      </c>
      <c r="G66" s="5" t="s">
        <v>101</v>
      </c>
      <c r="H66" s="5">
        <v>65</v>
      </c>
      <c r="I66" s="5" t="s">
        <v>40</v>
      </c>
      <c r="J66" s="34" t="s">
        <v>244</v>
      </c>
      <c r="K66" s="31" t="s">
        <v>140</v>
      </c>
      <c r="L66" s="5" t="s">
        <v>236</v>
      </c>
      <c r="M66" s="32" t="s">
        <v>140</v>
      </c>
      <c r="N66" s="6" t="str">
        <f t="shared" si="2"/>
        <v>-</v>
      </c>
      <c r="O66" s="4" t="s">
        <v>272</v>
      </c>
      <c r="P66" s="5" t="str">
        <f t="shared" si="3"/>
        <v>Bangalore</v>
      </c>
      <c r="Q66" s="5" t="str">
        <f t="shared" si="4"/>
        <v>Orthopedics</v>
      </c>
      <c r="R66" s="6" t="str">
        <f t="shared" si="5"/>
        <v>Aiims</v>
      </c>
      <c r="S66" s="6" t="str">
        <f t="shared" si="6"/>
        <v>Debit Card</v>
      </c>
      <c r="T66" s="6" t="str">
        <f t="shared" si="7"/>
        <v>Female</v>
      </c>
      <c r="U66" s="6" t="str">
        <f t="shared" si="10"/>
        <v>ICU</v>
      </c>
      <c r="V66" s="6" t="str" cm="1">
        <f t="array" ref="V66">IF(TRIM(S66)="",INDEX($S$2:$S$1500,MATCH(MAX(COUNTIF($S$2:$S$1500,S66)),COUNTIF($S$2:$S$1500,$S$2:$S$1500),0)),S66)</f>
        <v>Debit Card</v>
      </c>
      <c r="W66" s="7" cm="1">
        <f t="array" ref="W66">IF(OR(TRIM(K66)="",TRIM(K66)="-"), MEDIAN(IF($E$2:$E$1500=E66,$K$2:$K$1500)),  VALUE(SUBSTITUTE(SUBSTITUTE(SUBSTITUTE(K66,"Rs. ",""),"₹",""),",","")))</f>
        <v>13871</v>
      </c>
      <c r="X66" s="8">
        <f t="shared" si="8"/>
        <v>3</v>
      </c>
      <c r="Y66" s="7">
        <f t="shared" si="9"/>
        <v>13455</v>
      </c>
      <c r="Z66" s="9" t="str">
        <f t="shared" ref="Z66:Z129" si="11">IF(H66&lt;13,"CHILD",IF(H66&lt;20,"TEEN",IF(H66&lt;60,"ADULT","SENIOR")))</f>
        <v>SENIOR</v>
      </c>
    </row>
    <row r="67" spans="1:26" x14ac:dyDescent="0.3">
      <c r="A67" s="5" t="s">
        <v>273</v>
      </c>
      <c r="B67" s="5" t="s">
        <v>117</v>
      </c>
      <c r="C67" s="5" t="s">
        <v>118</v>
      </c>
      <c r="D67" s="5" t="s">
        <v>66</v>
      </c>
      <c r="E67" s="5" t="s">
        <v>67</v>
      </c>
      <c r="F67" s="5" t="s">
        <v>196</v>
      </c>
      <c r="G67" s="5" t="s">
        <v>19</v>
      </c>
      <c r="H67" s="5">
        <v>21</v>
      </c>
      <c r="I67" s="5" t="s">
        <v>20</v>
      </c>
      <c r="J67" s="34" t="s">
        <v>274</v>
      </c>
      <c r="K67" s="31">
        <v>12010</v>
      </c>
      <c r="L67" s="5" t="s">
        <v>34</v>
      </c>
      <c r="M67" s="32">
        <v>0</v>
      </c>
      <c r="N67" s="6">
        <f t="shared" ref="N67:N130" si="12">IF(RIGHT(TRIM(M67),1)="%",VALUE(LEFT(TRIM(M67),LEN(TRIM(M67))-1)),  IF(AND(ISNUMBER(M67),M67&lt;=1,M67&gt;0),M67*100,M67))</f>
        <v>0</v>
      </c>
      <c r="O67" s="4" t="s">
        <v>196</v>
      </c>
      <c r="P67" s="5" t="str">
        <f t="shared" ref="P67:P130" si="13">PROPER(D67)</f>
        <v>Kolkata</v>
      </c>
      <c r="Q67" s="5" t="str">
        <f t="shared" ref="Q67:Q130" si="14">PROPER(E67)</f>
        <v>Neurology</v>
      </c>
      <c r="R67" s="6" t="str">
        <f t="shared" ref="R67:R130" si="15">PROPER(C67)</f>
        <v>Manipal</v>
      </c>
      <c r="S67" s="6" t="str">
        <f t="shared" ref="S67:S130" si="16">IF(OR(UPPER(TRIM(L67))="CREDIT_CARD",UPPER(TRIM(L67))="CREDIT CARD",UPPER(TRIM(L67))="CC"),"Credit Card", IF(OR(UPPER(TRIM(L67))="DEBIT_CARD",UPPER(TRIM(L67))="DEBIT CARD",UPPER(TRIM(L67))="DC"),"Debit Card", IF(UPPER(TRIM(L67))="CASH","Cash", IF(UPPER(TRIM(L67))="UPI","UPI", IF(OR(UPPER(TRIM(L67))="INSURANCE",UPPER(TRIM(L67))="INS"),"Insurance", IF(TRIM(L67)="","Unknown","Unknown"))))))</f>
        <v>Cash</v>
      </c>
      <c r="T67" s="6" t="str">
        <f t="shared" ref="T67:T130" si="17">IF(OR(UPPER(TRIM(I67))="M",UPPER(TRIM(I67))="MALE"),"Male",IF(OR(UPPER(TRIM(I67))="F",UPPER(TRIM(I67))="FEMALE"),"Female","Unknown"))</f>
        <v>Male</v>
      </c>
      <c r="U67" s="6" t="str">
        <f t="shared" si="10"/>
        <v>General</v>
      </c>
      <c r="V67" s="6" t="str" cm="1">
        <f t="array" ref="V67">IF(TRIM(S67)="",INDEX($S$2:$S$1500,MATCH(MAX(COUNTIF($S$2:$S$1500,S67)),COUNTIF($S$2:$S$1500,$S$2:$S$1500),0)),S67)</f>
        <v>Cash</v>
      </c>
      <c r="W67" s="7" cm="1">
        <f t="array" ref="W67">IF(OR(TRIM(K67)="",TRIM(K67)="-"), MEDIAN(IF($E$2:$E$1500=E67,$K$2:$K$1500)),  VALUE(SUBSTITUTE(SUBSTITUTE(SUBSTITUTE(K67,"Rs. ",""),"₹",""),",","")))</f>
        <v>12010</v>
      </c>
      <c r="X67" s="8">
        <f t="shared" ref="X67:X130" si="18">ROUND(IF(OR(TRIM(N67)="-",UPPER(TRIM(N67))="N/A",UPPER(TRIM(N67))="NA"), IFERROR(AVERAGEIF($V$2:$V$1500,V67,$N$2:$N$1500),AVERAGE($N$2:$N$1500)), N67),0)</f>
        <v>0</v>
      </c>
      <c r="Y67" s="7">
        <f t="shared" ref="Y67:Y130" si="19">ROUND(W67*(1-X67/100),0)</f>
        <v>12010</v>
      </c>
      <c r="Z67" s="9" t="str">
        <f t="shared" si="11"/>
        <v>ADULT</v>
      </c>
    </row>
    <row r="68" spans="1:26" x14ac:dyDescent="0.3">
      <c r="A68" s="5" t="s">
        <v>275</v>
      </c>
      <c r="B68" s="5" t="s">
        <v>45</v>
      </c>
      <c r="C68" s="5" t="s">
        <v>46</v>
      </c>
      <c r="D68" s="5" t="s">
        <v>55</v>
      </c>
      <c r="E68" s="5" t="s">
        <v>37</v>
      </c>
      <c r="F68" s="5" t="s">
        <v>38</v>
      </c>
      <c r="G68" s="5" t="s">
        <v>19</v>
      </c>
      <c r="H68" s="5">
        <v>87</v>
      </c>
      <c r="I68" s="5" t="s">
        <v>20</v>
      </c>
      <c r="J68" s="34" t="s">
        <v>276</v>
      </c>
      <c r="K68" s="31" t="s">
        <v>277</v>
      </c>
      <c r="L68" s="5" t="s">
        <v>115</v>
      </c>
      <c r="M68" s="32">
        <v>0</v>
      </c>
      <c r="N68" s="6">
        <f t="shared" si="12"/>
        <v>0</v>
      </c>
      <c r="O68" s="4" t="s">
        <v>38</v>
      </c>
      <c r="P68" s="5" t="str">
        <f t="shared" si="13"/>
        <v>Hyderabad</v>
      </c>
      <c r="Q68" s="5" t="str">
        <f t="shared" si="14"/>
        <v>Pediatrics</v>
      </c>
      <c r="R68" s="6" t="str">
        <f t="shared" si="15"/>
        <v>Fortis</v>
      </c>
      <c r="S68" s="6" t="str">
        <f t="shared" si="16"/>
        <v>Cash</v>
      </c>
      <c r="T68" s="6" t="str">
        <f t="shared" si="17"/>
        <v>Male</v>
      </c>
      <c r="U68" s="6" t="str">
        <f t="shared" si="10"/>
        <v>General</v>
      </c>
      <c r="V68" s="6" t="str" cm="1">
        <f t="array" ref="V68">IF(TRIM(S68)="",INDEX($S$2:$S$1500,MATCH(MAX(COUNTIF($S$2:$S$1500,S68)),COUNTIF($S$2:$S$1500,$S$2:$S$1500),0)),S68)</f>
        <v>Cash</v>
      </c>
      <c r="W68" s="7" cm="1">
        <f t="array" ref="W68">IF(OR(TRIM(K68)="",TRIM(K68)="-"), MEDIAN(IF($E$2:$E$1500=E68,$K$2:$K$1500)),  VALUE(SUBSTITUTE(SUBSTITUTE(SUBSTITUTE(K68,"Rs. ",""),"₹",""),",","")))</f>
        <v>15348</v>
      </c>
      <c r="X68" s="8">
        <f t="shared" si="18"/>
        <v>0</v>
      </c>
      <c r="Y68" s="7">
        <f t="shared" si="19"/>
        <v>15348</v>
      </c>
      <c r="Z68" s="9" t="str">
        <f t="shared" si="11"/>
        <v>SENIOR</v>
      </c>
    </row>
    <row r="69" spans="1:26" x14ac:dyDescent="0.3">
      <c r="A69" s="5" t="s">
        <v>278</v>
      </c>
      <c r="B69" s="5" t="s">
        <v>117</v>
      </c>
      <c r="C69" s="5" t="s">
        <v>118</v>
      </c>
      <c r="D69" s="5" t="s">
        <v>27</v>
      </c>
      <c r="E69" s="5" t="s">
        <v>74</v>
      </c>
      <c r="F69" s="5" t="s">
        <v>147</v>
      </c>
      <c r="G69" s="5" t="s">
        <v>49</v>
      </c>
      <c r="H69" s="5">
        <v>48</v>
      </c>
      <c r="I69" s="5" t="s">
        <v>31</v>
      </c>
      <c r="J69" s="34" t="s">
        <v>279</v>
      </c>
      <c r="K69" s="31" t="s">
        <v>280</v>
      </c>
      <c r="L69" s="5" t="s">
        <v>115</v>
      </c>
      <c r="M69" s="32" t="s">
        <v>130</v>
      </c>
      <c r="N69" s="6">
        <f t="shared" si="12"/>
        <v>0</v>
      </c>
      <c r="O69" s="4" t="s">
        <v>147</v>
      </c>
      <c r="P69" s="5" t="str">
        <f t="shared" si="13"/>
        <v>Mumbai</v>
      </c>
      <c r="Q69" s="5" t="str">
        <f t="shared" si="14"/>
        <v>General Medicine</v>
      </c>
      <c r="R69" s="6" t="str">
        <f t="shared" si="15"/>
        <v>Manipal</v>
      </c>
      <c r="S69" s="6" t="str">
        <f t="shared" si="16"/>
        <v>Cash</v>
      </c>
      <c r="T69" s="6" t="str">
        <f t="shared" si="17"/>
        <v>Male</v>
      </c>
      <c r="U69" s="6" t="str">
        <f t="shared" si="10"/>
        <v>General</v>
      </c>
      <c r="V69" s="6" t="str" cm="1">
        <f t="array" ref="V69">IF(TRIM(S69)="",INDEX($S$2:$S$1500,MATCH(MAX(COUNTIF($S$2:$S$1500,S69)),COUNTIF($S$2:$S$1500,$S$2:$S$1500),0)),S69)</f>
        <v>Cash</v>
      </c>
      <c r="W69" s="7" cm="1">
        <f t="array" ref="W69">IF(OR(TRIM(K69)="",TRIM(K69)="-"), MEDIAN(IF($E$2:$E$1500=E69,$K$2:$K$1500)),  VALUE(SUBSTITUTE(SUBSTITUTE(SUBSTITUTE(K69,"Rs. ",""),"₹",""),",","")))</f>
        <v>14804</v>
      </c>
      <c r="X69" s="8">
        <f t="shared" si="18"/>
        <v>0</v>
      </c>
      <c r="Y69" s="7">
        <f t="shared" si="19"/>
        <v>14804</v>
      </c>
      <c r="Z69" s="9" t="str">
        <f t="shared" si="11"/>
        <v>ADULT</v>
      </c>
    </row>
    <row r="70" spans="1:26" x14ac:dyDescent="0.3">
      <c r="A70" s="5" t="s">
        <v>281</v>
      </c>
      <c r="B70" s="5" t="s">
        <v>14</v>
      </c>
      <c r="C70" s="5" t="s">
        <v>60</v>
      </c>
      <c r="D70" s="5" t="s">
        <v>55</v>
      </c>
      <c r="E70" s="5" t="s">
        <v>164</v>
      </c>
      <c r="F70" s="5" t="s">
        <v>282</v>
      </c>
      <c r="G70" s="5" t="s">
        <v>49</v>
      </c>
      <c r="H70" s="5">
        <v>54</v>
      </c>
      <c r="I70" s="5" t="s">
        <v>31</v>
      </c>
      <c r="J70" s="34" t="s">
        <v>179</v>
      </c>
      <c r="K70" s="31" t="s">
        <v>283</v>
      </c>
      <c r="L70" s="5" t="s">
        <v>91</v>
      </c>
      <c r="M70" s="32"/>
      <c r="N70" s="6">
        <f t="shared" si="12"/>
        <v>0</v>
      </c>
      <c r="O70" s="4" t="s">
        <v>282</v>
      </c>
      <c r="P70" s="5" t="str">
        <f t="shared" si="13"/>
        <v>Hyderabad</v>
      </c>
      <c r="Q70" s="5" t="str">
        <f t="shared" si="14"/>
        <v>Cardiology</v>
      </c>
      <c r="R70" s="6" t="str">
        <f t="shared" si="15"/>
        <v>Max_Healthcare</v>
      </c>
      <c r="S70" s="6" t="str">
        <f t="shared" si="16"/>
        <v>Debit Card</v>
      </c>
      <c r="T70" s="6" t="str">
        <f t="shared" si="17"/>
        <v>Male</v>
      </c>
      <c r="U70" s="6" t="str">
        <f t="shared" si="10"/>
        <v>General</v>
      </c>
      <c r="V70" s="6" t="str" cm="1">
        <f t="array" ref="V70">IF(TRIM(S70)="",INDEX($S$2:$S$1500,MATCH(MAX(COUNTIF($S$2:$S$1500,S70)),COUNTIF($S$2:$S$1500,$S$2:$S$1500),0)),S70)</f>
        <v>Debit Card</v>
      </c>
      <c r="W70" s="7" cm="1">
        <f t="array" ref="W70">IF(OR(TRIM(K70)="",TRIM(K70)="-"), MEDIAN(IF($E$2:$E$1500=E70,$K$2:$K$1500)),  VALUE(SUBSTITUTE(SUBSTITUTE(SUBSTITUTE(K70,"Rs. ",""),"₹",""),",","")))</f>
        <v>4565</v>
      </c>
      <c r="X70" s="8">
        <f t="shared" si="18"/>
        <v>0</v>
      </c>
      <c r="Y70" s="7">
        <f t="shared" si="19"/>
        <v>4565</v>
      </c>
      <c r="Z70" s="9" t="str">
        <f t="shared" si="11"/>
        <v>ADULT</v>
      </c>
    </row>
    <row r="71" spans="1:26" x14ac:dyDescent="0.3">
      <c r="A71" s="5" t="s">
        <v>284</v>
      </c>
      <c r="B71" s="5" t="s">
        <v>78</v>
      </c>
      <c r="C71" s="5" t="s">
        <v>203</v>
      </c>
      <c r="D71" s="5" t="s">
        <v>55</v>
      </c>
      <c r="E71" s="5" t="s">
        <v>93</v>
      </c>
      <c r="F71" s="5" t="s">
        <v>121</v>
      </c>
      <c r="G71" s="5" t="s">
        <v>30</v>
      </c>
      <c r="H71" s="5">
        <v>27</v>
      </c>
      <c r="I71" s="5" t="s">
        <v>20</v>
      </c>
      <c r="J71" s="34" t="s">
        <v>285</v>
      </c>
      <c r="K71" s="31" t="s">
        <v>286</v>
      </c>
      <c r="L71" s="5"/>
      <c r="M71" s="32">
        <v>0</v>
      </c>
      <c r="N71" s="6">
        <f t="shared" si="12"/>
        <v>0</v>
      </c>
      <c r="O71" s="4" t="s">
        <v>121</v>
      </c>
      <c r="P71" s="5" t="str">
        <f t="shared" si="13"/>
        <v>Hyderabad</v>
      </c>
      <c r="Q71" s="5" t="str">
        <f t="shared" si="14"/>
        <v>Nephrology</v>
      </c>
      <c r="R71" s="6" t="str">
        <f t="shared" si="15"/>
        <v>Apollo</v>
      </c>
      <c r="S71" s="6" t="str">
        <f t="shared" si="16"/>
        <v>Unknown</v>
      </c>
      <c r="T71" s="6" t="str">
        <f t="shared" si="17"/>
        <v>Male</v>
      </c>
      <c r="U71" s="6" t="str">
        <f t="shared" si="10"/>
        <v>General</v>
      </c>
      <c r="V71" s="6" t="str" cm="1">
        <f t="array" ref="V71">IF(TRIM(S71)="",INDEX($S$2:$S$1500,MATCH(MAX(COUNTIF($S$2:$S$1500,S71)),COUNTIF($S$2:$S$1500,$S$2:$S$1500),0)),S71)</f>
        <v>Unknown</v>
      </c>
      <c r="W71" s="7" cm="1">
        <f t="array" ref="W71">IF(OR(TRIM(K71)="",TRIM(K71)="-"), MEDIAN(IF($E$2:$E$1500=E71,$K$2:$K$1500)),  VALUE(SUBSTITUTE(SUBSTITUTE(SUBSTITUTE(K71,"Rs. ",""),"₹",""),",","")))</f>
        <v>18561</v>
      </c>
      <c r="X71" s="8">
        <f t="shared" si="18"/>
        <v>0</v>
      </c>
      <c r="Y71" s="7">
        <f t="shared" si="19"/>
        <v>18561</v>
      </c>
      <c r="Z71" s="9" t="str">
        <f t="shared" si="11"/>
        <v>ADULT</v>
      </c>
    </row>
    <row r="72" spans="1:26" x14ac:dyDescent="0.3">
      <c r="A72" s="5" t="s">
        <v>287</v>
      </c>
      <c r="B72" s="5" t="s">
        <v>45</v>
      </c>
      <c r="C72" s="5" t="s">
        <v>46</v>
      </c>
      <c r="D72" s="5" t="s">
        <v>66</v>
      </c>
      <c r="E72" s="5" t="s">
        <v>17</v>
      </c>
      <c r="F72" s="5" t="s">
        <v>213</v>
      </c>
      <c r="G72" s="5" t="s">
        <v>62</v>
      </c>
      <c r="H72" s="5">
        <v>45</v>
      </c>
      <c r="I72" s="5" t="s">
        <v>31</v>
      </c>
      <c r="J72" s="34" t="s">
        <v>288</v>
      </c>
      <c r="K72" s="31">
        <v>78163</v>
      </c>
      <c r="L72" s="5" t="s">
        <v>23</v>
      </c>
      <c r="M72" s="32"/>
      <c r="N72" s="6">
        <f t="shared" si="12"/>
        <v>0</v>
      </c>
      <c r="O72" s="4" t="s">
        <v>213</v>
      </c>
      <c r="P72" s="5" t="str">
        <f t="shared" si="13"/>
        <v>Kolkata</v>
      </c>
      <c r="Q72" s="5" t="str">
        <f t="shared" si="14"/>
        <v>Gynecology</v>
      </c>
      <c r="R72" s="6" t="str">
        <f t="shared" si="15"/>
        <v>Fortis</v>
      </c>
      <c r="S72" s="6" t="str">
        <f t="shared" si="16"/>
        <v>Credit Card</v>
      </c>
      <c r="T72" s="6" t="str">
        <f t="shared" si="17"/>
        <v>Male</v>
      </c>
      <c r="U72" s="6" t="str">
        <f t="shared" si="10"/>
        <v>ICU</v>
      </c>
      <c r="V72" s="6" t="str" cm="1">
        <f t="array" ref="V72">IF(TRIM(S72)="",INDEX($S$2:$S$1500,MATCH(MAX(COUNTIF($S$2:$S$1500,S72)),COUNTIF($S$2:$S$1500,$S$2:$S$1500),0)),S72)</f>
        <v>Credit Card</v>
      </c>
      <c r="W72" s="7" cm="1">
        <f t="array" ref="W72">IF(OR(TRIM(K72)="",TRIM(K72)="-"), MEDIAN(IF($E$2:$E$1500=E72,$K$2:$K$1500)),  VALUE(SUBSTITUTE(SUBSTITUTE(SUBSTITUTE(K72,"Rs. ",""),"₹",""),",","")))</f>
        <v>78163</v>
      </c>
      <c r="X72" s="8">
        <f t="shared" si="18"/>
        <v>0</v>
      </c>
      <c r="Y72" s="7">
        <f t="shared" si="19"/>
        <v>78163</v>
      </c>
      <c r="Z72" s="9" t="str">
        <f t="shared" si="11"/>
        <v>ADULT</v>
      </c>
    </row>
    <row r="73" spans="1:26" x14ac:dyDescent="0.3">
      <c r="A73" s="5" t="s">
        <v>289</v>
      </c>
      <c r="B73" s="5" t="s">
        <v>117</v>
      </c>
      <c r="C73" s="5" t="s">
        <v>182</v>
      </c>
      <c r="D73" s="5" t="s">
        <v>16</v>
      </c>
      <c r="E73" s="5" t="s">
        <v>28</v>
      </c>
      <c r="F73" s="5" t="s">
        <v>290</v>
      </c>
      <c r="G73" s="5" t="s">
        <v>39</v>
      </c>
      <c r="H73" s="5">
        <v>79</v>
      </c>
      <c r="I73" s="5" t="s">
        <v>31</v>
      </c>
      <c r="J73" s="34" t="s">
        <v>291</v>
      </c>
      <c r="K73" s="31" t="s">
        <v>292</v>
      </c>
      <c r="L73" s="5" t="s">
        <v>236</v>
      </c>
      <c r="M73" s="32">
        <v>5</v>
      </c>
      <c r="N73" s="6">
        <f t="shared" si="12"/>
        <v>5</v>
      </c>
      <c r="O73" s="4" t="s">
        <v>290</v>
      </c>
      <c r="P73" s="5" t="str">
        <f t="shared" si="13"/>
        <v>Bangalore</v>
      </c>
      <c r="Q73" s="5" t="str">
        <f t="shared" si="14"/>
        <v>Oncology</v>
      </c>
      <c r="R73" s="6" t="str">
        <f t="shared" si="15"/>
        <v>Manipal</v>
      </c>
      <c r="S73" s="6" t="str">
        <f t="shared" si="16"/>
        <v>Debit Card</v>
      </c>
      <c r="T73" s="6" t="str">
        <f t="shared" si="17"/>
        <v>Male</v>
      </c>
      <c r="U73" s="6" t="str">
        <f t="shared" si="10"/>
        <v>General</v>
      </c>
      <c r="V73" s="6" t="str" cm="1">
        <f t="array" ref="V73">IF(TRIM(S73)="",INDEX($S$2:$S$1500,MATCH(MAX(COUNTIF($S$2:$S$1500,S73)),COUNTIF($S$2:$S$1500,$S$2:$S$1500),0)),S73)</f>
        <v>Debit Card</v>
      </c>
      <c r="W73" s="7" cm="1">
        <f t="array" ref="W73">IF(OR(TRIM(K73)="",TRIM(K73)="-"), MEDIAN(IF($E$2:$E$1500=E73,$K$2:$K$1500)),  VALUE(SUBSTITUTE(SUBSTITUTE(SUBSTITUTE(K73,"Rs. ",""),"₹",""),",","")))</f>
        <v>9463</v>
      </c>
      <c r="X73" s="8">
        <f t="shared" si="18"/>
        <v>5</v>
      </c>
      <c r="Y73" s="7">
        <f t="shared" si="19"/>
        <v>8990</v>
      </c>
      <c r="Z73" s="9" t="str">
        <f t="shared" si="11"/>
        <v>SENIOR</v>
      </c>
    </row>
    <row r="74" spans="1:26" x14ac:dyDescent="0.3">
      <c r="A74" s="5" t="s">
        <v>293</v>
      </c>
      <c r="B74" s="5" t="s">
        <v>14</v>
      </c>
      <c r="C74" s="5" t="s">
        <v>15</v>
      </c>
      <c r="D74" s="5" t="s">
        <v>27</v>
      </c>
      <c r="E74" s="5" t="s">
        <v>74</v>
      </c>
      <c r="F74" s="5" t="s">
        <v>75</v>
      </c>
      <c r="G74" s="5" t="s">
        <v>69</v>
      </c>
      <c r="H74" s="5">
        <v>92</v>
      </c>
      <c r="I74" s="5" t="s">
        <v>31</v>
      </c>
      <c r="J74" s="34" t="s">
        <v>294</v>
      </c>
      <c r="K74" s="31">
        <v>69172</v>
      </c>
      <c r="L74" s="5" t="s">
        <v>52</v>
      </c>
      <c r="M74" s="32" t="s">
        <v>130</v>
      </c>
      <c r="N74" s="6">
        <f t="shared" si="12"/>
        <v>0</v>
      </c>
      <c r="O74" s="4" t="s">
        <v>75</v>
      </c>
      <c r="P74" s="5" t="str">
        <f t="shared" si="13"/>
        <v>Mumbai</v>
      </c>
      <c r="Q74" s="5" t="str">
        <f t="shared" si="14"/>
        <v>General Medicine</v>
      </c>
      <c r="R74" s="6" t="str">
        <f t="shared" si="15"/>
        <v>Max_Healthcare</v>
      </c>
      <c r="S74" s="6" t="str">
        <f t="shared" si="16"/>
        <v>Credit Card</v>
      </c>
      <c r="T74" s="6" t="str">
        <f t="shared" si="17"/>
        <v>Male</v>
      </c>
      <c r="U74" s="6" t="str">
        <f t="shared" si="10"/>
        <v>ICU</v>
      </c>
      <c r="V74" s="6" t="str" cm="1">
        <f t="array" ref="V74">IF(TRIM(S74)="",INDEX($S$2:$S$1500,MATCH(MAX(COUNTIF($S$2:$S$1500,S74)),COUNTIF($S$2:$S$1500,$S$2:$S$1500),0)),S74)</f>
        <v>Credit Card</v>
      </c>
      <c r="W74" s="7" cm="1">
        <f t="array" ref="W74">IF(OR(TRIM(K74)="",TRIM(K74)="-"), MEDIAN(IF($E$2:$E$1500=E74,$K$2:$K$1500)),  VALUE(SUBSTITUTE(SUBSTITUTE(SUBSTITUTE(K74,"Rs. ",""),"₹",""),",","")))</f>
        <v>69172</v>
      </c>
      <c r="X74" s="8">
        <f t="shared" si="18"/>
        <v>0</v>
      </c>
      <c r="Y74" s="7">
        <f t="shared" si="19"/>
        <v>69172</v>
      </c>
      <c r="Z74" s="9" t="str">
        <f t="shared" si="11"/>
        <v>SENIOR</v>
      </c>
    </row>
    <row r="75" spans="1:26" x14ac:dyDescent="0.3">
      <c r="A75" s="5" t="s">
        <v>295</v>
      </c>
      <c r="B75" s="5" t="s">
        <v>45</v>
      </c>
      <c r="C75" s="5" t="s">
        <v>46</v>
      </c>
      <c r="D75" s="5" t="s">
        <v>189</v>
      </c>
      <c r="E75" s="5" t="s">
        <v>108</v>
      </c>
      <c r="F75" s="5" t="s">
        <v>272</v>
      </c>
      <c r="G75" s="5" t="s">
        <v>69</v>
      </c>
      <c r="H75" s="5">
        <v>92</v>
      </c>
      <c r="I75" s="5" t="s">
        <v>20</v>
      </c>
      <c r="J75" s="34" t="s">
        <v>296</v>
      </c>
      <c r="K75" s="31">
        <v>77154</v>
      </c>
      <c r="L75" s="5" t="s">
        <v>42</v>
      </c>
      <c r="M75" s="32" t="s">
        <v>64</v>
      </c>
      <c r="N75" s="6" t="str">
        <f t="shared" si="12"/>
        <v>NA</v>
      </c>
      <c r="O75" s="4" t="s">
        <v>272</v>
      </c>
      <c r="P75" s="5" t="str">
        <f t="shared" si="13"/>
        <v>Delhi</v>
      </c>
      <c r="Q75" s="5" t="str">
        <f t="shared" si="14"/>
        <v>Orthopedics</v>
      </c>
      <c r="R75" s="6" t="str">
        <f t="shared" si="15"/>
        <v>Fortis</v>
      </c>
      <c r="S75" s="6" t="str">
        <f t="shared" si="16"/>
        <v>Insurance</v>
      </c>
      <c r="T75" s="6" t="str">
        <f t="shared" si="17"/>
        <v>Male</v>
      </c>
      <c r="U75" s="6" t="str">
        <f t="shared" si="10"/>
        <v>ICU</v>
      </c>
      <c r="V75" s="6" t="str" cm="1">
        <f t="array" ref="V75">IF(TRIM(S75)="",INDEX($S$2:$S$1500,MATCH(MAX(COUNTIF($S$2:$S$1500,S75)),COUNTIF($S$2:$S$1500,$S$2:$S$1500),0)),S75)</f>
        <v>Insurance</v>
      </c>
      <c r="W75" s="7" cm="1">
        <f t="array" ref="W75">IF(OR(TRIM(K75)="",TRIM(K75)="-"), MEDIAN(IF($E$2:$E$1500=E75,$K$2:$K$1500)),  VALUE(SUBSTITUTE(SUBSTITUTE(SUBSTITUTE(K75,"Rs. ",""),"₹",""),",","")))</f>
        <v>77154</v>
      </c>
      <c r="X75" s="8">
        <f t="shared" si="18"/>
        <v>19</v>
      </c>
      <c r="Y75" s="7">
        <f t="shared" si="19"/>
        <v>62495</v>
      </c>
      <c r="Z75" s="9" t="str">
        <f t="shared" si="11"/>
        <v>SENIOR</v>
      </c>
    </row>
    <row r="76" spans="1:26" x14ac:dyDescent="0.3">
      <c r="A76" s="5" t="s">
        <v>297</v>
      </c>
      <c r="B76" s="5" t="s">
        <v>45</v>
      </c>
      <c r="C76" s="5" t="s">
        <v>46</v>
      </c>
      <c r="D76" s="5" t="s">
        <v>66</v>
      </c>
      <c r="E76" s="5" t="s">
        <v>28</v>
      </c>
      <c r="F76" s="5" t="s">
        <v>290</v>
      </c>
      <c r="G76" s="5" t="s">
        <v>69</v>
      </c>
      <c r="H76" s="5">
        <v>25</v>
      </c>
      <c r="I76" s="5" t="s">
        <v>40</v>
      </c>
      <c r="J76" s="34" t="s">
        <v>298</v>
      </c>
      <c r="K76" s="31" t="s">
        <v>299</v>
      </c>
      <c r="L76" s="5" t="s">
        <v>149</v>
      </c>
      <c r="M76" s="32">
        <v>30</v>
      </c>
      <c r="N76" s="6">
        <f t="shared" si="12"/>
        <v>30</v>
      </c>
      <c r="O76" s="4" t="s">
        <v>290</v>
      </c>
      <c r="P76" s="5" t="str">
        <f t="shared" si="13"/>
        <v>Kolkata</v>
      </c>
      <c r="Q76" s="5" t="str">
        <f t="shared" si="14"/>
        <v>Oncology</v>
      </c>
      <c r="R76" s="6" t="str">
        <f t="shared" si="15"/>
        <v>Fortis</v>
      </c>
      <c r="S76" s="6" t="str">
        <f t="shared" si="16"/>
        <v>Insurance</v>
      </c>
      <c r="T76" s="6" t="str">
        <f t="shared" si="17"/>
        <v>Female</v>
      </c>
      <c r="U76" s="6" t="str">
        <f t="shared" si="10"/>
        <v>ICU</v>
      </c>
      <c r="V76" s="6" t="str" cm="1">
        <f t="array" ref="V76">IF(TRIM(S76)="",INDEX($S$2:$S$1500,MATCH(MAX(COUNTIF($S$2:$S$1500,S76)),COUNTIF($S$2:$S$1500,$S$2:$S$1500),0)),S76)</f>
        <v>Insurance</v>
      </c>
      <c r="W76" s="7" cm="1">
        <f t="array" ref="W76">IF(OR(TRIM(K76)="",TRIM(K76)="-"), MEDIAN(IF($E$2:$E$1500=E76,$K$2:$K$1500)),  VALUE(SUBSTITUTE(SUBSTITUTE(SUBSTITUTE(K76,"Rs. ",""),"₹",""),",","")))</f>
        <v>51348</v>
      </c>
      <c r="X76" s="8">
        <f t="shared" si="18"/>
        <v>30</v>
      </c>
      <c r="Y76" s="7">
        <f t="shared" si="19"/>
        <v>35944</v>
      </c>
      <c r="Z76" s="9" t="str">
        <f t="shared" si="11"/>
        <v>ADULT</v>
      </c>
    </row>
    <row r="77" spans="1:26" x14ac:dyDescent="0.3">
      <c r="A77" s="5" t="s">
        <v>300</v>
      </c>
      <c r="B77" s="5" t="s">
        <v>78</v>
      </c>
      <c r="C77" s="5" t="s">
        <v>203</v>
      </c>
      <c r="D77" s="5" t="s">
        <v>61</v>
      </c>
      <c r="E77" s="5" t="s">
        <v>28</v>
      </c>
      <c r="F77" s="5" t="s">
        <v>259</v>
      </c>
      <c r="G77" s="5" t="s">
        <v>62</v>
      </c>
      <c r="H77" s="5">
        <v>10</v>
      </c>
      <c r="I77" s="5" t="s">
        <v>31</v>
      </c>
      <c r="J77" s="34" t="s">
        <v>301</v>
      </c>
      <c r="K77" s="31" t="s">
        <v>302</v>
      </c>
      <c r="L77" s="5"/>
      <c r="M77" s="32" t="s">
        <v>130</v>
      </c>
      <c r="N77" s="6">
        <f t="shared" si="12"/>
        <v>0</v>
      </c>
      <c r="O77" s="4" t="s">
        <v>259</v>
      </c>
      <c r="P77" s="5" t="str">
        <f t="shared" si="13"/>
        <v>Pune</v>
      </c>
      <c r="Q77" s="5" t="str">
        <f t="shared" si="14"/>
        <v>Oncology</v>
      </c>
      <c r="R77" s="6" t="str">
        <f t="shared" si="15"/>
        <v>Apollo</v>
      </c>
      <c r="S77" s="6" t="str">
        <f t="shared" si="16"/>
        <v>Unknown</v>
      </c>
      <c r="T77" s="6" t="str">
        <f t="shared" si="17"/>
        <v>Male</v>
      </c>
      <c r="U77" s="6" t="str">
        <f t="shared" si="10"/>
        <v>ICU</v>
      </c>
      <c r="V77" s="6" t="str" cm="1">
        <f t="array" ref="V77">IF(TRIM(S77)="",INDEX($S$2:$S$1500,MATCH(MAX(COUNTIF($S$2:$S$1500,S77)),COUNTIF($S$2:$S$1500,$S$2:$S$1500),0)),S77)</f>
        <v>Unknown</v>
      </c>
      <c r="W77" s="7" cm="1">
        <f t="array" ref="W77">IF(OR(TRIM(K77)="",TRIM(K77)="-"), MEDIAN(IF($E$2:$E$1500=E77,$K$2:$K$1500)),  VALUE(SUBSTITUTE(SUBSTITUTE(SUBSTITUTE(K77,"Rs. ",""),"₹",""),",","")))</f>
        <v>42484</v>
      </c>
      <c r="X77" s="8">
        <f t="shared" si="18"/>
        <v>0</v>
      </c>
      <c r="Y77" s="7">
        <f t="shared" si="19"/>
        <v>42484</v>
      </c>
      <c r="Z77" s="9" t="str">
        <f t="shared" si="11"/>
        <v>CHILD</v>
      </c>
    </row>
    <row r="78" spans="1:26" x14ac:dyDescent="0.3">
      <c r="A78" s="5" t="s">
        <v>303</v>
      </c>
      <c r="B78" s="5" t="s">
        <v>78</v>
      </c>
      <c r="C78" s="5" t="s">
        <v>79</v>
      </c>
      <c r="D78" s="5" t="s">
        <v>189</v>
      </c>
      <c r="E78" s="5" t="s">
        <v>164</v>
      </c>
      <c r="F78" s="5" t="s">
        <v>219</v>
      </c>
      <c r="G78" s="5" t="s">
        <v>39</v>
      </c>
      <c r="H78" s="5">
        <v>6</v>
      </c>
      <c r="I78" s="5" t="s">
        <v>20</v>
      </c>
      <c r="J78" s="34" t="s">
        <v>304</v>
      </c>
      <c r="K78" s="31" t="s">
        <v>305</v>
      </c>
      <c r="L78" s="5" t="s">
        <v>236</v>
      </c>
      <c r="M78" s="32">
        <v>0</v>
      </c>
      <c r="N78" s="6">
        <f t="shared" si="12"/>
        <v>0</v>
      </c>
      <c r="O78" s="4" t="s">
        <v>219</v>
      </c>
      <c r="P78" s="5" t="str">
        <f t="shared" si="13"/>
        <v>Delhi</v>
      </c>
      <c r="Q78" s="5" t="str">
        <f t="shared" si="14"/>
        <v>Cardiology</v>
      </c>
      <c r="R78" s="6" t="str">
        <f t="shared" si="15"/>
        <v>Apollo</v>
      </c>
      <c r="S78" s="6" t="str">
        <f t="shared" si="16"/>
        <v>Debit Card</v>
      </c>
      <c r="T78" s="6" t="str">
        <f t="shared" si="17"/>
        <v>Male</v>
      </c>
      <c r="U78" s="6" t="str">
        <f t="shared" ref="U78:U141" si="20">IF(OR(UPPER(TRIM(G78))="GENERAL",UPPER(TRIM(G78))="GENRAL"),"General",IF(UPPER(TRIM(G78))="ICU","ICU","Unknown"))</f>
        <v>General</v>
      </c>
      <c r="V78" s="6" t="str" cm="1">
        <f t="array" ref="V78">IF(TRIM(S78)="",INDEX($S$2:$S$1500,MATCH(MAX(COUNTIF($S$2:$S$1500,S78)),COUNTIF($S$2:$S$1500,$S$2:$S$1500),0)),S78)</f>
        <v>Debit Card</v>
      </c>
      <c r="W78" s="7" cm="1">
        <f t="array" ref="W78">IF(OR(TRIM(K78)="",TRIM(K78)="-"), MEDIAN(IF($E$2:$E$1500=E78,$K$2:$K$1500)),  VALUE(SUBSTITUTE(SUBSTITUTE(SUBSTITUTE(K78,"Rs. ",""),"₹",""),",","")))</f>
        <v>14908</v>
      </c>
      <c r="X78" s="8">
        <f t="shared" si="18"/>
        <v>0</v>
      </c>
      <c r="Y78" s="7">
        <f t="shared" si="19"/>
        <v>14908</v>
      </c>
      <c r="Z78" s="9" t="str">
        <f t="shared" si="11"/>
        <v>CHILD</v>
      </c>
    </row>
    <row r="79" spans="1:26" x14ac:dyDescent="0.3">
      <c r="A79" s="5" t="s">
        <v>306</v>
      </c>
      <c r="B79" s="5" t="s">
        <v>106</v>
      </c>
      <c r="C79" s="5" t="s">
        <v>307</v>
      </c>
      <c r="D79" s="5" t="s">
        <v>61</v>
      </c>
      <c r="E79" s="5" t="s">
        <v>108</v>
      </c>
      <c r="F79" s="5" t="s">
        <v>308</v>
      </c>
      <c r="G79" s="5" t="s">
        <v>39</v>
      </c>
      <c r="H79" s="5">
        <v>82</v>
      </c>
      <c r="I79" s="5" t="s">
        <v>20</v>
      </c>
      <c r="J79" s="34" t="s">
        <v>309</v>
      </c>
      <c r="K79" s="31" t="s">
        <v>310</v>
      </c>
      <c r="L79" s="5" t="s">
        <v>311</v>
      </c>
      <c r="M79" s="32" t="s">
        <v>130</v>
      </c>
      <c r="N79" s="6">
        <f t="shared" si="12"/>
        <v>0</v>
      </c>
      <c r="O79" s="4" t="s">
        <v>308</v>
      </c>
      <c r="P79" s="5" t="str">
        <f t="shared" si="13"/>
        <v>Pune</v>
      </c>
      <c r="Q79" s="5" t="str">
        <f t="shared" si="14"/>
        <v>Orthopedics</v>
      </c>
      <c r="R79" s="6" t="str">
        <f t="shared" si="15"/>
        <v>Aiims</v>
      </c>
      <c r="S79" s="6" t="str">
        <f t="shared" si="16"/>
        <v>UPI</v>
      </c>
      <c r="T79" s="6" t="str">
        <f t="shared" si="17"/>
        <v>Male</v>
      </c>
      <c r="U79" s="6" t="str">
        <f t="shared" si="20"/>
        <v>General</v>
      </c>
      <c r="V79" s="6" t="str" cm="1">
        <f t="array" ref="V79">IF(TRIM(S79)="",INDEX($S$2:$S$1500,MATCH(MAX(COUNTIF($S$2:$S$1500,S79)),COUNTIF($S$2:$S$1500,$S$2:$S$1500),0)),S79)</f>
        <v>UPI</v>
      </c>
      <c r="W79" s="7" cm="1">
        <f t="array" ref="W79">IF(OR(TRIM(K79)="",TRIM(K79)="-"), MEDIAN(IF($E$2:$E$1500=E79,$K$2:$K$1500)),  VALUE(SUBSTITUTE(SUBSTITUTE(SUBSTITUTE(K79,"Rs. ",""),"₹",""),",","")))</f>
        <v>12416</v>
      </c>
      <c r="X79" s="8">
        <f t="shared" si="18"/>
        <v>0</v>
      </c>
      <c r="Y79" s="7">
        <f t="shared" si="19"/>
        <v>12416</v>
      </c>
      <c r="Z79" s="9" t="str">
        <f t="shared" si="11"/>
        <v>SENIOR</v>
      </c>
    </row>
    <row r="80" spans="1:26" x14ac:dyDescent="0.3">
      <c r="A80" s="5" t="s">
        <v>312</v>
      </c>
      <c r="B80" s="5" t="s">
        <v>14</v>
      </c>
      <c r="C80" s="5" t="s">
        <v>60</v>
      </c>
      <c r="D80" s="5" t="s">
        <v>189</v>
      </c>
      <c r="E80" s="5" t="s">
        <v>37</v>
      </c>
      <c r="F80" s="5" t="s">
        <v>56</v>
      </c>
      <c r="G80" s="5" t="s">
        <v>69</v>
      </c>
      <c r="H80" s="5">
        <v>42</v>
      </c>
      <c r="I80" s="5" t="s">
        <v>31</v>
      </c>
      <c r="J80" s="34" t="s">
        <v>200</v>
      </c>
      <c r="K80" s="31">
        <v>82401</v>
      </c>
      <c r="L80" s="5" t="s">
        <v>34</v>
      </c>
      <c r="M80" s="32" t="s">
        <v>130</v>
      </c>
      <c r="N80" s="6">
        <f t="shared" si="12"/>
        <v>0</v>
      </c>
      <c r="O80" s="4" t="s">
        <v>56</v>
      </c>
      <c r="P80" s="5" t="str">
        <f t="shared" si="13"/>
        <v>Delhi</v>
      </c>
      <c r="Q80" s="5" t="str">
        <f t="shared" si="14"/>
        <v>Pediatrics</v>
      </c>
      <c r="R80" s="6" t="str">
        <f t="shared" si="15"/>
        <v>Max_Healthcare</v>
      </c>
      <c r="S80" s="6" t="str">
        <f t="shared" si="16"/>
        <v>Cash</v>
      </c>
      <c r="T80" s="6" t="str">
        <f t="shared" si="17"/>
        <v>Male</v>
      </c>
      <c r="U80" s="6" t="str">
        <f t="shared" si="20"/>
        <v>ICU</v>
      </c>
      <c r="V80" s="6" t="str" cm="1">
        <f t="array" ref="V80">IF(TRIM(S80)="",INDEX($S$2:$S$1500,MATCH(MAX(COUNTIF($S$2:$S$1500,S80)),COUNTIF($S$2:$S$1500,$S$2:$S$1500),0)),S80)</f>
        <v>Cash</v>
      </c>
      <c r="W80" s="7" cm="1">
        <f t="array" ref="W80">IF(OR(TRIM(K80)="",TRIM(K80)="-"), MEDIAN(IF($E$2:$E$1500=E80,$K$2:$K$1500)),  VALUE(SUBSTITUTE(SUBSTITUTE(SUBSTITUTE(K80,"Rs. ",""),"₹",""),",","")))</f>
        <v>82401</v>
      </c>
      <c r="X80" s="8">
        <f t="shared" si="18"/>
        <v>0</v>
      </c>
      <c r="Y80" s="7">
        <f t="shared" si="19"/>
        <v>82401</v>
      </c>
      <c r="Z80" s="9" t="str">
        <f t="shared" si="11"/>
        <v>ADULT</v>
      </c>
    </row>
    <row r="81" spans="1:26" x14ac:dyDescent="0.3">
      <c r="A81" s="5" t="s">
        <v>313</v>
      </c>
      <c r="B81" s="5" t="s">
        <v>14</v>
      </c>
      <c r="C81" s="5" t="s">
        <v>60</v>
      </c>
      <c r="D81" s="5" t="s">
        <v>80</v>
      </c>
      <c r="E81" s="5" t="s">
        <v>164</v>
      </c>
      <c r="F81" s="5" t="s">
        <v>219</v>
      </c>
      <c r="G81" s="5" t="s">
        <v>19</v>
      </c>
      <c r="H81" s="5">
        <v>22</v>
      </c>
      <c r="I81" s="5" t="s">
        <v>40</v>
      </c>
      <c r="J81" s="34" t="s">
        <v>204</v>
      </c>
      <c r="K81" s="31" t="s">
        <v>314</v>
      </c>
      <c r="L81" s="5" t="s">
        <v>34</v>
      </c>
      <c r="M81" s="32" t="s">
        <v>64</v>
      </c>
      <c r="N81" s="6" t="str">
        <f t="shared" si="12"/>
        <v>NA</v>
      </c>
      <c r="O81" s="4" t="s">
        <v>219</v>
      </c>
      <c r="P81" s="5" t="str">
        <f t="shared" si="13"/>
        <v>Ahmedabad</v>
      </c>
      <c r="Q81" s="5" t="str">
        <f t="shared" si="14"/>
        <v>Cardiology</v>
      </c>
      <c r="R81" s="6" t="str">
        <f t="shared" si="15"/>
        <v>Max_Healthcare</v>
      </c>
      <c r="S81" s="6" t="str">
        <f t="shared" si="16"/>
        <v>Cash</v>
      </c>
      <c r="T81" s="6" t="str">
        <f t="shared" si="17"/>
        <v>Female</v>
      </c>
      <c r="U81" s="6" t="str">
        <f t="shared" si="20"/>
        <v>General</v>
      </c>
      <c r="V81" s="6" t="str" cm="1">
        <f t="array" ref="V81">IF(TRIM(S81)="",INDEX($S$2:$S$1500,MATCH(MAX(COUNTIF($S$2:$S$1500,S81)),COUNTIF($S$2:$S$1500,$S$2:$S$1500),0)),S81)</f>
        <v>Cash</v>
      </c>
      <c r="W81" s="7" cm="1">
        <f t="array" ref="W81">IF(OR(TRIM(K81)="",TRIM(K81)="-"), MEDIAN(IF($E$2:$E$1500=E81,$K$2:$K$1500)),  VALUE(SUBSTITUTE(SUBSTITUTE(SUBSTITUTE(K81,"Rs. ",""),"₹",""),",","")))</f>
        <v>9620</v>
      </c>
      <c r="X81" s="8">
        <f t="shared" si="18"/>
        <v>3</v>
      </c>
      <c r="Y81" s="7">
        <f t="shared" si="19"/>
        <v>9331</v>
      </c>
      <c r="Z81" s="9" t="str">
        <f t="shared" si="11"/>
        <v>ADULT</v>
      </c>
    </row>
    <row r="82" spans="1:26" x14ac:dyDescent="0.3">
      <c r="A82" s="5" t="s">
        <v>315</v>
      </c>
      <c r="B82" s="5" t="s">
        <v>45</v>
      </c>
      <c r="C82" s="5" t="s">
        <v>46</v>
      </c>
      <c r="D82" s="5" t="s">
        <v>80</v>
      </c>
      <c r="E82" s="5" t="s">
        <v>47</v>
      </c>
      <c r="F82" s="5" t="s">
        <v>48</v>
      </c>
      <c r="G82" s="5" t="s">
        <v>62</v>
      </c>
      <c r="H82" s="5">
        <v>21</v>
      </c>
      <c r="I82" s="5" t="s">
        <v>20</v>
      </c>
      <c r="J82" s="34" t="s">
        <v>316</v>
      </c>
      <c r="K82" s="31">
        <v>48143</v>
      </c>
      <c r="L82" s="5" t="s">
        <v>115</v>
      </c>
      <c r="M82" s="32">
        <v>0</v>
      </c>
      <c r="N82" s="6">
        <f t="shared" si="12"/>
        <v>0</v>
      </c>
      <c r="O82" s="4" t="s">
        <v>48</v>
      </c>
      <c r="P82" s="5" t="str">
        <f t="shared" si="13"/>
        <v>Ahmedabad</v>
      </c>
      <c r="Q82" s="5" t="str">
        <f t="shared" si="14"/>
        <v>Gastroenterology</v>
      </c>
      <c r="R82" s="6" t="str">
        <f t="shared" si="15"/>
        <v>Fortis</v>
      </c>
      <c r="S82" s="6" t="str">
        <f t="shared" si="16"/>
        <v>Cash</v>
      </c>
      <c r="T82" s="6" t="str">
        <f t="shared" si="17"/>
        <v>Male</v>
      </c>
      <c r="U82" s="6" t="str">
        <f t="shared" si="20"/>
        <v>ICU</v>
      </c>
      <c r="V82" s="6" t="str" cm="1">
        <f t="array" ref="V82">IF(TRIM(S82)="",INDEX($S$2:$S$1500,MATCH(MAX(COUNTIF($S$2:$S$1500,S82)),COUNTIF($S$2:$S$1500,$S$2:$S$1500),0)),S82)</f>
        <v>Cash</v>
      </c>
      <c r="W82" s="7" cm="1">
        <f t="array" ref="W82">IF(OR(TRIM(K82)="",TRIM(K82)="-"), MEDIAN(IF($E$2:$E$1500=E82,$K$2:$K$1500)),  VALUE(SUBSTITUTE(SUBSTITUTE(SUBSTITUTE(K82,"Rs. ",""),"₹",""),",","")))</f>
        <v>48143</v>
      </c>
      <c r="X82" s="8">
        <f t="shared" si="18"/>
        <v>0</v>
      </c>
      <c r="Y82" s="7">
        <f t="shared" si="19"/>
        <v>48143</v>
      </c>
      <c r="Z82" s="9" t="str">
        <f t="shared" si="11"/>
        <v>ADULT</v>
      </c>
    </row>
    <row r="83" spans="1:26" x14ac:dyDescent="0.3">
      <c r="A83" s="5" t="s">
        <v>317</v>
      </c>
      <c r="B83" s="5" t="s">
        <v>25</v>
      </c>
      <c r="C83" s="5" t="s">
        <v>54</v>
      </c>
      <c r="D83" s="5" t="s">
        <v>27</v>
      </c>
      <c r="E83" s="5" t="s">
        <v>37</v>
      </c>
      <c r="F83" s="5" t="s">
        <v>56</v>
      </c>
      <c r="G83" s="5" t="s">
        <v>39</v>
      </c>
      <c r="H83" s="5">
        <v>55</v>
      </c>
      <c r="I83" s="5" t="s">
        <v>70</v>
      </c>
      <c r="J83" s="34" t="s">
        <v>318</v>
      </c>
      <c r="K83" s="31" t="s">
        <v>319</v>
      </c>
      <c r="L83" s="5" t="s">
        <v>167</v>
      </c>
      <c r="M83" s="32">
        <v>25</v>
      </c>
      <c r="N83" s="6">
        <f t="shared" si="12"/>
        <v>25</v>
      </c>
      <c r="O83" s="4" t="s">
        <v>56</v>
      </c>
      <c r="P83" s="5" t="str">
        <f t="shared" si="13"/>
        <v>Mumbai</v>
      </c>
      <c r="Q83" s="5" t="str">
        <f t="shared" si="14"/>
        <v>Pediatrics</v>
      </c>
      <c r="R83" s="6" t="str">
        <f t="shared" si="15"/>
        <v>Narayana</v>
      </c>
      <c r="S83" s="6" t="str">
        <f t="shared" si="16"/>
        <v>Insurance</v>
      </c>
      <c r="T83" s="6" t="str">
        <f t="shared" si="17"/>
        <v>Female</v>
      </c>
      <c r="U83" s="6" t="str">
        <f t="shared" si="20"/>
        <v>General</v>
      </c>
      <c r="V83" s="6" t="str" cm="1">
        <f t="array" ref="V83">IF(TRIM(S83)="",INDEX($S$2:$S$1500,MATCH(MAX(COUNTIF($S$2:$S$1500,S83)),COUNTIF($S$2:$S$1500,$S$2:$S$1500),0)),S83)</f>
        <v>Insurance</v>
      </c>
      <c r="W83" s="7" cm="1">
        <f t="array" ref="W83">IF(OR(TRIM(K83)="",TRIM(K83)="-"), MEDIAN(IF($E$2:$E$1500=E83,$K$2:$K$1500)),  VALUE(SUBSTITUTE(SUBSTITUTE(SUBSTITUTE(K83,"Rs. ",""),"₹",""),",","")))</f>
        <v>15188</v>
      </c>
      <c r="X83" s="8">
        <f t="shared" si="18"/>
        <v>25</v>
      </c>
      <c r="Y83" s="7">
        <f t="shared" si="19"/>
        <v>11391</v>
      </c>
      <c r="Z83" s="9" t="str">
        <f t="shared" si="11"/>
        <v>ADULT</v>
      </c>
    </row>
    <row r="84" spans="1:26" x14ac:dyDescent="0.3">
      <c r="A84" s="5" t="s">
        <v>320</v>
      </c>
      <c r="B84" s="5" t="s">
        <v>117</v>
      </c>
      <c r="C84" s="5" t="s">
        <v>127</v>
      </c>
      <c r="D84" s="5" t="s">
        <v>16</v>
      </c>
      <c r="E84" s="5" t="s">
        <v>93</v>
      </c>
      <c r="F84" s="5" t="s">
        <v>207</v>
      </c>
      <c r="G84" s="5" t="s">
        <v>30</v>
      </c>
      <c r="H84" s="5">
        <v>58</v>
      </c>
      <c r="I84" s="5" t="s">
        <v>70</v>
      </c>
      <c r="J84" s="34" t="s">
        <v>136</v>
      </c>
      <c r="K84" s="31" t="s">
        <v>321</v>
      </c>
      <c r="L84" s="5" t="s">
        <v>311</v>
      </c>
      <c r="M84" s="32" t="s">
        <v>64</v>
      </c>
      <c r="N84" s="6" t="str">
        <f t="shared" si="12"/>
        <v>NA</v>
      </c>
      <c r="O84" s="4" t="s">
        <v>207</v>
      </c>
      <c r="P84" s="5" t="str">
        <f t="shared" si="13"/>
        <v>Bangalore</v>
      </c>
      <c r="Q84" s="5" t="str">
        <f t="shared" si="14"/>
        <v>Nephrology</v>
      </c>
      <c r="R84" s="6" t="str">
        <f t="shared" si="15"/>
        <v>Manipal</v>
      </c>
      <c r="S84" s="6" t="str">
        <f t="shared" si="16"/>
        <v>UPI</v>
      </c>
      <c r="T84" s="6" t="str">
        <f t="shared" si="17"/>
        <v>Female</v>
      </c>
      <c r="U84" s="6" t="str">
        <f t="shared" si="20"/>
        <v>General</v>
      </c>
      <c r="V84" s="6" t="str" cm="1">
        <f t="array" ref="V84">IF(TRIM(S84)="",INDEX($S$2:$S$1500,MATCH(MAX(COUNTIF($S$2:$S$1500,S84)),COUNTIF($S$2:$S$1500,$S$2:$S$1500),0)),S84)</f>
        <v>UPI</v>
      </c>
      <c r="W84" s="7" cm="1">
        <f t="array" ref="W84">IF(OR(TRIM(K84)="",TRIM(K84)="-"), MEDIAN(IF($E$2:$E$1500=E84,$K$2:$K$1500)),  VALUE(SUBSTITUTE(SUBSTITUTE(SUBSTITUTE(K84,"Rs. ",""),"₹",""),",","")))</f>
        <v>13595</v>
      </c>
      <c r="X84" s="8">
        <f t="shared" si="18"/>
        <v>3</v>
      </c>
      <c r="Y84" s="7">
        <f t="shared" si="19"/>
        <v>13187</v>
      </c>
      <c r="Z84" s="9" t="str">
        <f t="shared" si="11"/>
        <v>ADULT</v>
      </c>
    </row>
    <row r="85" spans="1:26" x14ac:dyDescent="0.3">
      <c r="A85" s="5" t="s">
        <v>322</v>
      </c>
      <c r="B85" s="5" t="s">
        <v>106</v>
      </c>
      <c r="C85" s="5" t="s">
        <v>107</v>
      </c>
      <c r="D85" s="5" t="s">
        <v>36</v>
      </c>
      <c r="E85" s="5" t="s">
        <v>93</v>
      </c>
      <c r="F85" s="5" t="s">
        <v>121</v>
      </c>
      <c r="G85" s="5" t="s">
        <v>30</v>
      </c>
      <c r="H85" s="5">
        <v>20</v>
      </c>
      <c r="I85" s="5" t="s">
        <v>40</v>
      </c>
      <c r="J85" s="34" t="s">
        <v>323</v>
      </c>
      <c r="K85" s="31">
        <v>13700</v>
      </c>
      <c r="L85" s="5" t="s">
        <v>72</v>
      </c>
      <c r="M85" s="32">
        <v>0</v>
      </c>
      <c r="N85" s="6">
        <f t="shared" si="12"/>
        <v>0</v>
      </c>
      <c r="O85" s="4" t="s">
        <v>121</v>
      </c>
      <c r="P85" s="5" t="str">
        <f t="shared" si="13"/>
        <v>Chennai</v>
      </c>
      <c r="Q85" s="5" t="str">
        <f t="shared" si="14"/>
        <v>Nephrology</v>
      </c>
      <c r="R85" s="6" t="str">
        <f t="shared" si="15"/>
        <v>Aiims</v>
      </c>
      <c r="S85" s="6" t="str">
        <f t="shared" si="16"/>
        <v>Cash</v>
      </c>
      <c r="T85" s="6" t="str">
        <f t="shared" si="17"/>
        <v>Female</v>
      </c>
      <c r="U85" s="6" t="str">
        <f t="shared" si="20"/>
        <v>General</v>
      </c>
      <c r="V85" s="6" t="str" cm="1">
        <f t="array" ref="V85">IF(TRIM(S85)="",INDEX($S$2:$S$1500,MATCH(MAX(COUNTIF($S$2:$S$1500,S85)),COUNTIF($S$2:$S$1500,$S$2:$S$1500),0)),S85)</f>
        <v>Cash</v>
      </c>
      <c r="W85" s="7" cm="1">
        <f t="array" ref="W85">IF(OR(TRIM(K85)="",TRIM(K85)="-"), MEDIAN(IF($E$2:$E$1500=E85,$K$2:$K$1500)),  VALUE(SUBSTITUTE(SUBSTITUTE(SUBSTITUTE(K85,"Rs. ",""),"₹",""),",","")))</f>
        <v>13700</v>
      </c>
      <c r="X85" s="8">
        <f t="shared" si="18"/>
        <v>0</v>
      </c>
      <c r="Y85" s="7">
        <f t="shared" si="19"/>
        <v>13700</v>
      </c>
      <c r="Z85" s="9" t="str">
        <f t="shared" si="11"/>
        <v>ADULT</v>
      </c>
    </row>
    <row r="86" spans="1:26" x14ac:dyDescent="0.3">
      <c r="A86" s="5" t="s">
        <v>324</v>
      </c>
      <c r="B86" s="5" t="s">
        <v>78</v>
      </c>
      <c r="C86" s="5" t="s">
        <v>161</v>
      </c>
      <c r="D86" s="5" t="s">
        <v>16</v>
      </c>
      <c r="E86" s="5" t="s">
        <v>108</v>
      </c>
      <c r="F86" s="5" t="s">
        <v>308</v>
      </c>
      <c r="G86" s="5" t="s">
        <v>19</v>
      </c>
      <c r="H86" s="5">
        <v>39</v>
      </c>
      <c r="I86" s="5" t="s">
        <v>40</v>
      </c>
      <c r="J86" s="34" t="s">
        <v>325</v>
      </c>
      <c r="K86" s="31" t="s">
        <v>326</v>
      </c>
      <c r="L86" s="5" t="s">
        <v>34</v>
      </c>
      <c r="M86" s="32"/>
      <c r="N86" s="6">
        <f t="shared" si="12"/>
        <v>0</v>
      </c>
      <c r="O86" s="4" t="s">
        <v>308</v>
      </c>
      <c r="P86" s="5" t="str">
        <f t="shared" si="13"/>
        <v>Bangalore</v>
      </c>
      <c r="Q86" s="5" t="str">
        <f t="shared" si="14"/>
        <v>Orthopedics</v>
      </c>
      <c r="R86" s="6" t="str">
        <f t="shared" si="15"/>
        <v>Apollo</v>
      </c>
      <c r="S86" s="6" t="str">
        <f t="shared" si="16"/>
        <v>Cash</v>
      </c>
      <c r="T86" s="6" t="str">
        <f t="shared" si="17"/>
        <v>Female</v>
      </c>
      <c r="U86" s="6" t="str">
        <f t="shared" si="20"/>
        <v>General</v>
      </c>
      <c r="V86" s="6" t="str" cm="1">
        <f t="array" ref="V86">IF(TRIM(S86)="",INDEX($S$2:$S$1500,MATCH(MAX(COUNTIF($S$2:$S$1500,S86)),COUNTIF($S$2:$S$1500,$S$2:$S$1500),0)),S86)</f>
        <v>Cash</v>
      </c>
      <c r="W86" s="7" cm="1">
        <f t="array" ref="W86">IF(OR(TRIM(K86)="",TRIM(K86)="-"), MEDIAN(IF($E$2:$E$1500=E86,$K$2:$K$1500)),  VALUE(SUBSTITUTE(SUBSTITUTE(SUBSTITUTE(K86,"Rs. ",""),"₹",""),",","")))</f>
        <v>9428</v>
      </c>
      <c r="X86" s="8">
        <f t="shared" si="18"/>
        <v>0</v>
      </c>
      <c r="Y86" s="7">
        <f t="shared" si="19"/>
        <v>9428</v>
      </c>
      <c r="Z86" s="9" t="str">
        <f t="shared" si="11"/>
        <v>ADULT</v>
      </c>
    </row>
    <row r="87" spans="1:26" x14ac:dyDescent="0.3">
      <c r="A87" s="5" t="s">
        <v>327</v>
      </c>
      <c r="B87" s="5" t="s">
        <v>117</v>
      </c>
      <c r="C87" s="5" t="s">
        <v>118</v>
      </c>
      <c r="D87" s="5" t="s">
        <v>36</v>
      </c>
      <c r="E87" s="5" t="s">
        <v>93</v>
      </c>
      <c r="F87" s="5" t="s">
        <v>94</v>
      </c>
      <c r="G87" s="5" t="s">
        <v>49</v>
      </c>
      <c r="H87" s="5">
        <v>1</v>
      </c>
      <c r="I87" s="5" t="s">
        <v>70</v>
      </c>
      <c r="J87" s="34" t="s">
        <v>328</v>
      </c>
      <c r="K87" s="31">
        <v>17091</v>
      </c>
      <c r="L87" s="5" t="s">
        <v>91</v>
      </c>
      <c r="M87" s="32">
        <v>10</v>
      </c>
      <c r="N87" s="6">
        <f t="shared" si="12"/>
        <v>10</v>
      </c>
      <c r="O87" s="4" t="s">
        <v>94</v>
      </c>
      <c r="P87" s="5" t="str">
        <f t="shared" si="13"/>
        <v>Chennai</v>
      </c>
      <c r="Q87" s="5" t="str">
        <f t="shared" si="14"/>
        <v>Nephrology</v>
      </c>
      <c r="R87" s="6" t="str">
        <f t="shared" si="15"/>
        <v>Manipal</v>
      </c>
      <c r="S87" s="6" t="str">
        <f t="shared" si="16"/>
        <v>Debit Card</v>
      </c>
      <c r="T87" s="6" t="str">
        <f t="shared" si="17"/>
        <v>Female</v>
      </c>
      <c r="U87" s="6" t="str">
        <f t="shared" si="20"/>
        <v>General</v>
      </c>
      <c r="V87" s="6" t="str" cm="1">
        <f t="array" ref="V87">IF(TRIM(S87)="",INDEX($S$2:$S$1500,MATCH(MAX(COUNTIF($S$2:$S$1500,S87)),COUNTIF($S$2:$S$1500,$S$2:$S$1500),0)),S87)</f>
        <v>Debit Card</v>
      </c>
      <c r="W87" s="7" cm="1">
        <f t="array" ref="W87">IF(OR(TRIM(K87)="",TRIM(K87)="-"), MEDIAN(IF($E$2:$E$1500=E87,$K$2:$K$1500)),  VALUE(SUBSTITUTE(SUBSTITUTE(SUBSTITUTE(K87,"Rs. ",""),"₹",""),",","")))</f>
        <v>17091</v>
      </c>
      <c r="X87" s="8">
        <f t="shared" si="18"/>
        <v>10</v>
      </c>
      <c r="Y87" s="7">
        <f t="shared" si="19"/>
        <v>15382</v>
      </c>
      <c r="Z87" s="9" t="str">
        <f t="shared" si="11"/>
        <v>CHILD</v>
      </c>
    </row>
    <row r="88" spans="1:26" x14ac:dyDescent="0.3">
      <c r="A88" s="5" t="s">
        <v>329</v>
      </c>
      <c r="B88" s="5" t="s">
        <v>106</v>
      </c>
      <c r="C88" s="5" t="s">
        <v>107</v>
      </c>
      <c r="D88" s="5" t="s">
        <v>27</v>
      </c>
      <c r="E88" s="5" t="s">
        <v>99</v>
      </c>
      <c r="F88" s="5" t="s">
        <v>151</v>
      </c>
      <c r="G88" s="5" t="s">
        <v>39</v>
      </c>
      <c r="H88" s="5">
        <v>54</v>
      </c>
      <c r="I88" s="5" t="s">
        <v>40</v>
      </c>
      <c r="J88" s="34" t="s">
        <v>330</v>
      </c>
      <c r="K88" s="31">
        <v>16111</v>
      </c>
      <c r="L88" s="5" t="s">
        <v>34</v>
      </c>
      <c r="M88" s="32">
        <v>0.05</v>
      </c>
      <c r="N88" s="6">
        <f t="shared" si="12"/>
        <v>5</v>
      </c>
      <c r="O88" s="4" t="s">
        <v>151</v>
      </c>
      <c r="P88" s="5" t="str">
        <f t="shared" si="13"/>
        <v>Mumbai</v>
      </c>
      <c r="Q88" s="5" t="str">
        <f t="shared" si="14"/>
        <v>Ent</v>
      </c>
      <c r="R88" s="6" t="str">
        <f t="shared" si="15"/>
        <v>Aiims</v>
      </c>
      <c r="S88" s="6" t="str">
        <f t="shared" si="16"/>
        <v>Cash</v>
      </c>
      <c r="T88" s="6" t="str">
        <f t="shared" si="17"/>
        <v>Female</v>
      </c>
      <c r="U88" s="6" t="str">
        <f t="shared" si="20"/>
        <v>General</v>
      </c>
      <c r="V88" s="6" t="str" cm="1">
        <f t="array" ref="V88">IF(TRIM(S88)="",INDEX($S$2:$S$1500,MATCH(MAX(COUNTIF($S$2:$S$1500,S88)),COUNTIF($S$2:$S$1500,$S$2:$S$1500),0)),S88)</f>
        <v>Cash</v>
      </c>
      <c r="W88" s="7" cm="1">
        <f t="array" ref="W88">IF(OR(TRIM(K88)="",TRIM(K88)="-"), MEDIAN(IF($E$2:$E$1500=E88,$K$2:$K$1500)),  VALUE(SUBSTITUTE(SUBSTITUTE(SUBSTITUTE(K88,"Rs. ",""),"₹",""),",","")))</f>
        <v>16111</v>
      </c>
      <c r="X88" s="8">
        <f t="shared" si="18"/>
        <v>5</v>
      </c>
      <c r="Y88" s="7">
        <f t="shared" si="19"/>
        <v>15305</v>
      </c>
      <c r="Z88" s="9" t="str">
        <f t="shared" si="11"/>
        <v>ADULT</v>
      </c>
    </row>
    <row r="89" spans="1:26" x14ac:dyDescent="0.3">
      <c r="A89" s="5" t="s">
        <v>331</v>
      </c>
      <c r="B89" s="5" t="s">
        <v>117</v>
      </c>
      <c r="C89" s="5" t="s">
        <v>127</v>
      </c>
      <c r="D89" s="5" t="s">
        <v>16</v>
      </c>
      <c r="E89" s="5" t="s">
        <v>37</v>
      </c>
      <c r="F89" s="5" t="s">
        <v>38</v>
      </c>
      <c r="G89" s="5" t="s">
        <v>39</v>
      </c>
      <c r="H89" s="5">
        <v>5</v>
      </c>
      <c r="I89" s="5" t="s">
        <v>20</v>
      </c>
      <c r="J89" s="34" t="s">
        <v>90</v>
      </c>
      <c r="K89" s="31" t="s">
        <v>332</v>
      </c>
      <c r="L89" s="5" t="s">
        <v>42</v>
      </c>
      <c r="M89" s="32">
        <v>10</v>
      </c>
      <c r="N89" s="6">
        <f t="shared" si="12"/>
        <v>10</v>
      </c>
      <c r="O89" s="4" t="s">
        <v>38</v>
      </c>
      <c r="P89" s="5" t="str">
        <f t="shared" si="13"/>
        <v>Bangalore</v>
      </c>
      <c r="Q89" s="5" t="str">
        <f t="shared" si="14"/>
        <v>Pediatrics</v>
      </c>
      <c r="R89" s="6" t="str">
        <f t="shared" si="15"/>
        <v>Manipal</v>
      </c>
      <c r="S89" s="6" t="str">
        <f t="shared" si="16"/>
        <v>Insurance</v>
      </c>
      <c r="T89" s="6" t="str">
        <f t="shared" si="17"/>
        <v>Male</v>
      </c>
      <c r="U89" s="6" t="str">
        <f t="shared" si="20"/>
        <v>General</v>
      </c>
      <c r="V89" s="6" t="str" cm="1">
        <f t="array" ref="V89">IF(TRIM(S89)="",INDEX($S$2:$S$1500,MATCH(MAX(COUNTIF($S$2:$S$1500,S89)),COUNTIF($S$2:$S$1500,$S$2:$S$1500),0)),S89)</f>
        <v>Insurance</v>
      </c>
      <c r="W89" s="7" cm="1">
        <f t="array" ref="W89">IF(OR(TRIM(K89)="",TRIM(K89)="-"), MEDIAN(IF($E$2:$E$1500=E89,$K$2:$K$1500)),  VALUE(SUBSTITUTE(SUBSTITUTE(SUBSTITUTE(K89,"Rs. ",""),"₹",""),",","")))</f>
        <v>10139</v>
      </c>
      <c r="X89" s="8">
        <f t="shared" si="18"/>
        <v>10</v>
      </c>
      <c r="Y89" s="7">
        <f t="shared" si="19"/>
        <v>9125</v>
      </c>
      <c r="Z89" s="9" t="str">
        <f t="shared" si="11"/>
        <v>CHILD</v>
      </c>
    </row>
    <row r="90" spans="1:26" x14ac:dyDescent="0.3">
      <c r="A90" s="5" t="s">
        <v>333</v>
      </c>
      <c r="B90" s="5" t="s">
        <v>45</v>
      </c>
      <c r="C90" s="5" t="s">
        <v>334</v>
      </c>
      <c r="D90" s="5" t="s">
        <v>80</v>
      </c>
      <c r="E90" s="5" t="s">
        <v>93</v>
      </c>
      <c r="F90" s="5" t="s">
        <v>207</v>
      </c>
      <c r="G90" s="5" t="s">
        <v>19</v>
      </c>
      <c r="H90" s="5">
        <v>53</v>
      </c>
      <c r="I90" s="5" t="s">
        <v>70</v>
      </c>
      <c r="J90" s="34" t="s">
        <v>335</v>
      </c>
      <c r="K90" s="31">
        <v>9884</v>
      </c>
      <c r="L90" s="5" t="s">
        <v>87</v>
      </c>
      <c r="M90" s="32" t="s">
        <v>76</v>
      </c>
      <c r="N90" s="6">
        <f t="shared" si="12"/>
        <v>10</v>
      </c>
      <c r="O90" s="4" t="s">
        <v>207</v>
      </c>
      <c r="P90" s="5" t="str">
        <f t="shared" si="13"/>
        <v>Ahmedabad</v>
      </c>
      <c r="Q90" s="5" t="str">
        <f t="shared" si="14"/>
        <v>Nephrology</v>
      </c>
      <c r="R90" s="6" t="str">
        <f t="shared" si="15"/>
        <v>Fortis</v>
      </c>
      <c r="S90" s="6" t="str">
        <f t="shared" si="16"/>
        <v>Credit Card</v>
      </c>
      <c r="T90" s="6" t="str">
        <f t="shared" si="17"/>
        <v>Female</v>
      </c>
      <c r="U90" s="6" t="str">
        <f t="shared" si="20"/>
        <v>General</v>
      </c>
      <c r="V90" s="6" t="str" cm="1">
        <f t="array" ref="V90">IF(TRIM(S90)="",INDEX($S$2:$S$1500,MATCH(MAX(COUNTIF($S$2:$S$1500,S90)),COUNTIF($S$2:$S$1500,$S$2:$S$1500),0)),S90)</f>
        <v>Credit Card</v>
      </c>
      <c r="W90" s="7" cm="1">
        <f t="array" ref="W90">IF(OR(TRIM(K90)="",TRIM(K90)="-"), MEDIAN(IF($E$2:$E$1500=E90,$K$2:$K$1500)),  VALUE(SUBSTITUTE(SUBSTITUTE(SUBSTITUTE(K90,"Rs. ",""),"₹",""),",","")))</f>
        <v>9884</v>
      </c>
      <c r="X90" s="8">
        <f t="shared" si="18"/>
        <v>10</v>
      </c>
      <c r="Y90" s="7">
        <f t="shared" si="19"/>
        <v>8896</v>
      </c>
      <c r="Z90" s="9" t="str">
        <f t="shared" si="11"/>
        <v>ADULT</v>
      </c>
    </row>
    <row r="91" spans="1:26" x14ac:dyDescent="0.3">
      <c r="A91" s="5" t="s">
        <v>336</v>
      </c>
      <c r="B91" s="5" t="s">
        <v>14</v>
      </c>
      <c r="C91" s="5" t="s">
        <v>60</v>
      </c>
      <c r="D91" s="5" t="s">
        <v>61</v>
      </c>
      <c r="E91" s="5" t="s">
        <v>17</v>
      </c>
      <c r="F91" s="5" t="s">
        <v>18</v>
      </c>
      <c r="G91" s="5" t="s">
        <v>49</v>
      </c>
      <c r="H91" s="5">
        <v>81</v>
      </c>
      <c r="I91" s="5" t="s">
        <v>70</v>
      </c>
      <c r="J91" s="34" t="s">
        <v>337</v>
      </c>
      <c r="K91" s="31">
        <v>14538</v>
      </c>
      <c r="L91" s="5" t="s">
        <v>52</v>
      </c>
      <c r="M91" s="32">
        <v>10</v>
      </c>
      <c r="N91" s="6">
        <f t="shared" si="12"/>
        <v>10</v>
      </c>
      <c r="O91" s="4" t="s">
        <v>18</v>
      </c>
      <c r="P91" s="5" t="str">
        <f t="shared" si="13"/>
        <v>Pune</v>
      </c>
      <c r="Q91" s="5" t="str">
        <f t="shared" si="14"/>
        <v>Gynecology</v>
      </c>
      <c r="R91" s="6" t="str">
        <f t="shared" si="15"/>
        <v>Max_Healthcare</v>
      </c>
      <c r="S91" s="6" t="str">
        <f t="shared" si="16"/>
        <v>Credit Card</v>
      </c>
      <c r="T91" s="6" t="str">
        <f t="shared" si="17"/>
        <v>Female</v>
      </c>
      <c r="U91" s="6" t="str">
        <f t="shared" si="20"/>
        <v>General</v>
      </c>
      <c r="V91" s="6" t="str" cm="1">
        <f t="array" ref="V91">IF(TRIM(S91)="",INDEX($S$2:$S$1500,MATCH(MAX(COUNTIF($S$2:$S$1500,S91)),COUNTIF($S$2:$S$1500,$S$2:$S$1500),0)),S91)</f>
        <v>Credit Card</v>
      </c>
      <c r="W91" s="7" cm="1">
        <f t="array" ref="W91">IF(OR(TRIM(K91)="",TRIM(K91)="-"), MEDIAN(IF($E$2:$E$1500=E91,$K$2:$K$1500)),  VALUE(SUBSTITUTE(SUBSTITUTE(SUBSTITUTE(K91,"Rs. ",""),"₹",""),",","")))</f>
        <v>14538</v>
      </c>
      <c r="X91" s="8">
        <f t="shared" si="18"/>
        <v>10</v>
      </c>
      <c r="Y91" s="7">
        <f t="shared" si="19"/>
        <v>13084</v>
      </c>
      <c r="Z91" s="9" t="str">
        <f t="shared" si="11"/>
        <v>SENIOR</v>
      </c>
    </row>
    <row r="92" spans="1:26" x14ac:dyDescent="0.3">
      <c r="A92" s="5" t="s">
        <v>338</v>
      </c>
      <c r="B92" s="5" t="s">
        <v>117</v>
      </c>
      <c r="C92" s="5" t="s">
        <v>118</v>
      </c>
      <c r="D92" s="5" t="s">
        <v>80</v>
      </c>
      <c r="E92" s="5" t="s">
        <v>28</v>
      </c>
      <c r="F92" s="5" t="s">
        <v>290</v>
      </c>
      <c r="G92" s="5" t="s">
        <v>30</v>
      </c>
      <c r="H92" s="5">
        <v>61</v>
      </c>
      <c r="I92" s="5" t="s">
        <v>70</v>
      </c>
      <c r="J92" s="34" t="s">
        <v>125</v>
      </c>
      <c r="K92" s="31">
        <v>10405</v>
      </c>
      <c r="L92" s="5" t="s">
        <v>83</v>
      </c>
      <c r="M92" s="32">
        <v>5</v>
      </c>
      <c r="N92" s="6">
        <f t="shared" si="12"/>
        <v>5</v>
      </c>
      <c r="O92" s="4" t="s">
        <v>290</v>
      </c>
      <c r="P92" s="5" t="str">
        <f t="shared" si="13"/>
        <v>Ahmedabad</v>
      </c>
      <c r="Q92" s="5" t="str">
        <f t="shared" si="14"/>
        <v>Oncology</v>
      </c>
      <c r="R92" s="6" t="str">
        <f t="shared" si="15"/>
        <v>Manipal</v>
      </c>
      <c r="S92" s="6" t="str">
        <f t="shared" si="16"/>
        <v>Debit Card</v>
      </c>
      <c r="T92" s="6" t="str">
        <f t="shared" si="17"/>
        <v>Female</v>
      </c>
      <c r="U92" s="6" t="str">
        <f t="shared" si="20"/>
        <v>General</v>
      </c>
      <c r="V92" s="6" t="str" cm="1">
        <f t="array" ref="V92">IF(TRIM(S92)="",INDEX($S$2:$S$1500,MATCH(MAX(COUNTIF($S$2:$S$1500,S92)),COUNTIF($S$2:$S$1500,$S$2:$S$1500),0)),S92)</f>
        <v>Debit Card</v>
      </c>
      <c r="W92" s="7" cm="1">
        <f t="array" ref="W92">IF(OR(TRIM(K92)="",TRIM(K92)="-"), MEDIAN(IF($E$2:$E$1500=E92,$K$2:$K$1500)),  VALUE(SUBSTITUTE(SUBSTITUTE(SUBSTITUTE(K92,"Rs. ",""),"₹",""),",","")))</f>
        <v>10405</v>
      </c>
      <c r="X92" s="8">
        <f t="shared" si="18"/>
        <v>5</v>
      </c>
      <c r="Y92" s="7">
        <f t="shared" si="19"/>
        <v>9885</v>
      </c>
      <c r="Z92" s="9" t="str">
        <f t="shared" si="11"/>
        <v>SENIOR</v>
      </c>
    </row>
    <row r="93" spans="1:26" x14ac:dyDescent="0.3">
      <c r="A93" s="5" t="s">
        <v>339</v>
      </c>
      <c r="B93" s="5" t="s">
        <v>106</v>
      </c>
      <c r="C93" s="5" t="s">
        <v>307</v>
      </c>
      <c r="D93" s="5" t="s">
        <v>16</v>
      </c>
      <c r="E93" s="5" t="s">
        <v>99</v>
      </c>
      <c r="F93" s="5" t="s">
        <v>100</v>
      </c>
      <c r="G93" s="5" t="s">
        <v>62</v>
      </c>
      <c r="H93" s="5">
        <v>49</v>
      </c>
      <c r="I93" s="5" t="s">
        <v>70</v>
      </c>
      <c r="J93" s="34" t="s">
        <v>340</v>
      </c>
      <c r="K93" s="31">
        <v>75850</v>
      </c>
      <c r="L93" s="5" t="s">
        <v>58</v>
      </c>
      <c r="M93" s="32" t="s">
        <v>130</v>
      </c>
      <c r="N93" s="6">
        <f t="shared" si="12"/>
        <v>0</v>
      </c>
      <c r="O93" s="4" t="s">
        <v>100</v>
      </c>
      <c r="P93" s="5" t="str">
        <f t="shared" si="13"/>
        <v>Bangalore</v>
      </c>
      <c r="Q93" s="5" t="str">
        <f t="shared" si="14"/>
        <v>Ent</v>
      </c>
      <c r="R93" s="6" t="str">
        <f t="shared" si="15"/>
        <v>Aiims</v>
      </c>
      <c r="S93" s="6" t="str">
        <f t="shared" si="16"/>
        <v>UPI</v>
      </c>
      <c r="T93" s="6" t="str">
        <f t="shared" si="17"/>
        <v>Female</v>
      </c>
      <c r="U93" s="6" t="str">
        <f t="shared" si="20"/>
        <v>ICU</v>
      </c>
      <c r="V93" s="6" t="str" cm="1">
        <f t="array" ref="V93">IF(TRIM(S93)="",INDEX($S$2:$S$1500,MATCH(MAX(COUNTIF($S$2:$S$1500,S93)),COUNTIF($S$2:$S$1500,$S$2:$S$1500),0)),S93)</f>
        <v>UPI</v>
      </c>
      <c r="W93" s="7" cm="1">
        <f t="array" ref="W93">IF(OR(TRIM(K93)="",TRIM(K93)="-"), MEDIAN(IF($E$2:$E$1500=E93,$K$2:$K$1500)),  VALUE(SUBSTITUTE(SUBSTITUTE(SUBSTITUTE(K93,"Rs. ",""),"₹",""),",","")))</f>
        <v>75850</v>
      </c>
      <c r="X93" s="8">
        <f t="shared" si="18"/>
        <v>0</v>
      </c>
      <c r="Y93" s="7">
        <f t="shared" si="19"/>
        <v>75850</v>
      </c>
      <c r="Z93" s="9" t="str">
        <f t="shared" si="11"/>
        <v>ADULT</v>
      </c>
    </row>
    <row r="94" spans="1:26" x14ac:dyDescent="0.3">
      <c r="A94" s="5" t="s">
        <v>341</v>
      </c>
      <c r="B94" s="5" t="s">
        <v>117</v>
      </c>
      <c r="C94" s="5" t="s">
        <v>182</v>
      </c>
      <c r="D94" s="5" t="s">
        <v>80</v>
      </c>
      <c r="E94" s="5" t="s">
        <v>17</v>
      </c>
      <c r="F94" s="5" t="s">
        <v>18</v>
      </c>
      <c r="G94" s="5" t="s">
        <v>19</v>
      </c>
      <c r="H94" s="5">
        <v>50</v>
      </c>
      <c r="I94" s="5" t="s">
        <v>20</v>
      </c>
      <c r="J94" s="34" t="s">
        <v>342</v>
      </c>
      <c r="K94" s="31">
        <v>13639</v>
      </c>
      <c r="L94" s="5" t="s">
        <v>311</v>
      </c>
      <c r="M94" s="32"/>
      <c r="N94" s="6">
        <f t="shared" si="12"/>
        <v>0</v>
      </c>
      <c r="O94" s="4" t="s">
        <v>18</v>
      </c>
      <c r="P94" s="5" t="str">
        <f t="shared" si="13"/>
        <v>Ahmedabad</v>
      </c>
      <c r="Q94" s="5" t="str">
        <f t="shared" si="14"/>
        <v>Gynecology</v>
      </c>
      <c r="R94" s="6" t="str">
        <f t="shared" si="15"/>
        <v>Manipal</v>
      </c>
      <c r="S94" s="6" t="str">
        <f t="shared" si="16"/>
        <v>UPI</v>
      </c>
      <c r="T94" s="6" t="str">
        <f t="shared" si="17"/>
        <v>Male</v>
      </c>
      <c r="U94" s="6" t="str">
        <f t="shared" si="20"/>
        <v>General</v>
      </c>
      <c r="V94" s="6" t="str" cm="1">
        <f t="array" ref="V94">IF(TRIM(S94)="",INDEX($S$2:$S$1500,MATCH(MAX(COUNTIF($S$2:$S$1500,S94)),COUNTIF($S$2:$S$1500,$S$2:$S$1500),0)),S94)</f>
        <v>UPI</v>
      </c>
      <c r="W94" s="7" cm="1">
        <f t="array" ref="W94">IF(OR(TRIM(K94)="",TRIM(K94)="-"), MEDIAN(IF($E$2:$E$1500=E94,$K$2:$K$1500)),  VALUE(SUBSTITUTE(SUBSTITUTE(SUBSTITUTE(K94,"Rs. ",""),"₹",""),",","")))</f>
        <v>13639</v>
      </c>
      <c r="X94" s="8">
        <f t="shared" si="18"/>
        <v>0</v>
      </c>
      <c r="Y94" s="7">
        <f t="shared" si="19"/>
        <v>13639</v>
      </c>
      <c r="Z94" s="9" t="str">
        <f t="shared" si="11"/>
        <v>ADULT</v>
      </c>
    </row>
    <row r="95" spans="1:26" x14ac:dyDescent="0.3">
      <c r="A95" s="5" t="s">
        <v>343</v>
      </c>
      <c r="B95" s="5" t="s">
        <v>78</v>
      </c>
      <c r="C95" s="5" t="s">
        <v>203</v>
      </c>
      <c r="D95" s="5" t="s">
        <v>66</v>
      </c>
      <c r="E95" s="5" t="s">
        <v>74</v>
      </c>
      <c r="F95" s="5" t="s">
        <v>75</v>
      </c>
      <c r="G95" s="5" t="s">
        <v>30</v>
      </c>
      <c r="H95" s="5">
        <v>58</v>
      </c>
      <c r="I95" s="5" t="s">
        <v>20</v>
      </c>
      <c r="J95" s="34" t="s">
        <v>344</v>
      </c>
      <c r="K95" s="31" t="s">
        <v>345</v>
      </c>
      <c r="L95" s="5" t="s">
        <v>236</v>
      </c>
      <c r="M95" s="32">
        <v>10</v>
      </c>
      <c r="N95" s="6">
        <f t="shared" si="12"/>
        <v>10</v>
      </c>
      <c r="O95" s="4" t="s">
        <v>75</v>
      </c>
      <c r="P95" s="5" t="str">
        <f t="shared" si="13"/>
        <v>Kolkata</v>
      </c>
      <c r="Q95" s="5" t="str">
        <f t="shared" si="14"/>
        <v>General Medicine</v>
      </c>
      <c r="R95" s="6" t="str">
        <f t="shared" si="15"/>
        <v>Apollo</v>
      </c>
      <c r="S95" s="6" t="str">
        <f t="shared" si="16"/>
        <v>Debit Card</v>
      </c>
      <c r="T95" s="6" t="str">
        <f t="shared" si="17"/>
        <v>Male</v>
      </c>
      <c r="U95" s="6" t="str">
        <f t="shared" si="20"/>
        <v>General</v>
      </c>
      <c r="V95" s="6" t="str" cm="1">
        <f t="array" ref="V95">IF(TRIM(S95)="",INDEX($S$2:$S$1500,MATCH(MAX(COUNTIF($S$2:$S$1500,S95)),COUNTIF($S$2:$S$1500,$S$2:$S$1500),0)),S95)</f>
        <v>Debit Card</v>
      </c>
      <c r="W95" s="7" cm="1">
        <f t="array" ref="W95">IF(OR(TRIM(K95)="",TRIM(K95)="-"), MEDIAN(IF($E$2:$E$1500=E95,$K$2:$K$1500)),  VALUE(SUBSTITUTE(SUBSTITUTE(SUBSTITUTE(K95,"Rs. ",""),"₹",""),",","")))</f>
        <v>8002</v>
      </c>
      <c r="X95" s="8">
        <f t="shared" si="18"/>
        <v>10</v>
      </c>
      <c r="Y95" s="7">
        <f t="shared" si="19"/>
        <v>7202</v>
      </c>
      <c r="Z95" s="9" t="str">
        <f t="shared" si="11"/>
        <v>ADULT</v>
      </c>
    </row>
    <row r="96" spans="1:26" x14ac:dyDescent="0.3">
      <c r="A96" s="5" t="s">
        <v>346</v>
      </c>
      <c r="B96" s="5" t="s">
        <v>25</v>
      </c>
      <c r="C96" s="5" t="s">
        <v>54</v>
      </c>
      <c r="D96" s="5" t="s">
        <v>66</v>
      </c>
      <c r="E96" s="5" t="s">
        <v>28</v>
      </c>
      <c r="F96" s="5" t="s">
        <v>268</v>
      </c>
      <c r="G96" s="5" t="s">
        <v>49</v>
      </c>
      <c r="H96" s="5">
        <v>86</v>
      </c>
      <c r="I96" s="5" t="s">
        <v>20</v>
      </c>
      <c r="J96" s="34" t="s">
        <v>347</v>
      </c>
      <c r="K96" s="31" t="s">
        <v>348</v>
      </c>
      <c r="L96" s="5" t="s">
        <v>34</v>
      </c>
      <c r="M96" s="32"/>
      <c r="N96" s="6">
        <f t="shared" si="12"/>
        <v>0</v>
      </c>
      <c r="O96" s="4" t="s">
        <v>268</v>
      </c>
      <c r="P96" s="5" t="str">
        <f t="shared" si="13"/>
        <v>Kolkata</v>
      </c>
      <c r="Q96" s="5" t="str">
        <f t="shared" si="14"/>
        <v>Oncology</v>
      </c>
      <c r="R96" s="6" t="str">
        <f t="shared" si="15"/>
        <v>Narayana</v>
      </c>
      <c r="S96" s="6" t="str">
        <f t="shared" si="16"/>
        <v>Cash</v>
      </c>
      <c r="T96" s="6" t="str">
        <f t="shared" si="17"/>
        <v>Male</v>
      </c>
      <c r="U96" s="6" t="str">
        <f t="shared" si="20"/>
        <v>General</v>
      </c>
      <c r="V96" s="6" t="str" cm="1">
        <f t="array" ref="V96">IF(TRIM(S96)="",INDEX($S$2:$S$1500,MATCH(MAX(COUNTIF($S$2:$S$1500,S96)),COUNTIF($S$2:$S$1500,$S$2:$S$1500),0)),S96)</f>
        <v>Cash</v>
      </c>
      <c r="W96" s="7" cm="1">
        <f t="array" ref="W96">IF(OR(TRIM(K96)="",TRIM(K96)="-"), MEDIAN(IF($E$2:$E$1500=E96,$K$2:$K$1500)),  VALUE(SUBSTITUTE(SUBSTITUTE(SUBSTITUTE(K96,"Rs. ",""),"₹",""),",","")))</f>
        <v>6880</v>
      </c>
      <c r="X96" s="8">
        <f t="shared" si="18"/>
        <v>0</v>
      </c>
      <c r="Y96" s="7">
        <f t="shared" si="19"/>
        <v>6880</v>
      </c>
      <c r="Z96" s="9" t="str">
        <f t="shared" si="11"/>
        <v>SENIOR</v>
      </c>
    </row>
    <row r="97" spans="1:26" x14ac:dyDescent="0.3">
      <c r="A97" s="5" t="s">
        <v>349</v>
      </c>
      <c r="B97" s="5" t="s">
        <v>45</v>
      </c>
      <c r="C97" s="5" t="s">
        <v>46</v>
      </c>
      <c r="D97" s="5" t="s">
        <v>80</v>
      </c>
      <c r="E97" s="5" t="s">
        <v>28</v>
      </c>
      <c r="F97" s="5" t="s">
        <v>268</v>
      </c>
      <c r="G97" s="5" t="s">
        <v>39</v>
      </c>
      <c r="H97" s="5">
        <v>21</v>
      </c>
      <c r="I97" s="5" t="s">
        <v>20</v>
      </c>
      <c r="J97" s="34" t="s">
        <v>350</v>
      </c>
      <c r="K97" s="31">
        <v>19305</v>
      </c>
      <c r="L97" s="5" t="s">
        <v>52</v>
      </c>
      <c r="M97" s="32" t="s">
        <v>140</v>
      </c>
      <c r="N97" s="6" t="str">
        <f t="shared" si="12"/>
        <v>-</v>
      </c>
      <c r="O97" s="4" t="s">
        <v>268</v>
      </c>
      <c r="P97" s="5" t="str">
        <f t="shared" si="13"/>
        <v>Ahmedabad</v>
      </c>
      <c r="Q97" s="5" t="str">
        <f t="shared" si="14"/>
        <v>Oncology</v>
      </c>
      <c r="R97" s="6" t="str">
        <f t="shared" si="15"/>
        <v>Fortis</v>
      </c>
      <c r="S97" s="6" t="str">
        <f t="shared" si="16"/>
        <v>Credit Card</v>
      </c>
      <c r="T97" s="6" t="str">
        <f t="shared" si="17"/>
        <v>Male</v>
      </c>
      <c r="U97" s="6" t="str">
        <f t="shared" si="20"/>
        <v>General</v>
      </c>
      <c r="V97" s="6" t="str" cm="1">
        <f t="array" ref="V97">IF(TRIM(S97)="",INDEX($S$2:$S$1500,MATCH(MAX(COUNTIF($S$2:$S$1500,S97)),COUNTIF($S$2:$S$1500,$S$2:$S$1500),0)),S97)</f>
        <v>Credit Card</v>
      </c>
      <c r="W97" s="7" cm="1">
        <f t="array" ref="W97">IF(OR(TRIM(K97)="",TRIM(K97)="-"), MEDIAN(IF($E$2:$E$1500=E97,$K$2:$K$1500)),  VALUE(SUBSTITUTE(SUBSTITUTE(SUBSTITUTE(K97,"Rs. ",""),"₹",""),",","")))</f>
        <v>19305</v>
      </c>
      <c r="X97" s="8">
        <f t="shared" si="18"/>
        <v>3</v>
      </c>
      <c r="Y97" s="7">
        <f t="shared" si="19"/>
        <v>18726</v>
      </c>
      <c r="Z97" s="9" t="str">
        <f t="shared" si="11"/>
        <v>ADULT</v>
      </c>
    </row>
    <row r="98" spans="1:26" x14ac:dyDescent="0.3">
      <c r="A98" s="5" t="s">
        <v>351</v>
      </c>
      <c r="B98" s="5" t="s">
        <v>106</v>
      </c>
      <c r="C98" s="5" t="s">
        <v>107</v>
      </c>
      <c r="D98" s="5" t="s">
        <v>189</v>
      </c>
      <c r="E98" s="5" t="s">
        <v>164</v>
      </c>
      <c r="F98" s="5" t="s">
        <v>282</v>
      </c>
      <c r="G98" s="5" t="s">
        <v>19</v>
      </c>
      <c r="H98" s="5">
        <v>13</v>
      </c>
      <c r="I98" s="5" t="s">
        <v>31</v>
      </c>
      <c r="J98" s="34" t="s">
        <v>352</v>
      </c>
      <c r="K98" s="31">
        <v>18881</v>
      </c>
      <c r="L98" s="5" t="s">
        <v>34</v>
      </c>
      <c r="M98" s="32" t="s">
        <v>130</v>
      </c>
      <c r="N98" s="6">
        <f t="shared" si="12"/>
        <v>0</v>
      </c>
      <c r="O98" s="4" t="s">
        <v>282</v>
      </c>
      <c r="P98" s="5" t="str">
        <f t="shared" si="13"/>
        <v>Delhi</v>
      </c>
      <c r="Q98" s="5" t="str">
        <f t="shared" si="14"/>
        <v>Cardiology</v>
      </c>
      <c r="R98" s="6" t="str">
        <f t="shared" si="15"/>
        <v>Aiims</v>
      </c>
      <c r="S98" s="6" t="str">
        <f t="shared" si="16"/>
        <v>Cash</v>
      </c>
      <c r="T98" s="6" t="str">
        <f t="shared" si="17"/>
        <v>Male</v>
      </c>
      <c r="U98" s="6" t="str">
        <f t="shared" si="20"/>
        <v>General</v>
      </c>
      <c r="V98" s="6" t="str" cm="1">
        <f t="array" ref="V98">IF(TRIM(S98)="",INDEX($S$2:$S$1500,MATCH(MAX(COUNTIF($S$2:$S$1500,S98)),COUNTIF($S$2:$S$1500,$S$2:$S$1500),0)),S98)</f>
        <v>Cash</v>
      </c>
      <c r="W98" s="7" cm="1">
        <f t="array" ref="W98">IF(OR(TRIM(K98)="",TRIM(K98)="-"), MEDIAN(IF($E$2:$E$1500=E98,$K$2:$K$1500)),  VALUE(SUBSTITUTE(SUBSTITUTE(SUBSTITUTE(K98,"Rs. ",""),"₹",""),",","")))</f>
        <v>18881</v>
      </c>
      <c r="X98" s="8">
        <f t="shared" si="18"/>
        <v>0</v>
      </c>
      <c r="Y98" s="7">
        <f t="shared" si="19"/>
        <v>18881</v>
      </c>
      <c r="Z98" s="9" t="str">
        <f t="shared" si="11"/>
        <v>TEEN</v>
      </c>
    </row>
    <row r="99" spans="1:26" x14ac:dyDescent="0.3">
      <c r="A99" s="5" t="s">
        <v>353</v>
      </c>
      <c r="B99" s="5" t="s">
        <v>14</v>
      </c>
      <c r="C99" s="5" t="s">
        <v>15</v>
      </c>
      <c r="D99" s="5" t="s">
        <v>55</v>
      </c>
      <c r="E99" s="5" t="s">
        <v>99</v>
      </c>
      <c r="F99" s="5" t="s">
        <v>256</v>
      </c>
      <c r="G99" s="5" t="s">
        <v>19</v>
      </c>
      <c r="H99" s="5">
        <v>71</v>
      </c>
      <c r="I99" s="5" t="s">
        <v>20</v>
      </c>
      <c r="J99" s="34" t="s">
        <v>354</v>
      </c>
      <c r="K99" s="31" t="s">
        <v>355</v>
      </c>
      <c r="L99" s="5" t="s">
        <v>211</v>
      </c>
      <c r="M99" s="32" t="s">
        <v>76</v>
      </c>
      <c r="N99" s="6">
        <f t="shared" si="12"/>
        <v>10</v>
      </c>
      <c r="O99" s="4" t="s">
        <v>256</v>
      </c>
      <c r="P99" s="5" t="str">
        <f t="shared" si="13"/>
        <v>Hyderabad</v>
      </c>
      <c r="Q99" s="5" t="str">
        <f t="shared" si="14"/>
        <v>Ent</v>
      </c>
      <c r="R99" s="6" t="str">
        <f t="shared" si="15"/>
        <v>Max_Healthcare</v>
      </c>
      <c r="S99" s="6" t="str">
        <f t="shared" si="16"/>
        <v>Credit Card</v>
      </c>
      <c r="T99" s="6" t="str">
        <f t="shared" si="17"/>
        <v>Male</v>
      </c>
      <c r="U99" s="6" t="str">
        <f t="shared" si="20"/>
        <v>General</v>
      </c>
      <c r="V99" s="6" t="str" cm="1">
        <f t="array" ref="V99">IF(TRIM(S99)="",INDEX($S$2:$S$1500,MATCH(MAX(COUNTIF($S$2:$S$1500,S99)),COUNTIF($S$2:$S$1500,$S$2:$S$1500),0)),S99)</f>
        <v>Credit Card</v>
      </c>
      <c r="W99" s="7" cm="1">
        <f t="array" ref="W99">IF(OR(TRIM(K99)="",TRIM(K99)="-"), MEDIAN(IF($E$2:$E$1500=E99,$K$2:$K$1500)),  VALUE(SUBSTITUTE(SUBSTITUTE(SUBSTITUTE(K99,"Rs. ",""),"₹",""),",","")))</f>
        <v>12474</v>
      </c>
      <c r="X99" s="8">
        <f t="shared" si="18"/>
        <v>10</v>
      </c>
      <c r="Y99" s="7">
        <f t="shared" si="19"/>
        <v>11227</v>
      </c>
      <c r="Z99" s="9" t="str">
        <f t="shared" si="11"/>
        <v>SENIOR</v>
      </c>
    </row>
    <row r="100" spans="1:26" x14ac:dyDescent="0.3">
      <c r="A100" s="5" t="s">
        <v>356</v>
      </c>
      <c r="B100" s="5" t="s">
        <v>117</v>
      </c>
      <c r="C100" s="5" t="s">
        <v>118</v>
      </c>
      <c r="D100" s="5" t="s">
        <v>27</v>
      </c>
      <c r="E100" s="5" t="s">
        <v>37</v>
      </c>
      <c r="F100" s="5" t="s">
        <v>132</v>
      </c>
      <c r="G100" s="5" t="s">
        <v>39</v>
      </c>
      <c r="H100" s="5">
        <v>6</v>
      </c>
      <c r="I100" s="5" t="s">
        <v>40</v>
      </c>
      <c r="J100" s="34" t="s">
        <v>323</v>
      </c>
      <c r="K100" s="31" t="s">
        <v>357</v>
      </c>
      <c r="L100" s="5" t="s">
        <v>87</v>
      </c>
      <c r="M100" s="32" t="s">
        <v>140</v>
      </c>
      <c r="N100" s="6" t="str">
        <f t="shared" si="12"/>
        <v>-</v>
      </c>
      <c r="O100" s="4" t="s">
        <v>132</v>
      </c>
      <c r="P100" s="5" t="str">
        <f t="shared" si="13"/>
        <v>Mumbai</v>
      </c>
      <c r="Q100" s="5" t="str">
        <f t="shared" si="14"/>
        <v>Pediatrics</v>
      </c>
      <c r="R100" s="6" t="str">
        <f t="shared" si="15"/>
        <v>Manipal</v>
      </c>
      <c r="S100" s="6" t="str">
        <f t="shared" si="16"/>
        <v>Credit Card</v>
      </c>
      <c r="T100" s="6" t="str">
        <f t="shared" si="17"/>
        <v>Female</v>
      </c>
      <c r="U100" s="6" t="str">
        <f t="shared" si="20"/>
        <v>General</v>
      </c>
      <c r="V100" s="6" t="str" cm="1">
        <f t="array" ref="V100">IF(TRIM(S100)="",INDEX($S$2:$S$1500,MATCH(MAX(COUNTIF($S$2:$S$1500,S100)),COUNTIF($S$2:$S$1500,$S$2:$S$1500),0)),S100)</f>
        <v>Credit Card</v>
      </c>
      <c r="W100" s="7" cm="1">
        <f t="array" ref="W100">IF(OR(TRIM(K100)="",TRIM(K100)="-"), MEDIAN(IF($E$2:$E$1500=E100,$K$2:$K$1500)),  VALUE(SUBSTITUTE(SUBSTITUTE(SUBSTITUTE(K100,"Rs. ",""),"₹",""),",","")))</f>
        <v>16304</v>
      </c>
      <c r="X100" s="8">
        <f t="shared" si="18"/>
        <v>3</v>
      </c>
      <c r="Y100" s="7">
        <f t="shared" si="19"/>
        <v>15815</v>
      </c>
      <c r="Z100" s="9" t="str">
        <f t="shared" si="11"/>
        <v>CHILD</v>
      </c>
    </row>
    <row r="101" spans="1:26" x14ac:dyDescent="0.3">
      <c r="A101" s="5" t="s">
        <v>358</v>
      </c>
      <c r="B101" s="5" t="s">
        <v>25</v>
      </c>
      <c r="C101" s="5" t="s">
        <v>54</v>
      </c>
      <c r="D101" s="5" t="s">
        <v>189</v>
      </c>
      <c r="E101" s="5" t="s">
        <v>93</v>
      </c>
      <c r="F101" s="5" t="s">
        <v>144</v>
      </c>
      <c r="G101" s="5" t="s">
        <v>39</v>
      </c>
      <c r="H101" s="5">
        <v>28</v>
      </c>
      <c r="I101" s="5" t="s">
        <v>20</v>
      </c>
      <c r="J101" s="34" t="s">
        <v>359</v>
      </c>
      <c r="K101" s="31">
        <v>18003</v>
      </c>
      <c r="L101" s="5" t="s">
        <v>91</v>
      </c>
      <c r="M101" s="32">
        <v>5</v>
      </c>
      <c r="N101" s="6">
        <f t="shared" si="12"/>
        <v>5</v>
      </c>
      <c r="O101" s="4" t="s">
        <v>144</v>
      </c>
      <c r="P101" s="5" t="str">
        <f t="shared" si="13"/>
        <v>Delhi</v>
      </c>
      <c r="Q101" s="5" t="str">
        <f t="shared" si="14"/>
        <v>Nephrology</v>
      </c>
      <c r="R101" s="6" t="str">
        <f t="shared" si="15"/>
        <v>Narayana</v>
      </c>
      <c r="S101" s="6" t="str">
        <f t="shared" si="16"/>
        <v>Debit Card</v>
      </c>
      <c r="T101" s="6" t="str">
        <f t="shared" si="17"/>
        <v>Male</v>
      </c>
      <c r="U101" s="6" t="str">
        <f t="shared" si="20"/>
        <v>General</v>
      </c>
      <c r="V101" s="6" t="str" cm="1">
        <f t="array" ref="V101">IF(TRIM(S101)="",INDEX($S$2:$S$1500,MATCH(MAX(COUNTIF($S$2:$S$1500,S101)),COUNTIF($S$2:$S$1500,$S$2:$S$1500),0)),S101)</f>
        <v>Debit Card</v>
      </c>
      <c r="W101" s="7" cm="1">
        <f t="array" ref="W101">IF(OR(TRIM(K101)="",TRIM(K101)="-"), MEDIAN(IF($E$2:$E$1500=E101,$K$2:$K$1500)),  VALUE(SUBSTITUTE(SUBSTITUTE(SUBSTITUTE(K101,"Rs. ",""),"₹",""),",","")))</f>
        <v>18003</v>
      </c>
      <c r="X101" s="8">
        <f t="shared" si="18"/>
        <v>5</v>
      </c>
      <c r="Y101" s="7">
        <f t="shared" si="19"/>
        <v>17103</v>
      </c>
      <c r="Z101" s="9" t="str">
        <f t="shared" si="11"/>
        <v>ADULT</v>
      </c>
    </row>
    <row r="102" spans="1:26" x14ac:dyDescent="0.3">
      <c r="A102" s="5" t="s">
        <v>360</v>
      </c>
      <c r="B102" s="5" t="s">
        <v>106</v>
      </c>
      <c r="C102" s="5" t="s">
        <v>107</v>
      </c>
      <c r="D102" s="5" t="s">
        <v>189</v>
      </c>
      <c r="E102" s="5" t="s">
        <v>37</v>
      </c>
      <c r="F102" s="5" t="s">
        <v>132</v>
      </c>
      <c r="G102" s="5" t="s">
        <v>69</v>
      </c>
      <c r="H102" s="5">
        <v>39</v>
      </c>
      <c r="I102" s="5" t="s">
        <v>40</v>
      </c>
      <c r="J102" s="34" t="s">
        <v>361</v>
      </c>
      <c r="K102" s="31" t="s">
        <v>362</v>
      </c>
      <c r="L102" s="5" t="s">
        <v>91</v>
      </c>
      <c r="M102" s="32">
        <v>5</v>
      </c>
      <c r="N102" s="6">
        <f t="shared" si="12"/>
        <v>5</v>
      </c>
      <c r="O102" s="4" t="s">
        <v>132</v>
      </c>
      <c r="P102" s="5" t="str">
        <f t="shared" si="13"/>
        <v>Delhi</v>
      </c>
      <c r="Q102" s="5" t="str">
        <f t="shared" si="14"/>
        <v>Pediatrics</v>
      </c>
      <c r="R102" s="6" t="str">
        <f t="shared" si="15"/>
        <v>Aiims</v>
      </c>
      <c r="S102" s="6" t="str">
        <f t="shared" si="16"/>
        <v>Debit Card</v>
      </c>
      <c r="T102" s="6" t="str">
        <f t="shared" si="17"/>
        <v>Female</v>
      </c>
      <c r="U102" s="6" t="str">
        <f t="shared" si="20"/>
        <v>ICU</v>
      </c>
      <c r="V102" s="6" t="str" cm="1">
        <f t="array" ref="V102">IF(TRIM(S102)="",INDEX($S$2:$S$1500,MATCH(MAX(COUNTIF($S$2:$S$1500,S102)),COUNTIF($S$2:$S$1500,$S$2:$S$1500),0)),S102)</f>
        <v>Debit Card</v>
      </c>
      <c r="W102" s="7" cm="1">
        <f t="array" ref="W102">IF(OR(TRIM(K102)="",TRIM(K102)="-"), MEDIAN(IF($E$2:$E$1500=E102,$K$2:$K$1500)),  VALUE(SUBSTITUTE(SUBSTITUTE(SUBSTITUTE(K102,"Rs. ",""),"₹",""),",","")))</f>
        <v>24488</v>
      </c>
      <c r="X102" s="8">
        <f t="shared" si="18"/>
        <v>5</v>
      </c>
      <c r="Y102" s="7">
        <f t="shared" si="19"/>
        <v>23264</v>
      </c>
      <c r="Z102" s="9" t="str">
        <f t="shared" si="11"/>
        <v>ADULT</v>
      </c>
    </row>
    <row r="103" spans="1:26" x14ac:dyDescent="0.3">
      <c r="A103" s="5" t="s">
        <v>363</v>
      </c>
      <c r="B103" s="5" t="s">
        <v>78</v>
      </c>
      <c r="C103" s="5" t="s">
        <v>203</v>
      </c>
      <c r="D103" s="5" t="s">
        <v>61</v>
      </c>
      <c r="E103" s="5" t="s">
        <v>47</v>
      </c>
      <c r="F103" s="5" t="s">
        <v>364</v>
      </c>
      <c r="G103" s="5"/>
      <c r="H103" s="5">
        <v>50</v>
      </c>
      <c r="I103" s="5" t="s">
        <v>31</v>
      </c>
      <c r="J103" s="34" t="s">
        <v>365</v>
      </c>
      <c r="K103" s="31" t="s">
        <v>366</v>
      </c>
      <c r="L103" s="5" t="s">
        <v>115</v>
      </c>
      <c r="M103" s="32" t="s">
        <v>198</v>
      </c>
      <c r="N103" s="6">
        <f t="shared" si="12"/>
        <v>5</v>
      </c>
      <c r="O103" s="4" t="s">
        <v>364</v>
      </c>
      <c r="P103" s="5" t="str">
        <f t="shared" si="13"/>
        <v>Pune</v>
      </c>
      <c r="Q103" s="5" t="str">
        <f t="shared" si="14"/>
        <v>Gastroenterology</v>
      </c>
      <c r="R103" s="6" t="str">
        <f t="shared" si="15"/>
        <v>Apollo</v>
      </c>
      <c r="S103" s="6" t="str">
        <f t="shared" si="16"/>
        <v>Cash</v>
      </c>
      <c r="T103" s="6" t="str">
        <f t="shared" si="17"/>
        <v>Male</v>
      </c>
      <c r="U103" s="6" t="str">
        <f t="shared" si="20"/>
        <v>Unknown</v>
      </c>
      <c r="V103" s="6" t="str" cm="1">
        <f t="array" ref="V103">IF(TRIM(S103)="",INDEX($S$2:$S$1500,MATCH(MAX(COUNTIF($S$2:$S$1500,S103)),COUNTIF($S$2:$S$1500,$S$2:$S$1500),0)),S103)</f>
        <v>Cash</v>
      </c>
      <c r="W103" s="7" cm="1">
        <f t="array" ref="W103">IF(OR(TRIM(K103)="",TRIM(K103)="-"), MEDIAN(IF($E$2:$E$1500=E103,$K$2:$K$1500)),  VALUE(SUBSTITUTE(SUBSTITUTE(SUBSTITUTE(K103,"Rs. ",""),"₹",""),",","")))</f>
        <v>8088</v>
      </c>
      <c r="X103" s="8">
        <f t="shared" si="18"/>
        <v>5</v>
      </c>
      <c r="Y103" s="7">
        <f t="shared" si="19"/>
        <v>7684</v>
      </c>
      <c r="Z103" s="9" t="str">
        <f t="shared" si="11"/>
        <v>ADULT</v>
      </c>
    </row>
    <row r="104" spans="1:26" x14ac:dyDescent="0.3">
      <c r="A104" s="5" t="s">
        <v>367</v>
      </c>
      <c r="B104" s="5" t="s">
        <v>78</v>
      </c>
      <c r="C104" s="5" t="s">
        <v>161</v>
      </c>
      <c r="D104" s="5" t="s">
        <v>61</v>
      </c>
      <c r="E104" s="5" t="s">
        <v>164</v>
      </c>
      <c r="F104" s="5" t="s">
        <v>282</v>
      </c>
      <c r="G104" s="5" t="s">
        <v>39</v>
      </c>
      <c r="H104" s="5">
        <v>28</v>
      </c>
      <c r="I104" s="5" t="s">
        <v>20</v>
      </c>
      <c r="J104" s="34" t="s">
        <v>368</v>
      </c>
      <c r="K104" s="31"/>
      <c r="L104" s="5" t="s">
        <v>115</v>
      </c>
      <c r="M104" s="32">
        <v>0</v>
      </c>
      <c r="N104" s="6">
        <f t="shared" si="12"/>
        <v>0</v>
      </c>
      <c r="O104" s="4" t="s">
        <v>282</v>
      </c>
      <c r="P104" s="5" t="str">
        <f t="shared" si="13"/>
        <v>Pune</v>
      </c>
      <c r="Q104" s="5" t="str">
        <f t="shared" si="14"/>
        <v>Cardiology</v>
      </c>
      <c r="R104" s="6" t="str">
        <f t="shared" si="15"/>
        <v>Apollo</v>
      </c>
      <c r="S104" s="6" t="str">
        <f t="shared" si="16"/>
        <v>Cash</v>
      </c>
      <c r="T104" s="6" t="str">
        <f t="shared" si="17"/>
        <v>Male</v>
      </c>
      <c r="U104" s="6" t="str">
        <f t="shared" si="20"/>
        <v>General</v>
      </c>
      <c r="V104" s="6" t="str" cm="1">
        <f t="array" ref="V104">IF(TRIM(S104)="",INDEX($S$2:$S$1500,MATCH(MAX(COUNTIF($S$2:$S$1500,S104)),COUNTIF($S$2:$S$1500,$S$2:$S$1500),0)),S104)</f>
        <v>Cash</v>
      </c>
      <c r="W104" s="7" cm="1">
        <f t="array" ref="W104">IF(OR(TRIM(K104)="",TRIM(K104)="-"), MEDIAN(IF($E$2:$E$1500=E104,$K$2:$K$1500)),  VALUE(SUBSTITUTE(SUBSTITUTE(SUBSTITUTE(K104,"Rs. ",""),"₹",""),",","")))</f>
        <v>13785</v>
      </c>
      <c r="X104" s="8">
        <f t="shared" si="18"/>
        <v>0</v>
      </c>
      <c r="Y104" s="7">
        <f t="shared" si="19"/>
        <v>13785</v>
      </c>
      <c r="Z104" s="9" t="str">
        <f t="shared" si="11"/>
        <v>ADULT</v>
      </c>
    </row>
    <row r="105" spans="1:26" x14ac:dyDescent="0.3">
      <c r="A105" s="5" t="s">
        <v>369</v>
      </c>
      <c r="B105" s="5" t="s">
        <v>106</v>
      </c>
      <c r="C105" s="5" t="s">
        <v>307</v>
      </c>
      <c r="D105" s="5" t="s">
        <v>16</v>
      </c>
      <c r="E105" s="5" t="s">
        <v>108</v>
      </c>
      <c r="F105" s="5" t="s">
        <v>272</v>
      </c>
      <c r="G105" s="5" t="s">
        <v>49</v>
      </c>
      <c r="H105" s="5">
        <v>86</v>
      </c>
      <c r="I105" s="5" t="s">
        <v>20</v>
      </c>
      <c r="J105" s="34" t="s">
        <v>370</v>
      </c>
      <c r="K105" s="31">
        <v>4725</v>
      </c>
      <c r="L105" s="5"/>
      <c r="M105" s="32"/>
      <c r="N105" s="6">
        <f t="shared" si="12"/>
        <v>0</v>
      </c>
      <c r="O105" s="4" t="s">
        <v>272</v>
      </c>
      <c r="P105" s="5" t="str">
        <f t="shared" si="13"/>
        <v>Bangalore</v>
      </c>
      <c r="Q105" s="5" t="str">
        <f t="shared" si="14"/>
        <v>Orthopedics</v>
      </c>
      <c r="R105" s="6" t="str">
        <f t="shared" si="15"/>
        <v>Aiims</v>
      </c>
      <c r="S105" s="6" t="str">
        <f t="shared" si="16"/>
        <v>Unknown</v>
      </c>
      <c r="T105" s="6" t="str">
        <f t="shared" si="17"/>
        <v>Male</v>
      </c>
      <c r="U105" s="6" t="str">
        <f t="shared" si="20"/>
        <v>General</v>
      </c>
      <c r="V105" s="6" t="str" cm="1">
        <f t="array" ref="V105">IF(TRIM(S105)="",INDEX($S$2:$S$1500,MATCH(MAX(COUNTIF($S$2:$S$1500,S105)),COUNTIF($S$2:$S$1500,$S$2:$S$1500),0)),S105)</f>
        <v>Unknown</v>
      </c>
      <c r="W105" s="7" cm="1">
        <f t="array" ref="W105">IF(OR(TRIM(K105)="",TRIM(K105)="-"), MEDIAN(IF($E$2:$E$1500=E105,$K$2:$K$1500)),  VALUE(SUBSTITUTE(SUBSTITUTE(SUBSTITUTE(K105,"Rs. ",""),"₹",""),",","")))</f>
        <v>4725</v>
      </c>
      <c r="X105" s="8">
        <f t="shared" si="18"/>
        <v>0</v>
      </c>
      <c r="Y105" s="7">
        <f t="shared" si="19"/>
        <v>4725</v>
      </c>
      <c r="Z105" s="9" t="str">
        <f t="shared" si="11"/>
        <v>SENIOR</v>
      </c>
    </row>
    <row r="106" spans="1:26" x14ac:dyDescent="0.3">
      <c r="A106" s="5" t="s">
        <v>371</v>
      </c>
      <c r="B106" s="5" t="s">
        <v>106</v>
      </c>
      <c r="C106" s="5" t="s">
        <v>107</v>
      </c>
      <c r="D106" s="5" t="s">
        <v>16</v>
      </c>
      <c r="E106" s="5" t="s">
        <v>99</v>
      </c>
      <c r="F106" s="5" t="s">
        <v>372</v>
      </c>
      <c r="G106" s="5" t="s">
        <v>49</v>
      </c>
      <c r="H106" s="5">
        <v>61</v>
      </c>
      <c r="I106" s="5" t="s">
        <v>70</v>
      </c>
      <c r="J106" s="34" t="s">
        <v>373</v>
      </c>
      <c r="K106" s="31">
        <v>7748</v>
      </c>
      <c r="L106" s="5" t="s">
        <v>167</v>
      </c>
      <c r="M106" s="32">
        <v>0.25</v>
      </c>
      <c r="N106" s="6">
        <f t="shared" si="12"/>
        <v>25</v>
      </c>
      <c r="O106" s="4" t="s">
        <v>372</v>
      </c>
      <c r="P106" s="5" t="str">
        <f t="shared" si="13"/>
        <v>Bangalore</v>
      </c>
      <c r="Q106" s="5" t="str">
        <f t="shared" si="14"/>
        <v>Ent</v>
      </c>
      <c r="R106" s="6" t="str">
        <f t="shared" si="15"/>
        <v>Aiims</v>
      </c>
      <c r="S106" s="6" t="str">
        <f t="shared" si="16"/>
        <v>Insurance</v>
      </c>
      <c r="T106" s="6" t="str">
        <f t="shared" si="17"/>
        <v>Female</v>
      </c>
      <c r="U106" s="6" t="str">
        <f t="shared" si="20"/>
        <v>General</v>
      </c>
      <c r="V106" s="6" t="str" cm="1">
        <f t="array" ref="V106">IF(TRIM(S106)="",INDEX($S$2:$S$1500,MATCH(MAX(COUNTIF($S$2:$S$1500,S106)),COUNTIF($S$2:$S$1500,$S$2:$S$1500),0)),S106)</f>
        <v>Insurance</v>
      </c>
      <c r="W106" s="7" cm="1">
        <f t="array" ref="W106">IF(OR(TRIM(K106)="",TRIM(K106)="-"), MEDIAN(IF($E$2:$E$1500=E106,$K$2:$K$1500)),  VALUE(SUBSTITUTE(SUBSTITUTE(SUBSTITUTE(K106,"Rs. ",""),"₹",""),",","")))</f>
        <v>7748</v>
      </c>
      <c r="X106" s="8">
        <f t="shared" si="18"/>
        <v>25</v>
      </c>
      <c r="Y106" s="7">
        <f t="shared" si="19"/>
        <v>5811</v>
      </c>
      <c r="Z106" s="9" t="str">
        <f t="shared" si="11"/>
        <v>SENIOR</v>
      </c>
    </row>
    <row r="107" spans="1:26" x14ac:dyDescent="0.3">
      <c r="A107" s="5" t="s">
        <v>374</v>
      </c>
      <c r="B107" s="5" t="s">
        <v>117</v>
      </c>
      <c r="C107" s="5" t="s">
        <v>127</v>
      </c>
      <c r="D107" s="5" t="s">
        <v>66</v>
      </c>
      <c r="E107" s="5" t="s">
        <v>47</v>
      </c>
      <c r="F107" s="5" t="s">
        <v>48</v>
      </c>
      <c r="G107" s="5" t="s">
        <v>19</v>
      </c>
      <c r="H107" s="5">
        <v>78</v>
      </c>
      <c r="I107" s="5" t="s">
        <v>70</v>
      </c>
      <c r="J107" s="34" t="s">
        <v>375</v>
      </c>
      <c r="K107" s="31">
        <v>7951</v>
      </c>
      <c r="L107" s="5" t="s">
        <v>23</v>
      </c>
      <c r="M107" s="32" t="s">
        <v>198</v>
      </c>
      <c r="N107" s="6">
        <f t="shared" si="12"/>
        <v>5</v>
      </c>
      <c r="O107" s="4" t="s">
        <v>48</v>
      </c>
      <c r="P107" s="5" t="str">
        <f t="shared" si="13"/>
        <v>Kolkata</v>
      </c>
      <c r="Q107" s="5" t="str">
        <f t="shared" si="14"/>
        <v>Gastroenterology</v>
      </c>
      <c r="R107" s="6" t="str">
        <f t="shared" si="15"/>
        <v>Manipal</v>
      </c>
      <c r="S107" s="6" t="str">
        <f t="shared" si="16"/>
        <v>Credit Card</v>
      </c>
      <c r="T107" s="6" t="str">
        <f t="shared" si="17"/>
        <v>Female</v>
      </c>
      <c r="U107" s="6" t="str">
        <f t="shared" si="20"/>
        <v>General</v>
      </c>
      <c r="V107" s="6" t="str" cm="1">
        <f t="array" ref="V107">IF(TRIM(S107)="",INDEX($S$2:$S$1500,MATCH(MAX(COUNTIF($S$2:$S$1500,S107)),COUNTIF($S$2:$S$1500,$S$2:$S$1500),0)),S107)</f>
        <v>Credit Card</v>
      </c>
      <c r="W107" s="7" cm="1">
        <f t="array" ref="W107">IF(OR(TRIM(K107)="",TRIM(K107)="-"), MEDIAN(IF($E$2:$E$1500=E107,$K$2:$K$1500)),  VALUE(SUBSTITUTE(SUBSTITUTE(SUBSTITUTE(K107,"Rs. ",""),"₹",""),",","")))</f>
        <v>7951</v>
      </c>
      <c r="X107" s="8">
        <f t="shared" si="18"/>
        <v>5</v>
      </c>
      <c r="Y107" s="7">
        <f t="shared" si="19"/>
        <v>7553</v>
      </c>
      <c r="Z107" s="9" t="str">
        <f t="shared" si="11"/>
        <v>SENIOR</v>
      </c>
    </row>
    <row r="108" spans="1:26" x14ac:dyDescent="0.3">
      <c r="A108" s="5" t="s">
        <v>376</v>
      </c>
      <c r="B108" s="5" t="s">
        <v>45</v>
      </c>
      <c r="C108" s="5" t="s">
        <v>46</v>
      </c>
      <c r="D108" s="5" t="s">
        <v>80</v>
      </c>
      <c r="E108" s="5" t="s">
        <v>74</v>
      </c>
      <c r="F108" s="5" t="s">
        <v>75</v>
      </c>
      <c r="G108" s="5" t="s">
        <v>30</v>
      </c>
      <c r="H108" s="5">
        <v>76</v>
      </c>
      <c r="I108" s="5" t="s">
        <v>20</v>
      </c>
      <c r="J108" s="34" t="s">
        <v>377</v>
      </c>
      <c r="K108" s="31">
        <v>7609</v>
      </c>
      <c r="L108" s="5" t="s">
        <v>83</v>
      </c>
      <c r="M108" s="32">
        <v>10</v>
      </c>
      <c r="N108" s="6">
        <f t="shared" si="12"/>
        <v>10</v>
      </c>
      <c r="O108" s="4" t="s">
        <v>75</v>
      </c>
      <c r="P108" s="5" t="str">
        <f t="shared" si="13"/>
        <v>Ahmedabad</v>
      </c>
      <c r="Q108" s="5" t="str">
        <f t="shared" si="14"/>
        <v>General Medicine</v>
      </c>
      <c r="R108" s="6" t="str">
        <f t="shared" si="15"/>
        <v>Fortis</v>
      </c>
      <c r="S108" s="6" t="str">
        <f t="shared" si="16"/>
        <v>Debit Card</v>
      </c>
      <c r="T108" s="6" t="str">
        <f t="shared" si="17"/>
        <v>Male</v>
      </c>
      <c r="U108" s="6" t="str">
        <f t="shared" si="20"/>
        <v>General</v>
      </c>
      <c r="V108" s="6" t="str" cm="1">
        <f t="array" ref="V108">IF(TRIM(S108)="",INDEX($S$2:$S$1500,MATCH(MAX(COUNTIF($S$2:$S$1500,S108)),COUNTIF($S$2:$S$1500,$S$2:$S$1500),0)),S108)</f>
        <v>Debit Card</v>
      </c>
      <c r="W108" s="7" cm="1">
        <f t="array" ref="W108">IF(OR(TRIM(K108)="",TRIM(K108)="-"), MEDIAN(IF($E$2:$E$1500=E108,$K$2:$K$1500)),  VALUE(SUBSTITUTE(SUBSTITUTE(SUBSTITUTE(K108,"Rs. ",""),"₹",""),",","")))</f>
        <v>7609</v>
      </c>
      <c r="X108" s="8">
        <f t="shared" si="18"/>
        <v>10</v>
      </c>
      <c r="Y108" s="7">
        <f t="shared" si="19"/>
        <v>6848</v>
      </c>
      <c r="Z108" s="9" t="str">
        <f t="shared" si="11"/>
        <v>SENIOR</v>
      </c>
    </row>
    <row r="109" spans="1:26" x14ac:dyDescent="0.3">
      <c r="A109" s="5" t="s">
        <v>378</v>
      </c>
      <c r="B109" s="5" t="s">
        <v>14</v>
      </c>
      <c r="C109" s="5" t="s">
        <v>60</v>
      </c>
      <c r="D109" s="5" t="s">
        <v>27</v>
      </c>
      <c r="E109" s="5" t="s">
        <v>93</v>
      </c>
      <c r="F109" s="5" t="s">
        <v>144</v>
      </c>
      <c r="G109" s="5" t="s">
        <v>62</v>
      </c>
      <c r="H109" s="5">
        <v>30</v>
      </c>
      <c r="I109" s="5" t="s">
        <v>20</v>
      </c>
      <c r="J109" s="34" t="s">
        <v>379</v>
      </c>
      <c r="K109" s="31">
        <v>27544</v>
      </c>
      <c r="L109" s="5" t="s">
        <v>34</v>
      </c>
      <c r="M109" s="32">
        <v>10</v>
      </c>
      <c r="N109" s="6">
        <f t="shared" si="12"/>
        <v>10</v>
      </c>
      <c r="O109" s="4" t="s">
        <v>144</v>
      </c>
      <c r="P109" s="5" t="str">
        <f t="shared" si="13"/>
        <v>Mumbai</v>
      </c>
      <c r="Q109" s="5" t="str">
        <f t="shared" si="14"/>
        <v>Nephrology</v>
      </c>
      <c r="R109" s="6" t="str">
        <f t="shared" si="15"/>
        <v>Max_Healthcare</v>
      </c>
      <c r="S109" s="6" t="str">
        <f t="shared" si="16"/>
        <v>Cash</v>
      </c>
      <c r="T109" s="6" t="str">
        <f t="shared" si="17"/>
        <v>Male</v>
      </c>
      <c r="U109" s="6" t="str">
        <f t="shared" si="20"/>
        <v>ICU</v>
      </c>
      <c r="V109" s="6" t="str" cm="1">
        <f t="array" ref="V109">IF(TRIM(S109)="",INDEX($S$2:$S$1500,MATCH(MAX(COUNTIF($S$2:$S$1500,S109)),COUNTIF($S$2:$S$1500,$S$2:$S$1500),0)),S109)</f>
        <v>Cash</v>
      </c>
      <c r="W109" s="7" cm="1">
        <f t="array" ref="W109">IF(OR(TRIM(K109)="",TRIM(K109)="-"), MEDIAN(IF($E$2:$E$1500=E109,$K$2:$K$1500)),  VALUE(SUBSTITUTE(SUBSTITUTE(SUBSTITUTE(K109,"Rs. ",""),"₹",""),",","")))</f>
        <v>27544</v>
      </c>
      <c r="X109" s="8">
        <f t="shared" si="18"/>
        <v>10</v>
      </c>
      <c r="Y109" s="7">
        <f t="shared" si="19"/>
        <v>24790</v>
      </c>
      <c r="Z109" s="9" t="str">
        <f t="shared" si="11"/>
        <v>ADULT</v>
      </c>
    </row>
    <row r="110" spans="1:26" x14ac:dyDescent="0.3">
      <c r="A110" s="5" t="s">
        <v>380</v>
      </c>
      <c r="B110" s="5" t="s">
        <v>117</v>
      </c>
      <c r="C110" s="5" t="s">
        <v>118</v>
      </c>
      <c r="D110" s="5" t="s">
        <v>27</v>
      </c>
      <c r="E110" s="5" t="s">
        <v>93</v>
      </c>
      <c r="F110" s="5" t="s">
        <v>94</v>
      </c>
      <c r="G110" s="5" t="s">
        <v>62</v>
      </c>
      <c r="H110" s="5">
        <v>67</v>
      </c>
      <c r="I110" s="5" t="s">
        <v>20</v>
      </c>
      <c r="J110" s="34" t="s">
        <v>381</v>
      </c>
      <c r="K110" s="31" t="s">
        <v>382</v>
      </c>
      <c r="L110" s="5" t="s">
        <v>72</v>
      </c>
      <c r="M110" s="32" t="s">
        <v>64</v>
      </c>
      <c r="N110" s="6" t="str">
        <f t="shared" si="12"/>
        <v>NA</v>
      </c>
      <c r="O110" s="4" t="s">
        <v>94</v>
      </c>
      <c r="P110" s="5" t="str">
        <f t="shared" si="13"/>
        <v>Mumbai</v>
      </c>
      <c r="Q110" s="5" t="str">
        <f t="shared" si="14"/>
        <v>Nephrology</v>
      </c>
      <c r="R110" s="6" t="str">
        <f t="shared" si="15"/>
        <v>Manipal</v>
      </c>
      <c r="S110" s="6" t="str">
        <f t="shared" si="16"/>
        <v>Cash</v>
      </c>
      <c r="T110" s="6" t="str">
        <f t="shared" si="17"/>
        <v>Male</v>
      </c>
      <c r="U110" s="6" t="str">
        <f t="shared" si="20"/>
        <v>ICU</v>
      </c>
      <c r="V110" s="6" t="str" cm="1">
        <f t="array" ref="V110">IF(TRIM(S110)="",INDEX($S$2:$S$1500,MATCH(MAX(COUNTIF($S$2:$S$1500,S110)),COUNTIF($S$2:$S$1500,$S$2:$S$1500),0)),S110)</f>
        <v>Cash</v>
      </c>
      <c r="W110" s="7" cm="1">
        <f t="array" ref="W110">IF(OR(TRIM(K110)="",TRIM(K110)="-"), MEDIAN(IF($E$2:$E$1500=E110,$K$2:$K$1500)),  VALUE(SUBSTITUTE(SUBSTITUTE(SUBSTITUTE(K110,"Rs. ",""),"₹",""),",","")))</f>
        <v>88401</v>
      </c>
      <c r="X110" s="8">
        <f t="shared" si="18"/>
        <v>3</v>
      </c>
      <c r="Y110" s="7">
        <f t="shared" si="19"/>
        <v>85749</v>
      </c>
      <c r="Z110" s="9" t="str">
        <f t="shared" si="11"/>
        <v>SENIOR</v>
      </c>
    </row>
    <row r="111" spans="1:26" x14ac:dyDescent="0.3">
      <c r="A111" s="5" t="s">
        <v>383</v>
      </c>
      <c r="B111" s="5" t="s">
        <v>14</v>
      </c>
      <c r="C111" s="5" t="s">
        <v>15</v>
      </c>
      <c r="D111" s="5" t="s">
        <v>55</v>
      </c>
      <c r="E111" s="5" t="s">
        <v>47</v>
      </c>
      <c r="F111" s="5" t="s">
        <v>48</v>
      </c>
      <c r="G111" s="5" t="s">
        <v>30</v>
      </c>
      <c r="H111" s="5">
        <v>32</v>
      </c>
      <c r="I111" s="5" t="s">
        <v>20</v>
      </c>
      <c r="J111" s="34" t="s">
        <v>384</v>
      </c>
      <c r="K111" s="31" t="s">
        <v>385</v>
      </c>
      <c r="L111" s="5" t="s">
        <v>91</v>
      </c>
      <c r="M111" s="32" t="s">
        <v>130</v>
      </c>
      <c r="N111" s="6">
        <f t="shared" si="12"/>
        <v>0</v>
      </c>
      <c r="O111" s="4" t="s">
        <v>48</v>
      </c>
      <c r="P111" s="5" t="str">
        <f t="shared" si="13"/>
        <v>Hyderabad</v>
      </c>
      <c r="Q111" s="5" t="str">
        <f t="shared" si="14"/>
        <v>Gastroenterology</v>
      </c>
      <c r="R111" s="6" t="str">
        <f t="shared" si="15"/>
        <v>Max_Healthcare</v>
      </c>
      <c r="S111" s="6" t="str">
        <f t="shared" si="16"/>
        <v>Debit Card</v>
      </c>
      <c r="T111" s="6" t="str">
        <f t="shared" si="17"/>
        <v>Male</v>
      </c>
      <c r="U111" s="6" t="str">
        <f t="shared" si="20"/>
        <v>General</v>
      </c>
      <c r="V111" s="6" t="str" cm="1">
        <f t="array" ref="V111">IF(TRIM(S111)="",INDEX($S$2:$S$1500,MATCH(MAX(COUNTIF($S$2:$S$1500,S111)),COUNTIF($S$2:$S$1500,$S$2:$S$1500),0)),S111)</f>
        <v>Debit Card</v>
      </c>
      <c r="W111" s="7" cm="1">
        <f t="array" ref="W111">IF(OR(TRIM(K111)="",TRIM(K111)="-"), MEDIAN(IF($E$2:$E$1500=E111,$K$2:$K$1500)),  VALUE(SUBSTITUTE(SUBSTITUTE(SUBSTITUTE(K111,"Rs. ",""),"₹",""),",","")))</f>
        <v>19163</v>
      </c>
      <c r="X111" s="8">
        <f t="shared" si="18"/>
        <v>0</v>
      </c>
      <c r="Y111" s="7">
        <f t="shared" si="19"/>
        <v>19163</v>
      </c>
      <c r="Z111" s="9" t="str">
        <f t="shared" si="11"/>
        <v>ADULT</v>
      </c>
    </row>
    <row r="112" spans="1:26" x14ac:dyDescent="0.3">
      <c r="A112" s="5" t="s">
        <v>386</v>
      </c>
      <c r="B112" s="5" t="s">
        <v>14</v>
      </c>
      <c r="C112" s="5" t="s">
        <v>60</v>
      </c>
      <c r="D112" s="5" t="s">
        <v>189</v>
      </c>
      <c r="E112" s="5" t="s">
        <v>108</v>
      </c>
      <c r="F112" s="5" t="s">
        <v>124</v>
      </c>
      <c r="G112" s="5" t="s">
        <v>49</v>
      </c>
      <c r="H112" s="5">
        <v>76</v>
      </c>
      <c r="I112" s="5" t="s">
        <v>31</v>
      </c>
      <c r="J112" s="34" t="s">
        <v>387</v>
      </c>
      <c r="K112" s="31">
        <v>11572</v>
      </c>
      <c r="L112" s="5" t="s">
        <v>34</v>
      </c>
      <c r="M112" s="32">
        <v>10</v>
      </c>
      <c r="N112" s="6">
        <f t="shared" si="12"/>
        <v>10</v>
      </c>
      <c r="O112" s="4" t="s">
        <v>124</v>
      </c>
      <c r="P112" s="5" t="str">
        <f t="shared" si="13"/>
        <v>Delhi</v>
      </c>
      <c r="Q112" s="5" t="str">
        <f t="shared" si="14"/>
        <v>Orthopedics</v>
      </c>
      <c r="R112" s="6" t="str">
        <f t="shared" si="15"/>
        <v>Max_Healthcare</v>
      </c>
      <c r="S112" s="6" t="str">
        <f t="shared" si="16"/>
        <v>Cash</v>
      </c>
      <c r="T112" s="6" t="str">
        <f t="shared" si="17"/>
        <v>Male</v>
      </c>
      <c r="U112" s="6" t="str">
        <f t="shared" si="20"/>
        <v>General</v>
      </c>
      <c r="V112" s="6" t="str" cm="1">
        <f t="array" ref="V112">IF(TRIM(S112)="",INDEX($S$2:$S$1500,MATCH(MAX(COUNTIF($S$2:$S$1500,S112)),COUNTIF($S$2:$S$1500,$S$2:$S$1500),0)),S112)</f>
        <v>Cash</v>
      </c>
      <c r="W112" s="7" cm="1">
        <f t="array" ref="W112">IF(OR(TRIM(K112)="",TRIM(K112)="-"), MEDIAN(IF($E$2:$E$1500=E112,$K$2:$K$1500)),  VALUE(SUBSTITUTE(SUBSTITUTE(SUBSTITUTE(K112,"Rs. ",""),"₹",""),",","")))</f>
        <v>11572</v>
      </c>
      <c r="X112" s="8">
        <f t="shared" si="18"/>
        <v>10</v>
      </c>
      <c r="Y112" s="7">
        <f t="shared" si="19"/>
        <v>10415</v>
      </c>
      <c r="Z112" s="9" t="str">
        <f t="shared" si="11"/>
        <v>SENIOR</v>
      </c>
    </row>
    <row r="113" spans="1:26" x14ac:dyDescent="0.3">
      <c r="A113" s="5" t="s">
        <v>388</v>
      </c>
      <c r="B113" s="5" t="s">
        <v>14</v>
      </c>
      <c r="C113" s="5" t="s">
        <v>60</v>
      </c>
      <c r="D113" s="5" t="s">
        <v>189</v>
      </c>
      <c r="E113" s="5" t="s">
        <v>37</v>
      </c>
      <c r="F113" s="5" t="s">
        <v>132</v>
      </c>
      <c r="G113" s="5" t="s">
        <v>101</v>
      </c>
      <c r="H113" s="5">
        <v>7</v>
      </c>
      <c r="I113" s="5" t="s">
        <v>20</v>
      </c>
      <c r="J113" s="34" t="s">
        <v>389</v>
      </c>
      <c r="K113" s="31">
        <v>68448</v>
      </c>
      <c r="L113" s="5" t="s">
        <v>104</v>
      </c>
      <c r="M113" s="32">
        <v>40</v>
      </c>
      <c r="N113" s="6">
        <f t="shared" si="12"/>
        <v>40</v>
      </c>
      <c r="O113" s="4" t="s">
        <v>132</v>
      </c>
      <c r="P113" s="5" t="str">
        <f t="shared" si="13"/>
        <v>Delhi</v>
      </c>
      <c r="Q113" s="5" t="str">
        <f t="shared" si="14"/>
        <v>Pediatrics</v>
      </c>
      <c r="R113" s="6" t="str">
        <f t="shared" si="15"/>
        <v>Max_Healthcare</v>
      </c>
      <c r="S113" s="6" t="str">
        <f t="shared" si="16"/>
        <v>Insurance</v>
      </c>
      <c r="T113" s="6" t="str">
        <f t="shared" si="17"/>
        <v>Male</v>
      </c>
      <c r="U113" s="6" t="str">
        <f t="shared" si="20"/>
        <v>ICU</v>
      </c>
      <c r="V113" s="6" t="str" cm="1">
        <f t="array" ref="V113">IF(TRIM(S113)="",INDEX($S$2:$S$1500,MATCH(MAX(COUNTIF($S$2:$S$1500,S113)),COUNTIF($S$2:$S$1500,$S$2:$S$1500),0)),S113)</f>
        <v>Insurance</v>
      </c>
      <c r="W113" s="7" cm="1">
        <f t="array" ref="W113">IF(OR(TRIM(K113)="",TRIM(K113)="-"), MEDIAN(IF($E$2:$E$1500=E113,$K$2:$K$1500)),  VALUE(SUBSTITUTE(SUBSTITUTE(SUBSTITUTE(K113,"Rs. ",""),"₹",""),",","")))</f>
        <v>68448</v>
      </c>
      <c r="X113" s="8">
        <f t="shared" si="18"/>
        <v>40</v>
      </c>
      <c r="Y113" s="7">
        <f t="shared" si="19"/>
        <v>41069</v>
      </c>
      <c r="Z113" s="9" t="str">
        <f t="shared" si="11"/>
        <v>CHILD</v>
      </c>
    </row>
    <row r="114" spans="1:26" x14ac:dyDescent="0.3">
      <c r="A114" s="5" t="s">
        <v>390</v>
      </c>
      <c r="B114" s="5" t="s">
        <v>106</v>
      </c>
      <c r="C114" s="5" t="s">
        <v>107</v>
      </c>
      <c r="D114" s="5" t="s">
        <v>27</v>
      </c>
      <c r="E114" s="5" t="s">
        <v>74</v>
      </c>
      <c r="F114" s="5" t="s">
        <v>192</v>
      </c>
      <c r="G114" s="5" t="s">
        <v>49</v>
      </c>
      <c r="H114" s="5">
        <v>24</v>
      </c>
      <c r="I114" s="5" t="s">
        <v>40</v>
      </c>
      <c r="J114" s="34" t="s">
        <v>391</v>
      </c>
      <c r="K114" s="31" t="s">
        <v>392</v>
      </c>
      <c r="L114" s="5" t="s">
        <v>97</v>
      </c>
      <c r="M114" s="32">
        <v>0</v>
      </c>
      <c r="N114" s="6">
        <f t="shared" si="12"/>
        <v>0</v>
      </c>
      <c r="O114" s="4" t="s">
        <v>192</v>
      </c>
      <c r="P114" s="5" t="str">
        <f t="shared" si="13"/>
        <v>Mumbai</v>
      </c>
      <c r="Q114" s="5" t="str">
        <f t="shared" si="14"/>
        <v>General Medicine</v>
      </c>
      <c r="R114" s="6" t="str">
        <f t="shared" si="15"/>
        <v>Aiims</v>
      </c>
      <c r="S114" s="6" t="str">
        <f t="shared" si="16"/>
        <v>UPI</v>
      </c>
      <c r="T114" s="6" t="str">
        <f t="shared" si="17"/>
        <v>Female</v>
      </c>
      <c r="U114" s="6" t="str">
        <f t="shared" si="20"/>
        <v>General</v>
      </c>
      <c r="V114" s="6" t="str" cm="1">
        <f t="array" ref="V114">IF(TRIM(S114)="",INDEX($S$2:$S$1500,MATCH(MAX(COUNTIF($S$2:$S$1500,S114)),COUNTIF($S$2:$S$1500,$S$2:$S$1500),0)),S114)</f>
        <v>UPI</v>
      </c>
      <c r="W114" s="7" cm="1">
        <f t="array" ref="W114">IF(OR(TRIM(K114)="",TRIM(K114)="-"), MEDIAN(IF($E$2:$E$1500=E114,$K$2:$K$1500)),  VALUE(SUBSTITUTE(SUBSTITUTE(SUBSTITUTE(K114,"Rs. ",""),"₹",""),",","")))</f>
        <v>8233</v>
      </c>
      <c r="X114" s="8">
        <f t="shared" si="18"/>
        <v>0</v>
      </c>
      <c r="Y114" s="7">
        <f t="shared" si="19"/>
        <v>8233</v>
      </c>
      <c r="Z114" s="9" t="str">
        <f t="shared" si="11"/>
        <v>ADULT</v>
      </c>
    </row>
    <row r="115" spans="1:26" x14ac:dyDescent="0.3">
      <c r="A115" s="5" t="s">
        <v>393</v>
      </c>
      <c r="B115" s="5" t="s">
        <v>78</v>
      </c>
      <c r="C115" s="5" t="s">
        <v>161</v>
      </c>
      <c r="D115" s="5" t="s">
        <v>189</v>
      </c>
      <c r="E115" s="5" t="s">
        <v>164</v>
      </c>
      <c r="F115" s="5" t="s">
        <v>233</v>
      </c>
      <c r="G115" s="5" t="s">
        <v>62</v>
      </c>
      <c r="H115" s="5">
        <v>62</v>
      </c>
      <c r="I115" s="5" t="s">
        <v>20</v>
      </c>
      <c r="J115" s="34" t="s">
        <v>394</v>
      </c>
      <c r="K115" s="31" t="s">
        <v>395</v>
      </c>
      <c r="L115" s="5"/>
      <c r="M115" s="32">
        <v>0</v>
      </c>
      <c r="N115" s="6">
        <f t="shared" si="12"/>
        <v>0</v>
      </c>
      <c r="O115" s="4" t="s">
        <v>233</v>
      </c>
      <c r="P115" s="5" t="str">
        <f t="shared" si="13"/>
        <v>Delhi</v>
      </c>
      <c r="Q115" s="5" t="str">
        <f t="shared" si="14"/>
        <v>Cardiology</v>
      </c>
      <c r="R115" s="6" t="str">
        <f t="shared" si="15"/>
        <v>Apollo</v>
      </c>
      <c r="S115" s="6" t="str">
        <f t="shared" si="16"/>
        <v>Unknown</v>
      </c>
      <c r="T115" s="6" t="str">
        <f t="shared" si="17"/>
        <v>Male</v>
      </c>
      <c r="U115" s="6" t="str">
        <f t="shared" si="20"/>
        <v>ICU</v>
      </c>
      <c r="V115" s="6" t="str" cm="1">
        <f t="array" ref="V115">IF(TRIM(S115)="",INDEX($S$2:$S$1500,MATCH(MAX(COUNTIF($S$2:$S$1500,S115)),COUNTIF($S$2:$S$1500,$S$2:$S$1500),0)),S115)</f>
        <v>Unknown</v>
      </c>
      <c r="W115" s="7" cm="1">
        <f t="array" ref="W115">IF(OR(TRIM(K115)="",TRIM(K115)="-"), MEDIAN(IF($E$2:$E$1500=E115,$K$2:$K$1500)),  VALUE(SUBSTITUTE(SUBSTITUTE(SUBSTITUTE(K115,"Rs. ",""),"₹",""),",","")))</f>
        <v>38978</v>
      </c>
      <c r="X115" s="8">
        <f t="shared" si="18"/>
        <v>0</v>
      </c>
      <c r="Y115" s="7">
        <f t="shared" si="19"/>
        <v>38978</v>
      </c>
      <c r="Z115" s="9" t="str">
        <f t="shared" si="11"/>
        <v>SENIOR</v>
      </c>
    </row>
    <row r="116" spans="1:26" x14ac:dyDescent="0.3">
      <c r="A116" s="5" t="s">
        <v>396</v>
      </c>
      <c r="B116" s="5" t="s">
        <v>106</v>
      </c>
      <c r="C116" s="5" t="s">
        <v>107</v>
      </c>
      <c r="D116" s="5" t="s">
        <v>27</v>
      </c>
      <c r="E116" s="5" t="s">
        <v>99</v>
      </c>
      <c r="F116" s="5" t="s">
        <v>100</v>
      </c>
      <c r="G116" s="5" t="s">
        <v>19</v>
      </c>
      <c r="H116" s="5">
        <v>62</v>
      </c>
      <c r="I116" s="5" t="s">
        <v>40</v>
      </c>
      <c r="J116" s="34" t="s">
        <v>397</v>
      </c>
      <c r="K116" s="31" t="s">
        <v>398</v>
      </c>
      <c r="L116" s="5" t="s">
        <v>97</v>
      </c>
      <c r="M116" s="32">
        <v>5</v>
      </c>
      <c r="N116" s="6">
        <f t="shared" si="12"/>
        <v>5</v>
      </c>
      <c r="O116" s="4" t="s">
        <v>100</v>
      </c>
      <c r="P116" s="5" t="str">
        <f t="shared" si="13"/>
        <v>Mumbai</v>
      </c>
      <c r="Q116" s="5" t="str">
        <f t="shared" si="14"/>
        <v>Ent</v>
      </c>
      <c r="R116" s="6" t="str">
        <f t="shared" si="15"/>
        <v>Aiims</v>
      </c>
      <c r="S116" s="6" t="str">
        <f t="shared" si="16"/>
        <v>UPI</v>
      </c>
      <c r="T116" s="6" t="str">
        <f t="shared" si="17"/>
        <v>Female</v>
      </c>
      <c r="U116" s="6" t="str">
        <f t="shared" si="20"/>
        <v>General</v>
      </c>
      <c r="V116" s="6" t="str" cm="1">
        <f t="array" ref="V116">IF(TRIM(S116)="",INDEX($S$2:$S$1500,MATCH(MAX(COUNTIF($S$2:$S$1500,S116)),COUNTIF($S$2:$S$1500,$S$2:$S$1500),0)),S116)</f>
        <v>UPI</v>
      </c>
      <c r="W116" s="7" cm="1">
        <f t="array" ref="W116">IF(OR(TRIM(K116)="",TRIM(K116)="-"), MEDIAN(IF($E$2:$E$1500=E116,$K$2:$K$1500)),  VALUE(SUBSTITUTE(SUBSTITUTE(SUBSTITUTE(K116,"Rs. ",""),"₹",""),",","")))</f>
        <v>17463</v>
      </c>
      <c r="X116" s="8">
        <f t="shared" si="18"/>
        <v>5</v>
      </c>
      <c r="Y116" s="7">
        <f t="shared" si="19"/>
        <v>16590</v>
      </c>
      <c r="Z116" s="9" t="str">
        <f t="shared" si="11"/>
        <v>SENIOR</v>
      </c>
    </row>
    <row r="117" spans="1:26" x14ac:dyDescent="0.3">
      <c r="A117" s="5" t="s">
        <v>399</v>
      </c>
      <c r="B117" s="5" t="s">
        <v>78</v>
      </c>
      <c r="C117" s="5" t="s">
        <v>161</v>
      </c>
      <c r="D117" s="5" t="s">
        <v>16</v>
      </c>
      <c r="E117" s="5" t="s">
        <v>28</v>
      </c>
      <c r="F117" s="5" t="s">
        <v>29</v>
      </c>
      <c r="G117" s="5" t="s">
        <v>62</v>
      </c>
      <c r="H117" s="5">
        <v>18</v>
      </c>
      <c r="I117" s="5" t="s">
        <v>40</v>
      </c>
      <c r="J117" s="34" t="s">
        <v>400</v>
      </c>
      <c r="K117" s="31">
        <v>70473</v>
      </c>
      <c r="L117" s="5" t="s">
        <v>211</v>
      </c>
      <c r="M117" s="32">
        <v>0</v>
      </c>
      <c r="N117" s="6">
        <f t="shared" si="12"/>
        <v>0</v>
      </c>
      <c r="O117" s="4" t="s">
        <v>29</v>
      </c>
      <c r="P117" s="5" t="str">
        <f t="shared" si="13"/>
        <v>Bangalore</v>
      </c>
      <c r="Q117" s="5" t="str">
        <f t="shared" si="14"/>
        <v>Oncology</v>
      </c>
      <c r="R117" s="6" t="str">
        <f t="shared" si="15"/>
        <v>Apollo</v>
      </c>
      <c r="S117" s="6" t="str">
        <f t="shared" si="16"/>
        <v>Credit Card</v>
      </c>
      <c r="T117" s="6" t="str">
        <f t="shared" si="17"/>
        <v>Female</v>
      </c>
      <c r="U117" s="6" t="str">
        <f t="shared" si="20"/>
        <v>ICU</v>
      </c>
      <c r="V117" s="6" t="str" cm="1">
        <f t="array" ref="V117">IF(TRIM(S117)="",INDEX($S$2:$S$1500,MATCH(MAX(COUNTIF($S$2:$S$1500,S117)),COUNTIF($S$2:$S$1500,$S$2:$S$1500),0)),S117)</f>
        <v>Credit Card</v>
      </c>
      <c r="W117" s="7" cm="1">
        <f t="array" ref="W117">IF(OR(TRIM(K117)="",TRIM(K117)="-"), MEDIAN(IF($E$2:$E$1500=E117,$K$2:$K$1500)),  VALUE(SUBSTITUTE(SUBSTITUTE(SUBSTITUTE(K117,"Rs. ",""),"₹",""),",","")))</f>
        <v>70473</v>
      </c>
      <c r="X117" s="8">
        <f t="shared" si="18"/>
        <v>0</v>
      </c>
      <c r="Y117" s="7">
        <f t="shared" si="19"/>
        <v>70473</v>
      </c>
      <c r="Z117" s="9" t="str">
        <f t="shared" si="11"/>
        <v>TEEN</v>
      </c>
    </row>
    <row r="118" spans="1:26" x14ac:dyDescent="0.3">
      <c r="A118" s="5" t="s">
        <v>401</v>
      </c>
      <c r="B118" s="5" t="s">
        <v>106</v>
      </c>
      <c r="C118" s="5" t="s">
        <v>307</v>
      </c>
      <c r="D118" s="5" t="s">
        <v>55</v>
      </c>
      <c r="E118" s="5" t="s">
        <v>67</v>
      </c>
      <c r="F118" s="5" t="s">
        <v>85</v>
      </c>
      <c r="G118" s="5" t="s">
        <v>49</v>
      </c>
      <c r="H118" s="5">
        <v>71</v>
      </c>
      <c r="I118" s="5" t="s">
        <v>40</v>
      </c>
      <c r="J118" s="34" t="s">
        <v>402</v>
      </c>
      <c r="K118" s="31" t="s">
        <v>403</v>
      </c>
      <c r="L118" s="5" t="s">
        <v>34</v>
      </c>
      <c r="M118" s="32">
        <v>10</v>
      </c>
      <c r="N118" s="6">
        <f t="shared" si="12"/>
        <v>10</v>
      </c>
      <c r="O118" s="4" t="s">
        <v>85</v>
      </c>
      <c r="P118" s="5" t="str">
        <f t="shared" si="13"/>
        <v>Hyderabad</v>
      </c>
      <c r="Q118" s="5" t="str">
        <f t="shared" si="14"/>
        <v>Neurology</v>
      </c>
      <c r="R118" s="6" t="str">
        <f t="shared" si="15"/>
        <v>Aiims</v>
      </c>
      <c r="S118" s="6" t="str">
        <f t="shared" si="16"/>
        <v>Cash</v>
      </c>
      <c r="T118" s="6" t="str">
        <f t="shared" si="17"/>
        <v>Female</v>
      </c>
      <c r="U118" s="6" t="str">
        <f t="shared" si="20"/>
        <v>General</v>
      </c>
      <c r="V118" s="6" t="str" cm="1">
        <f t="array" ref="V118">IF(TRIM(S118)="",INDEX($S$2:$S$1500,MATCH(MAX(COUNTIF($S$2:$S$1500,S118)),COUNTIF($S$2:$S$1500,$S$2:$S$1500),0)),S118)</f>
        <v>Cash</v>
      </c>
      <c r="W118" s="7" cm="1">
        <f t="array" ref="W118">IF(OR(TRIM(K118)="",TRIM(K118)="-"), MEDIAN(IF($E$2:$E$1500=E118,$K$2:$K$1500)),  VALUE(SUBSTITUTE(SUBSTITUTE(SUBSTITUTE(K118,"Rs. ",""),"₹",""),",","")))</f>
        <v>7895</v>
      </c>
      <c r="X118" s="8">
        <f t="shared" si="18"/>
        <v>10</v>
      </c>
      <c r="Y118" s="7">
        <f t="shared" si="19"/>
        <v>7106</v>
      </c>
      <c r="Z118" s="9" t="str">
        <f t="shared" si="11"/>
        <v>SENIOR</v>
      </c>
    </row>
    <row r="119" spans="1:26" x14ac:dyDescent="0.3">
      <c r="A119" s="5" t="s">
        <v>404</v>
      </c>
      <c r="B119" s="5" t="s">
        <v>45</v>
      </c>
      <c r="C119" s="5" t="s">
        <v>46</v>
      </c>
      <c r="D119" s="5" t="s">
        <v>66</v>
      </c>
      <c r="E119" s="5" t="s">
        <v>99</v>
      </c>
      <c r="F119" s="5" t="s">
        <v>372</v>
      </c>
      <c r="G119" s="5" t="s">
        <v>39</v>
      </c>
      <c r="H119" s="5">
        <v>20</v>
      </c>
      <c r="I119" s="5" t="s">
        <v>31</v>
      </c>
      <c r="J119" s="34" t="s">
        <v>405</v>
      </c>
      <c r="K119" s="31">
        <v>9919</v>
      </c>
      <c r="L119" s="5" t="s">
        <v>72</v>
      </c>
      <c r="M119" s="32" t="s">
        <v>130</v>
      </c>
      <c r="N119" s="6">
        <f t="shared" si="12"/>
        <v>0</v>
      </c>
      <c r="O119" s="4" t="s">
        <v>372</v>
      </c>
      <c r="P119" s="5" t="str">
        <f t="shared" si="13"/>
        <v>Kolkata</v>
      </c>
      <c r="Q119" s="5" t="str">
        <f t="shared" si="14"/>
        <v>Ent</v>
      </c>
      <c r="R119" s="6" t="str">
        <f t="shared" si="15"/>
        <v>Fortis</v>
      </c>
      <c r="S119" s="6" t="str">
        <f t="shared" si="16"/>
        <v>Cash</v>
      </c>
      <c r="T119" s="6" t="str">
        <f t="shared" si="17"/>
        <v>Male</v>
      </c>
      <c r="U119" s="6" t="str">
        <f t="shared" si="20"/>
        <v>General</v>
      </c>
      <c r="V119" s="6" t="str" cm="1">
        <f t="array" ref="V119">IF(TRIM(S119)="",INDEX($S$2:$S$1500,MATCH(MAX(COUNTIF($S$2:$S$1500,S119)),COUNTIF($S$2:$S$1500,$S$2:$S$1500),0)),S119)</f>
        <v>Cash</v>
      </c>
      <c r="W119" s="7" cm="1">
        <f t="array" ref="W119">IF(OR(TRIM(K119)="",TRIM(K119)="-"), MEDIAN(IF($E$2:$E$1500=E119,$K$2:$K$1500)),  VALUE(SUBSTITUTE(SUBSTITUTE(SUBSTITUTE(K119,"Rs. ",""),"₹",""),",","")))</f>
        <v>9919</v>
      </c>
      <c r="X119" s="8">
        <f t="shared" si="18"/>
        <v>0</v>
      </c>
      <c r="Y119" s="7">
        <f t="shared" si="19"/>
        <v>9919</v>
      </c>
      <c r="Z119" s="9" t="str">
        <f t="shared" si="11"/>
        <v>ADULT</v>
      </c>
    </row>
    <row r="120" spans="1:26" x14ac:dyDescent="0.3">
      <c r="A120" s="5" t="s">
        <v>406</v>
      </c>
      <c r="B120" s="5" t="s">
        <v>45</v>
      </c>
      <c r="C120" s="5" t="s">
        <v>46</v>
      </c>
      <c r="D120" s="5" t="s">
        <v>36</v>
      </c>
      <c r="E120" s="5" t="s">
        <v>108</v>
      </c>
      <c r="F120" s="5" t="s">
        <v>109</v>
      </c>
      <c r="G120" s="5" t="s">
        <v>39</v>
      </c>
      <c r="H120" s="5">
        <v>38</v>
      </c>
      <c r="I120" s="5" t="s">
        <v>40</v>
      </c>
      <c r="J120" s="34" t="s">
        <v>407</v>
      </c>
      <c r="K120" s="31" t="s">
        <v>408</v>
      </c>
      <c r="L120" s="5" t="s">
        <v>52</v>
      </c>
      <c r="M120" s="32">
        <v>0</v>
      </c>
      <c r="N120" s="6">
        <f t="shared" si="12"/>
        <v>0</v>
      </c>
      <c r="O120" s="4" t="s">
        <v>109</v>
      </c>
      <c r="P120" s="5" t="str">
        <f t="shared" si="13"/>
        <v>Chennai</v>
      </c>
      <c r="Q120" s="5" t="str">
        <f t="shared" si="14"/>
        <v>Orthopedics</v>
      </c>
      <c r="R120" s="6" t="str">
        <f t="shared" si="15"/>
        <v>Fortis</v>
      </c>
      <c r="S120" s="6" t="str">
        <f t="shared" si="16"/>
        <v>Credit Card</v>
      </c>
      <c r="T120" s="6" t="str">
        <f t="shared" si="17"/>
        <v>Female</v>
      </c>
      <c r="U120" s="6" t="str">
        <f t="shared" si="20"/>
        <v>General</v>
      </c>
      <c r="V120" s="6" t="str" cm="1">
        <f t="array" ref="V120">IF(TRIM(S120)="",INDEX($S$2:$S$1500,MATCH(MAX(COUNTIF($S$2:$S$1500,S120)),COUNTIF($S$2:$S$1500,$S$2:$S$1500),0)),S120)</f>
        <v>Credit Card</v>
      </c>
      <c r="W120" s="7" cm="1">
        <f t="array" ref="W120">IF(OR(TRIM(K120)="",TRIM(K120)="-"), MEDIAN(IF($E$2:$E$1500=E120,$K$2:$K$1500)),  VALUE(SUBSTITUTE(SUBSTITUTE(SUBSTITUTE(K120,"Rs. ",""),"₹",""),",","")))</f>
        <v>3525</v>
      </c>
      <c r="X120" s="8">
        <f t="shared" si="18"/>
        <v>0</v>
      </c>
      <c r="Y120" s="7">
        <f t="shared" si="19"/>
        <v>3525</v>
      </c>
      <c r="Z120" s="9" t="str">
        <f t="shared" si="11"/>
        <v>ADULT</v>
      </c>
    </row>
    <row r="121" spans="1:26" x14ac:dyDescent="0.3">
      <c r="A121" s="5" t="s">
        <v>409</v>
      </c>
      <c r="B121" s="5" t="s">
        <v>14</v>
      </c>
      <c r="C121" s="5" t="s">
        <v>60</v>
      </c>
      <c r="D121" s="5" t="s">
        <v>16</v>
      </c>
      <c r="E121" s="5" t="s">
        <v>37</v>
      </c>
      <c r="F121" s="5" t="s">
        <v>185</v>
      </c>
      <c r="G121" s="5" t="s">
        <v>19</v>
      </c>
      <c r="H121" s="5">
        <v>74</v>
      </c>
      <c r="I121" s="5" t="s">
        <v>40</v>
      </c>
      <c r="J121" s="34" t="s">
        <v>410</v>
      </c>
      <c r="K121" s="31" t="s">
        <v>411</v>
      </c>
      <c r="L121" s="5" t="s">
        <v>115</v>
      </c>
      <c r="M121" s="32">
        <v>0</v>
      </c>
      <c r="N121" s="6">
        <f t="shared" si="12"/>
        <v>0</v>
      </c>
      <c r="O121" s="4" t="s">
        <v>185</v>
      </c>
      <c r="P121" s="5" t="str">
        <f t="shared" si="13"/>
        <v>Bangalore</v>
      </c>
      <c r="Q121" s="5" t="str">
        <f t="shared" si="14"/>
        <v>Pediatrics</v>
      </c>
      <c r="R121" s="6" t="str">
        <f t="shared" si="15"/>
        <v>Max_Healthcare</v>
      </c>
      <c r="S121" s="6" t="str">
        <f t="shared" si="16"/>
        <v>Cash</v>
      </c>
      <c r="T121" s="6" t="str">
        <f t="shared" si="17"/>
        <v>Female</v>
      </c>
      <c r="U121" s="6" t="str">
        <f t="shared" si="20"/>
        <v>General</v>
      </c>
      <c r="V121" s="6" t="str" cm="1">
        <f t="array" ref="V121">IF(TRIM(S121)="",INDEX($S$2:$S$1500,MATCH(MAX(COUNTIF($S$2:$S$1500,S121)),COUNTIF($S$2:$S$1500,$S$2:$S$1500),0)),S121)</f>
        <v>Cash</v>
      </c>
      <c r="W121" s="7" cm="1">
        <f t="array" ref="W121">IF(OR(TRIM(K121)="",TRIM(K121)="-"), MEDIAN(IF($E$2:$E$1500=E121,$K$2:$K$1500)),  VALUE(SUBSTITUTE(SUBSTITUTE(SUBSTITUTE(K121,"Rs. ",""),"₹",""),",","")))</f>
        <v>8902</v>
      </c>
      <c r="X121" s="8">
        <f t="shared" si="18"/>
        <v>0</v>
      </c>
      <c r="Y121" s="7">
        <f t="shared" si="19"/>
        <v>8902</v>
      </c>
      <c r="Z121" s="9" t="str">
        <f t="shared" si="11"/>
        <v>SENIOR</v>
      </c>
    </row>
    <row r="122" spans="1:26" x14ac:dyDescent="0.3">
      <c r="A122" s="5" t="s">
        <v>412</v>
      </c>
      <c r="B122" s="5" t="s">
        <v>106</v>
      </c>
      <c r="C122" s="5" t="s">
        <v>307</v>
      </c>
      <c r="D122" s="5" t="s">
        <v>80</v>
      </c>
      <c r="E122" s="5" t="s">
        <v>74</v>
      </c>
      <c r="F122" s="5" t="s">
        <v>172</v>
      </c>
      <c r="G122" s="5" t="s">
        <v>30</v>
      </c>
      <c r="H122" s="5">
        <v>75</v>
      </c>
      <c r="I122" s="5" t="s">
        <v>20</v>
      </c>
      <c r="J122" s="34" t="s">
        <v>413</v>
      </c>
      <c r="K122" s="31" t="s">
        <v>414</v>
      </c>
      <c r="L122" s="5" t="s">
        <v>87</v>
      </c>
      <c r="M122" s="32">
        <v>10</v>
      </c>
      <c r="N122" s="6">
        <f t="shared" si="12"/>
        <v>10</v>
      </c>
      <c r="O122" s="4" t="s">
        <v>172</v>
      </c>
      <c r="P122" s="5" t="str">
        <f t="shared" si="13"/>
        <v>Ahmedabad</v>
      </c>
      <c r="Q122" s="5" t="str">
        <f t="shared" si="14"/>
        <v>General Medicine</v>
      </c>
      <c r="R122" s="6" t="str">
        <f t="shared" si="15"/>
        <v>Aiims</v>
      </c>
      <c r="S122" s="6" t="str">
        <f t="shared" si="16"/>
        <v>Credit Card</v>
      </c>
      <c r="T122" s="6" t="str">
        <f t="shared" si="17"/>
        <v>Male</v>
      </c>
      <c r="U122" s="6" t="str">
        <f t="shared" si="20"/>
        <v>General</v>
      </c>
      <c r="V122" s="6" t="str" cm="1">
        <f t="array" ref="V122">IF(TRIM(S122)="",INDEX($S$2:$S$1500,MATCH(MAX(COUNTIF($S$2:$S$1500,S122)),COUNTIF($S$2:$S$1500,$S$2:$S$1500),0)),S122)</f>
        <v>Credit Card</v>
      </c>
      <c r="W122" s="7" cm="1">
        <f t="array" ref="W122">IF(OR(TRIM(K122)="",TRIM(K122)="-"), MEDIAN(IF($E$2:$E$1500=E122,$K$2:$K$1500)),  VALUE(SUBSTITUTE(SUBSTITUTE(SUBSTITUTE(K122,"Rs. ",""),"₹",""),",","")))</f>
        <v>3328</v>
      </c>
      <c r="X122" s="8">
        <f t="shared" si="18"/>
        <v>10</v>
      </c>
      <c r="Y122" s="7">
        <f t="shared" si="19"/>
        <v>2995</v>
      </c>
      <c r="Z122" s="9" t="str">
        <f t="shared" si="11"/>
        <v>SENIOR</v>
      </c>
    </row>
    <row r="123" spans="1:26" x14ac:dyDescent="0.3">
      <c r="A123" s="5" t="s">
        <v>415</v>
      </c>
      <c r="B123" s="5" t="s">
        <v>106</v>
      </c>
      <c r="C123" s="5" t="s">
        <v>107</v>
      </c>
      <c r="D123" s="5" t="s">
        <v>80</v>
      </c>
      <c r="E123" s="5" t="s">
        <v>108</v>
      </c>
      <c r="F123" s="5" t="s">
        <v>124</v>
      </c>
      <c r="G123" s="5" t="s">
        <v>30</v>
      </c>
      <c r="H123" s="5">
        <v>86</v>
      </c>
      <c r="I123" s="5" t="s">
        <v>20</v>
      </c>
      <c r="J123" s="34" t="s">
        <v>416</v>
      </c>
      <c r="K123" s="31">
        <v>9096</v>
      </c>
      <c r="L123" s="5" t="s">
        <v>115</v>
      </c>
      <c r="M123" s="32">
        <v>0</v>
      </c>
      <c r="N123" s="6">
        <f t="shared" si="12"/>
        <v>0</v>
      </c>
      <c r="O123" s="4" t="s">
        <v>124</v>
      </c>
      <c r="P123" s="5" t="str">
        <f t="shared" si="13"/>
        <v>Ahmedabad</v>
      </c>
      <c r="Q123" s="5" t="str">
        <f t="shared" si="14"/>
        <v>Orthopedics</v>
      </c>
      <c r="R123" s="6" t="str">
        <f t="shared" si="15"/>
        <v>Aiims</v>
      </c>
      <c r="S123" s="6" t="str">
        <f t="shared" si="16"/>
        <v>Cash</v>
      </c>
      <c r="T123" s="6" t="str">
        <f t="shared" si="17"/>
        <v>Male</v>
      </c>
      <c r="U123" s="6" t="str">
        <f t="shared" si="20"/>
        <v>General</v>
      </c>
      <c r="V123" s="6" t="str" cm="1">
        <f t="array" ref="V123">IF(TRIM(S123)="",INDEX($S$2:$S$1500,MATCH(MAX(COUNTIF($S$2:$S$1500,S123)),COUNTIF($S$2:$S$1500,$S$2:$S$1500),0)),S123)</f>
        <v>Cash</v>
      </c>
      <c r="W123" s="7" cm="1">
        <f t="array" ref="W123">IF(OR(TRIM(K123)="",TRIM(K123)="-"), MEDIAN(IF($E$2:$E$1500=E123,$K$2:$K$1500)),  VALUE(SUBSTITUTE(SUBSTITUTE(SUBSTITUTE(K123,"Rs. ",""),"₹",""),",","")))</f>
        <v>9096</v>
      </c>
      <c r="X123" s="8">
        <f t="shared" si="18"/>
        <v>0</v>
      </c>
      <c r="Y123" s="7">
        <f t="shared" si="19"/>
        <v>9096</v>
      </c>
      <c r="Z123" s="9" t="str">
        <f t="shared" si="11"/>
        <v>SENIOR</v>
      </c>
    </row>
    <row r="124" spans="1:26" x14ac:dyDescent="0.3">
      <c r="A124" s="5" t="s">
        <v>417</v>
      </c>
      <c r="B124" s="5" t="s">
        <v>14</v>
      </c>
      <c r="C124" s="5" t="s">
        <v>60</v>
      </c>
      <c r="D124" s="5" t="s">
        <v>80</v>
      </c>
      <c r="E124" s="5" t="s">
        <v>93</v>
      </c>
      <c r="F124" s="5" t="s">
        <v>207</v>
      </c>
      <c r="G124" s="5" t="s">
        <v>19</v>
      </c>
      <c r="H124" s="5">
        <v>92</v>
      </c>
      <c r="I124" s="5" t="s">
        <v>40</v>
      </c>
      <c r="J124" s="34" t="s">
        <v>418</v>
      </c>
      <c r="K124" s="31" t="s">
        <v>419</v>
      </c>
      <c r="L124" s="5" t="s">
        <v>58</v>
      </c>
      <c r="M124" s="32"/>
      <c r="N124" s="6">
        <f t="shared" si="12"/>
        <v>0</v>
      </c>
      <c r="O124" s="4" t="s">
        <v>207</v>
      </c>
      <c r="P124" s="5" t="str">
        <f t="shared" si="13"/>
        <v>Ahmedabad</v>
      </c>
      <c r="Q124" s="5" t="str">
        <f t="shared" si="14"/>
        <v>Nephrology</v>
      </c>
      <c r="R124" s="6" t="str">
        <f t="shared" si="15"/>
        <v>Max_Healthcare</v>
      </c>
      <c r="S124" s="6" t="str">
        <f t="shared" si="16"/>
        <v>UPI</v>
      </c>
      <c r="T124" s="6" t="str">
        <f t="shared" si="17"/>
        <v>Female</v>
      </c>
      <c r="U124" s="6" t="str">
        <f t="shared" si="20"/>
        <v>General</v>
      </c>
      <c r="V124" s="6" t="str" cm="1">
        <f t="array" ref="V124">IF(TRIM(S124)="",INDEX($S$2:$S$1500,MATCH(MAX(COUNTIF($S$2:$S$1500,S124)),COUNTIF($S$2:$S$1500,$S$2:$S$1500),0)),S124)</f>
        <v>UPI</v>
      </c>
      <c r="W124" s="7" cm="1">
        <f t="array" ref="W124">IF(OR(TRIM(K124)="",TRIM(K124)="-"), MEDIAN(IF($E$2:$E$1500=E124,$K$2:$K$1500)),  VALUE(SUBSTITUTE(SUBSTITUTE(SUBSTITUTE(K124,"Rs. ",""),"₹",""),",","")))</f>
        <v>5005</v>
      </c>
      <c r="X124" s="8">
        <f t="shared" si="18"/>
        <v>0</v>
      </c>
      <c r="Y124" s="7">
        <f t="shared" si="19"/>
        <v>5005</v>
      </c>
      <c r="Z124" s="9" t="str">
        <f t="shared" si="11"/>
        <v>SENIOR</v>
      </c>
    </row>
    <row r="125" spans="1:26" x14ac:dyDescent="0.3">
      <c r="A125" s="5" t="s">
        <v>420</v>
      </c>
      <c r="B125" s="5" t="s">
        <v>45</v>
      </c>
      <c r="C125" s="5" t="s">
        <v>46</v>
      </c>
      <c r="D125" s="5" t="s">
        <v>189</v>
      </c>
      <c r="E125" s="5" t="s">
        <v>28</v>
      </c>
      <c r="F125" s="5" t="s">
        <v>29</v>
      </c>
      <c r="G125" s="5" t="s">
        <v>39</v>
      </c>
      <c r="H125" s="5">
        <v>40</v>
      </c>
      <c r="I125" s="5" t="s">
        <v>20</v>
      </c>
      <c r="J125" s="34" t="s">
        <v>347</v>
      </c>
      <c r="K125" s="31"/>
      <c r="L125" s="5" t="s">
        <v>58</v>
      </c>
      <c r="M125" s="32">
        <v>0</v>
      </c>
      <c r="N125" s="6">
        <f t="shared" si="12"/>
        <v>0</v>
      </c>
      <c r="O125" s="4" t="s">
        <v>29</v>
      </c>
      <c r="P125" s="5" t="str">
        <f t="shared" si="13"/>
        <v>Delhi</v>
      </c>
      <c r="Q125" s="5" t="str">
        <f t="shared" si="14"/>
        <v>Oncology</v>
      </c>
      <c r="R125" s="6" t="str">
        <f t="shared" si="15"/>
        <v>Fortis</v>
      </c>
      <c r="S125" s="6" t="str">
        <f t="shared" si="16"/>
        <v>UPI</v>
      </c>
      <c r="T125" s="6" t="str">
        <f t="shared" si="17"/>
        <v>Male</v>
      </c>
      <c r="U125" s="6" t="str">
        <f t="shared" si="20"/>
        <v>General</v>
      </c>
      <c r="V125" s="6" t="str" cm="1">
        <f t="array" ref="V125">IF(TRIM(S125)="",INDEX($S$2:$S$1500,MATCH(MAX(COUNTIF($S$2:$S$1500,S125)),COUNTIF($S$2:$S$1500,$S$2:$S$1500),0)),S125)</f>
        <v>UPI</v>
      </c>
      <c r="W125" s="7" cm="1">
        <f t="array" ref="W125">IF(OR(TRIM(K125)="",TRIM(K125)="-"), MEDIAN(IF($E$2:$E$1500=E125,$K$2:$K$1500)),  VALUE(SUBSTITUTE(SUBSTITUTE(SUBSTITUTE(K125,"Rs. ",""),"₹",""),",","")))</f>
        <v>14747</v>
      </c>
      <c r="X125" s="8">
        <f t="shared" si="18"/>
        <v>0</v>
      </c>
      <c r="Y125" s="7">
        <f t="shared" si="19"/>
        <v>14747</v>
      </c>
      <c r="Z125" s="9" t="str">
        <f t="shared" si="11"/>
        <v>ADULT</v>
      </c>
    </row>
    <row r="126" spans="1:26" x14ac:dyDescent="0.3">
      <c r="A126" s="5" t="s">
        <v>421</v>
      </c>
      <c r="B126" s="5" t="s">
        <v>117</v>
      </c>
      <c r="C126" s="5" t="s">
        <v>182</v>
      </c>
      <c r="D126" s="5" t="s">
        <v>36</v>
      </c>
      <c r="E126" s="5" t="s">
        <v>99</v>
      </c>
      <c r="F126" s="5" t="s">
        <v>372</v>
      </c>
      <c r="G126" s="5" t="s">
        <v>30</v>
      </c>
      <c r="H126" s="5">
        <v>6</v>
      </c>
      <c r="I126" s="5" t="s">
        <v>20</v>
      </c>
      <c r="J126" s="34" t="s">
        <v>262</v>
      </c>
      <c r="K126" s="31" t="s">
        <v>422</v>
      </c>
      <c r="L126" s="5" t="s">
        <v>72</v>
      </c>
      <c r="M126" s="32" t="s">
        <v>130</v>
      </c>
      <c r="N126" s="6">
        <f t="shared" si="12"/>
        <v>0</v>
      </c>
      <c r="O126" s="4" t="s">
        <v>372</v>
      </c>
      <c r="P126" s="5" t="str">
        <f t="shared" si="13"/>
        <v>Chennai</v>
      </c>
      <c r="Q126" s="5" t="str">
        <f t="shared" si="14"/>
        <v>Ent</v>
      </c>
      <c r="R126" s="6" t="str">
        <f t="shared" si="15"/>
        <v>Manipal</v>
      </c>
      <c r="S126" s="6" t="str">
        <f t="shared" si="16"/>
        <v>Cash</v>
      </c>
      <c r="T126" s="6" t="str">
        <f t="shared" si="17"/>
        <v>Male</v>
      </c>
      <c r="U126" s="6" t="str">
        <f t="shared" si="20"/>
        <v>General</v>
      </c>
      <c r="V126" s="6" t="str" cm="1">
        <f t="array" ref="V126">IF(TRIM(S126)="",INDEX($S$2:$S$1500,MATCH(MAX(COUNTIF($S$2:$S$1500,S126)),COUNTIF($S$2:$S$1500,$S$2:$S$1500),0)),S126)</f>
        <v>Cash</v>
      </c>
      <c r="W126" s="7" cm="1">
        <f t="array" ref="W126">IF(OR(TRIM(K126)="",TRIM(K126)="-"), MEDIAN(IF($E$2:$E$1500=E126,$K$2:$K$1500)),  VALUE(SUBSTITUTE(SUBSTITUTE(SUBSTITUTE(K126,"Rs. ",""),"₹",""),",","")))</f>
        <v>18232</v>
      </c>
      <c r="X126" s="8">
        <f t="shared" si="18"/>
        <v>0</v>
      </c>
      <c r="Y126" s="7">
        <f t="shared" si="19"/>
        <v>18232</v>
      </c>
      <c r="Z126" s="9" t="str">
        <f t="shared" si="11"/>
        <v>CHILD</v>
      </c>
    </row>
    <row r="127" spans="1:26" x14ac:dyDescent="0.3">
      <c r="A127" s="5" t="s">
        <v>423</v>
      </c>
      <c r="B127" s="5" t="s">
        <v>25</v>
      </c>
      <c r="C127" s="5" t="s">
        <v>26</v>
      </c>
      <c r="D127" s="5" t="s">
        <v>36</v>
      </c>
      <c r="E127" s="5" t="s">
        <v>28</v>
      </c>
      <c r="F127" s="5" t="s">
        <v>290</v>
      </c>
      <c r="G127" s="5" t="s">
        <v>49</v>
      </c>
      <c r="H127" s="5">
        <v>22</v>
      </c>
      <c r="I127" s="5" t="s">
        <v>20</v>
      </c>
      <c r="J127" s="34" t="s">
        <v>424</v>
      </c>
      <c r="K127" s="31">
        <v>15738</v>
      </c>
      <c r="L127" s="5" t="s">
        <v>91</v>
      </c>
      <c r="M127" s="32">
        <v>5</v>
      </c>
      <c r="N127" s="6">
        <f t="shared" si="12"/>
        <v>5</v>
      </c>
      <c r="O127" s="4" t="s">
        <v>290</v>
      </c>
      <c r="P127" s="5" t="str">
        <f t="shared" si="13"/>
        <v>Chennai</v>
      </c>
      <c r="Q127" s="5" t="str">
        <f t="shared" si="14"/>
        <v>Oncology</v>
      </c>
      <c r="R127" s="6" t="str">
        <f t="shared" si="15"/>
        <v>Narayana</v>
      </c>
      <c r="S127" s="6" t="str">
        <f t="shared" si="16"/>
        <v>Debit Card</v>
      </c>
      <c r="T127" s="6" t="str">
        <f t="shared" si="17"/>
        <v>Male</v>
      </c>
      <c r="U127" s="6" t="str">
        <f t="shared" si="20"/>
        <v>General</v>
      </c>
      <c r="V127" s="6" t="str" cm="1">
        <f t="array" ref="V127">IF(TRIM(S127)="",INDEX($S$2:$S$1500,MATCH(MAX(COUNTIF($S$2:$S$1500,S127)),COUNTIF($S$2:$S$1500,$S$2:$S$1500),0)),S127)</f>
        <v>Debit Card</v>
      </c>
      <c r="W127" s="7" cm="1">
        <f t="array" ref="W127">IF(OR(TRIM(K127)="",TRIM(K127)="-"), MEDIAN(IF($E$2:$E$1500=E127,$K$2:$K$1500)),  VALUE(SUBSTITUTE(SUBSTITUTE(SUBSTITUTE(K127,"Rs. ",""),"₹",""),",","")))</f>
        <v>15738</v>
      </c>
      <c r="X127" s="8">
        <f t="shared" si="18"/>
        <v>5</v>
      </c>
      <c r="Y127" s="7">
        <f t="shared" si="19"/>
        <v>14951</v>
      </c>
      <c r="Z127" s="9" t="str">
        <f t="shared" si="11"/>
        <v>ADULT</v>
      </c>
    </row>
    <row r="128" spans="1:26" x14ac:dyDescent="0.3">
      <c r="A128" s="5" t="s">
        <v>425</v>
      </c>
      <c r="B128" s="5" t="s">
        <v>14</v>
      </c>
      <c r="C128" s="5" t="s">
        <v>60</v>
      </c>
      <c r="D128" s="5" t="s">
        <v>55</v>
      </c>
      <c r="E128" s="5" t="s">
        <v>17</v>
      </c>
      <c r="F128" s="5" t="s">
        <v>135</v>
      </c>
      <c r="G128" s="5" t="s">
        <v>62</v>
      </c>
      <c r="H128" s="5">
        <v>42</v>
      </c>
      <c r="I128" s="5" t="s">
        <v>40</v>
      </c>
      <c r="J128" s="34" t="s">
        <v>426</v>
      </c>
      <c r="K128" s="31" t="s">
        <v>427</v>
      </c>
      <c r="L128" s="5" t="s">
        <v>58</v>
      </c>
      <c r="M128" s="32">
        <v>0</v>
      </c>
      <c r="N128" s="6">
        <f t="shared" si="12"/>
        <v>0</v>
      </c>
      <c r="O128" s="4" t="s">
        <v>135</v>
      </c>
      <c r="P128" s="5" t="str">
        <f t="shared" si="13"/>
        <v>Hyderabad</v>
      </c>
      <c r="Q128" s="5" t="str">
        <f t="shared" si="14"/>
        <v>Gynecology</v>
      </c>
      <c r="R128" s="6" t="str">
        <f t="shared" si="15"/>
        <v>Max_Healthcare</v>
      </c>
      <c r="S128" s="6" t="str">
        <f t="shared" si="16"/>
        <v>UPI</v>
      </c>
      <c r="T128" s="6" t="str">
        <f t="shared" si="17"/>
        <v>Female</v>
      </c>
      <c r="U128" s="6" t="str">
        <f t="shared" si="20"/>
        <v>ICU</v>
      </c>
      <c r="V128" s="6" t="str" cm="1">
        <f t="array" ref="V128">IF(TRIM(S128)="",INDEX($S$2:$S$1500,MATCH(MAX(COUNTIF($S$2:$S$1500,S128)),COUNTIF($S$2:$S$1500,$S$2:$S$1500),0)),S128)</f>
        <v>UPI</v>
      </c>
      <c r="W128" s="7" cm="1">
        <f t="array" ref="W128">IF(OR(TRIM(K128)="",TRIM(K128)="-"), MEDIAN(IF($E$2:$E$1500=E128,$K$2:$K$1500)),  VALUE(SUBSTITUTE(SUBSTITUTE(SUBSTITUTE(K128,"Rs. ",""),"₹",""),",","")))</f>
        <v>27019</v>
      </c>
      <c r="X128" s="8">
        <f t="shared" si="18"/>
        <v>0</v>
      </c>
      <c r="Y128" s="7">
        <f t="shared" si="19"/>
        <v>27019</v>
      </c>
      <c r="Z128" s="9" t="str">
        <f t="shared" si="11"/>
        <v>ADULT</v>
      </c>
    </row>
    <row r="129" spans="1:26" x14ac:dyDescent="0.3">
      <c r="A129" s="5" t="s">
        <v>428</v>
      </c>
      <c r="B129" s="5" t="s">
        <v>78</v>
      </c>
      <c r="C129" s="5" t="s">
        <v>79</v>
      </c>
      <c r="D129" s="5" t="s">
        <v>55</v>
      </c>
      <c r="E129" s="5" t="s">
        <v>108</v>
      </c>
      <c r="F129" s="5" t="s">
        <v>308</v>
      </c>
      <c r="G129" s="5" t="s">
        <v>39</v>
      </c>
      <c r="H129" s="5">
        <v>29</v>
      </c>
      <c r="I129" s="5" t="s">
        <v>40</v>
      </c>
      <c r="J129" s="34" t="s">
        <v>361</v>
      </c>
      <c r="K129" s="31">
        <v>16010</v>
      </c>
      <c r="L129" s="5" t="s">
        <v>91</v>
      </c>
      <c r="M129" s="32">
        <v>0</v>
      </c>
      <c r="N129" s="6">
        <f t="shared" si="12"/>
        <v>0</v>
      </c>
      <c r="O129" s="4" t="s">
        <v>308</v>
      </c>
      <c r="P129" s="5" t="str">
        <f t="shared" si="13"/>
        <v>Hyderabad</v>
      </c>
      <c r="Q129" s="5" t="str">
        <f t="shared" si="14"/>
        <v>Orthopedics</v>
      </c>
      <c r="R129" s="6" t="str">
        <f t="shared" si="15"/>
        <v>Apollo</v>
      </c>
      <c r="S129" s="6" t="str">
        <f t="shared" si="16"/>
        <v>Debit Card</v>
      </c>
      <c r="T129" s="6" t="str">
        <f t="shared" si="17"/>
        <v>Female</v>
      </c>
      <c r="U129" s="6" t="str">
        <f t="shared" si="20"/>
        <v>General</v>
      </c>
      <c r="V129" s="6" t="str" cm="1">
        <f t="array" ref="V129">IF(TRIM(S129)="",INDEX($S$2:$S$1500,MATCH(MAX(COUNTIF($S$2:$S$1500,S129)),COUNTIF($S$2:$S$1500,$S$2:$S$1500),0)),S129)</f>
        <v>Debit Card</v>
      </c>
      <c r="W129" s="7" cm="1">
        <f t="array" ref="W129">IF(OR(TRIM(K129)="",TRIM(K129)="-"), MEDIAN(IF($E$2:$E$1500=E129,$K$2:$K$1500)),  VALUE(SUBSTITUTE(SUBSTITUTE(SUBSTITUTE(K129,"Rs. ",""),"₹",""),",","")))</f>
        <v>16010</v>
      </c>
      <c r="X129" s="8">
        <f t="shared" si="18"/>
        <v>0</v>
      </c>
      <c r="Y129" s="7">
        <f t="shared" si="19"/>
        <v>16010</v>
      </c>
      <c r="Z129" s="9" t="str">
        <f t="shared" si="11"/>
        <v>ADULT</v>
      </c>
    </row>
    <row r="130" spans="1:26" x14ac:dyDescent="0.3">
      <c r="A130" s="5" t="s">
        <v>429</v>
      </c>
      <c r="B130" s="5" t="s">
        <v>106</v>
      </c>
      <c r="C130" s="5" t="s">
        <v>107</v>
      </c>
      <c r="D130" s="5" t="s">
        <v>66</v>
      </c>
      <c r="E130" s="5" t="s">
        <v>93</v>
      </c>
      <c r="F130" s="5" t="s">
        <v>207</v>
      </c>
      <c r="G130" s="5" t="s">
        <v>39</v>
      </c>
      <c r="H130" s="5">
        <v>56</v>
      </c>
      <c r="I130" s="5" t="s">
        <v>40</v>
      </c>
      <c r="J130" s="34" t="s">
        <v>430</v>
      </c>
      <c r="K130" s="31" t="s">
        <v>431</v>
      </c>
      <c r="L130" s="5" t="s">
        <v>72</v>
      </c>
      <c r="M130" s="32">
        <v>10</v>
      </c>
      <c r="N130" s="6">
        <f t="shared" si="12"/>
        <v>10</v>
      </c>
      <c r="O130" s="4" t="s">
        <v>207</v>
      </c>
      <c r="P130" s="5" t="str">
        <f t="shared" si="13"/>
        <v>Kolkata</v>
      </c>
      <c r="Q130" s="5" t="str">
        <f t="shared" si="14"/>
        <v>Nephrology</v>
      </c>
      <c r="R130" s="6" t="str">
        <f t="shared" si="15"/>
        <v>Aiims</v>
      </c>
      <c r="S130" s="6" t="str">
        <f t="shared" si="16"/>
        <v>Cash</v>
      </c>
      <c r="T130" s="6" t="str">
        <f t="shared" si="17"/>
        <v>Female</v>
      </c>
      <c r="U130" s="6" t="str">
        <f t="shared" si="20"/>
        <v>General</v>
      </c>
      <c r="V130" s="6" t="str" cm="1">
        <f t="array" ref="V130">IF(TRIM(S130)="",INDEX($S$2:$S$1500,MATCH(MAX(COUNTIF($S$2:$S$1500,S130)),COUNTIF($S$2:$S$1500,$S$2:$S$1500),0)),S130)</f>
        <v>Cash</v>
      </c>
      <c r="W130" s="7" cm="1">
        <f t="array" ref="W130">IF(OR(TRIM(K130)="",TRIM(K130)="-"), MEDIAN(IF($E$2:$E$1500=E130,$K$2:$K$1500)),  VALUE(SUBSTITUTE(SUBSTITUTE(SUBSTITUTE(K130,"Rs. ",""),"₹",""),",","")))</f>
        <v>12421</v>
      </c>
      <c r="X130" s="8">
        <f t="shared" si="18"/>
        <v>10</v>
      </c>
      <c r="Y130" s="7">
        <f t="shared" si="19"/>
        <v>11179</v>
      </c>
      <c r="Z130" s="9" t="str">
        <f t="shared" ref="Z130:Z193" si="21">IF(H130&lt;13,"CHILD",IF(H130&lt;20,"TEEN",IF(H130&lt;60,"ADULT","SENIOR")))</f>
        <v>ADULT</v>
      </c>
    </row>
    <row r="131" spans="1:26" x14ac:dyDescent="0.3">
      <c r="A131" s="5" t="s">
        <v>432</v>
      </c>
      <c r="B131" s="5" t="s">
        <v>14</v>
      </c>
      <c r="C131" s="5" t="s">
        <v>15</v>
      </c>
      <c r="D131" s="5" t="s">
        <v>27</v>
      </c>
      <c r="E131" s="5" t="s">
        <v>99</v>
      </c>
      <c r="F131" s="5" t="s">
        <v>256</v>
      </c>
      <c r="G131" s="5" t="s">
        <v>19</v>
      </c>
      <c r="H131" s="5">
        <v>53</v>
      </c>
      <c r="I131" s="5" t="s">
        <v>31</v>
      </c>
      <c r="J131" s="34" t="s">
        <v>377</v>
      </c>
      <c r="K131" s="31" t="s">
        <v>433</v>
      </c>
      <c r="L131" s="5" t="s">
        <v>83</v>
      </c>
      <c r="M131" s="32">
        <v>10</v>
      </c>
      <c r="N131" s="6">
        <f t="shared" ref="N131:N194" si="22">IF(RIGHT(TRIM(M131),1)="%",VALUE(LEFT(TRIM(M131),LEN(TRIM(M131))-1)),  IF(AND(ISNUMBER(M131),M131&lt;=1,M131&gt;0),M131*100,M131))</f>
        <v>10</v>
      </c>
      <c r="O131" s="4" t="s">
        <v>256</v>
      </c>
      <c r="P131" s="5" t="str">
        <f t="shared" ref="P131:P194" si="23">PROPER(D131)</f>
        <v>Mumbai</v>
      </c>
      <c r="Q131" s="5" t="str">
        <f t="shared" ref="Q131:Q194" si="24">PROPER(E131)</f>
        <v>Ent</v>
      </c>
      <c r="R131" s="6" t="str">
        <f t="shared" ref="R131:R194" si="25">PROPER(C131)</f>
        <v>Max_Healthcare</v>
      </c>
      <c r="S131" s="6" t="str">
        <f t="shared" ref="S131:S194" si="26">IF(OR(UPPER(TRIM(L131))="CREDIT_CARD",UPPER(TRIM(L131))="CREDIT CARD",UPPER(TRIM(L131))="CC"),"Credit Card", IF(OR(UPPER(TRIM(L131))="DEBIT_CARD",UPPER(TRIM(L131))="DEBIT CARD",UPPER(TRIM(L131))="DC"),"Debit Card", IF(UPPER(TRIM(L131))="CASH","Cash", IF(UPPER(TRIM(L131))="UPI","UPI", IF(OR(UPPER(TRIM(L131))="INSURANCE",UPPER(TRIM(L131))="INS"),"Insurance", IF(TRIM(L131)="","Unknown","Unknown"))))))</f>
        <v>Debit Card</v>
      </c>
      <c r="T131" s="6" t="str">
        <f t="shared" ref="T131:T194" si="27">IF(OR(UPPER(TRIM(I131))="M",UPPER(TRIM(I131))="MALE"),"Male",IF(OR(UPPER(TRIM(I131))="F",UPPER(TRIM(I131))="FEMALE"),"Female","Unknown"))</f>
        <v>Male</v>
      </c>
      <c r="U131" s="6" t="str">
        <f t="shared" si="20"/>
        <v>General</v>
      </c>
      <c r="V131" s="6" t="str" cm="1">
        <f t="array" ref="V131">IF(TRIM(S131)="",INDEX($S$2:$S$1500,MATCH(MAX(COUNTIF($S$2:$S$1500,S131)),COUNTIF($S$2:$S$1500,$S$2:$S$1500),0)),S131)</f>
        <v>Debit Card</v>
      </c>
      <c r="W131" s="7" cm="1">
        <f t="array" ref="W131">IF(OR(TRIM(K131)="",TRIM(K131)="-"), MEDIAN(IF($E$2:$E$1500=E131,$K$2:$K$1500)),  VALUE(SUBSTITUTE(SUBSTITUTE(SUBSTITUTE(K131,"Rs. ",""),"₹",""),",","")))</f>
        <v>11982</v>
      </c>
      <c r="X131" s="8">
        <f t="shared" ref="X131:X194" si="28">ROUND(IF(OR(TRIM(N131)="-",UPPER(TRIM(N131))="N/A",UPPER(TRIM(N131))="NA"), IFERROR(AVERAGEIF($V$2:$V$1500,V131,$N$2:$N$1500),AVERAGE($N$2:$N$1500)), N131),0)</f>
        <v>10</v>
      </c>
      <c r="Y131" s="7">
        <f t="shared" ref="Y131:Y194" si="29">ROUND(W131*(1-X131/100),0)</f>
        <v>10784</v>
      </c>
      <c r="Z131" s="9" t="str">
        <f t="shared" si="21"/>
        <v>ADULT</v>
      </c>
    </row>
    <row r="132" spans="1:26" x14ac:dyDescent="0.3">
      <c r="A132" s="5" t="s">
        <v>434</v>
      </c>
      <c r="B132" s="5" t="s">
        <v>117</v>
      </c>
      <c r="C132" s="5" t="s">
        <v>127</v>
      </c>
      <c r="D132" s="5" t="s">
        <v>36</v>
      </c>
      <c r="E132" s="5" t="s">
        <v>93</v>
      </c>
      <c r="F132" s="5" t="s">
        <v>94</v>
      </c>
      <c r="G132" s="5" t="s">
        <v>49</v>
      </c>
      <c r="H132" s="5">
        <v>61</v>
      </c>
      <c r="I132" s="5" t="s">
        <v>20</v>
      </c>
      <c r="J132" s="34" t="s">
        <v>435</v>
      </c>
      <c r="K132" s="31" t="s">
        <v>436</v>
      </c>
      <c r="L132" s="5" t="s">
        <v>236</v>
      </c>
      <c r="M132" s="32"/>
      <c r="N132" s="6">
        <f t="shared" si="22"/>
        <v>0</v>
      </c>
      <c r="O132" s="4" t="s">
        <v>94</v>
      </c>
      <c r="P132" s="5" t="str">
        <f t="shared" si="23"/>
        <v>Chennai</v>
      </c>
      <c r="Q132" s="5" t="str">
        <f t="shared" si="24"/>
        <v>Nephrology</v>
      </c>
      <c r="R132" s="6" t="str">
        <f t="shared" si="25"/>
        <v>Manipal</v>
      </c>
      <c r="S132" s="6" t="str">
        <f t="shared" si="26"/>
        <v>Debit Card</v>
      </c>
      <c r="T132" s="6" t="str">
        <f t="shared" si="27"/>
        <v>Male</v>
      </c>
      <c r="U132" s="6" t="str">
        <f t="shared" si="20"/>
        <v>General</v>
      </c>
      <c r="V132" s="6" t="str" cm="1">
        <f t="array" ref="V132">IF(TRIM(S132)="",INDEX($S$2:$S$1500,MATCH(MAX(COUNTIF($S$2:$S$1500,S132)),COUNTIF($S$2:$S$1500,$S$2:$S$1500),0)),S132)</f>
        <v>Debit Card</v>
      </c>
      <c r="W132" s="7" cm="1">
        <f t="array" ref="W132">IF(OR(TRIM(K132)="",TRIM(K132)="-"), MEDIAN(IF($E$2:$E$1500=E132,$K$2:$K$1500)),  VALUE(SUBSTITUTE(SUBSTITUTE(SUBSTITUTE(K132,"Rs. ",""),"₹",""),",","")))</f>
        <v>10938</v>
      </c>
      <c r="X132" s="8">
        <f t="shared" si="28"/>
        <v>0</v>
      </c>
      <c r="Y132" s="7">
        <f t="shared" si="29"/>
        <v>10938</v>
      </c>
      <c r="Z132" s="9" t="str">
        <f t="shared" si="21"/>
        <v>SENIOR</v>
      </c>
    </row>
    <row r="133" spans="1:26" x14ac:dyDescent="0.3">
      <c r="A133" s="5" t="s">
        <v>437</v>
      </c>
      <c r="B133" s="5" t="s">
        <v>45</v>
      </c>
      <c r="C133" s="5" t="s">
        <v>46</v>
      </c>
      <c r="D133" s="5" t="s">
        <v>55</v>
      </c>
      <c r="E133" s="5" t="s">
        <v>93</v>
      </c>
      <c r="F133" s="5" t="s">
        <v>94</v>
      </c>
      <c r="G133" s="5" t="s">
        <v>30</v>
      </c>
      <c r="H133" s="5">
        <v>38</v>
      </c>
      <c r="I133" s="5" t="s">
        <v>20</v>
      </c>
      <c r="J133" s="34" t="s">
        <v>438</v>
      </c>
      <c r="K133" s="31" t="s">
        <v>439</v>
      </c>
      <c r="L133" s="5" t="s">
        <v>149</v>
      </c>
      <c r="M133" s="32">
        <v>0.05</v>
      </c>
      <c r="N133" s="6">
        <f t="shared" si="22"/>
        <v>5</v>
      </c>
      <c r="O133" s="4" t="s">
        <v>94</v>
      </c>
      <c r="P133" s="5" t="str">
        <f t="shared" si="23"/>
        <v>Hyderabad</v>
      </c>
      <c r="Q133" s="5" t="str">
        <f t="shared" si="24"/>
        <v>Nephrology</v>
      </c>
      <c r="R133" s="6" t="str">
        <f t="shared" si="25"/>
        <v>Fortis</v>
      </c>
      <c r="S133" s="6" t="str">
        <f t="shared" si="26"/>
        <v>Insurance</v>
      </c>
      <c r="T133" s="6" t="str">
        <f t="shared" si="27"/>
        <v>Male</v>
      </c>
      <c r="U133" s="6" t="str">
        <f t="shared" si="20"/>
        <v>General</v>
      </c>
      <c r="V133" s="6" t="str" cm="1">
        <f t="array" ref="V133">IF(TRIM(S133)="",INDEX($S$2:$S$1500,MATCH(MAX(COUNTIF($S$2:$S$1500,S133)),COUNTIF($S$2:$S$1500,$S$2:$S$1500),0)),S133)</f>
        <v>Insurance</v>
      </c>
      <c r="W133" s="7" cm="1">
        <f t="array" ref="W133">IF(OR(TRIM(K133)="",TRIM(K133)="-"), MEDIAN(IF($E$2:$E$1500=E133,$K$2:$K$1500)),  VALUE(SUBSTITUTE(SUBSTITUTE(SUBSTITUTE(K133,"Rs. ",""),"₹",""),",","")))</f>
        <v>3713</v>
      </c>
      <c r="X133" s="8">
        <f t="shared" si="28"/>
        <v>5</v>
      </c>
      <c r="Y133" s="7">
        <f t="shared" si="29"/>
        <v>3527</v>
      </c>
      <c r="Z133" s="9" t="str">
        <f t="shared" si="21"/>
        <v>ADULT</v>
      </c>
    </row>
    <row r="134" spans="1:26" x14ac:dyDescent="0.3">
      <c r="A134" s="5" t="s">
        <v>440</v>
      </c>
      <c r="B134" s="5" t="s">
        <v>14</v>
      </c>
      <c r="C134" s="5" t="s">
        <v>60</v>
      </c>
      <c r="D134" s="5" t="s">
        <v>27</v>
      </c>
      <c r="E134" s="5" t="s">
        <v>93</v>
      </c>
      <c r="F134" s="5" t="s">
        <v>121</v>
      </c>
      <c r="G134" s="5" t="s">
        <v>101</v>
      </c>
      <c r="H134" s="5">
        <v>54</v>
      </c>
      <c r="I134" s="5" t="s">
        <v>20</v>
      </c>
      <c r="J134" s="34" t="s">
        <v>441</v>
      </c>
      <c r="K134" s="31" t="s">
        <v>442</v>
      </c>
      <c r="L134" s="5" t="s">
        <v>83</v>
      </c>
      <c r="M134" s="32" t="s">
        <v>64</v>
      </c>
      <c r="N134" s="6" t="str">
        <f t="shared" si="22"/>
        <v>NA</v>
      </c>
      <c r="O134" s="4" t="s">
        <v>121</v>
      </c>
      <c r="P134" s="5" t="str">
        <f t="shared" si="23"/>
        <v>Mumbai</v>
      </c>
      <c r="Q134" s="5" t="str">
        <f t="shared" si="24"/>
        <v>Nephrology</v>
      </c>
      <c r="R134" s="6" t="str">
        <f t="shared" si="25"/>
        <v>Max_Healthcare</v>
      </c>
      <c r="S134" s="6" t="str">
        <f t="shared" si="26"/>
        <v>Debit Card</v>
      </c>
      <c r="T134" s="6" t="str">
        <f t="shared" si="27"/>
        <v>Male</v>
      </c>
      <c r="U134" s="6" t="str">
        <f t="shared" si="20"/>
        <v>ICU</v>
      </c>
      <c r="V134" s="6" t="str" cm="1">
        <f t="array" ref="V134">IF(TRIM(S134)="",INDEX($S$2:$S$1500,MATCH(MAX(COUNTIF($S$2:$S$1500,S134)),COUNTIF($S$2:$S$1500,$S$2:$S$1500),0)),S134)</f>
        <v>Debit Card</v>
      </c>
      <c r="W134" s="7" cm="1">
        <f t="array" ref="W134">IF(OR(TRIM(K134)="",TRIM(K134)="-"), MEDIAN(IF($E$2:$E$1500=E134,$K$2:$K$1500)),  VALUE(SUBSTITUTE(SUBSTITUTE(SUBSTITUTE(K134,"Rs. ",""),"₹",""),",","")))</f>
        <v>66196</v>
      </c>
      <c r="X134" s="8">
        <f t="shared" si="28"/>
        <v>3</v>
      </c>
      <c r="Y134" s="7">
        <f t="shared" si="29"/>
        <v>64210</v>
      </c>
      <c r="Z134" s="9" t="str">
        <f t="shared" si="21"/>
        <v>ADULT</v>
      </c>
    </row>
    <row r="135" spans="1:26" x14ac:dyDescent="0.3">
      <c r="A135" s="5" t="s">
        <v>443</v>
      </c>
      <c r="B135" s="5" t="s">
        <v>117</v>
      </c>
      <c r="C135" s="5" t="s">
        <v>127</v>
      </c>
      <c r="D135" s="5" t="s">
        <v>66</v>
      </c>
      <c r="E135" s="5" t="s">
        <v>67</v>
      </c>
      <c r="F135" s="5" t="s">
        <v>68</v>
      </c>
      <c r="G135" s="5"/>
      <c r="H135" s="5">
        <v>71</v>
      </c>
      <c r="I135" s="5" t="s">
        <v>31</v>
      </c>
      <c r="J135" s="34" t="s">
        <v>444</v>
      </c>
      <c r="K135" s="31" t="s">
        <v>445</v>
      </c>
      <c r="L135" s="5" t="s">
        <v>34</v>
      </c>
      <c r="M135" s="32">
        <v>10</v>
      </c>
      <c r="N135" s="6">
        <f t="shared" si="22"/>
        <v>10</v>
      </c>
      <c r="O135" s="4" t="s">
        <v>68</v>
      </c>
      <c r="P135" s="5" t="str">
        <f t="shared" si="23"/>
        <v>Kolkata</v>
      </c>
      <c r="Q135" s="5" t="str">
        <f t="shared" si="24"/>
        <v>Neurology</v>
      </c>
      <c r="R135" s="6" t="str">
        <f t="shared" si="25"/>
        <v>Manipal</v>
      </c>
      <c r="S135" s="6" t="str">
        <f t="shared" si="26"/>
        <v>Cash</v>
      </c>
      <c r="T135" s="6" t="str">
        <f t="shared" si="27"/>
        <v>Male</v>
      </c>
      <c r="U135" s="6" t="str">
        <f t="shared" si="20"/>
        <v>Unknown</v>
      </c>
      <c r="V135" s="6" t="str" cm="1">
        <f t="array" ref="V135">IF(TRIM(S135)="",INDEX($S$2:$S$1500,MATCH(MAX(COUNTIF($S$2:$S$1500,S135)),COUNTIF($S$2:$S$1500,$S$2:$S$1500),0)),S135)</f>
        <v>Cash</v>
      </c>
      <c r="W135" s="7" cm="1">
        <f t="array" ref="W135">IF(OR(TRIM(K135)="",TRIM(K135)="-"), MEDIAN(IF($E$2:$E$1500=E135,$K$2:$K$1500)),  VALUE(SUBSTITUTE(SUBSTITUTE(SUBSTITUTE(K135,"Rs. ",""),"₹",""),",","")))</f>
        <v>85258</v>
      </c>
      <c r="X135" s="8">
        <f t="shared" si="28"/>
        <v>10</v>
      </c>
      <c r="Y135" s="7">
        <f t="shared" si="29"/>
        <v>76732</v>
      </c>
      <c r="Z135" s="9" t="str">
        <f t="shared" si="21"/>
        <v>SENIOR</v>
      </c>
    </row>
    <row r="136" spans="1:26" x14ac:dyDescent="0.3">
      <c r="A136" s="5" t="s">
        <v>446</v>
      </c>
      <c r="B136" s="5" t="s">
        <v>117</v>
      </c>
      <c r="C136" s="5" t="s">
        <v>118</v>
      </c>
      <c r="D136" s="5" t="s">
        <v>80</v>
      </c>
      <c r="E136" s="5" t="s">
        <v>74</v>
      </c>
      <c r="F136" s="5" t="s">
        <v>192</v>
      </c>
      <c r="G136" s="5" t="s">
        <v>49</v>
      </c>
      <c r="H136" s="5">
        <v>83</v>
      </c>
      <c r="I136" s="5" t="s">
        <v>20</v>
      </c>
      <c r="J136" s="34" t="s">
        <v>294</v>
      </c>
      <c r="K136" s="31" t="s">
        <v>447</v>
      </c>
      <c r="L136" s="5" t="s">
        <v>91</v>
      </c>
      <c r="M136" s="32">
        <v>5</v>
      </c>
      <c r="N136" s="6">
        <f t="shared" si="22"/>
        <v>5</v>
      </c>
      <c r="O136" s="4" t="s">
        <v>192</v>
      </c>
      <c r="P136" s="5" t="str">
        <f t="shared" si="23"/>
        <v>Ahmedabad</v>
      </c>
      <c r="Q136" s="5" t="str">
        <f t="shared" si="24"/>
        <v>General Medicine</v>
      </c>
      <c r="R136" s="6" t="str">
        <f t="shared" si="25"/>
        <v>Manipal</v>
      </c>
      <c r="S136" s="6" t="str">
        <f t="shared" si="26"/>
        <v>Debit Card</v>
      </c>
      <c r="T136" s="6" t="str">
        <f t="shared" si="27"/>
        <v>Male</v>
      </c>
      <c r="U136" s="6" t="str">
        <f t="shared" si="20"/>
        <v>General</v>
      </c>
      <c r="V136" s="6" t="str" cm="1">
        <f t="array" ref="V136">IF(TRIM(S136)="",INDEX($S$2:$S$1500,MATCH(MAX(COUNTIF($S$2:$S$1500,S136)),COUNTIF($S$2:$S$1500,$S$2:$S$1500),0)),S136)</f>
        <v>Debit Card</v>
      </c>
      <c r="W136" s="7" cm="1">
        <f t="array" ref="W136">IF(OR(TRIM(K136)="",TRIM(K136)="-"), MEDIAN(IF($E$2:$E$1500=E136,$K$2:$K$1500)),  VALUE(SUBSTITUTE(SUBSTITUTE(SUBSTITUTE(K136,"Rs. ",""),"₹",""),",","")))</f>
        <v>19369</v>
      </c>
      <c r="X136" s="8">
        <f t="shared" si="28"/>
        <v>5</v>
      </c>
      <c r="Y136" s="7">
        <f t="shared" si="29"/>
        <v>18401</v>
      </c>
      <c r="Z136" s="9" t="str">
        <f t="shared" si="21"/>
        <v>SENIOR</v>
      </c>
    </row>
    <row r="137" spans="1:26" x14ac:dyDescent="0.3">
      <c r="A137" s="5" t="s">
        <v>448</v>
      </c>
      <c r="B137" s="5" t="s">
        <v>78</v>
      </c>
      <c r="C137" s="5" t="s">
        <v>161</v>
      </c>
      <c r="D137" s="5" t="s">
        <v>55</v>
      </c>
      <c r="E137" s="5" t="s">
        <v>37</v>
      </c>
      <c r="F137" s="5" t="s">
        <v>132</v>
      </c>
      <c r="G137" s="5" t="s">
        <v>69</v>
      </c>
      <c r="H137" s="5">
        <v>2</v>
      </c>
      <c r="I137" s="5" t="s">
        <v>20</v>
      </c>
      <c r="J137" s="34" t="s">
        <v>449</v>
      </c>
      <c r="K137" s="31">
        <v>53626</v>
      </c>
      <c r="L137" s="5" t="s">
        <v>42</v>
      </c>
      <c r="M137" s="32">
        <v>35</v>
      </c>
      <c r="N137" s="6">
        <f t="shared" si="22"/>
        <v>35</v>
      </c>
      <c r="O137" s="4" t="s">
        <v>132</v>
      </c>
      <c r="P137" s="5" t="str">
        <f t="shared" si="23"/>
        <v>Hyderabad</v>
      </c>
      <c r="Q137" s="5" t="str">
        <f t="shared" si="24"/>
        <v>Pediatrics</v>
      </c>
      <c r="R137" s="6" t="str">
        <f t="shared" si="25"/>
        <v>Apollo</v>
      </c>
      <c r="S137" s="6" t="str">
        <f t="shared" si="26"/>
        <v>Insurance</v>
      </c>
      <c r="T137" s="6" t="str">
        <f t="shared" si="27"/>
        <v>Male</v>
      </c>
      <c r="U137" s="6" t="str">
        <f t="shared" si="20"/>
        <v>ICU</v>
      </c>
      <c r="V137" s="6" t="str" cm="1">
        <f t="array" ref="V137">IF(TRIM(S137)="",INDEX($S$2:$S$1500,MATCH(MAX(COUNTIF($S$2:$S$1500,S137)),COUNTIF($S$2:$S$1500,$S$2:$S$1500),0)),S137)</f>
        <v>Insurance</v>
      </c>
      <c r="W137" s="7" cm="1">
        <f t="array" ref="W137">IF(OR(TRIM(K137)="",TRIM(K137)="-"), MEDIAN(IF($E$2:$E$1500=E137,$K$2:$K$1500)),  VALUE(SUBSTITUTE(SUBSTITUTE(SUBSTITUTE(K137,"Rs. ",""),"₹",""),",","")))</f>
        <v>53626</v>
      </c>
      <c r="X137" s="8">
        <f t="shared" si="28"/>
        <v>35</v>
      </c>
      <c r="Y137" s="7">
        <f t="shared" si="29"/>
        <v>34857</v>
      </c>
      <c r="Z137" s="9" t="str">
        <f t="shared" si="21"/>
        <v>CHILD</v>
      </c>
    </row>
    <row r="138" spans="1:26" x14ac:dyDescent="0.3">
      <c r="A138" s="5" t="s">
        <v>450</v>
      </c>
      <c r="B138" s="5" t="s">
        <v>25</v>
      </c>
      <c r="C138" s="5" t="s">
        <v>26</v>
      </c>
      <c r="D138" s="5" t="s">
        <v>61</v>
      </c>
      <c r="E138" s="5" t="s">
        <v>17</v>
      </c>
      <c r="F138" s="5" t="s">
        <v>169</v>
      </c>
      <c r="G138" s="5" t="s">
        <v>19</v>
      </c>
      <c r="H138" s="5">
        <v>58</v>
      </c>
      <c r="I138" s="5" t="s">
        <v>20</v>
      </c>
      <c r="J138" s="34" t="s">
        <v>451</v>
      </c>
      <c r="K138" s="31" t="s">
        <v>452</v>
      </c>
      <c r="L138" s="5" t="s">
        <v>52</v>
      </c>
      <c r="M138" s="32">
        <v>10</v>
      </c>
      <c r="N138" s="6">
        <f t="shared" si="22"/>
        <v>10</v>
      </c>
      <c r="O138" s="4" t="s">
        <v>169</v>
      </c>
      <c r="P138" s="5" t="str">
        <f t="shared" si="23"/>
        <v>Pune</v>
      </c>
      <c r="Q138" s="5" t="str">
        <f t="shared" si="24"/>
        <v>Gynecology</v>
      </c>
      <c r="R138" s="6" t="str">
        <f t="shared" si="25"/>
        <v>Narayana</v>
      </c>
      <c r="S138" s="6" t="str">
        <f t="shared" si="26"/>
        <v>Credit Card</v>
      </c>
      <c r="T138" s="6" t="str">
        <f t="shared" si="27"/>
        <v>Male</v>
      </c>
      <c r="U138" s="6" t="str">
        <f t="shared" si="20"/>
        <v>General</v>
      </c>
      <c r="V138" s="6" t="str" cm="1">
        <f t="array" ref="V138">IF(TRIM(S138)="",INDEX($S$2:$S$1500,MATCH(MAX(COUNTIF($S$2:$S$1500,S138)),COUNTIF($S$2:$S$1500,$S$2:$S$1500),0)),S138)</f>
        <v>Credit Card</v>
      </c>
      <c r="W138" s="7" cm="1">
        <f t="array" ref="W138">IF(OR(TRIM(K138)="",TRIM(K138)="-"), MEDIAN(IF($E$2:$E$1500=E138,$K$2:$K$1500)),  VALUE(SUBSTITUTE(SUBSTITUTE(SUBSTITUTE(K138,"Rs. ",""),"₹",""),",","")))</f>
        <v>5237</v>
      </c>
      <c r="X138" s="8">
        <f t="shared" si="28"/>
        <v>10</v>
      </c>
      <c r="Y138" s="7">
        <f t="shared" si="29"/>
        <v>4713</v>
      </c>
      <c r="Z138" s="9" t="str">
        <f t="shared" si="21"/>
        <v>ADULT</v>
      </c>
    </row>
    <row r="139" spans="1:26" x14ac:dyDescent="0.3">
      <c r="A139" s="5" t="s">
        <v>453</v>
      </c>
      <c r="B139" s="5" t="s">
        <v>45</v>
      </c>
      <c r="C139" s="5" t="s">
        <v>46</v>
      </c>
      <c r="D139" s="5" t="s">
        <v>61</v>
      </c>
      <c r="E139" s="5" t="s">
        <v>99</v>
      </c>
      <c r="F139" s="5" t="s">
        <v>151</v>
      </c>
      <c r="G139" s="5" t="s">
        <v>19</v>
      </c>
      <c r="H139" s="5">
        <v>89</v>
      </c>
      <c r="I139" s="5" t="s">
        <v>31</v>
      </c>
      <c r="J139" s="34" t="s">
        <v>229</v>
      </c>
      <c r="K139" s="31" t="s">
        <v>454</v>
      </c>
      <c r="L139" s="5" t="s">
        <v>42</v>
      </c>
      <c r="M139" s="32" t="s">
        <v>140</v>
      </c>
      <c r="N139" s="6" t="str">
        <f t="shared" si="22"/>
        <v>-</v>
      </c>
      <c r="O139" s="4" t="s">
        <v>151</v>
      </c>
      <c r="P139" s="5" t="str">
        <f t="shared" si="23"/>
        <v>Pune</v>
      </c>
      <c r="Q139" s="5" t="str">
        <f t="shared" si="24"/>
        <v>Ent</v>
      </c>
      <c r="R139" s="6" t="str">
        <f t="shared" si="25"/>
        <v>Fortis</v>
      </c>
      <c r="S139" s="6" t="str">
        <f t="shared" si="26"/>
        <v>Insurance</v>
      </c>
      <c r="T139" s="6" t="str">
        <f t="shared" si="27"/>
        <v>Male</v>
      </c>
      <c r="U139" s="6" t="str">
        <f t="shared" si="20"/>
        <v>General</v>
      </c>
      <c r="V139" s="6" t="str" cm="1">
        <f t="array" ref="V139">IF(TRIM(S139)="",INDEX($S$2:$S$1500,MATCH(MAX(COUNTIF($S$2:$S$1500,S139)),COUNTIF($S$2:$S$1500,$S$2:$S$1500),0)),S139)</f>
        <v>Insurance</v>
      </c>
      <c r="W139" s="7" cm="1">
        <f t="array" ref="W139">IF(OR(TRIM(K139)="",TRIM(K139)="-"), MEDIAN(IF($E$2:$E$1500=E139,$K$2:$K$1500)),  VALUE(SUBSTITUTE(SUBSTITUTE(SUBSTITUTE(K139,"Rs. ",""),"₹",""),",","")))</f>
        <v>6022</v>
      </c>
      <c r="X139" s="8">
        <f t="shared" si="28"/>
        <v>19</v>
      </c>
      <c r="Y139" s="7">
        <f t="shared" si="29"/>
        <v>4878</v>
      </c>
      <c r="Z139" s="9" t="str">
        <f t="shared" si="21"/>
        <v>SENIOR</v>
      </c>
    </row>
    <row r="140" spans="1:26" x14ac:dyDescent="0.3">
      <c r="A140" s="5" t="s">
        <v>455</v>
      </c>
      <c r="B140" s="5" t="s">
        <v>14</v>
      </c>
      <c r="C140" s="5" t="s">
        <v>15</v>
      </c>
      <c r="D140" s="5" t="s">
        <v>55</v>
      </c>
      <c r="E140" s="5" t="s">
        <v>93</v>
      </c>
      <c r="F140" s="5" t="s">
        <v>144</v>
      </c>
      <c r="G140" s="5" t="s">
        <v>30</v>
      </c>
      <c r="H140" s="5">
        <v>65</v>
      </c>
      <c r="I140" s="5" t="s">
        <v>40</v>
      </c>
      <c r="J140" s="34" t="s">
        <v>456</v>
      </c>
      <c r="K140" s="31" t="s">
        <v>457</v>
      </c>
      <c r="L140" s="5" t="s">
        <v>115</v>
      </c>
      <c r="M140" s="32">
        <v>0</v>
      </c>
      <c r="N140" s="6">
        <f t="shared" si="22"/>
        <v>0</v>
      </c>
      <c r="O140" s="4" t="s">
        <v>144</v>
      </c>
      <c r="P140" s="5" t="str">
        <f t="shared" si="23"/>
        <v>Hyderabad</v>
      </c>
      <c r="Q140" s="5" t="str">
        <f t="shared" si="24"/>
        <v>Nephrology</v>
      </c>
      <c r="R140" s="6" t="str">
        <f t="shared" si="25"/>
        <v>Max_Healthcare</v>
      </c>
      <c r="S140" s="6" t="str">
        <f t="shared" si="26"/>
        <v>Cash</v>
      </c>
      <c r="T140" s="6" t="str">
        <f t="shared" si="27"/>
        <v>Female</v>
      </c>
      <c r="U140" s="6" t="str">
        <f t="shared" si="20"/>
        <v>General</v>
      </c>
      <c r="V140" s="6" t="str" cm="1">
        <f t="array" ref="V140">IF(TRIM(S140)="",INDEX($S$2:$S$1500,MATCH(MAX(COUNTIF($S$2:$S$1500,S140)),COUNTIF($S$2:$S$1500,$S$2:$S$1500),0)),S140)</f>
        <v>Cash</v>
      </c>
      <c r="W140" s="7" cm="1">
        <f t="array" ref="W140">IF(OR(TRIM(K140)="",TRIM(K140)="-"), MEDIAN(IF($E$2:$E$1500=E140,$K$2:$K$1500)),  VALUE(SUBSTITUTE(SUBSTITUTE(SUBSTITUTE(K140,"Rs. ",""),"₹",""),",","")))</f>
        <v>8977</v>
      </c>
      <c r="X140" s="8">
        <f t="shared" si="28"/>
        <v>0</v>
      </c>
      <c r="Y140" s="7">
        <f t="shared" si="29"/>
        <v>8977</v>
      </c>
      <c r="Z140" s="9" t="str">
        <f t="shared" si="21"/>
        <v>SENIOR</v>
      </c>
    </row>
    <row r="141" spans="1:26" x14ac:dyDescent="0.3">
      <c r="A141" s="5" t="s">
        <v>458</v>
      </c>
      <c r="B141" s="5" t="s">
        <v>78</v>
      </c>
      <c r="C141" s="5" t="s">
        <v>203</v>
      </c>
      <c r="D141" s="5" t="s">
        <v>66</v>
      </c>
      <c r="E141" s="5" t="s">
        <v>93</v>
      </c>
      <c r="F141" s="5" t="s">
        <v>207</v>
      </c>
      <c r="G141" s="5" t="s">
        <v>101</v>
      </c>
      <c r="H141" s="5">
        <v>76</v>
      </c>
      <c r="I141" s="5" t="s">
        <v>20</v>
      </c>
      <c r="J141" s="34" t="s">
        <v>441</v>
      </c>
      <c r="K141" s="31" t="s">
        <v>459</v>
      </c>
      <c r="L141" s="5" t="s">
        <v>83</v>
      </c>
      <c r="M141" s="32">
        <v>0.1</v>
      </c>
      <c r="N141" s="6">
        <f t="shared" si="22"/>
        <v>10</v>
      </c>
      <c r="O141" s="4" t="s">
        <v>207</v>
      </c>
      <c r="P141" s="5" t="str">
        <f t="shared" si="23"/>
        <v>Kolkata</v>
      </c>
      <c r="Q141" s="5" t="str">
        <f t="shared" si="24"/>
        <v>Nephrology</v>
      </c>
      <c r="R141" s="6" t="str">
        <f t="shared" si="25"/>
        <v>Apollo</v>
      </c>
      <c r="S141" s="6" t="str">
        <f t="shared" si="26"/>
        <v>Debit Card</v>
      </c>
      <c r="T141" s="6" t="str">
        <f t="shared" si="27"/>
        <v>Male</v>
      </c>
      <c r="U141" s="6" t="str">
        <f t="shared" si="20"/>
        <v>ICU</v>
      </c>
      <c r="V141" s="6" t="str" cm="1">
        <f t="array" ref="V141">IF(TRIM(S141)="",INDEX($S$2:$S$1500,MATCH(MAX(COUNTIF($S$2:$S$1500,S141)),COUNTIF($S$2:$S$1500,$S$2:$S$1500),0)),S141)</f>
        <v>Debit Card</v>
      </c>
      <c r="W141" s="7" cm="1">
        <f t="array" ref="W141">IF(OR(TRIM(K141)="",TRIM(K141)="-"), MEDIAN(IF($E$2:$E$1500=E141,$K$2:$K$1500)),  VALUE(SUBSTITUTE(SUBSTITUTE(SUBSTITUTE(K141,"Rs. ",""),"₹",""),",","")))</f>
        <v>23870</v>
      </c>
      <c r="X141" s="8">
        <f t="shared" si="28"/>
        <v>10</v>
      </c>
      <c r="Y141" s="7">
        <f t="shared" si="29"/>
        <v>21483</v>
      </c>
      <c r="Z141" s="9" t="str">
        <f t="shared" si="21"/>
        <v>SENIOR</v>
      </c>
    </row>
    <row r="142" spans="1:26" x14ac:dyDescent="0.3">
      <c r="A142" s="5" t="s">
        <v>460</v>
      </c>
      <c r="B142" s="5" t="s">
        <v>45</v>
      </c>
      <c r="C142" s="5" t="s">
        <v>46</v>
      </c>
      <c r="D142" s="5" t="s">
        <v>61</v>
      </c>
      <c r="E142" s="5" t="s">
        <v>47</v>
      </c>
      <c r="F142" s="5" t="s">
        <v>461</v>
      </c>
      <c r="G142" s="5" t="s">
        <v>39</v>
      </c>
      <c r="H142" s="5">
        <v>4</v>
      </c>
      <c r="I142" s="5" t="s">
        <v>20</v>
      </c>
      <c r="J142" s="34" t="s">
        <v>462</v>
      </c>
      <c r="K142" s="31">
        <v>8588</v>
      </c>
      <c r="L142" s="5" t="s">
        <v>52</v>
      </c>
      <c r="M142" s="32">
        <v>0</v>
      </c>
      <c r="N142" s="6">
        <f t="shared" si="22"/>
        <v>0</v>
      </c>
      <c r="O142" s="4" t="s">
        <v>461</v>
      </c>
      <c r="P142" s="5" t="str">
        <f t="shared" si="23"/>
        <v>Pune</v>
      </c>
      <c r="Q142" s="5" t="str">
        <f t="shared" si="24"/>
        <v>Gastroenterology</v>
      </c>
      <c r="R142" s="6" t="str">
        <f t="shared" si="25"/>
        <v>Fortis</v>
      </c>
      <c r="S142" s="6" t="str">
        <f t="shared" si="26"/>
        <v>Credit Card</v>
      </c>
      <c r="T142" s="6" t="str">
        <f t="shared" si="27"/>
        <v>Male</v>
      </c>
      <c r="U142" s="6" t="str">
        <f t="shared" ref="U142:U205" si="30">IF(OR(UPPER(TRIM(G142))="GENERAL",UPPER(TRIM(G142))="GENRAL"),"General",IF(UPPER(TRIM(G142))="ICU","ICU","Unknown"))</f>
        <v>General</v>
      </c>
      <c r="V142" s="6" t="str" cm="1">
        <f t="array" ref="V142">IF(TRIM(S142)="",INDEX($S$2:$S$1500,MATCH(MAX(COUNTIF($S$2:$S$1500,S142)),COUNTIF($S$2:$S$1500,$S$2:$S$1500),0)),S142)</f>
        <v>Credit Card</v>
      </c>
      <c r="W142" s="7" cm="1">
        <f t="array" ref="W142">IF(OR(TRIM(K142)="",TRIM(K142)="-"), MEDIAN(IF($E$2:$E$1500=E142,$K$2:$K$1500)),  VALUE(SUBSTITUTE(SUBSTITUTE(SUBSTITUTE(K142,"Rs. ",""),"₹",""),",","")))</f>
        <v>8588</v>
      </c>
      <c r="X142" s="8">
        <f t="shared" si="28"/>
        <v>0</v>
      </c>
      <c r="Y142" s="7">
        <f t="shared" si="29"/>
        <v>8588</v>
      </c>
      <c r="Z142" s="9" t="str">
        <f t="shared" si="21"/>
        <v>CHILD</v>
      </c>
    </row>
    <row r="143" spans="1:26" x14ac:dyDescent="0.3">
      <c r="A143" s="5" t="s">
        <v>463</v>
      </c>
      <c r="B143" s="5" t="s">
        <v>25</v>
      </c>
      <c r="C143" s="5" t="s">
        <v>54</v>
      </c>
      <c r="D143" s="5" t="s">
        <v>55</v>
      </c>
      <c r="E143" s="5" t="s">
        <v>67</v>
      </c>
      <c r="F143" s="5" t="s">
        <v>196</v>
      </c>
      <c r="G143" s="5" t="s">
        <v>19</v>
      </c>
      <c r="H143" s="5">
        <v>81</v>
      </c>
      <c r="I143" s="5" t="s">
        <v>20</v>
      </c>
      <c r="J143" s="34" t="s">
        <v>32</v>
      </c>
      <c r="K143" s="31" t="s">
        <v>464</v>
      </c>
      <c r="L143" s="5" t="s">
        <v>87</v>
      </c>
      <c r="M143" s="32">
        <v>0</v>
      </c>
      <c r="N143" s="6">
        <f t="shared" si="22"/>
        <v>0</v>
      </c>
      <c r="O143" s="4" t="s">
        <v>196</v>
      </c>
      <c r="P143" s="5" t="str">
        <f t="shared" si="23"/>
        <v>Hyderabad</v>
      </c>
      <c r="Q143" s="5" t="str">
        <f t="shared" si="24"/>
        <v>Neurology</v>
      </c>
      <c r="R143" s="6" t="str">
        <f t="shared" si="25"/>
        <v>Narayana</v>
      </c>
      <c r="S143" s="6" t="str">
        <f t="shared" si="26"/>
        <v>Credit Card</v>
      </c>
      <c r="T143" s="6" t="str">
        <f t="shared" si="27"/>
        <v>Male</v>
      </c>
      <c r="U143" s="6" t="str">
        <f t="shared" si="30"/>
        <v>General</v>
      </c>
      <c r="V143" s="6" t="str" cm="1">
        <f t="array" ref="V143">IF(TRIM(S143)="",INDEX($S$2:$S$1500,MATCH(MAX(COUNTIF($S$2:$S$1500,S143)),COUNTIF($S$2:$S$1500,$S$2:$S$1500),0)),S143)</f>
        <v>Credit Card</v>
      </c>
      <c r="W143" s="7" cm="1">
        <f t="array" ref="W143">IF(OR(TRIM(K143)="",TRIM(K143)="-"), MEDIAN(IF($E$2:$E$1500=E143,$K$2:$K$1500)),  VALUE(SUBSTITUTE(SUBSTITUTE(SUBSTITUTE(K143,"Rs. ",""),"₹",""),",","")))</f>
        <v>5065</v>
      </c>
      <c r="X143" s="8">
        <f t="shared" si="28"/>
        <v>0</v>
      </c>
      <c r="Y143" s="7">
        <f t="shared" si="29"/>
        <v>5065</v>
      </c>
      <c r="Z143" s="9" t="str">
        <f t="shared" si="21"/>
        <v>SENIOR</v>
      </c>
    </row>
    <row r="144" spans="1:26" x14ac:dyDescent="0.3">
      <c r="A144" s="5" t="s">
        <v>465</v>
      </c>
      <c r="B144" s="5" t="s">
        <v>78</v>
      </c>
      <c r="C144" s="5" t="s">
        <v>161</v>
      </c>
      <c r="D144" s="5" t="s">
        <v>80</v>
      </c>
      <c r="E144" s="5" t="s">
        <v>164</v>
      </c>
      <c r="F144" s="5" t="s">
        <v>219</v>
      </c>
      <c r="G144" s="5" t="s">
        <v>30</v>
      </c>
      <c r="H144" s="5">
        <v>41</v>
      </c>
      <c r="I144" s="5" t="s">
        <v>20</v>
      </c>
      <c r="J144" s="34" t="s">
        <v>466</v>
      </c>
      <c r="K144" s="31" t="s">
        <v>467</v>
      </c>
      <c r="L144" s="5" t="s">
        <v>149</v>
      </c>
      <c r="M144" s="32" t="s">
        <v>76</v>
      </c>
      <c r="N144" s="6">
        <f t="shared" si="22"/>
        <v>10</v>
      </c>
      <c r="O144" s="4" t="s">
        <v>219</v>
      </c>
      <c r="P144" s="5" t="str">
        <f t="shared" si="23"/>
        <v>Ahmedabad</v>
      </c>
      <c r="Q144" s="5" t="str">
        <f t="shared" si="24"/>
        <v>Cardiology</v>
      </c>
      <c r="R144" s="6" t="str">
        <f t="shared" si="25"/>
        <v>Apollo</v>
      </c>
      <c r="S144" s="6" t="str">
        <f t="shared" si="26"/>
        <v>Insurance</v>
      </c>
      <c r="T144" s="6" t="str">
        <f t="shared" si="27"/>
        <v>Male</v>
      </c>
      <c r="U144" s="6" t="str">
        <f t="shared" si="30"/>
        <v>General</v>
      </c>
      <c r="V144" s="6" t="str" cm="1">
        <f t="array" ref="V144">IF(TRIM(S144)="",INDEX($S$2:$S$1500,MATCH(MAX(COUNTIF($S$2:$S$1500,S144)),COUNTIF($S$2:$S$1500,$S$2:$S$1500),0)),S144)</f>
        <v>Insurance</v>
      </c>
      <c r="W144" s="7" cm="1">
        <f t="array" ref="W144">IF(OR(TRIM(K144)="",TRIM(K144)="-"), MEDIAN(IF($E$2:$E$1500=E144,$K$2:$K$1500)),  VALUE(SUBSTITUTE(SUBSTITUTE(SUBSTITUTE(K144,"Rs. ",""),"₹",""),",","")))</f>
        <v>17923</v>
      </c>
      <c r="X144" s="8">
        <f t="shared" si="28"/>
        <v>10</v>
      </c>
      <c r="Y144" s="7">
        <f t="shared" si="29"/>
        <v>16131</v>
      </c>
      <c r="Z144" s="9" t="str">
        <f t="shared" si="21"/>
        <v>ADULT</v>
      </c>
    </row>
    <row r="145" spans="1:26" x14ac:dyDescent="0.3">
      <c r="A145" s="5" t="s">
        <v>468</v>
      </c>
      <c r="B145" s="5" t="s">
        <v>106</v>
      </c>
      <c r="C145" s="5" t="s">
        <v>107</v>
      </c>
      <c r="D145" s="5" t="s">
        <v>36</v>
      </c>
      <c r="E145" s="5" t="s">
        <v>17</v>
      </c>
      <c r="F145" s="5" t="s">
        <v>213</v>
      </c>
      <c r="G145" s="5" t="s">
        <v>39</v>
      </c>
      <c r="H145" s="5">
        <v>32</v>
      </c>
      <c r="I145" s="5" t="s">
        <v>20</v>
      </c>
      <c r="J145" s="34" t="s">
        <v>469</v>
      </c>
      <c r="K145" s="31" t="s">
        <v>470</v>
      </c>
      <c r="L145" s="5" t="s">
        <v>42</v>
      </c>
      <c r="M145" s="32">
        <v>25</v>
      </c>
      <c r="N145" s="6">
        <f t="shared" si="22"/>
        <v>25</v>
      </c>
      <c r="O145" s="4" t="s">
        <v>213</v>
      </c>
      <c r="P145" s="5" t="str">
        <f t="shared" si="23"/>
        <v>Chennai</v>
      </c>
      <c r="Q145" s="5" t="str">
        <f t="shared" si="24"/>
        <v>Gynecology</v>
      </c>
      <c r="R145" s="6" t="str">
        <f t="shared" si="25"/>
        <v>Aiims</v>
      </c>
      <c r="S145" s="6" t="str">
        <f t="shared" si="26"/>
        <v>Insurance</v>
      </c>
      <c r="T145" s="6" t="str">
        <f t="shared" si="27"/>
        <v>Male</v>
      </c>
      <c r="U145" s="6" t="str">
        <f t="shared" si="30"/>
        <v>General</v>
      </c>
      <c r="V145" s="6" t="str" cm="1">
        <f t="array" ref="V145">IF(TRIM(S145)="",INDEX($S$2:$S$1500,MATCH(MAX(COUNTIF($S$2:$S$1500,S145)),COUNTIF($S$2:$S$1500,$S$2:$S$1500),0)),S145)</f>
        <v>Insurance</v>
      </c>
      <c r="W145" s="7" cm="1">
        <f t="array" ref="W145">IF(OR(TRIM(K145)="",TRIM(K145)="-"), MEDIAN(IF($E$2:$E$1500=E145,$K$2:$K$1500)),  VALUE(SUBSTITUTE(SUBSTITUTE(SUBSTITUTE(K145,"Rs. ",""),"₹",""),",","")))</f>
        <v>8568</v>
      </c>
      <c r="X145" s="8">
        <f t="shared" si="28"/>
        <v>25</v>
      </c>
      <c r="Y145" s="7">
        <f t="shared" si="29"/>
        <v>6426</v>
      </c>
      <c r="Z145" s="9" t="str">
        <f t="shared" si="21"/>
        <v>ADULT</v>
      </c>
    </row>
    <row r="146" spans="1:26" x14ac:dyDescent="0.3">
      <c r="A146" s="5" t="s">
        <v>471</v>
      </c>
      <c r="B146" s="5" t="s">
        <v>25</v>
      </c>
      <c r="C146" s="5" t="s">
        <v>54</v>
      </c>
      <c r="D146" s="5" t="s">
        <v>61</v>
      </c>
      <c r="E146" s="5" t="s">
        <v>37</v>
      </c>
      <c r="F146" s="5" t="s">
        <v>185</v>
      </c>
      <c r="G146" s="5" t="s">
        <v>49</v>
      </c>
      <c r="H146" s="5">
        <v>45</v>
      </c>
      <c r="I146" s="5" t="s">
        <v>31</v>
      </c>
      <c r="J146" s="34" t="s">
        <v>472</v>
      </c>
      <c r="K146" s="31" t="s">
        <v>473</v>
      </c>
      <c r="L146" s="5" t="s">
        <v>72</v>
      </c>
      <c r="M146" s="32">
        <v>0</v>
      </c>
      <c r="N146" s="6">
        <f t="shared" si="22"/>
        <v>0</v>
      </c>
      <c r="O146" s="4" t="s">
        <v>185</v>
      </c>
      <c r="P146" s="5" t="str">
        <f t="shared" si="23"/>
        <v>Pune</v>
      </c>
      <c r="Q146" s="5" t="str">
        <f t="shared" si="24"/>
        <v>Pediatrics</v>
      </c>
      <c r="R146" s="6" t="str">
        <f t="shared" si="25"/>
        <v>Narayana</v>
      </c>
      <c r="S146" s="6" t="str">
        <f t="shared" si="26"/>
        <v>Cash</v>
      </c>
      <c r="T146" s="6" t="str">
        <f t="shared" si="27"/>
        <v>Male</v>
      </c>
      <c r="U146" s="6" t="str">
        <f t="shared" si="30"/>
        <v>General</v>
      </c>
      <c r="V146" s="6" t="str" cm="1">
        <f t="array" ref="V146">IF(TRIM(S146)="",INDEX($S$2:$S$1500,MATCH(MAX(COUNTIF($S$2:$S$1500,S146)),COUNTIF($S$2:$S$1500,$S$2:$S$1500),0)),S146)</f>
        <v>Cash</v>
      </c>
      <c r="W146" s="7" cm="1">
        <f t="array" ref="W146">IF(OR(TRIM(K146)="",TRIM(K146)="-"), MEDIAN(IF($E$2:$E$1500=E146,$K$2:$K$1500)),  VALUE(SUBSTITUTE(SUBSTITUTE(SUBSTITUTE(K146,"Rs. ",""),"₹",""),",","")))</f>
        <v>15693</v>
      </c>
      <c r="X146" s="8">
        <f t="shared" si="28"/>
        <v>0</v>
      </c>
      <c r="Y146" s="7">
        <f t="shared" si="29"/>
        <v>15693</v>
      </c>
      <c r="Z146" s="9" t="str">
        <f t="shared" si="21"/>
        <v>ADULT</v>
      </c>
    </row>
    <row r="147" spans="1:26" x14ac:dyDescent="0.3">
      <c r="A147" s="5" t="s">
        <v>474</v>
      </c>
      <c r="B147" s="5" t="s">
        <v>45</v>
      </c>
      <c r="C147" s="5" t="s">
        <v>46</v>
      </c>
      <c r="D147" s="5" t="s">
        <v>36</v>
      </c>
      <c r="E147" s="5" t="s">
        <v>67</v>
      </c>
      <c r="F147" s="5" t="s">
        <v>89</v>
      </c>
      <c r="G147" s="5" t="s">
        <v>30</v>
      </c>
      <c r="H147" s="5">
        <v>72</v>
      </c>
      <c r="I147" s="5" t="s">
        <v>40</v>
      </c>
      <c r="J147" s="34" t="s">
        <v>350</v>
      </c>
      <c r="K147" s="31" t="s">
        <v>475</v>
      </c>
      <c r="L147" s="5" t="s">
        <v>58</v>
      </c>
      <c r="M147" s="32" t="s">
        <v>76</v>
      </c>
      <c r="N147" s="6">
        <f t="shared" si="22"/>
        <v>10</v>
      </c>
      <c r="O147" s="4" t="s">
        <v>89</v>
      </c>
      <c r="P147" s="5" t="str">
        <f t="shared" si="23"/>
        <v>Chennai</v>
      </c>
      <c r="Q147" s="5" t="str">
        <f t="shared" si="24"/>
        <v>Neurology</v>
      </c>
      <c r="R147" s="6" t="str">
        <f t="shared" si="25"/>
        <v>Fortis</v>
      </c>
      <c r="S147" s="6" t="str">
        <f t="shared" si="26"/>
        <v>UPI</v>
      </c>
      <c r="T147" s="6" t="str">
        <f t="shared" si="27"/>
        <v>Female</v>
      </c>
      <c r="U147" s="6" t="str">
        <f t="shared" si="30"/>
        <v>General</v>
      </c>
      <c r="V147" s="6" t="str" cm="1">
        <f t="array" ref="V147">IF(TRIM(S147)="",INDEX($S$2:$S$1500,MATCH(MAX(COUNTIF($S$2:$S$1500,S147)),COUNTIF($S$2:$S$1500,$S$2:$S$1500),0)),S147)</f>
        <v>UPI</v>
      </c>
      <c r="W147" s="7" cm="1">
        <f t="array" ref="W147">IF(OR(TRIM(K147)="",TRIM(K147)="-"), MEDIAN(IF($E$2:$E$1500=E147,$K$2:$K$1500)),  VALUE(SUBSTITUTE(SUBSTITUTE(SUBSTITUTE(K147,"Rs. ",""),"₹",""),",","")))</f>
        <v>10870</v>
      </c>
      <c r="X147" s="8">
        <f t="shared" si="28"/>
        <v>10</v>
      </c>
      <c r="Y147" s="7">
        <f t="shared" si="29"/>
        <v>9783</v>
      </c>
      <c r="Z147" s="9" t="str">
        <f t="shared" si="21"/>
        <v>SENIOR</v>
      </c>
    </row>
    <row r="148" spans="1:26" x14ac:dyDescent="0.3">
      <c r="A148" s="5" t="s">
        <v>476</v>
      </c>
      <c r="B148" s="5" t="s">
        <v>25</v>
      </c>
      <c r="C148" s="5" t="s">
        <v>26</v>
      </c>
      <c r="D148" s="5" t="s">
        <v>36</v>
      </c>
      <c r="E148" s="5" t="s">
        <v>28</v>
      </c>
      <c r="F148" s="5" t="s">
        <v>268</v>
      </c>
      <c r="G148" s="5" t="s">
        <v>19</v>
      </c>
      <c r="H148" s="5">
        <v>77</v>
      </c>
      <c r="I148" s="5" t="s">
        <v>40</v>
      </c>
      <c r="J148" s="34" t="s">
        <v>477</v>
      </c>
      <c r="K148" s="31" t="s">
        <v>478</v>
      </c>
      <c r="L148" s="5" t="s">
        <v>23</v>
      </c>
      <c r="M148" s="32">
        <v>0</v>
      </c>
      <c r="N148" s="6">
        <f t="shared" si="22"/>
        <v>0</v>
      </c>
      <c r="O148" s="4" t="s">
        <v>268</v>
      </c>
      <c r="P148" s="5" t="str">
        <f t="shared" si="23"/>
        <v>Chennai</v>
      </c>
      <c r="Q148" s="5" t="str">
        <f t="shared" si="24"/>
        <v>Oncology</v>
      </c>
      <c r="R148" s="6" t="str">
        <f t="shared" si="25"/>
        <v>Narayana</v>
      </c>
      <c r="S148" s="6" t="str">
        <f t="shared" si="26"/>
        <v>Credit Card</v>
      </c>
      <c r="T148" s="6" t="str">
        <f t="shared" si="27"/>
        <v>Female</v>
      </c>
      <c r="U148" s="6" t="str">
        <f t="shared" si="30"/>
        <v>General</v>
      </c>
      <c r="V148" s="6" t="str" cm="1">
        <f t="array" ref="V148">IF(TRIM(S148)="",INDEX($S$2:$S$1500,MATCH(MAX(COUNTIF($S$2:$S$1500,S148)),COUNTIF($S$2:$S$1500,$S$2:$S$1500),0)),S148)</f>
        <v>Credit Card</v>
      </c>
      <c r="W148" s="7" cm="1">
        <f t="array" ref="W148">IF(OR(TRIM(K148)="",TRIM(K148)="-"), MEDIAN(IF($E$2:$E$1500=E148,$K$2:$K$1500)),  VALUE(SUBSTITUTE(SUBSTITUTE(SUBSTITUTE(K148,"Rs. ",""),"₹",""),",","")))</f>
        <v>15058</v>
      </c>
      <c r="X148" s="8">
        <f t="shared" si="28"/>
        <v>0</v>
      </c>
      <c r="Y148" s="7">
        <f t="shared" si="29"/>
        <v>15058</v>
      </c>
      <c r="Z148" s="9" t="str">
        <f t="shared" si="21"/>
        <v>SENIOR</v>
      </c>
    </row>
    <row r="149" spans="1:26" x14ac:dyDescent="0.3">
      <c r="A149" s="5" t="s">
        <v>479</v>
      </c>
      <c r="B149" s="5" t="s">
        <v>14</v>
      </c>
      <c r="C149" s="5" t="s">
        <v>60</v>
      </c>
      <c r="D149" s="5" t="s">
        <v>61</v>
      </c>
      <c r="E149" s="5" t="s">
        <v>164</v>
      </c>
      <c r="F149" s="5" t="s">
        <v>219</v>
      </c>
      <c r="G149" s="5" t="s">
        <v>39</v>
      </c>
      <c r="H149" s="5">
        <v>89</v>
      </c>
      <c r="I149" s="5" t="s">
        <v>40</v>
      </c>
      <c r="J149" s="34" t="s">
        <v>480</v>
      </c>
      <c r="K149" s="31" t="s">
        <v>481</v>
      </c>
      <c r="L149" s="5" t="s">
        <v>115</v>
      </c>
      <c r="M149" s="32">
        <v>0</v>
      </c>
      <c r="N149" s="6">
        <f t="shared" si="22"/>
        <v>0</v>
      </c>
      <c r="O149" s="4" t="s">
        <v>219</v>
      </c>
      <c r="P149" s="5" t="str">
        <f t="shared" si="23"/>
        <v>Pune</v>
      </c>
      <c r="Q149" s="5" t="str">
        <f t="shared" si="24"/>
        <v>Cardiology</v>
      </c>
      <c r="R149" s="6" t="str">
        <f t="shared" si="25"/>
        <v>Max_Healthcare</v>
      </c>
      <c r="S149" s="6" t="str">
        <f t="shared" si="26"/>
        <v>Cash</v>
      </c>
      <c r="T149" s="6" t="str">
        <f t="shared" si="27"/>
        <v>Female</v>
      </c>
      <c r="U149" s="6" t="str">
        <f t="shared" si="30"/>
        <v>General</v>
      </c>
      <c r="V149" s="6" t="str" cm="1">
        <f t="array" ref="V149">IF(TRIM(S149)="",INDEX($S$2:$S$1500,MATCH(MAX(COUNTIF($S$2:$S$1500,S149)),COUNTIF($S$2:$S$1500,$S$2:$S$1500),0)),S149)</f>
        <v>Cash</v>
      </c>
      <c r="W149" s="7" cm="1">
        <f t="array" ref="W149">IF(OR(TRIM(K149)="",TRIM(K149)="-"), MEDIAN(IF($E$2:$E$1500=E149,$K$2:$K$1500)),  VALUE(SUBSTITUTE(SUBSTITUTE(SUBSTITUTE(K149,"Rs. ",""),"₹",""),",","")))</f>
        <v>10587</v>
      </c>
      <c r="X149" s="8">
        <f t="shared" si="28"/>
        <v>0</v>
      </c>
      <c r="Y149" s="7">
        <f t="shared" si="29"/>
        <v>10587</v>
      </c>
      <c r="Z149" s="9" t="str">
        <f t="shared" si="21"/>
        <v>SENIOR</v>
      </c>
    </row>
    <row r="150" spans="1:26" x14ac:dyDescent="0.3">
      <c r="A150" s="5" t="s">
        <v>482</v>
      </c>
      <c r="B150" s="5" t="s">
        <v>45</v>
      </c>
      <c r="C150" s="5" t="s">
        <v>46</v>
      </c>
      <c r="D150" s="5" t="s">
        <v>27</v>
      </c>
      <c r="E150" s="5" t="s">
        <v>74</v>
      </c>
      <c r="F150" s="5" t="s">
        <v>75</v>
      </c>
      <c r="G150" s="5" t="s">
        <v>49</v>
      </c>
      <c r="H150" s="5">
        <v>37</v>
      </c>
      <c r="I150" s="5" t="s">
        <v>20</v>
      </c>
      <c r="J150" s="34" t="s">
        <v>483</v>
      </c>
      <c r="K150" s="31">
        <v>18219</v>
      </c>
      <c r="L150" s="5" t="s">
        <v>167</v>
      </c>
      <c r="M150" s="32" t="s">
        <v>140</v>
      </c>
      <c r="N150" s="6" t="str">
        <f t="shared" si="22"/>
        <v>-</v>
      </c>
      <c r="O150" s="4" t="s">
        <v>75</v>
      </c>
      <c r="P150" s="5" t="str">
        <f t="shared" si="23"/>
        <v>Mumbai</v>
      </c>
      <c r="Q150" s="5" t="str">
        <f t="shared" si="24"/>
        <v>General Medicine</v>
      </c>
      <c r="R150" s="6" t="str">
        <f t="shared" si="25"/>
        <v>Fortis</v>
      </c>
      <c r="S150" s="6" t="str">
        <f t="shared" si="26"/>
        <v>Insurance</v>
      </c>
      <c r="T150" s="6" t="str">
        <f t="shared" si="27"/>
        <v>Male</v>
      </c>
      <c r="U150" s="6" t="str">
        <f t="shared" si="30"/>
        <v>General</v>
      </c>
      <c r="V150" s="6" t="str" cm="1">
        <f t="array" ref="V150">IF(TRIM(S150)="",INDEX($S$2:$S$1500,MATCH(MAX(COUNTIF($S$2:$S$1500,S150)),COUNTIF($S$2:$S$1500,$S$2:$S$1500),0)),S150)</f>
        <v>Insurance</v>
      </c>
      <c r="W150" s="7" cm="1">
        <f t="array" ref="W150">IF(OR(TRIM(K150)="",TRIM(K150)="-"), MEDIAN(IF($E$2:$E$1500=E150,$K$2:$K$1500)),  VALUE(SUBSTITUTE(SUBSTITUTE(SUBSTITUTE(K150,"Rs. ",""),"₹",""),",","")))</f>
        <v>18219</v>
      </c>
      <c r="X150" s="8">
        <f t="shared" si="28"/>
        <v>19</v>
      </c>
      <c r="Y150" s="7">
        <f t="shared" si="29"/>
        <v>14757</v>
      </c>
      <c r="Z150" s="9" t="str">
        <f t="shared" si="21"/>
        <v>ADULT</v>
      </c>
    </row>
    <row r="151" spans="1:26" x14ac:dyDescent="0.3">
      <c r="A151" s="5" t="s">
        <v>484</v>
      </c>
      <c r="B151" s="5" t="s">
        <v>106</v>
      </c>
      <c r="C151" s="5" t="s">
        <v>107</v>
      </c>
      <c r="D151" s="5" t="s">
        <v>55</v>
      </c>
      <c r="E151" s="5" t="s">
        <v>17</v>
      </c>
      <c r="F151" s="5" t="s">
        <v>18</v>
      </c>
      <c r="G151" s="5" t="s">
        <v>30</v>
      </c>
      <c r="H151" s="5">
        <v>52</v>
      </c>
      <c r="I151" s="5" t="s">
        <v>20</v>
      </c>
      <c r="J151" s="34" t="s">
        <v>485</v>
      </c>
      <c r="K151" s="31" t="s">
        <v>486</v>
      </c>
      <c r="L151" s="5" t="s">
        <v>167</v>
      </c>
      <c r="M151" s="32" t="s">
        <v>198</v>
      </c>
      <c r="N151" s="6">
        <f t="shared" si="22"/>
        <v>5</v>
      </c>
      <c r="O151" s="4" t="s">
        <v>18</v>
      </c>
      <c r="P151" s="5" t="str">
        <f t="shared" si="23"/>
        <v>Hyderabad</v>
      </c>
      <c r="Q151" s="5" t="str">
        <f t="shared" si="24"/>
        <v>Gynecology</v>
      </c>
      <c r="R151" s="6" t="str">
        <f t="shared" si="25"/>
        <v>Aiims</v>
      </c>
      <c r="S151" s="6" t="str">
        <f t="shared" si="26"/>
        <v>Insurance</v>
      </c>
      <c r="T151" s="6" t="str">
        <f t="shared" si="27"/>
        <v>Male</v>
      </c>
      <c r="U151" s="6" t="str">
        <f t="shared" si="30"/>
        <v>General</v>
      </c>
      <c r="V151" s="6" t="str" cm="1">
        <f t="array" ref="V151">IF(TRIM(S151)="",INDEX($S$2:$S$1500,MATCH(MAX(COUNTIF($S$2:$S$1500,S151)),COUNTIF($S$2:$S$1500,$S$2:$S$1500),0)),S151)</f>
        <v>Insurance</v>
      </c>
      <c r="W151" s="7" cm="1">
        <f t="array" ref="W151">IF(OR(TRIM(K151)="",TRIM(K151)="-"), MEDIAN(IF($E$2:$E$1500=E151,$K$2:$K$1500)),  VALUE(SUBSTITUTE(SUBSTITUTE(SUBSTITUTE(K151,"Rs. ",""),"₹",""),",","")))</f>
        <v>6201</v>
      </c>
      <c r="X151" s="8">
        <f t="shared" si="28"/>
        <v>5</v>
      </c>
      <c r="Y151" s="7">
        <f t="shared" si="29"/>
        <v>5891</v>
      </c>
      <c r="Z151" s="9" t="str">
        <f t="shared" si="21"/>
        <v>ADULT</v>
      </c>
    </row>
    <row r="152" spans="1:26" x14ac:dyDescent="0.3">
      <c r="A152" s="5" t="s">
        <v>487</v>
      </c>
      <c r="B152" s="5" t="s">
        <v>117</v>
      </c>
      <c r="C152" s="5" t="s">
        <v>118</v>
      </c>
      <c r="D152" s="5" t="s">
        <v>36</v>
      </c>
      <c r="E152" s="5" t="s">
        <v>74</v>
      </c>
      <c r="F152" s="5" t="s">
        <v>172</v>
      </c>
      <c r="G152" s="5"/>
      <c r="H152" s="5">
        <v>40</v>
      </c>
      <c r="I152" s="5" t="s">
        <v>70</v>
      </c>
      <c r="J152" s="34" t="s">
        <v>488</v>
      </c>
      <c r="K152" s="31">
        <v>8887</v>
      </c>
      <c r="L152" s="5" t="s">
        <v>211</v>
      </c>
      <c r="M152" s="32">
        <v>5</v>
      </c>
      <c r="N152" s="6">
        <f t="shared" si="22"/>
        <v>5</v>
      </c>
      <c r="O152" s="4" t="s">
        <v>172</v>
      </c>
      <c r="P152" s="5" t="str">
        <f t="shared" si="23"/>
        <v>Chennai</v>
      </c>
      <c r="Q152" s="5" t="str">
        <f t="shared" si="24"/>
        <v>General Medicine</v>
      </c>
      <c r="R152" s="6" t="str">
        <f t="shared" si="25"/>
        <v>Manipal</v>
      </c>
      <c r="S152" s="6" t="str">
        <f t="shared" si="26"/>
        <v>Credit Card</v>
      </c>
      <c r="T152" s="6" t="str">
        <f t="shared" si="27"/>
        <v>Female</v>
      </c>
      <c r="U152" s="6" t="str">
        <f t="shared" si="30"/>
        <v>Unknown</v>
      </c>
      <c r="V152" s="6" t="str" cm="1">
        <f t="array" ref="V152">IF(TRIM(S152)="",INDEX($S$2:$S$1500,MATCH(MAX(COUNTIF($S$2:$S$1500,S152)),COUNTIF($S$2:$S$1500,$S$2:$S$1500),0)),S152)</f>
        <v>Credit Card</v>
      </c>
      <c r="W152" s="7" cm="1">
        <f t="array" ref="W152">IF(OR(TRIM(K152)="",TRIM(K152)="-"), MEDIAN(IF($E$2:$E$1500=E152,$K$2:$K$1500)),  VALUE(SUBSTITUTE(SUBSTITUTE(SUBSTITUTE(K152,"Rs. ",""),"₹",""),",","")))</f>
        <v>8887</v>
      </c>
      <c r="X152" s="8">
        <f t="shared" si="28"/>
        <v>5</v>
      </c>
      <c r="Y152" s="7">
        <f t="shared" si="29"/>
        <v>8443</v>
      </c>
      <c r="Z152" s="9" t="str">
        <f t="shared" si="21"/>
        <v>ADULT</v>
      </c>
    </row>
    <row r="153" spans="1:26" x14ac:dyDescent="0.3">
      <c r="A153" s="5" t="s">
        <v>489</v>
      </c>
      <c r="B153" s="5" t="s">
        <v>78</v>
      </c>
      <c r="C153" s="5" t="s">
        <v>79</v>
      </c>
      <c r="D153" s="5" t="s">
        <v>27</v>
      </c>
      <c r="E153" s="5" t="s">
        <v>74</v>
      </c>
      <c r="F153" s="5" t="s">
        <v>75</v>
      </c>
      <c r="G153" s="5" t="s">
        <v>62</v>
      </c>
      <c r="H153" s="5">
        <v>7</v>
      </c>
      <c r="I153" s="5" t="s">
        <v>40</v>
      </c>
      <c r="J153" s="34" t="s">
        <v>490</v>
      </c>
      <c r="K153" s="31" t="s">
        <v>491</v>
      </c>
      <c r="L153" s="5" t="s">
        <v>58</v>
      </c>
      <c r="M153" s="32" t="s">
        <v>130</v>
      </c>
      <c r="N153" s="6">
        <f t="shared" si="22"/>
        <v>0</v>
      </c>
      <c r="O153" s="4" t="s">
        <v>75</v>
      </c>
      <c r="P153" s="5" t="str">
        <f t="shared" si="23"/>
        <v>Mumbai</v>
      </c>
      <c r="Q153" s="5" t="str">
        <f t="shared" si="24"/>
        <v>General Medicine</v>
      </c>
      <c r="R153" s="6" t="str">
        <f t="shared" si="25"/>
        <v>Apollo</v>
      </c>
      <c r="S153" s="6" t="str">
        <f t="shared" si="26"/>
        <v>UPI</v>
      </c>
      <c r="T153" s="6" t="str">
        <f t="shared" si="27"/>
        <v>Female</v>
      </c>
      <c r="U153" s="6" t="str">
        <f t="shared" si="30"/>
        <v>ICU</v>
      </c>
      <c r="V153" s="6" t="str" cm="1">
        <f t="array" ref="V153">IF(TRIM(S153)="",INDEX($S$2:$S$1500,MATCH(MAX(COUNTIF($S$2:$S$1500,S153)),COUNTIF($S$2:$S$1500,$S$2:$S$1500),0)),S153)</f>
        <v>UPI</v>
      </c>
      <c r="W153" s="7" cm="1">
        <f t="array" ref="W153">IF(OR(TRIM(K153)="",TRIM(K153)="-"), MEDIAN(IF($E$2:$E$1500=E153,$K$2:$K$1500)),  VALUE(SUBSTITUTE(SUBSTITUTE(SUBSTITUTE(K153,"Rs. ",""),"₹",""),",","")))</f>
        <v>34573</v>
      </c>
      <c r="X153" s="8">
        <f t="shared" si="28"/>
        <v>0</v>
      </c>
      <c r="Y153" s="7">
        <f t="shared" si="29"/>
        <v>34573</v>
      </c>
      <c r="Z153" s="9" t="str">
        <f t="shared" si="21"/>
        <v>CHILD</v>
      </c>
    </row>
    <row r="154" spans="1:26" x14ac:dyDescent="0.3">
      <c r="A154" s="5" t="s">
        <v>492</v>
      </c>
      <c r="B154" s="5" t="s">
        <v>106</v>
      </c>
      <c r="C154" s="5" t="s">
        <v>107</v>
      </c>
      <c r="D154" s="5" t="s">
        <v>36</v>
      </c>
      <c r="E154" s="5" t="s">
        <v>74</v>
      </c>
      <c r="F154" s="5" t="s">
        <v>75</v>
      </c>
      <c r="G154" s="5" t="s">
        <v>49</v>
      </c>
      <c r="H154" s="5">
        <v>44</v>
      </c>
      <c r="I154" s="5" t="s">
        <v>70</v>
      </c>
      <c r="J154" s="34" t="s">
        <v>200</v>
      </c>
      <c r="K154" s="31" t="s">
        <v>493</v>
      </c>
      <c r="L154" s="5" t="s">
        <v>115</v>
      </c>
      <c r="M154" s="32">
        <v>10</v>
      </c>
      <c r="N154" s="6">
        <f t="shared" si="22"/>
        <v>10</v>
      </c>
      <c r="O154" s="4" t="s">
        <v>75</v>
      </c>
      <c r="P154" s="5" t="str">
        <f t="shared" si="23"/>
        <v>Chennai</v>
      </c>
      <c r="Q154" s="5" t="str">
        <f t="shared" si="24"/>
        <v>General Medicine</v>
      </c>
      <c r="R154" s="6" t="str">
        <f t="shared" si="25"/>
        <v>Aiims</v>
      </c>
      <c r="S154" s="6" t="str">
        <f t="shared" si="26"/>
        <v>Cash</v>
      </c>
      <c r="T154" s="6" t="str">
        <f t="shared" si="27"/>
        <v>Female</v>
      </c>
      <c r="U154" s="6" t="str">
        <f t="shared" si="30"/>
        <v>General</v>
      </c>
      <c r="V154" s="6" t="str" cm="1">
        <f t="array" ref="V154">IF(TRIM(S154)="",INDEX($S$2:$S$1500,MATCH(MAX(COUNTIF($S$2:$S$1500,S154)),COUNTIF($S$2:$S$1500,$S$2:$S$1500),0)),S154)</f>
        <v>Cash</v>
      </c>
      <c r="W154" s="7" cm="1">
        <f t="array" ref="W154">IF(OR(TRIM(K154)="",TRIM(K154)="-"), MEDIAN(IF($E$2:$E$1500=E154,$K$2:$K$1500)),  VALUE(SUBSTITUTE(SUBSTITUTE(SUBSTITUTE(K154,"Rs. ",""),"₹",""),",","")))</f>
        <v>17836</v>
      </c>
      <c r="X154" s="8">
        <f t="shared" si="28"/>
        <v>10</v>
      </c>
      <c r="Y154" s="7">
        <f t="shared" si="29"/>
        <v>16052</v>
      </c>
      <c r="Z154" s="9" t="str">
        <f t="shared" si="21"/>
        <v>ADULT</v>
      </c>
    </row>
    <row r="155" spans="1:26" x14ac:dyDescent="0.3">
      <c r="A155" s="5" t="s">
        <v>494</v>
      </c>
      <c r="B155" s="5" t="s">
        <v>117</v>
      </c>
      <c r="C155" s="5" t="s">
        <v>118</v>
      </c>
      <c r="D155" s="5" t="s">
        <v>36</v>
      </c>
      <c r="E155" s="5" t="s">
        <v>164</v>
      </c>
      <c r="F155" s="5" t="s">
        <v>233</v>
      </c>
      <c r="G155" s="5" t="s">
        <v>30</v>
      </c>
      <c r="H155" s="5">
        <v>70</v>
      </c>
      <c r="I155" s="5" t="s">
        <v>20</v>
      </c>
      <c r="J155" s="34" t="s">
        <v>416</v>
      </c>
      <c r="K155" s="31" t="s">
        <v>495</v>
      </c>
      <c r="L155" s="5" t="s">
        <v>115</v>
      </c>
      <c r="M155" s="32" t="s">
        <v>64</v>
      </c>
      <c r="N155" s="6" t="str">
        <f t="shared" si="22"/>
        <v>NA</v>
      </c>
      <c r="O155" s="4" t="s">
        <v>233</v>
      </c>
      <c r="P155" s="5" t="str">
        <f t="shared" si="23"/>
        <v>Chennai</v>
      </c>
      <c r="Q155" s="5" t="str">
        <f t="shared" si="24"/>
        <v>Cardiology</v>
      </c>
      <c r="R155" s="6" t="str">
        <f t="shared" si="25"/>
        <v>Manipal</v>
      </c>
      <c r="S155" s="6" t="str">
        <f t="shared" si="26"/>
        <v>Cash</v>
      </c>
      <c r="T155" s="6" t="str">
        <f t="shared" si="27"/>
        <v>Male</v>
      </c>
      <c r="U155" s="6" t="str">
        <f t="shared" si="30"/>
        <v>General</v>
      </c>
      <c r="V155" s="6" t="str" cm="1">
        <f t="array" ref="V155">IF(TRIM(S155)="",INDEX($S$2:$S$1500,MATCH(MAX(COUNTIF($S$2:$S$1500,S155)),COUNTIF($S$2:$S$1500,$S$2:$S$1500),0)),S155)</f>
        <v>Cash</v>
      </c>
      <c r="W155" s="7" cm="1">
        <f t="array" ref="W155">IF(OR(TRIM(K155)="",TRIM(K155)="-"), MEDIAN(IF($E$2:$E$1500=E155,$K$2:$K$1500)),  VALUE(SUBSTITUTE(SUBSTITUTE(SUBSTITUTE(K155,"Rs. ",""),"₹",""),",","")))</f>
        <v>4945</v>
      </c>
      <c r="X155" s="8">
        <f t="shared" si="28"/>
        <v>3</v>
      </c>
      <c r="Y155" s="7">
        <f t="shared" si="29"/>
        <v>4797</v>
      </c>
      <c r="Z155" s="9" t="str">
        <f t="shared" si="21"/>
        <v>SENIOR</v>
      </c>
    </row>
    <row r="156" spans="1:26" x14ac:dyDescent="0.3">
      <c r="A156" s="5" t="s">
        <v>496</v>
      </c>
      <c r="B156" s="5" t="s">
        <v>117</v>
      </c>
      <c r="C156" s="5" t="s">
        <v>182</v>
      </c>
      <c r="D156" s="5" t="s">
        <v>80</v>
      </c>
      <c r="E156" s="5" t="s">
        <v>28</v>
      </c>
      <c r="F156" s="5" t="s">
        <v>290</v>
      </c>
      <c r="G156" s="5" t="s">
        <v>30</v>
      </c>
      <c r="H156" s="5">
        <v>83</v>
      </c>
      <c r="I156" s="5" t="s">
        <v>20</v>
      </c>
      <c r="J156" s="34" t="s">
        <v>497</v>
      </c>
      <c r="K156" s="31" t="s">
        <v>498</v>
      </c>
      <c r="L156" s="5" t="s">
        <v>91</v>
      </c>
      <c r="M156" s="32">
        <v>0</v>
      </c>
      <c r="N156" s="6">
        <f t="shared" si="22"/>
        <v>0</v>
      </c>
      <c r="O156" s="4" t="s">
        <v>290</v>
      </c>
      <c r="P156" s="5" t="str">
        <f t="shared" si="23"/>
        <v>Ahmedabad</v>
      </c>
      <c r="Q156" s="5" t="str">
        <f t="shared" si="24"/>
        <v>Oncology</v>
      </c>
      <c r="R156" s="6" t="str">
        <f t="shared" si="25"/>
        <v>Manipal</v>
      </c>
      <c r="S156" s="6" t="str">
        <f t="shared" si="26"/>
        <v>Debit Card</v>
      </c>
      <c r="T156" s="6" t="str">
        <f t="shared" si="27"/>
        <v>Male</v>
      </c>
      <c r="U156" s="6" t="str">
        <f t="shared" si="30"/>
        <v>General</v>
      </c>
      <c r="V156" s="6" t="str" cm="1">
        <f t="array" ref="V156">IF(TRIM(S156)="",INDEX($S$2:$S$1500,MATCH(MAX(COUNTIF($S$2:$S$1500,S156)),COUNTIF($S$2:$S$1500,$S$2:$S$1500),0)),S156)</f>
        <v>Debit Card</v>
      </c>
      <c r="W156" s="7" cm="1">
        <f t="array" ref="W156">IF(OR(TRIM(K156)="",TRIM(K156)="-"), MEDIAN(IF($E$2:$E$1500=E156,$K$2:$K$1500)),  VALUE(SUBSTITUTE(SUBSTITUTE(SUBSTITUTE(K156,"Rs. ",""),"₹",""),",","")))</f>
        <v>12809</v>
      </c>
      <c r="X156" s="8">
        <f t="shared" si="28"/>
        <v>0</v>
      </c>
      <c r="Y156" s="7">
        <f t="shared" si="29"/>
        <v>12809</v>
      </c>
      <c r="Z156" s="9" t="str">
        <f t="shared" si="21"/>
        <v>SENIOR</v>
      </c>
    </row>
    <row r="157" spans="1:26" x14ac:dyDescent="0.3">
      <c r="A157" s="5" t="s">
        <v>499</v>
      </c>
      <c r="B157" s="5" t="s">
        <v>117</v>
      </c>
      <c r="C157" s="5" t="s">
        <v>118</v>
      </c>
      <c r="D157" s="5" t="s">
        <v>16</v>
      </c>
      <c r="E157" s="5" t="s">
        <v>67</v>
      </c>
      <c r="F157" s="5" t="s">
        <v>68</v>
      </c>
      <c r="G157" s="5" t="s">
        <v>101</v>
      </c>
      <c r="H157" s="5">
        <v>15</v>
      </c>
      <c r="I157" s="5" t="s">
        <v>70</v>
      </c>
      <c r="J157" s="34" t="s">
        <v>500</v>
      </c>
      <c r="K157" s="31" t="s">
        <v>501</v>
      </c>
      <c r="L157" s="5" t="s">
        <v>34</v>
      </c>
      <c r="M157" s="32" t="s">
        <v>140</v>
      </c>
      <c r="N157" s="6" t="str">
        <f t="shared" si="22"/>
        <v>-</v>
      </c>
      <c r="O157" s="4" t="s">
        <v>68</v>
      </c>
      <c r="P157" s="5" t="str">
        <f t="shared" si="23"/>
        <v>Bangalore</v>
      </c>
      <c r="Q157" s="5" t="str">
        <f t="shared" si="24"/>
        <v>Neurology</v>
      </c>
      <c r="R157" s="6" t="str">
        <f t="shared" si="25"/>
        <v>Manipal</v>
      </c>
      <c r="S157" s="6" t="str">
        <f t="shared" si="26"/>
        <v>Cash</v>
      </c>
      <c r="T157" s="6" t="str">
        <f t="shared" si="27"/>
        <v>Female</v>
      </c>
      <c r="U157" s="6" t="str">
        <f t="shared" si="30"/>
        <v>ICU</v>
      </c>
      <c r="V157" s="6" t="str" cm="1">
        <f t="array" ref="V157">IF(TRIM(S157)="",INDEX($S$2:$S$1500,MATCH(MAX(COUNTIF($S$2:$S$1500,S157)),COUNTIF($S$2:$S$1500,$S$2:$S$1500),0)),S157)</f>
        <v>Cash</v>
      </c>
      <c r="W157" s="7" cm="1">
        <f t="array" ref="W157">IF(OR(TRIM(K157)="",TRIM(K157)="-"), MEDIAN(IF($E$2:$E$1500=E157,$K$2:$K$1500)),  VALUE(SUBSTITUTE(SUBSTITUTE(SUBSTITUTE(K157,"Rs. ",""),"₹",""),",","")))</f>
        <v>21621</v>
      </c>
      <c r="X157" s="8">
        <f t="shared" si="28"/>
        <v>3</v>
      </c>
      <c r="Y157" s="7">
        <f t="shared" si="29"/>
        <v>20972</v>
      </c>
      <c r="Z157" s="9" t="str">
        <f t="shared" si="21"/>
        <v>TEEN</v>
      </c>
    </row>
    <row r="158" spans="1:26" x14ac:dyDescent="0.3">
      <c r="A158" s="5" t="s">
        <v>502</v>
      </c>
      <c r="B158" s="5" t="s">
        <v>117</v>
      </c>
      <c r="C158" s="5" t="s">
        <v>118</v>
      </c>
      <c r="D158" s="5" t="s">
        <v>27</v>
      </c>
      <c r="E158" s="5" t="s">
        <v>67</v>
      </c>
      <c r="F158" s="5" t="s">
        <v>85</v>
      </c>
      <c r="G158" s="5" t="s">
        <v>19</v>
      </c>
      <c r="H158" s="5">
        <v>22</v>
      </c>
      <c r="I158" s="5" t="s">
        <v>31</v>
      </c>
      <c r="J158" s="34" t="s">
        <v>503</v>
      </c>
      <c r="K158" s="31"/>
      <c r="L158" s="5" t="s">
        <v>97</v>
      </c>
      <c r="M158" s="32">
        <v>0</v>
      </c>
      <c r="N158" s="6">
        <f t="shared" si="22"/>
        <v>0</v>
      </c>
      <c r="O158" s="4" t="s">
        <v>85</v>
      </c>
      <c r="P158" s="5" t="str">
        <f t="shared" si="23"/>
        <v>Mumbai</v>
      </c>
      <c r="Q158" s="5" t="str">
        <f t="shared" si="24"/>
        <v>Neurology</v>
      </c>
      <c r="R158" s="6" t="str">
        <f t="shared" si="25"/>
        <v>Manipal</v>
      </c>
      <c r="S158" s="6" t="str">
        <f t="shared" si="26"/>
        <v>UPI</v>
      </c>
      <c r="T158" s="6" t="str">
        <f t="shared" si="27"/>
        <v>Male</v>
      </c>
      <c r="U158" s="6" t="str">
        <f t="shared" si="30"/>
        <v>General</v>
      </c>
      <c r="V158" s="6" t="str" cm="1">
        <f t="array" ref="V158">IF(TRIM(S158)="",INDEX($S$2:$S$1500,MATCH(MAX(COUNTIF($S$2:$S$1500,S158)),COUNTIF($S$2:$S$1500,$S$2:$S$1500),0)),S158)</f>
        <v>UPI</v>
      </c>
      <c r="W158" s="7" cm="1">
        <f t="array" ref="W158">IF(OR(TRIM(K158)="",TRIM(K158)="-"), MEDIAN(IF($E$2:$E$1500=E158,$K$2:$K$1500)),  VALUE(SUBSTITUTE(SUBSTITUTE(SUBSTITUTE(K158,"Rs. ",""),"₹",""),",","")))</f>
        <v>13353</v>
      </c>
      <c r="X158" s="8">
        <f t="shared" si="28"/>
        <v>0</v>
      </c>
      <c r="Y158" s="7">
        <f t="shared" si="29"/>
        <v>13353</v>
      </c>
      <c r="Z158" s="9" t="str">
        <f t="shared" si="21"/>
        <v>ADULT</v>
      </c>
    </row>
    <row r="159" spans="1:26" x14ac:dyDescent="0.3">
      <c r="A159" s="5" t="s">
        <v>504</v>
      </c>
      <c r="B159" s="5" t="s">
        <v>78</v>
      </c>
      <c r="C159" s="5" t="s">
        <v>79</v>
      </c>
      <c r="D159" s="5" t="s">
        <v>80</v>
      </c>
      <c r="E159" s="5" t="s">
        <v>17</v>
      </c>
      <c r="F159" s="5" t="s">
        <v>169</v>
      </c>
      <c r="G159" s="5" t="s">
        <v>39</v>
      </c>
      <c r="H159" s="5">
        <v>46</v>
      </c>
      <c r="I159" s="5" t="s">
        <v>20</v>
      </c>
      <c r="J159" s="34" t="s">
        <v>505</v>
      </c>
      <c r="K159" s="31">
        <v>12370</v>
      </c>
      <c r="L159" s="5" t="s">
        <v>83</v>
      </c>
      <c r="M159" s="32"/>
      <c r="N159" s="6">
        <f t="shared" si="22"/>
        <v>0</v>
      </c>
      <c r="O159" s="4" t="s">
        <v>169</v>
      </c>
      <c r="P159" s="5" t="str">
        <f t="shared" si="23"/>
        <v>Ahmedabad</v>
      </c>
      <c r="Q159" s="5" t="str">
        <f t="shared" si="24"/>
        <v>Gynecology</v>
      </c>
      <c r="R159" s="6" t="str">
        <f t="shared" si="25"/>
        <v>Apollo</v>
      </c>
      <c r="S159" s="6" t="str">
        <f t="shared" si="26"/>
        <v>Debit Card</v>
      </c>
      <c r="T159" s="6" t="str">
        <f t="shared" si="27"/>
        <v>Male</v>
      </c>
      <c r="U159" s="6" t="str">
        <f t="shared" si="30"/>
        <v>General</v>
      </c>
      <c r="V159" s="6" t="str" cm="1">
        <f t="array" ref="V159">IF(TRIM(S159)="",INDEX($S$2:$S$1500,MATCH(MAX(COUNTIF($S$2:$S$1500,S159)),COUNTIF($S$2:$S$1500,$S$2:$S$1500),0)),S159)</f>
        <v>Debit Card</v>
      </c>
      <c r="W159" s="7" cm="1">
        <f t="array" ref="W159">IF(OR(TRIM(K159)="",TRIM(K159)="-"), MEDIAN(IF($E$2:$E$1500=E159,$K$2:$K$1500)),  VALUE(SUBSTITUTE(SUBSTITUTE(SUBSTITUTE(K159,"Rs. ",""),"₹",""),",","")))</f>
        <v>12370</v>
      </c>
      <c r="X159" s="8">
        <f t="shared" si="28"/>
        <v>0</v>
      </c>
      <c r="Y159" s="7">
        <f t="shared" si="29"/>
        <v>12370</v>
      </c>
      <c r="Z159" s="9" t="str">
        <f t="shared" si="21"/>
        <v>ADULT</v>
      </c>
    </row>
    <row r="160" spans="1:26" x14ac:dyDescent="0.3">
      <c r="A160" s="5" t="s">
        <v>506</v>
      </c>
      <c r="B160" s="5" t="s">
        <v>78</v>
      </c>
      <c r="C160" s="5" t="s">
        <v>203</v>
      </c>
      <c r="D160" s="5" t="s">
        <v>61</v>
      </c>
      <c r="E160" s="5" t="s">
        <v>67</v>
      </c>
      <c r="F160" s="5" t="s">
        <v>85</v>
      </c>
      <c r="G160" s="5" t="s">
        <v>30</v>
      </c>
      <c r="H160" s="5">
        <v>14</v>
      </c>
      <c r="I160" s="5" t="s">
        <v>70</v>
      </c>
      <c r="J160" s="34" t="s">
        <v>507</v>
      </c>
      <c r="K160" s="31">
        <v>13169</v>
      </c>
      <c r="L160" s="5" t="s">
        <v>34</v>
      </c>
      <c r="M160" s="32" t="s">
        <v>130</v>
      </c>
      <c r="N160" s="6">
        <f t="shared" si="22"/>
        <v>0</v>
      </c>
      <c r="O160" s="4" t="s">
        <v>85</v>
      </c>
      <c r="P160" s="5" t="str">
        <f t="shared" si="23"/>
        <v>Pune</v>
      </c>
      <c r="Q160" s="5" t="str">
        <f t="shared" si="24"/>
        <v>Neurology</v>
      </c>
      <c r="R160" s="6" t="str">
        <f t="shared" si="25"/>
        <v>Apollo</v>
      </c>
      <c r="S160" s="6" t="str">
        <f t="shared" si="26"/>
        <v>Cash</v>
      </c>
      <c r="T160" s="6" t="str">
        <f t="shared" si="27"/>
        <v>Female</v>
      </c>
      <c r="U160" s="6" t="str">
        <f t="shared" si="30"/>
        <v>General</v>
      </c>
      <c r="V160" s="6" t="str" cm="1">
        <f t="array" ref="V160">IF(TRIM(S160)="",INDEX($S$2:$S$1500,MATCH(MAX(COUNTIF($S$2:$S$1500,S160)),COUNTIF($S$2:$S$1500,$S$2:$S$1500),0)),S160)</f>
        <v>Cash</v>
      </c>
      <c r="W160" s="7" cm="1">
        <f t="array" ref="W160">IF(OR(TRIM(K160)="",TRIM(K160)="-"), MEDIAN(IF($E$2:$E$1500=E160,$K$2:$K$1500)),  VALUE(SUBSTITUTE(SUBSTITUTE(SUBSTITUTE(K160,"Rs. ",""),"₹",""),",","")))</f>
        <v>13169</v>
      </c>
      <c r="X160" s="8">
        <f t="shared" si="28"/>
        <v>0</v>
      </c>
      <c r="Y160" s="7">
        <f t="shared" si="29"/>
        <v>13169</v>
      </c>
      <c r="Z160" s="9" t="str">
        <f t="shared" si="21"/>
        <v>TEEN</v>
      </c>
    </row>
    <row r="161" spans="1:26" x14ac:dyDescent="0.3">
      <c r="A161" s="5" t="s">
        <v>508</v>
      </c>
      <c r="B161" s="5" t="s">
        <v>14</v>
      </c>
      <c r="C161" s="5" t="s">
        <v>15</v>
      </c>
      <c r="D161" s="5" t="s">
        <v>66</v>
      </c>
      <c r="E161" s="5" t="s">
        <v>28</v>
      </c>
      <c r="F161" s="5" t="s">
        <v>29</v>
      </c>
      <c r="G161" s="5" t="s">
        <v>49</v>
      </c>
      <c r="H161" s="5">
        <v>7</v>
      </c>
      <c r="I161" s="5" t="s">
        <v>40</v>
      </c>
      <c r="J161" s="34" t="s">
        <v>509</v>
      </c>
      <c r="K161" s="31" t="s">
        <v>510</v>
      </c>
      <c r="L161" s="5" t="s">
        <v>115</v>
      </c>
      <c r="M161" s="32" t="s">
        <v>140</v>
      </c>
      <c r="N161" s="6" t="str">
        <f t="shared" si="22"/>
        <v>-</v>
      </c>
      <c r="O161" s="4" t="s">
        <v>29</v>
      </c>
      <c r="P161" s="5" t="str">
        <f t="shared" si="23"/>
        <v>Kolkata</v>
      </c>
      <c r="Q161" s="5" t="str">
        <f t="shared" si="24"/>
        <v>Oncology</v>
      </c>
      <c r="R161" s="6" t="str">
        <f t="shared" si="25"/>
        <v>Max_Healthcare</v>
      </c>
      <c r="S161" s="6" t="str">
        <f t="shared" si="26"/>
        <v>Cash</v>
      </c>
      <c r="T161" s="6" t="str">
        <f t="shared" si="27"/>
        <v>Female</v>
      </c>
      <c r="U161" s="6" t="str">
        <f t="shared" si="30"/>
        <v>General</v>
      </c>
      <c r="V161" s="6" t="str" cm="1">
        <f t="array" ref="V161">IF(TRIM(S161)="",INDEX($S$2:$S$1500,MATCH(MAX(COUNTIF($S$2:$S$1500,S161)),COUNTIF($S$2:$S$1500,$S$2:$S$1500),0)),S161)</f>
        <v>Cash</v>
      </c>
      <c r="W161" s="7" cm="1">
        <f t="array" ref="W161">IF(OR(TRIM(K161)="",TRIM(K161)="-"), MEDIAN(IF($E$2:$E$1500=E161,$K$2:$K$1500)),  VALUE(SUBSTITUTE(SUBSTITUTE(SUBSTITUTE(K161,"Rs. ",""),"₹",""),",","")))</f>
        <v>16860</v>
      </c>
      <c r="X161" s="8">
        <f t="shared" si="28"/>
        <v>3</v>
      </c>
      <c r="Y161" s="7">
        <f t="shared" si="29"/>
        <v>16354</v>
      </c>
      <c r="Z161" s="9" t="str">
        <f t="shared" si="21"/>
        <v>CHILD</v>
      </c>
    </row>
    <row r="162" spans="1:26" x14ac:dyDescent="0.3">
      <c r="A162" s="5" t="s">
        <v>511</v>
      </c>
      <c r="B162" s="5" t="s">
        <v>45</v>
      </c>
      <c r="C162" s="5" t="s">
        <v>46</v>
      </c>
      <c r="D162" s="5" t="s">
        <v>80</v>
      </c>
      <c r="E162" s="5" t="s">
        <v>17</v>
      </c>
      <c r="F162" s="5" t="s">
        <v>18</v>
      </c>
      <c r="G162" s="5" t="s">
        <v>69</v>
      </c>
      <c r="H162" s="5">
        <v>25</v>
      </c>
      <c r="I162" s="5" t="s">
        <v>40</v>
      </c>
      <c r="J162" s="34" t="s">
        <v>323</v>
      </c>
      <c r="K162" s="31"/>
      <c r="L162" s="5" t="s">
        <v>149</v>
      </c>
      <c r="M162" s="32" t="s">
        <v>240</v>
      </c>
      <c r="N162" s="6">
        <f t="shared" si="22"/>
        <v>12</v>
      </c>
      <c r="O162" s="4" t="s">
        <v>18</v>
      </c>
      <c r="P162" s="5" t="str">
        <f t="shared" si="23"/>
        <v>Ahmedabad</v>
      </c>
      <c r="Q162" s="5" t="str">
        <f t="shared" si="24"/>
        <v>Gynecology</v>
      </c>
      <c r="R162" s="6" t="str">
        <f t="shared" si="25"/>
        <v>Fortis</v>
      </c>
      <c r="S162" s="6" t="str">
        <f t="shared" si="26"/>
        <v>Insurance</v>
      </c>
      <c r="T162" s="6" t="str">
        <f t="shared" si="27"/>
        <v>Female</v>
      </c>
      <c r="U162" s="6" t="str">
        <f t="shared" si="30"/>
        <v>ICU</v>
      </c>
      <c r="V162" s="6" t="str" cm="1">
        <f t="array" ref="V162">IF(TRIM(S162)="",INDEX($S$2:$S$1500,MATCH(MAX(COUNTIF($S$2:$S$1500,S162)),COUNTIF($S$2:$S$1500,$S$2:$S$1500),0)),S162)</f>
        <v>Insurance</v>
      </c>
      <c r="W162" s="7" cm="1">
        <f t="array" ref="W162">IF(OR(TRIM(K162)="",TRIM(K162)="-"), MEDIAN(IF($E$2:$E$1500=E162,$K$2:$K$1500)),  VALUE(SUBSTITUTE(SUBSTITUTE(SUBSTITUTE(K162,"Rs. ",""),"₹",""),",","")))</f>
        <v>16493.5</v>
      </c>
      <c r="X162" s="8">
        <f t="shared" si="28"/>
        <v>12</v>
      </c>
      <c r="Y162" s="7">
        <f t="shared" si="29"/>
        <v>14514</v>
      </c>
      <c r="Z162" s="9" t="str">
        <f t="shared" si="21"/>
        <v>ADULT</v>
      </c>
    </row>
    <row r="163" spans="1:26" x14ac:dyDescent="0.3">
      <c r="A163" s="5" t="s">
        <v>512</v>
      </c>
      <c r="B163" s="5" t="s">
        <v>25</v>
      </c>
      <c r="C163" s="5" t="s">
        <v>54</v>
      </c>
      <c r="D163" s="5" t="s">
        <v>61</v>
      </c>
      <c r="E163" s="5" t="s">
        <v>37</v>
      </c>
      <c r="F163" s="5" t="s">
        <v>38</v>
      </c>
      <c r="G163" s="5" t="s">
        <v>30</v>
      </c>
      <c r="H163" s="5">
        <v>22</v>
      </c>
      <c r="I163" s="5" t="s">
        <v>40</v>
      </c>
      <c r="J163" s="34" t="s">
        <v>513</v>
      </c>
      <c r="K163" s="31" t="s">
        <v>514</v>
      </c>
      <c r="L163" s="5" t="s">
        <v>23</v>
      </c>
      <c r="M163" s="32" t="s">
        <v>64</v>
      </c>
      <c r="N163" s="6" t="str">
        <f t="shared" si="22"/>
        <v>NA</v>
      </c>
      <c r="O163" s="4" t="s">
        <v>38</v>
      </c>
      <c r="P163" s="5" t="str">
        <f t="shared" si="23"/>
        <v>Pune</v>
      </c>
      <c r="Q163" s="5" t="str">
        <f t="shared" si="24"/>
        <v>Pediatrics</v>
      </c>
      <c r="R163" s="6" t="str">
        <f t="shared" si="25"/>
        <v>Narayana</v>
      </c>
      <c r="S163" s="6" t="str">
        <f t="shared" si="26"/>
        <v>Credit Card</v>
      </c>
      <c r="T163" s="6" t="str">
        <f t="shared" si="27"/>
        <v>Female</v>
      </c>
      <c r="U163" s="6" t="str">
        <f t="shared" si="30"/>
        <v>General</v>
      </c>
      <c r="V163" s="6" t="str" cm="1">
        <f t="array" ref="V163">IF(TRIM(S163)="",INDEX($S$2:$S$1500,MATCH(MAX(COUNTIF($S$2:$S$1500,S163)),COUNTIF($S$2:$S$1500,$S$2:$S$1500),0)),S163)</f>
        <v>Credit Card</v>
      </c>
      <c r="W163" s="7" cm="1">
        <f t="array" ref="W163">IF(OR(TRIM(K163)="",TRIM(K163)="-"), MEDIAN(IF($E$2:$E$1500=E163,$K$2:$K$1500)),  VALUE(SUBSTITUTE(SUBSTITUTE(SUBSTITUTE(K163,"Rs. ",""),"₹",""),",","")))</f>
        <v>3137</v>
      </c>
      <c r="X163" s="8">
        <f t="shared" si="28"/>
        <v>3</v>
      </c>
      <c r="Y163" s="7">
        <f t="shared" si="29"/>
        <v>3043</v>
      </c>
      <c r="Z163" s="9" t="str">
        <f t="shared" si="21"/>
        <v>ADULT</v>
      </c>
    </row>
    <row r="164" spans="1:26" x14ac:dyDescent="0.3">
      <c r="A164" s="5" t="s">
        <v>515</v>
      </c>
      <c r="B164" s="5" t="s">
        <v>117</v>
      </c>
      <c r="C164" s="5" t="s">
        <v>182</v>
      </c>
      <c r="D164" s="5" t="s">
        <v>61</v>
      </c>
      <c r="E164" s="5" t="s">
        <v>93</v>
      </c>
      <c r="F164" s="5" t="s">
        <v>121</v>
      </c>
      <c r="G164" s="5" t="s">
        <v>62</v>
      </c>
      <c r="H164" s="5">
        <v>11</v>
      </c>
      <c r="I164" s="5" t="s">
        <v>20</v>
      </c>
      <c r="J164" s="34" t="s">
        <v>323</v>
      </c>
      <c r="K164" s="31">
        <v>63455</v>
      </c>
      <c r="L164" s="5" t="s">
        <v>83</v>
      </c>
      <c r="M164" s="32">
        <v>5</v>
      </c>
      <c r="N164" s="6">
        <f t="shared" si="22"/>
        <v>5</v>
      </c>
      <c r="O164" s="4" t="s">
        <v>121</v>
      </c>
      <c r="P164" s="5" t="str">
        <f t="shared" si="23"/>
        <v>Pune</v>
      </c>
      <c r="Q164" s="5" t="str">
        <f t="shared" si="24"/>
        <v>Nephrology</v>
      </c>
      <c r="R164" s="6" t="str">
        <f t="shared" si="25"/>
        <v>Manipal</v>
      </c>
      <c r="S164" s="6" t="str">
        <f t="shared" si="26"/>
        <v>Debit Card</v>
      </c>
      <c r="T164" s="6" t="str">
        <f t="shared" si="27"/>
        <v>Male</v>
      </c>
      <c r="U164" s="6" t="str">
        <f t="shared" si="30"/>
        <v>ICU</v>
      </c>
      <c r="V164" s="6" t="str" cm="1">
        <f t="array" ref="V164">IF(TRIM(S164)="",INDEX($S$2:$S$1500,MATCH(MAX(COUNTIF($S$2:$S$1500,S164)),COUNTIF($S$2:$S$1500,$S$2:$S$1500),0)),S164)</f>
        <v>Debit Card</v>
      </c>
      <c r="W164" s="7" cm="1">
        <f t="array" ref="W164">IF(OR(TRIM(K164)="",TRIM(K164)="-"), MEDIAN(IF($E$2:$E$1500=E164,$K$2:$K$1500)),  VALUE(SUBSTITUTE(SUBSTITUTE(SUBSTITUTE(K164,"Rs. ",""),"₹",""),",","")))</f>
        <v>63455</v>
      </c>
      <c r="X164" s="8">
        <f t="shared" si="28"/>
        <v>5</v>
      </c>
      <c r="Y164" s="7">
        <f t="shared" si="29"/>
        <v>60282</v>
      </c>
      <c r="Z164" s="9" t="str">
        <f t="shared" si="21"/>
        <v>CHILD</v>
      </c>
    </row>
    <row r="165" spans="1:26" x14ac:dyDescent="0.3">
      <c r="A165" s="5" t="s">
        <v>516</v>
      </c>
      <c r="B165" s="5" t="s">
        <v>14</v>
      </c>
      <c r="C165" s="5" t="s">
        <v>60</v>
      </c>
      <c r="D165" s="5" t="s">
        <v>189</v>
      </c>
      <c r="E165" s="5" t="s">
        <v>28</v>
      </c>
      <c r="F165" s="5" t="s">
        <v>290</v>
      </c>
      <c r="G165" s="5" t="s">
        <v>39</v>
      </c>
      <c r="H165" s="5">
        <v>19</v>
      </c>
      <c r="I165" s="5" t="s">
        <v>70</v>
      </c>
      <c r="J165" s="34" t="s">
        <v>517</v>
      </c>
      <c r="K165" s="31">
        <v>15190</v>
      </c>
      <c r="L165" s="5" t="s">
        <v>23</v>
      </c>
      <c r="M165" s="32" t="s">
        <v>76</v>
      </c>
      <c r="N165" s="6">
        <f t="shared" si="22"/>
        <v>10</v>
      </c>
      <c r="O165" s="4" t="s">
        <v>290</v>
      </c>
      <c r="P165" s="5" t="str">
        <f t="shared" si="23"/>
        <v>Delhi</v>
      </c>
      <c r="Q165" s="5" t="str">
        <f t="shared" si="24"/>
        <v>Oncology</v>
      </c>
      <c r="R165" s="6" t="str">
        <f t="shared" si="25"/>
        <v>Max_Healthcare</v>
      </c>
      <c r="S165" s="6" t="str">
        <f t="shared" si="26"/>
        <v>Credit Card</v>
      </c>
      <c r="T165" s="6" t="str">
        <f t="shared" si="27"/>
        <v>Female</v>
      </c>
      <c r="U165" s="6" t="str">
        <f t="shared" si="30"/>
        <v>General</v>
      </c>
      <c r="V165" s="6" t="str" cm="1">
        <f t="array" ref="V165">IF(TRIM(S165)="",INDEX($S$2:$S$1500,MATCH(MAX(COUNTIF($S$2:$S$1500,S165)),COUNTIF($S$2:$S$1500,$S$2:$S$1500),0)),S165)</f>
        <v>Credit Card</v>
      </c>
      <c r="W165" s="7" cm="1">
        <f t="array" ref="W165">IF(OR(TRIM(K165)="",TRIM(K165)="-"), MEDIAN(IF($E$2:$E$1500=E165,$K$2:$K$1500)),  VALUE(SUBSTITUTE(SUBSTITUTE(SUBSTITUTE(K165,"Rs. ",""),"₹",""),",","")))</f>
        <v>15190</v>
      </c>
      <c r="X165" s="8">
        <f t="shared" si="28"/>
        <v>10</v>
      </c>
      <c r="Y165" s="7">
        <f t="shared" si="29"/>
        <v>13671</v>
      </c>
      <c r="Z165" s="9" t="str">
        <f t="shared" si="21"/>
        <v>TEEN</v>
      </c>
    </row>
    <row r="166" spans="1:26" x14ac:dyDescent="0.3">
      <c r="A166" s="5" t="s">
        <v>518</v>
      </c>
      <c r="B166" s="5" t="s">
        <v>45</v>
      </c>
      <c r="C166" s="5" t="s">
        <v>46</v>
      </c>
      <c r="D166" s="5" t="s">
        <v>16</v>
      </c>
      <c r="E166" s="5" t="s">
        <v>28</v>
      </c>
      <c r="F166" s="5" t="s">
        <v>29</v>
      </c>
      <c r="G166" s="5" t="s">
        <v>39</v>
      </c>
      <c r="H166" s="5">
        <v>25</v>
      </c>
      <c r="I166" s="5" t="s">
        <v>31</v>
      </c>
      <c r="J166" s="34" t="s">
        <v>519</v>
      </c>
      <c r="K166" s="31">
        <v>11242</v>
      </c>
      <c r="L166" s="5" t="s">
        <v>87</v>
      </c>
      <c r="M166" s="32">
        <v>10</v>
      </c>
      <c r="N166" s="6">
        <f t="shared" si="22"/>
        <v>10</v>
      </c>
      <c r="O166" s="4" t="s">
        <v>29</v>
      </c>
      <c r="P166" s="5" t="str">
        <f t="shared" si="23"/>
        <v>Bangalore</v>
      </c>
      <c r="Q166" s="5" t="str">
        <f t="shared" si="24"/>
        <v>Oncology</v>
      </c>
      <c r="R166" s="6" t="str">
        <f t="shared" si="25"/>
        <v>Fortis</v>
      </c>
      <c r="S166" s="6" t="str">
        <f t="shared" si="26"/>
        <v>Credit Card</v>
      </c>
      <c r="T166" s="6" t="str">
        <f t="shared" si="27"/>
        <v>Male</v>
      </c>
      <c r="U166" s="6" t="str">
        <f t="shared" si="30"/>
        <v>General</v>
      </c>
      <c r="V166" s="6" t="str" cm="1">
        <f t="array" ref="V166">IF(TRIM(S166)="",INDEX($S$2:$S$1500,MATCH(MAX(COUNTIF($S$2:$S$1500,S166)),COUNTIF($S$2:$S$1500,$S$2:$S$1500),0)),S166)</f>
        <v>Credit Card</v>
      </c>
      <c r="W166" s="7" cm="1">
        <f t="array" ref="W166">IF(OR(TRIM(K166)="",TRIM(K166)="-"), MEDIAN(IF($E$2:$E$1500=E166,$K$2:$K$1500)),  VALUE(SUBSTITUTE(SUBSTITUTE(SUBSTITUTE(K166,"Rs. ",""),"₹",""),",","")))</f>
        <v>11242</v>
      </c>
      <c r="X166" s="8">
        <f t="shared" si="28"/>
        <v>10</v>
      </c>
      <c r="Y166" s="7">
        <f t="shared" si="29"/>
        <v>10118</v>
      </c>
      <c r="Z166" s="9" t="str">
        <f t="shared" si="21"/>
        <v>ADULT</v>
      </c>
    </row>
    <row r="167" spans="1:26" x14ac:dyDescent="0.3">
      <c r="A167" s="5" t="s">
        <v>520</v>
      </c>
      <c r="B167" s="5" t="s">
        <v>117</v>
      </c>
      <c r="C167" s="5" t="s">
        <v>118</v>
      </c>
      <c r="D167" s="5" t="s">
        <v>27</v>
      </c>
      <c r="E167" s="5" t="s">
        <v>99</v>
      </c>
      <c r="F167" s="5" t="s">
        <v>256</v>
      </c>
      <c r="G167" s="5" t="s">
        <v>62</v>
      </c>
      <c r="H167" s="5">
        <v>15</v>
      </c>
      <c r="I167" s="5" t="s">
        <v>70</v>
      </c>
      <c r="J167" s="34" t="s">
        <v>521</v>
      </c>
      <c r="K167" s="31" t="s">
        <v>522</v>
      </c>
      <c r="L167" s="5" t="s">
        <v>23</v>
      </c>
      <c r="M167" s="32">
        <v>0</v>
      </c>
      <c r="N167" s="6">
        <f t="shared" si="22"/>
        <v>0</v>
      </c>
      <c r="O167" s="4" t="s">
        <v>256</v>
      </c>
      <c r="P167" s="5" t="str">
        <f t="shared" si="23"/>
        <v>Mumbai</v>
      </c>
      <c r="Q167" s="5" t="str">
        <f t="shared" si="24"/>
        <v>Ent</v>
      </c>
      <c r="R167" s="6" t="str">
        <f t="shared" si="25"/>
        <v>Manipal</v>
      </c>
      <c r="S167" s="6" t="str">
        <f t="shared" si="26"/>
        <v>Credit Card</v>
      </c>
      <c r="T167" s="6" t="str">
        <f t="shared" si="27"/>
        <v>Female</v>
      </c>
      <c r="U167" s="6" t="str">
        <f t="shared" si="30"/>
        <v>ICU</v>
      </c>
      <c r="V167" s="6" t="str" cm="1">
        <f t="array" ref="V167">IF(TRIM(S167)="",INDEX($S$2:$S$1500,MATCH(MAX(COUNTIF($S$2:$S$1500,S167)),COUNTIF($S$2:$S$1500,$S$2:$S$1500),0)),S167)</f>
        <v>Credit Card</v>
      </c>
      <c r="W167" s="7" cm="1">
        <f t="array" ref="W167">IF(OR(TRIM(K167)="",TRIM(K167)="-"), MEDIAN(IF($E$2:$E$1500=E167,$K$2:$K$1500)),  VALUE(SUBSTITUTE(SUBSTITUTE(SUBSTITUTE(K167,"Rs. ",""),"₹",""),",","")))</f>
        <v>87522</v>
      </c>
      <c r="X167" s="8">
        <f t="shared" si="28"/>
        <v>0</v>
      </c>
      <c r="Y167" s="7">
        <f t="shared" si="29"/>
        <v>87522</v>
      </c>
      <c r="Z167" s="9" t="str">
        <f t="shared" si="21"/>
        <v>TEEN</v>
      </c>
    </row>
    <row r="168" spans="1:26" x14ac:dyDescent="0.3">
      <c r="A168" s="5" t="s">
        <v>523</v>
      </c>
      <c r="B168" s="5" t="s">
        <v>45</v>
      </c>
      <c r="C168" s="5" t="s">
        <v>334</v>
      </c>
      <c r="D168" s="5" t="s">
        <v>55</v>
      </c>
      <c r="E168" s="5" t="s">
        <v>47</v>
      </c>
      <c r="F168" s="5" t="s">
        <v>461</v>
      </c>
      <c r="G168" s="5" t="s">
        <v>39</v>
      </c>
      <c r="H168" s="5">
        <v>2</v>
      </c>
      <c r="I168" s="5" t="s">
        <v>70</v>
      </c>
      <c r="J168" s="34" t="s">
        <v>524</v>
      </c>
      <c r="K168" s="31" t="s">
        <v>525</v>
      </c>
      <c r="L168" s="5" t="s">
        <v>72</v>
      </c>
      <c r="M168" s="32">
        <v>10</v>
      </c>
      <c r="N168" s="6">
        <f t="shared" si="22"/>
        <v>10</v>
      </c>
      <c r="O168" s="4" t="s">
        <v>461</v>
      </c>
      <c r="P168" s="5" t="str">
        <f t="shared" si="23"/>
        <v>Hyderabad</v>
      </c>
      <c r="Q168" s="5" t="str">
        <f t="shared" si="24"/>
        <v>Gastroenterology</v>
      </c>
      <c r="R168" s="6" t="str">
        <f t="shared" si="25"/>
        <v>Fortis</v>
      </c>
      <c r="S168" s="6" t="str">
        <f t="shared" si="26"/>
        <v>Cash</v>
      </c>
      <c r="T168" s="6" t="str">
        <f t="shared" si="27"/>
        <v>Female</v>
      </c>
      <c r="U168" s="6" t="str">
        <f t="shared" si="30"/>
        <v>General</v>
      </c>
      <c r="V168" s="6" t="str" cm="1">
        <f t="array" ref="V168">IF(TRIM(S168)="",INDEX($S$2:$S$1500,MATCH(MAX(COUNTIF($S$2:$S$1500,S168)),COUNTIF($S$2:$S$1500,$S$2:$S$1500),0)),S168)</f>
        <v>Cash</v>
      </c>
      <c r="W168" s="7" cm="1">
        <f t="array" ref="W168">IF(OR(TRIM(K168)="",TRIM(K168)="-"), MEDIAN(IF($E$2:$E$1500=E168,$K$2:$K$1500)),  VALUE(SUBSTITUTE(SUBSTITUTE(SUBSTITUTE(K168,"Rs. ",""),"₹",""),",","")))</f>
        <v>9983</v>
      </c>
      <c r="X168" s="8">
        <f t="shared" si="28"/>
        <v>10</v>
      </c>
      <c r="Y168" s="7">
        <f t="shared" si="29"/>
        <v>8985</v>
      </c>
      <c r="Z168" s="9" t="str">
        <f t="shared" si="21"/>
        <v>CHILD</v>
      </c>
    </row>
    <row r="169" spans="1:26" x14ac:dyDescent="0.3">
      <c r="A169" s="5" t="s">
        <v>526</v>
      </c>
      <c r="B169" s="5" t="s">
        <v>78</v>
      </c>
      <c r="C169" s="5" t="s">
        <v>161</v>
      </c>
      <c r="D169" s="5" t="s">
        <v>55</v>
      </c>
      <c r="E169" s="5" t="s">
        <v>67</v>
      </c>
      <c r="F169" s="5" t="s">
        <v>85</v>
      </c>
      <c r="G169" s="5" t="s">
        <v>39</v>
      </c>
      <c r="H169" s="5">
        <v>33</v>
      </c>
      <c r="I169" s="5" t="s">
        <v>20</v>
      </c>
      <c r="J169" s="34" t="s">
        <v>527</v>
      </c>
      <c r="K169" s="31" t="s">
        <v>528</v>
      </c>
      <c r="L169" s="5" t="s">
        <v>52</v>
      </c>
      <c r="M169" s="32">
        <v>0</v>
      </c>
      <c r="N169" s="6">
        <f t="shared" si="22"/>
        <v>0</v>
      </c>
      <c r="O169" s="4" t="s">
        <v>85</v>
      </c>
      <c r="P169" s="5" t="str">
        <f t="shared" si="23"/>
        <v>Hyderabad</v>
      </c>
      <c r="Q169" s="5" t="str">
        <f t="shared" si="24"/>
        <v>Neurology</v>
      </c>
      <c r="R169" s="6" t="str">
        <f t="shared" si="25"/>
        <v>Apollo</v>
      </c>
      <c r="S169" s="6" t="str">
        <f t="shared" si="26"/>
        <v>Credit Card</v>
      </c>
      <c r="T169" s="6" t="str">
        <f t="shared" si="27"/>
        <v>Male</v>
      </c>
      <c r="U169" s="6" t="str">
        <f t="shared" si="30"/>
        <v>General</v>
      </c>
      <c r="V169" s="6" t="str" cm="1">
        <f t="array" ref="V169">IF(TRIM(S169)="",INDEX($S$2:$S$1500,MATCH(MAX(COUNTIF($S$2:$S$1500,S169)),COUNTIF($S$2:$S$1500,$S$2:$S$1500),0)),S169)</f>
        <v>Credit Card</v>
      </c>
      <c r="W169" s="7" cm="1">
        <f t="array" ref="W169">IF(OR(TRIM(K169)="",TRIM(K169)="-"), MEDIAN(IF($E$2:$E$1500=E169,$K$2:$K$1500)),  VALUE(SUBSTITUTE(SUBSTITUTE(SUBSTITUTE(K169,"Rs. ",""),"₹",""),",","")))</f>
        <v>15222</v>
      </c>
      <c r="X169" s="8">
        <f t="shared" si="28"/>
        <v>0</v>
      </c>
      <c r="Y169" s="7">
        <f t="shared" si="29"/>
        <v>15222</v>
      </c>
      <c r="Z169" s="9" t="str">
        <f t="shared" si="21"/>
        <v>ADULT</v>
      </c>
    </row>
    <row r="170" spans="1:26" x14ac:dyDescent="0.3">
      <c r="A170" s="5" t="s">
        <v>529</v>
      </c>
      <c r="B170" s="5" t="s">
        <v>14</v>
      </c>
      <c r="C170" s="5" t="s">
        <v>60</v>
      </c>
      <c r="D170" s="5" t="s">
        <v>55</v>
      </c>
      <c r="E170" s="5" t="s">
        <v>47</v>
      </c>
      <c r="F170" s="5" t="s">
        <v>461</v>
      </c>
      <c r="G170" s="5" t="s">
        <v>30</v>
      </c>
      <c r="H170" s="5">
        <v>33</v>
      </c>
      <c r="I170" s="5" t="s">
        <v>20</v>
      </c>
      <c r="J170" s="34" t="s">
        <v>530</v>
      </c>
      <c r="K170" s="31" t="s">
        <v>140</v>
      </c>
      <c r="L170" s="5" t="s">
        <v>87</v>
      </c>
      <c r="M170" s="32" t="s">
        <v>64</v>
      </c>
      <c r="N170" s="6" t="str">
        <f t="shared" si="22"/>
        <v>NA</v>
      </c>
      <c r="O170" s="4" t="s">
        <v>461</v>
      </c>
      <c r="P170" s="5" t="str">
        <f t="shared" si="23"/>
        <v>Hyderabad</v>
      </c>
      <c r="Q170" s="5" t="str">
        <f t="shared" si="24"/>
        <v>Gastroenterology</v>
      </c>
      <c r="R170" s="6" t="str">
        <f t="shared" si="25"/>
        <v>Max_Healthcare</v>
      </c>
      <c r="S170" s="6" t="str">
        <f t="shared" si="26"/>
        <v>Credit Card</v>
      </c>
      <c r="T170" s="6" t="str">
        <f t="shared" si="27"/>
        <v>Male</v>
      </c>
      <c r="U170" s="6" t="str">
        <f t="shared" si="30"/>
        <v>General</v>
      </c>
      <c r="V170" s="6" t="str" cm="1">
        <f t="array" ref="V170">IF(TRIM(S170)="",INDEX($S$2:$S$1500,MATCH(MAX(COUNTIF($S$2:$S$1500,S170)),COUNTIF($S$2:$S$1500,$S$2:$S$1500),0)),S170)</f>
        <v>Credit Card</v>
      </c>
      <c r="W170" s="7" cm="1">
        <f t="array" ref="W170">IF(OR(TRIM(K170)="",TRIM(K170)="-"), MEDIAN(IF($E$2:$E$1500=E170,$K$2:$K$1500)),  VALUE(SUBSTITUTE(SUBSTITUTE(SUBSTITUTE(K170,"Rs. ",""),"₹",""),",","")))</f>
        <v>13312</v>
      </c>
      <c r="X170" s="8">
        <f t="shared" si="28"/>
        <v>3</v>
      </c>
      <c r="Y170" s="7">
        <f t="shared" si="29"/>
        <v>12913</v>
      </c>
      <c r="Z170" s="9" t="str">
        <f t="shared" si="21"/>
        <v>ADULT</v>
      </c>
    </row>
    <row r="171" spans="1:26" x14ac:dyDescent="0.3">
      <c r="A171" s="5" t="s">
        <v>531</v>
      </c>
      <c r="B171" s="5" t="s">
        <v>45</v>
      </c>
      <c r="C171" s="5" t="s">
        <v>46</v>
      </c>
      <c r="D171" s="5" t="s">
        <v>16</v>
      </c>
      <c r="E171" s="5" t="s">
        <v>93</v>
      </c>
      <c r="F171" s="5" t="s">
        <v>94</v>
      </c>
      <c r="G171" s="5" t="s">
        <v>101</v>
      </c>
      <c r="H171" s="5">
        <v>76</v>
      </c>
      <c r="I171" s="5" t="s">
        <v>20</v>
      </c>
      <c r="J171" s="34" t="s">
        <v>532</v>
      </c>
      <c r="K171" s="31">
        <v>55220</v>
      </c>
      <c r="L171" s="5"/>
      <c r="M171" s="32">
        <v>0</v>
      </c>
      <c r="N171" s="6">
        <f t="shared" si="22"/>
        <v>0</v>
      </c>
      <c r="O171" s="4" t="s">
        <v>94</v>
      </c>
      <c r="P171" s="5" t="str">
        <f t="shared" si="23"/>
        <v>Bangalore</v>
      </c>
      <c r="Q171" s="5" t="str">
        <f t="shared" si="24"/>
        <v>Nephrology</v>
      </c>
      <c r="R171" s="6" t="str">
        <f t="shared" si="25"/>
        <v>Fortis</v>
      </c>
      <c r="S171" s="6" t="str">
        <f t="shared" si="26"/>
        <v>Unknown</v>
      </c>
      <c r="T171" s="6" t="str">
        <f t="shared" si="27"/>
        <v>Male</v>
      </c>
      <c r="U171" s="6" t="str">
        <f t="shared" si="30"/>
        <v>ICU</v>
      </c>
      <c r="V171" s="6" t="str" cm="1">
        <f t="array" ref="V171">IF(TRIM(S171)="",INDEX($S$2:$S$1500,MATCH(MAX(COUNTIF($S$2:$S$1500,S171)),COUNTIF($S$2:$S$1500,$S$2:$S$1500),0)),S171)</f>
        <v>Unknown</v>
      </c>
      <c r="W171" s="7" cm="1">
        <f t="array" ref="W171">IF(OR(TRIM(K171)="",TRIM(K171)="-"), MEDIAN(IF($E$2:$E$1500=E171,$K$2:$K$1500)),  VALUE(SUBSTITUTE(SUBSTITUTE(SUBSTITUTE(K171,"Rs. ",""),"₹",""),",","")))</f>
        <v>55220</v>
      </c>
      <c r="X171" s="8">
        <f t="shared" si="28"/>
        <v>0</v>
      </c>
      <c r="Y171" s="7">
        <f t="shared" si="29"/>
        <v>55220</v>
      </c>
      <c r="Z171" s="9" t="str">
        <f t="shared" si="21"/>
        <v>SENIOR</v>
      </c>
    </row>
    <row r="172" spans="1:26" x14ac:dyDescent="0.3">
      <c r="A172" s="5" t="s">
        <v>533</v>
      </c>
      <c r="B172" s="5" t="s">
        <v>78</v>
      </c>
      <c r="C172" s="5" t="s">
        <v>203</v>
      </c>
      <c r="D172" s="5" t="s">
        <v>189</v>
      </c>
      <c r="E172" s="5" t="s">
        <v>108</v>
      </c>
      <c r="F172" s="5" t="s">
        <v>308</v>
      </c>
      <c r="G172" s="5" t="s">
        <v>49</v>
      </c>
      <c r="H172" s="5">
        <v>61</v>
      </c>
      <c r="I172" s="5" t="s">
        <v>40</v>
      </c>
      <c r="J172" s="34" t="s">
        <v>155</v>
      </c>
      <c r="K172" s="31" t="s">
        <v>534</v>
      </c>
      <c r="L172" s="5" t="s">
        <v>91</v>
      </c>
      <c r="M172" s="32" t="s">
        <v>130</v>
      </c>
      <c r="N172" s="6">
        <f t="shared" si="22"/>
        <v>0</v>
      </c>
      <c r="O172" s="4" t="s">
        <v>308</v>
      </c>
      <c r="P172" s="5" t="str">
        <f t="shared" si="23"/>
        <v>Delhi</v>
      </c>
      <c r="Q172" s="5" t="str">
        <f t="shared" si="24"/>
        <v>Orthopedics</v>
      </c>
      <c r="R172" s="6" t="str">
        <f t="shared" si="25"/>
        <v>Apollo</v>
      </c>
      <c r="S172" s="6" t="str">
        <f t="shared" si="26"/>
        <v>Debit Card</v>
      </c>
      <c r="T172" s="6" t="str">
        <f t="shared" si="27"/>
        <v>Female</v>
      </c>
      <c r="U172" s="6" t="str">
        <f t="shared" si="30"/>
        <v>General</v>
      </c>
      <c r="V172" s="6" t="str" cm="1">
        <f t="array" ref="V172">IF(TRIM(S172)="",INDEX($S$2:$S$1500,MATCH(MAX(COUNTIF($S$2:$S$1500,S172)),COUNTIF($S$2:$S$1500,$S$2:$S$1500),0)),S172)</f>
        <v>Debit Card</v>
      </c>
      <c r="W172" s="7" cm="1">
        <f t="array" ref="W172">IF(OR(TRIM(K172)="",TRIM(K172)="-"), MEDIAN(IF($E$2:$E$1500=E172,$K$2:$K$1500)),  VALUE(SUBSTITUTE(SUBSTITUTE(SUBSTITUTE(K172,"Rs. ",""),"₹",""),",","")))</f>
        <v>17699</v>
      </c>
      <c r="X172" s="8">
        <f t="shared" si="28"/>
        <v>0</v>
      </c>
      <c r="Y172" s="7">
        <f t="shared" si="29"/>
        <v>17699</v>
      </c>
      <c r="Z172" s="9" t="str">
        <f t="shared" si="21"/>
        <v>SENIOR</v>
      </c>
    </row>
    <row r="173" spans="1:26" x14ac:dyDescent="0.3">
      <c r="A173" s="5" t="s">
        <v>535</v>
      </c>
      <c r="B173" s="5" t="s">
        <v>45</v>
      </c>
      <c r="C173" s="5" t="s">
        <v>46</v>
      </c>
      <c r="D173" s="5" t="s">
        <v>189</v>
      </c>
      <c r="E173" s="5" t="s">
        <v>28</v>
      </c>
      <c r="F173" s="5" t="s">
        <v>290</v>
      </c>
      <c r="G173" s="5" t="s">
        <v>69</v>
      </c>
      <c r="H173" s="5">
        <v>74</v>
      </c>
      <c r="I173" s="5" t="s">
        <v>40</v>
      </c>
      <c r="J173" s="34" t="s">
        <v>536</v>
      </c>
      <c r="K173" s="31" t="s">
        <v>537</v>
      </c>
      <c r="L173" s="5" t="s">
        <v>23</v>
      </c>
      <c r="M173" s="32" t="s">
        <v>130</v>
      </c>
      <c r="N173" s="6">
        <f t="shared" si="22"/>
        <v>0</v>
      </c>
      <c r="O173" s="4" t="s">
        <v>290</v>
      </c>
      <c r="P173" s="5" t="str">
        <f t="shared" si="23"/>
        <v>Delhi</v>
      </c>
      <c r="Q173" s="5" t="str">
        <f t="shared" si="24"/>
        <v>Oncology</v>
      </c>
      <c r="R173" s="6" t="str">
        <f t="shared" si="25"/>
        <v>Fortis</v>
      </c>
      <c r="S173" s="6" t="str">
        <f t="shared" si="26"/>
        <v>Credit Card</v>
      </c>
      <c r="T173" s="6" t="str">
        <f t="shared" si="27"/>
        <v>Female</v>
      </c>
      <c r="U173" s="6" t="str">
        <f t="shared" si="30"/>
        <v>ICU</v>
      </c>
      <c r="V173" s="6" t="str" cm="1">
        <f t="array" ref="V173">IF(TRIM(S173)="",INDEX($S$2:$S$1500,MATCH(MAX(COUNTIF($S$2:$S$1500,S173)),COUNTIF($S$2:$S$1500,$S$2:$S$1500),0)),S173)</f>
        <v>Credit Card</v>
      </c>
      <c r="W173" s="7" cm="1">
        <f t="array" ref="W173">IF(OR(TRIM(K173)="",TRIM(K173)="-"), MEDIAN(IF($E$2:$E$1500=E173,$K$2:$K$1500)),  VALUE(SUBSTITUTE(SUBSTITUTE(SUBSTITUTE(K173,"Rs. ",""),"₹",""),",","")))</f>
        <v>66357</v>
      </c>
      <c r="X173" s="8">
        <f t="shared" si="28"/>
        <v>0</v>
      </c>
      <c r="Y173" s="7">
        <f t="shared" si="29"/>
        <v>66357</v>
      </c>
      <c r="Z173" s="9" t="str">
        <f t="shared" si="21"/>
        <v>SENIOR</v>
      </c>
    </row>
    <row r="174" spans="1:26" x14ac:dyDescent="0.3">
      <c r="A174" s="5" t="s">
        <v>538</v>
      </c>
      <c r="B174" s="5" t="s">
        <v>25</v>
      </c>
      <c r="C174" s="5" t="s">
        <v>54</v>
      </c>
      <c r="D174" s="5" t="s">
        <v>189</v>
      </c>
      <c r="E174" s="5" t="s">
        <v>67</v>
      </c>
      <c r="F174" s="5" t="s">
        <v>196</v>
      </c>
      <c r="G174" s="5" t="s">
        <v>19</v>
      </c>
      <c r="H174" s="5">
        <v>46</v>
      </c>
      <c r="I174" s="5" t="s">
        <v>31</v>
      </c>
      <c r="J174" s="34" t="s">
        <v>539</v>
      </c>
      <c r="K174" s="31">
        <v>7557</v>
      </c>
      <c r="L174" s="5" t="s">
        <v>91</v>
      </c>
      <c r="M174" s="32">
        <v>0</v>
      </c>
      <c r="N174" s="6">
        <f t="shared" si="22"/>
        <v>0</v>
      </c>
      <c r="O174" s="4" t="s">
        <v>196</v>
      </c>
      <c r="P174" s="5" t="str">
        <f t="shared" si="23"/>
        <v>Delhi</v>
      </c>
      <c r="Q174" s="5" t="str">
        <f t="shared" si="24"/>
        <v>Neurology</v>
      </c>
      <c r="R174" s="6" t="str">
        <f t="shared" si="25"/>
        <v>Narayana</v>
      </c>
      <c r="S174" s="6" t="str">
        <f t="shared" si="26"/>
        <v>Debit Card</v>
      </c>
      <c r="T174" s="6" t="str">
        <f t="shared" si="27"/>
        <v>Male</v>
      </c>
      <c r="U174" s="6" t="str">
        <f t="shared" si="30"/>
        <v>General</v>
      </c>
      <c r="V174" s="6" t="str" cm="1">
        <f t="array" ref="V174">IF(TRIM(S174)="",INDEX($S$2:$S$1500,MATCH(MAX(COUNTIF($S$2:$S$1500,S174)),COUNTIF($S$2:$S$1500,$S$2:$S$1500),0)),S174)</f>
        <v>Debit Card</v>
      </c>
      <c r="W174" s="7" cm="1">
        <f t="array" ref="W174">IF(OR(TRIM(K174)="",TRIM(K174)="-"), MEDIAN(IF($E$2:$E$1500=E174,$K$2:$K$1500)),  VALUE(SUBSTITUTE(SUBSTITUTE(SUBSTITUTE(K174,"Rs. ",""),"₹",""),",","")))</f>
        <v>7557</v>
      </c>
      <c r="X174" s="8">
        <f t="shared" si="28"/>
        <v>0</v>
      </c>
      <c r="Y174" s="7">
        <f t="shared" si="29"/>
        <v>7557</v>
      </c>
      <c r="Z174" s="9" t="str">
        <f t="shared" si="21"/>
        <v>ADULT</v>
      </c>
    </row>
    <row r="175" spans="1:26" x14ac:dyDescent="0.3">
      <c r="A175" s="5" t="s">
        <v>540</v>
      </c>
      <c r="B175" s="5" t="s">
        <v>106</v>
      </c>
      <c r="C175" s="5" t="s">
        <v>307</v>
      </c>
      <c r="D175" s="5" t="s">
        <v>27</v>
      </c>
      <c r="E175" s="5" t="s">
        <v>37</v>
      </c>
      <c r="F175" s="5" t="s">
        <v>56</v>
      </c>
      <c r="G175" s="5" t="s">
        <v>101</v>
      </c>
      <c r="H175" s="5">
        <v>88</v>
      </c>
      <c r="I175" s="5" t="s">
        <v>20</v>
      </c>
      <c r="J175" s="34" t="s">
        <v>541</v>
      </c>
      <c r="K175" s="31">
        <v>64761</v>
      </c>
      <c r="L175" s="5" t="s">
        <v>83</v>
      </c>
      <c r="M175" s="32">
        <v>10</v>
      </c>
      <c r="N175" s="6">
        <f t="shared" si="22"/>
        <v>10</v>
      </c>
      <c r="O175" s="4" t="s">
        <v>56</v>
      </c>
      <c r="P175" s="5" t="str">
        <f t="shared" si="23"/>
        <v>Mumbai</v>
      </c>
      <c r="Q175" s="5" t="str">
        <f t="shared" si="24"/>
        <v>Pediatrics</v>
      </c>
      <c r="R175" s="6" t="str">
        <f t="shared" si="25"/>
        <v>Aiims</v>
      </c>
      <c r="S175" s="6" t="str">
        <f t="shared" si="26"/>
        <v>Debit Card</v>
      </c>
      <c r="T175" s="6" t="str">
        <f t="shared" si="27"/>
        <v>Male</v>
      </c>
      <c r="U175" s="6" t="str">
        <f t="shared" si="30"/>
        <v>ICU</v>
      </c>
      <c r="V175" s="6" t="str" cm="1">
        <f t="array" ref="V175">IF(TRIM(S175)="",INDEX($S$2:$S$1500,MATCH(MAX(COUNTIF($S$2:$S$1500,S175)),COUNTIF($S$2:$S$1500,$S$2:$S$1500),0)),S175)</f>
        <v>Debit Card</v>
      </c>
      <c r="W175" s="7" cm="1">
        <f t="array" ref="W175">IF(OR(TRIM(K175)="",TRIM(K175)="-"), MEDIAN(IF($E$2:$E$1500=E175,$K$2:$K$1500)),  VALUE(SUBSTITUTE(SUBSTITUTE(SUBSTITUTE(K175,"Rs. ",""),"₹",""),",","")))</f>
        <v>64761</v>
      </c>
      <c r="X175" s="8">
        <f t="shared" si="28"/>
        <v>10</v>
      </c>
      <c r="Y175" s="7">
        <f t="shared" si="29"/>
        <v>58285</v>
      </c>
      <c r="Z175" s="9" t="str">
        <f t="shared" si="21"/>
        <v>SENIOR</v>
      </c>
    </row>
    <row r="176" spans="1:26" x14ac:dyDescent="0.3">
      <c r="A176" s="5" t="s">
        <v>542</v>
      </c>
      <c r="B176" s="5" t="s">
        <v>106</v>
      </c>
      <c r="C176" s="5" t="s">
        <v>307</v>
      </c>
      <c r="D176" s="5" t="s">
        <v>55</v>
      </c>
      <c r="E176" s="5" t="s">
        <v>37</v>
      </c>
      <c r="F176" s="5" t="s">
        <v>185</v>
      </c>
      <c r="G176" s="5" t="s">
        <v>30</v>
      </c>
      <c r="H176" s="5">
        <v>45</v>
      </c>
      <c r="I176" s="5" t="s">
        <v>40</v>
      </c>
      <c r="J176" s="34" t="s">
        <v>543</v>
      </c>
      <c r="K176" s="31"/>
      <c r="L176" s="5" t="s">
        <v>52</v>
      </c>
      <c r="M176" s="32">
        <v>5</v>
      </c>
      <c r="N176" s="6">
        <f t="shared" si="22"/>
        <v>5</v>
      </c>
      <c r="O176" s="4" t="s">
        <v>185</v>
      </c>
      <c r="P176" s="5" t="str">
        <f t="shared" si="23"/>
        <v>Hyderabad</v>
      </c>
      <c r="Q176" s="5" t="str">
        <f t="shared" si="24"/>
        <v>Pediatrics</v>
      </c>
      <c r="R176" s="6" t="str">
        <f t="shared" si="25"/>
        <v>Aiims</v>
      </c>
      <c r="S176" s="6" t="str">
        <f t="shared" si="26"/>
        <v>Credit Card</v>
      </c>
      <c r="T176" s="6" t="str">
        <f t="shared" si="27"/>
        <v>Female</v>
      </c>
      <c r="U176" s="6" t="str">
        <f t="shared" si="30"/>
        <v>General</v>
      </c>
      <c r="V176" s="6" t="str" cm="1">
        <f t="array" ref="V176">IF(TRIM(S176)="",INDEX($S$2:$S$1500,MATCH(MAX(COUNTIF($S$2:$S$1500,S176)),COUNTIF($S$2:$S$1500,$S$2:$S$1500),0)),S176)</f>
        <v>Credit Card</v>
      </c>
      <c r="W176" s="7" cm="1">
        <f t="array" ref="W176">IF(OR(TRIM(K176)="",TRIM(K176)="-"), MEDIAN(IF($E$2:$E$1500=E176,$K$2:$K$1500)),  VALUE(SUBSTITUTE(SUBSTITUTE(SUBSTITUTE(K176,"Rs. ",""),"₹",""),",","")))</f>
        <v>16050</v>
      </c>
      <c r="X176" s="8">
        <f t="shared" si="28"/>
        <v>5</v>
      </c>
      <c r="Y176" s="7">
        <f t="shared" si="29"/>
        <v>15248</v>
      </c>
      <c r="Z176" s="9" t="str">
        <f t="shared" si="21"/>
        <v>ADULT</v>
      </c>
    </row>
    <row r="177" spans="1:26" x14ac:dyDescent="0.3">
      <c r="A177" s="5" t="s">
        <v>544</v>
      </c>
      <c r="B177" s="5" t="s">
        <v>45</v>
      </c>
      <c r="C177" s="5" t="s">
        <v>46</v>
      </c>
      <c r="D177" s="5" t="s">
        <v>27</v>
      </c>
      <c r="E177" s="5" t="s">
        <v>67</v>
      </c>
      <c r="F177" s="5" t="s">
        <v>85</v>
      </c>
      <c r="G177" s="5" t="s">
        <v>19</v>
      </c>
      <c r="H177" s="5">
        <v>10</v>
      </c>
      <c r="I177" s="5" t="s">
        <v>40</v>
      </c>
      <c r="J177" s="34" t="s">
        <v>545</v>
      </c>
      <c r="K177" s="31">
        <v>5622</v>
      </c>
      <c r="L177" s="5" t="s">
        <v>52</v>
      </c>
      <c r="M177" s="32">
        <v>0</v>
      </c>
      <c r="N177" s="6">
        <f t="shared" si="22"/>
        <v>0</v>
      </c>
      <c r="O177" s="4" t="s">
        <v>85</v>
      </c>
      <c r="P177" s="5" t="str">
        <f t="shared" si="23"/>
        <v>Mumbai</v>
      </c>
      <c r="Q177" s="5" t="str">
        <f t="shared" si="24"/>
        <v>Neurology</v>
      </c>
      <c r="R177" s="6" t="str">
        <f t="shared" si="25"/>
        <v>Fortis</v>
      </c>
      <c r="S177" s="6" t="str">
        <f t="shared" si="26"/>
        <v>Credit Card</v>
      </c>
      <c r="T177" s="6" t="str">
        <f t="shared" si="27"/>
        <v>Female</v>
      </c>
      <c r="U177" s="6" t="str">
        <f t="shared" si="30"/>
        <v>General</v>
      </c>
      <c r="V177" s="6" t="str" cm="1">
        <f t="array" ref="V177">IF(TRIM(S177)="",INDEX($S$2:$S$1500,MATCH(MAX(COUNTIF($S$2:$S$1500,S177)),COUNTIF($S$2:$S$1500,$S$2:$S$1500),0)),S177)</f>
        <v>Credit Card</v>
      </c>
      <c r="W177" s="7" cm="1">
        <f t="array" ref="W177">IF(OR(TRIM(K177)="",TRIM(K177)="-"), MEDIAN(IF($E$2:$E$1500=E177,$K$2:$K$1500)),  VALUE(SUBSTITUTE(SUBSTITUTE(SUBSTITUTE(K177,"Rs. ",""),"₹",""),",","")))</f>
        <v>5622</v>
      </c>
      <c r="X177" s="8">
        <f t="shared" si="28"/>
        <v>0</v>
      </c>
      <c r="Y177" s="7">
        <f t="shared" si="29"/>
        <v>5622</v>
      </c>
      <c r="Z177" s="9" t="str">
        <f t="shared" si="21"/>
        <v>CHILD</v>
      </c>
    </row>
    <row r="178" spans="1:26" x14ac:dyDescent="0.3">
      <c r="A178" s="5" t="s">
        <v>546</v>
      </c>
      <c r="B178" s="5" t="s">
        <v>106</v>
      </c>
      <c r="C178" s="5" t="s">
        <v>107</v>
      </c>
      <c r="D178" s="5" t="s">
        <v>27</v>
      </c>
      <c r="E178" s="5" t="s">
        <v>99</v>
      </c>
      <c r="F178" s="5" t="s">
        <v>100</v>
      </c>
      <c r="G178" s="5" t="s">
        <v>69</v>
      </c>
      <c r="H178" s="5">
        <v>70</v>
      </c>
      <c r="I178" s="5" t="s">
        <v>20</v>
      </c>
      <c r="J178" s="34" t="s">
        <v>547</v>
      </c>
      <c r="K178" s="31">
        <v>41569</v>
      </c>
      <c r="L178" s="5" t="s">
        <v>72</v>
      </c>
      <c r="M178" s="32" t="s">
        <v>198</v>
      </c>
      <c r="N178" s="6">
        <f t="shared" si="22"/>
        <v>5</v>
      </c>
      <c r="O178" s="4" t="s">
        <v>100</v>
      </c>
      <c r="P178" s="5" t="str">
        <f t="shared" si="23"/>
        <v>Mumbai</v>
      </c>
      <c r="Q178" s="5" t="str">
        <f t="shared" si="24"/>
        <v>Ent</v>
      </c>
      <c r="R178" s="6" t="str">
        <f t="shared" si="25"/>
        <v>Aiims</v>
      </c>
      <c r="S178" s="6" t="str">
        <f t="shared" si="26"/>
        <v>Cash</v>
      </c>
      <c r="T178" s="6" t="str">
        <f t="shared" si="27"/>
        <v>Male</v>
      </c>
      <c r="U178" s="6" t="str">
        <f t="shared" si="30"/>
        <v>ICU</v>
      </c>
      <c r="V178" s="6" t="str" cm="1">
        <f t="array" ref="V178">IF(TRIM(S178)="",INDEX($S$2:$S$1500,MATCH(MAX(COUNTIF($S$2:$S$1500,S178)),COUNTIF($S$2:$S$1500,$S$2:$S$1500),0)),S178)</f>
        <v>Cash</v>
      </c>
      <c r="W178" s="7" cm="1">
        <f t="array" ref="W178">IF(OR(TRIM(K178)="",TRIM(K178)="-"), MEDIAN(IF($E$2:$E$1500=E178,$K$2:$K$1500)),  VALUE(SUBSTITUTE(SUBSTITUTE(SUBSTITUTE(K178,"Rs. ",""),"₹",""),",","")))</f>
        <v>41569</v>
      </c>
      <c r="X178" s="8">
        <f t="shared" si="28"/>
        <v>5</v>
      </c>
      <c r="Y178" s="7">
        <f t="shared" si="29"/>
        <v>39491</v>
      </c>
      <c r="Z178" s="9" t="str">
        <f t="shared" si="21"/>
        <v>SENIOR</v>
      </c>
    </row>
    <row r="179" spans="1:26" x14ac:dyDescent="0.3">
      <c r="A179" s="5" t="s">
        <v>548</v>
      </c>
      <c r="B179" s="5" t="s">
        <v>14</v>
      </c>
      <c r="C179" s="5" t="s">
        <v>60</v>
      </c>
      <c r="D179" s="5" t="s">
        <v>27</v>
      </c>
      <c r="E179" s="5" t="s">
        <v>28</v>
      </c>
      <c r="F179" s="5" t="s">
        <v>290</v>
      </c>
      <c r="G179" s="5" t="s">
        <v>39</v>
      </c>
      <c r="H179" s="5">
        <v>11</v>
      </c>
      <c r="I179" s="5" t="s">
        <v>20</v>
      </c>
      <c r="J179" s="34" t="s">
        <v>549</v>
      </c>
      <c r="K179" s="31">
        <v>14179</v>
      </c>
      <c r="L179" s="5"/>
      <c r="M179" s="32">
        <v>0</v>
      </c>
      <c r="N179" s="6">
        <f t="shared" si="22"/>
        <v>0</v>
      </c>
      <c r="O179" s="4" t="s">
        <v>290</v>
      </c>
      <c r="P179" s="5" t="str">
        <f t="shared" si="23"/>
        <v>Mumbai</v>
      </c>
      <c r="Q179" s="5" t="str">
        <f t="shared" si="24"/>
        <v>Oncology</v>
      </c>
      <c r="R179" s="6" t="str">
        <f t="shared" si="25"/>
        <v>Max_Healthcare</v>
      </c>
      <c r="S179" s="6" t="str">
        <f t="shared" si="26"/>
        <v>Unknown</v>
      </c>
      <c r="T179" s="6" t="str">
        <f t="shared" si="27"/>
        <v>Male</v>
      </c>
      <c r="U179" s="6" t="str">
        <f t="shared" si="30"/>
        <v>General</v>
      </c>
      <c r="V179" s="6" t="str" cm="1">
        <f t="array" ref="V179">IF(TRIM(S179)="",INDEX($S$2:$S$1500,MATCH(MAX(COUNTIF($S$2:$S$1500,S179)),COUNTIF($S$2:$S$1500,$S$2:$S$1500),0)),S179)</f>
        <v>Unknown</v>
      </c>
      <c r="W179" s="7" cm="1">
        <f t="array" ref="W179">IF(OR(TRIM(K179)="",TRIM(K179)="-"), MEDIAN(IF($E$2:$E$1500=E179,$K$2:$K$1500)),  VALUE(SUBSTITUTE(SUBSTITUTE(SUBSTITUTE(K179,"Rs. ",""),"₹",""),",","")))</f>
        <v>14179</v>
      </c>
      <c r="X179" s="8">
        <f t="shared" si="28"/>
        <v>0</v>
      </c>
      <c r="Y179" s="7">
        <f t="shared" si="29"/>
        <v>14179</v>
      </c>
      <c r="Z179" s="9" t="str">
        <f t="shared" si="21"/>
        <v>CHILD</v>
      </c>
    </row>
    <row r="180" spans="1:26" x14ac:dyDescent="0.3">
      <c r="A180" s="5" t="s">
        <v>550</v>
      </c>
      <c r="B180" s="5" t="s">
        <v>45</v>
      </c>
      <c r="C180" s="5" t="s">
        <v>46</v>
      </c>
      <c r="D180" s="5" t="s">
        <v>55</v>
      </c>
      <c r="E180" s="5" t="s">
        <v>37</v>
      </c>
      <c r="F180" s="5" t="s">
        <v>38</v>
      </c>
      <c r="G180" s="5" t="s">
        <v>19</v>
      </c>
      <c r="H180" s="5">
        <v>23</v>
      </c>
      <c r="I180" s="5" t="s">
        <v>20</v>
      </c>
      <c r="J180" s="34" t="s">
        <v>551</v>
      </c>
      <c r="K180" s="31">
        <v>16574</v>
      </c>
      <c r="L180" s="5" t="s">
        <v>83</v>
      </c>
      <c r="M180" s="32" t="s">
        <v>76</v>
      </c>
      <c r="N180" s="6">
        <f t="shared" si="22"/>
        <v>10</v>
      </c>
      <c r="O180" s="4" t="s">
        <v>38</v>
      </c>
      <c r="P180" s="5" t="str">
        <f t="shared" si="23"/>
        <v>Hyderabad</v>
      </c>
      <c r="Q180" s="5" t="str">
        <f t="shared" si="24"/>
        <v>Pediatrics</v>
      </c>
      <c r="R180" s="6" t="str">
        <f t="shared" si="25"/>
        <v>Fortis</v>
      </c>
      <c r="S180" s="6" t="str">
        <f t="shared" si="26"/>
        <v>Debit Card</v>
      </c>
      <c r="T180" s="6" t="str">
        <f t="shared" si="27"/>
        <v>Male</v>
      </c>
      <c r="U180" s="6" t="str">
        <f t="shared" si="30"/>
        <v>General</v>
      </c>
      <c r="V180" s="6" t="str" cm="1">
        <f t="array" ref="V180">IF(TRIM(S180)="",INDEX($S$2:$S$1500,MATCH(MAX(COUNTIF($S$2:$S$1500,S180)),COUNTIF($S$2:$S$1500,$S$2:$S$1500),0)),S180)</f>
        <v>Debit Card</v>
      </c>
      <c r="W180" s="7" cm="1">
        <f t="array" ref="W180">IF(OR(TRIM(K180)="",TRIM(K180)="-"), MEDIAN(IF($E$2:$E$1500=E180,$K$2:$K$1500)),  VALUE(SUBSTITUTE(SUBSTITUTE(SUBSTITUTE(K180,"Rs. ",""),"₹",""),",","")))</f>
        <v>16574</v>
      </c>
      <c r="X180" s="8">
        <f t="shared" si="28"/>
        <v>10</v>
      </c>
      <c r="Y180" s="7">
        <f t="shared" si="29"/>
        <v>14917</v>
      </c>
      <c r="Z180" s="9" t="str">
        <f t="shared" si="21"/>
        <v>ADULT</v>
      </c>
    </row>
    <row r="181" spans="1:26" x14ac:dyDescent="0.3">
      <c r="A181" s="5" t="s">
        <v>552</v>
      </c>
      <c r="B181" s="5" t="s">
        <v>78</v>
      </c>
      <c r="C181" s="5" t="s">
        <v>79</v>
      </c>
      <c r="D181" s="5" t="s">
        <v>189</v>
      </c>
      <c r="E181" s="5" t="s">
        <v>37</v>
      </c>
      <c r="F181" s="5" t="s">
        <v>56</v>
      </c>
      <c r="G181" s="5" t="s">
        <v>19</v>
      </c>
      <c r="H181" s="5">
        <v>21</v>
      </c>
      <c r="I181" s="5" t="s">
        <v>20</v>
      </c>
      <c r="J181" s="34" t="s">
        <v>553</v>
      </c>
      <c r="K181" s="31" t="s">
        <v>554</v>
      </c>
      <c r="L181" s="5" t="s">
        <v>58</v>
      </c>
      <c r="M181" s="32" t="s">
        <v>130</v>
      </c>
      <c r="N181" s="6">
        <f t="shared" si="22"/>
        <v>0</v>
      </c>
      <c r="O181" s="4" t="s">
        <v>56</v>
      </c>
      <c r="P181" s="5" t="str">
        <f t="shared" si="23"/>
        <v>Delhi</v>
      </c>
      <c r="Q181" s="5" t="str">
        <f t="shared" si="24"/>
        <v>Pediatrics</v>
      </c>
      <c r="R181" s="6" t="str">
        <f t="shared" si="25"/>
        <v>Apollo</v>
      </c>
      <c r="S181" s="6" t="str">
        <f t="shared" si="26"/>
        <v>UPI</v>
      </c>
      <c r="T181" s="6" t="str">
        <f t="shared" si="27"/>
        <v>Male</v>
      </c>
      <c r="U181" s="6" t="str">
        <f t="shared" si="30"/>
        <v>General</v>
      </c>
      <c r="V181" s="6" t="str" cm="1">
        <f t="array" ref="V181">IF(TRIM(S181)="",INDEX($S$2:$S$1500,MATCH(MAX(COUNTIF($S$2:$S$1500,S181)),COUNTIF($S$2:$S$1500,$S$2:$S$1500),0)),S181)</f>
        <v>UPI</v>
      </c>
      <c r="W181" s="7" cm="1">
        <f t="array" ref="W181">IF(OR(TRIM(K181)="",TRIM(K181)="-"), MEDIAN(IF($E$2:$E$1500=E181,$K$2:$K$1500)),  VALUE(SUBSTITUTE(SUBSTITUTE(SUBSTITUTE(K181,"Rs. ",""),"₹",""),",","")))</f>
        <v>8118</v>
      </c>
      <c r="X181" s="8">
        <f t="shared" si="28"/>
        <v>0</v>
      </c>
      <c r="Y181" s="7">
        <f t="shared" si="29"/>
        <v>8118</v>
      </c>
      <c r="Z181" s="9" t="str">
        <f t="shared" si="21"/>
        <v>ADULT</v>
      </c>
    </row>
    <row r="182" spans="1:26" x14ac:dyDescent="0.3">
      <c r="A182" s="5" t="s">
        <v>555</v>
      </c>
      <c r="B182" s="5" t="s">
        <v>25</v>
      </c>
      <c r="C182" s="5" t="s">
        <v>54</v>
      </c>
      <c r="D182" s="5" t="s">
        <v>16</v>
      </c>
      <c r="E182" s="5" t="s">
        <v>47</v>
      </c>
      <c r="F182" s="5" t="s">
        <v>48</v>
      </c>
      <c r="G182" s="5" t="s">
        <v>49</v>
      </c>
      <c r="H182" s="5">
        <v>5</v>
      </c>
      <c r="I182" s="5" t="s">
        <v>70</v>
      </c>
      <c r="J182" s="34" t="s">
        <v>556</v>
      </c>
      <c r="K182" s="31">
        <v>17849</v>
      </c>
      <c r="L182" s="5" t="s">
        <v>83</v>
      </c>
      <c r="M182" s="32" t="s">
        <v>130</v>
      </c>
      <c r="N182" s="6">
        <f t="shared" si="22"/>
        <v>0</v>
      </c>
      <c r="O182" s="4" t="s">
        <v>48</v>
      </c>
      <c r="P182" s="5" t="str">
        <f t="shared" si="23"/>
        <v>Bangalore</v>
      </c>
      <c r="Q182" s="5" t="str">
        <f t="shared" si="24"/>
        <v>Gastroenterology</v>
      </c>
      <c r="R182" s="6" t="str">
        <f t="shared" si="25"/>
        <v>Narayana</v>
      </c>
      <c r="S182" s="6" t="str">
        <f t="shared" si="26"/>
        <v>Debit Card</v>
      </c>
      <c r="T182" s="6" t="str">
        <f t="shared" si="27"/>
        <v>Female</v>
      </c>
      <c r="U182" s="6" t="str">
        <f t="shared" si="30"/>
        <v>General</v>
      </c>
      <c r="V182" s="6" t="str" cm="1">
        <f t="array" ref="V182">IF(TRIM(S182)="",INDEX($S$2:$S$1500,MATCH(MAX(COUNTIF($S$2:$S$1500,S182)),COUNTIF($S$2:$S$1500,$S$2:$S$1500),0)),S182)</f>
        <v>Debit Card</v>
      </c>
      <c r="W182" s="7" cm="1">
        <f t="array" ref="W182">IF(OR(TRIM(K182)="",TRIM(K182)="-"), MEDIAN(IF($E$2:$E$1500=E182,$K$2:$K$1500)),  VALUE(SUBSTITUTE(SUBSTITUTE(SUBSTITUTE(K182,"Rs. ",""),"₹",""),",","")))</f>
        <v>17849</v>
      </c>
      <c r="X182" s="8">
        <f t="shared" si="28"/>
        <v>0</v>
      </c>
      <c r="Y182" s="7">
        <f t="shared" si="29"/>
        <v>17849</v>
      </c>
      <c r="Z182" s="9" t="str">
        <f t="shared" si="21"/>
        <v>CHILD</v>
      </c>
    </row>
    <row r="183" spans="1:26" x14ac:dyDescent="0.3">
      <c r="A183" s="5" t="s">
        <v>557</v>
      </c>
      <c r="B183" s="5" t="s">
        <v>78</v>
      </c>
      <c r="C183" s="5" t="s">
        <v>203</v>
      </c>
      <c r="D183" s="5" t="s">
        <v>55</v>
      </c>
      <c r="E183" s="5" t="s">
        <v>67</v>
      </c>
      <c r="F183" s="5" t="s">
        <v>196</v>
      </c>
      <c r="G183" s="5" t="s">
        <v>39</v>
      </c>
      <c r="H183" s="5">
        <v>80</v>
      </c>
      <c r="I183" s="5" t="s">
        <v>40</v>
      </c>
      <c r="J183" s="34" t="s">
        <v>558</v>
      </c>
      <c r="K183" s="31" t="s">
        <v>559</v>
      </c>
      <c r="L183" s="5" t="s">
        <v>58</v>
      </c>
      <c r="M183" s="32" t="s">
        <v>76</v>
      </c>
      <c r="N183" s="6">
        <f t="shared" si="22"/>
        <v>10</v>
      </c>
      <c r="O183" s="4" t="s">
        <v>196</v>
      </c>
      <c r="P183" s="5" t="str">
        <f t="shared" si="23"/>
        <v>Hyderabad</v>
      </c>
      <c r="Q183" s="5" t="str">
        <f t="shared" si="24"/>
        <v>Neurology</v>
      </c>
      <c r="R183" s="6" t="str">
        <f t="shared" si="25"/>
        <v>Apollo</v>
      </c>
      <c r="S183" s="6" t="str">
        <f t="shared" si="26"/>
        <v>UPI</v>
      </c>
      <c r="T183" s="6" t="str">
        <f t="shared" si="27"/>
        <v>Female</v>
      </c>
      <c r="U183" s="6" t="str">
        <f t="shared" si="30"/>
        <v>General</v>
      </c>
      <c r="V183" s="6" t="str" cm="1">
        <f t="array" ref="V183">IF(TRIM(S183)="",INDEX($S$2:$S$1500,MATCH(MAX(COUNTIF($S$2:$S$1500,S183)),COUNTIF($S$2:$S$1500,$S$2:$S$1500),0)),S183)</f>
        <v>UPI</v>
      </c>
      <c r="W183" s="7" cm="1">
        <f t="array" ref="W183">IF(OR(TRIM(K183)="",TRIM(K183)="-"), MEDIAN(IF($E$2:$E$1500=E183,$K$2:$K$1500)),  VALUE(SUBSTITUTE(SUBSTITUTE(SUBSTITUTE(K183,"Rs. ",""),"₹",""),",","")))</f>
        <v>4971</v>
      </c>
      <c r="X183" s="8">
        <f t="shared" si="28"/>
        <v>10</v>
      </c>
      <c r="Y183" s="7">
        <f t="shared" si="29"/>
        <v>4474</v>
      </c>
      <c r="Z183" s="9" t="str">
        <f t="shared" si="21"/>
        <v>SENIOR</v>
      </c>
    </row>
    <row r="184" spans="1:26" x14ac:dyDescent="0.3">
      <c r="A184" s="5" t="s">
        <v>560</v>
      </c>
      <c r="B184" s="5" t="s">
        <v>45</v>
      </c>
      <c r="C184" s="5" t="s">
        <v>334</v>
      </c>
      <c r="D184" s="5" t="s">
        <v>16</v>
      </c>
      <c r="E184" s="5" t="s">
        <v>93</v>
      </c>
      <c r="F184" s="5" t="s">
        <v>207</v>
      </c>
      <c r="G184" s="5" t="s">
        <v>49</v>
      </c>
      <c r="H184" s="5">
        <v>64</v>
      </c>
      <c r="I184" s="5" t="s">
        <v>40</v>
      </c>
      <c r="J184" s="34" t="s">
        <v>561</v>
      </c>
      <c r="K184" s="31">
        <v>14279</v>
      </c>
      <c r="L184" s="5" t="s">
        <v>72</v>
      </c>
      <c r="M184" s="32">
        <v>0</v>
      </c>
      <c r="N184" s="6">
        <f t="shared" si="22"/>
        <v>0</v>
      </c>
      <c r="O184" s="4" t="s">
        <v>207</v>
      </c>
      <c r="P184" s="5" t="str">
        <f t="shared" si="23"/>
        <v>Bangalore</v>
      </c>
      <c r="Q184" s="5" t="str">
        <f t="shared" si="24"/>
        <v>Nephrology</v>
      </c>
      <c r="R184" s="6" t="str">
        <f t="shared" si="25"/>
        <v>Fortis</v>
      </c>
      <c r="S184" s="6" t="str">
        <f t="shared" si="26"/>
        <v>Cash</v>
      </c>
      <c r="T184" s="6" t="str">
        <f t="shared" si="27"/>
        <v>Female</v>
      </c>
      <c r="U184" s="6" t="str">
        <f t="shared" si="30"/>
        <v>General</v>
      </c>
      <c r="V184" s="6" t="str" cm="1">
        <f t="array" ref="V184">IF(TRIM(S184)="",INDEX($S$2:$S$1500,MATCH(MAX(COUNTIF($S$2:$S$1500,S184)),COUNTIF($S$2:$S$1500,$S$2:$S$1500),0)),S184)</f>
        <v>Cash</v>
      </c>
      <c r="W184" s="7" cm="1">
        <f t="array" ref="W184">IF(OR(TRIM(K184)="",TRIM(K184)="-"), MEDIAN(IF($E$2:$E$1500=E184,$K$2:$K$1500)),  VALUE(SUBSTITUTE(SUBSTITUTE(SUBSTITUTE(K184,"Rs. ",""),"₹",""),",","")))</f>
        <v>14279</v>
      </c>
      <c r="X184" s="8">
        <f t="shared" si="28"/>
        <v>0</v>
      </c>
      <c r="Y184" s="7">
        <f t="shared" si="29"/>
        <v>14279</v>
      </c>
      <c r="Z184" s="9" t="str">
        <f t="shared" si="21"/>
        <v>SENIOR</v>
      </c>
    </row>
    <row r="185" spans="1:26" x14ac:dyDescent="0.3">
      <c r="A185" s="5" t="s">
        <v>562</v>
      </c>
      <c r="B185" s="5" t="s">
        <v>106</v>
      </c>
      <c r="C185" s="5" t="s">
        <v>107</v>
      </c>
      <c r="D185" s="5" t="s">
        <v>61</v>
      </c>
      <c r="E185" s="5" t="s">
        <v>37</v>
      </c>
      <c r="F185" s="5" t="s">
        <v>38</v>
      </c>
      <c r="G185" s="5" t="s">
        <v>49</v>
      </c>
      <c r="H185" s="5">
        <v>85</v>
      </c>
      <c r="I185" s="5" t="s">
        <v>70</v>
      </c>
      <c r="J185" s="34" t="s">
        <v>234</v>
      </c>
      <c r="K185" s="31" t="s">
        <v>140</v>
      </c>
      <c r="L185" s="5"/>
      <c r="M185" s="32" t="s">
        <v>130</v>
      </c>
      <c r="N185" s="6">
        <f t="shared" si="22"/>
        <v>0</v>
      </c>
      <c r="O185" s="4" t="s">
        <v>38</v>
      </c>
      <c r="P185" s="5" t="str">
        <f t="shared" si="23"/>
        <v>Pune</v>
      </c>
      <c r="Q185" s="5" t="str">
        <f t="shared" si="24"/>
        <v>Pediatrics</v>
      </c>
      <c r="R185" s="6" t="str">
        <f t="shared" si="25"/>
        <v>Aiims</v>
      </c>
      <c r="S185" s="6" t="str">
        <f t="shared" si="26"/>
        <v>Unknown</v>
      </c>
      <c r="T185" s="6" t="str">
        <f t="shared" si="27"/>
        <v>Female</v>
      </c>
      <c r="U185" s="6" t="str">
        <f t="shared" si="30"/>
        <v>General</v>
      </c>
      <c r="V185" s="6" t="str" cm="1">
        <f t="array" ref="V185">IF(TRIM(S185)="",INDEX($S$2:$S$1500,MATCH(MAX(COUNTIF($S$2:$S$1500,S185)),COUNTIF($S$2:$S$1500,$S$2:$S$1500),0)),S185)</f>
        <v>Unknown</v>
      </c>
      <c r="W185" s="7" cm="1">
        <f t="array" ref="W185">IF(OR(TRIM(K185)="",TRIM(K185)="-"), MEDIAN(IF($E$2:$E$1500=E185,$K$2:$K$1500)),  VALUE(SUBSTITUTE(SUBSTITUTE(SUBSTITUTE(K185,"Rs. ",""),"₹",""),",","")))</f>
        <v>16050</v>
      </c>
      <c r="X185" s="8">
        <f t="shared" si="28"/>
        <v>0</v>
      </c>
      <c r="Y185" s="7">
        <f t="shared" si="29"/>
        <v>16050</v>
      </c>
      <c r="Z185" s="9" t="str">
        <f t="shared" si="21"/>
        <v>SENIOR</v>
      </c>
    </row>
    <row r="186" spans="1:26" x14ac:dyDescent="0.3">
      <c r="A186" s="5" t="s">
        <v>563</v>
      </c>
      <c r="B186" s="5" t="s">
        <v>117</v>
      </c>
      <c r="C186" s="5" t="s">
        <v>118</v>
      </c>
      <c r="D186" s="5" t="s">
        <v>66</v>
      </c>
      <c r="E186" s="5" t="s">
        <v>74</v>
      </c>
      <c r="F186" s="5" t="s">
        <v>147</v>
      </c>
      <c r="G186" s="5" t="s">
        <v>30</v>
      </c>
      <c r="H186" s="5">
        <v>62</v>
      </c>
      <c r="I186" s="5" t="s">
        <v>20</v>
      </c>
      <c r="J186" s="34" t="s">
        <v>183</v>
      </c>
      <c r="K186" s="31">
        <v>7473</v>
      </c>
      <c r="L186" s="5" t="s">
        <v>52</v>
      </c>
      <c r="M186" s="32" t="s">
        <v>140</v>
      </c>
      <c r="N186" s="6" t="str">
        <f t="shared" si="22"/>
        <v>-</v>
      </c>
      <c r="O186" s="4" t="s">
        <v>147</v>
      </c>
      <c r="P186" s="5" t="str">
        <f t="shared" si="23"/>
        <v>Kolkata</v>
      </c>
      <c r="Q186" s="5" t="str">
        <f t="shared" si="24"/>
        <v>General Medicine</v>
      </c>
      <c r="R186" s="6" t="str">
        <f t="shared" si="25"/>
        <v>Manipal</v>
      </c>
      <c r="S186" s="6" t="str">
        <f t="shared" si="26"/>
        <v>Credit Card</v>
      </c>
      <c r="T186" s="6" t="str">
        <f t="shared" si="27"/>
        <v>Male</v>
      </c>
      <c r="U186" s="6" t="str">
        <f t="shared" si="30"/>
        <v>General</v>
      </c>
      <c r="V186" s="6" t="str" cm="1">
        <f t="array" ref="V186">IF(TRIM(S186)="",INDEX($S$2:$S$1500,MATCH(MAX(COUNTIF($S$2:$S$1500,S186)),COUNTIF($S$2:$S$1500,$S$2:$S$1500),0)),S186)</f>
        <v>Credit Card</v>
      </c>
      <c r="W186" s="7" cm="1">
        <f t="array" ref="W186">IF(OR(TRIM(K186)="",TRIM(K186)="-"), MEDIAN(IF($E$2:$E$1500=E186,$K$2:$K$1500)),  VALUE(SUBSTITUTE(SUBSTITUTE(SUBSTITUTE(K186,"Rs. ",""),"₹",""),",","")))</f>
        <v>7473</v>
      </c>
      <c r="X186" s="8">
        <f t="shared" si="28"/>
        <v>3</v>
      </c>
      <c r="Y186" s="7">
        <f t="shared" si="29"/>
        <v>7249</v>
      </c>
      <c r="Z186" s="9" t="str">
        <f t="shared" si="21"/>
        <v>SENIOR</v>
      </c>
    </row>
    <row r="187" spans="1:26" x14ac:dyDescent="0.3">
      <c r="A187" s="5" t="s">
        <v>564</v>
      </c>
      <c r="B187" s="5" t="s">
        <v>25</v>
      </c>
      <c r="C187" s="5" t="s">
        <v>26</v>
      </c>
      <c r="D187" s="5" t="s">
        <v>80</v>
      </c>
      <c r="E187" s="5" t="s">
        <v>28</v>
      </c>
      <c r="F187" s="5" t="s">
        <v>29</v>
      </c>
      <c r="G187" s="5" t="s">
        <v>62</v>
      </c>
      <c r="H187" s="5">
        <v>47</v>
      </c>
      <c r="I187" s="5" t="s">
        <v>20</v>
      </c>
      <c r="J187" s="34" t="s">
        <v>565</v>
      </c>
      <c r="K187" s="31" t="s">
        <v>566</v>
      </c>
      <c r="L187" s="5" t="s">
        <v>42</v>
      </c>
      <c r="M187" s="32">
        <v>5</v>
      </c>
      <c r="N187" s="6">
        <f t="shared" si="22"/>
        <v>5</v>
      </c>
      <c r="O187" s="4" t="s">
        <v>29</v>
      </c>
      <c r="P187" s="5" t="str">
        <f t="shared" si="23"/>
        <v>Ahmedabad</v>
      </c>
      <c r="Q187" s="5" t="str">
        <f t="shared" si="24"/>
        <v>Oncology</v>
      </c>
      <c r="R187" s="6" t="str">
        <f t="shared" si="25"/>
        <v>Narayana</v>
      </c>
      <c r="S187" s="6" t="str">
        <f t="shared" si="26"/>
        <v>Insurance</v>
      </c>
      <c r="T187" s="6" t="str">
        <f t="shared" si="27"/>
        <v>Male</v>
      </c>
      <c r="U187" s="6" t="str">
        <f t="shared" si="30"/>
        <v>ICU</v>
      </c>
      <c r="V187" s="6" t="str" cm="1">
        <f t="array" ref="V187">IF(TRIM(S187)="",INDEX($S$2:$S$1500,MATCH(MAX(COUNTIF($S$2:$S$1500,S187)),COUNTIF($S$2:$S$1500,$S$2:$S$1500),0)),S187)</f>
        <v>Insurance</v>
      </c>
      <c r="W187" s="7" cm="1">
        <f t="array" ref="W187">IF(OR(TRIM(K187)="",TRIM(K187)="-"), MEDIAN(IF($E$2:$E$1500=E187,$K$2:$K$1500)),  VALUE(SUBSTITUTE(SUBSTITUTE(SUBSTITUTE(K187,"Rs. ",""),"₹",""),",","")))</f>
        <v>77550</v>
      </c>
      <c r="X187" s="8">
        <f t="shared" si="28"/>
        <v>5</v>
      </c>
      <c r="Y187" s="7">
        <f t="shared" si="29"/>
        <v>73673</v>
      </c>
      <c r="Z187" s="9" t="str">
        <f t="shared" si="21"/>
        <v>ADULT</v>
      </c>
    </row>
    <row r="188" spans="1:26" x14ac:dyDescent="0.3">
      <c r="A188" s="5" t="s">
        <v>567</v>
      </c>
      <c r="B188" s="5" t="s">
        <v>78</v>
      </c>
      <c r="C188" s="5" t="s">
        <v>203</v>
      </c>
      <c r="D188" s="5" t="s">
        <v>16</v>
      </c>
      <c r="E188" s="5" t="s">
        <v>74</v>
      </c>
      <c r="F188" s="5" t="s">
        <v>172</v>
      </c>
      <c r="G188" s="5" t="s">
        <v>30</v>
      </c>
      <c r="H188" s="5">
        <v>60</v>
      </c>
      <c r="I188" s="5" t="s">
        <v>70</v>
      </c>
      <c r="J188" s="34" t="s">
        <v>568</v>
      </c>
      <c r="K188" s="31" t="s">
        <v>569</v>
      </c>
      <c r="L188" s="5" t="s">
        <v>83</v>
      </c>
      <c r="M188" s="32">
        <v>0</v>
      </c>
      <c r="N188" s="6">
        <f t="shared" si="22"/>
        <v>0</v>
      </c>
      <c r="O188" s="4" t="s">
        <v>172</v>
      </c>
      <c r="P188" s="5" t="str">
        <f t="shared" si="23"/>
        <v>Bangalore</v>
      </c>
      <c r="Q188" s="5" t="str">
        <f t="shared" si="24"/>
        <v>General Medicine</v>
      </c>
      <c r="R188" s="6" t="str">
        <f t="shared" si="25"/>
        <v>Apollo</v>
      </c>
      <c r="S188" s="6" t="str">
        <f t="shared" si="26"/>
        <v>Debit Card</v>
      </c>
      <c r="T188" s="6" t="str">
        <f t="shared" si="27"/>
        <v>Female</v>
      </c>
      <c r="U188" s="6" t="str">
        <f t="shared" si="30"/>
        <v>General</v>
      </c>
      <c r="V188" s="6" t="str" cm="1">
        <f t="array" ref="V188">IF(TRIM(S188)="",INDEX($S$2:$S$1500,MATCH(MAX(COUNTIF($S$2:$S$1500,S188)),COUNTIF($S$2:$S$1500,$S$2:$S$1500),0)),S188)</f>
        <v>Debit Card</v>
      </c>
      <c r="W188" s="7" cm="1">
        <f t="array" ref="W188">IF(OR(TRIM(K188)="",TRIM(K188)="-"), MEDIAN(IF($E$2:$E$1500=E188,$K$2:$K$1500)),  VALUE(SUBSTITUTE(SUBSTITUTE(SUBSTITUTE(K188,"Rs. ",""),"₹",""),",","")))</f>
        <v>5956</v>
      </c>
      <c r="X188" s="8">
        <f t="shared" si="28"/>
        <v>0</v>
      </c>
      <c r="Y188" s="7">
        <f t="shared" si="29"/>
        <v>5956</v>
      </c>
      <c r="Z188" s="9" t="str">
        <f t="shared" si="21"/>
        <v>SENIOR</v>
      </c>
    </row>
    <row r="189" spans="1:26" x14ac:dyDescent="0.3">
      <c r="A189" s="5" t="s">
        <v>570</v>
      </c>
      <c r="B189" s="5" t="s">
        <v>45</v>
      </c>
      <c r="C189" s="5" t="s">
        <v>46</v>
      </c>
      <c r="D189" s="5" t="s">
        <v>36</v>
      </c>
      <c r="E189" s="5" t="s">
        <v>164</v>
      </c>
      <c r="F189" s="5" t="s">
        <v>282</v>
      </c>
      <c r="G189" s="5" t="s">
        <v>49</v>
      </c>
      <c r="H189" s="5">
        <v>90</v>
      </c>
      <c r="I189" s="5" t="s">
        <v>20</v>
      </c>
      <c r="J189" s="34" t="s">
        <v>571</v>
      </c>
      <c r="K189" s="31" t="s">
        <v>572</v>
      </c>
      <c r="L189" s="5" t="s">
        <v>72</v>
      </c>
      <c r="M189" s="32">
        <v>0</v>
      </c>
      <c r="N189" s="6">
        <f t="shared" si="22"/>
        <v>0</v>
      </c>
      <c r="O189" s="4" t="s">
        <v>282</v>
      </c>
      <c r="P189" s="5" t="str">
        <f t="shared" si="23"/>
        <v>Chennai</v>
      </c>
      <c r="Q189" s="5" t="str">
        <f t="shared" si="24"/>
        <v>Cardiology</v>
      </c>
      <c r="R189" s="6" t="str">
        <f t="shared" si="25"/>
        <v>Fortis</v>
      </c>
      <c r="S189" s="6" t="str">
        <f t="shared" si="26"/>
        <v>Cash</v>
      </c>
      <c r="T189" s="6" t="str">
        <f t="shared" si="27"/>
        <v>Male</v>
      </c>
      <c r="U189" s="6" t="str">
        <f t="shared" si="30"/>
        <v>General</v>
      </c>
      <c r="V189" s="6" t="str" cm="1">
        <f t="array" ref="V189">IF(TRIM(S189)="",INDEX($S$2:$S$1500,MATCH(MAX(COUNTIF($S$2:$S$1500,S189)),COUNTIF($S$2:$S$1500,$S$2:$S$1500),0)),S189)</f>
        <v>Cash</v>
      </c>
      <c r="W189" s="7" cm="1">
        <f t="array" ref="W189">IF(OR(TRIM(K189)="",TRIM(K189)="-"), MEDIAN(IF($E$2:$E$1500=E189,$K$2:$K$1500)),  VALUE(SUBSTITUTE(SUBSTITUTE(SUBSTITUTE(K189,"Rs. ",""),"₹",""),",","")))</f>
        <v>3653</v>
      </c>
      <c r="X189" s="8">
        <f t="shared" si="28"/>
        <v>0</v>
      </c>
      <c r="Y189" s="7">
        <f t="shared" si="29"/>
        <v>3653</v>
      </c>
      <c r="Z189" s="9" t="str">
        <f t="shared" si="21"/>
        <v>SENIOR</v>
      </c>
    </row>
    <row r="190" spans="1:26" x14ac:dyDescent="0.3">
      <c r="A190" s="5" t="s">
        <v>573</v>
      </c>
      <c r="B190" s="5" t="s">
        <v>25</v>
      </c>
      <c r="C190" s="5" t="s">
        <v>26</v>
      </c>
      <c r="D190" s="5" t="s">
        <v>61</v>
      </c>
      <c r="E190" s="5" t="s">
        <v>164</v>
      </c>
      <c r="F190" s="5" t="s">
        <v>219</v>
      </c>
      <c r="G190" s="5" t="s">
        <v>39</v>
      </c>
      <c r="H190" s="5">
        <v>68</v>
      </c>
      <c r="I190" s="5" t="s">
        <v>20</v>
      </c>
      <c r="J190" s="34" t="s">
        <v>574</v>
      </c>
      <c r="K190" s="31">
        <v>19261</v>
      </c>
      <c r="L190" s="5" t="s">
        <v>167</v>
      </c>
      <c r="M190" s="32" t="s">
        <v>76</v>
      </c>
      <c r="N190" s="6">
        <f t="shared" si="22"/>
        <v>10</v>
      </c>
      <c r="O190" s="4" t="s">
        <v>219</v>
      </c>
      <c r="P190" s="5" t="str">
        <f t="shared" si="23"/>
        <v>Pune</v>
      </c>
      <c r="Q190" s="5" t="str">
        <f t="shared" si="24"/>
        <v>Cardiology</v>
      </c>
      <c r="R190" s="6" t="str">
        <f t="shared" si="25"/>
        <v>Narayana</v>
      </c>
      <c r="S190" s="6" t="str">
        <f t="shared" si="26"/>
        <v>Insurance</v>
      </c>
      <c r="T190" s="6" t="str">
        <f t="shared" si="27"/>
        <v>Male</v>
      </c>
      <c r="U190" s="6" t="str">
        <f t="shared" si="30"/>
        <v>General</v>
      </c>
      <c r="V190" s="6" t="str" cm="1">
        <f t="array" ref="V190">IF(TRIM(S190)="",INDEX($S$2:$S$1500,MATCH(MAX(COUNTIF($S$2:$S$1500,S190)),COUNTIF($S$2:$S$1500,$S$2:$S$1500),0)),S190)</f>
        <v>Insurance</v>
      </c>
      <c r="W190" s="7" cm="1">
        <f t="array" ref="W190">IF(OR(TRIM(K190)="",TRIM(K190)="-"), MEDIAN(IF($E$2:$E$1500=E190,$K$2:$K$1500)),  VALUE(SUBSTITUTE(SUBSTITUTE(SUBSTITUTE(K190,"Rs. ",""),"₹",""),",","")))</f>
        <v>19261</v>
      </c>
      <c r="X190" s="8">
        <f t="shared" si="28"/>
        <v>10</v>
      </c>
      <c r="Y190" s="7">
        <f t="shared" si="29"/>
        <v>17335</v>
      </c>
      <c r="Z190" s="9" t="str">
        <f t="shared" si="21"/>
        <v>SENIOR</v>
      </c>
    </row>
    <row r="191" spans="1:26" x14ac:dyDescent="0.3">
      <c r="A191" s="5" t="s">
        <v>575</v>
      </c>
      <c r="B191" s="5" t="s">
        <v>14</v>
      </c>
      <c r="C191" s="5" t="s">
        <v>60</v>
      </c>
      <c r="D191" s="5" t="s">
        <v>66</v>
      </c>
      <c r="E191" s="5" t="s">
        <v>108</v>
      </c>
      <c r="F191" s="5" t="s">
        <v>124</v>
      </c>
      <c r="G191" s="5" t="s">
        <v>19</v>
      </c>
      <c r="H191" s="5">
        <v>35</v>
      </c>
      <c r="I191" s="5" t="s">
        <v>20</v>
      </c>
      <c r="J191" s="34" t="s">
        <v>576</v>
      </c>
      <c r="K191" s="31">
        <v>4356</v>
      </c>
      <c r="L191" s="5" t="s">
        <v>236</v>
      </c>
      <c r="M191" s="32">
        <v>5</v>
      </c>
      <c r="N191" s="6">
        <f t="shared" si="22"/>
        <v>5</v>
      </c>
      <c r="O191" s="4" t="s">
        <v>124</v>
      </c>
      <c r="P191" s="5" t="str">
        <f t="shared" si="23"/>
        <v>Kolkata</v>
      </c>
      <c r="Q191" s="5" t="str">
        <f t="shared" si="24"/>
        <v>Orthopedics</v>
      </c>
      <c r="R191" s="6" t="str">
        <f t="shared" si="25"/>
        <v>Max_Healthcare</v>
      </c>
      <c r="S191" s="6" t="str">
        <f t="shared" si="26"/>
        <v>Debit Card</v>
      </c>
      <c r="T191" s="6" t="str">
        <f t="shared" si="27"/>
        <v>Male</v>
      </c>
      <c r="U191" s="6" t="str">
        <f t="shared" si="30"/>
        <v>General</v>
      </c>
      <c r="V191" s="6" t="str" cm="1">
        <f t="array" ref="V191">IF(TRIM(S191)="",INDEX($S$2:$S$1500,MATCH(MAX(COUNTIF($S$2:$S$1500,S191)),COUNTIF($S$2:$S$1500,$S$2:$S$1500),0)),S191)</f>
        <v>Debit Card</v>
      </c>
      <c r="W191" s="7" cm="1">
        <f t="array" ref="W191">IF(OR(TRIM(K191)="",TRIM(K191)="-"), MEDIAN(IF($E$2:$E$1500=E191,$K$2:$K$1500)),  VALUE(SUBSTITUTE(SUBSTITUTE(SUBSTITUTE(K191,"Rs. ",""),"₹",""),",","")))</f>
        <v>4356</v>
      </c>
      <c r="X191" s="8">
        <f t="shared" si="28"/>
        <v>5</v>
      </c>
      <c r="Y191" s="7">
        <f t="shared" si="29"/>
        <v>4138</v>
      </c>
      <c r="Z191" s="9" t="str">
        <f t="shared" si="21"/>
        <v>ADULT</v>
      </c>
    </row>
    <row r="192" spans="1:26" x14ac:dyDescent="0.3">
      <c r="A192" s="5" t="s">
        <v>577</v>
      </c>
      <c r="B192" s="5" t="s">
        <v>106</v>
      </c>
      <c r="C192" s="5" t="s">
        <v>107</v>
      </c>
      <c r="D192" s="5" t="s">
        <v>66</v>
      </c>
      <c r="E192" s="5" t="s">
        <v>17</v>
      </c>
      <c r="F192" s="5" t="s">
        <v>169</v>
      </c>
      <c r="G192" s="5" t="s">
        <v>30</v>
      </c>
      <c r="H192" s="5">
        <v>50</v>
      </c>
      <c r="I192" s="5" t="s">
        <v>40</v>
      </c>
      <c r="J192" s="34" t="s">
        <v>578</v>
      </c>
      <c r="K192" s="31">
        <v>16433</v>
      </c>
      <c r="L192" s="5" t="s">
        <v>91</v>
      </c>
      <c r="M192" s="32">
        <v>0.1</v>
      </c>
      <c r="N192" s="6">
        <f t="shared" si="22"/>
        <v>10</v>
      </c>
      <c r="O192" s="4" t="s">
        <v>169</v>
      </c>
      <c r="P192" s="5" t="str">
        <f t="shared" si="23"/>
        <v>Kolkata</v>
      </c>
      <c r="Q192" s="5" t="str">
        <f t="shared" si="24"/>
        <v>Gynecology</v>
      </c>
      <c r="R192" s="6" t="str">
        <f t="shared" si="25"/>
        <v>Aiims</v>
      </c>
      <c r="S192" s="6" t="str">
        <f t="shared" si="26"/>
        <v>Debit Card</v>
      </c>
      <c r="T192" s="6" t="str">
        <f t="shared" si="27"/>
        <v>Female</v>
      </c>
      <c r="U192" s="6" t="str">
        <f t="shared" si="30"/>
        <v>General</v>
      </c>
      <c r="V192" s="6" t="str" cm="1">
        <f t="array" ref="V192">IF(TRIM(S192)="",INDEX($S$2:$S$1500,MATCH(MAX(COUNTIF($S$2:$S$1500,S192)),COUNTIF($S$2:$S$1500,$S$2:$S$1500),0)),S192)</f>
        <v>Debit Card</v>
      </c>
      <c r="W192" s="7" cm="1">
        <f t="array" ref="W192">IF(OR(TRIM(K192)="",TRIM(K192)="-"), MEDIAN(IF($E$2:$E$1500=E192,$K$2:$K$1500)),  VALUE(SUBSTITUTE(SUBSTITUTE(SUBSTITUTE(K192,"Rs. ",""),"₹",""),",","")))</f>
        <v>16433</v>
      </c>
      <c r="X192" s="8">
        <f t="shared" si="28"/>
        <v>10</v>
      </c>
      <c r="Y192" s="7">
        <f t="shared" si="29"/>
        <v>14790</v>
      </c>
      <c r="Z192" s="9" t="str">
        <f t="shared" si="21"/>
        <v>ADULT</v>
      </c>
    </row>
    <row r="193" spans="1:26" x14ac:dyDescent="0.3">
      <c r="A193" s="5" t="s">
        <v>579</v>
      </c>
      <c r="B193" s="5" t="s">
        <v>106</v>
      </c>
      <c r="C193" s="5" t="s">
        <v>107</v>
      </c>
      <c r="D193" s="5" t="s">
        <v>61</v>
      </c>
      <c r="E193" s="5" t="s">
        <v>28</v>
      </c>
      <c r="F193" s="5" t="s">
        <v>290</v>
      </c>
      <c r="G193" s="5" t="s">
        <v>39</v>
      </c>
      <c r="H193" s="5">
        <v>92</v>
      </c>
      <c r="I193" s="5" t="s">
        <v>20</v>
      </c>
      <c r="J193" s="34" t="s">
        <v>580</v>
      </c>
      <c r="K193" s="31">
        <v>13629</v>
      </c>
      <c r="L193" s="5" t="s">
        <v>83</v>
      </c>
      <c r="M193" s="32"/>
      <c r="N193" s="6">
        <f t="shared" si="22"/>
        <v>0</v>
      </c>
      <c r="O193" s="4" t="s">
        <v>290</v>
      </c>
      <c r="P193" s="5" t="str">
        <f t="shared" si="23"/>
        <v>Pune</v>
      </c>
      <c r="Q193" s="5" t="str">
        <f t="shared" si="24"/>
        <v>Oncology</v>
      </c>
      <c r="R193" s="6" t="str">
        <f t="shared" si="25"/>
        <v>Aiims</v>
      </c>
      <c r="S193" s="6" t="str">
        <f t="shared" si="26"/>
        <v>Debit Card</v>
      </c>
      <c r="T193" s="6" t="str">
        <f t="shared" si="27"/>
        <v>Male</v>
      </c>
      <c r="U193" s="6" t="str">
        <f t="shared" si="30"/>
        <v>General</v>
      </c>
      <c r="V193" s="6" t="str" cm="1">
        <f t="array" ref="V193">IF(TRIM(S193)="",INDEX($S$2:$S$1500,MATCH(MAX(COUNTIF($S$2:$S$1500,S193)),COUNTIF($S$2:$S$1500,$S$2:$S$1500),0)),S193)</f>
        <v>Debit Card</v>
      </c>
      <c r="W193" s="7" cm="1">
        <f t="array" ref="W193">IF(OR(TRIM(K193)="",TRIM(K193)="-"), MEDIAN(IF($E$2:$E$1500=E193,$K$2:$K$1500)),  VALUE(SUBSTITUTE(SUBSTITUTE(SUBSTITUTE(K193,"Rs. ",""),"₹",""),",","")))</f>
        <v>13629</v>
      </c>
      <c r="X193" s="8">
        <f t="shared" si="28"/>
        <v>0</v>
      </c>
      <c r="Y193" s="7">
        <f t="shared" si="29"/>
        <v>13629</v>
      </c>
      <c r="Z193" s="9" t="str">
        <f t="shared" si="21"/>
        <v>SENIOR</v>
      </c>
    </row>
    <row r="194" spans="1:26" x14ac:dyDescent="0.3">
      <c r="A194" s="5" t="s">
        <v>581</v>
      </c>
      <c r="B194" s="5" t="s">
        <v>117</v>
      </c>
      <c r="C194" s="5" t="s">
        <v>118</v>
      </c>
      <c r="D194" s="5" t="s">
        <v>55</v>
      </c>
      <c r="E194" s="5" t="s">
        <v>47</v>
      </c>
      <c r="F194" s="5" t="s">
        <v>364</v>
      </c>
      <c r="G194" s="5" t="s">
        <v>49</v>
      </c>
      <c r="H194" s="5">
        <v>46</v>
      </c>
      <c r="I194" s="5" t="s">
        <v>70</v>
      </c>
      <c r="J194" s="34" t="s">
        <v>582</v>
      </c>
      <c r="K194" s="31">
        <v>15894</v>
      </c>
      <c r="L194" s="5" t="s">
        <v>83</v>
      </c>
      <c r="M194" s="32">
        <v>0</v>
      </c>
      <c r="N194" s="6">
        <f t="shared" si="22"/>
        <v>0</v>
      </c>
      <c r="O194" s="4" t="s">
        <v>364</v>
      </c>
      <c r="P194" s="5" t="str">
        <f t="shared" si="23"/>
        <v>Hyderabad</v>
      </c>
      <c r="Q194" s="5" t="str">
        <f t="shared" si="24"/>
        <v>Gastroenterology</v>
      </c>
      <c r="R194" s="6" t="str">
        <f t="shared" si="25"/>
        <v>Manipal</v>
      </c>
      <c r="S194" s="6" t="str">
        <f t="shared" si="26"/>
        <v>Debit Card</v>
      </c>
      <c r="T194" s="6" t="str">
        <f t="shared" si="27"/>
        <v>Female</v>
      </c>
      <c r="U194" s="6" t="str">
        <f t="shared" si="30"/>
        <v>General</v>
      </c>
      <c r="V194" s="6" t="str" cm="1">
        <f t="array" ref="V194">IF(TRIM(S194)="",INDEX($S$2:$S$1500,MATCH(MAX(COUNTIF($S$2:$S$1500,S194)),COUNTIF($S$2:$S$1500,$S$2:$S$1500),0)),S194)</f>
        <v>Debit Card</v>
      </c>
      <c r="W194" s="7" cm="1">
        <f t="array" ref="W194">IF(OR(TRIM(K194)="",TRIM(K194)="-"), MEDIAN(IF($E$2:$E$1500=E194,$K$2:$K$1500)),  VALUE(SUBSTITUTE(SUBSTITUTE(SUBSTITUTE(K194,"Rs. ",""),"₹",""),",","")))</f>
        <v>15894</v>
      </c>
      <c r="X194" s="8">
        <f t="shared" si="28"/>
        <v>0</v>
      </c>
      <c r="Y194" s="7">
        <f t="shared" si="29"/>
        <v>15894</v>
      </c>
      <c r="Z194" s="9" t="str">
        <f t="shared" ref="Z194:Z257" si="31">IF(H194&lt;13,"CHILD",IF(H194&lt;20,"TEEN",IF(H194&lt;60,"ADULT","SENIOR")))</f>
        <v>ADULT</v>
      </c>
    </row>
    <row r="195" spans="1:26" x14ac:dyDescent="0.3">
      <c r="A195" s="5" t="s">
        <v>583</v>
      </c>
      <c r="B195" s="5" t="s">
        <v>45</v>
      </c>
      <c r="C195" s="5" t="s">
        <v>46</v>
      </c>
      <c r="D195" s="5" t="s">
        <v>66</v>
      </c>
      <c r="E195" s="5" t="s">
        <v>74</v>
      </c>
      <c r="F195" s="5" t="s">
        <v>147</v>
      </c>
      <c r="G195" s="5" t="s">
        <v>62</v>
      </c>
      <c r="H195" s="5">
        <v>62</v>
      </c>
      <c r="I195" s="5" t="s">
        <v>31</v>
      </c>
      <c r="J195" s="34" t="s">
        <v>584</v>
      </c>
      <c r="K195" s="31" t="s">
        <v>585</v>
      </c>
      <c r="L195" s="5" t="s">
        <v>23</v>
      </c>
      <c r="M195" s="32" t="s">
        <v>140</v>
      </c>
      <c r="N195" s="6" t="str">
        <f t="shared" ref="N195:N258" si="32">IF(RIGHT(TRIM(M195),1)="%",VALUE(LEFT(TRIM(M195),LEN(TRIM(M195))-1)),  IF(AND(ISNUMBER(M195),M195&lt;=1,M195&gt;0),M195*100,M195))</f>
        <v>-</v>
      </c>
      <c r="O195" s="4" t="s">
        <v>147</v>
      </c>
      <c r="P195" s="5" t="str">
        <f t="shared" ref="P195:P258" si="33">PROPER(D195)</f>
        <v>Kolkata</v>
      </c>
      <c r="Q195" s="5" t="str">
        <f t="shared" ref="Q195:Q258" si="34">PROPER(E195)</f>
        <v>General Medicine</v>
      </c>
      <c r="R195" s="6" t="str">
        <f t="shared" ref="R195:R258" si="35">PROPER(C195)</f>
        <v>Fortis</v>
      </c>
      <c r="S195" s="6" t="str">
        <f t="shared" ref="S195:S258" si="36">IF(OR(UPPER(TRIM(L195))="CREDIT_CARD",UPPER(TRIM(L195))="CREDIT CARD",UPPER(TRIM(L195))="CC"),"Credit Card", IF(OR(UPPER(TRIM(L195))="DEBIT_CARD",UPPER(TRIM(L195))="DEBIT CARD",UPPER(TRIM(L195))="DC"),"Debit Card", IF(UPPER(TRIM(L195))="CASH","Cash", IF(UPPER(TRIM(L195))="UPI","UPI", IF(OR(UPPER(TRIM(L195))="INSURANCE",UPPER(TRIM(L195))="INS"),"Insurance", IF(TRIM(L195)="","Unknown","Unknown"))))))</f>
        <v>Credit Card</v>
      </c>
      <c r="T195" s="6" t="str">
        <f t="shared" ref="T195:T258" si="37">IF(OR(UPPER(TRIM(I195))="M",UPPER(TRIM(I195))="MALE"),"Male",IF(OR(UPPER(TRIM(I195))="F",UPPER(TRIM(I195))="FEMALE"),"Female","Unknown"))</f>
        <v>Male</v>
      </c>
      <c r="U195" s="6" t="str">
        <f t="shared" si="30"/>
        <v>ICU</v>
      </c>
      <c r="V195" s="6" t="str" cm="1">
        <f t="array" ref="V195">IF(TRIM(S195)="",INDEX($S$2:$S$1500,MATCH(MAX(COUNTIF($S$2:$S$1500,S195)),COUNTIF($S$2:$S$1500,$S$2:$S$1500),0)),S195)</f>
        <v>Credit Card</v>
      </c>
      <c r="W195" s="7" cm="1">
        <f t="array" ref="W195">IF(OR(TRIM(K195)="",TRIM(K195)="-"), MEDIAN(IF($E$2:$E$1500=E195,$K$2:$K$1500)),  VALUE(SUBSTITUTE(SUBSTITUTE(SUBSTITUTE(K195,"Rs. ",""),"₹",""),",","")))</f>
        <v>38623</v>
      </c>
      <c r="X195" s="8">
        <f t="shared" ref="X195:X258" si="38">ROUND(IF(OR(TRIM(N195)="-",UPPER(TRIM(N195))="N/A",UPPER(TRIM(N195))="NA"), IFERROR(AVERAGEIF($V$2:$V$1500,V195,$N$2:$N$1500),AVERAGE($N$2:$N$1500)), N195),0)</f>
        <v>3</v>
      </c>
      <c r="Y195" s="7">
        <f t="shared" ref="Y195:Y258" si="39">ROUND(W195*(1-X195/100),0)</f>
        <v>37464</v>
      </c>
      <c r="Z195" s="9" t="str">
        <f t="shared" si="31"/>
        <v>SENIOR</v>
      </c>
    </row>
    <row r="196" spans="1:26" x14ac:dyDescent="0.3">
      <c r="A196" s="5" t="s">
        <v>586</v>
      </c>
      <c r="B196" s="5" t="s">
        <v>106</v>
      </c>
      <c r="C196" s="5" t="s">
        <v>107</v>
      </c>
      <c r="D196" s="5" t="s">
        <v>16</v>
      </c>
      <c r="E196" s="5" t="s">
        <v>67</v>
      </c>
      <c r="F196" s="5" t="s">
        <v>68</v>
      </c>
      <c r="G196" s="5" t="s">
        <v>39</v>
      </c>
      <c r="H196" s="5">
        <v>42</v>
      </c>
      <c r="I196" s="5" t="s">
        <v>40</v>
      </c>
      <c r="J196" s="34" t="s">
        <v>587</v>
      </c>
      <c r="K196" s="31" t="s">
        <v>588</v>
      </c>
      <c r="L196" s="5" t="s">
        <v>72</v>
      </c>
      <c r="M196" s="32" t="s">
        <v>130</v>
      </c>
      <c r="N196" s="6">
        <f t="shared" si="32"/>
        <v>0</v>
      </c>
      <c r="O196" s="4" t="s">
        <v>68</v>
      </c>
      <c r="P196" s="5" t="str">
        <f t="shared" si="33"/>
        <v>Bangalore</v>
      </c>
      <c r="Q196" s="5" t="str">
        <f t="shared" si="34"/>
        <v>Neurology</v>
      </c>
      <c r="R196" s="6" t="str">
        <f t="shared" si="35"/>
        <v>Aiims</v>
      </c>
      <c r="S196" s="6" t="str">
        <f t="shared" si="36"/>
        <v>Cash</v>
      </c>
      <c r="T196" s="6" t="str">
        <f t="shared" si="37"/>
        <v>Female</v>
      </c>
      <c r="U196" s="6" t="str">
        <f t="shared" si="30"/>
        <v>General</v>
      </c>
      <c r="V196" s="6" t="str" cm="1">
        <f t="array" ref="V196">IF(TRIM(S196)="",INDEX($S$2:$S$1500,MATCH(MAX(COUNTIF($S$2:$S$1500,S196)),COUNTIF($S$2:$S$1500,$S$2:$S$1500),0)),S196)</f>
        <v>Cash</v>
      </c>
      <c r="W196" s="7" cm="1">
        <f t="array" ref="W196">IF(OR(TRIM(K196)="",TRIM(K196)="-"), MEDIAN(IF($E$2:$E$1500=E196,$K$2:$K$1500)),  VALUE(SUBSTITUTE(SUBSTITUTE(SUBSTITUTE(K196,"Rs. ",""),"₹",""),",","")))</f>
        <v>17026</v>
      </c>
      <c r="X196" s="8">
        <f t="shared" si="38"/>
        <v>0</v>
      </c>
      <c r="Y196" s="7">
        <f t="shared" si="39"/>
        <v>17026</v>
      </c>
      <c r="Z196" s="9" t="str">
        <f t="shared" si="31"/>
        <v>ADULT</v>
      </c>
    </row>
    <row r="197" spans="1:26" x14ac:dyDescent="0.3">
      <c r="A197" s="5" t="s">
        <v>589</v>
      </c>
      <c r="B197" s="5" t="s">
        <v>25</v>
      </c>
      <c r="C197" s="5" t="s">
        <v>54</v>
      </c>
      <c r="D197" s="5" t="s">
        <v>66</v>
      </c>
      <c r="E197" s="5" t="s">
        <v>99</v>
      </c>
      <c r="F197" s="5" t="s">
        <v>372</v>
      </c>
      <c r="G197" s="5" t="s">
        <v>49</v>
      </c>
      <c r="H197" s="5">
        <v>89</v>
      </c>
      <c r="I197" s="5" t="s">
        <v>20</v>
      </c>
      <c r="J197" s="34" t="s">
        <v>590</v>
      </c>
      <c r="K197" s="31">
        <v>18674</v>
      </c>
      <c r="L197" s="5" t="s">
        <v>87</v>
      </c>
      <c r="M197" s="32" t="s">
        <v>130</v>
      </c>
      <c r="N197" s="6">
        <f t="shared" si="32"/>
        <v>0</v>
      </c>
      <c r="O197" s="4" t="s">
        <v>372</v>
      </c>
      <c r="P197" s="5" t="str">
        <f t="shared" si="33"/>
        <v>Kolkata</v>
      </c>
      <c r="Q197" s="5" t="str">
        <f t="shared" si="34"/>
        <v>Ent</v>
      </c>
      <c r="R197" s="6" t="str">
        <f t="shared" si="35"/>
        <v>Narayana</v>
      </c>
      <c r="S197" s="6" t="str">
        <f t="shared" si="36"/>
        <v>Credit Card</v>
      </c>
      <c r="T197" s="6" t="str">
        <f t="shared" si="37"/>
        <v>Male</v>
      </c>
      <c r="U197" s="6" t="str">
        <f t="shared" si="30"/>
        <v>General</v>
      </c>
      <c r="V197" s="6" t="str" cm="1">
        <f t="array" ref="V197">IF(TRIM(S197)="",INDEX($S$2:$S$1500,MATCH(MAX(COUNTIF($S$2:$S$1500,S197)),COUNTIF($S$2:$S$1500,$S$2:$S$1500),0)),S197)</f>
        <v>Credit Card</v>
      </c>
      <c r="W197" s="7" cm="1">
        <f t="array" ref="W197">IF(OR(TRIM(K197)="",TRIM(K197)="-"), MEDIAN(IF($E$2:$E$1500=E197,$K$2:$K$1500)),  VALUE(SUBSTITUTE(SUBSTITUTE(SUBSTITUTE(K197,"Rs. ",""),"₹",""),",","")))</f>
        <v>18674</v>
      </c>
      <c r="X197" s="8">
        <f t="shared" si="38"/>
        <v>0</v>
      </c>
      <c r="Y197" s="7">
        <f t="shared" si="39"/>
        <v>18674</v>
      </c>
      <c r="Z197" s="9" t="str">
        <f t="shared" si="31"/>
        <v>SENIOR</v>
      </c>
    </row>
    <row r="198" spans="1:26" x14ac:dyDescent="0.3">
      <c r="A198" s="5" t="s">
        <v>591</v>
      </c>
      <c r="B198" s="5" t="s">
        <v>45</v>
      </c>
      <c r="C198" s="5" t="s">
        <v>46</v>
      </c>
      <c r="D198" s="5" t="s">
        <v>55</v>
      </c>
      <c r="E198" s="5" t="s">
        <v>93</v>
      </c>
      <c r="F198" s="5" t="s">
        <v>94</v>
      </c>
      <c r="G198" s="5" t="s">
        <v>62</v>
      </c>
      <c r="H198" s="5">
        <v>26</v>
      </c>
      <c r="I198" s="5" t="s">
        <v>20</v>
      </c>
      <c r="J198" s="34" t="s">
        <v>592</v>
      </c>
      <c r="K198" s="31" t="s">
        <v>593</v>
      </c>
      <c r="L198" s="5" t="s">
        <v>58</v>
      </c>
      <c r="M198" s="32" t="s">
        <v>130</v>
      </c>
      <c r="N198" s="6">
        <f t="shared" si="32"/>
        <v>0</v>
      </c>
      <c r="O198" s="4" t="s">
        <v>94</v>
      </c>
      <c r="P198" s="5" t="str">
        <f t="shared" si="33"/>
        <v>Hyderabad</v>
      </c>
      <c r="Q198" s="5" t="str">
        <f t="shared" si="34"/>
        <v>Nephrology</v>
      </c>
      <c r="R198" s="6" t="str">
        <f t="shared" si="35"/>
        <v>Fortis</v>
      </c>
      <c r="S198" s="6" t="str">
        <f t="shared" si="36"/>
        <v>UPI</v>
      </c>
      <c r="T198" s="6" t="str">
        <f t="shared" si="37"/>
        <v>Male</v>
      </c>
      <c r="U198" s="6" t="str">
        <f t="shared" si="30"/>
        <v>ICU</v>
      </c>
      <c r="V198" s="6" t="str" cm="1">
        <f t="array" ref="V198">IF(TRIM(S198)="",INDEX($S$2:$S$1500,MATCH(MAX(COUNTIF($S$2:$S$1500,S198)),COUNTIF($S$2:$S$1500,$S$2:$S$1500),0)),S198)</f>
        <v>UPI</v>
      </c>
      <c r="W198" s="7" cm="1">
        <f t="array" ref="W198">IF(OR(TRIM(K198)="",TRIM(K198)="-"), MEDIAN(IF($E$2:$E$1500=E198,$K$2:$K$1500)),  VALUE(SUBSTITUTE(SUBSTITUTE(SUBSTITUTE(K198,"Rs. ",""),"₹",""),",","")))</f>
        <v>54035</v>
      </c>
      <c r="X198" s="8">
        <f t="shared" si="38"/>
        <v>0</v>
      </c>
      <c r="Y198" s="7">
        <f t="shared" si="39"/>
        <v>54035</v>
      </c>
      <c r="Z198" s="9" t="str">
        <f t="shared" si="31"/>
        <v>ADULT</v>
      </c>
    </row>
    <row r="199" spans="1:26" x14ac:dyDescent="0.3">
      <c r="A199" s="5" t="s">
        <v>594</v>
      </c>
      <c r="B199" s="5" t="s">
        <v>117</v>
      </c>
      <c r="C199" s="5" t="s">
        <v>127</v>
      </c>
      <c r="D199" s="5" t="s">
        <v>27</v>
      </c>
      <c r="E199" s="5" t="s">
        <v>93</v>
      </c>
      <c r="F199" s="5" t="s">
        <v>144</v>
      </c>
      <c r="G199" s="5" t="s">
        <v>69</v>
      </c>
      <c r="H199" s="5">
        <v>38</v>
      </c>
      <c r="I199" s="5" t="s">
        <v>31</v>
      </c>
      <c r="J199" s="34" t="s">
        <v>565</v>
      </c>
      <c r="K199" s="31">
        <v>68708</v>
      </c>
      <c r="L199" s="5" t="s">
        <v>87</v>
      </c>
      <c r="M199" s="32">
        <v>0</v>
      </c>
      <c r="N199" s="6">
        <f t="shared" si="32"/>
        <v>0</v>
      </c>
      <c r="O199" s="4" t="s">
        <v>144</v>
      </c>
      <c r="P199" s="5" t="str">
        <f t="shared" si="33"/>
        <v>Mumbai</v>
      </c>
      <c r="Q199" s="5" t="str">
        <f t="shared" si="34"/>
        <v>Nephrology</v>
      </c>
      <c r="R199" s="6" t="str">
        <f t="shared" si="35"/>
        <v>Manipal</v>
      </c>
      <c r="S199" s="6" t="str">
        <f t="shared" si="36"/>
        <v>Credit Card</v>
      </c>
      <c r="T199" s="6" t="str">
        <f t="shared" si="37"/>
        <v>Male</v>
      </c>
      <c r="U199" s="6" t="str">
        <f t="shared" si="30"/>
        <v>ICU</v>
      </c>
      <c r="V199" s="6" t="str" cm="1">
        <f t="array" ref="V199">IF(TRIM(S199)="",INDEX($S$2:$S$1500,MATCH(MAX(COUNTIF($S$2:$S$1500,S199)),COUNTIF($S$2:$S$1500,$S$2:$S$1500),0)),S199)</f>
        <v>Credit Card</v>
      </c>
      <c r="W199" s="7" cm="1">
        <f t="array" ref="W199">IF(OR(TRIM(K199)="",TRIM(K199)="-"), MEDIAN(IF($E$2:$E$1500=E199,$K$2:$K$1500)),  VALUE(SUBSTITUTE(SUBSTITUTE(SUBSTITUTE(K199,"Rs. ",""),"₹",""),",","")))</f>
        <v>68708</v>
      </c>
      <c r="X199" s="8">
        <f t="shared" si="38"/>
        <v>0</v>
      </c>
      <c r="Y199" s="7">
        <f t="shared" si="39"/>
        <v>68708</v>
      </c>
      <c r="Z199" s="9" t="str">
        <f t="shared" si="31"/>
        <v>ADULT</v>
      </c>
    </row>
    <row r="200" spans="1:26" x14ac:dyDescent="0.3">
      <c r="A200" s="5" t="s">
        <v>595</v>
      </c>
      <c r="B200" s="5" t="s">
        <v>25</v>
      </c>
      <c r="C200" s="5" t="s">
        <v>54</v>
      </c>
      <c r="D200" s="5" t="s">
        <v>66</v>
      </c>
      <c r="E200" s="5" t="s">
        <v>37</v>
      </c>
      <c r="F200" s="5" t="s">
        <v>132</v>
      </c>
      <c r="G200" s="5" t="s">
        <v>30</v>
      </c>
      <c r="H200" s="5">
        <v>92</v>
      </c>
      <c r="I200" s="5" t="s">
        <v>31</v>
      </c>
      <c r="J200" s="34" t="s">
        <v>242</v>
      </c>
      <c r="K200" s="31">
        <v>5076</v>
      </c>
      <c r="L200" s="5" t="s">
        <v>34</v>
      </c>
      <c r="M200" s="32" t="s">
        <v>198</v>
      </c>
      <c r="N200" s="6">
        <f t="shared" si="32"/>
        <v>5</v>
      </c>
      <c r="O200" s="4" t="s">
        <v>132</v>
      </c>
      <c r="P200" s="5" t="str">
        <f t="shared" si="33"/>
        <v>Kolkata</v>
      </c>
      <c r="Q200" s="5" t="str">
        <f t="shared" si="34"/>
        <v>Pediatrics</v>
      </c>
      <c r="R200" s="6" t="str">
        <f t="shared" si="35"/>
        <v>Narayana</v>
      </c>
      <c r="S200" s="6" t="str">
        <f t="shared" si="36"/>
        <v>Cash</v>
      </c>
      <c r="T200" s="6" t="str">
        <f t="shared" si="37"/>
        <v>Male</v>
      </c>
      <c r="U200" s="6" t="str">
        <f t="shared" si="30"/>
        <v>General</v>
      </c>
      <c r="V200" s="6" t="str" cm="1">
        <f t="array" ref="V200">IF(TRIM(S200)="",INDEX($S$2:$S$1500,MATCH(MAX(COUNTIF($S$2:$S$1500,S200)),COUNTIF($S$2:$S$1500,$S$2:$S$1500),0)),S200)</f>
        <v>Cash</v>
      </c>
      <c r="W200" s="7" cm="1">
        <f t="array" ref="W200">IF(OR(TRIM(K200)="",TRIM(K200)="-"), MEDIAN(IF($E$2:$E$1500=E200,$K$2:$K$1500)),  VALUE(SUBSTITUTE(SUBSTITUTE(SUBSTITUTE(K200,"Rs. ",""),"₹",""),",","")))</f>
        <v>5076</v>
      </c>
      <c r="X200" s="8">
        <f t="shared" si="38"/>
        <v>5</v>
      </c>
      <c r="Y200" s="7">
        <f t="shared" si="39"/>
        <v>4822</v>
      </c>
      <c r="Z200" s="9" t="str">
        <f t="shared" si="31"/>
        <v>SENIOR</v>
      </c>
    </row>
    <row r="201" spans="1:26" x14ac:dyDescent="0.3">
      <c r="A201" s="5" t="s">
        <v>596</v>
      </c>
      <c r="B201" s="5" t="s">
        <v>106</v>
      </c>
      <c r="C201" s="5" t="s">
        <v>307</v>
      </c>
      <c r="D201" s="5" t="s">
        <v>189</v>
      </c>
      <c r="E201" s="5" t="s">
        <v>108</v>
      </c>
      <c r="F201" s="5" t="s">
        <v>109</v>
      </c>
      <c r="G201" s="5" t="s">
        <v>69</v>
      </c>
      <c r="H201" s="5">
        <v>54</v>
      </c>
      <c r="I201" s="5" t="s">
        <v>40</v>
      </c>
      <c r="J201" s="34" t="s">
        <v>597</v>
      </c>
      <c r="K201" s="31" t="s">
        <v>598</v>
      </c>
      <c r="L201" s="5" t="s">
        <v>87</v>
      </c>
      <c r="M201" s="32">
        <v>0</v>
      </c>
      <c r="N201" s="6">
        <f t="shared" si="32"/>
        <v>0</v>
      </c>
      <c r="O201" s="4" t="s">
        <v>109</v>
      </c>
      <c r="P201" s="5" t="str">
        <f t="shared" si="33"/>
        <v>Delhi</v>
      </c>
      <c r="Q201" s="5" t="str">
        <f t="shared" si="34"/>
        <v>Orthopedics</v>
      </c>
      <c r="R201" s="6" t="str">
        <f t="shared" si="35"/>
        <v>Aiims</v>
      </c>
      <c r="S201" s="6" t="str">
        <f t="shared" si="36"/>
        <v>Credit Card</v>
      </c>
      <c r="T201" s="6" t="str">
        <f t="shared" si="37"/>
        <v>Female</v>
      </c>
      <c r="U201" s="6" t="str">
        <f t="shared" si="30"/>
        <v>ICU</v>
      </c>
      <c r="V201" s="6" t="str" cm="1">
        <f t="array" ref="V201">IF(TRIM(S201)="",INDEX($S$2:$S$1500,MATCH(MAX(COUNTIF($S$2:$S$1500,S201)),COUNTIF($S$2:$S$1500,$S$2:$S$1500),0)),S201)</f>
        <v>Credit Card</v>
      </c>
      <c r="W201" s="7" cm="1">
        <f t="array" ref="W201">IF(OR(TRIM(K201)="",TRIM(K201)="-"), MEDIAN(IF($E$2:$E$1500=E201,$K$2:$K$1500)),  VALUE(SUBSTITUTE(SUBSTITUTE(SUBSTITUTE(K201,"Rs. ",""),"₹",""),",","")))</f>
        <v>28532</v>
      </c>
      <c r="X201" s="8">
        <f t="shared" si="38"/>
        <v>0</v>
      </c>
      <c r="Y201" s="7">
        <f t="shared" si="39"/>
        <v>28532</v>
      </c>
      <c r="Z201" s="9" t="str">
        <f t="shared" si="31"/>
        <v>ADULT</v>
      </c>
    </row>
    <row r="202" spans="1:26" x14ac:dyDescent="0.3">
      <c r="A202" s="5" t="s">
        <v>599</v>
      </c>
      <c r="B202" s="5" t="s">
        <v>78</v>
      </c>
      <c r="C202" s="5" t="s">
        <v>203</v>
      </c>
      <c r="D202" s="5" t="s">
        <v>66</v>
      </c>
      <c r="E202" s="5" t="s">
        <v>93</v>
      </c>
      <c r="F202" s="5" t="s">
        <v>94</v>
      </c>
      <c r="G202" s="5" t="s">
        <v>101</v>
      </c>
      <c r="H202" s="5">
        <v>12</v>
      </c>
      <c r="I202" s="5" t="s">
        <v>40</v>
      </c>
      <c r="J202" s="34" t="s">
        <v>86</v>
      </c>
      <c r="K202" s="31">
        <v>30110</v>
      </c>
      <c r="L202" s="5"/>
      <c r="M202" s="32">
        <v>0</v>
      </c>
      <c r="N202" s="6">
        <f t="shared" si="32"/>
        <v>0</v>
      </c>
      <c r="O202" s="4" t="s">
        <v>94</v>
      </c>
      <c r="P202" s="5" t="str">
        <f t="shared" si="33"/>
        <v>Kolkata</v>
      </c>
      <c r="Q202" s="5" t="str">
        <f t="shared" si="34"/>
        <v>Nephrology</v>
      </c>
      <c r="R202" s="6" t="str">
        <f t="shared" si="35"/>
        <v>Apollo</v>
      </c>
      <c r="S202" s="6" t="str">
        <f t="shared" si="36"/>
        <v>Unknown</v>
      </c>
      <c r="T202" s="6" t="str">
        <f t="shared" si="37"/>
        <v>Female</v>
      </c>
      <c r="U202" s="6" t="str">
        <f t="shared" si="30"/>
        <v>ICU</v>
      </c>
      <c r="V202" s="6" t="str" cm="1">
        <f t="array" ref="V202">IF(TRIM(S202)="",INDEX($S$2:$S$1500,MATCH(MAX(COUNTIF($S$2:$S$1500,S202)),COUNTIF($S$2:$S$1500,$S$2:$S$1500),0)),S202)</f>
        <v>Unknown</v>
      </c>
      <c r="W202" s="7" cm="1">
        <f t="array" ref="W202">IF(OR(TRIM(K202)="",TRIM(K202)="-"), MEDIAN(IF($E$2:$E$1500=E202,$K$2:$K$1500)),  VALUE(SUBSTITUTE(SUBSTITUTE(SUBSTITUTE(K202,"Rs. ",""),"₹",""),",","")))</f>
        <v>30110</v>
      </c>
      <c r="X202" s="8">
        <f t="shared" si="38"/>
        <v>0</v>
      </c>
      <c r="Y202" s="7">
        <f t="shared" si="39"/>
        <v>30110</v>
      </c>
      <c r="Z202" s="9" t="str">
        <f t="shared" si="31"/>
        <v>CHILD</v>
      </c>
    </row>
    <row r="203" spans="1:26" x14ac:dyDescent="0.3">
      <c r="A203" s="5" t="s">
        <v>600</v>
      </c>
      <c r="B203" s="5" t="s">
        <v>106</v>
      </c>
      <c r="C203" s="5" t="s">
        <v>107</v>
      </c>
      <c r="D203" s="5" t="s">
        <v>36</v>
      </c>
      <c r="E203" s="5" t="s">
        <v>37</v>
      </c>
      <c r="F203" s="5" t="s">
        <v>185</v>
      </c>
      <c r="G203" s="5" t="s">
        <v>62</v>
      </c>
      <c r="H203" s="5">
        <v>54</v>
      </c>
      <c r="I203" s="5" t="s">
        <v>31</v>
      </c>
      <c r="J203" s="34" t="s">
        <v>601</v>
      </c>
      <c r="K203" s="31">
        <v>73339</v>
      </c>
      <c r="L203" s="5" t="s">
        <v>34</v>
      </c>
      <c r="M203" s="32">
        <v>0</v>
      </c>
      <c r="N203" s="6">
        <f t="shared" si="32"/>
        <v>0</v>
      </c>
      <c r="O203" s="4" t="s">
        <v>185</v>
      </c>
      <c r="P203" s="5" t="str">
        <f t="shared" si="33"/>
        <v>Chennai</v>
      </c>
      <c r="Q203" s="5" t="str">
        <f t="shared" si="34"/>
        <v>Pediatrics</v>
      </c>
      <c r="R203" s="6" t="str">
        <f t="shared" si="35"/>
        <v>Aiims</v>
      </c>
      <c r="S203" s="6" t="str">
        <f t="shared" si="36"/>
        <v>Cash</v>
      </c>
      <c r="T203" s="6" t="str">
        <f t="shared" si="37"/>
        <v>Male</v>
      </c>
      <c r="U203" s="6" t="str">
        <f t="shared" si="30"/>
        <v>ICU</v>
      </c>
      <c r="V203" s="6" t="str" cm="1">
        <f t="array" ref="V203">IF(TRIM(S203)="",INDEX($S$2:$S$1500,MATCH(MAX(COUNTIF($S$2:$S$1500,S203)),COUNTIF($S$2:$S$1500,$S$2:$S$1500),0)),S203)</f>
        <v>Cash</v>
      </c>
      <c r="W203" s="7" cm="1">
        <f t="array" ref="W203">IF(OR(TRIM(K203)="",TRIM(K203)="-"), MEDIAN(IF($E$2:$E$1500=E203,$K$2:$K$1500)),  VALUE(SUBSTITUTE(SUBSTITUTE(SUBSTITUTE(K203,"Rs. ",""),"₹",""),",","")))</f>
        <v>73339</v>
      </c>
      <c r="X203" s="8">
        <f t="shared" si="38"/>
        <v>0</v>
      </c>
      <c r="Y203" s="7">
        <f t="shared" si="39"/>
        <v>73339</v>
      </c>
      <c r="Z203" s="9" t="str">
        <f t="shared" si="31"/>
        <v>ADULT</v>
      </c>
    </row>
    <row r="204" spans="1:26" x14ac:dyDescent="0.3">
      <c r="A204" s="5" t="s">
        <v>602</v>
      </c>
      <c r="B204" s="5" t="s">
        <v>25</v>
      </c>
      <c r="C204" s="5" t="s">
        <v>54</v>
      </c>
      <c r="D204" s="5" t="s">
        <v>66</v>
      </c>
      <c r="E204" s="5" t="s">
        <v>93</v>
      </c>
      <c r="F204" s="5" t="s">
        <v>94</v>
      </c>
      <c r="G204" s="5" t="s">
        <v>19</v>
      </c>
      <c r="H204" s="5">
        <v>72</v>
      </c>
      <c r="I204" s="5" t="s">
        <v>40</v>
      </c>
      <c r="J204" s="34" t="s">
        <v>603</v>
      </c>
      <c r="K204" s="31">
        <v>16769</v>
      </c>
      <c r="L204" s="5" t="s">
        <v>34</v>
      </c>
      <c r="M204" s="32">
        <v>5</v>
      </c>
      <c r="N204" s="6">
        <f t="shared" si="32"/>
        <v>5</v>
      </c>
      <c r="O204" s="4" t="s">
        <v>94</v>
      </c>
      <c r="P204" s="5" t="str">
        <f t="shared" si="33"/>
        <v>Kolkata</v>
      </c>
      <c r="Q204" s="5" t="str">
        <f t="shared" si="34"/>
        <v>Nephrology</v>
      </c>
      <c r="R204" s="6" t="str">
        <f t="shared" si="35"/>
        <v>Narayana</v>
      </c>
      <c r="S204" s="6" t="str">
        <f t="shared" si="36"/>
        <v>Cash</v>
      </c>
      <c r="T204" s="6" t="str">
        <f t="shared" si="37"/>
        <v>Female</v>
      </c>
      <c r="U204" s="6" t="str">
        <f t="shared" si="30"/>
        <v>General</v>
      </c>
      <c r="V204" s="6" t="str" cm="1">
        <f t="array" ref="V204">IF(TRIM(S204)="",INDEX($S$2:$S$1500,MATCH(MAX(COUNTIF($S$2:$S$1500,S204)),COUNTIF($S$2:$S$1500,$S$2:$S$1500),0)),S204)</f>
        <v>Cash</v>
      </c>
      <c r="W204" s="7" cm="1">
        <f t="array" ref="W204">IF(OR(TRIM(K204)="",TRIM(K204)="-"), MEDIAN(IF($E$2:$E$1500=E204,$K$2:$K$1500)),  VALUE(SUBSTITUTE(SUBSTITUTE(SUBSTITUTE(K204,"Rs. ",""),"₹",""),",","")))</f>
        <v>16769</v>
      </c>
      <c r="X204" s="8">
        <f t="shared" si="38"/>
        <v>5</v>
      </c>
      <c r="Y204" s="7">
        <f t="shared" si="39"/>
        <v>15931</v>
      </c>
      <c r="Z204" s="9" t="str">
        <f t="shared" si="31"/>
        <v>SENIOR</v>
      </c>
    </row>
    <row r="205" spans="1:26" x14ac:dyDescent="0.3">
      <c r="A205" s="5" t="s">
        <v>604</v>
      </c>
      <c r="B205" s="5" t="s">
        <v>45</v>
      </c>
      <c r="C205" s="5" t="s">
        <v>46</v>
      </c>
      <c r="D205" s="5" t="s">
        <v>16</v>
      </c>
      <c r="E205" s="5" t="s">
        <v>164</v>
      </c>
      <c r="F205" s="5" t="s">
        <v>219</v>
      </c>
      <c r="G205" s="5" t="s">
        <v>49</v>
      </c>
      <c r="H205" s="5">
        <v>85</v>
      </c>
      <c r="I205" s="5" t="s">
        <v>40</v>
      </c>
      <c r="J205" s="34" t="s">
        <v>145</v>
      </c>
      <c r="K205" s="31" t="s">
        <v>605</v>
      </c>
      <c r="L205" s="5" t="s">
        <v>115</v>
      </c>
      <c r="M205" s="32">
        <v>10</v>
      </c>
      <c r="N205" s="6">
        <f t="shared" si="32"/>
        <v>10</v>
      </c>
      <c r="O205" s="4" t="s">
        <v>219</v>
      </c>
      <c r="P205" s="5" t="str">
        <f t="shared" si="33"/>
        <v>Bangalore</v>
      </c>
      <c r="Q205" s="5" t="str">
        <f t="shared" si="34"/>
        <v>Cardiology</v>
      </c>
      <c r="R205" s="6" t="str">
        <f t="shared" si="35"/>
        <v>Fortis</v>
      </c>
      <c r="S205" s="6" t="str">
        <f t="shared" si="36"/>
        <v>Cash</v>
      </c>
      <c r="T205" s="6" t="str">
        <f t="shared" si="37"/>
        <v>Female</v>
      </c>
      <c r="U205" s="6" t="str">
        <f t="shared" si="30"/>
        <v>General</v>
      </c>
      <c r="V205" s="6" t="str" cm="1">
        <f t="array" ref="V205">IF(TRIM(S205)="",INDEX($S$2:$S$1500,MATCH(MAX(COUNTIF($S$2:$S$1500,S205)),COUNTIF($S$2:$S$1500,$S$2:$S$1500),0)),S205)</f>
        <v>Cash</v>
      </c>
      <c r="W205" s="7" cm="1">
        <f t="array" ref="W205">IF(OR(TRIM(K205)="",TRIM(K205)="-"), MEDIAN(IF($E$2:$E$1500=E205,$K$2:$K$1500)),  VALUE(SUBSTITUTE(SUBSTITUTE(SUBSTITUTE(K205,"Rs. ",""),"₹",""),",","")))</f>
        <v>7629</v>
      </c>
      <c r="X205" s="8">
        <f t="shared" si="38"/>
        <v>10</v>
      </c>
      <c r="Y205" s="7">
        <f t="shared" si="39"/>
        <v>6866</v>
      </c>
      <c r="Z205" s="9" t="str">
        <f t="shared" si="31"/>
        <v>SENIOR</v>
      </c>
    </row>
    <row r="206" spans="1:26" x14ac:dyDescent="0.3">
      <c r="A206" s="5" t="s">
        <v>606</v>
      </c>
      <c r="B206" s="5" t="s">
        <v>78</v>
      </c>
      <c r="C206" s="5" t="s">
        <v>203</v>
      </c>
      <c r="D206" s="5" t="s">
        <v>27</v>
      </c>
      <c r="E206" s="5" t="s">
        <v>17</v>
      </c>
      <c r="F206" s="5" t="s">
        <v>213</v>
      </c>
      <c r="G206" s="5" t="s">
        <v>49</v>
      </c>
      <c r="H206" s="5">
        <v>38</v>
      </c>
      <c r="I206" s="5" t="s">
        <v>40</v>
      </c>
      <c r="J206" s="34" t="s">
        <v>145</v>
      </c>
      <c r="K206" s="31">
        <v>9860</v>
      </c>
      <c r="L206" s="5" t="s">
        <v>52</v>
      </c>
      <c r="M206" s="32">
        <v>0</v>
      </c>
      <c r="N206" s="6">
        <f t="shared" si="32"/>
        <v>0</v>
      </c>
      <c r="O206" s="4" t="s">
        <v>213</v>
      </c>
      <c r="P206" s="5" t="str">
        <f t="shared" si="33"/>
        <v>Mumbai</v>
      </c>
      <c r="Q206" s="5" t="str">
        <f t="shared" si="34"/>
        <v>Gynecology</v>
      </c>
      <c r="R206" s="6" t="str">
        <f t="shared" si="35"/>
        <v>Apollo</v>
      </c>
      <c r="S206" s="6" t="str">
        <f t="shared" si="36"/>
        <v>Credit Card</v>
      </c>
      <c r="T206" s="6" t="str">
        <f t="shared" si="37"/>
        <v>Female</v>
      </c>
      <c r="U206" s="6" t="str">
        <f t="shared" ref="U206:U269" si="40">IF(OR(UPPER(TRIM(G206))="GENERAL",UPPER(TRIM(G206))="GENRAL"),"General",IF(UPPER(TRIM(G206))="ICU","ICU","Unknown"))</f>
        <v>General</v>
      </c>
      <c r="V206" s="6" t="str" cm="1">
        <f t="array" ref="V206">IF(TRIM(S206)="",INDEX($S$2:$S$1500,MATCH(MAX(COUNTIF($S$2:$S$1500,S206)),COUNTIF($S$2:$S$1500,$S$2:$S$1500),0)),S206)</f>
        <v>Credit Card</v>
      </c>
      <c r="W206" s="7" cm="1">
        <f t="array" ref="W206">IF(OR(TRIM(K206)="",TRIM(K206)="-"), MEDIAN(IF($E$2:$E$1500=E206,$K$2:$K$1500)),  VALUE(SUBSTITUTE(SUBSTITUTE(SUBSTITUTE(K206,"Rs. ",""),"₹",""),",","")))</f>
        <v>9860</v>
      </c>
      <c r="X206" s="8">
        <f t="shared" si="38"/>
        <v>0</v>
      </c>
      <c r="Y206" s="7">
        <f t="shared" si="39"/>
        <v>9860</v>
      </c>
      <c r="Z206" s="9" t="str">
        <f t="shared" si="31"/>
        <v>ADULT</v>
      </c>
    </row>
    <row r="207" spans="1:26" x14ac:dyDescent="0.3">
      <c r="A207" s="5" t="s">
        <v>607</v>
      </c>
      <c r="B207" s="5" t="s">
        <v>117</v>
      </c>
      <c r="C207" s="5" t="s">
        <v>182</v>
      </c>
      <c r="D207" s="5" t="s">
        <v>27</v>
      </c>
      <c r="E207" s="5" t="s">
        <v>164</v>
      </c>
      <c r="F207" s="5" t="s">
        <v>219</v>
      </c>
      <c r="G207" s="5" t="s">
        <v>62</v>
      </c>
      <c r="H207" s="5">
        <v>64</v>
      </c>
      <c r="I207" s="5" t="s">
        <v>40</v>
      </c>
      <c r="J207" s="34" t="s">
        <v>375</v>
      </c>
      <c r="K207" s="31" t="s">
        <v>608</v>
      </c>
      <c r="L207" s="5" t="s">
        <v>58</v>
      </c>
      <c r="M207" s="32">
        <v>0</v>
      </c>
      <c r="N207" s="6">
        <f t="shared" si="32"/>
        <v>0</v>
      </c>
      <c r="O207" s="4" t="s">
        <v>219</v>
      </c>
      <c r="P207" s="5" t="str">
        <f t="shared" si="33"/>
        <v>Mumbai</v>
      </c>
      <c r="Q207" s="5" t="str">
        <f t="shared" si="34"/>
        <v>Cardiology</v>
      </c>
      <c r="R207" s="6" t="str">
        <f t="shared" si="35"/>
        <v>Manipal</v>
      </c>
      <c r="S207" s="6" t="str">
        <f t="shared" si="36"/>
        <v>UPI</v>
      </c>
      <c r="T207" s="6" t="str">
        <f t="shared" si="37"/>
        <v>Female</v>
      </c>
      <c r="U207" s="6" t="str">
        <f t="shared" si="40"/>
        <v>ICU</v>
      </c>
      <c r="V207" s="6" t="str" cm="1">
        <f t="array" ref="V207">IF(TRIM(S207)="",INDEX($S$2:$S$1500,MATCH(MAX(COUNTIF($S$2:$S$1500,S207)),COUNTIF($S$2:$S$1500,$S$2:$S$1500),0)),S207)</f>
        <v>UPI</v>
      </c>
      <c r="W207" s="7" cm="1">
        <f t="array" ref="W207">IF(OR(TRIM(K207)="",TRIM(K207)="-"), MEDIAN(IF($E$2:$E$1500=E207,$K$2:$K$1500)),  VALUE(SUBSTITUTE(SUBSTITUTE(SUBSTITUTE(K207,"Rs. ",""),"₹",""),",","")))</f>
        <v>41512</v>
      </c>
      <c r="X207" s="8">
        <f t="shared" si="38"/>
        <v>0</v>
      </c>
      <c r="Y207" s="7">
        <f t="shared" si="39"/>
        <v>41512</v>
      </c>
      <c r="Z207" s="9" t="str">
        <f t="shared" si="31"/>
        <v>SENIOR</v>
      </c>
    </row>
    <row r="208" spans="1:26" x14ac:dyDescent="0.3">
      <c r="A208" s="5" t="s">
        <v>609</v>
      </c>
      <c r="B208" s="5" t="s">
        <v>106</v>
      </c>
      <c r="C208" s="5" t="s">
        <v>107</v>
      </c>
      <c r="D208" s="5" t="s">
        <v>36</v>
      </c>
      <c r="E208" s="5" t="s">
        <v>93</v>
      </c>
      <c r="F208" s="5" t="s">
        <v>207</v>
      </c>
      <c r="G208" s="5" t="s">
        <v>39</v>
      </c>
      <c r="H208" s="5">
        <v>7</v>
      </c>
      <c r="I208" s="5" t="s">
        <v>40</v>
      </c>
      <c r="J208" s="34" t="s">
        <v>210</v>
      </c>
      <c r="K208" s="31">
        <v>11440</v>
      </c>
      <c r="L208" s="5" t="s">
        <v>87</v>
      </c>
      <c r="M208" s="32"/>
      <c r="N208" s="6">
        <f t="shared" si="32"/>
        <v>0</v>
      </c>
      <c r="O208" s="4" t="s">
        <v>207</v>
      </c>
      <c r="P208" s="5" t="str">
        <f t="shared" si="33"/>
        <v>Chennai</v>
      </c>
      <c r="Q208" s="5" t="str">
        <f t="shared" si="34"/>
        <v>Nephrology</v>
      </c>
      <c r="R208" s="6" t="str">
        <f t="shared" si="35"/>
        <v>Aiims</v>
      </c>
      <c r="S208" s="6" t="str">
        <f t="shared" si="36"/>
        <v>Credit Card</v>
      </c>
      <c r="T208" s="6" t="str">
        <f t="shared" si="37"/>
        <v>Female</v>
      </c>
      <c r="U208" s="6" t="str">
        <f t="shared" si="40"/>
        <v>General</v>
      </c>
      <c r="V208" s="6" t="str" cm="1">
        <f t="array" ref="V208">IF(TRIM(S208)="",INDEX($S$2:$S$1500,MATCH(MAX(COUNTIF($S$2:$S$1500,S208)),COUNTIF($S$2:$S$1500,$S$2:$S$1500),0)),S208)</f>
        <v>Credit Card</v>
      </c>
      <c r="W208" s="7" cm="1">
        <f t="array" ref="W208">IF(OR(TRIM(K208)="",TRIM(K208)="-"), MEDIAN(IF($E$2:$E$1500=E208,$K$2:$K$1500)),  VALUE(SUBSTITUTE(SUBSTITUTE(SUBSTITUTE(K208,"Rs. ",""),"₹",""),",","")))</f>
        <v>11440</v>
      </c>
      <c r="X208" s="8">
        <f t="shared" si="38"/>
        <v>0</v>
      </c>
      <c r="Y208" s="7">
        <f t="shared" si="39"/>
        <v>11440</v>
      </c>
      <c r="Z208" s="9" t="str">
        <f t="shared" si="31"/>
        <v>CHILD</v>
      </c>
    </row>
    <row r="209" spans="1:26" x14ac:dyDescent="0.3">
      <c r="A209" s="5" t="s">
        <v>610</v>
      </c>
      <c r="B209" s="5" t="s">
        <v>14</v>
      </c>
      <c r="C209" s="5" t="s">
        <v>15</v>
      </c>
      <c r="D209" s="5" t="s">
        <v>36</v>
      </c>
      <c r="E209" s="5" t="s">
        <v>47</v>
      </c>
      <c r="F209" s="5" t="s">
        <v>48</v>
      </c>
      <c r="G209" s="5" t="s">
        <v>19</v>
      </c>
      <c r="H209" s="5">
        <v>34</v>
      </c>
      <c r="I209" s="5" t="s">
        <v>20</v>
      </c>
      <c r="J209" s="34" t="s">
        <v>611</v>
      </c>
      <c r="K209" s="31" t="s">
        <v>612</v>
      </c>
      <c r="L209" s="5" t="s">
        <v>149</v>
      </c>
      <c r="M209" s="32" t="s">
        <v>198</v>
      </c>
      <c r="N209" s="6">
        <f t="shared" si="32"/>
        <v>5</v>
      </c>
      <c r="O209" s="4" t="s">
        <v>48</v>
      </c>
      <c r="P209" s="5" t="str">
        <f t="shared" si="33"/>
        <v>Chennai</v>
      </c>
      <c r="Q209" s="5" t="str">
        <f t="shared" si="34"/>
        <v>Gastroenterology</v>
      </c>
      <c r="R209" s="6" t="str">
        <f t="shared" si="35"/>
        <v>Max_Healthcare</v>
      </c>
      <c r="S209" s="6" t="str">
        <f t="shared" si="36"/>
        <v>Insurance</v>
      </c>
      <c r="T209" s="6" t="str">
        <f t="shared" si="37"/>
        <v>Male</v>
      </c>
      <c r="U209" s="6" t="str">
        <f t="shared" si="40"/>
        <v>General</v>
      </c>
      <c r="V209" s="6" t="str" cm="1">
        <f t="array" ref="V209">IF(TRIM(S209)="",INDEX($S$2:$S$1500,MATCH(MAX(COUNTIF($S$2:$S$1500,S209)),COUNTIF($S$2:$S$1500,$S$2:$S$1500),0)),S209)</f>
        <v>Insurance</v>
      </c>
      <c r="W209" s="7" cm="1">
        <f t="array" ref="W209">IF(OR(TRIM(K209)="",TRIM(K209)="-"), MEDIAN(IF($E$2:$E$1500=E209,$K$2:$K$1500)),  VALUE(SUBSTITUTE(SUBSTITUTE(SUBSTITUTE(K209,"Rs. ",""),"₹",""),",","")))</f>
        <v>10031</v>
      </c>
      <c r="X209" s="8">
        <f t="shared" si="38"/>
        <v>5</v>
      </c>
      <c r="Y209" s="7">
        <f t="shared" si="39"/>
        <v>9529</v>
      </c>
      <c r="Z209" s="9" t="str">
        <f t="shared" si="31"/>
        <v>ADULT</v>
      </c>
    </row>
    <row r="210" spans="1:26" x14ac:dyDescent="0.3">
      <c r="A210" s="5" t="s">
        <v>613</v>
      </c>
      <c r="B210" s="5" t="s">
        <v>14</v>
      </c>
      <c r="C210" s="5" t="s">
        <v>60</v>
      </c>
      <c r="D210" s="5" t="s">
        <v>36</v>
      </c>
      <c r="E210" s="5" t="s">
        <v>93</v>
      </c>
      <c r="F210" s="5" t="s">
        <v>207</v>
      </c>
      <c r="G210" s="5" t="s">
        <v>30</v>
      </c>
      <c r="H210" s="5">
        <v>56</v>
      </c>
      <c r="I210" s="5" t="s">
        <v>20</v>
      </c>
      <c r="J210" s="34" t="s">
        <v>614</v>
      </c>
      <c r="K210" s="31" t="s">
        <v>615</v>
      </c>
      <c r="L210" s="5" t="s">
        <v>72</v>
      </c>
      <c r="M210" s="32">
        <v>0.1</v>
      </c>
      <c r="N210" s="6">
        <f t="shared" si="32"/>
        <v>10</v>
      </c>
      <c r="O210" s="4" t="s">
        <v>207</v>
      </c>
      <c r="P210" s="5" t="str">
        <f t="shared" si="33"/>
        <v>Chennai</v>
      </c>
      <c r="Q210" s="5" t="str">
        <f t="shared" si="34"/>
        <v>Nephrology</v>
      </c>
      <c r="R210" s="6" t="str">
        <f t="shared" si="35"/>
        <v>Max_Healthcare</v>
      </c>
      <c r="S210" s="6" t="str">
        <f t="shared" si="36"/>
        <v>Cash</v>
      </c>
      <c r="T210" s="6" t="str">
        <f t="shared" si="37"/>
        <v>Male</v>
      </c>
      <c r="U210" s="6" t="str">
        <f t="shared" si="40"/>
        <v>General</v>
      </c>
      <c r="V210" s="6" t="str" cm="1">
        <f t="array" ref="V210">IF(TRIM(S210)="",INDEX($S$2:$S$1500,MATCH(MAX(COUNTIF($S$2:$S$1500,S210)),COUNTIF($S$2:$S$1500,$S$2:$S$1500),0)),S210)</f>
        <v>Cash</v>
      </c>
      <c r="W210" s="7" cm="1">
        <f t="array" ref="W210">IF(OR(TRIM(K210)="",TRIM(K210)="-"), MEDIAN(IF($E$2:$E$1500=E210,$K$2:$K$1500)),  VALUE(SUBSTITUTE(SUBSTITUTE(SUBSTITUTE(K210,"Rs. ",""),"₹",""),",","")))</f>
        <v>16152</v>
      </c>
      <c r="X210" s="8">
        <f t="shared" si="38"/>
        <v>10</v>
      </c>
      <c r="Y210" s="7">
        <f t="shared" si="39"/>
        <v>14537</v>
      </c>
      <c r="Z210" s="9" t="str">
        <f t="shared" si="31"/>
        <v>ADULT</v>
      </c>
    </row>
    <row r="211" spans="1:26" x14ac:dyDescent="0.3">
      <c r="A211" s="5" t="s">
        <v>616</v>
      </c>
      <c r="B211" s="5" t="s">
        <v>14</v>
      </c>
      <c r="C211" s="5" t="s">
        <v>15</v>
      </c>
      <c r="D211" s="5" t="s">
        <v>189</v>
      </c>
      <c r="E211" s="5" t="s">
        <v>99</v>
      </c>
      <c r="F211" s="5" t="s">
        <v>372</v>
      </c>
      <c r="G211" s="5" t="s">
        <v>19</v>
      </c>
      <c r="H211" s="5">
        <v>77</v>
      </c>
      <c r="I211" s="5" t="s">
        <v>31</v>
      </c>
      <c r="J211" s="34" t="s">
        <v>617</v>
      </c>
      <c r="K211" s="31" t="s">
        <v>618</v>
      </c>
      <c r="L211" s="5" t="s">
        <v>97</v>
      </c>
      <c r="M211" s="32">
        <v>10</v>
      </c>
      <c r="N211" s="6">
        <f t="shared" si="32"/>
        <v>10</v>
      </c>
      <c r="O211" s="4" t="s">
        <v>372</v>
      </c>
      <c r="P211" s="5" t="str">
        <f t="shared" si="33"/>
        <v>Delhi</v>
      </c>
      <c r="Q211" s="5" t="str">
        <f t="shared" si="34"/>
        <v>Ent</v>
      </c>
      <c r="R211" s="6" t="str">
        <f t="shared" si="35"/>
        <v>Max_Healthcare</v>
      </c>
      <c r="S211" s="6" t="str">
        <f t="shared" si="36"/>
        <v>UPI</v>
      </c>
      <c r="T211" s="6" t="str">
        <f t="shared" si="37"/>
        <v>Male</v>
      </c>
      <c r="U211" s="6" t="str">
        <f t="shared" si="40"/>
        <v>General</v>
      </c>
      <c r="V211" s="6" t="str" cm="1">
        <f t="array" ref="V211">IF(TRIM(S211)="",INDEX($S$2:$S$1500,MATCH(MAX(COUNTIF($S$2:$S$1500,S211)),COUNTIF($S$2:$S$1500,$S$2:$S$1500),0)),S211)</f>
        <v>UPI</v>
      </c>
      <c r="W211" s="7" cm="1">
        <f t="array" ref="W211">IF(OR(TRIM(K211)="",TRIM(K211)="-"), MEDIAN(IF($E$2:$E$1500=E211,$K$2:$K$1500)),  VALUE(SUBSTITUTE(SUBSTITUTE(SUBSTITUTE(K211,"Rs. ",""),"₹",""),",","")))</f>
        <v>5897</v>
      </c>
      <c r="X211" s="8">
        <f t="shared" si="38"/>
        <v>10</v>
      </c>
      <c r="Y211" s="7">
        <f t="shared" si="39"/>
        <v>5307</v>
      </c>
      <c r="Z211" s="9" t="str">
        <f t="shared" si="31"/>
        <v>SENIOR</v>
      </c>
    </row>
    <row r="212" spans="1:26" x14ac:dyDescent="0.3">
      <c r="A212" s="5" t="s">
        <v>619</v>
      </c>
      <c r="B212" s="5" t="s">
        <v>25</v>
      </c>
      <c r="C212" s="5" t="s">
        <v>54</v>
      </c>
      <c r="D212" s="5" t="s">
        <v>27</v>
      </c>
      <c r="E212" s="5" t="s">
        <v>164</v>
      </c>
      <c r="F212" s="5" t="s">
        <v>233</v>
      </c>
      <c r="G212" s="5" t="s">
        <v>19</v>
      </c>
      <c r="H212" s="5">
        <v>7</v>
      </c>
      <c r="I212" s="5" t="s">
        <v>40</v>
      </c>
      <c r="J212" s="34" t="s">
        <v>620</v>
      </c>
      <c r="K212" s="31" t="s">
        <v>621</v>
      </c>
      <c r="L212" s="5" t="s">
        <v>97</v>
      </c>
      <c r="M212" s="32">
        <v>0</v>
      </c>
      <c r="N212" s="6">
        <f t="shared" si="32"/>
        <v>0</v>
      </c>
      <c r="O212" s="4" t="s">
        <v>233</v>
      </c>
      <c r="P212" s="5" t="str">
        <f t="shared" si="33"/>
        <v>Mumbai</v>
      </c>
      <c r="Q212" s="5" t="str">
        <f t="shared" si="34"/>
        <v>Cardiology</v>
      </c>
      <c r="R212" s="6" t="str">
        <f t="shared" si="35"/>
        <v>Narayana</v>
      </c>
      <c r="S212" s="6" t="str">
        <f t="shared" si="36"/>
        <v>UPI</v>
      </c>
      <c r="T212" s="6" t="str">
        <f t="shared" si="37"/>
        <v>Female</v>
      </c>
      <c r="U212" s="6" t="str">
        <f t="shared" si="40"/>
        <v>General</v>
      </c>
      <c r="V212" s="6" t="str" cm="1">
        <f t="array" ref="V212">IF(TRIM(S212)="",INDEX($S$2:$S$1500,MATCH(MAX(COUNTIF($S$2:$S$1500,S212)),COUNTIF($S$2:$S$1500,$S$2:$S$1500),0)),S212)</f>
        <v>UPI</v>
      </c>
      <c r="W212" s="7" cm="1">
        <f t="array" ref="W212">IF(OR(TRIM(K212)="",TRIM(K212)="-"), MEDIAN(IF($E$2:$E$1500=E212,$K$2:$K$1500)),  VALUE(SUBSTITUTE(SUBSTITUTE(SUBSTITUTE(K212,"Rs. ",""),"₹",""),",","")))</f>
        <v>14476</v>
      </c>
      <c r="X212" s="8">
        <f t="shared" si="38"/>
        <v>0</v>
      </c>
      <c r="Y212" s="7">
        <f t="shared" si="39"/>
        <v>14476</v>
      </c>
      <c r="Z212" s="9" t="str">
        <f t="shared" si="31"/>
        <v>CHILD</v>
      </c>
    </row>
    <row r="213" spans="1:26" x14ac:dyDescent="0.3">
      <c r="A213" s="5" t="s">
        <v>622</v>
      </c>
      <c r="B213" s="5" t="s">
        <v>78</v>
      </c>
      <c r="C213" s="5" t="s">
        <v>203</v>
      </c>
      <c r="D213" s="5" t="s">
        <v>80</v>
      </c>
      <c r="E213" s="5" t="s">
        <v>108</v>
      </c>
      <c r="F213" s="5" t="s">
        <v>124</v>
      </c>
      <c r="G213" s="5" t="s">
        <v>69</v>
      </c>
      <c r="H213" s="5">
        <v>5</v>
      </c>
      <c r="I213" s="5" t="s">
        <v>20</v>
      </c>
      <c r="J213" s="34" t="s">
        <v>430</v>
      </c>
      <c r="K213" s="31">
        <v>87287</v>
      </c>
      <c r="L213" s="5" t="s">
        <v>58</v>
      </c>
      <c r="M213" s="32">
        <v>10</v>
      </c>
      <c r="N213" s="6">
        <f t="shared" si="32"/>
        <v>10</v>
      </c>
      <c r="O213" s="4" t="s">
        <v>124</v>
      </c>
      <c r="P213" s="5" t="str">
        <f t="shared" si="33"/>
        <v>Ahmedabad</v>
      </c>
      <c r="Q213" s="5" t="str">
        <f t="shared" si="34"/>
        <v>Orthopedics</v>
      </c>
      <c r="R213" s="6" t="str">
        <f t="shared" si="35"/>
        <v>Apollo</v>
      </c>
      <c r="S213" s="6" t="str">
        <f t="shared" si="36"/>
        <v>UPI</v>
      </c>
      <c r="T213" s="6" t="str">
        <f t="shared" si="37"/>
        <v>Male</v>
      </c>
      <c r="U213" s="6" t="str">
        <f t="shared" si="40"/>
        <v>ICU</v>
      </c>
      <c r="V213" s="6" t="str" cm="1">
        <f t="array" ref="V213">IF(TRIM(S213)="",INDEX($S$2:$S$1500,MATCH(MAX(COUNTIF($S$2:$S$1500,S213)),COUNTIF($S$2:$S$1500,$S$2:$S$1500),0)),S213)</f>
        <v>UPI</v>
      </c>
      <c r="W213" s="7" cm="1">
        <f t="array" ref="W213">IF(OR(TRIM(K213)="",TRIM(K213)="-"), MEDIAN(IF($E$2:$E$1500=E213,$K$2:$K$1500)),  VALUE(SUBSTITUTE(SUBSTITUTE(SUBSTITUTE(K213,"Rs. ",""),"₹",""),",","")))</f>
        <v>87287</v>
      </c>
      <c r="X213" s="8">
        <f t="shared" si="38"/>
        <v>10</v>
      </c>
      <c r="Y213" s="7">
        <f t="shared" si="39"/>
        <v>78558</v>
      </c>
      <c r="Z213" s="9" t="str">
        <f t="shared" si="31"/>
        <v>CHILD</v>
      </c>
    </row>
    <row r="214" spans="1:26" x14ac:dyDescent="0.3">
      <c r="A214" s="5" t="s">
        <v>623</v>
      </c>
      <c r="B214" s="5" t="s">
        <v>106</v>
      </c>
      <c r="C214" s="5" t="s">
        <v>107</v>
      </c>
      <c r="D214" s="5" t="s">
        <v>16</v>
      </c>
      <c r="E214" s="5" t="s">
        <v>37</v>
      </c>
      <c r="F214" s="5" t="s">
        <v>132</v>
      </c>
      <c r="G214" s="5" t="s">
        <v>39</v>
      </c>
      <c r="H214" s="5">
        <v>83</v>
      </c>
      <c r="I214" s="5" t="s">
        <v>40</v>
      </c>
      <c r="J214" s="34" t="s">
        <v>541</v>
      </c>
      <c r="K214" s="31" t="s">
        <v>624</v>
      </c>
      <c r="L214" s="5" t="s">
        <v>72</v>
      </c>
      <c r="M214" s="32" t="s">
        <v>198</v>
      </c>
      <c r="N214" s="6">
        <f t="shared" si="32"/>
        <v>5</v>
      </c>
      <c r="O214" s="4" t="s">
        <v>132</v>
      </c>
      <c r="P214" s="5" t="str">
        <f t="shared" si="33"/>
        <v>Bangalore</v>
      </c>
      <c r="Q214" s="5" t="str">
        <f t="shared" si="34"/>
        <v>Pediatrics</v>
      </c>
      <c r="R214" s="6" t="str">
        <f t="shared" si="35"/>
        <v>Aiims</v>
      </c>
      <c r="S214" s="6" t="str">
        <f t="shared" si="36"/>
        <v>Cash</v>
      </c>
      <c r="T214" s="6" t="str">
        <f t="shared" si="37"/>
        <v>Female</v>
      </c>
      <c r="U214" s="6" t="str">
        <f t="shared" si="40"/>
        <v>General</v>
      </c>
      <c r="V214" s="6" t="str" cm="1">
        <f t="array" ref="V214">IF(TRIM(S214)="",INDEX($S$2:$S$1500,MATCH(MAX(COUNTIF($S$2:$S$1500,S214)),COUNTIF($S$2:$S$1500,$S$2:$S$1500),0)),S214)</f>
        <v>Cash</v>
      </c>
      <c r="W214" s="7" cm="1">
        <f t="array" ref="W214">IF(OR(TRIM(K214)="",TRIM(K214)="-"), MEDIAN(IF($E$2:$E$1500=E214,$K$2:$K$1500)),  VALUE(SUBSTITUTE(SUBSTITUTE(SUBSTITUTE(K214,"Rs. ",""),"₹",""),",","")))</f>
        <v>7883</v>
      </c>
      <c r="X214" s="8">
        <f t="shared" si="38"/>
        <v>5</v>
      </c>
      <c r="Y214" s="7">
        <f t="shared" si="39"/>
        <v>7489</v>
      </c>
      <c r="Z214" s="9" t="str">
        <f t="shared" si="31"/>
        <v>SENIOR</v>
      </c>
    </row>
    <row r="215" spans="1:26" x14ac:dyDescent="0.3">
      <c r="A215" s="5" t="s">
        <v>625</v>
      </c>
      <c r="B215" s="5" t="s">
        <v>14</v>
      </c>
      <c r="C215" s="5" t="s">
        <v>60</v>
      </c>
      <c r="D215" s="5" t="s">
        <v>80</v>
      </c>
      <c r="E215" s="5" t="s">
        <v>28</v>
      </c>
      <c r="F215" s="5" t="s">
        <v>290</v>
      </c>
      <c r="G215" s="5" t="s">
        <v>19</v>
      </c>
      <c r="H215" s="5">
        <v>47</v>
      </c>
      <c r="I215" s="5" t="s">
        <v>40</v>
      </c>
      <c r="J215" s="34" t="s">
        <v>626</v>
      </c>
      <c r="K215" s="31">
        <v>16229</v>
      </c>
      <c r="L215" s="5" t="s">
        <v>167</v>
      </c>
      <c r="M215" s="32"/>
      <c r="N215" s="6">
        <f t="shared" si="32"/>
        <v>0</v>
      </c>
      <c r="O215" s="4" t="s">
        <v>290</v>
      </c>
      <c r="P215" s="5" t="str">
        <f t="shared" si="33"/>
        <v>Ahmedabad</v>
      </c>
      <c r="Q215" s="5" t="str">
        <f t="shared" si="34"/>
        <v>Oncology</v>
      </c>
      <c r="R215" s="6" t="str">
        <f t="shared" si="35"/>
        <v>Max_Healthcare</v>
      </c>
      <c r="S215" s="6" t="str">
        <f t="shared" si="36"/>
        <v>Insurance</v>
      </c>
      <c r="T215" s="6" t="str">
        <f t="shared" si="37"/>
        <v>Female</v>
      </c>
      <c r="U215" s="6" t="str">
        <f t="shared" si="40"/>
        <v>General</v>
      </c>
      <c r="V215" s="6" t="str" cm="1">
        <f t="array" ref="V215">IF(TRIM(S215)="",INDEX($S$2:$S$1500,MATCH(MAX(COUNTIF($S$2:$S$1500,S215)),COUNTIF($S$2:$S$1500,$S$2:$S$1500),0)),S215)</f>
        <v>Insurance</v>
      </c>
      <c r="W215" s="7" cm="1">
        <f t="array" ref="W215">IF(OR(TRIM(K215)="",TRIM(K215)="-"), MEDIAN(IF($E$2:$E$1500=E215,$K$2:$K$1500)),  VALUE(SUBSTITUTE(SUBSTITUTE(SUBSTITUTE(K215,"Rs. ",""),"₹",""),",","")))</f>
        <v>16229</v>
      </c>
      <c r="X215" s="8">
        <f t="shared" si="38"/>
        <v>0</v>
      </c>
      <c r="Y215" s="7">
        <f t="shared" si="39"/>
        <v>16229</v>
      </c>
      <c r="Z215" s="9" t="str">
        <f t="shared" si="31"/>
        <v>ADULT</v>
      </c>
    </row>
    <row r="216" spans="1:26" x14ac:dyDescent="0.3">
      <c r="A216" s="5" t="s">
        <v>627</v>
      </c>
      <c r="B216" s="5" t="s">
        <v>117</v>
      </c>
      <c r="C216" s="5" t="s">
        <v>182</v>
      </c>
      <c r="D216" s="5" t="s">
        <v>36</v>
      </c>
      <c r="E216" s="5" t="s">
        <v>28</v>
      </c>
      <c r="F216" s="5" t="s">
        <v>29</v>
      </c>
      <c r="G216" s="5" t="s">
        <v>69</v>
      </c>
      <c r="H216" s="5">
        <v>4</v>
      </c>
      <c r="I216" s="5" t="s">
        <v>40</v>
      </c>
      <c r="J216" s="34" t="s">
        <v>193</v>
      </c>
      <c r="K216" s="31" t="s">
        <v>628</v>
      </c>
      <c r="L216" s="5" t="s">
        <v>115</v>
      </c>
      <c r="M216" s="32" t="s">
        <v>76</v>
      </c>
      <c r="N216" s="6">
        <f t="shared" si="32"/>
        <v>10</v>
      </c>
      <c r="O216" s="4" t="s">
        <v>29</v>
      </c>
      <c r="P216" s="5" t="str">
        <f t="shared" si="33"/>
        <v>Chennai</v>
      </c>
      <c r="Q216" s="5" t="str">
        <f t="shared" si="34"/>
        <v>Oncology</v>
      </c>
      <c r="R216" s="6" t="str">
        <f t="shared" si="35"/>
        <v>Manipal</v>
      </c>
      <c r="S216" s="6" t="str">
        <f t="shared" si="36"/>
        <v>Cash</v>
      </c>
      <c r="T216" s="6" t="str">
        <f t="shared" si="37"/>
        <v>Female</v>
      </c>
      <c r="U216" s="6" t="str">
        <f t="shared" si="40"/>
        <v>ICU</v>
      </c>
      <c r="V216" s="6" t="str" cm="1">
        <f t="array" ref="V216">IF(TRIM(S216)="",INDEX($S$2:$S$1500,MATCH(MAX(COUNTIF($S$2:$S$1500,S216)),COUNTIF($S$2:$S$1500,$S$2:$S$1500),0)),S216)</f>
        <v>Cash</v>
      </c>
      <c r="W216" s="7" cm="1">
        <f t="array" ref="W216">IF(OR(TRIM(K216)="",TRIM(K216)="-"), MEDIAN(IF($E$2:$E$1500=E216,$K$2:$K$1500)),  VALUE(SUBSTITUTE(SUBSTITUTE(SUBSTITUTE(K216,"Rs. ",""),"₹",""),",","")))</f>
        <v>87910</v>
      </c>
      <c r="X216" s="8">
        <f t="shared" si="38"/>
        <v>10</v>
      </c>
      <c r="Y216" s="7">
        <f t="shared" si="39"/>
        <v>79119</v>
      </c>
      <c r="Z216" s="9" t="str">
        <f t="shared" si="31"/>
        <v>CHILD</v>
      </c>
    </row>
    <row r="217" spans="1:26" x14ac:dyDescent="0.3">
      <c r="A217" s="5" t="s">
        <v>629</v>
      </c>
      <c r="B217" s="5" t="s">
        <v>25</v>
      </c>
      <c r="C217" s="5" t="s">
        <v>26</v>
      </c>
      <c r="D217" s="5" t="s">
        <v>189</v>
      </c>
      <c r="E217" s="5" t="s">
        <v>28</v>
      </c>
      <c r="F217" s="5" t="s">
        <v>29</v>
      </c>
      <c r="G217" s="5" t="s">
        <v>39</v>
      </c>
      <c r="H217" s="5">
        <v>28</v>
      </c>
      <c r="I217" s="5" t="s">
        <v>31</v>
      </c>
      <c r="J217" s="34" t="s">
        <v>438</v>
      </c>
      <c r="K217" s="31">
        <v>8724</v>
      </c>
      <c r="L217" s="5" t="s">
        <v>58</v>
      </c>
      <c r="M217" s="32">
        <v>10</v>
      </c>
      <c r="N217" s="6">
        <f t="shared" si="32"/>
        <v>10</v>
      </c>
      <c r="O217" s="4" t="s">
        <v>29</v>
      </c>
      <c r="P217" s="5" t="str">
        <f t="shared" si="33"/>
        <v>Delhi</v>
      </c>
      <c r="Q217" s="5" t="str">
        <f t="shared" si="34"/>
        <v>Oncology</v>
      </c>
      <c r="R217" s="6" t="str">
        <f t="shared" si="35"/>
        <v>Narayana</v>
      </c>
      <c r="S217" s="6" t="str">
        <f t="shared" si="36"/>
        <v>UPI</v>
      </c>
      <c r="T217" s="6" t="str">
        <f t="shared" si="37"/>
        <v>Male</v>
      </c>
      <c r="U217" s="6" t="str">
        <f t="shared" si="40"/>
        <v>General</v>
      </c>
      <c r="V217" s="6" t="str" cm="1">
        <f t="array" ref="V217">IF(TRIM(S217)="",INDEX($S$2:$S$1500,MATCH(MAX(COUNTIF($S$2:$S$1500,S217)),COUNTIF($S$2:$S$1500,$S$2:$S$1500),0)),S217)</f>
        <v>UPI</v>
      </c>
      <c r="W217" s="7" cm="1">
        <f t="array" ref="W217">IF(OR(TRIM(K217)="",TRIM(K217)="-"), MEDIAN(IF($E$2:$E$1500=E217,$K$2:$K$1500)),  VALUE(SUBSTITUTE(SUBSTITUTE(SUBSTITUTE(K217,"Rs. ",""),"₹",""),",","")))</f>
        <v>8724</v>
      </c>
      <c r="X217" s="8">
        <f t="shared" si="38"/>
        <v>10</v>
      </c>
      <c r="Y217" s="7">
        <f t="shared" si="39"/>
        <v>7852</v>
      </c>
      <c r="Z217" s="9" t="str">
        <f t="shared" si="31"/>
        <v>ADULT</v>
      </c>
    </row>
    <row r="218" spans="1:26" x14ac:dyDescent="0.3">
      <c r="A218" s="5" t="s">
        <v>630</v>
      </c>
      <c r="B218" s="5" t="s">
        <v>117</v>
      </c>
      <c r="C218" s="5" t="s">
        <v>118</v>
      </c>
      <c r="D218" s="5" t="s">
        <v>61</v>
      </c>
      <c r="E218" s="5" t="s">
        <v>164</v>
      </c>
      <c r="F218" s="5" t="s">
        <v>282</v>
      </c>
      <c r="G218" s="5" t="s">
        <v>62</v>
      </c>
      <c r="H218" s="5">
        <v>87</v>
      </c>
      <c r="I218" s="5" t="s">
        <v>40</v>
      </c>
      <c r="J218" s="34" t="s">
        <v>631</v>
      </c>
      <c r="K218" s="31">
        <v>65130</v>
      </c>
      <c r="L218" s="5" t="s">
        <v>42</v>
      </c>
      <c r="M218" s="32">
        <v>10</v>
      </c>
      <c r="N218" s="6">
        <f t="shared" si="32"/>
        <v>10</v>
      </c>
      <c r="O218" s="4" t="s">
        <v>282</v>
      </c>
      <c r="P218" s="5" t="str">
        <f t="shared" si="33"/>
        <v>Pune</v>
      </c>
      <c r="Q218" s="5" t="str">
        <f t="shared" si="34"/>
        <v>Cardiology</v>
      </c>
      <c r="R218" s="6" t="str">
        <f t="shared" si="35"/>
        <v>Manipal</v>
      </c>
      <c r="S218" s="6" t="str">
        <f t="shared" si="36"/>
        <v>Insurance</v>
      </c>
      <c r="T218" s="6" t="str">
        <f t="shared" si="37"/>
        <v>Female</v>
      </c>
      <c r="U218" s="6" t="str">
        <f t="shared" si="40"/>
        <v>ICU</v>
      </c>
      <c r="V218" s="6" t="str" cm="1">
        <f t="array" ref="V218">IF(TRIM(S218)="",INDEX($S$2:$S$1500,MATCH(MAX(COUNTIF($S$2:$S$1500,S218)),COUNTIF($S$2:$S$1500,$S$2:$S$1500),0)),S218)</f>
        <v>Insurance</v>
      </c>
      <c r="W218" s="7" cm="1">
        <f t="array" ref="W218">IF(OR(TRIM(K218)="",TRIM(K218)="-"), MEDIAN(IF($E$2:$E$1500=E218,$K$2:$K$1500)),  VALUE(SUBSTITUTE(SUBSTITUTE(SUBSTITUTE(K218,"Rs. ",""),"₹",""),",","")))</f>
        <v>65130</v>
      </c>
      <c r="X218" s="8">
        <f t="shared" si="38"/>
        <v>10</v>
      </c>
      <c r="Y218" s="7">
        <f t="shared" si="39"/>
        <v>58617</v>
      </c>
      <c r="Z218" s="9" t="str">
        <f t="shared" si="31"/>
        <v>SENIOR</v>
      </c>
    </row>
    <row r="219" spans="1:26" x14ac:dyDescent="0.3">
      <c r="A219" s="5" t="s">
        <v>632</v>
      </c>
      <c r="B219" s="5" t="s">
        <v>117</v>
      </c>
      <c r="C219" s="5" t="s">
        <v>118</v>
      </c>
      <c r="D219" s="5" t="s">
        <v>189</v>
      </c>
      <c r="E219" s="5" t="s">
        <v>99</v>
      </c>
      <c r="F219" s="5" t="s">
        <v>100</v>
      </c>
      <c r="G219" s="5" t="s">
        <v>62</v>
      </c>
      <c r="H219" s="5">
        <v>9</v>
      </c>
      <c r="I219" s="5" t="s">
        <v>40</v>
      </c>
      <c r="J219" s="34" t="s">
        <v>633</v>
      </c>
      <c r="K219" s="31">
        <v>26596</v>
      </c>
      <c r="L219" s="5" t="s">
        <v>115</v>
      </c>
      <c r="M219" s="32">
        <v>0</v>
      </c>
      <c r="N219" s="6">
        <f t="shared" si="32"/>
        <v>0</v>
      </c>
      <c r="O219" s="4" t="s">
        <v>100</v>
      </c>
      <c r="P219" s="5" t="str">
        <f t="shared" si="33"/>
        <v>Delhi</v>
      </c>
      <c r="Q219" s="5" t="str">
        <f t="shared" si="34"/>
        <v>Ent</v>
      </c>
      <c r="R219" s="6" t="str">
        <f t="shared" si="35"/>
        <v>Manipal</v>
      </c>
      <c r="S219" s="6" t="str">
        <f t="shared" si="36"/>
        <v>Cash</v>
      </c>
      <c r="T219" s="6" t="str">
        <f t="shared" si="37"/>
        <v>Female</v>
      </c>
      <c r="U219" s="6" t="str">
        <f t="shared" si="40"/>
        <v>ICU</v>
      </c>
      <c r="V219" s="6" t="str" cm="1">
        <f t="array" ref="V219">IF(TRIM(S219)="",INDEX($S$2:$S$1500,MATCH(MAX(COUNTIF($S$2:$S$1500,S219)),COUNTIF($S$2:$S$1500,$S$2:$S$1500),0)),S219)</f>
        <v>Cash</v>
      </c>
      <c r="W219" s="7" cm="1">
        <f t="array" ref="W219">IF(OR(TRIM(K219)="",TRIM(K219)="-"), MEDIAN(IF($E$2:$E$1500=E219,$K$2:$K$1500)),  VALUE(SUBSTITUTE(SUBSTITUTE(SUBSTITUTE(K219,"Rs. ",""),"₹",""),",","")))</f>
        <v>26596</v>
      </c>
      <c r="X219" s="8">
        <f t="shared" si="38"/>
        <v>0</v>
      </c>
      <c r="Y219" s="7">
        <f t="shared" si="39"/>
        <v>26596</v>
      </c>
      <c r="Z219" s="9" t="str">
        <f t="shared" si="31"/>
        <v>CHILD</v>
      </c>
    </row>
    <row r="220" spans="1:26" x14ac:dyDescent="0.3">
      <c r="A220" s="5" t="s">
        <v>634</v>
      </c>
      <c r="B220" s="5" t="s">
        <v>117</v>
      </c>
      <c r="C220" s="5" t="s">
        <v>118</v>
      </c>
      <c r="D220" s="5" t="s">
        <v>80</v>
      </c>
      <c r="E220" s="5" t="s">
        <v>67</v>
      </c>
      <c r="F220" s="5" t="s">
        <v>85</v>
      </c>
      <c r="G220" s="5" t="s">
        <v>101</v>
      </c>
      <c r="H220" s="5">
        <v>60</v>
      </c>
      <c r="I220" s="5" t="s">
        <v>70</v>
      </c>
      <c r="J220" s="34" t="s">
        <v>635</v>
      </c>
      <c r="K220" s="31" t="s">
        <v>636</v>
      </c>
      <c r="L220" s="5" t="s">
        <v>311</v>
      </c>
      <c r="M220" s="32">
        <v>0</v>
      </c>
      <c r="N220" s="6">
        <f t="shared" si="32"/>
        <v>0</v>
      </c>
      <c r="O220" s="4" t="s">
        <v>85</v>
      </c>
      <c r="P220" s="5" t="str">
        <f t="shared" si="33"/>
        <v>Ahmedabad</v>
      </c>
      <c r="Q220" s="5" t="str">
        <f t="shared" si="34"/>
        <v>Neurology</v>
      </c>
      <c r="R220" s="6" t="str">
        <f t="shared" si="35"/>
        <v>Manipal</v>
      </c>
      <c r="S220" s="6" t="str">
        <f t="shared" si="36"/>
        <v>UPI</v>
      </c>
      <c r="T220" s="6" t="str">
        <f t="shared" si="37"/>
        <v>Female</v>
      </c>
      <c r="U220" s="6" t="str">
        <f t="shared" si="40"/>
        <v>ICU</v>
      </c>
      <c r="V220" s="6" t="str" cm="1">
        <f t="array" ref="V220">IF(TRIM(S220)="",INDEX($S$2:$S$1500,MATCH(MAX(COUNTIF($S$2:$S$1500,S220)),COUNTIF($S$2:$S$1500,$S$2:$S$1500),0)),S220)</f>
        <v>UPI</v>
      </c>
      <c r="W220" s="7" cm="1">
        <f t="array" ref="W220">IF(OR(TRIM(K220)="",TRIM(K220)="-"), MEDIAN(IF($E$2:$E$1500=E220,$K$2:$K$1500)),  VALUE(SUBSTITUTE(SUBSTITUTE(SUBSTITUTE(K220,"Rs. ",""),"₹",""),",","")))</f>
        <v>41590</v>
      </c>
      <c r="X220" s="8">
        <f t="shared" si="38"/>
        <v>0</v>
      </c>
      <c r="Y220" s="7">
        <f t="shared" si="39"/>
        <v>41590</v>
      </c>
      <c r="Z220" s="9" t="str">
        <f t="shared" si="31"/>
        <v>SENIOR</v>
      </c>
    </row>
    <row r="221" spans="1:26" x14ac:dyDescent="0.3">
      <c r="A221" s="5" t="s">
        <v>637</v>
      </c>
      <c r="B221" s="5" t="s">
        <v>106</v>
      </c>
      <c r="C221" s="5" t="s">
        <v>307</v>
      </c>
      <c r="D221" s="5" t="s">
        <v>27</v>
      </c>
      <c r="E221" s="5" t="s">
        <v>108</v>
      </c>
      <c r="F221" s="5" t="s">
        <v>272</v>
      </c>
      <c r="G221" s="5" t="s">
        <v>101</v>
      </c>
      <c r="H221" s="5">
        <v>26</v>
      </c>
      <c r="I221" s="5" t="s">
        <v>31</v>
      </c>
      <c r="J221" s="34" t="s">
        <v>638</v>
      </c>
      <c r="K221" s="31">
        <v>51017</v>
      </c>
      <c r="L221" s="5" t="s">
        <v>104</v>
      </c>
      <c r="M221" s="32">
        <v>25</v>
      </c>
      <c r="N221" s="6">
        <f t="shared" si="32"/>
        <v>25</v>
      </c>
      <c r="O221" s="4" t="s">
        <v>272</v>
      </c>
      <c r="P221" s="5" t="str">
        <f t="shared" si="33"/>
        <v>Mumbai</v>
      </c>
      <c r="Q221" s="5" t="str">
        <f t="shared" si="34"/>
        <v>Orthopedics</v>
      </c>
      <c r="R221" s="6" t="str">
        <f t="shared" si="35"/>
        <v>Aiims</v>
      </c>
      <c r="S221" s="6" t="str">
        <f t="shared" si="36"/>
        <v>Insurance</v>
      </c>
      <c r="T221" s="6" t="str">
        <f t="shared" si="37"/>
        <v>Male</v>
      </c>
      <c r="U221" s="6" t="str">
        <f t="shared" si="40"/>
        <v>ICU</v>
      </c>
      <c r="V221" s="6" t="str" cm="1">
        <f t="array" ref="V221">IF(TRIM(S221)="",INDEX($S$2:$S$1500,MATCH(MAX(COUNTIF($S$2:$S$1500,S221)),COUNTIF($S$2:$S$1500,$S$2:$S$1500),0)),S221)</f>
        <v>Insurance</v>
      </c>
      <c r="W221" s="7" cm="1">
        <f t="array" ref="W221">IF(OR(TRIM(K221)="",TRIM(K221)="-"), MEDIAN(IF($E$2:$E$1500=E221,$K$2:$K$1500)),  VALUE(SUBSTITUTE(SUBSTITUTE(SUBSTITUTE(K221,"Rs. ",""),"₹",""),",","")))</f>
        <v>51017</v>
      </c>
      <c r="X221" s="8">
        <f t="shared" si="38"/>
        <v>25</v>
      </c>
      <c r="Y221" s="7">
        <f t="shared" si="39"/>
        <v>38263</v>
      </c>
      <c r="Z221" s="9" t="str">
        <f t="shared" si="31"/>
        <v>ADULT</v>
      </c>
    </row>
    <row r="222" spans="1:26" x14ac:dyDescent="0.3">
      <c r="A222" s="5" t="s">
        <v>639</v>
      </c>
      <c r="B222" s="5" t="s">
        <v>106</v>
      </c>
      <c r="C222" s="5" t="s">
        <v>107</v>
      </c>
      <c r="D222" s="5" t="s">
        <v>55</v>
      </c>
      <c r="E222" s="5" t="s">
        <v>17</v>
      </c>
      <c r="F222" s="5" t="s">
        <v>169</v>
      </c>
      <c r="G222" s="5" t="s">
        <v>62</v>
      </c>
      <c r="H222" s="5">
        <v>44</v>
      </c>
      <c r="I222" s="5" t="s">
        <v>70</v>
      </c>
      <c r="J222" s="34" t="s">
        <v>524</v>
      </c>
      <c r="K222" s="31">
        <v>75914</v>
      </c>
      <c r="L222" s="5"/>
      <c r="M222" s="32">
        <v>0</v>
      </c>
      <c r="N222" s="6">
        <f t="shared" si="32"/>
        <v>0</v>
      </c>
      <c r="O222" s="4" t="s">
        <v>169</v>
      </c>
      <c r="P222" s="5" t="str">
        <f t="shared" si="33"/>
        <v>Hyderabad</v>
      </c>
      <c r="Q222" s="5" t="str">
        <f t="shared" si="34"/>
        <v>Gynecology</v>
      </c>
      <c r="R222" s="6" t="str">
        <f t="shared" si="35"/>
        <v>Aiims</v>
      </c>
      <c r="S222" s="6" t="str">
        <f t="shared" si="36"/>
        <v>Unknown</v>
      </c>
      <c r="T222" s="6" t="str">
        <f t="shared" si="37"/>
        <v>Female</v>
      </c>
      <c r="U222" s="6" t="str">
        <f t="shared" si="40"/>
        <v>ICU</v>
      </c>
      <c r="V222" s="6" t="str" cm="1">
        <f t="array" ref="V222">IF(TRIM(S222)="",INDEX($S$2:$S$1500,MATCH(MAX(COUNTIF($S$2:$S$1500,S222)),COUNTIF($S$2:$S$1500,$S$2:$S$1500),0)),S222)</f>
        <v>Unknown</v>
      </c>
      <c r="W222" s="7" cm="1">
        <f t="array" ref="W222">IF(OR(TRIM(K222)="",TRIM(K222)="-"), MEDIAN(IF($E$2:$E$1500=E222,$K$2:$K$1500)),  VALUE(SUBSTITUTE(SUBSTITUTE(SUBSTITUTE(K222,"Rs. ",""),"₹",""),",","")))</f>
        <v>75914</v>
      </c>
      <c r="X222" s="8">
        <f t="shared" si="38"/>
        <v>0</v>
      </c>
      <c r="Y222" s="7">
        <f t="shared" si="39"/>
        <v>75914</v>
      </c>
      <c r="Z222" s="9" t="str">
        <f t="shared" si="31"/>
        <v>ADULT</v>
      </c>
    </row>
    <row r="223" spans="1:26" x14ac:dyDescent="0.3">
      <c r="A223" s="5" t="s">
        <v>640</v>
      </c>
      <c r="B223" s="5" t="s">
        <v>117</v>
      </c>
      <c r="C223" s="5" t="s">
        <v>127</v>
      </c>
      <c r="D223" s="5" t="s">
        <v>61</v>
      </c>
      <c r="E223" s="5" t="s">
        <v>17</v>
      </c>
      <c r="F223" s="5" t="s">
        <v>213</v>
      </c>
      <c r="G223" s="5" t="s">
        <v>30</v>
      </c>
      <c r="H223" s="5">
        <v>11</v>
      </c>
      <c r="I223" s="5" t="s">
        <v>20</v>
      </c>
      <c r="J223" s="34" t="s">
        <v>193</v>
      </c>
      <c r="K223" s="31">
        <v>18267</v>
      </c>
      <c r="L223" s="5" t="s">
        <v>34</v>
      </c>
      <c r="M223" s="32">
        <v>0</v>
      </c>
      <c r="N223" s="6">
        <f t="shared" si="32"/>
        <v>0</v>
      </c>
      <c r="O223" s="4" t="s">
        <v>213</v>
      </c>
      <c r="P223" s="5" t="str">
        <f t="shared" si="33"/>
        <v>Pune</v>
      </c>
      <c r="Q223" s="5" t="str">
        <f t="shared" si="34"/>
        <v>Gynecology</v>
      </c>
      <c r="R223" s="6" t="str">
        <f t="shared" si="35"/>
        <v>Manipal</v>
      </c>
      <c r="S223" s="6" t="str">
        <f t="shared" si="36"/>
        <v>Cash</v>
      </c>
      <c r="T223" s="6" t="str">
        <f t="shared" si="37"/>
        <v>Male</v>
      </c>
      <c r="U223" s="6" t="str">
        <f t="shared" si="40"/>
        <v>General</v>
      </c>
      <c r="V223" s="6" t="str" cm="1">
        <f t="array" ref="V223">IF(TRIM(S223)="",INDEX($S$2:$S$1500,MATCH(MAX(COUNTIF($S$2:$S$1500,S223)),COUNTIF($S$2:$S$1500,$S$2:$S$1500),0)),S223)</f>
        <v>Cash</v>
      </c>
      <c r="W223" s="7" cm="1">
        <f t="array" ref="W223">IF(OR(TRIM(K223)="",TRIM(K223)="-"), MEDIAN(IF($E$2:$E$1500=E223,$K$2:$K$1500)),  VALUE(SUBSTITUTE(SUBSTITUTE(SUBSTITUTE(K223,"Rs. ",""),"₹",""),",","")))</f>
        <v>18267</v>
      </c>
      <c r="X223" s="8">
        <f t="shared" si="38"/>
        <v>0</v>
      </c>
      <c r="Y223" s="7">
        <f t="shared" si="39"/>
        <v>18267</v>
      </c>
      <c r="Z223" s="9" t="str">
        <f t="shared" si="31"/>
        <v>CHILD</v>
      </c>
    </row>
    <row r="224" spans="1:26" x14ac:dyDescent="0.3">
      <c r="A224" s="5" t="s">
        <v>641</v>
      </c>
      <c r="B224" s="5" t="s">
        <v>106</v>
      </c>
      <c r="C224" s="5" t="s">
        <v>107</v>
      </c>
      <c r="D224" s="5" t="s">
        <v>36</v>
      </c>
      <c r="E224" s="5" t="s">
        <v>108</v>
      </c>
      <c r="F224" s="5" t="s">
        <v>308</v>
      </c>
      <c r="G224" s="5" t="s">
        <v>30</v>
      </c>
      <c r="H224" s="5">
        <v>50</v>
      </c>
      <c r="I224" s="5" t="s">
        <v>20</v>
      </c>
      <c r="J224" s="34" t="s">
        <v>620</v>
      </c>
      <c r="K224" s="31" t="s">
        <v>642</v>
      </c>
      <c r="L224" s="5" t="s">
        <v>149</v>
      </c>
      <c r="M224" s="32">
        <v>0.18</v>
      </c>
      <c r="N224" s="6">
        <f t="shared" si="32"/>
        <v>18</v>
      </c>
      <c r="O224" s="4" t="s">
        <v>308</v>
      </c>
      <c r="P224" s="5" t="str">
        <f t="shared" si="33"/>
        <v>Chennai</v>
      </c>
      <c r="Q224" s="5" t="str">
        <f t="shared" si="34"/>
        <v>Orthopedics</v>
      </c>
      <c r="R224" s="6" t="str">
        <f t="shared" si="35"/>
        <v>Aiims</v>
      </c>
      <c r="S224" s="6" t="str">
        <f t="shared" si="36"/>
        <v>Insurance</v>
      </c>
      <c r="T224" s="6" t="str">
        <f t="shared" si="37"/>
        <v>Male</v>
      </c>
      <c r="U224" s="6" t="str">
        <f t="shared" si="40"/>
        <v>General</v>
      </c>
      <c r="V224" s="6" t="str" cm="1">
        <f t="array" ref="V224">IF(TRIM(S224)="",INDEX($S$2:$S$1500,MATCH(MAX(COUNTIF($S$2:$S$1500,S224)),COUNTIF($S$2:$S$1500,$S$2:$S$1500),0)),S224)</f>
        <v>Insurance</v>
      </c>
      <c r="W224" s="7" cm="1">
        <f t="array" ref="W224">IF(OR(TRIM(K224)="",TRIM(K224)="-"), MEDIAN(IF($E$2:$E$1500=E224,$K$2:$K$1500)),  VALUE(SUBSTITUTE(SUBSTITUTE(SUBSTITUTE(K224,"Rs. ",""),"₹",""),",","")))</f>
        <v>7944</v>
      </c>
      <c r="X224" s="8">
        <f t="shared" si="38"/>
        <v>18</v>
      </c>
      <c r="Y224" s="7">
        <f t="shared" si="39"/>
        <v>6514</v>
      </c>
      <c r="Z224" s="9" t="str">
        <f t="shared" si="31"/>
        <v>ADULT</v>
      </c>
    </row>
    <row r="225" spans="1:26" x14ac:dyDescent="0.3">
      <c r="A225" s="5" t="s">
        <v>643</v>
      </c>
      <c r="B225" s="5" t="s">
        <v>25</v>
      </c>
      <c r="C225" s="5" t="s">
        <v>54</v>
      </c>
      <c r="D225" s="5" t="s">
        <v>36</v>
      </c>
      <c r="E225" s="5" t="s">
        <v>67</v>
      </c>
      <c r="F225" s="5" t="s">
        <v>68</v>
      </c>
      <c r="G225" s="5"/>
      <c r="H225" s="5">
        <v>23</v>
      </c>
      <c r="I225" s="5" t="s">
        <v>20</v>
      </c>
      <c r="J225" s="34" t="s">
        <v>472</v>
      </c>
      <c r="K225" s="31">
        <v>17895</v>
      </c>
      <c r="L225" s="5" t="s">
        <v>311</v>
      </c>
      <c r="M225" s="32">
        <v>0</v>
      </c>
      <c r="N225" s="6">
        <f t="shared" si="32"/>
        <v>0</v>
      </c>
      <c r="O225" s="4" t="s">
        <v>68</v>
      </c>
      <c r="P225" s="5" t="str">
        <f t="shared" si="33"/>
        <v>Chennai</v>
      </c>
      <c r="Q225" s="5" t="str">
        <f t="shared" si="34"/>
        <v>Neurology</v>
      </c>
      <c r="R225" s="6" t="str">
        <f t="shared" si="35"/>
        <v>Narayana</v>
      </c>
      <c r="S225" s="6" t="str">
        <f t="shared" si="36"/>
        <v>UPI</v>
      </c>
      <c r="T225" s="6" t="str">
        <f t="shared" si="37"/>
        <v>Male</v>
      </c>
      <c r="U225" s="6" t="str">
        <f t="shared" si="40"/>
        <v>Unknown</v>
      </c>
      <c r="V225" s="6" t="str" cm="1">
        <f t="array" ref="V225">IF(TRIM(S225)="",INDEX($S$2:$S$1500,MATCH(MAX(COUNTIF($S$2:$S$1500,S225)),COUNTIF($S$2:$S$1500,$S$2:$S$1500),0)),S225)</f>
        <v>UPI</v>
      </c>
      <c r="W225" s="7" cm="1">
        <f t="array" ref="W225">IF(OR(TRIM(K225)="",TRIM(K225)="-"), MEDIAN(IF($E$2:$E$1500=E225,$K$2:$K$1500)),  VALUE(SUBSTITUTE(SUBSTITUTE(SUBSTITUTE(K225,"Rs. ",""),"₹",""),",","")))</f>
        <v>17895</v>
      </c>
      <c r="X225" s="8">
        <f t="shared" si="38"/>
        <v>0</v>
      </c>
      <c r="Y225" s="7">
        <f t="shared" si="39"/>
        <v>17895</v>
      </c>
      <c r="Z225" s="9" t="str">
        <f t="shared" si="31"/>
        <v>ADULT</v>
      </c>
    </row>
    <row r="226" spans="1:26" x14ac:dyDescent="0.3">
      <c r="A226" s="5" t="s">
        <v>644</v>
      </c>
      <c r="B226" s="5" t="s">
        <v>25</v>
      </c>
      <c r="C226" s="5" t="s">
        <v>54</v>
      </c>
      <c r="D226" s="5" t="s">
        <v>61</v>
      </c>
      <c r="E226" s="5" t="s">
        <v>67</v>
      </c>
      <c r="F226" s="5" t="s">
        <v>85</v>
      </c>
      <c r="G226" s="5" t="s">
        <v>19</v>
      </c>
      <c r="H226" s="5">
        <v>57</v>
      </c>
      <c r="I226" s="5" t="s">
        <v>20</v>
      </c>
      <c r="J226" s="34" t="s">
        <v>513</v>
      </c>
      <c r="K226" s="31" t="s">
        <v>645</v>
      </c>
      <c r="L226" s="5" t="s">
        <v>311</v>
      </c>
      <c r="M226" s="32">
        <v>0</v>
      </c>
      <c r="N226" s="6">
        <f t="shared" si="32"/>
        <v>0</v>
      </c>
      <c r="O226" s="4" t="s">
        <v>85</v>
      </c>
      <c r="P226" s="5" t="str">
        <f t="shared" si="33"/>
        <v>Pune</v>
      </c>
      <c r="Q226" s="5" t="str">
        <f t="shared" si="34"/>
        <v>Neurology</v>
      </c>
      <c r="R226" s="6" t="str">
        <f t="shared" si="35"/>
        <v>Narayana</v>
      </c>
      <c r="S226" s="6" t="str">
        <f t="shared" si="36"/>
        <v>UPI</v>
      </c>
      <c r="T226" s="6" t="str">
        <f t="shared" si="37"/>
        <v>Male</v>
      </c>
      <c r="U226" s="6" t="str">
        <f t="shared" si="40"/>
        <v>General</v>
      </c>
      <c r="V226" s="6" t="str" cm="1">
        <f t="array" ref="V226">IF(TRIM(S226)="",INDEX($S$2:$S$1500,MATCH(MAX(COUNTIF($S$2:$S$1500,S226)),COUNTIF($S$2:$S$1500,$S$2:$S$1500),0)),S226)</f>
        <v>UPI</v>
      </c>
      <c r="W226" s="7" cm="1">
        <f t="array" ref="W226">IF(OR(TRIM(K226)="",TRIM(K226)="-"), MEDIAN(IF($E$2:$E$1500=E226,$K$2:$K$1500)),  VALUE(SUBSTITUTE(SUBSTITUTE(SUBSTITUTE(K226,"Rs. ",""),"₹",""),",","")))</f>
        <v>14856</v>
      </c>
      <c r="X226" s="8">
        <f t="shared" si="38"/>
        <v>0</v>
      </c>
      <c r="Y226" s="7">
        <f t="shared" si="39"/>
        <v>14856</v>
      </c>
      <c r="Z226" s="9" t="str">
        <f t="shared" si="31"/>
        <v>ADULT</v>
      </c>
    </row>
    <row r="227" spans="1:26" x14ac:dyDescent="0.3">
      <c r="A227" s="5" t="s">
        <v>646</v>
      </c>
      <c r="B227" s="5" t="s">
        <v>14</v>
      </c>
      <c r="C227" s="5" t="s">
        <v>60</v>
      </c>
      <c r="D227" s="5" t="s">
        <v>189</v>
      </c>
      <c r="E227" s="5" t="s">
        <v>164</v>
      </c>
      <c r="F227" s="5" t="s">
        <v>282</v>
      </c>
      <c r="G227" s="5" t="s">
        <v>30</v>
      </c>
      <c r="H227" s="5">
        <v>78</v>
      </c>
      <c r="I227" s="5" t="s">
        <v>70</v>
      </c>
      <c r="J227" s="34" t="s">
        <v>638</v>
      </c>
      <c r="K227" s="31">
        <v>4150</v>
      </c>
      <c r="L227" s="5" t="s">
        <v>34</v>
      </c>
      <c r="M227" s="32" t="s">
        <v>140</v>
      </c>
      <c r="N227" s="6" t="str">
        <f t="shared" si="32"/>
        <v>-</v>
      </c>
      <c r="O227" s="4" t="s">
        <v>282</v>
      </c>
      <c r="P227" s="5" t="str">
        <f t="shared" si="33"/>
        <v>Delhi</v>
      </c>
      <c r="Q227" s="5" t="str">
        <f t="shared" si="34"/>
        <v>Cardiology</v>
      </c>
      <c r="R227" s="6" t="str">
        <f t="shared" si="35"/>
        <v>Max_Healthcare</v>
      </c>
      <c r="S227" s="6" t="str">
        <f t="shared" si="36"/>
        <v>Cash</v>
      </c>
      <c r="T227" s="6" t="str">
        <f t="shared" si="37"/>
        <v>Female</v>
      </c>
      <c r="U227" s="6" t="str">
        <f t="shared" si="40"/>
        <v>General</v>
      </c>
      <c r="V227" s="6" t="str" cm="1">
        <f t="array" ref="V227">IF(TRIM(S227)="",INDEX($S$2:$S$1500,MATCH(MAX(COUNTIF($S$2:$S$1500,S227)),COUNTIF($S$2:$S$1500,$S$2:$S$1500),0)),S227)</f>
        <v>Cash</v>
      </c>
      <c r="W227" s="7" cm="1">
        <f t="array" ref="W227">IF(OR(TRIM(K227)="",TRIM(K227)="-"), MEDIAN(IF($E$2:$E$1500=E227,$K$2:$K$1500)),  VALUE(SUBSTITUTE(SUBSTITUTE(SUBSTITUTE(K227,"Rs. ",""),"₹",""),",","")))</f>
        <v>4150</v>
      </c>
      <c r="X227" s="8">
        <f t="shared" si="38"/>
        <v>3</v>
      </c>
      <c r="Y227" s="7">
        <f t="shared" si="39"/>
        <v>4026</v>
      </c>
      <c r="Z227" s="9" t="str">
        <f t="shared" si="31"/>
        <v>SENIOR</v>
      </c>
    </row>
    <row r="228" spans="1:26" x14ac:dyDescent="0.3">
      <c r="A228" s="5" t="s">
        <v>647</v>
      </c>
      <c r="B228" s="5" t="s">
        <v>25</v>
      </c>
      <c r="C228" s="5" t="s">
        <v>54</v>
      </c>
      <c r="D228" s="5" t="s">
        <v>189</v>
      </c>
      <c r="E228" s="5" t="s">
        <v>17</v>
      </c>
      <c r="F228" s="5" t="s">
        <v>135</v>
      </c>
      <c r="G228" s="5" t="s">
        <v>19</v>
      </c>
      <c r="H228" s="5">
        <v>81</v>
      </c>
      <c r="I228" s="5" t="s">
        <v>40</v>
      </c>
      <c r="J228" s="34" t="s">
        <v>648</v>
      </c>
      <c r="K228" s="31" t="s">
        <v>649</v>
      </c>
      <c r="L228" s="5" t="s">
        <v>236</v>
      </c>
      <c r="M228" s="32">
        <v>0.05</v>
      </c>
      <c r="N228" s="6">
        <f t="shared" si="32"/>
        <v>5</v>
      </c>
      <c r="O228" s="4" t="s">
        <v>135</v>
      </c>
      <c r="P228" s="5" t="str">
        <f t="shared" si="33"/>
        <v>Delhi</v>
      </c>
      <c r="Q228" s="5" t="str">
        <f t="shared" si="34"/>
        <v>Gynecology</v>
      </c>
      <c r="R228" s="6" t="str">
        <f t="shared" si="35"/>
        <v>Narayana</v>
      </c>
      <c r="S228" s="6" t="str">
        <f t="shared" si="36"/>
        <v>Debit Card</v>
      </c>
      <c r="T228" s="6" t="str">
        <f t="shared" si="37"/>
        <v>Female</v>
      </c>
      <c r="U228" s="6" t="str">
        <f t="shared" si="40"/>
        <v>General</v>
      </c>
      <c r="V228" s="6" t="str" cm="1">
        <f t="array" ref="V228">IF(TRIM(S228)="",INDEX($S$2:$S$1500,MATCH(MAX(COUNTIF($S$2:$S$1500,S228)),COUNTIF($S$2:$S$1500,$S$2:$S$1500),0)),S228)</f>
        <v>Debit Card</v>
      </c>
      <c r="W228" s="7" cm="1">
        <f t="array" ref="W228">IF(OR(TRIM(K228)="",TRIM(K228)="-"), MEDIAN(IF($E$2:$E$1500=E228,$K$2:$K$1500)),  VALUE(SUBSTITUTE(SUBSTITUTE(SUBSTITUTE(K228,"Rs. ",""),"₹",""),",","")))</f>
        <v>3845</v>
      </c>
      <c r="X228" s="8">
        <f t="shared" si="38"/>
        <v>5</v>
      </c>
      <c r="Y228" s="7">
        <f t="shared" si="39"/>
        <v>3653</v>
      </c>
      <c r="Z228" s="9" t="str">
        <f t="shared" si="31"/>
        <v>SENIOR</v>
      </c>
    </row>
    <row r="229" spans="1:26" x14ac:dyDescent="0.3">
      <c r="A229" s="5" t="s">
        <v>650</v>
      </c>
      <c r="B229" s="5" t="s">
        <v>14</v>
      </c>
      <c r="C229" s="5" t="s">
        <v>60</v>
      </c>
      <c r="D229" s="5" t="s">
        <v>66</v>
      </c>
      <c r="E229" s="5" t="s">
        <v>37</v>
      </c>
      <c r="F229" s="5" t="s">
        <v>132</v>
      </c>
      <c r="G229" s="5" t="s">
        <v>101</v>
      </c>
      <c r="H229" s="5">
        <v>69</v>
      </c>
      <c r="I229" s="5" t="s">
        <v>20</v>
      </c>
      <c r="J229" s="34" t="s">
        <v>651</v>
      </c>
      <c r="K229" s="31" t="s">
        <v>652</v>
      </c>
      <c r="L229" s="5" t="s">
        <v>34</v>
      </c>
      <c r="M229" s="32" t="s">
        <v>140</v>
      </c>
      <c r="N229" s="6" t="str">
        <f t="shared" si="32"/>
        <v>-</v>
      </c>
      <c r="O229" s="4" t="s">
        <v>132</v>
      </c>
      <c r="P229" s="5" t="str">
        <f t="shared" si="33"/>
        <v>Kolkata</v>
      </c>
      <c r="Q229" s="5" t="str">
        <f t="shared" si="34"/>
        <v>Pediatrics</v>
      </c>
      <c r="R229" s="6" t="str">
        <f t="shared" si="35"/>
        <v>Max_Healthcare</v>
      </c>
      <c r="S229" s="6" t="str">
        <f t="shared" si="36"/>
        <v>Cash</v>
      </c>
      <c r="T229" s="6" t="str">
        <f t="shared" si="37"/>
        <v>Male</v>
      </c>
      <c r="U229" s="6" t="str">
        <f t="shared" si="40"/>
        <v>ICU</v>
      </c>
      <c r="V229" s="6" t="str" cm="1">
        <f t="array" ref="V229">IF(TRIM(S229)="",INDEX($S$2:$S$1500,MATCH(MAX(COUNTIF($S$2:$S$1500,S229)),COUNTIF($S$2:$S$1500,$S$2:$S$1500),0)),S229)</f>
        <v>Cash</v>
      </c>
      <c r="W229" s="7" cm="1">
        <f t="array" ref="W229">IF(OR(TRIM(K229)="",TRIM(K229)="-"), MEDIAN(IF($E$2:$E$1500=E229,$K$2:$K$1500)),  VALUE(SUBSTITUTE(SUBSTITUTE(SUBSTITUTE(K229,"Rs. ",""),"₹",""),",","")))</f>
        <v>38334</v>
      </c>
      <c r="X229" s="8">
        <f t="shared" si="38"/>
        <v>3</v>
      </c>
      <c r="Y229" s="7">
        <f t="shared" si="39"/>
        <v>37184</v>
      </c>
      <c r="Z229" s="9" t="str">
        <f t="shared" si="31"/>
        <v>SENIOR</v>
      </c>
    </row>
    <row r="230" spans="1:26" x14ac:dyDescent="0.3">
      <c r="A230" s="5" t="s">
        <v>653</v>
      </c>
      <c r="B230" s="5" t="s">
        <v>78</v>
      </c>
      <c r="C230" s="5" t="s">
        <v>79</v>
      </c>
      <c r="D230" s="5" t="s">
        <v>66</v>
      </c>
      <c r="E230" s="5" t="s">
        <v>17</v>
      </c>
      <c r="F230" s="5" t="s">
        <v>213</v>
      </c>
      <c r="G230" s="5" t="s">
        <v>69</v>
      </c>
      <c r="H230" s="5">
        <v>61</v>
      </c>
      <c r="I230" s="5" t="s">
        <v>40</v>
      </c>
      <c r="J230" s="34" t="s">
        <v>654</v>
      </c>
      <c r="K230" s="31">
        <v>62060</v>
      </c>
      <c r="L230" s="5" t="s">
        <v>58</v>
      </c>
      <c r="M230" s="32" t="s">
        <v>198</v>
      </c>
      <c r="N230" s="6">
        <f t="shared" si="32"/>
        <v>5</v>
      </c>
      <c r="O230" s="4" t="s">
        <v>213</v>
      </c>
      <c r="P230" s="5" t="str">
        <f t="shared" si="33"/>
        <v>Kolkata</v>
      </c>
      <c r="Q230" s="5" t="str">
        <f t="shared" si="34"/>
        <v>Gynecology</v>
      </c>
      <c r="R230" s="6" t="str">
        <f t="shared" si="35"/>
        <v>Apollo</v>
      </c>
      <c r="S230" s="6" t="str">
        <f t="shared" si="36"/>
        <v>UPI</v>
      </c>
      <c r="T230" s="6" t="str">
        <f t="shared" si="37"/>
        <v>Female</v>
      </c>
      <c r="U230" s="6" t="str">
        <f t="shared" si="40"/>
        <v>ICU</v>
      </c>
      <c r="V230" s="6" t="str" cm="1">
        <f t="array" ref="V230">IF(TRIM(S230)="",INDEX($S$2:$S$1500,MATCH(MAX(COUNTIF($S$2:$S$1500,S230)),COUNTIF($S$2:$S$1500,$S$2:$S$1500),0)),S230)</f>
        <v>UPI</v>
      </c>
      <c r="W230" s="7" cm="1">
        <f t="array" ref="W230">IF(OR(TRIM(K230)="",TRIM(K230)="-"), MEDIAN(IF($E$2:$E$1500=E230,$K$2:$K$1500)),  VALUE(SUBSTITUTE(SUBSTITUTE(SUBSTITUTE(K230,"Rs. ",""),"₹",""),",","")))</f>
        <v>62060</v>
      </c>
      <c r="X230" s="8">
        <f t="shared" si="38"/>
        <v>5</v>
      </c>
      <c r="Y230" s="7">
        <f t="shared" si="39"/>
        <v>58957</v>
      </c>
      <c r="Z230" s="9" t="str">
        <f t="shared" si="31"/>
        <v>SENIOR</v>
      </c>
    </row>
    <row r="231" spans="1:26" x14ac:dyDescent="0.3">
      <c r="A231" s="5" t="s">
        <v>655</v>
      </c>
      <c r="B231" s="5" t="s">
        <v>117</v>
      </c>
      <c r="C231" s="5" t="s">
        <v>127</v>
      </c>
      <c r="D231" s="5" t="s">
        <v>66</v>
      </c>
      <c r="E231" s="5" t="s">
        <v>108</v>
      </c>
      <c r="F231" s="5" t="s">
        <v>308</v>
      </c>
      <c r="G231" s="5" t="s">
        <v>62</v>
      </c>
      <c r="H231" s="5">
        <v>53</v>
      </c>
      <c r="I231" s="5" t="s">
        <v>70</v>
      </c>
      <c r="J231" s="34" t="s">
        <v>656</v>
      </c>
      <c r="K231" s="31" t="s">
        <v>657</v>
      </c>
      <c r="L231" s="5" t="s">
        <v>236</v>
      </c>
      <c r="M231" s="32">
        <v>10</v>
      </c>
      <c r="N231" s="6">
        <f t="shared" si="32"/>
        <v>10</v>
      </c>
      <c r="O231" s="4" t="s">
        <v>308</v>
      </c>
      <c r="P231" s="5" t="str">
        <f t="shared" si="33"/>
        <v>Kolkata</v>
      </c>
      <c r="Q231" s="5" t="str">
        <f t="shared" si="34"/>
        <v>Orthopedics</v>
      </c>
      <c r="R231" s="6" t="str">
        <f t="shared" si="35"/>
        <v>Manipal</v>
      </c>
      <c r="S231" s="6" t="str">
        <f t="shared" si="36"/>
        <v>Debit Card</v>
      </c>
      <c r="T231" s="6" t="str">
        <f t="shared" si="37"/>
        <v>Female</v>
      </c>
      <c r="U231" s="6" t="str">
        <f t="shared" si="40"/>
        <v>ICU</v>
      </c>
      <c r="V231" s="6" t="str" cm="1">
        <f t="array" ref="V231">IF(TRIM(S231)="",INDEX($S$2:$S$1500,MATCH(MAX(COUNTIF($S$2:$S$1500,S231)),COUNTIF($S$2:$S$1500,$S$2:$S$1500),0)),S231)</f>
        <v>Debit Card</v>
      </c>
      <c r="W231" s="7" cm="1">
        <f t="array" ref="W231">IF(OR(TRIM(K231)="",TRIM(K231)="-"), MEDIAN(IF($E$2:$E$1500=E231,$K$2:$K$1500)),  VALUE(SUBSTITUTE(SUBSTITUTE(SUBSTITUTE(K231,"Rs. ",""),"₹",""),",","")))</f>
        <v>61255</v>
      </c>
      <c r="X231" s="8">
        <f t="shared" si="38"/>
        <v>10</v>
      </c>
      <c r="Y231" s="7">
        <f t="shared" si="39"/>
        <v>55130</v>
      </c>
      <c r="Z231" s="9" t="str">
        <f t="shared" si="31"/>
        <v>ADULT</v>
      </c>
    </row>
    <row r="232" spans="1:26" x14ac:dyDescent="0.3">
      <c r="A232" s="5" t="s">
        <v>658</v>
      </c>
      <c r="B232" s="5" t="s">
        <v>78</v>
      </c>
      <c r="C232" s="5" t="s">
        <v>79</v>
      </c>
      <c r="D232" s="5" t="s">
        <v>66</v>
      </c>
      <c r="E232" s="5" t="s">
        <v>17</v>
      </c>
      <c r="F232" s="5" t="s">
        <v>213</v>
      </c>
      <c r="G232" s="5" t="s">
        <v>19</v>
      </c>
      <c r="H232" s="5">
        <v>81</v>
      </c>
      <c r="I232" s="5" t="s">
        <v>20</v>
      </c>
      <c r="J232" s="34" t="s">
        <v>119</v>
      </c>
      <c r="K232" s="31">
        <v>17734</v>
      </c>
      <c r="L232" s="5" t="s">
        <v>311</v>
      </c>
      <c r="M232" s="32" t="s">
        <v>130</v>
      </c>
      <c r="N232" s="6">
        <f t="shared" si="32"/>
        <v>0</v>
      </c>
      <c r="O232" s="4" t="s">
        <v>213</v>
      </c>
      <c r="P232" s="5" t="str">
        <f t="shared" si="33"/>
        <v>Kolkata</v>
      </c>
      <c r="Q232" s="5" t="str">
        <f t="shared" si="34"/>
        <v>Gynecology</v>
      </c>
      <c r="R232" s="6" t="str">
        <f t="shared" si="35"/>
        <v>Apollo</v>
      </c>
      <c r="S232" s="6" t="str">
        <f t="shared" si="36"/>
        <v>UPI</v>
      </c>
      <c r="T232" s="6" t="str">
        <f t="shared" si="37"/>
        <v>Male</v>
      </c>
      <c r="U232" s="6" t="str">
        <f t="shared" si="40"/>
        <v>General</v>
      </c>
      <c r="V232" s="6" t="str" cm="1">
        <f t="array" ref="V232">IF(TRIM(S232)="",INDEX($S$2:$S$1500,MATCH(MAX(COUNTIF($S$2:$S$1500,S232)),COUNTIF($S$2:$S$1500,$S$2:$S$1500),0)),S232)</f>
        <v>UPI</v>
      </c>
      <c r="W232" s="7" cm="1">
        <f t="array" ref="W232">IF(OR(TRIM(K232)="",TRIM(K232)="-"), MEDIAN(IF($E$2:$E$1500=E232,$K$2:$K$1500)),  VALUE(SUBSTITUTE(SUBSTITUTE(SUBSTITUTE(K232,"Rs. ",""),"₹",""),",","")))</f>
        <v>17734</v>
      </c>
      <c r="X232" s="8">
        <f t="shared" si="38"/>
        <v>0</v>
      </c>
      <c r="Y232" s="7">
        <f t="shared" si="39"/>
        <v>17734</v>
      </c>
      <c r="Z232" s="9" t="str">
        <f t="shared" si="31"/>
        <v>SENIOR</v>
      </c>
    </row>
    <row r="233" spans="1:26" x14ac:dyDescent="0.3">
      <c r="A233" s="5" t="s">
        <v>659</v>
      </c>
      <c r="B233" s="5" t="s">
        <v>14</v>
      </c>
      <c r="C233" s="5" t="s">
        <v>60</v>
      </c>
      <c r="D233" s="5" t="s">
        <v>36</v>
      </c>
      <c r="E233" s="5" t="s">
        <v>108</v>
      </c>
      <c r="F233" s="5" t="s">
        <v>124</v>
      </c>
      <c r="G233" s="5" t="s">
        <v>69</v>
      </c>
      <c r="H233" s="5">
        <v>92</v>
      </c>
      <c r="I233" s="5" t="s">
        <v>20</v>
      </c>
      <c r="J233" s="34" t="s">
        <v>660</v>
      </c>
      <c r="K233" s="31" t="s">
        <v>661</v>
      </c>
      <c r="L233" s="5" t="s">
        <v>311</v>
      </c>
      <c r="M233" s="32">
        <v>0</v>
      </c>
      <c r="N233" s="6">
        <f t="shared" si="32"/>
        <v>0</v>
      </c>
      <c r="O233" s="4" t="s">
        <v>124</v>
      </c>
      <c r="P233" s="5" t="str">
        <f t="shared" si="33"/>
        <v>Chennai</v>
      </c>
      <c r="Q233" s="5" t="str">
        <f t="shared" si="34"/>
        <v>Orthopedics</v>
      </c>
      <c r="R233" s="6" t="str">
        <f t="shared" si="35"/>
        <v>Max_Healthcare</v>
      </c>
      <c r="S233" s="6" t="str">
        <f t="shared" si="36"/>
        <v>UPI</v>
      </c>
      <c r="T233" s="6" t="str">
        <f t="shared" si="37"/>
        <v>Male</v>
      </c>
      <c r="U233" s="6" t="str">
        <f t="shared" si="40"/>
        <v>ICU</v>
      </c>
      <c r="V233" s="6" t="str" cm="1">
        <f t="array" ref="V233">IF(TRIM(S233)="",INDEX($S$2:$S$1500,MATCH(MAX(COUNTIF($S$2:$S$1500,S233)),COUNTIF($S$2:$S$1500,$S$2:$S$1500),0)),S233)</f>
        <v>UPI</v>
      </c>
      <c r="W233" s="7" cm="1">
        <f t="array" ref="W233">IF(OR(TRIM(K233)="",TRIM(K233)="-"), MEDIAN(IF($E$2:$E$1500=E233,$K$2:$K$1500)),  VALUE(SUBSTITUTE(SUBSTITUTE(SUBSTITUTE(K233,"Rs. ",""),"₹",""),",","")))</f>
        <v>60232</v>
      </c>
      <c r="X233" s="8">
        <f t="shared" si="38"/>
        <v>0</v>
      </c>
      <c r="Y233" s="7">
        <f t="shared" si="39"/>
        <v>60232</v>
      </c>
      <c r="Z233" s="9" t="str">
        <f t="shared" si="31"/>
        <v>SENIOR</v>
      </c>
    </row>
    <row r="234" spans="1:26" x14ac:dyDescent="0.3">
      <c r="A234" s="5" t="s">
        <v>662</v>
      </c>
      <c r="B234" s="5" t="s">
        <v>106</v>
      </c>
      <c r="C234" s="5" t="s">
        <v>107</v>
      </c>
      <c r="D234" s="5" t="s">
        <v>55</v>
      </c>
      <c r="E234" s="5" t="s">
        <v>17</v>
      </c>
      <c r="F234" s="5" t="s">
        <v>169</v>
      </c>
      <c r="G234" s="5" t="s">
        <v>30</v>
      </c>
      <c r="H234" s="5">
        <v>92</v>
      </c>
      <c r="I234" s="5" t="s">
        <v>40</v>
      </c>
      <c r="J234" s="34" t="s">
        <v>663</v>
      </c>
      <c r="K234" s="31">
        <v>16554</v>
      </c>
      <c r="L234" s="5" t="s">
        <v>34</v>
      </c>
      <c r="M234" s="32">
        <v>0</v>
      </c>
      <c r="N234" s="6">
        <f t="shared" si="32"/>
        <v>0</v>
      </c>
      <c r="O234" s="4" t="s">
        <v>169</v>
      </c>
      <c r="P234" s="5" t="str">
        <f t="shared" si="33"/>
        <v>Hyderabad</v>
      </c>
      <c r="Q234" s="5" t="str">
        <f t="shared" si="34"/>
        <v>Gynecology</v>
      </c>
      <c r="R234" s="6" t="str">
        <f t="shared" si="35"/>
        <v>Aiims</v>
      </c>
      <c r="S234" s="6" t="str">
        <f t="shared" si="36"/>
        <v>Cash</v>
      </c>
      <c r="T234" s="6" t="str">
        <f t="shared" si="37"/>
        <v>Female</v>
      </c>
      <c r="U234" s="6" t="str">
        <f t="shared" si="40"/>
        <v>General</v>
      </c>
      <c r="V234" s="6" t="str" cm="1">
        <f t="array" ref="V234">IF(TRIM(S234)="",INDEX($S$2:$S$1500,MATCH(MAX(COUNTIF($S$2:$S$1500,S234)),COUNTIF($S$2:$S$1500,$S$2:$S$1500),0)),S234)</f>
        <v>Cash</v>
      </c>
      <c r="W234" s="7" cm="1">
        <f t="array" ref="W234">IF(OR(TRIM(K234)="",TRIM(K234)="-"), MEDIAN(IF($E$2:$E$1500=E234,$K$2:$K$1500)),  VALUE(SUBSTITUTE(SUBSTITUTE(SUBSTITUTE(K234,"Rs. ",""),"₹",""),",","")))</f>
        <v>16554</v>
      </c>
      <c r="X234" s="8">
        <f t="shared" si="38"/>
        <v>0</v>
      </c>
      <c r="Y234" s="7">
        <f t="shared" si="39"/>
        <v>16554</v>
      </c>
      <c r="Z234" s="9" t="str">
        <f t="shared" si="31"/>
        <v>SENIOR</v>
      </c>
    </row>
    <row r="235" spans="1:26" x14ac:dyDescent="0.3">
      <c r="A235" s="5" t="s">
        <v>664</v>
      </c>
      <c r="B235" s="5" t="s">
        <v>78</v>
      </c>
      <c r="C235" s="5" t="s">
        <v>79</v>
      </c>
      <c r="D235" s="5" t="s">
        <v>36</v>
      </c>
      <c r="E235" s="5" t="s">
        <v>47</v>
      </c>
      <c r="F235" s="5" t="s">
        <v>364</v>
      </c>
      <c r="G235" s="5" t="s">
        <v>19</v>
      </c>
      <c r="H235" s="5">
        <v>87</v>
      </c>
      <c r="I235" s="5" t="s">
        <v>40</v>
      </c>
      <c r="J235" s="34" t="s">
        <v>631</v>
      </c>
      <c r="K235" s="31">
        <v>10280</v>
      </c>
      <c r="L235" s="5" t="s">
        <v>211</v>
      </c>
      <c r="M235" s="32">
        <v>0</v>
      </c>
      <c r="N235" s="6">
        <f t="shared" si="32"/>
        <v>0</v>
      </c>
      <c r="O235" s="4" t="s">
        <v>364</v>
      </c>
      <c r="P235" s="5" t="str">
        <f t="shared" si="33"/>
        <v>Chennai</v>
      </c>
      <c r="Q235" s="5" t="str">
        <f t="shared" si="34"/>
        <v>Gastroenterology</v>
      </c>
      <c r="R235" s="6" t="str">
        <f t="shared" si="35"/>
        <v>Apollo</v>
      </c>
      <c r="S235" s="6" t="str">
        <f t="shared" si="36"/>
        <v>Credit Card</v>
      </c>
      <c r="T235" s="6" t="str">
        <f t="shared" si="37"/>
        <v>Female</v>
      </c>
      <c r="U235" s="6" t="str">
        <f t="shared" si="40"/>
        <v>General</v>
      </c>
      <c r="V235" s="6" t="str" cm="1">
        <f t="array" ref="V235">IF(TRIM(S235)="",INDEX($S$2:$S$1500,MATCH(MAX(COUNTIF($S$2:$S$1500,S235)),COUNTIF($S$2:$S$1500,$S$2:$S$1500),0)),S235)</f>
        <v>Credit Card</v>
      </c>
      <c r="W235" s="7" cm="1">
        <f t="array" ref="W235">IF(OR(TRIM(K235)="",TRIM(K235)="-"), MEDIAN(IF($E$2:$E$1500=E235,$K$2:$K$1500)),  VALUE(SUBSTITUTE(SUBSTITUTE(SUBSTITUTE(K235,"Rs. ",""),"₹",""),",","")))</f>
        <v>10280</v>
      </c>
      <c r="X235" s="8">
        <f t="shared" si="38"/>
        <v>0</v>
      </c>
      <c r="Y235" s="7">
        <f t="shared" si="39"/>
        <v>10280</v>
      </c>
      <c r="Z235" s="9" t="str">
        <f t="shared" si="31"/>
        <v>SENIOR</v>
      </c>
    </row>
    <row r="236" spans="1:26" x14ac:dyDescent="0.3">
      <c r="A236" s="5" t="s">
        <v>665</v>
      </c>
      <c r="B236" s="5" t="s">
        <v>106</v>
      </c>
      <c r="C236" s="5" t="s">
        <v>307</v>
      </c>
      <c r="D236" s="5" t="s">
        <v>61</v>
      </c>
      <c r="E236" s="5" t="s">
        <v>74</v>
      </c>
      <c r="F236" s="5" t="s">
        <v>172</v>
      </c>
      <c r="G236" s="5" t="s">
        <v>49</v>
      </c>
      <c r="H236" s="5">
        <v>79</v>
      </c>
      <c r="I236" s="5" t="s">
        <v>20</v>
      </c>
      <c r="J236" s="34" t="s">
        <v>666</v>
      </c>
      <c r="K236" s="31">
        <v>5205</v>
      </c>
      <c r="L236" s="5" t="s">
        <v>23</v>
      </c>
      <c r="M236" s="32" t="s">
        <v>130</v>
      </c>
      <c r="N236" s="6">
        <f t="shared" si="32"/>
        <v>0</v>
      </c>
      <c r="O236" s="4" t="s">
        <v>172</v>
      </c>
      <c r="P236" s="5" t="str">
        <f t="shared" si="33"/>
        <v>Pune</v>
      </c>
      <c r="Q236" s="5" t="str">
        <f t="shared" si="34"/>
        <v>General Medicine</v>
      </c>
      <c r="R236" s="6" t="str">
        <f t="shared" si="35"/>
        <v>Aiims</v>
      </c>
      <c r="S236" s="6" t="str">
        <f t="shared" si="36"/>
        <v>Credit Card</v>
      </c>
      <c r="T236" s="6" t="str">
        <f t="shared" si="37"/>
        <v>Male</v>
      </c>
      <c r="U236" s="6" t="str">
        <f t="shared" si="40"/>
        <v>General</v>
      </c>
      <c r="V236" s="6" t="str" cm="1">
        <f t="array" ref="V236">IF(TRIM(S236)="",INDEX($S$2:$S$1500,MATCH(MAX(COUNTIF($S$2:$S$1500,S236)),COUNTIF($S$2:$S$1500,$S$2:$S$1500),0)),S236)</f>
        <v>Credit Card</v>
      </c>
      <c r="W236" s="7" cm="1">
        <f t="array" ref="W236">IF(OR(TRIM(K236)="",TRIM(K236)="-"), MEDIAN(IF($E$2:$E$1500=E236,$K$2:$K$1500)),  VALUE(SUBSTITUTE(SUBSTITUTE(SUBSTITUTE(K236,"Rs. ",""),"₹",""),",","")))</f>
        <v>5205</v>
      </c>
      <c r="X236" s="8">
        <f t="shared" si="38"/>
        <v>0</v>
      </c>
      <c r="Y236" s="7">
        <f t="shared" si="39"/>
        <v>5205</v>
      </c>
      <c r="Z236" s="9" t="str">
        <f t="shared" si="31"/>
        <v>SENIOR</v>
      </c>
    </row>
    <row r="237" spans="1:26" x14ac:dyDescent="0.3">
      <c r="A237" s="5" t="s">
        <v>667</v>
      </c>
      <c r="B237" s="5" t="s">
        <v>25</v>
      </c>
      <c r="C237" s="5" t="s">
        <v>54</v>
      </c>
      <c r="D237" s="5" t="s">
        <v>27</v>
      </c>
      <c r="E237" s="5" t="s">
        <v>37</v>
      </c>
      <c r="F237" s="5" t="s">
        <v>38</v>
      </c>
      <c r="G237" s="5" t="s">
        <v>19</v>
      </c>
      <c r="H237" s="5">
        <v>28</v>
      </c>
      <c r="I237" s="5" t="s">
        <v>20</v>
      </c>
      <c r="J237" s="34" t="s">
        <v>638</v>
      </c>
      <c r="K237" s="31" t="s">
        <v>668</v>
      </c>
      <c r="L237" s="5" t="s">
        <v>104</v>
      </c>
      <c r="M237" s="32">
        <v>0.05</v>
      </c>
      <c r="N237" s="6">
        <f t="shared" si="32"/>
        <v>5</v>
      </c>
      <c r="O237" s="4" t="s">
        <v>38</v>
      </c>
      <c r="P237" s="5" t="str">
        <f t="shared" si="33"/>
        <v>Mumbai</v>
      </c>
      <c r="Q237" s="5" t="str">
        <f t="shared" si="34"/>
        <v>Pediatrics</v>
      </c>
      <c r="R237" s="6" t="str">
        <f t="shared" si="35"/>
        <v>Narayana</v>
      </c>
      <c r="S237" s="6" t="str">
        <f t="shared" si="36"/>
        <v>Insurance</v>
      </c>
      <c r="T237" s="6" t="str">
        <f t="shared" si="37"/>
        <v>Male</v>
      </c>
      <c r="U237" s="6" t="str">
        <f t="shared" si="40"/>
        <v>General</v>
      </c>
      <c r="V237" s="6" t="str" cm="1">
        <f t="array" ref="V237">IF(TRIM(S237)="",INDEX($S$2:$S$1500,MATCH(MAX(COUNTIF($S$2:$S$1500,S237)),COUNTIF($S$2:$S$1500,$S$2:$S$1500),0)),S237)</f>
        <v>Insurance</v>
      </c>
      <c r="W237" s="7" cm="1">
        <f t="array" ref="W237">IF(OR(TRIM(K237)="",TRIM(K237)="-"), MEDIAN(IF($E$2:$E$1500=E237,$K$2:$K$1500)),  VALUE(SUBSTITUTE(SUBSTITUTE(SUBSTITUTE(K237,"Rs. ",""),"₹",""),",","")))</f>
        <v>7546</v>
      </c>
      <c r="X237" s="8">
        <f t="shared" si="38"/>
        <v>5</v>
      </c>
      <c r="Y237" s="7">
        <f t="shared" si="39"/>
        <v>7169</v>
      </c>
      <c r="Z237" s="9" t="str">
        <f t="shared" si="31"/>
        <v>ADULT</v>
      </c>
    </row>
    <row r="238" spans="1:26" x14ac:dyDescent="0.3">
      <c r="A238" s="5" t="s">
        <v>669</v>
      </c>
      <c r="B238" s="5" t="s">
        <v>117</v>
      </c>
      <c r="C238" s="5" t="s">
        <v>182</v>
      </c>
      <c r="D238" s="5" t="s">
        <v>36</v>
      </c>
      <c r="E238" s="5" t="s">
        <v>74</v>
      </c>
      <c r="F238" s="5" t="s">
        <v>192</v>
      </c>
      <c r="G238" s="5" t="s">
        <v>101</v>
      </c>
      <c r="H238" s="5">
        <v>28</v>
      </c>
      <c r="I238" s="5" t="s">
        <v>31</v>
      </c>
      <c r="J238" s="34" t="s">
        <v>670</v>
      </c>
      <c r="K238" s="31" t="s">
        <v>671</v>
      </c>
      <c r="L238" s="5" t="s">
        <v>236</v>
      </c>
      <c r="M238" s="32" t="s">
        <v>130</v>
      </c>
      <c r="N238" s="6">
        <f t="shared" si="32"/>
        <v>0</v>
      </c>
      <c r="O238" s="4" t="s">
        <v>192</v>
      </c>
      <c r="P238" s="5" t="str">
        <f t="shared" si="33"/>
        <v>Chennai</v>
      </c>
      <c r="Q238" s="5" t="str">
        <f t="shared" si="34"/>
        <v>General Medicine</v>
      </c>
      <c r="R238" s="6" t="str">
        <f t="shared" si="35"/>
        <v>Manipal</v>
      </c>
      <c r="S238" s="6" t="str">
        <f t="shared" si="36"/>
        <v>Debit Card</v>
      </c>
      <c r="T238" s="6" t="str">
        <f t="shared" si="37"/>
        <v>Male</v>
      </c>
      <c r="U238" s="6" t="str">
        <f t="shared" si="40"/>
        <v>ICU</v>
      </c>
      <c r="V238" s="6" t="str" cm="1">
        <f t="array" ref="V238">IF(TRIM(S238)="",INDEX($S$2:$S$1500,MATCH(MAX(COUNTIF($S$2:$S$1500,S238)),COUNTIF($S$2:$S$1500,$S$2:$S$1500),0)),S238)</f>
        <v>Debit Card</v>
      </c>
      <c r="W238" s="7" cm="1">
        <f t="array" ref="W238">IF(OR(TRIM(K238)="",TRIM(K238)="-"), MEDIAN(IF($E$2:$E$1500=E238,$K$2:$K$1500)),  VALUE(SUBSTITUTE(SUBSTITUTE(SUBSTITUTE(K238,"Rs. ",""),"₹",""),",","")))</f>
        <v>47391</v>
      </c>
      <c r="X238" s="8">
        <f t="shared" si="38"/>
        <v>0</v>
      </c>
      <c r="Y238" s="7">
        <f t="shared" si="39"/>
        <v>47391</v>
      </c>
      <c r="Z238" s="9" t="str">
        <f t="shared" si="31"/>
        <v>ADULT</v>
      </c>
    </row>
    <row r="239" spans="1:26" x14ac:dyDescent="0.3">
      <c r="A239" s="5" t="s">
        <v>672</v>
      </c>
      <c r="B239" s="5" t="s">
        <v>25</v>
      </c>
      <c r="C239" s="5" t="s">
        <v>54</v>
      </c>
      <c r="D239" s="5" t="s">
        <v>66</v>
      </c>
      <c r="E239" s="5" t="s">
        <v>17</v>
      </c>
      <c r="F239" s="5" t="s">
        <v>213</v>
      </c>
      <c r="G239" s="5" t="s">
        <v>39</v>
      </c>
      <c r="H239" s="5">
        <v>75</v>
      </c>
      <c r="I239" s="5" t="s">
        <v>20</v>
      </c>
      <c r="J239" s="34" t="s">
        <v>269</v>
      </c>
      <c r="K239" s="31" t="s">
        <v>673</v>
      </c>
      <c r="L239" s="5" t="s">
        <v>72</v>
      </c>
      <c r="M239" s="32">
        <v>0</v>
      </c>
      <c r="N239" s="6">
        <f t="shared" si="32"/>
        <v>0</v>
      </c>
      <c r="O239" s="4" t="s">
        <v>213</v>
      </c>
      <c r="P239" s="5" t="str">
        <f t="shared" si="33"/>
        <v>Kolkata</v>
      </c>
      <c r="Q239" s="5" t="str">
        <f t="shared" si="34"/>
        <v>Gynecology</v>
      </c>
      <c r="R239" s="6" t="str">
        <f t="shared" si="35"/>
        <v>Narayana</v>
      </c>
      <c r="S239" s="6" t="str">
        <f t="shared" si="36"/>
        <v>Cash</v>
      </c>
      <c r="T239" s="6" t="str">
        <f t="shared" si="37"/>
        <v>Male</v>
      </c>
      <c r="U239" s="6" t="str">
        <f t="shared" si="40"/>
        <v>General</v>
      </c>
      <c r="V239" s="6" t="str" cm="1">
        <f t="array" ref="V239">IF(TRIM(S239)="",INDEX($S$2:$S$1500,MATCH(MAX(COUNTIF($S$2:$S$1500,S239)),COUNTIF($S$2:$S$1500,$S$2:$S$1500),0)),S239)</f>
        <v>Cash</v>
      </c>
      <c r="W239" s="7" cm="1">
        <f t="array" ref="W239">IF(OR(TRIM(K239)="",TRIM(K239)="-"), MEDIAN(IF($E$2:$E$1500=E239,$K$2:$K$1500)),  VALUE(SUBSTITUTE(SUBSTITUTE(SUBSTITUTE(K239,"Rs. ",""),"₹",""),",","")))</f>
        <v>15789</v>
      </c>
      <c r="X239" s="8">
        <f t="shared" si="38"/>
        <v>0</v>
      </c>
      <c r="Y239" s="7">
        <f t="shared" si="39"/>
        <v>15789</v>
      </c>
      <c r="Z239" s="9" t="str">
        <f t="shared" si="31"/>
        <v>SENIOR</v>
      </c>
    </row>
    <row r="240" spans="1:26" x14ac:dyDescent="0.3">
      <c r="A240" s="5" t="s">
        <v>674</v>
      </c>
      <c r="B240" s="5" t="s">
        <v>14</v>
      </c>
      <c r="C240" s="5" t="s">
        <v>60</v>
      </c>
      <c r="D240" s="5" t="s">
        <v>27</v>
      </c>
      <c r="E240" s="5" t="s">
        <v>99</v>
      </c>
      <c r="F240" s="5" t="s">
        <v>256</v>
      </c>
      <c r="G240" s="5" t="s">
        <v>49</v>
      </c>
      <c r="H240" s="5">
        <v>25</v>
      </c>
      <c r="I240" s="5" t="s">
        <v>20</v>
      </c>
      <c r="J240" s="34" t="s">
        <v>675</v>
      </c>
      <c r="K240" s="31" t="s">
        <v>676</v>
      </c>
      <c r="L240" s="5" t="s">
        <v>97</v>
      </c>
      <c r="M240" s="32"/>
      <c r="N240" s="6">
        <f t="shared" si="32"/>
        <v>0</v>
      </c>
      <c r="O240" s="4" t="s">
        <v>256</v>
      </c>
      <c r="P240" s="5" t="str">
        <f t="shared" si="33"/>
        <v>Mumbai</v>
      </c>
      <c r="Q240" s="5" t="str">
        <f t="shared" si="34"/>
        <v>Ent</v>
      </c>
      <c r="R240" s="6" t="str">
        <f t="shared" si="35"/>
        <v>Max_Healthcare</v>
      </c>
      <c r="S240" s="6" t="str">
        <f t="shared" si="36"/>
        <v>UPI</v>
      </c>
      <c r="T240" s="6" t="str">
        <f t="shared" si="37"/>
        <v>Male</v>
      </c>
      <c r="U240" s="6" t="str">
        <f t="shared" si="40"/>
        <v>General</v>
      </c>
      <c r="V240" s="6" t="str" cm="1">
        <f t="array" ref="V240">IF(TRIM(S240)="",INDEX($S$2:$S$1500,MATCH(MAX(COUNTIF($S$2:$S$1500,S240)),COUNTIF($S$2:$S$1500,$S$2:$S$1500),0)),S240)</f>
        <v>UPI</v>
      </c>
      <c r="W240" s="7" cm="1">
        <f t="array" ref="W240">IF(OR(TRIM(K240)="",TRIM(K240)="-"), MEDIAN(IF($E$2:$E$1500=E240,$K$2:$K$1500)),  VALUE(SUBSTITUTE(SUBSTITUTE(SUBSTITUTE(K240,"Rs. ",""),"₹",""),",","")))</f>
        <v>9223</v>
      </c>
      <c r="X240" s="8">
        <f t="shared" si="38"/>
        <v>0</v>
      </c>
      <c r="Y240" s="7">
        <f t="shared" si="39"/>
        <v>9223</v>
      </c>
      <c r="Z240" s="9" t="str">
        <f t="shared" si="31"/>
        <v>ADULT</v>
      </c>
    </row>
    <row r="241" spans="1:26" x14ac:dyDescent="0.3">
      <c r="A241" s="5" t="s">
        <v>677</v>
      </c>
      <c r="B241" s="5" t="s">
        <v>106</v>
      </c>
      <c r="C241" s="5" t="s">
        <v>307</v>
      </c>
      <c r="D241" s="5" t="s">
        <v>36</v>
      </c>
      <c r="E241" s="5" t="s">
        <v>74</v>
      </c>
      <c r="F241" s="5" t="s">
        <v>172</v>
      </c>
      <c r="G241" s="5" t="s">
        <v>19</v>
      </c>
      <c r="H241" s="5">
        <v>3</v>
      </c>
      <c r="I241" s="5" t="s">
        <v>70</v>
      </c>
      <c r="J241" s="34" t="s">
        <v>521</v>
      </c>
      <c r="K241" s="31" t="s">
        <v>678</v>
      </c>
      <c r="L241" s="5" t="s">
        <v>115</v>
      </c>
      <c r="M241" s="32" t="s">
        <v>76</v>
      </c>
      <c r="N241" s="6">
        <f t="shared" si="32"/>
        <v>10</v>
      </c>
      <c r="O241" s="4" t="s">
        <v>172</v>
      </c>
      <c r="P241" s="5" t="str">
        <f t="shared" si="33"/>
        <v>Chennai</v>
      </c>
      <c r="Q241" s="5" t="str">
        <f t="shared" si="34"/>
        <v>General Medicine</v>
      </c>
      <c r="R241" s="6" t="str">
        <f t="shared" si="35"/>
        <v>Aiims</v>
      </c>
      <c r="S241" s="6" t="str">
        <f t="shared" si="36"/>
        <v>Cash</v>
      </c>
      <c r="T241" s="6" t="str">
        <f t="shared" si="37"/>
        <v>Female</v>
      </c>
      <c r="U241" s="6" t="str">
        <f t="shared" si="40"/>
        <v>General</v>
      </c>
      <c r="V241" s="6" t="str" cm="1">
        <f t="array" ref="V241">IF(TRIM(S241)="",INDEX($S$2:$S$1500,MATCH(MAX(COUNTIF($S$2:$S$1500,S241)),COUNTIF($S$2:$S$1500,$S$2:$S$1500),0)),S241)</f>
        <v>Cash</v>
      </c>
      <c r="W241" s="7" cm="1">
        <f t="array" ref="W241">IF(OR(TRIM(K241)="",TRIM(K241)="-"), MEDIAN(IF($E$2:$E$1500=E241,$K$2:$K$1500)),  VALUE(SUBSTITUTE(SUBSTITUTE(SUBSTITUTE(K241,"Rs. ",""),"₹",""),",","")))</f>
        <v>3516</v>
      </c>
      <c r="X241" s="8">
        <f t="shared" si="38"/>
        <v>10</v>
      </c>
      <c r="Y241" s="7">
        <f t="shared" si="39"/>
        <v>3164</v>
      </c>
      <c r="Z241" s="9" t="str">
        <f t="shared" si="31"/>
        <v>CHILD</v>
      </c>
    </row>
    <row r="242" spans="1:26" x14ac:dyDescent="0.3">
      <c r="A242" s="5" t="s">
        <v>679</v>
      </c>
      <c r="B242" s="5" t="s">
        <v>45</v>
      </c>
      <c r="C242" s="5" t="s">
        <v>334</v>
      </c>
      <c r="D242" s="5" t="s">
        <v>55</v>
      </c>
      <c r="E242" s="5" t="s">
        <v>37</v>
      </c>
      <c r="F242" s="5" t="s">
        <v>56</v>
      </c>
      <c r="G242" s="5" t="s">
        <v>19</v>
      </c>
      <c r="H242" s="5">
        <v>54</v>
      </c>
      <c r="I242" s="5" t="s">
        <v>20</v>
      </c>
      <c r="J242" s="34" t="s">
        <v>680</v>
      </c>
      <c r="K242" s="31">
        <v>17911</v>
      </c>
      <c r="L242" s="5" t="s">
        <v>42</v>
      </c>
      <c r="M242" s="32">
        <v>0.3</v>
      </c>
      <c r="N242" s="6">
        <f t="shared" si="32"/>
        <v>30</v>
      </c>
      <c r="O242" s="4" t="s">
        <v>56</v>
      </c>
      <c r="P242" s="5" t="str">
        <f t="shared" si="33"/>
        <v>Hyderabad</v>
      </c>
      <c r="Q242" s="5" t="str">
        <f t="shared" si="34"/>
        <v>Pediatrics</v>
      </c>
      <c r="R242" s="6" t="str">
        <f t="shared" si="35"/>
        <v>Fortis</v>
      </c>
      <c r="S242" s="6" t="str">
        <f t="shared" si="36"/>
        <v>Insurance</v>
      </c>
      <c r="T242" s="6" t="str">
        <f t="shared" si="37"/>
        <v>Male</v>
      </c>
      <c r="U242" s="6" t="str">
        <f t="shared" si="40"/>
        <v>General</v>
      </c>
      <c r="V242" s="6" t="str" cm="1">
        <f t="array" ref="V242">IF(TRIM(S242)="",INDEX($S$2:$S$1500,MATCH(MAX(COUNTIF($S$2:$S$1500,S242)),COUNTIF($S$2:$S$1500,$S$2:$S$1500),0)),S242)</f>
        <v>Insurance</v>
      </c>
      <c r="W242" s="7" cm="1">
        <f t="array" ref="W242">IF(OR(TRIM(K242)="",TRIM(K242)="-"), MEDIAN(IF($E$2:$E$1500=E242,$K$2:$K$1500)),  VALUE(SUBSTITUTE(SUBSTITUTE(SUBSTITUTE(K242,"Rs. ",""),"₹",""),",","")))</f>
        <v>17911</v>
      </c>
      <c r="X242" s="8">
        <f t="shared" si="38"/>
        <v>30</v>
      </c>
      <c r="Y242" s="7">
        <f t="shared" si="39"/>
        <v>12538</v>
      </c>
      <c r="Z242" s="9" t="str">
        <f t="shared" si="31"/>
        <v>ADULT</v>
      </c>
    </row>
    <row r="243" spans="1:26" x14ac:dyDescent="0.3">
      <c r="A243" s="5" t="s">
        <v>681</v>
      </c>
      <c r="B243" s="5" t="s">
        <v>14</v>
      </c>
      <c r="C243" s="5" t="s">
        <v>60</v>
      </c>
      <c r="D243" s="5" t="s">
        <v>55</v>
      </c>
      <c r="E243" s="5" t="s">
        <v>99</v>
      </c>
      <c r="F243" s="5" t="s">
        <v>256</v>
      </c>
      <c r="G243" s="5" t="s">
        <v>69</v>
      </c>
      <c r="H243" s="5">
        <v>66</v>
      </c>
      <c r="I243" s="5" t="s">
        <v>40</v>
      </c>
      <c r="J243" s="34" t="s">
        <v>682</v>
      </c>
      <c r="K243" s="31" t="s">
        <v>683</v>
      </c>
      <c r="L243" s="5"/>
      <c r="M243" s="32">
        <v>18</v>
      </c>
      <c r="N243" s="6">
        <f t="shared" si="32"/>
        <v>18</v>
      </c>
      <c r="O243" s="4" t="s">
        <v>256</v>
      </c>
      <c r="P243" s="5" t="str">
        <f t="shared" si="33"/>
        <v>Hyderabad</v>
      </c>
      <c r="Q243" s="5" t="str">
        <f t="shared" si="34"/>
        <v>Ent</v>
      </c>
      <c r="R243" s="6" t="str">
        <f t="shared" si="35"/>
        <v>Max_Healthcare</v>
      </c>
      <c r="S243" s="6" t="str">
        <f t="shared" si="36"/>
        <v>Unknown</v>
      </c>
      <c r="T243" s="6" t="str">
        <f t="shared" si="37"/>
        <v>Female</v>
      </c>
      <c r="U243" s="6" t="str">
        <f t="shared" si="40"/>
        <v>ICU</v>
      </c>
      <c r="V243" s="6" t="str" cm="1">
        <f t="array" ref="V243">IF(TRIM(S243)="",INDEX($S$2:$S$1500,MATCH(MAX(COUNTIF($S$2:$S$1500,S243)),COUNTIF($S$2:$S$1500,$S$2:$S$1500),0)),S243)</f>
        <v>Unknown</v>
      </c>
      <c r="W243" s="7" cm="1">
        <f t="array" ref="W243">IF(OR(TRIM(K243)="",TRIM(K243)="-"), MEDIAN(IF($E$2:$E$1500=E243,$K$2:$K$1500)),  VALUE(SUBSTITUTE(SUBSTITUTE(SUBSTITUTE(K243,"Rs. ",""),"₹",""),",","")))</f>
        <v>66375</v>
      </c>
      <c r="X243" s="8">
        <f t="shared" si="38"/>
        <v>18</v>
      </c>
      <c r="Y243" s="7">
        <f t="shared" si="39"/>
        <v>54428</v>
      </c>
      <c r="Z243" s="9" t="str">
        <f t="shared" si="31"/>
        <v>SENIOR</v>
      </c>
    </row>
    <row r="244" spans="1:26" x14ac:dyDescent="0.3">
      <c r="A244" s="5" t="s">
        <v>684</v>
      </c>
      <c r="B244" s="5" t="s">
        <v>117</v>
      </c>
      <c r="C244" s="5" t="s">
        <v>182</v>
      </c>
      <c r="D244" s="5" t="s">
        <v>61</v>
      </c>
      <c r="E244" s="5" t="s">
        <v>67</v>
      </c>
      <c r="F244" s="5" t="s">
        <v>68</v>
      </c>
      <c r="G244" s="5"/>
      <c r="H244" s="5">
        <v>28</v>
      </c>
      <c r="I244" s="5" t="s">
        <v>70</v>
      </c>
      <c r="J244" s="34" t="s">
        <v>685</v>
      </c>
      <c r="K244" s="31" t="s">
        <v>140</v>
      </c>
      <c r="L244" s="5" t="s">
        <v>104</v>
      </c>
      <c r="M244" s="32">
        <v>30</v>
      </c>
      <c r="N244" s="6">
        <f t="shared" si="32"/>
        <v>30</v>
      </c>
      <c r="O244" s="4" t="s">
        <v>68</v>
      </c>
      <c r="P244" s="5" t="str">
        <f t="shared" si="33"/>
        <v>Pune</v>
      </c>
      <c r="Q244" s="5" t="str">
        <f t="shared" si="34"/>
        <v>Neurology</v>
      </c>
      <c r="R244" s="6" t="str">
        <f t="shared" si="35"/>
        <v>Manipal</v>
      </c>
      <c r="S244" s="6" t="str">
        <f t="shared" si="36"/>
        <v>Insurance</v>
      </c>
      <c r="T244" s="6" t="str">
        <f t="shared" si="37"/>
        <v>Female</v>
      </c>
      <c r="U244" s="6" t="str">
        <f t="shared" si="40"/>
        <v>Unknown</v>
      </c>
      <c r="V244" s="6" t="str" cm="1">
        <f t="array" ref="V244">IF(TRIM(S244)="",INDEX($S$2:$S$1500,MATCH(MAX(COUNTIF($S$2:$S$1500,S244)),COUNTIF($S$2:$S$1500,$S$2:$S$1500),0)),S244)</f>
        <v>Insurance</v>
      </c>
      <c r="W244" s="7" cm="1">
        <f t="array" ref="W244">IF(OR(TRIM(K244)="",TRIM(K244)="-"), MEDIAN(IF($E$2:$E$1500=E244,$K$2:$K$1500)),  VALUE(SUBSTITUTE(SUBSTITUTE(SUBSTITUTE(K244,"Rs. ",""),"₹",""),",","")))</f>
        <v>13353</v>
      </c>
      <c r="X244" s="8">
        <f t="shared" si="38"/>
        <v>30</v>
      </c>
      <c r="Y244" s="7">
        <f t="shared" si="39"/>
        <v>9347</v>
      </c>
      <c r="Z244" s="9" t="str">
        <f t="shared" si="31"/>
        <v>ADULT</v>
      </c>
    </row>
    <row r="245" spans="1:26" x14ac:dyDescent="0.3">
      <c r="A245" s="5" t="s">
        <v>686</v>
      </c>
      <c r="B245" s="5" t="s">
        <v>25</v>
      </c>
      <c r="C245" s="5" t="s">
        <v>54</v>
      </c>
      <c r="D245" s="5" t="s">
        <v>27</v>
      </c>
      <c r="E245" s="5" t="s">
        <v>37</v>
      </c>
      <c r="F245" s="5" t="s">
        <v>56</v>
      </c>
      <c r="G245" s="5" t="s">
        <v>49</v>
      </c>
      <c r="H245" s="5">
        <v>82</v>
      </c>
      <c r="I245" s="5" t="s">
        <v>40</v>
      </c>
      <c r="J245" s="34" t="s">
        <v>294</v>
      </c>
      <c r="K245" s="31" t="s">
        <v>687</v>
      </c>
      <c r="L245" s="5" t="s">
        <v>104</v>
      </c>
      <c r="M245" s="32">
        <v>40</v>
      </c>
      <c r="N245" s="6">
        <f t="shared" si="32"/>
        <v>40</v>
      </c>
      <c r="O245" s="4" t="s">
        <v>56</v>
      </c>
      <c r="P245" s="5" t="str">
        <f t="shared" si="33"/>
        <v>Mumbai</v>
      </c>
      <c r="Q245" s="5" t="str">
        <f t="shared" si="34"/>
        <v>Pediatrics</v>
      </c>
      <c r="R245" s="6" t="str">
        <f t="shared" si="35"/>
        <v>Narayana</v>
      </c>
      <c r="S245" s="6" t="str">
        <f t="shared" si="36"/>
        <v>Insurance</v>
      </c>
      <c r="T245" s="6" t="str">
        <f t="shared" si="37"/>
        <v>Female</v>
      </c>
      <c r="U245" s="6" t="str">
        <f t="shared" si="40"/>
        <v>General</v>
      </c>
      <c r="V245" s="6" t="str" cm="1">
        <f t="array" ref="V245">IF(TRIM(S245)="",INDEX($S$2:$S$1500,MATCH(MAX(COUNTIF($S$2:$S$1500,S245)),COUNTIF($S$2:$S$1500,$S$2:$S$1500),0)),S245)</f>
        <v>Insurance</v>
      </c>
      <c r="W245" s="7" cm="1">
        <f t="array" ref="W245">IF(OR(TRIM(K245)="",TRIM(K245)="-"), MEDIAN(IF($E$2:$E$1500=E245,$K$2:$K$1500)),  VALUE(SUBSTITUTE(SUBSTITUTE(SUBSTITUTE(K245,"Rs. ",""),"₹",""),",","")))</f>
        <v>10976</v>
      </c>
      <c r="X245" s="8">
        <f t="shared" si="38"/>
        <v>40</v>
      </c>
      <c r="Y245" s="7">
        <f t="shared" si="39"/>
        <v>6586</v>
      </c>
      <c r="Z245" s="9" t="str">
        <f t="shared" si="31"/>
        <v>SENIOR</v>
      </c>
    </row>
    <row r="246" spans="1:26" x14ac:dyDescent="0.3">
      <c r="A246" s="5" t="s">
        <v>688</v>
      </c>
      <c r="B246" s="5" t="s">
        <v>117</v>
      </c>
      <c r="C246" s="5" t="s">
        <v>182</v>
      </c>
      <c r="D246" s="5" t="s">
        <v>80</v>
      </c>
      <c r="E246" s="5" t="s">
        <v>47</v>
      </c>
      <c r="F246" s="5" t="s">
        <v>364</v>
      </c>
      <c r="G246" s="5" t="s">
        <v>62</v>
      </c>
      <c r="H246" s="5">
        <v>7</v>
      </c>
      <c r="I246" s="5" t="s">
        <v>40</v>
      </c>
      <c r="J246" s="34" t="s">
        <v>397</v>
      </c>
      <c r="K246" s="31">
        <v>72457</v>
      </c>
      <c r="L246" s="5" t="s">
        <v>149</v>
      </c>
      <c r="M246" s="32">
        <v>30</v>
      </c>
      <c r="N246" s="6">
        <f t="shared" si="32"/>
        <v>30</v>
      </c>
      <c r="O246" s="4" t="s">
        <v>364</v>
      </c>
      <c r="P246" s="5" t="str">
        <f t="shared" si="33"/>
        <v>Ahmedabad</v>
      </c>
      <c r="Q246" s="5" t="str">
        <f t="shared" si="34"/>
        <v>Gastroenterology</v>
      </c>
      <c r="R246" s="6" t="str">
        <f t="shared" si="35"/>
        <v>Manipal</v>
      </c>
      <c r="S246" s="6" t="str">
        <f t="shared" si="36"/>
        <v>Insurance</v>
      </c>
      <c r="T246" s="6" t="str">
        <f t="shared" si="37"/>
        <v>Female</v>
      </c>
      <c r="U246" s="6" t="str">
        <f t="shared" si="40"/>
        <v>ICU</v>
      </c>
      <c r="V246" s="6" t="str" cm="1">
        <f t="array" ref="V246">IF(TRIM(S246)="",INDEX($S$2:$S$1500,MATCH(MAX(COUNTIF($S$2:$S$1500,S246)),COUNTIF($S$2:$S$1500,$S$2:$S$1500),0)),S246)</f>
        <v>Insurance</v>
      </c>
      <c r="W246" s="7" cm="1">
        <f t="array" ref="W246">IF(OR(TRIM(K246)="",TRIM(K246)="-"), MEDIAN(IF($E$2:$E$1500=E246,$K$2:$K$1500)),  VALUE(SUBSTITUTE(SUBSTITUTE(SUBSTITUTE(K246,"Rs. ",""),"₹",""),",","")))</f>
        <v>72457</v>
      </c>
      <c r="X246" s="8">
        <f t="shared" si="38"/>
        <v>30</v>
      </c>
      <c r="Y246" s="7">
        <f t="shared" si="39"/>
        <v>50720</v>
      </c>
      <c r="Z246" s="9" t="str">
        <f t="shared" si="31"/>
        <v>CHILD</v>
      </c>
    </row>
    <row r="247" spans="1:26" x14ac:dyDescent="0.3">
      <c r="A247" s="5" t="s">
        <v>689</v>
      </c>
      <c r="B247" s="5" t="s">
        <v>117</v>
      </c>
      <c r="C247" s="5" t="s">
        <v>182</v>
      </c>
      <c r="D247" s="5" t="s">
        <v>61</v>
      </c>
      <c r="E247" s="5" t="s">
        <v>108</v>
      </c>
      <c r="F247" s="5" t="s">
        <v>308</v>
      </c>
      <c r="G247" s="5" t="s">
        <v>101</v>
      </c>
      <c r="H247" s="5">
        <v>51</v>
      </c>
      <c r="I247" s="5" t="s">
        <v>31</v>
      </c>
      <c r="J247" s="34" t="s">
        <v>690</v>
      </c>
      <c r="K247" s="31">
        <v>49383</v>
      </c>
      <c r="L247" s="5" t="s">
        <v>72</v>
      </c>
      <c r="M247" s="32">
        <v>0</v>
      </c>
      <c r="N247" s="6">
        <f t="shared" si="32"/>
        <v>0</v>
      </c>
      <c r="O247" s="4" t="s">
        <v>308</v>
      </c>
      <c r="P247" s="5" t="str">
        <f t="shared" si="33"/>
        <v>Pune</v>
      </c>
      <c r="Q247" s="5" t="str">
        <f t="shared" si="34"/>
        <v>Orthopedics</v>
      </c>
      <c r="R247" s="6" t="str">
        <f t="shared" si="35"/>
        <v>Manipal</v>
      </c>
      <c r="S247" s="6" t="str">
        <f t="shared" si="36"/>
        <v>Cash</v>
      </c>
      <c r="T247" s="6" t="str">
        <f t="shared" si="37"/>
        <v>Male</v>
      </c>
      <c r="U247" s="6" t="str">
        <f t="shared" si="40"/>
        <v>ICU</v>
      </c>
      <c r="V247" s="6" t="str" cm="1">
        <f t="array" ref="V247">IF(TRIM(S247)="",INDEX($S$2:$S$1500,MATCH(MAX(COUNTIF($S$2:$S$1500,S247)),COUNTIF($S$2:$S$1500,$S$2:$S$1500),0)),S247)</f>
        <v>Cash</v>
      </c>
      <c r="W247" s="7" cm="1">
        <f t="array" ref="W247">IF(OR(TRIM(K247)="",TRIM(K247)="-"), MEDIAN(IF($E$2:$E$1500=E247,$K$2:$K$1500)),  VALUE(SUBSTITUTE(SUBSTITUTE(SUBSTITUTE(K247,"Rs. ",""),"₹",""),",","")))</f>
        <v>49383</v>
      </c>
      <c r="X247" s="8">
        <f t="shared" si="38"/>
        <v>0</v>
      </c>
      <c r="Y247" s="7">
        <f t="shared" si="39"/>
        <v>49383</v>
      </c>
      <c r="Z247" s="9" t="str">
        <f t="shared" si="31"/>
        <v>ADULT</v>
      </c>
    </row>
    <row r="248" spans="1:26" x14ac:dyDescent="0.3">
      <c r="A248" s="5" t="s">
        <v>691</v>
      </c>
      <c r="B248" s="5" t="s">
        <v>78</v>
      </c>
      <c r="C248" s="5" t="s">
        <v>79</v>
      </c>
      <c r="D248" s="5" t="s">
        <v>61</v>
      </c>
      <c r="E248" s="5" t="s">
        <v>28</v>
      </c>
      <c r="F248" s="5" t="s">
        <v>290</v>
      </c>
      <c r="G248" s="5" t="s">
        <v>62</v>
      </c>
      <c r="H248" s="5">
        <v>82</v>
      </c>
      <c r="I248" s="5" t="s">
        <v>31</v>
      </c>
      <c r="J248" s="34" t="s">
        <v>225</v>
      </c>
      <c r="K248" s="31" t="s">
        <v>692</v>
      </c>
      <c r="L248" s="5" t="s">
        <v>72</v>
      </c>
      <c r="M248" s="32" t="s">
        <v>140</v>
      </c>
      <c r="N248" s="6" t="str">
        <f t="shared" si="32"/>
        <v>-</v>
      </c>
      <c r="O248" s="4" t="s">
        <v>290</v>
      </c>
      <c r="P248" s="5" t="str">
        <f t="shared" si="33"/>
        <v>Pune</v>
      </c>
      <c r="Q248" s="5" t="str">
        <f t="shared" si="34"/>
        <v>Oncology</v>
      </c>
      <c r="R248" s="6" t="str">
        <f t="shared" si="35"/>
        <v>Apollo</v>
      </c>
      <c r="S248" s="6" t="str">
        <f t="shared" si="36"/>
        <v>Cash</v>
      </c>
      <c r="T248" s="6" t="str">
        <f t="shared" si="37"/>
        <v>Male</v>
      </c>
      <c r="U248" s="6" t="str">
        <f t="shared" si="40"/>
        <v>ICU</v>
      </c>
      <c r="V248" s="6" t="str" cm="1">
        <f t="array" ref="V248">IF(TRIM(S248)="",INDEX($S$2:$S$1500,MATCH(MAX(COUNTIF($S$2:$S$1500,S248)),COUNTIF($S$2:$S$1500,$S$2:$S$1500),0)),S248)</f>
        <v>Cash</v>
      </c>
      <c r="W248" s="7" cm="1">
        <f t="array" ref="W248">IF(OR(TRIM(K248)="",TRIM(K248)="-"), MEDIAN(IF($E$2:$E$1500=E248,$K$2:$K$1500)),  VALUE(SUBSTITUTE(SUBSTITUTE(SUBSTITUTE(K248,"Rs. ",""),"₹",""),",","")))</f>
        <v>74229</v>
      </c>
      <c r="X248" s="8">
        <f t="shared" si="38"/>
        <v>3</v>
      </c>
      <c r="Y248" s="7">
        <f t="shared" si="39"/>
        <v>72002</v>
      </c>
      <c r="Z248" s="9" t="str">
        <f t="shared" si="31"/>
        <v>SENIOR</v>
      </c>
    </row>
    <row r="249" spans="1:26" x14ac:dyDescent="0.3">
      <c r="A249" s="5" t="s">
        <v>693</v>
      </c>
      <c r="B249" s="5" t="s">
        <v>45</v>
      </c>
      <c r="C249" s="5" t="s">
        <v>46</v>
      </c>
      <c r="D249" s="5" t="s">
        <v>55</v>
      </c>
      <c r="E249" s="5" t="s">
        <v>108</v>
      </c>
      <c r="F249" s="5" t="s">
        <v>109</v>
      </c>
      <c r="G249" s="5"/>
      <c r="H249" s="5">
        <v>4</v>
      </c>
      <c r="I249" s="5" t="s">
        <v>31</v>
      </c>
      <c r="J249" s="34" t="s">
        <v>694</v>
      </c>
      <c r="K249" s="31" t="s">
        <v>695</v>
      </c>
      <c r="L249" s="5" t="s">
        <v>236</v>
      </c>
      <c r="M249" s="32">
        <v>0</v>
      </c>
      <c r="N249" s="6">
        <f t="shared" si="32"/>
        <v>0</v>
      </c>
      <c r="O249" s="4" t="s">
        <v>109</v>
      </c>
      <c r="P249" s="5" t="str">
        <f t="shared" si="33"/>
        <v>Hyderabad</v>
      </c>
      <c r="Q249" s="5" t="str">
        <f t="shared" si="34"/>
        <v>Orthopedics</v>
      </c>
      <c r="R249" s="6" t="str">
        <f t="shared" si="35"/>
        <v>Fortis</v>
      </c>
      <c r="S249" s="6" t="str">
        <f t="shared" si="36"/>
        <v>Debit Card</v>
      </c>
      <c r="T249" s="6" t="str">
        <f t="shared" si="37"/>
        <v>Male</v>
      </c>
      <c r="U249" s="6" t="str">
        <f t="shared" si="40"/>
        <v>Unknown</v>
      </c>
      <c r="V249" s="6" t="str" cm="1">
        <f t="array" ref="V249">IF(TRIM(S249)="",INDEX($S$2:$S$1500,MATCH(MAX(COUNTIF($S$2:$S$1500,S249)),COUNTIF($S$2:$S$1500,$S$2:$S$1500),0)),S249)</f>
        <v>Debit Card</v>
      </c>
      <c r="W249" s="7" cm="1">
        <f t="array" ref="W249">IF(OR(TRIM(K249)="",TRIM(K249)="-"), MEDIAN(IF($E$2:$E$1500=E249,$K$2:$K$1500)),  VALUE(SUBSTITUTE(SUBSTITUTE(SUBSTITUTE(K249,"Rs. ",""),"₹",""),",","")))</f>
        <v>31222</v>
      </c>
      <c r="X249" s="8">
        <f t="shared" si="38"/>
        <v>0</v>
      </c>
      <c r="Y249" s="7">
        <f t="shared" si="39"/>
        <v>31222</v>
      </c>
      <c r="Z249" s="9" t="str">
        <f t="shared" si="31"/>
        <v>CHILD</v>
      </c>
    </row>
    <row r="250" spans="1:26" x14ac:dyDescent="0.3">
      <c r="A250" s="5" t="s">
        <v>696</v>
      </c>
      <c r="B250" s="5" t="s">
        <v>25</v>
      </c>
      <c r="C250" s="5" t="s">
        <v>54</v>
      </c>
      <c r="D250" s="5" t="s">
        <v>66</v>
      </c>
      <c r="E250" s="5" t="s">
        <v>99</v>
      </c>
      <c r="F250" s="5" t="s">
        <v>151</v>
      </c>
      <c r="G250" s="5" t="s">
        <v>30</v>
      </c>
      <c r="H250" s="5">
        <v>4</v>
      </c>
      <c r="I250" s="5" t="s">
        <v>40</v>
      </c>
      <c r="J250" s="34" t="s">
        <v>697</v>
      </c>
      <c r="K250" s="31">
        <v>19613</v>
      </c>
      <c r="L250" s="5" t="s">
        <v>115</v>
      </c>
      <c r="M250" s="32">
        <v>0</v>
      </c>
      <c r="N250" s="6">
        <f t="shared" si="32"/>
        <v>0</v>
      </c>
      <c r="O250" s="4" t="s">
        <v>151</v>
      </c>
      <c r="P250" s="5" t="str">
        <f t="shared" si="33"/>
        <v>Kolkata</v>
      </c>
      <c r="Q250" s="5" t="str">
        <f t="shared" si="34"/>
        <v>Ent</v>
      </c>
      <c r="R250" s="6" t="str">
        <f t="shared" si="35"/>
        <v>Narayana</v>
      </c>
      <c r="S250" s="6" t="str">
        <f t="shared" si="36"/>
        <v>Cash</v>
      </c>
      <c r="T250" s="6" t="str">
        <f t="shared" si="37"/>
        <v>Female</v>
      </c>
      <c r="U250" s="6" t="str">
        <f t="shared" si="40"/>
        <v>General</v>
      </c>
      <c r="V250" s="6" t="str" cm="1">
        <f t="array" ref="V250">IF(TRIM(S250)="",INDEX($S$2:$S$1500,MATCH(MAX(COUNTIF($S$2:$S$1500,S250)),COUNTIF($S$2:$S$1500,$S$2:$S$1500),0)),S250)</f>
        <v>Cash</v>
      </c>
      <c r="W250" s="7" cm="1">
        <f t="array" ref="W250">IF(OR(TRIM(K250)="",TRIM(K250)="-"), MEDIAN(IF($E$2:$E$1500=E250,$K$2:$K$1500)),  VALUE(SUBSTITUTE(SUBSTITUTE(SUBSTITUTE(K250,"Rs. ",""),"₹",""),",","")))</f>
        <v>19613</v>
      </c>
      <c r="X250" s="8">
        <f t="shared" si="38"/>
        <v>0</v>
      </c>
      <c r="Y250" s="7">
        <f t="shared" si="39"/>
        <v>19613</v>
      </c>
      <c r="Z250" s="9" t="str">
        <f t="shared" si="31"/>
        <v>CHILD</v>
      </c>
    </row>
    <row r="251" spans="1:26" x14ac:dyDescent="0.3">
      <c r="A251" s="5" t="s">
        <v>698</v>
      </c>
      <c r="B251" s="5" t="s">
        <v>25</v>
      </c>
      <c r="C251" s="5" t="s">
        <v>54</v>
      </c>
      <c r="D251" s="5" t="s">
        <v>27</v>
      </c>
      <c r="E251" s="5" t="s">
        <v>93</v>
      </c>
      <c r="F251" s="5" t="s">
        <v>94</v>
      </c>
      <c r="G251" s="5" t="s">
        <v>30</v>
      </c>
      <c r="H251" s="5">
        <v>13</v>
      </c>
      <c r="I251" s="5" t="s">
        <v>20</v>
      </c>
      <c r="J251" s="34" t="s">
        <v>197</v>
      </c>
      <c r="K251" s="31" t="s">
        <v>699</v>
      </c>
      <c r="L251" s="5" t="s">
        <v>115</v>
      </c>
      <c r="M251" s="32">
        <v>10</v>
      </c>
      <c r="N251" s="6">
        <f t="shared" si="32"/>
        <v>10</v>
      </c>
      <c r="O251" s="4" t="s">
        <v>94</v>
      </c>
      <c r="P251" s="5" t="str">
        <f t="shared" si="33"/>
        <v>Mumbai</v>
      </c>
      <c r="Q251" s="5" t="str">
        <f t="shared" si="34"/>
        <v>Nephrology</v>
      </c>
      <c r="R251" s="6" t="str">
        <f t="shared" si="35"/>
        <v>Narayana</v>
      </c>
      <c r="S251" s="6" t="str">
        <f t="shared" si="36"/>
        <v>Cash</v>
      </c>
      <c r="T251" s="6" t="str">
        <f t="shared" si="37"/>
        <v>Male</v>
      </c>
      <c r="U251" s="6" t="str">
        <f t="shared" si="40"/>
        <v>General</v>
      </c>
      <c r="V251" s="6" t="str" cm="1">
        <f t="array" ref="V251">IF(TRIM(S251)="",INDEX($S$2:$S$1500,MATCH(MAX(COUNTIF($S$2:$S$1500,S251)),COUNTIF($S$2:$S$1500,$S$2:$S$1500),0)),S251)</f>
        <v>Cash</v>
      </c>
      <c r="W251" s="7" cm="1">
        <f t="array" ref="W251">IF(OR(TRIM(K251)="",TRIM(K251)="-"), MEDIAN(IF($E$2:$E$1500=E251,$K$2:$K$1500)),  VALUE(SUBSTITUTE(SUBSTITUTE(SUBSTITUTE(K251,"Rs. ",""),"₹",""),",","")))</f>
        <v>11978</v>
      </c>
      <c r="X251" s="8">
        <f t="shared" si="38"/>
        <v>10</v>
      </c>
      <c r="Y251" s="7">
        <f t="shared" si="39"/>
        <v>10780</v>
      </c>
      <c r="Z251" s="9" t="str">
        <f t="shared" si="31"/>
        <v>TEEN</v>
      </c>
    </row>
    <row r="252" spans="1:26" x14ac:dyDescent="0.3">
      <c r="A252" s="5" t="s">
        <v>700</v>
      </c>
      <c r="B252" s="5" t="s">
        <v>78</v>
      </c>
      <c r="C252" s="5" t="s">
        <v>79</v>
      </c>
      <c r="D252" s="5" t="s">
        <v>27</v>
      </c>
      <c r="E252" s="5" t="s">
        <v>108</v>
      </c>
      <c r="F252" s="5" t="s">
        <v>124</v>
      </c>
      <c r="G252" s="5" t="s">
        <v>30</v>
      </c>
      <c r="H252" s="5">
        <v>67</v>
      </c>
      <c r="I252" s="5" t="s">
        <v>40</v>
      </c>
      <c r="J252" s="34" t="s">
        <v>335</v>
      </c>
      <c r="K252" s="31">
        <v>16349</v>
      </c>
      <c r="L252" s="5" t="s">
        <v>115</v>
      </c>
      <c r="M252" s="32">
        <v>0</v>
      </c>
      <c r="N252" s="6">
        <f t="shared" si="32"/>
        <v>0</v>
      </c>
      <c r="O252" s="4" t="s">
        <v>124</v>
      </c>
      <c r="P252" s="5" t="str">
        <f t="shared" si="33"/>
        <v>Mumbai</v>
      </c>
      <c r="Q252" s="5" t="str">
        <f t="shared" si="34"/>
        <v>Orthopedics</v>
      </c>
      <c r="R252" s="6" t="str">
        <f t="shared" si="35"/>
        <v>Apollo</v>
      </c>
      <c r="S252" s="6" t="str">
        <f t="shared" si="36"/>
        <v>Cash</v>
      </c>
      <c r="T252" s="6" t="str">
        <f t="shared" si="37"/>
        <v>Female</v>
      </c>
      <c r="U252" s="6" t="str">
        <f t="shared" si="40"/>
        <v>General</v>
      </c>
      <c r="V252" s="6" t="str" cm="1">
        <f t="array" ref="V252">IF(TRIM(S252)="",INDEX($S$2:$S$1500,MATCH(MAX(COUNTIF($S$2:$S$1500,S252)),COUNTIF($S$2:$S$1500,$S$2:$S$1500),0)),S252)</f>
        <v>Cash</v>
      </c>
      <c r="W252" s="7" cm="1">
        <f t="array" ref="W252">IF(OR(TRIM(K252)="",TRIM(K252)="-"), MEDIAN(IF($E$2:$E$1500=E252,$K$2:$K$1500)),  VALUE(SUBSTITUTE(SUBSTITUTE(SUBSTITUTE(K252,"Rs. ",""),"₹",""),",","")))</f>
        <v>16349</v>
      </c>
      <c r="X252" s="8">
        <f t="shared" si="38"/>
        <v>0</v>
      </c>
      <c r="Y252" s="7">
        <f t="shared" si="39"/>
        <v>16349</v>
      </c>
      <c r="Z252" s="9" t="str">
        <f t="shared" si="31"/>
        <v>SENIOR</v>
      </c>
    </row>
    <row r="253" spans="1:26" x14ac:dyDescent="0.3">
      <c r="A253" s="5" t="s">
        <v>701</v>
      </c>
      <c r="B253" s="5" t="s">
        <v>106</v>
      </c>
      <c r="C253" s="5" t="s">
        <v>307</v>
      </c>
      <c r="D253" s="5" t="s">
        <v>189</v>
      </c>
      <c r="E253" s="5" t="s">
        <v>67</v>
      </c>
      <c r="F253" s="5" t="s">
        <v>68</v>
      </c>
      <c r="G253" s="5" t="s">
        <v>62</v>
      </c>
      <c r="H253" s="5">
        <v>38</v>
      </c>
      <c r="I253" s="5" t="s">
        <v>40</v>
      </c>
      <c r="J253" s="34" t="s">
        <v>702</v>
      </c>
      <c r="K253" s="31" t="s">
        <v>703</v>
      </c>
      <c r="L253" s="5" t="s">
        <v>211</v>
      </c>
      <c r="M253" s="32" t="s">
        <v>64</v>
      </c>
      <c r="N253" s="6" t="str">
        <f t="shared" si="32"/>
        <v>NA</v>
      </c>
      <c r="O253" s="4" t="s">
        <v>68</v>
      </c>
      <c r="P253" s="5" t="str">
        <f t="shared" si="33"/>
        <v>Delhi</v>
      </c>
      <c r="Q253" s="5" t="str">
        <f t="shared" si="34"/>
        <v>Neurology</v>
      </c>
      <c r="R253" s="6" t="str">
        <f t="shared" si="35"/>
        <v>Aiims</v>
      </c>
      <c r="S253" s="6" t="str">
        <f t="shared" si="36"/>
        <v>Credit Card</v>
      </c>
      <c r="T253" s="6" t="str">
        <f t="shared" si="37"/>
        <v>Female</v>
      </c>
      <c r="U253" s="6" t="str">
        <f t="shared" si="40"/>
        <v>ICU</v>
      </c>
      <c r="V253" s="6" t="str" cm="1">
        <f t="array" ref="V253">IF(TRIM(S253)="",INDEX($S$2:$S$1500,MATCH(MAX(COUNTIF($S$2:$S$1500,S253)),COUNTIF($S$2:$S$1500,$S$2:$S$1500),0)),S253)</f>
        <v>Credit Card</v>
      </c>
      <c r="W253" s="7" cm="1">
        <f t="array" ref="W253">IF(OR(TRIM(K253)="",TRIM(K253)="-"), MEDIAN(IF($E$2:$E$1500=E253,$K$2:$K$1500)),  VALUE(SUBSTITUTE(SUBSTITUTE(SUBSTITUTE(K253,"Rs. ",""),"₹",""),",","")))</f>
        <v>37581</v>
      </c>
      <c r="X253" s="8">
        <f t="shared" si="38"/>
        <v>3</v>
      </c>
      <c r="Y253" s="7">
        <f t="shared" si="39"/>
        <v>36454</v>
      </c>
      <c r="Z253" s="9" t="str">
        <f t="shared" si="31"/>
        <v>ADULT</v>
      </c>
    </row>
    <row r="254" spans="1:26" x14ac:dyDescent="0.3">
      <c r="A254" s="5" t="s">
        <v>704</v>
      </c>
      <c r="B254" s="5" t="s">
        <v>106</v>
      </c>
      <c r="C254" s="5" t="s">
        <v>107</v>
      </c>
      <c r="D254" s="5" t="s">
        <v>80</v>
      </c>
      <c r="E254" s="5" t="s">
        <v>47</v>
      </c>
      <c r="F254" s="5" t="s">
        <v>48</v>
      </c>
      <c r="G254" s="5" t="s">
        <v>49</v>
      </c>
      <c r="H254" s="5">
        <v>69</v>
      </c>
      <c r="I254" s="5" t="s">
        <v>20</v>
      </c>
      <c r="J254" s="34" t="s">
        <v>81</v>
      </c>
      <c r="K254" s="31" t="s">
        <v>705</v>
      </c>
      <c r="L254" s="5" t="s">
        <v>97</v>
      </c>
      <c r="M254" s="32">
        <v>0</v>
      </c>
      <c r="N254" s="6">
        <f t="shared" si="32"/>
        <v>0</v>
      </c>
      <c r="O254" s="4" t="s">
        <v>48</v>
      </c>
      <c r="P254" s="5" t="str">
        <f t="shared" si="33"/>
        <v>Ahmedabad</v>
      </c>
      <c r="Q254" s="5" t="str">
        <f t="shared" si="34"/>
        <v>Gastroenterology</v>
      </c>
      <c r="R254" s="6" t="str">
        <f t="shared" si="35"/>
        <v>Aiims</v>
      </c>
      <c r="S254" s="6" t="str">
        <f t="shared" si="36"/>
        <v>UPI</v>
      </c>
      <c r="T254" s="6" t="str">
        <f t="shared" si="37"/>
        <v>Male</v>
      </c>
      <c r="U254" s="6" t="str">
        <f t="shared" si="40"/>
        <v>General</v>
      </c>
      <c r="V254" s="6" t="str" cm="1">
        <f t="array" ref="V254">IF(TRIM(S254)="",INDEX($S$2:$S$1500,MATCH(MAX(COUNTIF($S$2:$S$1500,S254)),COUNTIF($S$2:$S$1500,$S$2:$S$1500),0)),S254)</f>
        <v>UPI</v>
      </c>
      <c r="W254" s="7" cm="1">
        <f t="array" ref="W254">IF(OR(TRIM(K254)="",TRIM(K254)="-"), MEDIAN(IF($E$2:$E$1500=E254,$K$2:$K$1500)),  VALUE(SUBSTITUTE(SUBSTITUTE(SUBSTITUTE(K254,"Rs. ",""),"₹",""),",","")))</f>
        <v>10562</v>
      </c>
      <c r="X254" s="8">
        <f t="shared" si="38"/>
        <v>0</v>
      </c>
      <c r="Y254" s="7">
        <f t="shared" si="39"/>
        <v>10562</v>
      </c>
      <c r="Z254" s="9" t="str">
        <f t="shared" si="31"/>
        <v>SENIOR</v>
      </c>
    </row>
    <row r="255" spans="1:26" x14ac:dyDescent="0.3">
      <c r="A255" s="5" t="s">
        <v>706</v>
      </c>
      <c r="B255" s="5" t="s">
        <v>25</v>
      </c>
      <c r="C255" s="5" t="s">
        <v>54</v>
      </c>
      <c r="D255" s="5" t="s">
        <v>16</v>
      </c>
      <c r="E255" s="5" t="s">
        <v>108</v>
      </c>
      <c r="F255" s="5" t="s">
        <v>124</v>
      </c>
      <c r="G255" s="5" t="s">
        <v>62</v>
      </c>
      <c r="H255" s="5">
        <v>44</v>
      </c>
      <c r="I255" s="5" t="s">
        <v>20</v>
      </c>
      <c r="J255" s="34" t="s">
        <v>582</v>
      </c>
      <c r="K255" s="31">
        <v>35972</v>
      </c>
      <c r="L255" s="5" t="s">
        <v>236</v>
      </c>
      <c r="M255" s="32" t="s">
        <v>76</v>
      </c>
      <c r="N255" s="6">
        <f t="shared" si="32"/>
        <v>10</v>
      </c>
      <c r="O255" s="4" t="s">
        <v>124</v>
      </c>
      <c r="P255" s="5" t="str">
        <f t="shared" si="33"/>
        <v>Bangalore</v>
      </c>
      <c r="Q255" s="5" t="str">
        <f t="shared" si="34"/>
        <v>Orthopedics</v>
      </c>
      <c r="R255" s="6" t="str">
        <f t="shared" si="35"/>
        <v>Narayana</v>
      </c>
      <c r="S255" s="6" t="str">
        <f t="shared" si="36"/>
        <v>Debit Card</v>
      </c>
      <c r="T255" s="6" t="str">
        <f t="shared" si="37"/>
        <v>Male</v>
      </c>
      <c r="U255" s="6" t="str">
        <f t="shared" si="40"/>
        <v>ICU</v>
      </c>
      <c r="V255" s="6" t="str" cm="1">
        <f t="array" ref="V255">IF(TRIM(S255)="",INDEX($S$2:$S$1500,MATCH(MAX(COUNTIF($S$2:$S$1500,S255)),COUNTIF($S$2:$S$1500,$S$2:$S$1500),0)),S255)</f>
        <v>Debit Card</v>
      </c>
      <c r="W255" s="7" cm="1">
        <f t="array" ref="W255">IF(OR(TRIM(K255)="",TRIM(K255)="-"), MEDIAN(IF($E$2:$E$1500=E255,$K$2:$K$1500)),  VALUE(SUBSTITUTE(SUBSTITUTE(SUBSTITUTE(K255,"Rs. ",""),"₹",""),",","")))</f>
        <v>35972</v>
      </c>
      <c r="X255" s="8">
        <f t="shared" si="38"/>
        <v>10</v>
      </c>
      <c r="Y255" s="7">
        <f t="shared" si="39"/>
        <v>32375</v>
      </c>
      <c r="Z255" s="9" t="str">
        <f t="shared" si="31"/>
        <v>ADULT</v>
      </c>
    </row>
    <row r="256" spans="1:26" x14ac:dyDescent="0.3">
      <c r="A256" s="5" t="s">
        <v>707</v>
      </c>
      <c r="B256" s="5" t="s">
        <v>25</v>
      </c>
      <c r="C256" s="5" t="s">
        <v>26</v>
      </c>
      <c r="D256" s="5" t="s">
        <v>27</v>
      </c>
      <c r="E256" s="5" t="s">
        <v>28</v>
      </c>
      <c r="F256" s="5" t="s">
        <v>290</v>
      </c>
      <c r="G256" s="5" t="s">
        <v>39</v>
      </c>
      <c r="H256" s="5">
        <v>92</v>
      </c>
      <c r="I256" s="5" t="s">
        <v>20</v>
      </c>
      <c r="J256" s="34" t="s">
        <v>708</v>
      </c>
      <c r="K256" s="31">
        <v>6877</v>
      </c>
      <c r="L256" s="5" t="s">
        <v>23</v>
      </c>
      <c r="M256" s="32">
        <v>0</v>
      </c>
      <c r="N256" s="6">
        <f t="shared" si="32"/>
        <v>0</v>
      </c>
      <c r="O256" s="4" t="s">
        <v>290</v>
      </c>
      <c r="P256" s="5" t="str">
        <f t="shared" si="33"/>
        <v>Mumbai</v>
      </c>
      <c r="Q256" s="5" t="str">
        <f t="shared" si="34"/>
        <v>Oncology</v>
      </c>
      <c r="R256" s="6" t="str">
        <f t="shared" si="35"/>
        <v>Narayana</v>
      </c>
      <c r="S256" s="6" t="str">
        <f t="shared" si="36"/>
        <v>Credit Card</v>
      </c>
      <c r="T256" s="6" t="str">
        <f t="shared" si="37"/>
        <v>Male</v>
      </c>
      <c r="U256" s="6" t="str">
        <f t="shared" si="40"/>
        <v>General</v>
      </c>
      <c r="V256" s="6" t="str" cm="1">
        <f t="array" ref="V256">IF(TRIM(S256)="",INDEX($S$2:$S$1500,MATCH(MAX(COUNTIF($S$2:$S$1500,S256)),COUNTIF($S$2:$S$1500,$S$2:$S$1500),0)),S256)</f>
        <v>Credit Card</v>
      </c>
      <c r="W256" s="7" cm="1">
        <f t="array" ref="W256">IF(OR(TRIM(K256)="",TRIM(K256)="-"), MEDIAN(IF($E$2:$E$1500=E256,$K$2:$K$1500)),  VALUE(SUBSTITUTE(SUBSTITUTE(SUBSTITUTE(K256,"Rs. ",""),"₹",""),",","")))</f>
        <v>6877</v>
      </c>
      <c r="X256" s="8">
        <f t="shared" si="38"/>
        <v>0</v>
      </c>
      <c r="Y256" s="7">
        <f t="shared" si="39"/>
        <v>6877</v>
      </c>
      <c r="Z256" s="9" t="str">
        <f t="shared" si="31"/>
        <v>SENIOR</v>
      </c>
    </row>
    <row r="257" spans="1:26" x14ac:dyDescent="0.3">
      <c r="A257" s="5" t="s">
        <v>709</v>
      </c>
      <c r="B257" s="5" t="s">
        <v>14</v>
      </c>
      <c r="C257" s="5" t="s">
        <v>60</v>
      </c>
      <c r="D257" s="5" t="s">
        <v>189</v>
      </c>
      <c r="E257" s="5" t="s">
        <v>108</v>
      </c>
      <c r="F257" s="5" t="s">
        <v>308</v>
      </c>
      <c r="G257" s="5" t="s">
        <v>30</v>
      </c>
      <c r="H257" s="5">
        <v>84</v>
      </c>
      <c r="I257" s="5" t="s">
        <v>20</v>
      </c>
      <c r="J257" s="34" t="s">
        <v>710</v>
      </c>
      <c r="K257" s="31">
        <v>5225</v>
      </c>
      <c r="L257" s="5" t="s">
        <v>72</v>
      </c>
      <c r="M257" s="32"/>
      <c r="N257" s="6">
        <f t="shared" si="32"/>
        <v>0</v>
      </c>
      <c r="O257" s="4" t="s">
        <v>308</v>
      </c>
      <c r="P257" s="5" t="str">
        <f t="shared" si="33"/>
        <v>Delhi</v>
      </c>
      <c r="Q257" s="5" t="str">
        <f t="shared" si="34"/>
        <v>Orthopedics</v>
      </c>
      <c r="R257" s="6" t="str">
        <f t="shared" si="35"/>
        <v>Max_Healthcare</v>
      </c>
      <c r="S257" s="6" t="str">
        <f t="shared" si="36"/>
        <v>Cash</v>
      </c>
      <c r="T257" s="6" t="str">
        <f t="shared" si="37"/>
        <v>Male</v>
      </c>
      <c r="U257" s="6" t="str">
        <f t="shared" si="40"/>
        <v>General</v>
      </c>
      <c r="V257" s="6" t="str" cm="1">
        <f t="array" ref="V257">IF(TRIM(S257)="",INDEX($S$2:$S$1500,MATCH(MAX(COUNTIF($S$2:$S$1500,S257)),COUNTIF($S$2:$S$1500,$S$2:$S$1500),0)),S257)</f>
        <v>Cash</v>
      </c>
      <c r="W257" s="7" cm="1">
        <f t="array" ref="W257">IF(OR(TRIM(K257)="",TRIM(K257)="-"), MEDIAN(IF($E$2:$E$1500=E257,$K$2:$K$1500)),  VALUE(SUBSTITUTE(SUBSTITUTE(SUBSTITUTE(K257,"Rs. ",""),"₹",""),",","")))</f>
        <v>5225</v>
      </c>
      <c r="X257" s="8">
        <f t="shared" si="38"/>
        <v>0</v>
      </c>
      <c r="Y257" s="7">
        <f t="shared" si="39"/>
        <v>5225</v>
      </c>
      <c r="Z257" s="9" t="str">
        <f t="shared" si="31"/>
        <v>SENIOR</v>
      </c>
    </row>
    <row r="258" spans="1:26" x14ac:dyDescent="0.3">
      <c r="A258" s="5" t="s">
        <v>711</v>
      </c>
      <c r="B258" s="5" t="s">
        <v>45</v>
      </c>
      <c r="C258" s="5" t="s">
        <v>46</v>
      </c>
      <c r="D258" s="5" t="s">
        <v>27</v>
      </c>
      <c r="E258" s="5" t="s">
        <v>99</v>
      </c>
      <c r="F258" s="5" t="s">
        <v>100</v>
      </c>
      <c r="G258" s="5" t="s">
        <v>101</v>
      </c>
      <c r="H258" s="5">
        <v>33</v>
      </c>
      <c r="I258" s="5" t="s">
        <v>20</v>
      </c>
      <c r="J258" s="34" t="s">
        <v>712</v>
      </c>
      <c r="K258" s="31">
        <v>73600</v>
      </c>
      <c r="L258" s="5" t="s">
        <v>104</v>
      </c>
      <c r="M258" s="32" t="s">
        <v>713</v>
      </c>
      <c r="N258" s="6">
        <f t="shared" si="32"/>
        <v>30</v>
      </c>
      <c r="O258" s="4" t="s">
        <v>100</v>
      </c>
      <c r="P258" s="5" t="str">
        <f t="shared" si="33"/>
        <v>Mumbai</v>
      </c>
      <c r="Q258" s="5" t="str">
        <f t="shared" si="34"/>
        <v>Ent</v>
      </c>
      <c r="R258" s="6" t="str">
        <f t="shared" si="35"/>
        <v>Fortis</v>
      </c>
      <c r="S258" s="6" t="str">
        <f t="shared" si="36"/>
        <v>Insurance</v>
      </c>
      <c r="T258" s="6" t="str">
        <f t="shared" si="37"/>
        <v>Male</v>
      </c>
      <c r="U258" s="6" t="str">
        <f t="shared" si="40"/>
        <v>ICU</v>
      </c>
      <c r="V258" s="6" t="str" cm="1">
        <f t="array" ref="V258">IF(TRIM(S258)="",INDEX($S$2:$S$1500,MATCH(MAX(COUNTIF($S$2:$S$1500,S258)),COUNTIF($S$2:$S$1500,$S$2:$S$1500),0)),S258)</f>
        <v>Insurance</v>
      </c>
      <c r="W258" s="7" cm="1">
        <f t="array" ref="W258">IF(OR(TRIM(K258)="",TRIM(K258)="-"), MEDIAN(IF($E$2:$E$1500=E258,$K$2:$K$1500)),  VALUE(SUBSTITUTE(SUBSTITUTE(SUBSTITUTE(K258,"Rs. ",""),"₹",""),",","")))</f>
        <v>73600</v>
      </c>
      <c r="X258" s="8">
        <f t="shared" si="38"/>
        <v>30</v>
      </c>
      <c r="Y258" s="7">
        <f t="shared" si="39"/>
        <v>51520</v>
      </c>
      <c r="Z258" s="9" t="str">
        <f t="shared" ref="Z258:Z321" si="41">IF(H258&lt;13,"CHILD",IF(H258&lt;20,"TEEN",IF(H258&lt;60,"ADULT","SENIOR")))</f>
        <v>ADULT</v>
      </c>
    </row>
    <row r="259" spans="1:26" x14ac:dyDescent="0.3">
      <c r="A259" s="5" t="s">
        <v>714</v>
      </c>
      <c r="B259" s="5" t="s">
        <v>78</v>
      </c>
      <c r="C259" s="5" t="s">
        <v>161</v>
      </c>
      <c r="D259" s="5" t="s">
        <v>61</v>
      </c>
      <c r="E259" s="5" t="s">
        <v>28</v>
      </c>
      <c r="F259" s="5" t="s">
        <v>29</v>
      </c>
      <c r="G259" s="5" t="s">
        <v>62</v>
      </c>
      <c r="H259" s="5">
        <v>43</v>
      </c>
      <c r="I259" s="5" t="s">
        <v>20</v>
      </c>
      <c r="J259" s="34" t="s">
        <v>285</v>
      </c>
      <c r="K259" s="31">
        <v>21285</v>
      </c>
      <c r="L259" s="5" t="s">
        <v>115</v>
      </c>
      <c r="M259" s="32" t="s">
        <v>76</v>
      </c>
      <c r="N259" s="6">
        <f t="shared" ref="N259:N322" si="42">IF(RIGHT(TRIM(M259),1)="%",VALUE(LEFT(TRIM(M259),LEN(TRIM(M259))-1)),  IF(AND(ISNUMBER(M259),M259&lt;=1,M259&gt;0),M259*100,M259))</f>
        <v>10</v>
      </c>
      <c r="O259" s="4" t="s">
        <v>29</v>
      </c>
      <c r="P259" s="5" t="str">
        <f t="shared" ref="P259:P322" si="43">PROPER(D259)</f>
        <v>Pune</v>
      </c>
      <c r="Q259" s="5" t="str">
        <f t="shared" ref="Q259:Q322" si="44">PROPER(E259)</f>
        <v>Oncology</v>
      </c>
      <c r="R259" s="6" t="str">
        <f t="shared" ref="R259:R322" si="45">PROPER(C259)</f>
        <v>Apollo</v>
      </c>
      <c r="S259" s="6" t="str">
        <f t="shared" ref="S259:S322" si="46">IF(OR(UPPER(TRIM(L259))="CREDIT_CARD",UPPER(TRIM(L259))="CREDIT CARD",UPPER(TRIM(L259))="CC"),"Credit Card", IF(OR(UPPER(TRIM(L259))="DEBIT_CARD",UPPER(TRIM(L259))="DEBIT CARD",UPPER(TRIM(L259))="DC"),"Debit Card", IF(UPPER(TRIM(L259))="CASH","Cash", IF(UPPER(TRIM(L259))="UPI","UPI", IF(OR(UPPER(TRIM(L259))="INSURANCE",UPPER(TRIM(L259))="INS"),"Insurance", IF(TRIM(L259)="","Unknown","Unknown"))))))</f>
        <v>Cash</v>
      </c>
      <c r="T259" s="6" t="str">
        <f t="shared" ref="T259:T322" si="47">IF(OR(UPPER(TRIM(I259))="M",UPPER(TRIM(I259))="MALE"),"Male",IF(OR(UPPER(TRIM(I259))="F",UPPER(TRIM(I259))="FEMALE"),"Female","Unknown"))</f>
        <v>Male</v>
      </c>
      <c r="U259" s="6" t="str">
        <f t="shared" si="40"/>
        <v>ICU</v>
      </c>
      <c r="V259" s="6" t="str" cm="1">
        <f t="array" ref="V259">IF(TRIM(S259)="",INDEX($S$2:$S$1500,MATCH(MAX(COUNTIF($S$2:$S$1500,S259)),COUNTIF($S$2:$S$1500,$S$2:$S$1500),0)),S259)</f>
        <v>Cash</v>
      </c>
      <c r="W259" s="7" cm="1">
        <f t="array" ref="W259">IF(OR(TRIM(K259)="",TRIM(K259)="-"), MEDIAN(IF($E$2:$E$1500=E259,$K$2:$K$1500)),  VALUE(SUBSTITUTE(SUBSTITUTE(SUBSTITUTE(K259,"Rs. ",""),"₹",""),",","")))</f>
        <v>21285</v>
      </c>
      <c r="X259" s="8">
        <f t="shared" ref="X259:X322" si="48">ROUND(IF(OR(TRIM(N259)="-",UPPER(TRIM(N259))="N/A",UPPER(TRIM(N259))="NA"), IFERROR(AVERAGEIF($V$2:$V$1500,V259,$N$2:$N$1500),AVERAGE($N$2:$N$1500)), N259),0)</f>
        <v>10</v>
      </c>
      <c r="Y259" s="7">
        <f t="shared" ref="Y259:Y322" si="49">ROUND(W259*(1-X259/100),0)</f>
        <v>19157</v>
      </c>
      <c r="Z259" s="9" t="str">
        <f t="shared" si="41"/>
        <v>ADULT</v>
      </c>
    </row>
    <row r="260" spans="1:26" x14ac:dyDescent="0.3">
      <c r="A260" s="5" t="s">
        <v>715</v>
      </c>
      <c r="B260" s="5" t="s">
        <v>78</v>
      </c>
      <c r="C260" s="5" t="s">
        <v>79</v>
      </c>
      <c r="D260" s="5" t="s">
        <v>16</v>
      </c>
      <c r="E260" s="5" t="s">
        <v>99</v>
      </c>
      <c r="F260" s="5" t="s">
        <v>372</v>
      </c>
      <c r="G260" s="5" t="s">
        <v>69</v>
      </c>
      <c r="H260" s="5">
        <v>84</v>
      </c>
      <c r="I260" s="5" t="s">
        <v>20</v>
      </c>
      <c r="J260" s="34" t="s">
        <v>166</v>
      </c>
      <c r="K260" s="31" t="s">
        <v>716</v>
      </c>
      <c r="L260" s="5" t="s">
        <v>72</v>
      </c>
      <c r="M260" s="32" t="s">
        <v>130</v>
      </c>
      <c r="N260" s="6">
        <f t="shared" si="42"/>
        <v>0</v>
      </c>
      <c r="O260" s="4" t="s">
        <v>372</v>
      </c>
      <c r="P260" s="5" t="str">
        <f t="shared" si="43"/>
        <v>Bangalore</v>
      </c>
      <c r="Q260" s="5" t="str">
        <f t="shared" si="44"/>
        <v>Ent</v>
      </c>
      <c r="R260" s="6" t="str">
        <f t="shared" si="45"/>
        <v>Apollo</v>
      </c>
      <c r="S260" s="6" t="str">
        <f t="shared" si="46"/>
        <v>Cash</v>
      </c>
      <c r="T260" s="6" t="str">
        <f t="shared" si="47"/>
        <v>Male</v>
      </c>
      <c r="U260" s="6" t="str">
        <f t="shared" si="40"/>
        <v>ICU</v>
      </c>
      <c r="V260" s="6" t="str" cm="1">
        <f t="array" ref="V260">IF(TRIM(S260)="",INDEX($S$2:$S$1500,MATCH(MAX(COUNTIF($S$2:$S$1500,S260)),COUNTIF($S$2:$S$1500,$S$2:$S$1500),0)),S260)</f>
        <v>Cash</v>
      </c>
      <c r="W260" s="7" cm="1">
        <f t="array" ref="W260">IF(OR(TRIM(K260)="",TRIM(K260)="-"), MEDIAN(IF($E$2:$E$1500=E260,$K$2:$K$1500)),  VALUE(SUBSTITUTE(SUBSTITUTE(SUBSTITUTE(K260,"Rs. ",""),"₹",""),",","")))</f>
        <v>49262</v>
      </c>
      <c r="X260" s="8">
        <f t="shared" si="48"/>
        <v>0</v>
      </c>
      <c r="Y260" s="7">
        <f t="shared" si="49"/>
        <v>49262</v>
      </c>
      <c r="Z260" s="9" t="str">
        <f t="shared" si="41"/>
        <v>SENIOR</v>
      </c>
    </row>
    <row r="261" spans="1:26" x14ac:dyDescent="0.3">
      <c r="A261" s="5" t="s">
        <v>717</v>
      </c>
      <c r="B261" s="5" t="s">
        <v>45</v>
      </c>
      <c r="C261" s="5" t="s">
        <v>334</v>
      </c>
      <c r="D261" s="5" t="s">
        <v>55</v>
      </c>
      <c r="E261" s="5" t="s">
        <v>74</v>
      </c>
      <c r="F261" s="5" t="s">
        <v>192</v>
      </c>
      <c r="G261" s="5" t="s">
        <v>39</v>
      </c>
      <c r="H261" s="5">
        <v>32</v>
      </c>
      <c r="I261" s="5" t="s">
        <v>40</v>
      </c>
      <c r="J261" s="34" t="s">
        <v>718</v>
      </c>
      <c r="K261" s="31">
        <v>15477</v>
      </c>
      <c r="L261" s="5" t="s">
        <v>91</v>
      </c>
      <c r="M261" s="32">
        <v>5</v>
      </c>
      <c r="N261" s="6">
        <f t="shared" si="42"/>
        <v>5</v>
      </c>
      <c r="O261" s="4" t="s">
        <v>192</v>
      </c>
      <c r="P261" s="5" t="str">
        <f t="shared" si="43"/>
        <v>Hyderabad</v>
      </c>
      <c r="Q261" s="5" t="str">
        <f t="shared" si="44"/>
        <v>General Medicine</v>
      </c>
      <c r="R261" s="6" t="str">
        <f t="shared" si="45"/>
        <v>Fortis</v>
      </c>
      <c r="S261" s="6" t="str">
        <f t="shared" si="46"/>
        <v>Debit Card</v>
      </c>
      <c r="T261" s="6" t="str">
        <f t="shared" si="47"/>
        <v>Female</v>
      </c>
      <c r="U261" s="6" t="str">
        <f t="shared" si="40"/>
        <v>General</v>
      </c>
      <c r="V261" s="6" t="str" cm="1">
        <f t="array" ref="V261">IF(TRIM(S261)="",INDEX($S$2:$S$1500,MATCH(MAX(COUNTIF($S$2:$S$1500,S261)),COUNTIF($S$2:$S$1500,$S$2:$S$1500),0)),S261)</f>
        <v>Debit Card</v>
      </c>
      <c r="W261" s="7" cm="1">
        <f t="array" ref="W261">IF(OR(TRIM(K261)="",TRIM(K261)="-"), MEDIAN(IF($E$2:$E$1500=E261,$K$2:$K$1500)),  VALUE(SUBSTITUTE(SUBSTITUTE(SUBSTITUTE(K261,"Rs. ",""),"₹",""),",","")))</f>
        <v>15477</v>
      </c>
      <c r="X261" s="8">
        <f t="shared" si="48"/>
        <v>5</v>
      </c>
      <c r="Y261" s="7">
        <f t="shared" si="49"/>
        <v>14703</v>
      </c>
      <c r="Z261" s="9" t="str">
        <f t="shared" si="41"/>
        <v>ADULT</v>
      </c>
    </row>
    <row r="262" spans="1:26" x14ac:dyDescent="0.3">
      <c r="A262" s="5" t="s">
        <v>719</v>
      </c>
      <c r="B262" s="5" t="s">
        <v>117</v>
      </c>
      <c r="C262" s="5" t="s">
        <v>127</v>
      </c>
      <c r="D262" s="5" t="s">
        <v>66</v>
      </c>
      <c r="E262" s="5" t="s">
        <v>164</v>
      </c>
      <c r="F262" s="5" t="s">
        <v>282</v>
      </c>
      <c r="G262" s="5" t="s">
        <v>19</v>
      </c>
      <c r="H262" s="5">
        <v>31</v>
      </c>
      <c r="I262" s="5" t="s">
        <v>20</v>
      </c>
      <c r="J262" s="34" t="s">
        <v>435</v>
      </c>
      <c r="K262" s="31" t="s">
        <v>720</v>
      </c>
      <c r="L262" s="5" t="s">
        <v>52</v>
      </c>
      <c r="M262" s="32" t="s">
        <v>130</v>
      </c>
      <c r="N262" s="6">
        <f t="shared" si="42"/>
        <v>0</v>
      </c>
      <c r="O262" s="4" t="s">
        <v>282</v>
      </c>
      <c r="P262" s="5" t="str">
        <f t="shared" si="43"/>
        <v>Kolkata</v>
      </c>
      <c r="Q262" s="5" t="str">
        <f t="shared" si="44"/>
        <v>Cardiology</v>
      </c>
      <c r="R262" s="6" t="str">
        <f t="shared" si="45"/>
        <v>Manipal</v>
      </c>
      <c r="S262" s="6" t="str">
        <f t="shared" si="46"/>
        <v>Credit Card</v>
      </c>
      <c r="T262" s="6" t="str">
        <f t="shared" si="47"/>
        <v>Male</v>
      </c>
      <c r="U262" s="6" t="str">
        <f t="shared" si="40"/>
        <v>General</v>
      </c>
      <c r="V262" s="6" t="str" cm="1">
        <f t="array" ref="V262">IF(TRIM(S262)="",INDEX($S$2:$S$1500,MATCH(MAX(COUNTIF($S$2:$S$1500,S262)),COUNTIF($S$2:$S$1500,$S$2:$S$1500),0)),S262)</f>
        <v>Credit Card</v>
      </c>
      <c r="W262" s="7" cm="1">
        <f t="array" ref="W262">IF(OR(TRIM(K262)="",TRIM(K262)="-"), MEDIAN(IF($E$2:$E$1500=E262,$K$2:$K$1500)),  VALUE(SUBSTITUTE(SUBSTITUTE(SUBSTITUTE(K262,"Rs. ",""),"₹",""),",","")))</f>
        <v>18485</v>
      </c>
      <c r="X262" s="8">
        <f t="shared" si="48"/>
        <v>0</v>
      </c>
      <c r="Y262" s="7">
        <f t="shared" si="49"/>
        <v>18485</v>
      </c>
      <c r="Z262" s="9" t="str">
        <f t="shared" si="41"/>
        <v>ADULT</v>
      </c>
    </row>
    <row r="263" spans="1:26" x14ac:dyDescent="0.3">
      <c r="A263" s="5" t="s">
        <v>721</v>
      </c>
      <c r="B263" s="5" t="s">
        <v>45</v>
      </c>
      <c r="C263" s="5" t="s">
        <v>46</v>
      </c>
      <c r="D263" s="5" t="s">
        <v>36</v>
      </c>
      <c r="E263" s="5" t="s">
        <v>17</v>
      </c>
      <c r="F263" s="5" t="s">
        <v>169</v>
      </c>
      <c r="G263" s="5" t="s">
        <v>19</v>
      </c>
      <c r="H263" s="5">
        <v>47</v>
      </c>
      <c r="I263" s="5" t="s">
        <v>40</v>
      </c>
      <c r="J263" s="34" t="s">
        <v>102</v>
      </c>
      <c r="K263" s="31">
        <v>10834</v>
      </c>
      <c r="L263" s="5" t="s">
        <v>72</v>
      </c>
      <c r="M263" s="32">
        <v>5</v>
      </c>
      <c r="N263" s="6">
        <f t="shared" si="42"/>
        <v>5</v>
      </c>
      <c r="O263" s="4" t="s">
        <v>169</v>
      </c>
      <c r="P263" s="5" t="str">
        <f t="shared" si="43"/>
        <v>Chennai</v>
      </c>
      <c r="Q263" s="5" t="str">
        <f t="shared" si="44"/>
        <v>Gynecology</v>
      </c>
      <c r="R263" s="6" t="str">
        <f t="shared" si="45"/>
        <v>Fortis</v>
      </c>
      <c r="S263" s="6" t="str">
        <f t="shared" si="46"/>
        <v>Cash</v>
      </c>
      <c r="T263" s="6" t="str">
        <f t="shared" si="47"/>
        <v>Female</v>
      </c>
      <c r="U263" s="6" t="str">
        <f t="shared" si="40"/>
        <v>General</v>
      </c>
      <c r="V263" s="6" t="str" cm="1">
        <f t="array" ref="V263">IF(TRIM(S263)="",INDEX($S$2:$S$1500,MATCH(MAX(COUNTIF($S$2:$S$1500,S263)),COUNTIF($S$2:$S$1500,$S$2:$S$1500),0)),S263)</f>
        <v>Cash</v>
      </c>
      <c r="W263" s="7" cm="1">
        <f t="array" ref="W263">IF(OR(TRIM(K263)="",TRIM(K263)="-"), MEDIAN(IF($E$2:$E$1500=E263,$K$2:$K$1500)),  VALUE(SUBSTITUTE(SUBSTITUTE(SUBSTITUTE(K263,"Rs. ",""),"₹",""),",","")))</f>
        <v>10834</v>
      </c>
      <c r="X263" s="8">
        <f t="shared" si="48"/>
        <v>5</v>
      </c>
      <c r="Y263" s="7">
        <f t="shared" si="49"/>
        <v>10292</v>
      </c>
      <c r="Z263" s="9" t="str">
        <f t="shared" si="41"/>
        <v>ADULT</v>
      </c>
    </row>
    <row r="264" spans="1:26" x14ac:dyDescent="0.3">
      <c r="A264" s="5" t="s">
        <v>722</v>
      </c>
      <c r="B264" s="5" t="s">
        <v>117</v>
      </c>
      <c r="C264" s="5" t="s">
        <v>127</v>
      </c>
      <c r="D264" s="5" t="s">
        <v>27</v>
      </c>
      <c r="E264" s="5" t="s">
        <v>164</v>
      </c>
      <c r="F264" s="5" t="s">
        <v>165</v>
      </c>
      <c r="G264" s="5" t="s">
        <v>30</v>
      </c>
      <c r="H264" s="5">
        <v>66</v>
      </c>
      <c r="I264" s="5" t="s">
        <v>20</v>
      </c>
      <c r="J264" s="34" t="s">
        <v>723</v>
      </c>
      <c r="K264" s="31" t="s">
        <v>724</v>
      </c>
      <c r="L264" s="5" t="s">
        <v>149</v>
      </c>
      <c r="M264" s="32"/>
      <c r="N264" s="6">
        <f t="shared" si="42"/>
        <v>0</v>
      </c>
      <c r="O264" s="4" t="s">
        <v>165</v>
      </c>
      <c r="P264" s="5" t="str">
        <f t="shared" si="43"/>
        <v>Mumbai</v>
      </c>
      <c r="Q264" s="5" t="str">
        <f t="shared" si="44"/>
        <v>Cardiology</v>
      </c>
      <c r="R264" s="6" t="str">
        <f t="shared" si="45"/>
        <v>Manipal</v>
      </c>
      <c r="S264" s="6" t="str">
        <f t="shared" si="46"/>
        <v>Insurance</v>
      </c>
      <c r="T264" s="6" t="str">
        <f t="shared" si="47"/>
        <v>Male</v>
      </c>
      <c r="U264" s="6" t="str">
        <f t="shared" si="40"/>
        <v>General</v>
      </c>
      <c r="V264" s="6" t="str" cm="1">
        <f t="array" ref="V264">IF(TRIM(S264)="",INDEX($S$2:$S$1500,MATCH(MAX(COUNTIF($S$2:$S$1500,S264)),COUNTIF($S$2:$S$1500,$S$2:$S$1500),0)),S264)</f>
        <v>Insurance</v>
      </c>
      <c r="W264" s="7" cm="1">
        <f t="array" ref="W264">IF(OR(TRIM(K264)="",TRIM(K264)="-"), MEDIAN(IF($E$2:$E$1500=E264,$K$2:$K$1500)),  VALUE(SUBSTITUTE(SUBSTITUTE(SUBSTITUTE(K264,"Rs. ",""),"₹",""),",","")))</f>
        <v>6325</v>
      </c>
      <c r="X264" s="8">
        <f t="shared" si="48"/>
        <v>0</v>
      </c>
      <c r="Y264" s="7">
        <f t="shared" si="49"/>
        <v>6325</v>
      </c>
      <c r="Z264" s="9" t="str">
        <f t="shared" si="41"/>
        <v>SENIOR</v>
      </c>
    </row>
    <row r="265" spans="1:26" x14ac:dyDescent="0.3">
      <c r="A265" s="5" t="s">
        <v>725</v>
      </c>
      <c r="B265" s="5" t="s">
        <v>14</v>
      </c>
      <c r="C265" s="5" t="s">
        <v>60</v>
      </c>
      <c r="D265" s="5" t="s">
        <v>27</v>
      </c>
      <c r="E265" s="5" t="s">
        <v>28</v>
      </c>
      <c r="F265" s="5" t="s">
        <v>259</v>
      </c>
      <c r="G265" s="5" t="s">
        <v>39</v>
      </c>
      <c r="H265" s="5">
        <v>91</v>
      </c>
      <c r="I265" s="5" t="s">
        <v>40</v>
      </c>
      <c r="J265" s="34" t="s">
        <v>726</v>
      </c>
      <c r="K265" s="31" t="s">
        <v>727</v>
      </c>
      <c r="L265" s="5"/>
      <c r="M265" s="32">
        <v>10</v>
      </c>
      <c r="N265" s="6">
        <f t="shared" si="42"/>
        <v>10</v>
      </c>
      <c r="O265" s="4" t="s">
        <v>259</v>
      </c>
      <c r="P265" s="5" t="str">
        <f t="shared" si="43"/>
        <v>Mumbai</v>
      </c>
      <c r="Q265" s="5" t="str">
        <f t="shared" si="44"/>
        <v>Oncology</v>
      </c>
      <c r="R265" s="6" t="str">
        <f t="shared" si="45"/>
        <v>Max_Healthcare</v>
      </c>
      <c r="S265" s="6" t="str">
        <f t="shared" si="46"/>
        <v>Unknown</v>
      </c>
      <c r="T265" s="6" t="str">
        <f t="shared" si="47"/>
        <v>Female</v>
      </c>
      <c r="U265" s="6" t="str">
        <f t="shared" si="40"/>
        <v>General</v>
      </c>
      <c r="V265" s="6" t="str" cm="1">
        <f t="array" ref="V265">IF(TRIM(S265)="",INDEX($S$2:$S$1500,MATCH(MAX(COUNTIF($S$2:$S$1500,S265)),COUNTIF($S$2:$S$1500,$S$2:$S$1500),0)),S265)</f>
        <v>Unknown</v>
      </c>
      <c r="W265" s="7" cm="1">
        <f t="array" ref="W265">IF(OR(TRIM(K265)="",TRIM(K265)="-"), MEDIAN(IF($E$2:$E$1500=E265,$K$2:$K$1500)),  VALUE(SUBSTITUTE(SUBSTITUTE(SUBSTITUTE(K265,"Rs. ",""),"₹",""),",","")))</f>
        <v>11431</v>
      </c>
      <c r="X265" s="8">
        <f t="shared" si="48"/>
        <v>10</v>
      </c>
      <c r="Y265" s="7">
        <f t="shared" si="49"/>
        <v>10288</v>
      </c>
      <c r="Z265" s="9" t="str">
        <f t="shared" si="41"/>
        <v>SENIOR</v>
      </c>
    </row>
    <row r="266" spans="1:26" x14ac:dyDescent="0.3">
      <c r="A266" s="5" t="s">
        <v>728</v>
      </c>
      <c r="B266" s="5" t="s">
        <v>106</v>
      </c>
      <c r="C266" s="5" t="s">
        <v>107</v>
      </c>
      <c r="D266" s="5" t="s">
        <v>189</v>
      </c>
      <c r="E266" s="5" t="s">
        <v>93</v>
      </c>
      <c r="F266" s="5" t="s">
        <v>121</v>
      </c>
      <c r="G266" s="5" t="s">
        <v>101</v>
      </c>
      <c r="H266" s="5">
        <v>84</v>
      </c>
      <c r="I266" s="5" t="s">
        <v>20</v>
      </c>
      <c r="J266" s="34" t="s">
        <v>279</v>
      </c>
      <c r="K266" s="31">
        <v>70771</v>
      </c>
      <c r="L266" s="5" t="s">
        <v>58</v>
      </c>
      <c r="M266" s="32">
        <v>0</v>
      </c>
      <c r="N266" s="6">
        <f t="shared" si="42"/>
        <v>0</v>
      </c>
      <c r="O266" s="4" t="s">
        <v>121</v>
      </c>
      <c r="P266" s="5" t="str">
        <f t="shared" si="43"/>
        <v>Delhi</v>
      </c>
      <c r="Q266" s="5" t="str">
        <f t="shared" si="44"/>
        <v>Nephrology</v>
      </c>
      <c r="R266" s="6" t="str">
        <f t="shared" si="45"/>
        <v>Aiims</v>
      </c>
      <c r="S266" s="6" t="str">
        <f t="shared" si="46"/>
        <v>UPI</v>
      </c>
      <c r="T266" s="6" t="str">
        <f t="shared" si="47"/>
        <v>Male</v>
      </c>
      <c r="U266" s="6" t="str">
        <f t="shared" si="40"/>
        <v>ICU</v>
      </c>
      <c r="V266" s="6" t="str" cm="1">
        <f t="array" ref="V266">IF(TRIM(S266)="",INDEX($S$2:$S$1500,MATCH(MAX(COUNTIF($S$2:$S$1500,S266)),COUNTIF($S$2:$S$1500,$S$2:$S$1500),0)),S266)</f>
        <v>UPI</v>
      </c>
      <c r="W266" s="7" cm="1">
        <f t="array" ref="W266">IF(OR(TRIM(K266)="",TRIM(K266)="-"), MEDIAN(IF($E$2:$E$1500=E266,$K$2:$K$1500)),  VALUE(SUBSTITUTE(SUBSTITUTE(SUBSTITUTE(K266,"Rs. ",""),"₹",""),",","")))</f>
        <v>70771</v>
      </c>
      <c r="X266" s="8">
        <f t="shared" si="48"/>
        <v>0</v>
      </c>
      <c r="Y266" s="7">
        <f t="shared" si="49"/>
        <v>70771</v>
      </c>
      <c r="Z266" s="9" t="str">
        <f t="shared" si="41"/>
        <v>SENIOR</v>
      </c>
    </row>
    <row r="267" spans="1:26" x14ac:dyDescent="0.3">
      <c r="A267" s="5" t="s">
        <v>729</v>
      </c>
      <c r="B267" s="5" t="s">
        <v>117</v>
      </c>
      <c r="C267" s="5" t="s">
        <v>127</v>
      </c>
      <c r="D267" s="5" t="s">
        <v>27</v>
      </c>
      <c r="E267" s="5" t="s">
        <v>99</v>
      </c>
      <c r="F267" s="5" t="s">
        <v>256</v>
      </c>
      <c r="G267" s="5" t="s">
        <v>101</v>
      </c>
      <c r="H267" s="5">
        <v>25</v>
      </c>
      <c r="I267" s="5" t="s">
        <v>20</v>
      </c>
      <c r="J267" s="34" t="s">
        <v>730</v>
      </c>
      <c r="K267" s="31">
        <v>61159</v>
      </c>
      <c r="L267" s="5" t="s">
        <v>23</v>
      </c>
      <c r="M267" s="32" t="s">
        <v>130</v>
      </c>
      <c r="N267" s="6">
        <f t="shared" si="42"/>
        <v>0</v>
      </c>
      <c r="O267" s="4" t="s">
        <v>256</v>
      </c>
      <c r="P267" s="5" t="str">
        <f t="shared" si="43"/>
        <v>Mumbai</v>
      </c>
      <c r="Q267" s="5" t="str">
        <f t="shared" si="44"/>
        <v>Ent</v>
      </c>
      <c r="R267" s="6" t="str">
        <f t="shared" si="45"/>
        <v>Manipal</v>
      </c>
      <c r="S267" s="6" t="str">
        <f t="shared" si="46"/>
        <v>Credit Card</v>
      </c>
      <c r="T267" s="6" t="str">
        <f t="shared" si="47"/>
        <v>Male</v>
      </c>
      <c r="U267" s="6" t="str">
        <f t="shared" si="40"/>
        <v>ICU</v>
      </c>
      <c r="V267" s="6" t="str" cm="1">
        <f t="array" ref="V267">IF(TRIM(S267)="",INDEX($S$2:$S$1500,MATCH(MAX(COUNTIF($S$2:$S$1500,S267)),COUNTIF($S$2:$S$1500,$S$2:$S$1500),0)),S267)</f>
        <v>Credit Card</v>
      </c>
      <c r="W267" s="7" cm="1">
        <f t="array" ref="W267">IF(OR(TRIM(K267)="",TRIM(K267)="-"), MEDIAN(IF($E$2:$E$1500=E267,$K$2:$K$1500)),  VALUE(SUBSTITUTE(SUBSTITUTE(SUBSTITUTE(K267,"Rs. ",""),"₹",""),",","")))</f>
        <v>61159</v>
      </c>
      <c r="X267" s="8">
        <f t="shared" si="48"/>
        <v>0</v>
      </c>
      <c r="Y267" s="7">
        <f t="shared" si="49"/>
        <v>61159</v>
      </c>
      <c r="Z267" s="9" t="str">
        <f t="shared" si="41"/>
        <v>ADULT</v>
      </c>
    </row>
    <row r="268" spans="1:26" x14ac:dyDescent="0.3">
      <c r="A268" s="5" t="s">
        <v>731</v>
      </c>
      <c r="B268" s="5" t="s">
        <v>78</v>
      </c>
      <c r="C268" s="5" t="s">
        <v>161</v>
      </c>
      <c r="D268" s="5" t="s">
        <v>80</v>
      </c>
      <c r="E268" s="5" t="s">
        <v>37</v>
      </c>
      <c r="F268" s="5" t="s">
        <v>185</v>
      </c>
      <c r="G268" s="5" t="s">
        <v>30</v>
      </c>
      <c r="H268" s="5">
        <v>25</v>
      </c>
      <c r="I268" s="5" t="s">
        <v>40</v>
      </c>
      <c r="J268" s="34" t="s">
        <v>413</v>
      </c>
      <c r="K268" s="31">
        <v>13154</v>
      </c>
      <c r="L268" s="5" t="s">
        <v>34</v>
      </c>
      <c r="M268" s="32" t="s">
        <v>130</v>
      </c>
      <c r="N268" s="6">
        <f t="shared" si="42"/>
        <v>0</v>
      </c>
      <c r="O268" s="4" t="s">
        <v>185</v>
      </c>
      <c r="P268" s="5" t="str">
        <f t="shared" si="43"/>
        <v>Ahmedabad</v>
      </c>
      <c r="Q268" s="5" t="str">
        <f t="shared" si="44"/>
        <v>Pediatrics</v>
      </c>
      <c r="R268" s="6" t="str">
        <f t="shared" si="45"/>
        <v>Apollo</v>
      </c>
      <c r="S268" s="6" t="str">
        <f t="shared" si="46"/>
        <v>Cash</v>
      </c>
      <c r="T268" s="6" t="str">
        <f t="shared" si="47"/>
        <v>Female</v>
      </c>
      <c r="U268" s="6" t="str">
        <f t="shared" si="40"/>
        <v>General</v>
      </c>
      <c r="V268" s="6" t="str" cm="1">
        <f t="array" ref="V268">IF(TRIM(S268)="",INDEX($S$2:$S$1500,MATCH(MAX(COUNTIF($S$2:$S$1500,S268)),COUNTIF($S$2:$S$1500,$S$2:$S$1500),0)),S268)</f>
        <v>Cash</v>
      </c>
      <c r="W268" s="7" cm="1">
        <f t="array" ref="W268">IF(OR(TRIM(K268)="",TRIM(K268)="-"), MEDIAN(IF($E$2:$E$1500=E268,$K$2:$K$1500)),  VALUE(SUBSTITUTE(SUBSTITUTE(SUBSTITUTE(K268,"Rs. ",""),"₹",""),",","")))</f>
        <v>13154</v>
      </c>
      <c r="X268" s="8">
        <f t="shared" si="48"/>
        <v>0</v>
      </c>
      <c r="Y268" s="7">
        <f t="shared" si="49"/>
        <v>13154</v>
      </c>
      <c r="Z268" s="9" t="str">
        <f t="shared" si="41"/>
        <v>ADULT</v>
      </c>
    </row>
    <row r="269" spans="1:26" x14ac:dyDescent="0.3">
      <c r="A269" s="5" t="s">
        <v>732</v>
      </c>
      <c r="B269" s="5" t="s">
        <v>106</v>
      </c>
      <c r="C269" s="5" t="s">
        <v>107</v>
      </c>
      <c r="D269" s="5" t="s">
        <v>189</v>
      </c>
      <c r="E269" s="5" t="s">
        <v>47</v>
      </c>
      <c r="F269" s="5" t="s">
        <v>48</v>
      </c>
      <c r="G269" s="5" t="s">
        <v>101</v>
      </c>
      <c r="H269" s="5">
        <v>20</v>
      </c>
      <c r="I269" s="5" t="s">
        <v>31</v>
      </c>
      <c r="J269" s="34" t="s">
        <v>733</v>
      </c>
      <c r="K269" s="31">
        <v>53796</v>
      </c>
      <c r="L269" s="5" t="s">
        <v>83</v>
      </c>
      <c r="M269" s="32" t="s">
        <v>130</v>
      </c>
      <c r="N269" s="6">
        <f t="shared" si="42"/>
        <v>0</v>
      </c>
      <c r="O269" s="4" t="s">
        <v>48</v>
      </c>
      <c r="P269" s="5" t="str">
        <f t="shared" si="43"/>
        <v>Delhi</v>
      </c>
      <c r="Q269" s="5" t="str">
        <f t="shared" si="44"/>
        <v>Gastroenterology</v>
      </c>
      <c r="R269" s="6" t="str">
        <f t="shared" si="45"/>
        <v>Aiims</v>
      </c>
      <c r="S269" s="6" t="str">
        <f t="shared" si="46"/>
        <v>Debit Card</v>
      </c>
      <c r="T269" s="6" t="str">
        <f t="shared" si="47"/>
        <v>Male</v>
      </c>
      <c r="U269" s="6" t="str">
        <f t="shared" si="40"/>
        <v>ICU</v>
      </c>
      <c r="V269" s="6" t="str" cm="1">
        <f t="array" ref="V269">IF(TRIM(S269)="",INDEX($S$2:$S$1500,MATCH(MAX(COUNTIF($S$2:$S$1500,S269)),COUNTIF($S$2:$S$1500,$S$2:$S$1500),0)),S269)</f>
        <v>Debit Card</v>
      </c>
      <c r="W269" s="7" cm="1">
        <f t="array" ref="W269">IF(OR(TRIM(K269)="",TRIM(K269)="-"), MEDIAN(IF($E$2:$E$1500=E269,$K$2:$K$1500)),  VALUE(SUBSTITUTE(SUBSTITUTE(SUBSTITUTE(K269,"Rs. ",""),"₹",""),",","")))</f>
        <v>53796</v>
      </c>
      <c r="X269" s="8">
        <f t="shared" si="48"/>
        <v>0</v>
      </c>
      <c r="Y269" s="7">
        <f t="shared" si="49"/>
        <v>53796</v>
      </c>
      <c r="Z269" s="9" t="str">
        <f t="shared" si="41"/>
        <v>ADULT</v>
      </c>
    </row>
    <row r="270" spans="1:26" x14ac:dyDescent="0.3">
      <c r="A270" s="5" t="s">
        <v>734</v>
      </c>
      <c r="B270" s="5" t="s">
        <v>14</v>
      </c>
      <c r="C270" s="5" t="s">
        <v>60</v>
      </c>
      <c r="D270" s="5" t="s">
        <v>61</v>
      </c>
      <c r="E270" s="5" t="s">
        <v>67</v>
      </c>
      <c r="F270" s="5" t="s">
        <v>196</v>
      </c>
      <c r="G270" s="5" t="s">
        <v>69</v>
      </c>
      <c r="H270" s="5">
        <v>8</v>
      </c>
      <c r="I270" s="5" t="s">
        <v>40</v>
      </c>
      <c r="J270" s="34" t="s">
        <v>735</v>
      </c>
      <c r="K270" s="31" t="s">
        <v>736</v>
      </c>
      <c r="L270" s="5" t="s">
        <v>52</v>
      </c>
      <c r="M270" s="32">
        <v>0</v>
      </c>
      <c r="N270" s="6">
        <f t="shared" si="42"/>
        <v>0</v>
      </c>
      <c r="O270" s="4" t="s">
        <v>196</v>
      </c>
      <c r="P270" s="5" t="str">
        <f t="shared" si="43"/>
        <v>Pune</v>
      </c>
      <c r="Q270" s="5" t="str">
        <f t="shared" si="44"/>
        <v>Neurology</v>
      </c>
      <c r="R270" s="6" t="str">
        <f t="shared" si="45"/>
        <v>Max_Healthcare</v>
      </c>
      <c r="S270" s="6" t="str">
        <f t="shared" si="46"/>
        <v>Credit Card</v>
      </c>
      <c r="T270" s="6" t="str">
        <f t="shared" si="47"/>
        <v>Female</v>
      </c>
      <c r="U270" s="6" t="str">
        <f t="shared" ref="U270:U333" si="50">IF(OR(UPPER(TRIM(G270))="GENERAL",UPPER(TRIM(G270))="GENRAL"),"General",IF(UPPER(TRIM(G270))="ICU","ICU","Unknown"))</f>
        <v>ICU</v>
      </c>
      <c r="V270" s="6" t="str" cm="1">
        <f t="array" ref="V270">IF(TRIM(S270)="",INDEX($S$2:$S$1500,MATCH(MAX(COUNTIF($S$2:$S$1500,S270)),COUNTIF($S$2:$S$1500,$S$2:$S$1500),0)),S270)</f>
        <v>Credit Card</v>
      </c>
      <c r="W270" s="7" cm="1">
        <f t="array" ref="W270">IF(OR(TRIM(K270)="",TRIM(K270)="-"), MEDIAN(IF($E$2:$E$1500=E270,$K$2:$K$1500)),  VALUE(SUBSTITUTE(SUBSTITUTE(SUBSTITUTE(K270,"Rs. ",""),"₹",""),",","")))</f>
        <v>75423</v>
      </c>
      <c r="X270" s="8">
        <f t="shared" si="48"/>
        <v>0</v>
      </c>
      <c r="Y270" s="7">
        <f t="shared" si="49"/>
        <v>75423</v>
      </c>
      <c r="Z270" s="9" t="str">
        <f t="shared" si="41"/>
        <v>CHILD</v>
      </c>
    </row>
    <row r="271" spans="1:26" x14ac:dyDescent="0.3">
      <c r="A271" s="5" t="s">
        <v>737</v>
      </c>
      <c r="B271" s="5" t="s">
        <v>45</v>
      </c>
      <c r="C271" s="5" t="s">
        <v>46</v>
      </c>
      <c r="D271" s="5" t="s">
        <v>66</v>
      </c>
      <c r="E271" s="5" t="s">
        <v>17</v>
      </c>
      <c r="F271" s="5" t="s">
        <v>18</v>
      </c>
      <c r="G271" s="5" t="s">
        <v>39</v>
      </c>
      <c r="H271" s="5">
        <v>3</v>
      </c>
      <c r="I271" s="5" t="s">
        <v>20</v>
      </c>
      <c r="J271" s="34" t="s">
        <v>503</v>
      </c>
      <c r="K271" s="31">
        <v>12468</v>
      </c>
      <c r="L271" s="5" t="s">
        <v>72</v>
      </c>
      <c r="M271" s="32" t="s">
        <v>76</v>
      </c>
      <c r="N271" s="6">
        <f t="shared" si="42"/>
        <v>10</v>
      </c>
      <c r="O271" s="4" t="s">
        <v>18</v>
      </c>
      <c r="P271" s="5" t="str">
        <f t="shared" si="43"/>
        <v>Kolkata</v>
      </c>
      <c r="Q271" s="5" t="str">
        <f t="shared" si="44"/>
        <v>Gynecology</v>
      </c>
      <c r="R271" s="6" t="str">
        <f t="shared" si="45"/>
        <v>Fortis</v>
      </c>
      <c r="S271" s="6" t="str">
        <f t="shared" si="46"/>
        <v>Cash</v>
      </c>
      <c r="T271" s="6" t="str">
        <f t="shared" si="47"/>
        <v>Male</v>
      </c>
      <c r="U271" s="6" t="str">
        <f t="shared" si="50"/>
        <v>General</v>
      </c>
      <c r="V271" s="6" t="str" cm="1">
        <f t="array" ref="V271">IF(TRIM(S271)="",INDEX($S$2:$S$1500,MATCH(MAX(COUNTIF($S$2:$S$1500,S271)),COUNTIF($S$2:$S$1500,$S$2:$S$1500),0)),S271)</f>
        <v>Cash</v>
      </c>
      <c r="W271" s="7" cm="1">
        <f t="array" ref="W271">IF(OR(TRIM(K271)="",TRIM(K271)="-"), MEDIAN(IF($E$2:$E$1500=E271,$K$2:$K$1500)),  VALUE(SUBSTITUTE(SUBSTITUTE(SUBSTITUTE(K271,"Rs. ",""),"₹",""),",","")))</f>
        <v>12468</v>
      </c>
      <c r="X271" s="8">
        <f t="shared" si="48"/>
        <v>10</v>
      </c>
      <c r="Y271" s="7">
        <f t="shared" si="49"/>
        <v>11221</v>
      </c>
      <c r="Z271" s="9" t="str">
        <f t="shared" si="41"/>
        <v>CHILD</v>
      </c>
    </row>
    <row r="272" spans="1:26" x14ac:dyDescent="0.3">
      <c r="A272" s="5" t="s">
        <v>738</v>
      </c>
      <c r="B272" s="5" t="s">
        <v>106</v>
      </c>
      <c r="C272" s="5" t="s">
        <v>307</v>
      </c>
      <c r="D272" s="5" t="s">
        <v>27</v>
      </c>
      <c r="E272" s="5" t="s">
        <v>99</v>
      </c>
      <c r="F272" s="5" t="s">
        <v>256</v>
      </c>
      <c r="G272" s="5" t="s">
        <v>19</v>
      </c>
      <c r="H272" s="5">
        <v>67</v>
      </c>
      <c r="I272" s="5" t="s">
        <v>31</v>
      </c>
      <c r="J272" s="34" t="s">
        <v>530</v>
      </c>
      <c r="K272" s="31" t="s">
        <v>739</v>
      </c>
      <c r="L272" s="5" t="s">
        <v>91</v>
      </c>
      <c r="M272" s="32">
        <v>0</v>
      </c>
      <c r="N272" s="6">
        <f t="shared" si="42"/>
        <v>0</v>
      </c>
      <c r="O272" s="4" t="s">
        <v>256</v>
      </c>
      <c r="P272" s="5" t="str">
        <f t="shared" si="43"/>
        <v>Mumbai</v>
      </c>
      <c r="Q272" s="5" t="str">
        <f t="shared" si="44"/>
        <v>Ent</v>
      </c>
      <c r="R272" s="6" t="str">
        <f t="shared" si="45"/>
        <v>Aiims</v>
      </c>
      <c r="S272" s="6" t="str">
        <f t="shared" si="46"/>
        <v>Debit Card</v>
      </c>
      <c r="T272" s="6" t="str">
        <f t="shared" si="47"/>
        <v>Male</v>
      </c>
      <c r="U272" s="6" t="str">
        <f t="shared" si="50"/>
        <v>General</v>
      </c>
      <c r="V272" s="6" t="str" cm="1">
        <f t="array" ref="V272">IF(TRIM(S272)="",INDEX($S$2:$S$1500,MATCH(MAX(COUNTIF($S$2:$S$1500,S272)),COUNTIF($S$2:$S$1500,$S$2:$S$1500),0)),S272)</f>
        <v>Debit Card</v>
      </c>
      <c r="W272" s="7" cm="1">
        <f t="array" ref="W272">IF(OR(TRIM(K272)="",TRIM(K272)="-"), MEDIAN(IF($E$2:$E$1500=E272,$K$2:$K$1500)),  VALUE(SUBSTITUTE(SUBSTITUTE(SUBSTITUTE(K272,"Rs. ",""),"₹",""),",","")))</f>
        <v>17286</v>
      </c>
      <c r="X272" s="8">
        <f t="shared" si="48"/>
        <v>0</v>
      </c>
      <c r="Y272" s="7">
        <f t="shared" si="49"/>
        <v>17286</v>
      </c>
      <c r="Z272" s="9" t="str">
        <f t="shared" si="41"/>
        <v>SENIOR</v>
      </c>
    </row>
    <row r="273" spans="1:26" x14ac:dyDescent="0.3">
      <c r="A273" s="5" t="s">
        <v>740</v>
      </c>
      <c r="B273" s="5" t="s">
        <v>25</v>
      </c>
      <c r="C273" s="5" t="s">
        <v>54</v>
      </c>
      <c r="D273" s="5" t="s">
        <v>66</v>
      </c>
      <c r="E273" s="5" t="s">
        <v>108</v>
      </c>
      <c r="F273" s="5" t="s">
        <v>124</v>
      </c>
      <c r="G273" s="5" t="s">
        <v>19</v>
      </c>
      <c r="H273" s="5">
        <v>2</v>
      </c>
      <c r="I273" s="5" t="s">
        <v>40</v>
      </c>
      <c r="J273" s="34" t="s">
        <v>741</v>
      </c>
      <c r="K273" s="31">
        <v>14142</v>
      </c>
      <c r="L273" s="5" t="s">
        <v>91</v>
      </c>
      <c r="M273" s="32">
        <v>5</v>
      </c>
      <c r="N273" s="6">
        <f t="shared" si="42"/>
        <v>5</v>
      </c>
      <c r="O273" s="4" t="s">
        <v>124</v>
      </c>
      <c r="P273" s="5" t="str">
        <f t="shared" si="43"/>
        <v>Kolkata</v>
      </c>
      <c r="Q273" s="5" t="str">
        <f t="shared" si="44"/>
        <v>Orthopedics</v>
      </c>
      <c r="R273" s="6" t="str">
        <f t="shared" si="45"/>
        <v>Narayana</v>
      </c>
      <c r="S273" s="6" t="str">
        <f t="shared" si="46"/>
        <v>Debit Card</v>
      </c>
      <c r="T273" s="6" t="str">
        <f t="shared" si="47"/>
        <v>Female</v>
      </c>
      <c r="U273" s="6" t="str">
        <f t="shared" si="50"/>
        <v>General</v>
      </c>
      <c r="V273" s="6" t="str" cm="1">
        <f t="array" ref="V273">IF(TRIM(S273)="",INDEX($S$2:$S$1500,MATCH(MAX(COUNTIF($S$2:$S$1500,S273)),COUNTIF($S$2:$S$1500,$S$2:$S$1500),0)),S273)</f>
        <v>Debit Card</v>
      </c>
      <c r="W273" s="7" cm="1">
        <f t="array" ref="W273">IF(OR(TRIM(K273)="",TRIM(K273)="-"), MEDIAN(IF($E$2:$E$1500=E273,$K$2:$K$1500)),  VALUE(SUBSTITUTE(SUBSTITUTE(SUBSTITUTE(K273,"Rs. ",""),"₹",""),",","")))</f>
        <v>14142</v>
      </c>
      <c r="X273" s="8">
        <f t="shared" si="48"/>
        <v>5</v>
      </c>
      <c r="Y273" s="7">
        <f t="shared" si="49"/>
        <v>13435</v>
      </c>
      <c r="Z273" s="9" t="str">
        <f t="shared" si="41"/>
        <v>CHILD</v>
      </c>
    </row>
    <row r="274" spans="1:26" x14ac:dyDescent="0.3">
      <c r="A274" s="5" t="s">
        <v>742</v>
      </c>
      <c r="B274" s="5" t="s">
        <v>45</v>
      </c>
      <c r="C274" s="5" t="s">
        <v>334</v>
      </c>
      <c r="D274" s="5" t="s">
        <v>61</v>
      </c>
      <c r="E274" s="5" t="s">
        <v>108</v>
      </c>
      <c r="F274" s="5" t="s">
        <v>308</v>
      </c>
      <c r="G274" s="5" t="s">
        <v>30</v>
      </c>
      <c r="H274" s="5">
        <v>30</v>
      </c>
      <c r="I274" s="5" t="s">
        <v>20</v>
      </c>
      <c r="J274" s="34" t="s">
        <v>743</v>
      </c>
      <c r="K274" s="31" t="s">
        <v>744</v>
      </c>
      <c r="L274" s="5" t="s">
        <v>23</v>
      </c>
      <c r="M274" s="32">
        <v>0</v>
      </c>
      <c r="N274" s="6">
        <f t="shared" si="42"/>
        <v>0</v>
      </c>
      <c r="O274" s="4" t="s">
        <v>308</v>
      </c>
      <c r="P274" s="5" t="str">
        <f t="shared" si="43"/>
        <v>Pune</v>
      </c>
      <c r="Q274" s="5" t="str">
        <f t="shared" si="44"/>
        <v>Orthopedics</v>
      </c>
      <c r="R274" s="6" t="str">
        <f t="shared" si="45"/>
        <v>Fortis</v>
      </c>
      <c r="S274" s="6" t="str">
        <f t="shared" si="46"/>
        <v>Credit Card</v>
      </c>
      <c r="T274" s="6" t="str">
        <f t="shared" si="47"/>
        <v>Male</v>
      </c>
      <c r="U274" s="6" t="str">
        <f t="shared" si="50"/>
        <v>General</v>
      </c>
      <c r="V274" s="6" t="str" cm="1">
        <f t="array" ref="V274">IF(TRIM(S274)="",INDEX($S$2:$S$1500,MATCH(MAX(COUNTIF($S$2:$S$1500,S274)),COUNTIF($S$2:$S$1500,$S$2:$S$1500),0)),S274)</f>
        <v>Credit Card</v>
      </c>
      <c r="W274" s="7" cm="1">
        <f t="array" ref="W274">IF(OR(TRIM(K274)="",TRIM(K274)="-"), MEDIAN(IF($E$2:$E$1500=E274,$K$2:$K$1500)),  VALUE(SUBSTITUTE(SUBSTITUTE(SUBSTITUTE(K274,"Rs. ",""),"₹",""),",","")))</f>
        <v>14785</v>
      </c>
      <c r="X274" s="8">
        <f t="shared" si="48"/>
        <v>0</v>
      </c>
      <c r="Y274" s="7">
        <f t="shared" si="49"/>
        <v>14785</v>
      </c>
      <c r="Z274" s="9" t="str">
        <f t="shared" si="41"/>
        <v>ADULT</v>
      </c>
    </row>
    <row r="275" spans="1:26" x14ac:dyDescent="0.3">
      <c r="A275" s="5" t="s">
        <v>745</v>
      </c>
      <c r="B275" s="5" t="s">
        <v>25</v>
      </c>
      <c r="C275" s="5" t="s">
        <v>54</v>
      </c>
      <c r="D275" s="5" t="s">
        <v>16</v>
      </c>
      <c r="E275" s="5" t="s">
        <v>17</v>
      </c>
      <c r="F275" s="5" t="s">
        <v>169</v>
      </c>
      <c r="G275" s="5" t="s">
        <v>49</v>
      </c>
      <c r="H275" s="5">
        <v>43</v>
      </c>
      <c r="I275" s="5" t="s">
        <v>31</v>
      </c>
      <c r="J275" s="34" t="s">
        <v>746</v>
      </c>
      <c r="K275" s="31" t="s">
        <v>747</v>
      </c>
      <c r="L275" s="5" t="s">
        <v>52</v>
      </c>
      <c r="M275" s="32">
        <v>0</v>
      </c>
      <c r="N275" s="6">
        <f t="shared" si="42"/>
        <v>0</v>
      </c>
      <c r="O275" s="4" t="s">
        <v>169</v>
      </c>
      <c r="P275" s="5" t="str">
        <f t="shared" si="43"/>
        <v>Bangalore</v>
      </c>
      <c r="Q275" s="5" t="str">
        <f t="shared" si="44"/>
        <v>Gynecology</v>
      </c>
      <c r="R275" s="6" t="str">
        <f t="shared" si="45"/>
        <v>Narayana</v>
      </c>
      <c r="S275" s="6" t="str">
        <f t="shared" si="46"/>
        <v>Credit Card</v>
      </c>
      <c r="T275" s="6" t="str">
        <f t="shared" si="47"/>
        <v>Male</v>
      </c>
      <c r="U275" s="6" t="str">
        <f t="shared" si="50"/>
        <v>General</v>
      </c>
      <c r="V275" s="6" t="str" cm="1">
        <f t="array" ref="V275">IF(TRIM(S275)="",INDEX($S$2:$S$1500,MATCH(MAX(COUNTIF($S$2:$S$1500,S275)),COUNTIF($S$2:$S$1500,$S$2:$S$1500),0)),S275)</f>
        <v>Credit Card</v>
      </c>
      <c r="W275" s="7" cm="1">
        <f t="array" ref="W275">IF(OR(TRIM(K275)="",TRIM(K275)="-"), MEDIAN(IF($E$2:$E$1500=E275,$K$2:$K$1500)),  VALUE(SUBSTITUTE(SUBSTITUTE(SUBSTITUTE(K275,"Rs. ",""),"₹",""),",","")))</f>
        <v>14654</v>
      </c>
      <c r="X275" s="8">
        <f t="shared" si="48"/>
        <v>0</v>
      </c>
      <c r="Y275" s="7">
        <f t="shared" si="49"/>
        <v>14654</v>
      </c>
      <c r="Z275" s="9" t="str">
        <f t="shared" si="41"/>
        <v>ADULT</v>
      </c>
    </row>
    <row r="276" spans="1:26" x14ac:dyDescent="0.3">
      <c r="A276" s="5" t="s">
        <v>748</v>
      </c>
      <c r="B276" s="5" t="s">
        <v>117</v>
      </c>
      <c r="C276" s="5" t="s">
        <v>118</v>
      </c>
      <c r="D276" s="5" t="s">
        <v>55</v>
      </c>
      <c r="E276" s="5" t="s">
        <v>108</v>
      </c>
      <c r="F276" s="5" t="s">
        <v>272</v>
      </c>
      <c r="G276" s="5" t="s">
        <v>62</v>
      </c>
      <c r="H276" s="5">
        <v>32</v>
      </c>
      <c r="I276" s="5" t="s">
        <v>70</v>
      </c>
      <c r="J276" s="34" t="s">
        <v>365</v>
      </c>
      <c r="K276" s="31" t="s">
        <v>749</v>
      </c>
      <c r="L276" s="5" t="s">
        <v>91</v>
      </c>
      <c r="M276" s="32">
        <v>0</v>
      </c>
      <c r="N276" s="6">
        <f t="shared" si="42"/>
        <v>0</v>
      </c>
      <c r="O276" s="4" t="s">
        <v>272</v>
      </c>
      <c r="P276" s="5" t="str">
        <f t="shared" si="43"/>
        <v>Hyderabad</v>
      </c>
      <c r="Q276" s="5" t="str">
        <f t="shared" si="44"/>
        <v>Orthopedics</v>
      </c>
      <c r="R276" s="6" t="str">
        <f t="shared" si="45"/>
        <v>Manipal</v>
      </c>
      <c r="S276" s="6" t="str">
        <f t="shared" si="46"/>
        <v>Debit Card</v>
      </c>
      <c r="T276" s="6" t="str">
        <f t="shared" si="47"/>
        <v>Female</v>
      </c>
      <c r="U276" s="6" t="str">
        <f t="shared" si="50"/>
        <v>ICU</v>
      </c>
      <c r="V276" s="6" t="str" cm="1">
        <f t="array" ref="V276">IF(TRIM(S276)="",INDEX($S$2:$S$1500,MATCH(MAX(COUNTIF($S$2:$S$1500,S276)),COUNTIF($S$2:$S$1500,$S$2:$S$1500),0)),S276)</f>
        <v>Debit Card</v>
      </c>
      <c r="W276" s="7" cm="1">
        <f t="array" ref="W276">IF(OR(TRIM(K276)="",TRIM(K276)="-"), MEDIAN(IF($E$2:$E$1500=E276,$K$2:$K$1500)),  VALUE(SUBSTITUTE(SUBSTITUTE(SUBSTITUTE(K276,"Rs. ",""),"₹",""),",","")))</f>
        <v>45729</v>
      </c>
      <c r="X276" s="8">
        <f t="shared" si="48"/>
        <v>0</v>
      </c>
      <c r="Y276" s="7">
        <f t="shared" si="49"/>
        <v>45729</v>
      </c>
      <c r="Z276" s="9" t="str">
        <f t="shared" si="41"/>
        <v>ADULT</v>
      </c>
    </row>
    <row r="277" spans="1:26" x14ac:dyDescent="0.3">
      <c r="A277" s="5" t="s">
        <v>750</v>
      </c>
      <c r="B277" s="5" t="s">
        <v>25</v>
      </c>
      <c r="C277" s="5" t="s">
        <v>54</v>
      </c>
      <c r="D277" s="5" t="s">
        <v>189</v>
      </c>
      <c r="E277" s="5" t="s">
        <v>28</v>
      </c>
      <c r="F277" s="5" t="s">
        <v>29</v>
      </c>
      <c r="G277" s="5" t="s">
        <v>19</v>
      </c>
      <c r="H277" s="5">
        <v>4</v>
      </c>
      <c r="I277" s="5" t="s">
        <v>20</v>
      </c>
      <c r="J277" s="34" t="s">
        <v>751</v>
      </c>
      <c r="K277" s="31">
        <v>3155</v>
      </c>
      <c r="L277" s="5" t="s">
        <v>72</v>
      </c>
      <c r="M277" s="32" t="s">
        <v>140</v>
      </c>
      <c r="N277" s="6" t="str">
        <f t="shared" si="42"/>
        <v>-</v>
      </c>
      <c r="O277" s="4" t="s">
        <v>29</v>
      </c>
      <c r="P277" s="5" t="str">
        <f t="shared" si="43"/>
        <v>Delhi</v>
      </c>
      <c r="Q277" s="5" t="str">
        <f t="shared" si="44"/>
        <v>Oncology</v>
      </c>
      <c r="R277" s="6" t="str">
        <f t="shared" si="45"/>
        <v>Narayana</v>
      </c>
      <c r="S277" s="6" t="str">
        <f t="shared" si="46"/>
        <v>Cash</v>
      </c>
      <c r="T277" s="6" t="str">
        <f t="shared" si="47"/>
        <v>Male</v>
      </c>
      <c r="U277" s="6" t="str">
        <f t="shared" si="50"/>
        <v>General</v>
      </c>
      <c r="V277" s="6" t="str" cm="1">
        <f t="array" ref="V277">IF(TRIM(S277)="",INDEX($S$2:$S$1500,MATCH(MAX(COUNTIF($S$2:$S$1500,S277)),COUNTIF($S$2:$S$1500,$S$2:$S$1500),0)),S277)</f>
        <v>Cash</v>
      </c>
      <c r="W277" s="7" cm="1">
        <f t="array" ref="W277">IF(OR(TRIM(K277)="",TRIM(K277)="-"), MEDIAN(IF($E$2:$E$1500=E277,$K$2:$K$1500)),  VALUE(SUBSTITUTE(SUBSTITUTE(SUBSTITUTE(K277,"Rs. ",""),"₹",""),",","")))</f>
        <v>3155</v>
      </c>
      <c r="X277" s="8">
        <f t="shared" si="48"/>
        <v>3</v>
      </c>
      <c r="Y277" s="7">
        <f t="shared" si="49"/>
        <v>3060</v>
      </c>
      <c r="Z277" s="9" t="str">
        <f t="shared" si="41"/>
        <v>CHILD</v>
      </c>
    </row>
    <row r="278" spans="1:26" x14ac:dyDescent="0.3">
      <c r="A278" s="5" t="s">
        <v>752</v>
      </c>
      <c r="B278" s="5" t="s">
        <v>45</v>
      </c>
      <c r="C278" s="5" t="s">
        <v>46</v>
      </c>
      <c r="D278" s="5" t="s">
        <v>189</v>
      </c>
      <c r="E278" s="5" t="s">
        <v>164</v>
      </c>
      <c r="F278" s="5" t="s">
        <v>282</v>
      </c>
      <c r="G278" s="5" t="s">
        <v>30</v>
      </c>
      <c r="H278" s="5">
        <v>20</v>
      </c>
      <c r="I278" s="5" t="s">
        <v>40</v>
      </c>
      <c r="J278" s="34" t="s">
        <v>158</v>
      </c>
      <c r="K278" s="31" t="s">
        <v>753</v>
      </c>
      <c r="L278" s="5" t="s">
        <v>52</v>
      </c>
      <c r="M278" s="32" t="s">
        <v>130</v>
      </c>
      <c r="N278" s="6">
        <f t="shared" si="42"/>
        <v>0</v>
      </c>
      <c r="O278" s="4" t="s">
        <v>282</v>
      </c>
      <c r="P278" s="5" t="str">
        <f t="shared" si="43"/>
        <v>Delhi</v>
      </c>
      <c r="Q278" s="5" t="str">
        <f t="shared" si="44"/>
        <v>Cardiology</v>
      </c>
      <c r="R278" s="6" t="str">
        <f t="shared" si="45"/>
        <v>Fortis</v>
      </c>
      <c r="S278" s="6" t="str">
        <f t="shared" si="46"/>
        <v>Credit Card</v>
      </c>
      <c r="T278" s="6" t="str">
        <f t="shared" si="47"/>
        <v>Female</v>
      </c>
      <c r="U278" s="6" t="str">
        <f t="shared" si="50"/>
        <v>General</v>
      </c>
      <c r="V278" s="6" t="str" cm="1">
        <f t="array" ref="V278">IF(TRIM(S278)="",INDEX($S$2:$S$1500,MATCH(MAX(COUNTIF($S$2:$S$1500,S278)),COUNTIF($S$2:$S$1500,$S$2:$S$1500),0)),S278)</f>
        <v>Credit Card</v>
      </c>
      <c r="W278" s="7" cm="1">
        <f t="array" ref="W278">IF(OR(TRIM(K278)="",TRIM(K278)="-"), MEDIAN(IF($E$2:$E$1500=E278,$K$2:$K$1500)),  VALUE(SUBSTITUTE(SUBSTITUTE(SUBSTITUTE(K278,"Rs. ",""),"₹",""),",","")))</f>
        <v>5403</v>
      </c>
      <c r="X278" s="8">
        <f t="shared" si="48"/>
        <v>0</v>
      </c>
      <c r="Y278" s="7">
        <f t="shared" si="49"/>
        <v>5403</v>
      </c>
      <c r="Z278" s="9" t="str">
        <f t="shared" si="41"/>
        <v>ADULT</v>
      </c>
    </row>
    <row r="279" spans="1:26" x14ac:dyDescent="0.3">
      <c r="A279" s="5" t="s">
        <v>754</v>
      </c>
      <c r="B279" s="5" t="s">
        <v>14</v>
      </c>
      <c r="C279" s="5" t="s">
        <v>60</v>
      </c>
      <c r="D279" s="5" t="s">
        <v>16</v>
      </c>
      <c r="E279" s="5" t="s">
        <v>74</v>
      </c>
      <c r="F279" s="5" t="s">
        <v>75</v>
      </c>
      <c r="G279" s="5" t="s">
        <v>19</v>
      </c>
      <c r="H279" s="5">
        <v>17</v>
      </c>
      <c r="I279" s="5" t="s">
        <v>70</v>
      </c>
      <c r="J279" s="34" t="s">
        <v>298</v>
      </c>
      <c r="K279" s="31" t="s">
        <v>755</v>
      </c>
      <c r="L279" s="5" t="s">
        <v>236</v>
      </c>
      <c r="M279" s="32">
        <v>0</v>
      </c>
      <c r="N279" s="6">
        <f t="shared" si="42"/>
        <v>0</v>
      </c>
      <c r="O279" s="4" t="s">
        <v>75</v>
      </c>
      <c r="P279" s="5" t="str">
        <f t="shared" si="43"/>
        <v>Bangalore</v>
      </c>
      <c r="Q279" s="5" t="str">
        <f t="shared" si="44"/>
        <v>General Medicine</v>
      </c>
      <c r="R279" s="6" t="str">
        <f t="shared" si="45"/>
        <v>Max_Healthcare</v>
      </c>
      <c r="S279" s="6" t="str">
        <f t="shared" si="46"/>
        <v>Debit Card</v>
      </c>
      <c r="T279" s="6" t="str">
        <f t="shared" si="47"/>
        <v>Female</v>
      </c>
      <c r="U279" s="6" t="str">
        <f t="shared" si="50"/>
        <v>General</v>
      </c>
      <c r="V279" s="6" t="str" cm="1">
        <f t="array" ref="V279">IF(TRIM(S279)="",INDEX($S$2:$S$1500,MATCH(MAX(COUNTIF($S$2:$S$1500,S279)),COUNTIF($S$2:$S$1500,$S$2:$S$1500),0)),S279)</f>
        <v>Debit Card</v>
      </c>
      <c r="W279" s="7" cm="1">
        <f t="array" ref="W279">IF(OR(TRIM(K279)="",TRIM(K279)="-"), MEDIAN(IF($E$2:$E$1500=E279,$K$2:$K$1500)),  VALUE(SUBSTITUTE(SUBSTITUTE(SUBSTITUTE(K279,"Rs. ",""),"₹",""),",","")))</f>
        <v>14196</v>
      </c>
      <c r="X279" s="8">
        <f t="shared" si="48"/>
        <v>0</v>
      </c>
      <c r="Y279" s="7">
        <f t="shared" si="49"/>
        <v>14196</v>
      </c>
      <c r="Z279" s="9" t="str">
        <f t="shared" si="41"/>
        <v>TEEN</v>
      </c>
    </row>
    <row r="280" spans="1:26" x14ac:dyDescent="0.3">
      <c r="A280" s="5" t="s">
        <v>756</v>
      </c>
      <c r="B280" s="5" t="s">
        <v>117</v>
      </c>
      <c r="C280" s="5" t="s">
        <v>118</v>
      </c>
      <c r="D280" s="5" t="s">
        <v>61</v>
      </c>
      <c r="E280" s="5" t="s">
        <v>74</v>
      </c>
      <c r="F280" s="5" t="s">
        <v>75</v>
      </c>
      <c r="G280" s="5" t="s">
        <v>49</v>
      </c>
      <c r="H280" s="5">
        <v>13</v>
      </c>
      <c r="I280" s="5" t="s">
        <v>20</v>
      </c>
      <c r="J280" s="34" t="s">
        <v>477</v>
      </c>
      <c r="K280" s="31" t="s">
        <v>757</v>
      </c>
      <c r="L280" s="5" t="s">
        <v>97</v>
      </c>
      <c r="M280" s="32" t="s">
        <v>64</v>
      </c>
      <c r="N280" s="6" t="str">
        <f t="shared" si="42"/>
        <v>NA</v>
      </c>
      <c r="O280" s="4" t="s">
        <v>75</v>
      </c>
      <c r="P280" s="5" t="str">
        <f t="shared" si="43"/>
        <v>Pune</v>
      </c>
      <c r="Q280" s="5" t="str">
        <f t="shared" si="44"/>
        <v>General Medicine</v>
      </c>
      <c r="R280" s="6" t="str">
        <f t="shared" si="45"/>
        <v>Manipal</v>
      </c>
      <c r="S280" s="6" t="str">
        <f t="shared" si="46"/>
        <v>UPI</v>
      </c>
      <c r="T280" s="6" t="str">
        <f t="shared" si="47"/>
        <v>Male</v>
      </c>
      <c r="U280" s="6" t="str">
        <f t="shared" si="50"/>
        <v>General</v>
      </c>
      <c r="V280" s="6" t="str" cm="1">
        <f t="array" ref="V280">IF(TRIM(S280)="",INDEX($S$2:$S$1500,MATCH(MAX(COUNTIF($S$2:$S$1500,S280)),COUNTIF($S$2:$S$1500,$S$2:$S$1500),0)),S280)</f>
        <v>UPI</v>
      </c>
      <c r="W280" s="7" cm="1">
        <f t="array" ref="W280">IF(OR(TRIM(K280)="",TRIM(K280)="-"), MEDIAN(IF($E$2:$E$1500=E280,$K$2:$K$1500)),  VALUE(SUBSTITUTE(SUBSTITUTE(SUBSTITUTE(K280,"Rs. ",""),"₹",""),",","")))</f>
        <v>7988</v>
      </c>
      <c r="X280" s="8">
        <f t="shared" si="48"/>
        <v>3</v>
      </c>
      <c r="Y280" s="7">
        <f t="shared" si="49"/>
        <v>7748</v>
      </c>
      <c r="Z280" s="9" t="str">
        <f t="shared" si="41"/>
        <v>TEEN</v>
      </c>
    </row>
    <row r="281" spans="1:26" x14ac:dyDescent="0.3">
      <c r="A281" s="5" t="s">
        <v>758</v>
      </c>
      <c r="B281" s="5" t="s">
        <v>25</v>
      </c>
      <c r="C281" s="5" t="s">
        <v>26</v>
      </c>
      <c r="D281" s="5" t="s">
        <v>61</v>
      </c>
      <c r="E281" s="5" t="s">
        <v>67</v>
      </c>
      <c r="F281" s="5" t="s">
        <v>89</v>
      </c>
      <c r="G281" s="5" t="s">
        <v>39</v>
      </c>
      <c r="H281" s="5">
        <v>82</v>
      </c>
      <c r="I281" s="5" t="s">
        <v>40</v>
      </c>
      <c r="J281" s="34" t="s">
        <v>759</v>
      </c>
      <c r="K281" s="31" t="s">
        <v>760</v>
      </c>
      <c r="L281" s="5" t="s">
        <v>87</v>
      </c>
      <c r="M281" s="32" t="s">
        <v>130</v>
      </c>
      <c r="N281" s="6">
        <f t="shared" si="42"/>
        <v>0</v>
      </c>
      <c r="O281" s="4" t="s">
        <v>89</v>
      </c>
      <c r="P281" s="5" t="str">
        <f t="shared" si="43"/>
        <v>Pune</v>
      </c>
      <c r="Q281" s="5" t="str">
        <f t="shared" si="44"/>
        <v>Neurology</v>
      </c>
      <c r="R281" s="6" t="str">
        <f t="shared" si="45"/>
        <v>Narayana</v>
      </c>
      <c r="S281" s="6" t="str">
        <f t="shared" si="46"/>
        <v>Credit Card</v>
      </c>
      <c r="T281" s="6" t="str">
        <f t="shared" si="47"/>
        <v>Female</v>
      </c>
      <c r="U281" s="6" t="str">
        <f t="shared" si="50"/>
        <v>General</v>
      </c>
      <c r="V281" s="6" t="str" cm="1">
        <f t="array" ref="V281">IF(TRIM(S281)="",INDEX($S$2:$S$1500,MATCH(MAX(COUNTIF($S$2:$S$1500,S281)),COUNTIF($S$2:$S$1500,$S$2:$S$1500),0)),S281)</f>
        <v>Credit Card</v>
      </c>
      <c r="W281" s="7" cm="1">
        <f t="array" ref="W281">IF(OR(TRIM(K281)="",TRIM(K281)="-"), MEDIAN(IF($E$2:$E$1500=E281,$K$2:$K$1500)),  VALUE(SUBSTITUTE(SUBSTITUTE(SUBSTITUTE(K281,"Rs. ",""),"₹",""),",","")))</f>
        <v>11471</v>
      </c>
      <c r="X281" s="8">
        <f t="shared" si="48"/>
        <v>0</v>
      </c>
      <c r="Y281" s="7">
        <f t="shared" si="49"/>
        <v>11471</v>
      </c>
      <c r="Z281" s="9" t="str">
        <f t="shared" si="41"/>
        <v>SENIOR</v>
      </c>
    </row>
    <row r="282" spans="1:26" x14ac:dyDescent="0.3">
      <c r="A282" s="5" t="s">
        <v>761</v>
      </c>
      <c r="B282" s="5" t="s">
        <v>25</v>
      </c>
      <c r="C282" s="5" t="s">
        <v>54</v>
      </c>
      <c r="D282" s="5" t="s">
        <v>66</v>
      </c>
      <c r="E282" s="5" t="s">
        <v>28</v>
      </c>
      <c r="F282" s="5" t="s">
        <v>268</v>
      </c>
      <c r="G282" s="5" t="s">
        <v>30</v>
      </c>
      <c r="H282" s="5">
        <v>40</v>
      </c>
      <c r="I282" s="5" t="s">
        <v>70</v>
      </c>
      <c r="J282" s="34" t="s">
        <v>466</v>
      </c>
      <c r="K282" s="31" t="s">
        <v>762</v>
      </c>
      <c r="L282" s="5" t="s">
        <v>211</v>
      </c>
      <c r="M282" s="32" t="s">
        <v>130</v>
      </c>
      <c r="N282" s="6">
        <f t="shared" si="42"/>
        <v>0</v>
      </c>
      <c r="O282" s="4" t="s">
        <v>268</v>
      </c>
      <c r="P282" s="5" t="str">
        <f t="shared" si="43"/>
        <v>Kolkata</v>
      </c>
      <c r="Q282" s="5" t="str">
        <f t="shared" si="44"/>
        <v>Oncology</v>
      </c>
      <c r="R282" s="6" t="str">
        <f t="shared" si="45"/>
        <v>Narayana</v>
      </c>
      <c r="S282" s="6" t="str">
        <f t="shared" si="46"/>
        <v>Credit Card</v>
      </c>
      <c r="T282" s="6" t="str">
        <f t="shared" si="47"/>
        <v>Female</v>
      </c>
      <c r="U282" s="6" t="str">
        <f t="shared" si="50"/>
        <v>General</v>
      </c>
      <c r="V282" s="6" t="str" cm="1">
        <f t="array" ref="V282">IF(TRIM(S282)="",INDEX($S$2:$S$1500,MATCH(MAX(COUNTIF($S$2:$S$1500,S282)),COUNTIF($S$2:$S$1500,$S$2:$S$1500),0)),S282)</f>
        <v>Credit Card</v>
      </c>
      <c r="W282" s="7" cm="1">
        <f t="array" ref="W282">IF(OR(TRIM(K282)="",TRIM(K282)="-"), MEDIAN(IF($E$2:$E$1500=E282,$K$2:$K$1500)),  VALUE(SUBSTITUTE(SUBSTITUTE(SUBSTITUTE(K282,"Rs. ",""),"₹",""),",","")))</f>
        <v>11545</v>
      </c>
      <c r="X282" s="8">
        <f t="shared" si="48"/>
        <v>0</v>
      </c>
      <c r="Y282" s="7">
        <f t="shared" si="49"/>
        <v>11545</v>
      </c>
      <c r="Z282" s="9" t="str">
        <f t="shared" si="41"/>
        <v>ADULT</v>
      </c>
    </row>
    <row r="283" spans="1:26" x14ac:dyDescent="0.3">
      <c r="A283" s="5" t="s">
        <v>763</v>
      </c>
      <c r="B283" s="5" t="s">
        <v>14</v>
      </c>
      <c r="C283" s="5" t="s">
        <v>60</v>
      </c>
      <c r="D283" s="5" t="s">
        <v>189</v>
      </c>
      <c r="E283" s="5" t="s">
        <v>47</v>
      </c>
      <c r="F283" s="5" t="s">
        <v>48</v>
      </c>
      <c r="G283" s="5" t="s">
        <v>30</v>
      </c>
      <c r="H283" s="5">
        <v>20</v>
      </c>
      <c r="I283" s="5" t="s">
        <v>40</v>
      </c>
      <c r="J283" s="34" t="s">
        <v>764</v>
      </c>
      <c r="K283" s="31" t="s">
        <v>765</v>
      </c>
      <c r="L283" s="5" t="s">
        <v>115</v>
      </c>
      <c r="M283" s="32">
        <v>10</v>
      </c>
      <c r="N283" s="6">
        <f t="shared" si="42"/>
        <v>10</v>
      </c>
      <c r="O283" s="4" t="s">
        <v>48</v>
      </c>
      <c r="P283" s="5" t="str">
        <f t="shared" si="43"/>
        <v>Delhi</v>
      </c>
      <c r="Q283" s="5" t="str">
        <f t="shared" si="44"/>
        <v>Gastroenterology</v>
      </c>
      <c r="R283" s="6" t="str">
        <f t="shared" si="45"/>
        <v>Max_Healthcare</v>
      </c>
      <c r="S283" s="6" t="str">
        <f t="shared" si="46"/>
        <v>Cash</v>
      </c>
      <c r="T283" s="6" t="str">
        <f t="shared" si="47"/>
        <v>Female</v>
      </c>
      <c r="U283" s="6" t="str">
        <f t="shared" si="50"/>
        <v>General</v>
      </c>
      <c r="V283" s="6" t="str" cm="1">
        <f t="array" ref="V283">IF(TRIM(S283)="",INDEX($S$2:$S$1500,MATCH(MAX(COUNTIF($S$2:$S$1500,S283)),COUNTIF($S$2:$S$1500,$S$2:$S$1500),0)),S283)</f>
        <v>Cash</v>
      </c>
      <c r="W283" s="7" cm="1">
        <f t="array" ref="W283">IF(OR(TRIM(K283)="",TRIM(K283)="-"), MEDIAN(IF($E$2:$E$1500=E283,$K$2:$K$1500)),  VALUE(SUBSTITUTE(SUBSTITUTE(SUBSTITUTE(K283,"Rs. ",""),"₹",""),",","")))</f>
        <v>11033</v>
      </c>
      <c r="X283" s="8">
        <f t="shared" si="48"/>
        <v>10</v>
      </c>
      <c r="Y283" s="7">
        <f t="shared" si="49"/>
        <v>9930</v>
      </c>
      <c r="Z283" s="9" t="str">
        <f t="shared" si="41"/>
        <v>ADULT</v>
      </c>
    </row>
    <row r="284" spans="1:26" x14ac:dyDescent="0.3">
      <c r="A284" s="5" t="s">
        <v>766</v>
      </c>
      <c r="B284" s="5" t="s">
        <v>117</v>
      </c>
      <c r="C284" s="5" t="s">
        <v>118</v>
      </c>
      <c r="D284" s="5" t="s">
        <v>66</v>
      </c>
      <c r="E284" s="5" t="s">
        <v>108</v>
      </c>
      <c r="F284" s="5" t="s">
        <v>124</v>
      </c>
      <c r="G284" s="5" t="s">
        <v>49</v>
      </c>
      <c r="H284" s="5">
        <v>62</v>
      </c>
      <c r="I284" s="5" t="s">
        <v>20</v>
      </c>
      <c r="J284" s="34" t="s">
        <v>340</v>
      </c>
      <c r="K284" s="31" t="s">
        <v>767</v>
      </c>
      <c r="L284" s="5" t="s">
        <v>52</v>
      </c>
      <c r="M284" s="32">
        <v>0</v>
      </c>
      <c r="N284" s="6">
        <f t="shared" si="42"/>
        <v>0</v>
      </c>
      <c r="O284" s="4" t="s">
        <v>124</v>
      </c>
      <c r="P284" s="5" t="str">
        <f t="shared" si="43"/>
        <v>Kolkata</v>
      </c>
      <c r="Q284" s="5" t="str">
        <f t="shared" si="44"/>
        <v>Orthopedics</v>
      </c>
      <c r="R284" s="6" t="str">
        <f t="shared" si="45"/>
        <v>Manipal</v>
      </c>
      <c r="S284" s="6" t="str">
        <f t="shared" si="46"/>
        <v>Credit Card</v>
      </c>
      <c r="T284" s="6" t="str">
        <f t="shared" si="47"/>
        <v>Male</v>
      </c>
      <c r="U284" s="6" t="str">
        <f t="shared" si="50"/>
        <v>General</v>
      </c>
      <c r="V284" s="6" t="str" cm="1">
        <f t="array" ref="V284">IF(TRIM(S284)="",INDEX($S$2:$S$1500,MATCH(MAX(COUNTIF($S$2:$S$1500,S284)),COUNTIF($S$2:$S$1500,$S$2:$S$1500),0)),S284)</f>
        <v>Credit Card</v>
      </c>
      <c r="W284" s="7" cm="1">
        <f t="array" ref="W284">IF(OR(TRIM(K284)="",TRIM(K284)="-"), MEDIAN(IF($E$2:$E$1500=E284,$K$2:$K$1500)),  VALUE(SUBSTITUTE(SUBSTITUTE(SUBSTITUTE(K284,"Rs. ",""),"₹",""),",","")))</f>
        <v>19828</v>
      </c>
      <c r="X284" s="8">
        <f t="shared" si="48"/>
        <v>0</v>
      </c>
      <c r="Y284" s="7">
        <f t="shared" si="49"/>
        <v>19828</v>
      </c>
      <c r="Z284" s="9" t="str">
        <f t="shared" si="41"/>
        <v>SENIOR</v>
      </c>
    </row>
    <row r="285" spans="1:26" x14ac:dyDescent="0.3">
      <c r="A285" s="5" t="s">
        <v>768</v>
      </c>
      <c r="B285" s="5" t="s">
        <v>106</v>
      </c>
      <c r="C285" s="5" t="s">
        <v>107</v>
      </c>
      <c r="D285" s="5" t="s">
        <v>55</v>
      </c>
      <c r="E285" s="5" t="s">
        <v>47</v>
      </c>
      <c r="F285" s="5" t="s">
        <v>461</v>
      </c>
      <c r="G285" s="5" t="s">
        <v>19</v>
      </c>
      <c r="H285" s="5">
        <v>18</v>
      </c>
      <c r="I285" s="5" t="s">
        <v>20</v>
      </c>
      <c r="J285" s="34" t="s">
        <v>32</v>
      </c>
      <c r="K285" s="31" t="s">
        <v>769</v>
      </c>
      <c r="L285" s="5" t="s">
        <v>115</v>
      </c>
      <c r="M285" s="32">
        <v>0</v>
      </c>
      <c r="N285" s="6">
        <f t="shared" si="42"/>
        <v>0</v>
      </c>
      <c r="O285" s="4" t="s">
        <v>461</v>
      </c>
      <c r="P285" s="5" t="str">
        <f t="shared" si="43"/>
        <v>Hyderabad</v>
      </c>
      <c r="Q285" s="5" t="str">
        <f t="shared" si="44"/>
        <v>Gastroenterology</v>
      </c>
      <c r="R285" s="6" t="str">
        <f t="shared" si="45"/>
        <v>Aiims</v>
      </c>
      <c r="S285" s="6" t="str">
        <f t="shared" si="46"/>
        <v>Cash</v>
      </c>
      <c r="T285" s="6" t="str">
        <f t="shared" si="47"/>
        <v>Male</v>
      </c>
      <c r="U285" s="6" t="str">
        <f t="shared" si="50"/>
        <v>General</v>
      </c>
      <c r="V285" s="6" t="str" cm="1">
        <f t="array" ref="V285">IF(TRIM(S285)="",INDEX($S$2:$S$1500,MATCH(MAX(COUNTIF($S$2:$S$1500,S285)),COUNTIF($S$2:$S$1500,$S$2:$S$1500),0)),S285)</f>
        <v>Cash</v>
      </c>
      <c r="W285" s="7" cm="1">
        <f t="array" ref="W285">IF(OR(TRIM(K285)="",TRIM(K285)="-"), MEDIAN(IF($E$2:$E$1500=E285,$K$2:$K$1500)),  VALUE(SUBSTITUTE(SUBSTITUTE(SUBSTITUTE(K285,"Rs. ",""),"₹",""),",","")))</f>
        <v>7225</v>
      </c>
      <c r="X285" s="8">
        <f t="shared" si="48"/>
        <v>0</v>
      </c>
      <c r="Y285" s="7">
        <f t="shared" si="49"/>
        <v>7225</v>
      </c>
      <c r="Z285" s="9" t="str">
        <f t="shared" si="41"/>
        <v>TEEN</v>
      </c>
    </row>
    <row r="286" spans="1:26" x14ac:dyDescent="0.3">
      <c r="A286" s="5" t="s">
        <v>770</v>
      </c>
      <c r="B286" s="5" t="s">
        <v>14</v>
      </c>
      <c r="C286" s="5" t="s">
        <v>60</v>
      </c>
      <c r="D286" s="5" t="s">
        <v>61</v>
      </c>
      <c r="E286" s="5" t="s">
        <v>93</v>
      </c>
      <c r="F286" s="5" t="s">
        <v>207</v>
      </c>
      <c r="G286" s="5" t="s">
        <v>39</v>
      </c>
      <c r="H286" s="5">
        <v>5</v>
      </c>
      <c r="I286" s="5" t="s">
        <v>20</v>
      </c>
      <c r="J286" s="34" t="s">
        <v>21</v>
      </c>
      <c r="K286" s="31" t="s">
        <v>771</v>
      </c>
      <c r="L286" s="5" t="s">
        <v>52</v>
      </c>
      <c r="M286" s="32" t="s">
        <v>130</v>
      </c>
      <c r="N286" s="6">
        <f t="shared" si="42"/>
        <v>0</v>
      </c>
      <c r="O286" s="4" t="s">
        <v>207</v>
      </c>
      <c r="P286" s="5" t="str">
        <f t="shared" si="43"/>
        <v>Pune</v>
      </c>
      <c r="Q286" s="5" t="str">
        <f t="shared" si="44"/>
        <v>Nephrology</v>
      </c>
      <c r="R286" s="6" t="str">
        <f t="shared" si="45"/>
        <v>Max_Healthcare</v>
      </c>
      <c r="S286" s="6" t="str">
        <f t="shared" si="46"/>
        <v>Credit Card</v>
      </c>
      <c r="T286" s="6" t="str">
        <f t="shared" si="47"/>
        <v>Male</v>
      </c>
      <c r="U286" s="6" t="str">
        <f t="shared" si="50"/>
        <v>General</v>
      </c>
      <c r="V286" s="6" t="str" cm="1">
        <f t="array" ref="V286">IF(TRIM(S286)="",INDEX($S$2:$S$1500,MATCH(MAX(COUNTIF($S$2:$S$1500,S286)),COUNTIF($S$2:$S$1500,$S$2:$S$1500),0)),S286)</f>
        <v>Credit Card</v>
      </c>
      <c r="W286" s="7" cm="1">
        <f t="array" ref="W286">IF(OR(TRIM(K286)="",TRIM(K286)="-"), MEDIAN(IF($E$2:$E$1500=E286,$K$2:$K$1500)),  VALUE(SUBSTITUTE(SUBSTITUTE(SUBSTITUTE(K286,"Rs. ",""),"₹",""),",","")))</f>
        <v>7425</v>
      </c>
      <c r="X286" s="8">
        <f t="shared" si="48"/>
        <v>0</v>
      </c>
      <c r="Y286" s="7">
        <f t="shared" si="49"/>
        <v>7425</v>
      </c>
      <c r="Z286" s="9" t="str">
        <f t="shared" si="41"/>
        <v>CHILD</v>
      </c>
    </row>
    <row r="287" spans="1:26" x14ac:dyDescent="0.3">
      <c r="A287" s="5" t="s">
        <v>772</v>
      </c>
      <c r="B287" s="5" t="s">
        <v>117</v>
      </c>
      <c r="C287" s="5" t="s">
        <v>182</v>
      </c>
      <c r="D287" s="5" t="s">
        <v>55</v>
      </c>
      <c r="E287" s="5" t="s">
        <v>37</v>
      </c>
      <c r="F287" s="5" t="s">
        <v>38</v>
      </c>
      <c r="G287" s="5" t="s">
        <v>62</v>
      </c>
      <c r="H287" s="5">
        <v>15</v>
      </c>
      <c r="I287" s="5" t="s">
        <v>20</v>
      </c>
      <c r="J287" s="34" t="s">
        <v>119</v>
      </c>
      <c r="K287" s="31" t="s">
        <v>773</v>
      </c>
      <c r="L287" s="5" t="s">
        <v>83</v>
      </c>
      <c r="M287" s="32" t="s">
        <v>198</v>
      </c>
      <c r="N287" s="6">
        <f t="shared" si="42"/>
        <v>5</v>
      </c>
      <c r="O287" s="4" t="s">
        <v>38</v>
      </c>
      <c r="P287" s="5" t="str">
        <f t="shared" si="43"/>
        <v>Hyderabad</v>
      </c>
      <c r="Q287" s="5" t="str">
        <f t="shared" si="44"/>
        <v>Pediatrics</v>
      </c>
      <c r="R287" s="6" t="str">
        <f t="shared" si="45"/>
        <v>Manipal</v>
      </c>
      <c r="S287" s="6" t="str">
        <f t="shared" si="46"/>
        <v>Debit Card</v>
      </c>
      <c r="T287" s="6" t="str">
        <f t="shared" si="47"/>
        <v>Male</v>
      </c>
      <c r="U287" s="6" t="str">
        <f t="shared" si="50"/>
        <v>ICU</v>
      </c>
      <c r="V287" s="6" t="str" cm="1">
        <f t="array" ref="V287">IF(TRIM(S287)="",INDEX($S$2:$S$1500,MATCH(MAX(COUNTIF($S$2:$S$1500,S287)),COUNTIF($S$2:$S$1500,$S$2:$S$1500),0)),S287)</f>
        <v>Debit Card</v>
      </c>
      <c r="W287" s="7" cm="1">
        <f t="array" ref="W287">IF(OR(TRIM(K287)="",TRIM(K287)="-"), MEDIAN(IF($E$2:$E$1500=E287,$K$2:$K$1500)),  VALUE(SUBSTITUTE(SUBSTITUTE(SUBSTITUTE(K287,"Rs. ",""),"₹",""),",","")))</f>
        <v>70687</v>
      </c>
      <c r="X287" s="8">
        <f t="shared" si="48"/>
        <v>5</v>
      </c>
      <c r="Y287" s="7">
        <f t="shared" si="49"/>
        <v>67153</v>
      </c>
      <c r="Z287" s="9" t="str">
        <f t="shared" si="41"/>
        <v>TEEN</v>
      </c>
    </row>
    <row r="288" spans="1:26" x14ac:dyDescent="0.3">
      <c r="A288" s="5" t="s">
        <v>774</v>
      </c>
      <c r="B288" s="5" t="s">
        <v>45</v>
      </c>
      <c r="C288" s="5" t="s">
        <v>46</v>
      </c>
      <c r="D288" s="5" t="s">
        <v>36</v>
      </c>
      <c r="E288" s="5" t="s">
        <v>99</v>
      </c>
      <c r="F288" s="5" t="s">
        <v>372</v>
      </c>
      <c r="G288" s="5" t="s">
        <v>101</v>
      </c>
      <c r="H288" s="5">
        <v>4</v>
      </c>
      <c r="I288" s="5" t="s">
        <v>20</v>
      </c>
      <c r="J288" s="34" t="s">
        <v>246</v>
      </c>
      <c r="K288" s="31">
        <v>81500</v>
      </c>
      <c r="L288" s="5" t="s">
        <v>42</v>
      </c>
      <c r="M288" s="32" t="s">
        <v>140</v>
      </c>
      <c r="N288" s="6" t="str">
        <f t="shared" si="42"/>
        <v>-</v>
      </c>
      <c r="O288" s="4" t="s">
        <v>372</v>
      </c>
      <c r="P288" s="5" t="str">
        <f t="shared" si="43"/>
        <v>Chennai</v>
      </c>
      <c r="Q288" s="5" t="str">
        <f t="shared" si="44"/>
        <v>Ent</v>
      </c>
      <c r="R288" s="6" t="str">
        <f t="shared" si="45"/>
        <v>Fortis</v>
      </c>
      <c r="S288" s="6" t="str">
        <f t="shared" si="46"/>
        <v>Insurance</v>
      </c>
      <c r="T288" s="6" t="str">
        <f t="shared" si="47"/>
        <v>Male</v>
      </c>
      <c r="U288" s="6" t="str">
        <f t="shared" si="50"/>
        <v>ICU</v>
      </c>
      <c r="V288" s="6" t="str" cm="1">
        <f t="array" ref="V288">IF(TRIM(S288)="",INDEX($S$2:$S$1500,MATCH(MAX(COUNTIF($S$2:$S$1500,S288)),COUNTIF($S$2:$S$1500,$S$2:$S$1500),0)),S288)</f>
        <v>Insurance</v>
      </c>
      <c r="W288" s="7" cm="1">
        <f t="array" ref="W288">IF(OR(TRIM(K288)="",TRIM(K288)="-"), MEDIAN(IF($E$2:$E$1500=E288,$K$2:$K$1500)),  VALUE(SUBSTITUTE(SUBSTITUTE(SUBSTITUTE(K288,"Rs. ",""),"₹",""),",","")))</f>
        <v>81500</v>
      </c>
      <c r="X288" s="8">
        <f t="shared" si="48"/>
        <v>19</v>
      </c>
      <c r="Y288" s="7">
        <f t="shared" si="49"/>
        <v>66015</v>
      </c>
      <c r="Z288" s="9" t="str">
        <f t="shared" si="41"/>
        <v>CHILD</v>
      </c>
    </row>
    <row r="289" spans="1:26" x14ac:dyDescent="0.3">
      <c r="A289" s="5" t="s">
        <v>775</v>
      </c>
      <c r="B289" s="5" t="s">
        <v>14</v>
      </c>
      <c r="C289" s="5" t="s">
        <v>60</v>
      </c>
      <c r="D289" s="5" t="s">
        <v>36</v>
      </c>
      <c r="E289" s="5" t="s">
        <v>17</v>
      </c>
      <c r="F289" s="5" t="s">
        <v>18</v>
      </c>
      <c r="G289" s="5" t="s">
        <v>62</v>
      </c>
      <c r="H289" s="5">
        <v>45</v>
      </c>
      <c r="I289" s="5" t="s">
        <v>20</v>
      </c>
      <c r="J289" s="34" t="s">
        <v>690</v>
      </c>
      <c r="K289" s="31">
        <v>53335</v>
      </c>
      <c r="L289" s="5" t="s">
        <v>42</v>
      </c>
      <c r="M289" s="32">
        <v>15</v>
      </c>
      <c r="N289" s="6">
        <f t="shared" si="42"/>
        <v>15</v>
      </c>
      <c r="O289" s="4" t="s">
        <v>18</v>
      </c>
      <c r="P289" s="5" t="str">
        <f t="shared" si="43"/>
        <v>Chennai</v>
      </c>
      <c r="Q289" s="5" t="str">
        <f t="shared" si="44"/>
        <v>Gynecology</v>
      </c>
      <c r="R289" s="6" t="str">
        <f t="shared" si="45"/>
        <v>Max_Healthcare</v>
      </c>
      <c r="S289" s="6" t="str">
        <f t="shared" si="46"/>
        <v>Insurance</v>
      </c>
      <c r="T289" s="6" t="str">
        <f t="shared" si="47"/>
        <v>Male</v>
      </c>
      <c r="U289" s="6" t="str">
        <f t="shared" si="50"/>
        <v>ICU</v>
      </c>
      <c r="V289" s="6" t="str" cm="1">
        <f t="array" ref="V289">IF(TRIM(S289)="",INDEX($S$2:$S$1500,MATCH(MAX(COUNTIF($S$2:$S$1500,S289)),COUNTIF($S$2:$S$1500,$S$2:$S$1500),0)),S289)</f>
        <v>Insurance</v>
      </c>
      <c r="W289" s="7" cm="1">
        <f t="array" ref="W289">IF(OR(TRIM(K289)="",TRIM(K289)="-"), MEDIAN(IF($E$2:$E$1500=E289,$K$2:$K$1500)),  VALUE(SUBSTITUTE(SUBSTITUTE(SUBSTITUTE(K289,"Rs. ",""),"₹",""),",","")))</f>
        <v>53335</v>
      </c>
      <c r="X289" s="8">
        <f t="shared" si="48"/>
        <v>15</v>
      </c>
      <c r="Y289" s="7">
        <f t="shared" si="49"/>
        <v>45335</v>
      </c>
      <c r="Z289" s="9" t="str">
        <f t="shared" si="41"/>
        <v>ADULT</v>
      </c>
    </row>
    <row r="290" spans="1:26" x14ac:dyDescent="0.3">
      <c r="A290" s="5" t="s">
        <v>776</v>
      </c>
      <c r="B290" s="5" t="s">
        <v>14</v>
      </c>
      <c r="C290" s="5" t="s">
        <v>60</v>
      </c>
      <c r="D290" s="5" t="s">
        <v>55</v>
      </c>
      <c r="E290" s="5" t="s">
        <v>74</v>
      </c>
      <c r="F290" s="5" t="s">
        <v>192</v>
      </c>
      <c r="G290" s="5" t="s">
        <v>19</v>
      </c>
      <c r="H290" s="5">
        <v>15</v>
      </c>
      <c r="I290" s="5" t="s">
        <v>40</v>
      </c>
      <c r="J290" s="34" t="s">
        <v>777</v>
      </c>
      <c r="K290" s="31">
        <v>16453</v>
      </c>
      <c r="L290" s="5" t="s">
        <v>91</v>
      </c>
      <c r="M290" s="32">
        <v>0</v>
      </c>
      <c r="N290" s="6">
        <f t="shared" si="42"/>
        <v>0</v>
      </c>
      <c r="O290" s="4" t="s">
        <v>192</v>
      </c>
      <c r="P290" s="5" t="str">
        <f t="shared" si="43"/>
        <v>Hyderabad</v>
      </c>
      <c r="Q290" s="5" t="str">
        <f t="shared" si="44"/>
        <v>General Medicine</v>
      </c>
      <c r="R290" s="6" t="str">
        <f t="shared" si="45"/>
        <v>Max_Healthcare</v>
      </c>
      <c r="S290" s="6" t="str">
        <f t="shared" si="46"/>
        <v>Debit Card</v>
      </c>
      <c r="T290" s="6" t="str">
        <f t="shared" si="47"/>
        <v>Female</v>
      </c>
      <c r="U290" s="6" t="str">
        <f t="shared" si="50"/>
        <v>General</v>
      </c>
      <c r="V290" s="6" t="str" cm="1">
        <f t="array" ref="V290">IF(TRIM(S290)="",INDEX($S$2:$S$1500,MATCH(MAX(COUNTIF($S$2:$S$1500,S290)),COUNTIF($S$2:$S$1500,$S$2:$S$1500),0)),S290)</f>
        <v>Debit Card</v>
      </c>
      <c r="W290" s="7" cm="1">
        <f t="array" ref="W290">IF(OR(TRIM(K290)="",TRIM(K290)="-"), MEDIAN(IF($E$2:$E$1500=E290,$K$2:$K$1500)),  VALUE(SUBSTITUTE(SUBSTITUTE(SUBSTITUTE(K290,"Rs. ",""),"₹",""),",","")))</f>
        <v>16453</v>
      </c>
      <c r="X290" s="8">
        <f t="shared" si="48"/>
        <v>0</v>
      </c>
      <c r="Y290" s="7">
        <f t="shared" si="49"/>
        <v>16453</v>
      </c>
      <c r="Z290" s="9" t="str">
        <f t="shared" si="41"/>
        <v>TEEN</v>
      </c>
    </row>
    <row r="291" spans="1:26" x14ac:dyDescent="0.3">
      <c r="A291" s="5" t="s">
        <v>778</v>
      </c>
      <c r="B291" s="5" t="s">
        <v>45</v>
      </c>
      <c r="C291" s="5" t="s">
        <v>334</v>
      </c>
      <c r="D291" s="5" t="s">
        <v>66</v>
      </c>
      <c r="E291" s="5" t="s">
        <v>74</v>
      </c>
      <c r="F291" s="5" t="s">
        <v>192</v>
      </c>
      <c r="G291" s="5" t="s">
        <v>30</v>
      </c>
      <c r="H291" s="5">
        <v>31</v>
      </c>
      <c r="I291" s="5" t="s">
        <v>31</v>
      </c>
      <c r="J291" s="34" t="s">
        <v>779</v>
      </c>
      <c r="K291" s="31">
        <v>14023</v>
      </c>
      <c r="L291" s="5" t="s">
        <v>167</v>
      </c>
      <c r="M291" s="32">
        <v>20</v>
      </c>
      <c r="N291" s="6">
        <f t="shared" si="42"/>
        <v>20</v>
      </c>
      <c r="O291" s="4" t="s">
        <v>192</v>
      </c>
      <c r="P291" s="5" t="str">
        <f t="shared" si="43"/>
        <v>Kolkata</v>
      </c>
      <c r="Q291" s="5" t="str">
        <f t="shared" si="44"/>
        <v>General Medicine</v>
      </c>
      <c r="R291" s="6" t="str">
        <f t="shared" si="45"/>
        <v>Fortis</v>
      </c>
      <c r="S291" s="6" t="str">
        <f t="shared" si="46"/>
        <v>Insurance</v>
      </c>
      <c r="T291" s="6" t="str">
        <f t="shared" si="47"/>
        <v>Male</v>
      </c>
      <c r="U291" s="6" t="str">
        <f t="shared" si="50"/>
        <v>General</v>
      </c>
      <c r="V291" s="6" t="str" cm="1">
        <f t="array" ref="V291">IF(TRIM(S291)="",INDEX($S$2:$S$1500,MATCH(MAX(COUNTIF($S$2:$S$1500,S291)),COUNTIF($S$2:$S$1500,$S$2:$S$1500),0)),S291)</f>
        <v>Insurance</v>
      </c>
      <c r="W291" s="7" cm="1">
        <f t="array" ref="W291">IF(OR(TRIM(K291)="",TRIM(K291)="-"), MEDIAN(IF($E$2:$E$1500=E291,$K$2:$K$1500)),  VALUE(SUBSTITUTE(SUBSTITUTE(SUBSTITUTE(K291,"Rs. ",""),"₹",""),",","")))</f>
        <v>14023</v>
      </c>
      <c r="X291" s="8">
        <f t="shared" si="48"/>
        <v>20</v>
      </c>
      <c r="Y291" s="7">
        <f t="shared" si="49"/>
        <v>11218</v>
      </c>
      <c r="Z291" s="9" t="str">
        <f t="shared" si="41"/>
        <v>ADULT</v>
      </c>
    </row>
    <row r="292" spans="1:26" x14ac:dyDescent="0.3">
      <c r="A292" s="5" t="s">
        <v>780</v>
      </c>
      <c r="B292" s="5" t="s">
        <v>106</v>
      </c>
      <c r="C292" s="5" t="s">
        <v>107</v>
      </c>
      <c r="D292" s="5" t="s">
        <v>189</v>
      </c>
      <c r="E292" s="5" t="s">
        <v>93</v>
      </c>
      <c r="F292" s="5" t="s">
        <v>144</v>
      </c>
      <c r="G292" s="5" t="s">
        <v>69</v>
      </c>
      <c r="H292" s="5">
        <v>28</v>
      </c>
      <c r="I292" s="5" t="s">
        <v>70</v>
      </c>
      <c r="J292" s="34" t="s">
        <v>81</v>
      </c>
      <c r="K292" s="31" t="s">
        <v>781</v>
      </c>
      <c r="L292" s="5" t="s">
        <v>87</v>
      </c>
      <c r="M292" s="32" t="s">
        <v>130</v>
      </c>
      <c r="N292" s="6">
        <f t="shared" si="42"/>
        <v>0</v>
      </c>
      <c r="O292" s="4" t="s">
        <v>144</v>
      </c>
      <c r="P292" s="5" t="str">
        <f t="shared" si="43"/>
        <v>Delhi</v>
      </c>
      <c r="Q292" s="5" t="str">
        <f t="shared" si="44"/>
        <v>Nephrology</v>
      </c>
      <c r="R292" s="6" t="str">
        <f t="shared" si="45"/>
        <v>Aiims</v>
      </c>
      <c r="S292" s="6" t="str">
        <f t="shared" si="46"/>
        <v>Credit Card</v>
      </c>
      <c r="T292" s="6" t="str">
        <f t="shared" si="47"/>
        <v>Female</v>
      </c>
      <c r="U292" s="6" t="str">
        <f t="shared" si="50"/>
        <v>ICU</v>
      </c>
      <c r="V292" s="6" t="str" cm="1">
        <f t="array" ref="V292">IF(TRIM(S292)="",INDEX($S$2:$S$1500,MATCH(MAX(COUNTIF($S$2:$S$1500,S292)),COUNTIF($S$2:$S$1500,$S$2:$S$1500),0)),S292)</f>
        <v>Credit Card</v>
      </c>
      <c r="W292" s="7" cm="1">
        <f t="array" ref="W292">IF(OR(TRIM(K292)="",TRIM(K292)="-"), MEDIAN(IF($E$2:$E$1500=E292,$K$2:$K$1500)),  VALUE(SUBSTITUTE(SUBSTITUTE(SUBSTITUTE(K292,"Rs. ",""),"₹",""),",","")))</f>
        <v>67304</v>
      </c>
      <c r="X292" s="8">
        <f t="shared" si="48"/>
        <v>0</v>
      </c>
      <c r="Y292" s="7">
        <f t="shared" si="49"/>
        <v>67304</v>
      </c>
      <c r="Z292" s="9" t="str">
        <f t="shared" si="41"/>
        <v>ADULT</v>
      </c>
    </row>
    <row r="293" spans="1:26" x14ac:dyDescent="0.3">
      <c r="A293" s="5" t="s">
        <v>782</v>
      </c>
      <c r="B293" s="5" t="s">
        <v>78</v>
      </c>
      <c r="C293" s="5" t="s">
        <v>203</v>
      </c>
      <c r="D293" s="5" t="s">
        <v>80</v>
      </c>
      <c r="E293" s="5" t="s">
        <v>164</v>
      </c>
      <c r="F293" s="5" t="s">
        <v>219</v>
      </c>
      <c r="G293" s="5" t="s">
        <v>69</v>
      </c>
      <c r="H293" s="5">
        <v>62</v>
      </c>
      <c r="I293" s="5" t="s">
        <v>40</v>
      </c>
      <c r="J293" s="34" t="s">
        <v>556</v>
      </c>
      <c r="K293" s="31" t="s">
        <v>783</v>
      </c>
      <c r="L293" s="5" t="s">
        <v>311</v>
      </c>
      <c r="M293" s="32">
        <v>0</v>
      </c>
      <c r="N293" s="6">
        <f t="shared" si="42"/>
        <v>0</v>
      </c>
      <c r="O293" s="4" t="s">
        <v>219</v>
      </c>
      <c r="P293" s="5" t="str">
        <f t="shared" si="43"/>
        <v>Ahmedabad</v>
      </c>
      <c r="Q293" s="5" t="str">
        <f t="shared" si="44"/>
        <v>Cardiology</v>
      </c>
      <c r="R293" s="6" t="str">
        <f t="shared" si="45"/>
        <v>Apollo</v>
      </c>
      <c r="S293" s="6" t="str">
        <f t="shared" si="46"/>
        <v>UPI</v>
      </c>
      <c r="T293" s="6" t="str">
        <f t="shared" si="47"/>
        <v>Female</v>
      </c>
      <c r="U293" s="6" t="str">
        <f t="shared" si="50"/>
        <v>ICU</v>
      </c>
      <c r="V293" s="6" t="str" cm="1">
        <f t="array" ref="V293">IF(TRIM(S293)="",INDEX($S$2:$S$1500,MATCH(MAX(COUNTIF($S$2:$S$1500,S293)),COUNTIF($S$2:$S$1500,$S$2:$S$1500),0)),S293)</f>
        <v>UPI</v>
      </c>
      <c r="W293" s="7" cm="1">
        <f t="array" ref="W293">IF(OR(TRIM(K293)="",TRIM(K293)="-"), MEDIAN(IF($E$2:$E$1500=E293,$K$2:$K$1500)),  VALUE(SUBSTITUTE(SUBSTITUTE(SUBSTITUTE(K293,"Rs. ",""),"₹",""),",","")))</f>
        <v>81665</v>
      </c>
      <c r="X293" s="8">
        <f t="shared" si="48"/>
        <v>0</v>
      </c>
      <c r="Y293" s="7">
        <f t="shared" si="49"/>
        <v>81665</v>
      </c>
      <c r="Z293" s="9" t="str">
        <f t="shared" si="41"/>
        <v>SENIOR</v>
      </c>
    </row>
    <row r="294" spans="1:26" x14ac:dyDescent="0.3">
      <c r="A294" s="5" t="s">
        <v>784</v>
      </c>
      <c r="B294" s="5" t="s">
        <v>25</v>
      </c>
      <c r="C294" s="5" t="s">
        <v>54</v>
      </c>
      <c r="D294" s="5" t="s">
        <v>27</v>
      </c>
      <c r="E294" s="5" t="s">
        <v>99</v>
      </c>
      <c r="F294" s="5" t="s">
        <v>151</v>
      </c>
      <c r="G294" s="5" t="s">
        <v>30</v>
      </c>
      <c r="H294" s="5">
        <v>27</v>
      </c>
      <c r="I294" s="5" t="s">
        <v>40</v>
      </c>
      <c r="J294" s="34" t="s">
        <v>587</v>
      </c>
      <c r="K294" s="31">
        <v>14903</v>
      </c>
      <c r="L294" s="5" t="s">
        <v>104</v>
      </c>
      <c r="M294" s="32">
        <v>30</v>
      </c>
      <c r="N294" s="6">
        <f t="shared" si="42"/>
        <v>30</v>
      </c>
      <c r="O294" s="4" t="s">
        <v>151</v>
      </c>
      <c r="P294" s="5" t="str">
        <f t="shared" si="43"/>
        <v>Mumbai</v>
      </c>
      <c r="Q294" s="5" t="str">
        <f t="shared" si="44"/>
        <v>Ent</v>
      </c>
      <c r="R294" s="6" t="str">
        <f t="shared" si="45"/>
        <v>Narayana</v>
      </c>
      <c r="S294" s="6" t="str">
        <f t="shared" si="46"/>
        <v>Insurance</v>
      </c>
      <c r="T294" s="6" t="str">
        <f t="shared" si="47"/>
        <v>Female</v>
      </c>
      <c r="U294" s="6" t="str">
        <f t="shared" si="50"/>
        <v>General</v>
      </c>
      <c r="V294" s="6" t="str" cm="1">
        <f t="array" ref="V294">IF(TRIM(S294)="",INDEX($S$2:$S$1500,MATCH(MAX(COUNTIF($S$2:$S$1500,S294)),COUNTIF($S$2:$S$1500,$S$2:$S$1500),0)),S294)</f>
        <v>Insurance</v>
      </c>
      <c r="W294" s="7" cm="1">
        <f t="array" ref="W294">IF(OR(TRIM(K294)="",TRIM(K294)="-"), MEDIAN(IF($E$2:$E$1500=E294,$K$2:$K$1500)),  VALUE(SUBSTITUTE(SUBSTITUTE(SUBSTITUTE(K294,"Rs. ",""),"₹",""),",","")))</f>
        <v>14903</v>
      </c>
      <c r="X294" s="8">
        <f t="shared" si="48"/>
        <v>30</v>
      </c>
      <c r="Y294" s="7">
        <f t="shared" si="49"/>
        <v>10432</v>
      </c>
      <c r="Z294" s="9" t="str">
        <f t="shared" si="41"/>
        <v>ADULT</v>
      </c>
    </row>
    <row r="295" spans="1:26" x14ac:dyDescent="0.3">
      <c r="A295" s="5" t="s">
        <v>785</v>
      </c>
      <c r="B295" s="5" t="s">
        <v>106</v>
      </c>
      <c r="C295" s="5" t="s">
        <v>107</v>
      </c>
      <c r="D295" s="5" t="s">
        <v>16</v>
      </c>
      <c r="E295" s="5" t="s">
        <v>17</v>
      </c>
      <c r="F295" s="5" t="s">
        <v>18</v>
      </c>
      <c r="G295" s="5" t="s">
        <v>19</v>
      </c>
      <c r="H295" s="5">
        <v>13</v>
      </c>
      <c r="I295" s="5" t="s">
        <v>40</v>
      </c>
      <c r="J295" s="34" t="s">
        <v>670</v>
      </c>
      <c r="K295" s="31" t="s">
        <v>786</v>
      </c>
      <c r="L295" s="5" t="s">
        <v>149</v>
      </c>
      <c r="M295" s="32" t="s">
        <v>240</v>
      </c>
      <c r="N295" s="6">
        <f t="shared" si="42"/>
        <v>12</v>
      </c>
      <c r="O295" s="4" t="s">
        <v>18</v>
      </c>
      <c r="P295" s="5" t="str">
        <f t="shared" si="43"/>
        <v>Bangalore</v>
      </c>
      <c r="Q295" s="5" t="str">
        <f t="shared" si="44"/>
        <v>Gynecology</v>
      </c>
      <c r="R295" s="6" t="str">
        <f t="shared" si="45"/>
        <v>Aiims</v>
      </c>
      <c r="S295" s="6" t="str">
        <f t="shared" si="46"/>
        <v>Insurance</v>
      </c>
      <c r="T295" s="6" t="str">
        <f t="shared" si="47"/>
        <v>Female</v>
      </c>
      <c r="U295" s="6" t="str">
        <f t="shared" si="50"/>
        <v>General</v>
      </c>
      <c r="V295" s="6" t="str" cm="1">
        <f t="array" ref="V295">IF(TRIM(S295)="",INDEX($S$2:$S$1500,MATCH(MAX(COUNTIF($S$2:$S$1500,S295)),COUNTIF($S$2:$S$1500,$S$2:$S$1500),0)),S295)</f>
        <v>Insurance</v>
      </c>
      <c r="W295" s="7" cm="1">
        <f t="array" ref="W295">IF(OR(TRIM(K295)="",TRIM(K295)="-"), MEDIAN(IF($E$2:$E$1500=E295,$K$2:$K$1500)),  VALUE(SUBSTITUTE(SUBSTITUTE(SUBSTITUTE(K295,"Rs. ",""),"₹",""),",","")))</f>
        <v>4893</v>
      </c>
      <c r="X295" s="8">
        <f t="shared" si="48"/>
        <v>12</v>
      </c>
      <c r="Y295" s="7">
        <f t="shared" si="49"/>
        <v>4306</v>
      </c>
      <c r="Z295" s="9" t="str">
        <f t="shared" si="41"/>
        <v>TEEN</v>
      </c>
    </row>
    <row r="296" spans="1:26" x14ac:dyDescent="0.3">
      <c r="A296" s="5" t="s">
        <v>787</v>
      </c>
      <c r="B296" s="5" t="s">
        <v>117</v>
      </c>
      <c r="C296" s="5" t="s">
        <v>182</v>
      </c>
      <c r="D296" s="5" t="s">
        <v>36</v>
      </c>
      <c r="E296" s="5" t="s">
        <v>37</v>
      </c>
      <c r="F296" s="5" t="s">
        <v>56</v>
      </c>
      <c r="G296" s="5" t="s">
        <v>101</v>
      </c>
      <c r="H296" s="5">
        <v>63</v>
      </c>
      <c r="I296" s="5" t="s">
        <v>31</v>
      </c>
      <c r="J296" s="34" t="s">
        <v>190</v>
      </c>
      <c r="K296" s="31"/>
      <c r="L296" s="5" t="s">
        <v>83</v>
      </c>
      <c r="M296" s="32">
        <v>10</v>
      </c>
      <c r="N296" s="6">
        <f t="shared" si="42"/>
        <v>10</v>
      </c>
      <c r="O296" s="4" t="s">
        <v>56</v>
      </c>
      <c r="P296" s="5" t="str">
        <f t="shared" si="43"/>
        <v>Chennai</v>
      </c>
      <c r="Q296" s="5" t="str">
        <f t="shared" si="44"/>
        <v>Pediatrics</v>
      </c>
      <c r="R296" s="6" t="str">
        <f t="shared" si="45"/>
        <v>Manipal</v>
      </c>
      <c r="S296" s="6" t="str">
        <f t="shared" si="46"/>
        <v>Debit Card</v>
      </c>
      <c r="T296" s="6" t="str">
        <f t="shared" si="47"/>
        <v>Male</v>
      </c>
      <c r="U296" s="6" t="str">
        <f t="shared" si="50"/>
        <v>ICU</v>
      </c>
      <c r="V296" s="6" t="str" cm="1">
        <f t="array" ref="V296">IF(TRIM(S296)="",INDEX($S$2:$S$1500,MATCH(MAX(COUNTIF($S$2:$S$1500,S296)),COUNTIF($S$2:$S$1500,$S$2:$S$1500),0)),S296)</f>
        <v>Debit Card</v>
      </c>
      <c r="W296" s="7" cm="1">
        <f t="array" ref="W296">IF(OR(TRIM(K296)="",TRIM(K296)="-"), MEDIAN(IF($E$2:$E$1500=E296,$K$2:$K$1500)),  VALUE(SUBSTITUTE(SUBSTITUTE(SUBSTITUTE(K296,"Rs. ",""),"₹",""),",","")))</f>
        <v>16050</v>
      </c>
      <c r="X296" s="8">
        <f t="shared" si="48"/>
        <v>10</v>
      </c>
      <c r="Y296" s="7">
        <f t="shared" si="49"/>
        <v>14445</v>
      </c>
      <c r="Z296" s="9" t="str">
        <f t="shared" si="41"/>
        <v>SENIOR</v>
      </c>
    </row>
    <row r="297" spans="1:26" x14ac:dyDescent="0.3">
      <c r="A297" s="5" t="s">
        <v>788</v>
      </c>
      <c r="B297" s="5" t="s">
        <v>78</v>
      </c>
      <c r="C297" s="5" t="s">
        <v>79</v>
      </c>
      <c r="D297" s="5" t="s">
        <v>27</v>
      </c>
      <c r="E297" s="5" t="s">
        <v>47</v>
      </c>
      <c r="F297" s="5" t="s">
        <v>48</v>
      </c>
      <c r="G297" s="5" t="s">
        <v>39</v>
      </c>
      <c r="H297" s="5">
        <v>65</v>
      </c>
      <c r="I297" s="5" t="s">
        <v>70</v>
      </c>
      <c r="J297" s="34" t="s">
        <v>789</v>
      </c>
      <c r="K297" s="31" t="s">
        <v>790</v>
      </c>
      <c r="L297" s="5" t="s">
        <v>91</v>
      </c>
      <c r="M297" s="32">
        <v>0</v>
      </c>
      <c r="N297" s="6">
        <f t="shared" si="42"/>
        <v>0</v>
      </c>
      <c r="O297" s="4" t="s">
        <v>48</v>
      </c>
      <c r="P297" s="5" t="str">
        <f t="shared" si="43"/>
        <v>Mumbai</v>
      </c>
      <c r="Q297" s="5" t="str">
        <f t="shared" si="44"/>
        <v>Gastroenterology</v>
      </c>
      <c r="R297" s="6" t="str">
        <f t="shared" si="45"/>
        <v>Apollo</v>
      </c>
      <c r="S297" s="6" t="str">
        <f t="shared" si="46"/>
        <v>Debit Card</v>
      </c>
      <c r="T297" s="6" t="str">
        <f t="shared" si="47"/>
        <v>Female</v>
      </c>
      <c r="U297" s="6" t="str">
        <f t="shared" si="50"/>
        <v>General</v>
      </c>
      <c r="V297" s="6" t="str" cm="1">
        <f t="array" ref="V297">IF(TRIM(S297)="",INDEX($S$2:$S$1500,MATCH(MAX(COUNTIF($S$2:$S$1500,S297)),COUNTIF($S$2:$S$1500,$S$2:$S$1500),0)),S297)</f>
        <v>Debit Card</v>
      </c>
      <c r="W297" s="7" cm="1">
        <f t="array" ref="W297">IF(OR(TRIM(K297)="",TRIM(K297)="-"), MEDIAN(IF($E$2:$E$1500=E297,$K$2:$K$1500)),  VALUE(SUBSTITUTE(SUBSTITUTE(SUBSTITUTE(K297,"Rs. ",""),"₹",""),",","")))</f>
        <v>10048</v>
      </c>
      <c r="X297" s="8">
        <f t="shared" si="48"/>
        <v>0</v>
      </c>
      <c r="Y297" s="7">
        <f t="shared" si="49"/>
        <v>10048</v>
      </c>
      <c r="Z297" s="9" t="str">
        <f t="shared" si="41"/>
        <v>SENIOR</v>
      </c>
    </row>
    <row r="298" spans="1:26" x14ac:dyDescent="0.3">
      <c r="A298" s="5" t="s">
        <v>791</v>
      </c>
      <c r="B298" s="5" t="s">
        <v>117</v>
      </c>
      <c r="C298" s="5" t="s">
        <v>182</v>
      </c>
      <c r="D298" s="5" t="s">
        <v>16</v>
      </c>
      <c r="E298" s="5" t="s">
        <v>47</v>
      </c>
      <c r="F298" s="5" t="s">
        <v>48</v>
      </c>
      <c r="G298" s="5" t="s">
        <v>30</v>
      </c>
      <c r="H298" s="5">
        <v>66</v>
      </c>
      <c r="I298" s="5" t="s">
        <v>70</v>
      </c>
      <c r="J298" s="34" t="s">
        <v>350</v>
      </c>
      <c r="K298" s="31" t="s">
        <v>792</v>
      </c>
      <c r="L298" s="5"/>
      <c r="M298" s="32">
        <v>0</v>
      </c>
      <c r="N298" s="6">
        <f t="shared" si="42"/>
        <v>0</v>
      </c>
      <c r="O298" s="4" t="s">
        <v>48</v>
      </c>
      <c r="P298" s="5" t="str">
        <f t="shared" si="43"/>
        <v>Bangalore</v>
      </c>
      <c r="Q298" s="5" t="str">
        <f t="shared" si="44"/>
        <v>Gastroenterology</v>
      </c>
      <c r="R298" s="6" t="str">
        <f t="shared" si="45"/>
        <v>Manipal</v>
      </c>
      <c r="S298" s="6" t="str">
        <f t="shared" si="46"/>
        <v>Unknown</v>
      </c>
      <c r="T298" s="6" t="str">
        <f t="shared" si="47"/>
        <v>Female</v>
      </c>
      <c r="U298" s="6" t="str">
        <f t="shared" si="50"/>
        <v>General</v>
      </c>
      <c r="V298" s="6" t="str" cm="1">
        <f t="array" ref="V298">IF(TRIM(S298)="",INDEX($S$2:$S$1500,MATCH(MAX(COUNTIF($S$2:$S$1500,S298)),COUNTIF($S$2:$S$1500,$S$2:$S$1500),0)),S298)</f>
        <v>Unknown</v>
      </c>
      <c r="W298" s="7" cm="1">
        <f t="array" ref="W298">IF(OR(TRIM(K298)="",TRIM(K298)="-"), MEDIAN(IF($E$2:$E$1500=E298,$K$2:$K$1500)),  VALUE(SUBSTITUTE(SUBSTITUTE(SUBSTITUTE(K298,"Rs. ",""),"₹",""),",","")))</f>
        <v>4774</v>
      </c>
      <c r="X298" s="8">
        <f t="shared" si="48"/>
        <v>0</v>
      </c>
      <c r="Y298" s="7">
        <f t="shared" si="49"/>
        <v>4774</v>
      </c>
      <c r="Z298" s="9" t="str">
        <f t="shared" si="41"/>
        <v>SENIOR</v>
      </c>
    </row>
    <row r="299" spans="1:26" x14ac:dyDescent="0.3">
      <c r="A299" s="5" t="s">
        <v>793</v>
      </c>
      <c r="B299" s="5" t="s">
        <v>14</v>
      </c>
      <c r="C299" s="5" t="s">
        <v>15</v>
      </c>
      <c r="D299" s="5" t="s">
        <v>36</v>
      </c>
      <c r="E299" s="5" t="s">
        <v>93</v>
      </c>
      <c r="F299" s="5" t="s">
        <v>121</v>
      </c>
      <c r="G299" s="5" t="s">
        <v>30</v>
      </c>
      <c r="H299" s="5">
        <v>75</v>
      </c>
      <c r="I299" s="5" t="s">
        <v>70</v>
      </c>
      <c r="J299" s="34" t="s">
        <v>521</v>
      </c>
      <c r="K299" s="31">
        <v>6598</v>
      </c>
      <c r="L299" s="5" t="s">
        <v>58</v>
      </c>
      <c r="M299" s="32">
        <v>5</v>
      </c>
      <c r="N299" s="6">
        <f t="shared" si="42"/>
        <v>5</v>
      </c>
      <c r="O299" s="4" t="s">
        <v>121</v>
      </c>
      <c r="P299" s="5" t="str">
        <f t="shared" si="43"/>
        <v>Chennai</v>
      </c>
      <c r="Q299" s="5" t="str">
        <f t="shared" si="44"/>
        <v>Nephrology</v>
      </c>
      <c r="R299" s="6" t="str">
        <f t="shared" si="45"/>
        <v>Max_Healthcare</v>
      </c>
      <c r="S299" s="6" t="str">
        <f t="shared" si="46"/>
        <v>UPI</v>
      </c>
      <c r="T299" s="6" t="str">
        <f t="shared" si="47"/>
        <v>Female</v>
      </c>
      <c r="U299" s="6" t="str">
        <f t="shared" si="50"/>
        <v>General</v>
      </c>
      <c r="V299" s="6" t="str" cm="1">
        <f t="array" ref="V299">IF(TRIM(S299)="",INDEX($S$2:$S$1500,MATCH(MAX(COUNTIF($S$2:$S$1500,S299)),COUNTIF($S$2:$S$1500,$S$2:$S$1500),0)),S299)</f>
        <v>UPI</v>
      </c>
      <c r="W299" s="7" cm="1">
        <f t="array" ref="W299">IF(OR(TRIM(K299)="",TRIM(K299)="-"), MEDIAN(IF($E$2:$E$1500=E299,$K$2:$K$1500)),  VALUE(SUBSTITUTE(SUBSTITUTE(SUBSTITUTE(K299,"Rs. ",""),"₹",""),",","")))</f>
        <v>6598</v>
      </c>
      <c r="X299" s="8">
        <f t="shared" si="48"/>
        <v>5</v>
      </c>
      <c r="Y299" s="7">
        <f t="shared" si="49"/>
        <v>6268</v>
      </c>
      <c r="Z299" s="9" t="str">
        <f t="shared" si="41"/>
        <v>SENIOR</v>
      </c>
    </row>
    <row r="300" spans="1:26" x14ac:dyDescent="0.3">
      <c r="A300" s="5" t="s">
        <v>794</v>
      </c>
      <c r="B300" s="5" t="s">
        <v>78</v>
      </c>
      <c r="C300" s="5" t="s">
        <v>79</v>
      </c>
      <c r="D300" s="5" t="s">
        <v>80</v>
      </c>
      <c r="E300" s="5" t="s">
        <v>108</v>
      </c>
      <c r="F300" s="5" t="s">
        <v>124</v>
      </c>
      <c r="G300" s="5" t="s">
        <v>69</v>
      </c>
      <c r="H300" s="5">
        <v>19</v>
      </c>
      <c r="I300" s="5" t="s">
        <v>20</v>
      </c>
      <c r="J300" s="34" t="s">
        <v>795</v>
      </c>
      <c r="K300" s="31">
        <v>42491</v>
      </c>
      <c r="L300" s="5" t="s">
        <v>23</v>
      </c>
      <c r="M300" s="32" t="s">
        <v>130</v>
      </c>
      <c r="N300" s="6">
        <f t="shared" si="42"/>
        <v>0</v>
      </c>
      <c r="O300" s="4" t="s">
        <v>124</v>
      </c>
      <c r="P300" s="5" t="str">
        <f t="shared" si="43"/>
        <v>Ahmedabad</v>
      </c>
      <c r="Q300" s="5" t="str">
        <f t="shared" si="44"/>
        <v>Orthopedics</v>
      </c>
      <c r="R300" s="6" t="str">
        <f t="shared" si="45"/>
        <v>Apollo</v>
      </c>
      <c r="S300" s="6" t="str">
        <f t="shared" si="46"/>
        <v>Credit Card</v>
      </c>
      <c r="T300" s="6" t="str">
        <f t="shared" si="47"/>
        <v>Male</v>
      </c>
      <c r="U300" s="6" t="str">
        <f t="shared" si="50"/>
        <v>ICU</v>
      </c>
      <c r="V300" s="6" t="str" cm="1">
        <f t="array" ref="V300">IF(TRIM(S300)="",INDEX($S$2:$S$1500,MATCH(MAX(COUNTIF($S$2:$S$1500,S300)),COUNTIF($S$2:$S$1500,$S$2:$S$1500),0)),S300)</f>
        <v>Credit Card</v>
      </c>
      <c r="W300" s="7" cm="1">
        <f t="array" ref="W300">IF(OR(TRIM(K300)="",TRIM(K300)="-"), MEDIAN(IF($E$2:$E$1500=E300,$K$2:$K$1500)),  VALUE(SUBSTITUTE(SUBSTITUTE(SUBSTITUTE(K300,"Rs. ",""),"₹",""),",","")))</f>
        <v>42491</v>
      </c>
      <c r="X300" s="8">
        <f t="shared" si="48"/>
        <v>0</v>
      </c>
      <c r="Y300" s="7">
        <f t="shared" si="49"/>
        <v>42491</v>
      </c>
      <c r="Z300" s="9" t="str">
        <f t="shared" si="41"/>
        <v>TEEN</v>
      </c>
    </row>
    <row r="301" spans="1:26" x14ac:dyDescent="0.3">
      <c r="A301" s="5" t="s">
        <v>796</v>
      </c>
      <c r="B301" s="5" t="s">
        <v>14</v>
      </c>
      <c r="C301" s="5" t="s">
        <v>60</v>
      </c>
      <c r="D301" s="5" t="s">
        <v>61</v>
      </c>
      <c r="E301" s="5" t="s">
        <v>74</v>
      </c>
      <c r="F301" s="5" t="s">
        <v>192</v>
      </c>
      <c r="G301" s="5" t="s">
        <v>39</v>
      </c>
      <c r="H301" s="5">
        <v>19</v>
      </c>
      <c r="I301" s="5" t="s">
        <v>40</v>
      </c>
      <c r="J301" s="34" t="s">
        <v>797</v>
      </c>
      <c r="K301" s="31" t="s">
        <v>798</v>
      </c>
      <c r="L301" s="5" t="s">
        <v>52</v>
      </c>
      <c r="M301" s="32">
        <v>0.1</v>
      </c>
      <c r="N301" s="6">
        <f t="shared" si="42"/>
        <v>10</v>
      </c>
      <c r="O301" s="4" t="s">
        <v>192</v>
      </c>
      <c r="P301" s="5" t="str">
        <f t="shared" si="43"/>
        <v>Pune</v>
      </c>
      <c r="Q301" s="5" t="str">
        <f t="shared" si="44"/>
        <v>General Medicine</v>
      </c>
      <c r="R301" s="6" t="str">
        <f t="shared" si="45"/>
        <v>Max_Healthcare</v>
      </c>
      <c r="S301" s="6" t="str">
        <f t="shared" si="46"/>
        <v>Credit Card</v>
      </c>
      <c r="T301" s="6" t="str">
        <f t="shared" si="47"/>
        <v>Female</v>
      </c>
      <c r="U301" s="6" t="str">
        <f t="shared" si="50"/>
        <v>General</v>
      </c>
      <c r="V301" s="6" t="str" cm="1">
        <f t="array" ref="V301">IF(TRIM(S301)="",INDEX($S$2:$S$1500,MATCH(MAX(COUNTIF($S$2:$S$1500,S301)),COUNTIF($S$2:$S$1500,$S$2:$S$1500),0)),S301)</f>
        <v>Credit Card</v>
      </c>
      <c r="W301" s="7" cm="1">
        <f t="array" ref="W301">IF(OR(TRIM(K301)="",TRIM(K301)="-"), MEDIAN(IF($E$2:$E$1500=E301,$K$2:$K$1500)),  VALUE(SUBSTITUTE(SUBSTITUTE(SUBSTITUTE(K301,"Rs. ",""),"₹",""),",","")))</f>
        <v>13347</v>
      </c>
      <c r="X301" s="8">
        <f t="shared" si="48"/>
        <v>10</v>
      </c>
      <c r="Y301" s="7">
        <f t="shared" si="49"/>
        <v>12012</v>
      </c>
      <c r="Z301" s="9" t="str">
        <f t="shared" si="41"/>
        <v>TEEN</v>
      </c>
    </row>
    <row r="302" spans="1:26" x14ac:dyDescent="0.3">
      <c r="A302" s="5" t="s">
        <v>799</v>
      </c>
      <c r="B302" s="5" t="s">
        <v>117</v>
      </c>
      <c r="C302" s="5" t="s">
        <v>118</v>
      </c>
      <c r="D302" s="5" t="s">
        <v>36</v>
      </c>
      <c r="E302" s="5" t="s">
        <v>99</v>
      </c>
      <c r="F302" s="5" t="s">
        <v>256</v>
      </c>
      <c r="G302" s="5" t="s">
        <v>19</v>
      </c>
      <c r="H302" s="5">
        <v>90</v>
      </c>
      <c r="I302" s="5" t="s">
        <v>40</v>
      </c>
      <c r="J302" s="34" t="s">
        <v>800</v>
      </c>
      <c r="K302" s="31" t="s">
        <v>801</v>
      </c>
      <c r="L302" s="5" t="s">
        <v>52</v>
      </c>
      <c r="M302" s="32">
        <v>0</v>
      </c>
      <c r="N302" s="6">
        <f t="shared" si="42"/>
        <v>0</v>
      </c>
      <c r="O302" s="4" t="s">
        <v>256</v>
      </c>
      <c r="P302" s="5" t="str">
        <f t="shared" si="43"/>
        <v>Chennai</v>
      </c>
      <c r="Q302" s="5" t="str">
        <f t="shared" si="44"/>
        <v>Ent</v>
      </c>
      <c r="R302" s="6" t="str">
        <f t="shared" si="45"/>
        <v>Manipal</v>
      </c>
      <c r="S302" s="6" t="str">
        <f t="shared" si="46"/>
        <v>Credit Card</v>
      </c>
      <c r="T302" s="6" t="str">
        <f t="shared" si="47"/>
        <v>Female</v>
      </c>
      <c r="U302" s="6" t="str">
        <f t="shared" si="50"/>
        <v>General</v>
      </c>
      <c r="V302" s="6" t="str" cm="1">
        <f t="array" ref="V302">IF(TRIM(S302)="",INDEX($S$2:$S$1500,MATCH(MAX(COUNTIF($S$2:$S$1500,S302)),COUNTIF($S$2:$S$1500,$S$2:$S$1500),0)),S302)</f>
        <v>Credit Card</v>
      </c>
      <c r="W302" s="7" cm="1">
        <f t="array" ref="W302">IF(OR(TRIM(K302)="",TRIM(K302)="-"), MEDIAN(IF($E$2:$E$1500=E302,$K$2:$K$1500)),  VALUE(SUBSTITUTE(SUBSTITUTE(SUBSTITUTE(K302,"Rs. ",""),"₹",""),",","")))</f>
        <v>16218</v>
      </c>
      <c r="X302" s="8">
        <f t="shared" si="48"/>
        <v>0</v>
      </c>
      <c r="Y302" s="7">
        <f t="shared" si="49"/>
        <v>16218</v>
      </c>
      <c r="Z302" s="9" t="str">
        <f t="shared" si="41"/>
        <v>SENIOR</v>
      </c>
    </row>
    <row r="303" spans="1:26" x14ac:dyDescent="0.3">
      <c r="A303" s="5" t="s">
        <v>802</v>
      </c>
      <c r="B303" s="5" t="s">
        <v>25</v>
      </c>
      <c r="C303" s="5" t="s">
        <v>54</v>
      </c>
      <c r="D303" s="5" t="s">
        <v>189</v>
      </c>
      <c r="E303" s="5" t="s">
        <v>164</v>
      </c>
      <c r="F303" s="5" t="s">
        <v>165</v>
      </c>
      <c r="G303" s="5" t="s">
        <v>49</v>
      </c>
      <c r="H303" s="5">
        <v>56</v>
      </c>
      <c r="I303" s="5" t="s">
        <v>31</v>
      </c>
      <c r="J303" s="34" t="s">
        <v>803</v>
      </c>
      <c r="K303" s="31">
        <v>8127</v>
      </c>
      <c r="L303" s="5" t="s">
        <v>311</v>
      </c>
      <c r="M303" s="32">
        <v>0</v>
      </c>
      <c r="N303" s="6">
        <f t="shared" si="42"/>
        <v>0</v>
      </c>
      <c r="O303" s="4" t="s">
        <v>165</v>
      </c>
      <c r="P303" s="5" t="str">
        <f t="shared" si="43"/>
        <v>Delhi</v>
      </c>
      <c r="Q303" s="5" t="str">
        <f t="shared" si="44"/>
        <v>Cardiology</v>
      </c>
      <c r="R303" s="6" t="str">
        <f t="shared" si="45"/>
        <v>Narayana</v>
      </c>
      <c r="S303" s="6" t="str">
        <f t="shared" si="46"/>
        <v>UPI</v>
      </c>
      <c r="T303" s="6" t="str">
        <f t="shared" si="47"/>
        <v>Male</v>
      </c>
      <c r="U303" s="6" t="str">
        <f t="shared" si="50"/>
        <v>General</v>
      </c>
      <c r="V303" s="6" t="str" cm="1">
        <f t="array" ref="V303">IF(TRIM(S303)="",INDEX($S$2:$S$1500,MATCH(MAX(COUNTIF($S$2:$S$1500,S303)),COUNTIF($S$2:$S$1500,$S$2:$S$1500),0)),S303)</f>
        <v>UPI</v>
      </c>
      <c r="W303" s="7" cm="1">
        <f t="array" ref="W303">IF(OR(TRIM(K303)="",TRIM(K303)="-"), MEDIAN(IF($E$2:$E$1500=E303,$K$2:$K$1500)),  VALUE(SUBSTITUTE(SUBSTITUTE(SUBSTITUTE(K303,"Rs. ",""),"₹",""),",","")))</f>
        <v>8127</v>
      </c>
      <c r="X303" s="8">
        <f t="shared" si="48"/>
        <v>0</v>
      </c>
      <c r="Y303" s="7">
        <f t="shared" si="49"/>
        <v>8127</v>
      </c>
      <c r="Z303" s="9" t="str">
        <f t="shared" si="41"/>
        <v>ADULT</v>
      </c>
    </row>
    <row r="304" spans="1:26" x14ac:dyDescent="0.3">
      <c r="A304" s="5" t="s">
        <v>804</v>
      </c>
      <c r="B304" s="5" t="s">
        <v>117</v>
      </c>
      <c r="C304" s="5" t="s">
        <v>127</v>
      </c>
      <c r="D304" s="5" t="s">
        <v>55</v>
      </c>
      <c r="E304" s="5" t="s">
        <v>47</v>
      </c>
      <c r="F304" s="5" t="s">
        <v>175</v>
      </c>
      <c r="G304" s="5" t="s">
        <v>49</v>
      </c>
      <c r="H304" s="5">
        <v>84</v>
      </c>
      <c r="I304" s="5" t="s">
        <v>40</v>
      </c>
      <c r="J304" s="34" t="s">
        <v>718</v>
      </c>
      <c r="K304" s="31" t="s">
        <v>805</v>
      </c>
      <c r="L304" s="5" t="s">
        <v>42</v>
      </c>
      <c r="M304" s="32" t="s">
        <v>713</v>
      </c>
      <c r="N304" s="6">
        <f t="shared" si="42"/>
        <v>30</v>
      </c>
      <c r="O304" s="4" t="s">
        <v>175</v>
      </c>
      <c r="P304" s="5" t="str">
        <f t="shared" si="43"/>
        <v>Hyderabad</v>
      </c>
      <c r="Q304" s="5" t="str">
        <f t="shared" si="44"/>
        <v>Gastroenterology</v>
      </c>
      <c r="R304" s="6" t="str">
        <f t="shared" si="45"/>
        <v>Manipal</v>
      </c>
      <c r="S304" s="6" t="str">
        <f t="shared" si="46"/>
        <v>Insurance</v>
      </c>
      <c r="T304" s="6" t="str">
        <f t="shared" si="47"/>
        <v>Female</v>
      </c>
      <c r="U304" s="6" t="str">
        <f t="shared" si="50"/>
        <v>General</v>
      </c>
      <c r="V304" s="6" t="str" cm="1">
        <f t="array" ref="V304">IF(TRIM(S304)="",INDEX($S$2:$S$1500,MATCH(MAX(COUNTIF($S$2:$S$1500,S304)),COUNTIF($S$2:$S$1500,$S$2:$S$1500),0)),S304)</f>
        <v>Insurance</v>
      </c>
      <c r="W304" s="7" cm="1">
        <f t="array" ref="W304">IF(OR(TRIM(K304)="",TRIM(K304)="-"), MEDIAN(IF($E$2:$E$1500=E304,$K$2:$K$1500)),  VALUE(SUBSTITUTE(SUBSTITUTE(SUBSTITUTE(K304,"Rs. ",""),"₹",""),",","")))</f>
        <v>6782</v>
      </c>
      <c r="X304" s="8">
        <f t="shared" si="48"/>
        <v>30</v>
      </c>
      <c r="Y304" s="7">
        <f t="shared" si="49"/>
        <v>4747</v>
      </c>
      <c r="Z304" s="9" t="str">
        <f t="shared" si="41"/>
        <v>SENIOR</v>
      </c>
    </row>
    <row r="305" spans="1:26" x14ac:dyDescent="0.3">
      <c r="A305" s="5" t="s">
        <v>806</v>
      </c>
      <c r="B305" s="5" t="s">
        <v>25</v>
      </c>
      <c r="C305" s="5" t="s">
        <v>54</v>
      </c>
      <c r="D305" s="5" t="s">
        <v>189</v>
      </c>
      <c r="E305" s="5" t="s">
        <v>37</v>
      </c>
      <c r="F305" s="5" t="s">
        <v>56</v>
      </c>
      <c r="G305" s="5" t="s">
        <v>19</v>
      </c>
      <c r="H305" s="5">
        <v>33</v>
      </c>
      <c r="I305" s="5" t="s">
        <v>40</v>
      </c>
      <c r="J305" s="34" t="s">
        <v>807</v>
      </c>
      <c r="K305" s="31"/>
      <c r="L305" s="5" t="s">
        <v>115</v>
      </c>
      <c r="M305" s="32"/>
      <c r="N305" s="6">
        <f t="shared" si="42"/>
        <v>0</v>
      </c>
      <c r="O305" s="4" t="s">
        <v>56</v>
      </c>
      <c r="P305" s="5" t="str">
        <f t="shared" si="43"/>
        <v>Delhi</v>
      </c>
      <c r="Q305" s="5" t="str">
        <f t="shared" si="44"/>
        <v>Pediatrics</v>
      </c>
      <c r="R305" s="6" t="str">
        <f t="shared" si="45"/>
        <v>Narayana</v>
      </c>
      <c r="S305" s="6" t="str">
        <f t="shared" si="46"/>
        <v>Cash</v>
      </c>
      <c r="T305" s="6" t="str">
        <f t="shared" si="47"/>
        <v>Female</v>
      </c>
      <c r="U305" s="6" t="str">
        <f t="shared" si="50"/>
        <v>General</v>
      </c>
      <c r="V305" s="6" t="str" cm="1">
        <f t="array" ref="V305">IF(TRIM(S305)="",INDEX($S$2:$S$1500,MATCH(MAX(COUNTIF($S$2:$S$1500,S305)),COUNTIF($S$2:$S$1500,$S$2:$S$1500),0)),S305)</f>
        <v>Cash</v>
      </c>
      <c r="W305" s="7" cm="1">
        <f t="array" ref="W305">IF(OR(TRIM(K305)="",TRIM(K305)="-"), MEDIAN(IF($E$2:$E$1500=E305,$K$2:$K$1500)),  VALUE(SUBSTITUTE(SUBSTITUTE(SUBSTITUTE(K305,"Rs. ",""),"₹",""),",","")))</f>
        <v>16050</v>
      </c>
      <c r="X305" s="8">
        <f t="shared" si="48"/>
        <v>0</v>
      </c>
      <c r="Y305" s="7">
        <f t="shared" si="49"/>
        <v>16050</v>
      </c>
      <c r="Z305" s="9" t="str">
        <f t="shared" si="41"/>
        <v>ADULT</v>
      </c>
    </row>
    <row r="306" spans="1:26" x14ac:dyDescent="0.3">
      <c r="A306" s="5" t="s">
        <v>808</v>
      </c>
      <c r="B306" s="5" t="s">
        <v>14</v>
      </c>
      <c r="C306" s="5" t="s">
        <v>60</v>
      </c>
      <c r="D306" s="5" t="s">
        <v>80</v>
      </c>
      <c r="E306" s="5" t="s">
        <v>67</v>
      </c>
      <c r="F306" s="5" t="s">
        <v>68</v>
      </c>
      <c r="G306" s="5" t="s">
        <v>39</v>
      </c>
      <c r="H306" s="5">
        <v>18</v>
      </c>
      <c r="I306" s="5" t="s">
        <v>40</v>
      </c>
      <c r="J306" s="34" t="s">
        <v>809</v>
      </c>
      <c r="K306" s="31" t="s">
        <v>810</v>
      </c>
      <c r="L306" s="5" t="s">
        <v>115</v>
      </c>
      <c r="M306" s="32">
        <v>0</v>
      </c>
      <c r="N306" s="6">
        <f t="shared" si="42"/>
        <v>0</v>
      </c>
      <c r="O306" s="4" t="s">
        <v>68</v>
      </c>
      <c r="P306" s="5" t="str">
        <f t="shared" si="43"/>
        <v>Ahmedabad</v>
      </c>
      <c r="Q306" s="5" t="str">
        <f t="shared" si="44"/>
        <v>Neurology</v>
      </c>
      <c r="R306" s="6" t="str">
        <f t="shared" si="45"/>
        <v>Max_Healthcare</v>
      </c>
      <c r="S306" s="6" t="str">
        <f t="shared" si="46"/>
        <v>Cash</v>
      </c>
      <c r="T306" s="6" t="str">
        <f t="shared" si="47"/>
        <v>Female</v>
      </c>
      <c r="U306" s="6" t="str">
        <f t="shared" si="50"/>
        <v>General</v>
      </c>
      <c r="V306" s="6" t="str" cm="1">
        <f t="array" ref="V306">IF(TRIM(S306)="",INDEX($S$2:$S$1500,MATCH(MAX(COUNTIF($S$2:$S$1500,S306)),COUNTIF($S$2:$S$1500,$S$2:$S$1500),0)),S306)</f>
        <v>Cash</v>
      </c>
      <c r="W306" s="7" cm="1">
        <f t="array" ref="W306">IF(OR(TRIM(K306)="",TRIM(K306)="-"), MEDIAN(IF($E$2:$E$1500=E306,$K$2:$K$1500)),  VALUE(SUBSTITUTE(SUBSTITUTE(SUBSTITUTE(K306,"Rs. ",""),"₹",""),",","")))</f>
        <v>10470</v>
      </c>
      <c r="X306" s="8">
        <f t="shared" si="48"/>
        <v>0</v>
      </c>
      <c r="Y306" s="7">
        <f t="shared" si="49"/>
        <v>10470</v>
      </c>
      <c r="Z306" s="9" t="str">
        <f t="shared" si="41"/>
        <v>TEEN</v>
      </c>
    </row>
    <row r="307" spans="1:26" x14ac:dyDescent="0.3">
      <c r="A307" s="5" t="s">
        <v>811</v>
      </c>
      <c r="B307" s="5" t="s">
        <v>78</v>
      </c>
      <c r="C307" s="5" t="s">
        <v>203</v>
      </c>
      <c r="D307" s="5" t="s">
        <v>16</v>
      </c>
      <c r="E307" s="5" t="s">
        <v>17</v>
      </c>
      <c r="F307" s="5" t="s">
        <v>135</v>
      </c>
      <c r="G307" s="5" t="s">
        <v>49</v>
      </c>
      <c r="H307" s="5">
        <v>55</v>
      </c>
      <c r="I307" s="5" t="s">
        <v>20</v>
      </c>
      <c r="J307" s="34" t="s">
        <v>812</v>
      </c>
      <c r="K307" s="31">
        <v>8881</v>
      </c>
      <c r="L307" s="5" t="s">
        <v>72</v>
      </c>
      <c r="M307" s="32" t="s">
        <v>64</v>
      </c>
      <c r="N307" s="6" t="str">
        <f t="shared" si="42"/>
        <v>NA</v>
      </c>
      <c r="O307" s="4" t="s">
        <v>135</v>
      </c>
      <c r="P307" s="5" t="str">
        <f t="shared" si="43"/>
        <v>Bangalore</v>
      </c>
      <c r="Q307" s="5" t="str">
        <f t="shared" si="44"/>
        <v>Gynecology</v>
      </c>
      <c r="R307" s="6" t="str">
        <f t="shared" si="45"/>
        <v>Apollo</v>
      </c>
      <c r="S307" s="6" t="str">
        <f t="shared" si="46"/>
        <v>Cash</v>
      </c>
      <c r="T307" s="6" t="str">
        <f t="shared" si="47"/>
        <v>Male</v>
      </c>
      <c r="U307" s="6" t="str">
        <f t="shared" si="50"/>
        <v>General</v>
      </c>
      <c r="V307" s="6" t="str" cm="1">
        <f t="array" ref="V307">IF(TRIM(S307)="",INDEX($S$2:$S$1500,MATCH(MAX(COUNTIF($S$2:$S$1500,S307)),COUNTIF($S$2:$S$1500,$S$2:$S$1500),0)),S307)</f>
        <v>Cash</v>
      </c>
      <c r="W307" s="7" cm="1">
        <f t="array" ref="W307">IF(OR(TRIM(K307)="",TRIM(K307)="-"), MEDIAN(IF($E$2:$E$1500=E307,$K$2:$K$1500)),  VALUE(SUBSTITUTE(SUBSTITUTE(SUBSTITUTE(K307,"Rs. ",""),"₹",""),",","")))</f>
        <v>8881</v>
      </c>
      <c r="X307" s="8">
        <f t="shared" si="48"/>
        <v>3</v>
      </c>
      <c r="Y307" s="7">
        <f t="shared" si="49"/>
        <v>8615</v>
      </c>
      <c r="Z307" s="9" t="str">
        <f t="shared" si="41"/>
        <v>ADULT</v>
      </c>
    </row>
    <row r="308" spans="1:26" x14ac:dyDescent="0.3">
      <c r="A308" s="5" t="s">
        <v>813</v>
      </c>
      <c r="B308" s="5" t="s">
        <v>106</v>
      </c>
      <c r="C308" s="5" t="s">
        <v>107</v>
      </c>
      <c r="D308" s="5" t="s">
        <v>16</v>
      </c>
      <c r="E308" s="5" t="s">
        <v>108</v>
      </c>
      <c r="F308" s="5" t="s">
        <v>109</v>
      </c>
      <c r="G308" s="5" t="s">
        <v>19</v>
      </c>
      <c r="H308" s="5">
        <v>87</v>
      </c>
      <c r="I308" s="5" t="s">
        <v>40</v>
      </c>
      <c r="J308" s="34" t="s">
        <v>814</v>
      </c>
      <c r="K308" s="31">
        <v>6961</v>
      </c>
      <c r="L308" s="5" t="s">
        <v>211</v>
      </c>
      <c r="M308" s="32" t="s">
        <v>198</v>
      </c>
      <c r="N308" s="6">
        <f t="shared" si="42"/>
        <v>5</v>
      </c>
      <c r="O308" s="4" t="s">
        <v>109</v>
      </c>
      <c r="P308" s="5" t="str">
        <f t="shared" si="43"/>
        <v>Bangalore</v>
      </c>
      <c r="Q308" s="5" t="str">
        <f t="shared" si="44"/>
        <v>Orthopedics</v>
      </c>
      <c r="R308" s="6" t="str">
        <f t="shared" si="45"/>
        <v>Aiims</v>
      </c>
      <c r="S308" s="6" t="str">
        <f t="shared" si="46"/>
        <v>Credit Card</v>
      </c>
      <c r="T308" s="6" t="str">
        <f t="shared" si="47"/>
        <v>Female</v>
      </c>
      <c r="U308" s="6" t="str">
        <f t="shared" si="50"/>
        <v>General</v>
      </c>
      <c r="V308" s="6" t="str" cm="1">
        <f t="array" ref="V308">IF(TRIM(S308)="",INDEX($S$2:$S$1500,MATCH(MAX(COUNTIF($S$2:$S$1500,S308)),COUNTIF($S$2:$S$1500,$S$2:$S$1500),0)),S308)</f>
        <v>Credit Card</v>
      </c>
      <c r="W308" s="7" cm="1">
        <f t="array" ref="W308">IF(OR(TRIM(K308)="",TRIM(K308)="-"), MEDIAN(IF($E$2:$E$1500=E308,$K$2:$K$1500)),  VALUE(SUBSTITUTE(SUBSTITUTE(SUBSTITUTE(K308,"Rs. ",""),"₹",""),",","")))</f>
        <v>6961</v>
      </c>
      <c r="X308" s="8">
        <f t="shared" si="48"/>
        <v>5</v>
      </c>
      <c r="Y308" s="7">
        <f t="shared" si="49"/>
        <v>6613</v>
      </c>
      <c r="Z308" s="9" t="str">
        <f t="shared" si="41"/>
        <v>SENIOR</v>
      </c>
    </row>
    <row r="309" spans="1:26" x14ac:dyDescent="0.3">
      <c r="A309" s="5" t="s">
        <v>815</v>
      </c>
      <c r="B309" s="5" t="s">
        <v>106</v>
      </c>
      <c r="C309" s="5" t="s">
        <v>307</v>
      </c>
      <c r="D309" s="5" t="s">
        <v>16</v>
      </c>
      <c r="E309" s="5" t="s">
        <v>67</v>
      </c>
      <c r="F309" s="5" t="s">
        <v>196</v>
      </c>
      <c r="G309" s="5" t="s">
        <v>62</v>
      </c>
      <c r="H309" s="5">
        <v>84</v>
      </c>
      <c r="I309" s="5" t="s">
        <v>20</v>
      </c>
      <c r="J309" s="34" t="s">
        <v>816</v>
      </c>
      <c r="K309" s="31">
        <v>89496</v>
      </c>
      <c r="L309" s="5" t="s">
        <v>311</v>
      </c>
      <c r="M309" s="32"/>
      <c r="N309" s="6">
        <f t="shared" si="42"/>
        <v>0</v>
      </c>
      <c r="O309" s="4" t="s">
        <v>196</v>
      </c>
      <c r="P309" s="5" t="str">
        <f t="shared" si="43"/>
        <v>Bangalore</v>
      </c>
      <c r="Q309" s="5" t="str">
        <f t="shared" si="44"/>
        <v>Neurology</v>
      </c>
      <c r="R309" s="6" t="str">
        <f t="shared" si="45"/>
        <v>Aiims</v>
      </c>
      <c r="S309" s="6" t="str">
        <f t="shared" si="46"/>
        <v>UPI</v>
      </c>
      <c r="T309" s="6" t="str">
        <f t="shared" si="47"/>
        <v>Male</v>
      </c>
      <c r="U309" s="6" t="str">
        <f t="shared" si="50"/>
        <v>ICU</v>
      </c>
      <c r="V309" s="6" t="str" cm="1">
        <f t="array" ref="V309">IF(TRIM(S309)="",INDEX($S$2:$S$1500,MATCH(MAX(COUNTIF($S$2:$S$1500,S309)),COUNTIF($S$2:$S$1500,$S$2:$S$1500),0)),S309)</f>
        <v>UPI</v>
      </c>
      <c r="W309" s="7" cm="1">
        <f t="array" ref="W309">IF(OR(TRIM(K309)="",TRIM(K309)="-"), MEDIAN(IF($E$2:$E$1500=E309,$K$2:$K$1500)),  VALUE(SUBSTITUTE(SUBSTITUTE(SUBSTITUTE(K309,"Rs. ",""),"₹",""),",","")))</f>
        <v>89496</v>
      </c>
      <c r="X309" s="8">
        <f t="shared" si="48"/>
        <v>0</v>
      </c>
      <c r="Y309" s="7">
        <f t="shared" si="49"/>
        <v>89496</v>
      </c>
      <c r="Z309" s="9" t="str">
        <f t="shared" si="41"/>
        <v>SENIOR</v>
      </c>
    </row>
    <row r="310" spans="1:26" x14ac:dyDescent="0.3">
      <c r="A310" s="5" t="s">
        <v>817</v>
      </c>
      <c r="B310" s="5" t="s">
        <v>78</v>
      </c>
      <c r="C310" s="5" t="s">
        <v>79</v>
      </c>
      <c r="D310" s="5" t="s">
        <v>55</v>
      </c>
      <c r="E310" s="5" t="s">
        <v>17</v>
      </c>
      <c r="F310" s="5" t="s">
        <v>135</v>
      </c>
      <c r="G310" s="5" t="s">
        <v>62</v>
      </c>
      <c r="H310" s="5">
        <v>67</v>
      </c>
      <c r="I310" s="5" t="s">
        <v>40</v>
      </c>
      <c r="J310" s="34" t="s">
        <v>41</v>
      </c>
      <c r="K310" s="31">
        <v>42943</v>
      </c>
      <c r="L310" s="5" t="s">
        <v>236</v>
      </c>
      <c r="M310" s="32">
        <v>10</v>
      </c>
      <c r="N310" s="6">
        <f t="shared" si="42"/>
        <v>10</v>
      </c>
      <c r="O310" s="4" t="s">
        <v>135</v>
      </c>
      <c r="P310" s="5" t="str">
        <f t="shared" si="43"/>
        <v>Hyderabad</v>
      </c>
      <c r="Q310" s="5" t="str">
        <f t="shared" si="44"/>
        <v>Gynecology</v>
      </c>
      <c r="R310" s="6" t="str">
        <f t="shared" si="45"/>
        <v>Apollo</v>
      </c>
      <c r="S310" s="6" t="str">
        <f t="shared" si="46"/>
        <v>Debit Card</v>
      </c>
      <c r="T310" s="6" t="str">
        <f t="shared" si="47"/>
        <v>Female</v>
      </c>
      <c r="U310" s="6" t="str">
        <f t="shared" si="50"/>
        <v>ICU</v>
      </c>
      <c r="V310" s="6" t="str" cm="1">
        <f t="array" ref="V310">IF(TRIM(S310)="",INDEX($S$2:$S$1500,MATCH(MAX(COUNTIF($S$2:$S$1500,S310)),COUNTIF($S$2:$S$1500,$S$2:$S$1500),0)),S310)</f>
        <v>Debit Card</v>
      </c>
      <c r="W310" s="7" cm="1">
        <f t="array" ref="W310">IF(OR(TRIM(K310)="",TRIM(K310)="-"), MEDIAN(IF($E$2:$E$1500=E310,$K$2:$K$1500)),  VALUE(SUBSTITUTE(SUBSTITUTE(SUBSTITUTE(K310,"Rs. ",""),"₹",""),",","")))</f>
        <v>42943</v>
      </c>
      <c r="X310" s="8">
        <f t="shared" si="48"/>
        <v>10</v>
      </c>
      <c r="Y310" s="7">
        <f t="shared" si="49"/>
        <v>38649</v>
      </c>
      <c r="Z310" s="9" t="str">
        <f t="shared" si="41"/>
        <v>SENIOR</v>
      </c>
    </row>
    <row r="311" spans="1:26" x14ac:dyDescent="0.3">
      <c r="A311" s="5" t="s">
        <v>818</v>
      </c>
      <c r="B311" s="5" t="s">
        <v>14</v>
      </c>
      <c r="C311" s="5" t="s">
        <v>60</v>
      </c>
      <c r="D311" s="5" t="s">
        <v>61</v>
      </c>
      <c r="E311" s="5" t="s">
        <v>28</v>
      </c>
      <c r="F311" s="5" t="s">
        <v>268</v>
      </c>
      <c r="G311" s="5" t="s">
        <v>49</v>
      </c>
      <c r="H311" s="5">
        <v>75</v>
      </c>
      <c r="I311" s="5" t="s">
        <v>31</v>
      </c>
      <c r="J311" s="34" t="s">
        <v>819</v>
      </c>
      <c r="K311" s="31">
        <v>13366</v>
      </c>
      <c r="L311" s="5" t="s">
        <v>167</v>
      </c>
      <c r="M311" s="32">
        <v>40</v>
      </c>
      <c r="N311" s="6">
        <f t="shared" si="42"/>
        <v>40</v>
      </c>
      <c r="O311" s="4" t="s">
        <v>268</v>
      </c>
      <c r="P311" s="5" t="str">
        <f t="shared" si="43"/>
        <v>Pune</v>
      </c>
      <c r="Q311" s="5" t="str">
        <f t="shared" si="44"/>
        <v>Oncology</v>
      </c>
      <c r="R311" s="6" t="str">
        <f t="shared" si="45"/>
        <v>Max_Healthcare</v>
      </c>
      <c r="S311" s="6" t="str">
        <f t="shared" si="46"/>
        <v>Insurance</v>
      </c>
      <c r="T311" s="6" t="str">
        <f t="shared" si="47"/>
        <v>Male</v>
      </c>
      <c r="U311" s="6" t="str">
        <f t="shared" si="50"/>
        <v>General</v>
      </c>
      <c r="V311" s="6" t="str" cm="1">
        <f t="array" ref="V311">IF(TRIM(S311)="",INDEX($S$2:$S$1500,MATCH(MAX(COUNTIF($S$2:$S$1500,S311)),COUNTIF($S$2:$S$1500,$S$2:$S$1500),0)),S311)</f>
        <v>Insurance</v>
      </c>
      <c r="W311" s="7" cm="1">
        <f t="array" ref="W311">IF(OR(TRIM(K311)="",TRIM(K311)="-"), MEDIAN(IF($E$2:$E$1500=E311,$K$2:$K$1500)),  VALUE(SUBSTITUTE(SUBSTITUTE(SUBSTITUTE(K311,"Rs. ",""),"₹",""),",","")))</f>
        <v>13366</v>
      </c>
      <c r="X311" s="8">
        <f t="shared" si="48"/>
        <v>40</v>
      </c>
      <c r="Y311" s="7">
        <f t="shared" si="49"/>
        <v>8020</v>
      </c>
      <c r="Z311" s="9" t="str">
        <f t="shared" si="41"/>
        <v>SENIOR</v>
      </c>
    </row>
    <row r="312" spans="1:26" x14ac:dyDescent="0.3">
      <c r="A312" s="5" t="s">
        <v>820</v>
      </c>
      <c r="B312" s="5" t="s">
        <v>106</v>
      </c>
      <c r="C312" s="5" t="s">
        <v>107</v>
      </c>
      <c r="D312" s="5" t="s">
        <v>55</v>
      </c>
      <c r="E312" s="5" t="s">
        <v>37</v>
      </c>
      <c r="F312" s="5" t="s">
        <v>56</v>
      </c>
      <c r="G312" s="5" t="s">
        <v>62</v>
      </c>
      <c r="H312" s="5">
        <v>70</v>
      </c>
      <c r="I312" s="5" t="s">
        <v>40</v>
      </c>
      <c r="J312" s="34" t="s">
        <v>325</v>
      </c>
      <c r="K312" s="31" t="s">
        <v>821</v>
      </c>
      <c r="L312" s="5" t="s">
        <v>34</v>
      </c>
      <c r="M312" s="32">
        <v>0</v>
      </c>
      <c r="N312" s="6">
        <f t="shared" si="42"/>
        <v>0</v>
      </c>
      <c r="O312" s="4" t="s">
        <v>56</v>
      </c>
      <c r="P312" s="5" t="str">
        <f t="shared" si="43"/>
        <v>Hyderabad</v>
      </c>
      <c r="Q312" s="5" t="str">
        <f t="shared" si="44"/>
        <v>Pediatrics</v>
      </c>
      <c r="R312" s="6" t="str">
        <f t="shared" si="45"/>
        <v>Aiims</v>
      </c>
      <c r="S312" s="6" t="str">
        <f t="shared" si="46"/>
        <v>Cash</v>
      </c>
      <c r="T312" s="6" t="str">
        <f t="shared" si="47"/>
        <v>Female</v>
      </c>
      <c r="U312" s="6" t="str">
        <f t="shared" si="50"/>
        <v>ICU</v>
      </c>
      <c r="V312" s="6" t="str" cm="1">
        <f t="array" ref="V312">IF(TRIM(S312)="",INDEX($S$2:$S$1500,MATCH(MAX(COUNTIF($S$2:$S$1500,S312)),COUNTIF($S$2:$S$1500,$S$2:$S$1500),0)),S312)</f>
        <v>Cash</v>
      </c>
      <c r="W312" s="7" cm="1">
        <f t="array" ref="W312">IF(OR(TRIM(K312)="",TRIM(K312)="-"), MEDIAN(IF($E$2:$E$1500=E312,$K$2:$K$1500)),  VALUE(SUBSTITUTE(SUBSTITUTE(SUBSTITUTE(K312,"Rs. ",""),"₹",""),",","")))</f>
        <v>30875</v>
      </c>
      <c r="X312" s="8">
        <f t="shared" si="48"/>
        <v>0</v>
      </c>
      <c r="Y312" s="7">
        <f t="shared" si="49"/>
        <v>30875</v>
      </c>
      <c r="Z312" s="9" t="str">
        <f t="shared" si="41"/>
        <v>SENIOR</v>
      </c>
    </row>
    <row r="313" spans="1:26" x14ac:dyDescent="0.3">
      <c r="A313" s="5" t="s">
        <v>822</v>
      </c>
      <c r="B313" s="5" t="s">
        <v>25</v>
      </c>
      <c r="C313" s="5" t="s">
        <v>26</v>
      </c>
      <c r="D313" s="5" t="s">
        <v>61</v>
      </c>
      <c r="E313" s="5" t="s">
        <v>164</v>
      </c>
      <c r="F313" s="5" t="s">
        <v>282</v>
      </c>
      <c r="G313" s="5" t="s">
        <v>49</v>
      </c>
      <c r="H313" s="5">
        <v>36</v>
      </c>
      <c r="I313" s="5" t="s">
        <v>20</v>
      </c>
      <c r="J313" s="34" t="s">
        <v>379</v>
      </c>
      <c r="K313" s="31" t="s">
        <v>823</v>
      </c>
      <c r="L313" s="5" t="s">
        <v>115</v>
      </c>
      <c r="M313" s="32">
        <v>5</v>
      </c>
      <c r="N313" s="6">
        <f t="shared" si="42"/>
        <v>5</v>
      </c>
      <c r="O313" s="4" t="s">
        <v>282</v>
      </c>
      <c r="P313" s="5" t="str">
        <f t="shared" si="43"/>
        <v>Pune</v>
      </c>
      <c r="Q313" s="5" t="str">
        <f t="shared" si="44"/>
        <v>Cardiology</v>
      </c>
      <c r="R313" s="6" t="str">
        <f t="shared" si="45"/>
        <v>Narayana</v>
      </c>
      <c r="S313" s="6" t="str">
        <f t="shared" si="46"/>
        <v>Cash</v>
      </c>
      <c r="T313" s="6" t="str">
        <f t="shared" si="47"/>
        <v>Male</v>
      </c>
      <c r="U313" s="6" t="str">
        <f t="shared" si="50"/>
        <v>General</v>
      </c>
      <c r="V313" s="6" t="str" cm="1">
        <f t="array" ref="V313">IF(TRIM(S313)="",INDEX($S$2:$S$1500,MATCH(MAX(COUNTIF($S$2:$S$1500,S313)),COUNTIF($S$2:$S$1500,$S$2:$S$1500),0)),S313)</f>
        <v>Cash</v>
      </c>
      <c r="W313" s="7" cm="1">
        <f t="array" ref="W313">IF(OR(TRIM(K313)="",TRIM(K313)="-"), MEDIAN(IF($E$2:$E$1500=E313,$K$2:$K$1500)),  VALUE(SUBSTITUTE(SUBSTITUTE(SUBSTITUTE(K313,"Rs. ",""),"₹",""),",","")))</f>
        <v>17266</v>
      </c>
      <c r="X313" s="8">
        <f t="shared" si="48"/>
        <v>5</v>
      </c>
      <c r="Y313" s="7">
        <f t="shared" si="49"/>
        <v>16403</v>
      </c>
      <c r="Z313" s="9" t="str">
        <f t="shared" si="41"/>
        <v>ADULT</v>
      </c>
    </row>
    <row r="314" spans="1:26" x14ac:dyDescent="0.3">
      <c r="A314" s="5" t="s">
        <v>824</v>
      </c>
      <c r="B314" s="5" t="s">
        <v>117</v>
      </c>
      <c r="C314" s="5" t="s">
        <v>127</v>
      </c>
      <c r="D314" s="5" t="s">
        <v>66</v>
      </c>
      <c r="E314" s="5" t="s">
        <v>28</v>
      </c>
      <c r="F314" s="5" t="s">
        <v>29</v>
      </c>
      <c r="G314" s="5" t="s">
        <v>19</v>
      </c>
      <c r="H314" s="5">
        <v>27</v>
      </c>
      <c r="I314" s="5" t="s">
        <v>31</v>
      </c>
      <c r="J314" s="34" t="s">
        <v>825</v>
      </c>
      <c r="K314" s="31">
        <v>16983</v>
      </c>
      <c r="L314" s="5" t="s">
        <v>83</v>
      </c>
      <c r="M314" s="32">
        <v>5</v>
      </c>
      <c r="N314" s="6">
        <f t="shared" si="42"/>
        <v>5</v>
      </c>
      <c r="O314" s="4" t="s">
        <v>29</v>
      </c>
      <c r="P314" s="5" t="str">
        <f t="shared" si="43"/>
        <v>Kolkata</v>
      </c>
      <c r="Q314" s="5" t="str">
        <f t="shared" si="44"/>
        <v>Oncology</v>
      </c>
      <c r="R314" s="6" t="str">
        <f t="shared" si="45"/>
        <v>Manipal</v>
      </c>
      <c r="S314" s="6" t="str">
        <f t="shared" si="46"/>
        <v>Debit Card</v>
      </c>
      <c r="T314" s="6" t="str">
        <f t="shared" si="47"/>
        <v>Male</v>
      </c>
      <c r="U314" s="6" t="str">
        <f t="shared" si="50"/>
        <v>General</v>
      </c>
      <c r="V314" s="6" t="str" cm="1">
        <f t="array" ref="V314">IF(TRIM(S314)="",INDEX($S$2:$S$1500,MATCH(MAX(COUNTIF($S$2:$S$1500,S314)),COUNTIF($S$2:$S$1500,$S$2:$S$1500),0)),S314)</f>
        <v>Debit Card</v>
      </c>
      <c r="W314" s="7" cm="1">
        <f t="array" ref="W314">IF(OR(TRIM(K314)="",TRIM(K314)="-"), MEDIAN(IF($E$2:$E$1500=E314,$K$2:$K$1500)),  VALUE(SUBSTITUTE(SUBSTITUTE(SUBSTITUTE(K314,"Rs. ",""),"₹",""),",","")))</f>
        <v>16983</v>
      </c>
      <c r="X314" s="8">
        <f t="shared" si="48"/>
        <v>5</v>
      </c>
      <c r="Y314" s="7">
        <f t="shared" si="49"/>
        <v>16134</v>
      </c>
      <c r="Z314" s="9" t="str">
        <f t="shared" si="41"/>
        <v>ADULT</v>
      </c>
    </row>
    <row r="315" spans="1:26" x14ac:dyDescent="0.3">
      <c r="A315" s="5" t="s">
        <v>826</v>
      </c>
      <c r="B315" s="5" t="s">
        <v>106</v>
      </c>
      <c r="C315" s="5" t="s">
        <v>307</v>
      </c>
      <c r="D315" s="5" t="s">
        <v>80</v>
      </c>
      <c r="E315" s="5" t="s">
        <v>108</v>
      </c>
      <c r="F315" s="5" t="s">
        <v>124</v>
      </c>
      <c r="G315" s="5" t="s">
        <v>19</v>
      </c>
      <c r="H315" s="5">
        <v>7</v>
      </c>
      <c r="I315" s="5" t="s">
        <v>31</v>
      </c>
      <c r="J315" s="34" t="s">
        <v>551</v>
      </c>
      <c r="K315" s="31" t="s">
        <v>827</v>
      </c>
      <c r="L315" s="5" t="s">
        <v>42</v>
      </c>
      <c r="M315" s="32"/>
      <c r="N315" s="6">
        <f t="shared" si="42"/>
        <v>0</v>
      </c>
      <c r="O315" s="4" t="s">
        <v>124</v>
      </c>
      <c r="P315" s="5" t="str">
        <f t="shared" si="43"/>
        <v>Ahmedabad</v>
      </c>
      <c r="Q315" s="5" t="str">
        <f t="shared" si="44"/>
        <v>Orthopedics</v>
      </c>
      <c r="R315" s="6" t="str">
        <f t="shared" si="45"/>
        <v>Aiims</v>
      </c>
      <c r="S315" s="6" t="str">
        <f t="shared" si="46"/>
        <v>Insurance</v>
      </c>
      <c r="T315" s="6" t="str">
        <f t="shared" si="47"/>
        <v>Male</v>
      </c>
      <c r="U315" s="6" t="str">
        <f t="shared" si="50"/>
        <v>General</v>
      </c>
      <c r="V315" s="6" t="str" cm="1">
        <f t="array" ref="V315">IF(TRIM(S315)="",INDEX($S$2:$S$1500,MATCH(MAX(COUNTIF($S$2:$S$1500,S315)),COUNTIF($S$2:$S$1500,$S$2:$S$1500),0)),S315)</f>
        <v>Insurance</v>
      </c>
      <c r="W315" s="7" cm="1">
        <f t="array" ref="W315">IF(OR(TRIM(K315)="",TRIM(K315)="-"), MEDIAN(IF($E$2:$E$1500=E315,$K$2:$K$1500)),  VALUE(SUBSTITUTE(SUBSTITUTE(SUBSTITUTE(K315,"Rs. ",""),"₹",""),",","")))</f>
        <v>7297</v>
      </c>
      <c r="X315" s="8">
        <f t="shared" si="48"/>
        <v>0</v>
      </c>
      <c r="Y315" s="7">
        <f t="shared" si="49"/>
        <v>7297</v>
      </c>
      <c r="Z315" s="9" t="str">
        <f t="shared" si="41"/>
        <v>CHILD</v>
      </c>
    </row>
    <row r="316" spans="1:26" x14ac:dyDescent="0.3">
      <c r="A316" s="5" t="s">
        <v>828</v>
      </c>
      <c r="B316" s="5" t="s">
        <v>78</v>
      </c>
      <c r="C316" s="5" t="s">
        <v>161</v>
      </c>
      <c r="D316" s="5" t="s">
        <v>27</v>
      </c>
      <c r="E316" s="5" t="s">
        <v>164</v>
      </c>
      <c r="F316" s="5" t="s">
        <v>219</v>
      </c>
      <c r="G316" s="5" t="s">
        <v>39</v>
      </c>
      <c r="H316" s="5">
        <v>38</v>
      </c>
      <c r="I316" s="5" t="s">
        <v>20</v>
      </c>
      <c r="J316" s="34" t="s">
        <v>829</v>
      </c>
      <c r="K316" s="31">
        <v>9072</v>
      </c>
      <c r="L316" s="5" t="s">
        <v>311</v>
      </c>
      <c r="M316" s="32">
        <v>0</v>
      </c>
      <c r="N316" s="6">
        <f t="shared" si="42"/>
        <v>0</v>
      </c>
      <c r="O316" s="4" t="s">
        <v>219</v>
      </c>
      <c r="P316" s="5" t="str">
        <f t="shared" si="43"/>
        <v>Mumbai</v>
      </c>
      <c r="Q316" s="5" t="str">
        <f t="shared" si="44"/>
        <v>Cardiology</v>
      </c>
      <c r="R316" s="6" t="str">
        <f t="shared" si="45"/>
        <v>Apollo</v>
      </c>
      <c r="S316" s="6" t="str">
        <f t="shared" si="46"/>
        <v>UPI</v>
      </c>
      <c r="T316" s="6" t="str">
        <f t="shared" si="47"/>
        <v>Male</v>
      </c>
      <c r="U316" s="6" t="str">
        <f t="shared" si="50"/>
        <v>General</v>
      </c>
      <c r="V316" s="6" t="str" cm="1">
        <f t="array" ref="V316">IF(TRIM(S316)="",INDEX($S$2:$S$1500,MATCH(MAX(COUNTIF($S$2:$S$1500,S316)),COUNTIF($S$2:$S$1500,$S$2:$S$1500),0)),S316)</f>
        <v>UPI</v>
      </c>
      <c r="W316" s="7" cm="1">
        <f t="array" ref="W316">IF(OR(TRIM(K316)="",TRIM(K316)="-"), MEDIAN(IF($E$2:$E$1500=E316,$K$2:$K$1500)),  VALUE(SUBSTITUTE(SUBSTITUTE(SUBSTITUTE(K316,"Rs. ",""),"₹",""),",","")))</f>
        <v>9072</v>
      </c>
      <c r="X316" s="8">
        <f t="shared" si="48"/>
        <v>0</v>
      </c>
      <c r="Y316" s="7">
        <f t="shared" si="49"/>
        <v>9072</v>
      </c>
      <c r="Z316" s="9" t="str">
        <f t="shared" si="41"/>
        <v>ADULT</v>
      </c>
    </row>
    <row r="317" spans="1:26" x14ac:dyDescent="0.3">
      <c r="A317" s="5" t="s">
        <v>830</v>
      </c>
      <c r="B317" s="5" t="s">
        <v>45</v>
      </c>
      <c r="C317" s="5" t="s">
        <v>46</v>
      </c>
      <c r="D317" s="5" t="s">
        <v>16</v>
      </c>
      <c r="E317" s="5" t="s">
        <v>28</v>
      </c>
      <c r="F317" s="5" t="s">
        <v>268</v>
      </c>
      <c r="G317" s="5" t="s">
        <v>69</v>
      </c>
      <c r="H317" s="5">
        <v>8</v>
      </c>
      <c r="I317" s="5" t="s">
        <v>40</v>
      </c>
      <c r="J317" s="34" t="s">
        <v>819</v>
      </c>
      <c r="K317" s="31">
        <v>59575</v>
      </c>
      <c r="L317" s="5" t="s">
        <v>236</v>
      </c>
      <c r="M317" s="32">
        <v>10</v>
      </c>
      <c r="N317" s="6">
        <f t="shared" si="42"/>
        <v>10</v>
      </c>
      <c r="O317" s="4" t="s">
        <v>268</v>
      </c>
      <c r="P317" s="5" t="str">
        <f t="shared" si="43"/>
        <v>Bangalore</v>
      </c>
      <c r="Q317" s="5" t="str">
        <f t="shared" si="44"/>
        <v>Oncology</v>
      </c>
      <c r="R317" s="6" t="str">
        <f t="shared" si="45"/>
        <v>Fortis</v>
      </c>
      <c r="S317" s="6" t="str">
        <f t="shared" si="46"/>
        <v>Debit Card</v>
      </c>
      <c r="T317" s="6" t="str">
        <f t="shared" si="47"/>
        <v>Female</v>
      </c>
      <c r="U317" s="6" t="str">
        <f t="shared" si="50"/>
        <v>ICU</v>
      </c>
      <c r="V317" s="6" t="str" cm="1">
        <f t="array" ref="V317">IF(TRIM(S317)="",INDEX($S$2:$S$1500,MATCH(MAX(COUNTIF($S$2:$S$1500,S317)),COUNTIF($S$2:$S$1500,$S$2:$S$1500),0)),S317)</f>
        <v>Debit Card</v>
      </c>
      <c r="W317" s="7" cm="1">
        <f t="array" ref="W317">IF(OR(TRIM(K317)="",TRIM(K317)="-"), MEDIAN(IF($E$2:$E$1500=E317,$K$2:$K$1500)),  VALUE(SUBSTITUTE(SUBSTITUTE(SUBSTITUTE(K317,"Rs. ",""),"₹",""),",","")))</f>
        <v>59575</v>
      </c>
      <c r="X317" s="8">
        <f t="shared" si="48"/>
        <v>10</v>
      </c>
      <c r="Y317" s="7">
        <f t="shared" si="49"/>
        <v>53618</v>
      </c>
      <c r="Z317" s="9" t="str">
        <f t="shared" si="41"/>
        <v>CHILD</v>
      </c>
    </row>
    <row r="318" spans="1:26" x14ac:dyDescent="0.3">
      <c r="A318" s="5" t="s">
        <v>831</v>
      </c>
      <c r="B318" s="5" t="s">
        <v>78</v>
      </c>
      <c r="C318" s="5" t="s">
        <v>203</v>
      </c>
      <c r="D318" s="5" t="s">
        <v>61</v>
      </c>
      <c r="E318" s="5" t="s">
        <v>99</v>
      </c>
      <c r="F318" s="5" t="s">
        <v>100</v>
      </c>
      <c r="G318" s="5" t="s">
        <v>30</v>
      </c>
      <c r="H318" s="5">
        <v>84</v>
      </c>
      <c r="I318" s="5" t="s">
        <v>40</v>
      </c>
      <c r="J318" s="34" t="s">
        <v>726</v>
      </c>
      <c r="K318" s="31">
        <v>9420</v>
      </c>
      <c r="L318" s="5" t="s">
        <v>311</v>
      </c>
      <c r="M318" s="32" t="s">
        <v>130</v>
      </c>
      <c r="N318" s="6">
        <f t="shared" si="42"/>
        <v>0</v>
      </c>
      <c r="O318" s="4" t="s">
        <v>100</v>
      </c>
      <c r="P318" s="5" t="str">
        <f t="shared" si="43"/>
        <v>Pune</v>
      </c>
      <c r="Q318" s="5" t="str">
        <f t="shared" si="44"/>
        <v>Ent</v>
      </c>
      <c r="R318" s="6" t="str">
        <f t="shared" si="45"/>
        <v>Apollo</v>
      </c>
      <c r="S318" s="6" t="str">
        <f t="shared" si="46"/>
        <v>UPI</v>
      </c>
      <c r="T318" s="6" t="str">
        <f t="shared" si="47"/>
        <v>Female</v>
      </c>
      <c r="U318" s="6" t="str">
        <f t="shared" si="50"/>
        <v>General</v>
      </c>
      <c r="V318" s="6" t="str" cm="1">
        <f t="array" ref="V318">IF(TRIM(S318)="",INDEX($S$2:$S$1500,MATCH(MAX(COUNTIF($S$2:$S$1500,S318)),COUNTIF($S$2:$S$1500,$S$2:$S$1500),0)),S318)</f>
        <v>UPI</v>
      </c>
      <c r="W318" s="7" cm="1">
        <f t="array" ref="W318">IF(OR(TRIM(K318)="",TRIM(K318)="-"), MEDIAN(IF($E$2:$E$1500=E318,$K$2:$K$1500)),  VALUE(SUBSTITUTE(SUBSTITUTE(SUBSTITUTE(K318,"Rs. ",""),"₹",""),",","")))</f>
        <v>9420</v>
      </c>
      <c r="X318" s="8">
        <f t="shared" si="48"/>
        <v>0</v>
      </c>
      <c r="Y318" s="7">
        <f t="shared" si="49"/>
        <v>9420</v>
      </c>
      <c r="Z318" s="9" t="str">
        <f t="shared" si="41"/>
        <v>SENIOR</v>
      </c>
    </row>
    <row r="319" spans="1:26" x14ac:dyDescent="0.3">
      <c r="A319" s="5" t="s">
        <v>832</v>
      </c>
      <c r="B319" s="5" t="s">
        <v>45</v>
      </c>
      <c r="C319" s="5" t="s">
        <v>46</v>
      </c>
      <c r="D319" s="5" t="s">
        <v>80</v>
      </c>
      <c r="E319" s="5" t="s">
        <v>99</v>
      </c>
      <c r="F319" s="5" t="s">
        <v>151</v>
      </c>
      <c r="G319" s="5" t="s">
        <v>101</v>
      </c>
      <c r="H319" s="5">
        <v>71</v>
      </c>
      <c r="I319" s="5" t="s">
        <v>40</v>
      </c>
      <c r="J319" s="34" t="s">
        <v>833</v>
      </c>
      <c r="K319" s="31" t="s">
        <v>834</v>
      </c>
      <c r="L319" s="5" t="s">
        <v>87</v>
      </c>
      <c r="M319" s="32">
        <v>0</v>
      </c>
      <c r="N319" s="6">
        <f t="shared" si="42"/>
        <v>0</v>
      </c>
      <c r="O319" s="4" t="s">
        <v>151</v>
      </c>
      <c r="P319" s="5" t="str">
        <f t="shared" si="43"/>
        <v>Ahmedabad</v>
      </c>
      <c r="Q319" s="5" t="str">
        <f t="shared" si="44"/>
        <v>Ent</v>
      </c>
      <c r="R319" s="6" t="str">
        <f t="shared" si="45"/>
        <v>Fortis</v>
      </c>
      <c r="S319" s="6" t="str">
        <f t="shared" si="46"/>
        <v>Credit Card</v>
      </c>
      <c r="T319" s="6" t="str">
        <f t="shared" si="47"/>
        <v>Female</v>
      </c>
      <c r="U319" s="6" t="str">
        <f t="shared" si="50"/>
        <v>ICU</v>
      </c>
      <c r="V319" s="6" t="str" cm="1">
        <f t="array" ref="V319">IF(TRIM(S319)="",INDEX($S$2:$S$1500,MATCH(MAX(COUNTIF($S$2:$S$1500,S319)),COUNTIF($S$2:$S$1500,$S$2:$S$1500),0)),S319)</f>
        <v>Credit Card</v>
      </c>
      <c r="W319" s="7" cm="1">
        <f t="array" ref="W319">IF(OR(TRIM(K319)="",TRIM(K319)="-"), MEDIAN(IF($E$2:$E$1500=E319,$K$2:$K$1500)),  VALUE(SUBSTITUTE(SUBSTITUTE(SUBSTITUTE(K319,"Rs. ",""),"₹",""),",","")))</f>
        <v>63056</v>
      </c>
      <c r="X319" s="8">
        <f t="shared" si="48"/>
        <v>0</v>
      </c>
      <c r="Y319" s="7">
        <f t="shared" si="49"/>
        <v>63056</v>
      </c>
      <c r="Z319" s="9" t="str">
        <f t="shared" si="41"/>
        <v>SENIOR</v>
      </c>
    </row>
    <row r="320" spans="1:26" x14ac:dyDescent="0.3">
      <c r="A320" s="5" t="s">
        <v>835</v>
      </c>
      <c r="B320" s="5" t="s">
        <v>14</v>
      </c>
      <c r="C320" s="5" t="s">
        <v>60</v>
      </c>
      <c r="D320" s="5" t="s">
        <v>61</v>
      </c>
      <c r="E320" s="5" t="s">
        <v>47</v>
      </c>
      <c r="F320" s="5" t="s">
        <v>175</v>
      </c>
      <c r="G320" s="5"/>
      <c r="H320" s="5">
        <v>27</v>
      </c>
      <c r="I320" s="5" t="s">
        <v>40</v>
      </c>
      <c r="J320" s="34" t="s">
        <v>262</v>
      </c>
      <c r="K320" s="31" t="s">
        <v>836</v>
      </c>
      <c r="L320" s="5" t="s">
        <v>311</v>
      </c>
      <c r="M320" s="32">
        <v>0</v>
      </c>
      <c r="N320" s="6">
        <f t="shared" si="42"/>
        <v>0</v>
      </c>
      <c r="O320" s="4" t="s">
        <v>175</v>
      </c>
      <c r="P320" s="5" t="str">
        <f t="shared" si="43"/>
        <v>Pune</v>
      </c>
      <c r="Q320" s="5" t="str">
        <f t="shared" si="44"/>
        <v>Gastroenterology</v>
      </c>
      <c r="R320" s="6" t="str">
        <f t="shared" si="45"/>
        <v>Max_Healthcare</v>
      </c>
      <c r="S320" s="6" t="str">
        <f t="shared" si="46"/>
        <v>UPI</v>
      </c>
      <c r="T320" s="6" t="str">
        <f t="shared" si="47"/>
        <v>Female</v>
      </c>
      <c r="U320" s="6" t="str">
        <f t="shared" si="50"/>
        <v>Unknown</v>
      </c>
      <c r="V320" s="6" t="str" cm="1">
        <f t="array" ref="V320">IF(TRIM(S320)="",INDEX($S$2:$S$1500,MATCH(MAX(COUNTIF($S$2:$S$1500,S320)),COUNTIF($S$2:$S$1500,$S$2:$S$1500),0)),S320)</f>
        <v>UPI</v>
      </c>
      <c r="W320" s="7" cm="1">
        <f t="array" ref="W320">IF(OR(TRIM(K320)="",TRIM(K320)="-"), MEDIAN(IF($E$2:$E$1500=E320,$K$2:$K$1500)),  VALUE(SUBSTITUTE(SUBSTITUTE(SUBSTITUTE(K320,"Rs. ",""),"₹",""),",","")))</f>
        <v>12313</v>
      </c>
      <c r="X320" s="8">
        <f t="shared" si="48"/>
        <v>0</v>
      </c>
      <c r="Y320" s="7">
        <f t="shared" si="49"/>
        <v>12313</v>
      </c>
      <c r="Z320" s="9" t="str">
        <f t="shared" si="41"/>
        <v>ADULT</v>
      </c>
    </row>
    <row r="321" spans="1:26" x14ac:dyDescent="0.3">
      <c r="A321" s="5" t="s">
        <v>837</v>
      </c>
      <c r="B321" s="5" t="s">
        <v>45</v>
      </c>
      <c r="C321" s="5" t="s">
        <v>334</v>
      </c>
      <c r="D321" s="5" t="s">
        <v>16</v>
      </c>
      <c r="E321" s="5" t="s">
        <v>37</v>
      </c>
      <c r="F321" s="5" t="s">
        <v>132</v>
      </c>
      <c r="G321" s="5" t="s">
        <v>30</v>
      </c>
      <c r="H321" s="5">
        <v>91</v>
      </c>
      <c r="I321" s="5" t="s">
        <v>31</v>
      </c>
      <c r="J321" s="34" t="s">
        <v>582</v>
      </c>
      <c r="K321" s="31"/>
      <c r="L321" s="5" t="s">
        <v>115</v>
      </c>
      <c r="M321" s="32">
        <v>0</v>
      </c>
      <c r="N321" s="6">
        <f t="shared" si="42"/>
        <v>0</v>
      </c>
      <c r="O321" s="4" t="s">
        <v>132</v>
      </c>
      <c r="P321" s="5" t="str">
        <f t="shared" si="43"/>
        <v>Bangalore</v>
      </c>
      <c r="Q321" s="5" t="str">
        <f t="shared" si="44"/>
        <v>Pediatrics</v>
      </c>
      <c r="R321" s="6" t="str">
        <f t="shared" si="45"/>
        <v>Fortis</v>
      </c>
      <c r="S321" s="6" t="str">
        <f t="shared" si="46"/>
        <v>Cash</v>
      </c>
      <c r="T321" s="6" t="str">
        <f t="shared" si="47"/>
        <v>Male</v>
      </c>
      <c r="U321" s="6" t="str">
        <f t="shared" si="50"/>
        <v>General</v>
      </c>
      <c r="V321" s="6" t="str" cm="1">
        <f t="array" ref="V321">IF(TRIM(S321)="",INDEX($S$2:$S$1500,MATCH(MAX(COUNTIF($S$2:$S$1500,S321)),COUNTIF($S$2:$S$1500,$S$2:$S$1500),0)),S321)</f>
        <v>Cash</v>
      </c>
      <c r="W321" s="7" cm="1">
        <f t="array" ref="W321">IF(OR(TRIM(K321)="",TRIM(K321)="-"), MEDIAN(IF($E$2:$E$1500=E321,$K$2:$K$1500)),  VALUE(SUBSTITUTE(SUBSTITUTE(SUBSTITUTE(K321,"Rs. ",""),"₹",""),",","")))</f>
        <v>16050</v>
      </c>
      <c r="X321" s="8">
        <f t="shared" si="48"/>
        <v>0</v>
      </c>
      <c r="Y321" s="7">
        <f t="shared" si="49"/>
        <v>16050</v>
      </c>
      <c r="Z321" s="9" t="str">
        <f t="shared" si="41"/>
        <v>SENIOR</v>
      </c>
    </row>
    <row r="322" spans="1:26" x14ac:dyDescent="0.3">
      <c r="A322" s="5" t="s">
        <v>838</v>
      </c>
      <c r="B322" s="5" t="s">
        <v>78</v>
      </c>
      <c r="C322" s="5" t="s">
        <v>79</v>
      </c>
      <c r="D322" s="5" t="s">
        <v>66</v>
      </c>
      <c r="E322" s="5" t="s">
        <v>108</v>
      </c>
      <c r="F322" s="5" t="s">
        <v>308</v>
      </c>
      <c r="G322" s="5" t="s">
        <v>39</v>
      </c>
      <c r="H322" s="5">
        <v>35</v>
      </c>
      <c r="I322" s="5" t="s">
        <v>20</v>
      </c>
      <c r="J322" s="34" t="s">
        <v>839</v>
      </c>
      <c r="K322" s="31">
        <v>5868</v>
      </c>
      <c r="L322" s="5" t="s">
        <v>91</v>
      </c>
      <c r="M322" s="32" t="s">
        <v>76</v>
      </c>
      <c r="N322" s="6">
        <f t="shared" si="42"/>
        <v>10</v>
      </c>
      <c r="O322" s="4" t="s">
        <v>308</v>
      </c>
      <c r="P322" s="5" t="str">
        <f t="shared" si="43"/>
        <v>Kolkata</v>
      </c>
      <c r="Q322" s="5" t="str">
        <f t="shared" si="44"/>
        <v>Orthopedics</v>
      </c>
      <c r="R322" s="6" t="str">
        <f t="shared" si="45"/>
        <v>Apollo</v>
      </c>
      <c r="S322" s="6" t="str">
        <f t="shared" si="46"/>
        <v>Debit Card</v>
      </c>
      <c r="T322" s="6" t="str">
        <f t="shared" si="47"/>
        <v>Male</v>
      </c>
      <c r="U322" s="6" t="str">
        <f t="shared" si="50"/>
        <v>General</v>
      </c>
      <c r="V322" s="6" t="str" cm="1">
        <f t="array" ref="V322">IF(TRIM(S322)="",INDEX($S$2:$S$1500,MATCH(MAX(COUNTIF($S$2:$S$1500,S322)),COUNTIF($S$2:$S$1500,$S$2:$S$1500),0)),S322)</f>
        <v>Debit Card</v>
      </c>
      <c r="W322" s="7" cm="1">
        <f t="array" ref="W322">IF(OR(TRIM(K322)="",TRIM(K322)="-"), MEDIAN(IF($E$2:$E$1500=E322,$K$2:$K$1500)),  VALUE(SUBSTITUTE(SUBSTITUTE(SUBSTITUTE(K322,"Rs. ",""),"₹",""),",","")))</f>
        <v>5868</v>
      </c>
      <c r="X322" s="8">
        <f t="shared" si="48"/>
        <v>10</v>
      </c>
      <c r="Y322" s="7">
        <f t="shared" si="49"/>
        <v>5281</v>
      </c>
      <c r="Z322" s="9" t="str">
        <f t="shared" ref="Z322:Z385" si="51">IF(H322&lt;13,"CHILD",IF(H322&lt;20,"TEEN",IF(H322&lt;60,"ADULT","SENIOR")))</f>
        <v>ADULT</v>
      </c>
    </row>
    <row r="323" spans="1:26" x14ac:dyDescent="0.3">
      <c r="A323" s="5" t="s">
        <v>840</v>
      </c>
      <c r="B323" s="5" t="s">
        <v>25</v>
      </c>
      <c r="C323" s="5" t="s">
        <v>54</v>
      </c>
      <c r="D323" s="5" t="s">
        <v>16</v>
      </c>
      <c r="E323" s="5" t="s">
        <v>164</v>
      </c>
      <c r="F323" s="5" t="s">
        <v>219</v>
      </c>
      <c r="G323" s="5" t="s">
        <v>101</v>
      </c>
      <c r="H323" s="5">
        <v>14</v>
      </c>
      <c r="I323" s="5" t="s">
        <v>40</v>
      </c>
      <c r="J323" s="34" t="s">
        <v>764</v>
      </c>
      <c r="K323" s="31" t="s">
        <v>841</v>
      </c>
      <c r="L323" s="5" t="s">
        <v>211</v>
      </c>
      <c r="M323" s="32" t="s">
        <v>198</v>
      </c>
      <c r="N323" s="6">
        <f t="shared" ref="N323:N386" si="52">IF(RIGHT(TRIM(M323),1)="%",VALUE(LEFT(TRIM(M323),LEN(TRIM(M323))-1)),  IF(AND(ISNUMBER(M323),M323&lt;=1,M323&gt;0),M323*100,M323))</f>
        <v>5</v>
      </c>
      <c r="O323" s="4" t="s">
        <v>219</v>
      </c>
      <c r="P323" s="5" t="str">
        <f t="shared" ref="P323:P386" si="53">PROPER(D323)</f>
        <v>Bangalore</v>
      </c>
      <c r="Q323" s="5" t="str">
        <f t="shared" ref="Q323:Q386" si="54">PROPER(E323)</f>
        <v>Cardiology</v>
      </c>
      <c r="R323" s="6" t="str">
        <f t="shared" ref="R323:R386" si="55">PROPER(C323)</f>
        <v>Narayana</v>
      </c>
      <c r="S323" s="6" t="str">
        <f t="shared" ref="S323:S386" si="56">IF(OR(UPPER(TRIM(L323))="CREDIT_CARD",UPPER(TRIM(L323))="CREDIT CARD",UPPER(TRIM(L323))="CC"),"Credit Card", IF(OR(UPPER(TRIM(L323))="DEBIT_CARD",UPPER(TRIM(L323))="DEBIT CARD",UPPER(TRIM(L323))="DC"),"Debit Card", IF(UPPER(TRIM(L323))="CASH","Cash", IF(UPPER(TRIM(L323))="UPI","UPI", IF(OR(UPPER(TRIM(L323))="INSURANCE",UPPER(TRIM(L323))="INS"),"Insurance", IF(TRIM(L323)="","Unknown","Unknown"))))))</f>
        <v>Credit Card</v>
      </c>
      <c r="T323" s="6" t="str">
        <f t="shared" ref="T323:T386" si="57">IF(OR(UPPER(TRIM(I323))="M",UPPER(TRIM(I323))="MALE"),"Male",IF(OR(UPPER(TRIM(I323))="F",UPPER(TRIM(I323))="FEMALE"),"Female","Unknown"))</f>
        <v>Female</v>
      </c>
      <c r="U323" s="6" t="str">
        <f t="shared" si="50"/>
        <v>ICU</v>
      </c>
      <c r="V323" s="6" t="str" cm="1">
        <f t="array" ref="V323">IF(TRIM(S323)="",INDEX($S$2:$S$1500,MATCH(MAX(COUNTIF($S$2:$S$1500,S323)),COUNTIF($S$2:$S$1500,$S$2:$S$1500),0)),S323)</f>
        <v>Credit Card</v>
      </c>
      <c r="W323" s="7" cm="1">
        <f t="array" ref="W323">IF(OR(TRIM(K323)="",TRIM(K323)="-"), MEDIAN(IF($E$2:$E$1500=E323,$K$2:$K$1500)),  VALUE(SUBSTITUTE(SUBSTITUTE(SUBSTITUTE(K323,"Rs. ",""),"₹",""),",","")))</f>
        <v>35941</v>
      </c>
      <c r="X323" s="8">
        <f t="shared" ref="X323:X386" si="58">ROUND(IF(OR(TRIM(N323)="-",UPPER(TRIM(N323))="N/A",UPPER(TRIM(N323))="NA"), IFERROR(AVERAGEIF($V$2:$V$1500,V323,$N$2:$N$1500),AVERAGE($N$2:$N$1500)), N323),0)</f>
        <v>5</v>
      </c>
      <c r="Y323" s="7">
        <f t="shared" ref="Y323:Y386" si="59">ROUND(W323*(1-X323/100),0)</f>
        <v>34144</v>
      </c>
      <c r="Z323" s="9" t="str">
        <f t="shared" si="51"/>
        <v>TEEN</v>
      </c>
    </row>
    <row r="324" spans="1:26" x14ac:dyDescent="0.3">
      <c r="A324" s="5" t="s">
        <v>842</v>
      </c>
      <c r="B324" s="5" t="s">
        <v>78</v>
      </c>
      <c r="C324" s="5" t="s">
        <v>203</v>
      </c>
      <c r="D324" s="5" t="s">
        <v>61</v>
      </c>
      <c r="E324" s="5" t="s">
        <v>108</v>
      </c>
      <c r="F324" s="5" t="s">
        <v>272</v>
      </c>
      <c r="G324" s="5" t="s">
        <v>39</v>
      </c>
      <c r="H324" s="5">
        <v>4</v>
      </c>
      <c r="I324" s="5" t="s">
        <v>20</v>
      </c>
      <c r="J324" s="34" t="s">
        <v>839</v>
      </c>
      <c r="K324" s="31" t="s">
        <v>843</v>
      </c>
      <c r="L324" s="5" t="s">
        <v>83</v>
      </c>
      <c r="M324" s="32" t="s">
        <v>130</v>
      </c>
      <c r="N324" s="6">
        <f t="shared" si="52"/>
        <v>0</v>
      </c>
      <c r="O324" s="4" t="s">
        <v>272</v>
      </c>
      <c r="P324" s="5" t="str">
        <f t="shared" si="53"/>
        <v>Pune</v>
      </c>
      <c r="Q324" s="5" t="str">
        <f t="shared" si="54"/>
        <v>Orthopedics</v>
      </c>
      <c r="R324" s="6" t="str">
        <f t="shared" si="55"/>
        <v>Apollo</v>
      </c>
      <c r="S324" s="6" t="str">
        <f t="shared" si="56"/>
        <v>Debit Card</v>
      </c>
      <c r="T324" s="6" t="str">
        <f t="shared" si="57"/>
        <v>Male</v>
      </c>
      <c r="U324" s="6" t="str">
        <f t="shared" si="50"/>
        <v>General</v>
      </c>
      <c r="V324" s="6" t="str" cm="1">
        <f t="array" ref="V324">IF(TRIM(S324)="",INDEX($S$2:$S$1500,MATCH(MAX(COUNTIF($S$2:$S$1500,S324)),COUNTIF($S$2:$S$1500,$S$2:$S$1500),0)),S324)</f>
        <v>Debit Card</v>
      </c>
      <c r="W324" s="7" cm="1">
        <f t="array" ref="W324">IF(OR(TRIM(K324)="",TRIM(K324)="-"), MEDIAN(IF($E$2:$E$1500=E324,$K$2:$K$1500)),  VALUE(SUBSTITUTE(SUBSTITUTE(SUBSTITUTE(K324,"Rs. ",""),"₹",""),",","")))</f>
        <v>15622</v>
      </c>
      <c r="X324" s="8">
        <f t="shared" si="58"/>
        <v>0</v>
      </c>
      <c r="Y324" s="7">
        <f t="shared" si="59"/>
        <v>15622</v>
      </c>
      <c r="Z324" s="9" t="str">
        <f t="shared" si="51"/>
        <v>CHILD</v>
      </c>
    </row>
    <row r="325" spans="1:26" x14ac:dyDescent="0.3">
      <c r="A325" s="5" t="s">
        <v>844</v>
      </c>
      <c r="B325" s="5" t="s">
        <v>45</v>
      </c>
      <c r="C325" s="5" t="s">
        <v>334</v>
      </c>
      <c r="D325" s="5" t="s">
        <v>16</v>
      </c>
      <c r="E325" s="5" t="s">
        <v>67</v>
      </c>
      <c r="F325" s="5" t="s">
        <v>89</v>
      </c>
      <c r="G325" s="5" t="s">
        <v>30</v>
      </c>
      <c r="H325" s="5">
        <v>40</v>
      </c>
      <c r="I325" s="5" t="s">
        <v>31</v>
      </c>
      <c r="J325" s="34" t="s">
        <v>845</v>
      </c>
      <c r="K325" s="31">
        <v>6147</v>
      </c>
      <c r="L325" s="5" t="s">
        <v>91</v>
      </c>
      <c r="M325" s="32" t="s">
        <v>130</v>
      </c>
      <c r="N325" s="6">
        <f t="shared" si="52"/>
        <v>0</v>
      </c>
      <c r="O325" s="4" t="s">
        <v>89</v>
      </c>
      <c r="P325" s="5" t="str">
        <f t="shared" si="53"/>
        <v>Bangalore</v>
      </c>
      <c r="Q325" s="5" t="str">
        <f t="shared" si="54"/>
        <v>Neurology</v>
      </c>
      <c r="R325" s="6" t="str">
        <f t="shared" si="55"/>
        <v>Fortis</v>
      </c>
      <c r="S325" s="6" t="str">
        <f t="shared" si="56"/>
        <v>Debit Card</v>
      </c>
      <c r="T325" s="6" t="str">
        <f t="shared" si="57"/>
        <v>Male</v>
      </c>
      <c r="U325" s="6" t="str">
        <f t="shared" si="50"/>
        <v>General</v>
      </c>
      <c r="V325" s="6" t="str" cm="1">
        <f t="array" ref="V325">IF(TRIM(S325)="",INDEX($S$2:$S$1500,MATCH(MAX(COUNTIF($S$2:$S$1500,S325)),COUNTIF($S$2:$S$1500,$S$2:$S$1500),0)),S325)</f>
        <v>Debit Card</v>
      </c>
      <c r="W325" s="7" cm="1">
        <f t="array" ref="W325">IF(OR(TRIM(K325)="",TRIM(K325)="-"), MEDIAN(IF($E$2:$E$1500=E325,$K$2:$K$1500)),  VALUE(SUBSTITUTE(SUBSTITUTE(SUBSTITUTE(K325,"Rs. ",""),"₹",""),",","")))</f>
        <v>6147</v>
      </c>
      <c r="X325" s="8">
        <f t="shared" si="58"/>
        <v>0</v>
      </c>
      <c r="Y325" s="7">
        <f t="shared" si="59"/>
        <v>6147</v>
      </c>
      <c r="Z325" s="9" t="str">
        <f t="shared" si="51"/>
        <v>ADULT</v>
      </c>
    </row>
    <row r="326" spans="1:26" x14ac:dyDescent="0.3">
      <c r="A326" s="5" t="s">
        <v>846</v>
      </c>
      <c r="B326" s="5" t="s">
        <v>78</v>
      </c>
      <c r="C326" s="5" t="s">
        <v>203</v>
      </c>
      <c r="D326" s="5" t="s">
        <v>36</v>
      </c>
      <c r="E326" s="5" t="s">
        <v>37</v>
      </c>
      <c r="F326" s="5" t="s">
        <v>132</v>
      </c>
      <c r="G326" s="5" t="s">
        <v>62</v>
      </c>
      <c r="H326" s="5">
        <v>50</v>
      </c>
      <c r="I326" s="5" t="s">
        <v>40</v>
      </c>
      <c r="J326" s="34" t="s">
        <v>158</v>
      </c>
      <c r="K326" s="31">
        <v>82438</v>
      </c>
      <c r="L326" s="5" t="s">
        <v>97</v>
      </c>
      <c r="M326" s="32">
        <v>5</v>
      </c>
      <c r="N326" s="6">
        <f t="shared" si="52"/>
        <v>5</v>
      </c>
      <c r="O326" s="4" t="s">
        <v>132</v>
      </c>
      <c r="P326" s="5" t="str">
        <f t="shared" si="53"/>
        <v>Chennai</v>
      </c>
      <c r="Q326" s="5" t="str">
        <f t="shared" si="54"/>
        <v>Pediatrics</v>
      </c>
      <c r="R326" s="6" t="str">
        <f t="shared" si="55"/>
        <v>Apollo</v>
      </c>
      <c r="S326" s="6" t="str">
        <f t="shared" si="56"/>
        <v>UPI</v>
      </c>
      <c r="T326" s="6" t="str">
        <f t="shared" si="57"/>
        <v>Female</v>
      </c>
      <c r="U326" s="6" t="str">
        <f t="shared" si="50"/>
        <v>ICU</v>
      </c>
      <c r="V326" s="6" t="str" cm="1">
        <f t="array" ref="V326">IF(TRIM(S326)="",INDEX($S$2:$S$1500,MATCH(MAX(COUNTIF($S$2:$S$1500,S326)),COUNTIF($S$2:$S$1500,$S$2:$S$1500),0)),S326)</f>
        <v>UPI</v>
      </c>
      <c r="W326" s="7" cm="1">
        <f t="array" ref="W326">IF(OR(TRIM(K326)="",TRIM(K326)="-"), MEDIAN(IF($E$2:$E$1500=E326,$K$2:$K$1500)),  VALUE(SUBSTITUTE(SUBSTITUTE(SUBSTITUTE(K326,"Rs. ",""),"₹",""),",","")))</f>
        <v>82438</v>
      </c>
      <c r="X326" s="8">
        <f t="shared" si="58"/>
        <v>5</v>
      </c>
      <c r="Y326" s="7">
        <f t="shared" si="59"/>
        <v>78316</v>
      </c>
      <c r="Z326" s="9" t="str">
        <f t="shared" si="51"/>
        <v>ADULT</v>
      </c>
    </row>
    <row r="327" spans="1:26" x14ac:dyDescent="0.3">
      <c r="A327" s="5" t="s">
        <v>847</v>
      </c>
      <c r="B327" s="5" t="s">
        <v>78</v>
      </c>
      <c r="C327" s="5" t="s">
        <v>203</v>
      </c>
      <c r="D327" s="5" t="s">
        <v>16</v>
      </c>
      <c r="E327" s="5" t="s">
        <v>28</v>
      </c>
      <c r="F327" s="5" t="s">
        <v>29</v>
      </c>
      <c r="G327" s="5" t="s">
        <v>39</v>
      </c>
      <c r="H327" s="5">
        <v>44</v>
      </c>
      <c r="I327" s="5" t="s">
        <v>70</v>
      </c>
      <c r="J327" s="34" t="s">
        <v>848</v>
      </c>
      <c r="K327" s="31">
        <v>16880</v>
      </c>
      <c r="L327" s="5" t="s">
        <v>58</v>
      </c>
      <c r="M327" s="32">
        <v>0</v>
      </c>
      <c r="N327" s="6">
        <f t="shared" si="52"/>
        <v>0</v>
      </c>
      <c r="O327" s="4" t="s">
        <v>29</v>
      </c>
      <c r="P327" s="5" t="str">
        <f t="shared" si="53"/>
        <v>Bangalore</v>
      </c>
      <c r="Q327" s="5" t="str">
        <f t="shared" si="54"/>
        <v>Oncology</v>
      </c>
      <c r="R327" s="6" t="str">
        <f t="shared" si="55"/>
        <v>Apollo</v>
      </c>
      <c r="S327" s="6" t="str">
        <f t="shared" si="56"/>
        <v>UPI</v>
      </c>
      <c r="T327" s="6" t="str">
        <f t="shared" si="57"/>
        <v>Female</v>
      </c>
      <c r="U327" s="6" t="str">
        <f t="shared" si="50"/>
        <v>General</v>
      </c>
      <c r="V327" s="6" t="str" cm="1">
        <f t="array" ref="V327">IF(TRIM(S327)="",INDEX($S$2:$S$1500,MATCH(MAX(COUNTIF($S$2:$S$1500,S327)),COUNTIF($S$2:$S$1500,$S$2:$S$1500),0)),S327)</f>
        <v>UPI</v>
      </c>
      <c r="W327" s="7" cm="1">
        <f t="array" ref="W327">IF(OR(TRIM(K327)="",TRIM(K327)="-"), MEDIAN(IF($E$2:$E$1500=E327,$K$2:$K$1500)),  VALUE(SUBSTITUTE(SUBSTITUTE(SUBSTITUTE(K327,"Rs. ",""),"₹",""),",","")))</f>
        <v>16880</v>
      </c>
      <c r="X327" s="8">
        <f t="shared" si="58"/>
        <v>0</v>
      </c>
      <c r="Y327" s="7">
        <f t="shared" si="59"/>
        <v>16880</v>
      </c>
      <c r="Z327" s="9" t="str">
        <f t="shared" si="51"/>
        <v>ADULT</v>
      </c>
    </row>
    <row r="328" spans="1:26" x14ac:dyDescent="0.3">
      <c r="A328" s="5" t="s">
        <v>849</v>
      </c>
      <c r="B328" s="5" t="s">
        <v>117</v>
      </c>
      <c r="C328" s="5" t="s">
        <v>118</v>
      </c>
      <c r="D328" s="5" t="s">
        <v>55</v>
      </c>
      <c r="E328" s="5" t="s">
        <v>108</v>
      </c>
      <c r="F328" s="5" t="s">
        <v>109</v>
      </c>
      <c r="G328" s="5" t="s">
        <v>69</v>
      </c>
      <c r="H328" s="5">
        <v>16</v>
      </c>
      <c r="I328" s="5" t="s">
        <v>70</v>
      </c>
      <c r="J328" s="34" t="s">
        <v>694</v>
      </c>
      <c r="K328" s="31">
        <v>40523</v>
      </c>
      <c r="L328" s="5" t="s">
        <v>72</v>
      </c>
      <c r="M328" s="32"/>
      <c r="N328" s="6">
        <f t="shared" si="52"/>
        <v>0</v>
      </c>
      <c r="O328" s="4" t="s">
        <v>109</v>
      </c>
      <c r="P328" s="5" t="str">
        <f t="shared" si="53"/>
        <v>Hyderabad</v>
      </c>
      <c r="Q328" s="5" t="str">
        <f t="shared" si="54"/>
        <v>Orthopedics</v>
      </c>
      <c r="R328" s="6" t="str">
        <f t="shared" si="55"/>
        <v>Manipal</v>
      </c>
      <c r="S328" s="6" t="str">
        <f t="shared" si="56"/>
        <v>Cash</v>
      </c>
      <c r="T328" s="6" t="str">
        <f t="shared" si="57"/>
        <v>Female</v>
      </c>
      <c r="U328" s="6" t="str">
        <f t="shared" si="50"/>
        <v>ICU</v>
      </c>
      <c r="V328" s="6" t="str" cm="1">
        <f t="array" ref="V328">IF(TRIM(S328)="",INDEX($S$2:$S$1500,MATCH(MAX(COUNTIF($S$2:$S$1500,S328)),COUNTIF($S$2:$S$1500,$S$2:$S$1500),0)),S328)</f>
        <v>Cash</v>
      </c>
      <c r="W328" s="7" cm="1">
        <f t="array" ref="W328">IF(OR(TRIM(K328)="",TRIM(K328)="-"), MEDIAN(IF($E$2:$E$1500=E328,$K$2:$K$1500)),  VALUE(SUBSTITUTE(SUBSTITUTE(SUBSTITUTE(K328,"Rs. ",""),"₹",""),",","")))</f>
        <v>40523</v>
      </c>
      <c r="X328" s="8">
        <f t="shared" si="58"/>
        <v>0</v>
      </c>
      <c r="Y328" s="7">
        <f t="shared" si="59"/>
        <v>40523</v>
      </c>
      <c r="Z328" s="9" t="str">
        <f t="shared" si="51"/>
        <v>TEEN</v>
      </c>
    </row>
    <row r="329" spans="1:26" x14ac:dyDescent="0.3">
      <c r="A329" s="5" t="s">
        <v>850</v>
      </c>
      <c r="B329" s="5" t="s">
        <v>106</v>
      </c>
      <c r="C329" s="5" t="s">
        <v>307</v>
      </c>
      <c r="D329" s="5" t="s">
        <v>36</v>
      </c>
      <c r="E329" s="5" t="s">
        <v>93</v>
      </c>
      <c r="F329" s="5" t="s">
        <v>144</v>
      </c>
      <c r="G329" s="5" t="s">
        <v>49</v>
      </c>
      <c r="H329" s="5">
        <v>34</v>
      </c>
      <c r="I329" s="5" t="s">
        <v>70</v>
      </c>
      <c r="J329" s="34" t="s">
        <v>851</v>
      </c>
      <c r="K329" s="31" t="s">
        <v>852</v>
      </c>
      <c r="L329" s="5" t="s">
        <v>311</v>
      </c>
      <c r="M329" s="32" t="s">
        <v>64</v>
      </c>
      <c r="N329" s="6" t="str">
        <f t="shared" si="52"/>
        <v>NA</v>
      </c>
      <c r="O329" s="4" t="s">
        <v>144</v>
      </c>
      <c r="P329" s="5" t="str">
        <f t="shared" si="53"/>
        <v>Chennai</v>
      </c>
      <c r="Q329" s="5" t="str">
        <f t="shared" si="54"/>
        <v>Nephrology</v>
      </c>
      <c r="R329" s="6" t="str">
        <f t="shared" si="55"/>
        <v>Aiims</v>
      </c>
      <c r="S329" s="6" t="str">
        <f t="shared" si="56"/>
        <v>UPI</v>
      </c>
      <c r="T329" s="6" t="str">
        <f t="shared" si="57"/>
        <v>Female</v>
      </c>
      <c r="U329" s="6" t="str">
        <f t="shared" si="50"/>
        <v>General</v>
      </c>
      <c r="V329" s="6" t="str" cm="1">
        <f t="array" ref="V329">IF(TRIM(S329)="",INDEX($S$2:$S$1500,MATCH(MAX(COUNTIF($S$2:$S$1500,S329)),COUNTIF($S$2:$S$1500,$S$2:$S$1500),0)),S329)</f>
        <v>UPI</v>
      </c>
      <c r="W329" s="7" cm="1">
        <f t="array" ref="W329">IF(OR(TRIM(K329)="",TRIM(K329)="-"), MEDIAN(IF($E$2:$E$1500=E329,$K$2:$K$1500)),  VALUE(SUBSTITUTE(SUBSTITUTE(SUBSTITUTE(K329,"Rs. ",""),"₹",""),",","")))</f>
        <v>5996</v>
      </c>
      <c r="X329" s="8">
        <f t="shared" si="58"/>
        <v>3</v>
      </c>
      <c r="Y329" s="7">
        <f t="shared" si="59"/>
        <v>5816</v>
      </c>
      <c r="Z329" s="9" t="str">
        <f t="shared" si="51"/>
        <v>ADULT</v>
      </c>
    </row>
    <row r="330" spans="1:26" x14ac:dyDescent="0.3">
      <c r="A330" s="5" t="s">
        <v>853</v>
      </c>
      <c r="B330" s="5" t="s">
        <v>25</v>
      </c>
      <c r="C330" s="5" t="s">
        <v>54</v>
      </c>
      <c r="D330" s="5" t="s">
        <v>66</v>
      </c>
      <c r="E330" s="5" t="s">
        <v>37</v>
      </c>
      <c r="F330" s="5" t="s">
        <v>56</v>
      </c>
      <c r="G330" s="5" t="s">
        <v>19</v>
      </c>
      <c r="H330" s="5">
        <v>29</v>
      </c>
      <c r="I330" s="5" t="s">
        <v>20</v>
      </c>
      <c r="J330" s="34" t="s">
        <v>854</v>
      </c>
      <c r="K330" s="31">
        <v>16650</v>
      </c>
      <c r="L330" s="5" t="s">
        <v>72</v>
      </c>
      <c r="M330" s="32">
        <v>0</v>
      </c>
      <c r="N330" s="6">
        <f t="shared" si="52"/>
        <v>0</v>
      </c>
      <c r="O330" s="4" t="s">
        <v>56</v>
      </c>
      <c r="P330" s="5" t="str">
        <f t="shared" si="53"/>
        <v>Kolkata</v>
      </c>
      <c r="Q330" s="5" t="str">
        <f t="shared" si="54"/>
        <v>Pediatrics</v>
      </c>
      <c r="R330" s="6" t="str">
        <f t="shared" si="55"/>
        <v>Narayana</v>
      </c>
      <c r="S330" s="6" t="str">
        <f t="shared" si="56"/>
        <v>Cash</v>
      </c>
      <c r="T330" s="6" t="str">
        <f t="shared" si="57"/>
        <v>Male</v>
      </c>
      <c r="U330" s="6" t="str">
        <f t="shared" si="50"/>
        <v>General</v>
      </c>
      <c r="V330" s="6" t="str" cm="1">
        <f t="array" ref="V330">IF(TRIM(S330)="",INDEX($S$2:$S$1500,MATCH(MAX(COUNTIF($S$2:$S$1500,S330)),COUNTIF($S$2:$S$1500,$S$2:$S$1500),0)),S330)</f>
        <v>Cash</v>
      </c>
      <c r="W330" s="7" cm="1">
        <f t="array" ref="W330">IF(OR(TRIM(K330)="",TRIM(K330)="-"), MEDIAN(IF($E$2:$E$1500=E330,$K$2:$K$1500)),  VALUE(SUBSTITUTE(SUBSTITUTE(SUBSTITUTE(K330,"Rs. ",""),"₹",""),",","")))</f>
        <v>16650</v>
      </c>
      <c r="X330" s="8">
        <f t="shared" si="58"/>
        <v>0</v>
      </c>
      <c r="Y330" s="7">
        <f t="shared" si="59"/>
        <v>16650</v>
      </c>
      <c r="Z330" s="9" t="str">
        <f t="shared" si="51"/>
        <v>ADULT</v>
      </c>
    </row>
    <row r="331" spans="1:26" x14ac:dyDescent="0.3">
      <c r="A331" s="5" t="s">
        <v>855</v>
      </c>
      <c r="B331" s="5" t="s">
        <v>106</v>
      </c>
      <c r="C331" s="5" t="s">
        <v>107</v>
      </c>
      <c r="D331" s="5" t="s">
        <v>27</v>
      </c>
      <c r="E331" s="5" t="s">
        <v>17</v>
      </c>
      <c r="F331" s="5" t="s">
        <v>169</v>
      </c>
      <c r="G331" s="5" t="s">
        <v>49</v>
      </c>
      <c r="H331" s="5">
        <v>73</v>
      </c>
      <c r="I331" s="5" t="s">
        <v>40</v>
      </c>
      <c r="J331" s="34" t="s">
        <v>648</v>
      </c>
      <c r="K331" s="31">
        <v>5079</v>
      </c>
      <c r="L331" s="5" t="s">
        <v>23</v>
      </c>
      <c r="M331" s="32">
        <v>0</v>
      </c>
      <c r="N331" s="6">
        <f t="shared" si="52"/>
        <v>0</v>
      </c>
      <c r="O331" s="4" t="s">
        <v>169</v>
      </c>
      <c r="P331" s="5" t="str">
        <f t="shared" si="53"/>
        <v>Mumbai</v>
      </c>
      <c r="Q331" s="5" t="str">
        <f t="shared" si="54"/>
        <v>Gynecology</v>
      </c>
      <c r="R331" s="6" t="str">
        <f t="shared" si="55"/>
        <v>Aiims</v>
      </c>
      <c r="S331" s="6" t="str">
        <f t="shared" si="56"/>
        <v>Credit Card</v>
      </c>
      <c r="T331" s="6" t="str">
        <f t="shared" si="57"/>
        <v>Female</v>
      </c>
      <c r="U331" s="6" t="str">
        <f t="shared" si="50"/>
        <v>General</v>
      </c>
      <c r="V331" s="6" t="str" cm="1">
        <f t="array" ref="V331">IF(TRIM(S331)="",INDEX($S$2:$S$1500,MATCH(MAX(COUNTIF($S$2:$S$1500,S331)),COUNTIF($S$2:$S$1500,$S$2:$S$1500),0)),S331)</f>
        <v>Credit Card</v>
      </c>
      <c r="W331" s="7" cm="1">
        <f t="array" ref="W331">IF(OR(TRIM(K331)="",TRIM(K331)="-"), MEDIAN(IF($E$2:$E$1500=E331,$K$2:$K$1500)),  VALUE(SUBSTITUTE(SUBSTITUTE(SUBSTITUTE(K331,"Rs. ",""),"₹",""),",","")))</f>
        <v>5079</v>
      </c>
      <c r="X331" s="8">
        <f t="shared" si="58"/>
        <v>0</v>
      </c>
      <c r="Y331" s="7">
        <f t="shared" si="59"/>
        <v>5079</v>
      </c>
      <c r="Z331" s="9" t="str">
        <f t="shared" si="51"/>
        <v>SENIOR</v>
      </c>
    </row>
    <row r="332" spans="1:26" x14ac:dyDescent="0.3">
      <c r="A332" s="5" t="s">
        <v>856</v>
      </c>
      <c r="B332" s="5" t="s">
        <v>106</v>
      </c>
      <c r="C332" s="5" t="s">
        <v>107</v>
      </c>
      <c r="D332" s="5" t="s">
        <v>189</v>
      </c>
      <c r="E332" s="5" t="s">
        <v>67</v>
      </c>
      <c r="F332" s="5" t="s">
        <v>89</v>
      </c>
      <c r="G332" s="5" t="s">
        <v>101</v>
      </c>
      <c r="H332" s="5">
        <v>15</v>
      </c>
      <c r="I332" s="5" t="s">
        <v>20</v>
      </c>
      <c r="J332" s="34" t="s">
        <v>527</v>
      </c>
      <c r="K332" s="31" t="s">
        <v>857</v>
      </c>
      <c r="L332" s="5" t="s">
        <v>72</v>
      </c>
      <c r="M332" s="32" t="s">
        <v>130</v>
      </c>
      <c r="N332" s="6">
        <f t="shared" si="52"/>
        <v>0</v>
      </c>
      <c r="O332" s="4" t="s">
        <v>89</v>
      </c>
      <c r="P332" s="5" t="str">
        <f t="shared" si="53"/>
        <v>Delhi</v>
      </c>
      <c r="Q332" s="5" t="str">
        <f t="shared" si="54"/>
        <v>Neurology</v>
      </c>
      <c r="R332" s="6" t="str">
        <f t="shared" si="55"/>
        <v>Aiims</v>
      </c>
      <c r="S332" s="6" t="str">
        <f t="shared" si="56"/>
        <v>Cash</v>
      </c>
      <c r="T332" s="6" t="str">
        <f t="shared" si="57"/>
        <v>Male</v>
      </c>
      <c r="U332" s="6" t="str">
        <f t="shared" si="50"/>
        <v>ICU</v>
      </c>
      <c r="V332" s="6" t="str" cm="1">
        <f t="array" ref="V332">IF(TRIM(S332)="",INDEX($S$2:$S$1500,MATCH(MAX(COUNTIF($S$2:$S$1500,S332)),COUNTIF($S$2:$S$1500,$S$2:$S$1500),0)),S332)</f>
        <v>Cash</v>
      </c>
      <c r="W332" s="7" cm="1">
        <f t="array" ref="W332">IF(OR(TRIM(K332)="",TRIM(K332)="-"), MEDIAN(IF($E$2:$E$1500=E332,$K$2:$K$1500)),  VALUE(SUBSTITUTE(SUBSTITUTE(SUBSTITUTE(K332,"Rs. ",""),"₹",""),",","")))</f>
        <v>27046</v>
      </c>
      <c r="X332" s="8">
        <f t="shared" si="58"/>
        <v>0</v>
      </c>
      <c r="Y332" s="7">
        <f t="shared" si="59"/>
        <v>27046</v>
      </c>
      <c r="Z332" s="9" t="str">
        <f t="shared" si="51"/>
        <v>TEEN</v>
      </c>
    </row>
    <row r="333" spans="1:26" x14ac:dyDescent="0.3">
      <c r="A333" s="5" t="s">
        <v>858</v>
      </c>
      <c r="B333" s="5" t="s">
        <v>45</v>
      </c>
      <c r="C333" s="5" t="s">
        <v>334</v>
      </c>
      <c r="D333" s="5" t="s">
        <v>80</v>
      </c>
      <c r="E333" s="5" t="s">
        <v>99</v>
      </c>
      <c r="F333" s="5" t="s">
        <v>256</v>
      </c>
      <c r="G333" s="5" t="s">
        <v>49</v>
      </c>
      <c r="H333" s="5">
        <v>31</v>
      </c>
      <c r="I333" s="5" t="s">
        <v>70</v>
      </c>
      <c r="J333" s="34" t="s">
        <v>859</v>
      </c>
      <c r="K333" s="31">
        <v>8091</v>
      </c>
      <c r="L333" s="5" t="s">
        <v>34</v>
      </c>
      <c r="M333" s="32">
        <v>0</v>
      </c>
      <c r="N333" s="6">
        <f t="shared" si="52"/>
        <v>0</v>
      </c>
      <c r="O333" s="4" t="s">
        <v>256</v>
      </c>
      <c r="P333" s="5" t="str">
        <f t="shared" si="53"/>
        <v>Ahmedabad</v>
      </c>
      <c r="Q333" s="5" t="str">
        <f t="shared" si="54"/>
        <v>Ent</v>
      </c>
      <c r="R333" s="6" t="str">
        <f t="shared" si="55"/>
        <v>Fortis</v>
      </c>
      <c r="S333" s="6" t="str">
        <f t="shared" si="56"/>
        <v>Cash</v>
      </c>
      <c r="T333" s="6" t="str">
        <f t="shared" si="57"/>
        <v>Female</v>
      </c>
      <c r="U333" s="6" t="str">
        <f t="shared" si="50"/>
        <v>General</v>
      </c>
      <c r="V333" s="6" t="str" cm="1">
        <f t="array" ref="V333">IF(TRIM(S333)="",INDEX($S$2:$S$1500,MATCH(MAX(COUNTIF($S$2:$S$1500,S333)),COUNTIF($S$2:$S$1500,$S$2:$S$1500),0)),S333)</f>
        <v>Cash</v>
      </c>
      <c r="W333" s="7" cm="1">
        <f t="array" ref="W333">IF(OR(TRIM(K333)="",TRIM(K333)="-"), MEDIAN(IF($E$2:$E$1500=E333,$K$2:$K$1500)),  VALUE(SUBSTITUTE(SUBSTITUTE(SUBSTITUTE(K333,"Rs. ",""),"₹",""),",","")))</f>
        <v>8091</v>
      </c>
      <c r="X333" s="8">
        <f t="shared" si="58"/>
        <v>0</v>
      </c>
      <c r="Y333" s="7">
        <f t="shared" si="59"/>
        <v>8091</v>
      </c>
      <c r="Z333" s="9" t="str">
        <f t="shared" si="51"/>
        <v>ADULT</v>
      </c>
    </row>
    <row r="334" spans="1:26" x14ac:dyDescent="0.3">
      <c r="A334" s="5" t="s">
        <v>860</v>
      </c>
      <c r="B334" s="5" t="s">
        <v>78</v>
      </c>
      <c r="C334" s="5" t="s">
        <v>79</v>
      </c>
      <c r="D334" s="5" t="s">
        <v>55</v>
      </c>
      <c r="E334" s="5" t="s">
        <v>108</v>
      </c>
      <c r="F334" s="5" t="s">
        <v>272</v>
      </c>
      <c r="G334" s="5" t="s">
        <v>62</v>
      </c>
      <c r="H334" s="5">
        <v>72</v>
      </c>
      <c r="I334" s="5" t="s">
        <v>31</v>
      </c>
      <c r="J334" s="34" t="s">
        <v>222</v>
      </c>
      <c r="K334" s="31" t="s">
        <v>861</v>
      </c>
      <c r="L334" s="5" t="s">
        <v>211</v>
      </c>
      <c r="M334" s="32" t="s">
        <v>130</v>
      </c>
      <c r="N334" s="6">
        <f t="shared" si="52"/>
        <v>0</v>
      </c>
      <c r="O334" s="4" t="s">
        <v>272</v>
      </c>
      <c r="P334" s="5" t="str">
        <f t="shared" si="53"/>
        <v>Hyderabad</v>
      </c>
      <c r="Q334" s="5" t="str">
        <f t="shared" si="54"/>
        <v>Orthopedics</v>
      </c>
      <c r="R334" s="6" t="str">
        <f t="shared" si="55"/>
        <v>Apollo</v>
      </c>
      <c r="S334" s="6" t="str">
        <f t="shared" si="56"/>
        <v>Credit Card</v>
      </c>
      <c r="T334" s="6" t="str">
        <f t="shared" si="57"/>
        <v>Male</v>
      </c>
      <c r="U334" s="6" t="str">
        <f t="shared" ref="U334:U397" si="60">IF(OR(UPPER(TRIM(G334))="GENERAL",UPPER(TRIM(G334))="GENRAL"),"General",IF(UPPER(TRIM(G334))="ICU","ICU","Unknown"))</f>
        <v>ICU</v>
      </c>
      <c r="V334" s="6" t="str" cm="1">
        <f t="array" ref="V334">IF(TRIM(S334)="",INDEX($S$2:$S$1500,MATCH(MAX(COUNTIF($S$2:$S$1500,S334)),COUNTIF($S$2:$S$1500,$S$2:$S$1500),0)),S334)</f>
        <v>Credit Card</v>
      </c>
      <c r="W334" s="7" cm="1">
        <f t="array" ref="W334">IF(OR(TRIM(K334)="",TRIM(K334)="-"), MEDIAN(IF($E$2:$E$1500=E334,$K$2:$K$1500)),  VALUE(SUBSTITUTE(SUBSTITUTE(SUBSTITUTE(K334,"Rs. ",""),"₹",""),",","")))</f>
        <v>89885</v>
      </c>
      <c r="X334" s="8">
        <f t="shared" si="58"/>
        <v>0</v>
      </c>
      <c r="Y334" s="7">
        <f t="shared" si="59"/>
        <v>89885</v>
      </c>
      <c r="Z334" s="9" t="str">
        <f t="shared" si="51"/>
        <v>SENIOR</v>
      </c>
    </row>
    <row r="335" spans="1:26" x14ac:dyDescent="0.3">
      <c r="A335" s="5" t="s">
        <v>862</v>
      </c>
      <c r="B335" s="5" t="s">
        <v>25</v>
      </c>
      <c r="C335" s="5" t="s">
        <v>54</v>
      </c>
      <c r="D335" s="5" t="s">
        <v>36</v>
      </c>
      <c r="E335" s="5" t="s">
        <v>47</v>
      </c>
      <c r="F335" s="5" t="s">
        <v>48</v>
      </c>
      <c r="G335" s="5" t="s">
        <v>39</v>
      </c>
      <c r="H335" s="5">
        <v>54</v>
      </c>
      <c r="I335" s="5" t="s">
        <v>40</v>
      </c>
      <c r="J335" s="34" t="s">
        <v>863</v>
      </c>
      <c r="K335" s="31" t="s">
        <v>864</v>
      </c>
      <c r="L335" s="5" t="s">
        <v>115</v>
      </c>
      <c r="M335" s="32">
        <v>5</v>
      </c>
      <c r="N335" s="6">
        <f t="shared" si="52"/>
        <v>5</v>
      </c>
      <c r="O335" s="4" t="s">
        <v>48</v>
      </c>
      <c r="P335" s="5" t="str">
        <f t="shared" si="53"/>
        <v>Chennai</v>
      </c>
      <c r="Q335" s="5" t="str">
        <f t="shared" si="54"/>
        <v>Gastroenterology</v>
      </c>
      <c r="R335" s="6" t="str">
        <f t="shared" si="55"/>
        <v>Narayana</v>
      </c>
      <c r="S335" s="6" t="str">
        <f t="shared" si="56"/>
        <v>Cash</v>
      </c>
      <c r="T335" s="6" t="str">
        <f t="shared" si="57"/>
        <v>Female</v>
      </c>
      <c r="U335" s="6" t="str">
        <f t="shared" si="60"/>
        <v>General</v>
      </c>
      <c r="V335" s="6" t="str" cm="1">
        <f t="array" ref="V335">IF(TRIM(S335)="",INDEX($S$2:$S$1500,MATCH(MAX(COUNTIF($S$2:$S$1500,S335)),COUNTIF($S$2:$S$1500,$S$2:$S$1500),0)),S335)</f>
        <v>Cash</v>
      </c>
      <c r="W335" s="7" cm="1">
        <f t="array" ref="W335">IF(OR(TRIM(K335)="",TRIM(K335)="-"), MEDIAN(IF($E$2:$E$1500=E335,$K$2:$K$1500)),  VALUE(SUBSTITUTE(SUBSTITUTE(SUBSTITUTE(K335,"Rs. ",""),"₹",""),",","")))</f>
        <v>9076</v>
      </c>
      <c r="X335" s="8">
        <f t="shared" si="58"/>
        <v>5</v>
      </c>
      <c r="Y335" s="7">
        <f t="shared" si="59"/>
        <v>8622</v>
      </c>
      <c r="Z335" s="9" t="str">
        <f t="shared" si="51"/>
        <v>ADULT</v>
      </c>
    </row>
    <row r="336" spans="1:26" x14ac:dyDescent="0.3">
      <c r="A336" s="5" t="s">
        <v>865</v>
      </c>
      <c r="B336" s="5" t="s">
        <v>45</v>
      </c>
      <c r="C336" s="5" t="s">
        <v>46</v>
      </c>
      <c r="D336" s="5" t="s">
        <v>61</v>
      </c>
      <c r="E336" s="5" t="s">
        <v>93</v>
      </c>
      <c r="F336" s="5" t="s">
        <v>94</v>
      </c>
      <c r="G336" s="5" t="s">
        <v>39</v>
      </c>
      <c r="H336" s="5">
        <v>33</v>
      </c>
      <c r="I336" s="5" t="s">
        <v>40</v>
      </c>
      <c r="J336" s="34" t="s">
        <v>866</v>
      </c>
      <c r="K336" s="31">
        <v>9976</v>
      </c>
      <c r="L336" s="5" t="s">
        <v>58</v>
      </c>
      <c r="M336" s="32" t="s">
        <v>64</v>
      </c>
      <c r="N336" s="6" t="str">
        <f t="shared" si="52"/>
        <v>NA</v>
      </c>
      <c r="O336" s="4" t="s">
        <v>94</v>
      </c>
      <c r="P336" s="5" t="str">
        <f t="shared" si="53"/>
        <v>Pune</v>
      </c>
      <c r="Q336" s="5" t="str">
        <f t="shared" si="54"/>
        <v>Nephrology</v>
      </c>
      <c r="R336" s="6" t="str">
        <f t="shared" si="55"/>
        <v>Fortis</v>
      </c>
      <c r="S336" s="6" t="str">
        <f t="shared" si="56"/>
        <v>UPI</v>
      </c>
      <c r="T336" s="6" t="str">
        <f t="shared" si="57"/>
        <v>Female</v>
      </c>
      <c r="U336" s="6" t="str">
        <f t="shared" si="60"/>
        <v>General</v>
      </c>
      <c r="V336" s="6" t="str" cm="1">
        <f t="array" ref="V336">IF(TRIM(S336)="",INDEX($S$2:$S$1500,MATCH(MAX(COUNTIF($S$2:$S$1500,S336)),COUNTIF($S$2:$S$1500,$S$2:$S$1500),0)),S336)</f>
        <v>UPI</v>
      </c>
      <c r="W336" s="7" cm="1">
        <f t="array" ref="W336">IF(OR(TRIM(K336)="",TRIM(K336)="-"), MEDIAN(IF($E$2:$E$1500=E336,$K$2:$K$1500)),  VALUE(SUBSTITUTE(SUBSTITUTE(SUBSTITUTE(K336,"Rs. ",""),"₹",""),",","")))</f>
        <v>9976</v>
      </c>
      <c r="X336" s="8">
        <f t="shared" si="58"/>
        <v>3</v>
      </c>
      <c r="Y336" s="7">
        <f t="shared" si="59"/>
        <v>9677</v>
      </c>
      <c r="Z336" s="9" t="str">
        <f t="shared" si="51"/>
        <v>ADULT</v>
      </c>
    </row>
    <row r="337" spans="1:26" x14ac:dyDescent="0.3">
      <c r="A337" s="5" t="s">
        <v>867</v>
      </c>
      <c r="B337" s="5" t="s">
        <v>106</v>
      </c>
      <c r="C337" s="5" t="s">
        <v>307</v>
      </c>
      <c r="D337" s="5" t="s">
        <v>36</v>
      </c>
      <c r="E337" s="5" t="s">
        <v>28</v>
      </c>
      <c r="F337" s="5" t="s">
        <v>268</v>
      </c>
      <c r="G337" s="5" t="s">
        <v>19</v>
      </c>
      <c r="H337" s="5">
        <v>89</v>
      </c>
      <c r="I337" s="5" t="s">
        <v>20</v>
      </c>
      <c r="J337" s="34" t="s">
        <v>868</v>
      </c>
      <c r="K337" s="31" t="s">
        <v>869</v>
      </c>
      <c r="L337" s="5" t="s">
        <v>211</v>
      </c>
      <c r="M337" s="32" t="s">
        <v>130</v>
      </c>
      <c r="N337" s="6">
        <f t="shared" si="52"/>
        <v>0</v>
      </c>
      <c r="O337" s="4" t="s">
        <v>268</v>
      </c>
      <c r="P337" s="5" t="str">
        <f t="shared" si="53"/>
        <v>Chennai</v>
      </c>
      <c r="Q337" s="5" t="str">
        <f t="shared" si="54"/>
        <v>Oncology</v>
      </c>
      <c r="R337" s="6" t="str">
        <f t="shared" si="55"/>
        <v>Aiims</v>
      </c>
      <c r="S337" s="6" t="str">
        <f t="shared" si="56"/>
        <v>Credit Card</v>
      </c>
      <c r="T337" s="6" t="str">
        <f t="shared" si="57"/>
        <v>Male</v>
      </c>
      <c r="U337" s="6" t="str">
        <f t="shared" si="60"/>
        <v>General</v>
      </c>
      <c r="V337" s="6" t="str" cm="1">
        <f t="array" ref="V337">IF(TRIM(S337)="",INDEX($S$2:$S$1500,MATCH(MAX(COUNTIF($S$2:$S$1500,S337)),COUNTIF($S$2:$S$1500,$S$2:$S$1500),0)),S337)</f>
        <v>Credit Card</v>
      </c>
      <c r="W337" s="7" cm="1">
        <f t="array" ref="W337">IF(OR(TRIM(K337)="",TRIM(K337)="-"), MEDIAN(IF($E$2:$E$1500=E337,$K$2:$K$1500)),  VALUE(SUBSTITUTE(SUBSTITUTE(SUBSTITUTE(K337,"Rs. ",""),"₹",""),",","")))</f>
        <v>4994</v>
      </c>
      <c r="X337" s="8">
        <f t="shared" si="58"/>
        <v>0</v>
      </c>
      <c r="Y337" s="7">
        <f t="shared" si="59"/>
        <v>4994</v>
      </c>
      <c r="Z337" s="9" t="str">
        <f t="shared" si="51"/>
        <v>SENIOR</v>
      </c>
    </row>
    <row r="338" spans="1:26" x14ac:dyDescent="0.3">
      <c r="A338" s="5" t="s">
        <v>870</v>
      </c>
      <c r="B338" s="5" t="s">
        <v>106</v>
      </c>
      <c r="C338" s="5" t="s">
        <v>107</v>
      </c>
      <c r="D338" s="5" t="s">
        <v>16</v>
      </c>
      <c r="E338" s="5" t="s">
        <v>99</v>
      </c>
      <c r="F338" s="5" t="s">
        <v>372</v>
      </c>
      <c r="G338" s="5" t="s">
        <v>49</v>
      </c>
      <c r="H338" s="5">
        <v>6</v>
      </c>
      <c r="I338" s="5" t="s">
        <v>70</v>
      </c>
      <c r="J338" s="34" t="s">
        <v>871</v>
      </c>
      <c r="K338" s="31">
        <v>14104</v>
      </c>
      <c r="L338" s="5" t="s">
        <v>52</v>
      </c>
      <c r="M338" s="32" t="s">
        <v>130</v>
      </c>
      <c r="N338" s="6">
        <f t="shared" si="52"/>
        <v>0</v>
      </c>
      <c r="O338" s="4" t="s">
        <v>372</v>
      </c>
      <c r="P338" s="5" t="str">
        <f t="shared" si="53"/>
        <v>Bangalore</v>
      </c>
      <c r="Q338" s="5" t="str">
        <f t="shared" si="54"/>
        <v>Ent</v>
      </c>
      <c r="R338" s="6" t="str">
        <f t="shared" si="55"/>
        <v>Aiims</v>
      </c>
      <c r="S338" s="6" t="str">
        <f t="shared" si="56"/>
        <v>Credit Card</v>
      </c>
      <c r="T338" s="6" t="str">
        <f t="shared" si="57"/>
        <v>Female</v>
      </c>
      <c r="U338" s="6" t="str">
        <f t="shared" si="60"/>
        <v>General</v>
      </c>
      <c r="V338" s="6" t="str" cm="1">
        <f t="array" ref="V338">IF(TRIM(S338)="",INDEX($S$2:$S$1500,MATCH(MAX(COUNTIF($S$2:$S$1500,S338)),COUNTIF($S$2:$S$1500,$S$2:$S$1500),0)),S338)</f>
        <v>Credit Card</v>
      </c>
      <c r="W338" s="7" cm="1">
        <f t="array" ref="W338">IF(OR(TRIM(K338)="",TRIM(K338)="-"), MEDIAN(IF($E$2:$E$1500=E338,$K$2:$K$1500)),  VALUE(SUBSTITUTE(SUBSTITUTE(SUBSTITUTE(K338,"Rs. ",""),"₹",""),",","")))</f>
        <v>14104</v>
      </c>
      <c r="X338" s="8">
        <f t="shared" si="58"/>
        <v>0</v>
      </c>
      <c r="Y338" s="7">
        <f t="shared" si="59"/>
        <v>14104</v>
      </c>
      <c r="Z338" s="9" t="str">
        <f t="shared" si="51"/>
        <v>CHILD</v>
      </c>
    </row>
    <row r="339" spans="1:26" x14ac:dyDescent="0.3">
      <c r="A339" s="5" t="s">
        <v>872</v>
      </c>
      <c r="B339" s="5" t="s">
        <v>45</v>
      </c>
      <c r="C339" s="5" t="s">
        <v>46</v>
      </c>
      <c r="D339" s="5" t="s">
        <v>16</v>
      </c>
      <c r="E339" s="5" t="s">
        <v>37</v>
      </c>
      <c r="F339" s="5" t="s">
        <v>56</v>
      </c>
      <c r="G339" s="5" t="s">
        <v>30</v>
      </c>
      <c r="H339" s="5">
        <v>43</v>
      </c>
      <c r="I339" s="5" t="s">
        <v>20</v>
      </c>
      <c r="J339" s="34" t="s">
        <v>873</v>
      </c>
      <c r="K339" s="31">
        <v>8670</v>
      </c>
      <c r="L339" s="5" t="s">
        <v>34</v>
      </c>
      <c r="M339" s="32" t="s">
        <v>64</v>
      </c>
      <c r="N339" s="6" t="str">
        <f t="shared" si="52"/>
        <v>NA</v>
      </c>
      <c r="O339" s="4" t="s">
        <v>56</v>
      </c>
      <c r="P339" s="5" t="str">
        <f t="shared" si="53"/>
        <v>Bangalore</v>
      </c>
      <c r="Q339" s="5" t="str">
        <f t="shared" si="54"/>
        <v>Pediatrics</v>
      </c>
      <c r="R339" s="6" t="str">
        <f t="shared" si="55"/>
        <v>Fortis</v>
      </c>
      <c r="S339" s="6" t="str">
        <f t="shared" si="56"/>
        <v>Cash</v>
      </c>
      <c r="T339" s="6" t="str">
        <f t="shared" si="57"/>
        <v>Male</v>
      </c>
      <c r="U339" s="6" t="str">
        <f t="shared" si="60"/>
        <v>General</v>
      </c>
      <c r="V339" s="6" t="str" cm="1">
        <f t="array" ref="V339">IF(TRIM(S339)="",INDEX($S$2:$S$1500,MATCH(MAX(COUNTIF($S$2:$S$1500,S339)),COUNTIF($S$2:$S$1500,$S$2:$S$1500),0)),S339)</f>
        <v>Cash</v>
      </c>
      <c r="W339" s="7" cm="1">
        <f t="array" ref="W339">IF(OR(TRIM(K339)="",TRIM(K339)="-"), MEDIAN(IF($E$2:$E$1500=E339,$K$2:$K$1500)),  VALUE(SUBSTITUTE(SUBSTITUTE(SUBSTITUTE(K339,"Rs. ",""),"₹",""),",","")))</f>
        <v>8670</v>
      </c>
      <c r="X339" s="8">
        <f t="shared" si="58"/>
        <v>3</v>
      </c>
      <c r="Y339" s="7">
        <f t="shared" si="59"/>
        <v>8410</v>
      </c>
      <c r="Z339" s="9" t="str">
        <f t="shared" si="51"/>
        <v>ADULT</v>
      </c>
    </row>
    <row r="340" spans="1:26" x14ac:dyDescent="0.3">
      <c r="A340" s="5" t="s">
        <v>874</v>
      </c>
      <c r="B340" s="5" t="s">
        <v>117</v>
      </c>
      <c r="C340" s="5" t="s">
        <v>182</v>
      </c>
      <c r="D340" s="5" t="s">
        <v>61</v>
      </c>
      <c r="E340" s="5" t="s">
        <v>47</v>
      </c>
      <c r="F340" s="5" t="s">
        <v>48</v>
      </c>
      <c r="G340" s="5" t="s">
        <v>101</v>
      </c>
      <c r="H340" s="5">
        <v>49</v>
      </c>
      <c r="I340" s="5" t="s">
        <v>20</v>
      </c>
      <c r="J340" s="34" t="s">
        <v>743</v>
      </c>
      <c r="K340" s="31" t="s">
        <v>875</v>
      </c>
      <c r="L340" s="5" t="s">
        <v>72</v>
      </c>
      <c r="M340" s="32">
        <v>10</v>
      </c>
      <c r="N340" s="6">
        <f t="shared" si="52"/>
        <v>10</v>
      </c>
      <c r="O340" s="4" t="s">
        <v>48</v>
      </c>
      <c r="P340" s="5" t="str">
        <f t="shared" si="53"/>
        <v>Pune</v>
      </c>
      <c r="Q340" s="5" t="str">
        <f t="shared" si="54"/>
        <v>Gastroenterology</v>
      </c>
      <c r="R340" s="6" t="str">
        <f t="shared" si="55"/>
        <v>Manipal</v>
      </c>
      <c r="S340" s="6" t="str">
        <f t="shared" si="56"/>
        <v>Cash</v>
      </c>
      <c r="T340" s="6" t="str">
        <f t="shared" si="57"/>
        <v>Male</v>
      </c>
      <c r="U340" s="6" t="str">
        <f t="shared" si="60"/>
        <v>ICU</v>
      </c>
      <c r="V340" s="6" t="str" cm="1">
        <f t="array" ref="V340">IF(TRIM(S340)="",INDEX($S$2:$S$1500,MATCH(MAX(COUNTIF($S$2:$S$1500,S340)),COUNTIF($S$2:$S$1500,$S$2:$S$1500),0)),S340)</f>
        <v>Cash</v>
      </c>
      <c r="W340" s="7" cm="1">
        <f t="array" ref="W340">IF(OR(TRIM(K340)="",TRIM(K340)="-"), MEDIAN(IF($E$2:$E$1500=E340,$K$2:$K$1500)),  VALUE(SUBSTITUTE(SUBSTITUTE(SUBSTITUTE(K340,"Rs. ",""),"₹",""),",","")))</f>
        <v>68728</v>
      </c>
      <c r="X340" s="8">
        <f t="shared" si="58"/>
        <v>10</v>
      </c>
      <c r="Y340" s="7">
        <f t="shared" si="59"/>
        <v>61855</v>
      </c>
      <c r="Z340" s="9" t="str">
        <f t="shared" si="51"/>
        <v>ADULT</v>
      </c>
    </row>
    <row r="341" spans="1:26" x14ac:dyDescent="0.3">
      <c r="A341" s="5" t="s">
        <v>876</v>
      </c>
      <c r="B341" s="5" t="s">
        <v>25</v>
      </c>
      <c r="C341" s="5" t="s">
        <v>26</v>
      </c>
      <c r="D341" s="5" t="s">
        <v>36</v>
      </c>
      <c r="E341" s="5" t="s">
        <v>74</v>
      </c>
      <c r="F341" s="5" t="s">
        <v>75</v>
      </c>
      <c r="G341" s="5" t="s">
        <v>30</v>
      </c>
      <c r="H341" s="5">
        <v>30</v>
      </c>
      <c r="I341" s="5" t="s">
        <v>40</v>
      </c>
      <c r="J341" s="34" t="s">
        <v>477</v>
      </c>
      <c r="K341" s="31" t="s">
        <v>877</v>
      </c>
      <c r="L341" s="5" t="s">
        <v>87</v>
      </c>
      <c r="M341" s="32">
        <v>0.1</v>
      </c>
      <c r="N341" s="6">
        <f t="shared" si="52"/>
        <v>10</v>
      </c>
      <c r="O341" s="4" t="s">
        <v>75</v>
      </c>
      <c r="P341" s="5" t="str">
        <f t="shared" si="53"/>
        <v>Chennai</v>
      </c>
      <c r="Q341" s="5" t="str">
        <f t="shared" si="54"/>
        <v>General Medicine</v>
      </c>
      <c r="R341" s="6" t="str">
        <f t="shared" si="55"/>
        <v>Narayana</v>
      </c>
      <c r="S341" s="6" t="str">
        <f t="shared" si="56"/>
        <v>Credit Card</v>
      </c>
      <c r="T341" s="6" t="str">
        <f t="shared" si="57"/>
        <v>Female</v>
      </c>
      <c r="U341" s="6" t="str">
        <f t="shared" si="60"/>
        <v>General</v>
      </c>
      <c r="V341" s="6" t="str" cm="1">
        <f t="array" ref="V341">IF(TRIM(S341)="",INDEX($S$2:$S$1500,MATCH(MAX(COUNTIF($S$2:$S$1500,S341)),COUNTIF($S$2:$S$1500,$S$2:$S$1500),0)),S341)</f>
        <v>Credit Card</v>
      </c>
      <c r="W341" s="7" cm="1">
        <f t="array" ref="W341">IF(OR(TRIM(K341)="",TRIM(K341)="-"), MEDIAN(IF($E$2:$E$1500=E341,$K$2:$K$1500)),  VALUE(SUBSTITUTE(SUBSTITUTE(SUBSTITUTE(K341,"Rs. ",""),"₹",""),",","")))</f>
        <v>13551</v>
      </c>
      <c r="X341" s="8">
        <f t="shared" si="58"/>
        <v>10</v>
      </c>
      <c r="Y341" s="7">
        <f t="shared" si="59"/>
        <v>12196</v>
      </c>
      <c r="Z341" s="9" t="str">
        <f t="shared" si="51"/>
        <v>ADULT</v>
      </c>
    </row>
    <row r="342" spans="1:26" x14ac:dyDescent="0.3">
      <c r="A342" s="5" t="s">
        <v>878</v>
      </c>
      <c r="B342" s="5" t="s">
        <v>117</v>
      </c>
      <c r="C342" s="5" t="s">
        <v>118</v>
      </c>
      <c r="D342" s="5" t="s">
        <v>66</v>
      </c>
      <c r="E342" s="5" t="s">
        <v>17</v>
      </c>
      <c r="F342" s="5" t="s">
        <v>213</v>
      </c>
      <c r="G342" s="5" t="s">
        <v>19</v>
      </c>
      <c r="H342" s="5">
        <v>52</v>
      </c>
      <c r="I342" s="5" t="s">
        <v>40</v>
      </c>
      <c r="J342" s="34" t="s">
        <v>244</v>
      </c>
      <c r="K342" s="31" t="s">
        <v>879</v>
      </c>
      <c r="L342" s="5" t="s">
        <v>87</v>
      </c>
      <c r="M342" s="32">
        <v>10</v>
      </c>
      <c r="N342" s="6">
        <f t="shared" si="52"/>
        <v>10</v>
      </c>
      <c r="O342" s="4" t="s">
        <v>213</v>
      </c>
      <c r="P342" s="5" t="str">
        <f t="shared" si="53"/>
        <v>Kolkata</v>
      </c>
      <c r="Q342" s="5" t="str">
        <f t="shared" si="54"/>
        <v>Gynecology</v>
      </c>
      <c r="R342" s="6" t="str">
        <f t="shared" si="55"/>
        <v>Manipal</v>
      </c>
      <c r="S342" s="6" t="str">
        <f t="shared" si="56"/>
        <v>Credit Card</v>
      </c>
      <c r="T342" s="6" t="str">
        <f t="shared" si="57"/>
        <v>Female</v>
      </c>
      <c r="U342" s="6" t="str">
        <f t="shared" si="60"/>
        <v>General</v>
      </c>
      <c r="V342" s="6" t="str" cm="1">
        <f t="array" ref="V342">IF(TRIM(S342)="",INDEX($S$2:$S$1500,MATCH(MAX(COUNTIF($S$2:$S$1500,S342)),COUNTIF($S$2:$S$1500,$S$2:$S$1500),0)),S342)</f>
        <v>Credit Card</v>
      </c>
      <c r="W342" s="7" cm="1">
        <f t="array" ref="W342">IF(OR(TRIM(K342)="",TRIM(K342)="-"), MEDIAN(IF($E$2:$E$1500=E342,$K$2:$K$1500)),  VALUE(SUBSTITUTE(SUBSTITUTE(SUBSTITUTE(K342,"Rs. ",""),"₹",""),",","")))</f>
        <v>16840</v>
      </c>
      <c r="X342" s="8">
        <f t="shared" si="58"/>
        <v>10</v>
      </c>
      <c r="Y342" s="7">
        <f t="shared" si="59"/>
        <v>15156</v>
      </c>
      <c r="Z342" s="9" t="str">
        <f t="shared" si="51"/>
        <v>ADULT</v>
      </c>
    </row>
    <row r="343" spans="1:26" x14ac:dyDescent="0.3">
      <c r="A343" s="5" t="s">
        <v>880</v>
      </c>
      <c r="B343" s="5" t="s">
        <v>14</v>
      </c>
      <c r="C343" s="5" t="s">
        <v>15</v>
      </c>
      <c r="D343" s="5" t="s">
        <v>80</v>
      </c>
      <c r="E343" s="5" t="s">
        <v>99</v>
      </c>
      <c r="F343" s="5" t="s">
        <v>151</v>
      </c>
      <c r="G343" s="5" t="s">
        <v>69</v>
      </c>
      <c r="H343" s="5">
        <v>60</v>
      </c>
      <c r="I343" s="5" t="s">
        <v>40</v>
      </c>
      <c r="J343" s="34" t="s">
        <v>710</v>
      </c>
      <c r="K343" s="31">
        <v>42962</v>
      </c>
      <c r="L343" s="5" t="s">
        <v>83</v>
      </c>
      <c r="M343" s="32">
        <v>0</v>
      </c>
      <c r="N343" s="6">
        <f t="shared" si="52"/>
        <v>0</v>
      </c>
      <c r="O343" s="4" t="s">
        <v>151</v>
      </c>
      <c r="P343" s="5" t="str">
        <f t="shared" si="53"/>
        <v>Ahmedabad</v>
      </c>
      <c r="Q343" s="5" t="str">
        <f t="shared" si="54"/>
        <v>Ent</v>
      </c>
      <c r="R343" s="6" t="str">
        <f t="shared" si="55"/>
        <v>Max_Healthcare</v>
      </c>
      <c r="S343" s="6" t="str">
        <f t="shared" si="56"/>
        <v>Debit Card</v>
      </c>
      <c r="T343" s="6" t="str">
        <f t="shared" si="57"/>
        <v>Female</v>
      </c>
      <c r="U343" s="6" t="str">
        <f t="shared" si="60"/>
        <v>ICU</v>
      </c>
      <c r="V343" s="6" t="str" cm="1">
        <f t="array" ref="V343">IF(TRIM(S343)="",INDEX($S$2:$S$1500,MATCH(MAX(COUNTIF($S$2:$S$1500,S343)),COUNTIF($S$2:$S$1500,$S$2:$S$1500),0)),S343)</f>
        <v>Debit Card</v>
      </c>
      <c r="W343" s="7" cm="1">
        <f t="array" ref="W343">IF(OR(TRIM(K343)="",TRIM(K343)="-"), MEDIAN(IF($E$2:$E$1500=E343,$K$2:$K$1500)),  VALUE(SUBSTITUTE(SUBSTITUTE(SUBSTITUTE(K343,"Rs. ",""),"₹",""),",","")))</f>
        <v>42962</v>
      </c>
      <c r="X343" s="8">
        <f t="shared" si="58"/>
        <v>0</v>
      </c>
      <c r="Y343" s="7">
        <f t="shared" si="59"/>
        <v>42962</v>
      </c>
      <c r="Z343" s="9" t="str">
        <f t="shared" si="51"/>
        <v>SENIOR</v>
      </c>
    </row>
    <row r="344" spans="1:26" x14ac:dyDescent="0.3">
      <c r="A344" s="5" t="s">
        <v>881</v>
      </c>
      <c r="B344" s="5" t="s">
        <v>14</v>
      </c>
      <c r="C344" s="5" t="s">
        <v>60</v>
      </c>
      <c r="D344" s="5" t="s">
        <v>80</v>
      </c>
      <c r="E344" s="5" t="s">
        <v>108</v>
      </c>
      <c r="F344" s="5" t="s">
        <v>272</v>
      </c>
      <c r="G344" s="5" t="s">
        <v>39</v>
      </c>
      <c r="H344" s="5">
        <v>9</v>
      </c>
      <c r="I344" s="5" t="s">
        <v>20</v>
      </c>
      <c r="J344" s="34" t="s">
        <v>485</v>
      </c>
      <c r="K344" s="31" t="s">
        <v>882</v>
      </c>
      <c r="L344" s="5"/>
      <c r="M344" s="32" t="s">
        <v>198</v>
      </c>
      <c r="N344" s="6">
        <f t="shared" si="52"/>
        <v>5</v>
      </c>
      <c r="O344" s="4" t="s">
        <v>272</v>
      </c>
      <c r="P344" s="5" t="str">
        <f t="shared" si="53"/>
        <v>Ahmedabad</v>
      </c>
      <c r="Q344" s="5" t="str">
        <f t="shared" si="54"/>
        <v>Orthopedics</v>
      </c>
      <c r="R344" s="6" t="str">
        <f t="shared" si="55"/>
        <v>Max_Healthcare</v>
      </c>
      <c r="S344" s="6" t="str">
        <f t="shared" si="56"/>
        <v>Unknown</v>
      </c>
      <c r="T344" s="6" t="str">
        <f t="shared" si="57"/>
        <v>Male</v>
      </c>
      <c r="U344" s="6" t="str">
        <f t="shared" si="60"/>
        <v>General</v>
      </c>
      <c r="V344" s="6" t="str" cm="1">
        <f t="array" ref="V344">IF(TRIM(S344)="",INDEX($S$2:$S$1500,MATCH(MAX(COUNTIF($S$2:$S$1500,S344)),COUNTIF($S$2:$S$1500,$S$2:$S$1500),0)),S344)</f>
        <v>Unknown</v>
      </c>
      <c r="W344" s="7" cm="1">
        <f t="array" ref="W344">IF(OR(TRIM(K344)="",TRIM(K344)="-"), MEDIAN(IF($E$2:$E$1500=E344,$K$2:$K$1500)),  VALUE(SUBSTITUTE(SUBSTITUTE(SUBSTITUTE(K344,"Rs. ",""),"₹",""),",","")))</f>
        <v>5981</v>
      </c>
      <c r="X344" s="8">
        <f t="shared" si="58"/>
        <v>5</v>
      </c>
      <c r="Y344" s="7">
        <f t="shared" si="59"/>
        <v>5682</v>
      </c>
      <c r="Z344" s="9" t="str">
        <f t="shared" si="51"/>
        <v>CHILD</v>
      </c>
    </row>
    <row r="345" spans="1:26" x14ac:dyDescent="0.3">
      <c r="A345" s="5" t="s">
        <v>883</v>
      </c>
      <c r="B345" s="5" t="s">
        <v>25</v>
      </c>
      <c r="C345" s="5" t="s">
        <v>54</v>
      </c>
      <c r="D345" s="5" t="s">
        <v>55</v>
      </c>
      <c r="E345" s="5" t="s">
        <v>67</v>
      </c>
      <c r="F345" s="5" t="s">
        <v>89</v>
      </c>
      <c r="G345" s="5" t="s">
        <v>19</v>
      </c>
      <c r="H345" s="5">
        <v>38</v>
      </c>
      <c r="I345" s="5" t="s">
        <v>31</v>
      </c>
      <c r="J345" s="34" t="s">
        <v>682</v>
      </c>
      <c r="K345" s="31">
        <v>10224</v>
      </c>
      <c r="L345" s="5" t="s">
        <v>211</v>
      </c>
      <c r="M345" s="32">
        <v>0</v>
      </c>
      <c r="N345" s="6">
        <f t="shared" si="52"/>
        <v>0</v>
      </c>
      <c r="O345" s="4" t="s">
        <v>89</v>
      </c>
      <c r="P345" s="5" t="str">
        <f t="shared" si="53"/>
        <v>Hyderabad</v>
      </c>
      <c r="Q345" s="5" t="str">
        <f t="shared" si="54"/>
        <v>Neurology</v>
      </c>
      <c r="R345" s="6" t="str">
        <f t="shared" si="55"/>
        <v>Narayana</v>
      </c>
      <c r="S345" s="6" t="str">
        <f t="shared" si="56"/>
        <v>Credit Card</v>
      </c>
      <c r="T345" s="6" t="str">
        <f t="shared" si="57"/>
        <v>Male</v>
      </c>
      <c r="U345" s="6" t="str">
        <f t="shared" si="60"/>
        <v>General</v>
      </c>
      <c r="V345" s="6" t="str" cm="1">
        <f t="array" ref="V345">IF(TRIM(S345)="",INDEX($S$2:$S$1500,MATCH(MAX(COUNTIF($S$2:$S$1500,S345)),COUNTIF($S$2:$S$1500,$S$2:$S$1500),0)),S345)</f>
        <v>Credit Card</v>
      </c>
      <c r="W345" s="7" cm="1">
        <f t="array" ref="W345">IF(OR(TRIM(K345)="",TRIM(K345)="-"), MEDIAN(IF($E$2:$E$1500=E345,$K$2:$K$1500)),  VALUE(SUBSTITUTE(SUBSTITUTE(SUBSTITUTE(K345,"Rs. ",""),"₹",""),",","")))</f>
        <v>10224</v>
      </c>
      <c r="X345" s="8">
        <f t="shared" si="58"/>
        <v>0</v>
      </c>
      <c r="Y345" s="7">
        <f t="shared" si="59"/>
        <v>10224</v>
      </c>
      <c r="Z345" s="9" t="str">
        <f t="shared" si="51"/>
        <v>ADULT</v>
      </c>
    </row>
    <row r="346" spans="1:26" x14ac:dyDescent="0.3">
      <c r="A346" s="5" t="s">
        <v>884</v>
      </c>
      <c r="B346" s="5" t="s">
        <v>106</v>
      </c>
      <c r="C346" s="5" t="s">
        <v>107</v>
      </c>
      <c r="D346" s="5" t="s">
        <v>55</v>
      </c>
      <c r="E346" s="5" t="s">
        <v>108</v>
      </c>
      <c r="F346" s="5" t="s">
        <v>272</v>
      </c>
      <c r="G346" s="5" t="s">
        <v>19</v>
      </c>
      <c r="H346" s="5">
        <v>18</v>
      </c>
      <c r="I346" s="5" t="s">
        <v>20</v>
      </c>
      <c r="J346" s="34" t="s">
        <v>337</v>
      </c>
      <c r="K346" s="31" t="s">
        <v>885</v>
      </c>
      <c r="L346" s="5" t="s">
        <v>42</v>
      </c>
      <c r="M346" s="32" t="s">
        <v>886</v>
      </c>
      <c r="N346" s="6">
        <f t="shared" si="52"/>
        <v>15</v>
      </c>
      <c r="O346" s="4" t="s">
        <v>272</v>
      </c>
      <c r="P346" s="5" t="str">
        <f t="shared" si="53"/>
        <v>Hyderabad</v>
      </c>
      <c r="Q346" s="5" t="str">
        <f t="shared" si="54"/>
        <v>Orthopedics</v>
      </c>
      <c r="R346" s="6" t="str">
        <f t="shared" si="55"/>
        <v>Aiims</v>
      </c>
      <c r="S346" s="6" t="str">
        <f t="shared" si="56"/>
        <v>Insurance</v>
      </c>
      <c r="T346" s="6" t="str">
        <f t="shared" si="57"/>
        <v>Male</v>
      </c>
      <c r="U346" s="6" t="str">
        <f t="shared" si="60"/>
        <v>General</v>
      </c>
      <c r="V346" s="6" t="str" cm="1">
        <f t="array" ref="V346">IF(TRIM(S346)="",INDEX($S$2:$S$1500,MATCH(MAX(COUNTIF($S$2:$S$1500,S346)),COUNTIF($S$2:$S$1500,$S$2:$S$1500),0)),S346)</f>
        <v>Insurance</v>
      </c>
      <c r="W346" s="7" cm="1">
        <f t="array" ref="W346">IF(OR(TRIM(K346)="",TRIM(K346)="-"), MEDIAN(IF($E$2:$E$1500=E346,$K$2:$K$1500)),  VALUE(SUBSTITUTE(SUBSTITUTE(SUBSTITUTE(K346,"Rs. ",""),"₹",""),",","")))</f>
        <v>6733</v>
      </c>
      <c r="X346" s="8">
        <f t="shared" si="58"/>
        <v>15</v>
      </c>
      <c r="Y346" s="7">
        <f t="shared" si="59"/>
        <v>5723</v>
      </c>
      <c r="Z346" s="9" t="str">
        <f t="shared" si="51"/>
        <v>TEEN</v>
      </c>
    </row>
    <row r="347" spans="1:26" x14ac:dyDescent="0.3">
      <c r="A347" s="5" t="s">
        <v>887</v>
      </c>
      <c r="B347" s="5" t="s">
        <v>106</v>
      </c>
      <c r="C347" s="5" t="s">
        <v>307</v>
      </c>
      <c r="D347" s="5" t="s">
        <v>36</v>
      </c>
      <c r="E347" s="5" t="s">
        <v>93</v>
      </c>
      <c r="F347" s="5" t="s">
        <v>144</v>
      </c>
      <c r="G347" s="5" t="s">
        <v>30</v>
      </c>
      <c r="H347" s="5">
        <v>91</v>
      </c>
      <c r="I347" s="5" t="s">
        <v>40</v>
      </c>
      <c r="J347" s="34" t="s">
        <v>888</v>
      </c>
      <c r="K347" s="31">
        <v>15286</v>
      </c>
      <c r="L347" s="5" t="s">
        <v>211</v>
      </c>
      <c r="M347" s="32">
        <v>5</v>
      </c>
      <c r="N347" s="6">
        <f t="shared" si="52"/>
        <v>5</v>
      </c>
      <c r="O347" s="4" t="s">
        <v>144</v>
      </c>
      <c r="P347" s="5" t="str">
        <f t="shared" si="53"/>
        <v>Chennai</v>
      </c>
      <c r="Q347" s="5" t="str">
        <f t="shared" si="54"/>
        <v>Nephrology</v>
      </c>
      <c r="R347" s="6" t="str">
        <f t="shared" si="55"/>
        <v>Aiims</v>
      </c>
      <c r="S347" s="6" t="str">
        <f t="shared" si="56"/>
        <v>Credit Card</v>
      </c>
      <c r="T347" s="6" t="str">
        <f t="shared" si="57"/>
        <v>Female</v>
      </c>
      <c r="U347" s="6" t="str">
        <f t="shared" si="60"/>
        <v>General</v>
      </c>
      <c r="V347" s="6" t="str" cm="1">
        <f t="array" ref="V347">IF(TRIM(S347)="",INDEX($S$2:$S$1500,MATCH(MAX(COUNTIF($S$2:$S$1500,S347)),COUNTIF($S$2:$S$1500,$S$2:$S$1500),0)),S347)</f>
        <v>Credit Card</v>
      </c>
      <c r="W347" s="7" cm="1">
        <f t="array" ref="W347">IF(OR(TRIM(K347)="",TRIM(K347)="-"), MEDIAN(IF($E$2:$E$1500=E347,$K$2:$K$1500)),  VALUE(SUBSTITUTE(SUBSTITUTE(SUBSTITUTE(K347,"Rs. ",""),"₹",""),",","")))</f>
        <v>15286</v>
      </c>
      <c r="X347" s="8">
        <f t="shared" si="58"/>
        <v>5</v>
      </c>
      <c r="Y347" s="7">
        <f t="shared" si="59"/>
        <v>14522</v>
      </c>
      <c r="Z347" s="9" t="str">
        <f t="shared" si="51"/>
        <v>SENIOR</v>
      </c>
    </row>
    <row r="348" spans="1:26" x14ac:dyDescent="0.3">
      <c r="A348" s="5" t="s">
        <v>889</v>
      </c>
      <c r="B348" s="5" t="s">
        <v>117</v>
      </c>
      <c r="C348" s="5" t="s">
        <v>182</v>
      </c>
      <c r="D348" s="5" t="s">
        <v>36</v>
      </c>
      <c r="E348" s="5" t="s">
        <v>93</v>
      </c>
      <c r="F348" s="5" t="s">
        <v>121</v>
      </c>
      <c r="G348" s="5" t="s">
        <v>30</v>
      </c>
      <c r="H348" s="5">
        <v>34</v>
      </c>
      <c r="I348" s="5" t="s">
        <v>70</v>
      </c>
      <c r="J348" s="34" t="s">
        <v>825</v>
      </c>
      <c r="K348" s="31">
        <v>7461</v>
      </c>
      <c r="L348" s="5" t="s">
        <v>83</v>
      </c>
      <c r="M348" s="32">
        <v>0</v>
      </c>
      <c r="N348" s="6">
        <f t="shared" si="52"/>
        <v>0</v>
      </c>
      <c r="O348" s="4" t="s">
        <v>121</v>
      </c>
      <c r="P348" s="5" t="str">
        <f t="shared" si="53"/>
        <v>Chennai</v>
      </c>
      <c r="Q348" s="5" t="str">
        <f t="shared" si="54"/>
        <v>Nephrology</v>
      </c>
      <c r="R348" s="6" t="str">
        <f t="shared" si="55"/>
        <v>Manipal</v>
      </c>
      <c r="S348" s="6" t="str">
        <f t="shared" si="56"/>
        <v>Debit Card</v>
      </c>
      <c r="T348" s="6" t="str">
        <f t="shared" si="57"/>
        <v>Female</v>
      </c>
      <c r="U348" s="6" t="str">
        <f t="shared" si="60"/>
        <v>General</v>
      </c>
      <c r="V348" s="6" t="str" cm="1">
        <f t="array" ref="V348">IF(TRIM(S348)="",INDEX($S$2:$S$1500,MATCH(MAX(COUNTIF($S$2:$S$1500,S348)),COUNTIF($S$2:$S$1500,$S$2:$S$1500),0)),S348)</f>
        <v>Debit Card</v>
      </c>
      <c r="W348" s="7" cm="1">
        <f t="array" ref="W348">IF(OR(TRIM(K348)="",TRIM(K348)="-"), MEDIAN(IF($E$2:$E$1500=E348,$K$2:$K$1500)),  VALUE(SUBSTITUTE(SUBSTITUTE(SUBSTITUTE(K348,"Rs. ",""),"₹",""),",","")))</f>
        <v>7461</v>
      </c>
      <c r="X348" s="8">
        <f t="shared" si="58"/>
        <v>0</v>
      </c>
      <c r="Y348" s="7">
        <f t="shared" si="59"/>
        <v>7461</v>
      </c>
      <c r="Z348" s="9" t="str">
        <f t="shared" si="51"/>
        <v>ADULT</v>
      </c>
    </row>
    <row r="349" spans="1:26" x14ac:dyDescent="0.3">
      <c r="A349" s="5" t="s">
        <v>890</v>
      </c>
      <c r="B349" s="5" t="s">
        <v>117</v>
      </c>
      <c r="C349" s="5" t="s">
        <v>118</v>
      </c>
      <c r="D349" s="5" t="s">
        <v>27</v>
      </c>
      <c r="E349" s="5" t="s">
        <v>67</v>
      </c>
      <c r="F349" s="5" t="s">
        <v>85</v>
      </c>
      <c r="G349" s="5" t="s">
        <v>30</v>
      </c>
      <c r="H349" s="5">
        <v>86</v>
      </c>
      <c r="I349" s="5" t="s">
        <v>40</v>
      </c>
      <c r="J349" s="34" t="s">
        <v>891</v>
      </c>
      <c r="K349" s="31">
        <v>13477</v>
      </c>
      <c r="L349" s="5" t="s">
        <v>52</v>
      </c>
      <c r="M349" s="32">
        <v>10</v>
      </c>
      <c r="N349" s="6">
        <f t="shared" si="52"/>
        <v>10</v>
      </c>
      <c r="O349" s="4" t="s">
        <v>85</v>
      </c>
      <c r="P349" s="5" t="str">
        <f t="shared" si="53"/>
        <v>Mumbai</v>
      </c>
      <c r="Q349" s="5" t="str">
        <f t="shared" si="54"/>
        <v>Neurology</v>
      </c>
      <c r="R349" s="6" t="str">
        <f t="shared" si="55"/>
        <v>Manipal</v>
      </c>
      <c r="S349" s="6" t="str">
        <f t="shared" si="56"/>
        <v>Credit Card</v>
      </c>
      <c r="T349" s="6" t="str">
        <f t="shared" si="57"/>
        <v>Female</v>
      </c>
      <c r="U349" s="6" t="str">
        <f t="shared" si="60"/>
        <v>General</v>
      </c>
      <c r="V349" s="6" t="str" cm="1">
        <f t="array" ref="V349">IF(TRIM(S349)="",INDEX($S$2:$S$1500,MATCH(MAX(COUNTIF($S$2:$S$1500,S349)),COUNTIF($S$2:$S$1500,$S$2:$S$1500),0)),S349)</f>
        <v>Credit Card</v>
      </c>
      <c r="W349" s="7" cm="1">
        <f t="array" ref="W349">IF(OR(TRIM(K349)="",TRIM(K349)="-"), MEDIAN(IF($E$2:$E$1500=E349,$K$2:$K$1500)),  VALUE(SUBSTITUTE(SUBSTITUTE(SUBSTITUTE(K349,"Rs. ",""),"₹",""),",","")))</f>
        <v>13477</v>
      </c>
      <c r="X349" s="8">
        <f t="shared" si="58"/>
        <v>10</v>
      </c>
      <c r="Y349" s="7">
        <f t="shared" si="59"/>
        <v>12129</v>
      </c>
      <c r="Z349" s="9" t="str">
        <f t="shared" si="51"/>
        <v>SENIOR</v>
      </c>
    </row>
    <row r="350" spans="1:26" x14ac:dyDescent="0.3">
      <c r="A350" s="5" t="s">
        <v>892</v>
      </c>
      <c r="B350" s="5" t="s">
        <v>106</v>
      </c>
      <c r="C350" s="5" t="s">
        <v>107</v>
      </c>
      <c r="D350" s="5" t="s">
        <v>27</v>
      </c>
      <c r="E350" s="5" t="s">
        <v>108</v>
      </c>
      <c r="F350" s="5" t="s">
        <v>124</v>
      </c>
      <c r="G350" s="5" t="s">
        <v>30</v>
      </c>
      <c r="H350" s="5">
        <v>35</v>
      </c>
      <c r="I350" s="5" t="s">
        <v>20</v>
      </c>
      <c r="J350" s="34" t="s">
        <v>597</v>
      </c>
      <c r="K350" s="31"/>
      <c r="L350" s="5" t="s">
        <v>52</v>
      </c>
      <c r="M350" s="32" t="s">
        <v>76</v>
      </c>
      <c r="N350" s="6">
        <f t="shared" si="52"/>
        <v>10</v>
      </c>
      <c r="O350" s="4" t="s">
        <v>124</v>
      </c>
      <c r="P350" s="5" t="str">
        <f t="shared" si="53"/>
        <v>Mumbai</v>
      </c>
      <c r="Q350" s="5" t="str">
        <f t="shared" si="54"/>
        <v>Orthopedics</v>
      </c>
      <c r="R350" s="6" t="str">
        <f t="shared" si="55"/>
        <v>Aiims</v>
      </c>
      <c r="S350" s="6" t="str">
        <f t="shared" si="56"/>
        <v>Credit Card</v>
      </c>
      <c r="T350" s="6" t="str">
        <f t="shared" si="57"/>
        <v>Male</v>
      </c>
      <c r="U350" s="6" t="str">
        <f t="shared" si="60"/>
        <v>General</v>
      </c>
      <c r="V350" s="6" t="str" cm="1">
        <f t="array" ref="V350">IF(TRIM(S350)="",INDEX($S$2:$S$1500,MATCH(MAX(COUNTIF($S$2:$S$1500,S350)),COUNTIF($S$2:$S$1500,$S$2:$S$1500),0)),S350)</f>
        <v>Credit Card</v>
      </c>
      <c r="W350" s="7" cm="1">
        <f t="array" ref="W350">IF(OR(TRIM(K350)="",TRIM(K350)="-"), MEDIAN(IF($E$2:$E$1500=E350,$K$2:$K$1500)),  VALUE(SUBSTITUTE(SUBSTITUTE(SUBSTITUTE(K350,"Rs. ",""),"₹",""),",","")))</f>
        <v>13871</v>
      </c>
      <c r="X350" s="8">
        <f t="shared" si="58"/>
        <v>10</v>
      </c>
      <c r="Y350" s="7">
        <f t="shared" si="59"/>
        <v>12484</v>
      </c>
      <c r="Z350" s="9" t="str">
        <f t="shared" si="51"/>
        <v>ADULT</v>
      </c>
    </row>
    <row r="351" spans="1:26" x14ac:dyDescent="0.3">
      <c r="A351" s="5" t="s">
        <v>893</v>
      </c>
      <c r="B351" s="5" t="s">
        <v>14</v>
      </c>
      <c r="C351" s="5" t="s">
        <v>60</v>
      </c>
      <c r="D351" s="5" t="s">
        <v>55</v>
      </c>
      <c r="E351" s="5" t="s">
        <v>47</v>
      </c>
      <c r="F351" s="5" t="s">
        <v>461</v>
      </c>
      <c r="G351" s="5" t="s">
        <v>39</v>
      </c>
      <c r="H351" s="5">
        <v>3</v>
      </c>
      <c r="I351" s="5" t="s">
        <v>31</v>
      </c>
      <c r="J351" s="34" t="s">
        <v>894</v>
      </c>
      <c r="K351" s="31" t="s">
        <v>895</v>
      </c>
      <c r="L351" s="5" t="s">
        <v>58</v>
      </c>
      <c r="M351" s="32">
        <v>0</v>
      </c>
      <c r="N351" s="6">
        <f t="shared" si="52"/>
        <v>0</v>
      </c>
      <c r="O351" s="4" t="s">
        <v>461</v>
      </c>
      <c r="P351" s="5" t="str">
        <f t="shared" si="53"/>
        <v>Hyderabad</v>
      </c>
      <c r="Q351" s="5" t="str">
        <f t="shared" si="54"/>
        <v>Gastroenterology</v>
      </c>
      <c r="R351" s="6" t="str">
        <f t="shared" si="55"/>
        <v>Max_Healthcare</v>
      </c>
      <c r="S351" s="6" t="str">
        <f t="shared" si="56"/>
        <v>UPI</v>
      </c>
      <c r="T351" s="6" t="str">
        <f t="shared" si="57"/>
        <v>Male</v>
      </c>
      <c r="U351" s="6" t="str">
        <f t="shared" si="60"/>
        <v>General</v>
      </c>
      <c r="V351" s="6" t="str" cm="1">
        <f t="array" ref="V351">IF(TRIM(S351)="",INDEX($S$2:$S$1500,MATCH(MAX(COUNTIF($S$2:$S$1500,S351)),COUNTIF($S$2:$S$1500,$S$2:$S$1500),0)),S351)</f>
        <v>UPI</v>
      </c>
      <c r="W351" s="7" cm="1">
        <f t="array" ref="W351">IF(OR(TRIM(K351)="",TRIM(K351)="-"), MEDIAN(IF($E$2:$E$1500=E351,$K$2:$K$1500)),  VALUE(SUBSTITUTE(SUBSTITUTE(SUBSTITUTE(K351,"Rs. ",""),"₹",""),",","")))</f>
        <v>6958</v>
      </c>
      <c r="X351" s="8">
        <f t="shared" si="58"/>
        <v>0</v>
      </c>
      <c r="Y351" s="7">
        <f t="shared" si="59"/>
        <v>6958</v>
      </c>
      <c r="Z351" s="9" t="str">
        <f t="shared" si="51"/>
        <v>CHILD</v>
      </c>
    </row>
    <row r="352" spans="1:26" x14ac:dyDescent="0.3">
      <c r="A352" s="5" t="s">
        <v>896</v>
      </c>
      <c r="B352" s="5" t="s">
        <v>117</v>
      </c>
      <c r="C352" s="5" t="s">
        <v>118</v>
      </c>
      <c r="D352" s="5" t="s">
        <v>66</v>
      </c>
      <c r="E352" s="5" t="s">
        <v>93</v>
      </c>
      <c r="F352" s="5" t="s">
        <v>207</v>
      </c>
      <c r="G352" s="5" t="s">
        <v>101</v>
      </c>
      <c r="H352" s="5">
        <v>40</v>
      </c>
      <c r="I352" s="5" t="s">
        <v>20</v>
      </c>
      <c r="J352" s="34" t="s">
        <v>897</v>
      </c>
      <c r="K352" s="31">
        <v>83440</v>
      </c>
      <c r="L352" s="5" t="s">
        <v>115</v>
      </c>
      <c r="M352" s="32">
        <v>0.1</v>
      </c>
      <c r="N352" s="6">
        <f t="shared" si="52"/>
        <v>10</v>
      </c>
      <c r="O352" s="4" t="s">
        <v>207</v>
      </c>
      <c r="P352" s="5" t="str">
        <f t="shared" si="53"/>
        <v>Kolkata</v>
      </c>
      <c r="Q352" s="5" t="str">
        <f t="shared" si="54"/>
        <v>Nephrology</v>
      </c>
      <c r="R352" s="6" t="str">
        <f t="shared" si="55"/>
        <v>Manipal</v>
      </c>
      <c r="S352" s="6" t="str">
        <f t="shared" si="56"/>
        <v>Cash</v>
      </c>
      <c r="T352" s="6" t="str">
        <f t="shared" si="57"/>
        <v>Male</v>
      </c>
      <c r="U352" s="6" t="str">
        <f t="shared" si="60"/>
        <v>ICU</v>
      </c>
      <c r="V352" s="6" t="str" cm="1">
        <f t="array" ref="V352">IF(TRIM(S352)="",INDEX($S$2:$S$1500,MATCH(MAX(COUNTIF($S$2:$S$1500,S352)),COUNTIF($S$2:$S$1500,$S$2:$S$1500),0)),S352)</f>
        <v>Cash</v>
      </c>
      <c r="W352" s="7" cm="1">
        <f t="array" ref="W352">IF(OR(TRIM(K352)="",TRIM(K352)="-"), MEDIAN(IF($E$2:$E$1500=E352,$K$2:$K$1500)),  VALUE(SUBSTITUTE(SUBSTITUTE(SUBSTITUTE(K352,"Rs. ",""),"₹",""),",","")))</f>
        <v>83440</v>
      </c>
      <c r="X352" s="8">
        <f t="shared" si="58"/>
        <v>10</v>
      </c>
      <c r="Y352" s="7">
        <f t="shared" si="59"/>
        <v>75096</v>
      </c>
      <c r="Z352" s="9" t="str">
        <f t="shared" si="51"/>
        <v>ADULT</v>
      </c>
    </row>
    <row r="353" spans="1:26" x14ac:dyDescent="0.3">
      <c r="A353" s="5" t="s">
        <v>898</v>
      </c>
      <c r="B353" s="5" t="s">
        <v>117</v>
      </c>
      <c r="C353" s="5" t="s">
        <v>118</v>
      </c>
      <c r="D353" s="5" t="s">
        <v>36</v>
      </c>
      <c r="E353" s="5" t="s">
        <v>28</v>
      </c>
      <c r="F353" s="5" t="s">
        <v>259</v>
      </c>
      <c r="G353" s="5" t="s">
        <v>30</v>
      </c>
      <c r="H353" s="5">
        <v>18</v>
      </c>
      <c r="I353" s="5" t="s">
        <v>70</v>
      </c>
      <c r="J353" s="34" t="s">
        <v>899</v>
      </c>
      <c r="K353" s="31" t="s">
        <v>900</v>
      </c>
      <c r="L353" s="5" t="s">
        <v>211</v>
      </c>
      <c r="M353" s="32">
        <v>0.05</v>
      </c>
      <c r="N353" s="6">
        <f t="shared" si="52"/>
        <v>5</v>
      </c>
      <c r="O353" s="4" t="s">
        <v>259</v>
      </c>
      <c r="P353" s="5" t="str">
        <f t="shared" si="53"/>
        <v>Chennai</v>
      </c>
      <c r="Q353" s="5" t="str">
        <f t="shared" si="54"/>
        <v>Oncology</v>
      </c>
      <c r="R353" s="6" t="str">
        <f t="shared" si="55"/>
        <v>Manipal</v>
      </c>
      <c r="S353" s="6" t="str">
        <f t="shared" si="56"/>
        <v>Credit Card</v>
      </c>
      <c r="T353" s="6" t="str">
        <f t="shared" si="57"/>
        <v>Female</v>
      </c>
      <c r="U353" s="6" t="str">
        <f t="shared" si="60"/>
        <v>General</v>
      </c>
      <c r="V353" s="6" t="str" cm="1">
        <f t="array" ref="V353">IF(TRIM(S353)="",INDEX($S$2:$S$1500,MATCH(MAX(COUNTIF($S$2:$S$1500,S353)),COUNTIF($S$2:$S$1500,$S$2:$S$1500),0)),S353)</f>
        <v>Credit Card</v>
      </c>
      <c r="W353" s="7" cm="1">
        <f t="array" ref="W353">IF(OR(TRIM(K353)="",TRIM(K353)="-"), MEDIAN(IF($E$2:$E$1500=E353,$K$2:$K$1500)),  VALUE(SUBSTITUTE(SUBSTITUTE(SUBSTITUTE(K353,"Rs. ",""),"₹",""),",","")))</f>
        <v>15979</v>
      </c>
      <c r="X353" s="8">
        <f t="shared" si="58"/>
        <v>5</v>
      </c>
      <c r="Y353" s="7">
        <f t="shared" si="59"/>
        <v>15180</v>
      </c>
      <c r="Z353" s="9" t="str">
        <f t="shared" si="51"/>
        <v>TEEN</v>
      </c>
    </row>
    <row r="354" spans="1:26" x14ac:dyDescent="0.3">
      <c r="A354" s="5" t="s">
        <v>901</v>
      </c>
      <c r="B354" s="5" t="s">
        <v>78</v>
      </c>
      <c r="C354" s="5" t="s">
        <v>203</v>
      </c>
      <c r="D354" s="5" t="s">
        <v>55</v>
      </c>
      <c r="E354" s="5" t="s">
        <v>17</v>
      </c>
      <c r="F354" s="5" t="s">
        <v>135</v>
      </c>
      <c r="G354" s="5" t="s">
        <v>49</v>
      </c>
      <c r="H354" s="5">
        <v>21</v>
      </c>
      <c r="I354" s="5" t="s">
        <v>31</v>
      </c>
      <c r="J354" s="34" t="s">
        <v>902</v>
      </c>
      <c r="K354" s="31" t="s">
        <v>903</v>
      </c>
      <c r="L354" s="5" t="s">
        <v>167</v>
      </c>
      <c r="M354" s="32">
        <v>15</v>
      </c>
      <c r="N354" s="6">
        <f t="shared" si="52"/>
        <v>15</v>
      </c>
      <c r="O354" s="4" t="s">
        <v>135</v>
      </c>
      <c r="P354" s="5" t="str">
        <f t="shared" si="53"/>
        <v>Hyderabad</v>
      </c>
      <c r="Q354" s="5" t="str">
        <f t="shared" si="54"/>
        <v>Gynecology</v>
      </c>
      <c r="R354" s="6" t="str">
        <f t="shared" si="55"/>
        <v>Apollo</v>
      </c>
      <c r="S354" s="6" t="str">
        <f t="shared" si="56"/>
        <v>Insurance</v>
      </c>
      <c r="T354" s="6" t="str">
        <f t="shared" si="57"/>
        <v>Male</v>
      </c>
      <c r="U354" s="6" t="str">
        <f t="shared" si="60"/>
        <v>General</v>
      </c>
      <c r="V354" s="6" t="str" cm="1">
        <f t="array" ref="V354">IF(TRIM(S354)="",INDEX($S$2:$S$1500,MATCH(MAX(COUNTIF($S$2:$S$1500,S354)),COUNTIF($S$2:$S$1500,$S$2:$S$1500),0)),S354)</f>
        <v>Insurance</v>
      </c>
      <c r="W354" s="7" cm="1">
        <f t="array" ref="W354">IF(OR(TRIM(K354)="",TRIM(K354)="-"), MEDIAN(IF($E$2:$E$1500=E354,$K$2:$K$1500)),  VALUE(SUBSTITUTE(SUBSTITUTE(SUBSTITUTE(K354,"Rs. ",""),"₹",""),",","")))</f>
        <v>8049</v>
      </c>
      <c r="X354" s="8">
        <f t="shared" si="58"/>
        <v>15</v>
      </c>
      <c r="Y354" s="7">
        <f t="shared" si="59"/>
        <v>6842</v>
      </c>
      <c r="Z354" s="9" t="str">
        <f t="shared" si="51"/>
        <v>ADULT</v>
      </c>
    </row>
    <row r="355" spans="1:26" x14ac:dyDescent="0.3">
      <c r="A355" s="5" t="s">
        <v>904</v>
      </c>
      <c r="B355" s="5" t="s">
        <v>25</v>
      </c>
      <c r="C355" s="5" t="s">
        <v>26</v>
      </c>
      <c r="D355" s="5" t="s">
        <v>27</v>
      </c>
      <c r="E355" s="5" t="s">
        <v>74</v>
      </c>
      <c r="F355" s="5" t="s">
        <v>192</v>
      </c>
      <c r="G355" s="5" t="s">
        <v>19</v>
      </c>
      <c r="H355" s="5">
        <v>49</v>
      </c>
      <c r="I355" s="5" t="s">
        <v>31</v>
      </c>
      <c r="J355" s="34" t="s">
        <v>517</v>
      </c>
      <c r="K355" s="31" t="s">
        <v>905</v>
      </c>
      <c r="L355" s="5" t="s">
        <v>42</v>
      </c>
      <c r="M355" s="32">
        <v>18</v>
      </c>
      <c r="N355" s="6">
        <f t="shared" si="52"/>
        <v>18</v>
      </c>
      <c r="O355" s="4" t="s">
        <v>192</v>
      </c>
      <c r="P355" s="5" t="str">
        <f t="shared" si="53"/>
        <v>Mumbai</v>
      </c>
      <c r="Q355" s="5" t="str">
        <f t="shared" si="54"/>
        <v>General Medicine</v>
      </c>
      <c r="R355" s="6" t="str">
        <f t="shared" si="55"/>
        <v>Narayana</v>
      </c>
      <c r="S355" s="6" t="str">
        <f t="shared" si="56"/>
        <v>Insurance</v>
      </c>
      <c r="T355" s="6" t="str">
        <f t="shared" si="57"/>
        <v>Male</v>
      </c>
      <c r="U355" s="6" t="str">
        <f t="shared" si="60"/>
        <v>General</v>
      </c>
      <c r="V355" s="6" t="str" cm="1">
        <f t="array" ref="V355">IF(TRIM(S355)="",INDEX($S$2:$S$1500,MATCH(MAX(COUNTIF($S$2:$S$1500,S355)),COUNTIF($S$2:$S$1500,$S$2:$S$1500),0)),S355)</f>
        <v>Insurance</v>
      </c>
      <c r="W355" s="7" cm="1">
        <f t="array" ref="W355">IF(OR(TRIM(K355)="",TRIM(K355)="-"), MEDIAN(IF($E$2:$E$1500=E355,$K$2:$K$1500)),  VALUE(SUBSTITUTE(SUBSTITUTE(SUBSTITUTE(K355,"Rs. ",""),"₹",""),",","")))</f>
        <v>10135</v>
      </c>
      <c r="X355" s="8">
        <f t="shared" si="58"/>
        <v>18</v>
      </c>
      <c r="Y355" s="7">
        <f t="shared" si="59"/>
        <v>8311</v>
      </c>
      <c r="Z355" s="9" t="str">
        <f t="shared" si="51"/>
        <v>ADULT</v>
      </c>
    </row>
    <row r="356" spans="1:26" x14ac:dyDescent="0.3">
      <c r="A356" s="5" t="s">
        <v>906</v>
      </c>
      <c r="B356" s="5" t="s">
        <v>25</v>
      </c>
      <c r="C356" s="5" t="s">
        <v>54</v>
      </c>
      <c r="D356" s="5" t="s">
        <v>16</v>
      </c>
      <c r="E356" s="5" t="s">
        <v>67</v>
      </c>
      <c r="F356" s="5" t="s">
        <v>85</v>
      </c>
      <c r="G356" s="5" t="s">
        <v>49</v>
      </c>
      <c r="H356" s="5">
        <v>60</v>
      </c>
      <c r="I356" s="5" t="s">
        <v>40</v>
      </c>
      <c r="J356" s="34" t="s">
        <v>186</v>
      </c>
      <c r="K356" s="31" t="s">
        <v>907</v>
      </c>
      <c r="L356" s="5" t="s">
        <v>23</v>
      </c>
      <c r="M356" s="32" t="s">
        <v>130</v>
      </c>
      <c r="N356" s="6">
        <f t="shared" si="52"/>
        <v>0</v>
      </c>
      <c r="O356" s="4" t="s">
        <v>85</v>
      </c>
      <c r="P356" s="5" t="str">
        <f t="shared" si="53"/>
        <v>Bangalore</v>
      </c>
      <c r="Q356" s="5" t="str">
        <f t="shared" si="54"/>
        <v>Neurology</v>
      </c>
      <c r="R356" s="6" t="str">
        <f t="shared" si="55"/>
        <v>Narayana</v>
      </c>
      <c r="S356" s="6" t="str">
        <f t="shared" si="56"/>
        <v>Credit Card</v>
      </c>
      <c r="T356" s="6" t="str">
        <f t="shared" si="57"/>
        <v>Female</v>
      </c>
      <c r="U356" s="6" t="str">
        <f t="shared" si="60"/>
        <v>General</v>
      </c>
      <c r="V356" s="6" t="str" cm="1">
        <f t="array" ref="V356">IF(TRIM(S356)="",INDEX($S$2:$S$1500,MATCH(MAX(COUNTIF($S$2:$S$1500,S356)),COUNTIF($S$2:$S$1500,$S$2:$S$1500),0)),S356)</f>
        <v>Credit Card</v>
      </c>
      <c r="W356" s="7" cm="1">
        <f t="array" ref="W356">IF(OR(TRIM(K356)="",TRIM(K356)="-"), MEDIAN(IF($E$2:$E$1500=E356,$K$2:$K$1500)),  VALUE(SUBSTITUTE(SUBSTITUTE(SUBSTITUTE(K356,"Rs. ",""),"₹",""),",","")))</f>
        <v>17312</v>
      </c>
      <c r="X356" s="8">
        <f t="shared" si="58"/>
        <v>0</v>
      </c>
      <c r="Y356" s="7">
        <f t="shared" si="59"/>
        <v>17312</v>
      </c>
      <c r="Z356" s="9" t="str">
        <f t="shared" si="51"/>
        <v>SENIOR</v>
      </c>
    </row>
    <row r="357" spans="1:26" x14ac:dyDescent="0.3">
      <c r="A357" s="5" t="s">
        <v>908</v>
      </c>
      <c r="B357" s="5" t="s">
        <v>117</v>
      </c>
      <c r="C357" s="5" t="s">
        <v>118</v>
      </c>
      <c r="D357" s="5" t="s">
        <v>66</v>
      </c>
      <c r="E357" s="5" t="s">
        <v>67</v>
      </c>
      <c r="F357" s="5" t="s">
        <v>89</v>
      </c>
      <c r="G357" s="5" t="s">
        <v>30</v>
      </c>
      <c r="H357" s="5">
        <v>21</v>
      </c>
      <c r="I357" s="5" t="s">
        <v>40</v>
      </c>
      <c r="J357" s="34" t="s">
        <v>477</v>
      </c>
      <c r="K357" s="31" t="s">
        <v>909</v>
      </c>
      <c r="L357" s="5" t="s">
        <v>97</v>
      </c>
      <c r="M357" s="32" t="s">
        <v>130</v>
      </c>
      <c r="N357" s="6">
        <f t="shared" si="52"/>
        <v>0</v>
      </c>
      <c r="O357" s="4" t="s">
        <v>89</v>
      </c>
      <c r="P357" s="5" t="str">
        <f t="shared" si="53"/>
        <v>Kolkata</v>
      </c>
      <c r="Q357" s="5" t="str">
        <f t="shared" si="54"/>
        <v>Neurology</v>
      </c>
      <c r="R357" s="6" t="str">
        <f t="shared" si="55"/>
        <v>Manipal</v>
      </c>
      <c r="S357" s="6" t="str">
        <f t="shared" si="56"/>
        <v>UPI</v>
      </c>
      <c r="T357" s="6" t="str">
        <f t="shared" si="57"/>
        <v>Female</v>
      </c>
      <c r="U357" s="6" t="str">
        <f t="shared" si="60"/>
        <v>General</v>
      </c>
      <c r="V357" s="6" t="str" cm="1">
        <f t="array" ref="V357">IF(TRIM(S357)="",INDEX($S$2:$S$1500,MATCH(MAX(COUNTIF($S$2:$S$1500,S357)),COUNTIF($S$2:$S$1500,$S$2:$S$1500),0)),S357)</f>
        <v>UPI</v>
      </c>
      <c r="W357" s="7" cm="1">
        <f t="array" ref="W357">IF(OR(TRIM(K357)="",TRIM(K357)="-"), MEDIAN(IF($E$2:$E$1500=E357,$K$2:$K$1500)),  VALUE(SUBSTITUTE(SUBSTITUTE(SUBSTITUTE(K357,"Rs. ",""),"₹",""),",","")))</f>
        <v>9328</v>
      </c>
      <c r="X357" s="8">
        <f t="shared" si="58"/>
        <v>0</v>
      </c>
      <c r="Y357" s="7">
        <f t="shared" si="59"/>
        <v>9328</v>
      </c>
      <c r="Z357" s="9" t="str">
        <f t="shared" si="51"/>
        <v>ADULT</v>
      </c>
    </row>
    <row r="358" spans="1:26" x14ac:dyDescent="0.3">
      <c r="A358" s="5" t="s">
        <v>910</v>
      </c>
      <c r="B358" s="5" t="s">
        <v>106</v>
      </c>
      <c r="C358" s="5" t="s">
        <v>107</v>
      </c>
      <c r="D358" s="5" t="s">
        <v>27</v>
      </c>
      <c r="E358" s="5" t="s">
        <v>93</v>
      </c>
      <c r="F358" s="5" t="s">
        <v>144</v>
      </c>
      <c r="G358" s="5" t="s">
        <v>19</v>
      </c>
      <c r="H358" s="5">
        <v>81</v>
      </c>
      <c r="I358" s="5" t="s">
        <v>70</v>
      </c>
      <c r="J358" s="34" t="s">
        <v>524</v>
      </c>
      <c r="K358" s="31">
        <v>10479</v>
      </c>
      <c r="L358" s="5" t="s">
        <v>87</v>
      </c>
      <c r="M358" s="32">
        <v>5</v>
      </c>
      <c r="N358" s="6">
        <f t="shared" si="52"/>
        <v>5</v>
      </c>
      <c r="O358" s="4" t="s">
        <v>144</v>
      </c>
      <c r="P358" s="5" t="str">
        <f t="shared" si="53"/>
        <v>Mumbai</v>
      </c>
      <c r="Q358" s="5" t="str">
        <f t="shared" si="54"/>
        <v>Nephrology</v>
      </c>
      <c r="R358" s="6" t="str">
        <f t="shared" si="55"/>
        <v>Aiims</v>
      </c>
      <c r="S358" s="6" t="str">
        <f t="shared" si="56"/>
        <v>Credit Card</v>
      </c>
      <c r="T358" s="6" t="str">
        <f t="shared" si="57"/>
        <v>Female</v>
      </c>
      <c r="U358" s="6" t="str">
        <f t="shared" si="60"/>
        <v>General</v>
      </c>
      <c r="V358" s="6" t="str" cm="1">
        <f t="array" ref="V358">IF(TRIM(S358)="",INDEX($S$2:$S$1500,MATCH(MAX(COUNTIF($S$2:$S$1500,S358)),COUNTIF($S$2:$S$1500,$S$2:$S$1500),0)),S358)</f>
        <v>Credit Card</v>
      </c>
      <c r="W358" s="7" cm="1">
        <f t="array" ref="W358">IF(OR(TRIM(K358)="",TRIM(K358)="-"), MEDIAN(IF($E$2:$E$1500=E358,$K$2:$K$1500)),  VALUE(SUBSTITUTE(SUBSTITUTE(SUBSTITUTE(K358,"Rs. ",""),"₹",""),",","")))</f>
        <v>10479</v>
      </c>
      <c r="X358" s="8">
        <f t="shared" si="58"/>
        <v>5</v>
      </c>
      <c r="Y358" s="7">
        <f t="shared" si="59"/>
        <v>9955</v>
      </c>
      <c r="Z358" s="9" t="str">
        <f t="shared" si="51"/>
        <v>SENIOR</v>
      </c>
    </row>
    <row r="359" spans="1:26" x14ac:dyDescent="0.3">
      <c r="A359" s="5" t="s">
        <v>911</v>
      </c>
      <c r="B359" s="5" t="s">
        <v>45</v>
      </c>
      <c r="C359" s="5" t="s">
        <v>46</v>
      </c>
      <c r="D359" s="5" t="s">
        <v>66</v>
      </c>
      <c r="E359" s="5" t="s">
        <v>67</v>
      </c>
      <c r="F359" s="5" t="s">
        <v>85</v>
      </c>
      <c r="G359" s="5" t="s">
        <v>39</v>
      </c>
      <c r="H359" s="5">
        <v>8</v>
      </c>
      <c r="I359" s="5" t="s">
        <v>31</v>
      </c>
      <c r="J359" s="34" t="s">
        <v>912</v>
      </c>
      <c r="K359" s="31" t="s">
        <v>913</v>
      </c>
      <c r="L359" s="5" t="s">
        <v>72</v>
      </c>
      <c r="M359" s="32">
        <v>0</v>
      </c>
      <c r="N359" s="6">
        <f t="shared" si="52"/>
        <v>0</v>
      </c>
      <c r="O359" s="4" t="s">
        <v>85</v>
      </c>
      <c r="P359" s="5" t="str">
        <f t="shared" si="53"/>
        <v>Kolkata</v>
      </c>
      <c r="Q359" s="5" t="str">
        <f t="shared" si="54"/>
        <v>Neurology</v>
      </c>
      <c r="R359" s="6" t="str">
        <f t="shared" si="55"/>
        <v>Fortis</v>
      </c>
      <c r="S359" s="6" t="str">
        <f t="shared" si="56"/>
        <v>Cash</v>
      </c>
      <c r="T359" s="6" t="str">
        <f t="shared" si="57"/>
        <v>Male</v>
      </c>
      <c r="U359" s="6" t="str">
        <f t="shared" si="60"/>
        <v>General</v>
      </c>
      <c r="V359" s="6" t="str" cm="1">
        <f t="array" ref="V359">IF(TRIM(S359)="",INDEX($S$2:$S$1500,MATCH(MAX(COUNTIF($S$2:$S$1500,S359)),COUNTIF($S$2:$S$1500,$S$2:$S$1500),0)),S359)</f>
        <v>Cash</v>
      </c>
      <c r="W359" s="7" cm="1">
        <f t="array" ref="W359">IF(OR(TRIM(K359)="",TRIM(K359)="-"), MEDIAN(IF($E$2:$E$1500=E359,$K$2:$K$1500)),  VALUE(SUBSTITUTE(SUBSTITUTE(SUBSTITUTE(K359,"Rs. ",""),"₹",""),",","")))</f>
        <v>4654</v>
      </c>
      <c r="X359" s="8">
        <f t="shared" si="58"/>
        <v>0</v>
      </c>
      <c r="Y359" s="7">
        <f t="shared" si="59"/>
        <v>4654</v>
      </c>
      <c r="Z359" s="9" t="str">
        <f t="shared" si="51"/>
        <v>CHILD</v>
      </c>
    </row>
    <row r="360" spans="1:26" x14ac:dyDescent="0.3">
      <c r="A360" s="5" t="s">
        <v>914</v>
      </c>
      <c r="B360" s="5" t="s">
        <v>14</v>
      </c>
      <c r="C360" s="5" t="s">
        <v>15</v>
      </c>
      <c r="D360" s="5" t="s">
        <v>80</v>
      </c>
      <c r="E360" s="5" t="s">
        <v>28</v>
      </c>
      <c r="F360" s="5" t="s">
        <v>259</v>
      </c>
      <c r="G360" s="5" t="s">
        <v>49</v>
      </c>
      <c r="H360" s="5">
        <v>15</v>
      </c>
      <c r="I360" s="5" t="s">
        <v>40</v>
      </c>
      <c r="J360" s="34" t="s">
        <v>551</v>
      </c>
      <c r="K360" s="31" t="s">
        <v>915</v>
      </c>
      <c r="L360" s="5" t="s">
        <v>52</v>
      </c>
      <c r="M360" s="32">
        <v>0</v>
      </c>
      <c r="N360" s="6">
        <f t="shared" si="52"/>
        <v>0</v>
      </c>
      <c r="O360" s="4" t="s">
        <v>259</v>
      </c>
      <c r="P360" s="5" t="str">
        <f t="shared" si="53"/>
        <v>Ahmedabad</v>
      </c>
      <c r="Q360" s="5" t="str">
        <f t="shared" si="54"/>
        <v>Oncology</v>
      </c>
      <c r="R360" s="6" t="str">
        <f t="shared" si="55"/>
        <v>Max_Healthcare</v>
      </c>
      <c r="S360" s="6" t="str">
        <f t="shared" si="56"/>
        <v>Credit Card</v>
      </c>
      <c r="T360" s="6" t="str">
        <f t="shared" si="57"/>
        <v>Female</v>
      </c>
      <c r="U360" s="6" t="str">
        <f t="shared" si="60"/>
        <v>General</v>
      </c>
      <c r="V360" s="6" t="str" cm="1">
        <f t="array" ref="V360">IF(TRIM(S360)="",INDEX($S$2:$S$1500,MATCH(MAX(COUNTIF($S$2:$S$1500,S360)),COUNTIF($S$2:$S$1500,$S$2:$S$1500),0)),S360)</f>
        <v>Credit Card</v>
      </c>
      <c r="W360" s="7" cm="1">
        <f t="array" ref="W360">IF(OR(TRIM(K360)="",TRIM(K360)="-"), MEDIAN(IF($E$2:$E$1500=E360,$K$2:$K$1500)),  VALUE(SUBSTITUTE(SUBSTITUTE(SUBSTITUTE(K360,"Rs. ",""),"₹",""),",","")))</f>
        <v>3270</v>
      </c>
      <c r="X360" s="8">
        <f t="shared" si="58"/>
        <v>0</v>
      </c>
      <c r="Y360" s="7">
        <f t="shared" si="59"/>
        <v>3270</v>
      </c>
      <c r="Z360" s="9" t="str">
        <f t="shared" si="51"/>
        <v>TEEN</v>
      </c>
    </row>
    <row r="361" spans="1:26" x14ac:dyDescent="0.3">
      <c r="A361" s="5" t="s">
        <v>916</v>
      </c>
      <c r="B361" s="5" t="s">
        <v>78</v>
      </c>
      <c r="C361" s="5" t="s">
        <v>79</v>
      </c>
      <c r="D361" s="5" t="s">
        <v>55</v>
      </c>
      <c r="E361" s="5" t="s">
        <v>17</v>
      </c>
      <c r="F361" s="5" t="s">
        <v>169</v>
      </c>
      <c r="G361" s="5" t="s">
        <v>30</v>
      </c>
      <c r="H361" s="5">
        <v>40</v>
      </c>
      <c r="I361" s="5" t="s">
        <v>40</v>
      </c>
      <c r="J361" s="34" t="s">
        <v>50</v>
      </c>
      <c r="K361" s="31">
        <v>19781</v>
      </c>
      <c r="L361" s="5" t="s">
        <v>236</v>
      </c>
      <c r="M361" s="32" t="s">
        <v>198</v>
      </c>
      <c r="N361" s="6">
        <f t="shared" si="52"/>
        <v>5</v>
      </c>
      <c r="O361" s="4" t="s">
        <v>169</v>
      </c>
      <c r="P361" s="5" t="str">
        <f t="shared" si="53"/>
        <v>Hyderabad</v>
      </c>
      <c r="Q361" s="5" t="str">
        <f t="shared" si="54"/>
        <v>Gynecology</v>
      </c>
      <c r="R361" s="6" t="str">
        <f t="shared" si="55"/>
        <v>Apollo</v>
      </c>
      <c r="S361" s="6" t="str">
        <f t="shared" si="56"/>
        <v>Debit Card</v>
      </c>
      <c r="T361" s="6" t="str">
        <f t="shared" si="57"/>
        <v>Female</v>
      </c>
      <c r="U361" s="6" t="str">
        <f t="shared" si="60"/>
        <v>General</v>
      </c>
      <c r="V361" s="6" t="str" cm="1">
        <f t="array" ref="V361">IF(TRIM(S361)="",INDEX($S$2:$S$1500,MATCH(MAX(COUNTIF($S$2:$S$1500,S361)),COUNTIF($S$2:$S$1500,$S$2:$S$1500),0)),S361)</f>
        <v>Debit Card</v>
      </c>
      <c r="W361" s="7" cm="1">
        <f t="array" ref="W361">IF(OR(TRIM(K361)="",TRIM(K361)="-"), MEDIAN(IF($E$2:$E$1500=E361,$K$2:$K$1500)),  VALUE(SUBSTITUTE(SUBSTITUTE(SUBSTITUTE(K361,"Rs. ",""),"₹",""),",","")))</f>
        <v>19781</v>
      </c>
      <c r="X361" s="8">
        <f t="shared" si="58"/>
        <v>5</v>
      </c>
      <c r="Y361" s="7">
        <f t="shared" si="59"/>
        <v>18792</v>
      </c>
      <c r="Z361" s="9" t="str">
        <f t="shared" si="51"/>
        <v>ADULT</v>
      </c>
    </row>
    <row r="362" spans="1:26" x14ac:dyDescent="0.3">
      <c r="A362" s="5" t="s">
        <v>917</v>
      </c>
      <c r="B362" s="5" t="s">
        <v>117</v>
      </c>
      <c r="C362" s="5" t="s">
        <v>127</v>
      </c>
      <c r="D362" s="5" t="s">
        <v>36</v>
      </c>
      <c r="E362" s="5" t="s">
        <v>164</v>
      </c>
      <c r="F362" s="5" t="s">
        <v>219</v>
      </c>
      <c r="G362" s="5" t="s">
        <v>30</v>
      </c>
      <c r="H362" s="5">
        <v>72</v>
      </c>
      <c r="I362" s="5" t="s">
        <v>31</v>
      </c>
      <c r="J362" s="34" t="s">
        <v>551</v>
      </c>
      <c r="K362" s="31" t="s">
        <v>918</v>
      </c>
      <c r="L362" s="5" t="s">
        <v>104</v>
      </c>
      <c r="M362" s="32" t="s">
        <v>198</v>
      </c>
      <c r="N362" s="6">
        <f t="shared" si="52"/>
        <v>5</v>
      </c>
      <c r="O362" s="4" t="s">
        <v>219</v>
      </c>
      <c r="P362" s="5" t="str">
        <f t="shared" si="53"/>
        <v>Chennai</v>
      </c>
      <c r="Q362" s="5" t="str">
        <f t="shared" si="54"/>
        <v>Cardiology</v>
      </c>
      <c r="R362" s="6" t="str">
        <f t="shared" si="55"/>
        <v>Manipal</v>
      </c>
      <c r="S362" s="6" t="str">
        <f t="shared" si="56"/>
        <v>Insurance</v>
      </c>
      <c r="T362" s="6" t="str">
        <f t="shared" si="57"/>
        <v>Male</v>
      </c>
      <c r="U362" s="6" t="str">
        <f t="shared" si="60"/>
        <v>General</v>
      </c>
      <c r="V362" s="6" t="str" cm="1">
        <f t="array" ref="V362">IF(TRIM(S362)="",INDEX($S$2:$S$1500,MATCH(MAX(COUNTIF($S$2:$S$1500,S362)),COUNTIF($S$2:$S$1500,$S$2:$S$1500),0)),S362)</f>
        <v>Insurance</v>
      </c>
      <c r="W362" s="7" cm="1">
        <f t="array" ref="W362">IF(OR(TRIM(K362)="",TRIM(K362)="-"), MEDIAN(IF($E$2:$E$1500=E362,$K$2:$K$1500)),  VALUE(SUBSTITUTE(SUBSTITUTE(SUBSTITUTE(K362,"Rs. ",""),"₹",""),",","")))</f>
        <v>6879</v>
      </c>
      <c r="X362" s="8">
        <f t="shared" si="58"/>
        <v>5</v>
      </c>
      <c r="Y362" s="7">
        <f t="shared" si="59"/>
        <v>6535</v>
      </c>
      <c r="Z362" s="9" t="str">
        <f t="shared" si="51"/>
        <v>SENIOR</v>
      </c>
    </row>
    <row r="363" spans="1:26" x14ac:dyDescent="0.3">
      <c r="A363" s="5" t="s">
        <v>919</v>
      </c>
      <c r="B363" s="5" t="s">
        <v>45</v>
      </c>
      <c r="C363" s="5" t="s">
        <v>334</v>
      </c>
      <c r="D363" s="5" t="s">
        <v>36</v>
      </c>
      <c r="E363" s="5" t="s">
        <v>99</v>
      </c>
      <c r="F363" s="5" t="s">
        <v>256</v>
      </c>
      <c r="G363" s="5" t="s">
        <v>62</v>
      </c>
      <c r="H363" s="5">
        <v>27</v>
      </c>
      <c r="I363" s="5" t="s">
        <v>40</v>
      </c>
      <c r="J363" s="34" t="s">
        <v>505</v>
      </c>
      <c r="K363" s="31">
        <v>71522</v>
      </c>
      <c r="L363" s="5" t="s">
        <v>34</v>
      </c>
      <c r="M363" s="32">
        <v>0</v>
      </c>
      <c r="N363" s="6">
        <f t="shared" si="52"/>
        <v>0</v>
      </c>
      <c r="O363" s="4" t="s">
        <v>256</v>
      </c>
      <c r="P363" s="5" t="str">
        <f t="shared" si="53"/>
        <v>Chennai</v>
      </c>
      <c r="Q363" s="5" t="str">
        <f t="shared" si="54"/>
        <v>Ent</v>
      </c>
      <c r="R363" s="6" t="str">
        <f t="shared" si="55"/>
        <v>Fortis</v>
      </c>
      <c r="S363" s="6" t="str">
        <f t="shared" si="56"/>
        <v>Cash</v>
      </c>
      <c r="T363" s="6" t="str">
        <f t="shared" si="57"/>
        <v>Female</v>
      </c>
      <c r="U363" s="6" t="str">
        <f t="shared" si="60"/>
        <v>ICU</v>
      </c>
      <c r="V363" s="6" t="str" cm="1">
        <f t="array" ref="V363">IF(TRIM(S363)="",INDEX($S$2:$S$1500,MATCH(MAX(COUNTIF($S$2:$S$1500,S363)),COUNTIF($S$2:$S$1500,$S$2:$S$1500),0)),S363)</f>
        <v>Cash</v>
      </c>
      <c r="W363" s="7" cm="1">
        <f t="array" ref="W363">IF(OR(TRIM(K363)="",TRIM(K363)="-"), MEDIAN(IF($E$2:$E$1500=E363,$K$2:$K$1500)),  VALUE(SUBSTITUTE(SUBSTITUTE(SUBSTITUTE(K363,"Rs. ",""),"₹",""),",","")))</f>
        <v>71522</v>
      </c>
      <c r="X363" s="8">
        <f t="shared" si="58"/>
        <v>0</v>
      </c>
      <c r="Y363" s="7">
        <f t="shared" si="59"/>
        <v>71522</v>
      </c>
      <c r="Z363" s="9" t="str">
        <f t="shared" si="51"/>
        <v>ADULT</v>
      </c>
    </row>
    <row r="364" spans="1:26" x14ac:dyDescent="0.3">
      <c r="A364" s="5" t="s">
        <v>920</v>
      </c>
      <c r="B364" s="5" t="s">
        <v>78</v>
      </c>
      <c r="C364" s="5" t="s">
        <v>79</v>
      </c>
      <c r="D364" s="5" t="s">
        <v>16</v>
      </c>
      <c r="E364" s="5" t="s">
        <v>164</v>
      </c>
      <c r="F364" s="5" t="s">
        <v>282</v>
      </c>
      <c r="G364" s="5" t="s">
        <v>19</v>
      </c>
      <c r="H364" s="5">
        <v>70</v>
      </c>
      <c r="I364" s="5" t="s">
        <v>70</v>
      </c>
      <c r="J364" s="34" t="s">
        <v>921</v>
      </c>
      <c r="K364" s="31" t="s">
        <v>922</v>
      </c>
      <c r="L364" s="5" t="s">
        <v>34</v>
      </c>
      <c r="M364" s="32">
        <v>0</v>
      </c>
      <c r="N364" s="6">
        <f t="shared" si="52"/>
        <v>0</v>
      </c>
      <c r="O364" s="4" t="s">
        <v>282</v>
      </c>
      <c r="P364" s="5" t="str">
        <f t="shared" si="53"/>
        <v>Bangalore</v>
      </c>
      <c r="Q364" s="5" t="str">
        <f t="shared" si="54"/>
        <v>Cardiology</v>
      </c>
      <c r="R364" s="6" t="str">
        <f t="shared" si="55"/>
        <v>Apollo</v>
      </c>
      <c r="S364" s="6" t="str">
        <f t="shared" si="56"/>
        <v>Cash</v>
      </c>
      <c r="T364" s="6" t="str">
        <f t="shared" si="57"/>
        <v>Female</v>
      </c>
      <c r="U364" s="6" t="str">
        <f t="shared" si="60"/>
        <v>General</v>
      </c>
      <c r="V364" s="6" t="str" cm="1">
        <f t="array" ref="V364">IF(TRIM(S364)="",INDEX($S$2:$S$1500,MATCH(MAX(COUNTIF($S$2:$S$1500,S364)),COUNTIF($S$2:$S$1500,$S$2:$S$1500),0)),S364)</f>
        <v>Cash</v>
      </c>
      <c r="W364" s="7" cm="1">
        <f t="array" ref="W364">IF(OR(TRIM(K364)="",TRIM(K364)="-"), MEDIAN(IF($E$2:$E$1500=E364,$K$2:$K$1500)),  VALUE(SUBSTITUTE(SUBSTITUTE(SUBSTITUTE(K364,"Rs. ",""),"₹",""),",","")))</f>
        <v>8320</v>
      </c>
      <c r="X364" s="8">
        <f t="shared" si="58"/>
        <v>0</v>
      </c>
      <c r="Y364" s="7">
        <f t="shared" si="59"/>
        <v>8320</v>
      </c>
      <c r="Z364" s="9" t="str">
        <f t="shared" si="51"/>
        <v>SENIOR</v>
      </c>
    </row>
    <row r="365" spans="1:26" x14ac:dyDescent="0.3">
      <c r="A365" s="5" t="s">
        <v>923</v>
      </c>
      <c r="B365" s="5" t="s">
        <v>106</v>
      </c>
      <c r="C365" s="5" t="s">
        <v>307</v>
      </c>
      <c r="D365" s="5" t="s">
        <v>16</v>
      </c>
      <c r="E365" s="5" t="s">
        <v>47</v>
      </c>
      <c r="F365" s="5" t="s">
        <v>364</v>
      </c>
      <c r="G365" s="5" t="s">
        <v>39</v>
      </c>
      <c r="H365" s="5">
        <v>16</v>
      </c>
      <c r="I365" s="5" t="s">
        <v>31</v>
      </c>
      <c r="J365" s="34" t="s">
        <v>924</v>
      </c>
      <c r="K365" s="31" t="s">
        <v>925</v>
      </c>
      <c r="L365" s="5" t="s">
        <v>72</v>
      </c>
      <c r="M365" s="32">
        <v>5</v>
      </c>
      <c r="N365" s="6">
        <f t="shared" si="52"/>
        <v>5</v>
      </c>
      <c r="O365" s="4" t="s">
        <v>364</v>
      </c>
      <c r="P365" s="5" t="str">
        <f t="shared" si="53"/>
        <v>Bangalore</v>
      </c>
      <c r="Q365" s="5" t="str">
        <f t="shared" si="54"/>
        <v>Gastroenterology</v>
      </c>
      <c r="R365" s="6" t="str">
        <f t="shared" si="55"/>
        <v>Aiims</v>
      </c>
      <c r="S365" s="6" t="str">
        <f t="shared" si="56"/>
        <v>Cash</v>
      </c>
      <c r="T365" s="6" t="str">
        <f t="shared" si="57"/>
        <v>Male</v>
      </c>
      <c r="U365" s="6" t="str">
        <f t="shared" si="60"/>
        <v>General</v>
      </c>
      <c r="V365" s="6" t="str" cm="1">
        <f t="array" ref="V365">IF(TRIM(S365)="",INDEX($S$2:$S$1500,MATCH(MAX(COUNTIF($S$2:$S$1500,S365)),COUNTIF($S$2:$S$1500,$S$2:$S$1500),0)),S365)</f>
        <v>Cash</v>
      </c>
      <c r="W365" s="7" cm="1">
        <f t="array" ref="W365">IF(OR(TRIM(K365)="",TRIM(K365)="-"), MEDIAN(IF($E$2:$E$1500=E365,$K$2:$K$1500)),  VALUE(SUBSTITUTE(SUBSTITUTE(SUBSTITUTE(K365,"Rs. ",""),"₹",""),",","")))</f>
        <v>12833</v>
      </c>
      <c r="X365" s="8">
        <f t="shared" si="58"/>
        <v>5</v>
      </c>
      <c r="Y365" s="7">
        <f t="shared" si="59"/>
        <v>12191</v>
      </c>
      <c r="Z365" s="9" t="str">
        <f t="shared" si="51"/>
        <v>TEEN</v>
      </c>
    </row>
    <row r="366" spans="1:26" x14ac:dyDescent="0.3">
      <c r="A366" s="5" t="s">
        <v>926</v>
      </c>
      <c r="B366" s="5" t="s">
        <v>106</v>
      </c>
      <c r="C366" s="5" t="s">
        <v>107</v>
      </c>
      <c r="D366" s="5" t="s">
        <v>61</v>
      </c>
      <c r="E366" s="5" t="s">
        <v>17</v>
      </c>
      <c r="F366" s="5" t="s">
        <v>213</v>
      </c>
      <c r="G366" s="5" t="s">
        <v>62</v>
      </c>
      <c r="H366" s="5">
        <v>58</v>
      </c>
      <c r="I366" s="5" t="s">
        <v>20</v>
      </c>
      <c r="J366" s="34" t="s">
        <v>927</v>
      </c>
      <c r="K366" s="31" t="s">
        <v>928</v>
      </c>
      <c r="L366" s="5" t="s">
        <v>83</v>
      </c>
      <c r="M366" s="32">
        <v>0</v>
      </c>
      <c r="N366" s="6">
        <f t="shared" si="52"/>
        <v>0</v>
      </c>
      <c r="O366" s="4" t="s">
        <v>213</v>
      </c>
      <c r="P366" s="5" t="str">
        <f t="shared" si="53"/>
        <v>Pune</v>
      </c>
      <c r="Q366" s="5" t="str">
        <f t="shared" si="54"/>
        <v>Gynecology</v>
      </c>
      <c r="R366" s="6" t="str">
        <f t="shared" si="55"/>
        <v>Aiims</v>
      </c>
      <c r="S366" s="6" t="str">
        <f t="shared" si="56"/>
        <v>Debit Card</v>
      </c>
      <c r="T366" s="6" t="str">
        <f t="shared" si="57"/>
        <v>Male</v>
      </c>
      <c r="U366" s="6" t="str">
        <f t="shared" si="60"/>
        <v>ICU</v>
      </c>
      <c r="V366" s="6" t="str" cm="1">
        <f t="array" ref="V366">IF(TRIM(S366)="",INDEX($S$2:$S$1500,MATCH(MAX(COUNTIF($S$2:$S$1500,S366)),COUNTIF($S$2:$S$1500,$S$2:$S$1500),0)),S366)</f>
        <v>Debit Card</v>
      </c>
      <c r="W366" s="7" cm="1">
        <f t="array" ref="W366">IF(OR(TRIM(K366)="",TRIM(K366)="-"), MEDIAN(IF($E$2:$E$1500=E366,$K$2:$K$1500)),  VALUE(SUBSTITUTE(SUBSTITUTE(SUBSTITUTE(K366,"Rs. ",""),"₹",""),",","")))</f>
        <v>46611</v>
      </c>
      <c r="X366" s="8">
        <f t="shared" si="58"/>
        <v>0</v>
      </c>
      <c r="Y366" s="7">
        <f t="shared" si="59"/>
        <v>46611</v>
      </c>
      <c r="Z366" s="9" t="str">
        <f t="shared" si="51"/>
        <v>ADULT</v>
      </c>
    </row>
    <row r="367" spans="1:26" x14ac:dyDescent="0.3">
      <c r="A367" s="5" t="s">
        <v>929</v>
      </c>
      <c r="B367" s="5" t="s">
        <v>45</v>
      </c>
      <c r="C367" s="5" t="s">
        <v>46</v>
      </c>
      <c r="D367" s="5" t="s">
        <v>66</v>
      </c>
      <c r="E367" s="5" t="s">
        <v>28</v>
      </c>
      <c r="F367" s="5" t="s">
        <v>29</v>
      </c>
      <c r="G367" s="5" t="s">
        <v>39</v>
      </c>
      <c r="H367" s="5">
        <v>79</v>
      </c>
      <c r="I367" s="5" t="s">
        <v>40</v>
      </c>
      <c r="J367" s="34" t="s">
        <v>930</v>
      </c>
      <c r="K367" s="31">
        <v>12921</v>
      </c>
      <c r="L367" s="5" t="s">
        <v>97</v>
      </c>
      <c r="M367" s="32" t="s">
        <v>130</v>
      </c>
      <c r="N367" s="6">
        <f t="shared" si="52"/>
        <v>0</v>
      </c>
      <c r="O367" s="4" t="s">
        <v>29</v>
      </c>
      <c r="P367" s="5" t="str">
        <f t="shared" si="53"/>
        <v>Kolkata</v>
      </c>
      <c r="Q367" s="5" t="str">
        <f t="shared" si="54"/>
        <v>Oncology</v>
      </c>
      <c r="R367" s="6" t="str">
        <f t="shared" si="55"/>
        <v>Fortis</v>
      </c>
      <c r="S367" s="6" t="str">
        <f t="shared" si="56"/>
        <v>UPI</v>
      </c>
      <c r="T367" s="6" t="str">
        <f t="shared" si="57"/>
        <v>Female</v>
      </c>
      <c r="U367" s="6" t="str">
        <f t="shared" si="60"/>
        <v>General</v>
      </c>
      <c r="V367" s="6" t="str" cm="1">
        <f t="array" ref="V367">IF(TRIM(S367)="",INDEX($S$2:$S$1500,MATCH(MAX(COUNTIF($S$2:$S$1500,S367)),COUNTIF($S$2:$S$1500,$S$2:$S$1500),0)),S367)</f>
        <v>UPI</v>
      </c>
      <c r="W367" s="7" cm="1">
        <f t="array" ref="W367">IF(OR(TRIM(K367)="",TRIM(K367)="-"), MEDIAN(IF($E$2:$E$1500=E367,$K$2:$K$1500)),  VALUE(SUBSTITUTE(SUBSTITUTE(SUBSTITUTE(K367,"Rs. ",""),"₹",""),",","")))</f>
        <v>12921</v>
      </c>
      <c r="X367" s="8">
        <f t="shared" si="58"/>
        <v>0</v>
      </c>
      <c r="Y367" s="7">
        <f t="shared" si="59"/>
        <v>12921</v>
      </c>
      <c r="Z367" s="9" t="str">
        <f t="shared" si="51"/>
        <v>SENIOR</v>
      </c>
    </row>
    <row r="368" spans="1:26" x14ac:dyDescent="0.3">
      <c r="A368" s="5" t="s">
        <v>931</v>
      </c>
      <c r="B368" s="5" t="s">
        <v>78</v>
      </c>
      <c r="C368" s="5" t="s">
        <v>79</v>
      </c>
      <c r="D368" s="5" t="s">
        <v>61</v>
      </c>
      <c r="E368" s="5" t="s">
        <v>37</v>
      </c>
      <c r="F368" s="5" t="s">
        <v>132</v>
      </c>
      <c r="G368" s="5" t="s">
        <v>101</v>
      </c>
      <c r="H368" s="5">
        <v>20</v>
      </c>
      <c r="I368" s="5" t="s">
        <v>31</v>
      </c>
      <c r="J368" s="34" t="s">
        <v>584</v>
      </c>
      <c r="K368" s="31">
        <v>30681</v>
      </c>
      <c r="L368" s="5" t="s">
        <v>91</v>
      </c>
      <c r="M368" s="32" t="s">
        <v>130</v>
      </c>
      <c r="N368" s="6">
        <f t="shared" si="52"/>
        <v>0</v>
      </c>
      <c r="O368" s="4" t="s">
        <v>132</v>
      </c>
      <c r="P368" s="5" t="str">
        <f t="shared" si="53"/>
        <v>Pune</v>
      </c>
      <c r="Q368" s="5" t="str">
        <f t="shared" si="54"/>
        <v>Pediatrics</v>
      </c>
      <c r="R368" s="6" t="str">
        <f t="shared" si="55"/>
        <v>Apollo</v>
      </c>
      <c r="S368" s="6" t="str">
        <f t="shared" si="56"/>
        <v>Debit Card</v>
      </c>
      <c r="T368" s="6" t="str">
        <f t="shared" si="57"/>
        <v>Male</v>
      </c>
      <c r="U368" s="6" t="str">
        <f t="shared" si="60"/>
        <v>ICU</v>
      </c>
      <c r="V368" s="6" t="str" cm="1">
        <f t="array" ref="V368">IF(TRIM(S368)="",INDEX($S$2:$S$1500,MATCH(MAX(COUNTIF($S$2:$S$1500,S368)),COUNTIF($S$2:$S$1500,$S$2:$S$1500),0)),S368)</f>
        <v>Debit Card</v>
      </c>
      <c r="W368" s="7" cm="1">
        <f t="array" ref="W368">IF(OR(TRIM(K368)="",TRIM(K368)="-"), MEDIAN(IF($E$2:$E$1500=E368,$K$2:$K$1500)),  VALUE(SUBSTITUTE(SUBSTITUTE(SUBSTITUTE(K368,"Rs. ",""),"₹",""),",","")))</f>
        <v>30681</v>
      </c>
      <c r="X368" s="8">
        <f t="shared" si="58"/>
        <v>0</v>
      </c>
      <c r="Y368" s="7">
        <f t="shared" si="59"/>
        <v>30681</v>
      </c>
      <c r="Z368" s="9" t="str">
        <f t="shared" si="51"/>
        <v>ADULT</v>
      </c>
    </row>
    <row r="369" spans="1:26" x14ac:dyDescent="0.3">
      <c r="A369" s="5" t="s">
        <v>932</v>
      </c>
      <c r="B369" s="5" t="s">
        <v>117</v>
      </c>
      <c r="C369" s="5" t="s">
        <v>118</v>
      </c>
      <c r="D369" s="5" t="s">
        <v>66</v>
      </c>
      <c r="E369" s="5" t="s">
        <v>47</v>
      </c>
      <c r="F369" s="5" t="s">
        <v>175</v>
      </c>
      <c r="G369" s="5" t="s">
        <v>39</v>
      </c>
      <c r="H369" s="5">
        <v>70</v>
      </c>
      <c r="I369" s="5" t="s">
        <v>70</v>
      </c>
      <c r="J369" s="34" t="s">
        <v>933</v>
      </c>
      <c r="K369" s="31">
        <v>13004</v>
      </c>
      <c r="L369" s="5" t="s">
        <v>72</v>
      </c>
      <c r="M369" s="32">
        <v>10</v>
      </c>
      <c r="N369" s="6">
        <f t="shared" si="52"/>
        <v>10</v>
      </c>
      <c r="O369" s="4" t="s">
        <v>175</v>
      </c>
      <c r="P369" s="5" t="str">
        <f t="shared" si="53"/>
        <v>Kolkata</v>
      </c>
      <c r="Q369" s="5" t="str">
        <f t="shared" si="54"/>
        <v>Gastroenterology</v>
      </c>
      <c r="R369" s="6" t="str">
        <f t="shared" si="55"/>
        <v>Manipal</v>
      </c>
      <c r="S369" s="6" t="str">
        <f t="shared" si="56"/>
        <v>Cash</v>
      </c>
      <c r="T369" s="6" t="str">
        <f t="shared" si="57"/>
        <v>Female</v>
      </c>
      <c r="U369" s="6" t="str">
        <f t="shared" si="60"/>
        <v>General</v>
      </c>
      <c r="V369" s="6" t="str" cm="1">
        <f t="array" ref="V369">IF(TRIM(S369)="",INDEX($S$2:$S$1500,MATCH(MAX(COUNTIF($S$2:$S$1500,S369)),COUNTIF($S$2:$S$1500,$S$2:$S$1500),0)),S369)</f>
        <v>Cash</v>
      </c>
      <c r="W369" s="7" cm="1">
        <f t="array" ref="W369">IF(OR(TRIM(K369)="",TRIM(K369)="-"), MEDIAN(IF($E$2:$E$1500=E369,$K$2:$K$1500)),  VALUE(SUBSTITUTE(SUBSTITUTE(SUBSTITUTE(K369,"Rs. ",""),"₹",""),",","")))</f>
        <v>13004</v>
      </c>
      <c r="X369" s="8">
        <f t="shared" si="58"/>
        <v>10</v>
      </c>
      <c r="Y369" s="7">
        <f t="shared" si="59"/>
        <v>11704</v>
      </c>
      <c r="Z369" s="9" t="str">
        <f t="shared" si="51"/>
        <v>SENIOR</v>
      </c>
    </row>
    <row r="370" spans="1:26" x14ac:dyDescent="0.3">
      <c r="A370" s="5" t="s">
        <v>934</v>
      </c>
      <c r="B370" s="5" t="s">
        <v>106</v>
      </c>
      <c r="C370" s="5" t="s">
        <v>107</v>
      </c>
      <c r="D370" s="5" t="s">
        <v>66</v>
      </c>
      <c r="E370" s="5" t="s">
        <v>99</v>
      </c>
      <c r="F370" s="5" t="s">
        <v>100</v>
      </c>
      <c r="G370" s="5" t="s">
        <v>19</v>
      </c>
      <c r="H370" s="5">
        <v>59</v>
      </c>
      <c r="I370" s="5" t="s">
        <v>31</v>
      </c>
      <c r="J370" s="34" t="s">
        <v>576</v>
      </c>
      <c r="K370" s="31">
        <v>12800</v>
      </c>
      <c r="L370" s="5" t="s">
        <v>87</v>
      </c>
      <c r="M370" s="32">
        <v>0.1</v>
      </c>
      <c r="N370" s="6">
        <f t="shared" si="52"/>
        <v>10</v>
      </c>
      <c r="O370" s="4" t="s">
        <v>100</v>
      </c>
      <c r="P370" s="5" t="str">
        <f t="shared" si="53"/>
        <v>Kolkata</v>
      </c>
      <c r="Q370" s="5" t="str">
        <f t="shared" si="54"/>
        <v>Ent</v>
      </c>
      <c r="R370" s="6" t="str">
        <f t="shared" si="55"/>
        <v>Aiims</v>
      </c>
      <c r="S370" s="6" t="str">
        <f t="shared" si="56"/>
        <v>Credit Card</v>
      </c>
      <c r="T370" s="6" t="str">
        <f t="shared" si="57"/>
        <v>Male</v>
      </c>
      <c r="U370" s="6" t="str">
        <f t="shared" si="60"/>
        <v>General</v>
      </c>
      <c r="V370" s="6" t="str" cm="1">
        <f t="array" ref="V370">IF(TRIM(S370)="",INDEX($S$2:$S$1500,MATCH(MAX(COUNTIF($S$2:$S$1500,S370)),COUNTIF($S$2:$S$1500,$S$2:$S$1500),0)),S370)</f>
        <v>Credit Card</v>
      </c>
      <c r="W370" s="7" cm="1">
        <f t="array" ref="W370">IF(OR(TRIM(K370)="",TRIM(K370)="-"), MEDIAN(IF($E$2:$E$1500=E370,$K$2:$K$1500)),  VALUE(SUBSTITUTE(SUBSTITUTE(SUBSTITUTE(K370,"Rs. ",""),"₹",""),",","")))</f>
        <v>12800</v>
      </c>
      <c r="X370" s="8">
        <f t="shared" si="58"/>
        <v>10</v>
      </c>
      <c r="Y370" s="7">
        <f t="shared" si="59"/>
        <v>11520</v>
      </c>
      <c r="Z370" s="9" t="str">
        <f t="shared" si="51"/>
        <v>ADULT</v>
      </c>
    </row>
    <row r="371" spans="1:26" x14ac:dyDescent="0.3">
      <c r="A371" s="5" t="s">
        <v>935</v>
      </c>
      <c r="B371" s="5" t="s">
        <v>78</v>
      </c>
      <c r="C371" s="5" t="s">
        <v>79</v>
      </c>
      <c r="D371" s="5" t="s">
        <v>55</v>
      </c>
      <c r="E371" s="5" t="s">
        <v>93</v>
      </c>
      <c r="F371" s="5" t="s">
        <v>94</v>
      </c>
      <c r="G371" s="5" t="s">
        <v>49</v>
      </c>
      <c r="H371" s="5">
        <v>66</v>
      </c>
      <c r="I371" s="5" t="s">
        <v>20</v>
      </c>
      <c r="J371" s="34" t="s">
        <v>524</v>
      </c>
      <c r="K371" s="31">
        <v>10898</v>
      </c>
      <c r="L371" s="5" t="s">
        <v>115</v>
      </c>
      <c r="M371" s="32" t="s">
        <v>64</v>
      </c>
      <c r="N371" s="6" t="str">
        <f t="shared" si="52"/>
        <v>NA</v>
      </c>
      <c r="O371" s="4" t="s">
        <v>94</v>
      </c>
      <c r="P371" s="5" t="str">
        <f t="shared" si="53"/>
        <v>Hyderabad</v>
      </c>
      <c r="Q371" s="5" t="str">
        <f t="shared" si="54"/>
        <v>Nephrology</v>
      </c>
      <c r="R371" s="6" t="str">
        <f t="shared" si="55"/>
        <v>Apollo</v>
      </c>
      <c r="S371" s="6" t="str">
        <f t="shared" si="56"/>
        <v>Cash</v>
      </c>
      <c r="T371" s="6" t="str">
        <f t="shared" si="57"/>
        <v>Male</v>
      </c>
      <c r="U371" s="6" t="str">
        <f t="shared" si="60"/>
        <v>General</v>
      </c>
      <c r="V371" s="6" t="str" cm="1">
        <f t="array" ref="V371">IF(TRIM(S371)="",INDEX($S$2:$S$1500,MATCH(MAX(COUNTIF($S$2:$S$1500,S371)),COUNTIF($S$2:$S$1500,$S$2:$S$1500),0)),S371)</f>
        <v>Cash</v>
      </c>
      <c r="W371" s="7" cm="1">
        <f t="array" ref="W371">IF(OR(TRIM(K371)="",TRIM(K371)="-"), MEDIAN(IF($E$2:$E$1500=E371,$K$2:$K$1500)),  VALUE(SUBSTITUTE(SUBSTITUTE(SUBSTITUTE(K371,"Rs. ",""),"₹",""),",","")))</f>
        <v>10898</v>
      </c>
      <c r="X371" s="8">
        <f t="shared" si="58"/>
        <v>3</v>
      </c>
      <c r="Y371" s="7">
        <f t="shared" si="59"/>
        <v>10571</v>
      </c>
      <c r="Z371" s="9" t="str">
        <f t="shared" si="51"/>
        <v>SENIOR</v>
      </c>
    </row>
    <row r="372" spans="1:26" x14ac:dyDescent="0.3">
      <c r="A372" s="5" t="s">
        <v>936</v>
      </c>
      <c r="B372" s="5" t="s">
        <v>45</v>
      </c>
      <c r="C372" s="5" t="s">
        <v>46</v>
      </c>
      <c r="D372" s="5" t="s">
        <v>189</v>
      </c>
      <c r="E372" s="5" t="s">
        <v>108</v>
      </c>
      <c r="F372" s="5" t="s">
        <v>272</v>
      </c>
      <c r="G372" s="5" t="s">
        <v>69</v>
      </c>
      <c r="H372" s="5">
        <v>89</v>
      </c>
      <c r="I372" s="5" t="s">
        <v>31</v>
      </c>
      <c r="J372" s="34" t="s">
        <v>937</v>
      </c>
      <c r="K372" s="31" t="s">
        <v>938</v>
      </c>
      <c r="L372" s="5" t="s">
        <v>83</v>
      </c>
      <c r="M372" s="32" t="s">
        <v>140</v>
      </c>
      <c r="N372" s="6" t="str">
        <f t="shared" si="52"/>
        <v>-</v>
      </c>
      <c r="O372" s="4" t="s">
        <v>272</v>
      </c>
      <c r="P372" s="5" t="str">
        <f t="shared" si="53"/>
        <v>Delhi</v>
      </c>
      <c r="Q372" s="5" t="str">
        <f t="shared" si="54"/>
        <v>Orthopedics</v>
      </c>
      <c r="R372" s="6" t="str">
        <f t="shared" si="55"/>
        <v>Fortis</v>
      </c>
      <c r="S372" s="6" t="str">
        <f t="shared" si="56"/>
        <v>Debit Card</v>
      </c>
      <c r="T372" s="6" t="str">
        <f t="shared" si="57"/>
        <v>Male</v>
      </c>
      <c r="U372" s="6" t="str">
        <f t="shared" si="60"/>
        <v>ICU</v>
      </c>
      <c r="V372" s="6" t="str" cm="1">
        <f t="array" ref="V372">IF(TRIM(S372)="",INDEX($S$2:$S$1500,MATCH(MAX(COUNTIF($S$2:$S$1500,S372)),COUNTIF($S$2:$S$1500,$S$2:$S$1500),0)),S372)</f>
        <v>Debit Card</v>
      </c>
      <c r="W372" s="7" cm="1">
        <f t="array" ref="W372">IF(OR(TRIM(K372)="",TRIM(K372)="-"), MEDIAN(IF($E$2:$E$1500=E372,$K$2:$K$1500)),  VALUE(SUBSTITUTE(SUBSTITUTE(SUBSTITUTE(K372,"Rs. ",""),"₹",""),",","")))</f>
        <v>45425</v>
      </c>
      <c r="X372" s="8">
        <f t="shared" si="58"/>
        <v>3</v>
      </c>
      <c r="Y372" s="7">
        <f t="shared" si="59"/>
        <v>44062</v>
      </c>
      <c r="Z372" s="9" t="str">
        <f t="shared" si="51"/>
        <v>SENIOR</v>
      </c>
    </row>
    <row r="373" spans="1:26" x14ac:dyDescent="0.3">
      <c r="A373" s="5" t="s">
        <v>939</v>
      </c>
      <c r="B373" s="5" t="s">
        <v>25</v>
      </c>
      <c r="C373" s="5" t="s">
        <v>54</v>
      </c>
      <c r="D373" s="5" t="s">
        <v>61</v>
      </c>
      <c r="E373" s="5" t="s">
        <v>164</v>
      </c>
      <c r="F373" s="5" t="s">
        <v>219</v>
      </c>
      <c r="G373" s="5" t="s">
        <v>62</v>
      </c>
      <c r="H373" s="5">
        <v>55</v>
      </c>
      <c r="I373" s="5" t="s">
        <v>40</v>
      </c>
      <c r="J373" s="34" t="s">
        <v>940</v>
      </c>
      <c r="K373" s="31" t="s">
        <v>941</v>
      </c>
      <c r="L373" s="5" t="s">
        <v>23</v>
      </c>
      <c r="M373" s="32">
        <v>5</v>
      </c>
      <c r="N373" s="6">
        <f t="shared" si="52"/>
        <v>5</v>
      </c>
      <c r="O373" s="4" t="s">
        <v>219</v>
      </c>
      <c r="P373" s="5" t="str">
        <f t="shared" si="53"/>
        <v>Pune</v>
      </c>
      <c r="Q373" s="5" t="str">
        <f t="shared" si="54"/>
        <v>Cardiology</v>
      </c>
      <c r="R373" s="6" t="str">
        <f t="shared" si="55"/>
        <v>Narayana</v>
      </c>
      <c r="S373" s="6" t="str">
        <f t="shared" si="56"/>
        <v>Credit Card</v>
      </c>
      <c r="T373" s="6" t="str">
        <f t="shared" si="57"/>
        <v>Female</v>
      </c>
      <c r="U373" s="6" t="str">
        <f t="shared" si="60"/>
        <v>ICU</v>
      </c>
      <c r="V373" s="6" t="str" cm="1">
        <f t="array" ref="V373">IF(TRIM(S373)="",INDEX($S$2:$S$1500,MATCH(MAX(COUNTIF($S$2:$S$1500,S373)),COUNTIF($S$2:$S$1500,$S$2:$S$1500),0)),S373)</f>
        <v>Credit Card</v>
      </c>
      <c r="W373" s="7" cm="1">
        <f t="array" ref="W373">IF(OR(TRIM(K373)="",TRIM(K373)="-"), MEDIAN(IF($E$2:$E$1500=E373,$K$2:$K$1500)),  VALUE(SUBSTITUTE(SUBSTITUTE(SUBSTITUTE(K373,"Rs. ",""),"₹",""),",","")))</f>
        <v>57456</v>
      </c>
      <c r="X373" s="8">
        <f t="shared" si="58"/>
        <v>5</v>
      </c>
      <c r="Y373" s="7">
        <f t="shared" si="59"/>
        <v>54583</v>
      </c>
      <c r="Z373" s="9" t="str">
        <f t="shared" si="51"/>
        <v>ADULT</v>
      </c>
    </row>
    <row r="374" spans="1:26" x14ac:dyDescent="0.3">
      <c r="A374" s="5" t="s">
        <v>942</v>
      </c>
      <c r="B374" s="5" t="s">
        <v>14</v>
      </c>
      <c r="C374" s="5" t="s">
        <v>15</v>
      </c>
      <c r="D374" s="5" t="s">
        <v>80</v>
      </c>
      <c r="E374" s="5" t="s">
        <v>164</v>
      </c>
      <c r="F374" s="5" t="s">
        <v>282</v>
      </c>
      <c r="G374" s="5" t="s">
        <v>30</v>
      </c>
      <c r="H374" s="5">
        <v>47</v>
      </c>
      <c r="I374" s="5" t="s">
        <v>20</v>
      </c>
      <c r="J374" s="34" t="s">
        <v>943</v>
      </c>
      <c r="K374" s="31" t="s">
        <v>944</v>
      </c>
      <c r="L374" s="5" t="s">
        <v>23</v>
      </c>
      <c r="M374" s="32">
        <v>10</v>
      </c>
      <c r="N374" s="6">
        <f t="shared" si="52"/>
        <v>10</v>
      </c>
      <c r="O374" s="4" t="s">
        <v>282</v>
      </c>
      <c r="P374" s="5" t="str">
        <f t="shared" si="53"/>
        <v>Ahmedabad</v>
      </c>
      <c r="Q374" s="5" t="str">
        <f t="shared" si="54"/>
        <v>Cardiology</v>
      </c>
      <c r="R374" s="6" t="str">
        <f t="shared" si="55"/>
        <v>Max_Healthcare</v>
      </c>
      <c r="S374" s="6" t="str">
        <f t="shared" si="56"/>
        <v>Credit Card</v>
      </c>
      <c r="T374" s="6" t="str">
        <f t="shared" si="57"/>
        <v>Male</v>
      </c>
      <c r="U374" s="6" t="str">
        <f t="shared" si="60"/>
        <v>General</v>
      </c>
      <c r="V374" s="6" t="str" cm="1">
        <f t="array" ref="V374">IF(TRIM(S374)="",INDEX($S$2:$S$1500,MATCH(MAX(COUNTIF($S$2:$S$1500,S374)),COUNTIF($S$2:$S$1500,$S$2:$S$1500),0)),S374)</f>
        <v>Credit Card</v>
      </c>
      <c r="W374" s="7" cm="1">
        <f t="array" ref="W374">IF(OR(TRIM(K374)="",TRIM(K374)="-"), MEDIAN(IF($E$2:$E$1500=E374,$K$2:$K$1500)),  VALUE(SUBSTITUTE(SUBSTITUTE(SUBSTITUTE(K374,"Rs. ",""),"₹",""),",","")))</f>
        <v>18047</v>
      </c>
      <c r="X374" s="8">
        <f t="shared" si="58"/>
        <v>10</v>
      </c>
      <c r="Y374" s="7">
        <f t="shared" si="59"/>
        <v>16242</v>
      </c>
      <c r="Z374" s="9" t="str">
        <f t="shared" si="51"/>
        <v>ADULT</v>
      </c>
    </row>
    <row r="375" spans="1:26" x14ac:dyDescent="0.3">
      <c r="A375" s="5" t="s">
        <v>945</v>
      </c>
      <c r="B375" s="5" t="s">
        <v>45</v>
      </c>
      <c r="C375" s="5" t="s">
        <v>46</v>
      </c>
      <c r="D375" s="5" t="s">
        <v>36</v>
      </c>
      <c r="E375" s="5" t="s">
        <v>99</v>
      </c>
      <c r="F375" s="5" t="s">
        <v>100</v>
      </c>
      <c r="G375" s="5" t="s">
        <v>101</v>
      </c>
      <c r="H375" s="5">
        <v>92</v>
      </c>
      <c r="I375" s="5" t="s">
        <v>31</v>
      </c>
      <c r="J375" s="34" t="s">
        <v>210</v>
      </c>
      <c r="K375" s="31">
        <v>63134</v>
      </c>
      <c r="L375" s="5" t="s">
        <v>72</v>
      </c>
      <c r="M375" s="32">
        <v>5</v>
      </c>
      <c r="N375" s="6">
        <f t="shared" si="52"/>
        <v>5</v>
      </c>
      <c r="O375" s="4" t="s">
        <v>100</v>
      </c>
      <c r="P375" s="5" t="str">
        <f t="shared" si="53"/>
        <v>Chennai</v>
      </c>
      <c r="Q375" s="5" t="str">
        <f t="shared" si="54"/>
        <v>Ent</v>
      </c>
      <c r="R375" s="6" t="str">
        <f t="shared" si="55"/>
        <v>Fortis</v>
      </c>
      <c r="S375" s="6" t="str">
        <f t="shared" si="56"/>
        <v>Cash</v>
      </c>
      <c r="T375" s="6" t="str">
        <f t="shared" si="57"/>
        <v>Male</v>
      </c>
      <c r="U375" s="6" t="str">
        <f t="shared" si="60"/>
        <v>ICU</v>
      </c>
      <c r="V375" s="6" t="str" cm="1">
        <f t="array" ref="V375">IF(TRIM(S375)="",INDEX($S$2:$S$1500,MATCH(MAX(COUNTIF($S$2:$S$1500,S375)),COUNTIF($S$2:$S$1500,$S$2:$S$1500),0)),S375)</f>
        <v>Cash</v>
      </c>
      <c r="W375" s="7" cm="1">
        <f t="array" ref="W375">IF(OR(TRIM(K375)="",TRIM(K375)="-"), MEDIAN(IF($E$2:$E$1500=E375,$K$2:$K$1500)),  VALUE(SUBSTITUTE(SUBSTITUTE(SUBSTITUTE(K375,"Rs. ",""),"₹",""),",","")))</f>
        <v>63134</v>
      </c>
      <c r="X375" s="8">
        <f t="shared" si="58"/>
        <v>5</v>
      </c>
      <c r="Y375" s="7">
        <f t="shared" si="59"/>
        <v>59977</v>
      </c>
      <c r="Z375" s="9" t="str">
        <f t="shared" si="51"/>
        <v>SENIOR</v>
      </c>
    </row>
    <row r="376" spans="1:26" x14ac:dyDescent="0.3">
      <c r="A376" s="5" t="s">
        <v>946</v>
      </c>
      <c r="B376" s="5" t="s">
        <v>45</v>
      </c>
      <c r="C376" s="5" t="s">
        <v>334</v>
      </c>
      <c r="D376" s="5" t="s">
        <v>61</v>
      </c>
      <c r="E376" s="5" t="s">
        <v>99</v>
      </c>
      <c r="F376" s="5" t="s">
        <v>372</v>
      </c>
      <c r="G376" s="5" t="s">
        <v>39</v>
      </c>
      <c r="H376" s="5">
        <v>13</v>
      </c>
      <c r="I376" s="5" t="s">
        <v>40</v>
      </c>
      <c r="J376" s="34" t="s">
        <v>483</v>
      </c>
      <c r="K376" s="31" t="s">
        <v>947</v>
      </c>
      <c r="L376" s="5" t="s">
        <v>52</v>
      </c>
      <c r="M376" s="32">
        <v>10</v>
      </c>
      <c r="N376" s="6">
        <f t="shared" si="52"/>
        <v>10</v>
      </c>
      <c r="O376" s="4" t="s">
        <v>372</v>
      </c>
      <c r="P376" s="5" t="str">
        <f t="shared" si="53"/>
        <v>Pune</v>
      </c>
      <c r="Q376" s="5" t="str">
        <f t="shared" si="54"/>
        <v>Ent</v>
      </c>
      <c r="R376" s="6" t="str">
        <f t="shared" si="55"/>
        <v>Fortis</v>
      </c>
      <c r="S376" s="6" t="str">
        <f t="shared" si="56"/>
        <v>Credit Card</v>
      </c>
      <c r="T376" s="6" t="str">
        <f t="shared" si="57"/>
        <v>Female</v>
      </c>
      <c r="U376" s="6" t="str">
        <f t="shared" si="60"/>
        <v>General</v>
      </c>
      <c r="V376" s="6" t="str" cm="1">
        <f t="array" ref="V376">IF(TRIM(S376)="",INDEX($S$2:$S$1500,MATCH(MAX(COUNTIF($S$2:$S$1500,S376)),COUNTIF($S$2:$S$1500,$S$2:$S$1500),0)),S376)</f>
        <v>Credit Card</v>
      </c>
      <c r="W376" s="7" cm="1">
        <f t="array" ref="W376">IF(OR(TRIM(K376)="",TRIM(K376)="-"), MEDIAN(IF($E$2:$E$1500=E376,$K$2:$K$1500)),  VALUE(SUBSTITUTE(SUBSTITUTE(SUBSTITUTE(K376,"Rs. ",""),"₹",""),",","")))</f>
        <v>11289</v>
      </c>
      <c r="X376" s="8">
        <f t="shared" si="58"/>
        <v>10</v>
      </c>
      <c r="Y376" s="7">
        <f t="shared" si="59"/>
        <v>10160</v>
      </c>
      <c r="Z376" s="9" t="str">
        <f t="shared" si="51"/>
        <v>TEEN</v>
      </c>
    </row>
    <row r="377" spans="1:26" x14ac:dyDescent="0.3">
      <c r="A377" s="5" t="s">
        <v>948</v>
      </c>
      <c r="B377" s="5" t="s">
        <v>117</v>
      </c>
      <c r="C377" s="5" t="s">
        <v>127</v>
      </c>
      <c r="D377" s="5" t="s">
        <v>66</v>
      </c>
      <c r="E377" s="5" t="s">
        <v>28</v>
      </c>
      <c r="F377" s="5" t="s">
        <v>29</v>
      </c>
      <c r="G377" s="5" t="s">
        <v>39</v>
      </c>
      <c r="H377" s="5">
        <v>76</v>
      </c>
      <c r="I377" s="5" t="s">
        <v>20</v>
      </c>
      <c r="J377" s="34" t="s">
        <v>949</v>
      </c>
      <c r="K377" s="31" t="s">
        <v>950</v>
      </c>
      <c r="L377" s="5" t="s">
        <v>115</v>
      </c>
      <c r="M377" s="32" t="s">
        <v>198</v>
      </c>
      <c r="N377" s="6">
        <f t="shared" si="52"/>
        <v>5</v>
      </c>
      <c r="O377" s="4" t="s">
        <v>29</v>
      </c>
      <c r="P377" s="5" t="str">
        <f t="shared" si="53"/>
        <v>Kolkata</v>
      </c>
      <c r="Q377" s="5" t="str">
        <f t="shared" si="54"/>
        <v>Oncology</v>
      </c>
      <c r="R377" s="6" t="str">
        <f t="shared" si="55"/>
        <v>Manipal</v>
      </c>
      <c r="S377" s="6" t="str">
        <f t="shared" si="56"/>
        <v>Cash</v>
      </c>
      <c r="T377" s="6" t="str">
        <f t="shared" si="57"/>
        <v>Male</v>
      </c>
      <c r="U377" s="6" t="str">
        <f t="shared" si="60"/>
        <v>General</v>
      </c>
      <c r="V377" s="6" t="str" cm="1">
        <f t="array" ref="V377">IF(TRIM(S377)="",INDEX($S$2:$S$1500,MATCH(MAX(COUNTIF($S$2:$S$1500,S377)),COUNTIF($S$2:$S$1500,$S$2:$S$1500),0)),S377)</f>
        <v>Cash</v>
      </c>
      <c r="W377" s="7" cm="1">
        <f t="array" ref="W377">IF(OR(TRIM(K377)="",TRIM(K377)="-"), MEDIAN(IF($E$2:$E$1500=E377,$K$2:$K$1500)),  VALUE(SUBSTITUTE(SUBSTITUTE(SUBSTITUTE(K377,"Rs. ",""),"₹",""),",","")))</f>
        <v>18897</v>
      </c>
      <c r="X377" s="8">
        <f t="shared" si="58"/>
        <v>5</v>
      </c>
      <c r="Y377" s="7">
        <f t="shared" si="59"/>
        <v>17952</v>
      </c>
      <c r="Z377" s="9" t="str">
        <f t="shared" si="51"/>
        <v>SENIOR</v>
      </c>
    </row>
    <row r="378" spans="1:26" x14ac:dyDescent="0.3">
      <c r="A378" s="5" t="s">
        <v>951</v>
      </c>
      <c r="B378" s="5" t="s">
        <v>45</v>
      </c>
      <c r="C378" s="5" t="s">
        <v>46</v>
      </c>
      <c r="D378" s="5" t="s">
        <v>27</v>
      </c>
      <c r="E378" s="5" t="s">
        <v>47</v>
      </c>
      <c r="F378" s="5" t="s">
        <v>48</v>
      </c>
      <c r="G378" s="5" t="s">
        <v>19</v>
      </c>
      <c r="H378" s="5">
        <v>73</v>
      </c>
      <c r="I378" s="5" t="s">
        <v>70</v>
      </c>
      <c r="J378" s="34" t="s">
        <v>576</v>
      </c>
      <c r="K378" s="31">
        <v>4553</v>
      </c>
      <c r="L378" s="5" t="s">
        <v>34</v>
      </c>
      <c r="M378" s="32">
        <v>0</v>
      </c>
      <c r="N378" s="6">
        <f t="shared" si="52"/>
        <v>0</v>
      </c>
      <c r="O378" s="4" t="s">
        <v>48</v>
      </c>
      <c r="P378" s="5" t="str">
        <f t="shared" si="53"/>
        <v>Mumbai</v>
      </c>
      <c r="Q378" s="5" t="str">
        <f t="shared" si="54"/>
        <v>Gastroenterology</v>
      </c>
      <c r="R378" s="6" t="str">
        <f t="shared" si="55"/>
        <v>Fortis</v>
      </c>
      <c r="S378" s="6" t="str">
        <f t="shared" si="56"/>
        <v>Cash</v>
      </c>
      <c r="T378" s="6" t="str">
        <f t="shared" si="57"/>
        <v>Female</v>
      </c>
      <c r="U378" s="6" t="str">
        <f t="shared" si="60"/>
        <v>General</v>
      </c>
      <c r="V378" s="6" t="str" cm="1">
        <f t="array" ref="V378">IF(TRIM(S378)="",INDEX($S$2:$S$1500,MATCH(MAX(COUNTIF($S$2:$S$1500,S378)),COUNTIF($S$2:$S$1500,$S$2:$S$1500),0)),S378)</f>
        <v>Cash</v>
      </c>
      <c r="W378" s="7" cm="1">
        <f t="array" ref="W378">IF(OR(TRIM(K378)="",TRIM(K378)="-"), MEDIAN(IF($E$2:$E$1500=E378,$K$2:$K$1500)),  VALUE(SUBSTITUTE(SUBSTITUTE(SUBSTITUTE(K378,"Rs. ",""),"₹",""),",","")))</f>
        <v>4553</v>
      </c>
      <c r="X378" s="8">
        <f t="shared" si="58"/>
        <v>0</v>
      </c>
      <c r="Y378" s="7">
        <f t="shared" si="59"/>
        <v>4553</v>
      </c>
      <c r="Z378" s="9" t="str">
        <f t="shared" si="51"/>
        <v>SENIOR</v>
      </c>
    </row>
    <row r="379" spans="1:26" x14ac:dyDescent="0.3">
      <c r="A379" s="5" t="s">
        <v>952</v>
      </c>
      <c r="B379" s="5" t="s">
        <v>106</v>
      </c>
      <c r="C379" s="5" t="s">
        <v>107</v>
      </c>
      <c r="D379" s="5" t="s">
        <v>66</v>
      </c>
      <c r="E379" s="5" t="s">
        <v>74</v>
      </c>
      <c r="F379" s="5" t="s">
        <v>147</v>
      </c>
      <c r="G379" s="5" t="s">
        <v>69</v>
      </c>
      <c r="H379" s="5">
        <v>60</v>
      </c>
      <c r="I379" s="5" t="s">
        <v>31</v>
      </c>
      <c r="J379" s="34" t="s">
        <v>953</v>
      </c>
      <c r="K379" s="31">
        <v>34391</v>
      </c>
      <c r="L379" s="5" t="s">
        <v>115</v>
      </c>
      <c r="M379" s="32" t="s">
        <v>130</v>
      </c>
      <c r="N379" s="6">
        <f t="shared" si="52"/>
        <v>0</v>
      </c>
      <c r="O379" s="4" t="s">
        <v>147</v>
      </c>
      <c r="P379" s="5" t="str">
        <f t="shared" si="53"/>
        <v>Kolkata</v>
      </c>
      <c r="Q379" s="5" t="str">
        <f t="shared" si="54"/>
        <v>General Medicine</v>
      </c>
      <c r="R379" s="6" t="str">
        <f t="shared" si="55"/>
        <v>Aiims</v>
      </c>
      <c r="S379" s="6" t="str">
        <f t="shared" si="56"/>
        <v>Cash</v>
      </c>
      <c r="T379" s="6" t="str">
        <f t="shared" si="57"/>
        <v>Male</v>
      </c>
      <c r="U379" s="6" t="str">
        <f t="shared" si="60"/>
        <v>ICU</v>
      </c>
      <c r="V379" s="6" t="str" cm="1">
        <f t="array" ref="V379">IF(TRIM(S379)="",INDEX($S$2:$S$1500,MATCH(MAX(COUNTIF($S$2:$S$1500,S379)),COUNTIF($S$2:$S$1500,$S$2:$S$1500),0)),S379)</f>
        <v>Cash</v>
      </c>
      <c r="W379" s="7" cm="1">
        <f t="array" ref="W379">IF(OR(TRIM(K379)="",TRIM(K379)="-"), MEDIAN(IF($E$2:$E$1500=E379,$K$2:$K$1500)),  VALUE(SUBSTITUTE(SUBSTITUTE(SUBSTITUTE(K379,"Rs. ",""),"₹",""),",","")))</f>
        <v>34391</v>
      </c>
      <c r="X379" s="8">
        <f t="shared" si="58"/>
        <v>0</v>
      </c>
      <c r="Y379" s="7">
        <f t="shared" si="59"/>
        <v>34391</v>
      </c>
      <c r="Z379" s="9" t="str">
        <f t="shared" si="51"/>
        <v>SENIOR</v>
      </c>
    </row>
    <row r="380" spans="1:26" x14ac:dyDescent="0.3">
      <c r="A380" s="5" t="s">
        <v>954</v>
      </c>
      <c r="B380" s="5" t="s">
        <v>106</v>
      </c>
      <c r="C380" s="5" t="s">
        <v>107</v>
      </c>
      <c r="D380" s="5" t="s">
        <v>55</v>
      </c>
      <c r="E380" s="5" t="s">
        <v>28</v>
      </c>
      <c r="F380" s="5" t="s">
        <v>259</v>
      </c>
      <c r="G380" s="5" t="s">
        <v>101</v>
      </c>
      <c r="H380" s="5">
        <v>81</v>
      </c>
      <c r="I380" s="5" t="s">
        <v>40</v>
      </c>
      <c r="J380" s="34" t="s">
        <v>955</v>
      </c>
      <c r="K380" s="31" t="s">
        <v>956</v>
      </c>
      <c r="L380" s="5" t="s">
        <v>87</v>
      </c>
      <c r="M380" s="32">
        <v>5</v>
      </c>
      <c r="N380" s="6">
        <f t="shared" si="52"/>
        <v>5</v>
      </c>
      <c r="O380" s="4" t="s">
        <v>259</v>
      </c>
      <c r="P380" s="5" t="str">
        <f t="shared" si="53"/>
        <v>Hyderabad</v>
      </c>
      <c r="Q380" s="5" t="str">
        <f t="shared" si="54"/>
        <v>Oncology</v>
      </c>
      <c r="R380" s="6" t="str">
        <f t="shared" si="55"/>
        <v>Aiims</v>
      </c>
      <c r="S380" s="6" t="str">
        <f t="shared" si="56"/>
        <v>Credit Card</v>
      </c>
      <c r="T380" s="6" t="str">
        <f t="shared" si="57"/>
        <v>Female</v>
      </c>
      <c r="U380" s="6" t="str">
        <f t="shared" si="60"/>
        <v>ICU</v>
      </c>
      <c r="V380" s="6" t="str" cm="1">
        <f t="array" ref="V380">IF(TRIM(S380)="",INDEX($S$2:$S$1500,MATCH(MAX(COUNTIF($S$2:$S$1500,S380)),COUNTIF($S$2:$S$1500,$S$2:$S$1500),0)),S380)</f>
        <v>Credit Card</v>
      </c>
      <c r="W380" s="7" cm="1">
        <f t="array" ref="W380">IF(OR(TRIM(K380)="",TRIM(K380)="-"), MEDIAN(IF($E$2:$E$1500=E380,$K$2:$K$1500)),  VALUE(SUBSTITUTE(SUBSTITUTE(SUBSTITUTE(K380,"Rs. ",""),"₹",""),",","")))</f>
        <v>27584</v>
      </c>
      <c r="X380" s="8">
        <f t="shared" si="58"/>
        <v>5</v>
      </c>
      <c r="Y380" s="7">
        <f t="shared" si="59"/>
        <v>26205</v>
      </c>
      <c r="Z380" s="9" t="str">
        <f t="shared" si="51"/>
        <v>SENIOR</v>
      </c>
    </row>
    <row r="381" spans="1:26" x14ac:dyDescent="0.3">
      <c r="A381" s="5" t="s">
        <v>957</v>
      </c>
      <c r="B381" s="5" t="s">
        <v>78</v>
      </c>
      <c r="C381" s="5" t="s">
        <v>79</v>
      </c>
      <c r="D381" s="5" t="s">
        <v>61</v>
      </c>
      <c r="E381" s="5" t="s">
        <v>28</v>
      </c>
      <c r="F381" s="5" t="s">
        <v>290</v>
      </c>
      <c r="G381" s="5" t="s">
        <v>101</v>
      </c>
      <c r="H381" s="5">
        <v>44</v>
      </c>
      <c r="I381" s="5" t="s">
        <v>20</v>
      </c>
      <c r="J381" s="34" t="s">
        <v>812</v>
      </c>
      <c r="K381" s="31" t="s">
        <v>958</v>
      </c>
      <c r="L381" s="5" t="s">
        <v>104</v>
      </c>
      <c r="M381" s="32"/>
      <c r="N381" s="6">
        <f t="shared" si="52"/>
        <v>0</v>
      </c>
      <c r="O381" s="4" t="s">
        <v>290</v>
      </c>
      <c r="P381" s="5" t="str">
        <f t="shared" si="53"/>
        <v>Pune</v>
      </c>
      <c r="Q381" s="5" t="str">
        <f t="shared" si="54"/>
        <v>Oncology</v>
      </c>
      <c r="R381" s="6" t="str">
        <f t="shared" si="55"/>
        <v>Apollo</v>
      </c>
      <c r="S381" s="6" t="str">
        <f t="shared" si="56"/>
        <v>Insurance</v>
      </c>
      <c r="T381" s="6" t="str">
        <f t="shared" si="57"/>
        <v>Male</v>
      </c>
      <c r="U381" s="6" t="str">
        <f t="shared" si="60"/>
        <v>ICU</v>
      </c>
      <c r="V381" s="6" t="str" cm="1">
        <f t="array" ref="V381">IF(TRIM(S381)="",INDEX($S$2:$S$1500,MATCH(MAX(COUNTIF($S$2:$S$1500,S381)),COUNTIF($S$2:$S$1500,$S$2:$S$1500),0)),S381)</f>
        <v>Insurance</v>
      </c>
      <c r="W381" s="7" cm="1">
        <f t="array" ref="W381">IF(OR(TRIM(K381)="",TRIM(K381)="-"), MEDIAN(IF($E$2:$E$1500=E381,$K$2:$K$1500)),  VALUE(SUBSTITUTE(SUBSTITUTE(SUBSTITUTE(K381,"Rs. ",""),"₹",""),",","")))</f>
        <v>84419</v>
      </c>
      <c r="X381" s="8">
        <f t="shared" si="58"/>
        <v>0</v>
      </c>
      <c r="Y381" s="7">
        <f t="shared" si="59"/>
        <v>84419</v>
      </c>
      <c r="Z381" s="9" t="str">
        <f t="shared" si="51"/>
        <v>ADULT</v>
      </c>
    </row>
    <row r="382" spans="1:26" x14ac:dyDescent="0.3">
      <c r="A382" s="5" t="s">
        <v>959</v>
      </c>
      <c r="B382" s="5" t="s">
        <v>117</v>
      </c>
      <c r="C382" s="5" t="s">
        <v>182</v>
      </c>
      <c r="D382" s="5" t="s">
        <v>36</v>
      </c>
      <c r="E382" s="5" t="s">
        <v>28</v>
      </c>
      <c r="F382" s="5" t="s">
        <v>259</v>
      </c>
      <c r="G382" s="5"/>
      <c r="H382" s="5">
        <v>8</v>
      </c>
      <c r="I382" s="5" t="s">
        <v>40</v>
      </c>
      <c r="J382" s="34" t="s">
        <v>32</v>
      </c>
      <c r="K382" s="31">
        <v>84209</v>
      </c>
      <c r="L382" s="5" t="s">
        <v>311</v>
      </c>
      <c r="M382" s="32">
        <v>5</v>
      </c>
      <c r="N382" s="6">
        <f t="shared" si="52"/>
        <v>5</v>
      </c>
      <c r="O382" s="4" t="s">
        <v>259</v>
      </c>
      <c r="P382" s="5" t="str">
        <f t="shared" si="53"/>
        <v>Chennai</v>
      </c>
      <c r="Q382" s="5" t="str">
        <f t="shared" si="54"/>
        <v>Oncology</v>
      </c>
      <c r="R382" s="6" t="str">
        <f t="shared" si="55"/>
        <v>Manipal</v>
      </c>
      <c r="S382" s="6" t="str">
        <f t="shared" si="56"/>
        <v>UPI</v>
      </c>
      <c r="T382" s="6" t="str">
        <f t="shared" si="57"/>
        <v>Female</v>
      </c>
      <c r="U382" s="6" t="str">
        <f t="shared" si="60"/>
        <v>Unknown</v>
      </c>
      <c r="V382" s="6" t="str" cm="1">
        <f t="array" ref="V382">IF(TRIM(S382)="",INDEX($S$2:$S$1500,MATCH(MAX(COUNTIF($S$2:$S$1500,S382)),COUNTIF($S$2:$S$1500,$S$2:$S$1500),0)),S382)</f>
        <v>UPI</v>
      </c>
      <c r="W382" s="7" cm="1">
        <f t="array" ref="W382">IF(OR(TRIM(K382)="",TRIM(K382)="-"), MEDIAN(IF($E$2:$E$1500=E382,$K$2:$K$1500)),  VALUE(SUBSTITUTE(SUBSTITUTE(SUBSTITUTE(K382,"Rs. ",""),"₹",""),",","")))</f>
        <v>84209</v>
      </c>
      <c r="X382" s="8">
        <f t="shared" si="58"/>
        <v>5</v>
      </c>
      <c r="Y382" s="7">
        <f t="shared" si="59"/>
        <v>79999</v>
      </c>
      <c r="Z382" s="9" t="str">
        <f t="shared" si="51"/>
        <v>CHILD</v>
      </c>
    </row>
    <row r="383" spans="1:26" x14ac:dyDescent="0.3">
      <c r="A383" s="5" t="s">
        <v>960</v>
      </c>
      <c r="B383" s="5" t="s">
        <v>117</v>
      </c>
      <c r="C383" s="5" t="s">
        <v>127</v>
      </c>
      <c r="D383" s="5" t="s">
        <v>66</v>
      </c>
      <c r="E383" s="5" t="s">
        <v>17</v>
      </c>
      <c r="F383" s="5" t="s">
        <v>18</v>
      </c>
      <c r="G383" s="5" t="s">
        <v>39</v>
      </c>
      <c r="H383" s="5">
        <v>63</v>
      </c>
      <c r="I383" s="5" t="s">
        <v>20</v>
      </c>
      <c r="J383" s="34" t="s">
        <v>580</v>
      </c>
      <c r="K383" s="31" t="s">
        <v>961</v>
      </c>
      <c r="L383" s="5" t="s">
        <v>87</v>
      </c>
      <c r="M383" s="32">
        <v>0</v>
      </c>
      <c r="N383" s="6">
        <f t="shared" si="52"/>
        <v>0</v>
      </c>
      <c r="O383" s="4" t="s">
        <v>18</v>
      </c>
      <c r="P383" s="5" t="str">
        <f t="shared" si="53"/>
        <v>Kolkata</v>
      </c>
      <c r="Q383" s="5" t="str">
        <f t="shared" si="54"/>
        <v>Gynecology</v>
      </c>
      <c r="R383" s="6" t="str">
        <f t="shared" si="55"/>
        <v>Manipal</v>
      </c>
      <c r="S383" s="6" t="str">
        <f t="shared" si="56"/>
        <v>Credit Card</v>
      </c>
      <c r="T383" s="6" t="str">
        <f t="shared" si="57"/>
        <v>Male</v>
      </c>
      <c r="U383" s="6" t="str">
        <f t="shared" si="60"/>
        <v>General</v>
      </c>
      <c r="V383" s="6" t="str" cm="1">
        <f t="array" ref="V383">IF(TRIM(S383)="",INDEX($S$2:$S$1500,MATCH(MAX(COUNTIF($S$2:$S$1500,S383)),COUNTIF($S$2:$S$1500,$S$2:$S$1500),0)),S383)</f>
        <v>Credit Card</v>
      </c>
      <c r="W383" s="7" cm="1">
        <f t="array" ref="W383">IF(OR(TRIM(K383)="",TRIM(K383)="-"), MEDIAN(IF($E$2:$E$1500=E383,$K$2:$K$1500)),  VALUE(SUBSTITUTE(SUBSTITUTE(SUBSTITUTE(K383,"Rs. ",""),"₹",""),",","")))</f>
        <v>6348</v>
      </c>
      <c r="X383" s="8">
        <f t="shared" si="58"/>
        <v>0</v>
      </c>
      <c r="Y383" s="7">
        <f t="shared" si="59"/>
        <v>6348</v>
      </c>
      <c r="Z383" s="9" t="str">
        <f t="shared" si="51"/>
        <v>SENIOR</v>
      </c>
    </row>
    <row r="384" spans="1:26" x14ac:dyDescent="0.3">
      <c r="A384" s="5" t="s">
        <v>962</v>
      </c>
      <c r="B384" s="5" t="s">
        <v>14</v>
      </c>
      <c r="C384" s="5" t="s">
        <v>60</v>
      </c>
      <c r="D384" s="5" t="s">
        <v>189</v>
      </c>
      <c r="E384" s="5" t="s">
        <v>47</v>
      </c>
      <c r="F384" s="5" t="s">
        <v>364</v>
      </c>
      <c r="G384" s="5" t="s">
        <v>39</v>
      </c>
      <c r="H384" s="5">
        <v>61</v>
      </c>
      <c r="I384" s="5" t="s">
        <v>40</v>
      </c>
      <c r="J384" s="34" t="s">
        <v>963</v>
      </c>
      <c r="K384" s="31" t="s">
        <v>964</v>
      </c>
      <c r="L384" s="5" t="s">
        <v>311</v>
      </c>
      <c r="M384" s="32" t="s">
        <v>130</v>
      </c>
      <c r="N384" s="6">
        <f t="shared" si="52"/>
        <v>0</v>
      </c>
      <c r="O384" s="4" t="s">
        <v>364</v>
      </c>
      <c r="P384" s="5" t="str">
        <f t="shared" si="53"/>
        <v>Delhi</v>
      </c>
      <c r="Q384" s="5" t="str">
        <f t="shared" si="54"/>
        <v>Gastroenterology</v>
      </c>
      <c r="R384" s="6" t="str">
        <f t="shared" si="55"/>
        <v>Max_Healthcare</v>
      </c>
      <c r="S384" s="6" t="str">
        <f t="shared" si="56"/>
        <v>UPI</v>
      </c>
      <c r="T384" s="6" t="str">
        <f t="shared" si="57"/>
        <v>Female</v>
      </c>
      <c r="U384" s="6" t="str">
        <f t="shared" si="60"/>
        <v>General</v>
      </c>
      <c r="V384" s="6" t="str" cm="1">
        <f t="array" ref="V384">IF(TRIM(S384)="",INDEX($S$2:$S$1500,MATCH(MAX(COUNTIF($S$2:$S$1500,S384)),COUNTIF($S$2:$S$1500,$S$2:$S$1500),0)),S384)</f>
        <v>UPI</v>
      </c>
      <c r="W384" s="7" cm="1">
        <f t="array" ref="W384">IF(OR(TRIM(K384)="",TRIM(K384)="-"), MEDIAN(IF($E$2:$E$1500=E384,$K$2:$K$1500)),  VALUE(SUBSTITUTE(SUBSTITUTE(SUBSTITUTE(K384,"Rs. ",""),"₹",""),",","")))</f>
        <v>18352</v>
      </c>
      <c r="X384" s="8">
        <f t="shared" si="58"/>
        <v>0</v>
      </c>
      <c r="Y384" s="7">
        <f t="shared" si="59"/>
        <v>18352</v>
      </c>
      <c r="Z384" s="9" t="str">
        <f t="shared" si="51"/>
        <v>SENIOR</v>
      </c>
    </row>
    <row r="385" spans="1:26" x14ac:dyDescent="0.3">
      <c r="A385" s="5" t="s">
        <v>965</v>
      </c>
      <c r="B385" s="5" t="s">
        <v>25</v>
      </c>
      <c r="C385" s="5" t="s">
        <v>54</v>
      </c>
      <c r="D385" s="5" t="s">
        <v>61</v>
      </c>
      <c r="E385" s="5" t="s">
        <v>47</v>
      </c>
      <c r="F385" s="5" t="s">
        <v>461</v>
      </c>
      <c r="G385" s="5" t="s">
        <v>30</v>
      </c>
      <c r="H385" s="5">
        <v>80</v>
      </c>
      <c r="I385" s="5" t="s">
        <v>70</v>
      </c>
      <c r="J385" s="34" t="s">
        <v>966</v>
      </c>
      <c r="K385" s="31">
        <v>12959</v>
      </c>
      <c r="L385" s="5" t="s">
        <v>311</v>
      </c>
      <c r="M385" s="32" t="s">
        <v>140</v>
      </c>
      <c r="N385" s="6" t="str">
        <f t="shared" si="52"/>
        <v>-</v>
      </c>
      <c r="O385" s="4" t="s">
        <v>461</v>
      </c>
      <c r="P385" s="5" t="str">
        <f t="shared" si="53"/>
        <v>Pune</v>
      </c>
      <c r="Q385" s="5" t="str">
        <f t="shared" si="54"/>
        <v>Gastroenterology</v>
      </c>
      <c r="R385" s="6" t="str">
        <f t="shared" si="55"/>
        <v>Narayana</v>
      </c>
      <c r="S385" s="6" t="str">
        <f t="shared" si="56"/>
        <v>UPI</v>
      </c>
      <c r="T385" s="6" t="str">
        <f t="shared" si="57"/>
        <v>Female</v>
      </c>
      <c r="U385" s="6" t="str">
        <f t="shared" si="60"/>
        <v>General</v>
      </c>
      <c r="V385" s="6" t="str" cm="1">
        <f t="array" ref="V385">IF(TRIM(S385)="",INDEX($S$2:$S$1500,MATCH(MAX(COUNTIF($S$2:$S$1500,S385)),COUNTIF($S$2:$S$1500,$S$2:$S$1500),0)),S385)</f>
        <v>UPI</v>
      </c>
      <c r="W385" s="7" cm="1">
        <f t="array" ref="W385">IF(OR(TRIM(K385)="",TRIM(K385)="-"), MEDIAN(IF($E$2:$E$1500=E385,$K$2:$K$1500)),  VALUE(SUBSTITUTE(SUBSTITUTE(SUBSTITUTE(K385,"Rs. ",""),"₹",""),",","")))</f>
        <v>12959</v>
      </c>
      <c r="X385" s="8">
        <f t="shared" si="58"/>
        <v>3</v>
      </c>
      <c r="Y385" s="7">
        <f t="shared" si="59"/>
        <v>12570</v>
      </c>
      <c r="Z385" s="9" t="str">
        <f t="shared" si="51"/>
        <v>SENIOR</v>
      </c>
    </row>
    <row r="386" spans="1:26" x14ac:dyDescent="0.3">
      <c r="A386" s="5" t="s">
        <v>967</v>
      </c>
      <c r="B386" s="5" t="s">
        <v>106</v>
      </c>
      <c r="C386" s="5" t="s">
        <v>107</v>
      </c>
      <c r="D386" s="5" t="s">
        <v>189</v>
      </c>
      <c r="E386" s="5" t="s">
        <v>28</v>
      </c>
      <c r="F386" s="5" t="s">
        <v>29</v>
      </c>
      <c r="G386" s="5" t="s">
        <v>69</v>
      </c>
      <c r="H386" s="5">
        <v>31</v>
      </c>
      <c r="I386" s="5" t="s">
        <v>70</v>
      </c>
      <c r="J386" s="34" t="s">
        <v>968</v>
      </c>
      <c r="K386" s="31">
        <v>49676</v>
      </c>
      <c r="L386" s="5" t="s">
        <v>42</v>
      </c>
      <c r="M386" s="32">
        <v>40</v>
      </c>
      <c r="N386" s="6">
        <f t="shared" si="52"/>
        <v>40</v>
      </c>
      <c r="O386" s="4" t="s">
        <v>29</v>
      </c>
      <c r="P386" s="5" t="str">
        <f t="shared" si="53"/>
        <v>Delhi</v>
      </c>
      <c r="Q386" s="5" t="str">
        <f t="shared" si="54"/>
        <v>Oncology</v>
      </c>
      <c r="R386" s="6" t="str">
        <f t="shared" si="55"/>
        <v>Aiims</v>
      </c>
      <c r="S386" s="6" t="str">
        <f t="shared" si="56"/>
        <v>Insurance</v>
      </c>
      <c r="T386" s="6" t="str">
        <f t="shared" si="57"/>
        <v>Female</v>
      </c>
      <c r="U386" s="6" t="str">
        <f t="shared" si="60"/>
        <v>ICU</v>
      </c>
      <c r="V386" s="6" t="str" cm="1">
        <f t="array" ref="V386">IF(TRIM(S386)="",INDEX($S$2:$S$1500,MATCH(MAX(COUNTIF($S$2:$S$1500,S386)),COUNTIF($S$2:$S$1500,$S$2:$S$1500),0)),S386)</f>
        <v>Insurance</v>
      </c>
      <c r="W386" s="7" cm="1">
        <f t="array" ref="W386">IF(OR(TRIM(K386)="",TRIM(K386)="-"), MEDIAN(IF($E$2:$E$1500=E386,$K$2:$K$1500)),  VALUE(SUBSTITUTE(SUBSTITUTE(SUBSTITUTE(K386,"Rs. ",""),"₹",""),",","")))</f>
        <v>49676</v>
      </c>
      <c r="X386" s="8">
        <f t="shared" si="58"/>
        <v>40</v>
      </c>
      <c r="Y386" s="7">
        <f t="shared" si="59"/>
        <v>29806</v>
      </c>
      <c r="Z386" s="9" t="str">
        <f t="shared" ref="Z386:Z449" si="61">IF(H386&lt;13,"CHILD",IF(H386&lt;20,"TEEN",IF(H386&lt;60,"ADULT","SENIOR")))</f>
        <v>ADULT</v>
      </c>
    </row>
    <row r="387" spans="1:26" x14ac:dyDescent="0.3">
      <c r="A387" s="5" t="s">
        <v>969</v>
      </c>
      <c r="B387" s="5" t="s">
        <v>78</v>
      </c>
      <c r="C387" s="5" t="s">
        <v>203</v>
      </c>
      <c r="D387" s="5" t="s">
        <v>36</v>
      </c>
      <c r="E387" s="5" t="s">
        <v>99</v>
      </c>
      <c r="F387" s="5" t="s">
        <v>151</v>
      </c>
      <c r="G387" s="5" t="s">
        <v>69</v>
      </c>
      <c r="H387" s="5">
        <v>23</v>
      </c>
      <c r="I387" s="5" t="s">
        <v>31</v>
      </c>
      <c r="J387" s="34" t="s">
        <v>970</v>
      </c>
      <c r="K387" s="31">
        <v>57866</v>
      </c>
      <c r="L387" s="5"/>
      <c r="M387" s="32"/>
      <c r="N387" s="6">
        <f t="shared" ref="N387:N450" si="62">IF(RIGHT(TRIM(M387),1)="%",VALUE(LEFT(TRIM(M387),LEN(TRIM(M387))-1)),  IF(AND(ISNUMBER(M387),M387&lt;=1,M387&gt;0),M387*100,M387))</f>
        <v>0</v>
      </c>
      <c r="O387" s="4" t="s">
        <v>151</v>
      </c>
      <c r="P387" s="5" t="str">
        <f t="shared" ref="P387:P450" si="63">PROPER(D387)</f>
        <v>Chennai</v>
      </c>
      <c r="Q387" s="5" t="str">
        <f t="shared" ref="Q387:Q450" si="64">PROPER(E387)</f>
        <v>Ent</v>
      </c>
      <c r="R387" s="6" t="str">
        <f t="shared" ref="R387:R450" si="65">PROPER(C387)</f>
        <v>Apollo</v>
      </c>
      <c r="S387" s="6" t="str">
        <f t="shared" ref="S387:S450" si="66">IF(OR(UPPER(TRIM(L387))="CREDIT_CARD",UPPER(TRIM(L387))="CREDIT CARD",UPPER(TRIM(L387))="CC"),"Credit Card", IF(OR(UPPER(TRIM(L387))="DEBIT_CARD",UPPER(TRIM(L387))="DEBIT CARD",UPPER(TRIM(L387))="DC"),"Debit Card", IF(UPPER(TRIM(L387))="CASH","Cash", IF(UPPER(TRIM(L387))="UPI","UPI", IF(OR(UPPER(TRIM(L387))="INSURANCE",UPPER(TRIM(L387))="INS"),"Insurance", IF(TRIM(L387)="","Unknown","Unknown"))))))</f>
        <v>Unknown</v>
      </c>
      <c r="T387" s="6" t="str">
        <f t="shared" ref="T387:T450" si="67">IF(OR(UPPER(TRIM(I387))="M",UPPER(TRIM(I387))="MALE"),"Male",IF(OR(UPPER(TRIM(I387))="F",UPPER(TRIM(I387))="FEMALE"),"Female","Unknown"))</f>
        <v>Male</v>
      </c>
      <c r="U387" s="6" t="str">
        <f t="shared" si="60"/>
        <v>ICU</v>
      </c>
      <c r="V387" s="6" t="str" cm="1">
        <f t="array" ref="V387">IF(TRIM(S387)="",INDEX($S$2:$S$1500,MATCH(MAX(COUNTIF($S$2:$S$1500,S387)),COUNTIF($S$2:$S$1500,$S$2:$S$1500),0)),S387)</f>
        <v>Unknown</v>
      </c>
      <c r="W387" s="7" cm="1">
        <f t="array" ref="W387">IF(OR(TRIM(K387)="",TRIM(K387)="-"), MEDIAN(IF($E$2:$E$1500=E387,$K$2:$K$1500)),  VALUE(SUBSTITUTE(SUBSTITUTE(SUBSTITUTE(K387,"Rs. ",""),"₹",""),",","")))</f>
        <v>57866</v>
      </c>
      <c r="X387" s="8">
        <f t="shared" ref="X387:X450" si="68">ROUND(IF(OR(TRIM(N387)="-",UPPER(TRIM(N387))="N/A",UPPER(TRIM(N387))="NA"), IFERROR(AVERAGEIF($V$2:$V$1500,V387,$N$2:$N$1500),AVERAGE($N$2:$N$1500)), N387),0)</f>
        <v>0</v>
      </c>
      <c r="Y387" s="7">
        <f t="shared" ref="Y387:Y450" si="69">ROUND(W387*(1-X387/100),0)</f>
        <v>57866</v>
      </c>
      <c r="Z387" s="9" t="str">
        <f t="shared" si="61"/>
        <v>ADULT</v>
      </c>
    </row>
    <row r="388" spans="1:26" x14ac:dyDescent="0.3">
      <c r="A388" s="5" t="s">
        <v>971</v>
      </c>
      <c r="B388" s="5" t="s">
        <v>78</v>
      </c>
      <c r="C388" s="5" t="s">
        <v>79</v>
      </c>
      <c r="D388" s="5" t="s">
        <v>61</v>
      </c>
      <c r="E388" s="5" t="s">
        <v>93</v>
      </c>
      <c r="F388" s="5" t="s">
        <v>207</v>
      </c>
      <c r="G388" s="5" t="s">
        <v>49</v>
      </c>
      <c r="H388" s="5">
        <v>18</v>
      </c>
      <c r="I388" s="5" t="s">
        <v>20</v>
      </c>
      <c r="J388" s="34" t="s">
        <v>746</v>
      </c>
      <c r="K388" s="31">
        <v>4324</v>
      </c>
      <c r="L388" s="5" t="s">
        <v>311</v>
      </c>
      <c r="M388" s="32">
        <v>0</v>
      </c>
      <c r="N388" s="6">
        <f t="shared" si="62"/>
        <v>0</v>
      </c>
      <c r="O388" s="4" t="s">
        <v>207</v>
      </c>
      <c r="P388" s="5" t="str">
        <f t="shared" si="63"/>
        <v>Pune</v>
      </c>
      <c r="Q388" s="5" t="str">
        <f t="shared" si="64"/>
        <v>Nephrology</v>
      </c>
      <c r="R388" s="6" t="str">
        <f t="shared" si="65"/>
        <v>Apollo</v>
      </c>
      <c r="S388" s="6" t="str">
        <f t="shared" si="66"/>
        <v>UPI</v>
      </c>
      <c r="T388" s="6" t="str">
        <f t="shared" si="67"/>
        <v>Male</v>
      </c>
      <c r="U388" s="6" t="str">
        <f t="shared" si="60"/>
        <v>General</v>
      </c>
      <c r="V388" s="6" t="str" cm="1">
        <f t="array" ref="V388">IF(TRIM(S388)="",INDEX($S$2:$S$1500,MATCH(MAX(COUNTIF($S$2:$S$1500,S388)),COUNTIF($S$2:$S$1500,$S$2:$S$1500),0)),S388)</f>
        <v>UPI</v>
      </c>
      <c r="W388" s="7" cm="1">
        <f t="array" ref="W388">IF(OR(TRIM(K388)="",TRIM(K388)="-"), MEDIAN(IF($E$2:$E$1500=E388,$K$2:$K$1500)),  VALUE(SUBSTITUTE(SUBSTITUTE(SUBSTITUTE(K388,"Rs. ",""),"₹",""),",","")))</f>
        <v>4324</v>
      </c>
      <c r="X388" s="8">
        <f t="shared" si="68"/>
        <v>0</v>
      </c>
      <c r="Y388" s="7">
        <f t="shared" si="69"/>
        <v>4324</v>
      </c>
      <c r="Z388" s="9" t="str">
        <f t="shared" si="61"/>
        <v>TEEN</v>
      </c>
    </row>
    <row r="389" spans="1:26" x14ac:dyDescent="0.3">
      <c r="A389" s="5" t="s">
        <v>972</v>
      </c>
      <c r="B389" s="5" t="s">
        <v>78</v>
      </c>
      <c r="C389" s="5" t="s">
        <v>161</v>
      </c>
      <c r="D389" s="5" t="s">
        <v>36</v>
      </c>
      <c r="E389" s="5" t="s">
        <v>67</v>
      </c>
      <c r="F389" s="5" t="s">
        <v>85</v>
      </c>
      <c r="G389" s="5"/>
      <c r="H389" s="5">
        <v>34</v>
      </c>
      <c r="I389" s="5" t="s">
        <v>20</v>
      </c>
      <c r="J389" s="34" t="s">
        <v>274</v>
      </c>
      <c r="K389" s="31">
        <v>8961</v>
      </c>
      <c r="L389" s="5" t="s">
        <v>58</v>
      </c>
      <c r="M389" s="32">
        <v>0</v>
      </c>
      <c r="N389" s="6">
        <f t="shared" si="62"/>
        <v>0</v>
      </c>
      <c r="O389" s="4" t="s">
        <v>85</v>
      </c>
      <c r="P389" s="5" t="str">
        <f t="shared" si="63"/>
        <v>Chennai</v>
      </c>
      <c r="Q389" s="5" t="str">
        <f t="shared" si="64"/>
        <v>Neurology</v>
      </c>
      <c r="R389" s="6" t="str">
        <f t="shared" si="65"/>
        <v>Apollo</v>
      </c>
      <c r="S389" s="6" t="str">
        <f t="shared" si="66"/>
        <v>UPI</v>
      </c>
      <c r="T389" s="6" t="str">
        <f t="shared" si="67"/>
        <v>Male</v>
      </c>
      <c r="U389" s="6" t="str">
        <f t="shared" si="60"/>
        <v>Unknown</v>
      </c>
      <c r="V389" s="6" t="str" cm="1">
        <f t="array" ref="V389">IF(TRIM(S389)="",INDEX($S$2:$S$1500,MATCH(MAX(COUNTIF($S$2:$S$1500,S389)),COUNTIF($S$2:$S$1500,$S$2:$S$1500),0)),S389)</f>
        <v>UPI</v>
      </c>
      <c r="W389" s="7" cm="1">
        <f t="array" ref="W389">IF(OR(TRIM(K389)="",TRIM(K389)="-"), MEDIAN(IF($E$2:$E$1500=E389,$K$2:$K$1500)),  VALUE(SUBSTITUTE(SUBSTITUTE(SUBSTITUTE(K389,"Rs. ",""),"₹",""),",","")))</f>
        <v>8961</v>
      </c>
      <c r="X389" s="8">
        <f t="shared" si="68"/>
        <v>0</v>
      </c>
      <c r="Y389" s="7">
        <f t="shared" si="69"/>
        <v>8961</v>
      </c>
      <c r="Z389" s="9" t="str">
        <f t="shared" si="61"/>
        <v>ADULT</v>
      </c>
    </row>
    <row r="390" spans="1:26" x14ac:dyDescent="0.3">
      <c r="A390" s="5" t="s">
        <v>973</v>
      </c>
      <c r="B390" s="5" t="s">
        <v>106</v>
      </c>
      <c r="C390" s="5" t="s">
        <v>307</v>
      </c>
      <c r="D390" s="5" t="s">
        <v>61</v>
      </c>
      <c r="E390" s="5" t="s">
        <v>67</v>
      </c>
      <c r="F390" s="5" t="s">
        <v>68</v>
      </c>
      <c r="G390" s="5" t="s">
        <v>30</v>
      </c>
      <c r="H390" s="5">
        <v>18</v>
      </c>
      <c r="I390" s="5" t="s">
        <v>31</v>
      </c>
      <c r="J390" s="34" t="s">
        <v>234</v>
      </c>
      <c r="K390" s="31">
        <v>15189</v>
      </c>
      <c r="L390" s="5" t="s">
        <v>311</v>
      </c>
      <c r="M390" s="32" t="s">
        <v>130</v>
      </c>
      <c r="N390" s="6">
        <f t="shared" si="62"/>
        <v>0</v>
      </c>
      <c r="O390" s="4" t="s">
        <v>68</v>
      </c>
      <c r="P390" s="5" t="str">
        <f t="shared" si="63"/>
        <v>Pune</v>
      </c>
      <c r="Q390" s="5" t="str">
        <f t="shared" si="64"/>
        <v>Neurology</v>
      </c>
      <c r="R390" s="6" t="str">
        <f t="shared" si="65"/>
        <v>Aiims</v>
      </c>
      <c r="S390" s="6" t="str">
        <f t="shared" si="66"/>
        <v>UPI</v>
      </c>
      <c r="T390" s="6" t="str">
        <f t="shared" si="67"/>
        <v>Male</v>
      </c>
      <c r="U390" s="6" t="str">
        <f t="shared" si="60"/>
        <v>General</v>
      </c>
      <c r="V390" s="6" t="str" cm="1">
        <f t="array" ref="V390">IF(TRIM(S390)="",INDEX($S$2:$S$1500,MATCH(MAX(COUNTIF($S$2:$S$1500,S390)),COUNTIF($S$2:$S$1500,$S$2:$S$1500),0)),S390)</f>
        <v>UPI</v>
      </c>
      <c r="W390" s="7" cm="1">
        <f t="array" ref="W390">IF(OR(TRIM(K390)="",TRIM(K390)="-"), MEDIAN(IF($E$2:$E$1500=E390,$K$2:$K$1500)),  VALUE(SUBSTITUTE(SUBSTITUTE(SUBSTITUTE(K390,"Rs. ",""),"₹",""),",","")))</f>
        <v>15189</v>
      </c>
      <c r="X390" s="8">
        <f t="shared" si="68"/>
        <v>0</v>
      </c>
      <c r="Y390" s="7">
        <f t="shared" si="69"/>
        <v>15189</v>
      </c>
      <c r="Z390" s="9" t="str">
        <f t="shared" si="61"/>
        <v>TEEN</v>
      </c>
    </row>
    <row r="391" spans="1:26" x14ac:dyDescent="0.3">
      <c r="A391" s="5" t="s">
        <v>974</v>
      </c>
      <c r="B391" s="5" t="s">
        <v>78</v>
      </c>
      <c r="C391" s="5" t="s">
        <v>203</v>
      </c>
      <c r="D391" s="5" t="s">
        <v>66</v>
      </c>
      <c r="E391" s="5" t="s">
        <v>37</v>
      </c>
      <c r="F391" s="5" t="s">
        <v>38</v>
      </c>
      <c r="G391" s="5" t="s">
        <v>49</v>
      </c>
      <c r="H391" s="5">
        <v>70</v>
      </c>
      <c r="I391" s="5" t="s">
        <v>40</v>
      </c>
      <c r="J391" s="34" t="s">
        <v>222</v>
      </c>
      <c r="K391" s="31" t="s">
        <v>975</v>
      </c>
      <c r="L391" s="5" t="s">
        <v>72</v>
      </c>
      <c r="M391" s="32">
        <v>0</v>
      </c>
      <c r="N391" s="6">
        <f t="shared" si="62"/>
        <v>0</v>
      </c>
      <c r="O391" s="4" t="s">
        <v>38</v>
      </c>
      <c r="P391" s="5" t="str">
        <f t="shared" si="63"/>
        <v>Kolkata</v>
      </c>
      <c r="Q391" s="5" t="str">
        <f t="shared" si="64"/>
        <v>Pediatrics</v>
      </c>
      <c r="R391" s="6" t="str">
        <f t="shared" si="65"/>
        <v>Apollo</v>
      </c>
      <c r="S391" s="6" t="str">
        <f t="shared" si="66"/>
        <v>Cash</v>
      </c>
      <c r="T391" s="6" t="str">
        <f t="shared" si="67"/>
        <v>Female</v>
      </c>
      <c r="U391" s="6" t="str">
        <f t="shared" si="60"/>
        <v>General</v>
      </c>
      <c r="V391" s="6" t="str" cm="1">
        <f t="array" ref="V391">IF(TRIM(S391)="",INDEX($S$2:$S$1500,MATCH(MAX(COUNTIF($S$2:$S$1500,S391)),COUNTIF($S$2:$S$1500,$S$2:$S$1500),0)),S391)</f>
        <v>Cash</v>
      </c>
      <c r="W391" s="7" cm="1">
        <f t="array" ref="W391">IF(OR(TRIM(K391)="",TRIM(K391)="-"), MEDIAN(IF($E$2:$E$1500=E391,$K$2:$K$1500)),  VALUE(SUBSTITUTE(SUBSTITUTE(SUBSTITUTE(K391,"Rs. ",""),"₹",""),",","")))</f>
        <v>6490</v>
      </c>
      <c r="X391" s="8">
        <f t="shared" si="68"/>
        <v>0</v>
      </c>
      <c r="Y391" s="7">
        <f t="shared" si="69"/>
        <v>6490</v>
      </c>
      <c r="Z391" s="9" t="str">
        <f t="shared" si="61"/>
        <v>SENIOR</v>
      </c>
    </row>
    <row r="392" spans="1:26" x14ac:dyDescent="0.3">
      <c r="A392" s="5" t="s">
        <v>976</v>
      </c>
      <c r="B392" s="5" t="s">
        <v>106</v>
      </c>
      <c r="C392" s="5" t="s">
        <v>107</v>
      </c>
      <c r="D392" s="5" t="s">
        <v>61</v>
      </c>
      <c r="E392" s="5" t="s">
        <v>108</v>
      </c>
      <c r="F392" s="5" t="s">
        <v>308</v>
      </c>
      <c r="G392" s="5" t="s">
        <v>49</v>
      </c>
      <c r="H392" s="5">
        <v>81</v>
      </c>
      <c r="I392" s="5" t="s">
        <v>40</v>
      </c>
      <c r="J392" s="34" t="s">
        <v>977</v>
      </c>
      <c r="K392" s="31" t="s">
        <v>978</v>
      </c>
      <c r="L392" s="5" t="s">
        <v>83</v>
      </c>
      <c r="M392" s="32">
        <v>0</v>
      </c>
      <c r="N392" s="6">
        <f t="shared" si="62"/>
        <v>0</v>
      </c>
      <c r="O392" s="4" t="s">
        <v>308</v>
      </c>
      <c r="P392" s="5" t="str">
        <f t="shared" si="63"/>
        <v>Pune</v>
      </c>
      <c r="Q392" s="5" t="str">
        <f t="shared" si="64"/>
        <v>Orthopedics</v>
      </c>
      <c r="R392" s="6" t="str">
        <f t="shared" si="65"/>
        <v>Aiims</v>
      </c>
      <c r="S392" s="6" t="str">
        <f t="shared" si="66"/>
        <v>Debit Card</v>
      </c>
      <c r="T392" s="6" t="str">
        <f t="shared" si="67"/>
        <v>Female</v>
      </c>
      <c r="U392" s="6" t="str">
        <f t="shared" si="60"/>
        <v>General</v>
      </c>
      <c r="V392" s="6" t="str" cm="1">
        <f t="array" ref="V392">IF(TRIM(S392)="",INDEX($S$2:$S$1500,MATCH(MAX(COUNTIF($S$2:$S$1500,S392)),COUNTIF($S$2:$S$1500,$S$2:$S$1500),0)),S392)</f>
        <v>Debit Card</v>
      </c>
      <c r="W392" s="7" cm="1">
        <f t="array" ref="W392">IF(OR(TRIM(K392)="",TRIM(K392)="-"), MEDIAN(IF($E$2:$E$1500=E392,$K$2:$K$1500)),  VALUE(SUBSTITUTE(SUBSTITUTE(SUBSTITUTE(K392,"Rs. ",""),"₹",""),",","")))</f>
        <v>4018</v>
      </c>
      <c r="X392" s="8">
        <f t="shared" si="68"/>
        <v>0</v>
      </c>
      <c r="Y392" s="7">
        <f t="shared" si="69"/>
        <v>4018</v>
      </c>
      <c r="Z392" s="9" t="str">
        <f t="shared" si="61"/>
        <v>SENIOR</v>
      </c>
    </row>
    <row r="393" spans="1:26" x14ac:dyDescent="0.3">
      <c r="A393" s="5" t="s">
        <v>979</v>
      </c>
      <c r="B393" s="5" t="s">
        <v>106</v>
      </c>
      <c r="C393" s="5" t="s">
        <v>107</v>
      </c>
      <c r="D393" s="5" t="s">
        <v>16</v>
      </c>
      <c r="E393" s="5" t="s">
        <v>17</v>
      </c>
      <c r="F393" s="5" t="s">
        <v>18</v>
      </c>
      <c r="G393" s="5" t="s">
        <v>39</v>
      </c>
      <c r="H393" s="5">
        <v>28</v>
      </c>
      <c r="I393" s="5" t="s">
        <v>40</v>
      </c>
      <c r="J393" s="34" t="s">
        <v>576</v>
      </c>
      <c r="K393" s="31" t="s">
        <v>980</v>
      </c>
      <c r="L393" s="5" t="s">
        <v>83</v>
      </c>
      <c r="M393" s="32" t="s">
        <v>130</v>
      </c>
      <c r="N393" s="6">
        <f t="shared" si="62"/>
        <v>0</v>
      </c>
      <c r="O393" s="4" t="s">
        <v>18</v>
      </c>
      <c r="P393" s="5" t="str">
        <f t="shared" si="63"/>
        <v>Bangalore</v>
      </c>
      <c r="Q393" s="5" t="str">
        <f t="shared" si="64"/>
        <v>Gynecology</v>
      </c>
      <c r="R393" s="6" t="str">
        <f t="shared" si="65"/>
        <v>Aiims</v>
      </c>
      <c r="S393" s="6" t="str">
        <f t="shared" si="66"/>
        <v>Debit Card</v>
      </c>
      <c r="T393" s="6" t="str">
        <f t="shared" si="67"/>
        <v>Female</v>
      </c>
      <c r="U393" s="6" t="str">
        <f t="shared" si="60"/>
        <v>General</v>
      </c>
      <c r="V393" s="6" t="str" cm="1">
        <f t="array" ref="V393">IF(TRIM(S393)="",INDEX($S$2:$S$1500,MATCH(MAX(COUNTIF($S$2:$S$1500,S393)),COUNTIF($S$2:$S$1500,$S$2:$S$1500),0)),S393)</f>
        <v>Debit Card</v>
      </c>
      <c r="W393" s="7" cm="1">
        <f t="array" ref="W393">IF(OR(TRIM(K393)="",TRIM(K393)="-"), MEDIAN(IF($E$2:$E$1500=E393,$K$2:$K$1500)),  VALUE(SUBSTITUTE(SUBSTITUTE(SUBSTITUTE(K393,"Rs. ",""),"₹",""),",","")))</f>
        <v>17560</v>
      </c>
      <c r="X393" s="8">
        <f t="shared" si="68"/>
        <v>0</v>
      </c>
      <c r="Y393" s="7">
        <f t="shared" si="69"/>
        <v>17560</v>
      </c>
      <c r="Z393" s="9" t="str">
        <f t="shared" si="61"/>
        <v>ADULT</v>
      </c>
    </row>
    <row r="394" spans="1:26" x14ac:dyDescent="0.3">
      <c r="A394" s="5" t="s">
        <v>981</v>
      </c>
      <c r="B394" s="5" t="s">
        <v>78</v>
      </c>
      <c r="C394" s="5" t="s">
        <v>161</v>
      </c>
      <c r="D394" s="5" t="s">
        <v>80</v>
      </c>
      <c r="E394" s="5" t="s">
        <v>108</v>
      </c>
      <c r="F394" s="5" t="s">
        <v>109</v>
      </c>
      <c r="G394" s="5" t="s">
        <v>69</v>
      </c>
      <c r="H394" s="5">
        <v>51</v>
      </c>
      <c r="I394" s="5" t="s">
        <v>20</v>
      </c>
      <c r="J394" s="34" t="s">
        <v>982</v>
      </c>
      <c r="K394" s="31">
        <v>85795</v>
      </c>
      <c r="L394" s="5" t="s">
        <v>23</v>
      </c>
      <c r="M394" s="32">
        <v>0</v>
      </c>
      <c r="N394" s="6">
        <f t="shared" si="62"/>
        <v>0</v>
      </c>
      <c r="O394" s="4" t="s">
        <v>109</v>
      </c>
      <c r="P394" s="5" t="str">
        <f t="shared" si="63"/>
        <v>Ahmedabad</v>
      </c>
      <c r="Q394" s="5" t="str">
        <f t="shared" si="64"/>
        <v>Orthopedics</v>
      </c>
      <c r="R394" s="6" t="str">
        <f t="shared" si="65"/>
        <v>Apollo</v>
      </c>
      <c r="S394" s="6" t="str">
        <f t="shared" si="66"/>
        <v>Credit Card</v>
      </c>
      <c r="T394" s="6" t="str">
        <f t="shared" si="67"/>
        <v>Male</v>
      </c>
      <c r="U394" s="6" t="str">
        <f t="shared" si="60"/>
        <v>ICU</v>
      </c>
      <c r="V394" s="6" t="str" cm="1">
        <f t="array" ref="V394">IF(TRIM(S394)="",INDEX($S$2:$S$1500,MATCH(MAX(COUNTIF($S$2:$S$1500,S394)),COUNTIF($S$2:$S$1500,$S$2:$S$1500),0)),S394)</f>
        <v>Credit Card</v>
      </c>
      <c r="W394" s="7" cm="1">
        <f t="array" ref="W394">IF(OR(TRIM(K394)="",TRIM(K394)="-"), MEDIAN(IF($E$2:$E$1500=E394,$K$2:$K$1500)),  VALUE(SUBSTITUTE(SUBSTITUTE(SUBSTITUTE(K394,"Rs. ",""),"₹",""),",","")))</f>
        <v>85795</v>
      </c>
      <c r="X394" s="8">
        <f t="shared" si="68"/>
        <v>0</v>
      </c>
      <c r="Y394" s="7">
        <f t="shared" si="69"/>
        <v>85795</v>
      </c>
      <c r="Z394" s="9" t="str">
        <f t="shared" si="61"/>
        <v>ADULT</v>
      </c>
    </row>
    <row r="395" spans="1:26" x14ac:dyDescent="0.3">
      <c r="A395" s="5" t="s">
        <v>983</v>
      </c>
      <c r="B395" s="5" t="s">
        <v>14</v>
      </c>
      <c r="C395" s="5" t="s">
        <v>60</v>
      </c>
      <c r="D395" s="5" t="s">
        <v>61</v>
      </c>
      <c r="E395" s="5" t="s">
        <v>108</v>
      </c>
      <c r="F395" s="5" t="s">
        <v>124</v>
      </c>
      <c r="G395" s="5" t="s">
        <v>69</v>
      </c>
      <c r="H395" s="5">
        <v>53</v>
      </c>
      <c r="I395" s="5" t="s">
        <v>31</v>
      </c>
      <c r="J395" s="34" t="s">
        <v>984</v>
      </c>
      <c r="K395" s="31" t="s">
        <v>985</v>
      </c>
      <c r="L395" s="5" t="s">
        <v>115</v>
      </c>
      <c r="M395" s="32">
        <v>5</v>
      </c>
      <c r="N395" s="6">
        <f t="shared" si="62"/>
        <v>5</v>
      </c>
      <c r="O395" s="4" t="s">
        <v>124</v>
      </c>
      <c r="P395" s="5" t="str">
        <f t="shared" si="63"/>
        <v>Pune</v>
      </c>
      <c r="Q395" s="5" t="str">
        <f t="shared" si="64"/>
        <v>Orthopedics</v>
      </c>
      <c r="R395" s="6" t="str">
        <f t="shared" si="65"/>
        <v>Max_Healthcare</v>
      </c>
      <c r="S395" s="6" t="str">
        <f t="shared" si="66"/>
        <v>Cash</v>
      </c>
      <c r="T395" s="6" t="str">
        <f t="shared" si="67"/>
        <v>Male</v>
      </c>
      <c r="U395" s="6" t="str">
        <f t="shared" si="60"/>
        <v>ICU</v>
      </c>
      <c r="V395" s="6" t="str" cm="1">
        <f t="array" ref="V395">IF(TRIM(S395)="",INDEX($S$2:$S$1500,MATCH(MAX(COUNTIF($S$2:$S$1500,S395)),COUNTIF($S$2:$S$1500,$S$2:$S$1500),0)),S395)</f>
        <v>Cash</v>
      </c>
      <c r="W395" s="7" cm="1">
        <f t="array" ref="W395">IF(OR(TRIM(K395)="",TRIM(K395)="-"), MEDIAN(IF($E$2:$E$1500=E395,$K$2:$K$1500)),  VALUE(SUBSTITUTE(SUBSTITUTE(SUBSTITUTE(K395,"Rs. ",""),"₹",""),",","")))</f>
        <v>57718</v>
      </c>
      <c r="X395" s="8">
        <f t="shared" si="68"/>
        <v>5</v>
      </c>
      <c r="Y395" s="7">
        <f t="shared" si="69"/>
        <v>54832</v>
      </c>
      <c r="Z395" s="9" t="str">
        <f t="shared" si="61"/>
        <v>ADULT</v>
      </c>
    </row>
    <row r="396" spans="1:26" x14ac:dyDescent="0.3">
      <c r="A396" s="5" t="s">
        <v>986</v>
      </c>
      <c r="B396" s="5" t="s">
        <v>45</v>
      </c>
      <c r="C396" s="5" t="s">
        <v>46</v>
      </c>
      <c r="D396" s="5" t="s">
        <v>66</v>
      </c>
      <c r="E396" s="5" t="s">
        <v>93</v>
      </c>
      <c r="F396" s="5" t="s">
        <v>207</v>
      </c>
      <c r="G396" s="5" t="s">
        <v>39</v>
      </c>
      <c r="H396" s="5">
        <v>36</v>
      </c>
      <c r="I396" s="5" t="s">
        <v>31</v>
      </c>
      <c r="J396" s="34" t="s">
        <v>177</v>
      </c>
      <c r="K396" s="31" t="s">
        <v>987</v>
      </c>
      <c r="L396" s="5" t="s">
        <v>72</v>
      </c>
      <c r="M396" s="32">
        <v>5</v>
      </c>
      <c r="N396" s="6">
        <f t="shared" si="62"/>
        <v>5</v>
      </c>
      <c r="O396" s="4" t="s">
        <v>207</v>
      </c>
      <c r="P396" s="5" t="str">
        <f t="shared" si="63"/>
        <v>Kolkata</v>
      </c>
      <c r="Q396" s="5" t="str">
        <f t="shared" si="64"/>
        <v>Nephrology</v>
      </c>
      <c r="R396" s="6" t="str">
        <f t="shared" si="65"/>
        <v>Fortis</v>
      </c>
      <c r="S396" s="6" t="str">
        <f t="shared" si="66"/>
        <v>Cash</v>
      </c>
      <c r="T396" s="6" t="str">
        <f t="shared" si="67"/>
        <v>Male</v>
      </c>
      <c r="U396" s="6" t="str">
        <f t="shared" si="60"/>
        <v>General</v>
      </c>
      <c r="V396" s="6" t="str" cm="1">
        <f t="array" ref="V396">IF(TRIM(S396)="",INDEX($S$2:$S$1500,MATCH(MAX(COUNTIF($S$2:$S$1500,S396)),COUNTIF($S$2:$S$1500,$S$2:$S$1500),0)),S396)</f>
        <v>Cash</v>
      </c>
      <c r="W396" s="7" cm="1">
        <f t="array" ref="W396">IF(OR(TRIM(K396)="",TRIM(K396)="-"), MEDIAN(IF($E$2:$E$1500=E396,$K$2:$K$1500)),  VALUE(SUBSTITUTE(SUBSTITUTE(SUBSTITUTE(K396,"Rs. ",""),"₹",""),",","")))</f>
        <v>19285</v>
      </c>
      <c r="X396" s="8">
        <f t="shared" si="68"/>
        <v>5</v>
      </c>
      <c r="Y396" s="7">
        <f t="shared" si="69"/>
        <v>18321</v>
      </c>
      <c r="Z396" s="9" t="str">
        <f t="shared" si="61"/>
        <v>ADULT</v>
      </c>
    </row>
    <row r="397" spans="1:26" x14ac:dyDescent="0.3">
      <c r="A397" s="5" t="s">
        <v>988</v>
      </c>
      <c r="B397" s="5" t="s">
        <v>106</v>
      </c>
      <c r="C397" s="5" t="s">
        <v>107</v>
      </c>
      <c r="D397" s="5" t="s">
        <v>27</v>
      </c>
      <c r="E397" s="5" t="s">
        <v>108</v>
      </c>
      <c r="F397" s="5" t="s">
        <v>308</v>
      </c>
      <c r="G397" s="5" t="s">
        <v>19</v>
      </c>
      <c r="H397" s="5">
        <v>74</v>
      </c>
      <c r="I397" s="5" t="s">
        <v>70</v>
      </c>
      <c r="J397" s="34" t="s">
        <v>989</v>
      </c>
      <c r="K397" s="31">
        <v>17889</v>
      </c>
      <c r="L397" s="5" t="s">
        <v>72</v>
      </c>
      <c r="M397" s="32">
        <v>0</v>
      </c>
      <c r="N397" s="6">
        <f t="shared" si="62"/>
        <v>0</v>
      </c>
      <c r="O397" s="4" t="s">
        <v>308</v>
      </c>
      <c r="P397" s="5" t="str">
        <f t="shared" si="63"/>
        <v>Mumbai</v>
      </c>
      <c r="Q397" s="5" t="str">
        <f t="shared" si="64"/>
        <v>Orthopedics</v>
      </c>
      <c r="R397" s="6" t="str">
        <f t="shared" si="65"/>
        <v>Aiims</v>
      </c>
      <c r="S397" s="6" t="str">
        <f t="shared" si="66"/>
        <v>Cash</v>
      </c>
      <c r="T397" s="6" t="str">
        <f t="shared" si="67"/>
        <v>Female</v>
      </c>
      <c r="U397" s="6" t="str">
        <f t="shared" si="60"/>
        <v>General</v>
      </c>
      <c r="V397" s="6" t="str" cm="1">
        <f t="array" ref="V397">IF(TRIM(S397)="",INDEX($S$2:$S$1500,MATCH(MAX(COUNTIF($S$2:$S$1500,S397)),COUNTIF($S$2:$S$1500,$S$2:$S$1500),0)),S397)</f>
        <v>Cash</v>
      </c>
      <c r="W397" s="7" cm="1">
        <f t="array" ref="W397">IF(OR(TRIM(K397)="",TRIM(K397)="-"), MEDIAN(IF($E$2:$E$1500=E397,$K$2:$K$1500)),  VALUE(SUBSTITUTE(SUBSTITUTE(SUBSTITUTE(K397,"Rs. ",""),"₹",""),",","")))</f>
        <v>17889</v>
      </c>
      <c r="X397" s="8">
        <f t="shared" si="68"/>
        <v>0</v>
      </c>
      <c r="Y397" s="7">
        <f t="shared" si="69"/>
        <v>17889</v>
      </c>
      <c r="Z397" s="9" t="str">
        <f t="shared" si="61"/>
        <v>SENIOR</v>
      </c>
    </row>
    <row r="398" spans="1:26" x14ac:dyDescent="0.3">
      <c r="A398" s="5" t="s">
        <v>990</v>
      </c>
      <c r="B398" s="5" t="s">
        <v>117</v>
      </c>
      <c r="C398" s="5" t="s">
        <v>118</v>
      </c>
      <c r="D398" s="5" t="s">
        <v>61</v>
      </c>
      <c r="E398" s="5" t="s">
        <v>37</v>
      </c>
      <c r="F398" s="5" t="s">
        <v>185</v>
      </c>
      <c r="G398" s="5" t="s">
        <v>49</v>
      </c>
      <c r="H398" s="5">
        <v>43</v>
      </c>
      <c r="I398" s="5" t="s">
        <v>20</v>
      </c>
      <c r="J398" s="34" t="s">
        <v>991</v>
      </c>
      <c r="K398" s="31">
        <v>13335</v>
      </c>
      <c r="L398" s="5" t="s">
        <v>34</v>
      </c>
      <c r="M398" s="32">
        <v>0.1</v>
      </c>
      <c r="N398" s="6">
        <f t="shared" si="62"/>
        <v>10</v>
      </c>
      <c r="O398" s="4" t="s">
        <v>185</v>
      </c>
      <c r="P398" s="5" t="str">
        <f t="shared" si="63"/>
        <v>Pune</v>
      </c>
      <c r="Q398" s="5" t="str">
        <f t="shared" si="64"/>
        <v>Pediatrics</v>
      </c>
      <c r="R398" s="6" t="str">
        <f t="shared" si="65"/>
        <v>Manipal</v>
      </c>
      <c r="S398" s="6" t="str">
        <f t="shared" si="66"/>
        <v>Cash</v>
      </c>
      <c r="T398" s="6" t="str">
        <f t="shared" si="67"/>
        <v>Male</v>
      </c>
      <c r="U398" s="6" t="str">
        <f t="shared" ref="U398:U461" si="70">IF(OR(UPPER(TRIM(G398))="GENERAL",UPPER(TRIM(G398))="GENRAL"),"General",IF(UPPER(TRIM(G398))="ICU","ICU","Unknown"))</f>
        <v>General</v>
      </c>
      <c r="V398" s="6" t="str" cm="1">
        <f t="array" ref="V398">IF(TRIM(S398)="",INDEX($S$2:$S$1500,MATCH(MAX(COUNTIF($S$2:$S$1500,S398)),COUNTIF($S$2:$S$1500,$S$2:$S$1500),0)),S398)</f>
        <v>Cash</v>
      </c>
      <c r="W398" s="7" cm="1">
        <f t="array" ref="W398">IF(OR(TRIM(K398)="",TRIM(K398)="-"), MEDIAN(IF($E$2:$E$1500=E398,$K$2:$K$1500)),  VALUE(SUBSTITUTE(SUBSTITUTE(SUBSTITUTE(K398,"Rs. ",""),"₹",""),",","")))</f>
        <v>13335</v>
      </c>
      <c r="X398" s="8">
        <f t="shared" si="68"/>
        <v>10</v>
      </c>
      <c r="Y398" s="7">
        <f t="shared" si="69"/>
        <v>12002</v>
      </c>
      <c r="Z398" s="9" t="str">
        <f t="shared" si="61"/>
        <v>ADULT</v>
      </c>
    </row>
    <row r="399" spans="1:26" x14ac:dyDescent="0.3">
      <c r="A399" s="5" t="s">
        <v>992</v>
      </c>
      <c r="B399" s="5" t="s">
        <v>45</v>
      </c>
      <c r="C399" s="5" t="s">
        <v>46</v>
      </c>
      <c r="D399" s="5" t="s">
        <v>189</v>
      </c>
      <c r="E399" s="5" t="s">
        <v>37</v>
      </c>
      <c r="F399" s="5" t="s">
        <v>56</v>
      </c>
      <c r="G399" s="5" t="s">
        <v>101</v>
      </c>
      <c r="H399" s="5">
        <v>64</v>
      </c>
      <c r="I399" s="5" t="s">
        <v>20</v>
      </c>
      <c r="J399" s="34" t="s">
        <v>222</v>
      </c>
      <c r="K399" s="31" t="s">
        <v>993</v>
      </c>
      <c r="L399" s="5" t="s">
        <v>115</v>
      </c>
      <c r="M399" s="32">
        <v>0</v>
      </c>
      <c r="N399" s="6">
        <f t="shared" si="62"/>
        <v>0</v>
      </c>
      <c r="O399" s="4" t="s">
        <v>56</v>
      </c>
      <c r="P399" s="5" t="str">
        <f t="shared" si="63"/>
        <v>Delhi</v>
      </c>
      <c r="Q399" s="5" t="str">
        <f t="shared" si="64"/>
        <v>Pediatrics</v>
      </c>
      <c r="R399" s="6" t="str">
        <f t="shared" si="65"/>
        <v>Fortis</v>
      </c>
      <c r="S399" s="6" t="str">
        <f t="shared" si="66"/>
        <v>Cash</v>
      </c>
      <c r="T399" s="6" t="str">
        <f t="shared" si="67"/>
        <v>Male</v>
      </c>
      <c r="U399" s="6" t="str">
        <f t="shared" si="70"/>
        <v>ICU</v>
      </c>
      <c r="V399" s="6" t="str" cm="1">
        <f t="array" ref="V399">IF(TRIM(S399)="",INDEX($S$2:$S$1500,MATCH(MAX(COUNTIF($S$2:$S$1500,S399)),COUNTIF($S$2:$S$1500,$S$2:$S$1500),0)),S399)</f>
        <v>Cash</v>
      </c>
      <c r="W399" s="7" cm="1">
        <f t="array" ref="W399">IF(OR(TRIM(K399)="",TRIM(K399)="-"), MEDIAN(IF($E$2:$E$1500=E399,$K$2:$K$1500)),  VALUE(SUBSTITUTE(SUBSTITUTE(SUBSTITUTE(K399,"Rs. ",""),"₹",""),",","")))</f>
        <v>73652</v>
      </c>
      <c r="X399" s="8">
        <f t="shared" si="68"/>
        <v>0</v>
      </c>
      <c r="Y399" s="7">
        <f t="shared" si="69"/>
        <v>73652</v>
      </c>
      <c r="Z399" s="9" t="str">
        <f t="shared" si="61"/>
        <v>SENIOR</v>
      </c>
    </row>
    <row r="400" spans="1:26" x14ac:dyDescent="0.3">
      <c r="A400" s="5" t="s">
        <v>994</v>
      </c>
      <c r="B400" s="5" t="s">
        <v>25</v>
      </c>
      <c r="C400" s="5" t="s">
        <v>54</v>
      </c>
      <c r="D400" s="5" t="s">
        <v>66</v>
      </c>
      <c r="E400" s="5" t="s">
        <v>37</v>
      </c>
      <c r="F400" s="5" t="s">
        <v>38</v>
      </c>
      <c r="G400" s="5" t="s">
        <v>49</v>
      </c>
      <c r="H400" s="5">
        <v>29</v>
      </c>
      <c r="I400" s="5" t="s">
        <v>20</v>
      </c>
      <c r="J400" s="34" t="s">
        <v>995</v>
      </c>
      <c r="K400" s="31" t="s">
        <v>996</v>
      </c>
      <c r="L400" s="5" t="s">
        <v>311</v>
      </c>
      <c r="M400" s="32" t="s">
        <v>130</v>
      </c>
      <c r="N400" s="6">
        <f t="shared" si="62"/>
        <v>0</v>
      </c>
      <c r="O400" s="4" t="s">
        <v>38</v>
      </c>
      <c r="P400" s="5" t="str">
        <f t="shared" si="63"/>
        <v>Kolkata</v>
      </c>
      <c r="Q400" s="5" t="str">
        <f t="shared" si="64"/>
        <v>Pediatrics</v>
      </c>
      <c r="R400" s="6" t="str">
        <f t="shared" si="65"/>
        <v>Narayana</v>
      </c>
      <c r="S400" s="6" t="str">
        <f t="shared" si="66"/>
        <v>UPI</v>
      </c>
      <c r="T400" s="6" t="str">
        <f t="shared" si="67"/>
        <v>Male</v>
      </c>
      <c r="U400" s="6" t="str">
        <f t="shared" si="70"/>
        <v>General</v>
      </c>
      <c r="V400" s="6" t="str" cm="1">
        <f t="array" ref="V400">IF(TRIM(S400)="",INDEX($S$2:$S$1500,MATCH(MAX(COUNTIF($S$2:$S$1500,S400)),COUNTIF($S$2:$S$1500,$S$2:$S$1500),0)),S400)</f>
        <v>UPI</v>
      </c>
      <c r="W400" s="7" cm="1">
        <f t="array" ref="W400">IF(OR(TRIM(K400)="",TRIM(K400)="-"), MEDIAN(IF($E$2:$E$1500=E400,$K$2:$K$1500)),  VALUE(SUBSTITUTE(SUBSTITUTE(SUBSTITUTE(K400,"Rs. ",""),"₹",""),",","")))</f>
        <v>5582</v>
      </c>
      <c r="X400" s="8">
        <f t="shared" si="68"/>
        <v>0</v>
      </c>
      <c r="Y400" s="7">
        <f t="shared" si="69"/>
        <v>5582</v>
      </c>
      <c r="Z400" s="9" t="str">
        <f t="shared" si="61"/>
        <v>ADULT</v>
      </c>
    </row>
    <row r="401" spans="1:26" x14ac:dyDescent="0.3">
      <c r="A401" s="5" t="s">
        <v>997</v>
      </c>
      <c r="B401" s="5" t="s">
        <v>14</v>
      </c>
      <c r="C401" s="5" t="s">
        <v>60</v>
      </c>
      <c r="D401" s="5" t="s">
        <v>16</v>
      </c>
      <c r="E401" s="5" t="s">
        <v>99</v>
      </c>
      <c r="F401" s="5" t="s">
        <v>256</v>
      </c>
      <c r="G401" s="5" t="s">
        <v>19</v>
      </c>
      <c r="H401" s="5">
        <v>18</v>
      </c>
      <c r="I401" s="5" t="s">
        <v>31</v>
      </c>
      <c r="J401" s="34" t="s">
        <v>779</v>
      </c>
      <c r="K401" s="31">
        <v>15868</v>
      </c>
      <c r="L401" s="5" t="s">
        <v>211</v>
      </c>
      <c r="M401" s="32">
        <v>0</v>
      </c>
      <c r="N401" s="6">
        <f t="shared" si="62"/>
        <v>0</v>
      </c>
      <c r="O401" s="4" t="s">
        <v>256</v>
      </c>
      <c r="P401" s="5" t="str">
        <f t="shared" si="63"/>
        <v>Bangalore</v>
      </c>
      <c r="Q401" s="5" t="str">
        <f t="shared" si="64"/>
        <v>Ent</v>
      </c>
      <c r="R401" s="6" t="str">
        <f t="shared" si="65"/>
        <v>Max_Healthcare</v>
      </c>
      <c r="S401" s="6" t="str">
        <f t="shared" si="66"/>
        <v>Credit Card</v>
      </c>
      <c r="T401" s="6" t="str">
        <f t="shared" si="67"/>
        <v>Male</v>
      </c>
      <c r="U401" s="6" t="str">
        <f t="shared" si="70"/>
        <v>General</v>
      </c>
      <c r="V401" s="6" t="str" cm="1">
        <f t="array" ref="V401">IF(TRIM(S401)="",INDEX($S$2:$S$1500,MATCH(MAX(COUNTIF($S$2:$S$1500,S401)),COUNTIF($S$2:$S$1500,$S$2:$S$1500),0)),S401)</f>
        <v>Credit Card</v>
      </c>
      <c r="W401" s="7" cm="1">
        <f t="array" ref="W401">IF(OR(TRIM(K401)="",TRIM(K401)="-"), MEDIAN(IF($E$2:$E$1500=E401,$K$2:$K$1500)),  VALUE(SUBSTITUTE(SUBSTITUTE(SUBSTITUTE(K401,"Rs. ",""),"₹",""),",","")))</f>
        <v>15868</v>
      </c>
      <c r="X401" s="8">
        <f t="shared" si="68"/>
        <v>0</v>
      </c>
      <c r="Y401" s="7">
        <f t="shared" si="69"/>
        <v>15868</v>
      </c>
      <c r="Z401" s="9" t="str">
        <f t="shared" si="61"/>
        <v>TEEN</v>
      </c>
    </row>
    <row r="402" spans="1:26" x14ac:dyDescent="0.3">
      <c r="A402" s="5" t="s">
        <v>998</v>
      </c>
      <c r="B402" s="5" t="s">
        <v>78</v>
      </c>
      <c r="C402" s="5" t="s">
        <v>161</v>
      </c>
      <c r="D402" s="5" t="s">
        <v>55</v>
      </c>
      <c r="E402" s="5" t="s">
        <v>17</v>
      </c>
      <c r="F402" s="5" t="s">
        <v>135</v>
      </c>
      <c r="G402" s="5" t="s">
        <v>39</v>
      </c>
      <c r="H402" s="5">
        <v>57</v>
      </c>
      <c r="I402" s="5" t="s">
        <v>70</v>
      </c>
      <c r="J402" s="34" t="s">
        <v>999</v>
      </c>
      <c r="K402" s="31">
        <v>17122</v>
      </c>
      <c r="L402" s="5" t="s">
        <v>23</v>
      </c>
      <c r="M402" s="32">
        <v>10</v>
      </c>
      <c r="N402" s="6">
        <f t="shared" si="62"/>
        <v>10</v>
      </c>
      <c r="O402" s="4" t="s">
        <v>135</v>
      </c>
      <c r="P402" s="5" t="str">
        <f t="shared" si="63"/>
        <v>Hyderabad</v>
      </c>
      <c r="Q402" s="5" t="str">
        <f t="shared" si="64"/>
        <v>Gynecology</v>
      </c>
      <c r="R402" s="6" t="str">
        <f t="shared" si="65"/>
        <v>Apollo</v>
      </c>
      <c r="S402" s="6" t="str">
        <f t="shared" si="66"/>
        <v>Credit Card</v>
      </c>
      <c r="T402" s="6" t="str">
        <f t="shared" si="67"/>
        <v>Female</v>
      </c>
      <c r="U402" s="6" t="str">
        <f t="shared" si="70"/>
        <v>General</v>
      </c>
      <c r="V402" s="6" t="str" cm="1">
        <f t="array" ref="V402">IF(TRIM(S402)="",INDEX($S$2:$S$1500,MATCH(MAX(COUNTIF($S$2:$S$1500,S402)),COUNTIF($S$2:$S$1500,$S$2:$S$1500),0)),S402)</f>
        <v>Credit Card</v>
      </c>
      <c r="W402" s="7" cm="1">
        <f t="array" ref="W402">IF(OR(TRIM(K402)="",TRIM(K402)="-"), MEDIAN(IF($E$2:$E$1500=E402,$K$2:$K$1500)),  VALUE(SUBSTITUTE(SUBSTITUTE(SUBSTITUTE(K402,"Rs. ",""),"₹",""),",","")))</f>
        <v>17122</v>
      </c>
      <c r="X402" s="8">
        <f t="shared" si="68"/>
        <v>10</v>
      </c>
      <c r="Y402" s="7">
        <f t="shared" si="69"/>
        <v>15410</v>
      </c>
      <c r="Z402" s="9" t="str">
        <f t="shared" si="61"/>
        <v>ADULT</v>
      </c>
    </row>
    <row r="403" spans="1:26" x14ac:dyDescent="0.3">
      <c r="A403" s="5" t="s">
        <v>1000</v>
      </c>
      <c r="B403" s="5" t="s">
        <v>106</v>
      </c>
      <c r="C403" s="5" t="s">
        <v>307</v>
      </c>
      <c r="D403" s="5" t="s">
        <v>55</v>
      </c>
      <c r="E403" s="5" t="s">
        <v>93</v>
      </c>
      <c r="F403" s="5" t="s">
        <v>144</v>
      </c>
      <c r="G403" s="5" t="s">
        <v>49</v>
      </c>
      <c r="H403" s="5">
        <v>11</v>
      </c>
      <c r="I403" s="5" t="s">
        <v>20</v>
      </c>
      <c r="J403" s="34" t="s">
        <v>1001</v>
      </c>
      <c r="K403" s="31">
        <v>3975</v>
      </c>
      <c r="L403" s="5" t="s">
        <v>236</v>
      </c>
      <c r="M403" s="32">
        <v>0</v>
      </c>
      <c r="N403" s="6">
        <f t="shared" si="62"/>
        <v>0</v>
      </c>
      <c r="O403" s="4" t="s">
        <v>144</v>
      </c>
      <c r="P403" s="5" t="str">
        <f t="shared" si="63"/>
        <v>Hyderabad</v>
      </c>
      <c r="Q403" s="5" t="str">
        <f t="shared" si="64"/>
        <v>Nephrology</v>
      </c>
      <c r="R403" s="6" t="str">
        <f t="shared" si="65"/>
        <v>Aiims</v>
      </c>
      <c r="S403" s="6" t="str">
        <f t="shared" si="66"/>
        <v>Debit Card</v>
      </c>
      <c r="T403" s="6" t="str">
        <f t="shared" si="67"/>
        <v>Male</v>
      </c>
      <c r="U403" s="6" t="str">
        <f t="shared" si="70"/>
        <v>General</v>
      </c>
      <c r="V403" s="6" t="str" cm="1">
        <f t="array" ref="V403">IF(TRIM(S403)="",INDEX($S$2:$S$1500,MATCH(MAX(COUNTIF($S$2:$S$1500,S403)),COUNTIF($S$2:$S$1500,$S$2:$S$1500),0)),S403)</f>
        <v>Debit Card</v>
      </c>
      <c r="W403" s="7" cm="1">
        <f t="array" ref="W403">IF(OR(TRIM(K403)="",TRIM(K403)="-"), MEDIAN(IF($E$2:$E$1500=E403,$K$2:$K$1500)),  VALUE(SUBSTITUTE(SUBSTITUTE(SUBSTITUTE(K403,"Rs. ",""),"₹",""),",","")))</f>
        <v>3975</v>
      </c>
      <c r="X403" s="8">
        <f t="shared" si="68"/>
        <v>0</v>
      </c>
      <c r="Y403" s="7">
        <f t="shared" si="69"/>
        <v>3975</v>
      </c>
      <c r="Z403" s="9" t="str">
        <f t="shared" si="61"/>
        <v>CHILD</v>
      </c>
    </row>
    <row r="404" spans="1:26" x14ac:dyDescent="0.3">
      <c r="A404" s="5" t="s">
        <v>1002</v>
      </c>
      <c r="B404" s="5" t="s">
        <v>106</v>
      </c>
      <c r="C404" s="5" t="s">
        <v>107</v>
      </c>
      <c r="D404" s="5" t="s">
        <v>36</v>
      </c>
      <c r="E404" s="5" t="s">
        <v>99</v>
      </c>
      <c r="F404" s="5" t="s">
        <v>372</v>
      </c>
      <c r="G404" s="5" t="s">
        <v>19</v>
      </c>
      <c r="H404" s="5">
        <v>61</v>
      </c>
      <c r="I404" s="5" t="s">
        <v>20</v>
      </c>
      <c r="J404" s="34" t="s">
        <v>1003</v>
      </c>
      <c r="K404" s="31" t="s">
        <v>1004</v>
      </c>
      <c r="L404" s="5" t="s">
        <v>34</v>
      </c>
      <c r="M404" s="32">
        <v>10</v>
      </c>
      <c r="N404" s="6">
        <f t="shared" si="62"/>
        <v>10</v>
      </c>
      <c r="O404" s="4" t="s">
        <v>372</v>
      </c>
      <c r="P404" s="5" t="str">
        <f t="shared" si="63"/>
        <v>Chennai</v>
      </c>
      <c r="Q404" s="5" t="str">
        <f t="shared" si="64"/>
        <v>Ent</v>
      </c>
      <c r="R404" s="6" t="str">
        <f t="shared" si="65"/>
        <v>Aiims</v>
      </c>
      <c r="S404" s="6" t="str">
        <f t="shared" si="66"/>
        <v>Cash</v>
      </c>
      <c r="T404" s="6" t="str">
        <f t="shared" si="67"/>
        <v>Male</v>
      </c>
      <c r="U404" s="6" t="str">
        <f t="shared" si="70"/>
        <v>General</v>
      </c>
      <c r="V404" s="6" t="str" cm="1">
        <f t="array" ref="V404">IF(TRIM(S404)="",INDEX($S$2:$S$1500,MATCH(MAX(COUNTIF($S$2:$S$1500,S404)),COUNTIF($S$2:$S$1500,$S$2:$S$1500),0)),S404)</f>
        <v>Cash</v>
      </c>
      <c r="W404" s="7" cm="1">
        <f t="array" ref="W404">IF(OR(TRIM(K404)="",TRIM(K404)="-"), MEDIAN(IF($E$2:$E$1500=E404,$K$2:$K$1500)),  VALUE(SUBSTITUTE(SUBSTITUTE(SUBSTITUTE(K404,"Rs. ",""),"₹",""),",","")))</f>
        <v>11486</v>
      </c>
      <c r="X404" s="8">
        <f t="shared" si="68"/>
        <v>10</v>
      </c>
      <c r="Y404" s="7">
        <f t="shared" si="69"/>
        <v>10337</v>
      </c>
      <c r="Z404" s="9" t="str">
        <f t="shared" si="61"/>
        <v>SENIOR</v>
      </c>
    </row>
    <row r="405" spans="1:26" x14ac:dyDescent="0.3">
      <c r="A405" s="5" t="s">
        <v>1005</v>
      </c>
      <c r="B405" s="5" t="s">
        <v>25</v>
      </c>
      <c r="C405" s="5" t="s">
        <v>54</v>
      </c>
      <c r="D405" s="5" t="s">
        <v>80</v>
      </c>
      <c r="E405" s="5" t="s">
        <v>47</v>
      </c>
      <c r="F405" s="5" t="s">
        <v>175</v>
      </c>
      <c r="G405" s="5" t="s">
        <v>19</v>
      </c>
      <c r="H405" s="5">
        <v>51</v>
      </c>
      <c r="I405" s="5" t="s">
        <v>20</v>
      </c>
      <c r="J405" s="34" t="s">
        <v>1006</v>
      </c>
      <c r="K405" s="31" t="s">
        <v>1007</v>
      </c>
      <c r="L405" s="5" t="s">
        <v>72</v>
      </c>
      <c r="M405" s="32" t="s">
        <v>130</v>
      </c>
      <c r="N405" s="6">
        <f t="shared" si="62"/>
        <v>0</v>
      </c>
      <c r="O405" s="4" t="s">
        <v>175</v>
      </c>
      <c r="P405" s="5" t="str">
        <f t="shared" si="63"/>
        <v>Ahmedabad</v>
      </c>
      <c r="Q405" s="5" t="str">
        <f t="shared" si="64"/>
        <v>Gastroenterology</v>
      </c>
      <c r="R405" s="6" t="str">
        <f t="shared" si="65"/>
        <v>Narayana</v>
      </c>
      <c r="S405" s="6" t="str">
        <f t="shared" si="66"/>
        <v>Cash</v>
      </c>
      <c r="T405" s="6" t="str">
        <f t="shared" si="67"/>
        <v>Male</v>
      </c>
      <c r="U405" s="6" t="str">
        <f t="shared" si="70"/>
        <v>General</v>
      </c>
      <c r="V405" s="6" t="str" cm="1">
        <f t="array" ref="V405">IF(TRIM(S405)="",INDEX($S$2:$S$1500,MATCH(MAX(COUNTIF($S$2:$S$1500,S405)),COUNTIF($S$2:$S$1500,$S$2:$S$1500),0)),S405)</f>
        <v>Cash</v>
      </c>
      <c r="W405" s="7" cm="1">
        <f t="array" ref="W405">IF(OR(TRIM(K405)="",TRIM(K405)="-"), MEDIAN(IF($E$2:$E$1500=E405,$K$2:$K$1500)),  VALUE(SUBSTITUTE(SUBSTITUTE(SUBSTITUTE(K405,"Rs. ",""),"₹",""),",","")))</f>
        <v>6143</v>
      </c>
      <c r="X405" s="8">
        <f t="shared" si="68"/>
        <v>0</v>
      </c>
      <c r="Y405" s="7">
        <f t="shared" si="69"/>
        <v>6143</v>
      </c>
      <c r="Z405" s="9" t="str">
        <f t="shared" si="61"/>
        <v>ADULT</v>
      </c>
    </row>
    <row r="406" spans="1:26" x14ac:dyDescent="0.3">
      <c r="A406" s="5" t="s">
        <v>1008</v>
      </c>
      <c r="B406" s="5" t="s">
        <v>14</v>
      </c>
      <c r="C406" s="5" t="s">
        <v>60</v>
      </c>
      <c r="D406" s="5" t="s">
        <v>16</v>
      </c>
      <c r="E406" s="5" t="s">
        <v>108</v>
      </c>
      <c r="F406" s="5" t="s">
        <v>272</v>
      </c>
      <c r="G406" s="5" t="s">
        <v>19</v>
      </c>
      <c r="H406" s="5">
        <v>83</v>
      </c>
      <c r="I406" s="5" t="s">
        <v>40</v>
      </c>
      <c r="J406" s="34" t="s">
        <v>424</v>
      </c>
      <c r="K406" s="31">
        <v>12285</v>
      </c>
      <c r="L406" s="5" t="s">
        <v>42</v>
      </c>
      <c r="M406" s="32">
        <v>18</v>
      </c>
      <c r="N406" s="6">
        <f t="shared" si="62"/>
        <v>18</v>
      </c>
      <c r="O406" s="4" t="s">
        <v>272</v>
      </c>
      <c r="P406" s="5" t="str">
        <f t="shared" si="63"/>
        <v>Bangalore</v>
      </c>
      <c r="Q406" s="5" t="str">
        <f t="shared" si="64"/>
        <v>Orthopedics</v>
      </c>
      <c r="R406" s="6" t="str">
        <f t="shared" si="65"/>
        <v>Max_Healthcare</v>
      </c>
      <c r="S406" s="6" t="str">
        <f t="shared" si="66"/>
        <v>Insurance</v>
      </c>
      <c r="T406" s="6" t="str">
        <f t="shared" si="67"/>
        <v>Female</v>
      </c>
      <c r="U406" s="6" t="str">
        <f t="shared" si="70"/>
        <v>General</v>
      </c>
      <c r="V406" s="6" t="str" cm="1">
        <f t="array" ref="V406">IF(TRIM(S406)="",INDEX($S$2:$S$1500,MATCH(MAX(COUNTIF($S$2:$S$1500,S406)),COUNTIF($S$2:$S$1500,$S$2:$S$1500),0)),S406)</f>
        <v>Insurance</v>
      </c>
      <c r="W406" s="7" cm="1">
        <f t="array" ref="W406">IF(OR(TRIM(K406)="",TRIM(K406)="-"), MEDIAN(IF($E$2:$E$1500=E406,$K$2:$K$1500)),  VALUE(SUBSTITUTE(SUBSTITUTE(SUBSTITUTE(K406,"Rs. ",""),"₹",""),",","")))</f>
        <v>12285</v>
      </c>
      <c r="X406" s="8">
        <f t="shared" si="68"/>
        <v>18</v>
      </c>
      <c r="Y406" s="7">
        <f t="shared" si="69"/>
        <v>10074</v>
      </c>
      <c r="Z406" s="9" t="str">
        <f t="shared" si="61"/>
        <v>SENIOR</v>
      </c>
    </row>
    <row r="407" spans="1:26" x14ac:dyDescent="0.3">
      <c r="A407" s="5" t="s">
        <v>1009</v>
      </c>
      <c r="B407" s="5" t="s">
        <v>106</v>
      </c>
      <c r="C407" s="5" t="s">
        <v>107</v>
      </c>
      <c r="D407" s="5" t="s">
        <v>189</v>
      </c>
      <c r="E407" s="5" t="s">
        <v>28</v>
      </c>
      <c r="F407" s="5" t="s">
        <v>259</v>
      </c>
      <c r="G407" s="5" t="s">
        <v>49</v>
      </c>
      <c r="H407" s="5">
        <v>34</v>
      </c>
      <c r="I407" s="5" t="s">
        <v>20</v>
      </c>
      <c r="J407" s="34" t="s">
        <v>318</v>
      </c>
      <c r="K407" s="31" t="s">
        <v>1010</v>
      </c>
      <c r="L407" s="5" t="s">
        <v>167</v>
      </c>
      <c r="M407" s="32" t="s">
        <v>886</v>
      </c>
      <c r="N407" s="6">
        <f t="shared" si="62"/>
        <v>15</v>
      </c>
      <c r="O407" s="4" t="s">
        <v>259</v>
      </c>
      <c r="P407" s="5" t="str">
        <f t="shared" si="63"/>
        <v>Delhi</v>
      </c>
      <c r="Q407" s="5" t="str">
        <f t="shared" si="64"/>
        <v>Oncology</v>
      </c>
      <c r="R407" s="6" t="str">
        <f t="shared" si="65"/>
        <v>Aiims</v>
      </c>
      <c r="S407" s="6" t="str">
        <f t="shared" si="66"/>
        <v>Insurance</v>
      </c>
      <c r="T407" s="6" t="str">
        <f t="shared" si="67"/>
        <v>Male</v>
      </c>
      <c r="U407" s="6" t="str">
        <f t="shared" si="70"/>
        <v>General</v>
      </c>
      <c r="V407" s="6" t="str" cm="1">
        <f t="array" ref="V407">IF(TRIM(S407)="",INDEX($S$2:$S$1500,MATCH(MAX(COUNTIF($S$2:$S$1500,S407)),COUNTIF($S$2:$S$1500,$S$2:$S$1500),0)),S407)</f>
        <v>Insurance</v>
      </c>
      <c r="W407" s="7" cm="1">
        <f t="array" ref="W407">IF(OR(TRIM(K407)="",TRIM(K407)="-"), MEDIAN(IF($E$2:$E$1500=E407,$K$2:$K$1500)),  VALUE(SUBSTITUTE(SUBSTITUTE(SUBSTITUTE(K407,"Rs. ",""),"₹",""),",","")))</f>
        <v>13123</v>
      </c>
      <c r="X407" s="8">
        <f t="shared" si="68"/>
        <v>15</v>
      </c>
      <c r="Y407" s="7">
        <f t="shared" si="69"/>
        <v>11155</v>
      </c>
      <c r="Z407" s="9" t="str">
        <f t="shared" si="61"/>
        <v>ADULT</v>
      </c>
    </row>
    <row r="408" spans="1:26" x14ac:dyDescent="0.3">
      <c r="A408" s="5" t="s">
        <v>1011</v>
      </c>
      <c r="B408" s="5" t="s">
        <v>14</v>
      </c>
      <c r="C408" s="5" t="s">
        <v>60</v>
      </c>
      <c r="D408" s="5" t="s">
        <v>27</v>
      </c>
      <c r="E408" s="5" t="s">
        <v>93</v>
      </c>
      <c r="F408" s="5" t="s">
        <v>121</v>
      </c>
      <c r="G408" s="5" t="s">
        <v>49</v>
      </c>
      <c r="H408" s="5">
        <v>64</v>
      </c>
      <c r="I408" s="5" t="s">
        <v>20</v>
      </c>
      <c r="J408" s="34" t="s">
        <v>1012</v>
      </c>
      <c r="K408" s="31">
        <v>19951</v>
      </c>
      <c r="L408" s="5" t="s">
        <v>211</v>
      </c>
      <c r="M408" s="32" t="s">
        <v>140</v>
      </c>
      <c r="N408" s="6" t="str">
        <f t="shared" si="62"/>
        <v>-</v>
      </c>
      <c r="O408" s="4" t="s">
        <v>121</v>
      </c>
      <c r="P408" s="5" t="str">
        <f t="shared" si="63"/>
        <v>Mumbai</v>
      </c>
      <c r="Q408" s="5" t="str">
        <f t="shared" si="64"/>
        <v>Nephrology</v>
      </c>
      <c r="R408" s="6" t="str">
        <f t="shared" si="65"/>
        <v>Max_Healthcare</v>
      </c>
      <c r="S408" s="6" t="str">
        <f t="shared" si="66"/>
        <v>Credit Card</v>
      </c>
      <c r="T408" s="6" t="str">
        <f t="shared" si="67"/>
        <v>Male</v>
      </c>
      <c r="U408" s="6" t="str">
        <f t="shared" si="70"/>
        <v>General</v>
      </c>
      <c r="V408" s="6" t="str" cm="1">
        <f t="array" ref="V408">IF(TRIM(S408)="",INDEX($S$2:$S$1500,MATCH(MAX(COUNTIF($S$2:$S$1500,S408)),COUNTIF($S$2:$S$1500,$S$2:$S$1500),0)),S408)</f>
        <v>Credit Card</v>
      </c>
      <c r="W408" s="7" cm="1">
        <f t="array" ref="W408">IF(OR(TRIM(K408)="",TRIM(K408)="-"), MEDIAN(IF($E$2:$E$1500=E408,$K$2:$K$1500)),  VALUE(SUBSTITUTE(SUBSTITUTE(SUBSTITUTE(K408,"Rs. ",""),"₹",""),",","")))</f>
        <v>19951</v>
      </c>
      <c r="X408" s="8">
        <f t="shared" si="68"/>
        <v>3</v>
      </c>
      <c r="Y408" s="7">
        <f t="shared" si="69"/>
        <v>19352</v>
      </c>
      <c r="Z408" s="9" t="str">
        <f t="shared" si="61"/>
        <v>SENIOR</v>
      </c>
    </row>
    <row r="409" spans="1:26" x14ac:dyDescent="0.3">
      <c r="A409" s="5" t="s">
        <v>1013</v>
      </c>
      <c r="B409" s="5" t="s">
        <v>45</v>
      </c>
      <c r="C409" s="5" t="s">
        <v>334</v>
      </c>
      <c r="D409" s="5" t="s">
        <v>36</v>
      </c>
      <c r="E409" s="5" t="s">
        <v>74</v>
      </c>
      <c r="F409" s="5" t="s">
        <v>75</v>
      </c>
      <c r="G409" s="5" t="s">
        <v>30</v>
      </c>
      <c r="H409" s="5">
        <v>5</v>
      </c>
      <c r="I409" s="5" t="s">
        <v>40</v>
      </c>
      <c r="J409" s="34" t="s">
        <v>1014</v>
      </c>
      <c r="K409" s="31" t="s">
        <v>1015</v>
      </c>
      <c r="L409" s="5" t="s">
        <v>52</v>
      </c>
      <c r="M409" s="32">
        <v>0</v>
      </c>
      <c r="N409" s="6">
        <f t="shared" si="62"/>
        <v>0</v>
      </c>
      <c r="O409" s="4" t="s">
        <v>75</v>
      </c>
      <c r="P409" s="5" t="str">
        <f t="shared" si="63"/>
        <v>Chennai</v>
      </c>
      <c r="Q409" s="5" t="str">
        <f t="shared" si="64"/>
        <v>General Medicine</v>
      </c>
      <c r="R409" s="6" t="str">
        <f t="shared" si="65"/>
        <v>Fortis</v>
      </c>
      <c r="S409" s="6" t="str">
        <f t="shared" si="66"/>
        <v>Credit Card</v>
      </c>
      <c r="T409" s="6" t="str">
        <f t="shared" si="67"/>
        <v>Female</v>
      </c>
      <c r="U409" s="6" t="str">
        <f t="shared" si="70"/>
        <v>General</v>
      </c>
      <c r="V409" s="6" t="str" cm="1">
        <f t="array" ref="V409">IF(TRIM(S409)="",INDEX($S$2:$S$1500,MATCH(MAX(COUNTIF($S$2:$S$1500,S409)),COUNTIF($S$2:$S$1500,$S$2:$S$1500),0)),S409)</f>
        <v>Credit Card</v>
      </c>
      <c r="W409" s="7" cm="1">
        <f t="array" ref="W409">IF(OR(TRIM(K409)="",TRIM(K409)="-"), MEDIAN(IF($E$2:$E$1500=E409,$K$2:$K$1500)),  VALUE(SUBSTITUTE(SUBSTITUTE(SUBSTITUTE(K409,"Rs. ",""),"₹",""),",","")))</f>
        <v>10805</v>
      </c>
      <c r="X409" s="8">
        <f t="shared" si="68"/>
        <v>0</v>
      </c>
      <c r="Y409" s="7">
        <f t="shared" si="69"/>
        <v>10805</v>
      </c>
      <c r="Z409" s="9" t="str">
        <f t="shared" si="61"/>
        <v>CHILD</v>
      </c>
    </row>
    <row r="410" spans="1:26" x14ac:dyDescent="0.3">
      <c r="A410" s="5" t="s">
        <v>1016</v>
      </c>
      <c r="B410" s="5" t="s">
        <v>106</v>
      </c>
      <c r="C410" s="5" t="s">
        <v>107</v>
      </c>
      <c r="D410" s="5" t="s">
        <v>36</v>
      </c>
      <c r="E410" s="5" t="s">
        <v>17</v>
      </c>
      <c r="F410" s="5" t="s">
        <v>169</v>
      </c>
      <c r="G410" s="5" t="s">
        <v>39</v>
      </c>
      <c r="H410" s="5">
        <v>11</v>
      </c>
      <c r="I410" s="5" t="s">
        <v>20</v>
      </c>
      <c r="J410" s="34" t="s">
        <v>1017</v>
      </c>
      <c r="K410" s="31" t="s">
        <v>1018</v>
      </c>
      <c r="L410" s="5" t="s">
        <v>104</v>
      </c>
      <c r="M410" s="32">
        <v>35</v>
      </c>
      <c r="N410" s="6">
        <f t="shared" si="62"/>
        <v>35</v>
      </c>
      <c r="O410" s="4" t="s">
        <v>169</v>
      </c>
      <c r="P410" s="5" t="str">
        <f t="shared" si="63"/>
        <v>Chennai</v>
      </c>
      <c r="Q410" s="5" t="str">
        <f t="shared" si="64"/>
        <v>Gynecology</v>
      </c>
      <c r="R410" s="6" t="str">
        <f t="shared" si="65"/>
        <v>Aiims</v>
      </c>
      <c r="S410" s="6" t="str">
        <f t="shared" si="66"/>
        <v>Insurance</v>
      </c>
      <c r="T410" s="6" t="str">
        <f t="shared" si="67"/>
        <v>Male</v>
      </c>
      <c r="U410" s="6" t="str">
        <f t="shared" si="70"/>
        <v>General</v>
      </c>
      <c r="V410" s="6" t="str" cm="1">
        <f t="array" ref="V410">IF(TRIM(S410)="",INDEX($S$2:$S$1500,MATCH(MAX(COUNTIF($S$2:$S$1500,S410)),COUNTIF($S$2:$S$1500,$S$2:$S$1500),0)),S410)</f>
        <v>Insurance</v>
      </c>
      <c r="W410" s="7" cm="1">
        <f t="array" ref="W410">IF(OR(TRIM(K410)="",TRIM(K410)="-"), MEDIAN(IF($E$2:$E$1500=E410,$K$2:$K$1500)),  VALUE(SUBSTITUTE(SUBSTITUTE(SUBSTITUTE(K410,"Rs. ",""),"₹",""),",","")))</f>
        <v>6857</v>
      </c>
      <c r="X410" s="8">
        <f t="shared" si="68"/>
        <v>35</v>
      </c>
      <c r="Y410" s="7">
        <f t="shared" si="69"/>
        <v>4457</v>
      </c>
      <c r="Z410" s="9" t="str">
        <f t="shared" si="61"/>
        <v>CHILD</v>
      </c>
    </row>
    <row r="411" spans="1:26" x14ac:dyDescent="0.3">
      <c r="A411" s="5" t="s">
        <v>1019</v>
      </c>
      <c r="B411" s="5" t="s">
        <v>45</v>
      </c>
      <c r="C411" s="5" t="s">
        <v>46</v>
      </c>
      <c r="D411" s="5" t="s">
        <v>66</v>
      </c>
      <c r="E411" s="5" t="s">
        <v>28</v>
      </c>
      <c r="F411" s="5" t="s">
        <v>259</v>
      </c>
      <c r="G411" s="5" t="s">
        <v>19</v>
      </c>
      <c r="H411" s="5">
        <v>51</v>
      </c>
      <c r="I411" s="5" t="s">
        <v>40</v>
      </c>
      <c r="J411" s="34" t="s">
        <v>438</v>
      </c>
      <c r="K411" s="31"/>
      <c r="L411" s="5" t="s">
        <v>23</v>
      </c>
      <c r="M411" s="32">
        <v>0.1</v>
      </c>
      <c r="N411" s="6">
        <f t="shared" si="62"/>
        <v>10</v>
      </c>
      <c r="O411" s="4" t="s">
        <v>259</v>
      </c>
      <c r="P411" s="5" t="str">
        <f t="shared" si="63"/>
        <v>Kolkata</v>
      </c>
      <c r="Q411" s="5" t="str">
        <f t="shared" si="64"/>
        <v>Oncology</v>
      </c>
      <c r="R411" s="6" t="str">
        <f t="shared" si="65"/>
        <v>Fortis</v>
      </c>
      <c r="S411" s="6" t="str">
        <f t="shared" si="66"/>
        <v>Credit Card</v>
      </c>
      <c r="T411" s="6" t="str">
        <f t="shared" si="67"/>
        <v>Female</v>
      </c>
      <c r="U411" s="6" t="str">
        <f t="shared" si="70"/>
        <v>General</v>
      </c>
      <c r="V411" s="6" t="str" cm="1">
        <f t="array" ref="V411">IF(TRIM(S411)="",INDEX($S$2:$S$1500,MATCH(MAX(COUNTIF($S$2:$S$1500,S411)),COUNTIF($S$2:$S$1500,$S$2:$S$1500),0)),S411)</f>
        <v>Credit Card</v>
      </c>
      <c r="W411" s="7" cm="1">
        <f t="array" ref="W411">IF(OR(TRIM(K411)="",TRIM(K411)="-"), MEDIAN(IF($E$2:$E$1500=E411,$K$2:$K$1500)),  VALUE(SUBSTITUTE(SUBSTITUTE(SUBSTITUTE(K411,"Rs. ",""),"₹",""),",","")))</f>
        <v>14747</v>
      </c>
      <c r="X411" s="8">
        <f t="shared" si="68"/>
        <v>10</v>
      </c>
      <c r="Y411" s="7">
        <f t="shared" si="69"/>
        <v>13272</v>
      </c>
      <c r="Z411" s="9" t="str">
        <f t="shared" si="61"/>
        <v>ADULT</v>
      </c>
    </row>
    <row r="412" spans="1:26" x14ac:dyDescent="0.3">
      <c r="A412" s="5" t="s">
        <v>1020</v>
      </c>
      <c r="B412" s="5" t="s">
        <v>106</v>
      </c>
      <c r="C412" s="5" t="s">
        <v>107</v>
      </c>
      <c r="D412" s="5" t="s">
        <v>80</v>
      </c>
      <c r="E412" s="5" t="s">
        <v>28</v>
      </c>
      <c r="F412" s="5" t="s">
        <v>29</v>
      </c>
      <c r="G412" s="5" t="s">
        <v>30</v>
      </c>
      <c r="H412" s="5">
        <v>72</v>
      </c>
      <c r="I412" s="5" t="s">
        <v>70</v>
      </c>
      <c r="J412" s="34" t="s">
        <v>1021</v>
      </c>
      <c r="K412" s="31" t="s">
        <v>1022</v>
      </c>
      <c r="L412" s="5" t="s">
        <v>115</v>
      </c>
      <c r="M412" s="32" t="s">
        <v>130</v>
      </c>
      <c r="N412" s="6">
        <f t="shared" si="62"/>
        <v>0</v>
      </c>
      <c r="O412" s="4" t="s">
        <v>29</v>
      </c>
      <c r="P412" s="5" t="str">
        <f t="shared" si="63"/>
        <v>Ahmedabad</v>
      </c>
      <c r="Q412" s="5" t="str">
        <f t="shared" si="64"/>
        <v>Oncology</v>
      </c>
      <c r="R412" s="6" t="str">
        <f t="shared" si="65"/>
        <v>Aiims</v>
      </c>
      <c r="S412" s="6" t="str">
        <f t="shared" si="66"/>
        <v>Cash</v>
      </c>
      <c r="T412" s="6" t="str">
        <f t="shared" si="67"/>
        <v>Female</v>
      </c>
      <c r="U412" s="6" t="str">
        <f t="shared" si="70"/>
        <v>General</v>
      </c>
      <c r="V412" s="6" t="str" cm="1">
        <f t="array" ref="V412">IF(TRIM(S412)="",INDEX($S$2:$S$1500,MATCH(MAX(COUNTIF($S$2:$S$1500,S412)),COUNTIF($S$2:$S$1500,$S$2:$S$1500),0)),S412)</f>
        <v>Cash</v>
      </c>
      <c r="W412" s="7" cm="1">
        <f t="array" ref="W412">IF(OR(TRIM(K412)="",TRIM(K412)="-"), MEDIAN(IF($E$2:$E$1500=E412,$K$2:$K$1500)),  VALUE(SUBSTITUTE(SUBSTITUTE(SUBSTITUTE(K412,"Rs. ",""),"₹",""),",","")))</f>
        <v>13400</v>
      </c>
      <c r="X412" s="8">
        <f t="shared" si="68"/>
        <v>0</v>
      </c>
      <c r="Y412" s="7">
        <f t="shared" si="69"/>
        <v>13400</v>
      </c>
      <c r="Z412" s="9" t="str">
        <f t="shared" si="61"/>
        <v>SENIOR</v>
      </c>
    </row>
    <row r="413" spans="1:26" x14ac:dyDescent="0.3">
      <c r="A413" s="5" t="s">
        <v>1023</v>
      </c>
      <c r="B413" s="5" t="s">
        <v>117</v>
      </c>
      <c r="C413" s="5" t="s">
        <v>182</v>
      </c>
      <c r="D413" s="5" t="s">
        <v>80</v>
      </c>
      <c r="E413" s="5" t="s">
        <v>74</v>
      </c>
      <c r="F413" s="5" t="s">
        <v>192</v>
      </c>
      <c r="G413" s="5" t="s">
        <v>39</v>
      </c>
      <c r="H413" s="5">
        <v>25</v>
      </c>
      <c r="I413" s="5" t="s">
        <v>40</v>
      </c>
      <c r="J413" s="34" t="s">
        <v>597</v>
      </c>
      <c r="K413" s="31" t="s">
        <v>1024</v>
      </c>
      <c r="L413" s="5" t="s">
        <v>91</v>
      </c>
      <c r="M413" s="32">
        <v>0</v>
      </c>
      <c r="N413" s="6">
        <f t="shared" si="62"/>
        <v>0</v>
      </c>
      <c r="O413" s="4" t="s">
        <v>192</v>
      </c>
      <c r="P413" s="5" t="str">
        <f t="shared" si="63"/>
        <v>Ahmedabad</v>
      </c>
      <c r="Q413" s="5" t="str">
        <f t="shared" si="64"/>
        <v>General Medicine</v>
      </c>
      <c r="R413" s="6" t="str">
        <f t="shared" si="65"/>
        <v>Manipal</v>
      </c>
      <c r="S413" s="6" t="str">
        <f t="shared" si="66"/>
        <v>Debit Card</v>
      </c>
      <c r="T413" s="6" t="str">
        <f t="shared" si="67"/>
        <v>Female</v>
      </c>
      <c r="U413" s="6" t="str">
        <f t="shared" si="70"/>
        <v>General</v>
      </c>
      <c r="V413" s="6" t="str" cm="1">
        <f t="array" ref="V413">IF(TRIM(S413)="",INDEX($S$2:$S$1500,MATCH(MAX(COUNTIF($S$2:$S$1500,S413)),COUNTIF($S$2:$S$1500,$S$2:$S$1500),0)),S413)</f>
        <v>Debit Card</v>
      </c>
      <c r="W413" s="7" cm="1">
        <f t="array" ref="W413">IF(OR(TRIM(K413)="",TRIM(K413)="-"), MEDIAN(IF($E$2:$E$1500=E413,$K$2:$K$1500)),  VALUE(SUBSTITUTE(SUBSTITUTE(SUBSTITUTE(K413,"Rs. ",""),"₹",""),",","")))</f>
        <v>5594</v>
      </c>
      <c r="X413" s="8">
        <f t="shared" si="68"/>
        <v>0</v>
      </c>
      <c r="Y413" s="7">
        <f t="shared" si="69"/>
        <v>5594</v>
      </c>
      <c r="Z413" s="9" t="str">
        <f t="shared" si="61"/>
        <v>ADULT</v>
      </c>
    </row>
    <row r="414" spans="1:26" x14ac:dyDescent="0.3">
      <c r="A414" s="5" t="s">
        <v>1025</v>
      </c>
      <c r="B414" s="5" t="s">
        <v>106</v>
      </c>
      <c r="C414" s="5" t="s">
        <v>307</v>
      </c>
      <c r="D414" s="5" t="s">
        <v>189</v>
      </c>
      <c r="E414" s="5" t="s">
        <v>47</v>
      </c>
      <c r="F414" s="5" t="s">
        <v>175</v>
      </c>
      <c r="G414" s="5" t="s">
        <v>49</v>
      </c>
      <c r="H414" s="5">
        <v>77</v>
      </c>
      <c r="I414" s="5" t="s">
        <v>70</v>
      </c>
      <c r="J414" s="34" t="s">
        <v>316</v>
      </c>
      <c r="K414" s="31" t="s">
        <v>1026</v>
      </c>
      <c r="L414" s="5"/>
      <c r="M414" s="32">
        <v>0.18</v>
      </c>
      <c r="N414" s="6">
        <f t="shared" si="62"/>
        <v>18</v>
      </c>
      <c r="O414" s="4" t="s">
        <v>175</v>
      </c>
      <c r="P414" s="5" t="str">
        <f t="shared" si="63"/>
        <v>Delhi</v>
      </c>
      <c r="Q414" s="5" t="str">
        <f t="shared" si="64"/>
        <v>Gastroenterology</v>
      </c>
      <c r="R414" s="6" t="str">
        <f t="shared" si="65"/>
        <v>Aiims</v>
      </c>
      <c r="S414" s="6" t="str">
        <f t="shared" si="66"/>
        <v>Unknown</v>
      </c>
      <c r="T414" s="6" t="str">
        <f t="shared" si="67"/>
        <v>Female</v>
      </c>
      <c r="U414" s="6" t="str">
        <f t="shared" si="70"/>
        <v>General</v>
      </c>
      <c r="V414" s="6" t="str" cm="1">
        <f t="array" ref="V414">IF(TRIM(S414)="",INDEX($S$2:$S$1500,MATCH(MAX(COUNTIF($S$2:$S$1500,S414)),COUNTIF($S$2:$S$1500,$S$2:$S$1500),0)),S414)</f>
        <v>Unknown</v>
      </c>
      <c r="W414" s="7" cm="1">
        <f t="array" ref="W414">IF(OR(TRIM(K414)="",TRIM(K414)="-"), MEDIAN(IF($E$2:$E$1500=E414,$K$2:$K$1500)),  VALUE(SUBSTITUTE(SUBSTITUTE(SUBSTITUTE(K414,"Rs. ",""),"₹",""),",","")))</f>
        <v>11294</v>
      </c>
      <c r="X414" s="8">
        <f t="shared" si="68"/>
        <v>18</v>
      </c>
      <c r="Y414" s="7">
        <f t="shared" si="69"/>
        <v>9261</v>
      </c>
      <c r="Z414" s="9" t="str">
        <f t="shared" si="61"/>
        <v>SENIOR</v>
      </c>
    </row>
    <row r="415" spans="1:26" x14ac:dyDescent="0.3">
      <c r="A415" s="5" t="s">
        <v>1027</v>
      </c>
      <c r="B415" s="5" t="s">
        <v>117</v>
      </c>
      <c r="C415" s="5" t="s">
        <v>118</v>
      </c>
      <c r="D415" s="5" t="s">
        <v>36</v>
      </c>
      <c r="E415" s="5" t="s">
        <v>28</v>
      </c>
      <c r="F415" s="5" t="s">
        <v>290</v>
      </c>
      <c r="G415" s="5" t="s">
        <v>19</v>
      </c>
      <c r="H415" s="5">
        <v>17</v>
      </c>
      <c r="I415" s="5" t="s">
        <v>40</v>
      </c>
      <c r="J415" s="34" t="s">
        <v>456</v>
      </c>
      <c r="K415" s="31">
        <v>14857</v>
      </c>
      <c r="L415" s="5"/>
      <c r="M415" s="32">
        <v>0</v>
      </c>
      <c r="N415" s="6">
        <f t="shared" si="62"/>
        <v>0</v>
      </c>
      <c r="O415" s="4" t="s">
        <v>290</v>
      </c>
      <c r="P415" s="5" t="str">
        <f t="shared" si="63"/>
        <v>Chennai</v>
      </c>
      <c r="Q415" s="5" t="str">
        <f t="shared" si="64"/>
        <v>Oncology</v>
      </c>
      <c r="R415" s="6" t="str">
        <f t="shared" si="65"/>
        <v>Manipal</v>
      </c>
      <c r="S415" s="6" t="str">
        <f t="shared" si="66"/>
        <v>Unknown</v>
      </c>
      <c r="T415" s="6" t="str">
        <f t="shared" si="67"/>
        <v>Female</v>
      </c>
      <c r="U415" s="6" t="str">
        <f t="shared" si="70"/>
        <v>General</v>
      </c>
      <c r="V415" s="6" t="str" cm="1">
        <f t="array" ref="V415">IF(TRIM(S415)="",INDEX($S$2:$S$1500,MATCH(MAX(COUNTIF($S$2:$S$1500,S415)),COUNTIF($S$2:$S$1500,$S$2:$S$1500),0)),S415)</f>
        <v>Unknown</v>
      </c>
      <c r="W415" s="7" cm="1">
        <f t="array" ref="W415">IF(OR(TRIM(K415)="",TRIM(K415)="-"), MEDIAN(IF($E$2:$E$1500=E415,$K$2:$K$1500)),  VALUE(SUBSTITUTE(SUBSTITUTE(SUBSTITUTE(K415,"Rs. ",""),"₹",""),",","")))</f>
        <v>14857</v>
      </c>
      <c r="X415" s="8">
        <f t="shared" si="68"/>
        <v>0</v>
      </c>
      <c r="Y415" s="7">
        <f t="shared" si="69"/>
        <v>14857</v>
      </c>
      <c r="Z415" s="9" t="str">
        <f t="shared" si="61"/>
        <v>TEEN</v>
      </c>
    </row>
    <row r="416" spans="1:26" x14ac:dyDescent="0.3">
      <c r="A416" s="5" t="s">
        <v>1028</v>
      </c>
      <c r="B416" s="5" t="s">
        <v>117</v>
      </c>
      <c r="C416" s="5" t="s">
        <v>118</v>
      </c>
      <c r="D416" s="5" t="s">
        <v>189</v>
      </c>
      <c r="E416" s="5" t="s">
        <v>17</v>
      </c>
      <c r="F416" s="5" t="s">
        <v>135</v>
      </c>
      <c r="G416" s="5" t="s">
        <v>30</v>
      </c>
      <c r="H416" s="5">
        <v>66</v>
      </c>
      <c r="I416" s="5" t="s">
        <v>40</v>
      </c>
      <c r="J416" s="34" t="s">
        <v>1029</v>
      </c>
      <c r="K416" s="31" t="s">
        <v>1030</v>
      </c>
      <c r="L416" s="5" t="s">
        <v>72</v>
      </c>
      <c r="M416" s="32" t="s">
        <v>64</v>
      </c>
      <c r="N416" s="6" t="str">
        <f t="shared" si="62"/>
        <v>NA</v>
      </c>
      <c r="O416" s="4" t="s">
        <v>135</v>
      </c>
      <c r="P416" s="5" t="str">
        <f t="shared" si="63"/>
        <v>Delhi</v>
      </c>
      <c r="Q416" s="5" t="str">
        <f t="shared" si="64"/>
        <v>Gynecology</v>
      </c>
      <c r="R416" s="6" t="str">
        <f t="shared" si="65"/>
        <v>Manipal</v>
      </c>
      <c r="S416" s="6" t="str">
        <f t="shared" si="66"/>
        <v>Cash</v>
      </c>
      <c r="T416" s="6" t="str">
        <f t="shared" si="67"/>
        <v>Female</v>
      </c>
      <c r="U416" s="6" t="str">
        <f t="shared" si="70"/>
        <v>General</v>
      </c>
      <c r="V416" s="6" t="str" cm="1">
        <f t="array" ref="V416">IF(TRIM(S416)="",INDEX($S$2:$S$1500,MATCH(MAX(COUNTIF($S$2:$S$1500,S416)),COUNTIF($S$2:$S$1500,$S$2:$S$1500),0)),S416)</f>
        <v>Cash</v>
      </c>
      <c r="W416" s="7" cm="1">
        <f t="array" ref="W416">IF(OR(TRIM(K416)="",TRIM(K416)="-"), MEDIAN(IF($E$2:$E$1500=E416,$K$2:$K$1500)),  VALUE(SUBSTITUTE(SUBSTITUTE(SUBSTITUTE(K416,"Rs. ",""),"₹",""),",","")))</f>
        <v>7307</v>
      </c>
      <c r="X416" s="8">
        <f t="shared" si="68"/>
        <v>3</v>
      </c>
      <c r="Y416" s="7">
        <f t="shared" si="69"/>
        <v>7088</v>
      </c>
      <c r="Z416" s="9" t="str">
        <f t="shared" si="61"/>
        <v>SENIOR</v>
      </c>
    </row>
    <row r="417" spans="1:26" x14ac:dyDescent="0.3">
      <c r="A417" s="5" t="s">
        <v>1031</v>
      </c>
      <c r="B417" s="5" t="s">
        <v>14</v>
      </c>
      <c r="C417" s="5" t="s">
        <v>60</v>
      </c>
      <c r="D417" s="5" t="s">
        <v>27</v>
      </c>
      <c r="E417" s="5" t="s">
        <v>93</v>
      </c>
      <c r="F417" s="5" t="s">
        <v>121</v>
      </c>
      <c r="G417" s="5" t="s">
        <v>101</v>
      </c>
      <c r="H417" s="5">
        <v>12</v>
      </c>
      <c r="I417" s="5" t="s">
        <v>20</v>
      </c>
      <c r="J417" s="34" t="s">
        <v>982</v>
      </c>
      <c r="K417" s="31" t="s">
        <v>1032</v>
      </c>
      <c r="L417" s="5" t="s">
        <v>72</v>
      </c>
      <c r="M417" s="32">
        <v>0.05</v>
      </c>
      <c r="N417" s="6">
        <f t="shared" si="62"/>
        <v>5</v>
      </c>
      <c r="O417" s="4" t="s">
        <v>121</v>
      </c>
      <c r="P417" s="5" t="str">
        <f t="shared" si="63"/>
        <v>Mumbai</v>
      </c>
      <c r="Q417" s="5" t="str">
        <f t="shared" si="64"/>
        <v>Nephrology</v>
      </c>
      <c r="R417" s="6" t="str">
        <f t="shared" si="65"/>
        <v>Max_Healthcare</v>
      </c>
      <c r="S417" s="6" t="str">
        <f t="shared" si="66"/>
        <v>Cash</v>
      </c>
      <c r="T417" s="6" t="str">
        <f t="shared" si="67"/>
        <v>Male</v>
      </c>
      <c r="U417" s="6" t="str">
        <f t="shared" si="70"/>
        <v>ICU</v>
      </c>
      <c r="V417" s="6" t="str" cm="1">
        <f t="array" ref="V417">IF(TRIM(S417)="",INDEX($S$2:$S$1500,MATCH(MAX(COUNTIF($S$2:$S$1500,S417)),COUNTIF($S$2:$S$1500,$S$2:$S$1500),0)),S417)</f>
        <v>Cash</v>
      </c>
      <c r="W417" s="7" cm="1">
        <f t="array" ref="W417">IF(OR(TRIM(K417)="",TRIM(K417)="-"), MEDIAN(IF($E$2:$E$1500=E417,$K$2:$K$1500)),  VALUE(SUBSTITUTE(SUBSTITUTE(SUBSTITUTE(K417,"Rs. ",""),"₹",""),",","")))</f>
        <v>61048</v>
      </c>
      <c r="X417" s="8">
        <f t="shared" si="68"/>
        <v>5</v>
      </c>
      <c r="Y417" s="7">
        <f t="shared" si="69"/>
        <v>57996</v>
      </c>
      <c r="Z417" s="9" t="str">
        <f t="shared" si="61"/>
        <v>CHILD</v>
      </c>
    </row>
    <row r="418" spans="1:26" x14ac:dyDescent="0.3">
      <c r="A418" s="5" t="s">
        <v>1033</v>
      </c>
      <c r="B418" s="5" t="s">
        <v>106</v>
      </c>
      <c r="C418" s="5" t="s">
        <v>107</v>
      </c>
      <c r="D418" s="5" t="s">
        <v>36</v>
      </c>
      <c r="E418" s="5" t="s">
        <v>17</v>
      </c>
      <c r="F418" s="5" t="s">
        <v>213</v>
      </c>
      <c r="G418" s="5" t="s">
        <v>101</v>
      </c>
      <c r="H418" s="5">
        <v>72</v>
      </c>
      <c r="I418" s="5" t="s">
        <v>70</v>
      </c>
      <c r="J418" s="34" t="s">
        <v>524</v>
      </c>
      <c r="K418" s="31">
        <v>80786</v>
      </c>
      <c r="L418" s="5" t="s">
        <v>23</v>
      </c>
      <c r="M418" s="32">
        <v>0</v>
      </c>
      <c r="N418" s="6">
        <f t="shared" si="62"/>
        <v>0</v>
      </c>
      <c r="O418" s="4" t="s">
        <v>213</v>
      </c>
      <c r="P418" s="5" t="str">
        <f t="shared" si="63"/>
        <v>Chennai</v>
      </c>
      <c r="Q418" s="5" t="str">
        <f t="shared" si="64"/>
        <v>Gynecology</v>
      </c>
      <c r="R418" s="6" t="str">
        <f t="shared" si="65"/>
        <v>Aiims</v>
      </c>
      <c r="S418" s="6" t="str">
        <f t="shared" si="66"/>
        <v>Credit Card</v>
      </c>
      <c r="T418" s="6" t="str">
        <f t="shared" si="67"/>
        <v>Female</v>
      </c>
      <c r="U418" s="6" t="str">
        <f t="shared" si="70"/>
        <v>ICU</v>
      </c>
      <c r="V418" s="6" t="str" cm="1">
        <f t="array" ref="V418">IF(TRIM(S418)="",INDEX($S$2:$S$1500,MATCH(MAX(COUNTIF($S$2:$S$1500,S418)),COUNTIF($S$2:$S$1500,$S$2:$S$1500),0)),S418)</f>
        <v>Credit Card</v>
      </c>
      <c r="W418" s="7" cm="1">
        <f t="array" ref="W418">IF(OR(TRIM(K418)="",TRIM(K418)="-"), MEDIAN(IF($E$2:$E$1500=E418,$K$2:$K$1500)),  VALUE(SUBSTITUTE(SUBSTITUTE(SUBSTITUTE(K418,"Rs. ",""),"₹",""),",","")))</f>
        <v>80786</v>
      </c>
      <c r="X418" s="8">
        <f t="shared" si="68"/>
        <v>0</v>
      </c>
      <c r="Y418" s="7">
        <f t="shared" si="69"/>
        <v>80786</v>
      </c>
      <c r="Z418" s="9" t="str">
        <f t="shared" si="61"/>
        <v>SENIOR</v>
      </c>
    </row>
    <row r="419" spans="1:26" x14ac:dyDescent="0.3">
      <c r="A419" s="5" t="s">
        <v>1034</v>
      </c>
      <c r="B419" s="5" t="s">
        <v>45</v>
      </c>
      <c r="C419" s="5" t="s">
        <v>46</v>
      </c>
      <c r="D419" s="5" t="s">
        <v>80</v>
      </c>
      <c r="E419" s="5" t="s">
        <v>108</v>
      </c>
      <c r="F419" s="5" t="s">
        <v>124</v>
      </c>
      <c r="G419" s="5" t="s">
        <v>30</v>
      </c>
      <c r="H419" s="5">
        <v>88</v>
      </c>
      <c r="I419" s="5" t="s">
        <v>70</v>
      </c>
      <c r="J419" s="34" t="s">
        <v>449</v>
      </c>
      <c r="K419" s="31">
        <v>11812</v>
      </c>
      <c r="L419" s="5" t="s">
        <v>311</v>
      </c>
      <c r="M419" s="32" t="s">
        <v>64</v>
      </c>
      <c r="N419" s="6" t="str">
        <f t="shared" si="62"/>
        <v>NA</v>
      </c>
      <c r="O419" s="4" t="s">
        <v>124</v>
      </c>
      <c r="P419" s="5" t="str">
        <f t="shared" si="63"/>
        <v>Ahmedabad</v>
      </c>
      <c r="Q419" s="5" t="str">
        <f t="shared" si="64"/>
        <v>Orthopedics</v>
      </c>
      <c r="R419" s="6" t="str">
        <f t="shared" si="65"/>
        <v>Fortis</v>
      </c>
      <c r="S419" s="6" t="str">
        <f t="shared" si="66"/>
        <v>UPI</v>
      </c>
      <c r="T419" s="6" t="str">
        <f t="shared" si="67"/>
        <v>Female</v>
      </c>
      <c r="U419" s="6" t="str">
        <f t="shared" si="70"/>
        <v>General</v>
      </c>
      <c r="V419" s="6" t="str" cm="1">
        <f t="array" ref="V419">IF(TRIM(S419)="",INDEX($S$2:$S$1500,MATCH(MAX(COUNTIF($S$2:$S$1500,S419)),COUNTIF($S$2:$S$1500,$S$2:$S$1500),0)),S419)</f>
        <v>UPI</v>
      </c>
      <c r="W419" s="7" cm="1">
        <f t="array" ref="W419">IF(OR(TRIM(K419)="",TRIM(K419)="-"), MEDIAN(IF($E$2:$E$1500=E419,$K$2:$K$1500)),  VALUE(SUBSTITUTE(SUBSTITUTE(SUBSTITUTE(K419,"Rs. ",""),"₹",""),",","")))</f>
        <v>11812</v>
      </c>
      <c r="X419" s="8">
        <f t="shared" si="68"/>
        <v>3</v>
      </c>
      <c r="Y419" s="7">
        <f t="shared" si="69"/>
        <v>11458</v>
      </c>
      <c r="Z419" s="9" t="str">
        <f t="shared" si="61"/>
        <v>SENIOR</v>
      </c>
    </row>
    <row r="420" spans="1:26" x14ac:dyDescent="0.3">
      <c r="A420" s="5" t="s">
        <v>1035</v>
      </c>
      <c r="B420" s="5" t="s">
        <v>117</v>
      </c>
      <c r="C420" s="5" t="s">
        <v>127</v>
      </c>
      <c r="D420" s="5" t="s">
        <v>27</v>
      </c>
      <c r="E420" s="5" t="s">
        <v>17</v>
      </c>
      <c r="F420" s="5" t="s">
        <v>135</v>
      </c>
      <c r="G420" s="5" t="s">
        <v>49</v>
      </c>
      <c r="H420" s="5">
        <v>19</v>
      </c>
      <c r="I420" s="5" t="s">
        <v>40</v>
      </c>
      <c r="J420" s="34" t="s">
        <v>1036</v>
      </c>
      <c r="K420" s="31" t="s">
        <v>1037</v>
      </c>
      <c r="L420" s="5" t="s">
        <v>211</v>
      </c>
      <c r="M420" s="32" t="s">
        <v>130</v>
      </c>
      <c r="N420" s="6">
        <f t="shared" si="62"/>
        <v>0</v>
      </c>
      <c r="O420" s="4" t="s">
        <v>135</v>
      </c>
      <c r="P420" s="5" t="str">
        <f t="shared" si="63"/>
        <v>Mumbai</v>
      </c>
      <c r="Q420" s="5" t="str">
        <f t="shared" si="64"/>
        <v>Gynecology</v>
      </c>
      <c r="R420" s="6" t="str">
        <f t="shared" si="65"/>
        <v>Manipal</v>
      </c>
      <c r="S420" s="6" t="str">
        <f t="shared" si="66"/>
        <v>Credit Card</v>
      </c>
      <c r="T420" s="6" t="str">
        <f t="shared" si="67"/>
        <v>Female</v>
      </c>
      <c r="U420" s="6" t="str">
        <f t="shared" si="70"/>
        <v>General</v>
      </c>
      <c r="V420" s="6" t="str" cm="1">
        <f t="array" ref="V420">IF(TRIM(S420)="",INDEX($S$2:$S$1500,MATCH(MAX(COUNTIF($S$2:$S$1500,S420)),COUNTIF($S$2:$S$1500,$S$2:$S$1500),0)),S420)</f>
        <v>Credit Card</v>
      </c>
      <c r="W420" s="7" cm="1">
        <f t="array" ref="W420">IF(OR(TRIM(K420)="",TRIM(K420)="-"), MEDIAN(IF($E$2:$E$1500=E420,$K$2:$K$1500)),  VALUE(SUBSTITUTE(SUBSTITUTE(SUBSTITUTE(K420,"Rs. ",""),"₹",""),",","")))</f>
        <v>15171</v>
      </c>
      <c r="X420" s="8">
        <f t="shared" si="68"/>
        <v>0</v>
      </c>
      <c r="Y420" s="7">
        <f t="shared" si="69"/>
        <v>15171</v>
      </c>
      <c r="Z420" s="9" t="str">
        <f t="shared" si="61"/>
        <v>TEEN</v>
      </c>
    </row>
    <row r="421" spans="1:26" x14ac:dyDescent="0.3">
      <c r="A421" s="5" t="s">
        <v>1038</v>
      </c>
      <c r="B421" s="5" t="s">
        <v>25</v>
      </c>
      <c r="C421" s="5" t="s">
        <v>54</v>
      </c>
      <c r="D421" s="5" t="s">
        <v>27</v>
      </c>
      <c r="E421" s="5" t="s">
        <v>37</v>
      </c>
      <c r="F421" s="5" t="s">
        <v>38</v>
      </c>
      <c r="G421" s="5"/>
      <c r="H421" s="5">
        <v>7</v>
      </c>
      <c r="I421" s="5" t="s">
        <v>70</v>
      </c>
      <c r="J421" s="34" t="s">
        <v>718</v>
      </c>
      <c r="K421" s="31">
        <v>18244</v>
      </c>
      <c r="L421" s="5" t="s">
        <v>167</v>
      </c>
      <c r="M421" s="32" t="s">
        <v>886</v>
      </c>
      <c r="N421" s="6">
        <f t="shared" si="62"/>
        <v>15</v>
      </c>
      <c r="O421" s="4" t="s">
        <v>38</v>
      </c>
      <c r="P421" s="5" t="str">
        <f t="shared" si="63"/>
        <v>Mumbai</v>
      </c>
      <c r="Q421" s="5" t="str">
        <f t="shared" si="64"/>
        <v>Pediatrics</v>
      </c>
      <c r="R421" s="6" t="str">
        <f t="shared" si="65"/>
        <v>Narayana</v>
      </c>
      <c r="S421" s="6" t="str">
        <f t="shared" si="66"/>
        <v>Insurance</v>
      </c>
      <c r="T421" s="6" t="str">
        <f t="shared" si="67"/>
        <v>Female</v>
      </c>
      <c r="U421" s="6" t="str">
        <f t="shared" si="70"/>
        <v>Unknown</v>
      </c>
      <c r="V421" s="6" t="str" cm="1">
        <f t="array" ref="V421">IF(TRIM(S421)="",INDEX($S$2:$S$1500,MATCH(MAX(COUNTIF($S$2:$S$1500,S421)),COUNTIF($S$2:$S$1500,$S$2:$S$1500),0)),S421)</f>
        <v>Insurance</v>
      </c>
      <c r="W421" s="7" cm="1">
        <f t="array" ref="W421">IF(OR(TRIM(K421)="",TRIM(K421)="-"), MEDIAN(IF($E$2:$E$1500=E421,$K$2:$K$1500)),  VALUE(SUBSTITUTE(SUBSTITUTE(SUBSTITUTE(K421,"Rs. ",""),"₹",""),",","")))</f>
        <v>18244</v>
      </c>
      <c r="X421" s="8">
        <f t="shared" si="68"/>
        <v>15</v>
      </c>
      <c r="Y421" s="7">
        <f t="shared" si="69"/>
        <v>15507</v>
      </c>
      <c r="Z421" s="9" t="str">
        <f t="shared" si="61"/>
        <v>CHILD</v>
      </c>
    </row>
    <row r="422" spans="1:26" x14ac:dyDescent="0.3">
      <c r="A422" s="5" t="s">
        <v>1039</v>
      </c>
      <c r="B422" s="5" t="s">
        <v>117</v>
      </c>
      <c r="C422" s="5" t="s">
        <v>127</v>
      </c>
      <c r="D422" s="5" t="s">
        <v>80</v>
      </c>
      <c r="E422" s="5" t="s">
        <v>17</v>
      </c>
      <c r="F422" s="5" t="s">
        <v>18</v>
      </c>
      <c r="G422" s="5" t="s">
        <v>19</v>
      </c>
      <c r="H422" s="5">
        <v>15</v>
      </c>
      <c r="I422" s="5" t="s">
        <v>20</v>
      </c>
      <c r="J422" s="34" t="s">
        <v>365</v>
      </c>
      <c r="K422" s="31">
        <v>18048</v>
      </c>
      <c r="L422" s="5" t="s">
        <v>23</v>
      </c>
      <c r="M422" s="32">
        <v>0</v>
      </c>
      <c r="N422" s="6">
        <f t="shared" si="62"/>
        <v>0</v>
      </c>
      <c r="O422" s="4" t="s">
        <v>18</v>
      </c>
      <c r="P422" s="5" t="str">
        <f t="shared" si="63"/>
        <v>Ahmedabad</v>
      </c>
      <c r="Q422" s="5" t="str">
        <f t="shared" si="64"/>
        <v>Gynecology</v>
      </c>
      <c r="R422" s="6" t="str">
        <f t="shared" si="65"/>
        <v>Manipal</v>
      </c>
      <c r="S422" s="6" t="str">
        <f t="shared" si="66"/>
        <v>Credit Card</v>
      </c>
      <c r="T422" s="6" t="str">
        <f t="shared" si="67"/>
        <v>Male</v>
      </c>
      <c r="U422" s="6" t="str">
        <f t="shared" si="70"/>
        <v>General</v>
      </c>
      <c r="V422" s="6" t="str" cm="1">
        <f t="array" ref="V422">IF(TRIM(S422)="",INDEX($S$2:$S$1500,MATCH(MAX(COUNTIF($S$2:$S$1500,S422)),COUNTIF($S$2:$S$1500,$S$2:$S$1500),0)),S422)</f>
        <v>Credit Card</v>
      </c>
      <c r="W422" s="7" cm="1">
        <f t="array" ref="W422">IF(OR(TRIM(K422)="",TRIM(K422)="-"), MEDIAN(IF($E$2:$E$1500=E422,$K$2:$K$1500)),  VALUE(SUBSTITUTE(SUBSTITUTE(SUBSTITUTE(K422,"Rs. ",""),"₹",""),",","")))</f>
        <v>18048</v>
      </c>
      <c r="X422" s="8">
        <f t="shared" si="68"/>
        <v>0</v>
      </c>
      <c r="Y422" s="7">
        <f t="shared" si="69"/>
        <v>18048</v>
      </c>
      <c r="Z422" s="9" t="str">
        <f t="shared" si="61"/>
        <v>TEEN</v>
      </c>
    </row>
    <row r="423" spans="1:26" x14ac:dyDescent="0.3">
      <c r="A423" s="5" t="s">
        <v>1040</v>
      </c>
      <c r="B423" s="5" t="s">
        <v>25</v>
      </c>
      <c r="C423" s="5" t="s">
        <v>54</v>
      </c>
      <c r="D423" s="5" t="s">
        <v>80</v>
      </c>
      <c r="E423" s="5" t="s">
        <v>47</v>
      </c>
      <c r="F423" s="5" t="s">
        <v>175</v>
      </c>
      <c r="G423" s="5" t="s">
        <v>49</v>
      </c>
      <c r="H423" s="5">
        <v>53</v>
      </c>
      <c r="I423" s="5" t="s">
        <v>40</v>
      </c>
      <c r="J423" s="34" t="s">
        <v>200</v>
      </c>
      <c r="K423" s="31">
        <v>6989</v>
      </c>
      <c r="L423" s="5" t="s">
        <v>34</v>
      </c>
      <c r="M423" s="32" t="s">
        <v>130</v>
      </c>
      <c r="N423" s="6">
        <f t="shared" si="62"/>
        <v>0</v>
      </c>
      <c r="O423" s="4" t="s">
        <v>175</v>
      </c>
      <c r="P423" s="5" t="str">
        <f t="shared" si="63"/>
        <v>Ahmedabad</v>
      </c>
      <c r="Q423" s="5" t="str">
        <f t="shared" si="64"/>
        <v>Gastroenterology</v>
      </c>
      <c r="R423" s="6" t="str">
        <f t="shared" si="65"/>
        <v>Narayana</v>
      </c>
      <c r="S423" s="6" t="str">
        <f t="shared" si="66"/>
        <v>Cash</v>
      </c>
      <c r="T423" s="6" t="str">
        <f t="shared" si="67"/>
        <v>Female</v>
      </c>
      <c r="U423" s="6" t="str">
        <f t="shared" si="70"/>
        <v>General</v>
      </c>
      <c r="V423" s="6" t="str" cm="1">
        <f t="array" ref="V423">IF(TRIM(S423)="",INDEX($S$2:$S$1500,MATCH(MAX(COUNTIF($S$2:$S$1500,S423)),COUNTIF($S$2:$S$1500,$S$2:$S$1500),0)),S423)</f>
        <v>Cash</v>
      </c>
      <c r="W423" s="7" cm="1">
        <f t="array" ref="W423">IF(OR(TRIM(K423)="",TRIM(K423)="-"), MEDIAN(IF($E$2:$E$1500=E423,$K$2:$K$1500)),  VALUE(SUBSTITUTE(SUBSTITUTE(SUBSTITUTE(K423,"Rs. ",""),"₹",""),",","")))</f>
        <v>6989</v>
      </c>
      <c r="X423" s="8">
        <f t="shared" si="68"/>
        <v>0</v>
      </c>
      <c r="Y423" s="7">
        <f t="shared" si="69"/>
        <v>6989</v>
      </c>
      <c r="Z423" s="9" t="str">
        <f t="shared" si="61"/>
        <v>ADULT</v>
      </c>
    </row>
    <row r="424" spans="1:26" x14ac:dyDescent="0.3">
      <c r="A424" s="5" t="s">
        <v>1041</v>
      </c>
      <c r="B424" s="5" t="s">
        <v>45</v>
      </c>
      <c r="C424" s="5" t="s">
        <v>334</v>
      </c>
      <c r="D424" s="5" t="s">
        <v>55</v>
      </c>
      <c r="E424" s="5" t="s">
        <v>108</v>
      </c>
      <c r="F424" s="5" t="s">
        <v>272</v>
      </c>
      <c r="G424" s="5"/>
      <c r="H424" s="5">
        <v>33</v>
      </c>
      <c r="I424" s="5" t="s">
        <v>40</v>
      </c>
      <c r="J424" s="34" t="s">
        <v>1042</v>
      </c>
      <c r="K424" s="31">
        <v>42962</v>
      </c>
      <c r="L424" s="5" t="s">
        <v>72</v>
      </c>
      <c r="M424" s="32">
        <v>0</v>
      </c>
      <c r="N424" s="6">
        <f t="shared" si="62"/>
        <v>0</v>
      </c>
      <c r="O424" s="4" t="s">
        <v>272</v>
      </c>
      <c r="P424" s="5" t="str">
        <f t="shared" si="63"/>
        <v>Hyderabad</v>
      </c>
      <c r="Q424" s="5" t="str">
        <f t="shared" si="64"/>
        <v>Orthopedics</v>
      </c>
      <c r="R424" s="6" t="str">
        <f t="shared" si="65"/>
        <v>Fortis</v>
      </c>
      <c r="S424" s="6" t="str">
        <f t="shared" si="66"/>
        <v>Cash</v>
      </c>
      <c r="T424" s="6" t="str">
        <f t="shared" si="67"/>
        <v>Female</v>
      </c>
      <c r="U424" s="6" t="str">
        <f t="shared" si="70"/>
        <v>Unknown</v>
      </c>
      <c r="V424" s="6" t="str" cm="1">
        <f t="array" ref="V424">IF(TRIM(S424)="",INDEX($S$2:$S$1500,MATCH(MAX(COUNTIF($S$2:$S$1500,S424)),COUNTIF($S$2:$S$1500,$S$2:$S$1500),0)),S424)</f>
        <v>Cash</v>
      </c>
      <c r="W424" s="7" cm="1">
        <f t="array" ref="W424">IF(OR(TRIM(K424)="",TRIM(K424)="-"), MEDIAN(IF($E$2:$E$1500=E424,$K$2:$K$1500)),  VALUE(SUBSTITUTE(SUBSTITUTE(SUBSTITUTE(K424,"Rs. ",""),"₹",""),",","")))</f>
        <v>42962</v>
      </c>
      <c r="X424" s="8">
        <f t="shared" si="68"/>
        <v>0</v>
      </c>
      <c r="Y424" s="7">
        <f t="shared" si="69"/>
        <v>42962</v>
      </c>
      <c r="Z424" s="9" t="str">
        <f t="shared" si="61"/>
        <v>ADULT</v>
      </c>
    </row>
    <row r="425" spans="1:26" x14ac:dyDescent="0.3">
      <c r="A425" s="5" t="s">
        <v>1043</v>
      </c>
      <c r="B425" s="5" t="s">
        <v>14</v>
      </c>
      <c r="C425" s="5" t="s">
        <v>15</v>
      </c>
      <c r="D425" s="5" t="s">
        <v>16</v>
      </c>
      <c r="E425" s="5" t="s">
        <v>93</v>
      </c>
      <c r="F425" s="5" t="s">
        <v>94</v>
      </c>
      <c r="G425" s="5" t="s">
        <v>19</v>
      </c>
      <c r="H425" s="5">
        <v>58</v>
      </c>
      <c r="I425" s="5" t="s">
        <v>70</v>
      </c>
      <c r="J425" s="34" t="s">
        <v>251</v>
      </c>
      <c r="K425" s="31" t="s">
        <v>1044</v>
      </c>
      <c r="L425" s="5" t="s">
        <v>167</v>
      </c>
      <c r="M425" s="32" t="s">
        <v>140</v>
      </c>
      <c r="N425" s="6" t="str">
        <f t="shared" si="62"/>
        <v>-</v>
      </c>
      <c r="O425" s="4" t="s">
        <v>94</v>
      </c>
      <c r="P425" s="5" t="str">
        <f t="shared" si="63"/>
        <v>Bangalore</v>
      </c>
      <c r="Q425" s="5" t="str">
        <f t="shared" si="64"/>
        <v>Nephrology</v>
      </c>
      <c r="R425" s="6" t="str">
        <f t="shared" si="65"/>
        <v>Max_Healthcare</v>
      </c>
      <c r="S425" s="6" t="str">
        <f t="shared" si="66"/>
        <v>Insurance</v>
      </c>
      <c r="T425" s="6" t="str">
        <f t="shared" si="67"/>
        <v>Female</v>
      </c>
      <c r="U425" s="6" t="str">
        <f t="shared" si="70"/>
        <v>General</v>
      </c>
      <c r="V425" s="6" t="str" cm="1">
        <f t="array" ref="V425">IF(TRIM(S425)="",INDEX($S$2:$S$1500,MATCH(MAX(COUNTIF($S$2:$S$1500,S425)),COUNTIF($S$2:$S$1500,$S$2:$S$1500),0)),S425)</f>
        <v>Insurance</v>
      </c>
      <c r="W425" s="7" cm="1">
        <f t="array" ref="W425">IF(OR(TRIM(K425)="",TRIM(K425)="-"), MEDIAN(IF($E$2:$E$1500=E425,$K$2:$K$1500)),  VALUE(SUBSTITUTE(SUBSTITUTE(SUBSTITUTE(K425,"Rs. ",""),"₹",""),",","")))</f>
        <v>12606</v>
      </c>
      <c r="X425" s="8">
        <f t="shared" si="68"/>
        <v>19</v>
      </c>
      <c r="Y425" s="7">
        <f t="shared" si="69"/>
        <v>10211</v>
      </c>
      <c r="Z425" s="9" t="str">
        <f t="shared" si="61"/>
        <v>ADULT</v>
      </c>
    </row>
    <row r="426" spans="1:26" x14ac:dyDescent="0.3">
      <c r="A426" s="5" t="s">
        <v>1045</v>
      </c>
      <c r="B426" s="5" t="s">
        <v>45</v>
      </c>
      <c r="C426" s="5" t="s">
        <v>46</v>
      </c>
      <c r="D426" s="5" t="s">
        <v>55</v>
      </c>
      <c r="E426" s="5" t="s">
        <v>67</v>
      </c>
      <c r="F426" s="5" t="s">
        <v>68</v>
      </c>
      <c r="G426" s="5" t="s">
        <v>69</v>
      </c>
      <c r="H426" s="5">
        <v>51</v>
      </c>
      <c r="I426" s="5" t="s">
        <v>40</v>
      </c>
      <c r="J426" s="34" t="s">
        <v>970</v>
      </c>
      <c r="K426" s="31">
        <v>67855</v>
      </c>
      <c r="L426" s="5" t="s">
        <v>42</v>
      </c>
      <c r="M426" s="32">
        <v>12</v>
      </c>
      <c r="N426" s="6">
        <f t="shared" si="62"/>
        <v>12</v>
      </c>
      <c r="O426" s="4" t="s">
        <v>68</v>
      </c>
      <c r="P426" s="5" t="str">
        <f t="shared" si="63"/>
        <v>Hyderabad</v>
      </c>
      <c r="Q426" s="5" t="str">
        <f t="shared" si="64"/>
        <v>Neurology</v>
      </c>
      <c r="R426" s="6" t="str">
        <f t="shared" si="65"/>
        <v>Fortis</v>
      </c>
      <c r="S426" s="6" t="str">
        <f t="shared" si="66"/>
        <v>Insurance</v>
      </c>
      <c r="T426" s="6" t="str">
        <f t="shared" si="67"/>
        <v>Female</v>
      </c>
      <c r="U426" s="6" t="str">
        <f t="shared" si="70"/>
        <v>ICU</v>
      </c>
      <c r="V426" s="6" t="str" cm="1">
        <f t="array" ref="V426">IF(TRIM(S426)="",INDEX($S$2:$S$1500,MATCH(MAX(COUNTIF($S$2:$S$1500,S426)),COUNTIF($S$2:$S$1500,$S$2:$S$1500),0)),S426)</f>
        <v>Insurance</v>
      </c>
      <c r="W426" s="7" cm="1">
        <f t="array" ref="W426">IF(OR(TRIM(K426)="",TRIM(K426)="-"), MEDIAN(IF($E$2:$E$1500=E426,$K$2:$K$1500)),  VALUE(SUBSTITUTE(SUBSTITUTE(SUBSTITUTE(K426,"Rs. ",""),"₹",""),",","")))</f>
        <v>67855</v>
      </c>
      <c r="X426" s="8">
        <f t="shared" si="68"/>
        <v>12</v>
      </c>
      <c r="Y426" s="7">
        <f t="shared" si="69"/>
        <v>59712</v>
      </c>
      <c r="Z426" s="9" t="str">
        <f t="shared" si="61"/>
        <v>ADULT</v>
      </c>
    </row>
    <row r="427" spans="1:26" x14ac:dyDescent="0.3">
      <c r="A427" s="5" t="s">
        <v>1046</v>
      </c>
      <c r="B427" s="5" t="s">
        <v>106</v>
      </c>
      <c r="C427" s="5" t="s">
        <v>107</v>
      </c>
      <c r="D427" s="5" t="s">
        <v>36</v>
      </c>
      <c r="E427" s="5" t="s">
        <v>17</v>
      </c>
      <c r="F427" s="5" t="s">
        <v>213</v>
      </c>
      <c r="G427" s="5" t="s">
        <v>69</v>
      </c>
      <c r="H427" s="5">
        <v>90</v>
      </c>
      <c r="I427" s="5" t="s">
        <v>40</v>
      </c>
      <c r="J427" s="34" t="s">
        <v>246</v>
      </c>
      <c r="K427" s="31">
        <v>89030</v>
      </c>
      <c r="L427" s="5" t="s">
        <v>236</v>
      </c>
      <c r="M427" s="32" t="s">
        <v>76</v>
      </c>
      <c r="N427" s="6">
        <f t="shared" si="62"/>
        <v>10</v>
      </c>
      <c r="O427" s="4" t="s">
        <v>213</v>
      </c>
      <c r="P427" s="5" t="str">
        <f t="shared" si="63"/>
        <v>Chennai</v>
      </c>
      <c r="Q427" s="5" t="str">
        <f t="shared" si="64"/>
        <v>Gynecology</v>
      </c>
      <c r="R427" s="6" t="str">
        <f t="shared" si="65"/>
        <v>Aiims</v>
      </c>
      <c r="S427" s="6" t="str">
        <f t="shared" si="66"/>
        <v>Debit Card</v>
      </c>
      <c r="T427" s="6" t="str">
        <f t="shared" si="67"/>
        <v>Female</v>
      </c>
      <c r="U427" s="6" t="str">
        <f t="shared" si="70"/>
        <v>ICU</v>
      </c>
      <c r="V427" s="6" t="str" cm="1">
        <f t="array" ref="V427">IF(TRIM(S427)="",INDEX($S$2:$S$1500,MATCH(MAX(COUNTIF($S$2:$S$1500,S427)),COUNTIF($S$2:$S$1500,$S$2:$S$1500),0)),S427)</f>
        <v>Debit Card</v>
      </c>
      <c r="W427" s="7" cm="1">
        <f t="array" ref="W427">IF(OR(TRIM(K427)="",TRIM(K427)="-"), MEDIAN(IF($E$2:$E$1500=E427,$K$2:$K$1500)),  VALUE(SUBSTITUTE(SUBSTITUTE(SUBSTITUTE(K427,"Rs. ",""),"₹",""),",","")))</f>
        <v>89030</v>
      </c>
      <c r="X427" s="8">
        <f t="shared" si="68"/>
        <v>10</v>
      </c>
      <c r="Y427" s="7">
        <f t="shared" si="69"/>
        <v>80127</v>
      </c>
      <c r="Z427" s="9" t="str">
        <f t="shared" si="61"/>
        <v>SENIOR</v>
      </c>
    </row>
    <row r="428" spans="1:26" x14ac:dyDescent="0.3">
      <c r="A428" s="5" t="s">
        <v>1047</v>
      </c>
      <c r="B428" s="5" t="s">
        <v>106</v>
      </c>
      <c r="C428" s="5" t="s">
        <v>107</v>
      </c>
      <c r="D428" s="5" t="s">
        <v>61</v>
      </c>
      <c r="E428" s="5" t="s">
        <v>67</v>
      </c>
      <c r="F428" s="5" t="s">
        <v>89</v>
      </c>
      <c r="G428" s="5" t="s">
        <v>101</v>
      </c>
      <c r="H428" s="5">
        <v>38</v>
      </c>
      <c r="I428" s="5" t="s">
        <v>31</v>
      </c>
      <c r="J428" s="34" t="s">
        <v>1048</v>
      </c>
      <c r="K428" s="31">
        <v>62834</v>
      </c>
      <c r="L428" s="5" t="s">
        <v>58</v>
      </c>
      <c r="M428" s="32">
        <v>0</v>
      </c>
      <c r="N428" s="6">
        <f t="shared" si="62"/>
        <v>0</v>
      </c>
      <c r="O428" s="4" t="s">
        <v>89</v>
      </c>
      <c r="P428" s="5" t="str">
        <f t="shared" si="63"/>
        <v>Pune</v>
      </c>
      <c r="Q428" s="5" t="str">
        <f t="shared" si="64"/>
        <v>Neurology</v>
      </c>
      <c r="R428" s="6" t="str">
        <f t="shared" si="65"/>
        <v>Aiims</v>
      </c>
      <c r="S428" s="6" t="str">
        <f t="shared" si="66"/>
        <v>UPI</v>
      </c>
      <c r="T428" s="6" t="str">
        <f t="shared" si="67"/>
        <v>Male</v>
      </c>
      <c r="U428" s="6" t="str">
        <f t="shared" si="70"/>
        <v>ICU</v>
      </c>
      <c r="V428" s="6" t="str" cm="1">
        <f t="array" ref="V428">IF(TRIM(S428)="",INDEX($S$2:$S$1500,MATCH(MAX(COUNTIF($S$2:$S$1500,S428)),COUNTIF($S$2:$S$1500,$S$2:$S$1500),0)),S428)</f>
        <v>UPI</v>
      </c>
      <c r="W428" s="7" cm="1">
        <f t="array" ref="W428">IF(OR(TRIM(K428)="",TRIM(K428)="-"), MEDIAN(IF($E$2:$E$1500=E428,$K$2:$K$1500)),  VALUE(SUBSTITUTE(SUBSTITUTE(SUBSTITUTE(K428,"Rs. ",""),"₹",""),",","")))</f>
        <v>62834</v>
      </c>
      <c r="X428" s="8">
        <f t="shared" si="68"/>
        <v>0</v>
      </c>
      <c r="Y428" s="7">
        <f t="shared" si="69"/>
        <v>62834</v>
      </c>
      <c r="Z428" s="9" t="str">
        <f t="shared" si="61"/>
        <v>ADULT</v>
      </c>
    </row>
    <row r="429" spans="1:26" x14ac:dyDescent="0.3">
      <c r="A429" s="5" t="s">
        <v>1049</v>
      </c>
      <c r="B429" s="5" t="s">
        <v>106</v>
      </c>
      <c r="C429" s="5" t="s">
        <v>107</v>
      </c>
      <c r="D429" s="5" t="s">
        <v>27</v>
      </c>
      <c r="E429" s="5" t="s">
        <v>47</v>
      </c>
      <c r="F429" s="5" t="s">
        <v>461</v>
      </c>
      <c r="G429" s="5" t="s">
        <v>39</v>
      </c>
      <c r="H429" s="5">
        <v>81</v>
      </c>
      <c r="I429" s="5" t="s">
        <v>31</v>
      </c>
      <c r="J429" s="34" t="s">
        <v>633</v>
      </c>
      <c r="K429" s="31" t="s">
        <v>1050</v>
      </c>
      <c r="L429" s="5" t="s">
        <v>83</v>
      </c>
      <c r="M429" s="32"/>
      <c r="N429" s="6">
        <f t="shared" si="62"/>
        <v>0</v>
      </c>
      <c r="O429" s="4" t="s">
        <v>461</v>
      </c>
      <c r="P429" s="5" t="str">
        <f t="shared" si="63"/>
        <v>Mumbai</v>
      </c>
      <c r="Q429" s="5" t="str">
        <f t="shared" si="64"/>
        <v>Gastroenterology</v>
      </c>
      <c r="R429" s="6" t="str">
        <f t="shared" si="65"/>
        <v>Aiims</v>
      </c>
      <c r="S429" s="6" t="str">
        <f t="shared" si="66"/>
        <v>Debit Card</v>
      </c>
      <c r="T429" s="6" t="str">
        <f t="shared" si="67"/>
        <v>Male</v>
      </c>
      <c r="U429" s="6" t="str">
        <f t="shared" si="70"/>
        <v>General</v>
      </c>
      <c r="V429" s="6" t="str" cm="1">
        <f t="array" ref="V429">IF(TRIM(S429)="",INDEX($S$2:$S$1500,MATCH(MAX(COUNTIF($S$2:$S$1500,S429)),COUNTIF($S$2:$S$1500,$S$2:$S$1500),0)),S429)</f>
        <v>Debit Card</v>
      </c>
      <c r="W429" s="7" cm="1">
        <f t="array" ref="W429">IF(OR(TRIM(K429)="",TRIM(K429)="-"), MEDIAN(IF($E$2:$E$1500=E429,$K$2:$K$1500)),  VALUE(SUBSTITUTE(SUBSTITUTE(SUBSTITUTE(K429,"Rs. ",""),"₹",""),",","")))</f>
        <v>17080</v>
      </c>
      <c r="X429" s="8">
        <f t="shared" si="68"/>
        <v>0</v>
      </c>
      <c r="Y429" s="7">
        <f t="shared" si="69"/>
        <v>17080</v>
      </c>
      <c r="Z429" s="9" t="str">
        <f t="shared" si="61"/>
        <v>SENIOR</v>
      </c>
    </row>
    <row r="430" spans="1:26" x14ac:dyDescent="0.3">
      <c r="A430" s="5" t="s">
        <v>1051</v>
      </c>
      <c r="B430" s="5" t="s">
        <v>14</v>
      </c>
      <c r="C430" s="5" t="s">
        <v>60</v>
      </c>
      <c r="D430" s="5" t="s">
        <v>27</v>
      </c>
      <c r="E430" s="5" t="s">
        <v>17</v>
      </c>
      <c r="F430" s="5" t="s">
        <v>213</v>
      </c>
      <c r="G430" s="5" t="s">
        <v>62</v>
      </c>
      <c r="H430" s="5">
        <v>13</v>
      </c>
      <c r="I430" s="5" t="s">
        <v>70</v>
      </c>
      <c r="J430" s="34" t="s">
        <v>152</v>
      </c>
      <c r="K430" s="31" t="s">
        <v>1052</v>
      </c>
      <c r="L430" s="5" t="s">
        <v>72</v>
      </c>
      <c r="M430" s="32">
        <v>0</v>
      </c>
      <c r="N430" s="6">
        <f t="shared" si="62"/>
        <v>0</v>
      </c>
      <c r="O430" s="4" t="s">
        <v>213</v>
      </c>
      <c r="P430" s="5" t="str">
        <f t="shared" si="63"/>
        <v>Mumbai</v>
      </c>
      <c r="Q430" s="5" t="str">
        <f t="shared" si="64"/>
        <v>Gynecology</v>
      </c>
      <c r="R430" s="6" t="str">
        <f t="shared" si="65"/>
        <v>Max_Healthcare</v>
      </c>
      <c r="S430" s="6" t="str">
        <f t="shared" si="66"/>
        <v>Cash</v>
      </c>
      <c r="T430" s="6" t="str">
        <f t="shared" si="67"/>
        <v>Female</v>
      </c>
      <c r="U430" s="6" t="str">
        <f t="shared" si="70"/>
        <v>ICU</v>
      </c>
      <c r="V430" s="6" t="str" cm="1">
        <f t="array" ref="V430">IF(TRIM(S430)="",INDEX($S$2:$S$1500,MATCH(MAX(COUNTIF($S$2:$S$1500,S430)),COUNTIF($S$2:$S$1500,$S$2:$S$1500),0)),S430)</f>
        <v>Cash</v>
      </c>
      <c r="W430" s="7" cm="1">
        <f t="array" ref="W430">IF(OR(TRIM(K430)="",TRIM(K430)="-"), MEDIAN(IF($E$2:$E$1500=E430,$K$2:$K$1500)),  VALUE(SUBSTITUTE(SUBSTITUTE(SUBSTITUTE(K430,"Rs. ",""),"₹",""),",","")))</f>
        <v>62461</v>
      </c>
      <c r="X430" s="8">
        <f t="shared" si="68"/>
        <v>0</v>
      </c>
      <c r="Y430" s="7">
        <f t="shared" si="69"/>
        <v>62461</v>
      </c>
      <c r="Z430" s="9" t="str">
        <f t="shared" si="61"/>
        <v>TEEN</v>
      </c>
    </row>
    <row r="431" spans="1:26" x14ac:dyDescent="0.3">
      <c r="A431" s="5" t="s">
        <v>1053</v>
      </c>
      <c r="B431" s="5" t="s">
        <v>45</v>
      </c>
      <c r="C431" s="5" t="s">
        <v>46</v>
      </c>
      <c r="D431" s="5" t="s">
        <v>61</v>
      </c>
      <c r="E431" s="5" t="s">
        <v>37</v>
      </c>
      <c r="F431" s="5" t="s">
        <v>56</v>
      </c>
      <c r="G431" s="5" t="s">
        <v>19</v>
      </c>
      <c r="H431" s="5">
        <v>23</v>
      </c>
      <c r="I431" s="5" t="s">
        <v>31</v>
      </c>
      <c r="J431" s="34" t="s">
        <v>927</v>
      </c>
      <c r="K431" s="31">
        <v>6632</v>
      </c>
      <c r="L431" s="5" t="s">
        <v>52</v>
      </c>
      <c r="M431" s="32">
        <v>0</v>
      </c>
      <c r="N431" s="6">
        <f t="shared" si="62"/>
        <v>0</v>
      </c>
      <c r="O431" s="4" t="s">
        <v>56</v>
      </c>
      <c r="P431" s="5" t="str">
        <f t="shared" si="63"/>
        <v>Pune</v>
      </c>
      <c r="Q431" s="5" t="str">
        <f t="shared" si="64"/>
        <v>Pediatrics</v>
      </c>
      <c r="R431" s="6" t="str">
        <f t="shared" si="65"/>
        <v>Fortis</v>
      </c>
      <c r="S431" s="6" t="str">
        <f t="shared" si="66"/>
        <v>Credit Card</v>
      </c>
      <c r="T431" s="6" t="str">
        <f t="shared" si="67"/>
        <v>Male</v>
      </c>
      <c r="U431" s="6" t="str">
        <f t="shared" si="70"/>
        <v>General</v>
      </c>
      <c r="V431" s="6" t="str" cm="1">
        <f t="array" ref="V431">IF(TRIM(S431)="",INDEX($S$2:$S$1500,MATCH(MAX(COUNTIF($S$2:$S$1500,S431)),COUNTIF($S$2:$S$1500,$S$2:$S$1500),0)),S431)</f>
        <v>Credit Card</v>
      </c>
      <c r="W431" s="7" cm="1">
        <f t="array" ref="W431">IF(OR(TRIM(K431)="",TRIM(K431)="-"), MEDIAN(IF($E$2:$E$1500=E431,$K$2:$K$1500)),  VALUE(SUBSTITUTE(SUBSTITUTE(SUBSTITUTE(K431,"Rs. ",""),"₹",""),",","")))</f>
        <v>6632</v>
      </c>
      <c r="X431" s="8">
        <f t="shared" si="68"/>
        <v>0</v>
      </c>
      <c r="Y431" s="7">
        <f t="shared" si="69"/>
        <v>6632</v>
      </c>
      <c r="Z431" s="9" t="str">
        <f t="shared" si="61"/>
        <v>ADULT</v>
      </c>
    </row>
    <row r="432" spans="1:26" x14ac:dyDescent="0.3">
      <c r="A432" s="5" t="s">
        <v>1054</v>
      </c>
      <c r="B432" s="5" t="s">
        <v>25</v>
      </c>
      <c r="C432" s="5" t="s">
        <v>26</v>
      </c>
      <c r="D432" s="5" t="s">
        <v>80</v>
      </c>
      <c r="E432" s="5" t="s">
        <v>67</v>
      </c>
      <c r="F432" s="5" t="s">
        <v>89</v>
      </c>
      <c r="G432" s="5" t="s">
        <v>19</v>
      </c>
      <c r="H432" s="5">
        <v>19</v>
      </c>
      <c r="I432" s="5" t="s">
        <v>20</v>
      </c>
      <c r="J432" s="34" t="s">
        <v>1055</v>
      </c>
      <c r="K432" s="31">
        <v>4966</v>
      </c>
      <c r="L432" s="5" t="s">
        <v>115</v>
      </c>
      <c r="M432" s="32">
        <v>0</v>
      </c>
      <c r="N432" s="6">
        <f t="shared" si="62"/>
        <v>0</v>
      </c>
      <c r="O432" s="4" t="s">
        <v>89</v>
      </c>
      <c r="P432" s="5" t="str">
        <f t="shared" si="63"/>
        <v>Ahmedabad</v>
      </c>
      <c r="Q432" s="5" t="str">
        <f t="shared" si="64"/>
        <v>Neurology</v>
      </c>
      <c r="R432" s="6" t="str">
        <f t="shared" si="65"/>
        <v>Narayana</v>
      </c>
      <c r="S432" s="6" t="str">
        <f t="shared" si="66"/>
        <v>Cash</v>
      </c>
      <c r="T432" s="6" t="str">
        <f t="shared" si="67"/>
        <v>Male</v>
      </c>
      <c r="U432" s="6" t="str">
        <f t="shared" si="70"/>
        <v>General</v>
      </c>
      <c r="V432" s="6" t="str" cm="1">
        <f t="array" ref="V432">IF(TRIM(S432)="",INDEX($S$2:$S$1500,MATCH(MAX(COUNTIF($S$2:$S$1500,S432)),COUNTIF($S$2:$S$1500,$S$2:$S$1500),0)),S432)</f>
        <v>Cash</v>
      </c>
      <c r="W432" s="7" cm="1">
        <f t="array" ref="W432">IF(OR(TRIM(K432)="",TRIM(K432)="-"), MEDIAN(IF($E$2:$E$1500=E432,$K$2:$K$1500)),  VALUE(SUBSTITUTE(SUBSTITUTE(SUBSTITUTE(K432,"Rs. ",""),"₹",""),",","")))</f>
        <v>4966</v>
      </c>
      <c r="X432" s="8">
        <f t="shared" si="68"/>
        <v>0</v>
      </c>
      <c r="Y432" s="7">
        <f t="shared" si="69"/>
        <v>4966</v>
      </c>
      <c r="Z432" s="9" t="str">
        <f t="shared" si="61"/>
        <v>TEEN</v>
      </c>
    </row>
    <row r="433" spans="1:26" x14ac:dyDescent="0.3">
      <c r="A433" s="5" t="s">
        <v>1056</v>
      </c>
      <c r="B433" s="5" t="s">
        <v>117</v>
      </c>
      <c r="C433" s="5" t="s">
        <v>118</v>
      </c>
      <c r="D433" s="5" t="s">
        <v>16</v>
      </c>
      <c r="E433" s="5" t="s">
        <v>93</v>
      </c>
      <c r="F433" s="5" t="s">
        <v>94</v>
      </c>
      <c r="G433" s="5" t="s">
        <v>30</v>
      </c>
      <c r="H433" s="5">
        <v>58</v>
      </c>
      <c r="I433" s="5" t="s">
        <v>40</v>
      </c>
      <c r="J433" s="34" t="s">
        <v>1057</v>
      </c>
      <c r="K433" s="31" t="s">
        <v>1058</v>
      </c>
      <c r="L433" s="5" t="s">
        <v>23</v>
      </c>
      <c r="M433" s="32" t="s">
        <v>198</v>
      </c>
      <c r="N433" s="6">
        <f t="shared" si="62"/>
        <v>5</v>
      </c>
      <c r="O433" s="4" t="s">
        <v>94</v>
      </c>
      <c r="P433" s="5" t="str">
        <f t="shared" si="63"/>
        <v>Bangalore</v>
      </c>
      <c r="Q433" s="5" t="str">
        <f t="shared" si="64"/>
        <v>Nephrology</v>
      </c>
      <c r="R433" s="6" t="str">
        <f t="shared" si="65"/>
        <v>Manipal</v>
      </c>
      <c r="S433" s="6" t="str">
        <f t="shared" si="66"/>
        <v>Credit Card</v>
      </c>
      <c r="T433" s="6" t="str">
        <f t="shared" si="67"/>
        <v>Female</v>
      </c>
      <c r="U433" s="6" t="str">
        <f t="shared" si="70"/>
        <v>General</v>
      </c>
      <c r="V433" s="6" t="str" cm="1">
        <f t="array" ref="V433">IF(TRIM(S433)="",INDEX($S$2:$S$1500,MATCH(MAX(COUNTIF($S$2:$S$1500,S433)),COUNTIF($S$2:$S$1500,$S$2:$S$1500),0)),S433)</f>
        <v>Credit Card</v>
      </c>
      <c r="W433" s="7" cm="1">
        <f t="array" ref="W433">IF(OR(TRIM(K433)="",TRIM(K433)="-"), MEDIAN(IF($E$2:$E$1500=E433,$K$2:$K$1500)),  VALUE(SUBSTITUTE(SUBSTITUTE(SUBSTITUTE(K433,"Rs. ",""),"₹",""),",","")))</f>
        <v>7158</v>
      </c>
      <c r="X433" s="8">
        <f t="shared" si="68"/>
        <v>5</v>
      </c>
      <c r="Y433" s="7">
        <f t="shared" si="69"/>
        <v>6800</v>
      </c>
      <c r="Z433" s="9" t="str">
        <f t="shared" si="61"/>
        <v>ADULT</v>
      </c>
    </row>
    <row r="434" spans="1:26" x14ac:dyDescent="0.3">
      <c r="A434" s="5" t="s">
        <v>1059</v>
      </c>
      <c r="B434" s="5" t="s">
        <v>25</v>
      </c>
      <c r="C434" s="5" t="s">
        <v>26</v>
      </c>
      <c r="D434" s="5" t="s">
        <v>55</v>
      </c>
      <c r="E434" s="5" t="s">
        <v>47</v>
      </c>
      <c r="F434" s="5" t="s">
        <v>364</v>
      </c>
      <c r="G434" s="5" t="s">
        <v>62</v>
      </c>
      <c r="H434" s="5">
        <v>71</v>
      </c>
      <c r="I434" s="5" t="s">
        <v>70</v>
      </c>
      <c r="J434" s="34" t="s">
        <v>539</v>
      </c>
      <c r="K434" s="31">
        <v>35408</v>
      </c>
      <c r="L434" s="5" t="s">
        <v>34</v>
      </c>
      <c r="M434" s="32">
        <v>0</v>
      </c>
      <c r="N434" s="6">
        <f t="shared" si="62"/>
        <v>0</v>
      </c>
      <c r="O434" s="4" t="s">
        <v>364</v>
      </c>
      <c r="P434" s="5" t="str">
        <f t="shared" si="63"/>
        <v>Hyderabad</v>
      </c>
      <c r="Q434" s="5" t="str">
        <f t="shared" si="64"/>
        <v>Gastroenterology</v>
      </c>
      <c r="R434" s="6" t="str">
        <f t="shared" si="65"/>
        <v>Narayana</v>
      </c>
      <c r="S434" s="6" t="str">
        <f t="shared" si="66"/>
        <v>Cash</v>
      </c>
      <c r="T434" s="6" t="str">
        <f t="shared" si="67"/>
        <v>Female</v>
      </c>
      <c r="U434" s="6" t="str">
        <f t="shared" si="70"/>
        <v>ICU</v>
      </c>
      <c r="V434" s="6" t="str" cm="1">
        <f t="array" ref="V434">IF(TRIM(S434)="",INDEX($S$2:$S$1500,MATCH(MAX(COUNTIF($S$2:$S$1500,S434)),COUNTIF($S$2:$S$1500,$S$2:$S$1500),0)),S434)</f>
        <v>Cash</v>
      </c>
      <c r="W434" s="7" cm="1">
        <f t="array" ref="W434">IF(OR(TRIM(K434)="",TRIM(K434)="-"), MEDIAN(IF($E$2:$E$1500=E434,$K$2:$K$1500)),  VALUE(SUBSTITUTE(SUBSTITUTE(SUBSTITUTE(K434,"Rs. ",""),"₹",""),",","")))</f>
        <v>35408</v>
      </c>
      <c r="X434" s="8">
        <f t="shared" si="68"/>
        <v>0</v>
      </c>
      <c r="Y434" s="7">
        <f t="shared" si="69"/>
        <v>35408</v>
      </c>
      <c r="Z434" s="9" t="str">
        <f t="shared" si="61"/>
        <v>SENIOR</v>
      </c>
    </row>
    <row r="435" spans="1:26" x14ac:dyDescent="0.3">
      <c r="A435" s="5" t="s">
        <v>1060</v>
      </c>
      <c r="B435" s="5" t="s">
        <v>78</v>
      </c>
      <c r="C435" s="5" t="s">
        <v>79</v>
      </c>
      <c r="D435" s="5" t="s">
        <v>27</v>
      </c>
      <c r="E435" s="5" t="s">
        <v>67</v>
      </c>
      <c r="F435" s="5" t="s">
        <v>68</v>
      </c>
      <c r="G435" s="5" t="s">
        <v>69</v>
      </c>
      <c r="H435" s="5">
        <v>8</v>
      </c>
      <c r="I435" s="5" t="s">
        <v>40</v>
      </c>
      <c r="J435" s="34" t="s">
        <v>730</v>
      </c>
      <c r="K435" s="31">
        <v>55840</v>
      </c>
      <c r="L435" s="5" t="s">
        <v>23</v>
      </c>
      <c r="M435" s="32">
        <v>0.05</v>
      </c>
      <c r="N435" s="6">
        <f t="shared" si="62"/>
        <v>5</v>
      </c>
      <c r="O435" s="4" t="s">
        <v>68</v>
      </c>
      <c r="P435" s="5" t="str">
        <f t="shared" si="63"/>
        <v>Mumbai</v>
      </c>
      <c r="Q435" s="5" t="str">
        <f t="shared" si="64"/>
        <v>Neurology</v>
      </c>
      <c r="R435" s="6" t="str">
        <f t="shared" si="65"/>
        <v>Apollo</v>
      </c>
      <c r="S435" s="6" t="str">
        <f t="shared" si="66"/>
        <v>Credit Card</v>
      </c>
      <c r="T435" s="6" t="str">
        <f t="shared" si="67"/>
        <v>Female</v>
      </c>
      <c r="U435" s="6" t="str">
        <f t="shared" si="70"/>
        <v>ICU</v>
      </c>
      <c r="V435" s="6" t="str" cm="1">
        <f t="array" ref="V435">IF(TRIM(S435)="",INDEX($S$2:$S$1500,MATCH(MAX(COUNTIF($S$2:$S$1500,S435)),COUNTIF($S$2:$S$1500,$S$2:$S$1500),0)),S435)</f>
        <v>Credit Card</v>
      </c>
      <c r="W435" s="7" cm="1">
        <f t="array" ref="W435">IF(OR(TRIM(K435)="",TRIM(K435)="-"), MEDIAN(IF($E$2:$E$1500=E435,$K$2:$K$1500)),  VALUE(SUBSTITUTE(SUBSTITUTE(SUBSTITUTE(K435,"Rs. ",""),"₹",""),",","")))</f>
        <v>55840</v>
      </c>
      <c r="X435" s="8">
        <f t="shared" si="68"/>
        <v>5</v>
      </c>
      <c r="Y435" s="7">
        <f t="shared" si="69"/>
        <v>53048</v>
      </c>
      <c r="Z435" s="9" t="str">
        <f t="shared" si="61"/>
        <v>CHILD</v>
      </c>
    </row>
    <row r="436" spans="1:26" x14ac:dyDescent="0.3">
      <c r="A436" s="5" t="s">
        <v>1061</v>
      </c>
      <c r="B436" s="5" t="s">
        <v>14</v>
      </c>
      <c r="C436" s="5" t="s">
        <v>15</v>
      </c>
      <c r="D436" s="5" t="s">
        <v>66</v>
      </c>
      <c r="E436" s="5" t="s">
        <v>37</v>
      </c>
      <c r="F436" s="5" t="s">
        <v>38</v>
      </c>
      <c r="G436" s="5" t="s">
        <v>19</v>
      </c>
      <c r="H436" s="5">
        <v>92</v>
      </c>
      <c r="I436" s="5" t="s">
        <v>70</v>
      </c>
      <c r="J436" s="34" t="s">
        <v>1062</v>
      </c>
      <c r="K436" s="31">
        <v>16228</v>
      </c>
      <c r="L436" s="5" t="s">
        <v>236</v>
      </c>
      <c r="M436" s="32" t="s">
        <v>130</v>
      </c>
      <c r="N436" s="6">
        <f t="shared" si="62"/>
        <v>0</v>
      </c>
      <c r="O436" s="4" t="s">
        <v>38</v>
      </c>
      <c r="P436" s="5" t="str">
        <f t="shared" si="63"/>
        <v>Kolkata</v>
      </c>
      <c r="Q436" s="5" t="str">
        <f t="shared" si="64"/>
        <v>Pediatrics</v>
      </c>
      <c r="R436" s="6" t="str">
        <f t="shared" si="65"/>
        <v>Max_Healthcare</v>
      </c>
      <c r="S436" s="6" t="str">
        <f t="shared" si="66"/>
        <v>Debit Card</v>
      </c>
      <c r="T436" s="6" t="str">
        <f t="shared" si="67"/>
        <v>Female</v>
      </c>
      <c r="U436" s="6" t="str">
        <f t="shared" si="70"/>
        <v>General</v>
      </c>
      <c r="V436" s="6" t="str" cm="1">
        <f t="array" ref="V436">IF(TRIM(S436)="",INDEX($S$2:$S$1500,MATCH(MAX(COUNTIF($S$2:$S$1500,S436)),COUNTIF($S$2:$S$1500,$S$2:$S$1500),0)),S436)</f>
        <v>Debit Card</v>
      </c>
      <c r="W436" s="7" cm="1">
        <f t="array" ref="W436">IF(OR(TRIM(K436)="",TRIM(K436)="-"), MEDIAN(IF($E$2:$E$1500=E436,$K$2:$K$1500)),  VALUE(SUBSTITUTE(SUBSTITUTE(SUBSTITUTE(K436,"Rs. ",""),"₹",""),",","")))</f>
        <v>16228</v>
      </c>
      <c r="X436" s="8">
        <f t="shared" si="68"/>
        <v>0</v>
      </c>
      <c r="Y436" s="7">
        <f t="shared" si="69"/>
        <v>16228</v>
      </c>
      <c r="Z436" s="9" t="str">
        <f t="shared" si="61"/>
        <v>SENIOR</v>
      </c>
    </row>
    <row r="437" spans="1:26" x14ac:dyDescent="0.3">
      <c r="A437" s="5" t="s">
        <v>1063</v>
      </c>
      <c r="B437" s="5" t="s">
        <v>78</v>
      </c>
      <c r="C437" s="5" t="s">
        <v>79</v>
      </c>
      <c r="D437" s="5" t="s">
        <v>66</v>
      </c>
      <c r="E437" s="5" t="s">
        <v>108</v>
      </c>
      <c r="F437" s="5" t="s">
        <v>308</v>
      </c>
      <c r="G437" s="5" t="s">
        <v>39</v>
      </c>
      <c r="H437" s="5">
        <v>68</v>
      </c>
      <c r="I437" s="5" t="s">
        <v>20</v>
      </c>
      <c r="J437" s="34" t="s">
        <v>136</v>
      </c>
      <c r="K437" s="31" t="s">
        <v>1064</v>
      </c>
      <c r="L437" s="5" t="s">
        <v>72</v>
      </c>
      <c r="M437" s="32">
        <v>0</v>
      </c>
      <c r="N437" s="6">
        <f t="shared" si="62"/>
        <v>0</v>
      </c>
      <c r="O437" s="4" t="s">
        <v>308</v>
      </c>
      <c r="P437" s="5" t="str">
        <f t="shared" si="63"/>
        <v>Kolkata</v>
      </c>
      <c r="Q437" s="5" t="str">
        <f t="shared" si="64"/>
        <v>Orthopedics</v>
      </c>
      <c r="R437" s="6" t="str">
        <f t="shared" si="65"/>
        <v>Apollo</v>
      </c>
      <c r="S437" s="6" t="str">
        <f t="shared" si="66"/>
        <v>Cash</v>
      </c>
      <c r="T437" s="6" t="str">
        <f t="shared" si="67"/>
        <v>Male</v>
      </c>
      <c r="U437" s="6" t="str">
        <f t="shared" si="70"/>
        <v>General</v>
      </c>
      <c r="V437" s="6" t="str" cm="1">
        <f t="array" ref="V437">IF(TRIM(S437)="",INDEX($S$2:$S$1500,MATCH(MAX(COUNTIF($S$2:$S$1500,S437)),COUNTIF($S$2:$S$1500,$S$2:$S$1500),0)),S437)</f>
        <v>Cash</v>
      </c>
      <c r="W437" s="7" cm="1">
        <f t="array" ref="W437">IF(OR(TRIM(K437)="",TRIM(K437)="-"), MEDIAN(IF($E$2:$E$1500=E437,$K$2:$K$1500)),  VALUE(SUBSTITUTE(SUBSTITUTE(SUBSTITUTE(K437,"Rs. ",""),"₹",""),",","")))</f>
        <v>8917</v>
      </c>
      <c r="X437" s="8">
        <f t="shared" si="68"/>
        <v>0</v>
      </c>
      <c r="Y437" s="7">
        <f t="shared" si="69"/>
        <v>8917</v>
      </c>
      <c r="Z437" s="9" t="str">
        <f t="shared" si="61"/>
        <v>SENIOR</v>
      </c>
    </row>
    <row r="438" spans="1:26" x14ac:dyDescent="0.3">
      <c r="A438" s="5" t="s">
        <v>1065</v>
      </c>
      <c r="B438" s="5" t="s">
        <v>117</v>
      </c>
      <c r="C438" s="5" t="s">
        <v>182</v>
      </c>
      <c r="D438" s="5" t="s">
        <v>189</v>
      </c>
      <c r="E438" s="5" t="s">
        <v>28</v>
      </c>
      <c r="F438" s="5" t="s">
        <v>29</v>
      </c>
      <c r="G438" s="5" t="s">
        <v>30</v>
      </c>
      <c r="H438" s="5">
        <v>49</v>
      </c>
      <c r="I438" s="5" t="s">
        <v>31</v>
      </c>
      <c r="J438" s="34" t="s">
        <v>1066</v>
      </c>
      <c r="K438" s="31" t="s">
        <v>1067</v>
      </c>
      <c r="L438" s="5" t="s">
        <v>149</v>
      </c>
      <c r="M438" s="32">
        <v>30</v>
      </c>
      <c r="N438" s="6">
        <f t="shared" si="62"/>
        <v>30</v>
      </c>
      <c r="O438" s="4" t="s">
        <v>29</v>
      </c>
      <c r="P438" s="5" t="str">
        <f t="shared" si="63"/>
        <v>Delhi</v>
      </c>
      <c r="Q438" s="5" t="str">
        <f t="shared" si="64"/>
        <v>Oncology</v>
      </c>
      <c r="R438" s="6" t="str">
        <f t="shared" si="65"/>
        <v>Manipal</v>
      </c>
      <c r="S438" s="6" t="str">
        <f t="shared" si="66"/>
        <v>Insurance</v>
      </c>
      <c r="T438" s="6" t="str">
        <f t="shared" si="67"/>
        <v>Male</v>
      </c>
      <c r="U438" s="6" t="str">
        <f t="shared" si="70"/>
        <v>General</v>
      </c>
      <c r="V438" s="6" t="str" cm="1">
        <f t="array" ref="V438">IF(TRIM(S438)="",INDEX($S$2:$S$1500,MATCH(MAX(COUNTIF($S$2:$S$1500,S438)),COUNTIF($S$2:$S$1500,$S$2:$S$1500),0)),S438)</f>
        <v>Insurance</v>
      </c>
      <c r="W438" s="7" cm="1">
        <f t="array" ref="W438">IF(OR(TRIM(K438)="",TRIM(K438)="-"), MEDIAN(IF($E$2:$E$1500=E438,$K$2:$K$1500)),  VALUE(SUBSTITUTE(SUBSTITUTE(SUBSTITUTE(K438,"Rs. ",""),"₹",""),",","")))</f>
        <v>7888</v>
      </c>
      <c r="X438" s="8">
        <f t="shared" si="68"/>
        <v>30</v>
      </c>
      <c r="Y438" s="7">
        <f t="shared" si="69"/>
        <v>5522</v>
      </c>
      <c r="Z438" s="9" t="str">
        <f t="shared" si="61"/>
        <v>ADULT</v>
      </c>
    </row>
    <row r="439" spans="1:26" x14ac:dyDescent="0.3">
      <c r="A439" s="5" t="s">
        <v>1068</v>
      </c>
      <c r="B439" s="5" t="s">
        <v>45</v>
      </c>
      <c r="C439" s="5" t="s">
        <v>46</v>
      </c>
      <c r="D439" s="5" t="s">
        <v>55</v>
      </c>
      <c r="E439" s="5" t="s">
        <v>74</v>
      </c>
      <c r="F439" s="5" t="s">
        <v>147</v>
      </c>
      <c r="G439" s="5"/>
      <c r="H439" s="5">
        <v>56</v>
      </c>
      <c r="I439" s="5" t="s">
        <v>40</v>
      </c>
      <c r="J439" s="34" t="s">
        <v>1069</v>
      </c>
      <c r="K439" s="31" t="s">
        <v>1070</v>
      </c>
      <c r="L439" s="5" t="s">
        <v>83</v>
      </c>
      <c r="M439" s="32">
        <v>0</v>
      </c>
      <c r="N439" s="6">
        <f t="shared" si="62"/>
        <v>0</v>
      </c>
      <c r="O439" s="4" t="s">
        <v>147</v>
      </c>
      <c r="P439" s="5" t="str">
        <f t="shared" si="63"/>
        <v>Hyderabad</v>
      </c>
      <c r="Q439" s="5" t="str">
        <f t="shared" si="64"/>
        <v>General Medicine</v>
      </c>
      <c r="R439" s="6" t="str">
        <f t="shared" si="65"/>
        <v>Fortis</v>
      </c>
      <c r="S439" s="6" t="str">
        <f t="shared" si="66"/>
        <v>Debit Card</v>
      </c>
      <c r="T439" s="6" t="str">
        <f t="shared" si="67"/>
        <v>Female</v>
      </c>
      <c r="U439" s="6" t="str">
        <f t="shared" si="70"/>
        <v>Unknown</v>
      </c>
      <c r="V439" s="6" t="str" cm="1">
        <f t="array" ref="V439">IF(TRIM(S439)="",INDEX($S$2:$S$1500,MATCH(MAX(COUNTIF($S$2:$S$1500,S439)),COUNTIF($S$2:$S$1500,$S$2:$S$1500),0)),S439)</f>
        <v>Debit Card</v>
      </c>
      <c r="W439" s="7" cm="1">
        <f t="array" ref="W439">IF(OR(TRIM(K439)="",TRIM(K439)="-"), MEDIAN(IF($E$2:$E$1500=E439,$K$2:$K$1500)),  VALUE(SUBSTITUTE(SUBSTITUTE(SUBSTITUTE(K439,"Rs. ",""),"₹",""),",","")))</f>
        <v>79066</v>
      </c>
      <c r="X439" s="8">
        <f t="shared" si="68"/>
        <v>0</v>
      </c>
      <c r="Y439" s="7">
        <f t="shared" si="69"/>
        <v>79066</v>
      </c>
      <c r="Z439" s="9" t="str">
        <f t="shared" si="61"/>
        <v>ADULT</v>
      </c>
    </row>
    <row r="440" spans="1:26" x14ac:dyDescent="0.3">
      <c r="A440" s="5" t="s">
        <v>1071</v>
      </c>
      <c r="B440" s="5" t="s">
        <v>106</v>
      </c>
      <c r="C440" s="5" t="s">
        <v>307</v>
      </c>
      <c r="D440" s="5" t="s">
        <v>80</v>
      </c>
      <c r="E440" s="5" t="s">
        <v>93</v>
      </c>
      <c r="F440" s="5" t="s">
        <v>121</v>
      </c>
      <c r="G440" s="5" t="s">
        <v>49</v>
      </c>
      <c r="H440" s="5">
        <v>48</v>
      </c>
      <c r="I440" s="5" t="s">
        <v>31</v>
      </c>
      <c r="J440" s="34" t="s">
        <v>1072</v>
      </c>
      <c r="K440" s="31" t="s">
        <v>1073</v>
      </c>
      <c r="L440" s="5" t="s">
        <v>115</v>
      </c>
      <c r="M440" s="32" t="s">
        <v>198</v>
      </c>
      <c r="N440" s="6">
        <f t="shared" si="62"/>
        <v>5</v>
      </c>
      <c r="O440" s="4" t="s">
        <v>121</v>
      </c>
      <c r="P440" s="5" t="str">
        <f t="shared" si="63"/>
        <v>Ahmedabad</v>
      </c>
      <c r="Q440" s="5" t="str">
        <f t="shared" si="64"/>
        <v>Nephrology</v>
      </c>
      <c r="R440" s="6" t="str">
        <f t="shared" si="65"/>
        <v>Aiims</v>
      </c>
      <c r="S440" s="6" t="str">
        <f t="shared" si="66"/>
        <v>Cash</v>
      </c>
      <c r="T440" s="6" t="str">
        <f t="shared" si="67"/>
        <v>Male</v>
      </c>
      <c r="U440" s="6" t="str">
        <f t="shared" si="70"/>
        <v>General</v>
      </c>
      <c r="V440" s="6" t="str" cm="1">
        <f t="array" ref="V440">IF(TRIM(S440)="",INDEX($S$2:$S$1500,MATCH(MAX(COUNTIF($S$2:$S$1500,S440)),COUNTIF($S$2:$S$1500,$S$2:$S$1500),0)),S440)</f>
        <v>Cash</v>
      </c>
      <c r="W440" s="7" cm="1">
        <f t="array" ref="W440">IF(OR(TRIM(K440)="",TRIM(K440)="-"), MEDIAN(IF($E$2:$E$1500=E440,$K$2:$K$1500)),  VALUE(SUBSTITUTE(SUBSTITUTE(SUBSTITUTE(K440,"Rs. ",""),"₹",""),",","")))</f>
        <v>19168</v>
      </c>
      <c r="X440" s="8">
        <f t="shared" si="68"/>
        <v>5</v>
      </c>
      <c r="Y440" s="7">
        <f t="shared" si="69"/>
        <v>18210</v>
      </c>
      <c r="Z440" s="9" t="str">
        <f t="shared" si="61"/>
        <v>ADULT</v>
      </c>
    </row>
    <row r="441" spans="1:26" x14ac:dyDescent="0.3">
      <c r="A441" s="5" t="s">
        <v>1074</v>
      </c>
      <c r="B441" s="5" t="s">
        <v>117</v>
      </c>
      <c r="C441" s="5" t="s">
        <v>118</v>
      </c>
      <c r="D441" s="5" t="s">
        <v>27</v>
      </c>
      <c r="E441" s="5" t="s">
        <v>99</v>
      </c>
      <c r="F441" s="5" t="s">
        <v>151</v>
      </c>
      <c r="G441" s="5" t="s">
        <v>19</v>
      </c>
      <c r="H441" s="5">
        <v>63</v>
      </c>
      <c r="I441" s="5" t="s">
        <v>70</v>
      </c>
      <c r="J441" s="34" t="s">
        <v>1075</v>
      </c>
      <c r="K441" s="31" t="s">
        <v>1076</v>
      </c>
      <c r="L441" s="5" t="s">
        <v>23</v>
      </c>
      <c r="M441" s="32" t="s">
        <v>76</v>
      </c>
      <c r="N441" s="6">
        <f t="shared" si="62"/>
        <v>10</v>
      </c>
      <c r="O441" s="4" t="s">
        <v>151</v>
      </c>
      <c r="P441" s="5" t="str">
        <f t="shared" si="63"/>
        <v>Mumbai</v>
      </c>
      <c r="Q441" s="5" t="str">
        <f t="shared" si="64"/>
        <v>Ent</v>
      </c>
      <c r="R441" s="6" t="str">
        <f t="shared" si="65"/>
        <v>Manipal</v>
      </c>
      <c r="S441" s="6" t="str">
        <f t="shared" si="66"/>
        <v>Credit Card</v>
      </c>
      <c r="T441" s="6" t="str">
        <f t="shared" si="67"/>
        <v>Female</v>
      </c>
      <c r="U441" s="6" t="str">
        <f t="shared" si="70"/>
        <v>General</v>
      </c>
      <c r="V441" s="6" t="str" cm="1">
        <f t="array" ref="V441">IF(TRIM(S441)="",INDEX($S$2:$S$1500,MATCH(MAX(COUNTIF($S$2:$S$1500,S441)),COUNTIF($S$2:$S$1500,$S$2:$S$1500),0)),S441)</f>
        <v>Credit Card</v>
      </c>
      <c r="W441" s="7" cm="1">
        <f t="array" ref="W441">IF(OR(TRIM(K441)="",TRIM(K441)="-"), MEDIAN(IF($E$2:$E$1500=E441,$K$2:$K$1500)),  VALUE(SUBSTITUTE(SUBSTITUTE(SUBSTITUTE(K441,"Rs. ",""),"₹",""),",","")))</f>
        <v>17118</v>
      </c>
      <c r="X441" s="8">
        <f t="shared" si="68"/>
        <v>10</v>
      </c>
      <c r="Y441" s="7">
        <f t="shared" si="69"/>
        <v>15406</v>
      </c>
      <c r="Z441" s="9" t="str">
        <f t="shared" si="61"/>
        <v>SENIOR</v>
      </c>
    </row>
    <row r="442" spans="1:26" x14ac:dyDescent="0.3">
      <c r="A442" s="5" t="s">
        <v>1077</v>
      </c>
      <c r="B442" s="5" t="s">
        <v>45</v>
      </c>
      <c r="C442" s="5" t="s">
        <v>46</v>
      </c>
      <c r="D442" s="5" t="s">
        <v>36</v>
      </c>
      <c r="E442" s="5" t="s">
        <v>28</v>
      </c>
      <c r="F442" s="5" t="s">
        <v>290</v>
      </c>
      <c r="G442" s="5"/>
      <c r="H442" s="5">
        <v>36</v>
      </c>
      <c r="I442" s="5" t="s">
        <v>20</v>
      </c>
      <c r="J442" s="34" t="s">
        <v>1078</v>
      </c>
      <c r="K442" s="31" t="s">
        <v>1079</v>
      </c>
      <c r="L442" s="5" t="s">
        <v>311</v>
      </c>
      <c r="M442" s="32">
        <v>5</v>
      </c>
      <c r="N442" s="6">
        <f t="shared" si="62"/>
        <v>5</v>
      </c>
      <c r="O442" s="4" t="s">
        <v>290</v>
      </c>
      <c r="P442" s="5" t="str">
        <f t="shared" si="63"/>
        <v>Chennai</v>
      </c>
      <c r="Q442" s="5" t="str">
        <f t="shared" si="64"/>
        <v>Oncology</v>
      </c>
      <c r="R442" s="6" t="str">
        <f t="shared" si="65"/>
        <v>Fortis</v>
      </c>
      <c r="S442" s="6" t="str">
        <f t="shared" si="66"/>
        <v>UPI</v>
      </c>
      <c r="T442" s="6" t="str">
        <f t="shared" si="67"/>
        <v>Male</v>
      </c>
      <c r="U442" s="6" t="str">
        <f t="shared" si="70"/>
        <v>Unknown</v>
      </c>
      <c r="V442" s="6" t="str" cm="1">
        <f t="array" ref="V442">IF(TRIM(S442)="",INDEX($S$2:$S$1500,MATCH(MAX(COUNTIF($S$2:$S$1500,S442)),COUNTIF($S$2:$S$1500,$S$2:$S$1500),0)),S442)</f>
        <v>UPI</v>
      </c>
      <c r="W442" s="7" cm="1">
        <f t="array" ref="W442">IF(OR(TRIM(K442)="",TRIM(K442)="-"), MEDIAN(IF($E$2:$E$1500=E442,$K$2:$K$1500)),  VALUE(SUBSTITUTE(SUBSTITUTE(SUBSTITUTE(K442,"Rs. ",""),"₹",""),",","")))</f>
        <v>3497</v>
      </c>
      <c r="X442" s="8">
        <f t="shared" si="68"/>
        <v>5</v>
      </c>
      <c r="Y442" s="7">
        <f t="shared" si="69"/>
        <v>3322</v>
      </c>
      <c r="Z442" s="9" t="str">
        <f t="shared" si="61"/>
        <v>ADULT</v>
      </c>
    </row>
    <row r="443" spans="1:26" x14ac:dyDescent="0.3">
      <c r="A443" s="5" t="s">
        <v>1080</v>
      </c>
      <c r="B443" s="5" t="s">
        <v>106</v>
      </c>
      <c r="C443" s="5" t="s">
        <v>307</v>
      </c>
      <c r="D443" s="5" t="s">
        <v>16</v>
      </c>
      <c r="E443" s="5" t="s">
        <v>99</v>
      </c>
      <c r="F443" s="5" t="s">
        <v>151</v>
      </c>
      <c r="G443" s="5" t="s">
        <v>39</v>
      </c>
      <c r="H443" s="5">
        <v>13</v>
      </c>
      <c r="I443" s="5" t="s">
        <v>40</v>
      </c>
      <c r="J443" s="34" t="s">
        <v>675</v>
      </c>
      <c r="K443" s="31" t="s">
        <v>1081</v>
      </c>
      <c r="L443" s="5" t="s">
        <v>149</v>
      </c>
      <c r="M443" s="32" t="s">
        <v>240</v>
      </c>
      <c r="N443" s="6">
        <f t="shared" si="62"/>
        <v>12</v>
      </c>
      <c r="O443" s="4" t="s">
        <v>151</v>
      </c>
      <c r="P443" s="5" t="str">
        <f t="shared" si="63"/>
        <v>Bangalore</v>
      </c>
      <c r="Q443" s="5" t="str">
        <f t="shared" si="64"/>
        <v>Ent</v>
      </c>
      <c r="R443" s="6" t="str">
        <f t="shared" si="65"/>
        <v>Aiims</v>
      </c>
      <c r="S443" s="6" t="str">
        <f t="shared" si="66"/>
        <v>Insurance</v>
      </c>
      <c r="T443" s="6" t="str">
        <f t="shared" si="67"/>
        <v>Female</v>
      </c>
      <c r="U443" s="6" t="str">
        <f t="shared" si="70"/>
        <v>General</v>
      </c>
      <c r="V443" s="6" t="str" cm="1">
        <f t="array" ref="V443">IF(TRIM(S443)="",INDEX($S$2:$S$1500,MATCH(MAX(COUNTIF($S$2:$S$1500,S443)),COUNTIF($S$2:$S$1500,$S$2:$S$1500),0)),S443)</f>
        <v>Insurance</v>
      </c>
      <c r="W443" s="7" cm="1">
        <f t="array" ref="W443">IF(OR(TRIM(K443)="",TRIM(K443)="-"), MEDIAN(IF($E$2:$E$1500=E443,$K$2:$K$1500)),  VALUE(SUBSTITUTE(SUBSTITUTE(SUBSTITUTE(K443,"Rs. ",""),"₹",""),",","")))</f>
        <v>13574</v>
      </c>
      <c r="X443" s="8">
        <f t="shared" si="68"/>
        <v>12</v>
      </c>
      <c r="Y443" s="7">
        <f t="shared" si="69"/>
        <v>11945</v>
      </c>
      <c r="Z443" s="9" t="str">
        <f t="shared" si="61"/>
        <v>TEEN</v>
      </c>
    </row>
    <row r="444" spans="1:26" x14ac:dyDescent="0.3">
      <c r="A444" s="5" t="s">
        <v>1082</v>
      </c>
      <c r="B444" s="5" t="s">
        <v>25</v>
      </c>
      <c r="C444" s="5" t="s">
        <v>26</v>
      </c>
      <c r="D444" s="5" t="s">
        <v>27</v>
      </c>
      <c r="E444" s="5" t="s">
        <v>37</v>
      </c>
      <c r="F444" s="5" t="s">
        <v>38</v>
      </c>
      <c r="G444" s="5" t="s">
        <v>49</v>
      </c>
      <c r="H444" s="5">
        <v>77</v>
      </c>
      <c r="I444" s="5" t="s">
        <v>20</v>
      </c>
      <c r="J444" s="34" t="s">
        <v>1083</v>
      </c>
      <c r="K444" s="31" t="s">
        <v>1084</v>
      </c>
      <c r="L444" s="5" t="s">
        <v>97</v>
      </c>
      <c r="M444" s="32">
        <v>0</v>
      </c>
      <c r="N444" s="6">
        <f t="shared" si="62"/>
        <v>0</v>
      </c>
      <c r="O444" s="4" t="s">
        <v>38</v>
      </c>
      <c r="P444" s="5" t="str">
        <f t="shared" si="63"/>
        <v>Mumbai</v>
      </c>
      <c r="Q444" s="5" t="str">
        <f t="shared" si="64"/>
        <v>Pediatrics</v>
      </c>
      <c r="R444" s="6" t="str">
        <f t="shared" si="65"/>
        <v>Narayana</v>
      </c>
      <c r="S444" s="6" t="str">
        <f t="shared" si="66"/>
        <v>UPI</v>
      </c>
      <c r="T444" s="6" t="str">
        <f t="shared" si="67"/>
        <v>Male</v>
      </c>
      <c r="U444" s="6" t="str">
        <f t="shared" si="70"/>
        <v>General</v>
      </c>
      <c r="V444" s="6" t="str" cm="1">
        <f t="array" ref="V444">IF(TRIM(S444)="",INDEX($S$2:$S$1500,MATCH(MAX(COUNTIF($S$2:$S$1500,S444)),COUNTIF($S$2:$S$1500,$S$2:$S$1500),0)),S444)</f>
        <v>UPI</v>
      </c>
      <c r="W444" s="7" cm="1">
        <f t="array" ref="W444">IF(OR(TRIM(K444)="",TRIM(K444)="-"), MEDIAN(IF($E$2:$E$1500=E444,$K$2:$K$1500)),  VALUE(SUBSTITUTE(SUBSTITUTE(SUBSTITUTE(K444,"Rs. ",""),"₹",""),",","")))</f>
        <v>14077</v>
      </c>
      <c r="X444" s="8">
        <f t="shared" si="68"/>
        <v>0</v>
      </c>
      <c r="Y444" s="7">
        <f t="shared" si="69"/>
        <v>14077</v>
      </c>
      <c r="Z444" s="9" t="str">
        <f t="shared" si="61"/>
        <v>SENIOR</v>
      </c>
    </row>
    <row r="445" spans="1:26" x14ac:dyDescent="0.3">
      <c r="A445" s="5" t="s">
        <v>1085</v>
      </c>
      <c r="B445" s="5" t="s">
        <v>78</v>
      </c>
      <c r="C445" s="5" t="s">
        <v>161</v>
      </c>
      <c r="D445" s="5" t="s">
        <v>80</v>
      </c>
      <c r="E445" s="5" t="s">
        <v>93</v>
      </c>
      <c r="F445" s="5" t="s">
        <v>94</v>
      </c>
      <c r="G445" s="5" t="s">
        <v>101</v>
      </c>
      <c r="H445" s="5">
        <v>1</v>
      </c>
      <c r="I445" s="5" t="s">
        <v>20</v>
      </c>
      <c r="J445" s="34" t="s">
        <v>1086</v>
      </c>
      <c r="K445" s="31" t="s">
        <v>1087</v>
      </c>
      <c r="L445" s="5" t="s">
        <v>72</v>
      </c>
      <c r="M445" s="32">
        <v>0</v>
      </c>
      <c r="N445" s="6">
        <f t="shared" si="62"/>
        <v>0</v>
      </c>
      <c r="O445" s="4" t="s">
        <v>94</v>
      </c>
      <c r="P445" s="5" t="str">
        <f t="shared" si="63"/>
        <v>Ahmedabad</v>
      </c>
      <c r="Q445" s="5" t="str">
        <f t="shared" si="64"/>
        <v>Nephrology</v>
      </c>
      <c r="R445" s="6" t="str">
        <f t="shared" si="65"/>
        <v>Apollo</v>
      </c>
      <c r="S445" s="6" t="str">
        <f t="shared" si="66"/>
        <v>Cash</v>
      </c>
      <c r="T445" s="6" t="str">
        <f t="shared" si="67"/>
        <v>Male</v>
      </c>
      <c r="U445" s="6" t="str">
        <f t="shared" si="70"/>
        <v>ICU</v>
      </c>
      <c r="V445" s="6" t="str" cm="1">
        <f t="array" ref="V445">IF(TRIM(S445)="",INDEX($S$2:$S$1500,MATCH(MAX(COUNTIF($S$2:$S$1500,S445)),COUNTIF($S$2:$S$1500,$S$2:$S$1500),0)),S445)</f>
        <v>Cash</v>
      </c>
      <c r="W445" s="7" cm="1">
        <f t="array" ref="W445">IF(OR(TRIM(K445)="",TRIM(K445)="-"), MEDIAN(IF($E$2:$E$1500=E445,$K$2:$K$1500)),  VALUE(SUBSTITUTE(SUBSTITUTE(SUBSTITUTE(K445,"Rs. ",""),"₹",""),",","")))</f>
        <v>73623</v>
      </c>
      <c r="X445" s="8">
        <f t="shared" si="68"/>
        <v>0</v>
      </c>
      <c r="Y445" s="7">
        <f t="shared" si="69"/>
        <v>73623</v>
      </c>
      <c r="Z445" s="9" t="str">
        <f t="shared" si="61"/>
        <v>CHILD</v>
      </c>
    </row>
    <row r="446" spans="1:26" x14ac:dyDescent="0.3">
      <c r="A446" s="5" t="s">
        <v>1088</v>
      </c>
      <c r="B446" s="5" t="s">
        <v>25</v>
      </c>
      <c r="C446" s="5" t="s">
        <v>54</v>
      </c>
      <c r="D446" s="5" t="s">
        <v>55</v>
      </c>
      <c r="E446" s="5" t="s">
        <v>108</v>
      </c>
      <c r="F446" s="5" t="s">
        <v>109</v>
      </c>
      <c r="G446" s="5" t="s">
        <v>101</v>
      </c>
      <c r="H446" s="5">
        <v>45</v>
      </c>
      <c r="I446" s="5" t="s">
        <v>40</v>
      </c>
      <c r="J446" s="34" t="s">
        <v>318</v>
      </c>
      <c r="K446" s="31" t="s">
        <v>1089</v>
      </c>
      <c r="L446" s="5" t="s">
        <v>91</v>
      </c>
      <c r="M446" s="32">
        <v>10</v>
      </c>
      <c r="N446" s="6">
        <f t="shared" si="62"/>
        <v>10</v>
      </c>
      <c r="O446" s="4" t="s">
        <v>109</v>
      </c>
      <c r="P446" s="5" t="str">
        <f t="shared" si="63"/>
        <v>Hyderabad</v>
      </c>
      <c r="Q446" s="5" t="str">
        <f t="shared" si="64"/>
        <v>Orthopedics</v>
      </c>
      <c r="R446" s="6" t="str">
        <f t="shared" si="65"/>
        <v>Narayana</v>
      </c>
      <c r="S446" s="6" t="str">
        <f t="shared" si="66"/>
        <v>Debit Card</v>
      </c>
      <c r="T446" s="6" t="str">
        <f t="shared" si="67"/>
        <v>Female</v>
      </c>
      <c r="U446" s="6" t="str">
        <f t="shared" si="70"/>
        <v>ICU</v>
      </c>
      <c r="V446" s="6" t="str" cm="1">
        <f t="array" ref="V446">IF(TRIM(S446)="",INDEX($S$2:$S$1500,MATCH(MAX(COUNTIF($S$2:$S$1500,S446)),COUNTIF($S$2:$S$1500,$S$2:$S$1500),0)),S446)</f>
        <v>Debit Card</v>
      </c>
      <c r="W446" s="7" cm="1">
        <f t="array" ref="W446">IF(OR(TRIM(K446)="",TRIM(K446)="-"), MEDIAN(IF($E$2:$E$1500=E446,$K$2:$K$1500)),  VALUE(SUBSTITUTE(SUBSTITUTE(SUBSTITUTE(K446,"Rs. ",""),"₹",""),",","")))</f>
        <v>58706</v>
      </c>
      <c r="X446" s="8">
        <f t="shared" si="68"/>
        <v>10</v>
      </c>
      <c r="Y446" s="7">
        <f t="shared" si="69"/>
        <v>52835</v>
      </c>
      <c r="Z446" s="9" t="str">
        <f t="shared" si="61"/>
        <v>ADULT</v>
      </c>
    </row>
    <row r="447" spans="1:26" x14ac:dyDescent="0.3">
      <c r="A447" s="5" t="s">
        <v>1090</v>
      </c>
      <c r="B447" s="5" t="s">
        <v>78</v>
      </c>
      <c r="C447" s="5" t="s">
        <v>79</v>
      </c>
      <c r="D447" s="5" t="s">
        <v>55</v>
      </c>
      <c r="E447" s="5" t="s">
        <v>108</v>
      </c>
      <c r="F447" s="5" t="s">
        <v>272</v>
      </c>
      <c r="G447" s="5" t="s">
        <v>39</v>
      </c>
      <c r="H447" s="5">
        <v>59</v>
      </c>
      <c r="I447" s="5" t="s">
        <v>40</v>
      </c>
      <c r="J447" s="34" t="s">
        <v>670</v>
      </c>
      <c r="K447" s="31">
        <v>10736</v>
      </c>
      <c r="L447" s="5" t="s">
        <v>83</v>
      </c>
      <c r="M447" s="32" t="s">
        <v>76</v>
      </c>
      <c r="N447" s="6">
        <f t="shared" si="62"/>
        <v>10</v>
      </c>
      <c r="O447" s="4" t="s">
        <v>272</v>
      </c>
      <c r="P447" s="5" t="str">
        <f t="shared" si="63"/>
        <v>Hyderabad</v>
      </c>
      <c r="Q447" s="5" t="str">
        <f t="shared" si="64"/>
        <v>Orthopedics</v>
      </c>
      <c r="R447" s="6" t="str">
        <f t="shared" si="65"/>
        <v>Apollo</v>
      </c>
      <c r="S447" s="6" t="str">
        <f t="shared" si="66"/>
        <v>Debit Card</v>
      </c>
      <c r="T447" s="6" t="str">
        <f t="shared" si="67"/>
        <v>Female</v>
      </c>
      <c r="U447" s="6" t="str">
        <f t="shared" si="70"/>
        <v>General</v>
      </c>
      <c r="V447" s="6" t="str" cm="1">
        <f t="array" ref="V447">IF(TRIM(S447)="",INDEX($S$2:$S$1500,MATCH(MAX(COUNTIF($S$2:$S$1500,S447)),COUNTIF($S$2:$S$1500,$S$2:$S$1500),0)),S447)</f>
        <v>Debit Card</v>
      </c>
      <c r="W447" s="7" cm="1">
        <f t="array" ref="W447">IF(OR(TRIM(K447)="",TRIM(K447)="-"), MEDIAN(IF($E$2:$E$1500=E447,$K$2:$K$1500)),  VALUE(SUBSTITUTE(SUBSTITUTE(SUBSTITUTE(K447,"Rs. ",""),"₹",""),",","")))</f>
        <v>10736</v>
      </c>
      <c r="X447" s="8">
        <f t="shared" si="68"/>
        <v>10</v>
      </c>
      <c r="Y447" s="7">
        <f t="shared" si="69"/>
        <v>9662</v>
      </c>
      <c r="Z447" s="9" t="str">
        <f t="shared" si="61"/>
        <v>ADULT</v>
      </c>
    </row>
    <row r="448" spans="1:26" x14ac:dyDescent="0.3">
      <c r="A448" s="5" t="s">
        <v>1091</v>
      </c>
      <c r="B448" s="5" t="s">
        <v>117</v>
      </c>
      <c r="C448" s="5" t="s">
        <v>118</v>
      </c>
      <c r="D448" s="5" t="s">
        <v>66</v>
      </c>
      <c r="E448" s="5" t="s">
        <v>17</v>
      </c>
      <c r="F448" s="5" t="s">
        <v>135</v>
      </c>
      <c r="G448" s="5" t="s">
        <v>39</v>
      </c>
      <c r="H448" s="5">
        <v>19</v>
      </c>
      <c r="I448" s="5" t="s">
        <v>40</v>
      </c>
      <c r="J448" s="34" t="s">
        <v>1092</v>
      </c>
      <c r="K448" s="31" t="s">
        <v>1093</v>
      </c>
      <c r="L448" s="5" t="s">
        <v>72</v>
      </c>
      <c r="M448" s="32">
        <v>0</v>
      </c>
      <c r="N448" s="6">
        <f t="shared" si="62"/>
        <v>0</v>
      </c>
      <c r="O448" s="4" t="s">
        <v>135</v>
      </c>
      <c r="P448" s="5" t="str">
        <f t="shared" si="63"/>
        <v>Kolkata</v>
      </c>
      <c r="Q448" s="5" t="str">
        <f t="shared" si="64"/>
        <v>Gynecology</v>
      </c>
      <c r="R448" s="6" t="str">
        <f t="shared" si="65"/>
        <v>Manipal</v>
      </c>
      <c r="S448" s="6" t="str">
        <f t="shared" si="66"/>
        <v>Cash</v>
      </c>
      <c r="T448" s="6" t="str">
        <f t="shared" si="67"/>
        <v>Female</v>
      </c>
      <c r="U448" s="6" t="str">
        <f t="shared" si="70"/>
        <v>General</v>
      </c>
      <c r="V448" s="6" t="str" cm="1">
        <f t="array" ref="V448">IF(TRIM(S448)="",INDEX($S$2:$S$1500,MATCH(MAX(COUNTIF($S$2:$S$1500,S448)),COUNTIF($S$2:$S$1500,$S$2:$S$1500),0)),S448)</f>
        <v>Cash</v>
      </c>
      <c r="W448" s="7" cm="1">
        <f t="array" ref="W448">IF(OR(TRIM(K448)="",TRIM(K448)="-"), MEDIAN(IF($E$2:$E$1500=E448,$K$2:$K$1500)),  VALUE(SUBSTITUTE(SUBSTITUTE(SUBSTITUTE(K448,"Rs. ",""),"₹",""),",","")))</f>
        <v>9064</v>
      </c>
      <c r="X448" s="8">
        <f t="shared" si="68"/>
        <v>0</v>
      </c>
      <c r="Y448" s="7">
        <f t="shared" si="69"/>
        <v>9064</v>
      </c>
      <c r="Z448" s="9" t="str">
        <f t="shared" si="61"/>
        <v>TEEN</v>
      </c>
    </row>
    <row r="449" spans="1:26" x14ac:dyDescent="0.3">
      <c r="A449" s="5" t="s">
        <v>1094</v>
      </c>
      <c r="B449" s="5" t="s">
        <v>25</v>
      </c>
      <c r="C449" s="5" t="s">
        <v>54</v>
      </c>
      <c r="D449" s="5" t="s">
        <v>16</v>
      </c>
      <c r="E449" s="5" t="s">
        <v>67</v>
      </c>
      <c r="F449" s="5" t="s">
        <v>85</v>
      </c>
      <c r="G449" s="5" t="s">
        <v>30</v>
      </c>
      <c r="H449" s="5">
        <v>92</v>
      </c>
      <c r="I449" s="5" t="s">
        <v>20</v>
      </c>
      <c r="J449" s="34" t="s">
        <v>139</v>
      </c>
      <c r="K449" s="31">
        <v>3894</v>
      </c>
      <c r="L449" s="5" t="s">
        <v>34</v>
      </c>
      <c r="M449" s="32" t="s">
        <v>130</v>
      </c>
      <c r="N449" s="6">
        <f t="shared" si="62"/>
        <v>0</v>
      </c>
      <c r="O449" s="4" t="s">
        <v>85</v>
      </c>
      <c r="P449" s="5" t="str">
        <f t="shared" si="63"/>
        <v>Bangalore</v>
      </c>
      <c r="Q449" s="5" t="str">
        <f t="shared" si="64"/>
        <v>Neurology</v>
      </c>
      <c r="R449" s="6" t="str">
        <f t="shared" si="65"/>
        <v>Narayana</v>
      </c>
      <c r="S449" s="6" t="str">
        <f t="shared" si="66"/>
        <v>Cash</v>
      </c>
      <c r="T449" s="6" t="str">
        <f t="shared" si="67"/>
        <v>Male</v>
      </c>
      <c r="U449" s="6" t="str">
        <f t="shared" si="70"/>
        <v>General</v>
      </c>
      <c r="V449" s="6" t="str" cm="1">
        <f t="array" ref="V449">IF(TRIM(S449)="",INDEX($S$2:$S$1500,MATCH(MAX(COUNTIF($S$2:$S$1500,S449)),COUNTIF($S$2:$S$1500,$S$2:$S$1500),0)),S449)</f>
        <v>Cash</v>
      </c>
      <c r="W449" s="7" cm="1">
        <f t="array" ref="W449">IF(OR(TRIM(K449)="",TRIM(K449)="-"), MEDIAN(IF($E$2:$E$1500=E449,$K$2:$K$1500)),  VALUE(SUBSTITUTE(SUBSTITUTE(SUBSTITUTE(K449,"Rs. ",""),"₹",""),",","")))</f>
        <v>3894</v>
      </c>
      <c r="X449" s="8">
        <f t="shared" si="68"/>
        <v>0</v>
      </c>
      <c r="Y449" s="7">
        <f t="shared" si="69"/>
        <v>3894</v>
      </c>
      <c r="Z449" s="9" t="str">
        <f t="shared" si="61"/>
        <v>SENIOR</v>
      </c>
    </row>
    <row r="450" spans="1:26" x14ac:dyDescent="0.3">
      <c r="A450" s="5" t="s">
        <v>1095</v>
      </c>
      <c r="B450" s="5" t="s">
        <v>117</v>
      </c>
      <c r="C450" s="5" t="s">
        <v>127</v>
      </c>
      <c r="D450" s="5" t="s">
        <v>36</v>
      </c>
      <c r="E450" s="5" t="s">
        <v>108</v>
      </c>
      <c r="F450" s="5" t="s">
        <v>308</v>
      </c>
      <c r="G450" s="5" t="s">
        <v>49</v>
      </c>
      <c r="H450" s="5">
        <v>75</v>
      </c>
      <c r="I450" s="5" t="s">
        <v>20</v>
      </c>
      <c r="J450" s="34" t="s">
        <v>576</v>
      </c>
      <c r="K450" s="31" t="s">
        <v>1096</v>
      </c>
      <c r="L450" s="5" t="s">
        <v>34</v>
      </c>
      <c r="M450" s="32">
        <v>5</v>
      </c>
      <c r="N450" s="6">
        <f t="shared" si="62"/>
        <v>5</v>
      </c>
      <c r="O450" s="4" t="s">
        <v>308</v>
      </c>
      <c r="P450" s="5" t="str">
        <f t="shared" si="63"/>
        <v>Chennai</v>
      </c>
      <c r="Q450" s="5" t="str">
        <f t="shared" si="64"/>
        <v>Orthopedics</v>
      </c>
      <c r="R450" s="6" t="str">
        <f t="shared" si="65"/>
        <v>Manipal</v>
      </c>
      <c r="S450" s="6" t="str">
        <f t="shared" si="66"/>
        <v>Cash</v>
      </c>
      <c r="T450" s="6" t="str">
        <f t="shared" si="67"/>
        <v>Male</v>
      </c>
      <c r="U450" s="6" t="str">
        <f t="shared" si="70"/>
        <v>General</v>
      </c>
      <c r="V450" s="6" t="str" cm="1">
        <f t="array" ref="V450">IF(TRIM(S450)="",INDEX($S$2:$S$1500,MATCH(MAX(COUNTIF($S$2:$S$1500,S450)),COUNTIF($S$2:$S$1500,$S$2:$S$1500),0)),S450)</f>
        <v>Cash</v>
      </c>
      <c r="W450" s="7" cm="1">
        <f t="array" ref="W450">IF(OR(TRIM(K450)="",TRIM(K450)="-"), MEDIAN(IF($E$2:$E$1500=E450,$K$2:$K$1500)),  VALUE(SUBSTITUTE(SUBSTITUTE(SUBSTITUTE(K450,"Rs. ",""),"₹",""),",","")))</f>
        <v>17249</v>
      </c>
      <c r="X450" s="8">
        <f t="shared" si="68"/>
        <v>5</v>
      </c>
      <c r="Y450" s="7">
        <f t="shared" si="69"/>
        <v>16387</v>
      </c>
      <c r="Z450" s="9" t="str">
        <f t="shared" ref="Z450:Z513" si="71">IF(H450&lt;13,"CHILD",IF(H450&lt;20,"TEEN",IF(H450&lt;60,"ADULT","SENIOR")))</f>
        <v>SENIOR</v>
      </c>
    </row>
    <row r="451" spans="1:26" x14ac:dyDescent="0.3">
      <c r="A451" s="5" t="s">
        <v>1097</v>
      </c>
      <c r="B451" s="5" t="s">
        <v>117</v>
      </c>
      <c r="C451" s="5" t="s">
        <v>127</v>
      </c>
      <c r="D451" s="5" t="s">
        <v>16</v>
      </c>
      <c r="E451" s="5" t="s">
        <v>93</v>
      </c>
      <c r="F451" s="5" t="s">
        <v>207</v>
      </c>
      <c r="G451" s="5" t="s">
        <v>49</v>
      </c>
      <c r="H451" s="5">
        <v>14</v>
      </c>
      <c r="I451" s="5" t="s">
        <v>20</v>
      </c>
      <c r="J451" s="34" t="s">
        <v>229</v>
      </c>
      <c r="K451" s="31">
        <v>10878</v>
      </c>
      <c r="L451" s="5" t="s">
        <v>115</v>
      </c>
      <c r="M451" s="32">
        <v>0.05</v>
      </c>
      <c r="N451" s="6">
        <f t="shared" ref="N451:N514" si="72">IF(RIGHT(TRIM(M451),1)="%",VALUE(LEFT(TRIM(M451),LEN(TRIM(M451))-1)),  IF(AND(ISNUMBER(M451),M451&lt;=1,M451&gt;0),M451*100,M451))</f>
        <v>5</v>
      </c>
      <c r="O451" s="4" t="s">
        <v>207</v>
      </c>
      <c r="P451" s="5" t="str">
        <f t="shared" ref="P451:P514" si="73">PROPER(D451)</f>
        <v>Bangalore</v>
      </c>
      <c r="Q451" s="5" t="str">
        <f t="shared" ref="Q451:Q514" si="74">PROPER(E451)</f>
        <v>Nephrology</v>
      </c>
      <c r="R451" s="6" t="str">
        <f t="shared" ref="R451:R514" si="75">PROPER(C451)</f>
        <v>Manipal</v>
      </c>
      <c r="S451" s="6" t="str">
        <f t="shared" ref="S451:S514" si="76">IF(OR(UPPER(TRIM(L451))="CREDIT_CARD",UPPER(TRIM(L451))="CREDIT CARD",UPPER(TRIM(L451))="CC"),"Credit Card", IF(OR(UPPER(TRIM(L451))="DEBIT_CARD",UPPER(TRIM(L451))="DEBIT CARD",UPPER(TRIM(L451))="DC"),"Debit Card", IF(UPPER(TRIM(L451))="CASH","Cash", IF(UPPER(TRIM(L451))="UPI","UPI", IF(OR(UPPER(TRIM(L451))="INSURANCE",UPPER(TRIM(L451))="INS"),"Insurance", IF(TRIM(L451)="","Unknown","Unknown"))))))</f>
        <v>Cash</v>
      </c>
      <c r="T451" s="6" t="str">
        <f t="shared" ref="T451:T514" si="77">IF(OR(UPPER(TRIM(I451))="M",UPPER(TRIM(I451))="MALE"),"Male",IF(OR(UPPER(TRIM(I451))="F",UPPER(TRIM(I451))="FEMALE"),"Female","Unknown"))</f>
        <v>Male</v>
      </c>
      <c r="U451" s="6" t="str">
        <f t="shared" si="70"/>
        <v>General</v>
      </c>
      <c r="V451" s="6" t="str" cm="1">
        <f t="array" ref="V451">IF(TRIM(S451)="",INDEX($S$2:$S$1500,MATCH(MAX(COUNTIF($S$2:$S$1500,S451)),COUNTIF($S$2:$S$1500,$S$2:$S$1500),0)),S451)</f>
        <v>Cash</v>
      </c>
      <c r="W451" s="7" cm="1">
        <f t="array" ref="W451">IF(OR(TRIM(K451)="",TRIM(K451)="-"), MEDIAN(IF($E$2:$E$1500=E451,$K$2:$K$1500)),  VALUE(SUBSTITUTE(SUBSTITUTE(SUBSTITUTE(K451,"Rs. ",""),"₹",""),",","")))</f>
        <v>10878</v>
      </c>
      <c r="X451" s="8">
        <f t="shared" ref="X451:X514" si="78">ROUND(IF(OR(TRIM(N451)="-",UPPER(TRIM(N451))="N/A",UPPER(TRIM(N451))="NA"), IFERROR(AVERAGEIF($V$2:$V$1500,V451,$N$2:$N$1500),AVERAGE($N$2:$N$1500)), N451),0)</f>
        <v>5</v>
      </c>
      <c r="Y451" s="7">
        <f t="shared" ref="Y451:Y514" si="79">ROUND(W451*(1-X451/100),0)</f>
        <v>10334</v>
      </c>
      <c r="Z451" s="9" t="str">
        <f t="shared" si="71"/>
        <v>TEEN</v>
      </c>
    </row>
    <row r="452" spans="1:26" x14ac:dyDescent="0.3">
      <c r="A452" s="5" t="s">
        <v>1098</v>
      </c>
      <c r="B452" s="5" t="s">
        <v>106</v>
      </c>
      <c r="C452" s="5" t="s">
        <v>107</v>
      </c>
      <c r="D452" s="5" t="s">
        <v>16</v>
      </c>
      <c r="E452" s="5" t="s">
        <v>47</v>
      </c>
      <c r="F452" s="5" t="s">
        <v>364</v>
      </c>
      <c r="G452" s="5" t="s">
        <v>19</v>
      </c>
      <c r="H452" s="5">
        <v>71</v>
      </c>
      <c r="I452" s="5" t="s">
        <v>20</v>
      </c>
      <c r="J452" s="34" t="s">
        <v>276</v>
      </c>
      <c r="K452" s="31" t="s">
        <v>1099</v>
      </c>
      <c r="L452" s="5" t="s">
        <v>236</v>
      </c>
      <c r="M452" s="32" t="s">
        <v>130</v>
      </c>
      <c r="N452" s="6">
        <f t="shared" si="72"/>
        <v>0</v>
      </c>
      <c r="O452" s="4" t="s">
        <v>364</v>
      </c>
      <c r="P452" s="5" t="str">
        <f t="shared" si="73"/>
        <v>Bangalore</v>
      </c>
      <c r="Q452" s="5" t="str">
        <f t="shared" si="74"/>
        <v>Gastroenterology</v>
      </c>
      <c r="R452" s="6" t="str">
        <f t="shared" si="75"/>
        <v>Aiims</v>
      </c>
      <c r="S452" s="6" t="str">
        <f t="shared" si="76"/>
        <v>Debit Card</v>
      </c>
      <c r="T452" s="6" t="str">
        <f t="shared" si="77"/>
        <v>Male</v>
      </c>
      <c r="U452" s="6" t="str">
        <f t="shared" si="70"/>
        <v>General</v>
      </c>
      <c r="V452" s="6" t="str" cm="1">
        <f t="array" ref="V452">IF(TRIM(S452)="",INDEX($S$2:$S$1500,MATCH(MAX(COUNTIF($S$2:$S$1500,S452)),COUNTIF($S$2:$S$1500,$S$2:$S$1500),0)),S452)</f>
        <v>Debit Card</v>
      </c>
      <c r="W452" s="7" cm="1">
        <f t="array" ref="W452">IF(OR(TRIM(K452)="",TRIM(K452)="-"), MEDIAN(IF($E$2:$E$1500=E452,$K$2:$K$1500)),  VALUE(SUBSTITUTE(SUBSTITUTE(SUBSTITUTE(K452,"Rs. ",""),"₹",""),",","")))</f>
        <v>8235</v>
      </c>
      <c r="X452" s="8">
        <f t="shared" si="78"/>
        <v>0</v>
      </c>
      <c r="Y452" s="7">
        <f t="shared" si="79"/>
        <v>8235</v>
      </c>
      <c r="Z452" s="9" t="str">
        <f t="shared" si="71"/>
        <v>SENIOR</v>
      </c>
    </row>
    <row r="453" spans="1:26" x14ac:dyDescent="0.3">
      <c r="A453" s="5" t="s">
        <v>1100</v>
      </c>
      <c r="B453" s="5" t="s">
        <v>117</v>
      </c>
      <c r="C453" s="5" t="s">
        <v>182</v>
      </c>
      <c r="D453" s="5" t="s">
        <v>80</v>
      </c>
      <c r="E453" s="5" t="s">
        <v>17</v>
      </c>
      <c r="F453" s="5" t="s">
        <v>135</v>
      </c>
      <c r="G453" s="5" t="s">
        <v>19</v>
      </c>
      <c r="H453" s="5">
        <v>9</v>
      </c>
      <c r="I453" s="5" t="s">
        <v>20</v>
      </c>
      <c r="J453" s="34" t="s">
        <v>899</v>
      </c>
      <c r="K453" s="31" t="s">
        <v>1101</v>
      </c>
      <c r="L453" s="5" t="s">
        <v>236</v>
      </c>
      <c r="M453" s="32"/>
      <c r="N453" s="6">
        <f t="shared" si="72"/>
        <v>0</v>
      </c>
      <c r="O453" s="4" t="s">
        <v>135</v>
      </c>
      <c r="P453" s="5" t="str">
        <f t="shared" si="73"/>
        <v>Ahmedabad</v>
      </c>
      <c r="Q453" s="5" t="str">
        <f t="shared" si="74"/>
        <v>Gynecology</v>
      </c>
      <c r="R453" s="6" t="str">
        <f t="shared" si="75"/>
        <v>Manipal</v>
      </c>
      <c r="S453" s="6" t="str">
        <f t="shared" si="76"/>
        <v>Debit Card</v>
      </c>
      <c r="T453" s="6" t="str">
        <f t="shared" si="77"/>
        <v>Male</v>
      </c>
      <c r="U453" s="6" t="str">
        <f t="shared" si="70"/>
        <v>General</v>
      </c>
      <c r="V453" s="6" t="str" cm="1">
        <f t="array" ref="V453">IF(TRIM(S453)="",INDEX($S$2:$S$1500,MATCH(MAX(COUNTIF($S$2:$S$1500,S453)),COUNTIF($S$2:$S$1500,$S$2:$S$1500),0)),S453)</f>
        <v>Debit Card</v>
      </c>
      <c r="W453" s="7" cm="1">
        <f t="array" ref="W453">IF(OR(TRIM(K453)="",TRIM(K453)="-"), MEDIAN(IF($E$2:$E$1500=E453,$K$2:$K$1500)),  VALUE(SUBSTITUTE(SUBSTITUTE(SUBSTITUTE(K453,"Rs. ",""),"₹",""),",","")))</f>
        <v>6861</v>
      </c>
      <c r="X453" s="8">
        <f t="shared" si="78"/>
        <v>0</v>
      </c>
      <c r="Y453" s="7">
        <f t="shared" si="79"/>
        <v>6861</v>
      </c>
      <c r="Z453" s="9" t="str">
        <f t="shared" si="71"/>
        <v>CHILD</v>
      </c>
    </row>
    <row r="454" spans="1:26" x14ac:dyDescent="0.3">
      <c r="A454" s="5" t="s">
        <v>1102</v>
      </c>
      <c r="B454" s="5" t="s">
        <v>78</v>
      </c>
      <c r="C454" s="5" t="s">
        <v>79</v>
      </c>
      <c r="D454" s="5" t="s">
        <v>61</v>
      </c>
      <c r="E454" s="5" t="s">
        <v>28</v>
      </c>
      <c r="F454" s="5" t="s">
        <v>29</v>
      </c>
      <c r="G454" s="5" t="s">
        <v>101</v>
      </c>
      <c r="H454" s="5">
        <v>26</v>
      </c>
      <c r="I454" s="5" t="s">
        <v>20</v>
      </c>
      <c r="J454" s="34" t="s">
        <v>456</v>
      </c>
      <c r="K454" s="31">
        <v>62643</v>
      </c>
      <c r="L454" s="5" t="s">
        <v>236</v>
      </c>
      <c r="M454" s="32" t="s">
        <v>130</v>
      </c>
      <c r="N454" s="6">
        <f t="shared" si="72"/>
        <v>0</v>
      </c>
      <c r="O454" s="4" t="s">
        <v>29</v>
      </c>
      <c r="P454" s="5" t="str">
        <f t="shared" si="73"/>
        <v>Pune</v>
      </c>
      <c r="Q454" s="5" t="str">
        <f t="shared" si="74"/>
        <v>Oncology</v>
      </c>
      <c r="R454" s="6" t="str">
        <f t="shared" si="75"/>
        <v>Apollo</v>
      </c>
      <c r="S454" s="6" t="str">
        <f t="shared" si="76"/>
        <v>Debit Card</v>
      </c>
      <c r="T454" s="6" t="str">
        <f t="shared" si="77"/>
        <v>Male</v>
      </c>
      <c r="U454" s="6" t="str">
        <f t="shared" si="70"/>
        <v>ICU</v>
      </c>
      <c r="V454" s="6" t="str" cm="1">
        <f t="array" ref="V454">IF(TRIM(S454)="",INDEX($S$2:$S$1500,MATCH(MAX(COUNTIF($S$2:$S$1500,S454)),COUNTIF($S$2:$S$1500,$S$2:$S$1500),0)),S454)</f>
        <v>Debit Card</v>
      </c>
      <c r="W454" s="7" cm="1">
        <f t="array" ref="W454">IF(OR(TRIM(K454)="",TRIM(K454)="-"), MEDIAN(IF($E$2:$E$1500=E454,$K$2:$K$1500)),  VALUE(SUBSTITUTE(SUBSTITUTE(SUBSTITUTE(K454,"Rs. ",""),"₹",""),",","")))</f>
        <v>62643</v>
      </c>
      <c r="X454" s="8">
        <f t="shared" si="78"/>
        <v>0</v>
      </c>
      <c r="Y454" s="7">
        <f t="shared" si="79"/>
        <v>62643</v>
      </c>
      <c r="Z454" s="9" t="str">
        <f t="shared" si="71"/>
        <v>ADULT</v>
      </c>
    </row>
    <row r="455" spans="1:26" x14ac:dyDescent="0.3">
      <c r="A455" s="5" t="s">
        <v>1103</v>
      </c>
      <c r="B455" s="5" t="s">
        <v>45</v>
      </c>
      <c r="C455" s="5" t="s">
        <v>334</v>
      </c>
      <c r="D455" s="5" t="s">
        <v>55</v>
      </c>
      <c r="E455" s="5" t="s">
        <v>93</v>
      </c>
      <c r="F455" s="5" t="s">
        <v>207</v>
      </c>
      <c r="G455" s="5" t="s">
        <v>39</v>
      </c>
      <c r="H455" s="5">
        <v>4</v>
      </c>
      <c r="I455" s="5" t="s">
        <v>40</v>
      </c>
      <c r="J455" s="34" t="s">
        <v>1104</v>
      </c>
      <c r="K455" s="31">
        <v>16799</v>
      </c>
      <c r="L455" s="5" t="s">
        <v>97</v>
      </c>
      <c r="M455" s="32">
        <v>10</v>
      </c>
      <c r="N455" s="6">
        <f t="shared" si="72"/>
        <v>10</v>
      </c>
      <c r="O455" s="4" t="s">
        <v>207</v>
      </c>
      <c r="P455" s="5" t="str">
        <f t="shared" si="73"/>
        <v>Hyderabad</v>
      </c>
      <c r="Q455" s="5" t="str">
        <f t="shared" si="74"/>
        <v>Nephrology</v>
      </c>
      <c r="R455" s="6" t="str">
        <f t="shared" si="75"/>
        <v>Fortis</v>
      </c>
      <c r="S455" s="6" t="str">
        <f t="shared" si="76"/>
        <v>UPI</v>
      </c>
      <c r="T455" s="6" t="str">
        <f t="shared" si="77"/>
        <v>Female</v>
      </c>
      <c r="U455" s="6" t="str">
        <f t="shared" si="70"/>
        <v>General</v>
      </c>
      <c r="V455" s="6" t="str" cm="1">
        <f t="array" ref="V455">IF(TRIM(S455)="",INDEX($S$2:$S$1500,MATCH(MAX(COUNTIF($S$2:$S$1500,S455)),COUNTIF($S$2:$S$1500,$S$2:$S$1500),0)),S455)</f>
        <v>UPI</v>
      </c>
      <c r="W455" s="7" cm="1">
        <f t="array" ref="W455">IF(OR(TRIM(K455)="",TRIM(K455)="-"), MEDIAN(IF($E$2:$E$1500=E455,$K$2:$K$1500)),  VALUE(SUBSTITUTE(SUBSTITUTE(SUBSTITUTE(K455,"Rs. ",""),"₹",""),",","")))</f>
        <v>16799</v>
      </c>
      <c r="X455" s="8">
        <f t="shared" si="78"/>
        <v>10</v>
      </c>
      <c r="Y455" s="7">
        <f t="shared" si="79"/>
        <v>15119</v>
      </c>
      <c r="Z455" s="9" t="str">
        <f t="shared" si="71"/>
        <v>CHILD</v>
      </c>
    </row>
    <row r="456" spans="1:26" x14ac:dyDescent="0.3">
      <c r="A456" s="5" t="s">
        <v>1105</v>
      </c>
      <c r="B456" s="5" t="s">
        <v>78</v>
      </c>
      <c r="C456" s="5" t="s">
        <v>79</v>
      </c>
      <c r="D456" s="5" t="s">
        <v>16</v>
      </c>
      <c r="E456" s="5" t="s">
        <v>99</v>
      </c>
      <c r="F456" s="5" t="s">
        <v>100</v>
      </c>
      <c r="G456" s="5" t="s">
        <v>49</v>
      </c>
      <c r="H456" s="5">
        <v>3</v>
      </c>
      <c r="I456" s="5" t="s">
        <v>20</v>
      </c>
      <c r="J456" s="34" t="s">
        <v>81</v>
      </c>
      <c r="K456" s="31"/>
      <c r="L456" s="5" t="s">
        <v>34</v>
      </c>
      <c r="M456" s="32">
        <v>0</v>
      </c>
      <c r="N456" s="6">
        <f t="shared" si="72"/>
        <v>0</v>
      </c>
      <c r="O456" s="4" t="s">
        <v>100</v>
      </c>
      <c r="P456" s="5" t="str">
        <f t="shared" si="73"/>
        <v>Bangalore</v>
      </c>
      <c r="Q456" s="5" t="str">
        <f t="shared" si="74"/>
        <v>Ent</v>
      </c>
      <c r="R456" s="6" t="str">
        <f t="shared" si="75"/>
        <v>Apollo</v>
      </c>
      <c r="S456" s="6" t="str">
        <f t="shared" si="76"/>
        <v>Cash</v>
      </c>
      <c r="T456" s="6" t="str">
        <f t="shared" si="77"/>
        <v>Male</v>
      </c>
      <c r="U456" s="6" t="str">
        <f t="shared" si="70"/>
        <v>General</v>
      </c>
      <c r="V456" s="6" t="str" cm="1">
        <f t="array" ref="V456">IF(TRIM(S456)="",INDEX($S$2:$S$1500,MATCH(MAX(COUNTIF($S$2:$S$1500,S456)),COUNTIF($S$2:$S$1500,$S$2:$S$1500),0)),S456)</f>
        <v>Cash</v>
      </c>
      <c r="W456" s="7" cm="1">
        <f t="array" ref="W456">IF(OR(TRIM(K456)="",TRIM(K456)="-"), MEDIAN(IF($E$2:$E$1500=E456,$K$2:$K$1500)),  VALUE(SUBSTITUTE(SUBSTITUTE(SUBSTITUTE(K456,"Rs. ",""),"₹",""),",","")))</f>
        <v>17549.5</v>
      </c>
      <c r="X456" s="8">
        <f t="shared" si="78"/>
        <v>0</v>
      </c>
      <c r="Y456" s="7">
        <f t="shared" si="79"/>
        <v>17550</v>
      </c>
      <c r="Z456" s="9" t="str">
        <f t="shared" si="71"/>
        <v>CHILD</v>
      </c>
    </row>
    <row r="457" spans="1:26" x14ac:dyDescent="0.3">
      <c r="A457" s="5" t="s">
        <v>1106</v>
      </c>
      <c r="B457" s="5" t="s">
        <v>106</v>
      </c>
      <c r="C457" s="5" t="s">
        <v>107</v>
      </c>
      <c r="D457" s="5" t="s">
        <v>80</v>
      </c>
      <c r="E457" s="5" t="s">
        <v>108</v>
      </c>
      <c r="F457" s="5" t="s">
        <v>124</v>
      </c>
      <c r="G457" s="5" t="s">
        <v>30</v>
      </c>
      <c r="H457" s="5">
        <v>51</v>
      </c>
      <c r="I457" s="5" t="s">
        <v>40</v>
      </c>
      <c r="J457" s="34" t="s">
        <v>1107</v>
      </c>
      <c r="K457" s="31">
        <v>13647</v>
      </c>
      <c r="L457" s="5" t="s">
        <v>23</v>
      </c>
      <c r="M457" s="32">
        <v>10</v>
      </c>
      <c r="N457" s="6">
        <f t="shared" si="72"/>
        <v>10</v>
      </c>
      <c r="O457" s="4" t="s">
        <v>124</v>
      </c>
      <c r="P457" s="5" t="str">
        <f t="shared" si="73"/>
        <v>Ahmedabad</v>
      </c>
      <c r="Q457" s="5" t="str">
        <f t="shared" si="74"/>
        <v>Orthopedics</v>
      </c>
      <c r="R457" s="6" t="str">
        <f t="shared" si="75"/>
        <v>Aiims</v>
      </c>
      <c r="S457" s="6" t="str">
        <f t="shared" si="76"/>
        <v>Credit Card</v>
      </c>
      <c r="T457" s="6" t="str">
        <f t="shared" si="77"/>
        <v>Female</v>
      </c>
      <c r="U457" s="6" t="str">
        <f t="shared" si="70"/>
        <v>General</v>
      </c>
      <c r="V457" s="6" t="str" cm="1">
        <f t="array" ref="V457">IF(TRIM(S457)="",INDEX($S$2:$S$1500,MATCH(MAX(COUNTIF($S$2:$S$1500,S457)),COUNTIF($S$2:$S$1500,$S$2:$S$1500),0)),S457)</f>
        <v>Credit Card</v>
      </c>
      <c r="W457" s="7" cm="1">
        <f t="array" ref="W457">IF(OR(TRIM(K457)="",TRIM(K457)="-"), MEDIAN(IF($E$2:$E$1500=E457,$K$2:$K$1500)),  VALUE(SUBSTITUTE(SUBSTITUTE(SUBSTITUTE(K457,"Rs. ",""),"₹",""),",","")))</f>
        <v>13647</v>
      </c>
      <c r="X457" s="8">
        <f t="shared" si="78"/>
        <v>10</v>
      </c>
      <c r="Y457" s="7">
        <f t="shared" si="79"/>
        <v>12282</v>
      </c>
      <c r="Z457" s="9" t="str">
        <f t="shared" si="71"/>
        <v>ADULT</v>
      </c>
    </row>
    <row r="458" spans="1:26" x14ac:dyDescent="0.3">
      <c r="A458" s="5" t="s">
        <v>1108</v>
      </c>
      <c r="B458" s="5" t="s">
        <v>78</v>
      </c>
      <c r="C458" s="5" t="s">
        <v>79</v>
      </c>
      <c r="D458" s="5" t="s">
        <v>27</v>
      </c>
      <c r="E458" s="5" t="s">
        <v>67</v>
      </c>
      <c r="F458" s="5" t="s">
        <v>196</v>
      </c>
      <c r="G458" s="5" t="s">
        <v>19</v>
      </c>
      <c r="H458" s="5">
        <v>51</v>
      </c>
      <c r="I458" s="5" t="s">
        <v>20</v>
      </c>
      <c r="J458" s="34" t="s">
        <v>1109</v>
      </c>
      <c r="K458" s="31">
        <v>17250</v>
      </c>
      <c r="L458" s="5" t="s">
        <v>97</v>
      </c>
      <c r="M458" s="32">
        <v>0</v>
      </c>
      <c r="N458" s="6">
        <f t="shared" si="72"/>
        <v>0</v>
      </c>
      <c r="O458" s="4" t="s">
        <v>196</v>
      </c>
      <c r="P458" s="5" t="str">
        <f t="shared" si="73"/>
        <v>Mumbai</v>
      </c>
      <c r="Q458" s="5" t="str">
        <f t="shared" si="74"/>
        <v>Neurology</v>
      </c>
      <c r="R458" s="6" t="str">
        <f t="shared" si="75"/>
        <v>Apollo</v>
      </c>
      <c r="S458" s="6" t="str">
        <f t="shared" si="76"/>
        <v>UPI</v>
      </c>
      <c r="T458" s="6" t="str">
        <f t="shared" si="77"/>
        <v>Male</v>
      </c>
      <c r="U458" s="6" t="str">
        <f t="shared" si="70"/>
        <v>General</v>
      </c>
      <c r="V458" s="6" t="str" cm="1">
        <f t="array" ref="V458">IF(TRIM(S458)="",INDEX($S$2:$S$1500,MATCH(MAX(COUNTIF($S$2:$S$1500,S458)),COUNTIF($S$2:$S$1500,$S$2:$S$1500),0)),S458)</f>
        <v>UPI</v>
      </c>
      <c r="W458" s="7" cm="1">
        <f t="array" ref="W458">IF(OR(TRIM(K458)="",TRIM(K458)="-"), MEDIAN(IF($E$2:$E$1500=E458,$K$2:$K$1500)),  VALUE(SUBSTITUTE(SUBSTITUTE(SUBSTITUTE(K458,"Rs. ",""),"₹",""),",","")))</f>
        <v>17250</v>
      </c>
      <c r="X458" s="8">
        <f t="shared" si="78"/>
        <v>0</v>
      </c>
      <c r="Y458" s="7">
        <f t="shared" si="79"/>
        <v>17250</v>
      </c>
      <c r="Z458" s="9" t="str">
        <f t="shared" si="71"/>
        <v>ADULT</v>
      </c>
    </row>
    <row r="459" spans="1:26" x14ac:dyDescent="0.3">
      <c r="A459" s="5" t="s">
        <v>1110</v>
      </c>
      <c r="B459" s="5" t="s">
        <v>14</v>
      </c>
      <c r="C459" s="5" t="s">
        <v>60</v>
      </c>
      <c r="D459" s="5" t="s">
        <v>61</v>
      </c>
      <c r="E459" s="5" t="s">
        <v>28</v>
      </c>
      <c r="F459" s="5" t="s">
        <v>268</v>
      </c>
      <c r="G459" s="5" t="s">
        <v>19</v>
      </c>
      <c r="H459" s="5">
        <v>6</v>
      </c>
      <c r="I459" s="5" t="s">
        <v>20</v>
      </c>
      <c r="J459" s="34" t="s">
        <v>1111</v>
      </c>
      <c r="K459" s="31">
        <v>15707</v>
      </c>
      <c r="L459" s="5" t="s">
        <v>91</v>
      </c>
      <c r="M459" s="32" t="s">
        <v>64</v>
      </c>
      <c r="N459" s="6" t="str">
        <f t="shared" si="72"/>
        <v>NA</v>
      </c>
      <c r="O459" s="4" t="s">
        <v>268</v>
      </c>
      <c r="P459" s="5" t="str">
        <f t="shared" si="73"/>
        <v>Pune</v>
      </c>
      <c r="Q459" s="5" t="str">
        <f t="shared" si="74"/>
        <v>Oncology</v>
      </c>
      <c r="R459" s="6" t="str">
        <f t="shared" si="75"/>
        <v>Max_Healthcare</v>
      </c>
      <c r="S459" s="6" t="str">
        <f t="shared" si="76"/>
        <v>Debit Card</v>
      </c>
      <c r="T459" s="6" t="str">
        <f t="shared" si="77"/>
        <v>Male</v>
      </c>
      <c r="U459" s="6" t="str">
        <f t="shared" si="70"/>
        <v>General</v>
      </c>
      <c r="V459" s="6" t="str" cm="1">
        <f t="array" ref="V459">IF(TRIM(S459)="",INDEX($S$2:$S$1500,MATCH(MAX(COUNTIF($S$2:$S$1500,S459)),COUNTIF($S$2:$S$1500,$S$2:$S$1500),0)),S459)</f>
        <v>Debit Card</v>
      </c>
      <c r="W459" s="7" cm="1">
        <f t="array" ref="W459">IF(OR(TRIM(K459)="",TRIM(K459)="-"), MEDIAN(IF($E$2:$E$1500=E459,$K$2:$K$1500)),  VALUE(SUBSTITUTE(SUBSTITUTE(SUBSTITUTE(K459,"Rs. ",""),"₹",""),",","")))</f>
        <v>15707</v>
      </c>
      <c r="X459" s="8">
        <f t="shared" si="78"/>
        <v>3</v>
      </c>
      <c r="Y459" s="7">
        <f t="shared" si="79"/>
        <v>15236</v>
      </c>
      <c r="Z459" s="9" t="str">
        <f t="shared" si="71"/>
        <v>CHILD</v>
      </c>
    </row>
    <row r="460" spans="1:26" x14ac:dyDescent="0.3">
      <c r="A460" s="5" t="s">
        <v>1112</v>
      </c>
      <c r="B460" s="5" t="s">
        <v>78</v>
      </c>
      <c r="C460" s="5" t="s">
        <v>161</v>
      </c>
      <c r="D460" s="5" t="s">
        <v>80</v>
      </c>
      <c r="E460" s="5" t="s">
        <v>164</v>
      </c>
      <c r="F460" s="5" t="s">
        <v>282</v>
      </c>
      <c r="G460" s="5" t="s">
        <v>30</v>
      </c>
      <c r="H460" s="5">
        <v>5</v>
      </c>
      <c r="I460" s="5" t="s">
        <v>70</v>
      </c>
      <c r="J460" s="34" t="s">
        <v>1113</v>
      </c>
      <c r="K460" s="31">
        <v>10452</v>
      </c>
      <c r="L460" s="5" t="s">
        <v>34</v>
      </c>
      <c r="M460" s="32">
        <v>0</v>
      </c>
      <c r="N460" s="6">
        <f t="shared" si="72"/>
        <v>0</v>
      </c>
      <c r="O460" s="4" t="s">
        <v>282</v>
      </c>
      <c r="P460" s="5" t="str">
        <f t="shared" si="73"/>
        <v>Ahmedabad</v>
      </c>
      <c r="Q460" s="5" t="str">
        <f t="shared" si="74"/>
        <v>Cardiology</v>
      </c>
      <c r="R460" s="6" t="str">
        <f t="shared" si="75"/>
        <v>Apollo</v>
      </c>
      <c r="S460" s="6" t="str">
        <f t="shared" si="76"/>
        <v>Cash</v>
      </c>
      <c r="T460" s="6" t="str">
        <f t="shared" si="77"/>
        <v>Female</v>
      </c>
      <c r="U460" s="6" t="str">
        <f t="shared" si="70"/>
        <v>General</v>
      </c>
      <c r="V460" s="6" t="str" cm="1">
        <f t="array" ref="V460">IF(TRIM(S460)="",INDEX($S$2:$S$1500,MATCH(MAX(COUNTIF($S$2:$S$1500,S460)),COUNTIF($S$2:$S$1500,$S$2:$S$1500),0)),S460)</f>
        <v>Cash</v>
      </c>
      <c r="W460" s="7" cm="1">
        <f t="array" ref="W460">IF(OR(TRIM(K460)="",TRIM(K460)="-"), MEDIAN(IF($E$2:$E$1500=E460,$K$2:$K$1500)),  VALUE(SUBSTITUTE(SUBSTITUTE(SUBSTITUTE(K460,"Rs. ",""),"₹",""),",","")))</f>
        <v>10452</v>
      </c>
      <c r="X460" s="8">
        <f t="shared" si="78"/>
        <v>0</v>
      </c>
      <c r="Y460" s="7">
        <f t="shared" si="79"/>
        <v>10452</v>
      </c>
      <c r="Z460" s="9" t="str">
        <f t="shared" si="71"/>
        <v>CHILD</v>
      </c>
    </row>
    <row r="461" spans="1:26" x14ac:dyDescent="0.3">
      <c r="A461" s="5" t="s">
        <v>1114</v>
      </c>
      <c r="B461" s="5" t="s">
        <v>117</v>
      </c>
      <c r="C461" s="5" t="s">
        <v>118</v>
      </c>
      <c r="D461" s="5" t="s">
        <v>16</v>
      </c>
      <c r="E461" s="5" t="s">
        <v>99</v>
      </c>
      <c r="F461" s="5" t="s">
        <v>100</v>
      </c>
      <c r="G461" s="5" t="s">
        <v>69</v>
      </c>
      <c r="H461" s="5">
        <v>28</v>
      </c>
      <c r="I461" s="5" t="s">
        <v>31</v>
      </c>
      <c r="J461" s="34" t="s">
        <v>214</v>
      </c>
      <c r="K461" s="31" t="s">
        <v>1115</v>
      </c>
      <c r="L461" s="5" t="s">
        <v>236</v>
      </c>
      <c r="M461" s="32">
        <v>10</v>
      </c>
      <c r="N461" s="6">
        <f t="shared" si="72"/>
        <v>10</v>
      </c>
      <c r="O461" s="4" t="s">
        <v>100</v>
      </c>
      <c r="P461" s="5" t="str">
        <f t="shared" si="73"/>
        <v>Bangalore</v>
      </c>
      <c r="Q461" s="5" t="str">
        <f t="shared" si="74"/>
        <v>Ent</v>
      </c>
      <c r="R461" s="6" t="str">
        <f t="shared" si="75"/>
        <v>Manipal</v>
      </c>
      <c r="S461" s="6" t="str">
        <f t="shared" si="76"/>
        <v>Debit Card</v>
      </c>
      <c r="T461" s="6" t="str">
        <f t="shared" si="77"/>
        <v>Male</v>
      </c>
      <c r="U461" s="6" t="str">
        <f t="shared" si="70"/>
        <v>ICU</v>
      </c>
      <c r="V461" s="6" t="str" cm="1">
        <f t="array" ref="V461">IF(TRIM(S461)="",INDEX($S$2:$S$1500,MATCH(MAX(COUNTIF($S$2:$S$1500,S461)),COUNTIF($S$2:$S$1500,$S$2:$S$1500),0)),S461)</f>
        <v>Debit Card</v>
      </c>
      <c r="W461" s="7" cm="1">
        <f t="array" ref="W461">IF(OR(TRIM(K461)="",TRIM(K461)="-"), MEDIAN(IF($E$2:$E$1500=E461,$K$2:$K$1500)),  VALUE(SUBSTITUTE(SUBSTITUTE(SUBSTITUTE(K461,"Rs. ",""),"₹",""),",","")))</f>
        <v>83148</v>
      </c>
      <c r="X461" s="8">
        <f t="shared" si="78"/>
        <v>10</v>
      </c>
      <c r="Y461" s="7">
        <f t="shared" si="79"/>
        <v>74833</v>
      </c>
      <c r="Z461" s="9" t="str">
        <f t="shared" si="71"/>
        <v>ADULT</v>
      </c>
    </row>
    <row r="462" spans="1:26" x14ac:dyDescent="0.3">
      <c r="A462" s="5" t="s">
        <v>1116</v>
      </c>
      <c r="B462" s="5" t="s">
        <v>106</v>
      </c>
      <c r="C462" s="5" t="s">
        <v>307</v>
      </c>
      <c r="D462" s="5" t="s">
        <v>189</v>
      </c>
      <c r="E462" s="5" t="s">
        <v>93</v>
      </c>
      <c r="F462" s="5" t="s">
        <v>121</v>
      </c>
      <c r="G462" s="5" t="s">
        <v>30</v>
      </c>
      <c r="H462" s="5">
        <v>3</v>
      </c>
      <c r="I462" s="5" t="s">
        <v>40</v>
      </c>
      <c r="J462" s="34" t="s">
        <v>509</v>
      </c>
      <c r="K462" s="31"/>
      <c r="L462" s="5" t="s">
        <v>23</v>
      </c>
      <c r="M462" s="32"/>
      <c r="N462" s="6">
        <f t="shared" si="72"/>
        <v>0</v>
      </c>
      <c r="O462" s="4" t="s">
        <v>121</v>
      </c>
      <c r="P462" s="5" t="str">
        <f t="shared" si="73"/>
        <v>Delhi</v>
      </c>
      <c r="Q462" s="5" t="str">
        <f t="shared" si="74"/>
        <v>Nephrology</v>
      </c>
      <c r="R462" s="6" t="str">
        <f t="shared" si="75"/>
        <v>Aiims</v>
      </c>
      <c r="S462" s="6" t="str">
        <f t="shared" si="76"/>
        <v>Credit Card</v>
      </c>
      <c r="T462" s="6" t="str">
        <f t="shared" si="77"/>
        <v>Female</v>
      </c>
      <c r="U462" s="6" t="str">
        <f t="shared" ref="U462:U525" si="80">IF(OR(UPPER(TRIM(G462))="GENERAL",UPPER(TRIM(G462))="GENRAL"),"General",IF(UPPER(TRIM(G462))="ICU","ICU","Unknown"))</f>
        <v>General</v>
      </c>
      <c r="V462" s="6" t="str" cm="1">
        <f t="array" ref="V462">IF(TRIM(S462)="",INDEX($S$2:$S$1500,MATCH(MAX(COUNTIF($S$2:$S$1500,S462)),COUNTIF($S$2:$S$1500,$S$2:$S$1500),0)),S462)</f>
        <v>Credit Card</v>
      </c>
      <c r="W462" s="7" cm="1">
        <f t="array" ref="W462">IF(OR(TRIM(K462)="",TRIM(K462)="-"), MEDIAN(IF($E$2:$E$1500=E462,$K$2:$K$1500)),  VALUE(SUBSTITUTE(SUBSTITUTE(SUBSTITUTE(K462,"Rs. ",""),"₹",""),",","")))</f>
        <v>12783</v>
      </c>
      <c r="X462" s="8">
        <f t="shared" si="78"/>
        <v>0</v>
      </c>
      <c r="Y462" s="7">
        <f t="shared" si="79"/>
        <v>12783</v>
      </c>
      <c r="Z462" s="9" t="str">
        <f t="shared" si="71"/>
        <v>CHILD</v>
      </c>
    </row>
    <row r="463" spans="1:26" x14ac:dyDescent="0.3">
      <c r="A463" s="5" t="s">
        <v>1117</v>
      </c>
      <c r="B463" s="5" t="s">
        <v>45</v>
      </c>
      <c r="C463" s="5" t="s">
        <v>46</v>
      </c>
      <c r="D463" s="5" t="s">
        <v>55</v>
      </c>
      <c r="E463" s="5" t="s">
        <v>67</v>
      </c>
      <c r="F463" s="5" t="s">
        <v>68</v>
      </c>
      <c r="G463" s="5" t="s">
        <v>30</v>
      </c>
      <c r="H463" s="5">
        <v>3</v>
      </c>
      <c r="I463" s="5" t="s">
        <v>31</v>
      </c>
      <c r="J463" s="34" t="s">
        <v>1118</v>
      </c>
      <c r="K463" s="31">
        <v>13113</v>
      </c>
      <c r="L463" s="5" t="s">
        <v>72</v>
      </c>
      <c r="M463" s="32">
        <v>0</v>
      </c>
      <c r="N463" s="6">
        <f t="shared" si="72"/>
        <v>0</v>
      </c>
      <c r="O463" s="4" t="s">
        <v>68</v>
      </c>
      <c r="P463" s="5" t="str">
        <f t="shared" si="73"/>
        <v>Hyderabad</v>
      </c>
      <c r="Q463" s="5" t="str">
        <f t="shared" si="74"/>
        <v>Neurology</v>
      </c>
      <c r="R463" s="6" t="str">
        <f t="shared" si="75"/>
        <v>Fortis</v>
      </c>
      <c r="S463" s="6" t="str">
        <f t="shared" si="76"/>
        <v>Cash</v>
      </c>
      <c r="T463" s="6" t="str">
        <f t="shared" si="77"/>
        <v>Male</v>
      </c>
      <c r="U463" s="6" t="str">
        <f t="shared" si="80"/>
        <v>General</v>
      </c>
      <c r="V463" s="6" t="str" cm="1">
        <f t="array" ref="V463">IF(TRIM(S463)="",INDEX($S$2:$S$1500,MATCH(MAX(COUNTIF($S$2:$S$1500,S463)),COUNTIF($S$2:$S$1500,$S$2:$S$1500),0)),S463)</f>
        <v>Cash</v>
      </c>
      <c r="W463" s="7" cm="1">
        <f t="array" ref="W463">IF(OR(TRIM(K463)="",TRIM(K463)="-"), MEDIAN(IF($E$2:$E$1500=E463,$K$2:$K$1500)),  VALUE(SUBSTITUTE(SUBSTITUTE(SUBSTITUTE(K463,"Rs. ",""),"₹",""),",","")))</f>
        <v>13113</v>
      </c>
      <c r="X463" s="8">
        <f t="shared" si="78"/>
        <v>0</v>
      </c>
      <c r="Y463" s="7">
        <f t="shared" si="79"/>
        <v>13113</v>
      </c>
      <c r="Z463" s="9" t="str">
        <f t="shared" si="71"/>
        <v>CHILD</v>
      </c>
    </row>
    <row r="464" spans="1:26" x14ac:dyDescent="0.3">
      <c r="A464" s="5" t="s">
        <v>1119</v>
      </c>
      <c r="B464" s="5" t="s">
        <v>45</v>
      </c>
      <c r="C464" s="5" t="s">
        <v>46</v>
      </c>
      <c r="D464" s="5" t="s">
        <v>80</v>
      </c>
      <c r="E464" s="5" t="s">
        <v>67</v>
      </c>
      <c r="F464" s="5" t="s">
        <v>89</v>
      </c>
      <c r="G464" s="5" t="s">
        <v>101</v>
      </c>
      <c r="H464" s="5">
        <v>1</v>
      </c>
      <c r="I464" s="5" t="s">
        <v>20</v>
      </c>
      <c r="J464" s="34" t="s">
        <v>1120</v>
      </c>
      <c r="K464" s="31">
        <v>44870</v>
      </c>
      <c r="L464" s="5" t="s">
        <v>87</v>
      </c>
      <c r="M464" s="32" t="s">
        <v>140</v>
      </c>
      <c r="N464" s="6" t="str">
        <f t="shared" si="72"/>
        <v>-</v>
      </c>
      <c r="O464" s="4" t="s">
        <v>89</v>
      </c>
      <c r="P464" s="5" t="str">
        <f t="shared" si="73"/>
        <v>Ahmedabad</v>
      </c>
      <c r="Q464" s="5" t="str">
        <f t="shared" si="74"/>
        <v>Neurology</v>
      </c>
      <c r="R464" s="6" t="str">
        <f t="shared" si="75"/>
        <v>Fortis</v>
      </c>
      <c r="S464" s="6" t="str">
        <f t="shared" si="76"/>
        <v>Credit Card</v>
      </c>
      <c r="T464" s="6" t="str">
        <f t="shared" si="77"/>
        <v>Male</v>
      </c>
      <c r="U464" s="6" t="str">
        <f t="shared" si="80"/>
        <v>ICU</v>
      </c>
      <c r="V464" s="6" t="str" cm="1">
        <f t="array" ref="V464">IF(TRIM(S464)="",INDEX($S$2:$S$1500,MATCH(MAX(COUNTIF($S$2:$S$1500,S464)),COUNTIF($S$2:$S$1500,$S$2:$S$1500),0)),S464)</f>
        <v>Credit Card</v>
      </c>
      <c r="W464" s="7" cm="1">
        <f t="array" ref="W464">IF(OR(TRIM(K464)="",TRIM(K464)="-"), MEDIAN(IF($E$2:$E$1500=E464,$K$2:$K$1500)),  VALUE(SUBSTITUTE(SUBSTITUTE(SUBSTITUTE(K464,"Rs. ",""),"₹",""),",","")))</f>
        <v>44870</v>
      </c>
      <c r="X464" s="8">
        <f t="shared" si="78"/>
        <v>3</v>
      </c>
      <c r="Y464" s="7">
        <f t="shared" si="79"/>
        <v>43524</v>
      </c>
      <c r="Z464" s="9" t="str">
        <f t="shared" si="71"/>
        <v>CHILD</v>
      </c>
    </row>
    <row r="465" spans="1:26" x14ac:dyDescent="0.3">
      <c r="A465" s="5" t="s">
        <v>1121</v>
      </c>
      <c r="B465" s="5" t="s">
        <v>14</v>
      </c>
      <c r="C465" s="5" t="s">
        <v>60</v>
      </c>
      <c r="D465" s="5" t="s">
        <v>27</v>
      </c>
      <c r="E465" s="5" t="s">
        <v>108</v>
      </c>
      <c r="F465" s="5" t="s">
        <v>308</v>
      </c>
      <c r="G465" s="5" t="s">
        <v>49</v>
      </c>
      <c r="H465" s="5">
        <v>36</v>
      </c>
      <c r="I465" s="5" t="s">
        <v>40</v>
      </c>
      <c r="J465" s="34" t="s">
        <v>1036</v>
      </c>
      <c r="K465" s="31">
        <v>16275</v>
      </c>
      <c r="L465" s="5" t="s">
        <v>34</v>
      </c>
      <c r="M465" s="32" t="s">
        <v>64</v>
      </c>
      <c r="N465" s="6" t="str">
        <f t="shared" si="72"/>
        <v>NA</v>
      </c>
      <c r="O465" s="4" t="s">
        <v>308</v>
      </c>
      <c r="P465" s="5" t="str">
        <f t="shared" si="73"/>
        <v>Mumbai</v>
      </c>
      <c r="Q465" s="5" t="str">
        <f t="shared" si="74"/>
        <v>Orthopedics</v>
      </c>
      <c r="R465" s="6" t="str">
        <f t="shared" si="75"/>
        <v>Max_Healthcare</v>
      </c>
      <c r="S465" s="6" t="str">
        <f t="shared" si="76"/>
        <v>Cash</v>
      </c>
      <c r="T465" s="6" t="str">
        <f t="shared" si="77"/>
        <v>Female</v>
      </c>
      <c r="U465" s="6" t="str">
        <f t="shared" si="80"/>
        <v>General</v>
      </c>
      <c r="V465" s="6" t="str" cm="1">
        <f t="array" ref="V465">IF(TRIM(S465)="",INDEX($S$2:$S$1500,MATCH(MAX(COUNTIF($S$2:$S$1500,S465)),COUNTIF($S$2:$S$1500,$S$2:$S$1500),0)),S465)</f>
        <v>Cash</v>
      </c>
      <c r="W465" s="7" cm="1">
        <f t="array" ref="W465">IF(OR(TRIM(K465)="",TRIM(K465)="-"), MEDIAN(IF($E$2:$E$1500=E465,$K$2:$K$1500)),  VALUE(SUBSTITUTE(SUBSTITUTE(SUBSTITUTE(K465,"Rs. ",""),"₹",""),",","")))</f>
        <v>16275</v>
      </c>
      <c r="X465" s="8">
        <f t="shared" si="78"/>
        <v>3</v>
      </c>
      <c r="Y465" s="7">
        <f t="shared" si="79"/>
        <v>15787</v>
      </c>
      <c r="Z465" s="9" t="str">
        <f t="shared" si="71"/>
        <v>ADULT</v>
      </c>
    </row>
    <row r="466" spans="1:26" x14ac:dyDescent="0.3">
      <c r="A466" s="5" t="s">
        <v>1122</v>
      </c>
      <c r="B466" s="5" t="s">
        <v>45</v>
      </c>
      <c r="C466" s="5" t="s">
        <v>46</v>
      </c>
      <c r="D466" s="5" t="s">
        <v>16</v>
      </c>
      <c r="E466" s="5" t="s">
        <v>67</v>
      </c>
      <c r="F466" s="5" t="s">
        <v>85</v>
      </c>
      <c r="G466" s="5" t="s">
        <v>30</v>
      </c>
      <c r="H466" s="5">
        <v>68</v>
      </c>
      <c r="I466" s="5" t="s">
        <v>70</v>
      </c>
      <c r="J466" s="34" t="s">
        <v>190</v>
      </c>
      <c r="K466" s="31" t="s">
        <v>1123</v>
      </c>
      <c r="L466" s="5" t="s">
        <v>72</v>
      </c>
      <c r="M466" s="32" t="s">
        <v>130</v>
      </c>
      <c r="N466" s="6">
        <f t="shared" si="72"/>
        <v>0</v>
      </c>
      <c r="O466" s="4" t="s">
        <v>85</v>
      </c>
      <c r="P466" s="5" t="str">
        <f t="shared" si="73"/>
        <v>Bangalore</v>
      </c>
      <c r="Q466" s="5" t="str">
        <f t="shared" si="74"/>
        <v>Neurology</v>
      </c>
      <c r="R466" s="6" t="str">
        <f t="shared" si="75"/>
        <v>Fortis</v>
      </c>
      <c r="S466" s="6" t="str">
        <f t="shared" si="76"/>
        <v>Cash</v>
      </c>
      <c r="T466" s="6" t="str">
        <f t="shared" si="77"/>
        <v>Female</v>
      </c>
      <c r="U466" s="6" t="str">
        <f t="shared" si="80"/>
        <v>General</v>
      </c>
      <c r="V466" s="6" t="str" cm="1">
        <f t="array" ref="V466">IF(TRIM(S466)="",INDEX($S$2:$S$1500,MATCH(MAX(COUNTIF($S$2:$S$1500,S466)),COUNTIF($S$2:$S$1500,$S$2:$S$1500),0)),S466)</f>
        <v>Cash</v>
      </c>
      <c r="W466" s="7" cm="1">
        <f t="array" ref="W466">IF(OR(TRIM(K466)="",TRIM(K466)="-"), MEDIAN(IF($E$2:$E$1500=E466,$K$2:$K$1500)),  VALUE(SUBSTITUTE(SUBSTITUTE(SUBSTITUTE(K466,"Rs. ",""),"₹",""),",","")))</f>
        <v>9873</v>
      </c>
      <c r="X466" s="8">
        <f t="shared" si="78"/>
        <v>0</v>
      </c>
      <c r="Y466" s="7">
        <f t="shared" si="79"/>
        <v>9873</v>
      </c>
      <c r="Z466" s="9" t="str">
        <f t="shared" si="71"/>
        <v>SENIOR</v>
      </c>
    </row>
    <row r="467" spans="1:26" x14ac:dyDescent="0.3">
      <c r="A467" s="5" t="s">
        <v>1124</v>
      </c>
      <c r="B467" s="5" t="s">
        <v>106</v>
      </c>
      <c r="C467" s="5" t="s">
        <v>307</v>
      </c>
      <c r="D467" s="5" t="s">
        <v>55</v>
      </c>
      <c r="E467" s="5" t="s">
        <v>108</v>
      </c>
      <c r="F467" s="5" t="s">
        <v>308</v>
      </c>
      <c r="G467" s="5" t="s">
        <v>39</v>
      </c>
      <c r="H467" s="5">
        <v>4</v>
      </c>
      <c r="I467" s="5" t="s">
        <v>70</v>
      </c>
      <c r="J467" s="34" t="s">
        <v>133</v>
      </c>
      <c r="K467" s="31" t="s">
        <v>1125</v>
      </c>
      <c r="L467" s="5" t="s">
        <v>149</v>
      </c>
      <c r="M467" s="32">
        <v>35</v>
      </c>
      <c r="N467" s="6">
        <f t="shared" si="72"/>
        <v>35</v>
      </c>
      <c r="O467" s="4" t="s">
        <v>308</v>
      </c>
      <c r="P467" s="5" t="str">
        <f t="shared" si="73"/>
        <v>Hyderabad</v>
      </c>
      <c r="Q467" s="5" t="str">
        <f t="shared" si="74"/>
        <v>Orthopedics</v>
      </c>
      <c r="R467" s="6" t="str">
        <f t="shared" si="75"/>
        <v>Aiims</v>
      </c>
      <c r="S467" s="6" t="str">
        <f t="shared" si="76"/>
        <v>Insurance</v>
      </c>
      <c r="T467" s="6" t="str">
        <f t="shared" si="77"/>
        <v>Female</v>
      </c>
      <c r="U467" s="6" t="str">
        <f t="shared" si="80"/>
        <v>General</v>
      </c>
      <c r="V467" s="6" t="str" cm="1">
        <f t="array" ref="V467">IF(TRIM(S467)="",INDEX($S$2:$S$1500,MATCH(MAX(COUNTIF($S$2:$S$1500,S467)),COUNTIF($S$2:$S$1500,$S$2:$S$1500),0)),S467)</f>
        <v>Insurance</v>
      </c>
      <c r="W467" s="7" cm="1">
        <f t="array" ref="W467">IF(OR(TRIM(K467)="",TRIM(K467)="-"), MEDIAN(IF($E$2:$E$1500=E467,$K$2:$K$1500)),  VALUE(SUBSTITUTE(SUBSTITUTE(SUBSTITUTE(K467,"Rs. ",""),"₹",""),",","")))</f>
        <v>5633</v>
      </c>
      <c r="X467" s="8">
        <f t="shared" si="78"/>
        <v>35</v>
      </c>
      <c r="Y467" s="7">
        <f t="shared" si="79"/>
        <v>3661</v>
      </c>
      <c r="Z467" s="9" t="str">
        <f t="shared" si="71"/>
        <v>CHILD</v>
      </c>
    </row>
    <row r="468" spans="1:26" x14ac:dyDescent="0.3">
      <c r="A468" s="5" t="s">
        <v>1126</v>
      </c>
      <c r="B468" s="5" t="s">
        <v>106</v>
      </c>
      <c r="C468" s="5" t="s">
        <v>107</v>
      </c>
      <c r="D468" s="5" t="s">
        <v>61</v>
      </c>
      <c r="E468" s="5" t="s">
        <v>47</v>
      </c>
      <c r="F468" s="5" t="s">
        <v>364</v>
      </c>
      <c r="G468" s="5" t="s">
        <v>30</v>
      </c>
      <c r="H468" s="5">
        <v>88</v>
      </c>
      <c r="I468" s="5" t="s">
        <v>31</v>
      </c>
      <c r="J468" s="34" t="s">
        <v>21</v>
      </c>
      <c r="K468" s="31">
        <v>4469</v>
      </c>
      <c r="L468" s="5" t="s">
        <v>115</v>
      </c>
      <c r="M468" s="32" t="s">
        <v>198</v>
      </c>
      <c r="N468" s="6">
        <f t="shared" si="72"/>
        <v>5</v>
      </c>
      <c r="O468" s="4" t="s">
        <v>364</v>
      </c>
      <c r="P468" s="5" t="str">
        <f t="shared" si="73"/>
        <v>Pune</v>
      </c>
      <c r="Q468" s="5" t="str">
        <f t="shared" si="74"/>
        <v>Gastroenterology</v>
      </c>
      <c r="R468" s="6" t="str">
        <f t="shared" si="75"/>
        <v>Aiims</v>
      </c>
      <c r="S468" s="6" t="str">
        <f t="shared" si="76"/>
        <v>Cash</v>
      </c>
      <c r="T468" s="6" t="str">
        <f t="shared" si="77"/>
        <v>Male</v>
      </c>
      <c r="U468" s="6" t="str">
        <f t="shared" si="80"/>
        <v>General</v>
      </c>
      <c r="V468" s="6" t="str" cm="1">
        <f t="array" ref="V468">IF(TRIM(S468)="",INDEX($S$2:$S$1500,MATCH(MAX(COUNTIF($S$2:$S$1500,S468)),COUNTIF($S$2:$S$1500,$S$2:$S$1500),0)),S468)</f>
        <v>Cash</v>
      </c>
      <c r="W468" s="7" cm="1">
        <f t="array" ref="W468">IF(OR(TRIM(K468)="",TRIM(K468)="-"), MEDIAN(IF($E$2:$E$1500=E468,$K$2:$K$1500)),  VALUE(SUBSTITUTE(SUBSTITUTE(SUBSTITUTE(K468,"Rs. ",""),"₹",""),",","")))</f>
        <v>4469</v>
      </c>
      <c r="X468" s="8">
        <f t="shared" si="78"/>
        <v>5</v>
      </c>
      <c r="Y468" s="7">
        <f t="shared" si="79"/>
        <v>4246</v>
      </c>
      <c r="Z468" s="9" t="str">
        <f t="shared" si="71"/>
        <v>SENIOR</v>
      </c>
    </row>
    <row r="469" spans="1:26" x14ac:dyDescent="0.3">
      <c r="A469" s="5" t="s">
        <v>1127</v>
      </c>
      <c r="B469" s="5" t="s">
        <v>117</v>
      </c>
      <c r="C469" s="5" t="s">
        <v>118</v>
      </c>
      <c r="D469" s="5" t="s">
        <v>36</v>
      </c>
      <c r="E469" s="5" t="s">
        <v>108</v>
      </c>
      <c r="F469" s="5" t="s">
        <v>109</v>
      </c>
      <c r="G469" s="5" t="s">
        <v>69</v>
      </c>
      <c r="H469" s="5">
        <v>39</v>
      </c>
      <c r="I469" s="5" t="s">
        <v>40</v>
      </c>
      <c r="J469" s="34" t="s">
        <v>1128</v>
      </c>
      <c r="K469" s="31">
        <v>54587</v>
      </c>
      <c r="L469" s="5" t="s">
        <v>97</v>
      </c>
      <c r="M469" s="32">
        <v>0.05</v>
      </c>
      <c r="N469" s="6">
        <f t="shared" si="72"/>
        <v>5</v>
      </c>
      <c r="O469" s="4" t="s">
        <v>109</v>
      </c>
      <c r="P469" s="5" t="str">
        <f t="shared" si="73"/>
        <v>Chennai</v>
      </c>
      <c r="Q469" s="5" t="str">
        <f t="shared" si="74"/>
        <v>Orthopedics</v>
      </c>
      <c r="R469" s="6" t="str">
        <f t="shared" si="75"/>
        <v>Manipal</v>
      </c>
      <c r="S469" s="6" t="str">
        <f t="shared" si="76"/>
        <v>UPI</v>
      </c>
      <c r="T469" s="6" t="str">
        <f t="shared" si="77"/>
        <v>Female</v>
      </c>
      <c r="U469" s="6" t="str">
        <f t="shared" si="80"/>
        <v>ICU</v>
      </c>
      <c r="V469" s="6" t="str" cm="1">
        <f t="array" ref="V469">IF(TRIM(S469)="",INDEX($S$2:$S$1500,MATCH(MAX(COUNTIF($S$2:$S$1500,S469)),COUNTIF($S$2:$S$1500,$S$2:$S$1500),0)),S469)</f>
        <v>UPI</v>
      </c>
      <c r="W469" s="7" cm="1">
        <f t="array" ref="W469">IF(OR(TRIM(K469)="",TRIM(K469)="-"), MEDIAN(IF($E$2:$E$1500=E469,$K$2:$K$1500)),  VALUE(SUBSTITUTE(SUBSTITUTE(SUBSTITUTE(K469,"Rs. ",""),"₹",""),",","")))</f>
        <v>54587</v>
      </c>
      <c r="X469" s="8">
        <f t="shared" si="78"/>
        <v>5</v>
      </c>
      <c r="Y469" s="7">
        <f t="shared" si="79"/>
        <v>51858</v>
      </c>
      <c r="Z469" s="9" t="str">
        <f t="shared" si="71"/>
        <v>ADULT</v>
      </c>
    </row>
    <row r="470" spans="1:26" x14ac:dyDescent="0.3">
      <c r="A470" s="5" t="s">
        <v>1129</v>
      </c>
      <c r="B470" s="5" t="s">
        <v>106</v>
      </c>
      <c r="C470" s="5" t="s">
        <v>307</v>
      </c>
      <c r="D470" s="5" t="s">
        <v>80</v>
      </c>
      <c r="E470" s="5" t="s">
        <v>67</v>
      </c>
      <c r="F470" s="5" t="s">
        <v>85</v>
      </c>
      <c r="G470" s="5" t="s">
        <v>39</v>
      </c>
      <c r="H470" s="5">
        <v>10</v>
      </c>
      <c r="I470" s="5" t="s">
        <v>40</v>
      </c>
      <c r="J470" s="34" t="s">
        <v>402</v>
      </c>
      <c r="K470" s="31">
        <v>17548</v>
      </c>
      <c r="L470" s="5" t="s">
        <v>34</v>
      </c>
      <c r="M470" s="32">
        <v>5</v>
      </c>
      <c r="N470" s="6">
        <f t="shared" si="72"/>
        <v>5</v>
      </c>
      <c r="O470" s="4" t="s">
        <v>85</v>
      </c>
      <c r="P470" s="5" t="str">
        <f t="shared" si="73"/>
        <v>Ahmedabad</v>
      </c>
      <c r="Q470" s="5" t="str">
        <f t="shared" si="74"/>
        <v>Neurology</v>
      </c>
      <c r="R470" s="6" t="str">
        <f t="shared" si="75"/>
        <v>Aiims</v>
      </c>
      <c r="S470" s="6" t="str">
        <f t="shared" si="76"/>
        <v>Cash</v>
      </c>
      <c r="T470" s="6" t="str">
        <f t="shared" si="77"/>
        <v>Female</v>
      </c>
      <c r="U470" s="6" t="str">
        <f t="shared" si="80"/>
        <v>General</v>
      </c>
      <c r="V470" s="6" t="str" cm="1">
        <f t="array" ref="V470">IF(TRIM(S470)="",INDEX($S$2:$S$1500,MATCH(MAX(COUNTIF($S$2:$S$1500,S470)),COUNTIF($S$2:$S$1500,$S$2:$S$1500),0)),S470)</f>
        <v>Cash</v>
      </c>
      <c r="W470" s="7" cm="1">
        <f t="array" ref="W470">IF(OR(TRIM(K470)="",TRIM(K470)="-"), MEDIAN(IF($E$2:$E$1500=E470,$K$2:$K$1500)),  VALUE(SUBSTITUTE(SUBSTITUTE(SUBSTITUTE(K470,"Rs. ",""),"₹",""),",","")))</f>
        <v>17548</v>
      </c>
      <c r="X470" s="8">
        <f t="shared" si="78"/>
        <v>5</v>
      </c>
      <c r="Y470" s="7">
        <f t="shared" si="79"/>
        <v>16671</v>
      </c>
      <c r="Z470" s="9" t="str">
        <f t="shared" si="71"/>
        <v>CHILD</v>
      </c>
    </row>
    <row r="471" spans="1:26" x14ac:dyDescent="0.3">
      <c r="A471" s="5" t="s">
        <v>1130</v>
      </c>
      <c r="B471" s="5" t="s">
        <v>106</v>
      </c>
      <c r="C471" s="5" t="s">
        <v>107</v>
      </c>
      <c r="D471" s="5" t="s">
        <v>27</v>
      </c>
      <c r="E471" s="5" t="s">
        <v>37</v>
      </c>
      <c r="F471" s="5" t="s">
        <v>56</v>
      </c>
      <c r="G471" s="5" t="s">
        <v>19</v>
      </c>
      <c r="H471" s="5">
        <v>53</v>
      </c>
      <c r="I471" s="5" t="s">
        <v>40</v>
      </c>
      <c r="J471" s="34" t="s">
        <v>1131</v>
      </c>
      <c r="K471" s="31" t="s">
        <v>1132</v>
      </c>
      <c r="L471" s="5" t="s">
        <v>167</v>
      </c>
      <c r="M471" s="32" t="s">
        <v>227</v>
      </c>
      <c r="N471" s="6">
        <f t="shared" si="72"/>
        <v>25</v>
      </c>
      <c r="O471" s="4" t="s">
        <v>56</v>
      </c>
      <c r="P471" s="5" t="str">
        <f t="shared" si="73"/>
        <v>Mumbai</v>
      </c>
      <c r="Q471" s="5" t="str">
        <f t="shared" si="74"/>
        <v>Pediatrics</v>
      </c>
      <c r="R471" s="6" t="str">
        <f t="shared" si="75"/>
        <v>Aiims</v>
      </c>
      <c r="S471" s="6" t="str">
        <f t="shared" si="76"/>
        <v>Insurance</v>
      </c>
      <c r="T471" s="6" t="str">
        <f t="shared" si="77"/>
        <v>Female</v>
      </c>
      <c r="U471" s="6" t="str">
        <f t="shared" si="80"/>
        <v>General</v>
      </c>
      <c r="V471" s="6" t="str" cm="1">
        <f t="array" ref="V471">IF(TRIM(S471)="",INDEX($S$2:$S$1500,MATCH(MAX(COUNTIF($S$2:$S$1500,S471)),COUNTIF($S$2:$S$1500,$S$2:$S$1500),0)),S471)</f>
        <v>Insurance</v>
      </c>
      <c r="W471" s="7" cm="1">
        <f t="array" ref="W471">IF(OR(TRIM(K471)="",TRIM(K471)="-"), MEDIAN(IF($E$2:$E$1500=E471,$K$2:$K$1500)),  VALUE(SUBSTITUTE(SUBSTITUTE(SUBSTITUTE(K471,"Rs. ",""),"₹",""),",","")))</f>
        <v>3171</v>
      </c>
      <c r="X471" s="8">
        <f t="shared" si="78"/>
        <v>25</v>
      </c>
      <c r="Y471" s="7">
        <f t="shared" si="79"/>
        <v>2378</v>
      </c>
      <c r="Z471" s="9" t="str">
        <f t="shared" si="71"/>
        <v>ADULT</v>
      </c>
    </row>
    <row r="472" spans="1:26" x14ac:dyDescent="0.3">
      <c r="A472" s="5" t="s">
        <v>1133</v>
      </c>
      <c r="B472" s="5" t="s">
        <v>25</v>
      </c>
      <c r="C472" s="5" t="s">
        <v>54</v>
      </c>
      <c r="D472" s="5" t="s">
        <v>80</v>
      </c>
      <c r="E472" s="5" t="s">
        <v>47</v>
      </c>
      <c r="F472" s="5" t="s">
        <v>461</v>
      </c>
      <c r="G472" s="5" t="s">
        <v>30</v>
      </c>
      <c r="H472" s="5">
        <v>43</v>
      </c>
      <c r="I472" s="5" t="s">
        <v>70</v>
      </c>
      <c r="J472" s="34" t="s">
        <v>148</v>
      </c>
      <c r="K472" s="31" t="s">
        <v>1134</v>
      </c>
      <c r="L472" s="5" t="s">
        <v>115</v>
      </c>
      <c r="M472" s="32" t="s">
        <v>130</v>
      </c>
      <c r="N472" s="6">
        <f t="shared" si="72"/>
        <v>0</v>
      </c>
      <c r="O472" s="4" t="s">
        <v>461</v>
      </c>
      <c r="P472" s="5" t="str">
        <f t="shared" si="73"/>
        <v>Ahmedabad</v>
      </c>
      <c r="Q472" s="5" t="str">
        <f t="shared" si="74"/>
        <v>Gastroenterology</v>
      </c>
      <c r="R472" s="6" t="str">
        <f t="shared" si="75"/>
        <v>Narayana</v>
      </c>
      <c r="S472" s="6" t="str">
        <f t="shared" si="76"/>
        <v>Cash</v>
      </c>
      <c r="T472" s="6" t="str">
        <f t="shared" si="77"/>
        <v>Female</v>
      </c>
      <c r="U472" s="6" t="str">
        <f t="shared" si="80"/>
        <v>General</v>
      </c>
      <c r="V472" s="6" t="str" cm="1">
        <f t="array" ref="V472">IF(TRIM(S472)="",INDEX($S$2:$S$1500,MATCH(MAX(COUNTIF($S$2:$S$1500,S472)),COUNTIF($S$2:$S$1500,$S$2:$S$1500),0)),S472)</f>
        <v>Cash</v>
      </c>
      <c r="W472" s="7" cm="1">
        <f t="array" ref="W472">IF(OR(TRIM(K472)="",TRIM(K472)="-"), MEDIAN(IF($E$2:$E$1500=E472,$K$2:$K$1500)),  VALUE(SUBSTITUTE(SUBSTITUTE(SUBSTITUTE(K472,"Rs. ",""),"₹",""),",","")))</f>
        <v>7681</v>
      </c>
      <c r="X472" s="8">
        <f t="shared" si="78"/>
        <v>0</v>
      </c>
      <c r="Y472" s="7">
        <f t="shared" si="79"/>
        <v>7681</v>
      </c>
      <c r="Z472" s="9" t="str">
        <f t="shared" si="71"/>
        <v>ADULT</v>
      </c>
    </row>
    <row r="473" spans="1:26" x14ac:dyDescent="0.3">
      <c r="A473" s="5" t="s">
        <v>1135</v>
      </c>
      <c r="B473" s="5" t="s">
        <v>14</v>
      </c>
      <c r="C473" s="5" t="s">
        <v>15</v>
      </c>
      <c r="D473" s="5" t="s">
        <v>61</v>
      </c>
      <c r="E473" s="5" t="s">
        <v>93</v>
      </c>
      <c r="F473" s="5" t="s">
        <v>94</v>
      </c>
      <c r="G473" s="5" t="s">
        <v>30</v>
      </c>
      <c r="H473" s="5">
        <v>29</v>
      </c>
      <c r="I473" s="5" t="s">
        <v>40</v>
      </c>
      <c r="J473" s="34" t="s">
        <v>57</v>
      </c>
      <c r="K473" s="31" t="s">
        <v>1136</v>
      </c>
      <c r="L473" s="5" t="s">
        <v>72</v>
      </c>
      <c r="M473" s="32">
        <v>5</v>
      </c>
      <c r="N473" s="6">
        <f t="shared" si="72"/>
        <v>5</v>
      </c>
      <c r="O473" s="4" t="s">
        <v>94</v>
      </c>
      <c r="P473" s="5" t="str">
        <f t="shared" si="73"/>
        <v>Pune</v>
      </c>
      <c r="Q473" s="5" t="str">
        <f t="shared" si="74"/>
        <v>Nephrology</v>
      </c>
      <c r="R473" s="6" t="str">
        <f t="shared" si="75"/>
        <v>Max_Healthcare</v>
      </c>
      <c r="S473" s="6" t="str">
        <f t="shared" si="76"/>
        <v>Cash</v>
      </c>
      <c r="T473" s="6" t="str">
        <f t="shared" si="77"/>
        <v>Female</v>
      </c>
      <c r="U473" s="6" t="str">
        <f t="shared" si="80"/>
        <v>General</v>
      </c>
      <c r="V473" s="6" t="str" cm="1">
        <f t="array" ref="V473">IF(TRIM(S473)="",INDEX($S$2:$S$1500,MATCH(MAX(COUNTIF($S$2:$S$1500,S473)),COUNTIF($S$2:$S$1500,$S$2:$S$1500),0)),S473)</f>
        <v>Cash</v>
      </c>
      <c r="W473" s="7" cm="1">
        <f t="array" ref="W473">IF(OR(TRIM(K473)="",TRIM(K473)="-"), MEDIAN(IF($E$2:$E$1500=E473,$K$2:$K$1500)),  VALUE(SUBSTITUTE(SUBSTITUTE(SUBSTITUTE(K473,"Rs. ",""),"₹",""),",","")))</f>
        <v>8838</v>
      </c>
      <c r="X473" s="8">
        <f t="shared" si="78"/>
        <v>5</v>
      </c>
      <c r="Y473" s="7">
        <f t="shared" si="79"/>
        <v>8396</v>
      </c>
      <c r="Z473" s="9" t="str">
        <f t="shared" si="71"/>
        <v>ADULT</v>
      </c>
    </row>
    <row r="474" spans="1:26" x14ac:dyDescent="0.3">
      <c r="A474" s="5" t="s">
        <v>1137</v>
      </c>
      <c r="B474" s="5" t="s">
        <v>117</v>
      </c>
      <c r="C474" s="5" t="s">
        <v>118</v>
      </c>
      <c r="D474" s="5" t="s">
        <v>66</v>
      </c>
      <c r="E474" s="5" t="s">
        <v>108</v>
      </c>
      <c r="F474" s="5" t="s">
        <v>124</v>
      </c>
      <c r="G474" s="5" t="s">
        <v>69</v>
      </c>
      <c r="H474" s="5">
        <v>29</v>
      </c>
      <c r="I474" s="5" t="s">
        <v>40</v>
      </c>
      <c r="J474" s="34" t="s">
        <v>848</v>
      </c>
      <c r="K474" s="31" t="s">
        <v>1138</v>
      </c>
      <c r="L474" s="5" t="s">
        <v>167</v>
      </c>
      <c r="M474" s="32">
        <v>5</v>
      </c>
      <c r="N474" s="6">
        <f t="shared" si="72"/>
        <v>5</v>
      </c>
      <c r="O474" s="4" t="s">
        <v>124</v>
      </c>
      <c r="P474" s="5" t="str">
        <f t="shared" si="73"/>
        <v>Kolkata</v>
      </c>
      <c r="Q474" s="5" t="str">
        <f t="shared" si="74"/>
        <v>Orthopedics</v>
      </c>
      <c r="R474" s="6" t="str">
        <f t="shared" si="75"/>
        <v>Manipal</v>
      </c>
      <c r="S474" s="6" t="str">
        <f t="shared" si="76"/>
        <v>Insurance</v>
      </c>
      <c r="T474" s="6" t="str">
        <f t="shared" si="77"/>
        <v>Female</v>
      </c>
      <c r="U474" s="6" t="str">
        <f t="shared" si="80"/>
        <v>ICU</v>
      </c>
      <c r="V474" s="6" t="str" cm="1">
        <f t="array" ref="V474">IF(TRIM(S474)="",INDEX($S$2:$S$1500,MATCH(MAX(COUNTIF($S$2:$S$1500,S474)),COUNTIF($S$2:$S$1500,$S$2:$S$1500),0)),S474)</f>
        <v>Insurance</v>
      </c>
      <c r="W474" s="7" cm="1">
        <f t="array" ref="W474">IF(OR(TRIM(K474)="",TRIM(K474)="-"), MEDIAN(IF($E$2:$E$1500=E474,$K$2:$K$1500)),  VALUE(SUBSTITUTE(SUBSTITUTE(SUBSTITUTE(K474,"Rs. ",""),"₹",""),",","")))</f>
        <v>82646</v>
      </c>
      <c r="X474" s="8">
        <f t="shared" si="78"/>
        <v>5</v>
      </c>
      <c r="Y474" s="7">
        <f t="shared" si="79"/>
        <v>78514</v>
      </c>
      <c r="Z474" s="9" t="str">
        <f t="shared" si="71"/>
        <v>ADULT</v>
      </c>
    </row>
    <row r="475" spans="1:26" x14ac:dyDescent="0.3">
      <c r="A475" s="5" t="s">
        <v>1139</v>
      </c>
      <c r="B475" s="5" t="s">
        <v>45</v>
      </c>
      <c r="C475" s="5" t="s">
        <v>46</v>
      </c>
      <c r="D475" s="5" t="s">
        <v>80</v>
      </c>
      <c r="E475" s="5" t="s">
        <v>47</v>
      </c>
      <c r="F475" s="5" t="s">
        <v>175</v>
      </c>
      <c r="G475" s="5" t="s">
        <v>39</v>
      </c>
      <c r="H475" s="5">
        <v>14</v>
      </c>
      <c r="I475" s="5" t="s">
        <v>40</v>
      </c>
      <c r="J475" s="34" t="s">
        <v>1140</v>
      </c>
      <c r="K475" s="31" t="s">
        <v>1141</v>
      </c>
      <c r="L475" s="5" t="s">
        <v>42</v>
      </c>
      <c r="M475" s="32">
        <v>40</v>
      </c>
      <c r="N475" s="6">
        <f t="shared" si="72"/>
        <v>40</v>
      </c>
      <c r="O475" s="4" t="s">
        <v>175</v>
      </c>
      <c r="P475" s="5" t="str">
        <f t="shared" si="73"/>
        <v>Ahmedabad</v>
      </c>
      <c r="Q475" s="5" t="str">
        <f t="shared" si="74"/>
        <v>Gastroenterology</v>
      </c>
      <c r="R475" s="6" t="str">
        <f t="shared" si="75"/>
        <v>Fortis</v>
      </c>
      <c r="S475" s="6" t="str">
        <f t="shared" si="76"/>
        <v>Insurance</v>
      </c>
      <c r="T475" s="6" t="str">
        <f t="shared" si="77"/>
        <v>Female</v>
      </c>
      <c r="U475" s="6" t="str">
        <f t="shared" si="80"/>
        <v>General</v>
      </c>
      <c r="V475" s="6" t="str" cm="1">
        <f t="array" ref="V475">IF(TRIM(S475)="",INDEX($S$2:$S$1500,MATCH(MAX(COUNTIF($S$2:$S$1500,S475)),COUNTIF($S$2:$S$1500,$S$2:$S$1500),0)),S475)</f>
        <v>Insurance</v>
      </c>
      <c r="W475" s="7" cm="1">
        <f t="array" ref="W475">IF(OR(TRIM(K475)="",TRIM(K475)="-"), MEDIAN(IF($E$2:$E$1500=E475,$K$2:$K$1500)),  VALUE(SUBSTITUTE(SUBSTITUTE(SUBSTITUTE(K475,"Rs. ",""),"₹",""),",","")))</f>
        <v>10683</v>
      </c>
      <c r="X475" s="8">
        <f t="shared" si="78"/>
        <v>40</v>
      </c>
      <c r="Y475" s="7">
        <f t="shared" si="79"/>
        <v>6410</v>
      </c>
      <c r="Z475" s="9" t="str">
        <f t="shared" si="71"/>
        <v>TEEN</v>
      </c>
    </row>
    <row r="476" spans="1:26" x14ac:dyDescent="0.3">
      <c r="A476" s="5" t="s">
        <v>1142</v>
      </c>
      <c r="B476" s="5" t="s">
        <v>106</v>
      </c>
      <c r="C476" s="5" t="s">
        <v>107</v>
      </c>
      <c r="D476" s="5" t="s">
        <v>16</v>
      </c>
      <c r="E476" s="5" t="s">
        <v>28</v>
      </c>
      <c r="F476" s="5" t="s">
        <v>290</v>
      </c>
      <c r="G476" s="5" t="s">
        <v>49</v>
      </c>
      <c r="H476" s="5">
        <v>18</v>
      </c>
      <c r="I476" s="5" t="s">
        <v>40</v>
      </c>
      <c r="J476" s="34" t="s">
        <v>1143</v>
      </c>
      <c r="K476" s="31" t="s">
        <v>1144</v>
      </c>
      <c r="L476" s="5" t="s">
        <v>211</v>
      </c>
      <c r="M476" s="32">
        <v>0</v>
      </c>
      <c r="N476" s="6">
        <f t="shared" si="72"/>
        <v>0</v>
      </c>
      <c r="O476" s="4" t="s">
        <v>290</v>
      </c>
      <c r="P476" s="5" t="str">
        <f t="shared" si="73"/>
        <v>Bangalore</v>
      </c>
      <c r="Q476" s="5" t="str">
        <f t="shared" si="74"/>
        <v>Oncology</v>
      </c>
      <c r="R476" s="6" t="str">
        <f t="shared" si="75"/>
        <v>Aiims</v>
      </c>
      <c r="S476" s="6" t="str">
        <f t="shared" si="76"/>
        <v>Credit Card</v>
      </c>
      <c r="T476" s="6" t="str">
        <f t="shared" si="77"/>
        <v>Female</v>
      </c>
      <c r="U476" s="6" t="str">
        <f t="shared" si="80"/>
        <v>General</v>
      </c>
      <c r="V476" s="6" t="str" cm="1">
        <f t="array" ref="V476">IF(TRIM(S476)="",INDEX($S$2:$S$1500,MATCH(MAX(COUNTIF($S$2:$S$1500,S476)),COUNTIF($S$2:$S$1500,$S$2:$S$1500),0)),S476)</f>
        <v>Credit Card</v>
      </c>
      <c r="W476" s="7" cm="1">
        <f t="array" ref="W476">IF(OR(TRIM(K476)="",TRIM(K476)="-"), MEDIAN(IF($E$2:$E$1500=E476,$K$2:$K$1500)),  VALUE(SUBSTITUTE(SUBSTITUTE(SUBSTITUTE(K476,"Rs. ",""),"₹",""),",","")))</f>
        <v>7616</v>
      </c>
      <c r="X476" s="8">
        <f t="shared" si="78"/>
        <v>0</v>
      </c>
      <c r="Y476" s="7">
        <f t="shared" si="79"/>
        <v>7616</v>
      </c>
      <c r="Z476" s="9" t="str">
        <f t="shared" si="71"/>
        <v>TEEN</v>
      </c>
    </row>
    <row r="477" spans="1:26" x14ac:dyDescent="0.3">
      <c r="A477" s="5" t="s">
        <v>1145</v>
      </c>
      <c r="B477" s="5" t="s">
        <v>78</v>
      </c>
      <c r="C477" s="5" t="s">
        <v>79</v>
      </c>
      <c r="D477" s="5" t="s">
        <v>36</v>
      </c>
      <c r="E477" s="5" t="s">
        <v>17</v>
      </c>
      <c r="F477" s="5" t="s">
        <v>213</v>
      </c>
      <c r="G477" s="5" t="s">
        <v>39</v>
      </c>
      <c r="H477" s="5">
        <v>18</v>
      </c>
      <c r="I477" s="5" t="s">
        <v>40</v>
      </c>
      <c r="J477" s="34" t="s">
        <v>1146</v>
      </c>
      <c r="K477" s="31">
        <v>10096</v>
      </c>
      <c r="L477" s="5" t="s">
        <v>34</v>
      </c>
      <c r="M477" s="32">
        <v>0</v>
      </c>
      <c r="N477" s="6">
        <f t="shared" si="72"/>
        <v>0</v>
      </c>
      <c r="O477" s="4" t="s">
        <v>213</v>
      </c>
      <c r="P477" s="5" t="str">
        <f t="shared" si="73"/>
        <v>Chennai</v>
      </c>
      <c r="Q477" s="5" t="str">
        <f t="shared" si="74"/>
        <v>Gynecology</v>
      </c>
      <c r="R477" s="6" t="str">
        <f t="shared" si="75"/>
        <v>Apollo</v>
      </c>
      <c r="S477" s="6" t="str">
        <f t="shared" si="76"/>
        <v>Cash</v>
      </c>
      <c r="T477" s="6" t="str">
        <f t="shared" si="77"/>
        <v>Female</v>
      </c>
      <c r="U477" s="6" t="str">
        <f t="shared" si="80"/>
        <v>General</v>
      </c>
      <c r="V477" s="6" t="str" cm="1">
        <f t="array" ref="V477">IF(TRIM(S477)="",INDEX($S$2:$S$1500,MATCH(MAX(COUNTIF($S$2:$S$1500,S477)),COUNTIF($S$2:$S$1500,$S$2:$S$1500),0)),S477)</f>
        <v>Cash</v>
      </c>
      <c r="W477" s="7" cm="1">
        <f t="array" ref="W477">IF(OR(TRIM(K477)="",TRIM(K477)="-"), MEDIAN(IF($E$2:$E$1500=E477,$K$2:$K$1500)),  VALUE(SUBSTITUTE(SUBSTITUTE(SUBSTITUTE(K477,"Rs. ",""),"₹",""),",","")))</f>
        <v>10096</v>
      </c>
      <c r="X477" s="8">
        <f t="shared" si="78"/>
        <v>0</v>
      </c>
      <c r="Y477" s="7">
        <f t="shared" si="79"/>
        <v>10096</v>
      </c>
      <c r="Z477" s="9" t="str">
        <f t="shared" si="71"/>
        <v>TEEN</v>
      </c>
    </row>
    <row r="478" spans="1:26" x14ac:dyDescent="0.3">
      <c r="A478" s="5" t="s">
        <v>1147</v>
      </c>
      <c r="B478" s="5" t="s">
        <v>45</v>
      </c>
      <c r="C478" s="5" t="s">
        <v>334</v>
      </c>
      <c r="D478" s="5" t="s">
        <v>16</v>
      </c>
      <c r="E478" s="5" t="s">
        <v>74</v>
      </c>
      <c r="F478" s="5" t="s">
        <v>147</v>
      </c>
      <c r="G478" s="5" t="s">
        <v>39</v>
      </c>
      <c r="H478" s="5">
        <v>9</v>
      </c>
      <c r="I478" s="5" t="s">
        <v>20</v>
      </c>
      <c r="J478" s="34" t="s">
        <v>1148</v>
      </c>
      <c r="K478" s="31" t="s">
        <v>1149</v>
      </c>
      <c r="L478" s="5" t="s">
        <v>72</v>
      </c>
      <c r="M478" s="32" t="s">
        <v>64</v>
      </c>
      <c r="N478" s="6" t="str">
        <f t="shared" si="72"/>
        <v>NA</v>
      </c>
      <c r="O478" s="4" t="s">
        <v>147</v>
      </c>
      <c r="P478" s="5" t="str">
        <f t="shared" si="73"/>
        <v>Bangalore</v>
      </c>
      <c r="Q478" s="5" t="str">
        <f t="shared" si="74"/>
        <v>General Medicine</v>
      </c>
      <c r="R478" s="6" t="str">
        <f t="shared" si="75"/>
        <v>Fortis</v>
      </c>
      <c r="S478" s="6" t="str">
        <f t="shared" si="76"/>
        <v>Cash</v>
      </c>
      <c r="T478" s="6" t="str">
        <f t="shared" si="77"/>
        <v>Male</v>
      </c>
      <c r="U478" s="6" t="str">
        <f t="shared" si="80"/>
        <v>General</v>
      </c>
      <c r="V478" s="6" t="str" cm="1">
        <f t="array" ref="V478">IF(TRIM(S478)="",INDEX($S$2:$S$1500,MATCH(MAX(COUNTIF($S$2:$S$1500,S478)),COUNTIF($S$2:$S$1500,$S$2:$S$1500),0)),S478)</f>
        <v>Cash</v>
      </c>
      <c r="W478" s="7" cm="1">
        <f t="array" ref="W478">IF(OR(TRIM(K478)="",TRIM(K478)="-"), MEDIAN(IF($E$2:$E$1500=E478,$K$2:$K$1500)),  VALUE(SUBSTITUTE(SUBSTITUTE(SUBSTITUTE(K478,"Rs. ",""),"₹",""),",","")))</f>
        <v>8251</v>
      </c>
      <c r="X478" s="8">
        <f t="shared" si="78"/>
        <v>3</v>
      </c>
      <c r="Y478" s="7">
        <f t="shared" si="79"/>
        <v>8003</v>
      </c>
      <c r="Z478" s="9" t="str">
        <f t="shared" si="71"/>
        <v>CHILD</v>
      </c>
    </row>
    <row r="479" spans="1:26" x14ac:dyDescent="0.3">
      <c r="A479" s="5" t="s">
        <v>1150</v>
      </c>
      <c r="B479" s="5" t="s">
        <v>117</v>
      </c>
      <c r="C479" s="5" t="s">
        <v>127</v>
      </c>
      <c r="D479" s="5" t="s">
        <v>55</v>
      </c>
      <c r="E479" s="5" t="s">
        <v>108</v>
      </c>
      <c r="F479" s="5" t="s">
        <v>124</v>
      </c>
      <c r="G479" s="5" t="s">
        <v>62</v>
      </c>
      <c r="H479" s="5">
        <v>13</v>
      </c>
      <c r="I479" s="5" t="s">
        <v>40</v>
      </c>
      <c r="J479" s="34" t="s">
        <v>517</v>
      </c>
      <c r="K479" s="31">
        <v>78466</v>
      </c>
      <c r="L479" s="5" t="s">
        <v>87</v>
      </c>
      <c r="M479" s="32" t="s">
        <v>130</v>
      </c>
      <c r="N479" s="6">
        <f t="shared" si="72"/>
        <v>0</v>
      </c>
      <c r="O479" s="4" t="s">
        <v>124</v>
      </c>
      <c r="P479" s="5" t="str">
        <f t="shared" si="73"/>
        <v>Hyderabad</v>
      </c>
      <c r="Q479" s="5" t="str">
        <f t="shared" si="74"/>
        <v>Orthopedics</v>
      </c>
      <c r="R479" s="6" t="str">
        <f t="shared" si="75"/>
        <v>Manipal</v>
      </c>
      <c r="S479" s="6" t="str">
        <f t="shared" si="76"/>
        <v>Credit Card</v>
      </c>
      <c r="T479" s="6" t="str">
        <f t="shared" si="77"/>
        <v>Female</v>
      </c>
      <c r="U479" s="6" t="str">
        <f t="shared" si="80"/>
        <v>ICU</v>
      </c>
      <c r="V479" s="6" t="str" cm="1">
        <f t="array" ref="V479">IF(TRIM(S479)="",INDEX($S$2:$S$1500,MATCH(MAX(COUNTIF($S$2:$S$1500,S479)),COUNTIF($S$2:$S$1500,$S$2:$S$1500),0)),S479)</f>
        <v>Credit Card</v>
      </c>
      <c r="W479" s="7" cm="1">
        <f t="array" ref="W479">IF(OR(TRIM(K479)="",TRIM(K479)="-"), MEDIAN(IF($E$2:$E$1500=E479,$K$2:$K$1500)),  VALUE(SUBSTITUTE(SUBSTITUTE(SUBSTITUTE(K479,"Rs. ",""),"₹",""),",","")))</f>
        <v>78466</v>
      </c>
      <c r="X479" s="8">
        <f t="shared" si="78"/>
        <v>0</v>
      </c>
      <c r="Y479" s="7">
        <f t="shared" si="79"/>
        <v>78466</v>
      </c>
      <c r="Z479" s="9" t="str">
        <f t="shared" si="71"/>
        <v>TEEN</v>
      </c>
    </row>
    <row r="480" spans="1:26" x14ac:dyDescent="0.3">
      <c r="A480" s="5" t="s">
        <v>1151</v>
      </c>
      <c r="B480" s="5" t="s">
        <v>45</v>
      </c>
      <c r="C480" s="5" t="s">
        <v>46</v>
      </c>
      <c r="D480" s="5" t="s">
        <v>66</v>
      </c>
      <c r="E480" s="5" t="s">
        <v>47</v>
      </c>
      <c r="F480" s="5" t="s">
        <v>461</v>
      </c>
      <c r="G480" s="5" t="s">
        <v>101</v>
      </c>
      <c r="H480" s="5">
        <v>81</v>
      </c>
      <c r="I480" s="5" t="s">
        <v>40</v>
      </c>
      <c r="J480" s="34" t="s">
        <v>328</v>
      </c>
      <c r="K480" s="31" t="s">
        <v>1152</v>
      </c>
      <c r="L480" s="5" t="s">
        <v>115</v>
      </c>
      <c r="M480" s="32">
        <v>0</v>
      </c>
      <c r="N480" s="6">
        <f t="shared" si="72"/>
        <v>0</v>
      </c>
      <c r="O480" s="4" t="s">
        <v>461</v>
      </c>
      <c r="P480" s="5" t="str">
        <f t="shared" si="73"/>
        <v>Kolkata</v>
      </c>
      <c r="Q480" s="5" t="str">
        <f t="shared" si="74"/>
        <v>Gastroenterology</v>
      </c>
      <c r="R480" s="6" t="str">
        <f t="shared" si="75"/>
        <v>Fortis</v>
      </c>
      <c r="S480" s="6" t="str">
        <f t="shared" si="76"/>
        <v>Cash</v>
      </c>
      <c r="T480" s="6" t="str">
        <f t="shared" si="77"/>
        <v>Female</v>
      </c>
      <c r="U480" s="6" t="str">
        <f t="shared" si="80"/>
        <v>ICU</v>
      </c>
      <c r="V480" s="6" t="str" cm="1">
        <f t="array" ref="V480">IF(TRIM(S480)="",INDEX($S$2:$S$1500,MATCH(MAX(COUNTIF($S$2:$S$1500,S480)),COUNTIF($S$2:$S$1500,$S$2:$S$1500),0)),S480)</f>
        <v>Cash</v>
      </c>
      <c r="W480" s="7" cm="1">
        <f t="array" ref="W480">IF(OR(TRIM(K480)="",TRIM(K480)="-"), MEDIAN(IF($E$2:$E$1500=E480,$K$2:$K$1500)),  VALUE(SUBSTITUTE(SUBSTITUTE(SUBSTITUTE(K480,"Rs. ",""),"₹",""),",","")))</f>
        <v>84090</v>
      </c>
      <c r="X480" s="8">
        <f t="shared" si="78"/>
        <v>0</v>
      </c>
      <c r="Y480" s="7">
        <f t="shared" si="79"/>
        <v>84090</v>
      </c>
      <c r="Z480" s="9" t="str">
        <f t="shared" si="71"/>
        <v>SENIOR</v>
      </c>
    </row>
    <row r="481" spans="1:26" x14ac:dyDescent="0.3">
      <c r="A481" s="5" t="s">
        <v>1153</v>
      </c>
      <c r="B481" s="5" t="s">
        <v>78</v>
      </c>
      <c r="C481" s="5" t="s">
        <v>79</v>
      </c>
      <c r="D481" s="5" t="s">
        <v>189</v>
      </c>
      <c r="E481" s="5" t="s">
        <v>108</v>
      </c>
      <c r="F481" s="5" t="s">
        <v>308</v>
      </c>
      <c r="G481" s="5" t="s">
        <v>39</v>
      </c>
      <c r="H481" s="5">
        <v>13</v>
      </c>
      <c r="I481" s="5" t="s">
        <v>20</v>
      </c>
      <c r="J481" s="34" t="s">
        <v>274</v>
      </c>
      <c r="K481" s="31">
        <v>10832</v>
      </c>
      <c r="L481" s="5" t="s">
        <v>115</v>
      </c>
      <c r="M481" s="32">
        <v>0</v>
      </c>
      <c r="N481" s="6">
        <f t="shared" si="72"/>
        <v>0</v>
      </c>
      <c r="O481" s="4" t="s">
        <v>308</v>
      </c>
      <c r="P481" s="5" t="str">
        <f t="shared" si="73"/>
        <v>Delhi</v>
      </c>
      <c r="Q481" s="5" t="str">
        <f t="shared" si="74"/>
        <v>Orthopedics</v>
      </c>
      <c r="R481" s="6" t="str">
        <f t="shared" si="75"/>
        <v>Apollo</v>
      </c>
      <c r="S481" s="6" t="str">
        <f t="shared" si="76"/>
        <v>Cash</v>
      </c>
      <c r="T481" s="6" t="str">
        <f t="shared" si="77"/>
        <v>Male</v>
      </c>
      <c r="U481" s="6" t="str">
        <f t="shared" si="80"/>
        <v>General</v>
      </c>
      <c r="V481" s="6" t="str" cm="1">
        <f t="array" ref="V481">IF(TRIM(S481)="",INDEX($S$2:$S$1500,MATCH(MAX(COUNTIF($S$2:$S$1500,S481)),COUNTIF($S$2:$S$1500,$S$2:$S$1500),0)),S481)</f>
        <v>Cash</v>
      </c>
      <c r="W481" s="7" cm="1">
        <f t="array" ref="W481">IF(OR(TRIM(K481)="",TRIM(K481)="-"), MEDIAN(IF($E$2:$E$1500=E481,$K$2:$K$1500)),  VALUE(SUBSTITUTE(SUBSTITUTE(SUBSTITUTE(K481,"Rs. ",""),"₹",""),",","")))</f>
        <v>10832</v>
      </c>
      <c r="X481" s="8">
        <f t="shared" si="78"/>
        <v>0</v>
      </c>
      <c r="Y481" s="7">
        <f t="shared" si="79"/>
        <v>10832</v>
      </c>
      <c r="Z481" s="9" t="str">
        <f t="shared" si="71"/>
        <v>TEEN</v>
      </c>
    </row>
    <row r="482" spans="1:26" x14ac:dyDescent="0.3">
      <c r="A482" s="5" t="s">
        <v>1154</v>
      </c>
      <c r="B482" s="5" t="s">
        <v>25</v>
      </c>
      <c r="C482" s="5" t="s">
        <v>54</v>
      </c>
      <c r="D482" s="5" t="s">
        <v>189</v>
      </c>
      <c r="E482" s="5" t="s">
        <v>108</v>
      </c>
      <c r="F482" s="5" t="s">
        <v>124</v>
      </c>
      <c r="G482" s="5" t="s">
        <v>39</v>
      </c>
      <c r="H482" s="5">
        <v>14</v>
      </c>
      <c r="I482" s="5" t="s">
        <v>20</v>
      </c>
      <c r="J482" s="34" t="s">
        <v>1155</v>
      </c>
      <c r="K482" s="31" t="s">
        <v>1156</v>
      </c>
      <c r="L482" s="5" t="s">
        <v>167</v>
      </c>
      <c r="M482" s="32">
        <v>10</v>
      </c>
      <c r="N482" s="6">
        <f t="shared" si="72"/>
        <v>10</v>
      </c>
      <c r="O482" s="4" t="s">
        <v>124</v>
      </c>
      <c r="P482" s="5" t="str">
        <f t="shared" si="73"/>
        <v>Delhi</v>
      </c>
      <c r="Q482" s="5" t="str">
        <f t="shared" si="74"/>
        <v>Orthopedics</v>
      </c>
      <c r="R482" s="6" t="str">
        <f t="shared" si="75"/>
        <v>Narayana</v>
      </c>
      <c r="S482" s="6" t="str">
        <f t="shared" si="76"/>
        <v>Insurance</v>
      </c>
      <c r="T482" s="6" t="str">
        <f t="shared" si="77"/>
        <v>Male</v>
      </c>
      <c r="U482" s="6" t="str">
        <f t="shared" si="80"/>
        <v>General</v>
      </c>
      <c r="V482" s="6" t="str" cm="1">
        <f t="array" ref="V482">IF(TRIM(S482)="",INDEX($S$2:$S$1500,MATCH(MAX(COUNTIF($S$2:$S$1500,S482)),COUNTIF($S$2:$S$1500,$S$2:$S$1500),0)),S482)</f>
        <v>Insurance</v>
      </c>
      <c r="W482" s="7" cm="1">
        <f t="array" ref="W482">IF(OR(TRIM(K482)="",TRIM(K482)="-"), MEDIAN(IF($E$2:$E$1500=E482,$K$2:$K$1500)),  VALUE(SUBSTITUTE(SUBSTITUTE(SUBSTITUTE(K482,"Rs. ",""),"₹",""),",","")))</f>
        <v>15409</v>
      </c>
      <c r="X482" s="8">
        <f t="shared" si="78"/>
        <v>10</v>
      </c>
      <c r="Y482" s="7">
        <f t="shared" si="79"/>
        <v>13868</v>
      </c>
      <c r="Z482" s="9" t="str">
        <f t="shared" si="71"/>
        <v>TEEN</v>
      </c>
    </row>
    <row r="483" spans="1:26" x14ac:dyDescent="0.3">
      <c r="A483" s="5" t="s">
        <v>1157</v>
      </c>
      <c r="B483" s="5" t="s">
        <v>14</v>
      </c>
      <c r="C483" s="5" t="s">
        <v>60</v>
      </c>
      <c r="D483" s="5" t="s">
        <v>61</v>
      </c>
      <c r="E483" s="5" t="s">
        <v>99</v>
      </c>
      <c r="F483" s="5" t="s">
        <v>151</v>
      </c>
      <c r="G483" s="5" t="s">
        <v>101</v>
      </c>
      <c r="H483" s="5">
        <v>7</v>
      </c>
      <c r="I483" s="5" t="s">
        <v>31</v>
      </c>
      <c r="J483" s="34" t="s">
        <v>829</v>
      </c>
      <c r="K483" s="31">
        <v>62115</v>
      </c>
      <c r="L483" s="5"/>
      <c r="M483" s="32" t="s">
        <v>76</v>
      </c>
      <c r="N483" s="6">
        <f t="shared" si="72"/>
        <v>10</v>
      </c>
      <c r="O483" s="4" t="s">
        <v>151</v>
      </c>
      <c r="P483" s="5" t="str">
        <f t="shared" si="73"/>
        <v>Pune</v>
      </c>
      <c r="Q483" s="5" t="str">
        <f t="shared" si="74"/>
        <v>Ent</v>
      </c>
      <c r="R483" s="6" t="str">
        <f t="shared" si="75"/>
        <v>Max_Healthcare</v>
      </c>
      <c r="S483" s="6" t="str">
        <f t="shared" si="76"/>
        <v>Unknown</v>
      </c>
      <c r="T483" s="6" t="str">
        <f t="shared" si="77"/>
        <v>Male</v>
      </c>
      <c r="U483" s="6" t="str">
        <f t="shared" si="80"/>
        <v>ICU</v>
      </c>
      <c r="V483" s="6" t="str" cm="1">
        <f t="array" ref="V483">IF(TRIM(S483)="",INDEX($S$2:$S$1500,MATCH(MAX(COUNTIF($S$2:$S$1500,S483)),COUNTIF($S$2:$S$1500,$S$2:$S$1500),0)),S483)</f>
        <v>Unknown</v>
      </c>
      <c r="W483" s="7" cm="1">
        <f t="array" ref="W483">IF(OR(TRIM(K483)="",TRIM(K483)="-"), MEDIAN(IF($E$2:$E$1500=E483,$K$2:$K$1500)),  VALUE(SUBSTITUTE(SUBSTITUTE(SUBSTITUTE(K483,"Rs. ",""),"₹",""),",","")))</f>
        <v>62115</v>
      </c>
      <c r="X483" s="8">
        <f t="shared" si="78"/>
        <v>10</v>
      </c>
      <c r="Y483" s="7">
        <f t="shared" si="79"/>
        <v>55904</v>
      </c>
      <c r="Z483" s="9" t="str">
        <f t="shared" si="71"/>
        <v>CHILD</v>
      </c>
    </row>
    <row r="484" spans="1:26" x14ac:dyDescent="0.3">
      <c r="A484" s="5" t="s">
        <v>1158</v>
      </c>
      <c r="B484" s="5" t="s">
        <v>117</v>
      </c>
      <c r="C484" s="5" t="s">
        <v>182</v>
      </c>
      <c r="D484" s="5" t="s">
        <v>80</v>
      </c>
      <c r="E484" s="5" t="s">
        <v>108</v>
      </c>
      <c r="F484" s="5" t="s">
        <v>272</v>
      </c>
      <c r="G484" s="5" t="s">
        <v>39</v>
      </c>
      <c r="H484" s="5">
        <v>69</v>
      </c>
      <c r="I484" s="5" t="s">
        <v>40</v>
      </c>
      <c r="J484" s="34" t="s">
        <v>991</v>
      </c>
      <c r="K484" s="31" t="s">
        <v>1159</v>
      </c>
      <c r="L484" s="5" t="s">
        <v>34</v>
      </c>
      <c r="M484" s="32" t="s">
        <v>130</v>
      </c>
      <c r="N484" s="6">
        <f t="shared" si="72"/>
        <v>0</v>
      </c>
      <c r="O484" s="4" t="s">
        <v>272</v>
      </c>
      <c r="P484" s="5" t="str">
        <f t="shared" si="73"/>
        <v>Ahmedabad</v>
      </c>
      <c r="Q484" s="5" t="str">
        <f t="shared" si="74"/>
        <v>Orthopedics</v>
      </c>
      <c r="R484" s="6" t="str">
        <f t="shared" si="75"/>
        <v>Manipal</v>
      </c>
      <c r="S484" s="6" t="str">
        <f t="shared" si="76"/>
        <v>Cash</v>
      </c>
      <c r="T484" s="6" t="str">
        <f t="shared" si="77"/>
        <v>Female</v>
      </c>
      <c r="U484" s="6" t="str">
        <f t="shared" si="80"/>
        <v>General</v>
      </c>
      <c r="V484" s="6" t="str" cm="1">
        <f t="array" ref="V484">IF(TRIM(S484)="",INDEX($S$2:$S$1500,MATCH(MAX(COUNTIF($S$2:$S$1500,S484)),COUNTIF($S$2:$S$1500,$S$2:$S$1500),0)),S484)</f>
        <v>Cash</v>
      </c>
      <c r="W484" s="7" cm="1">
        <f t="array" ref="W484">IF(OR(TRIM(K484)="",TRIM(K484)="-"), MEDIAN(IF($E$2:$E$1500=E484,$K$2:$K$1500)),  VALUE(SUBSTITUTE(SUBSTITUTE(SUBSTITUTE(K484,"Rs. ",""),"₹",""),",","")))</f>
        <v>19369</v>
      </c>
      <c r="X484" s="8">
        <f t="shared" si="78"/>
        <v>0</v>
      </c>
      <c r="Y484" s="7">
        <f t="shared" si="79"/>
        <v>19369</v>
      </c>
      <c r="Z484" s="9" t="str">
        <f t="shared" si="71"/>
        <v>SENIOR</v>
      </c>
    </row>
    <row r="485" spans="1:26" x14ac:dyDescent="0.3">
      <c r="A485" s="5" t="s">
        <v>1160</v>
      </c>
      <c r="B485" s="5" t="s">
        <v>106</v>
      </c>
      <c r="C485" s="5" t="s">
        <v>307</v>
      </c>
      <c r="D485" s="5" t="s">
        <v>189</v>
      </c>
      <c r="E485" s="5" t="s">
        <v>164</v>
      </c>
      <c r="F485" s="5" t="s">
        <v>233</v>
      </c>
      <c r="G485" s="5" t="s">
        <v>19</v>
      </c>
      <c r="H485" s="5">
        <v>21</v>
      </c>
      <c r="I485" s="5" t="s">
        <v>40</v>
      </c>
      <c r="J485" s="34" t="s">
        <v>179</v>
      </c>
      <c r="K485" s="31">
        <v>10523</v>
      </c>
      <c r="L485" s="5" t="s">
        <v>91</v>
      </c>
      <c r="M485" s="32" t="s">
        <v>130</v>
      </c>
      <c r="N485" s="6">
        <f t="shared" si="72"/>
        <v>0</v>
      </c>
      <c r="O485" s="4" t="s">
        <v>233</v>
      </c>
      <c r="P485" s="5" t="str">
        <f t="shared" si="73"/>
        <v>Delhi</v>
      </c>
      <c r="Q485" s="5" t="str">
        <f t="shared" si="74"/>
        <v>Cardiology</v>
      </c>
      <c r="R485" s="6" t="str">
        <f t="shared" si="75"/>
        <v>Aiims</v>
      </c>
      <c r="S485" s="6" t="str">
        <f t="shared" si="76"/>
        <v>Debit Card</v>
      </c>
      <c r="T485" s="6" t="str">
        <f t="shared" si="77"/>
        <v>Female</v>
      </c>
      <c r="U485" s="6" t="str">
        <f t="shared" si="80"/>
        <v>General</v>
      </c>
      <c r="V485" s="6" t="str" cm="1">
        <f t="array" ref="V485">IF(TRIM(S485)="",INDEX($S$2:$S$1500,MATCH(MAX(COUNTIF($S$2:$S$1500,S485)),COUNTIF($S$2:$S$1500,$S$2:$S$1500),0)),S485)</f>
        <v>Debit Card</v>
      </c>
      <c r="W485" s="7" cm="1">
        <f t="array" ref="W485">IF(OR(TRIM(K485)="",TRIM(K485)="-"), MEDIAN(IF($E$2:$E$1500=E485,$K$2:$K$1500)),  VALUE(SUBSTITUTE(SUBSTITUTE(SUBSTITUTE(K485,"Rs. ",""),"₹",""),",","")))</f>
        <v>10523</v>
      </c>
      <c r="X485" s="8">
        <f t="shared" si="78"/>
        <v>0</v>
      </c>
      <c r="Y485" s="7">
        <f t="shared" si="79"/>
        <v>10523</v>
      </c>
      <c r="Z485" s="9" t="str">
        <f t="shared" si="71"/>
        <v>ADULT</v>
      </c>
    </row>
    <row r="486" spans="1:26" x14ac:dyDescent="0.3">
      <c r="A486" s="5" t="s">
        <v>1161</v>
      </c>
      <c r="B486" s="5" t="s">
        <v>78</v>
      </c>
      <c r="C486" s="5" t="s">
        <v>161</v>
      </c>
      <c r="D486" s="5" t="s">
        <v>66</v>
      </c>
      <c r="E486" s="5" t="s">
        <v>47</v>
      </c>
      <c r="F486" s="5" t="s">
        <v>364</v>
      </c>
      <c r="G486" s="5" t="s">
        <v>69</v>
      </c>
      <c r="H486" s="5">
        <v>61</v>
      </c>
      <c r="I486" s="5" t="s">
        <v>20</v>
      </c>
      <c r="J486" s="34" t="s">
        <v>1162</v>
      </c>
      <c r="K486" s="31" t="s">
        <v>1163</v>
      </c>
      <c r="L486" s="5" t="s">
        <v>149</v>
      </c>
      <c r="M486" s="32"/>
      <c r="N486" s="6">
        <f t="shared" si="72"/>
        <v>0</v>
      </c>
      <c r="O486" s="4" t="s">
        <v>364</v>
      </c>
      <c r="P486" s="5" t="str">
        <f t="shared" si="73"/>
        <v>Kolkata</v>
      </c>
      <c r="Q486" s="5" t="str">
        <f t="shared" si="74"/>
        <v>Gastroenterology</v>
      </c>
      <c r="R486" s="6" t="str">
        <f t="shared" si="75"/>
        <v>Apollo</v>
      </c>
      <c r="S486" s="6" t="str">
        <f t="shared" si="76"/>
        <v>Insurance</v>
      </c>
      <c r="T486" s="6" t="str">
        <f t="shared" si="77"/>
        <v>Male</v>
      </c>
      <c r="U486" s="6" t="str">
        <f t="shared" si="80"/>
        <v>ICU</v>
      </c>
      <c r="V486" s="6" t="str" cm="1">
        <f t="array" ref="V486">IF(TRIM(S486)="",INDEX($S$2:$S$1500,MATCH(MAX(COUNTIF($S$2:$S$1500,S486)),COUNTIF($S$2:$S$1500,$S$2:$S$1500),0)),S486)</f>
        <v>Insurance</v>
      </c>
      <c r="W486" s="7" cm="1">
        <f t="array" ref="W486">IF(OR(TRIM(K486)="",TRIM(K486)="-"), MEDIAN(IF($E$2:$E$1500=E486,$K$2:$K$1500)),  VALUE(SUBSTITUTE(SUBSTITUTE(SUBSTITUTE(K486,"Rs. ",""),"₹",""),",","")))</f>
        <v>66111</v>
      </c>
      <c r="X486" s="8">
        <f t="shared" si="78"/>
        <v>0</v>
      </c>
      <c r="Y486" s="7">
        <f t="shared" si="79"/>
        <v>66111</v>
      </c>
      <c r="Z486" s="9" t="str">
        <f t="shared" si="71"/>
        <v>SENIOR</v>
      </c>
    </row>
    <row r="487" spans="1:26" x14ac:dyDescent="0.3">
      <c r="A487" s="5" t="s">
        <v>1164</v>
      </c>
      <c r="B487" s="5" t="s">
        <v>45</v>
      </c>
      <c r="C487" s="5" t="s">
        <v>46</v>
      </c>
      <c r="D487" s="5" t="s">
        <v>27</v>
      </c>
      <c r="E487" s="5" t="s">
        <v>47</v>
      </c>
      <c r="F487" s="5" t="s">
        <v>461</v>
      </c>
      <c r="G487" s="5" t="s">
        <v>30</v>
      </c>
      <c r="H487" s="5">
        <v>21</v>
      </c>
      <c r="I487" s="5" t="s">
        <v>20</v>
      </c>
      <c r="J487" s="34" t="s">
        <v>253</v>
      </c>
      <c r="K487" s="31" t="s">
        <v>1165</v>
      </c>
      <c r="L487" s="5" t="s">
        <v>115</v>
      </c>
      <c r="M487" s="32"/>
      <c r="N487" s="6">
        <f t="shared" si="72"/>
        <v>0</v>
      </c>
      <c r="O487" s="4" t="s">
        <v>461</v>
      </c>
      <c r="P487" s="5" t="str">
        <f t="shared" si="73"/>
        <v>Mumbai</v>
      </c>
      <c r="Q487" s="5" t="str">
        <f t="shared" si="74"/>
        <v>Gastroenterology</v>
      </c>
      <c r="R487" s="6" t="str">
        <f t="shared" si="75"/>
        <v>Fortis</v>
      </c>
      <c r="S487" s="6" t="str">
        <f t="shared" si="76"/>
        <v>Cash</v>
      </c>
      <c r="T487" s="6" t="str">
        <f t="shared" si="77"/>
        <v>Male</v>
      </c>
      <c r="U487" s="6" t="str">
        <f t="shared" si="80"/>
        <v>General</v>
      </c>
      <c r="V487" s="6" t="str" cm="1">
        <f t="array" ref="V487">IF(TRIM(S487)="",INDEX($S$2:$S$1500,MATCH(MAX(COUNTIF($S$2:$S$1500,S487)),COUNTIF($S$2:$S$1500,$S$2:$S$1500),0)),S487)</f>
        <v>Cash</v>
      </c>
      <c r="W487" s="7" cm="1">
        <f t="array" ref="W487">IF(OR(TRIM(K487)="",TRIM(K487)="-"), MEDIAN(IF($E$2:$E$1500=E487,$K$2:$K$1500)),  VALUE(SUBSTITUTE(SUBSTITUTE(SUBSTITUTE(K487,"Rs. ",""),"₹",""),",","")))</f>
        <v>4004</v>
      </c>
      <c r="X487" s="8">
        <f t="shared" si="78"/>
        <v>0</v>
      </c>
      <c r="Y487" s="7">
        <f t="shared" si="79"/>
        <v>4004</v>
      </c>
      <c r="Z487" s="9" t="str">
        <f t="shared" si="71"/>
        <v>ADULT</v>
      </c>
    </row>
    <row r="488" spans="1:26" x14ac:dyDescent="0.3">
      <c r="A488" s="5" t="s">
        <v>1166</v>
      </c>
      <c r="B488" s="5" t="s">
        <v>25</v>
      </c>
      <c r="C488" s="5" t="s">
        <v>54</v>
      </c>
      <c r="D488" s="5" t="s">
        <v>189</v>
      </c>
      <c r="E488" s="5" t="s">
        <v>47</v>
      </c>
      <c r="F488" s="5" t="s">
        <v>175</v>
      </c>
      <c r="G488" s="5" t="s">
        <v>39</v>
      </c>
      <c r="H488" s="5">
        <v>70</v>
      </c>
      <c r="I488" s="5" t="s">
        <v>40</v>
      </c>
      <c r="J488" s="34" t="s">
        <v>530</v>
      </c>
      <c r="K488" s="31" t="s">
        <v>1167</v>
      </c>
      <c r="L488" s="5" t="s">
        <v>23</v>
      </c>
      <c r="M488" s="32">
        <v>0</v>
      </c>
      <c r="N488" s="6">
        <f t="shared" si="72"/>
        <v>0</v>
      </c>
      <c r="O488" s="4" t="s">
        <v>175</v>
      </c>
      <c r="P488" s="5" t="str">
        <f t="shared" si="73"/>
        <v>Delhi</v>
      </c>
      <c r="Q488" s="5" t="str">
        <f t="shared" si="74"/>
        <v>Gastroenterology</v>
      </c>
      <c r="R488" s="6" t="str">
        <f t="shared" si="75"/>
        <v>Narayana</v>
      </c>
      <c r="S488" s="6" t="str">
        <f t="shared" si="76"/>
        <v>Credit Card</v>
      </c>
      <c r="T488" s="6" t="str">
        <f t="shared" si="77"/>
        <v>Female</v>
      </c>
      <c r="U488" s="6" t="str">
        <f t="shared" si="80"/>
        <v>General</v>
      </c>
      <c r="V488" s="6" t="str" cm="1">
        <f t="array" ref="V488">IF(TRIM(S488)="",INDEX($S$2:$S$1500,MATCH(MAX(COUNTIF($S$2:$S$1500,S488)),COUNTIF($S$2:$S$1500,$S$2:$S$1500),0)),S488)</f>
        <v>Credit Card</v>
      </c>
      <c r="W488" s="7" cm="1">
        <f t="array" ref="W488">IF(OR(TRIM(K488)="",TRIM(K488)="-"), MEDIAN(IF($E$2:$E$1500=E488,$K$2:$K$1500)),  VALUE(SUBSTITUTE(SUBSTITUTE(SUBSTITUTE(K488,"Rs. ",""),"₹",""),",","")))</f>
        <v>5869</v>
      </c>
      <c r="X488" s="8">
        <f t="shared" si="78"/>
        <v>0</v>
      </c>
      <c r="Y488" s="7">
        <f t="shared" si="79"/>
        <v>5869</v>
      </c>
      <c r="Z488" s="9" t="str">
        <f t="shared" si="71"/>
        <v>SENIOR</v>
      </c>
    </row>
    <row r="489" spans="1:26" x14ac:dyDescent="0.3">
      <c r="A489" s="5" t="s">
        <v>1168</v>
      </c>
      <c r="B489" s="5" t="s">
        <v>78</v>
      </c>
      <c r="C489" s="5" t="s">
        <v>79</v>
      </c>
      <c r="D489" s="5" t="s">
        <v>27</v>
      </c>
      <c r="E489" s="5" t="s">
        <v>108</v>
      </c>
      <c r="F489" s="5" t="s">
        <v>109</v>
      </c>
      <c r="G489" s="5" t="s">
        <v>62</v>
      </c>
      <c r="H489" s="5">
        <v>42</v>
      </c>
      <c r="I489" s="5" t="s">
        <v>40</v>
      </c>
      <c r="J489" s="34" t="s">
        <v>190</v>
      </c>
      <c r="K489" s="31">
        <v>63508</v>
      </c>
      <c r="L489" s="5" t="s">
        <v>311</v>
      </c>
      <c r="M489" s="32">
        <v>0</v>
      </c>
      <c r="N489" s="6">
        <f t="shared" si="72"/>
        <v>0</v>
      </c>
      <c r="O489" s="4" t="s">
        <v>109</v>
      </c>
      <c r="P489" s="5" t="str">
        <f t="shared" si="73"/>
        <v>Mumbai</v>
      </c>
      <c r="Q489" s="5" t="str">
        <f t="shared" si="74"/>
        <v>Orthopedics</v>
      </c>
      <c r="R489" s="6" t="str">
        <f t="shared" si="75"/>
        <v>Apollo</v>
      </c>
      <c r="S489" s="6" t="str">
        <f t="shared" si="76"/>
        <v>UPI</v>
      </c>
      <c r="T489" s="6" t="str">
        <f t="shared" si="77"/>
        <v>Female</v>
      </c>
      <c r="U489" s="6" t="str">
        <f t="shared" si="80"/>
        <v>ICU</v>
      </c>
      <c r="V489" s="6" t="str" cm="1">
        <f t="array" ref="V489">IF(TRIM(S489)="",INDEX($S$2:$S$1500,MATCH(MAX(COUNTIF($S$2:$S$1500,S489)),COUNTIF($S$2:$S$1500,$S$2:$S$1500),0)),S489)</f>
        <v>UPI</v>
      </c>
      <c r="W489" s="7" cm="1">
        <f t="array" ref="W489">IF(OR(TRIM(K489)="",TRIM(K489)="-"), MEDIAN(IF($E$2:$E$1500=E489,$K$2:$K$1500)),  VALUE(SUBSTITUTE(SUBSTITUTE(SUBSTITUTE(K489,"Rs. ",""),"₹",""),",","")))</f>
        <v>63508</v>
      </c>
      <c r="X489" s="8">
        <f t="shared" si="78"/>
        <v>0</v>
      </c>
      <c r="Y489" s="7">
        <f t="shared" si="79"/>
        <v>63508</v>
      </c>
      <c r="Z489" s="9" t="str">
        <f t="shared" si="71"/>
        <v>ADULT</v>
      </c>
    </row>
    <row r="490" spans="1:26" x14ac:dyDescent="0.3">
      <c r="A490" s="5" t="s">
        <v>1169</v>
      </c>
      <c r="B490" s="5" t="s">
        <v>78</v>
      </c>
      <c r="C490" s="5" t="s">
        <v>161</v>
      </c>
      <c r="D490" s="5" t="s">
        <v>61</v>
      </c>
      <c r="E490" s="5" t="s">
        <v>37</v>
      </c>
      <c r="F490" s="5" t="s">
        <v>185</v>
      </c>
      <c r="G490" s="5" t="s">
        <v>101</v>
      </c>
      <c r="H490" s="5">
        <v>70</v>
      </c>
      <c r="I490" s="5" t="s">
        <v>70</v>
      </c>
      <c r="J490" s="34" t="s">
        <v>789</v>
      </c>
      <c r="K490" s="31" t="s">
        <v>1170</v>
      </c>
      <c r="L490" s="5" t="s">
        <v>236</v>
      </c>
      <c r="M490" s="32">
        <v>0</v>
      </c>
      <c r="N490" s="6">
        <f t="shared" si="72"/>
        <v>0</v>
      </c>
      <c r="O490" s="4" t="s">
        <v>185</v>
      </c>
      <c r="P490" s="5" t="str">
        <f t="shared" si="73"/>
        <v>Pune</v>
      </c>
      <c r="Q490" s="5" t="str">
        <f t="shared" si="74"/>
        <v>Pediatrics</v>
      </c>
      <c r="R490" s="6" t="str">
        <f t="shared" si="75"/>
        <v>Apollo</v>
      </c>
      <c r="S490" s="6" t="str">
        <f t="shared" si="76"/>
        <v>Debit Card</v>
      </c>
      <c r="T490" s="6" t="str">
        <f t="shared" si="77"/>
        <v>Female</v>
      </c>
      <c r="U490" s="6" t="str">
        <f t="shared" si="80"/>
        <v>ICU</v>
      </c>
      <c r="V490" s="6" t="str" cm="1">
        <f t="array" ref="V490">IF(TRIM(S490)="",INDEX($S$2:$S$1500,MATCH(MAX(COUNTIF($S$2:$S$1500,S490)),COUNTIF($S$2:$S$1500,$S$2:$S$1500),0)),S490)</f>
        <v>Debit Card</v>
      </c>
      <c r="W490" s="7" cm="1">
        <f t="array" ref="W490">IF(OR(TRIM(K490)="",TRIM(K490)="-"), MEDIAN(IF($E$2:$E$1500=E490,$K$2:$K$1500)),  VALUE(SUBSTITUTE(SUBSTITUTE(SUBSTITUTE(K490,"Rs. ",""),"₹",""),",","")))</f>
        <v>38753</v>
      </c>
      <c r="X490" s="8">
        <f t="shared" si="78"/>
        <v>0</v>
      </c>
      <c r="Y490" s="7">
        <f t="shared" si="79"/>
        <v>38753</v>
      </c>
      <c r="Z490" s="9" t="str">
        <f t="shared" si="71"/>
        <v>SENIOR</v>
      </c>
    </row>
    <row r="491" spans="1:26" x14ac:dyDescent="0.3">
      <c r="A491" s="5" t="s">
        <v>1171</v>
      </c>
      <c r="B491" s="5" t="s">
        <v>117</v>
      </c>
      <c r="C491" s="5" t="s">
        <v>127</v>
      </c>
      <c r="D491" s="5" t="s">
        <v>66</v>
      </c>
      <c r="E491" s="5" t="s">
        <v>93</v>
      </c>
      <c r="F491" s="5" t="s">
        <v>121</v>
      </c>
      <c r="G491" s="5" t="s">
        <v>19</v>
      </c>
      <c r="H491" s="5">
        <v>85</v>
      </c>
      <c r="I491" s="5" t="s">
        <v>40</v>
      </c>
      <c r="J491" s="34" t="s">
        <v>1172</v>
      </c>
      <c r="K491" s="31" t="s">
        <v>1173</v>
      </c>
      <c r="L491" s="5" t="s">
        <v>42</v>
      </c>
      <c r="M491" s="32" t="s">
        <v>64</v>
      </c>
      <c r="N491" s="6" t="str">
        <f t="shared" si="72"/>
        <v>NA</v>
      </c>
      <c r="O491" s="4" t="s">
        <v>121</v>
      </c>
      <c r="P491" s="5" t="str">
        <f t="shared" si="73"/>
        <v>Kolkata</v>
      </c>
      <c r="Q491" s="5" t="str">
        <f t="shared" si="74"/>
        <v>Nephrology</v>
      </c>
      <c r="R491" s="6" t="str">
        <f t="shared" si="75"/>
        <v>Manipal</v>
      </c>
      <c r="S491" s="6" t="str">
        <f t="shared" si="76"/>
        <v>Insurance</v>
      </c>
      <c r="T491" s="6" t="str">
        <f t="shared" si="77"/>
        <v>Female</v>
      </c>
      <c r="U491" s="6" t="str">
        <f t="shared" si="80"/>
        <v>General</v>
      </c>
      <c r="V491" s="6" t="str" cm="1">
        <f t="array" ref="V491">IF(TRIM(S491)="",INDEX($S$2:$S$1500,MATCH(MAX(COUNTIF($S$2:$S$1500,S491)),COUNTIF($S$2:$S$1500,$S$2:$S$1500),0)),S491)</f>
        <v>Insurance</v>
      </c>
      <c r="W491" s="7" cm="1">
        <f t="array" ref="W491">IF(OR(TRIM(K491)="",TRIM(K491)="-"), MEDIAN(IF($E$2:$E$1500=E491,$K$2:$K$1500)),  VALUE(SUBSTITUTE(SUBSTITUTE(SUBSTITUTE(K491,"Rs. ",""),"₹",""),",","")))</f>
        <v>11895</v>
      </c>
      <c r="X491" s="8">
        <f t="shared" si="78"/>
        <v>19</v>
      </c>
      <c r="Y491" s="7">
        <f t="shared" si="79"/>
        <v>9635</v>
      </c>
      <c r="Z491" s="9" t="str">
        <f t="shared" si="71"/>
        <v>SENIOR</v>
      </c>
    </row>
    <row r="492" spans="1:26" x14ac:dyDescent="0.3">
      <c r="A492" s="5" t="s">
        <v>1174</v>
      </c>
      <c r="B492" s="5" t="s">
        <v>14</v>
      </c>
      <c r="C492" s="5" t="s">
        <v>60</v>
      </c>
      <c r="D492" s="5" t="s">
        <v>189</v>
      </c>
      <c r="E492" s="5" t="s">
        <v>47</v>
      </c>
      <c r="F492" s="5" t="s">
        <v>364</v>
      </c>
      <c r="G492" s="5" t="s">
        <v>30</v>
      </c>
      <c r="H492" s="5">
        <v>10</v>
      </c>
      <c r="I492" s="5" t="s">
        <v>70</v>
      </c>
      <c r="J492" s="34" t="s">
        <v>1175</v>
      </c>
      <c r="K492" s="31">
        <v>7223</v>
      </c>
      <c r="L492" s="5" t="s">
        <v>115</v>
      </c>
      <c r="M492" s="32">
        <v>0.05</v>
      </c>
      <c r="N492" s="6">
        <f t="shared" si="72"/>
        <v>5</v>
      </c>
      <c r="O492" s="4" t="s">
        <v>364</v>
      </c>
      <c r="P492" s="5" t="str">
        <f t="shared" si="73"/>
        <v>Delhi</v>
      </c>
      <c r="Q492" s="5" t="str">
        <f t="shared" si="74"/>
        <v>Gastroenterology</v>
      </c>
      <c r="R492" s="6" t="str">
        <f t="shared" si="75"/>
        <v>Max_Healthcare</v>
      </c>
      <c r="S492" s="6" t="str">
        <f t="shared" si="76"/>
        <v>Cash</v>
      </c>
      <c r="T492" s="6" t="str">
        <f t="shared" si="77"/>
        <v>Female</v>
      </c>
      <c r="U492" s="6" t="str">
        <f t="shared" si="80"/>
        <v>General</v>
      </c>
      <c r="V492" s="6" t="str" cm="1">
        <f t="array" ref="V492">IF(TRIM(S492)="",INDEX($S$2:$S$1500,MATCH(MAX(COUNTIF($S$2:$S$1500,S492)),COUNTIF($S$2:$S$1500,$S$2:$S$1500),0)),S492)</f>
        <v>Cash</v>
      </c>
      <c r="W492" s="7" cm="1">
        <f t="array" ref="W492">IF(OR(TRIM(K492)="",TRIM(K492)="-"), MEDIAN(IF($E$2:$E$1500=E492,$K$2:$K$1500)),  VALUE(SUBSTITUTE(SUBSTITUTE(SUBSTITUTE(K492,"Rs. ",""),"₹",""),",","")))</f>
        <v>7223</v>
      </c>
      <c r="X492" s="8">
        <f t="shared" si="78"/>
        <v>5</v>
      </c>
      <c r="Y492" s="7">
        <f t="shared" si="79"/>
        <v>6862</v>
      </c>
      <c r="Z492" s="9" t="str">
        <f t="shared" si="71"/>
        <v>CHILD</v>
      </c>
    </row>
    <row r="493" spans="1:26" x14ac:dyDescent="0.3">
      <c r="A493" s="5" t="s">
        <v>1176</v>
      </c>
      <c r="B493" s="5" t="s">
        <v>25</v>
      </c>
      <c r="C493" s="5" t="s">
        <v>54</v>
      </c>
      <c r="D493" s="5" t="s">
        <v>189</v>
      </c>
      <c r="E493" s="5" t="s">
        <v>37</v>
      </c>
      <c r="F493" s="5" t="s">
        <v>185</v>
      </c>
      <c r="G493" s="5" t="s">
        <v>39</v>
      </c>
      <c r="H493" s="5">
        <v>84</v>
      </c>
      <c r="I493" s="5" t="s">
        <v>20</v>
      </c>
      <c r="J493" s="34" t="s">
        <v>656</v>
      </c>
      <c r="K493" s="31">
        <v>19022</v>
      </c>
      <c r="L493" s="5" t="s">
        <v>311</v>
      </c>
      <c r="M493" s="32">
        <v>0</v>
      </c>
      <c r="N493" s="6">
        <f t="shared" si="72"/>
        <v>0</v>
      </c>
      <c r="O493" s="4" t="s">
        <v>185</v>
      </c>
      <c r="P493" s="5" t="str">
        <f t="shared" si="73"/>
        <v>Delhi</v>
      </c>
      <c r="Q493" s="5" t="str">
        <f t="shared" si="74"/>
        <v>Pediatrics</v>
      </c>
      <c r="R493" s="6" t="str">
        <f t="shared" si="75"/>
        <v>Narayana</v>
      </c>
      <c r="S493" s="6" t="str">
        <f t="shared" si="76"/>
        <v>UPI</v>
      </c>
      <c r="T493" s="6" t="str">
        <f t="shared" si="77"/>
        <v>Male</v>
      </c>
      <c r="U493" s="6" t="str">
        <f t="shared" si="80"/>
        <v>General</v>
      </c>
      <c r="V493" s="6" t="str" cm="1">
        <f t="array" ref="V493">IF(TRIM(S493)="",INDEX($S$2:$S$1500,MATCH(MAX(COUNTIF($S$2:$S$1500,S493)),COUNTIF($S$2:$S$1500,$S$2:$S$1500),0)),S493)</f>
        <v>UPI</v>
      </c>
      <c r="W493" s="7" cm="1">
        <f t="array" ref="W493">IF(OR(TRIM(K493)="",TRIM(K493)="-"), MEDIAN(IF($E$2:$E$1500=E493,$K$2:$K$1500)),  VALUE(SUBSTITUTE(SUBSTITUTE(SUBSTITUTE(K493,"Rs. ",""),"₹",""),",","")))</f>
        <v>19022</v>
      </c>
      <c r="X493" s="8">
        <f t="shared" si="78"/>
        <v>0</v>
      </c>
      <c r="Y493" s="7">
        <f t="shared" si="79"/>
        <v>19022</v>
      </c>
      <c r="Z493" s="9" t="str">
        <f t="shared" si="71"/>
        <v>SENIOR</v>
      </c>
    </row>
    <row r="494" spans="1:26" x14ac:dyDescent="0.3">
      <c r="A494" s="5" t="s">
        <v>1177</v>
      </c>
      <c r="B494" s="5" t="s">
        <v>14</v>
      </c>
      <c r="C494" s="5" t="s">
        <v>60</v>
      </c>
      <c r="D494" s="5" t="s">
        <v>66</v>
      </c>
      <c r="E494" s="5" t="s">
        <v>93</v>
      </c>
      <c r="F494" s="5" t="s">
        <v>121</v>
      </c>
      <c r="G494" s="5" t="s">
        <v>19</v>
      </c>
      <c r="H494" s="5">
        <v>72</v>
      </c>
      <c r="I494" s="5" t="s">
        <v>20</v>
      </c>
      <c r="J494" s="34" t="s">
        <v>902</v>
      </c>
      <c r="K494" s="31" t="s">
        <v>1178</v>
      </c>
      <c r="L494" s="5" t="s">
        <v>104</v>
      </c>
      <c r="M494" s="32" t="s">
        <v>198</v>
      </c>
      <c r="N494" s="6">
        <f t="shared" si="72"/>
        <v>5</v>
      </c>
      <c r="O494" s="4" t="s">
        <v>121</v>
      </c>
      <c r="P494" s="5" t="str">
        <f t="shared" si="73"/>
        <v>Kolkata</v>
      </c>
      <c r="Q494" s="5" t="str">
        <f t="shared" si="74"/>
        <v>Nephrology</v>
      </c>
      <c r="R494" s="6" t="str">
        <f t="shared" si="75"/>
        <v>Max_Healthcare</v>
      </c>
      <c r="S494" s="6" t="str">
        <f t="shared" si="76"/>
        <v>Insurance</v>
      </c>
      <c r="T494" s="6" t="str">
        <f t="shared" si="77"/>
        <v>Male</v>
      </c>
      <c r="U494" s="6" t="str">
        <f t="shared" si="80"/>
        <v>General</v>
      </c>
      <c r="V494" s="6" t="str" cm="1">
        <f t="array" ref="V494">IF(TRIM(S494)="",INDEX($S$2:$S$1500,MATCH(MAX(COUNTIF($S$2:$S$1500,S494)),COUNTIF($S$2:$S$1500,$S$2:$S$1500),0)),S494)</f>
        <v>Insurance</v>
      </c>
      <c r="W494" s="7" cm="1">
        <f t="array" ref="W494">IF(OR(TRIM(K494)="",TRIM(K494)="-"), MEDIAN(IF($E$2:$E$1500=E494,$K$2:$K$1500)),  VALUE(SUBSTITUTE(SUBSTITUTE(SUBSTITUTE(K494,"Rs. ",""),"₹",""),",","")))</f>
        <v>11733</v>
      </c>
      <c r="X494" s="8">
        <f t="shared" si="78"/>
        <v>5</v>
      </c>
      <c r="Y494" s="7">
        <f t="shared" si="79"/>
        <v>11146</v>
      </c>
      <c r="Z494" s="9" t="str">
        <f t="shared" si="71"/>
        <v>SENIOR</v>
      </c>
    </row>
    <row r="495" spans="1:26" x14ac:dyDescent="0.3">
      <c r="A495" s="5" t="s">
        <v>1179</v>
      </c>
      <c r="B495" s="5" t="s">
        <v>25</v>
      </c>
      <c r="C495" s="5" t="s">
        <v>54</v>
      </c>
      <c r="D495" s="5" t="s">
        <v>189</v>
      </c>
      <c r="E495" s="5" t="s">
        <v>99</v>
      </c>
      <c r="F495" s="5" t="s">
        <v>100</v>
      </c>
      <c r="G495" s="5" t="s">
        <v>101</v>
      </c>
      <c r="H495" s="5">
        <v>44</v>
      </c>
      <c r="I495" s="5" t="s">
        <v>20</v>
      </c>
      <c r="J495" s="34" t="s">
        <v>1042</v>
      </c>
      <c r="K495" s="31" t="s">
        <v>1180</v>
      </c>
      <c r="L495" s="5" t="s">
        <v>34</v>
      </c>
      <c r="M495" s="32"/>
      <c r="N495" s="6">
        <f t="shared" si="72"/>
        <v>0</v>
      </c>
      <c r="O495" s="4" t="s">
        <v>100</v>
      </c>
      <c r="P495" s="5" t="str">
        <f t="shared" si="73"/>
        <v>Delhi</v>
      </c>
      <c r="Q495" s="5" t="str">
        <f t="shared" si="74"/>
        <v>Ent</v>
      </c>
      <c r="R495" s="6" t="str">
        <f t="shared" si="75"/>
        <v>Narayana</v>
      </c>
      <c r="S495" s="6" t="str">
        <f t="shared" si="76"/>
        <v>Cash</v>
      </c>
      <c r="T495" s="6" t="str">
        <f t="shared" si="77"/>
        <v>Male</v>
      </c>
      <c r="U495" s="6" t="str">
        <f t="shared" si="80"/>
        <v>ICU</v>
      </c>
      <c r="V495" s="6" t="str" cm="1">
        <f t="array" ref="V495">IF(TRIM(S495)="",INDEX($S$2:$S$1500,MATCH(MAX(COUNTIF($S$2:$S$1500,S495)),COUNTIF($S$2:$S$1500,$S$2:$S$1500),0)),S495)</f>
        <v>Cash</v>
      </c>
      <c r="W495" s="7" cm="1">
        <f t="array" ref="W495">IF(OR(TRIM(K495)="",TRIM(K495)="-"), MEDIAN(IF($E$2:$E$1500=E495,$K$2:$K$1500)),  VALUE(SUBSTITUTE(SUBSTITUTE(SUBSTITUTE(K495,"Rs. ",""),"₹",""),",","")))</f>
        <v>64528</v>
      </c>
      <c r="X495" s="8">
        <f t="shared" si="78"/>
        <v>0</v>
      </c>
      <c r="Y495" s="7">
        <f t="shared" si="79"/>
        <v>64528</v>
      </c>
      <c r="Z495" s="9" t="str">
        <f t="shared" si="71"/>
        <v>ADULT</v>
      </c>
    </row>
    <row r="496" spans="1:26" x14ac:dyDescent="0.3">
      <c r="A496" s="5" t="s">
        <v>1181</v>
      </c>
      <c r="B496" s="5" t="s">
        <v>117</v>
      </c>
      <c r="C496" s="5" t="s">
        <v>127</v>
      </c>
      <c r="D496" s="5" t="s">
        <v>36</v>
      </c>
      <c r="E496" s="5" t="s">
        <v>37</v>
      </c>
      <c r="F496" s="5" t="s">
        <v>56</v>
      </c>
      <c r="G496" s="5" t="s">
        <v>62</v>
      </c>
      <c r="H496" s="5">
        <v>77</v>
      </c>
      <c r="I496" s="5" t="s">
        <v>40</v>
      </c>
      <c r="J496" s="34" t="s">
        <v>800</v>
      </c>
      <c r="K496" s="31" t="s">
        <v>1182</v>
      </c>
      <c r="L496" s="5" t="s">
        <v>236</v>
      </c>
      <c r="M496" s="32">
        <v>0</v>
      </c>
      <c r="N496" s="6">
        <f t="shared" si="72"/>
        <v>0</v>
      </c>
      <c r="O496" s="4" t="s">
        <v>56</v>
      </c>
      <c r="P496" s="5" t="str">
        <f t="shared" si="73"/>
        <v>Chennai</v>
      </c>
      <c r="Q496" s="5" t="str">
        <f t="shared" si="74"/>
        <v>Pediatrics</v>
      </c>
      <c r="R496" s="6" t="str">
        <f t="shared" si="75"/>
        <v>Manipal</v>
      </c>
      <c r="S496" s="6" t="str">
        <f t="shared" si="76"/>
        <v>Debit Card</v>
      </c>
      <c r="T496" s="6" t="str">
        <f t="shared" si="77"/>
        <v>Female</v>
      </c>
      <c r="U496" s="6" t="str">
        <f t="shared" si="80"/>
        <v>ICU</v>
      </c>
      <c r="V496" s="6" t="str" cm="1">
        <f t="array" ref="V496">IF(TRIM(S496)="",INDEX($S$2:$S$1500,MATCH(MAX(COUNTIF($S$2:$S$1500,S496)),COUNTIF($S$2:$S$1500,$S$2:$S$1500),0)),S496)</f>
        <v>Debit Card</v>
      </c>
      <c r="W496" s="7" cm="1">
        <f t="array" ref="W496">IF(OR(TRIM(K496)="",TRIM(K496)="-"), MEDIAN(IF($E$2:$E$1500=E496,$K$2:$K$1500)),  VALUE(SUBSTITUTE(SUBSTITUTE(SUBSTITUTE(K496,"Rs. ",""),"₹",""),",","")))</f>
        <v>47971</v>
      </c>
      <c r="X496" s="8">
        <f t="shared" si="78"/>
        <v>0</v>
      </c>
      <c r="Y496" s="7">
        <f t="shared" si="79"/>
        <v>47971</v>
      </c>
      <c r="Z496" s="9" t="str">
        <f t="shared" si="71"/>
        <v>SENIOR</v>
      </c>
    </row>
    <row r="497" spans="1:26" x14ac:dyDescent="0.3">
      <c r="A497" s="5" t="s">
        <v>1183</v>
      </c>
      <c r="B497" s="5" t="s">
        <v>78</v>
      </c>
      <c r="C497" s="5" t="s">
        <v>79</v>
      </c>
      <c r="D497" s="5" t="s">
        <v>27</v>
      </c>
      <c r="E497" s="5" t="s">
        <v>99</v>
      </c>
      <c r="F497" s="5" t="s">
        <v>372</v>
      </c>
      <c r="G497" s="5" t="s">
        <v>49</v>
      </c>
      <c r="H497" s="5">
        <v>2</v>
      </c>
      <c r="I497" s="5" t="s">
        <v>40</v>
      </c>
      <c r="J497" s="34" t="s">
        <v>418</v>
      </c>
      <c r="K497" s="31" t="s">
        <v>1184</v>
      </c>
      <c r="L497" s="5" t="s">
        <v>97</v>
      </c>
      <c r="M497" s="32">
        <v>0</v>
      </c>
      <c r="N497" s="6">
        <f t="shared" si="72"/>
        <v>0</v>
      </c>
      <c r="O497" s="4" t="s">
        <v>372</v>
      </c>
      <c r="P497" s="5" t="str">
        <f t="shared" si="73"/>
        <v>Mumbai</v>
      </c>
      <c r="Q497" s="5" t="str">
        <f t="shared" si="74"/>
        <v>Ent</v>
      </c>
      <c r="R497" s="6" t="str">
        <f t="shared" si="75"/>
        <v>Apollo</v>
      </c>
      <c r="S497" s="6" t="str">
        <f t="shared" si="76"/>
        <v>UPI</v>
      </c>
      <c r="T497" s="6" t="str">
        <f t="shared" si="77"/>
        <v>Female</v>
      </c>
      <c r="U497" s="6" t="str">
        <f t="shared" si="80"/>
        <v>General</v>
      </c>
      <c r="V497" s="6" t="str" cm="1">
        <f t="array" ref="V497">IF(TRIM(S497)="",INDEX($S$2:$S$1500,MATCH(MAX(COUNTIF($S$2:$S$1500,S497)),COUNTIF($S$2:$S$1500,$S$2:$S$1500),0)),S497)</f>
        <v>UPI</v>
      </c>
      <c r="W497" s="7" cm="1">
        <f t="array" ref="W497">IF(OR(TRIM(K497)="",TRIM(K497)="-"), MEDIAN(IF($E$2:$E$1500=E497,$K$2:$K$1500)),  VALUE(SUBSTITUTE(SUBSTITUTE(SUBSTITUTE(K497,"Rs. ",""),"₹",""),",","")))</f>
        <v>9803</v>
      </c>
      <c r="X497" s="8">
        <f t="shared" si="78"/>
        <v>0</v>
      </c>
      <c r="Y497" s="7">
        <f t="shared" si="79"/>
        <v>9803</v>
      </c>
      <c r="Z497" s="9" t="str">
        <f t="shared" si="71"/>
        <v>CHILD</v>
      </c>
    </row>
    <row r="498" spans="1:26" x14ac:dyDescent="0.3">
      <c r="A498" s="5" t="s">
        <v>1185</v>
      </c>
      <c r="B498" s="5" t="s">
        <v>45</v>
      </c>
      <c r="C498" s="5" t="s">
        <v>46</v>
      </c>
      <c r="D498" s="5" t="s">
        <v>55</v>
      </c>
      <c r="E498" s="5" t="s">
        <v>28</v>
      </c>
      <c r="F498" s="5" t="s">
        <v>268</v>
      </c>
      <c r="G498" s="5" t="s">
        <v>62</v>
      </c>
      <c r="H498" s="5">
        <v>86</v>
      </c>
      <c r="I498" s="5" t="s">
        <v>31</v>
      </c>
      <c r="J498" s="34" t="s">
        <v>1186</v>
      </c>
      <c r="K498" s="31" t="s">
        <v>1187</v>
      </c>
      <c r="L498" s="5" t="s">
        <v>97</v>
      </c>
      <c r="M498" s="32">
        <v>0</v>
      </c>
      <c r="N498" s="6">
        <f t="shared" si="72"/>
        <v>0</v>
      </c>
      <c r="O498" s="4" t="s">
        <v>268</v>
      </c>
      <c r="P498" s="5" t="str">
        <f t="shared" si="73"/>
        <v>Hyderabad</v>
      </c>
      <c r="Q498" s="5" t="str">
        <f t="shared" si="74"/>
        <v>Oncology</v>
      </c>
      <c r="R498" s="6" t="str">
        <f t="shared" si="75"/>
        <v>Fortis</v>
      </c>
      <c r="S498" s="6" t="str">
        <f t="shared" si="76"/>
        <v>UPI</v>
      </c>
      <c r="T498" s="6" t="str">
        <f t="shared" si="77"/>
        <v>Male</v>
      </c>
      <c r="U498" s="6" t="str">
        <f t="shared" si="80"/>
        <v>ICU</v>
      </c>
      <c r="V498" s="6" t="str" cm="1">
        <f t="array" ref="V498">IF(TRIM(S498)="",INDEX($S$2:$S$1500,MATCH(MAX(COUNTIF($S$2:$S$1500,S498)),COUNTIF($S$2:$S$1500,$S$2:$S$1500),0)),S498)</f>
        <v>UPI</v>
      </c>
      <c r="W498" s="7" cm="1">
        <f t="array" ref="W498">IF(OR(TRIM(K498)="",TRIM(K498)="-"), MEDIAN(IF($E$2:$E$1500=E498,$K$2:$K$1500)),  VALUE(SUBSTITUTE(SUBSTITUTE(SUBSTITUTE(K498,"Rs. ",""),"₹",""),",","")))</f>
        <v>64350</v>
      </c>
      <c r="X498" s="8">
        <f t="shared" si="78"/>
        <v>0</v>
      </c>
      <c r="Y498" s="7">
        <f t="shared" si="79"/>
        <v>64350</v>
      </c>
      <c r="Z498" s="9" t="str">
        <f t="shared" si="71"/>
        <v>SENIOR</v>
      </c>
    </row>
    <row r="499" spans="1:26" x14ac:dyDescent="0.3">
      <c r="A499" s="5" t="s">
        <v>1188</v>
      </c>
      <c r="B499" s="5" t="s">
        <v>78</v>
      </c>
      <c r="C499" s="5" t="s">
        <v>79</v>
      </c>
      <c r="D499" s="5" t="s">
        <v>189</v>
      </c>
      <c r="E499" s="5" t="s">
        <v>99</v>
      </c>
      <c r="F499" s="5" t="s">
        <v>100</v>
      </c>
      <c r="G499" s="5" t="s">
        <v>30</v>
      </c>
      <c r="H499" s="5">
        <v>46</v>
      </c>
      <c r="I499" s="5" t="s">
        <v>40</v>
      </c>
      <c r="J499" s="34" t="s">
        <v>1012</v>
      </c>
      <c r="K499" s="31" t="s">
        <v>1189</v>
      </c>
      <c r="L499" s="5" t="s">
        <v>52</v>
      </c>
      <c r="M499" s="32" t="s">
        <v>76</v>
      </c>
      <c r="N499" s="6">
        <f t="shared" si="72"/>
        <v>10</v>
      </c>
      <c r="O499" s="4" t="s">
        <v>100</v>
      </c>
      <c r="P499" s="5" t="str">
        <f t="shared" si="73"/>
        <v>Delhi</v>
      </c>
      <c r="Q499" s="5" t="str">
        <f t="shared" si="74"/>
        <v>Ent</v>
      </c>
      <c r="R499" s="6" t="str">
        <f t="shared" si="75"/>
        <v>Apollo</v>
      </c>
      <c r="S499" s="6" t="str">
        <f t="shared" si="76"/>
        <v>Credit Card</v>
      </c>
      <c r="T499" s="6" t="str">
        <f t="shared" si="77"/>
        <v>Female</v>
      </c>
      <c r="U499" s="6" t="str">
        <f t="shared" si="80"/>
        <v>General</v>
      </c>
      <c r="V499" s="6" t="str" cm="1">
        <f t="array" ref="V499">IF(TRIM(S499)="",INDEX($S$2:$S$1500,MATCH(MAX(COUNTIF($S$2:$S$1500,S499)),COUNTIF($S$2:$S$1500,$S$2:$S$1500),0)),S499)</f>
        <v>Credit Card</v>
      </c>
      <c r="W499" s="7" cm="1">
        <f t="array" ref="W499">IF(OR(TRIM(K499)="",TRIM(K499)="-"), MEDIAN(IF($E$2:$E$1500=E499,$K$2:$K$1500)),  VALUE(SUBSTITUTE(SUBSTITUTE(SUBSTITUTE(K499,"Rs. ",""),"₹",""),",","")))</f>
        <v>5266</v>
      </c>
      <c r="X499" s="8">
        <f t="shared" si="78"/>
        <v>10</v>
      </c>
      <c r="Y499" s="7">
        <f t="shared" si="79"/>
        <v>4739</v>
      </c>
      <c r="Z499" s="9" t="str">
        <f t="shared" si="71"/>
        <v>ADULT</v>
      </c>
    </row>
    <row r="500" spans="1:26" x14ac:dyDescent="0.3">
      <c r="A500" s="5" t="s">
        <v>1190</v>
      </c>
      <c r="B500" s="5" t="s">
        <v>117</v>
      </c>
      <c r="C500" s="5" t="s">
        <v>127</v>
      </c>
      <c r="D500" s="5" t="s">
        <v>16</v>
      </c>
      <c r="E500" s="5" t="s">
        <v>28</v>
      </c>
      <c r="F500" s="5" t="s">
        <v>290</v>
      </c>
      <c r="G500" s="5" t="s">
        <v>49</v>
      </c>
      <c r="H500" s="5">
        <v>56</v>
      </c>
      <c r="I500" s="5" t="s">
        <v>20</v>
      </c>
      <c r="J500" s="34" t="s">
        <v>63</v>
      </c>
      <c r="K500" s="31">
        <v>16366</v>
      </c>
      <c r="L500" s="5" t="s">
        <v>104</v>
      </c>
      <c r="M500" s="32" t="s">
        <v>140</v>
      </c>
      <c r="N500" s="6" t="str">
        <f t="shared" si="72"/>
        <v>-</v>
      </c>
      <c r="O500" s="4" t="s">
        <v>290</v>
      </c>
      <c r="P500" s="5" t="str">
        <f t="shared" si="73"/>
        <v>Bangalore</v>
      </c>
      <c r="Q500" s="5" t="str">
        <f t="shared" si="74"/>
        <v>Oncology</v>
      </c>
      <c r="R500" s="6" t="str">
        <f t="shared" si="75"/>
        <v>Manipal</v>
      </c>
      <c r="S500" s="6" t="str">
        <f t="shared" si="76"/>
        <v>Insurance</v>
      </c>
      <c r="T500" s="6" t="str">
        <f t="shared" si="77"/>
        <v>Male</v>
      </c>
      <c r="U500" s="6" t="str">
        <f t="shared" si="80"/>
        <v>General</v>
      </c>
      <c r="V500" s="6" t="str" cm="1">
        <f t="array" ref="V500">IF(TRIM(S500)="",INDEX($S$2:$S$1500,MATCH(MAX(COUNTIF($S$2:$S$1500,S500)),COUNTIF($S$2:$S$1500,$S$2:$S$1500),0)),S500)</f>
        <v>Insurance</v>
      </c>
      <c r="W500" s="7" cm="1">
        <f t="array" ref="W500">IF(OR(TRIM(K500)="",TRIM(K500)="-"), MEDIAN(IF($E$2:$E$1500=E500,$K$2:$K$1500)),  VALUE(SUBSTITUTE(SUBSTITUTE(SUBSTITUTE(K500,"Rs. ",""),"₹",""),",","")))</f>
        <v>16366</v>
      </c>
      <c r="X500" s="8">
        <f t="shared" si="78"/>
        <v>19</v>
      </c>
      <c r="Y500" s="7">
        <f t="shared" si="79"/>
        <v>13256</v>
      </c>
      <c r="Z500" s="9" t="str">
        <f t="shared" si="71"/>
        <v>ADULT</v>
      </c>
    </row>
    <row r="501" spans="1:26" x14ac:dyDescent="0.3">
      <c r="A501" s="5" t="s">
        <v>1191</v>
      </c>
      <c r="B501" s="5" t="s">
        <v>117</v>
      </c>
      <c r="C501" s="5" t="s">
        <v>118</v>
      </c>
      <c r="D501" s="5" t="s">
        <v>27</v>
      </c>
      <c r="E501" s="5" t="s">
        <v>99</v>
      </c>
      <c r="F501" s="5" t="s">
        <v>151</v>
      </c>
      <c r="G501" s="5" t="s">
        <v>19</v>
      </c>
      <c r="H501" s="5">
        <v>8</v>
      </c>
      <c r="I501" s="5" t="s">
        <v>31</v>
      </c>
      <c r="J501" s="34" t="s">
        <v>1192</v>
      </c>
      <c r="K501" s="31">
        <v>7343</v>
      </c>
      <c r="L501" s="5" t="s">
        <v>34</v>
      </c>
      <c r="M501" s="32" t="s">
        <v>130</v>
      </c>
      <c r="N501" s="6">
        <f t="shared" si="72"/>
        <v>0</v>
      </c>
      <c r="O501" s="4" t="s">
        <v>151</v>
      </c>
      <c r="P501" s="5" t="str">
        <f t="shared" si="73"/>
        <v>Mumbai</v>
      </c>
      <c r="Q501" s="5" t="str">
        <f t="shared" si="74"/>
        <v>Ent</v>
      </c>
      <c r="R501" s="6" t="str">
        <f t="shared" si="75"/>
        <v>Manipal</v>
      </c>
      <c r="S501" s="6" t="str">
        <f t="shared" si="76"/>
        <v>Cash</v>
      </c>
      <c r="T501" s="6" t="str">
        <f t="shared" si="77"/>
        <v>Male</v>
      </c>
      <c r="U501" s="6" t="str">
        <f t="shared" si="80"/>
        <v>General</v>
      </c>
      <c r="V501" s="6" t="str" cm="1">
        <f t="array" ref="V501">IF(TRIM(S501)="",INDEX($S$2:$S$1500,MATCH(MAX(COUNTIF($S$2:$S$1500,S501)),COUNTIF($S$2:$S$1500,$S$2:$S$1500),0)),S501)</f>
        <v>Cash</v>
      </c>
      <c r="W501" s="7" cm="1">
        <f t="array" ref="W501">IF(OR(TRIM(K501)="",TRIM(K501)="-"), MEDIAN(IF($E$2:$E$1500=E501,$K$2:$K$1500)),  VALUE(SUBSTITUTE(SUBSTITUTE(SUBSTITUTE(K501,"Rs. ",""),"₹",""),",","")))</f>
        <v>7343</v>
      </c>
      <c r="X501" s="8">
        <f t="shared" si="78"/>
        <v>0</v>
      </c>
      <c r="Y501" s="7">
        <f t="shared" si="79"/>
        <v>7343</v>
      </c>
      <c r="Z501" s="9" t="str">
        <f t="shared" si="71"/>
        <v>CHILD</v>
      </c>
    </row>
    <row r="502" spans="1:26" x14ac:dyDescent="0.3">
      <c r="A502" s="5" t="s">
        <v>1193</v>
      </c>
      <c r="B502" s="5" t="s">
        <v>45</v>
      </c>
      <c r="C502" s="5" t="s">
        <v>46</v>
      </c>
      <c r="D502" s="5" t="s">
        <v>66</v>
      </c>
      <c r="E502" s="5" t="s">
        <v>17</v>
      </c>
      <c r="F502" s="5" t="s">
        <v>135</v>
      </c>
      <c r="G502" s="5" t="s">
        <v>19</v>
      </c>
      <c r="H502" s="5">
        <v>86</v>
      </c>
      <c r="I502" s="5" t="s">
        <v>40</v>
      </c>
      <c r="J502" s="34" t="s">
        <v>1194</v>
      </c>
      <c r="K502" s="31" t="s">
        <v>1195</v>
      </c>
      <c r="L502" s="5" t="s">
        <v>236</v>
      </c>
      <c r="M502" s="32">
        <v>10</v>
      </c>
      <c r="N502" s="6">
        <f t="shared" si="72"/>
        <v>10</v>
      </c>
      <c r="O502" s="4" t="s">
        <v>135</v>
      </c>
      <c r="P502" s="5" t="str">
        <f t="shared" si="73"/>
        <v>Kolkata</v>
      </c>
      <c r="Q502" s="5" t="str">
        <f t="shared" si="74"/>
        <v>Gynecology</v>
      </c>
      <c r="R502" s="6" t="str">
        <f t="shared" si="75"/>
        <v>Fortis</v>
      </c>
      <c r="S502" s="6" t="str">
        <f t="shared" si="76"/>
        <v>Debit Card</v>
      </c>
      <c r="T502" s="6" t="str">
        <f t="shared" si="77"/>
        <v>Female</v>
      </c>
      <c r="U502" s="6" t="str">
        <f t="shared" si="80"/>
        <v>General</v>
      </c>
      <c r="V502" s="6" t="str" cm="1">
        <f t="array" ref="V502">IF(TRIM(S502)="",INDEX($S$2:$S$1500,MATCH(MAX(COUNTIF($S$2:$S$1500,S502)),COUNTIF($S$2:$S$1500,$S$2:$S$1500),0)),S502)</f>
        <v>Debit Card</v>
      </c>
      <c r="W502" s="7" cm="1">
        <f t="array" ref="W502">IF(OR(TRIM(K502)="",TRIM(K502)="-"), MEDIAN(IF($E$2:$E$1500=E502,$K$2:$K$1500)),  VALUE(SUBSTITUTE(SUBSTITUTE(SUBSTITUTE(K502,"Rs. ",""),"₹",""),",","")))</f>
        <v>13821</v>
      </c>
      <c r="X502" s="8">
        <f t="shared" si="78"/>
        <v>10</v>
      </c>
      <c r="Y502" s="7">
        <f t="shared" si="79"/>
        <v>12439</v>
      </c>
      <c r="Z502" s="9" t="str">
        <f t="shared" si="71"/>
        <v>SENIOR</v>
      </c>
    </row>
    <row r="503" spans="1:26" x14ac:dyDescent="0.3">
      <c r="A503" s="5" t="s">
        <v>1196</v>
      </c>
      <c r="B503" s="5" t="s">
        <v>78</v>
      </c>
      <c r="C503" s="5" t="s">
        <v>79</v>
      </c>
      <c r="D503" s="5" t="s">
        <v>66</v>
      </c>
      <c r="E503" s="5" t="s">
        <v>108</v>
      </c>
      <c r="F503" s="5" t="s">
        <v>109</v>
      </c>
      <c r="G503" s="5" t="s">
        <v>30</v>
      </c>
      <c r="H503" s="5">
        <v>85</v>
      </c>
      <c r="I503" s="5" t="s">
        <v>20</v>
      </c>
      <c r="J503" s="34" t="s">
        <v>735</v>
      </c>
      <c r="K503" s="31">
        <v>10666</v>
      </c>
      <c r="L503" s="5" t="s">
        <v>211</v>
      </c>
      <c r="M503" s="32">
        <v>0</v>
      </c>
      <c r="N503" s="6">
        <f t="shared" si="72"/>
        <v>0</v>
      </c>
      <c r="O503" s="4" t="s">
        <v>109</v>
      </c>
      <c r="P503" s="5" t="str">
        <f t="shared" si="73"/>
        <v>Kolkata</v>
      </c>
      <c r="Q503" s="5" t="str">
        <f t="shared" si="74"/>
        <v>Orthopedics</v>
      </c>
      <c r="R503" s="6" t="str">
        <f t="shared" si="75"/>
        <v>Apollo</v>
      </c>
      <c r="S503" s="6" t="str">
        <f t="shared" si="76"/>
        <v>Credit Card</v>
      </c>
      <c r="T503" s="6" t="str">
        <f t="shared" si="77"/>
        <v>Male</v>
      </c>
      <c r="U503" s="6" t="str">
        <f t="shared" si="80"/>
        <v>General</v>
      </c>
      <c r="V503" s="6" t="str" cm="1">
        <f t="array" ref="V503">IF(TRIM(S503)="",INDEX($S$2:$S$1500,MATCH(MAX(COUNTIF($S$2:$S$1500,S503)),COUNTIF($S$2:$S$1500,$S$2:$S$1500),0)),S503)</f>
        <v>Credit Card</v>
      </c>
      <c r="W503" s="7" cm="1">
        <f t="array" ref="W503">IF(OR(TRIM(K503)="",TRIM(K503)="-"), MEDIAN(IF($E$2:$E$1500=E503,$K$2:$K$1500)),  VALUE(SUBSTITUTE(SUBSTITUTE(SUBSTITUTE(K503,"Rs. ",""),"₹",""),",","")))</f>
        <v>10666</v>
      </c>
      <c r="X503" s="8">
        <f t="shared" si="78"/>
        <v>0</v>
      </c>
      <c r="Y503" s="7">
        <f t="shared" si="79"/>
        <v>10666</v>
      </c>
      <c r="Z503" s="9" t="str">
        <f t="shared" si="71"/>
        <v>SENIOR</v>
      </c>
    </row>
    <row r="504" spans="1:26" x14ac:dyDescent="0.3">
      <c r="A504" s="5" t="s">
        <v>1197</v>
      </c>
      <c r="B504" s="5" t="s">
        <v>117</v>
      </c>
      <c r="C504" s="5" t="s">
        <v>182</v>
      </c>
      <c r="D504" s="5" t="s">
        <v>80</v>
      </c>
      <c r="E504" s="5" t="s">
        <v>108</v>
      </c>
      <c r="F504" s="5" t="s">
        <v>272</v>
      </c>
      <c r="G504" s="5" t="s">
        <v>39</v>
      </c>
      <c r="H504" s="5">
        <v>82</v>
      </c>
      <c r="I504" s="5" t="s">
        <v>20</v>
      </c>
      <c r="J504" s="34" t="s">
        <v>257</v>
      </c>
      <c r="K504" s="31">
        <v>16094</v>
      </c>
      <c r="L504" s="5" t="s">
        <v>211</v>
      </c>
      <c r="M504" s="32">
        <v>10</v>
      </c>
      <c r="N504" s="6">
        <f t="shared" si="72"/>
        <v>10</v>
      </c>
      <c r="O504" s="4" t="s">
        <v>272</v>
      </c>
      <c r="P504" s="5" t="str">
        <f t="shared" si="73"/>
        <v>Ahmedabad</v>
      </c>
      <c r="Q504" s="5" t="str">
        <f t="shared" si="74"/>
        <v>Orthopedics</v>
      </c>
      <c r="R504" s="6" t="str">
        <f t="shared" si="75"/>
        <v>Manipal</v>
      </c>
      <c r="S504" s="6" t="str">
        <f t="shared" si="76"/>
        <v>Credit Card</v>
      </c>
      <c r="T504" s="6" t="str">
        <f t="shared" si="77"/>
        <v>Male</v>
      </c>
      <c r="U504" s="6" t="str">
        <f t="shared" si="80"/>
        <v>General</v>
      </c>
      <c r="V504" s="6" t="str" cm="1">
        <f t="array" ref="V504">IF(TRIM(S504)="",INDEX($S$2:$S$1500,MATCH(MAX(COUNTIF($S$2:$S$1500,S504)),COUNTIF($S$2:$S$1500,$S$2:$S$1500),0)),S504)</f>
        <v>Credit Card</v>
      </c>
      <c r="W504" s="7" cm="1">
        <f t="array" ref="W504">IF(OR(TRIM(K504)="",TRIM(K504)="-"), MEDIAN(IF($E$2:$E$1500=E504,$K$2:$K$1500)),  VALUE(SUBSTITUTE(SUBSTITUTE(SUBSTITUTE(K504,"Rs. ",""),"₹",""),",","")))</f>
        <v>16094</v>
      </c>
      <c r="X504" s="8">
        <f t="shared" si="78"/>
        <v>10</v>
      </c>
      <c r="Y504" s="7">
        <f t="shared" si="79"/>
        <v>14485</v>
      </c>
      <c r="Z504" s="9" t="str">
        <f t="shared" si="71"/>
        <v>SENIOR</v>
      </c>
    </row>
    <row r="505" spans="1:26" x14ac:dyDescent="0.3">
      <c r="A505" s="5" t="s">
        <v>1198</v>
      </c>
      <c r="B505" s="5" t="s">
        <v>45</v>
      </c>
      <c r="C505" s="5" t="s">
        <v>334</v>
      </c>
      <c r="D505" s="5" t="s">
        <v>27</v>
      </c>
      <c r="E505" s="5" t="s">
        <v>93</v>
      </c>
      <c r="F505" s="5" t="s">
        <v>121</v>
      </c>
      <c r="G505" s="5" t="s">
        <v>69</v>
      </c>
      <c r="H505" s="5">
        <v>22</v>
      </c>
      <c r="I505" s="5" t="s">
        <v>40</v>
      </c>
      <c r="J505" s="34" t="s">
        <v>318</v>
      </c>
      <c r="K505" s="31" t="s">
        <v>1199</v>
      </c>
      <c r="L505" s="5" t="s">
        <v>34</v>
      </c>
      <c r="M505" s="32" t="s">
        <v>76</v>
      </c>
      <c r="N505" s="6">
        <f t="shared" si="72"/>
        <v>10</v>
      </c>
      <c r="O505" s="4" t="s">
        <v>121</v>
      </c>
      <c r="P505" s="5" t="str">
        <f t="shared" si="73"/>
        <v>Mumbai</v>
      </c>
      <c r="Q505" s="5" t="str">
        <f t="shared" si="74"/>
        <v>Nephrology</v>
      </c>
      <c r="R505" s="6" t="str">
        <f t="shared" si="75"/>
        <v>Fortis</v>
      </c>
      <c r="S505" s="6" t="str">
        <f t="shared" si="76"/>
        <v>Cash</v>
      </c>
      <c r="T505" s="6" t="str">
        <f t="shared" si="77"/>
        <v>Female</v>
      </c>
      <c r="U505" s="6" t="str">
        <f t="shared" si="80"/>
        <v>ICU</v>
      </c>
      <c r="V505" s="6" t="str" cm="1">
        <f t="array" ref="V505">IF(TRIM(S505)="",INDEX($S$2:$S$1500,MATCH(MAX(COUNTIF($S$2:$S$1500,S505)),COUNTIF($S$2:$S$1500,$S$2:$S$1500),0)),S505)</f>
        <v>Cash</v>
      </c>
      <c r="W505" s="7" cm="1">
        <f t="array" ref="W505">IF(OR(TRIM(K505)="",TRIM(K505)="-"), MEDIAN(IF($E$2:$E$1500=E505,$K$2:$K$1500)),  VALUE(SUBSTITUTE(SUBSTITUTE(SUBSTITUTE(K505,"Rs. ",""),"₹",""),",","")))</f>
        <v>36988</v>
      </c>
      <c r="X505" s="8">
        <f t="shared" si="78"/>
        <v>10</v>
      </c>
      <c r="Y505" s="7">
        <f t="shared" si="79"/>
        <v>33289</v>
      </c>
      <c r="Z505" s="9" t="str">
        <f t="shared" si="71"/>
        <v>ADULT</v>
      </c>
    </row>
    <row r="506" spans="1:26" x14ac:dyDescent="0.3">
      <c r="A506" s="5" t="s">
        <v>1200</v>
      </c>
      <c r="B506" s="5" t="s">
        <v>25</v>
      </c>
      <c r="C506" s="5" t="s">
        <v>26</v>
      </c>
      <c r="D506" s="5" t="s">
        <v>16</v>
      </c>
      <c r="E506" s="5" t="s">
        <v>93</v>
      </c>
      <c r="F506" s="5" t="s">
        <v>144</v>
      </c>
      <c r="G506" s="5" t="s">
        <v>49</v>
      </c>
      <c r="H506" s="5">
        <v>74</v>
      </c>
      <c r="I506" s="5" t="s">
        <v>31</v>
      </c>
      <c r="J506" s="34" t="s">
        <v>1201</v>
      </c>
      <c r="K506" s="31">
        <v>12632</v>
      </c>
      <c r="L506" s="5" t="s">
        <v>72</v>
      </c>
      <c r="M506" s="32">
        <v>0</v>
      </c>
      <c r="N506" s="6">
        <f t="shared" si="72"/>
        <v>0</v>
      </c>
      <c r="O506" s="4" t="s">
        <v>144</v>
      </c>
      <c r="P506" s="5" t="str">
        <f t="shared" si="73"/>
        <v>Bangalore</v>
      </c>
      <c r="Q506" s="5" t="str">
        <f t="shared" si="74"/>
        <v>Nephrology</v>
      </c>
      <c r="R506" s="6" t="str">
        <f t="shared" si="75"/>
        <v>Narayana</v>
      </c>
      <c r="S506" s="6" t="str">
        <f t="shared" si="76"/>
        <v>Cash</v>
      </c>
      <c r="T506" s="6" t="str">
        <f t="shared" si="77"/>
        <v>Male</v>
      </c>
      <c r="U506" s="6" t="str">
        <f t="shared" si="80"/>
        <v>General</v>
      </c>
      <c r="V506" s="6" t="str" cm="1">
        <f t="array" ref="V506">IF(TRIM(S506)="",INDEX($S$2:$S$1500,MATCH(MAX(COUNTIF($S$2:$S$1500,S506)),COUNTIF($S$2:$S$1500,$S$2:$S$1500),0)),S506)</f>
        <v>Cash</v>
      </c>
      <c r="W506" s="7" cm="1">
        <f t="array" ref="W506">IF(OR(TRIM(K506)="",TRIM(K506)="-"), MEDIAN(IF($E$2:$E$1500=E506,$K$2:$K$1500)),  VALUE(SUBSTITUTE(SUBSTITUTE(SUBSTITUTE(K506,"Rs. ",""),"₹",""),",","")))</f>
        <v>12632</v>
      </c>
      <c r="X506" s="8">
        <f t="shared" si="78"/>
        <v>0</v>
      </c>
      <c r="Y506" s="7">
        <f t="shared" si="79"/>
        <v>12632</v>
      </c>
      <c r="Z506" s="9" t="str">
        <f t="shared" si="71"/>
        <v>SENIOR</v>
      </c>
    </row>
    <row r="507" spans="1:26" x14ac:dyDescent="0.3">
      <c r="A507" s="5" t="s">
        <v>1202</v>
      </c>
      <c r="B507" s="5" t="s">
        <v>14</v>
      </c>
      <c r="C507" s="5" t="s">
        <v>60</v>
      </c>
      <c r="D507" s="5" t="s">
        <v>189</v>
      </c>
      <c r="E507" s="5" t="s">
        <v>108</v>
      </c>
      <c r="F507" s="5" t="s">
        <v>308</v>
      </c>
      <c r="G507" s="5" t="s">
        <v>30</v>
      </c>
      <c r="H507" s="5">
        <v>49</v>
      </c>
      <c r="I507" s="5" t="s">
        <v>40</v>
      </c>
      <c r="J507" s="34" t="s">
        <v>246</v>
      </c>
      <c r="K507" s="31" t="s">
        <v>1203</v>
      </c>
      <c r="L507" s="5" t="s">
        <v>72</v>
      </c>
      <c r="M507" s="32">
        <v>0</v>
      </c>
      <c r="N507" s="6">
        <f t="shared" si="72"/>
        <v>0</v>
      </c>
      <c r="O507" s="4" t="s">
        <v>308</v>
      </c>
      <c r="P507" s="5" t="str">
        <f t="shared" si="73"/>
        <v>Delhi</v>
      </c>
      <c r="Q507" s="5" t="str">
        <f t="shared" si="74"/>
        <v>Orthopedics</v>
      </c>
      <c r="R507" s="6" t="str">
        <f t="shared" si="75"/>
        <v>Max_Healthcare</v>
      </c>
      <c r="S507" s="6" t="str">
        <f t="shared" si="76"/>
        <v>Cash</v>
      </c>
      <c r="T507" s="6" t="str">
        <f t="shared" si="77"/>
        <v>Female</v>
      </c>
      <c r="U507" s="6" t="str">
        <f t="shared" si="80"/>
        <v>General</v>
      </c>
      <c r="V507" s="6" t="str" cm="1">
        <f t="array" ref="V507">IF(TRIM(S507)="",INDEX($S$2:$S$1500,MATCH(MAX(COUNTIF($S$2:$S$1500,S507)),COUNTIF($S$2:$S$1500,$S$2:$S$1500),0)),S507)</f>
        <v>Cash</v>
      </c>
      <c r="W507" s="7" cm="1">
        <f t="array" ref="W507">IF(OR(TRIM(K507)="",TRIM(K507)="-"), MEDIAN(IF($E$2:$E$1500=E507,$K$2:$K$1500)),  VALUE(SUBSTITUTE(SUBSTITUTE(SUBSTITUTE(K507,"Rs. ",""),"₹",""),",","")))</f>
        <v>13010</v>
      </c>
      <c r="X507" s="8">
        <f t="shared" si="78"/>
        <v>0</v>
      </c>
      <c r="Y507" s="7">
        <f t="shared" si="79"/>
        <v>13010</v>
      </c>
      <c r="Z507" s="9" t="str">
        <f t="shared" si="71"/>
        <v>ADULT</v>
      </c>
    </row>
    <row r="508" spans="1:26" x14ac:dyDescent="0.3">
      <c r="A508" s="5" t="s">
        <v>1204</v>
      </c>
      <c r="B508" s="5" t="s">
        <v>25</v>
      </c>
      <c r="C508" s="5" t="s">
        <v>26</v>
      </c>
      <c r="D508" s="5" t="s">
        <v>80</v>
      </c>
      <c r="E508" s="5" t="s">
        <v>37</v>
      </c>
      <c r="F508" s="5" t="s">
        <v>38</v>
      </c>
      <c r="G508" s="5" t="s">
        <v>49</v>
      </c>
      <c r="H508" s="5">
        <v>91</v>
      </c>
      <c r="I508" s="5" t="s">
        <v>31</v>
      </c>
      <c r="J508" s="34" t="s">
        <v>1205</v>
      </c>
      <c r="K508" s="31">
        <v>16773</v>
      </c>
      <c r="L508" s="5" t="s">
        <v>211</v>
      </c>
      <c r="M508" s="32" t="s">
        <v>130</v>
      </c>
      <c r="N508" s="6">
        <f t="shared" si="72"/>
        <v>0</v>
      </c>
      <c r="O508" s="4" t="s">
        <v>38</v>
      </c>
      <c r="P508" s="5" t="str">
        <f t="shared" si="73"/>
        <v>Ahmedabad</v>
      </c>
      <c r="Q508" s="5" t="str">
        <f t="shared" si="74"/>
        <v>Pediatrics</v>
      </c>
      <c r="R508" s="6" t="str">
        <f t="shared" si="75"/>
        <v>Narayana</v>
      </c>
      <c r="S508" s="6" t="str">
        <f t="shared" si="76"/>
        <v>Credit Card</v>
      </c>
      <c r="T508" s="6" t="str">
        <f t="shared" si="77"/>
        <v>Male</v>
      </c>
      <c r="U508" s="6" t="str">
        <f t="shared" si="80"/>
        <v>General</v>
      </c>
      <c r="V508" s="6" t="str" cm="1">
        <f t="array" ref="V508">IF(TRIM(S508)="",INDEX($S$2:$S$1500,MATCH(MAX(COUNTIF($S$2:$S$1500,S508)),COUNTIF($S$2:$S$1500,$S$2:$S$1500),0)),S508)</f>
        <v>Credit Card</v>
      </c>
      <c r="W508" s="7" cm="1">
        <f t="array" ref="W508">IF(OR(TRIM(K508)="",TRIM(K508)="-"), MEDIAN(IF($E$2:$E$1500=E508,$K$2:$K$1500)),  VALUE(SUBSTITUTE(SUBSTITUTE(SUBSTITUTE(K508,"Rs. ",""),"₹",""),",","")))</f>
        <v>16773</v>
      </c>
      <c r="X508" s="8">
        <f t="shared" si="78"/>
        <v>0</v>
      </c>
      <c r="Y508" s="7">
        <f t="shared" si="79"/>
        <v>16773</v>
      </c>
      <c r="Z508" s="9" t="str">
        <f t="shared" si="71"/>
        <v>SENIOR</v>
      </c>
    </row>
    <row r="509" spans="1:26" x14ac:dyDescent="0.3">
      <c r="A509" s="5" t="s">
        <v>1206</v>
      </c>
      <c r="B509" s="5" t="s">
        <v>106</v>
      </c>
      <c r="C509" s="5" t="s">
        <v>107</v>
      </c>
      <c r="D509" s="5" t="s">
        <v>61</v>
      </c>
      <c r="E509" s="5" t="s">
        <v>47</v>
      </c>
      <c r="F509" s="5" t="s">
        <v>461</v>
      </c>
      <c r="G509" s="5" t="s">
        <v>39</v>
      </c>
      <c r="H509" s="5">
        <v>18</v>
      </c>
      <c r="I509" s="5" t="s">
        <v>70</v>
      </c>
      <c r="J509" s="34" t="s">
        <v>304</v>
      </c>
      <c r="K509" s="31">
        <v>8331</v>
      </c>
      <c r="L509" s="5" t="s">
        <v>23</v>
      </c>
      <c r="M509" s="32">
        <v>0</v>
      </c>
      <c r="N509" s="6">
        <f t="shared" si="72"/>
        <v>0</v>
      </c>
      <c r="O509" s="4" t="s">
        <v>461</v>
      </c>
      <c r="P509" s="5" t="str">
        <f t="shared" si="73"/>
        <v>Pune</v>
      </c>
      <c r="Q509" s="5" t="str">
        <f t="shared" si="74"/>
        <v>Gastroenterology</v>
      </c>
      <c r="R509" s="6" t="str">
        <f t="shared" si="75"/>
        <v>Aiims</v>
      </c>
      <c r="S509" s="6" t="str">
        <f t="shared" si="76"/>
        <v>Credit Card</v>
      </c>
      <c r="T509" s="6" t="str">
        <f t="shared" si="77"/>
        <v>Female</v>
      </c>
      <c r="U509" s="6" t="str">
        <f t="shared" si="80"/>
        <v>General</v>
      </c>
      <c r="V509" s="6" t="str" cm="1">
        <f t="array" ref="V509">IF(TRIM(S509)="",INDEX($S$2:$S$1500,MATCH(MAX(COUNTIF($S$2:$S$1500,S509)),COUNTIF($S$2:$S$1500,$S$2:$S$1500),0)),S509)</f>
        <v>Credit Card</v>
      </c>
      <c r="W509" s="7" cm="1">
        <f t="array" ref="W509">IF(OR(TRIM(K509)="",TRIM(K509)="-"), MEDIAN(IF($E$2:$E$1500=E509,$K$2:$K$1500)),  VALUE(SUBSTITUTE(SUBSTITUTE(SUBSTITUTE(K509,"Rs. ",""),"₹",""),",","")))</f>
        <v>8331</v>
      </c>
      <c r="X509" s="8">
        <f t="shared" si="78"/>
        <v>0</v>
      </c>
      <c r="Y509" s="7">
        <f t="shared" si="79"/>
        <v>8331</v>
      </c>
      <c r="Z509" s="9" t="str">
        <f t="shared" si="71"/>
        <v>TEEN</v>
      </c>
    </row>
    <row r="510" spans="1:26" x14ac:dyDescent="0.3">
      <c r="A510" s="5" t="s">
        <v>1207</v>
      </c>
      <c r="B510" s="5" t="s">
        <v>25</v>
      </c>
      <c r="C510" s="5" t="s">
        <v>26</v>
      </c>
      <c r="D510" s="5" t="s">
        <v>61</v>
      </c>
      <c r="E510" s="5" t="s">
        <v>93</v>
      </c>
      <c r="F510" s="5" t="s">
        <v>121</v>
      </c>
      <c r="G510" s="5" t="s">
        <v>49</v>
      </c>
      <c r="H510" s="5">
        <v>6</v>
      </c>
      <c r="I510" s="5" t="s">
        <v>40</v>
      </c>
      <c r="J510" s="34" t="s">
        <v>186</v>
      </c>
      <c r="K510" s="31" t="s">
        <v>1208</v>
      </c>
      <c r="L510" s="5" t="s">
        <v>311</v>
      </c>
      <c r="M510" s="32">
        <v>0.1</v>
      </c>
      <c r="N510" s="6">
        <f t="shared" si="72"/>
        <v>10</v>
      </c>
      <c r="O510" s="4" t="s">
        <v>121</v>
      </c>
      <c r="P510" s="5" t="str">
        <f t="shared" si="73"/>
        <v>Pune</v>
      </c>
      <c r="Q510" s="5" t="str">
        <f t="shared" si="74"/>
        <v>Nephrology</v>
      </c>
      <c r="R510" s="6" t="str">
        <f t="shared" si="75"/>
        <v>Narayana</v>
      </c>
      <c r="S510" s="6" t="str">
        <f t="shared" si="76"/>
        <v>UPI</v>
      </c>
      <c r="T510" s="6" t="str">
        <f t="shared" si="77"/>
        <v>Female</v>
      </c>
      <c r="U510" s="6" t="str">
        <f t="shared" si="80"/>
        <v>General</v>
      </c>
      <c r="V510" s="6" t="str" cm="1">
        <f t="array" ref="V510">IF(TRIM(S510)="",INDEX($S$2:$S$1500,MATCH(MAX(COUNTIF($S$2:$S$1500,S510)),COUNTIF($S$2:$S$1500,$S$2:$S$1500),0)),S510)</f>
        <v>UPI</v>
      </c>
      <c r="W510" s="7" cm="1">
        <f t="array" ref="W510">IF(OR(TRIM(K510)="",TRIM(K510)="-"), MEDIAN(IF($E$2:$E$1500=E510,$K$2:$K$1500)),  VALUE(SUBSTITUTE(SUBSTITUTE(SUBSTITUTE(K510,"Rs. ",""),"₹",""),",","")))</f>
        <v>18595</v>
      </c>
      <c r="X510" s="8">
        <f t="shared" si="78"/>
        <v>10</v>
      </c>
      <c r="Y510" s="7">
        <f t="shared" si="79"/>
        <v>16736</v>
      </c>
      <c r="Z510" s="9" t="str">
        <f t="shared" si="71"/>
        <v>CHILD</v>
      </c>
    </row>
    <row r="511" spans="1:26" x14ac:dyDescent="0.3">
      <c r="A511" s="5" t="s">
        <v>1209</v>
      </c>
      <c r="B511" s="5" t="s">
        <v>117</v>
      </c>
      <c r="C511" s="5" t="s">
        <v>127</v>
      </c>
      <c r="D511" s="5" t="s">
        <v>16</v>
      </c>
      <c r="E511" s="5" t="s">
        <v>17</v>
      </c>
      <c r="F511" s="5" t="s">
        <v>169</v>
      </c>
      <c r="G511" s="5" t="s">
        <v>19</v>
      </c>
      <c r="H511" s="5">
        <v>60</v>
      </c>
      <c r="I511" s="5" t="s">
        <v>70</v>
      </c>
      <c r="J511" s="34" t="s">
        <v>995</v>
      </c>
      <c r="K511" s="31" t="s">
        <v>1210</v>
      </c>
      <c r="L511" s="5" t="s">
        <v>236</v>
      </c>
      <c r="M511" s="32" t="s">
        <v>76</v>
      </c>
      <c r="N511" s="6">
        <f t="shared" si="72"/>
        <v>10</v>
      </c>
      <c r="O511" s="4" t="s">
        <v>169</v>
      </c>
      <c r="P511" s="5" t="str">
        <f t="shared" si="73"/>
        <v>Bangalore</v>
      </c>
      <c r="Q511" s="5" t="str">
        <f t="shared" si="74"/>
        <v>Gynecology</v>
      </c>
      <c r="R511" s="6" t="str">
        <f t="shared" si="75"/>
        <v>Manipal</v>
      </c>
      <c r="S511" s="6" t="str">
        <f t="shared" si="76"/>
        <v>Debit Card</v>
      </c>
      <c r="T511" s="6" t="str">
        <f t="shared" si="77"/>
        <v>Female</v>
      </c>
      <c r="U511" s="6" t="str">
        <f t="shared" si="80"/>
        <v>General</v>
      </c>
      <c r="V511" s="6" t="str" cm="1">
        <f t="array" ref="V511">IF(TRIM(S511)="",INDEX($S$2:$S$1500,MATCH(MAX(COUNTIF($S$2:$S$1500,S511)),COUNTIF($S$2:$S$1500,$S$2:$S$1500),0)),S511)</f>
        <v>Debit Card</v>
      </c>
      <c r="W511" s="7" cm="1">
        <f t="array" ref="W511">IF(OR(TRIM(K511)="",TRIM(K511)="-"), MEDIAN(IF($E$2:$E$1500=E511,$K$2:$K$1500)),  VALUE(SUBSTITUTE(SUBSTITUTE(SUBSTITUTE(K511,"Rs. ",""),"₹",""),",","")))</f>
        <v>16017</v>
      </c>
      <c r="X511" s="8">
        <f t="shared" si="78"/>
        <v>10</v>
      </c>
      <c r="Y511" s="7">
        <f t="shared" si="79"/>
        <v>14415</v>
      </c>
      <c r="Z511" s="9" t="str">
        <f t="shared" si="71"/>
        <v>SENIOR</v>
      </c>
    </row>
    <row r="512" spans="1:26" x14ac:dyDescent="0.3">
      <c r="A512" s="5" t="s">
        <v>1211</v>
      </c>
      <c r="B512" s="5" t="s">
        <v>78</v>
      </c>
      <c r="C512" s="5" t="s">
        <v>203</v>
      </c>
      <c r="D512" s="5" t="s">
        <v>27</v>
      </c>
      <c r="E512" s="5" t="s">
        <v>67</v>
      </c>
      <c r="F512" s="5" t="s">
        <v>85</v>
      </c>
      <c r="G512" s="5"/>
      <c r="H512" s="5">
        <v>63</v>
      </c>
      <c r="I512" s="5" t="s">
        <v>31</v>
      </c>
      <c r="J512" s="34" t="s">
        <v>1029</v>
      </c>
      <c r="K512" s="31">
        <v>17893</v>
      </c>
      <c r="L512" s="5" t="s">
        <v>23</v>
      </c>
      <c r="M512" s="32">
        <v>0</v>
      </c>
      <c r="N512" s="6">
        <f t="shared" si="72"/>
        <v>0</v>
      </c>
      <c r="O512" s="4" t="s">
        <v>85</v>
      </c>
      <c r="P512" s="5" t="str">
        <f t="shared" si="73"/>
        <v>Mumbai</v>
      </c>
      <c r="Q512" s="5" t="str">
        <f t="shared" si="74"/>
        <v>Neurology</v>
      </c>
      <c r="R512" s="6" t="str">
        <f t="shared" si="75"/>
        <v>Apollo</v>
      </c>
      <c r="S512" s="6" t="str">
        <f t="shared" si="76"/>
        <v>Credit Card</v>
      </c>
      <c r="T512" s="6" t="str">
        <f t="shared" si="77"/>
        <v>Male</v>
      </c>
      <c r="U512" s="6" t="str">
        <f t="shared" si="80"/>
        <v>Unknown</v>
      </c>
      <c r="V512" s="6" t="str" cm="1">
        <f t="array" ref="V512">IF(TRIM(S512)="",INDEX($S$2:$S$1500,MATCH(MAX(COUNTIF($S$2:$S$1500,S512)),COUNTIF($S$2:$S$1500,$S$2:$S$1500),0)),S512)</f>
        <v>Credit Card</v>
      </c>
      <c r="W512" s="7" cm="1">
        <f t="array" ref="W512">IF(OR(TRIM(K512)="",TRIM(K512)="-"), MEDIAN(IF($E$2:$E$1500=E512,$K$2:$K$1500)),  VALUE(SUBSTITUTE(SUBSTITUTE(SUBSTITUTE(K512,"Rs. ",""),"₹",""),",","")))</f>
        <v>17893</v>
      </c>
      <c r="X512" s="8">
        <f t="shared" si="78"/>
        <v>0</v>
      </c>
      <c r="Y512" s="7">
        <f t="shared" si="79"/>
        <v>17893</v>
      </c>
      <c r="Z512" s="9" t="str">
        <f t="shared" si="71"/>
        <v>SENIOR</v>
      </c>
    </row>
    <row r="513" spans="1:26" x14ac:dyDescent="0.3">
      <c r="A513" s="5" t="s">
        <v>1212</v>
      </c>
      <c r="B513" s="5" t="s">
        <v>25</v>
      </c>
      <c r="C513" s="5" t="s">
        <v>54</v>
      </c>
      <c r="D513" s="5" t="s">
        <v>27</v>
      </c>
      <c r="E513" s="5" t="s">
        <v>93</v>
      </c>
      <c r="F513" s="5" t="s">
        <v>121</v>
      </c>
      <c r="G513" s="5" t="s">
        <v>30</v>
      </c>
      <c r="H513" s="5">
        <v>12</v>
      </c>
      <c r="I513" s="5" t="s">
        <v>40</v>
      </c>
      <c r="J513" s="34" t="s">
        <v>940</v>
      </c>
      <c r="K513" s="31">
        <v>16447</v>
      </c>
      <c r="L513" s="5"/>
      <c r="M513" s="32" t="s">
        <v>64</v>
      </c>
      <c r="N513" s="6" t="str">
        <f t="shared" si="72"/>
        <v>NA</v>
      </c>
      <c r="O513" s="4" t="s">
        <v>121</v>
      </c>
      <c r="P513" s="5" t="str">
        <f t="shared" si="73"/>
        <v>Mumbai</v>
      </c>
      <c r="Q513" s="5" t="str">
        <f t="shared" si="74"/>
        <v>Nephrology</v>
      </c>
      <c r="R513" s="6" t="str">
        <f t="shared" si="75"/>
        <v>Narayana</v>
      </c>
      <c r="S513" s="6" t="str">
        <f t="shared" si="76"/>
        <v>Unknown</v>
      </c>
      <c r="T513" s="6" t="str">
        <f t="shared" si="77"/>
        <v>Female</v>
      </c>
      <c r="U513" s="6" t="str">
        <f t="shared" si="80"/>
        <v>General</v>
      </c>
      <c r="V513" s="6" t="str" cm="1">
        <f t="array" ref="V513">IF(TRIM(S513)="",INDEX($S$2:$S$1500,MATCH(MAX(COUNTIF($S$2:$S$1500,S513)),COUNTIF($S$2:$S$1500,$S$2:$S$1500),0)),S513)</f>
        <v>Unknown</v>
      </c>
      <c r="W513" s="7" cm="1">
        <f t="array" ref="W513">IF(OR(TRIM(K513)="",TRIM(K513)="-"), MEDIAN(IF($E$2:$E$1500=E513,$K$2:$K$1500)),  VALUE(SUBSTITUTE(SUBSTITUTE(SUBSTITUTE(K513,"Rs. ",""),"₹",""),",","")))</f>
        <v>16447</v>
      </c>
      <c r="X513" s="8">
        <f t="shared" si="78"/>
        <v>4</v>
      </c>
      <c r="Y513" s="7">
        <f t="shared" si="79"/>
        <v>15789</v>
      </c>
      <c r="Z513" s="9" t="str">
        <f t="shared" si="71"/>
        <v>CHILD</v>
      </c>
    </row>
    <row r="514" spans="1:26" x14ac:dyDescent="0.3">
      <c r="A514" s="5" t="s">
        <v>1213</v>
      </c>
      <c r="B514" s="5" t="s">
        <v>45</v>
      </c>
      <c r="C514" s="5" t="s">
        <v>46</v>
      </c>
      <c r="D514" s="5" t="s">
        <v>61</v>
      </c>
      <c r="E514" s="5" t="s">
        <v>67</v>
      </c>
      <c r="F514" s="5" t="s">
        <v>89</v>
      </c>
      <c r="G514" s="5" t="s">
        <v>62</v>
      </c>
      <c r="H514" s="5">
        <v>12</v>
      </c>
      <c r="I514" s="5" t="s">
        <v>31</v>
      </c>
      <c r="J514" s="34" t="s">
        <v>352</v>
      </c>
      <c r="K514" s="31" t="s">
        <v>1214</v>
      </c>
      <c r="L514" s="5" t="s">
        <v>236</v>
      </c>
      <c r="M514" s="32" t="s">
        <v>140</v>
      </c>
      <c r="N514" s="6" t="str">
        <f t="shared" si="72"/>
        <v>-</v>
      </c>
      <c r="O514" s="4" t="s">
        <v>89</v>
      </c>
      <c r="P514" s="5" t="str">
        <f t="shared" si="73"/>
        <v>Pune</v>
      </c>
      <c r="Q514" s="5" t="str">
        <f t="shared" si="74"/>
        <v>Neurology</v>
      </c>
      <c r="R514" s="6" t="str">
        <f t="shared" si="75"/>
        <v>Fortis</v>
      </c>
      <c r="S514" s="6" t="str">
        <f t="shared" si="76"/>
        <v>Debit Card</v>
      </c>
      <c r="T514" s="6" t="str">
        <f t="shared" si="77"/>
        <v>Male</v>
      </c>
      <c r="U514" s="6" t="str">
        <f t="shared" si="80"/>
        <v>ICU</v>
      </c>
      <c r="V514" s="6" t="str" cm="1">
        <f t="array" ref="V514">IF(TRIM(S514)="",INDEX($S$2:$S$1500,MATCH(MAX(COUNTIF($S$2:$S$1500,S514)),COUNTIF($S$2:$S$1500,$S$2:$S$1500),0)),S514)</f>
        <v>Debit Card</v>
      </c>
      <c r="W514" s="7" cm="1">
        <f t="array" ref="W514">IF(OR(TRIM(K514)="",TRIM(K514)="-"), MEDIAN(IF($E$2:$E$1500=E514,$K$2:$K$1500)),  VALUE(SUBSTITUTE(SUBSTITUTE(SUBSTITUTE(K514,"Rs. ",""),"₹",""),",","")))</f>
        <v>66326</v>
      </c>
      <c r="X514" s="8">
        <f t="shared" si="78"/>
        <v>3</v>
      </c>
      <c r="Y514" s="7">
        <f t="shared" si="79"/>
        <v>64336</v>
      </c>
      <c r="Z514" s="9" t="str">
        <f t="shared" ref="Z514:Z577" si="81">IF(H514&lt;13,"CHILD",IF(H514&lt;20,"TEEN",IF(H514&lt;60,"ADULT","SENIOR")))</f>
        <v>CHILD</v>
      </c>
    </row>
    <row r="515" spans="1:26" x14ac:dyDescent="0.3">
      <c r="A515" s="5" t="s">
        <v>1215</v>
      </c>
      <c r="B515" s="5" t="s">
        <v>45</v>
      </c>
      <c r="C515" s="5" t="s">
        <v>46</v>
      </c>
      <c r="D515" s="5" t="s">
        <v>80</v>
      </c>
      <c r="E515" s="5" t="s">
        <v>67</v>
      </c>
      <c r="F515" s="5" t="s">
        <v>68</v>
      </c>
      <c r="G515" s="5" t="s">
        <v>30</v>
      </c>
      <c r="H515" s="5">
        <v>58</v>
      </c>
      <c r="I515" s="5" t="s">
        <v>40</v>
      </c>
      <c r="J515" s="34" t="s">
        <v>1216</v>
      </c>
      <c r="K515" s="31" t="s">
        <v>1217</v>
      </c>
      <c r="L515" s="5" t="s">
        <v>34</v>
      </c>
      <c r="M515" s="32">
        <v>5</v>
      </c>
      <c r="N515" s="6">
        <f t="shared" ref="N515:N578" si="82">IF(RIGHT(TRIM(M515),1)="%",VALUE(LEFT(TRIM(M515),LEN(TRIM(M515))-1)),  IF(AND(ISNUMBER(M515),M515&lt;=1,M515&gt;0),M515*100,M515))</f>
        <v>5</v>
      </c>
      <c r="O515" s="4" t="s">
        <v>68</v>
      </c>
      <c r="P515" s="5" t="str">
        <f t="shared" ref="P515:P578" si="83">PROPER(D515)</f>
        <v>Ahmedabad</v>
      </c>
      <c r="Q515" s="5" t="str">
        <f t="shared" ref="Q515:Q578" si="84">PROPER(E515)</f>
        <v>Neurology</v>
      </c>
      <c r="R515" s="6" t="str">
        <f t="shared" ref="R515:R578" si="85">PROPER(C515)</f>
        <v>Fortis</v>
      </c>
      <c r="S515" s="6" t="str">
        <f t="shared" ref="S515:S578" si="86">IF(OR(UPPER(TRIM(L515))="CREDIT_CARD",UPPER(TRIM(L515))="CREDIT CARD",UPPER(TRIM(L515))="CC"),"Credit Card", IF(OR(UPPER(TRIM(L515))="DEBIT_CARD",UPPER(TRIM(L515))="DEBIT CARD",UPPER(TRIM(L515))="DC"),"Debit Card", IF(UPPER(TRIM(L515))="CASH","Cash", IF(UPPER(TRIM(L515))="UPI","UPI", IF(OR(UPPER(TRIM(L515))="INSURANCE",UPPER(TRIM(L515))="INS"),"Insurance", IF(TRIM(L515)="","Unknown","Unknown"))))))</f>
        <v>Cash</v>
      </c>
      <c r="T515" s="6" t="str">
        <f t="shared" ref="T515:T578" si="87">IF(OR(UPPER(TRIM(I515))="M",UPPER(TRIM(I515))="MALE"),"Male",IF(OR(UPPER(TRIM(I515))="F",UPPER(TRIM(I515))="FEMALE"),"Female","Unknown"))</f>
        <v>Female</v>
      </c>
      <c r="U515" s="6" t="str">
        <f t="shared" si="80"/>
        <v>General</v>
      </c>
      <c r="V515" s="6" t="str" cm="1">
        <f t="array" ref="V515">IF(TRIM(S515)="",INDEX($S$2:$S$1500,MATCH(MAX(COUNTIF($S$2:$S$1500,S515)),COUNTIF($S$2:$S$1500,$S$2:$S$1500),0)),S515)</f>
        <v>Cash</v>
      </c>
      <c r="W515" s="7" cm="1">
        <f t="array" ref="W515">IF(OR(TRIM(K515)="",TRIM(K515)="-"), MEDIAN(IF($E$2:$E$1500=E515,$K$2:$K$1500)),  VALUE(SUBSTITUTE(SUBSTITUTE(SUBSTITUTE(K515,"Rs. ",""),"₹",""),",","")))</f>
        <v>19310</v>
      </c>
      <c r="X515" s="8">
        <f t="shared" ref="X515:X578" si="88">ROUND(IF(OR(TRIM(N515)="-",UPPER(TRIM(N515))="N/A",UPPER(TRIM(N515))="NA"), IFERROR(AVERAGEIF($V$2:$V$1500,V515,$N$2:$N$1500),AVERAGE($N$2:$N$1500)), N515),0)</f>
        <v>5</v>
      </c>
      <c r="Y515" s="7">
        <f t="shared" ref="Y515:Y578" si="89">ROUND(W515*(1-X515/100),0)</f>
        <v>18345</v>
      </c>
      <c r="Z515" s="9" t="str">
        <f t="shared" si="81"/>
        <v>ADULT</v>
      </c>
    </row>
    <row r="516" spans="1:26" x14ac:dyDescent="0.3">
      <c r="A516" s="5" t="s">
        <v>1218</v>
      </c>
      <c r="B516" s="5" t="s">
        <v>106</v>
      </c>
      <c r="C516" s="5" t="s">
        <v>107</v>
      </c>
      <c r="D516" s="5" t="s">
        <v>80</v>
      </c>
      <c r="E516" s="5" t="s">
        <v>164</v>
      </c>
      <c r="F516" s="5" t="s">
        <v>219</v>
      </c>
      <c r="G516" s="5" t="s">
        <v>62</v>
      </c>
      <c r="H516" s="5">
        <v>37</v>
      </c>
      <c r="I516" s="5" t="s">
        <v>40</v>
      </c>
      <c r="J516" s="34" t="s">
        <v>1219</v>
      </c>
      <c r="K516" s="31" t="s">
        <v>1220</v>
      </c>
      <c r="L516" s="5" t="s">
        <v>104</v>
      </c>
      <c r="M516" s="32" t="s">
        <v>140</v>
      </c>
      <c r="N516" s="6" t="str">
        <f t="shared" si="82"/>
        <v>-</v>
      </c>
      <c r="O516" s="4" t="s">
        <v>219</v>
      </c>
      <c r="P516" s="5" t="str">
        <f t="shared" si="83"/>
        <v>Ahmedabad</v>
      </c>
      <c r="Q516" s="5" t="str">
        <f t="shared" si="84"/>
        <v>Cardiology</v>
      </c>
      <c r="R516" s="6" t="str">
        <f t="shared" si="85"/>
        <v>Aiims</v>
      </c>
      <c r="S516" s="6" t="str">
        <f t="shared" si="86"/>
        <v>Insurance</v>
      </c>
      <c r="T516" s="6" t="str">
        <f t="shared" si="87"/>
        <v>Female</v>
      </c>
      <c r="U516" s="6" t="str">
        <f t="shared" si="80"/>
        <v>ICU</v>
      </c>
      <c r="V516" s="6" t="str" cm="1">
        <f t="array" ref="V516">IF(TRIM(S516)="",INDEX($S$2:$S$1500,MATCH(MAX(COUNTIF($S$2:$S$1500,S516)),COUNTIF($S$2:$S$1500,$S$2:$S$1500),0)),S516)</f>
        <v>Insurance</v>
      </c>
      <c r="W516" s="7" cm="1">
        <f t="array" ref="W516">IF(OR(TRIM(K516)="",TRIM(K516)="-"), MEDIAN(IF($E$2:$E$1500=E516,$K$2:$K$1500)),  VALUE(SUBSTITUTE(SUBSTITUTE(SUBSTITUTE(K516,"Rs. ",""),"₹",""),",","")))</f>
        <v>28380</v>
      </c>
      <c r="X516" s="8">
        <f t="shared" si="88"/>
        <v>19</v>
      </c>
      <c r="Y516" s="7">
        <f t="shared" si="89"/>
        <v>22988</v>
      </c>
      <c r="Z516" s="9" t="str">
        <f t="shared" si="81"/>
        <v>ADULT</v>
      </c>
    </row>
    <row r="517" spans="1:26" x14ac:dyDescent="0.3">
      <c r="A517" s="5" t="s">
        <v>1221</v>
      </c>
      <c r="B517" s="5" t="s">
        <v>25</v>
      </c>
      <c r="C517" s="5" t="s">
        <v>54</v>
      </c>
      <c r="D517" s="5" t="s">
        <v>55</v>
      </c>
      <c r="E517" s="5" t="s">
        <v>67</v>
      </c>
      <c r="F517" s="5" t="s">
        <v>85</v>
      </c>
      <c r="G517" s="5" t="s">
        <v>30</v>
      </c>
      <c r="H517" s="5">
        <v>77</v>
      </c>
      <c r="I517" s="5" t="s">
        <v>20</v>
      </c>
      <c r="J517" s="34" t="s">
        <v>1222</v>
      </c>
      <c r="K517" s="31">
        <v>3334</v>
      </c>
      <c r="L517" s="5" t="s">
        <v>83</v>
      </c>
      <c r="M517" s="32">
        <v>10</v>
      </c>
      <c r="N517" s="6">
        <f t="shared" si="82"/>
        <v>10</v>
      </c>
      <c r="O517" s="4" t="s">
        <v>85</v>
      </c>
      <c r="P517" s="5" t="str">
        <f t="shared" si="83"/>
        <v>Hyderabad</v>
      </c>
      <c r="Q517" s="5" t="str">
        <f t="shared" si="84"/>
        <v>Neurology</v>
      </c>
      <c r="R517" s="6" t="str">
        <f t="shared" si="85"/>
        <v>Narayana</v>
      </c>
      <c r="S517" s="6" t="str">
        <f t="shared" si="86"/>
        <v>Debit Card</v>
      </c>
      <c r="T517" s="6" t="str">
        <f t="shared" si="87"/>
        <v>Male</v>
      </c>
      <c r="U517" s="6" t="str">
        <f t="shared" si="80"/>
        <v>General</v>
      </c>
      <c r="V517" s="6" t="str" cm="1">
        <f t="array" ref="V517">IF(TRIM(S517)="",INDEX($S$2:$S$1500,MATCH(MAX(COUNTIF($S$2:$S$1500,S517)),COUNTIF($S$2:$S$1500,$S$2:$S$1500),0)),S517)</f>
        <v>Debit Card</v>
      </c>
      <c r="W517" s="7" cm="1">
        <f t="array" ref="W517">IF(OR(TRIM(K517)="",TRIM(K517)="-"), MEDIAN(IF($E$2:$E$1500=E517,$K$2:$K$1500)),  VALUE(SUBSTITUTE(SUBSTITUTE(SUBSTITUTE(K517,"Rs. ",""),"₹",""),",","")))</f>
        <v>3334</v>
      </c>
      <c r="X517" s="8">
        <f t="shared" si="88"/>
        <v>10</v>
      </c>
      <c r="Y517" s="7">
        <f t="shared" si="89"/>
        <v>3001</v>
      </c>
      <c r="Z517" s="9" t="str">
        <f t="shared" si="81"/>
        <v>SENIOR</v>
      </c>
    </row>
    <row r="518" spans="1:26" x14ac:dyDescent="0.3">
      <c r="A518" s="5" t="s">
        <v>1223</v>
      </c>
      <c r="B518" s="5" t="s">
        <v>25</v>
      </c>
      <c r="C518" s="5" t="s">
        <v>54</v>
      </c>
      <c r="D518" s="5" t="s">
        <v>16</v>
      </c>
      <c r="E518" s="5" t="s">
        <v>17</v>
      </c>
      <c r="F518" s="5" t="s">
        <v>135</v>
      </c>
      <c r="G518" s="5" t="s">
        <v>30</v>
      </c>
      <c r="H518" s="5">
        <v>9</v>
      </c>
      <c r="I518" s="5" t="s">
        <v>31</v>
      </c>
      <c r="J518" s="34" t="s">
        <v>128</v>
      </c>
      <c r="K518" s="31" t="s">
        <v>1224</v>
      </c>
      <c r="L518" s="5" t="s">
        <v>104</v>
      </c>
      <c r="M518" s="32" t="s">
        <v>187</v>
      </c>
      <c r="N518" s="6">
        <f t="shared" si="82"/>
        <v>35</v>
      </c>
      <c r="O518" s="4" t="s">
        <v>135</v>
      </c>
      <c r="P518" s="5" t="str">
        <f t="shared" si="83"/>
        <v>Bangalore</v>
      </c>
      <c r="Q518" s="5" t="str">
        <f t="shared" si="84"/>
        <v>Gynecology</v>
      </c>
      <c r="R518" s="6" t="str">
        <f t="shared" si="85"/>
        <v>Narayana</v>
      </c>
      <c r="S518" s="6" t="str">
        <f t="shared" si="86"/>
        <v>Insurance</v>
      </c>
      <c r="T518" s="6" t="str">
        <f t="shared" si="87"/>
        <v>Male</v>
      </c>
      <c r="U518" s="6" t="str">
        <f t="shared" si="80"/>
        <v>General</v>
      </c>
      <c r="V518" s="6" t="str" cm="1">
        <f t="array" ref="V518">IF(TRIM(S518)="",INDEX($S$2:$S$1500,MATCH(MAX(COUNTIF($S$2:$S$1500,S518)),COUNTIF($S$2:$S$1500,$S$2:$S$1500),0)),S518)</f>
        <v>Insurance</v>
      </c>
      <c r="W518" s="7" cm="1">
        <f t="array" ref="W518">IF(OR(TRIM(K518)="",TRIM(K518)="-"), MEDIAN(IF($E$2:$E$1500=E518,$K$2:$K$1500)),  VALUE(SUBSTITUTE(SUBSTITUTE(SUBSTITUTE(K518,"Rs. ",""),"₹",""),",","")))</f>
        <v>4241</v>
      </c>
      <c r="X518" s="8">
        <f t="shared" si="88"/>
        <v>35</v>
      </c>
      <c r="Y518" s="7">
        <f t="shared" si="89"/>
        <v>2757</v>
      </c>
      <c r="Z518" s="9" t="str">
        <f t="shared" si="81"/>
        <v>CHILD</v>
      </c>
    </row>
    <row r="519" spans="1:26" x14ac:dyDescent="0.3">
      <c r="A519" s="5" t="s">
        <v>1225</v>
      </c>
      <c r="B519" s="5" t="s">
        <v>117</v>
      </c>
      <c r="C519" s="5" t="s">
        <v>182</v>
      </c>
      <c r="D519" s="5" t="s">
        <v>66</v>
      </c>
      <c r="E519" s="5" t="s">
        <v>99</v>
      </c>
      <c r="F519" s="5" t="s">
        <v>372</v>
      </c>
      <c r="G519" s="5" t="s">
        <v>30</v>
      </c>
      <c r="H519" s="5">
        <v>62</v>
      </c>
      <c r="I519" s="5" t="s">
        <v>40</v>
      </c>
      <c r="J519" s="34" t="s">
        <v>1226</v>
      </c>
      <c r="K519" s="31">
        <v>13258</v>
      </c>
      <c r="L519" s="5" t="s">
        <v>236</v>
      </c>
      <c r="M519" s="32">
        <v>0</v>
      </c>
      <c r="N519" s="6">
        <f t="shared" si="82"/>
        <v>0</v>
      </c>
      <c r="O519" s="4" t="s">
        <v>372</v>
      </c>
      <c r="P519" s="5" t="str">
        <f t="shared" si="83"/>
        <v>Kolkata</v>
      </c>
      <c r="Q519" s="5" t="str">
        <f t="shared" si="84"/>
        <v>Ent</v>
      </c>
      <c r="R519" s="6" t="str">
        <f t="shared" si="85"/>
        <v>Manipal</v>
      </c>
      <c r="S519" s="6" t="str">
        <f t="shared" si="86"/>
        <v>Debit Card</v>
      </c>
      <c r="T519" s="6" t="str">
        <f t="shared" si="87"/>
        <v>Female</v>
      </c>
      <c r="U519" s="6" t="str">
        <f t="shared" si="80"/>
        <v>General</v>
      </c>
      <c r="V519" s="6" t="str" cm="1">
        <f t="array" ref="V519">IF(TRIM(S519)="",INDEX($S$2:$S$1500,MATCH(MAX(COUNTIF($S$2:$S$1500,S519)),COUNTIF($S$2:$S$1500,$S$2:$S$1500),0)),S519)</f>
        <v>Debit Card</v>
      </c>
      <c r="W519" s="7" cm="1">
        <f t="array" ref="W519">IF(OR(TRIM(K519)="",TRIM(K519)="-"), MEDIAN(IF($E$2:$E$1500=E519,$K$2:$K$1500)),  VALUE(SUBSTITUTE(SUBSTITUTE(SUBSTITUTE(K519,"Rs. ",""),"₹",""),",","")))</f>
        <v>13258</v>
      </c>
      <c r="X519" s="8">
        <f t="shared" si="88"/>
        <v>0</v>
      </c>
      <c r="Y519" s="7">
        <f t="shared" si="89"/>
        <v>13258</v>
      </c>
      <c r="Z519" s="9" t="str">
        <f t="shared" si="81"/>
        <v>SENIOR</v>
      </c>
    </row>
    <row r="520" spans="1:26" x14ac:dyDescent="0.3">
      <c r="A520" s="5" t="s">
        <v>1227</v>
      </c>
      <c r="B520" s="5" t="s">
        <v>78</v>
      </c>
      <c r="C520" s="5" t="s">
        <v>79</v>
      </c>
      <c r="D520" s="5" t="s">
        <v>189</v>
      </c>
      <c r="E520" s="5" t="s">
        <v>164</v>
      </c>
      <c r="F520" s="5" t="s">
        <v>219</v>
      </c>
      <c r="G520" s="5" t="s">
        <v>39</v>
      </c>
      <c r="H520" s="5">
        <v>28</v>
      </c>
      <c r="I520" s="5" t="s">
        <v>20</v>
      </c>
      <c r="J520" s="34" t="s">
        <v>1228</v>
      </c>
      <c r="K520" s="31" t="s">
        <v>1229</v>
      </c>
      <c r="L520" s="5" t="s">
        <v>87</v>
      </c>
      <c r="M520" s="32">
        <v>5</v>
      </c>
      <c r="N520" s="6">
        <f t="shared" si="82"/>
        <v>5</v>
      </c>
      <c r="O520" s="4" t="s">
        <v>219</v>
      </c>
      <c r="P520" s="5" t="str">
        <f t="shared" si="83"/>
        <v>Delhi</v>
      </c>
      <c r="Q520" s="5" t="str">
        <f t="shared" si="84"/>
        <v>Cardiology</v>
      </c>
      <c r="R520" s="6" t="str">
        <f t="shared" si="85"/>
        <v>Apollo</v>
      </c>
      <c r="S520" s="6" t="str">
        <f t="shared" si="86"/>
        <v>Credit Card</v>
      </c>
      <c r="T520" s="6" t="str">
        <f t="shared" si="87"/>
        <v>Male</v>
      </c>
      <c r="U520" s="6" t="str">
        <f t="shared" si="80"/>
        <v>General</v>
      </c>
      <c r="V520" s="6" t="str" cm="1">
        <f t="array" ref="V520">IF(TRIM(S520)="",INDEX($S$2:$S$1500,MATCH(MAX(COUNTIF($S$2:$S$1500,S520)),COUNTIF($S$2:$S$1500,$S$2:$S$1500),0)),S520)</f>
        <v>Credit Card</v>
      </c>
      <c r="W520" s="7" cm="1">
        <f t="array" ref="W520">IF(OR(TRIM(K520)="",TRIM(K520)="-"), MEDIAN(IF($E$2:$E$1500=E520,$K$2:$K$1500)),  VALUE(SUBSTITUTE(SUBSTITUTE(SUBSTITUTE(K520,"Rs. ",""),"₹",""),",","")))</f>
        <v>5766</v>
      </c>
      <c r="X520" s="8">
        <f t="shared" si="88"/>
        <v>5</v>
      </c>
      <c r="Y520" s="7">
        <f t="shared" si="89"/>
        <v>5478</v>
      </c>
      <c r="Z520" s="9" t="str">
        <f t="shared" si="81"/>
        <v>ADULT</v>
      </c>
    </row>
    <row r="521" spans="1:26" x14ac:dyDescent="0.3">
      <c r="A521" s="5" t="s">
        <v>1230</v>
      </c>
      <c r="B521" s="5" t="s">
        <v>78</v>
      </c>
      <c r="C521" s="5" t="s">
        <v>161</v>
      </c>
      <c r="D521" s="5" t="s">
        <v>16</v>
      </c>
      <c r="E521" s="5" t="s">
        <v>99</v>
      </c>
      <c r="F521" s="5" t="s">
        <v>372</v>
      </c>
      <c r="G521" s="5" t="s">
        <v>62</v>
      </c>
      <c r="H521" s="5">
        <v>21</v>
      </c>
      <c r="I521" s="5" t="s">
        <v>40</v>
      </c>
      <c r="J521" s="34" t="s">
        <v>1075</v>
      </c>
      <c r="K521" s="31" t="s">
        <v>1231</v>
      </c>
      <c r="L521" s="5" t="s">
        <v>87</v>
      </c>
      <c r="M521" s="32"/>
      <c r="N521" s="6">
        <f t="shared" si="82"/>
        <v>0</v>
      </c>
      <c r="O521" s="4" t="s">
        <v>372</v>
      </c>
      <c r="P521" s="5" t="str">
        <f t="shared" si="83"/>
        <v>Bangalore</v>
      </c>
      <c r="Q521" s="5" t="str">
        <f t="shared" si="84"/>
        <v>Ent</v>
      </c>
      <c r="R521" s="6" t="str">
        <f t="shared" si="85"/>
        <v>Apollo</v>
      </c>
      <c r="S521" s="6" t="str">
        <f t="shared" si="86"/>
        <v>Credit Card</v>
      </c>
      <c r="T521" s="6" t="str">
        <f t="shared" si="87"/>
        <v>Female</v>
      </c>
      <c r="U521" s="6" t="str">
        <f t="shared" si="80"/>
        <v>ICU</v>
      </c>
      <c r="V521" s="6" t="str" cm="1">
        <f t="array" ref="V521">IF(TRIM(S521)="",INDEX($S$2:$S$1500,MATCH(MAX(COUNTIF($S$2:$S$1500,S521)),COUNTIF($S$2:$S$1500,$S$2:$S$1500),0)),S521)</f>
        <v>Credit Card</v>
      </c>
      <c r="W521" s="7" cm="1">
        <f t="array" ref="W521">IF(OR(TRIM(K521)="",TRIM(K521)="-"), MEDIAN(IF($E$2:$E$1500=E521,$K$2:$K$1500)),  VALUE(SUBSTITUTE(SUBSTITUTE(SUBSTITUTE(K521,"Rs. ",""),"₹",""),",","")))</f>
        <v>62070</v>
      </c>
      <c r="X521" s="8">
        <f t="shared" si="88"/>
        <v>0</v>
      </c>
      <c r="Y521" s="7">
        <f t="shared" si="89"/>
        <v>62070</v>
      </c>
      <c r="Z521" s="9" t="str">
        <f t="shared" si="81"/>
        <v>ADULT</v>
      </c>
    </row>
    <row r="522" spans="1:26" x14ac:dyDescent="0.3">
      <c r="A522" s="5" t="s">
        <v>1232</v>
      </c>
      <c r="B522" s="5" t="s">
        <v>14</v>
      </c>
      <c r="C522" s="5" t="s">
        <v>60</v>
      </c>
      <c r="D522" s="5" t="s">
        <v>27</v>
      </c>
      <c r="E522" s="5" t="s">
        <v>37</v>
      </c>
      <c r="F522" s="5" t="s">
        <v>56</v>
      </c>
      <c r="G522" s="5" t="s">
        <v>30</v>
      </c>
      <c r="H522" s="5">
        <v>90</v>
      </c>
      <c r="I522" s="5" t="s">
        <v>40</v>
      </c>
      <c r="J522" s="34" t="s">
        <v>365</v>
      </c>
      <c r="K522" s="31" t="s">
        <v>1233</v>
      </c>
      <c r="L522" s="5" t="s">
        <v>97</v>
      </c>
      <c r="M522" s="32">
        <v>0</v>
      </c>
      <c r="N522" s="6">
        <f t="shared" si="82"/>
        <v>0</v>
      </c>
      <c r="O522" s="4" t="s">
        <v>56</v>
      </c>
      <c r="P522" s="5" t="str">
        <f t="shared" si="83"/>
        <v>Mumbai</v>
      </c>
      <c r="Q522" s="5" t="str">
        <f t="shared" si="84"/>
        <v>Pediatrics</v>
      </c>
      <c r="R522" s="6" t="str">
        <f t="shared" si="85"/>
        <v>Max_Healthcare</v>
      </c>
      <c r="S522" s="6" t="str">
        <f t="shared" si="86"/>
        <v>UPI</v>
      </c>
      <c r="T522" s="6" t="str">
        <f t="shared" si="87"/>
        <v>Female</v>
      </c>
      <c r="U522" s="6" t="str">
        <f t="shared" si="80"/>
        <v>General</v>
      </c>
      <c r="V522" s="6" t="str" cm="1">
        <f t="array" ref="V522">IF(TRIM(S522)="",INDEX($S$2:$S$1500,MATCH(MAX(COUNTIF($S$2:$S$1500,S522)),COUNTIF($S$2:$S$1500,$S$2:$S$1500),0)),S522)</f>
        <v>UPI</v>
      </c>
      <c r="W522" s="7" cm="1">
        <f t="array" ref="W522">IF(OR(TRIM(K522)="",TRIM(K522)="-"), MEDIAN(IF($E$2:$E$1500=E522,$K$2:$K$1500)),  VALUE(SUBSTITUTE(SUBSTITUTE(SUBSTITUTE(K522,"Rs. ",""),"₹",""),",","")))</f>
        <v>11583</v>
      </c>
      <c r="X522" s="8">
        <f t="shared" si="88"/>
        <v>0</v>
      </c>
      <c r="Y522" s="7">
        <f t="shared" si="89"/>
        <v>11583</v>
      </c>
      <c r="Z522" s="9" t="str">
        <f t="shared" si="81"/>
        <v>SENIOR</v>
      </c>
    </row>
    <row r="523" spans="1:26" x14ac:dyDescent="0.3">
      <c r="A523" s="5" t="s">
        <v>1234</v>
      </c>
      <c r="B523" s="5" t="s">
        <v>106</v>
      </c>
      <c r="C523" s="5" t="s">
        <v>307</v>
      </c>
      <c r="D523" s="5" t="s">
        <v>27</v>
      </c>
      <c r="E523" s="5" t="s">
        <v>37</v>
      </c>
      <c r="F523" s="5" t="s">
        <v>38</v>
      </c>
      <c r="G523" s="5" t="s">
        <v>39</v>
      </c>
      <c r="H523" s="5">
        <v>66</v>
      </c>
      <c r="I523" s="5" t="s">
        <v>40</v>
      </c>
      <c r="J523" s="34" t="s">
        <v>119</v>
      </c>
      <c r="K523" s="31" t="s">
        <v>1235</v>
      </c>
      <c r="L523" s="5" t="s">
        <v>211</v>
      </c>
      <c r="M523" s="32">
        <v>0</v>
      </c>
      <c r="N523" s="6">
        <f t="shared" si="82"/>
        <v>0</v>
      </c>
      <c r="O523" s="4" t="s">
        <v>38</v>
      </c>
      <c r="P523" s="5" t="str">
        <f t="shared" si="83"/>
        <v>Mumbai</v>
      </c>
      <c r="Q523" s="5" t="str">
        <f t="shared" si="84"/>
        <v>Pediatrics</v>
      </c>
      <c r="R523" s="6" t="str">
        <f t="shared" si="85"/>
        <v>Aiims</v>
      </c>
      <c r="S523" s="6" t="str">
        <f t="shared" si="86"/>
        <v>Credit Card</v>
      </c>
      <c r="T523" s="6" t="str">
        <f t="shared" si="87"/>
        <v>Female</v>
      </c>
      <c r="U523" s="6" t="str">
        <f t="shared" si="80"/>
        <v>General</v>
      </c>
      <c r="V523" s="6" t="str" cm="1">
        <f t="array" ref="V523">IF(TRIM(S523)="",INDEX($S$2:$S$1500,MATCH(MAX(COUNTIF($S$2:$S$1500,S523)),COUNTIF($S$2:$S$1500,$S$2:$S$1500),0)),S523)</f>
        <v>Credit Card</v>
      </c>
      <c r="W523" s="7" cm="1">
        <f t="array" ref="W523">IF(OR(TRIM(K523)="",TRIM(K523)="-"), MEDIAN(IF($E$2:$E$1500=E523,$K$2:$K$1500)),  VALUE(SUBSTITUTE(SUBSTITUTE(SUBSTITUTE(K523,"Rs. ",""),"₹",""),",","")))</f>
        <v>11501</v>
      </c>
      <c r="X523" s="8">
        <f t="shared" si="88"/>
        <v>0</v>
      </c>
      <c r="Y523" s="7">
        <f t="shared" si="89"/>
        <v>11501</v>
      </c>
      <c r="Z523" s="9" t="str">
        <f t="shared" si="81"/>
        <v>SENIOR</v>
      </c>
    </row>
    <row r="524" spans="1:26" x14ac:dyDescent="0.3">
      <c r="A524" s="5" t="s">
        <v>1236</v>
      </c>
      <c r="B524" s="5" t="s">
        <v>25</v>
      </c>
      <c r="C524" s="5" t="s">
        <v>54</v>
      </c>
      <c r="D524" s="5" t="s">
        <v>189</v>
      </c>
      <c r="E524" s="5" t="s">
        <v>108</v>
      </c>
      <c r="F524" s="5" t="s">
        <v>109</v>
      </c>
      <c r="G524" s="5" t="s">
        <v>49</v>
      </c>
      <c r="H524" s="5">
        <v>10</v>
      </c>
      <c r="I524" s="5" t="s">
        <v>40</v>
      </c>
      <c r="J524" s="34" t="s">
        <v>177</v>
      </c>
      <c r="K524" s="31">
        <v>19309</v>
      </c>
      <c r="L524" s="5" t="s">
        <v>58</v>
      </c>
      <c r="M524" s="32"/>
      <c r="N524" s="6">
        <f t="shared" si="82"/>
        <v>0</v>
      </c>
      <c r="O524" s="4" t="s">
        <v>109</v>
      </c>
      <c r="P524" s="5" t="str">
        <f t="shared" si="83"/>
        <v>Delhi</v>
      </c>
      <c r="Q524" s="5" t="str">
        <f t="shared" si="84"/>
        <v>Orthopedics</v>
      </c>
      <c r="R524" s="6" t="str">
        <f t="shared" si="85"/>
        <v>Narayana</v>
      </c>
      <c r="S524" s="6" t="str">
        <f t="shared" si="86"/>
        <v>UPI</v>
      </c>
      <c r="T524" s="6" t="str">
        <f t="shared" si="87"/>
        <v>Female</v>
      </c>
      <c r="U524" s="6" t="str">
        <f t="shared" si="80"/>
        <v>General</v>
      </c>
      <c r="V524" s="6" t="str" cm="1">
        <f t="array" ref="V524">IF(TRIM(S524)="",INDEX($S$2:$S$1500,MATCH(MAX(COUNTIF($S$2:$S$1500,S524)),COUNTIF($S$2:$S$1500,$S$2:$S$1500),0)),S524)</f>
        <v>UPI</v>
      </c>
      <c r="W524" s="7" cm="1">
        <f t="array" ref="W524">IF(OR(TRIM(K524)="",TRIM(K524)="-"), MEDIAN(IF($E$2:$E$1500=E524,$K$2:$K$1500)),  VALUE(SUBSTITUTE(SUBSTITUTE(SUBSTITUTE(K524,"Rs. ",""),"₹",""),",","")))</f>
        <v>19309</v>
      </c>
      <c r="X524" s="8">
        <f t="shared" si="88"/>
        <v>0</v>
      </c>
      <c r="Y524" s="7">
        <f t="shared" si="89"/>
        <v>19309</v>
      </c>
      <c r="Z524" s="9" t="str">
        <f t="shared" si="81"/>
        <v>CHILD</v>
      </c>
    </row>
    <row r="525" spans="1:26" x14ac:dyDescent="0.3">
      <c r="A525" s="5" t="s">
        <v>1237</v>
      </c>
      <c r="B525" s="5" t="s">
        <v>45</v>
      </c>
      <c r="C525" s="5" t="s">
        <v>46</v>
      </c>
      <c r="D525" s="5" t="s">
        <v>189</v>
      </c>
      <c r="E525" s="5" t="s">
        <v>93</v>
      </c>
      <c r="F525" s="5" t="s">
        <v>121</v>
      </c>
      <c r="G525" s="5" t="s">
        <v>19</v>
      </c>
      <c r="H525" s="5">
        <v>74</v>
      </c>
      <c r="I525" s="5" t="s">
        <v>40</v>
      </c>
      <c r="J525" s="34" t="s">
        <v>743</v>
      </c>
      <c r="K525" s="31">
        <v>16114</v>
      </c>
      <c r="L525" s="5" t="s">
        <v>83</v>
      </c>
      <c r="M525" s="32">
        <v>5</v>
      </c>
      <c r="N525" s="6">
        <f t="shared" si="82"/>
        <v>5</v>
      </c>
      <c r="O525" s="4" t="s">
        <v>121</v>
      </c>
      <c r="P525" s="5" t="str">
        <f t="shared" si="83"/>
        <v>Delhi</v>
      </c>
      <c r="Q525" s="5" t="str">
        <f t="shared" si="84"/>
        <v>Nephrology</v>
      </c>
      <c r="R525" s="6" t="str">
        <f t="shared" si="85"/>
        <v>Fortis</v>
      </c>
      <c r="S525" s="6" t="str">
        <f t="shared" si="86"/>
        <v>Debit Card</v>
      </c>
      <c r="T525" s="6" t="str">
        <f t="shared" si="87"/>
        <v>Female</v>
      </c>
      <c r="U525" s="6" t="str">
        <f t="shared" si="80"/>
        <v>General</v>
      </c>
      <c r="V525" s="6" t="str" cm="1">
        <f t="array" ref="V525">IF(TRIM(S525)="",INDEX($S$2:$S$1500,MATCH(MAX(COUNTIF($S$2:$S$1500,S525)),COUNTIF($S$2:$S$1500,$S$2:$S$1500),0)),S525)</f>
        <v>Debit Card</v>
      </c>
      <c r="W525" s="7" cm="1">
        <f t="array" ref="W525">IF(OR(TRIM(K525)="",TRIM(K525)="-"), MEDIAN(IF($E$2:$E$1500=E525,$K$2:$K$1500)),  VALUE(SUBSTITUTE(SUBSTITUTE(SUBSTITUTE(K525,"Rs. ",""),"₹",""),",","")))</f>
        <v>16114</v>
      </c>
      <c r="X525" s="8">
        <f t="shared" si="88"/>
        <v>5</v>
      </c>
      <c r="Y525" s="7">
        <f t="shared" si="89"/>
        <v>15308</v>
      </c>
      <c r="Z525" s="9" t="str">
        <f t="shared" si="81"/>
        <v>SENIOR</v>
      </c>
    </row>
    <row r="526" spans="1:26" x14ac:dyDescent="0.3">
      <c r="A526" s="5" t="s">
        <v>1238</v>
      </c>
      <c r="B526" s="5" t="s">
        <v>106</v>
      </c>
      <c r="C526" s="5" t="s">
        <v>107</v>
      </c>
      <c r="D526" s="5" t="s">
        <v>66</v>
      </c>
      <c r="E526" s="5" t="s">
        <v>108</v>
      </c>
      <c r="F526" s="5" t="s">
        <v>308</v>
      </c>
      <c r="G526" s="5"/>
      <c r="H526" s="5">
        <v>57</v>
      </c>
      <c r="I526" s="5" t="s">
        <v>20</v>
      </c>
      <c r="J526" s="34" t="s">
        <v>1239</v>
      </c>
      <c r="K526" s="31" t="s">
        <v>1240</v>
      </c>
      <c r="L526" s="5" t="s">
        <v>34</v>
      </c>
      <c r="M526" s="32"/>
      <c r="N526" s="6">
        <f t="shared" si="82"/>
        <v>0</v>
      </c>
      <c r="O526" s="4" t="s">
        <v>308</v>
      </c>
      <c r="P526" s="5" t="str">
        <f t="shared" si="83"/>
        <v>Kolkata</v>
      </c>
      <c r="Q526" s="5" t="str">
        <f t="shared" si="84"/>
        <v>Orthopedics</v>
      </c>
      <c r="R526" s="6" t="str">
        <f t="shared" si="85"/>
        <v>Aiims</v>
      </c>
      <c r="S526" s="6" t="str">
        <f t="shared" si="86"/>
        <v>Cash</v>
      </c>
      <c r="T526" s="6" t="str">
        <f t="shared" si="87"/>
        <v>Male</v>
      </c>
      <c r="U526" s="6" t="str">
        <f t="shared" ref="U526:U589" si="90">IF(OR(UPPER(TRIM(G526))="GENERAL",UPPER(TRIM(G526))="GENRAL"),"General",IF(UPPER(TRIM(G526))="ICU","ICU","Unknown"))</f>
        <v>Unknown</v>
      </c>
      <c r="V526" s="6" t="str" cm="1">
        <f t="array" ref="V526">IF(TRIM(S526)="",INDEX($S$2:$S$1500,MATCH(MAX(COUNTIF($S$2:$S$1500,S526)),COUNTIF($S$2:$S$1500,$S$2:$S$1500),0)),S526)</f>
        <v>Cash</v>
      </c>
      <c r="W526" s="7" cm="1">
        <f t="array" ref="W526">IF(OR(TRIM(K526)="",TRIM(K526)="-"), MEDIAN(IF($E$2:$E$1500=E526,$K$2:$K$1500)),  VALUE(SUBSTITUTE(SUBSTITUTE(SUBSTITUTE(K526,"Rs. ",""),"₹",""),",","")))</f>
        <v>9740</v>
      </c>
      <c r="X526" s="8">
        <f t="shared" si="88"/>
        <v>0</v>
      </c>
      <c r="Y526" s="7">
        <f t="shared" si="89"/>
        <v>9740</v>
      </c>
      <c r="Z526" s="9" t="str">
        <f t="shared" si="81"/>
        <v>ADULT</v>
      </c>
    </row>
    <row r="527" spans="1:26" x14ac:dyDescent="0.3">
      <c r="A527" s="5" t="s">
        <v>1241</v>
      </c>
      <c r="B527" s="5" t="s">
        <v>117</v>
      </c>
      <c r="C527" s="5" t="s">
        <v>118</v>
      </c>
      <c r="D527" s="5" t="s">
        <v>16</v>
      </c>
      <c r="E527" s="5" t="s">
        <v>74</v>
      </c>
      <c r="F527" s="5" t="s">
        <v>147</v>
      </c>
      <c r="G527" s="5" t="s">
        <v>19</v>
      </c>
      <c r="H527" s="5">
        <v>88</v>
      </c>
      <c r="I527" s="5" t="s">
        <v>20</v>
      </c>
      <c r="J527" s="34" t="s">
        <v>1242</v>
      </c>
      <c r="K527" s="31"/>
      <c r="L527" s="5" t="s">
        <v>72</v>
      </c>
      <c r="M527" s="32">
        <v>10</v>
      </c>
      <c r="N527" s="6">
        <f t="shared" si="82"/>
        <v>10</v>
      </c>
      <c r="O527" s="4" t="s">
        <v>147</v>
      </c>
      <c r="P527" s="5" t="str">
        <f t="shared" si="83"/>
        <v>Bangalore</v>
      </c>
      <c r="Q527" s="5" t="str">
        <f t="shared" si="84"/>
        <v>General Medicine</v>
      </c>
      <c r="R527" s="6" t="str">
        <f t="shared" si="85"/>
        <v>Manipal</v>
      </c>
      <c r="S527" s="6" t="str">
        <f t="shared" si="86"/>
        <v>Cash</v>
      </c>
      <c r="T527" s="6" t="str">
        <f t="shared" si="87"/>
        <v>Male</v>
      </c>
      <c r="U527" s="6" t="str">
        <f t="shared" si="90"/>
        <v>General</v>
      </c>
      <c r="V527" s="6" t="str" cm="1">
        <f t="array" ref="V527">IF(TRIM(S527)="",INDEX($S$2:$S$1500,MATCH(MAX(COUNTIF($S$2:$S$1500,S527)),COUNTIF($S$2:$S$1500,$S$2:$S$1500),0)),S527)</f>
        <v>Cash</v>
      </c>
      <c r="W527" s="7" cm="1">
        <f t="array" ref="W527">IF(OR(TRIM(K527)="",TRIM(K527)="-"), MEDIAN(IF($E$2:$E$1500=E527,$K$2:$K$1500)),  VALUE(SUBSTITUTE(SUBSTITUTE(SUBSTITUTE(K527,"Rs. ",""),"₹",""),",","")))</f>
        <v>14499</v>
      </c>
      <c r="X527" s="8">
        <f t="shared" si="88"/>
        <v>10</v>
      </c>
      <c r="Y527" s="7">
        <f t="shared" si="89"/>
        <v>13049</v>
      </c>
      <c r="Z527" s="9" t="str">
        <f t="shared" si="81"/>
        <v>SENIOR</v>
      </c>
    </row>
    <row r="528" spans="1:26" x14ac:dyDescent="0.3">
      <c r="A528" s="5" t="s">
        <v>1243</v>
      </c>
      <c r="B528" s="5" t="s">
        <v>45</v>
      </c>
      <c r="C528" s="5" t="s">
        <v>334</v>
      </c>
      <c r="D528" s="5" t="s">
        <v>55</v>
      </c>
      <c r="E528" s="5" t="s">
        <v>93</v>
      </c>
      <c r="F528" s="5" t="s">
        <v>207</v>
      </c>
      <c r="G528" s="5" t="s">
        <v>39</v>
      </c>
      <c r="H528" s="5">
        <v>75</v>
      </c>
      <c r="I528" s="5" t="s">
        <v>40</v>
      </c>
      <c r="J528" s="34" t="s">
        <v>1244</v>
      </c>
      <c r="K528" s="31" t="s">
        <v>1245</v>
      </c>
      <c r="L528" s="5" t="s">
        <v>58</v>
      </c>
      <c r="M528" s="32" t="s">
        <v>140</v>
      </c>
      <c r="N528" s="6" t="str">
        <f t="shared" si="82"/>
        <v>-</v>
      </c>
      <c r="O528" s="4" t="s">
        <v>207</v>
      </c>
      <c r="P528" s="5" t="str">
        <f t="shared" si="83"/>
        <v>Hyderabad</v>
      </c>
      <c r="Q528" s="5" t="str">
        <f t="shared" si="84"/>
        <v>Nephrology</v>
      </c>
      <c r="R528" s="6" t="str">
        <f t="shared" si="85"/>
        <v>Fortis</v>
      </c>
      <c r="S528" s="6" t="str">
        <f t="shared" si="86"/>
        <v>UPI</v>
      </c>
      <c r="T528" s="6" t="str">
        <f t="shared" si="87"/>
        <v>Female</v>
      </c>
      <c r="U528" s="6" t="str">
        <f t="shared" si="90"/>
        <v>General</v>
      </c>
      <c r="V528" s="6" t="str" cm="1">
        <f t="array" ref="V528">IF(TRIM(S528)="",INDEX($S$2:$S$1500,MATCH(MAX(COUNTIF($S$2:$S$1500,S528)),COUNTIF($S$2:$S$1500,$S$2:$S$1500),0)),S528)</f>
        <v>UPI</v>
      </c>
      <c r="W528" s="7" cm="1">
        <f t="array" ref="W528">IF(OR(TRIM(K528)="",TRIM(K528)="-"), MEDIAN(IF($E$2:$E$1500=E528,$K$2:$K$1500)),  VALUE(SUBSTITUTE(SUBSTITUTE(SUBSTITUTE(K528,"Rs. ",""),"₹",""),",","")))</f>
        <v>14137</v>
      </c>
      <c r="X528" s="8">
        <f t="shared" si="88"/>
        <v>3</v>
      </c>
      <c r="Y528" s="7">
        <f t="shared" si="89"/>
        <v>13713</v>
      </c>
      <c r="Z528" s="9" t="str">
        <f t="shared" si="81"/>
        <v>SENIOR</v>
      </c>
    </row>
    <row r="529" spans="1:26" x14ac:dyDescent="0.3">
      <c r="A529" s="5" t="s">
        <v>1246</v>
      </c>
      <c r="B529" s="5" t="s">
        <v>117</v>
      </c>
      <c r="C529" s="5" t="s">
        <v>118</v>
      </c>
      <c r="D529" s="5" t="s">
        <v>27</v>
      </c>
      <c r="E529" s="5" t="s">
        <v>164</v>
      </c>
      <c r="F529" s="5" t="s">
        <v>282</v>
      </c>
      <c r="G529" s="5" t="s">
        <v>19</v>
      </c>
      <c r="H529" s="5">
        <v>17</v>
      </c>
      <c r="I529" s="5" t="s">
        <v>20</v>
      </c>
      <c r="J529" s="34" t="s">
        <v>730</v>
      </c>
      <c r="K529" s="31">
        <v>13336</v>
      </c>
      <c r="L529" s="5" t="s">
        <v>115</v>
      </c>
      <c r="M529" s="32">
        <v>0.05</v>
      </c>
      <c r="N529" s="6">
        <f t="shared" si="82"/>
        <v>5</v>
      </c>
      <c r="O529" s="4" t="s">
        <v>282</v>
      </c>
      <c r="P529" s="5" t="str">
        <f t="shared" si="83"/>
        <v>Mumbai</v>
      </c>
      <c r="Q529" s="5" t="str">
        <f t="shared" si="84"/>
        <v>Cardiology</v>
      </c>
      <c r="R529" s="6" t="str">
        <f t="shared" si="85"/>
        <v>Manipal</v>
      </c>
      <c r="S529" s="6" t="str">
        <f t="shared" si="86"/>
        <v>Cash</v>
      </c>
      <c r="T529" s="6" t="str">
        <f t="shared" si="87"/>
        <v>Male</v>
      </c>
      <c r="U529" s="6" t="str">
        <f t="shared" si="90"/>
        <v>General</v>
      </c>
      <c r="V529" s="6" t="str" cm="1">
        <f t="array" ref="V529">IF(TRIM(S529)="",INDEX($S$2:$S$1500,MATCH(MAX(COUNTIF($S$2:$S$1500,S529)),COUNTIF($S$2:$S$1500,$S$2:$S$1500),0)),S529)</f>
        <v>Cash</v>
      </c>
      <c r="W529" s="7" cm="1">
        <f t="array" ref="W529">IF(OR(TRIM(K529)="",TRIM(K529)="-"), MEDIAN(IF($E$2:$E$1500=E529,$K$2:$K$1500)),  VALUE(SUBSTITUTE(SUBSTITUTE(SUBSTITUTE(K529,"Rs. ",""),"₹",""),",","")))</f>
        <v>13336</v>
      </c>
      <c r="X529" s="8">
        <f t="shared" si="88"/>
        <v>5</v>
      </c>
      <c r="Y529" s="7">
        <f t="shared" si="89"/>
        <v>12669</v>
      </c>
      <c r="Z529" s="9" t="str">
        <f t="shared" si="81"/>
        <v>TEEN</v>
      </c>
    </row>
    <row r="530" spans="1:26" x14ac:dyDescent="0.3">
      <c r="A530" s="5" t="s">
        <v>1247</v>
      </c>
      <c r="B530" s="5" t="s">
        <v>14</v>
      </c>
      <c r="C530" s="5" t="s">
        <v>15</v>
      </c>
      <c r="D530" s="5" t="s">
        <v>66</v>
      </c>
      <c r="E530" s="5" t="s">
        <v>17</v>
      </c>
      <c r="F530" s="5" t="s">
        <v>213</v>
      </c>
      <c r="G530" s="5" t="s">
        <v>62</v>
      </c>
      <c r="H530" s="5">
        <v>16</v>
      </c>
      <c r="I530" s="5" t="s">
        <v>40</v>
      </c>
      <c r="J530" s="34" t="s">
        <v>1248</v>
      </c>
      <c r="K530" s="31">
        <v>86355</v>
      </c>
      <c r="L530" s="5" t="s">
        <v>34</v>
      </c>
      <c r="M530" s="32">
        <v>0</v>
      </c>
      <c r="N530" s="6">
        <f t="shared" si="82"/>
        <v>0</v>
      </c>
      <c r="O530" s="4" t="s">
        <v>213</v>
      </c>
      <c r="P530" s="5" t="str">
        <f t="shared" si="83"/>
        <v>Kolkata</v>
      </c>
      <c r="Q530" s="5" t="str">
        <f t="shared" si="84"/>
        <v>Gynecology</v>
      </c>
      <c r="R530" s="6" t="str">
        <f t="shared" si="85"/>
        <v>Max_Healthcare</v>
      </c>
      <c r="S530" s="6" t="str">
        <f t="shared" si="86"/>
        <v>Cash</v>
      </c>
      <c r="T530" s="6" t="str">
        <f t="shared" si="87"/>
        <v>Female</v>
      </c>
      <c r="U530" s="6" t="str">
        <f t="shared" si="90"/>
        <v>ICU</v>
      </c>
      <c r="V530" s="6" t="str" cm="1">
        <f t="array" ref="V530">IF(TRIM(S530)="",INDEX($S$2:$S$1500,MATCH(MAX(COUNTIF($S$2:$S$1500,S530)),COUNTIF($S$2:$S$1500,$S$2:$S$1500),0)),S530)</f>
        <v>Cash</v>
      </c>
      <c r="W530" s="7" cm="1">
        <f t="array" ref="W530">IF(OR(TRIM(K530)="",TRIM(K530)="-"), MEDIAN(IF($E$2:$E$1500=E530,$K$2:$K$1500)),  VALUE(SUBSTITUTE(SUBSTITUTE(SUBSTITUTE(K530,"Rs. ",""),"₹",""),",","")))</f>
        <v>86355</v>
      </c>
      <c r="X530" s="8">
        <f t="shared" si="88"/>
        <v>0</v>
      </c>
      <c r="Y530" s="7">
        <f t="shared" si="89"/>
        <v>86355</v>
      </c>
      <c r="Z530" s="9" t="str">
        <f t="shared" si="81"/>
        <v>TEEN</v>
      </c>
    </row>
    <row r="531" spans="1:26" x14ac:dyDescent="0.3">
      <c r="A531" s="5" t="s">
        <v>1249</v>
      </c>
      <c r="B531" s="5" t="s">
        <v>117</v>
      </c>
      <c r="C531" s="5" t="s">
        <v>182</v>
      </c>
      <c r="D531" s="5" t="s">
        <v>66</v>
      </c>
      <c r="E531" s="5" t="s">
        <v>47</v>
      </c>
      <c r="F531" s="5" t="s">
        <v>364</v>
      </c>
      <c r="G531" s="5" t="s">
        <v>49</v>
      </c>
      <c r="H531" s="5">
        <v>37</v>
      </c>
      <c r="I531" s="5" t="s">
        <v>20</v>
      </c>
      <c r="J531" s="34" t="s">
        <v>325</v>
      </c>
      <c r="K531" s="31">
        <v>9043</v>
      </c>
      <c r="L531" s="5" t="s">
        <v>72</v>
      </c>
      <c r="M531" s="32">
        <v>0</v>
      </c>
      <c r="N531" s="6">
        <f t="shared" si="82"/>
        <v>0</v>
      </c>
      <c r="O531" s="4" t="s">
        <v>364</v>
      </c>
      <c r="P531" s="5" t="str">
        <f t="shared" si="83"/>
        <v>Kolkata</v>
      </c>
      <c r="Q531" s="5" t="str">
        <f t="shared" si="84"/>
        <v>Gastroenterology</v>
      </c>
      <c r="R531" s="6" t="str">
        <f t="shared" si="85"/>
        <v>Manipal</v>
      </c>
      <c r="S531" s="6" t="str">
        <f t="shared" si="86"/>
        <v>Cash</v>
      </c>
      <c r="T531" s="6" t="str">
        <f t="shared" si="87"/>
        <v>Male</v>
      </c>
      <c r="U531" s="6" t="str">
        <f t="shared" si="90"/>
        <v>General</v>
      </c>
      <c r="V531" s="6" t="str" cm="1">
        <f t="array" ref="V531">IF(TRIM(S531)="",INDEX($S$2:$S$1500,MATCH(MAX(COUNTIF($S$2:$S$1500,S531)),COUNTIF($S$2:$S$1500,$S$2:$S$1500),0)),S531)</f>
        <v>Cash</v>
      </c>
      <c r="W531" s="7" cm="1">
        <f t="array" ref="W531">IF(OR(TRIM(K531)="",TRIM(K531)="-"), MEDIAN(IF($E$2:$E$1500=E531,$K$2:$K$1500)),  VALUE(SUBSTITUTE(SUBSTITUTE(SUBSTITUTE(K531,"Rs. ",""),"₹",""),",","")))</f>
        <v>9043</v>
      </c>
      <c r="X531" s="8">
        <f t="shared" si="88"/>
        <v>0</v>
      </c>
      <c r="Y531" s="7">
        <f t="shared" si="89"/>
        <v>9043</v>
      </c>
      <c r="Z531" s="9" t="str">
        <f t="shared" si="81"/>
        <v>ADULT</v>
      </c>
    </row>
    <row r="532" spans="1:26" x14ac:dyDescent="0.3">
      <c r="A532" s="5" t="s">
        <v>1250</v>
      </c>
      <c r="B532" s="5" t="s">
        <v>25</v>
      </c>
      <c r="C532" s="5" t="s">
        <v>26</v>
      </c>
      <c r="D532" s="5" t="s">
        <v>55</v>
      </c>
      <c r="E532" s="5" t="s">
        <v>74</v>
      </c>
      <c r="F532" s="5" t="s">
        <v>192</v>
      </c>
      <c r="G532" s="5" t="s">
        <v>30</v>
      </c>
      <c r="H532" s="5">
        <v>65</v>
      </c>
      <c r="I532" s="5" t="s">
        <v>20</v>
      </c>
      <c r="J532" s="34" t="s">
        <v>1251</v>
      </c>
      <c r="K532" s="31">
        <v>11310</v>
      </c>
      <c r="L532" s="5" t="s">
        <v>97</v>
      </c>
      <c r="M532" s="32" t="s">
        <v>76</v>
      </c>
      <c r="N532" s="6">
        <f t="shared" si="82"/>
        <v>10</v>
      </c>
      <c r="O532" s="4" t="s">
        <v>192</v>
      </c>
      <c r="P532" s="5" t="str">
        <f t="shared" si="83"/>
        <v>Hyderabad</v>
      </c>
      <c r="Q532" s="5" t="str">
        <f t="shared" si="84"/>
        <v>General Medicine</v>
      </c>
      <c r="R532" s="6" t="str">
        <f t="shared" si="85"/>
        <v>Narayana</v>
      </c>
      <c r="S532" s="6" t="str">
        <f t="shared" si="86"/>
        <v>UPI</v>
      </c>
      <c r="T532" s="6" t="str">
        <f t="shared" si="87"/>
        <v>Male</v>
      </c>
      <c r="U532" s="6" t="str">
        <f t="shared" si="90"/>
        <v>General</v>
      </c>
      <c r="V532" s="6" t="str" cm="1">
        <f t="array" ref="V532">IF(TRIM(S532)="",INDEX($S$2:$S$1500,MATCH(MAX(COUNTIF($S$2:$S$1500,S532)),COUNTIF($S$2:$S$1500,$S$2:$S$1500),0)),S532)</f>
        <v>UPI</v>
      </c>
      <c r="W532" s="7" cm="1">
        <f t="array" ref="W532">IF(OR(TRIM(K532)="",TRIM(K532)="-"), MEDIAN(IF($E$2:$E$1500=E532,$K$2:$K$1500)),  VALUE(SUBSTITUTE(SUBSTITUTE(SUBSTITUTE(K532,"Rs. ",""),"₹",""),",","")))</f>
        <v>11310</v>
      </c>
      <c r="X532" s="8">
        <f t="shared" si="88"/>
        <v>10</v>
      </c>
      <c r="Y532" s="7">
        <f t="shared" si="89"/>
        <v>10179</v>
      </c>
      <c r="Z532" s="9" t="str">
        <f t="shared" si="81"/>
        <v>SENIOR</v>
      </c>
    </row>
    <row r="533" spans="1:26" x14ac:dyDescent="0.3">
      <c r="A533" s="5" t="s">
        <v>1252</v>
      </c>
      <c r="B533" s="5" t="s">
        <v>78</v>
      </c>
      <c r="C533" s="5" t="s">
        <v>79</v>
      </c>
      <c r="D533" s="5" t="s">
        <v>27</v>
      </c>
      <c r="E533" s="5" t="s">
        <v>47</v>
      </c>
      <c r="F533" s="5" t="s">
        <v>461</v>
      </c>
      <c r="G533" s="5" t="s">
        <v>30</v>
      </c>
      <c r="H533" s="5">
        <v>84</v>
      </c>
      <c r="I533" s="5" t="s">
        <v>31</v>
      </c>
      <c r="J533" s="34" t="s">
        <v>1253</v>
      </c>
      <c r="K533" s="31">
        <v>6614</v>
      </c>
      <c r="L533" s="5" t="s">
        <v>34</v>
      </c>
      <c r="M533" s="32" t="s">
        <v>64</v>
      </c>
      <c r="N533" s="6" t="str">
        <f t="shared" si="82"/>
        <v>NA</v>
      </c>
      <c r="O533" s="4" t="s">
        <v>461</v>
      </c>
      <c r="P533" s="5" t="str">
        <f t="shared" si="83"/>
        <v>Mumbai</v>
      </c>
      <c r="Q533" s="5" t="str">
        <f t="shared" si="84"/>
        <v>Gastroenterology</v>
      </c>
      <c r="R533" s="6" t="str">
        <f t="shared" si="85"/>
        <v>Apollo</v>
      </c>
      <c r="S533" s="6" t="str">
        <f t="shared" si="86"/>
        <v>Cash</v>
      </c>
      <c r="T533" s="6" t="str">
        <f t="shared" si="87"/>
        <v>Male</v>
      </c>
      <c r="U533" s="6" t="str">
        <f t="shared" si="90"/>
        <v>General</v>
      </c>
      <c r="V533" s="6" t="str" cm="1">
        <f t="array" ref="V533">IF(TRIM(S533)="",INDEX($S$2:$S$1500,MATCH(MAX(COUNTIF($S$2:$S$1500,S533)),COUNTIF($S$2:$S$1500,$S$2:$S$1500),0)),S533)</f>
        <v>Cash</v>
      </c>
      <c r="W533" s="7" cm="1">
        <f t="array" ref="W533">IF(OR(TRIM(K533)="",TRIM(K533)="-"), MEDIAN(IF($E$2:$E$1500=E533,$K$2:$K$1500)),  VALUE(SUBSTITUTE(SUBSTITUTE(SUBSTITUTE(K533,"Rs. ",""),"₹",""),",","")))</f>
        <v>6614</v>
      </c>
      <c r="X533" s="8">
        <f t="shared" si="88"/>
        <v>3</v>
      </c>
      <c r="Y533" s="7">
        <f t="shared" si="89"/>
        <v>6416</v>
      </c>
      <c r="Z533" s="9" t="str">
        <f t="shared" si="81"/>
        <v>SENIOR</v>
      </c>
    </row>
    <row r="534" spans="1:26" x14ac:dyDescent="0.3">
      <c r="A534" s="5" t="s">
        <v>1254</v>
      </c>
      <c r="B534" s="5" t="s">
        <v>106</v>
      </c>
      <c r="C534" s="5" t="s">
        <v>107</v>
      </c>
      <c r="D534" s="5" t="s">
        <v>189</v>
      </c>
      <c r="E534" s="5" t="s">
        <v>47</v>
      </c>
      <c r="F534" s="5" t="s">
        <v>461</v>
      </c>
      <c r="G534" s="5" t="s">
        <v>19</v>
      </c>
      <c r="H534" s="5">
        <v>87</v>
      </c>
      <c r="I534" s="5" t="s">
        <v>40</v>
      </c>
      <c r="J534" s="34" t="s">
        <v>982</v>
      </c>
      <c r="K534" s="31" t="s">
        <v>1255</v>
      </c>
      <c r="L534" s="5" t="s">
        <v>167</v>
      </c>
      <c r="M534" s="32" t="s">
        <v>198</v>
      </c>
      <c r="N534" s="6">
        <f t="shared" si="82"/>
        <v>5</v>
      </c>
      <c r="O534" s="4" t="s">
        <v>461</v>
      </c>
      <c r="P534" s="5" t="str">
        <f t="shared" si="83"/>
        <v>Delhi</v>
      </c>
      <c r="Q534" s="5" t="str">
        <f t="shared" si="84"/>
        <v>Gastroenterology</v>
      </c>
      <c r="R534" s="6" t="str">
        <f t="shared" si="85"/>
        <v>Aiims</v>
      </c>
      <c r="S534" s="6" t="str">
        <f t="shared" si="86"/>
        <v>Insurance</v>
      </c>
      <c r="T534" s="6" t="str">
        <f t="shared" si="87"/>
        <v>Female</v>
      </c>
      <c r="U534" s="6" t="str">
        <f t="shared" si="90"/>
        <v>General</v>
      </c>
      <c r="V534" s="6" t="str" cm="1">
        <f t="array" ref="V534">IF(TRIM(S534)="",INDEX($S$2:$S$1500,MATCH(MAX(COUNTIF($S$2:$S$1500,S534)),COUNTIF($S$2:$S$1500,$S$2:$S$1500),0)),S534)</f>
        <v>Insurance</v>
      </c>
      <c r="W534" s="7" cm="1">
        <f t="array" ref="W534">IF(OR(TRIM(K534)="",TRIM(K534)="-"), MEDIAN(IF($E$2:$E$1500=E534,$K$2:$K$1500)),  VALUE(SUBSTITUTE(SUBSTITUTE(SUBSTITUTE(K534,"Rs. ",""),"₹",""),",","")))</f>
        <v>16101</v>
      </c>
      <c r="X534" s="8">
        <f t="shared" si="88"/>
        <v>5</v>
      </c>
      <c r="Y534" s="7">
        <f t="shared" si="89"/>
        <v>15296</v>
      </c>
      <c r="Z534" s="9" t="str">
        <f t="shared" si="81"/>
        <v>SENIOR</v>
      </c>
    </row>
    <row r="535" spans="1:26" x14ac:dyDescent="0.3">
      <c r="A535" s="5" t="s">
        <v>1256</v>
      </c>
      <c r="B535" s="5" t="s">
        <v>25</v>
      </c>
      <c r="C535" s="5" t="s">
        <v>54</v>
      </c>
      <c r="D535" s="5" t="s">
        <v>36</v>
      </c>
      <c r="E535" s="5" t="s">
        <v>47</v>
      </c>
      <c r="F535" s="5" t="s">
        <v>364</v>
      </c>
      <c r="G535" s="5" t="s">
        <v>19</v>
      </c>
      <c r="H535" s="5">
        <v>36</v>
      </c>
      <c r="I535" s="5" t="s">
        <v>40</v>
      </c>
      <c r="J535" s="34" t="s">
        <v>1162</v>
      </c>
      <c r="K535" s="31" t="s">
        <v>1257</v>
      </c>
      <c r="L535" s="5" t="s">
        <v>236</v>
      </c>
      <c r="M535" s="32" t="s">
        <v>130</v>
      </c>
      <c r="N535" s="6">
        <f t="shared" si="82"/>
        <v>0</v>
      </c>
      <c r="O535" s="4" t="s">
        <v>364</v>
      </c>
      <c r="P535" s="5" t="str">
        <f t="shared" si="83"/>
        <v>Chennai</v>
      </c>
      <c r="Q535" s="5" t="str">
        <f t="shared" si="84"/>
        <v>Gastroenterology</v>
      </c>
      <c r="R535" s="6" t="str">
        <f t="shared" si="85"/>
        <v>Narayana</v>
      </c>
      <c r="S535" s="6" t="str">
        <f t="shared" si="86"/>
        <v>Debit Card</v>
      </c>
      <c r="T535" s="6" t="str">
        <f t="shared" si="87"/>
        <v>Female</v>
      </c>
      <c r="U535" s="6" t="str">
        <f t="shared" si="90"/>
        <v>General</v>
      </c>
      <c r="V535" s="6" t="str" cm="1">
        <f t="array" ref="V535">IF(TRIM(S535)="",INDEX($S$2:$S$1500,MATCH(MAX(COUNTIF($S$2:$S$1500,S535)),COUNTIF($S$2:$S$1500,$S$2:$S$1500),0)),S535)</f>
        <v>Debit Card</v>
      </c>
      <c r="W535" s="7" cm="1">
        <f t="array" ref="W535">IF(OR(TRIM(K535)="",TRIM(K535)="-"), MEDIAN(IF($E$2:$E$1500=E535,$K$2:$K$1500)),  VALUE(SUBSTITUTE(SUBSTITUTE(SUBSTITUTE(K535,"Rs. ",""),"₹",""),",","")))</f>
        <v>10001</v>
      </c>
      <c r="X535" s="8">
        <f t="shared" si="88"/>
        <v>0</v>
      </c>
      <c r="Y535" s="7">
        <f t="shared" si="89"/>
        <v>10001</v>
      </c>
      <c r="Z535" s="9" t="str">
        <f t="shared" si="81"/>
        <v>ADULT</v>
      </c>
    </row>
    <row r="536" spans="1:26" x14ac:dyDescent="0.3">
      <c r="A536" s="5" t="s">
        <v>1258</v>
      </c>
      <c r="B536" s="5" t="s">
        <v>25</v>
      </c>
      <c r="C536" s="5" t="s">
        <v>54</v>
      </c>
      <c r="D536" s="5" t="s">
        <v>189</v>
      </c>
      <c r="E536" s="5" t="s">
        <v>99</v>
      </c>
      <c r="F536" s="5" t="s">
        <v>151</v>
      </c>
      <c r="G536" s="5" t="s">
        <v>101</v>
      </c>
      <c r="H536" s="5">
        <v>88</v>
      </c>
      <c r="I536" s="5" t="s">
        <v>40</v>
      </c>
      <c r="J536" s="34" t="s">
        <v>1107</v>
      </c>
      <c r="K536" s="31" t="s">
        <v>1259</v>
      </c>
      <c r="L536" s="5" t="s">
        <v>34</v>
      </c>
      <c r="M536" s="32">
        <v>5</v>
      </c>
      <c r="N536" s="6">
        <f t="shared" si="82"/>
        <v>5</v>
      </c>
      <c r="O536" s="4" t="s">
        <v>151</v>
      </c>
      <c r="P536" s="5" t="str">
        <f t="shared" si="83"/>
        <v>Delhi</v>
      </c>
      <c r="Q536" s="5" t="str">
        <f t="shared" si="84"/>
        <v>Ent</v>
      </c>
      <c r="R536" s="6" t="str">
        <f t="shared" si="85"/>
        <v>Narayana</v>
      </c>
      <c r="S536" s="6" t="str">
        <f t="shared" si="86"/>
        <v>Cash</v>
      </c>
      <c r="T536" s="6" t="str">
        <f t="shared" si="87"/>
        <v>Female</v>
      </c>
      <c r="U536" s="6" t="str">
        <f t="shared" si="90"/>
        <v>ICU</v>
      </c>
      <c r="V536" s="6" t="str" cm="1">
        <f t="array" ref="V536">IF(TRIM(S536)="",INDEX($S$2:$S$1500,MATCH(MAX(COUNTIF($S$2:$S$1500,S536)),COUNTIF($S$2:$S$1500,$S$2:$S$1500),0)),S536)</f>
        <v>Cash</v>
      </c>
      <c r="W536" s="7" cm="1">
        <f t="array" ref="W536">IF(OR(TRIM(K536)="",TRIM(K536)="-"), MEDIAN(IF($E$2:$E$1500=E536,$K$2:$K$1500)),  VALUE(SUBSTITUTE(SUBSTITUTE(SUBSTITUTE(K536,"Rs. ",""),"₹",""),",","")))</f>
        <v>53956</v>
      </c>
      <c r="X536" s="8">
        <f t="shared" si="88"/>
        <v>5</v>
      </c>
      <c r="Y536" s="7">
        <f t="shared" si="89"/>
        <v>51258</v>
      </c>
      <c r="Z536" s="9" t="str">
        <f t="shared" si="81"/>
        <v>SENIOR</v>
      </c>
    </row>
    <row r="537" spans="1:26" x14ac:dyDescent="0.3">
      <c r="A537" s="5" t="s">
        <v>1260</v>
      </c>
      <c r="B537" s="5" t="s">
        <v>14</v>
      </c>
      <c r="C537" s="5" t="s">
        <v>60</v>
      </c>
      <c r="D537" s="5" t="s">
        <v>55</v>
      </c>
      <c r="E537" s="5" t="s">
        <v>67</v>
      </c>
      <c r="F537" s="5" t="s">
        <v>85</v>
      </c>
      <c r="G537" s="5" t="s">
        <v>101</v>
      </c>
      <c r="H537" s="5">
        <v>41</v>
      </c>
      <c r="I537" s="5" t="s">
        <v>70</v>
      </c>
      <c r="J537" s="34" t="s">
        <v>1261</v>
      </c>
      <c r="K537" s="31">
        <v>82093</v>
      </c>
      <c r="L537" s="5" t="s">
        <v>52</v>
      </c>
      <c r="M537" s="32">
        <v>5</v>
      </c>
      <c r="N537" s="6">
        <f t="shared" si="82"/>
        <v>5</v>
      </c>
      <c r="O537" s="4" t="s">
        <v>85</v>
      </c>
      <c r="P537" s="5" t="str">
        <f t="shared" si="83"/>
        <v>Hyderabad</v>
      </c>
      <c r="Q537" s="5" t="str">
        <f t="shared" si="84"/>
        <v>Neurology</v>
      </c>
      <c r="R537" s="6" t="str">
        <f t="shared" si="85"/>
        <v>Max_Healthcare</v>
      </c>
      <c r="S537" s="6" t="str">
        <f t="shared" si="86"/>
        <v>Credit Card</v>
      </c>
      <c r="T537" s="6" t="str">
        <f t="shared" si="87"/>
        <v>Female</v>
      </c>
      <c r="U537" s="6" t="str">
        <f t="shared" si="90"/>
        <v>ICU</v>
      </c>
      <c r="V537" s="6" t="str" cm="1">
        <f t="array" ref="V537">IF(TRIM(S537)="",INDEX($S$2:$S$1500,MATCH(MAX(COUNTIF($S$2:$S$1500,S537)),COUNTIF($S$2:$S$1500,$S$2:$S$1500),0)),S537)</f>
        <v>Credit Card</v>
      </c>
      <c r="W537" s="7" cm="1">
        <f t="array" ref="W537">IF(OR(TRIM(K537)="",TRIM(K537)="-"), MEDIAN(IF($E$2:$E$1500=E537,$K$2:$K$1500)),  VALUE(SUBSTITUTE(SUBSTITUTE(SUBSTITUTE(K537,"Rs. ",""),"₹",""),",","")))</f>
        <v>82093</v>
      </c>
      <c r="X537" s="8">
        <f t="shared" si="88"/>
        <v>5</v>
      </c>
      <c r="Y537" s="7">
        <f t="shared" si="89"/>
        <v>77988</v>
      </c>
      <c r="Z537" s="9" t="str">
        <f t="shared" si="81"/>
        <v>ADULT</v>
      </c>
    </row>
    <row r="538" spans="1:26" x14ac:dyDescent="0.3">
      <c r="A538" s="5" t="s">
        <v>1262</v>
      </c>
      <c r="B538" s="5" t="s">
        <v>14</v>
      </c>
      <c r="C538" s="5" t="s">
        <v>60</v>
      </c>
      <c r="D538" s="5" t="s">
        <v>16</v>
      </c>
      <c r="E538" s="5" t="s">
        <v>37</v>
      </c>
      <c r="F538" s="5" t="s">
        <v>132</v>
      </c>
      <c r="G538" s="5" t="s">
        <v>19</v>
      </c>
      <c r="H538" s="5">
        <v>23</v>
      </c>
      <c r="I538" s="5" t="s">
        <v>70</v>
      </c>
      <c r="J538" s="34" t="s">
        <v>741</v>
      </c>
      <c r="K538" s="31" t="s">
        <v>1263</v>
      </c>
      <c r="L538" s="5" t="s">
        <v>23</v>
      </c>
      <c r="M538" s="32">
        <v>0</v>
      </c>
      <c r="N538" s="6">
        <f t="shared" si="82"/>
        <v>0</v>
      </c>
      <c r="O538" s="4" t="s">
        <v>132</v>
      </c>
      <c r="P538" s="5" t="str">
        <f t="shared" si="83"/>
        <v>Bangalore</v>
      </c>
      <c r="Q538" s="5" t="str">
        <f t="shared" si="84"/>
        <v>Pediatrics</v>
      </c>
      <c r="R538" s="6" t="str">
        <f t="shared" si="85"/>
        <v>Max_Healthcare</v>
      </c>
      <c r="S538" s="6" t="str">
        <f t="shared" si="86"/>
        <v>Credit Card</v>
      </c>
      <c r="T538" s="6" t="str">
        <f t="shared" si="87"/>
        <v>Female</v>
      </c>
      <c r="U538" s="6" t="str">
        <f t="shared" si="90"/>
        <v>General</v>
      </c>
      <c r="V538" s="6" t="str" cm="1">
        <f t="array" ref="V538">IF(TRIM(S538)="",INDEX($S$2:$S$1500,MATCH(MAX(COUNTIF($S$2:$S$1500,S538)),COUNTIF($S$2:$S$1500,$S$2:$S$1500),0)),S538)</f>
        <v>Credit Card</v>
      </c>
      <c r="W538" s="7" cm="1">
        <f t="array" ref="W538">IF(OR(TRIM(K538)="",TRIM(K538)="-"), MEDIAN(IF($E$2:$E$1500=E538,$K$2:$K$1500)),  VALUE(SUBSTITUTE(SUBSTITUTE(SUBSTITUTE(K538,"Rs. ",""),"₹",""),",","")))</f>
        <v>19154</v>
      </c>
      <c r="X538" s="8">
        <f t="shared" si="88"/>
        <v>0</v>
      </c>
      <c r="Y538" s="7">
        <f t="shared" si="89"/>
        <v>19154</v>
      </c>
      <c r="Z538" s="9" t="str">
        <f t="shared" si="81"/>
        <v>ADULT</v>
      </c>
    </row>
    <row r="539" spans="1:26" x14ac:dyDescent="0.3">
      <c r="A539" s="5" t="s">
        <v>1264</v>
      </c>
      <c r="B539" s="5" t="s">
        <v>78</v>
      </c>
      <c r="C539" s="5" t="s">
        <v>203</v>
      </c>
      <c r="D539" s="5" t="s">
        <v>36</v>
      </c>
      <c r="E539" s="5" t="s">
        <v>74</v>
      </c>
      <c r="F539" s="5" t="s">
        <v>192</v>
      </c>
      <c r="G539" s="5" t="s">
        <v>39</v>
      </c>
      <c r="H539" s="5">
        <v>84</v>
      </c>
      <c r="I539" s="5" t="s">
        <v>20</v>
      </c>
      <c r="J539" s="34" t="s">
        <v>611</v>
      </c>
      <c r="K539" s="31" t="s">
        <v>1265</v>
      </c>
      <c r="L539" s="5" t="s">
        <v>23</v>
      </c>
      <c r="M539" s="32">
        <v>10</v>
      </c>
      <c r="N539" s="6">
        <f t="shared" si="82"/>
        <v>10</v>
      </c>
      <c r="O539" s="4" t="s">
        <v>192</v>
      </c>
      <c r="P539" s="5" t="str">
        <f t="shared" si="83"/>
        <v>Chennai</v>
      </c>
      <c r="Q539" s="5" t="str">
        <f t="shared" si="84"/>
        <v>General Medicine</v>
      </c>
      <c r="R539" s="6" t="str">
        <f t="shared" si="85"/>
        <v>Apollo</v>
      </c>
      <c r="S539" s="6" t="str">
        <f t="shared" si="86"/>
        <v>Credit Card</v>
      </c>
      <c r="T539" s="6" t="str">
        <f t="shared" si="87"/>
        <v>Male</v>
      </c>
      <c r="U539" s="6" t="str">
        <f t="shared" si="90"/>
        <v>General</v>
      </c>
      <c r="V539" s="6" t="str" cm="1">
        <f t="array" ref="V539">IF(TRIM(S539)="",INDEX($S$2:$S$1500,MATCH(MAX(COUNTIF($S$2:$S$1500,S539)),COUNTIF($S$2:$S$1500,$S$2:$S$1500),0)),S539)</f>
        <v>Credit Card</v>
      </c>
      <c r="W539" s="7" cm="1">
        <f t="array" ref="W539">IF(OR(TRIM(K539)="",TRIM(K539)="-"), MEDIAN(IF($E$2:$E$1500=E539,$K$2:$K$1500)),  VALUE(SUBSTITUTE(SUBSTITUTE(SUBSTITUTE(K539,"Rs. ",""),"₹",""),",","")))</f>
        <v>10525</v>
      </c>
      <c r="X539" s="8">
        <f t="shared" si="88"/>
        <v>10</v>
      </c>
      <c r="Y539" s="7">
        <f t="shared" si="89"/>
        <v>9473</v>
      </c>
      <c r="Z539" s="9" t="str">
        <f t="shared" si="81"/>
        <v>SENIOR</v>
      </c>
    </row>
    <row r="540" spans="1:26" x14ac:dyDescent="0.3">
      <c r="A540" s="5" t="s">
        <v>1266</v>
      </c>
      <c r="B540" s="5" t="s">
        <v>45</v>
      </c>
      <c r="C540" s="5" t="s">
        <v>334</v>
      </c>
      <c r="D540" s="5" t="s">
        <v>16</v>
      </c>
      <c r="E540" s="5" t="s">
        <v>67</v>
      </c>
      <c r="F540" s="5" t="s">
        <v>196</v>
      </c>
      <c r="G540" s="5"/>
      <c r="H540" s="5">
        <v>71</v>
      </c>
      <c r="I540" s="5" t="s">
        <v>70</v>
      </c>
      <c r="J540" s="34" t="s">
        <v>1267</v>
      </c>
      <c r="K540" s="31" t="s">
        <v>1268</v>
      </c>
      <c r="L540" s="5" t="s">
        <v>104</v>
      </c>
      <c r="M540" s="32" t="s">
        <v>140</v>
      </c>
      <c r="N540" s="6" t="str">
        <f t="shared" si="82"/>
        <v>-</v>
      </c>
      <c r="O540" s="4" t="s">
        <v>196</v>
      </c>
      <c r="P540" s="5" t="str">
        <f t="shared" si="83"/>
        <v>Bangalore</v>
      </c>
      <c r="Q540" s="5" t="str">
        <f t="shared" si="84"/>
        <v>Neurology</v>
      </c>
      <c r="R540" s="6" t="str">
        <f t="shared" si="85"/>
        <v>Fortis</v>
      </c>
      <c r="S540" s="6" t="str">
        <f t="shared" si="86"/>
        <v>Insurance</v>
      </c>
      <c r="T540" s="6" t="str">
        <f t="shared" si="87"/>
        <v>Female</v>
      </c>
      <c r="U540" s="6" t="str">
        <f t="shared" si="90"/>
        <v>Unknown</v>
      </c>
      <c r="V540" s="6" t="str" cm="1">
        <f t="array" ref="V540">IF(TRIM(S540)="",INDEX($S$2:$S$1500,MATCH(MAX(COUNTIF($S$2:$S$1500,S540)),COUNTIF($S$2:$S$1500,$S$2:$S$1500),0)),S540)</f>
        <v>Insurance</v>
      </c>
      <c r="W540" s="7" cm="1">
        <f t="array" ref="W540">IF(OR(TRIM(K540)="",TRIM(K540)="-"), MEDIAN(IF($E$2:$E$1500=E540,$K$2:$K$1500)),  VALUE(SUBSTITUTE(SUBSTITUTE(SUBSTITUTE(K540,"Rs. ",""),"₹",""),",","")))</f>
        <v>9954</v>
      </c>
      <c r="X540" s="8">
        <f t="shared" si="88"/>
        <v>19</v>
      </c>
      <c r="Y540" s="7">
        <f t="shared" si="89"/>
        <v>8063</v>
      </c>
      <c r="Z540" s="9" t="str">
        <f t="shared" si="81"/>
        <v>SENIOR</v>
      </c>
    </row>
    <row r="541" spans="1:26" x14ac:dyDescent="0.3">
      <c r="A541" s="5" t="s">
        <v>1269</v>
      </c>
      <c r="B541" s="5" t="s">
        <v>106</v>
      </c>
      <c r="C541" s="5" t="s">
        <v>107</v>
      </c>
      <c r="D541" s="5" t="s">
        <v>16</v>
      </c>
      <c r="E541" s="5" t="s">
        <v>108</v>
      </c>
      <c r="F541" s="5" t="s">
        <v>109</v>
      </c>
      <c r="G541" s="5" t="s">
        <v>39</v>
      </c>
      <c r="H541" s="5">
        <v>70</v>
      </c>
      <c r="I541" s="5" t="s">
        <v>20</v>
      </c>
      <c r="J541" s="34" t="s">
        <v>751</v>
      </c>
      <c r="K541" s="31">
        <v>14027</v>
      </c>
      <c r="L541" s="5" t="s">
        <v>91</v>
      </c>
      <c r="M541" s="32">
        <v>10</v>
      </c>
      <c r="N541" s="6">
        <f t="shared" si="82"/>
        <v>10</v>
      </c>
      <c r="O541" s="4" t="s">
        <v>109</v>
      </c>
      <c r="P541" s="5" t="str">
        <f t="shared" si="83"/>
        <v>Bangalore</v>
      </c>
      <c r="Q541" s="5" t="str">
        <f t="shared" si="84"/>
        <v>Orthopedics</v>
      </c>
      <c r="R541" s="6" t="str">
        <f t="shared" si="85"/>
        <v>Aiims</v>
      </c>
      <c r="S541" s="6" t="str">
        <f t="shared" si="86"/>
        <v>Debit Card</v>
      </c>
      <c r="T541" s="6" t="str">
        <f t="shared" si="87"/>
        <v>Male</v>
      </c>
      <c r="U541" s="6" t="str">
        <f t="shared" si="90"/>
        <v>General</v>
      </c>
      <c r="V541" s="6" t="str" cm="1">
        <f t="array" ref="V541">IF(TRIM(S541)="",INDEX($S$2:$S$1500,MATCH(MAX(COUNTIF($S$2:$S$1500,S541)),COUNTIF($S$2:$S$1500,$S$2:$S$1500),0)),S541)</f>
        <v>Debit Card</v>
      </c>
      <c r="W541" s="7" cm="1">
        <f t="array" ref="W541">IF(OR(TRIM(K541)="",TRIM(K541)="-"), MEDIAN(IF($E$2:$E$1500=E541,$K$2:$K$1500)),  VALUE(SUBSTITUTE(SUBSTITUTE(SUBSTITUTE(K541,"Rs. ",""),"₹",""),",","")))</f>
        <v>14027</v>
      </c>
      <c r="X541" s="8">
        <f t="shared" si="88"/>
        <v>10</v>
      </c>
      <c r="Y541" s="7">
        <f t="shared" si="89"/>
        <v>12624</v>
      </c>
      <c r="Z541" s="9" t="str">
        <f t="shared" si="81"/>
        <v>SENIOR</v>
      </c>
    </row>
    <row r="542" spans="1:26" x14ac:dyDescent="0.3">
      <c r="A542" s="5" t="s">
        <v>1270</v>
      </c>
      <c r="B542" s="5" t="s">
        <v>117</v>
      </c>
      <c r="C542" s="5" t="s">
        <v>127</v>
      </c>
      <c r="D542" s="5" t="s">
        <v>66</v>
      </c>
      <c r="E542" s="5" t="s">
        <v>28</v>
      </c>
      <c r="F542" s="5" t="s">
        <v>29</v>
      </c>
      <c r="G542" s="5" t="s">
        <v>39</v>
      </c>
      <c r="H542" s="5">
        <v>76</v>
      </c>
      <c r="I542" s="5" t="s">
        <v>40</v>
      </c>
      <c r="J542" s="34" t="s">
        <v>1271</v>
      </c>
      <c r="K542" s="31" t="s">
        <v>1272</v>
      </c>
      <c r="L542" s="5" t="s">
        <v>104</v>
      </c>
      <c r="M542" s="32" t="s">
        <v>886</v>
      </c>
      <c r="N542" s="6">
        <f t="shared" si="82"/>
        <v>15</v>
      </c>
      <c r="O542" s="4" t="s">
        <v>29</v>
      </c>
      <c r="P542" s="5" t="str">
        <f t="shared" si="83"/>
        <v>Kolkata</v>
      </c>
      <c r="Q542" s="5" t="str">
        <f t="shared" si="84"/>
        <v>Oncology</v>
      </c>
      <c r="R542" s="6" t="str">
        <f t="shared" si="85"/>
        <v>Manipal</v>
      </c>
      <c r="S542" s="6" t="str">
        <f t="shared" si="86"/>
        <v>Insurance</v>
      </c>
      <c r="T542" s="6" t="str">
        <f t="shared" si="87"/>
        <v>Female</v>
      </c>
      <c r="U542" s="6" t="str">
        <f t="shared" si="90"/>
        <v>General</v>
      </c>
      <c r="V542" s="6" t="str" cm="1">
        <f t="array" ref="V542">IF(TRIM(S542)="",INDEX($S$2:$S$1500,MATCH(MAX(COUNTIF($S$2:$S$1500,S542)),COUNTIF($S$2:$S$1500,$S$2:$S$1500),0)),S542)</f>
        <v>Insurance</v>
      </c>
      <c r="W542" s="7" cm="1">
        <f t="array" ref="W542">IF(OR(TRIM(K542)="",TRIM(K542)="-"), MEDIAN(IF($E$2:$E$1500=E542,$K$2:$K$1500)),  VALUE(SUBSTITUTE(SUBSTITUTE(SUBSTITUTE(K542,"Rs. ",""),"₹",""),",","")))</f>
        <v>11426</v>
      </c>
      <c r="X542" s="8">
        <f t="shared" si="88"/>
        <v>15</v>
      </c>
      <c r="Y542" s="7">
        <f t="shared" si="89"/>
        <v>9712</v>
      </c>
      <c r="Z542" s="9" t="str">
        <f t="shared" si="81"/>
        <v>SENIOR</v>
      </c>
    </row>
    <row r="543" spans="1:26" x14ac:dyDescent="0.3">
      <c r="A543" s="5" t="s">
        <v>1273</v>
      </c>
      <c r="B543" s="5" t="s">
        <v>14</v>
      </c>
      <c r="C543" s="5" t="s">
        <v>60</v>
      </c>
      <c r="D543" s="5" t="s">
        <v>80</v>
      </c>
      <c r="E543" s="5" t="s">
        <v>164</v>
      </c>
      <c r="F543" s="5" t="s">
        <v>219</v>
      </c>
      <c r="G543" s="5" t="s">
        <v>69</v>
      </c>
      <c r="H543" s="5">
        <v>67</v>
      </c>
      <c r="I543" s="5" t="s">
        <v>40</v>
      </c>
      <c r="J543" s="34" t="s">
        <v>1274</v>
      </c>
      <c r="K543" s="31">
        <v>74682</v>
      </c>
      <c r="L543" s="5" t="s">
        <v>52</v>
      </c>
      <c r="M543" s="32" t="s">
        <v>140</v>
      </c>
      <c r="N543" s="6" t="str">
        <f t="shared" si="82"/>
        <v>-</v>
      </c>
      <c r="O543" s="4" t="s">
        <v>219</v>
      </c>
      <c r="P543" s="5" t="str">
        <f t="shared" si="83"/>
        <v>Ahmedabad</v>
      </c>
      <c r="Q543" s="5" t="str">
        <f t="shared" si="84"/>
        <v>Cardiology</v>
      </c>
      <c r="R543" s="6" t="str">
        <f t="shared" si="85"/>
        <v>Max_Healthcare</v>
      </c>
      <c r="S543" s="6" t="str">
        <f t="shared" si="86"/>
        <v>Credit Card</v>
      </c>
      <c r="T543" s="6" t="str">
        <f t="shared" si="87"/>
        <v>Female</v>
      </c>
      <c r="U543" s="6" t="str">
        <f t="shared" si="90"/>
        <v>ICU</v>
      </c>
      <c r="V543" s="6" t="str" cm="1">
        <f t="array" ref="V543">IF(TRIM(S543)="",INDEX($S$2:$S$1500,MATCH(MAX(COUNTIF($S$2:$S$1500,S543)),COUNTIF($S$2:$S$1500,$S$2:$S$1500),0)),S543)</f>
        <v>Credit Card</v>
      </c>
      <c r="W543" s="7" cm="1">
        <f t="array" ref="W543">IF(OR(TRIM(K543)="",TRIM(K543)="-"), MEDIAN(IF($E$2:$E$1500=E543,$K$2:$K$1500)),  VALUE(SUBSTITUTE(SUBSTITUTE(SUBSTITUTE(K543,"Rs. ",""),"₹",""),",","")))</f>
        <v>74682</v>
      </c>
      <c r="X543" s="8">
        <f t="shared" si="88"/>
        <v>3</v>
      </c>
      <c r="Y543" s="7">
        <f t="shared" si="89"/>
        <v>72442</v>
      </c>
      <c r="Z543" s="9" t="str">
        <f t="shared" si="81"/>
        <v>SENIOR</v>
      </c>
    </row>
    <row r="544" spans="1:26" x14ac:dyDescent="0.3">
      <c r="A544" s="5" t="s">
        <v>1275</v>
      </c>
      <c r="B544" s="5" t="s">
        <v>45</v>
      </c>
      <c r="C544" s="5" t="s">
        <v>46</v>
      </c>
      <c r="D544" s="5" t="s">
        <v>55</v>
      </c>
      <c r="E544" s="5" t="s">
        <v>17</v>
      </c>
      <c r="F544" s="5" t="s">
        <v>18</v>
      </c>
      <c r="G544" s="5" t="s">
        <v>30</v>
      </c>
      <c r="H544" s="5">
        <v>87</v>
      </c>
      <c r="I544" s="5" t="s">
        <v>40</v>
      </c>
      <c r="J544" s="34" t="s">
        <v>210</v>
      </c>
      <c r="K544" s="31" t="s">
        <v>1276</v>
      </c>
      <c r="L544" s="5" t="s">
        <v>58</v>
      </c>
      <c r="M544" s="32" t="s">
        <v>140</v>
      </c>
      <c r="N544" s="6" t="str">
        <f t="shared" si="82"/>
        <v>-</v>
      </c>
      <c r="O544" s="4" t="s">
        <v>18</v>
      </c>
      <c r="P544" s="5" t="str">
        <f t="shared" si="83"/>
        <v>Hyderabad</v>
      </c>
      <c r="Q544" s="5" t="str">
        <f t="shared" si="84"/>
        <v>Gynecology</v>
      </c>
      <c r="R544" s="6" t="str">
        <f t="shared" si="85"/>
        <v>Fortis</v>
      </c>
      <c r="S544" s="6" t="str">
        <f t="shared" si="86"/>
        <v>UPI</v>
      </c>
      <c r="T544" s="6" t="str">
        <f t="shared" si="87"/>
        <v>Female</v>
      </c>
      <c r="U544" s="6" t="str">
        <f t="shared" si="90"/>
        <v>General</v>
      </c>
      <c r="V544" s="6" t="str" cm="1">
        <f t="array" ref="V544">IF(TRIM(S544)="",INDEX($S$2:$S$1500,MATCH(MAX(COUNTIF($S$2:$S$1500,S544)),COUNTIF($S$2:$S$1500,$S$2:$S$1500),0)),S544)</f>
        <v>UPI</v>
      </c>
      <c r="W544" s="7" cm="1">
        <f t="array" ref="W544">IF(OR(TRIM(K544)="",TRIM(K544)="-"), MEDIAN(IF($E$2:$E$1500=E544,$K$2:$K$1500)),  VALUE(SUBSTITUTE(SUBSTITUTE(SUBSTITUTE(K544,"Rs. ",""),"₹",""),",","")))</f>
        <v>19835</v>
      </c>
      <c r="X544" s="8">
        <f t="shared" si="88"/>
        <v>3</v>
      </c>
      <c r="Y544" s="7">
        <f t="shared" si="89"/>
        <v>19240</v>
      </c>
      <c r="Z544" s="9" t="str">
        <f t="shared" si="81"/>
        <v>SENIOR</v>
      </c>
    </row>
    <row r="545" spans="1:26" x14ac:dyDescent="0.3">
      <c r="A545" s="5" t="s">
        <v>1277</v>
      </c>
      <c r="B545" s="5" t="s">
        <v>25</v>
      </c>
      <c r="C545" s="5" t="s">
        <v>26</v>
      </c>
      <c r="D545" s="5" t="s">
        <v>80</v>
      </c>
      <c r="E545" s="5" t="s">
        <v>108</v>
      </c>
      <c r="F545" s="5" t="s">
        <v>272</v>
      </c>
      <c r="G545" s="5"/>
      <c r="H545" s="5">
        <v>24</v>
      </c>
      <c r="I545" s="5" t="s">
        <v>40</v>
      </c>
      <c r="J545" s="34" t="s">
        <v>426</v>
      </c>
      <c r="K545" s="31">
        <v>59863</v>
      </c>
      <c r="L545" s="5" t="s">
        <v>236</v>
      </c>
      <c r="M545" s="32">
        <v>0</v>
      </c>
      <c r="N545" s="6">
        <f t="shared" si="82"/>
        <v>0</v>
      </c>
      <c r="O545" s="4" t="s">
        <v>272</v>
      </c>
      <c r="P545" s="5" t="str">
        <f t="shared" si="83"/>
        <v>Ahmedabad</v>
      </c>
      <c r="Q545" s="5" t="str">
        <f t="shared" si="84"/>
        <v>Orthopedics</v>
      </c>
      <c r="R545" s="6" t="str">
        <f t="shared" si="85"/>
        <v>Narayana</v>
      </c>
      <c r="S545" s="6" t="str">
        <f t="shared" si="86"/>
        <v>Debit Card</v>
      </c>
      <c r="T545" s="6" t="str">
        <f t="shared" si="87"/>
        <v>Female</v>
      </c>
      <c r="U545" s="6" t="str">
        <f t="shared" si="90"/>
        <v>Unknown</v>
      </c>
      <c r="V545" s="6" t="str" cm="1">
        <f t="array" ref="V545">IF(TRIM(S545)="",INDEX($S$2:$S$1500,MATCH(MAX(COUNTIF($S$2:$S$1500,S545)),COUNTIF($S$2:$S$1500,$S$2:$S$1500),0)),S545)</f>
        <v>Debit Card</v>
      </c>
      <c r="W545" s="7" cm="1">
        <f t="array" ref="W545">IF(OR(TRIM(K545)="",TRIM(K545)="-"), MEDIAN(IF($E$2:$E$1500=E545,$K$2:$K$1500)),  VALUE(SUBSTITUTE(SUBSTITUTE(SUBSTITUTE(K545,"Rs. ",""),"₹",""),",","")))</f>
        <v>59863</v>
      </c>
      <c r="X545" s="8">
        <f t="shared" si="88"/>
        <v>0</v>
      </c>
      <c r="Y545" s="7">
        <f t="shared" si="89"/>
        <v>59863</v>
      </c>
      <c r="Z545" s="9" t="str">
        <f t="shared" si="81"/>
        <v>ADULT</v>
      </c>
    </row>
    <row r="546" spans="1:26" x14ac:dyDescent="0.3">
      <c r="A546" s="5" t="s">
        <v>1278</v>
      </c>
      <c r="B546" s="5" t="s">
        <v>25</v>
      </c>
      <c r="C546" s="5" t="s">
        <v>26</v>
      </c>
      <c r="D546" s="5" t="s">
        <v>16</v>
      </c>
      <c r="E546" s="5" t="s">
        <v>28</v>
      </c>
      <c r="F546" s="5" t="s">
        <v>29</v>
      </c>
      <c r="G546" s="5" t="s">
        <v>19</v>
      </c>
      <c r="H546" s="5">
        <v>63</v>
      </c>
      <c r="I546" s="5" t="s">
        <v>20</v>
      </c>
      <c r="J546" s="34" t="s">
        <v>407</v>
      </c>
      <c r="K546" s="31">
        <v>16130</v>
      </c>
      <c r="L546" s="5" t="s">
        <v>97</v>
      </c>
      <c r="M546" s="32">
        <v>0</v>
      </c>
      <c r="N546" s="6">
        <f t="shared" si="82"/>
        <v>0</v>
      </c>
      <c r="O546" s="4" t="s">
        <v>29</v>
      </c>
      <c r="P546" s="5" t="str">
        <f t="shared" si="83"/>
        <v>Bangalore</v>
      </c>
      <c r="Q546" s="5" t="str">
        <f t="shared" si="84"/>
        <v>Oncology</v>
      </c>
      <c r="R546" s="6" t="str">
        <f t="shared" si="85"/>
        <v>Narayana</v>
      </c>
      <c r="S546" s="6" t="str">
        <f t="shared" si="86"/>
        <v>UPI</v>
      </c>
      <c r="T546" s="6" t="str">
        <f t="shared" si="87"/>
        <v>Male</v>
      </c>
      <c r="U546" s="6" t="str">
        <f t="shared" si="90"/>
        <v>General</v>
      </c>
      <c r="V546" s="6" t="str" cm="1">
        <f t="array" ref="V546">IF(TRIM(S546)="",INDEX($S$2:$S$1500,MATCH(MAX(COUNTIF($S$2:$S$1500,S546)),COUNTIF($S$2:$S$1500,$S$2:$S$1500),0)),S546)</f>
        <v>UPI</v>
      </c>
      <c r="W546" s="7" cm="1">
        <f t="array" ref="W546">IF(OR(TRIM(K546)="",TRIM(K546)="-"), MEDIAN(IF($E$2:$E$1500=E546,$K$2:$K$1500)),  VALUE(SUBSTITUTE(SUBSTITUTE(SUBSTITUTE(K546,"Rs. ",""),"₹",""),",","")))</f>
        <v>16130</v>
      </c>
      <c r="X546" s="8">
        <f t="shared" si="88"/>
        <v>0</v>
      </c>
      <c r="Y546" s="7">
        <f t="shared" si="89"/>
        <v>16130</v>
      </c>
      <c r="Z546" s="9" t="str">
        <f t="shared" si="81"/>
        <v>SENIOR</v>
      </c>
    </row>
    <row r="547" spans="1:26" x14ac:dyDescent="0.3">
      <c r="A547" s="5" t="s">
        <v>1279</v>
      </c>
      <c r="B547" s="5" t="s">
        <v>117</v>
      </c>
      <c r="C547" s="5" t="s">
        <v>127</v>
      </c>
      <c r="D547" s="5" t="s">
        <v>27</v>
      </c>
      <c r="E547" s="5" t="s">
        <v>108</v>
      </c>
      <c r="F547" s="5" t="s">
        <v>124</v>
      </c>
      <c r="G547" s="5" t="s">
        <v>19</v>
      </c>
      <c r="H547" s="5">
        <v>68</v>
      </c>
      <c r="I547" s="5" t="s">
        <v>40</v>
      </c>
      <c r="J547" s="34" t="s">
        <v>1280</v>
      </c>
      <c r="K547" s="31" t="s">
        <v>1281</v>
      </c>
      <c r="L547" s="5" t="s">
        <v>34</v>
      </c>
      <c r="M547" s="32" t="s">
        <v>140</v>
      </c>
      <c r="N547" s="6" t="str">
        <f t="shared" si="82"/>
        <v>-</v>
      </c>
      <c r="O547" s="4" t="s">
        <v>124</v>
      </c>
      <c r="P547" s="5" t="str">
        <f t="shared" si="83"/>
        <v>Mumbai</v>
      </c>
      <c r="Q547" s="5" t="str">
        <f t="shared" si="84"/>
        <v>Orthopedics</v>
      </c>
      <c r="R547" s="6" t="str">
        <f t="shared" si="85"/>
        <v>Manipal</v>
      </c>
      <c r="S547" s="6" t="str">
        <f t="shared" si="86"/>
        <v>Cash</v>
      </c>
      <c r="T547" s="6" t="str">
        <f t="shared" si="87"/>
        <v>Female</v>
      </c>
      <c r="U547" s="6" t="str">
        <f t="shared" si="90"/>
        <v>General</v>
      </c>
      <c r="V547" s="6" t="str" cm="1">
        <f t="array" ref="V547">IF(TRIM(S547)="",INDEX($S$2:$S$1500,MATCH(MAX(COUNTIF($S$2:$S$1500,S547)),COUNTIF($S$2:$S$1500,$S$2:$S$1500),0)),S547)</f>
        <v>Cash</v>
      </c>
      <c r="W547" s="7" cm="1">
        <f t="array" ref="W547">IF(OR(TRIM(K547)="",TRIM(K547)="-"), MEDIAN(IF($E$2:$E$1500=E547,$K$2:$K$1500)),  VALUE(SUBSTITUTE(SUBSTITUTE(SUBSTITUTE(K547,"Rs. ",""),"₹",""),",","")))</f>
        <v>7765</v>
      </c>
      <c r="X547" s="8">
        <f t="shared" si="88"/>
        <v>3</v>
      </c>
      <c r="Y547" s="7">
        <f t="shared" si="89"/>
        <v>7532</v>
      </c>
      <c r="Z547" s="9" t="str">
        <f t="shared" si="81"/>
        <v>SENIOR</v>
      </c>
    </row>
    <row r="548" spans="1:26" x14ac:dyDescent="0.3">
      <c r="A548" s="5" t="s">
        <v>1282</v>
      </c>
      <c r="B548" s="5" t="s">
        <v>106</v>
      </c>
      <c r="C548" s="5" t="s">
        <v>107</v>
      </c>
      <c r="D548" s="5" t="s">
        <v>189</v>
      </c>
      <c r="E548" s="5" t="s">
        <v>108</v>
      </c>
      <c r="F548" s="5" t="s">
        <v>109</v>
      </c>
      <c r="G548" s="5" t="s">
        <v>30</v>
      </c>
      <c r="H548" s="5">
        <v>15</v>
      </c>
      <c r="I548" s="5" t="s">
        <v>20</v>
      </c>
      <c r="J548" s="34" t="s">
        <v>1001</v>
      </c>
      <c r="K548" s="31" t="s">
        <v>1283</v>
      </c>
      <c r="L548" s="5" t="s">
        <v>115</v>
      </c>
      <c r="M548" s="32" t="s">
        <v>130</v>
      </c>
      <c r="N548" s="6">
        <f t="shared" si="82"/>
        <v>0</v>
      </c>
      <c r="O548" s="4" t="s">
        <v>109</v>
      </c>
      <c r="P548" s="5" t="str">
        <f t="shared" si="83"/>
        <v>Delhi</v>
      </c>
      <c r="Q548" s="5" t="str">
        <f t="shared" si="84"/>
        <v>Orthopedics</v>
      </c>
      <c r="R548" s="6" t="str">
        <f t="shared" si="85"/>
        <v>Aiims</v>
      </c>
      <c r="S548" s="6" t="str">
        <f t="shared" si="86"/>
        <v>Cash</v>
      </c>
      <c r="T548" s="6" t="str">
        <f t="shared" si="87"/>
        <v>Male</v>
      </c>
      <c r="U548" s="6" t="str">
        <f t="shared" si="90"/>
        <v>General</v>
      </c>
      <c r="V548" s="6" t="str" cm="1">
        <f t="array" ref="V548">IF(TRIM(S548)="",INDEX($S$2:$S$1500,MATCH(MAX(COUNTIF($S$2:$S$1500,S548)),COUNTIF($S$2:$S$1500,$S$2:$S$1500),0)),S548)</f>
        <v>Cash</v>
      </c>
      <c r="W548" s="7" cm="1">
        <f t="array" ref="W548">IF(OR(TRIM(K548)="",TRIM(K548)="-"), MEDIAN(IF($E$2:$E$1500=E548,$K$2:$K$1500)),  VALUE(SUBSTITUTE(SUBSTITUTE(SUBSTITUTE(K548,"Rs. ",""),"₹",""),",","")))</f>
        <v>13609</v>
      </c>
      <c r="X548" s="8">
        <f t="shared" si="88"/>
        <v>0</v>
      </c>
      <c r="Y548" s="7">
        <f t="shared" si="89"/>
        <v>13609</v>
      </c>
      <c r="Z548" s="9" t="str">
        <f t="shared" si="81"/>
        <v>TEEN</v>
      </c>
    </row>
    <row r="549" spans="1:26" x14ac:dyDescent="0.3">
      <c r="A549" s="5" t="s">
        <v>1284</v>
      </c>
      <c r="B549" s="5" t="s">
        <v>117</v>
      </c>
      <c r="C549" s="5" t="s">
        <v>127</v>
      </c>
      <c r="D549" s="5" t="s">
        <v>55</v>
      </c>
      <c r="E549" s="5" t="s">
        <v>164</v>
      </c>
      <c r="F549" s="5" t="s">
        <v>219</v>
      </c>
      <c r="G549" s="5" t="s">
        <v>39</v>
      </c>
      <c r="H549" s="5">
        <v>51</v>
      </c>
      <c r="I549" s="5" t="s">
        <v>20</v>
      </c>
      <c r="J549" s="34" t="s">
        <v>759</v>
      </c>
      <c r="K549" s="31" t="s">
        <v>1285</v>
      </c>
      <c r="L549" s="5" t="s">
        <v>311</v>
      </c>
      <c r="M549" s="32" t="s">
        <v>198</v>
      </c>
      <c r="N549" s="6">
        <f t="shared" si="82"/>
        <v>5</v>
      </c>
      <c r="O549" s="4" t="s">
        <v>219</v>
      </c>
      <c r="P549" s="5" t="str">
        <f t="shared" si="83"/>
        <v>Hyderabad</v>
      </c>
      <c r="Q549" s="5" t="str">
        <f t="shared" si="84"/>
        <v>Cardiology</v>
      </c>
      <c r="R549" s="6" t="str">
        <f t="shared" si="85"/>
        <v>Manipal</v>
      </c>
      <c r="S549" s="6" t="str">
        <f t="shared" si="86"/>
        <v>UPI</v>
      </c>
      <c r="T549" s="6" t="str">
        <f t="shared" si="87"/>
        <v>Male</v>
      </c>
      <c r="U549" s="6" t="str">
        <f t="shared" si="90"/>
        <v>General</v>
      </c>
      <c r="V549" s="6" t="str" cm="1">
        <f t="array" ref="V549">IF(TRIM(S549)="",INDEX($S$2:$S$1500,MATCH(MAX(COUNTIF($S$2:$S$1500,S549)),COUNTIF($S$2:$S$1500,$S$2:$S$1500),0)),S549)</f>
        <v>UPI</v>
      </c>
      <c r="W549" s="7" cm="1">
        <f t="array" ref="W549">IF(OR(TRIM(K549)="",TRIM(K549)="-"), MEDIAN(IF($E$2:$E$1500=E549,$K$2:$K$1500)),  VALUE(SUBSTITUTE(SUBSTITUTE(SUBSTITUTE(K549,"Rs. ",""),"₹",""),",","")))</f>
        <v>19892</v>
      </c>
      <c r="X549" s="8">
        <f t="shared" si="88"/>
        <v>5</v>
      </c>
      <c r="Y549" s="7">
        <f t="shared" si="89"/>
        <v>18897</v>
      </c>
      <c r="Z549" s="9" t="str">
        <f t="shared" si="81"/>
        <v>ADULT</v>
      </c>
    </row>
    <row r="550" spans="1:26" x14ac:dyDescent="0.3">
      <c r="A550" s="5" t="s">
        <v>1286</v>
      </c>
      <c r="B550" s="5" t="s">
        <v>25</v>
      </c>
      <c r="C550" s="5" t="s">
        <v>26</v>
      </c>
      <c r="D550" s="5" t="s">
        <v>61</v>
      </c>
      <c r="E550" s="5" t="s">
        <v>164</v>
      </c>
      <c r="F550" s="5" t="s">
        <v>165</v>
      </c>
      <c r="G550" s="5" t="s">
        <v>39</v>
      </c>
      <c r="H550" s="5">
        <v>52</v>
      </c>
      <c r="I550" s="5" t="s">
        <v>31</v>
      </c>
      <c r="J550" s="34" t="s">
        <v>1001</v>
      </c>
      <c r="K550" s="31">
        <v>12169</v>
      </c>
      <c r="L550" s="5" t="s">
        <v>23</v>
      </c>
      <c r="M550" s="32">
        <v>0</v>
      </c>
      <c r="N550" s="6">
        <f t="shared" si="82"/>
        <v>0</v>
      </c>
      <c r="O550" s="4" t="s">
        <v>165</v>
      </c>
      <c r="P550" s="5" t="str">
        <f t="shared" si="83"/>
        <v>Pune</v>
      </c>
      <c r="Q550" s="5" t="str">
        <f t="shared" si="84"/>
        <v>Cardiology</v>
      </c>
      <c r="R550" s="6" t="str">
        <f t="shared" si="85"/>
        <v>Narayana</v>
      </c>
      <c r="S550" s="6" t="str">
        <f t="shared" si="86"/>
        <v>Credit Card</v>
      </c>
      <c r="T550" s="6" t="str">
        <f t="shared" si="87"/>
        <v>Male</v>
      </c>
      <c r="U550" s="6" t="str">
        <f t="shared" si="90"/>
        <v>General</v>
      </c>
      <c r="V550" s="6" t="str" cm="1">
        <f t="array" ref="V550">IF(TRIM(S550)="",INDEX($S$2:$S$1500,MATCH(MAX(COUNTIF($S$2:$S$1500,S550)),COUNTIF($S$2:$S$1500,$S$2:$S$1500),0)),S550)</f>
        <v>Credit Card</v>
      </c>
      <c r="W550" s="7" cm="1">
        <f t="array" ref="W550">IF(OR(TRIM(K550)="",TRIM(K550)="-"), MEDIAN(IF($E$2:$E$1500=E550,$K$2:$K$1500)),  VALUE(SUBSTITUTE(SUBSTITUTE(SUBSTITUTE(K550,"Rs. ",""),"₹",""),",","")))</f>
        <v>12169</v>
      </c>
      <c r="X550" s="8">
        <f t="shared" si="88"/>
        <v>0</v>
      </c>
      <c r="Y550" s="7">
        <f t="shared" si="89"/>
        <v>12169</v>
      </c>
      <c r="Z550" s="9" t="str">
        <f t="shared" si="81"/>
        <v>ADULT</v>
      </c>
    </row>
    <row r="551" spans="1:26" x14ac:dyDescent="0.3">
      <c r="A551" s="5" t="s">
        <v>1287</v>
      </c>
      <c r="B551" s="5" t="s">
        <v>45</v>
      </c>
      <c r="C551" s="5" t="s">
        <v>46</v>
      </c>
      <c r="D551" s="5" t="s">
        <v>16</v>
      </c>
      <c r="E551" s="5" t="s">
        <v>74</v>
      </c>
      <c r="F551" s="5" t="s">
        <v>192</v>
      </c>
      <c r="G551" s="5" t="s">
        <v>101</v>
      </c>
      <c r="H551" s="5">
        <v>13</v>
      </c>
      <c r="I551" s="5" t="s">
        <v>20</v>
      </c>
      <c r="J551" s="34" t="s">
        <v>1288</v>
      </c>
      <c r="K551" s="31">
        <v>28818</v>
      </c>
      <c r="L551" s="5" t="s">
        <v>104</v>
      </c>
      <c r="M551" s="32">
        <v>15</v>
      </c>
      <c r="N551" s="6">
        <f t="shared" si="82"/>
        <v>15</v>
      </c>
      <c r="O551" s="4" t="s">
        <v>192</v>
      </c>
      <c r="P551" s="5" t="str">
        <f t="shared" si="83"/>
        <v>Bangalore</v>
      </c>
      <c r="Q551" s="5" t="str">
        <f t="shared" si="84"/>
        <v>General Medicine</v>
      </c>
      <c r="R551" s="6" t="str">
        <f t="shared" si="85"/>
        <v>Fortis</v>
      </c>
      <c r="S551" s="6" t="str">
        <f t="shared" si="86"/>
        <v>Insurance</v>
      </c>
      <c r="T551" s="6" t="str">
        <f t="shared" si="87"/>
        <v>Male</v>
      </c>
      <c r="U551" s="6" t="str">
        <f t="shared" si="90"/>
        <v>ICU</v>
      </c>
      <c r="V551" s="6" t="str" cm="1">
        <f t="array" ref="V551">IF(TRIM(S551)="",INDEX($S$2:$S$1500,MATCH(MAX(COUNTIF($S$2:$S$1500,S551)),COUNTIF($S$2:$S$1500,$S$2:$S$1500),0)),S551)</f>
        <v>Insurance</v>
      </c>
      <c r="W551" s="7" cm="1">
        <f t="array" ref="W551">IF(OR(TRIM(K551)="",TRIM(K551)="-"), MEDIAN(IF($E$2:$E$1500=E551,$K$2:$K$1500)),  VALUE(SUBSTITUTE(SUBSTITUTE(SUBSTITUTE(K551,"Rs. ",""),"₹",""),",","")))</f>
        <v>28818</v>
      </c>
      <c r="X551" s="8">
        <f t="shared" si="88"/>
        <v>15</v>
      </c>
      <c r="Y551" s="7">
        <f t="shared" si="89"/>
        <v>24495</v>
      </c>
      <c r="Z551" s="9" t="str">
        <f t="shared" si="81"/>
        <v>TEEN</v>
      </c>
    </row>
    <row r="552" spans="1:26" x14ac:dyDescent="0.3">
      <c r="A552" s="5" t="s">
        <v>1289</v>
      </c>
      <c r="B552" s="5" t="s">
        <v>14</v>
      </c>
      <c r="C552" s="5" t="s">
        <v>60</v>
      </c>
      <c r="D552" s="5" t="s">
        <v>16</v>
      </c>
      <c r="E552" s="5" t="s">
        <v>164</v>
      </c>
      <c r="F552" s="5" t="s">
        <v>282</v>
      </c>
      <c r="G552" s="5" t="s">
        <v>49</v>
      </c>
      <c r="H552" s="5">
        <v>23</v>
      </c>
      <c r="I552" s="5" t="s">
        <v>31</v>
      </c>
      <c r="J552" s="34" t="s">
        <v>1017</v>
      </c>
      <c r="K552" s="31" t="s">
        <v>1290</v>
      </c>
      <c r="L552" s="5" t="s">
        <v>149</v>
      </c>
      <c r="M552" s="32">
        <v>25</v>
      </c>
      <c r="N552" s="6">
        <f t="shared" si="82"/>
        <v>25</v>
      </c>
      <c r="O552" s="4" t="s">
        <v>282</v>
      </c>
      <c r="P552" s="5" t="str">
        <f t="shared" si="83"/>
        <v>Bangalore</v>
      </c>
      <c r="Q552" s="5" t="str">
        <f t="shared" si="84"/>
        <v>Cardiology</v>
      </c>
      <c r="R552" s="6" t="str">
        <f t="shared" si="85"/>
        <v>Max_Healthcare</v>
      </c>
      <c r="S552" s="6" t="str">
        <f t="shared" si="86"/>
        <v>Insurance</v>
      </c>
      <c r="T552" s="6" t="str">
        <f t="shared" si="87"/>
        <v>Male</v>
      </c>
      <c r="U552" s="6" t="str">
        <f t="shared" si="90"/>
        <v>General</v>
      </c>
      <c r="V552" s="6" t="str" cm="1">
        <f t="array" ref="V552">IF(TRIM(S552)="",INDEX($S$2:$S$1500,MATCH(MAX(COUNTIF($S$2:$S$1500,S552)),COUNTIF($S$2:$S$1500,$S$2:$S$1500),0)),S552)</f>
        <v>Insurance</v>
      </c>
      <c r="W552" s="7" cm="1">
        <f t="array" ref="W552">IF(OR(TRIM(K552)="",TRIM(K552)="-"), MEDIAN(IF($E$2:$E$1500=E552,$K$2:$K$1500)),  VALUE(SUBSTITUTE(SUBSTITUTE(SUBSTITUTE(K552,"Rs. ",""),"₹",""),",","")))</f>
        <v>10088</v>
      </c>
      <c r="X552" s="8">
        <f t="shared" si="88"/>
        <v>25</v>
      </c>
      <c r="Y552" s="7">
        <f t="shared" si="89"/>
        <v>7566</v>
      </c>
      <c r="Z552" s="9" t="str">
        <f t="shared" si="81"/>
        <v>ADULT</v>
      </c>
    </row>
    <row r="553" spans="1:26" x14ac:dyDescent="0.3">
      <c r="A553" s="5" t="s">
        <v>1291</v>
      </c>
      <c r="B553" s="5" t="s">
        <v>45</v>
      </c>
      <c r="C553" s="5" t="s">
        <v>46</v>
      </c>
      <c r="D553" s="5" t="s">
        <v>27</v>
      </c>
      <c r="E553" s="5" t="s">
        <v>47</v>
      </c>
      <c r="F553" s="5" t="s">
        <v>48</v>
      </c>
      <c r="G553" s="5" t="s">
        <v>69</v>
      </c>
      <c r="H553" s="5">
        <v>47</v>
      </c>
      <c r="I553" s="5" t="s">
        <v>31</v>
      </c>
      <c r="J553" s="34" t="s">
        <v>1201</v>
      </c>
      <c r="K553" s="31">
        <v>83417</v>
      </c>
      <c r="L553" s="5" t="s">
        <v>149</v>
      </c>
      <c r="M553" s="32" t="s">
        <v>713</v>
      </c>
      <c r="N553" s="6">
        <f t="shared" si="82"/>
        <v>30</v>
      </c>
      <c r="O553" s="4" t="s">
        <v>48</v>
      </c>
      <c r="P553" s="5" t="str">
        <f t="shared" si="83"/>
        <v>Mumbai</v>
      </c>
      <c r="Q553" s="5" t="str">
        <f t="shared" si="84"/>
        <v>Gastroenterology</v>
      </c>
      <c r="R553" s="6" t="str">
        <f t="shared" si="85"/>
        <v>Fortis</v>
      </c>
      <c r="S553" s="6" t="str">
        <f t="shared" si="86"/>
        <v>Insurance</v>
      </c>
      <c r="T553" s="6" t="str">
        <f t="shared" si="87"/>
        <v>Male</v>
      </c>
      <c r="U553" s="6" t="str">
        <f t="shared" si="90"/>
        <v>ICU</v>
      </c>
      <c r="V553" s="6" t="str" cm="1">
        <f t="array" ref="V553">IF(TRIM(S553)="",INDEX($S$2:$S$1500,MATCH(MAX(COUNTIF($S$2:$S$1500,S553)),COUNTIF($S$2:$S$1500,$S$2:$S$1500),0)),S553)</f>
        <v>Insurance</v>
      </c>
      <c r="W553" s="7" cm="1">
        <f t="array" ref="W553">IF(OR(TRIM(K553)="",TRIM(K553)="-"), MEDIAN(IF($E$2:$E$1500=E553,$K$2:$K$1500)),  VALUE(SUBSTITUTE(SUBSTITUTE(SUBSTITUTE(K553,"Rs. ",""),"₹",""),",","")))</f>
        <v>83417</v>
      </c>
      <c r="X553" s="8">
        <f t="shared" si="88"/>
        <v>30</v>
      </c>
      <c r="Y553" s="7">
        <f t="shared" si="89"/>
        <v>58392</v>
      </c>
      <c r="Z553" s="9" t="str">
        <f t="shared" si="81"/>
        <v>ADULT</v>
      </c>
    </row>
    <row r="554" spans="1:26" x14ac:dyDescent="0.3">
      <c r="A554" s="5" t="s">
        <v>1292</v>
      </c>
      <c r="B554" s="5" t="s">
        <v>14</v>
      </c>
      <c r="C554" s="5" t="s">
        <v>60</v>
      </c>
      <c r="D554" s="5" t="s">
        <v>36</v>
      </c>
      <c r="E554" s="5" t="s">
        <v>164</v>
      </c>
      <c r="F554" s="5" t="s">
        <v>165</v>
      </c>
      <c r="G554" s="5" t="s">
        <v>49</v>
      </c>
      <c r="H554" s="5">
        <v>70</v>
      </c>
      <c r="I554" s="5" t="s">
        <v>40</v>
      </c>
      <c r="J554" s="34" t="s">
        <v>1293</v>
      </c>
      <c r="K554" s="31" t="s">
        <v>1294</v>
      </c>
      <c r="L554" s="5" t="s">
        <v>115</v>
      </c>
      <c r="M554" s="32" t="s">
        <v>140</v>
      </c>
      <c r="N554" s="6" t="str">
        <f t="shared" si="82"/>
        <v>-</v>
      </c>
      <c r="O554" s="4" t="s">
        <v>165</v>
      </c>
      <c r="P554" s="5" t="str">
        <f t="shared" si="83"/>
        <v>Chennai</v>
      </c>
      <c r="Q554" s="5" t="str">
        <f t="shared" si="84"/>
        <v>Cardiology</v>
      </c>
      <c r="R554" s="6" t="str">
        <f t="shared" si="85"/>
        <v>Max_Healthcare</v>
      </c>
      <c r="S554" s="6" t="str">
        <f t="shared" si="86"/>
        <v>Cash</v>
      </c>
      <c r="T554" s="6" t="str">
        <f t="shared" si="87"/>
        <v>Female</v>
      </c>
      <c r="U554" s="6" t="str">
        <f t="shared" si="90"/>
        <v>General</v>
      </c>
      <c r="V554" s="6" t="str" cm="1">
        <f t="array" ref="V554">IF(TRIM(S554)="",INDEX($S$2:$S$1500,MATCH(MAX(COUNTIF($S$2:$S$1500,S554)),COUNTIF($S$2:$S$1500,$S$2:$S$1500),0)),S554)</f>
        <v>Cash</v>
      </c>
      <c r="W554" s="7" cm="1">
        <f t="array" ref="W554">IF(OR(TRIM(K554)="",TRIM(K554)="-"), MEDIAN(IF($E$2:$E$1500=E554,$K$2:$K$1500)),  VALUE(SUBSTITUTE(SUBSTITUTE(SUBSTITUTE(K554,"Rs. ",""),"₹",""),",","")))</f>
        <v>14705</v>
      </c>
      <c r="X554" s="8">
        <f t="shared" si="88"/>
        <v>3</v>
      </c>
      <c r="Y554" s="7">
        <f t="shared" si="89"/>
        <v>14264</v>
      </c>
      <c r="Z554" s="9" t="str">
        <f t="shared" si="81"/>
        <v>SENIOR</v>
      </c>
    </row>
    <row r="555" spans="1:26" x14ac:dyDescent="0.3">
      <c r="A555" s="5" t="s">
        <v>1295</v>
      </c>
      <c r="B555" s="5" t="s">
        <v>117</v>
      </c>
      <c r="C555" s="5" t="s">
        <v>118</v>
      </c>
      <c r="D555" s="5" t="s">
        <v>55</v>
      </c>
      <c r="E555" s="5" t="s">
        <v>17</v>
      </c>
      <c r="F555" s="5" t="s">
        <v>213</v>
      </c>
      <c r="G555" s="5" t="s">
        <v>30</v>
      </c>
      <c r="H555" s="5">
        <v>76</v>
      </c>
      <c r="I555" s="5" t="s">
        <v>40</v>
      </c>
      <c r="J555" s="34" t="s">
        <v>863</v>
      </c>
      <c r="K555" s="31" t="s">
        <v>1296</v>
      </c>
      <c r="L555" s="5" t="s">
        <v>167</v>
      </c>
      <c r="M555" s="32" t="s">
        <v>227</v>
      </c>
      <c r="N555" s="6">
        <f t="shared" si="82"/>
        <v>25</v>
      </c>
      <c r="O555" s="4" t="s">
        <v>213</v>
      </c>
      <c r="P555" s="5" t="str">
        <f t="shared" si="83"/>
        <v>Hyderabad</v>
      </c>
      <c r="Q555" s="5" t="str">
        <f t="shared" si="84"/>
        <v>Gynecology</v>
      </c>
      <c r="R555" s="6" t="str">
        <f t="shared" si="85"/>
        <v>Manipal</v>
      </c>
      <c r="S555" s="6" t="str">
        <f t="shared" si="86"/>
        <v>Insurance</v>
      </c>
      <c r="T555" s="6" t="str">
        <f t="shared" si="87"/>
        <v>Female</v>
      </c>
      <c r="U555" s="6" t="str">
        <f t="shared" si="90"/>
        <v>General</v>
      </c>
      <c r="V555" s="6" t="str" cm="1">
        <f t="array" ref="V555">IF(TRIM(S555)="",INDEX($S$2:$S$1500,MATCH(MAX(COUNTIF($S$2:$S$1500,S555)),COUNTIF($S$2:$S$1500,$S$2:$S$1500),0)),S555)</f>
        <v>Insurance</v>
      </c>
      <c r="W555" s="7" cm="1">
        <f t="array" ref="W555">IF(OR(TRIM(K555)="",TRIM(K555)="-"), MEDIAN(IF($E$2:$E$1500=E555,$K$2:$K$1500)),  VALUE(SUBSTITUTE(SUBSTITUTE(SUBSTITUTE(K555,"Rs. ",""),"₹",""),",","")))</f>
        <v>5046</v>
      </c>
      <c r="X555" s="8">
        <f t="shared" si="88"/>
        <v>25</v>
      </c>
      <c r="Y555" s="7">
        <f t="shared" si="89"/>
        <v>3785</v>
      </c>
      <c r="Z555" s="9" t="str">
        <f t="shared" si="81"/>
        <v>SENIOR</v>
      </c>
    </row>
    <row r="556" spans="1:26" x14ac:dyDescent="0.3">
      <c r="A556" s="5" t="s">
        <v>1297</v>
      </c>
      <c r="B556" s="5" t="s">
        <v>14</v>
      </c>
      <c r="C556" s="5" t="s">
        <v>60</v>
      </c>
      <c r="D556" s="5" t="s">
        <v>36</v>
      </c>
      <c r="E556" s="5" t="s">
        <v>47</v>
      </c>
      <c r="F556" s="5" t="s">
        <v>175</v>
      </c>
      <c r="G556" s="5" t="s">
        <v>39</v>
      </c>
      <c r="H556" s="5">
        <v>70</v>
      </c>
      <c r="I556" s="5" t="s">
        <v>70</v>
      </c>
      <c r="J556" s="34" t="s">
        <v>1128</v>
      </c>
      <c r="K556" s="31" t="s">
        <v>1298</v>
      </c>
      <c r="L556" s="5" t="s">
        <v>34</v>
      </c>
      <c r="M556" s="32">
        <v>0.05</v>
      </c>
      <c r="N556" s="6">
        <f t="shared" si="82"/>
        <v>5</v>
      </c>
      <c r="O556" s="4" t="s">
        <v>175</v>
      </c>
      <c r="P556" s="5" t="str">
        <f t="shared" si="83"/>
        <v>Chennai</v>
      </c>
      <c r="Q556" s="5" t="str">
        <f t="shared" si="84"/>
        <v>Gastroenterology</v>
      </c>
      <c r="R556" s="6" t="str">
        <f t="shared" si="85"/>
        <v>Max_Healthcare</v>
      </c>
      <c r="S556" s="6" t="str">
        <f t="shared" si="86"/>
        <v>Cash</v>
      </c>
      <c r="T556" s="6" t="str">
        <f t="shared" si="87"/>
        <v>Female</v>
      </c>
      <c r="U556" s="6" t="str">
        <f t="shared" si="90"/>
        <v>General</v>
      </c>
      <c r="V556" s="6" t="str" cm="1">
        <f t="array" ref="V556">IF(TRIM(S556)="",INDEX($S$2:$S$1500,MATCH(MAX(COUNTIF($S$2:$S$1500,S556)),COUNTIF($S$2:$S$1500,$S$2:$S$1500),0)),S556)</f>
        <v>Cash</v>
      </c>
      <c r="W556" s="7" cm="1">
        <f t="array" ref="W556">IF(OR(TRIM(K556)="",TRIM(K556)="-"), MEDIAN(IF($E$2:$E$1500=E556,$K$2:$K$1500)),  VALUE(SUBSTITUTE(SUBSTITUTE(SUBSTITUTE(K556,"Rs. ",""),"₹",""),",","")))</f>
        <v>6435</v>
      </c>
      <c r="X556" s="8">
        <f t="shared" si="88"/>
        <v>5</v>
      </c>
      <c r="Y556" s="7">
        <f t="shared" si="89"/>
        <v>6113</v>
      </c>
      <c r="Z556" s="9" t="str">
        <f t="shared" si="81"/>
        <v>SENIOR</v>
      </c>
    </row>
    <row r="557" spans="1:26" x14ac:dyDescent="0.3">
      <c r="A557" s="5" t="s">
        <v>1299</v>
      </c>
      <c r="B557" s="5" t="s">
        <v>14</v>
      </c>
      <c r="C557" s="5" t="s">
        <v>15</v>
      </c>
      <c r="D557" s="5" t="s">
        <v>16</v>
      </c>
      <c r="E557" s="5" t="s">
        <v>28</v>
      </c>
      <c r="F557" s="5" t="s">
        <v>259</v>
      </c>
      <c r="G557" s="5" t="s">
        <v>39</v>
      </c>
      <c r="H557" s="5">
        <v>54</v>
      </c>
      <c r="I557" s="5" t="s">
        <v>40</v>
      </c>
      <c r="J557" s="34" t="s">
        <v>1300</v>
      </c>
      <c r="K557" s="31">
        <v>3424</v>
      </c>
      <c r="L557" s="5" t="s">
        <v>236</v>
      </c>
      <c r="M557" s="32">
        <v>5</v>
      </c>
      <c r="N557" s="6">
        <f t="shared" si="82"/>
        <v>5</v>
      </c>
      <c r="O557" s="4" t="s">
        <v>259</v>
      </c>
      <c r="P557" s="5" t="str">
        <f t="shared" si="83"/>
        <v>Bangalore</v>
      </c>
      <c r="Q557" s="5" t="str">
        <f t="shared" si="84"/>
        <v>Oncology</v>
      </c>
      <c r="R557" s="6" t="str">
        <f t="shared" si="85"/>
        <v>Max_Healthcare</v>
      </c>
      <c r="S557" s="6" t="str">
        <f t="shared" si="86"/>
        <v>Debit Card</v>
      </c>
      <c r="T557" s="6" t="str">
        <f t="shared" si="87"/>
        <v>Female</v>
      </c>
      <c r="U557" s="6" t="str">
        <f t="shared" si="90"/>
        <v>General</v>
      </c>
      <c r="V557" s="6" t="str" cm="1">
        <f t="array" ref="V557">IF(TRIM(S557)="",INDEX($S$2:$S$1500,MATCH(MAX(COUNTIF($S$2:$S$1500,S557)),COUNTIF($S$2:$S$1500,$S$2:$S$1500),0)),S557)</f>
        <v>Debit Card</v>
      </c>
      <c r="W557" s="7" cm="1">
        <f t="array" ref="W557">IF(OR(TRIM(K557)="",TRIM(K557)="-"), MEDIAN(IF($E$2:$E$1500=E557,$K$2:$K$1500)),  VALUE(SUBSTITUTE(SUBSTITUTE(SUBSTITUTE(K557,"Rs. ",""),"₹",""),",","")))</f>
        <v>3424</v>
      </c>
      <c r="X557" s="8">
        <f t="shared" si="88"/>
        <v>5</v>
      </c>
      <c r="Y557" s="7">
        <f t="shared" si="89"/>
        <v>3253</v>
      </c>
      <c r="Z557" s="9" t="str">
        <f t="shared" si="81"/>
        <v>ADULT</v>
      </c>
    </row>
    <row r="558" spans="1:26" x14ac:dyDescent="0.3">
      <c r="A558" s="5" t="s">
        <v>1301</v>
      </c>
      <c r="B558" s="5" t="s">
        <v>106</v>
      </c>
      <c r="C558" s="5" t="s">
        <v>307</v>
      </c>
      <c r="D558" s="5" t="s">
        <v>55</v>
      </c>
      <c r="E558" s="5" t="s">
        <v>93</v>
      </c>
      <c r="F558" s="5" t="s">
        <v>121</v>
      </c>
      <c r="G558" s="5" t="s">
        <v>49</v>
      </c>
      <c r="H558" s="5">
        <v>25</v>
      </c>
      <c r="I558" s="5" t="s">
        <v>20</v>
      </c>
      <c r="J558" s="34" t="s">
        <v>966</v>
      </c>
      <c r="K558" s="31">
        <v>15031</v>
      </c>
      <c r="L558" s="5" t="s">
        <v>34</v>
      </c>
      <c r="M558" s="32">
        <v>0</v>
      </c>
      <c r="N558" s="6">
        <f t="shared" si="82"/>
        <v>0</v>
      </c>
      <c r="O558" s="4" t="s">
        <v>121</v>
      </c>
      <c r="P558" s="5" t="str">
        <f t="shared" si="83"/>
        <v>Hyderabad</v>
      </c>
      <c r="Q558" s="5" t="str">
        <f t="shared" si="84"/>
        <v>Nephrology</v>
      </c>
      <c r="R558" s="6" t="str">
        <f t="shared" si="85"/>
        <v>Aiims</v>
      </c>
      <c r="S558" s="6" t="str">
        <f t="shared" si="86"/>
        <v>Cash</v>
      </c>
      <c r="T558" s="6" t="str">
        <f t="shared" si="87"/>
        <v>Male</v>
      </c>
      <c r="U558" s="6" t="str">
        <f t="shared" si="90"/>
        <v>General</v>
      </c>
      <c r="V558" s="6" t="str" cm="1">
        <f t="array" ref="V558">IF(TRIM(S558)="",INDEX($S$2:$S$1500,MATCH(MAX(COUNTIF($S$2:$S$1500,S558)),COUNTIF($S$2:$S$1500,$S$2:$S$1500),0)),S558)</f>
        <v>Cash</v>
      </c>
      <c r="W558" s="7" cm="1">
        <f t="array" ref="W558">IF(OR(TRIM(K558)="",TRIM(K558)="-"), MEDIAN(IF($E$2:$E$1500=E558,$K$2:$K$1500)),  VALUE(SUBSTITUTE(SUBSTITUTE(SUBSTITUTE(K558,"Rs. ",""),"₹",""),",","")))</f>
        <v>15031</v>
      </c>
      <c r="X558" s="8">
        <f t="shared" si="88"/>
        <v>0</v>
      </c>
      <c r="Y558" s="7">
        <f t="shared" si="89"/>
        <v>15031</v>
      </c>
      <c r="Z558" s="9" t="str">
        <f t="shared" si="81"/>
        <v>ADULT</v>
      </c>
    </row>
    <row r="559" spans="1:26" x14ac:dyDescent="0.3">
      <c r="A559" s="5" t="s">
        <v>1302</v>
      </c>
      <c r="B559" s="5" t="s">
        <v>45</v>
      </c>
      <c r="C559" s="5" t="s">
        <v>334</v>
      </c>
      <c r="D559" s="5" t="s">
        <v>27</v>
      </c>
      <c r="E559" s="5" t="s">
        <v>74</v>
      </c>
      <c r="F559" s="5" t="s">
        <v>192</v>
      </c>
      <c r="G559" s="5" t="s">
        <v>30</v>
      </c>
      <c r="H559" s="5">
        <v>7</v>
      </c>
      <c r="I559" s="5" t="s">
        <v>40</v>
      </c>
      <c r="J559" s="34" t="s">
        <v>361</v>
      </c>
      <c r="K559" s="31" t="s">
        <v>1303</v>
      </c>
      <c r="L559" s="5" t="s">
        <v>23</v>
      </c>
      <c r="M559" s="32" t="s">
        <v>130</v>
      </c>
      <c r="N559" s="6">
        <f t="shared" si="82"/>
        <v>0</v>
      </c>
      <c r="O559" s="4" t="s">
        <v>192</v>
      </c>
      <c r="P559" s="5" t="str">
        <f t="shared" si="83"/>
        <v>Mumbai</v>
      </c>
      <c r="Q559" s="5" t="str">
        <f t="shared" si="84"/>
        <v>General Medicine</v>
      </c>
      <c r="R559" s="6" t="str">
        <f t="shared" si="85"/>
        <v>Fortis</v>
      </c>
      <c r="S559" s="6" t="str">
        <f t="shared" si="86"/>
        <v>Credit Card</v>
      </c>
      <c r="T559" s="6" t="str">
        <f t="shared" si="87"/>
        <v>Female</v>
      </c>
      <c r="U559" s="6" t="str">
        <f t="shared" si="90"/>
        <v>General</v>
      </c>
      <c r="V559" s="6" t="str" cm="1">
        <f t="array" ref="V559">IF(TRIM(S559)="",INDEX($S$2:$S$1500,MATCH(MAX(COUNTIF($S$2:$S$1500,S559)),COUNTIF($S$2:$S$1500,$S$2:$S$1500),0)),S559)</f>
        <v>Credit Card</v>
      </c>
      <c r="W559" s="7" cm="1">
        <f t="array" ref="W559">IF(OR(TRIM(K559)="",TRIM(K559)="-"), MEDIAN(IF($E$2:$E$1500=E559,$K$2:$K$1500)),  VALUE(SUBSTITUTE(SUBSTITUTE(SUBSTITUTE(K559,"Rs. ",""),"₹",""),",","")))</f>
        <v>10150</v>
      </c>
      <c r="X559" s="8">
        <f t="shared" si="88"/>
        <v>0</v>
      </c>
      <c r="Y559" s="7">
        <f t="shared" si="89"/>
        <v>10150</v>
      </c>
      <c r="Z559" s="9" t="str">
        <f t="shared" si="81"/>
        <v>CHILD</v>
      </c>
    </row>
    <row r="560" spans="1:26" x14ac:dyDescent="0.3">
      <c r="A560" s="5" t="s">
        <v>1304</v>
      </c>
      <c r="B560" s="5" t="s">
        <v>117</v>
      </c>
      <c r="C560" s="5" t="s">
        <v>127</v>
      </c>
      <c r="D560" s="5" t="s">
        <v>189</v>
      </c>
      <c r="E560" s="5" t="s">
        <v>67</v>
      </c>
      <c r="F560" s="5" t="s">
        <v>68</v>
      </c>
      <c r="G560" s="5" t="s">
        <v>30</v>
      </c>
      <c r="H560" s="5">
        <v>39</v>
      </c>
      <c r="I560" s="5" t="s">
        <v>70</v>
      </c>
      <c r="J560" s="34" t="s">
        <v>216</v>
      </c>
      <c r="K560" s="31">
        <v>19985</v>
      </c>
      <c r="L560" s="5" t="s">
        <v>115</v>
      </c>
      <c r="M560" s="32"/>
      <c r="N560" s="6">
        <f t="shared" si="82"/>
        <v>0</v>
      </c>
      <c r="O560" s="4" t="s">
        <v>68</v>
      </c>
      <c r="P560" s="5" t="str">
        <f t="shared" si="83"/>
        <v>Delhi</v>
      </c>
      <c r="Q560" s="5" t="str">
        <f t="shared" si="84"/>
        <v>Neurology</v>
      </c>
      <c r="R560" s="6" t="str">
        <f t="shared" si="85"/>
        <v>Manipal</v>
      </c>
      <c r="S560" s="6" t="str">
        <f t="shared" si="86"/>
        <v>Cash</v>
      </c>
      <c r="T560" s="6" t="str">
        <f t="shared" si="87"/>
        <v>Female</v>
      </c>
      <c r="U560" s="6" t="str">
        <f t="shared" si="90"/>
        <v>General</v>
      </c>
      <c r="V560" s="6" t="str" cm="1">
        <f t="array" ref="V560">IF(TRIM(S560)="",INDEX($S$2:$S$1500,MATCH(MAX(COUNTIF($S$2:$S$1500,S560)),COUNTIF($S$2:$S$1500,$S$2:$S$1500),0)),S560)</f>
        <v>Cash</v>
      </c>
      <c r="W560" s="7" cm="1">
        <f t="array" ref="W560">IF(OR(TRIM(K560)="",TRIM(K560)="-"), MEDIAN(IF($E$2:$E$1500=E560,$K$2:$K$1500)),  VALUE(SUBSTITUTE(SUBSTITUTE(SUBSTITUTE(K560,"Rs. ",""),"₹",""),",","")))</f>
        <v>19985</v>
      </c>
      <c r="X560" s="8">
        <f t="shared" si="88"/>
        <v>0</v>
      </c>
      <c r="Y560" s="7">
        <f t="shared" si="89"/>
        <v>19985</v>
      </c>
      <c r="Z560" s="9" t="str">
        <f t="shared" si="81"/>
        <v>ADULT</v>
      </c>
    </row>
    <row r="561" spans="1:26" x14ac:dyDescent="0.3">
      <c r="A561" s="5" t="s">
        <v>1305</v>
      </c>
      <c r="B561" s="5" t="s">
        <v>45</v>
      </c>
      <c r="C561" s="5" t="s">
        <v>46</v>
      </c>
      <c r="D561" s="5" t="s">
        <v>16</v>
      </c>
      <c r="E561" s="5" t="s">
        <v>17</v>
      </c>
      <c r="F561" s="5" t="s">
        <v>18</v>
      </c>
      <c r="G561" s="5" t="s">
        <v>101</v>
      </c>
      <c r="H561" s="5">
        <v>75</v>
      </c>
      <c r="I561" s="5" t="s">
        <v>31</v>
      </c>
      <c r="J561" s="34" t="s">
        <v>1306</v>
      </c>
      <c r="K561" s="31" t="s">
        <v>1307</v>
      </c>
      <c r="L561" s="5" t="s">
        <v>87</v>
      </c>
      <c r="M561" s="32">
        <v>10</v>
      </c>
      <c r="N561" s="6">
        <f t="shared" si="82"/>
        <v>10</v>
      </c>
      <c r="O561" s="4" t="s">
        <v>18</v>
      </c>
      <c r="P561" s="5" t="str">
        <f t="shared" si="83"/>
        <v>Bangalore</v>
      </c>
      <c r="Q561" s="5" t="str">
        <f t="shared" si="84"/>
        <v>Gynecology</v>
      </c>
      <c r="R561" s="6" t="str">
        <f t="shared" si="85"/>
        <v>Fortis</v>
      </c>
      <c r="S561" s="6" t="str">
        <f t="shared" si="86"/>
        <v>Credit Card</v>
      </c>
      <c r="T561" s="6" t="str">
        <f t="shared" si="87"/>
        <v>Male</v>
      </c>
      <c r="U561" s="6" t="str">
        <f t="shared" si="90"/>
        <v>ICU</v>
      </c>
      <c r="V561" s="6" t="str" cm="1">
        <f t="array" ref="V561">IF(TRIM(S561)="",INDEX($S$2:$S$1500,MATCH(MAX(COUNTIF($S$2:$S$1500,S561)),COUNTIF($S$2:$S$1500,$S$2:$S$1500),0)),S561)</f>
        <v>Credit Card</v>
      </c>
      <c r="W561" s="7" cm="1">
        <f t="array" ref="W561">IF(OR(TRIM(K561)="",TRIM(K561)="-"), MEDIAN(IF($E$2:$E$1500=E561,$K$2:$K$1500)),  VALUE(SUBSTITUTE(SUBSTITUTE(SUBSTITUTE(K561,"Rs. ",""),"₹",""),",","")))</f>
        <v>64288</v>
      </c>
      <c r="X561" s="8">
        <f t="shared" si="88"/>
        <v>10</v>
      </c>
      <c r="Y561" s="7">
        <f t="shared" si="89"/>
        <v>57859</v>
      </c>
      <c r="Z561" s="9" t="str">
        <f t="shared" si="81"/>
        <v>SENIOR</v>
      </c>
    </row>
    <row r="562" spans="1:26" x14ac:dyDescent="0.3">
      <c r="A562" s="5" t="s">
        <v>1308</v>
      </c>
      <c r="B562" s="5" t="s">
        <v>25</v>
      </c>
      <c r="C562" s="5" t="s">
        <v>54</v>
      </c>
      <c r="D562" s="5" t="s">
        <v>55</v>
      </c>
      <c r="E562" s="5" t="s">
        <v>28</v>
      </c>
      <c r="F562" s="5" t="s">
        <v>290</v>
      </c>
      <c r="G562" s="5" t="s">
        <v>49</v>
      </c>
      <c r="H562" s="5">
        <v>61</v>
      </c>
      <c r="I562" s="5" t="s">
        <v>20</v>
      </c>
      <c r="J562" s="34" t="s">
        <v>1143</v>
      </c>
      <c r="K562" s="31" t="s">
        <v>1309</v>
      </c>
      <c r="L562" s="5" t="s">
        <v>149</v>
      </c>
      <c r="M562" s="32">
        <v>0.18</v>
      </c>
      <c r="N562" s="6">
        <f t="shared" si="82"/>
        <v>18</v>
      </c>
      <c r="O562" s="4" t="s">
        <v>290</v>
      </c>
      <c r="P562" s="5" t="str">
        <f t="shared" si="83"/>
        <v>Hyderabad</v>
      </c>
      <c r="Q562" s="5" t="str">
        <f t="shared" si="84"/>
        <v>Oncology</v>
      </c>
      <c r="R562" s="6" t="str">
        <f t="shared" si="85"/>
        <v>Narayana</v>
      </c>
      <c r="S562" s="6" t="str">
        <f t="shared" si="86"/>
        <v>Insurance</v>
      </c>
      <c r="T562" s="6" t="str">
        <f t="shared" si="87"/>
        <v>Male</v>
      </c>
      <c r="U562" s="6" t="str">
        <f t="shared" si="90"/>
        <v>General</v>
      </c>
      <c r="V562" s="6" t="str" cm="1">
        <f t="array" ref="V562">IF(TRIM(S562)="",INDEX($S$2:$S$1500,MATCH(MAX(COUNTIF($S$2:$S$1500,S562)),COUNTIF($S$2:$S$1500,$S$2:$S$1500),0)),S562)</f>
        <v>Insurance</v>
      </c>
      <c r="W562" s="7" cm="1">
        <f t="array" ref="W562">IF(OR(TRIM(K562)="",TRIM(K562)="-"), MEDIAN(IF($E$2:$E$1500=E562,$K$2:$K$1500)),  VALUE(SUBSTITUTE(SUBSTITUTE(SUBSTITUTE(K562,"Rs. ",""),"₹",""),",","")))</f>
        <v>6684</v>
      </c>
      <c r="X562" s="8">
        <f t="shared" si="88"/>
        <v>18</v>
      </c>
      <c r="Y562" s="7">
        <f t="shared" si="89"/>
        <v>5481</v>
      </c>
      <c r="Z562" s="9" t="str">
        <f t="shared" si="81"/>
        <v>SENIOR</v>
      </c>
    </row>
    <row r="563" spans="1:26" x14ac:dyDescent="0.3">
      <c r="A563" s="5" t="s">
        <v>1310</v>
      </c>
      <c r="B563" s="5" t="s">
        <v>14</v>
      </c>
      <c r="C563" s="5" t="s">
        <v>15</v>
      </c>
      <c r="D563" s="5" t="s">
        <v>55</v>
      </c>
      <c r="E563" s="5" t="s">
        <v>164</v>
      </c>
      <c r="F563" s="5" t="s">
        <v>165</v>
      </c>
      <c r="G563" s="5" t="s">
        <v>30</v>
      </c>
      <c r="H563" s="5">
        <v>26</v>
      </c>
      <c r="I563" s="5" t="s">
        <v>20</v>
      </c>
      <c r="J563" s="34" t="s">
        <v>1311</v>
      </c>
      <c r="K563" s="31">
        <v>12027</v>
      </c>
      <c r="L563" s="5" t="s">
        <v>42</v>
      </c>
      <c r="M563" s="32">
        <v>0.12</v>
      </c>
      <c r="N563" s="6">
        <f t="shared" si="82"/>
        <v>12</v>
      </c>
      <c r="O563" s="4" t="s">
        <v>165</v>
      </c>
      <c r="P563" s="5" t="str">
        <f t="shared" si="83"/>
        <v>Hyderabad</v>
      </c>
      <c r="Q563" s="5" t="str">
        <f t="shared" si="84"/>
        <v>Cardiology</v>
      </c>
      <c r="R563" s="6" t="str">
        <f t="shared" si="85"/>
        <v>Max_Healthcare</v>
      </c>
      <c r="S563" s="6" t="str">
        <f t="shared" si="86"/>
        <v>Insurance</v>
      </c>
      <c r="T563" s="6" t="str">
        <f t="shared" si="87"/>
        <v>Male</v>
      </c>
      <c r="U563" s="6" t="str">
        <f t="shared" si="90"/>
        <v>General</v>
      </c>
      <c r="V563" s="6" t="str" cm="1">
        <f t="array" ref="V563">IF(TRIM(S563)="",INDEX($S$2:$S$1500,MATCH(MAX(COUNTIF($S$2:$S$1500,S563)),COUNTIF($S$2:$S$1500,$S$2:$S$1500),0)),S563)</f>
        <v>Insurance</v>
      </c>
      <c r="W563" s="7" cm="1">
        <f t="array" ref="W563">IF(OR(TRIM(K563)="",TRIM(K563)="-"), MEDIAN(IF($E$2:$E$1500=E563,$K$2:$K$1500)),  VALUE(SUBSTITUTE(SUBSTITUTE(SUBSTITUTE(K563,"Rs. ",""),"₹",""),",","")))</f>
        <v>12027</v>
      </c>
      <c r="X563" s="8">
        <f t="shared" si="88"/>
        <v>12</v>
      </c>
      <c r="Y563" s="7">
        <f t="shared" si="89"/>
        <v>10584</v>
      </c>
      <c r="Z563" s="9" t="str">
        <f t="shared" si="81"/>
        <v>ADULT</v>
      </c>
    </row>
    <row r="564" spans="1:26" x14ac:dyDescent="0.3">
      <c r="A564" s="5" t="s">
        <v>1312</v>
      </c>
      <c r="B564" s="5" t="s">
        <v>14</v>
      </c>
      <c r="C564" s="5" t="s">
        <v>60</v>
      </c>
      <c r="D564" s="5" t="s">
        <v>61</v>
      </c>
      <c r="E564" s="5" t="s">
        <v>93</v>
      </c>
      <c r="F564" s="5" t="s">
        <v>121</v>
      </c>
      <c r="G564" s="5" t="s">
        <v>39</v>
      </c>
      <c r="H564" s="5">
        <v>81</v>
      </c>
      <c r="I564" s="5" t="s">
        <v>31</v>
      </c>
      <c r="J564" s="34" t="s">
        <v>1313</v>
      </c>
      <c r="K564" s="31" t="s">
        <v>1314</v>
      </c>
      <c r="L564" s="5" t="s">
        <v>72</v>
      </c>
      <c r="M564" s="32" t="s">
        <v>130</v>
      </c>
      <c r="N564" s="6">
        <f t="shared" si="82"/>
        <v>0</v>
      </c>
      <c r="O564" s="4" t="s">
        <v>121</v>
      </c>
      <c r="P564" s="5" t="str">
        <f t="shared" si="83"/>
        <v>Pune</v>
      </c>
      <c r="Q564" s="5" t="str">
        <f t="shared" si="84"/>
        <v>Nephrology</v>
      </c>
      <c r="R564" s="6" t="str">
        <f t="shared" si="85"/>
        <v>Max_Healthcare</v>
      </c>
      <c r="S564" s="6" t="str">
        <f t="shared" si="86"/>
        <v>Cash</v>
      </c>
      <c r="T564" s="6" t="str">
        <f t="shared" si="87"/>
        <v>Male</v>
      </c>
      <c r="U564" s="6" t="str">
        <f t="shared" si="90"/>
        <v>General</v>
      </c>
      <c r="V564" s="6" t="str" cm="1">
        <f t="array" ref="V564">IF(TRIM(S564)="",INDEX($S$2:$S$1500,MATCH(MAX(COUNTIF($S$2:$S$1500,S564)),COUNTIF($S$2:$S$1500,$S$2:$S$1500),0)),S564)</f>
        <v>Cash</v>
      </c>
      <c r="W564" s="7" cm="1">
        <f t="array" ref="W564">IF(OR(TRIM(K564)="",TRIM(K564)="-"), MEDIAN(IF($E$2:$E$1500=E564,$K$2:$K$1500)),  VALUE(SUBSTITUTE(SUBSTITUTE(SUBSTITUTE(K564,"Rs. ",""),"₹",""),",","")))</f>
        <v>6046</v>
      </c>
      <c r="X564" s="8">
        <f t="shared" si="88"/>
        <v>0</v>
      </c>
      <c r="Y564" s="7">
        <f t="shared" si="89"/>
        <v>6046</v>
      </c>
      <c r="Z564" s="9" t="str">
        <f t="shared" si="81"/>
        <v>SENIOR</v>
      </c>
    </row>
    <row r="565" spans="1:26" x14ac:dyDescent="0.3">
      <c r="A565" s="5" t="s">
        <v>1315</v>
      </c>
      <c r="B565" s="5" t="s">
        <v>45</v>
      </c>
      <c r="C565" s="5" t="s">
        <v>46</v>
      </c>
      <c r="D565" s="5" t="s">
        <v>36</v>
      </c>
      <c r="E565" s="5" t="s">
        <v>93</v>
      </c>
      <c r="F565" s="5" t="s">
        <v>144</v>
      </c>
      <c r="G565" s="5"/>
      <c r="H565" s="5">
        <v>78</v>
      </c>
      <c r="I565" s="5" t="s">
        <v>20</v>
      </c>
      <c r="J565" s="34" t="s">
        <v>269</v>
      </c>
      <c r="K565" s="31" t="s">
        <v>1316</v>
      </c>
      <c r="L565" s="5" t="s">
        <v>97</v>
      </c>
      <c r="M565" s="32" t="s">
        <v>64</v>
      </c>
      <c r="N565" s="6" t="str">
        <f t="shared" si="82"/>
        <v>NA</v>
      </c>
      <c r="O565" s="4" t="s">
        <v>144</v>
      </c>
      <c r="P565" s="5" t="str">
        <f t="shared" si="83"/>
        <v>Chennai</v>
      </c>
      <c r="Q565" s="5" t="str">
        <f t="shared" si="84"/>
        <v>Nephrology</v>
      </c>
      <c r="R565" s="6" t="str">
        <f t="shared" si="85"/>
        <v>Fortis</v>
      </c>
      <c r="S565" s="6" t="str">
        <f t="shared" si="86"/>
        <v>UPI</v>
      </c>
      <c r="T565" s="6" t="str">
        <f t="shared" si="87"/>
        <v>Male</v>
      </c>
      <c r="U565" s="6" t="str">
        <f t="shared" si="90"/>
        <v>Unknown</v>
      </c>
      <c r="V565" s="6" t="str" cm="1">
        <f t="array" ref="V565">IF(TRIM(S565)="",INDEX($S$2:$S$1500,MATCH(MAX(COUNTIF($S$2:$S$1500,S565)),COUNTIF($S$2:$S$1500,$S$2:$S$1500),0)),S565)</f>
        <v>UPI</v>
      </c>
      <c r="W565" s="7" cm="1">
        <f t="array" ref="W565">IF(OR(TRIM(K565)="",TRIM(K565)="-"), MEDIAN(IF($E$2:$E$1500=E565,$K$2:$K$1500)),  VALUE(SUBSTITUTE(SUBSTITUTE(SUBSTITUTE(K565,"Rs. ",""),"₹",""),",","")))</f>
        <v>19652</v>
      </c>
      <c r="X565" s="8">
        <f t="shared" si="88"/>
        <v>3</v>
      </c>
      <c r="Y565" s="7">
        <f t="shared" si="89"/>
        <v>19062</v>
      </c>
      <c r="Z565" s="9" t="str">
        <f t="shared" si="81"/>
        <v>SENIOR</v>
      </c>
    </row>
    <row r="566" spans="1:26" x14ac:dyDescent="0.3">
      <c r="A566" s="5" t="s">
        <v>1317</v>
      </c>
      <c r="B566" s="5" t="s">
        <v>14</v>
      </c>
      <c r="C566" s="5" t="s">
        <v>60</v>
      </c>
      <c r="D566" s="5" t="s">
        <v>66</v>
      </c>
      <c r="E566" s="5" t="s">
        <v>17</v>
      </c>
      <c r="F566" s="5" t="s">
        <v>169</v>
      </c>
      <c r="G566" s="5" t="s">
        <v>39</v>
      </c>
      <c r="H566" s="5">
        <v>42</v>
      </c>
      <c r="I566" s="5" t="s">
        <v>31</v>
      </c>
      <c r="J566" s="34" t="s">
        <v>571</v>
      </c>
      <c r="K566" s="31">
        <v>4081</v>
      </c>
      <c r="L566" s="5" t="s">
        <v>236</v>
      </c>
      <c r="M566" s="32" t="s">
        <v>130</v>
      </c>
      <c r="N566" s="6">
        <f t="shared" si="82"/>
        <v>0</v>
      </c>
      <c r="O566" s="4" t="s">
        <v>169</v>
      </c>
      <c r="P566" s="5" t="str">
        <f t="shared" si="83"/>
        <v>Kolkata</v>
      </c>
      <c r="Q566" s="5" t="str">
        <f t="shared" si="84"/>
        <v>Gynecology</v>
      </c>
      <c r="R566" s="6" t="str">
        <f t="shared" si="85"/>
        <v>Max_Healthcare</v>
      </c>
      <c r="S566" s="6" t="str">
        <f t="shared" si="86"/>
        <v>Debit Card</v>
      </c>
      <c r="T566" s="6" t="str">
        <f t="shared" si="87"/>
        <v>Male</v>
      </c>
      <c r="U566" s="6" t="str">
        <f t="shared" si="90"/>
        <v>General</v>
      </c>
      <c r="V566" s="6" t="str" cm="1">
        <f t="array" ref="V566">IF(TRIM(S566)="",INDEX($S$2:$S$1500,MATCH(MAX(COUNTIF($S$2:$S$1500,S566)),COUNTIF($S$2:$S$1500,$S$2:$S$1500),0)),S566)</f>
        <v>Debit Card</v>
      </c>
      <c r="W566" s="7" cm="1">
        <f t="array" ref="W566">IF(OR(TRIM(K566)="",TRIM(K566)="-"), MEDIAN(IF($E$2:$E$1500=E566,$K$2:$K$1500)),  VALUE(SUBSTITUTE(SUBSTITUTE(SUBSTITUTE(K566,"Rs. ",""),"₹",""),",","")))</f>
        <v>4081</v>
      </c>
      <c r="X566" s="8">
        <f t="shared" si="88"/>
        <v>0</v>
      </c>
      <c r="Y566" s="7">
        <f t="shared" si="89"/>
        <v>4081</v>
      </c>
      <c r="Z566" s="9" t="str">
        <f t="shared" si="81"/>
        <v>ADULT</v>
      </c>
    </row>
    <row r="567" spans="1:26" x14ac:dyDescent="0.3">
      <c r="A567" s="5" t="s">
        <v>1318</v>
      </c>
      <c r="B567" s="5" t="s">
        <v>78</v>
      </c>
      <c r="C567" s="5" t="s">
        <v>161</v>
      </c>
      <c r="D567" s="5" t="s">
        <v>55</v>
      </c>
      <c r="E567" s="5" t="s">
        <v>67</v>
      </c>
      <c r="F567" s="5" t="s">
        <v>68</v>
      </c>
      <c r="G567" s="5" t="s">
        <v>19</v>
      </c>
      <c r="H567" s="5">
        <v>51</v>
      </c>
      <c r="I567" s="5" t="s">
        <v>40</v>
      </c>
      <c r="J567" s="34" t="s">
        <v>675</v>
      </c>
      <c r="K567" s="31" t="s">
        <v>1319</v>
      </c>
      <c r="L567" s="5" t="s">
        <v>23</v>
      </c>
      <c r="M567" s="32">
        <v>5</v>
      </c>
      <c r="N567" s="6">
        <f t="shared" si="82"/>
        <v>5</v>
      </c>
      <c r="O567" s="4" t="s">
        <v>68</v>
      </c>
      <c r="P567" s="5" t="str">
        <f t="shared" si="83"/>
        <v>Hyderabad</v>
      </c>
      <c r="Q567" s="5" t="str">
        <f t="shared" si="84"/>
        <v>Neurology</v>
      </c>
      <c r="R567" s="6" t="str">
        <f t="shared" si="85"/>
        <v>Apollo</v>
      </c>
      <c r="S567" s="6" t="str">
        <f t="shared" si="86"/>
        <v>Credit Card</v>
      </c>
      <c r="T567" s="6" t="str">
        <f t="shared" si="87"/>
        <v>Female</v>
      </c>
      <c r="U567" s="6" t="str">
        <f t="shared" si="90"/>
        <v>General</v>
      </c>
      <c r="V567" s="6" t="str" cm="1">
        <f t="array" ref="V567">IF(TRIM(S567)="",INDEX($S$2:$S$1500,MATCH(MAX(COUNTIF($S$2:$S$1500,S567)),COUNTIF($S$2:$S$1500,$S$2:$S$1500),0)),S567)</f>
        <v>Credit Card</v>
      </c>
      <c r="W567" s="7" cm="1">
        <f t="array" ref="W567">IF(OR(TRIM(K567)="",TRIM(K567)="-"), MEDIAN(IF($E$2:$E$1500=E567,$K$2:$K$1500)),  VALUE(SUBSTITUTE(SUBSTITUTE(SUBSTITUTE(K567,"Rs. ",""),"₹",""),",","")))</f>
        <v>18438</v>
      </c>
      <c r="X567" s="8">
        <f t="shared" si="88"/>
        <v>5</v>
      </c>
      <c r="Y567" s="7">
        <f t="shared" si="89"/>
        <v>17516</v>
      </c>
      <c r="Z567" s="9" t="str">
        <f t="shared" si="81"/>
        <v>ADULT</v>
      </c>
    </row>
    <row r="568" spans="1:26" x14ac:dyDescent="0.3">
      <c r="A568" s="5" t="s">
        <v>1320</v>
      </c>
      <c r="B568" s="5" t="s">
        <v>106</v>
      </c>
      <c r="C568" s="5" t="s">
        <v>307</v>
      </c>
      <c r="D568" s="5" t="s">
        <v>27</v>
      </c>
      <c r="E568" s="5" t="s">
        <v>74</v>
      </c>
      <c r="F568" s="5" t="s">
        <v>172</v>
      </c>
      <c r="G568" s="5" t="s">
        <v>39</v>
      </c>
      <c r="H568" s="5">
        <v>9</v>
      </c>
      <c r="I568" s="5" t="s">
        <v>40</v>
      </c>
      <c r="J568" s="34" t="s">
        <v>1321</v>
      </c>
      <c r="K568" s="31">
        <v>14051</v>
      </c>
      <c r="L568" s="5" t="s">
        <v>72</v>
      </c>
      <c r="M568" s="32">
        <v>0</v>
      </c>
      <c r="N568" s="6">
        <f t="shared" si="82"/>
        <v>0</v>
      </c>
      <c r="O568" s="4" t="s">
        <v>172</v>
      </c>
      <c r="P568" s="5" t="str">
        <f t="shared" si="83"/>
        <v>Mumbai</v>
      </c>
      <c r="Q568" s="5" t="str">
        <f t="shared" si="84"/>
        <v>General Medicine</v>
      </c>
      <c r="R568" s="6" t="str">
        <f t="shared" si="85"/>
        <v>Aiims</v>
      </c>
      <c r="S568" s="6" t="str">
        <f t="shared" si="86"/>
        <v>Cash</v>
      </c>
      <c r="T568" s="6" t="str">
        <f t="shared" si="87"/>
        <v>Female</v>
      </c>
      <c r="U568" s="6" t="str">
        <f t="shared" si="90"/>
        <v>General</v>
      </c>
      <c r="V568" s="6" t="str" cm="1">
        <f t="array" ref="V568">IF(TRIM(S568)="",INDEX($S$2:$S$1500,MATCH(MAX(COUNTIF($S$2:$S$1500,S568)),COUNTIF($S$2:$S$1500,$S$2:$S$1500),0)),S568)</f>
        <v>Cash</v>
      </c>
      <c r="W568" s="7" cm="1">
        <f t="array" ref="W568">IF(OR(TRIM(K568)="",TRIM(K568)="-"), MEDIAN(IF($E$2:$E$1500=E568,$K$2:$K$1500)),  VALUE(SUBSTITUTE(SUBSTITUTE(SUBSTITUTE(K568,"Rs. ",""),"₹",""),",","")))</f>
        <v>14051</v>
      </c>
      <c r="X568" s="8">
        <f t="shared" si="88"/>
        <v>0</v>
      </c>
      <c r="Y568" s="7">
        <f t="shared" si="89"/>
        <v>14051</v>
      </c>
      <c r="Z568" s="9" t="str">
        <f t="shared" si="81"/>
        <v>CHILD</v>
      </c>
    </row>
    <row r="569" spans="1:26" x14ac:dyDescent="0.3">
      <c r="A569" s="5" t="s">
        <v>1322</v>
      </c>
      <c r="B569" s="5" t="s">
        <v>14</v>
      </c>
      <c r="C569" s="5" t="s">
        <v>60</v>
      </c>
      <c r="D569" s="5" t="s">
        <v>16</v>
      </c>
      <c r="E569" s="5" t="s">
        <v>74</v>
      </c>
      <c r="F569" s="5" t="s">
        <v>75</v>
      </c>
      <c r="G569" s="5" t="s">
        <v>19</v>
      </c>
      <c r="H569" s="5">
        <v>50</v>
      </c>
      <c r="I569" s="5" t="s">
        <v>20</v>
      </c>
      <c r="J569" s="34" t="s">
        <v>505</v>
      </c>
      <c r="K569" s="31" t="s">
        <v>1323</v>
      </c>
      <c r="L569" s="5" t="s">
        <v>72</v>
      </c>
      <c r="M569" s="32">
        <v>5</v>
      </c>
      <c r="N569" s="6">
        <f t="shared" si="82"/>
        <v>5</v>
      </c>
      <c r="O569" s="4" t="s">
        <v>75</v>
      </c>
      <c r="P569" s="5" t="str">
        <f t="shared" si="83"/>
        <v>Bangalore</v>
      </c>
      <c r="Q569" s="5" t="str">
        <f t="shared" si="84"/>
        <v>General Medicine</v>
      </c>
      <c r="R569" s="6" t="str">
        <f t="shared" si="85"/>
        <v>Max_Healthcare</v>
      </c>
      <c r="S569" s="6" t="str">
        <f t="shared" si="86"/>
        <v>Cash</v>
      </c>
      <c r="T569" s="6" t="str">
        <f t="shared" si="87"/>
        <v>Male</v>
      </c>
      <c r="U569" s="6" t="str">
        <f t="shared" si="90"/>
        <v>General</v>
      </c>
      <c r="V569" s="6" t="str" cm="1">
        <f t="array" ref="V569">IF(TRIM(S569)="",INDEX($S$2:$S$1500,MATCH(MAX(COUNTIF($S$2:$S$1500,S569)),COUNTIF($S$2:$S$1500,$S$2:$S$1500),0)),S569)</f>
        <v>Cash</v>
      </c>
      <c r="W569" s="7" cm="1">
        <f t="array" ref="W569">IF(OR(TRIM(K569)="",TRIM(K569)="-"), MEDIAN(IF($E$2:$E$1500=E569,$K$2:$K$1500)),  VALUE(SUBSTITUTE(SUBSTITUTE(SUBSTITUTE(K569,"Rs. ",""),"₹",""),",","")))</f>
        <v>3686</v>
      </c>
      <c r="X569" s="8">
        <f t="shared" si="88"/>
        <v>5</v>
      </c>
      <c r="Y569" s="7">
        <f t="shared" si="89"/>
        <v>3502</v>
      </c>
      <c r="Z569" s="9" t="str">
        <f t="shared" si="81"/>
        <v>ADULT</v>
      </c>
    </row>
    <row r="570" spans="1:26" x14ac:dyDescent="0.3">
      <c r="A570" s="5" t="s">
        <v>1324</v>
      </c>
      <c r="B570" s="5" t="s">
        <v>14</v>
      </c>
      <c r="C570" s="5" t="s">
        <v>15</v>
      </c>
      <c r="D570" s="5" t="s">
        <v>27</v>
      </c>
      <c r="E570" s="5" t="s">
        <v>28</v>
      </c>
      <c r="F570" s="5" t="s">
        <v>268</v>
      </c>
      <c r="G570" s="5" t="s">
        <v>39</v>
      </c>
      <c r="H570" s="5">
        <v>38</v>
      </c>
      <c r="I570" s="5" t="s">
        <v>20</v>
      </c>
      <c r="J570" s="34" t="s">
        <v>253</v>
      </c>
      <c r="K570" s="31" t="s">
        <v>1325</v>
      </c>
      <c r="L570" s="5" t="s">
        <v>115</v>
      </c>
      <c r="M570" s="32">
        <v>0</v>
      </c>
      <c r="N570" s="6">
        <f t="shared" si="82"/>
        <v>0</v>
      </c>
      <c r="O570" s="4" t="s">
        <v>268</v>
      </c>
      <c r="P570" s="5" t="str">
        <f t="shared" si="83"/>
        <v>Mumbai</v>
      </c>
      <c r="Q570" s="5" t="str">
        <f t="shared" si="84"/>
        <v>Oncology</v>
      </c>
      <c r="R570" s="6" t="str">
        <f t="shared" si="85"/>
        <v>Max_Healthcare</v>
      </c>
      <c r="S570" s="6" t="str">
        <f t="shared" si="86"/>
        <v>Cash</v>
      </c>
      <c r="T570" s="6" t="str">
        <f t="shared" si="87"/>
        <v>Male</v>
      </c>
      <c r="U570" s="6" t="str">
        <f t="shared" si="90"/>
        <v>General</v>
      </c>
      <c r="V570" s="6" t="str" cm="1">
        <f t="array" ref="V570">IF(TRIM(S570)="",INDEX($S$2:$S$1500,MATCH(MAX(COUNTIF($S$2:$S$1500,S570)),COUNTIF($S$2:$S$1500,$S$2:$S$1500),0)),S570)</f>
        <v>Cash</v>
      </c>
      <c r="W570" s="7" cm="1">
        <f t="array" ref="W570">IF(OR(TRIM(K570)="",TRIM(K570)="-"), MEDIAN(IF($E$2:$E$1500=E570,$K$2:$K$1500)),  VALUE(SUBSTITUTE(SUBSTITUTE(SUBSTITUTE(K570,"Rs. ",""),"₹",""),",","")))</f>
        <v>12269</v>
      </c>
      <c r="X570" s="8">
        <f t="shared" si="88"/>
        <v>0</v>
      </c>
      <c r="Y570" s="7">
        <f t="shared" si="89"/>
        <v>12269</v>
      </c>
      <c r="Z570" s="9" t="str">
        <f t="shared" si="81"/>
        <v>ADULT</v>
      </c>
    </row>
    <row r="571" spans="1:26" x14ac:dyDescent="0.3">
      <c r="A571" s="5" t="s">
        <v>1326</v>
      </c>
      <c r="B571" s="5" t="s">
        <v>45</v>
      </c>
      <c r="C571" s="5" t="s">
        <v>46</v>
      </c>
      <c r="D571" s="5" t="s">
        <v>61</v>
      </c>
      <c r="E571" s="5" t="s">
        <v>67</v>
      </c>
      <c r="F571" s="5" t="s">
        <v>68</v>
      </c>
      <c r="G571" s="5" t="s">
        <v>62</v>
      </c>
      <c r="H571" s="5">
        <v>10</v>
      </c>
      <c r="I571" s="5" t="s">
        <v>70</v>
      </c>
      <c r="J571" s="34" t="s">
        <v>1327</v>
      </c>
      <c r="K571" s="31" t="s">
        <v>1328</v>
      </c>
      <c r="L571" s="5" t="s">
        <v>34</v>
      </c>
      <c r="M571" s="32" t="s">
        <v>130</v>
      </c>
      <c r="N571" s="6">
        <f t="shared" si="82"/>
        <v>0</v>
      </c>
      <c r="O571" s="4" t="s">
        <v>68</v>
      </c>
      <c r="P571" s="5" t="str">
        <f t="shared" si="83"/>
        <v>Pune</v>
      </c>
      <c r="Q571" s="5" t="str">
        <f t="shared" si="84"/>
        <v>Neurology</v>
      </c>
      <c r="R571" s="6" t="str">
        <f t="shared" si="85"/>
        <v>Fortis</v>
      </c>
      <c r="S571" s="6" t="str">
        <f t="shared" si="86"/>
        <v>Cash</v>
      </c>
      <c r="T571" s="6" t="str">
        <f t="shared" si="87"/>
        <v>Female</v>
      </c>
      <c r="U571" s="6" t="str">
        <f t="shared" si="90"/>
        <v>ICU</v>
      </c>
      <c r="V571" s="6" t="str" cm="1">
        <f t="array" ref="V571">IF(TRIM(S571)="",INDEX($S$2:$S$1500,MATCH(MAX(COUNTIF($S$2:$S$1500,S571)),COUNTIF($S$2:$S$1500,$S$2:$S$1500),0)),S571)</f>
        <v>Cash</v>
      </c>
      <c r="W571" s="7" cm="1">
        <f t="array" ref="W571">IF(OR(TRIM(K571)="",TRIM(K571)="-"), MEDIAN(IF($E$2:$E$1500=E571,$K$2:$K$1500)),  VALUE(SUBSTITUTE(SUBSTITUTE(SUBSTITUTE(K571,"Rs. ",""),"₹",""),",","")))</f>
        <v>22502</v>
      </c>
      <c r="X571" s="8">
        <f t="shared" si="88"/>
        <v>0</v>
      </c>
      <c r="Y571" s="7">
        <f t="shared" si="89"/>
        <v>22502</v>
      </c>
      <c r="Z571" s="9" t="str">
        <f t="shared" si="81"/>
        <v>CHILD</v>
      </c>
    </row>
    <row r="572" spans="1:26" x14ac:dyDescent="0.3">
      <c r="A572" s="5" t="s">
        <v>1329</v>
      </c>
      <c r="B572" s="5" t="s">
        <v>106</v>
      </c>
      <c r="C572" s="5" t="s">
        <v>107</v>
      </c>
      <c r="D572" s="5" t="s">
        <v>27</v>
      </c>
      <c r="E572" s="5" t="s">
        <v>17</v>
      </c>
      <c r="F572" s="5" t="s">
        <v>135</v>
      </c>
      <c r="G572" s="5" t="s">
        <v>39</v>
      </c>
      <c r="H572" s="5">
        <v>37</v>
      </c>
      <c r="I572" s="5" t="s">
        <v>40</v>
      </c>
      <c r="J572" s="34" t="s">
        <v>1330</v>
      </c>
      <c r="K572" s="31" t="s">
        <v>1331</v>
      </c>
      <c r="L572" s="5" t="s">
        <v>72</v>
      </c>
      <c r="M572" s="32" t="s">
        <v>76</v>
      </c>
      <c r="N572" s="6">
        <f t="shared" si="82"/>
        <v>10</v>
      </c>
      <c r="O572" s="4" t="s">
        <v>135</v>
      </c>
      <c r="P572" s="5" t="str">
        <f t="shared" si="83"/>
        <v>Mumbai</v>
      </c>
      <c r="Q572" s="5" t="str">
        <f t="shared" si="84"/>
        <v>Gynecology</v>
      </c>
      <c r="R572" s="6" t="str">
        <f t="shared" si="85"/>
        <v>Aiims</v>
      </c>
      <c r="S572" s="6" t="str">
        <f t="shared" si="86"/>
        <v>Cash</v>
      </c>
      <c r="T572" s="6" t="str">
        <f t="shared" si="87"/>
        <v>Female</v>
      </c>
      <c r="U572" s="6" t="str">
        <f t="shared" si="90"/>
        <v>General</v>
      </c>
      <c r="V572" s="6" t="str" cm="1">
        <f t="array" ref="V572">IF(TRIM(S572)="",INDEX($S$2:$S$1500,MATCH(MAX(COUNTIF($S$2:$S$1500,S572)),COUNTIF($S$2:$S$1500,$S$2:$S$1500),0)),S572)</f>
        <v>Cash</v>
      </c>
      <c r="W572" s="7" cm="1">
        <f t="array" ref="W572">IF(OR(TRIM(K572)="",TRIM(K572)="-"), MEDIAN(IF($E$2:$E$1500=E572,$K$2:$K$1500)),  VALUE(SUBSTITUTE(SUBSTITUTE(SUBSTITUTE(K572,"Rs. ",""),"₹",""),",","")))</f>
        <v>8441</v>
      </c>
      <c r="X572" s="8">
        <f t="shared" si="88"/>
        <v>10</v>
      </c>
      <c r="Y572" s="7">
        <f t="shared" si="89"/>
        <v>7597</v>
      </c>
      <c r="Z572" s="9" t="str">
        <f t="shared" si="81"/>
        <v>ADULT</v>
      </c>
    </row>
    <row r="573" spans="1:26" x14ac:dyDescent="0.3">
      <c r="A573" s="5" t="s">
        <v>1332</v>
      </c>
      <c r="B573" s="5" t="s">
        <v>14</v>
      </c>
      <c r="C573" s="5" t="s">
        <v>60</v>
      </c>
      <c r="D573" s="5" t="s">
        <v>55</v>
      </c>
      <c r="E573" s="5" t="s">
        <v>37</v>
      </c>
      <c r="F573" s="5" t="s">
        <v>38</v>
      </c>
      <c r="G573" s="5" t="s">
        <v>19</v>
      </c>
      <c r="H573" s="5">
        <v>47</v>
      </c>
      <c r="I573" s="5" t="s">
        <v>31</v>
      </c>
      <c r="J573" s="34" t="s">
        <v>298</v>
      </c>
      <c r="K573" s="31">
        <v>10288</v>
      </c>
      <c r="L573" s="5" t="s">
        <v>23</v>
      </c>
      <c r="M573" s="32">
        <v>0</v>
      </c>
      <c r="N573" s="6">
        <f t="shared" si="82"/>
        <v>0</v>
      </c>
      <c r="O573" s="4" t="s">
        <v>38</v>
      </c>
      <c r="P573" s="5" t="str">
        <f t="shared" si="83"/>
        <v>Hyderabad</v>
      </c>
      <c r="Q573" s="5" t="str">
        <f t="shared" si="84"/>
        <v>Pediatrics</v>
      </c>
      <c r="R573" s="6" t="str">
        <f t="shared" si="85"/>
        <v>Max_Healthcare</v>
      </c>
      <c r="S573" s="6" t="str">
        <f t="shared" si="86"/>
        <v>Credit Card</v>
      </c>
      <c r="T573" s="6" t="str">
        <f t="shared" si="87"/>
        <v>Male</v>
      </c>
      <c r="U573" s="6" t="str">
        <f t="shared" si="90"/>
        <v>General</v>
      </c>
      <c r="V573" s="6" t="str" cm="1">
        <f t="array" ref="V573">IF(TRIM(S573)="",INDEX($S$2:$S$1500,MATCH(MAX(COUNTIF($S$2:$S$1500,S573)),COUNTIF($S$2:$S$1500,$S$2:$S$1500),0)),S573)</f>
        <v>Credit Card</v>
      </c>
      <c r="W573" s="7" cm="1">
        <f t="array" ref="W573">IF(OR(TRIM(K573)="",TRIM(K573)="-"), MEDIAN(IF($E$2:$E$1500=E573,$K$2:$K$1500)),  VALUE(SUBSTITUTE(SUBSTITUTE(SUBSTITUTE(K573,"Rs. ",""),"₹",""),",","")))</f>
        <v>10288</v>
      </c>
      <c r="X573" s="8">
        <f t="shared" si="88"/>
        <v>0</v>
      </c>
      <c r="Y573" s="7">
        <f t="shared" si="89"/>
        <v>10288</v>
      </c>
      <c r="Z573" s="9" t="str">
        <f t="shared" si="81"/>
        <v>ADULT</v>
      </c>
    </row>
    <row r="574" spans="1:26" x14ac:dyDescent="0.3">
      <c r="A574" s="5" t="s">
        <v>1333</v>
      </c>
      <c r="B574" s="5" t="s">
        <v>117</v>
      </c>
      <c r="C574" s="5" t="s">
        <v>182</v>
      </c>
      <c r="D574" s="5" t="s">
        <v>80</v>
      </c>
      <c r="E574" s="5" t="s">
        <v>74</v>
      </c>
      <c r="F574" s="5" t="s">
        <v>172</v>
      </c>
      <c r="G574" s="5" t="s">
        <v>101</v>
      </c>
      <c r="H574" s="5">
        <v>52</v>
      </c>
      <c r="I574" s="5" t="s">
        <v>20</v>
      </c>
      <c r="J574" s="34" t="s">
        <v>1148</v>
      </c>
      <c r="K574" s="31">
        <v>67188</v>
      </c>
      <c r="L574" s="5" t="s">
        <v>311</v>
      </c>
      <c r="M574" s="32">
        <v>10</v>
      </c>
      <c r="N574" s="6">
        <f t="shared" si="82"/>
        <v>10</v>
      </c>
      <c r="O574" s="4" t="s">
        <v>172</v>
      </c>
      <c r="P574" s="5" t="str">
        <f t="shared" si="83"/>
        <v>Ahmedabad</v>
      </c>
      <c r="Q574" s="5" t="str">
        <f t="shared" si="84"/>
        <v>General Medicine</v>
      </c>
      <c r="R574" s="6" t="str">
        <f t="shared" si="85"/>
        <v>Manipal</v>
      </c>
      <c r="S574" s="6" t="str">
        <f t="shared" si="86"/>
        <v>UPI</v>
      </c>
      <c r="T574" s="6" t="str">
        <f t="shared" si="87"/>
        <v>Male</v>
      </c>
      <c r="U574" s="6" t="str">
        <f t="shared" si="90"/>
        <v>ICU</v>
      </c>
      <c r="V574" s="6" t="str" cm="1">
        <f t="array" ref="V574">IF(TRIM(S574)="",INDEX($S$2:$S$1500,MATCH(MAX(COUNTIF($S$2:$S$1500,S574)),COUNTIF($S$2:$S$1500,$S$2:$S$1500),0)),S574)</f>
        <v>UPI</v>
      </c>
      <c r="W574" s="7" cm="1">
        <f t="array" ref="W574">IF(OR(TRIM(K574)="",TRIM(K574)="-"), MEDIAN(IF($E$2:$E$1500=E574,$K$2:$K$1500)),  VALUE(SUBSTITUTE(SUBSTITUTE(SUBSTITUTE(K574,"Rs. ",""),"₹",""),",","")))</f>
        <v>67188</v>
      </c>
      <c r="X574" s="8">
        <f t="shared" si="88"/>
        <v>10</v>
      </c>
      <c r="Y574" s="7">
        <f t="shared" si="89"/>
        <v>60469</v>
      </c>
      <c r="Z574" s="9" t="str">
        <f t="shared" si="81"/>
        <v>ADULT</v>
      </c>
    </row>
    <row r="575" spans="1:26" x14ac:dyDescent="0.3">
      <c r="A575" s="5" t="s">
        <v>1334</v>
      </c>
      <c r="B575" s="5" t="s">
        <v>14</v>
      </c>
      <c r="C575" s="5" t="s">
        <v>15</v>
      </c>
      <c r="D575" s="5" t="s">
        <v>66</v>
      </c>
      <c r="E575" s="5" t="s">
        <v>37</v>
      </c>
      <c r="F575" s="5" t="s">
        <v>38</v>
      </c>
      <c r="G575" s="5"/>
      <c r="H575" s="5">
        <v>59</v>
      </c>
      <c r="I575" s="5" t="s">
        <v>20</v>
      </c>
      <c r="J575" s="34" t="s">
        <v>1335</v>
      </c>
      <c r="K575" s="31">
        <v>14790</v>
      </c>
      <c r="L575" s="5"/>
      <c r="M575" s="32">
        <v>0</v>
      </c>
      <c r="N575" s="6">
        <f t="shared" si="82"/>
        <v>0</v>
      </c>
      <c r="O575" s="4" t="s">
        <v>38</v>
      </c>
      <c r="P575" s="5" t="str">
        <f t="shared" si="83"/>
        <v>Kolkata</v>
      </c>
      <c r="Q575" s="5" t="str">
        <f t="shared" si="84"/>
        <v>Pediatrics</v>
      </c>
      <c r="R575" s="6" t="str">
        <f t="shared" si="85"/>
        <v>Max_Healthcare</v>
      </c>
      <c r="S575" s="6" t="str">
        <f t="shared" si="86"/>
        <v>Unknown</v>
      </c>
      <c r="T575" s="6" t="str">
        <f t="shared" si="87"/>
        <v>Male</v>
      </c>
      <c r="U575" s="6" t="str">
        <f t="shared" si="90"/>
        <v>Unknown</v>
      </c>
      <c r="V575" s="6" t="str" cm="1">
        <f t="array" ref="V575">IF(TRIM(S575)="",INDEX($S$2:$S$1500,MATCH(MAX(COUNTIF($S$2:$S$1500,S575)),COUNTIF($S$2:$S$1500,$S$2:$S$1500),0)),S575)</f>
        <v>Unknown</v>
      </c>
      <c r="W575" s="7" cm="1">
        <f t="array" ref="W575">IF(OR(TRIM(K575)="",TRIM(K575)="-"), MEDIAN(IF($E$2:$E$1500=E575,$K$2:$K$1500)),  VALUE(SUBSTITUTE(SUBSTITUTE(SUBSTITUTE(K575,"Rs. ",""),"₹",""),",","")))</f>
        <v>14790</v>
      </c>
      <c r="X575" s="8">
        <f t="shared" si="88"/>
        <v>0</v>
      </c>
      <c r="Y575" s="7">
        <f t="shared" si="89"/>
        <v>14790</v>
      </c>
      <c r="Z575" s="9" t="str">
        <f t="shared" si="81"/>
        <v>ADULT</v>
      </c>
    </row>
    <row r="576" spans="1:26" x14ac:dyDescent="0.3">
      <c r="A576" s="5" t="s">
        <v>1336</v>
      </c>
      <c r="B576" s="5" t="s">
        <v>25</v>
      </c>
      <c r="C576" s="5" t="s">
        <v>54</v>
      </c>
      <c r="D576" s="5" t="s">
        <v>80</v>
      </c>
      <c r="E576" s="5" t="s">
        <v>93</v>
      </c>
      <c r="F576" s="5" t="s">
        <v>121</v>
      </c>
      <c r="G576" s="5" t="s">
        <v>69</v>
      </c>
      <c r="H576" s="5">
        <v>73</v>
      </c>
      <c r="I576" s="5" t="s">
        <v>40</v>
      </c>
      <c r="J576" s="34" t="s">
        <v>614</v>
      </c>
      <c r="K576" s="31" t="s">
        <v>1337</v>
      </c>
      <c r="L576" s="5" t="s">
        <v>52</v>
      </c>
      <c r="M576" s="32">
        <v>0</v>
      </c>
      <c r="N576" s="6">
        <f t="shared" si="82"/>
        <v>0</v>
      </c>
      <c r="O576" s="4" t="s">
        <v>121</v>
      </c>
      <c r="P576" s="5" t="str">
        <f t="shared" si="83"/>
        <v>Ahmedabad</v>
      </c>
      <c r="Q576" s="5" t="str">
        <f t="shared" si="84"/>
        <v>Nephrology</v>
      </c>
      <c r="R576" s="6" t="str">
        <f t="shared" si="85"/>
        <v>Narayana</v>
      </c>
      <c r="S576" s="6" t="str">
        <f t="shared" si="86"/>
        <v>Credit Card</v>
      </c>
      <c r="T576" s="6" t="str">
        <f t="shared" si="87"/>
        <v>Female</v>
      </c>
      <c r="U576" s="6" t="str">
        <f t="shared" si="90"/>
        <v>ICU</v>
      </c>
      <c r="V576" s="6" t="str" cm="1">
        <f t="array" ref="V576">IF(TRIM(S576)="",INDEX($S$2:$S$1500,MATCH(MAX(COUNTIF($S$2:$S$1500,S576)),COUNTIF($S$2:$S$1500,$S$2:$S$1500),0)),S576)</f>
        <v>Credit Card</v>
      </c>
      <c r="W576" s="7" cm="1">
        <f t="array" ref="W576">IF(OR(TRIM(K576)="",TRIM(K576)="-"), MEDIAN(IF($E$2:$E$1500=E576,$K$2:$K$1500)),  VALUE(SUBSTITUTE(SUBSTITUTE(SUBSTITUTE(K576,"Rs. ",""),"₹",""),",","")))</f>
        <v>82723</v>
      </c>
      <c r="X576" s="8">
        <f t="shared" si="88"/>
        <v>0</v>
      </c>
      <c r="Y576" s="7">
        <f t="shared" si="89"/>
        <v>82723</v>
      </c>
      <c r="Z576" s="9" t="str">
        <f t="shared" si="81"/>
        <v>SENIOR</v>
      </c>
    </row>
    <row r="577" spans="1:26" x14ac:dyDescent="0.3">
      <c r="A577" s="5" t="s">
        <v>1338</v>
      </c>
      <c r="B577" s="5" t="s">
        <v>78</v>
      </c>
      <c r="C577" s="5" t="s">
        <v>203</v>
      </c>
      <c r="D577" s="5" t="s">
        <v>61</v>
      </c>
      <c r="E577" s="5" t="s">
        <v>37</v>
      </c>
      <c r="F577" s="5" t="s">
        <v>185</v>
      </c>
      <c r="G577" s="5" t="s">
        <v>62</v>
      </c>
      <c r="H577" s="5">
        <v>37</v>
      </c>
      <c r="I577" s="5" t="s">
        <v>31</v>
      </c>
      <c r="J577" s="34" t="s">
        <v>582</v>
      </c>
      <c r="K577" s="31">
        <v>48064</v>
      </c>
      <c r="L577" s="5" t="s">
        <v>58</v>
      </c>
      <c r="M577" s="32">
        <v>5</v>
      </c>
      <c r="N577" s="6">
        <f t="shared" si="82"/>
        <v>5</v>
      </c>
      <c r="O577" s="4" t="s">
        <v>185</v>
      </c>
      <c r="P577" s="5" t="str">
        <f t="shared" si="83"/>
        <v>Pune</v>
      </c>
      <c r="Q577" s="5" t="str">
        <f t="shared" si="84"/>
        <v>Pediatrics</v>
      </c>
      <c r="R577" s="6" t="str">
        <f t="shared" si="85"/>
        <v>Apollo</v>
      </c>
      <c r="S577" s="6" t="str">
        <f t="shared" si="86"/>
        <v>UPI</v>
      </c>
      <c r="T577" s="6" t="str">
        <f t="shared" si="87"/>
        <v>Male</v>
      </c>
      <c r="U577" s="6" t="str">
        <f t="shared" si="90"/>
        <v>ICU</v>
      </c>
      <c r="V577" s="6" t="str" cm="1">
        <f t="array" ref="V577">IF(TRIM(S577)="",INDEX($S$2:$S$1500,MATCH(MAX(COUNTIF($S$2:$S$1500,S577)),COUNTIF($S$2:$S$1500,$S$2:$S$1500),0)),S577)</f>
        <v>UPI</v>
      </c>
      <c r="W577" s="7" cm="1">
        <f t="array" ref="W577">IF(OR(TRIM(K577)="",TRIM(K577)="-"), MEDIAN(IF($E$2:$E$1500=E577,$K$2:$K$1500)),  VALUE(SUBSTITUTE(SUBSTITUTE(SUBSTITUTE(K577,"Rs. ",""),"₹",""),",","")))</f>
        <v>48064</v>
      </c>
      <c r="X577" s="8">
        <f t="shared" si="88"/>
        <v>5</v>
      </c>
      <c r="Y577" s="7">
        <f t="shared" si="89"/>
        <v>45661</v>
      </c>
      <c r="Z577" s="9" t="str">
        <f t="shared" si="81"/>
        <v>ADULT</v>
      </c>
    </row>
    <row r="578" spans="1:26" x14ac:dyDescent="0.3">
      <c r="A578" s="5" t="s">
        <v>1339</v>
      </c>
      <c r="B578" s="5" t="s">
        <v>25</v>
      </c>
      <c r="C578" s="5" t="s">
        <v>54</v>
      </c>
      <c r="D578" s="5" t="s">
        <v>16</v>
      </c>
      <c r="E578" s="5" t="s">
        <v>28</v>
      </c>
      <c r="F578" s="5" t="s">
        <v>268</v>
      </c>
      <c r="G578" s="5" t="s">
        <v>49</v>
      </c>
      <c r="H578" s="5">
        <v>59</v>
      </c>
      <c r="I578" s="5" t="s">
        <v>40</v>
      </c>
      <c r="J578" s="34" t="s">
        <v>1340</v>
      </c>
      <c r="K578" s="31">
        <v>10789</v>
      </c>
      <c r="L578" s="5" t="s">
        <v>72</v>
      </c>
      <c r="M578" s="32">
        <v>5</v>
      </c>
      <c r="N578" s="6">
        <f t="shared" si="82"/>
        <v>5</v>
      </c>
      <c r="O578" s="4" t="s">
        <v>268</v>
      </c>
      <c r="P578" s="5" t="str">
        <f t="shared" si="83"/>
        <v>Bangalore</v>
      </c>
      <c r="Q578" s="5" t="str">
        <f t="shared" si="84"/>
        <v>Oncology</v>
      </c>
      <c r="R578" s="6" t="str">
        <f t="shared" si="85"/>
        <v>Narayana</v>
      </c>
      <c r="S578" s="6" t="str">
        <f t="shared" si="86"/>
        <v>Cash</v>
      </c>
      <c r="T578" s="6" t="str">
        <f t="shared" si="87"/>
        <v>Female</v>
      </c>
      <c r="U578" s="6" t="str">
        <f t="shared" si="90"/>
        <v>General</v>
      </c>
      <c r="V578" s="6" t="str" cm="1">
        <f t="array" ref="V578">IF(TRIM(S578)="",INDEX($S$2:$S$1500,MATCH(MAX(COUNTIF($S$2:$S$1500,S578)),COUNTIF($S$2:$S$1500,$S$2:$S$1500),0)),S578)</f>
        <v>Cash</v>
      </c>
      <c r="W578" s="7" cm="1">
        <f t="array" ref="W578">IF(OR(TRIM(K578)="",TRIM(K578)="-"), MEDIAN(IF($E$2:$E$1500=E578,$K$2:$K$1500)),  VALUE(SUBSTITUTE(SUBSTITUTE(SUBSTITUTE(K578,"Rs. ",""),"₹",""),",","")))</f>
        <v>10789</v>
      </c>
      <c r="X578" s="8">
        <f t="shared" si="88"/>
        <v>5</v>
      </c>
      <c r="Y578" s="7">
        <f t="shared" si="89"/>
        <v>10250</v>
      </c>
      <c r="Z578" s="9" t="str">
        <f t="shared" ref="Z578:Z641" si="91">IF(H578&lt;13,"CHILD",IF(H578&lt;20,"TEEN",IF(H578&lt;60,"ADULT","SENIOR")))</f>
        <v>ADULT</v>
      </c>
    </row>
    <row r="579" spans="1:26" x14ac:dyDescent="0.3">
      <c r="A579" s="5" t="s">
        <v>1341</v>
      </c>
      <c r="B579" s="5" t="s">
        <v>106</v>
      </c>
      <c r="C579" s="5" t="s">
        <v>107</v>
      </c>
      <c r="D579" s="5" t="s">
        <v>55</v>
      </c>
      <c r="E579" s="5" t="s">
        <v>74</v>
      </c>
      <c r="F579" s="5" t="s">
        <v>172</v>
      </c>
      <c r="G579" s="5" t="s">
        <v>49</v>
      </c>
      <c r="H579" s="5">
        <v>75</v>
      </c>
      <c r="I579" s="5" t="s">
        <v>70</v>
      </c>
      <c r="J579" s="34" t="s">
        <v>891</v>
      </c>
      <c r="K579" s="31" t="s">
        <v>1342</v>
      </c>
      <c r="L579" s="5"/>
      <c r="M579" s="32"/>
      <c r="N579" s="6">
        <f t="shared" ref="N579:N642" si="92">IF(RIGHT(TRIM(M579),1)="%",VALUE(LEFT(TRIM(M579),LEN(TRIM(M579))-1)),  IF(AND(ISNUMBER(M579),M579&lt;=1,M579&gt;0),M579*100,M579))</f>
        <v>0</v>
      </c>
      <c r="O579" s="4" t="s">
        <v>172</v>
      </c>
      <c r="P579" s="5" t="str">
        <f t="shared" ref="P579:P642" si="93">PROPER(D579)</f>
        <v>Hyderabad</v>
      </c>
      <c r="Q579" s="5" t="str">
        <f t="shared" ref="Q579:Q642" si="94">PROPER(E579)</f>
        <v>General Medicine</v>
      </c>
      <c r="R579" s="6" t="str">
        <f t="shared" ref="R579:R642" si="95">PROPER(C579)</f>
        <v>Aiims</v>
      </c>
      <c r="S579" s="6" t="str">
        <f t="shared" ref="S579:S642" si="96">IF(OR(UPPER(TRIM(L579))="CREDIT_CARD",UPPER(TRIM(L579))="CREDIT CARD",UPPER(TRIM(L579))="CC"),"Credit Card", IF(OR(UPPER(TRIM(L579))="DEBIT_CARD",UPPER(TRIM(L579))="DEBIT CARD",UPPER(TRIM(L579))="DC"),"Debit Card", IF(UPPER(TRIM(L579))="CASH","Cash", IF(UPPER(TRIM(L579))="UPI","UPI", IF(OR(UPPER(TRIM(L579))="INSURANCE",UPPER(TRIM(L579))="INS"),"Insurance", IF(TRIM(L579)="","Unknown","Unknown"))))))</f>
        <v>Unknown</v>
      </c>
      <c r="T579" s="6" t="str">
        <f t="shared" ref="T579:T642" si="97">IF(OR(UPPER(TRIM(I579))="M",UPPER(TRIM(I579))="MALE"),"Male",IF(OR(UPPER(TRIM(I579))="F",UPPER(TRIM(I579))="FEMALE"),"Female","Unknown"))</f>
        <v>Female</v>
      </c>
      <c r="U579" s="6" t="str">
        <f t="shared" si="90"/>
        <v>General</v>
      </c>
      <c r="V579" s="6" t="str" cm="1">
        <f t="array" ref="V579">IF(TRIM(S579)="",INDEX($S$2:$S$1500,MATCH(MAX(COUNTIF($S$2:$S$1500,S579)),COUNTIF($S$2:$S$1500,$S$2:$S$1500),0)),S579)</f>
        <v>Unknown</v>
      </c>
      <c r="W579" s="7" cm="1">
        <f t="array" ref="W579">IF(OR(TRIM(K579)="",TRIM(K579)="-"), MEDIAN(IF($E$2:$E$1500=E579,$K$2:$K$1500)),  VALUE(SUBSTITUTE(SUBSTITUTE(SUBSTITUTE(K579,"Rs. ",""),"₹",""),",","")))</f>
        <v>6439</v>
      </c>
      <c r="X579" s="8">
        <f t="shared" ref="X579:X642" si="98">ROUND(IF(OR(TRIM(N579)="-",UPPER(TRIM(N579))="N/A",UPPER(TRIM(N579))="NA"), IFERROR(AVERAGEIF($V$2:$V$1500,V579,$N$2:$N$1500),AVERAGE($N$2:$N$1500)), N579),0)</f>
        <v>0</v>
      </c>
      <c r="Y579" s="7">
        <f t="shared" ref="Y579:Y642" si="99">ROUND(W579*(1-X579/100),0)</f>
        <v>6439</v>
      </c>
      <c r="Z579" s="9" t="str">
        <f t="shared" si="91"/>
        <v>SENIOR</v>
      </c>
    </row>
    <row r="580" spans="1:26" x14ac:dyDescent="0.3">
      <c r="A580" s="5" t="s">
        <v>1343</v>
      </c>
      <c r="B580" s="5" t="s">
        <v>106</v>
      </c>
      <c r="C580" s="5" t="s">
        <v>107</v>
      </c>
      <c r="D580" s="5" t="s">
        <v>61</v>
      </c>
      <c r="E580" s="5" t="s">
        <v>99</v>
      </c>
      <c r="F580" s="5" t="s">
        <v>151</v>
      </c>
      <c r="G580" s="5" t="s">
        <v>30</v>
      </c>
      <c r="H580" s="5">
        <v>47</v>
      </c>
      <c r="I580" s="5" t="s">
        <v>40</v>
      </c>
      <c r="J580" s="34" t="s">
        <v>377</v>
      </c>
      <c r="K580" s="31">
        <v>15009</v>
      </c>
      <c r="L580" s="5" t="s">
        <v>115</v>
      </c>
      <c r="M580" s="32" t="s">
        <v>140</v>
      </c>
      <c r="N580" s="6" t="str">
        <f t="shared" si="92"/>
        <v>-</v>
      </c>
      <c r="O580" s="4" t="s">
        <v>151</v>
      </c>
      <c r="P580" s="5" t="str">
        <f t="shared" si="93"/>
        <v>Pune</v>
      </c>
      <c r="Q580" s="5" t="str">
        <f t="shared" si="94"/>
        <v>Ent</v>
      </c>
      <c r="R580" s="6" t="str">
        <f t="shared" si="95"/>
        <v>Aiims</v>
      </c>
      <c r="S580" s="6" t="str">
        <f t="shared" si="96"/>
        <v>Cash</v>
      </c>
      <c r="T580" s="6" t="str">
        <f t="shared" si="97"/>
        <v>Female</v>
      </c>
      <c r="U580" s="6" t="str">
        <f t="shared" si="90"/>
        <v>General</v>
      </c>
      <c r="V580" s="6" t="str" cm="1">
        <f t="array" ref="V580">IF(TRIM(S580)="",INDEX($S$2:$S$1500,MATCH(MAX(COUNTIF($S$2:$S$1500,S580)),COUNTIF($S$2:$S$1500,$S$2:$S$1500),0)),S580)</f>
        <v>Cash</v>
      </c>
      <c r="W580" s="7" cm="1">
        <f t="array" ref="W580">IF(OR(TRIM(K580)="",TRIM(K580)="-"), MEDIAN(IF($E$2:$E$1500=E580,$K$2:$K$1500)),  VALUE(SUBSTITUTE(SUBSTITUTE(SUBSTITUTE(K580,"Rs. ",""),"₹",""),",","")))</f>
        <v>15009</v>
      </c>
      <c r="X580" s="8">
        <f t="shared" si="98"/>
        <v>3</v>
      </c>
      <c r="Y580" s="7">
        <f t="shared" si="99"/>
        <v>14559</v>
      </c>
      <c r="Z580" s="9" t="str">
        <f t="shared" si="91"/>
        <v>ADULT</v>
      </c>
    </row>
    <row r="581" spans="1:26" x14ac:dyDescent="0.3">
      <c r="A581" s="5" t="s">
        <v>1344</v>
      </c>
      <c r="B581" s="5" t="s">
        <v>25</v>
      </c>
      <c r="C581" s="5" t="s">
        <v>54</v>
      </c>
      <c r="D581" s="5" t="s">
        <v>66</v>
      </c>
      <c r="E581" s="5" t="s">
        <v>67</v>
      </c>
      <c r="F581" s="5" t="s">
        <v>68</v>
      </c>
      <c r="G581" s="5" t="s">
        <v>69</v>
      </c>
      <c r="H581" s="5">
        <v>16</v>
      </c>
      <c r="I581" s="5" t="s">
        <v>31</v>
      </c>
      <c r="J581" s="34" t="s">
        <v>1021</v>
      </c>
      <c r="K581" s="31" t="s">
        <v>1345</v>
      </c>
      <c r="L581" s="5" t="s">
        <v>72</v>
      </c>
      <c r="M581" s="32">
        <v>0</v>
      </c>
      <c r="N581" s="6">
        <f t="shared" si="92"/>
        <v>0</v>
      </c>
      <c r="O581" s="4" t="s">
        <v>68</v>
      </c>
      <c r="P581" s="5" t="str">
        <f t="shared" si="93"/>
        <v>Kolkata</v>
      </c>
      <c r="Q581" s="5" t="str">
        <f t="shared" si="94"/>
        <v>Neurology</v>
      </c>
      <c r="R581" s="6" t="str">
        <f t="shared" si="95"/>
        <v>Narayana</v>
      </c>
      <c r="S581" s="6" t="str">
        <f t="shared" si="96"/>
        <v>Cash</v>
      </c>
      <c r="T581" s="6" t="str">
        <f t="shared" si="97"/>
        <v>Male</v>
      </c>
      <c r="U581" s="6" t="str">
        <f t="shared" si="90"/>
        <v>ICU</v>
      </c>
      <c r="V581" s="6" t="str" cm="1">
        <f t="array" ref="V581">IF(TRIM(S581)="",INDEX($S$2:$S$1500,MATCH(MAX(COUNTIF($S$2:$S$1500,S581)),COUNTIF($S$2:$S$1500,$S$2:$S$1500),0)),S581)</f>
        <v>Cash</v>
      </c>
      <c r="W581" s="7" cm="1">
        <f t="array" ref="W581">IF(OR(TRIM(K581)="",TRIM(K581)="-"), MEDIAN(IF($E$2:$E$1500=E581,$K$2:$K$1500)),  VALUE(SUBSTITUTE(SUBSTITUTE(SUBSTITUTE(K581,"Rs. ",""),"₹",""),",","")))</f>
        <v>85619</v>
      </c>
      <c r="X581" s="8">
        <f t="shared" si="98"/>
        <v>0</v>
      </c>
      <c r="Y581" s="7">
        <f t="shared" si="99"/>
        <v>85619</v>
      </c>
      <c r="Z581" s="9" t="str">
        <f t="shared" si="91"/>
        <v>TEEN</v>
      </c>
    </row>
    <row r="582" spans="1:26" x14ac:dyDescent="0.3">
      <c r="A582" s="5" t="s">
        <v>1346</v>
      </c>
      <c r="B582" s="5" t="s">
        <v>78</v>
      </c>
      <c r="C582" s="5" t="s">
        <v>161</v>
      </c>
      <c r="D582" s="5" t="s">
        <v>189</v>
      </c>
      <c r="E582" s="5" t="s">
        <v>37</v>
      </c>
      <c r="F582" s="5" t="s">
        <v>56</v>
      </c>
      <c r="G582" s="5" t="s">
        <v>30</v>
      </c>
      <c r="H582" s="5">
        <v>83</v>
      </c>
      <c r="I582" s="5" t="s">
        <v>40</v>
      </c>
      <c r="J582" s="34" t="s">
        <v>1347</v>
      </c>
      <c r="K582" s="31">
        <v>4037</v>
      </c>
      <c r="L582" s="5" t="s">
        <v>58</v>
      </c>
      <c r="M582" s="32">
        <v>10</v>
      </c>
      <c r="N582" s="6">
        <f t="shared" si="92"/>
        <v>10</v>
      </c>
      <c r="O582" s="4" t="s">
        <v>56</v>
      </c>
      <c r="P582" s="5" t="str">
        <f t="shared" si="93"/>
        <v>Delhi</v>
      </c>
      <c r="Q582" s="5" t="str">
        <f t="shared" si="94"/>
        <v>Pediatrics</v>
      </c>
      <c r="R582" s="6" t="str">
        <f t="shared" si="95"/>
        <v>Apollo</v>
      </c>
      <c r="S582" s="6" t="str">
        <f t="shared" si="96"/>
        <v>UPI</v>
      </c>
      <c r="T582" s="6" t="str">
        <f t="shared" si="97"/>
        <v>Female</v>
      </c>
      <c r="U582" s="6" t="str">
        <f t="shared" si="90"/>
        <v>General</v>
      </c>
      <c r="V582" s="6" t="str" cm="1">
        <f t="array" ref="V582">IF(TRIM(S582)="",INDEX($S$2:$S$1500,MATCH(MAX(COUNTIF($S$2:$S$1500,S582)),COUNTIF($S$2:$S$1500,$S$2:$S$1500),0)),S582)</f>
        <v>UPI</v>
      </c>
      <c r="W582" s="7" cm="1">
        <f t="array" ref="W582">IF(OR(TRIM(K582)="",TRIM(K582)="-"), MEDIAN(IF($E$2:$E$1500=E582,$K$2:$K$1500)),  VALUE(SUBSTITUTE(SUBSTITUTE(SUBSTITUTE(K582,"Rs. ",""),"₹",""),",","")))</f>
        <v>4037</v>
      </c>
      <c r="X582" s="8">
        <f t="shared" si="98"/>
        <v>10</v>
      </c>
      <c r="Y582" s="7">
        <f t="shared" si="99"/>
        <v>3633</v>
      </c>
      <c r="Z582" s="9" t="str">
        <f t="shared" si="91"/>
        <v>SENIOR</v>
      </c>
    </row>
    <row r="583" spans="1:26" x14ac:dyDescent="0.3">
      <c r="A583" s="5" t="s">
        <v>1348</v>
      </c>
      <c r="B583" s="5" t="s">
        <v>25</v>
      </c>
      <c r="C583" s="5" t="s">
        <v>54</v>
      </c>
      <c r="D583" s="5" t="s">
        <v>61</v>
      </c>
      <c r="E583" s="5" t="s">
        <v>47</v>
      </c>
      <c r="F583" s="5" t="s">
        <v>364</v>
      </c>
      <c r="G583" s="5" t="s">
        <v>49</v>
      </c>
      <c r="H583" s="5">
        <v>77</v>
      </c>
      <c r="I583" s="5" t="s">
        <v>40</v>
      </c>
      <c r="J583" s="34" t="s">
        <v>1143</v>
      </c>
      <c r="K583" s="31" t="s">
        <v>1349</v>
      </c>
      <c r="L583" s="5" t="s">
        <v>97</v>
      </c>
      <c r="M583" s="32">
        <v>5</v>
      </c>
      <c r="N583" s="6">
        <f t="shared" si="92"/>
        <v>5</v>
      </c>
      <c r="O583" s="4" t="s">
        <v>364</v>
      </c>
      <c r="P583" s="5" t="str">
        <f t="shared" si="93"/>
        <v>Pune</v>
      </c>
      <c r="Q583" s="5" t="str">
        <f t="shared" si="94"/>
        <v>Gastroenterology</v>
      </c>
      <c r="R583" s="6" t="str">
        <f t="shared" si="95"/>
        <v>Narayana</v>
      </c>
      <c r="S583" s="6" t="str">
        <f t="shared" si="96"/>
        <v>UPI</v>
      </c>
      <c r="T583" s="6" t="str">
        <f t="shared" si="97"/>
        <v>Female</v>
      </c>
      <c r="U583" s="6" t="str">
        <f t="shared" si="90"/>
        <v>General</v>
      </c>
      <c r="V583" s="6" t="str" cm="1">
        <f t="array" ref="V583">IF(TRIM(S583)="",INDEX($S$2:$S$1500,MATCH(MAX(COUNTIF($S$2:$S$1500,S583)),COUNTIF($S$2:$S$1500,$S$2:$S$1500),0)),S583)</f>
        <v>UPI</v>
      </c>
      <c r="W583" s="7" cm="1">
        <f t="array" ref="W583">IF(OR(TRIM(K583)="",TRIM(K583)="-"), MEDIAN(IF($E$2:$E$1500=E583,$K$2:$K$1500)),  VALUE(SUBSTITUTE(SUBSTITUTE(SUBSTITUTE(K583,"Rs. ",""),"₹",""),",","")))</f>
        <v>8219</v>
      </c>
      <c r="X583" s="8">
        <f t="shared" si="98"/>
        <v>5</v>
      </c>
      <c r="Y583" s="7">
        <f t="shared" si="99"/>
        <v>7808</v>
      </c>
      <c r="Z583" s="9" t="str">
        <f t="shared" si="91"/>
        <v>SENIOR</v>
      </c>
    </row>
    <row r="584" spans="1:26" x14ac:dyDescent="0.3">
      <c r="A584" s="5" t="s">
        <v>1350</v>
      </c>
      <c r="B584" s="5" t="s">
        <v>14</v>
      </c>
      <c r="C584" s="5" t="s">
        <v>60</v>
      </c>
      <c r="D584" s="5" t="s">
        <v>27</v>
      </c>
      <c r="E584" s="5" t="s">
        <v>164</v>
      </c>
      <c r="F584" s="5" t="s">
        <v>282</v>
      </c>
      <c r="G584" s="5" t="s">
        <v>30</v>
      </c>
      <c r="H584" s="5">
        <v>58</v>
      </c>
      <c r="I584" s="5" t="s">
        <v>20</v>
      </c>
      <c r="J584" s="34" t="s">
        <v>582</v>
      </c>
      <c r="K584" s="31" t="s">
        <v>1351</v>
      </c>
      <c r="L584" s="5" t="s">
        <v>311</v>
      </c>
      <c r="M584" s="32" t="s">
        <v>130</v>
      </c>
      <c r="N584" s="6">
        <f t="shared" si="92"/>
        <v>0</v>
      </c>
      <c r="O584" s="4" t="s">
        <v>282</v>
      </c>
      <c r="P584" s="5" t="str">
        <f t="shared" si="93"/>
        <v>Mumbai</v>
      </c>
      <c r="Q584" s="5" t="str">
        <f t="shared" si="94"/>
        <v>Cardiology</v>
      </c>
      <c r="R584" s="6" t="str">
        <f t="shared" si="95"/>
        <v>Max_Healthcare</v>
      </c>
      <c r="S584" s="6" t="str">
        <f t="shared" si="96"/>
        <v>UPI</v>
      </c>
      <c r="T584" s="6" t="str">
        <f t="shared" si="97"/>
        <v>Male</v>
      </c>
      <c r="U584" s="6" t="str">
        <f t="shared" si="90"/>
        <v>General</v>
      </c>
      <c r="V584" s="6" t="str" cm="1">
        <f t="array" ref="V584">IF(TRIM(S584)="",INDEX($S$2:$S$1500,MATCH(MAX(COUNTIF($S$2:$S$1500,S584)),COUNTIF($S$2:$S$1500,$S$2:$S$1500),0)),S584)</f>
        <v>UPI</v>
      </c>
      <c r="W584" s="7" cm="1">
        <f t="array" ref="W584">IF(OR(TRIM(K584)="",TRIM(K584)="-"), MEDIAN(IF($E$2:$E$1500=E584,$K$2:$K$1500)),  VALUE(SUBSTITUTE(SUBSTITUTE(SUBSTITUTE(K584,"Rs. ",""),"₹",""),",","")))</f>
        <v>15223</v>
      </c>
      <c r="X584" s="8">
        <f t="shared" si="98"/>
        <v>0</v>
      </c>
      <c r="Y584" s="7">
        <f t="shared" si="99"/>
        <v>15223</v>
      </c>
      <c r="Z584" s="9" t="str">
        <f t="shared" si="91"/>
        <v>ADULT</v>
      </c>
    </row>
    <row r="585" spans="1:26" x14ac:dyDescent="0.3">
      <c r="A585" s="5" t="s">
        <v>1352</v>
      </c>
      <c r="B585" s="5" t="s">
        <v>117</v>
      </c>
      <c r="C585" s="5" t="s">
        <v>118</v>
      </c>
      <c r="D585" s="5" t="s">
        <v>27</v>
      </c>
      <c r="E585" s="5" t="s">
        <v>67</v>
      </c>
      <c r="F585" s="5" t="s">
        <v>89</v>
      </c>
      <c r="G585" s="5" t="s">
        <v>19</v>
      </c>
      <c r="H585" s="5">
        <v>20</v>
      </c>
      <c r="I585" s="5" t="s">
        <v>70</v>
      </c>
      <c r="J585" s="34" t="s">
        <v>1353</v>
      </c>
      <c r="K585" s="31" t="s">
        <v>1354</v>
      </c>
      <c r="L585" s="5" t="s">
        <v>42</v>
      </c>
      <c r="M585" s="32">
        <v>5</v>
      </c>
      <c r="N585" s="6">
        <f t="shared" si="92"/>
        <v>5</v>
      </c>
      <c r="O585" s="4" t="s">
        <v>89</v>
      </c>
      <c r="P585" s="5" t="str">
        <f t="shared" si="93"/>
        <v>Mumbai</v>
      </c>
      <c r="Q585" s="5" t="str">
        <f t="shared" si="94"/>
        <v>Neurology</v>
      </c>
      <c r="R585" s="6" t="str">
        <f t="shared" si="95"/>
        <v>Manipal</v>
      </c>
      <c r="S585" s="6" t="str">
        <f t="shared" si="96"/>
        <v>Insurance</v>
      </c>
      <c r="T585" s="6" t="str">
        <f t="shared" si="97"/>
        <v>Female</v>
      </c>
      <c r="U585" s="6" t="str">
        <f t="shared" si="90"/>
        <v>General</v>
      </c>
      <c r="V585" s="6" t="str" cm="1">
        <f t="array" ref="V585">IF(TRIM(S585)="",INDEX($S$2:$S$1500,MATCH(MAX(COUNTIF($S$2:$S$1500,S585)),COUNTIF($S$2:$S$1500,$S$2:$S$1500),0)),S585)</f>
        <v>Insurance</v>
      </c>
      <c r="W585" s="7" cm="1">
        <f t="array" ref="W585">IF(OR(TRIM(K585)="",TRIM(K585)="-"), MEDIAN(IF($E$2:$E$1500=E585,$K$2:$K$1500)),  VALUE(SUBSTITUTE(SUBSTITUTE(SUBSTITUTE(K585,"Rs. ",""),"₹",""),",","")))</f>
        <v>8257</v>
      </c>
      <c r="X585" s="8">
        <f t="shared" si="98"/>
        <v>5</v>
      </c>
      <c r="Y585" s="7">
        <f t="shared" si="99"/>
        <v>7844</v>
      </c>
      <c r="Z585" s="9" t="str">
        <f t="shared" si="91"/>
        <v>ADULT</v>
      </c>
    </row>
    <row r="586" spans="1:26" x14ac:dyDescent="0.3">
      <c r="A586" s="5" t="s">
        <v>1355</v>
      </c>
      <c r="B586" s="5" t="s">
        <v>106</v>
      </c>
      <c r="C586" s="5" t="s">
        <v>107</v>
      </c>
      <c r="D586" s="5" t="s">
        <v>80</v>
      </c>
      <c r="E586" s="5" t="s">
        <v>47</v>
      </c>
      <c r="F586" s="5" t="s">
        <v>48</v>
      </c>
      <c r="G586" s="5" t="s">
        <v>49</v>
      </c>
      <c r="H586" s="5">
        <v>51</v>
      </c>
      <c r="I586" s="5" t="s">
        <v>20</v>
      </c>
      <c r="J586" s="34" t="s">
        <v>943</v>
      </c>
      <c r="K586" s="31">
        <v>16296</v>
      </c>
      <c r="L586" s="5" t="s">
        <v>211</v>
      </c>
      <c r="M586" s="32">
        <v>5</v>
      </c>
      <c r="N586" s="6">
        <f t="shared" si="92"/>
        <v>5</v>
      </c>
      <c r="O586" s="4" t="s">
        <v>48</v>
      </c>
      <c r="P586" s="5" t="str">
        <f t="shared" si="93"/>
        <v>Ahmedabad</v>
      </c>
      <c r="Q586" s="5" t="str">
        <f t="shared" si="94"/>
        <v>Gastroenterology</v>
      </c>
      <c r="R586" s="6" t="str">
        <f t="shared" si="95"/>
        <v>Aiims</v>
      </c>
      <c r="S586" s="6" t="str">
        <f t="shared" si="96"/>
        <v>Credit Card</v>
      </c>
      <c r="T586" s="6" t="str">
        <f t="shared" si="97"/>
        <v>Male</v>
      </c>
      <c r="U586" s="6" t="str">
        <f t="shared" si="90"/>
        <v>General</v>
      </c>
      <c r="V586" s="6" t="str" cm="1">
        <f t="array" ref="V586">IF(TRIM(S586)="",INDEX($S$2:$S$1500,MATCH(MAX(COUNTIF($S$2:$S$1500,S586)),COUNTIF($S$2:$S$1500,$S$2:$S$1500),0)),S586)</f>
        <v>Credit Card</v>
      </c>
      <c r="W586" s="7" cm="1">
        <f t="array" ref="W586">IF(OR(TRIM(K586)="",TRIM(K586)="-"), MEDIAN(IF($E$2:$E$1500=E586,$K$2:$K$1500)),  VALUE(SUBSTITUTE(SUBSTITUTE(SUBSTITUTE(K586,"Rs. ",""),"₹",""),",","")))</f>
        <v>16296</v>
      </c>
      <c r="X586" s="8">
        <f t="shared" si="98"/>
        <v>5</v>
      </c>
      <c r="Y586" s="7">
        <f t="shared" si="99"/>
        <v>15481</v>
      </c>
      <c r="Z586" s="9" t="str">
        <f t="shared" si="91"/>
        <v>ADULT</v>
      </c>
    </row>
    <row r="587" spans="1:26" x14ac:dyDescent="0.3">
      <c r="A587" s="5" t="s">
        <v>1356</v>
      </c>
      <c r="B587" s="5" t="s">
        <v>78</v>
      </c>
      <c r="C587" s="5" t="s">
        <v>79</v>
      </c>
      <c r="D587" s="5" t="s">
        <v>55</v>
      </c>
      <c r="E587" s="5" t="s">
        <v>28</v>
      </c>
      <c r="F587" s="5" t="s">
        <v>268</v>
      </c>
      <c r="G587" s="5" t="s">
        <v>30</v>
      </c>
      <c r="H587" s="5">
        <v>15</v>
      </c>
      <c r="I587" s="5" t="s">
        <v>31</v>
      </c>
      <c r="J587" s="34" t="s">
        <v>1340</v>
      </c>
      <c r="K587" s="31" t="s">
        <v>1357</v>
      </c>
      <c r="L587" s="5" t="s">
        <v>58</v>
      </c>
      <c r="M587" s="32">
        <v>0</v>
      </c>
      <c r="N587" s="6">
        <f t="shared" si="92"/>
        <v>0</v>
      </c>
      <c r="O587" s="4" t="s">
        <v>268</v>
      </c>
      <c r="P587" s="5" t="str">
        <f t="shared" si="93"/>
        <v>Hyderabad</v>
      </c>
      <c r="Q587" s="5" t="str">
        <f t="shared" si="94"/>
        <v>Oncology</v>
      </c>
      <c r="R587" s="6" t="str">
        <f t="shared" si="95"/>
        <v>Apollo</v>
      </c>
      <c r="S587" s="6" t="str">
        <f t="shared" si="96"/>
        <v>UPI</v>
      </c>
      <c r="T587" s="6" t="str">
        <f t="shared" si="97"/>
        <v>Male</v>
      </c>
      <c r="U587" s="6" t="str">
        <f t="shared" si="90"/>
        <v>General</v>
      </c>
      <c r="V587" s="6" t="str" cm="1">
        <f t="array" ref="V587">IF(TRIM(S587)="",INDEX($S$2:$S$1500,MATCH(MAX(COUNTIF($S$2:$S$1500,S587)),COUNTIF($S$2:$S$1500,$S$2:$S$1500),0)),S587)</f>
        <v>UPI</v>
      </c>
      <c r="W587" s="7" cm="1">
        <f t="array" ref="W587">IF(OR(TRIM(K587)="",TRIM(K587)="-"), MEDIAN(IF($E$2:$E$1500=E587,$K$2:$K$1500)),  VALUE(SUBSTITUTE(SUBSTITUTE(SUBSTITUTE(K587,"Rs. ",""),"₹",""),",","")))</f>
        <v>9144</v>
      </c>
      <c r="X587" s="8">
        <f t="shared" si="98"/>
        <v>0</v>
      </c>
      <c r="Y587" s="7">
        <f t="shared" si="99"/>
        <v>9144</v>
      </c>
      <c r="Z587" s="9" t="str">
        <f t="shared" si="91"/>
        <v>TEEN</v>
      </c>
    </row>
    <row r="588" spans="1:26" x14ac:dyDescent="0.3">
      <c r="A588" s="5" t="s">
        <v>1358</v>
      </c>
      <c r="B588" s="5" t="s">
        <v>14</v>
      </c>
      <c r="C588" s="5" t="s">
        <v>60</v>
      </c>
      <c r="D588" s="5" t="s">
        <v>61</v>
      </c>
      <c r="E588" s="5" t="s">
        <v>99</v>
      </c>
      <c r="F588" s="5" t="s">
        <v>256</v>
      </c>
      <c r="G588" s="5" t="s">
        <v>49</v>
      </c>
      <c r="H588" s="5">
        <v>12</v>
      </c>
      <c r="I588" s="5" t="s">
        <v>40</v>
      </c>
      <c r="J588" s="34" t="s">
        <v>162</v>
      </c>
      <c r="K588" s="31">
        <v>9402</v>
      </c>
      <c r="L588" s="5" t="s">
        <v>236</v>
      </c>
      <c r="M588" s="32" t="s">
        <v>140</v>
      </c>
      <c r="N588" s="6" t="str">
        <f t="shared" si="92"/>
        <v>-</v>
      </c>
      <c r="O588" s="4" t="s">
        <v>256</v>
      </c>
      <c r="P588" s="5" t="str">
        <f t="shared" si="93"/>
        <v>Pune</v>
      </c>
      <c r="Q588" s="5" t="str">
        <f t="shared" si="94"/>
        <v>Ent</v>
      </c>
      <c r="R588" s="6" t="str">
        <f t="shared" si="95"/>
        <v>Max_Healthcare</v>
      </c>
      <c r="S588" s="6" t="str">
        <f t="shared" si="96"/>
        <v>Debit Card</v>
      </c>
      <c r="T588" s="6" t="str">
        <f t="shared" si="97"/>
        <v>Female</v>
      </c>
      <c r="U588" s="6" t="str">
        <f t="shared" si="90"/>
        <v>General</v>
      </c>
      <c r="V588" s="6" t="str" cm="1">
        <f t="array" ref="V588">IF(TRIM(S588)="",INDEX($S$2:$S$1500,MATCH(MAX(COUNTIF($S$2:$S$1500,S588)),COUNTIF($S$2:$S$1500,$S$2:$S$1500),0)),S588)</f>
        <v>Debit Card</v>
      </c>
      <c r="W588" s="7" cm="1">
        <f t="array" ref="W588">IF(OR(TRIM(K588)="",TRIM(K588)="-"), MEDIAN(IF($E$2:$E$1500=E588,$K$2:$K$1500)),  VALUE(SUBSTITUTE(SUBSTITUTE(SUBSTITUTE(K588,"Rs. ",""),"₹",""),",","")))</f>
        <v>9402</v>
      </c>
      <c r="X588" s="8">
        <f t="shared" si="98"/>
        <v>3</v>
      </c>
      <c r="Y588" s="7">
        <f t="shared" si="99"/>
        <v>9120</v>
      </c>
      <c r="Z588" s="9" t="str">
        <f t="shared" si="91"/>
        <v>CHILD</v>
      </c>
    </row>
    <row r="589" spans="1:26" x14ac:dyDescent="0.3">
      <c r="A589" s="5" t="s">
        <v>1359</v>
      </c>
      <c r="B589" s="5" t="s">
        <v>117</v>
      </c>
      <c r="C589" s="5" t="s">
        <v>118</v>
      </c>
      <c r="D589" s="5" t="s">
        <v>80</v>
      </c>
      <c r="E589" s="5" t="s">
        <v>74</v>
      </c>
      <c r="F589" s="5" t="s">
        <v>147</v>
      </c>
      <c r="G589" s="5" t="s">
        <v>39</v>
      </c>
      <c r="H589" s="5">
        <v>32</v>
      </c>
      <c r="I589" s="5" t="s">
        <v>40</v>
      </c>
      <c r="J589" s="34" t="s">
        <v>912</v>
      </c>
      <c r="K589" s="31">
        <v>14840</v>
      </c>
      <c r="L589" s="5" t="s">
        <v>104</v>
      </c>
      <c r="M589" s="32">
        <v>10</v>
      </c>
      <c r="N589" s="6">
        <f t="shared" si="92"/>
        <v>10</v>
      </c>
      <c r="O589" s="4" t="s">
        <v>147</v>
      </c>
      <c r="P589" s="5" t="str">
        <f t="shared" si="93"/>
        <v>Ahmedabad</v>
      </c>
      <c r="Q589" s="5" t="str">
        <f t="shared" si="94"/>
        <v>General Medicine</v>
      </c>
      <c r="R589" s="6" t="str">
        <f t="shared" si="95"/>
        <v>Manipal</v>
      </c>
      <c r="S589" s="6" t="str">
        <f t="shared" si="96"/>
        <v>Insurance</v>
      </c>
      <c r="T589" s="6" t="str">
        <f t="shared" si="97"/>
        <v>Female</v>
      </c>
      <c r="U589" s="6" t="str">
        <f t="shared" si="90"/>
        <v>General</v>
      </c>
      <c r="V589" s="6" t="str" cm="1">
        <f t="array" ref="V589">IF(TRIM(S589)="",INDEX($S$2:$S$1500,MATCH(MAX(COUNTIF($S$2:$S$1500,S589)),COUNTIF($S$2:$S$1500,$S$2:$S$1500),0)),S589)</f>
        <v>Insurance</v>
      </c>
      <c r="W589" s="7" cm="1">
        <f t="array" ref="W589">IF(OR(TRIM(K589)="",TRIM(K589)="-"), MEDIAN(IF($E$2:$E$1500=E589,$K$2:$K$1500)),  VALUE(SUBSTITUTE(SUBSTITUTE(SUBSTITUTE(K589,"Rs. ",""),"₹",""),",","")))</f>
        <v>14840</v>
      </c>
      <c r="X589" s="8">
        <f t="shared" si="98"/>
        <v>10</v>
      </c>
      <c r="Y589" s="7">
        <f t="shared" si="99"/>
        <v>13356</v>
      </c>
      <c r="Z589" s="9" t="str">
        <f t="shared" si="91"/>
        <v>ADULT</v>
      </c>
    </row>
    <row r="590" spans="1:26" x14ac:dyDescent="0.3">
      <c r="A590" s="5" t="s">
        <v>1360</v>
      </c>
      <c r="B590" s="5" t="s">
        <v>117</v>
      </c>
      <c r="C590" s="5" t="s">
        <v>127</v>
      </c>
      <c r="D590" s="5" t="s">
        <v>80</v>
      </c>
      <c r="E590" s="5" t="s">
        <v>17</v>
      </c>
      <c r="F590" s="5" t="s">
        <v>18</v>
      </c>
      <c r="G590" s="5" t="s">
        <v>62</v>
      </c>
      <c r="H590" s="5">
        <v>76</v>
      </c>
      <c r="I590" s="5" t="s">
        <v>20</v>
      </c>
      <c r="J590" s="34" t="s">
        <v>590</v>
      </c>
      <c r="K590" s="31">
        <v>33320</v>
      </c>
      <c r="L590" s="5" t="s">
        <v>87</v>
      </c>
      <c r="M590" s="32">
        <v>0</v>
      </c>
      <c r="N590" s="6">
        <f t="shared" si="92"/>
        <v>0</v>
      </c>
      <c r="O590" s="4" t="s">
        <v>18</v>
      </c>
      <c r="P590" s="5" t="str">
        <f t="shared" si="93"/>
        <v>Ahmedabad</v>
      </c>
      <c r="Q590" s="5" t="str">
        <f t="shared" si="94"/>
        <v>Gynecology</v>
      </c>
      <c r="R590" s="6" t="str">
        <f t="shared" si="95"/>
        <v>Manipal</v>
      </c>
      <c r="S590" s="6" t="str">
        <f t="shared" si="96"/>
        <v>Credit Card</v>
      </c>
      <c r="T590" s="6" t="str">
        <f t="shared" si="97"/>
        <v>Male</v>
      </c>
      <c r="U590" s="6" t="str">
        <f t="shared" ref="U590:U653" si="100">IF(OR(UPPER(TRIM(G590))="GENERAL",UPPER(TRIM(G590))="GENRAL"),"General",IF(UPPER(TRIM(G590))="ICU","ICU","Unknown"))</f>
        <v>ICU</v>
      </c>
      <c r="V590" s="6" t="str" cm="1">
        <f t="array" ref="V590">IF(TRIM(S590)="",INDEX($S$2:$S$1500,MATCH(MAX(COUNTIF($S$2:$S$1500,S590)),COUNTIF($S$2:$S$1500,$S$2:$S$1500),0)),S590)</f>
        <v>Credit Card</v>
      </c>
      <c r="W590" s="7" cm="1">
        <f t="array" ref="W590">IF(OR(TRIM(K590)="",TRIM(K590)="-"), MEDIAN(IF($E$2:$E$1500=E590,$K$2:$K$1500)),  VALUE(SUBSTITUTE(SUBSTITUTE(SUBSTITUTE(K590,"Rs. ",""),"₹",""),",","")))</f>
        <v>33320</v>
      </c>
      <c r="X590" s="8">
        <f t="shared" si="98"/>
        <v>0</v>
      </c>
      <c r="Y590" s="7">
        <f t="shared" si="99"/>
        <v>33320</v>
      </c>
      <c r="Z590" s="9" t="str">
        <f t="shared" si="91"/>
        <v>SENIOR</v>
      </c>
    </row>
    <row r="591" spans="1:26" x14ac:dyDescent="0.3">
      <c r="A591" s="5" t="s">
        <v>1361</v>
      </c>
      <c r="B591" s="5" t="s">
        <v>45</v>
      </c>
      <c r="C591" s="5" t="s">
        <v>46</v>
      </c>
      <c r="D591" s="5" t="s">
        <v>27</v>
      </c>
      <c r="E591" s="5" t="s">
        <v>108</v>
      </c>
      <c r="F591" s="5" t="s">
        <v>124</v>
      </c>
      <c r="G591" s="5" t="s">
        <v>39</v>
      </c>
      <c r="H591" s="5">
        <v>10</v>
      </c>
      <c r="I591" s="5" t="s">
        <v>20</v>
      </c>
      <c r="J591" s="34" t="s">
        <v>225</v>
      </c>
      <c r="K591" s="31">
        <v>8366</v>
      </c>
      <c r="L591" s="5" t="s">
        <v>97</v>
      </c>
      <c r="M591" s="32">
        <v>0</v>
      </c>
      <c r="N591" s="6">
        <f t="shared" si="92"/>
        <v>0</v>
      </c>
      <c r="O591" s="4" t="s">
        <v>124</v>
      </c>
      <c r="P591" s="5" t="str">
        <f t="shared" si="93"/>
        <v>Mumbai</v>
      </c>
      <c r="Q591" s="5" t="str">
        <f t="shared" si="94"/>
        <v>Orthopedics</v>
      </c>
      <c r="R591" s="6" t="str">
        <f t="shared" si="95"/>
        <v>Fortis</v>
      </c>
      <c r="S591" s="6" t="str">
        <f t="shared" si="96"/>
        <v>UPI</v>
      </c>
      <c r="T591" s="6" t="str">
        <f t="shared" si="97"/>
        <v>Male</v>
      </c>
      <c r="U591" s="6" t="str">
        <f t="shared" si="100"/>
        <v>General</v>
      </c>
      <c r="V591" s="6" t="str" cm="1">
        <f t="array" ref="V591">IF(TRIM(S591)="",INDEX($S$2:$S$1500,MATCH(MAX(COUNTIF($S$2:$S$1500,S591)),COUNTIF($S$2:$S$1500,$S$2:$S$1500),0)),S591)</f>
        <v>UPI</v>
      </c>
      <c r="W591" s="7" cm="1">
        <f t="array" ref="W591">IF(OR(TRIM(K591)="",TRIM(K591)="-"), MEDIAN(IF($E$2:$E$1500=E591,$K$2:$K$1500)),  VALUE(SUBSTITUTE(SUBSTITUTE(SUBSTITUTE(K591,"Rs. ",""),"₹",""),",","")))</f>
        <v>8366</v>
      </c>
      <c r="X591" s="8">
        <f t="shared" si="98"/>
        <v>0</v>
      </c>
      <c r="Y591" s="7">
        <f t="shared" si="99"/>
        <v>8366</v>
      </c>
      <c r="Z591" s="9" t="str">
        <f t="shared" si="91"/>
        <v>CHILD</v>
      </c>
    </row>
    <row r="592" spans="1:26" x14ac:dyDescent="0.3">
      <c r="A592" s="5" t="s">
        <v>1362</v>
      </c>
      <c r="B592" s="5" t="s">
        <v>14</v>
      </c>
      <c r="C592" s="5" t="s">
        <v>60</v>
      </c>
      <c r="D592" s="5" t="s">
        <v>80</v>
      </c>
      <c r="E592" s="5" t="s">
        <v>37</v>
      </c>
      <c r="F592" s="5" t="s">
        <v>185</v>
      </c>
      <c r="G592" s="5" t="s">
        <v>19</v>
      </c>
      <c r="H592" s="5">
        <v>47</v>
      </c>
      <c r="I592" s="5" t="s">
        <v>20</v>
      </c>
      <c r="J592" s="34" t="s">
        <v>1300</v>
      </c>
      <c r="K592" s="31"/>
      <c r="L592" s="5" t="s">
        <v>149</v>
      </c>
      <c r="M592" s="32" t="s">
        <v>64</v>
      </c>
      <c r="N592" s="6" t="str">
        <f t="shared" si="92"/>
        <v>NA</v>
      </c>
      <c r="O592" s="4" t="s">
        <v>185</v>
      </c>
      <c r="P592" s="5" t="str">
        <f t="shared" si="93"/>
        <v>Ahmedabad</v>
      </c>
      <c r="Q592" s="5" t="str">
        <f t="shared" si="94"/>
        <v>Pediatrics</v>
      </c>
      <c r="R592" s="6" t="str">
        <f t="shared" si="95"/>
        <v>Max_Healthcare</v>
      </c>
      <c r="S592" s="6" t="str">
        <f t="shared" si="96"/>
        <v>Insurance</v>
      </c>
      <c r="T592" s="6" t="str">
        <f t="shared" si="97"/>
        <v>Male</v>
      </c>
      <c r="U592" s="6" t="str">
        <f t="shared" si="100"/>
        <v>General</v>
      </c>
      <c r="V592" s="6" t="str" cm="1">
        <f t="array" ref="V592">IF(TRIM(S592)="",INDEX($S$2:$S$1500,MATCH(MAX(COUNTIF($S$2:$S$1500,S592)),COUNTIF($S$2:$S$1500,$S$2:$S$1500),0)),S592)</f>
        <v>Insurance</v>
      </c>
      <c r="W592" s="7" cm="1">
        <f t="array" ref="W592">IF(OR(TRIM(K592)="",TRIM(K592)="-"), MEDIAN(IF($E$2:$E$1500=E592,$K$2:$K$1500)),  VALUE(SUBSTITUTE(SUBSTITUTE(SUBSTITUTE(K592,"Rs. ",""),"₹",""),",","")))</f>
        <v>16050</v>
      </c>
      <c r="X592" s="8">
        <f t="shared" si="98"/>
        <v>19</v>
      </c>
      <c r="Y592" s="7">
        <f t="shared" si="99"/>
        <v>13001</v>
      </c>
      <c r="Z592" s="9" t="str">
        <f t="shared" si="91"/>
        <v>ADULT</v>
      </c>
    </row>
    <row r="593" spans="1:26" x14ac:dyDescent="0.3">
      <c r="A593" s="5" t="s">
        <v>1363</v>
      </c>
      <c r="B593" s="5" t="s">
        <v>14</v>
      </c>
      <c r="C593" s="5" t="s">
        <v>60</v>
      </c>
      <c r="D593" s="5" t="s">
        <v>27</v>
      </c>
      <c r="E593" s="5" t="s">
        <v>108</v>
      </c>
      <c r="F593" s="5" t="s">
        <v>308</v>
      </c>
      <c r="G593" s="5" t="s">
        <v>49</v>
      </c>
      <c r="H593" s="5">
        <v>19</v>
      </c>
      <c r="I593" s="5" t="s">
        <v>31</v>
      </c>
      <c r="J593" s="34" t="s">
        <v>894</v>
      </c>
      <c r="K593" s="31">
        <v>6801</v>
      </c>
      <c r="L593" s="5" t="s">
        <v>52</v>
      </c>
      <c r="M593" s="32" t="s">
        <v>130</v>
      </c>
      <c r="N593" s="6">
        <f t="shared" si="92"/>
        <v>0</v>
      </c>
      <c r="O593" s="4" t="s">
        <v>308</v>
      </c>
      <c r="P593" s="5" t="str">
        <f t="shared" si="93"/>
        <v>Mumbai</v>
      </c>
      <c r="Q593" s="5" t="str">
        <f t="shared" si="94"/>
        <v>Orthopedics</v>
      </c>
      <c r="R593" s="6" t="str">
        <f t="shared" si="95"/>
        <v>Max_Healthcare</v>
      </c>
      <c r="S593" s="6" t="str">
        <f t="shared" si="96"/>
        <v>Credit Card</v>
      </c>
      <c r="T593" s="6" t="str">
        <f t="shared" si="97"/>
        <v>Male</v>
      </c>
      <c r="U593" s="6" t="str">
        <f t="shared" si="100"/>
        <v>General</v>
      </c>
      <c r="V593" s="6" t="str" cm="1">
        <f t="array" ref="V593">IF(TRIM(S593)="",INDEX($S$2:$S$1500,MATCH(MAX(COUNTIF($S$2:$S$1500,S593)),COUNTIF($S$2:$S$1500,$S$2:$S$1500),0)),S593)</f>
        <v>Credit Card</v>
      </c>
      <c r="W593" s="7" cm="1">
        <f t="array" ref="W593">IF(OR(TRIM(K593)="",TRIM(K593)="-"), MEDIAN(IF($E$2:$E$1500=E593,$K$2:$K$1500)),  VALUE(SUBSTITUTE(SUBSTITUTE(SUBSTITUTE(K593,"Rs. ",""),"₹",""),",","")))</f>
        <v>6801</v>
      </c>
      <c r="X593" s="8">
        <f t="shared" si="98"/>
        <v>0</v>
      </c>
      <c r="Y593" s="7">
        <f t="shared" si="99"/>
        <v>6801</v>
      </c>
      <c r="Z593" s="9" t="str">
        <f t="shared" si="91"/>
        <v>TEEN</v>
      </c>
    </row>
    <row r="594" spans="1:26" x14ac:dyDescent="0.3">
      <c r="A594" s="5" t="s">
        <v>1364</v>
      </c>
      <c r="B594" s="5" t="s">
        <v>78</v>
      </c>
      <c r="C594" s="5" t="s">
        <v>79</v>
      </c>
      <c r="D594" s="5" t="s">
        <v>66</v>
      </c>
      <c r="E594" s="5" t="s">
        <v>28</v>
      </c>
      <c r="F594" s="5" t="s">
        <v>290</v>
      </c>
      <c r="G594" s="5" t="s">
        <v>101</v>
      </c>
      <c r="H594" s="5">
        <v>46</v>
      </c>
      <c r="I594" s="5" t="s">
        <v>70</v>
      </c>
      <c r="J594" s="34" t="s">
        <v>1365</v>
      </c>
      <c r="K594" s="31" t="s">
        <v>1366</v>
      </c>
      <c r="L594" s="5" t="s">
        <v>211</v>
      </c>
      <c r="M594" s="32" t="s">
        <v>130</v>
      </c>
      <c r="N594" s="6">
        <f t="shared" si="92"/>
        <v>0</v>
      </c>
      <c r="O594" s="4" t="s">
        <v>290</v>
      </c>
      <c r="P594" s="5" t="str">
        <f t="shared" si="93"/>
        <v>Kolkata</v>
      </c>
      <c r="Q594" s="5" t="str">
        <f t="shared" si="94"/>
        <v>Oncology</v>
      </c>
      <c r="R594" s="6" t="str">
        <f t="shared" si="95"/>
        <v>Apollo</v>
      </c>
      <c r="S594" s="6" t="str">
        <f t="shared" si="96"/>
        <v>Credit Card</v>
      </c>
      <c r="T594" s="6" t="str">
        <f t="shared" si="97"/>
        <v>Female</v>
      </c>
      <c r="U594" s="6" t="str">
        <f t="shared" si="100"/>
        <v>ICU</v>
      </c>
      <c r="V594" s="6" t="str" cm="1">
        <f t="array" ref="V594">IF(TRIM(S594)="",INDEX($S$2:$S$1500,MATCH(MAX(COUNTIF($S$2:$S$1500,S594)),COUNTIF($S$2:$S$1500,$S$2:$S$1500),0)),S594)</f>
        <v>Credit Card</v>
      </c>
      <c r="W594" s="7" cm="1">
        <f t="array" ref="W594">IF(OR(TRIM(K594)="",TRIM(K594)="-"), MEDIAN(IF($E$2:$E$1500=E594,$K$2:$K$1500)),  VALUE(SUBSTITUTE(SUBSTITUTE(SUBSTITUTE(K594,"Rs. ",""),"₹",""),",","")))</f>
        <v>31043</v>
      </c>
      <c r="X594" s="8">
        <f t="shared" si="98"/>
        <v>0</v>
      </c>
      <c r="Y594" s="7">
        <f t="shared" si="99"/>
        <v>31043</v>
      </c>
      <c r="Z594" s="9" t="str">
        <f t="shared" si="91"/>
        <v>ADULT</v>
      </c>
    </row>
    <row r="595" spans="1:26" x14ac:dyDescent="0.3">
      <c r="A595" s="5" t="s">
        <v>1367</v>
      </c>
      <c r="B595" s="5" t="s">
        <v>14</v>
      </c>
      <c r="C595" s="5" t="s">
        <v>15</v>
      </c>
      <c r="D595" s="5" t="s">
        <v>189</v>
      </c>
      <c r="E595" s="5" t="s">
        <v>74</v>
      </c>
      <c r="F595" s="5" t="s">
        <v>75</v>
      </c>
      <c r="G595" s="5" t="s">
        <v>39</v>
      </c>
      <c r="H595" s="5">
        <v>37</v>
      </c>
      <c r="I595" s="5" t="s">
        <v>20</v>
      </c>
      <c r="J595" s="34" t="s">
        <v>186</v>
      </c>
      <c r="K595" s="31" t="s">
        <v>1368</v>
      </c>
      <c r="L595" s="5" t="s">
        <v>72</v>
      </c>
      <c r="M595" s="32">
        <v>5</v>
      </c>
      <c r="N595" s="6">
        <f t="shared" si="92"/>
        <v>5</v>
      </c>
      <c r="O595" s="4" t="s">
        <v>75</v>
      </c>
      <c r="P595" s="5" t="str">
        <f t="shared" si="93"/>
        <v>Delhi</v>
      </c>
      <c r="Q595" s="5" t="str">
        <f t="shared" si="94"/>
        <v>General Medicine</v>
      </c>
      <c r="R595" s="6" t="str">
        <f t="shared" si="95"/>
        <v>Max_Healthcare</v>
      </c>
      <c r="S595" s="6" t="str">
        <f t="shared" si="96"/>
        <v>Cash</v>
      </c>
      <c r="T595" s="6" t="str">
        <f t="shared" si="97"/>
        <v>Male</v>
      </c>
      <c r="U595" s="6" t="str">
        <f t="shared" si="100"/>
        <v>General</v>
      </c>
      <c r="V595" s="6" t="str" cm="1">
        <f t="array" ref="V595">IF(TRIM(S595)="",INDEX($S$2:$S$1500,MATCH(MAX(COUNTIF($S$2:$S$1500,S595)),COUNTIF($S$2:$S$1500,$S$2:$S$1500),0)),S595)</f>
        <v>Cash</v>
      </c>
      <c r="W595" s="7" cm="1">
        <f t="array" ref="W595">IF(OR(TRIM(K595)="",TRIM(K595)="-"), MEDIAN(IF($E$2:$E$1500=E595,$K$2:$K$1500)),  VALUE(SUBSTITUTE(SUBSTITUTE(SUBSTITUTE(K595,"Rs. ",""),"₹",""),",","")))</f>
        <v>17062</v>
      </c>
      <c r="X595" s="8">
        <f t="shared" si="98"/>
        <v>5</v>
      </c>
      <c r="Y595" s="7">
        <f t="shared" si="99"/>
        <v>16209</v>
      </c>
      <c r="Z595" s="9" t="str">
        <f t="shared" si="91"/>
        <v>ADULT</v>
      </c>
    </row>
    <row r="596" spans="1:26" x14ac:dyDescent="0.3">
      <c r="A596" s="5" t="s">
        <v>1369</v>
      </c>
      <c r="B596" s="5" t="s">
        <v>117</v>
      </c>
      <c r="C596" s="5" t="s">
        <v>118</v>
      </c>
      <c r="D596" s="5" t="s">
        <v>189</v>
      </c>
      <c r="E596" s="5" t="s">
        <v>17</v>
      </c>
      <c r="F596" s="5" t="s">
        <v>135</v>
      </c>
      <c r="G596" s="5" t="s">
        <v>39</v>
      </c>
      <c r="H596" s="5">
        <v>40</v>
      </c>
      <c r="I596" s="5" t="s">
        <v>31</v>
      </c>
      <c r="J596" s="34" t="s">
        <v>829</v>
      </c>
      <c r="K596" s="31" t="s">
        <v>1370</v>
      </c>
      <c r="L596" s="5" t="s">
        <v>115</v>
      </c>
      <c r="M596" s="32"/>
      <c r="N596" s="6">
        <f t="shared" si="92"/>
        <v>0</v>
      </c>
      <c r="O596" s="4" t="s">
        <v>135</v>
      </c>
      <c r="P596" s="5" t="str">
        <f t="shared" si="93"/>
        <v>Delhi</v>
      </c>
      <c r="Q596" s="5" t="str">
        <f t="shared" si="94"/>
        <v>Gynecology</v>
      </c>
      <c r="R596" s="6" t="str">
        <f t="shared" si="95"/>
        <v>Manipal</v>
      </c>
      <c r="S596" s="6" t="str">
        <f t="shared" si="96"/>
        <v>Cash</v>
      </c>
      <c r="T596" s="6" t="str">
        <f t="shared" si="97"/>
        <v>Male</v>
      </c>
      <c r="U596" s="6" t="str">
        <f t="shared" si="100"/>
        <v>General</v>
      </c>
      <c r="V596" s="6" t="str" cm="1">
        <f t="array" ref="V596">IF(TRIM(S596)="",INDEX($S$2:$S$1500,MATCH(MAX(COUNTIF($S$2:$S$1500,S596)),COUNTIF($S$2:$S$1500,$S$2:$S$1500),0)),S596)</f>
        <v>Cash</v>
      </c>
      <c r="W596" s="7" cm="1">
        <f t="array" ref="W596">IF(OR(TRIM(K596)="",TRIM(K596)="-"), MEDIAN(IF($E$2:$E$1500=E596,$K$2:$K$1500)),  VALUE(SUBSTITUTE(SUBSTITUTE(SUBSTITUTE(K596,"Rs. ",""),"₹",""),",","")))</f>
        <v>6479</v>
      </c>
      <c r="X596" s="8">
        <f t="shared" si="98"/>
        <v>0</v>
      </c>
      <c r="Y596" s="7">
        <f t="shared" si="99"/>
        <v>6479</v>
      </c>
      <c r="Z596" s="9" t="str">
        <f t="shared" si="91"/>
        <v>ADULT</v>
      </c>
    </row>
    <row r="597" spans="1:26" x14ac:dyDescent="0.3">
      <c r="A597" s="5" t="s">
        <v>1371</v>
      </c>
      <c r="B597" s="5" t="s">
        <v>25</v>
      </c>
      <c r="C597" s="5" t="s">
        <v>54</v>
      </c>
      <c r="D597" s="5" t="s">
        <v>55</v>
      </c>
      <c r="E597" s="5" t="s">
        <v>47</v>
      </c>
      <c r="F597" s="5" t="s">
        <v>48</v>
      </c>
      <c r="G597" s="5" t="s">
        <v>19</v>
      </c>
      <c r="H597" s="5">
        <v>88</v>
      </c>
      <c r="I597" s="5" t="s">
        <v>20</v>
      </c>
      <c r="J597" s="34" t="s">
        <v>694</v>
      </c>
      <c r="K597" s="31">
        <v>8067</v>
      </c>
      <c r="L597" s="5" t="s">
        <v>115</v>
      </c>
      <c r="M597" s="32" t="s">
        <v>130</v>
      </c>
      <c r="N597" s="6">
        <f t="shared" si="92"/>
        <v>0</v>
      </c>
      <c r="O597" s="4" t="s">
        <v>48</v>
      </c>
      <c r="P597" s="5" t="str">
        <f t="shared" si="93"/>
        <v>Hyderabad</v>
      </c>
      <c r="Q597" s="5" t="str">
        <f t="shared" si="94"/>
        <v>Gastroenterology</v>
      </c>
      <c r="R597" s="6" t="str">
        <f t="shared" si="95"/>
        <v>Narayana</v>
      </c>
      <c r="S597" s="6" t="str">
        <f t="shared" si="96"/>
        <v>Cash</v>
      </c>
      <c r="T597" s="6" t="str">
        <f t="shared" si="97"/>
        <v>Male</v>
      </c>
      <c r="U597" s="6" t="str">
        <f t="shared" si="100"/>
        <v>General</v>
      </c>
      <c r="V597" s="6" t="str" cm="1">
        <f t="array" ref="V597">IF(TRIM(S597)="",INDEX($S$2:$S$1500,MATCH(MAX(COUNTIF($S$2:$S$1500,S597)),COUNTIF($S$2:$S$1500,$S$2:$S$1500),0)),S597)</f>
        <v>Cash</v>
      </c>
      <c r="W597" s="7" cm="1">
        <f t="array" ref="W597">IF(OR(TRIM(K597)="",TRIM(K597)="-"), MEDIAN(IF($E$2:$E$1500=E597,$K$2:$K$1500)),  VALUE(SUBSTITUTE(SUBSTITUTE(SUBSTITUTE(K597,"Rs. ",""),"₹",""),",","")))</f>
        <v>8067</v>
      </c>
      <c r="X597" s="8">
        <f t="shared" si="98"/>
        <v>0</v>
      </c>
      <c r="Y597" s="7">
        <f t="shared" si="99"/>
        <v>8067</v>
      </c>
      <c r="Z597" s="9" t="str">
        <f t="shared" si="91"/>
        <v>SENIOR</v>
      </c>
    </row>
    <row r="598" spans="1:26" x14ac:dyDescent="0.3">
      <c r="A598" s="5" t="s">
        <v>1372</v>
      </c>
      <c r="B598" s="5" t="s">
        <v>78</v>
      </c>
      <c r="C598" s="5" t="s">
        <v>161</v>
      </c>
      <c r="D598" s="5" t="s">
        <v>66</v>
      </c>
      <c r="E598" s="5" t="s">
        <v>47</v>
      </c>
      <c r="F598" s="5" t="s">
        <v>48</v>
      </c>
      <c r="G598" s="5" t="s">
        <v>49</v>
      </c>
      <c r="H598" s="5">
        <v>7</v>
      </c>
      <c r="I598" s="5" t="s">
        <v>20</v>
      </c>
      <c r="J598" s="34" t="s">
        <v>751</v>
      </c>
      <c r="K598" s="31">
        <v>18665</v>
      </c>
      <c r="L598" s="5" t="s">
        <v>104</v>
      </c>
      <c r="M598" s="32"/>
      <c r="N598" s="6">
        <f t="shared" si="92"/>
        <v>0</v>
      </c>
      <c r="O598" s="4" t="s">
        <v>48</v>
      </c>
      <c r="P598" s="5" t="str">
        <f t="shared" si="93"/>
        <v>Kolkata</v>
      </c>
      <c r="Q598" s="5" t="str">
        <f t="shared" si="94"/>
        <v>Gastroenterology</v>
      </c>
      <c r="R598" s="6" t="str">
        <f t="shared" si="95"/>
        <v>Apollo</v>
      </c>
      <c r="S598" s="6" t="str">
        <f t="shared" si="96"/>
        <v>Insurance</v>
      </c>
      <c r="T598" s="6" t="str">
        <f t="shared" si="97"/>
        <v>Male</v>
      </c>
      <c r="U598" s="6" t="str">
        <f t="shared" si="100"/>
        <v>General</v>
      </c>
      <c r="V598" s="6" t="str" cm="1">
        <f t="array" ref="V598">IF(TRIM(S598)="",INDEX($S$2:$S$1500,MATCH(MAX(COUNTIF($S$2:$S$1500,S598)),COUNTIF($S$2:$S$1500,$S$2:$S$1500),0)),S598)</f>
        <v>Insurance</v>
      </c>
      <c r="W598" s="7" cm="1">
        <f t="array" ref="W598">IF(OR(TRIM(K598)="",TRIM(K598)="-"), MEDIAN(IF($E$2:$E$1500=E598,$K$2:$K$1500)),  VALUE(SUBSTITUTE(SUBSTITUTE(SUBSTITUTE(K598,"Rs. ",""),"₹",""),",","")))</f>
        <v>18665</v>
      </c>
      <c r="X598" s="8">
        <f t="shared" si="98"/>
        <v>0</v>
      </c>
      <c r="Y598" s="7">
        <f t="shared" si="99"/>
        <v>18665</v>
      </c>
      <c r="Z598" s="9" t="str">
        <f t="shared" si="91"/>
        <v>CHILD</v>
      </c>
    </row>
    <row r="599" spans="1:26" x14ac:dyDescent="0.3">
      <c r="A599" s="5" t="s">
        <v>1373</v>
      </c>
      <c r="B599" s="5" t="s">
        <v>45</v>
      </c>
      <c r="C599" s="5" t="s">
        <v>334</v>
      </c>
      <c r="D599" s="5" t="s">
        <v>55</v>
      </c>
      <c r="E599" s="5" t="s">
        <v>67</v>
      </c>
      <c r="F599" s="5" t="s">
        <v>68</v>
      </c>
      <c r="G599" s="5" t="s">
        <v>39</v>
      </c>
      <c r="H599" s="5">
        <v>58</v>
      </c>
      <c r="I599" s="5" t="s">
        <v>31</v>
      </c>
      <c r="J599" s="34" t="s">
        <v>1374</v>
      </c>
      <c r="K599" s="31">
        <v>6791</v>
      </c>
      <c r="L599" s="5" t="s">
        <v>91</v>
      </c>
      <c r="M599" s="32">
        <v>10</v>
      </c>
      <c r="N599" s="6">
        <f t="shared" si="92"/>
        <v>10</v>
      </c>
      <c r="O599" s="4" t="s">
        <v>68</v>
      </c>
      <c r="P599" s="5" t="str">
        <f t="shared" si="93"/>
        <v>Hyderabad</v>
      </c>
      <c r="Q599" s="5" t="str">
        <f t="shared" si="94"/>
        <v>Neurology</v>
      </c>
      <c r="R599" s="6" t="str">
        <f t="shared" si="95"/>
        <v>Fortis</v>
      </c>
      <c r="S599" s="6" t="str">
        <f t="shared" si="96"/>
        <v>Debit Card</v>
      </c>
      <c r="T599" s="6" t="str">
        <f t="shared" si="97"/>
        <v>Male</v>
      </c>
      <c r="U599" s="6" t="str">
        <f t="shared" si="100"/>
        <v>General</v>
      </c>
      <c r="V599" s="6" t="str" cm="1">
        <f t="array" ref="V599">IF(TRIM(S599)="",INDEX($S$2:$S$1500,MATCH(MAX(COUNTIF($S$2:$S$1500,S599)),COUNTIF($S$2:$S$1500,$S$2:$S$1500),0)),S599)</f>
        <v>Debit Card</v>
      </c>
      <c r="W599" s="7" cm="1">
        <f t="array" ref="W599">IF(OR(TRIM(K599)="",TRIM(K599)="-"), MEDIAN(IF($E$2:$E$1500=E599,$K$2:$K$1500)),  VALUE(SUBSTITUTE(SUBSTITUTE(SUBSTITUTE(K599,"Rs. ",""),"₹",""),",","")))</f>
        <v>6791</v>
      </c>
      <c r="X599" s="8">
        <f t="shared" si="98"/>
        <v>10</v>
      </c>
      <c r="Y599" s="7">
        <f t="shared" si="99"/>
        <v>6112</v>
      </c>
      <c r="Z599" s="9" t="str">
        <f t="shared" si="91"/>
        <v>ADULT</v>
      </c>
    </row>
    <row r="600" spans="1:26" x14ac:dyDescent="0.3">
      <c r="A600" s="5" t="s">
        <v>1375</v>
      </c>
      <c r="B600" s="5" t="s">
        <v>78</v>
      </c>
      <c r="C600" s="5" t="s">
        <v>79</v>
      </c>
      <c r="D600" s="5" t="s">
        <v>55</v>
      </c>
      <c r="E600" s="5" t="s">
        <v>28</v>
      </c>
      <c r="F600" s="5" t="s">
        <v>268</v>
      </c>
      <c r="G600" s="5" t="s">
        <v>19</v>
      </c>
      <c r="H600" s="5">
        <v>61</v>
      </c>
      <c r="I600" s="5" t="s">
        <v>70</v>
      </c>
      <c r="J600" s="34" t="s">
        <v>309</v>
      </c>
      <c r="K600" s="31">
        <v>16947</v>
      </c>
      <c r="L600" s="5" t="s">
        <v>23</v>
      </c>
      <c r="M600" s="32"/>
      <c r="N600" s="6">
        <f t="shared" si="92"/>
        <v>0</v>
      </c>
      <c r="O600" s="4" t="s">
        <v>268</v>
      </c>
      <c r="P600" s="5" t="str">
        <f t="shared" si="93"/>
        <v>Hyderabad</v>
      </c>
      <c r="Q600" s="5" t="str">
        <f t="shared" si="94"/>
        <v>Oncology</v>
      </c>
      <c r="R600" s="6" t="str">
        <f t="shared" si="95"/>
        <v>Apollo</v>
      </c>
      <c r="S600" s="6" t="str">
        <f t="shared" si="96"/>
        <v>Credit Card</v>
      </c>
      <c r="T600" s="6" t="str">
        <f t="shared" si="97"/>
        <v>Female</v>
      </c>
      <c r="U600" s="6" t="str">
        <f t="shared" si="100"/>
        <v>General</v>
      </c>
      <c r="V600" s="6" t="str" cm="1">
        <f t="array" ref="V600">IF(TRIM(S600)="",INDEX($S$2:$S$1500,MATCH(MAX(COUNTIF($S$2:$S$1500,S600)),COUNTIF($S$2:$S$1500,$S$2:$S$1500),0)),S600)</f>
        <v>Credit Card</v>
      </c>
      <c r="W600" s="7" cm="1">
        <f t="array" ref="W600">IF(OR(TRIM(K600)="",TRIM(K600)="-"), MEDIAN(IF($E$2:$E$1500=E600,$K$2:$K$1500)),  VALUE(SUBSTITUTE(SUBSTITUTE(SUBSTITUTE(K600,"Rs. ",""),"₹",""),",","")))</f>
        <v>16947</v>
      </c>
      <c r="X600" s="8">
        <f t="shared" si="98"/>
        <v>0</v>
      </c>
      <c r="Y600" s="7">
        <f t="shared" si="99"/>
        <v>16947</v>
      </c>
      <c r="Z600" s="9" t="str">
        <f t="shared" si="91"/>
        <v>SENIOR</v>
      </c>
    </row>
    <row r="601" spans="1:26" x14ac:dyDescent="0.3">
      <c r="A601" s="5" t="s">
        <v>1376</v>
      </c>
      <c r="B601" s="5" t="s">
        <v>45</v>
      </c>
      <c r="C601" s="5" t="s">
        <v>46</v>
      </c>
      <c r="D601" s="5" t="s">
        <v>80</v>
      </c>
      <c r="E601" s="5" t="s">
        <v>93</v>
      </c>
      <c r="F601" s="5" t="s">
        <v>207</v>
      </c>
      <c r="G601" s="5"/>
      <c r="H601" s="5">
        <v>56</v>
      </c>
      <c r="I601" s="5" t="s">
        <v>70</v>
      </c>
      <c r="J601" s="34" t="s">
        <v>231</v>
      </c>
      <c r="K601" s="31">
        <v>7842</v>
      </c>
      <c r="L601" s="5" t="s">
        <v>115</v>
      </c>
      <c r="M601" s="32">
        <v>0.1</v>
      </c>
      <c r="N601" s="6">
        <f t="shared" si="92"/>
        <v>10</v>
      </c>
      <c r="O601" s="4" t="s">
        <v>207</v>
      </c>
      <c r="P601" s="5" t="str">
        <f t="shared" si="93"/>
        <v>Ahmedabad</v>
      </c>
      <c r="Q601" s="5" t="str">
        <f t="shared" si="94"/>
        <v>Nephrology</v>
      </c>
      <c r="R601" s="6" t="str">
        <f t="shared" si="95"/>
        <v>Fortis</v>
      </c>
      <c r="S601" s="6" t="str">
        <f t="shared" si="96"/>
        <v>Cash</v>
      </c>
      <c r="T601" s="6" t="str">
        <f t="shared" si="97"/>
        <v>Female</v>
      </c>
      <c r="U601" s="6" t="str">
        <f t="shared" si="100"/>
        <v>Unknown</v>
      </c>
      <c r="V601" s="6" t="str" cm="1">
        <f t="array" ref="V601">IF(TRIM(S601)="",INDEX($S$2:$S$1500,MATCH(MAX(COUNTIF($S$2:$S$1500,S601)),COUNTIF($S$2:$S$1500,$S$2:$S$1500),0)),S601)</f>
        <v>Cash</v>
      </c>
      <c r="W601" s="7" cm="1">
        <f t="array" ref="W601">IF(OR(TRIM(K601)="",TRIM(K601)="-"), MEDIAN(IF($E$2:$E$1500=E601,$K$2:$K$1500)),  VALUE(SUBSTITUTE(SUBSTITUTE(SUBSTITUTE(K601,"Rs. ",""),"₹",""),",","")))</f>
        <v>7842</v>
      </c>
      <c r="X601" s="8">
        <f t="shared" si="98"/>
        <v>10</v>
      </c>
      <c r="Y601" s="7">
        <f t="shared" si="99"/>
        <v>7058</v>
      </c>
      <c r="Z601" s="9" t="str">
        <f t="shared" si="91"/>
        <v>ADULT</v>
      </c>
    </row>
    <row r="602" spans="1:26" x14ac:dyDescent="0.3">
      <c r="A602" s="5" t="s">
        <v>1377</v>
      </c>
      <c r="B602" s="5" t="s">
        <v>45</v>
      </c>
      <c r="C602" s="5" t="s">
        <v>46</v>
      </c>
      <c r="D602" s="5" t="s">
        <v>80</v>
      </c>
      <c r="E602" s="5" t="s">
        <v>17</v>
      </c>
      <c r="F602" s="5" t="s">
        <v>135</v>
      </c>
      <c r="G602" s="5" t="s">
        <v>101</v>
      </c>
      <c r="H602" s="5">
        <v>76</v>
      </c>
      <c r="I602" s="5" t="s">
        <v>40</v>
      </c>
      <c r="J602" s="34" t="s">
        <v>1104</v>
      </c>
      <c r="K602" s="31">
        <v>87278</v>
      </c>
      <c r="L602" s="5" t="s">
        <v>149</v>
      </c>
      <c r="M602" s="32" t="s">
        <v>43</v>
      </c>
      <c r="N602" s="6">
        <f t="shared" si="92"/>
        <v>18</v>
      </c>
      <c r="O602" s="4" t="s">
        <v>135</v>
      </c>
      <c r="P602" s="5" t="str">
        <f t="shared" si="93"/>
        <v>Ahmedabad</v>
      </c>
      <c r="Q602" s="5" t="str">
        <f t="shared" si="94"/>
        <v>Gynecology</v>
      </c>
      <c r="R602" s="6" t="str">
        <f t="shared" si="95"/>
        <v>Fortis</v>
      </c>
      <c r="S602" s="6" t="str">
        <f t="shared" si="96"/>
        <v>Insurance</v>
      </c>
      <c r="T602" s="6" t="str">
        <f t="shared" si="97"/>
        <v>Female</v>
      </c>
      <c r="U602" s="6" t="str">
        <f t="shared" si="100"/>
        <v>ICU</v>
      </c>
      <c r="V602" s="6" t="str" cm="1">
        <f t="array" ref="V602">IF(TRIM(S602)="",INDEX($S$2:$S$1500,MATCH(MAX(COUNTIF($S$2:$S$1500,S602)),COUNTIF($S$2:$S$1500,$S$2:$S$1500),0)),S602)</f>
        <v>Insurance</v>
      </c>
      <c r="W602" s="7" cm="1">
        <f t="array" ref="W602">IF(OR(TRIM(K602)="",TRIM(K602)="-"), MEDIAN(IF($E$2:$E$1500=E602,$K$2:$K$1500)),  VALUE(SUBSTITUTE(SUBSTITUTE(SUBSTITUTE(K602,"Rs. ",""),"₹",""),",","")))</f>
        <v>87278</v>
      </c>
      <c r="X602" s="8">
        <f t="shared" si="98"/>
        <v>18</v>
      </c>
      <c r="Y602" s="7">
        <f t="shared" si="99"/>
        <v>71568</v>
      </c>
      <c r="Z602" s="9" t="str">
        <f t="shared" si="91"/>
        <v>SENIOR</v>
      </c>
    </row>
    <row r="603" spans="1:26" x14ac:dyDescent="0.3">
      <c r="A603" s="5" t="s">
        <v>1378</v>
      </c>
      <c r="B603" s="5" t="s">
        <v>117</v>
      </c>
      <c r="C603" s="5" t="s">
        <v>118</v>
      </c>
      <c r="D603" s="5" t="s">
        <v>27</v>
      </c>
      <c r="E603" s="5" t="s">
        <v>17</v>
      </c>
      <c r="F603" s="5" t="s">
        <v>213</v>
      </c>
      <c r="G603" s="5" t="s">
        <v>39</v>
      </c>
      <c r="H603" s="5">
        <v>34</v>
      </c>
      <c r="I603" s="5" t="s">
        <v>20</v>
      </c>
      <c r="J603" s="34" t="s">
        <v>1109</v>
      </c>
      <c r="K603" s="31" t="s">
        <v>1379</v>
      </c>
      <c r="L603" s="5" t="s">
        <v>97</v>
      </c>
      <c r="M603" s="32" t="s">
        <v>64</v>
      </c>
      <c r="N603" s="6" t="str">
        <f t="shared" si="92"/>
        <v>NA</v>
      </c>
      <c r="O603" s="4" t="s">
        <v>213</v>
      </c>
      <c r="P603" s="5" t="str">
        <f t="shared" si="93"/>
        <v>Mumbai</v>
      </c>
      <c r="Q603" s="5" t="str">
        <f t="shared" si="94"/>
        <v>Gynecology</v>
      </c>
      <c r="R603" s="6" t="str">
        <f t="shared" si="95"/>
        <v>Manipal</v>
      </c>
      <c r="S603" s="6" t="str">
        <f t="shared" si="96"/>
        <v>UPI</v>
      </c>
      <c r="T603" s="6" t="str">
        <f t="shared" si="97"/>
        <v>Male</v>
      </c>
      <c r="U603" s="6" t="str">
        <f t="shared" si="100"/>
        <v>General</v>
      </c>
      <c r="V603" s="6" t="str" cm="1">
        <f t="array" ref="V603">IF(TRIM(S603)="",INDEX($S$2:$S$1500,MATCH(MAX(COUNTIF($S$2:$S$1500,S603)),COUNTIF($S$2:$S$1500,$S$2:$S$1500),0)),S603)</f>
        <v>UPI</v>
      </c>
      <c r="W603" s="7" cm="1">
        <f t="array" ref="W603">IF(OR(TRIM(K603)="",TRIM(K603)="-"), MEDIAN(IF($E$2:$E$1500=E603,$K$2:$K$1500)),  VALUE(SUBSTITUTE(SUBSTITUTE(SUBSTITUTE(K603,"Rs. ",""),"₹",""),",","")))</f>
        <v>19577</v>
      </c>
      <c r="X603" s="8">
        <f t="shared" si="98"/>
        <v>3</v>
      </c>
      <c r="Y603" s="7">
        <f t="shared" si="99"/>
        <v>18990</v>
      </c>
      <c r="Z603" s="9" t="str">
        <f t="shared" si="91"/>
        <v>ADULT</v>
      </c>
    </row>
    <row r="604" spans="1:26" x14ac:dyDescent="0.3">
      <c r="A604" s="5" t="s">
        <v>1380</v>
      </c>
      <c r="B604" s="5" t="s">
        <v>45</v>
      </c>
      <c r="C604" s="5" t="s">
        <v>334</v>
      </c>
      <c r="D604" s="5" t="s">
        <v>61</v>
      </c>
      <c r="E604" s="5" t="s">
        <v>164</v>
      </c>
      <c r="F604" s="5" t="s">
        <v>282</v>
      </c>
      <c r="G604" s="5" t="s">
        <v>101</v>
      </c>
      <c r="H604" s="5">
        <v>72</v>
      </c>
      <c r="I604" s="5" t="s">
        <v>31</v>
      </c>
      <c r="J604" s="34" t="s">
        <v>1381</v>
      </c>
      <c r="K604" s="31" t="s">
        <v>1382</v>
      </c>
      <c r="L604" s="5" t="s">
        <v>211</v>
      </c>
      <c r="M604" s="32">
        <v>0</v>
      </c>
      <c r="N604" s="6">
        <f t="shared" si="92"/>
        <v>0</v>
      </c>
      <c r="O604" s="4" t="s">
        <v>282</v>
      </c>
      <c r="P604" s="5" t="str">
        <f t="shared" si="93"/>
        <v>Pune</v>
      </c>
      <c r="Q604" s="5" t="str">
        <f t="shared" si="94"/>
        <v>Cardiology</v>
      </c>
      <c r="R604" s="6" t="str">
        <f t="shared" si="95"/>
        <v>Fortis</v>
      </c>
      <c r="S604" s="6" t="str">
        <f t="shared" si="96"/>
        <v>Credit Card</v>
      </c>
      <c r="T604" s="6" t="str">
        <f t="shared" si="97"/>
        <v>Male</v>
      </c>
      <c r="U604" s="6" t="str">
        <f t="shared" si="100"/>
        <v>ICU</v>
      </c>
      <c r="V604" s="6" t="str" cm="1">
        <f t="array" ref="V604">IF(TRIM(S604)="",INDEX($S$2:$S$1500,MATCH(MAX(COUNTIF($S$2:$S$1500,S604)),COUNTIF($S$2:$S$1500,$S$2:$S$1500),0)),S604)</f>
        <v>Credit Card</v>
      </c>
      <c r="W604" s="7" cm="1">
        <f t="array" ref="W604">IF(OR(TRIM(K604)="",TRIM(K604)="-"), MEDIAN(IF($E$2:$E$1500=E604,$K$2:$K$1500)),  VALUE(SUBSTITUTE(SUBSTITUTE(SUBSTITUTE(K604,"Rs. ",""),"₹",""),",","")))</f>
        <v>59786</v>
      </c>
      <c r="X604" s="8">
        <f t="shared" si="98"/>
        <v>0</v>
      </c>
      <c r="Y604" s="7">
        <f t="shared" si="99"/>
        <v>59786</v>
      </c>
      <c r="Z604" s="9" t="str">
        <f t="shared" si="91"/>
        <v>SENIOR</v>
      </c>
    </row>
    <row r="605" spans="1:26" x14ac:dyDescent="0.3">
      <c r="A605" s="5" t="s">
        <v>1383</v>
      </c>
      <c r="B605" s="5" t="s">
        <v>117</v>
      </c>
      <c r="C605" s="5" t="s">
        <v>118</v>
      </c>
      <c r="D605" s="5" t="s">
        <v>66</v>
      </c>
      <c r="E605" s="5" t="s">
        <v>67</v>
      </c>
      <c r="F605" s="5" t="s">
        <v>196</v>
      </c>
      <c r="G605" s="5" t="s">
        <v>39</v>
      </c>
      <c r="H605" s="5">
        <v>48</v>
      </c>
      <c r="I605" s="5" t="s">
        <v>70</v>
      </c>
      <c r="J605" s="34" t="s">
        <v>477</v>
      </c>
      <c r="K605" s="31" t="s">
        <v>1384</v>
      </c>
      <c r="L605" s="5" t="s">
        <v>149</v>
      </c>
      <c r="M605" s="32" t="s">
        <v>1385</v>
      </c>
      <c r="N605" s="6">
        <f t="shared" si="92"/>
        <v>20</v>
      </c>
      <c r="O605" s="4" t="s">
        <v>196</v>
      </c>
      <c r="P605" s="5" t="str">
        <f t="shared" si="93"/>
        <v>Kolkata</v>
      </c>
      <c r="Q605" s="5" t="str">
        <f t="shared" si="94"/>
        <v>Neurology</v>
      </c>
      <c r="R605" s="6" t="str">
        <f t="shared" si="95"/>
        <v>Manipal</v>
      </c>
      <c r="S605" s="6" t="str">
        <f t="shared" si="96"/>
        <v>Insurance</v>
      </c>
      <c r="T605" s="6" t="str">
        <f t="shared" si="97"/>
        <v>Female</v>
      </c>
      <c r="U605" s="6" t="str">
        <f t="shared" si="100"/>
        <v>General</v>
      </c>
      <c r="V605" s="6" t="str" cm="1">
        <f t="array" ref="V605">IF(TRIM(S605)="",INDEX($S$2:$S$1500,MATCH(MAX(COUNTIF($S$2:$S$1500,S605)),COUNTIF($S$2:$S$1500,$S$2:$S$1500),0)),S605)</f>
        <v>Insurance</v>
      </c>
      <c r="W605" s="7" cm="1">
        <f t="array" ref="W605">IF(OR(TRIM(K605)="",TRIM(K605)="-"), MEDIAN(IF($E$2:$E$1500=E605,$K$2:$K$1500)),  VALUE(SUBSTITUTE(SUBSTITUTE(SUBSTITUTE(K605,"Rs. ",""),"₹",""),",","")))</f>
        <v>18116</v>
      </c>
      <c r="X605" s="8">
        <f t="shared" si="98"/>
        <v>20</v>
      </c>
      <c r="Y605" s="7">
        <f t="shared" si="99"/>
        <v>14493</v>
      </c>
      <c r="Z605" s="9" t="str">
        <f t="shared" si="91"/>
        <v>ADULT</v>
      </c>
    </row>
    <row r="606" spans="1:26" x14ac:dyDescent="0.3">
      <c r="A606" s="5" t="s">
        <v>1386</v>
      </c>
      <c r="B606" s="5" t="s">
        <v>117</v>
      </c>
      <c r="C606" s="5" t="s">
        <v>118</v>
      </c>
      <c r="D606" s="5" t="s">
        <v>61</v>
      </c>
      <c r="E606" s="5" t="s">
        <v>67</v>
      </c>
      <c r="F606" s="5" t="s">
        <v>196</v>
      </c>
      <c r="G606" s="5" t="s">
        <v>30</v>
      </c>
      <c r="H606" s="5">
        <v>89</v>
      </c>
      <c r="I606" s="5" t="s">
        <v>40</v>
      </c>
      <c r="J606" s="34" t="s">
        <v>921</v>
      </c>
      <c r="K606" s="31">
        <v>11712</v>
      </c>
      <c r="L606" s="5" t="s">
        <v>311</v>
      </c>
      <c r="M606" s="32">
        <v>0</v>
      </c>
      <c r="N606" s="6">
        <f t="shared" si="92"/>
        <v>0</v>
      </c>
      <c r="O606" s="4" t="s">
        <v>196</v>
      </c>
      <c r="P606" s="5" t="str">
        <f t="shared" si="93"/>
        <v>Pune</v>
      </c>
      <c r="Q606" s="5" t="str">
        <f t="shared" si="94"/>
        <v>Neurology</v>
      </c>
      <c r="R606" s="6" t="str">
        <f t="shared" si="95"/>
        <v>Manipal</v>
      </c>
      <c r="S606" s="6" t="str">
        <f t="shared" si="96"/>
        <v>UPI</v>
      </c>
      <c r="T606" s="6" t="str">
        <f t="shared" si="97"/>
        <v>Female</v>
      </c>
      <c r="U606" s="6" t="str">
        <f t="shared" si="100"/>
        <v>General</v>
      </c>
      <c r="V606" s="6" t="str" cm="1">
        <f t="array" ref="V606">IF(TRIM(S606)="",INDEX($S$2:$S$1500,MATCH(MAX(COUNTIF($S$2:$S$1500,S606)),COUNTIF($S$2:$S$1500,$S$2:$S$1500),0)),S606)</f>
        <v>UPI</v>
      </c>
      <c r="W606" s="7" cm="1">
        <f t="array" ref="W606">IF(OR(TRIM(K606)="",TRIM(K606)="-"), MEDIAN(IF($E$2:$E$1500=E606,$K$2:$K$1500)),  VALUE(SUBSTITUTE(SUBSTITUTE(SUBSTITUTE(K606,"Rs. ",""),"₹",""),",","")))</f>
        <v>11712</v>
      </c>
      <c r="X606" s="8">
        <f t="shared" si="98"/>
        <v>0</v>
      </c>
      <c r="Y606" s="7">
        <f t="shared" si="99"/>
        <v>11712</v>
      </c>
      <c r="Z606" s="9" t="str">
        <f t="shared" si="91"/>
        <v>SENIOR</v>
      </c>
    </row>
    <row r="607" spans="1:26" x14ac:dyDescent="0.3">
      <c r="A607" s="5" t="s">
        <v>1387</v>
      </c>
      <c r="B607" s="5" t="s">
        <v>106</v>
      </c>
      <c r="C607" s="5" t="s">
        <v>107</v>
      </c>
      <c r="D607" s="5" t="s">
        <v>55</v>
      </c>
      <c r="E607" s="5" t="s">
        <v>74</v>
      </c>
      <c r="F607" s="5" t="s">
        <v>147</v>
      </c>
      <c r="G607" s="5" t="s">
        <v>49</v>
      </c>
      <c r="H607" s="5">
        <v>17</v>
      </c>
      <c r="I607" s="5" t="s">
        <v>40</v>
      </c>
      <c r="J607" s="34" t="s">
        <v>1086</v>
      </c>
      <c r="K607" s="31" t="s">
        <v>1388</v>
      </c>
      <c r="L607" s="5" t="s">
        <v>34</v>
      </c>
      <c r="M607" s="32"/>
      <c r="N607" s="6">
        <f t="shared" si="92"/>
        <v>0</v>
      </c>
      <c r="O607" s="4" t="s">
        <v>147</v>
      </c>
      <c r="P607" s="5" t="str">
        <f t="shared" si="93"/>
        <v>Hyderabad</v>
      </c>
      <c r="Q607" s="5" t="str">
        <f t="shared" si="94"/>
        <v>General Medicine</v>
      </c>
      <c r="R607" s="6" t="str">
        <f t="shared" si="95"/>
        <v>Aiims</v>
      </c>
      <c r="S607" s="6" t="str">
        <f t="shared" si="96"/>
        <v>Cash</v>
      </c>
      <c r="T607" s="6" t="str">
        <f t="shared" si="97"/>
        <v>Female</v>
      </c>
      <c r="U607" s="6" t="str">
        <f t="shared" si="100"/>
        <v>General</v>
      </c>
      <c r="V607" s="6" t="str" cm="1">
        <f t="array" ref="V607">IF(TRIM(S607)="",INDEX($S$2:$S$1500,MATCH(MAX(COUNTIF($S$2:$S$1500,S607)),COUNTIF($S$2:$S$1500,$S$2:$S$1500),0)),S607)</f>
        <v>Cash</v>
      </c>
      <c r="W607" s="7" cm="1">
        <f t="array" ref="W607">IF(OR(TRIM(K607)="",TRIM(K607)="-"), MEDIAN(IF($E$2:$E$1500=E607,$K$2:$K$1500)),  VALUE(SUBSTITUTE(SUBSTITUTE(SUBSTITUTE(K607,"Rs. ",""),"₹",""),",","")))</f>
        <v>16844</v>
      </c>
      <c r="X607" s="8">
        <f t="shared" si="98"/>
        <v>0</v>
      </c>
      <c r="Y607" s="7">
        <f t="shared" si="99"/>
        <v>16844</v>
      </c>
      <c r="Z607" s="9" t="str">
        <f t="shared" si="91"/>
        <v>TEEN</v>
      </c>
    </row>
    <row r="608" spans="1:26" x14ac:dyDescent="0.3">
      <c r="A608" s="5" t="s">
        <v>1389</v>
      </c>
      <c r="B608" s="5" t="s">
        <v>25</v>
      </c>
      <c r="C608" s="5" t="s">
        <v>54</v>
      </c>
      <c r="D608" s="5" t="s">
        <v>80</v>
      </c>
      <c r="E608" s="5" t="s">
        <v>17</v>
      </c>
      <c r="F608" s="5" t="s">
        <v>18</v>
      </c>
      <c r="G608" s="5" t="s">
        <v>30</v>
      </c>
      <c r="H608" s="5">
        <v>71</v>
      </c>
      <c r="I608" s="5" t="s">
        <v>20</v>
      </c>
      <c r="J608" s="34" t="s">
        <v>543</v>
      </c>
      <c r="K608" s="31">
        <v>6537</v>
      </c>
      <c r="L608" s="5" t="s">
        <v>97</v>
      </c>
      <c r="M608" s="32">
        <v>10</v>
      </c>
      <c r="N608" s="6">
        <f t="shared" si="92"/>
        <v>10</v>
      </c>
      <c r="O608" s="4" t="s">
        <v>18</v>
      </c>
      <c r="P608" s="5" t="str">
        <f t="shared" si="93"/>
        <v>Ahmedabad</v>
      </c>
      <c r="Q608" s="5" t="str">
        <f t="shared" si="94"/>
        <v>Gynecology</v>
      </c>
      <c r="R608" s="6" t="str">
        <f t="shared" si="95"/>
        <v>Narayana</v>
      </c>
      <c r="S608" s="6" t="str">
        <f t="shared" si="96"/>
        <v>UPI</v>
      </c>
      <c r="T608" s="6" t="str">
        <f t="shared" si="97"/>
        <v>Male</v>
      </c>
      <c r="U608" s="6" t="str">
        <f t="shared" si="100"/>
        <v>General</v>
      </c>
      <c r="V608" s="6" t="str" cm="1">
        <f t="array" ref="V608">IF(TRIM(S608)="",INDEX($S$2:$S$1500,MATCH(MAX(COUNTIF($S$2:$S$1500,S608)),COUNTIF($S$2:$S$1500,$S$2:$S$1500),0)),S608)</f>
        <v>UPI</v>
      </c>
      <c r="W608" s="7" cm="1">
        <f t="array" ref="W608">IF(OR(TRIM(K608)="",TRIM(K608)="-"), MEDIAN(IF($E$2:$E$1500=E608,$K$2:$K$1500)),  VALUE(SUBSTITUTE(SUBSTITUTE(SUBSTITUTE(K608,"Rs. ",""),"₹",""),",","")))</f>
        <v>6537</v>
      </c>
      <c r="X608" s="8">
        <f t="shared" si="98"/>
        <v>10</v>
      </c>
      <c r="Y608" s="7">
        <f t="shared" si="99"/>
        <v>5883</v>
      </c>
      <c r="Z608" s="9" t="str">
        <f t="shared" si="91"/>
        <v>SENIOR</v>
      </c>
    </row>
    <row r="609" spans="1:26" x14ac:dyDescent="0.3">
      <c r="A609" s="5" t="s">
        <v>1390</v>
      </c>
      <c r="B609" s="5" t="s">
        <v>117</v>
      </c>
      <c r="C609" s="5" t="s">
        <v>118</v>
      </c>
      <c r="D609" s="5" t="s">
        <v>61</v>
      </c>
      <c r="E609" s="5" t="s">
        <v>74</v>
      </c>
      <c r="F609" s="5" t="s">
        <v>192</v>
      </c>
      <c r="G609" s="5" t="s">
        <v>69</v>
      </c>
      <c r="H609" s="5">
        <v>13</v>
      </c>
      <c r="I609" s="5" t="s">
        <v>20</v>
      </c>
      <c r="J609" s="34" t="s">
        <v>943</v>
      </c>
      <c r="K609" s="31">
        <v>34226</v>
      </c>
      <c r="L609" s="5" t="s">
        <v>52</v>
      </c>
      <c r="M609" s="32" t="s">
        <v>198</v>
      </c>
      <c r="N609" s="6">
        <f t="shared" si="92"/>
        <v>5</v>
      </c>
      <c r="O609" s="4" t="s">
        <v>192</v>
      </c>
      <c r="P609" s="5" t="str">
        <f t="shared" si="93"/>
        <v>Pune</v>
      </c>
      <c r="Q609" s="5" t="str">
        <f t="shared" si="94"/>
        <v>General Medicine</v>
      </c>
      <c r="R609" s="6" t="str">
        <f t="shared" si="95"/>
        <v>Manipal</v>
      </c>
      <c r="S609" s="6" t="str">
        <f t="shared" si="96"/>
        <v>Credit Card</v>
      </c>
      <c r="T609" s="6" t="str">
        <f t="shared" si="97"/>
        <v>Male</v>
      </c>
      <c r="U609" s="6" t="str">
        <f t="shared" si="100"/>
        <v>ICU</v>
      </c>
      <c r="V609" s="6" t="str" cm="1">
        <f t="array" ref="V609">IF(TRIM(S609)="",INDEX($S$2:$S$1500,MATCH(MAX(COUNTIF($S$2:$S$1500,S609)),COUNTIF($S$2:$S$1500,$S$2:$S$1500),0)),S609)</f>
        <v>Credit Card</v>
      </c>
      <c r="W609" s="7" cm="1">
        <f t="array" ref="W609">IF(OR(TRIM(K609)="",TRIM(K609)="-"), MEDIAN(IF($E$2:$E$1500=E609,$K$2:$K$1500)),  VALUE(SUBSTITUTE(SUBSTITUTE(SUBSTITUTE(K609,"Rs. ",""),"₹",""),",","")))</f>
        <v>34226</v>
      </c>
      <c r="X609" s="8">
        <f t="shared" si="98"/>
        <v>5</v>
      </c>
      <c r="Y609" s="7">
        <f t="shared" si="99"/>
        <v>32515</v>
      </c>
      <c r="Z609" s="9" t="str">
        <f t="shared" si="91"/>
        <v>TEEN</v>
      </c>
    </row>
    <row r="610" spans="1:26" x14ac:dyDescent="0.3">
      <c r="A610" s="5" t="s">
        <v>1391</v>
      </c>
      <c r="B610" s="5" t="s">
        <v>25</v>
      </c>
      <c r="C610" s="5" t="s">
        <v>26</v>
      </c>
      <c r="D610" s="5" t="s">
        <v>27</v>
      </c>
      <c r="E610" s="5" t="s">
        <v>164</v>
      </c>
      <c r="F610" s="5" t="s">
        <v>233</v>
      </c>
      <c r="G610" s="5" t="s">
        <v>101</v>
      </c>
      <c r="H610" s="5">
        <v>52</v>
      </c>
      <c r="I610" s="5" t="s">
        <v>20</v>
      </c>
      <c r="J610" s="34" t="s">
        <v>1392</v>
      </c>
      <c r="K610" s="31" t="s">
        <v>1393</v>
      </c>
      <c r="L610" s="5" t="s">
        <v>167</v>
      </c>
      <c r="M610" s="32">
        <v>5</v>
      </c>
      <c r="N610" s="6">
        <f t="shared" si="92"/>
        <v>5</v>
      </c>
      <c r="O610" s="4" t="s">
        <v>233</v>
      </c>
      <c r="P610" s="5" t="str">
        <f t="shared" si="93"/>
        <v>Mumbai</v>
      </c>
      <c r="Q610" s="5" t="str">
        <f t="shared" si="94"/>
        <v>Cardiology</v>
      </c>
      <c r="R610" s="6" t="str">
        <f t="shared" si="95"/>
        <v>Narayana</v>
      </c>
      <c r="S610" s="6" t="str">
        <f t="shared" si="96"/>
        <v>Insurance</v>
      </c>
      <c r="T610" s="6" t="str">
        <f t="shared" si="97"/>
        <v>Male</v>
      </c>
      <c r="U610" s="6" t="str">
        <f t="shared" si="100"/>
        <v>ICU</v>
      </c>
      <c r="V610" s="6" t="str" cm="1">
        <f t="array" ref="V610">IF(TRIM(S610)="",INDEX($S$2:$S$1500,MATCH(MAX(COUNTIF($S$2:$S$1500,S610)),COUNTIF($S$2:$S$1500,$S$2:$S$1500),0)),S610)</f>
        <v>Insurance</v>
      </c>
      <c r="W610" s="7" cm="1">
        <f t="array" ref="W610">IF(OR(TRIM(K610)="",TRIM(K610)="-"), MEDIAN(IF($E$2:$E$1500=E610,$K$2:$K$1500)),  VALUE(SUBSTITUTE(SUBSTITUTE(SUBSTITUTE(K610,"Rs. ",""),"₹",""),",","")))</f>
        <v>21606</v>
      </c>
      <c r="X610" s="8">
        <f t="shared" si="98"/>
        <v>5</v>
      </c>
      <c r="Y610" s="7">
        <f t="shared" si="99"/>
        <v>20526</v>
      </c>
      <c r="Z610" s="9" t="str">
        <f t="shared" si="91"/>
        <v>ADULT</v>
      </c>
    </row>
    <row r="611" spans="1:26" x14ac:dyDescent="0.3">
      <c r="A611" s="5" t="s">
        <v>1394</v>
      </c>
      <c r="B611" s="5" t="s">
        <v>14</v>
      </c>
      <c r="C611" s="5" t="s">
        <v>15</v>
      </c>
      <c r="D611" s="5" t="s">
        <v>80</v>
      </c>
      <c r="E611" s="5" t="s">
        <v>17</v>
      </c>
      <c r="F611" s="5" t="s">
        <v>135</v>
      </c>
      <c r="G611" s="5" t="s">
        <v>19</v>
      </c>
      <c r="H611" s="5">
        <v>84</v>
      </c>
      <c r="I611" s="5" t="s">
        <v>20</v>
      </c>
      <c r="J611" s="34" t="s">
        <v>402</v>
      </c>
      <c r="K611" s="31">
        <v>19506</v>
      </c>
      <c r="L611" s="5" t="s">
        <v>115</v>
      </c>
      <c r="M611" s="32" t="s">
        <v>140</v>
      </c>
      <c r="N611" s="6" t="str">
        <f t="shared" si="92"/>
        <v>-</v>
      </c>
      <c r="O611" s="4" t="s">
        <v>135</v>
      </c>
      <c r="P611" s="5" t="str">
        <f t="shared" si="93"/>
        <v>Ahmedabad</v>
      </c>
      <c r="Q611" s="5" t="str">
        <f t="shared" si="94"/>
        <v>Gynecology</v>
      </c>
      <c r="R611" s="6" t="str">
        <f t="shared" si="95"/>
        <v>Max_Healthcare</v>
      </c>
      <c r="S611" s="6" t="str">
        <f t="shared" si="96"/>
        <v>Cash</v>
      </c>
      <c r="T611" s="6" t="str">
        <f t="shared" si="97"/>
        <v>Male</v>
      </c>
      <c r="U611" s="6" t="str">
        <f t="shared" si="100"/>
        <v>General</v>
      </c>
      <c r="V611" s="6" t="str" cm="1">
        <f t="array" ref="V611">IF(TRIM(S611)="",INDEX($S$2:$S$1500,MATCH(MAX(COUNTIF($S$2:$S$1500,S611)),COUNTIF($S$2:$S$1500,$S$2:$S$1500),0)),S611)</f>
        <v>Cash</v>
      </c>
      <c r="W611" s="7" cm="1">
        <f t="array" ref="W611">IF(OR(TRIM(K611)="",TRIM(K611)="-"), MEDIAN(IF($E$2:$E$1500=E611,$K$2:$K$1500)),  VALUE(SUBSTITUTE(SUBSTITUTE(SUBSTITUTE(K611,"Rs. ",""),"₹",""),",","")))</f>
        <v>19506</v>
      </c>
      <c r="X611" s="8">
        <f t="shared" si="98"/>
        <v>3</v>
      </c>
      <c r="Y611" s="7">
        <f t="shared" si="99"/>
        <v>18921</v>
      </c>
      <c r="Z611" s="9" t="str">
        <f t="shared" si="91"/>
        <v>SENIOR</v>
      </c>
    </row>
    <row r="612" spans="1:26" x14ac:dyDescent="0.3">
      <c r="A612" s="5" t="s">
        <v>1395</v>
      </c>
      <c r="B612" s="5" t="s">
        <v>25</v>
      </c>
      <c r="C612" s="5" t="s">
        <v>54</v>
      </c>
      <c r="D612" s="5" t="s">
        <v>189</v>
      </c>
      <c r="E612" s="5" t="s">
        <v>28</v>
      </c>
      <c r="F612" s="5" t="s">
        <v>268</v>
      </c>
      <c r="G612" s="5"/>
      <c r="H612" s="5">
        <v>16</v>
      </c>
      <c r="I612" s="5" t="s">
        <v>40</v>
      </c>
      <c r="J612" s="34" t="s">
        <v>1396</v>
      </c>
      <c r="K612" s="31" t="s">
        <v>1397</v>
      </c>
      <c r="L612" s="5" t="s">
        <v>115</v>
      </c>
      <c r="M612" s="32" t="s">
        <v>140</v>
      </c>
      <c r="N612" s="6" t="str">
        <f t="shared" si="92"/>
        <v>-</v>
      </c>
      <c r="O612" s="4" t="s">
        <v>268</v>
      </c>
      <c r="P612" s="5" t="str">
        <f t="shared" si="93"/>
        <v>Delhi</v>
      </c>
      <c r="Q612" s="5" t="str">
        <f t="shared" si="94"/>
        <v>Oncology</v>
      </c>
      <c r="R612" s="6" t="str">
        <f t="shared" si="95"/>
        <v>Narayana</v>
      </c>
      <c r="S612" s="6" t="str">
        <f t="shared" si="96"/>
        <v>Cash</v>
      </c>
      <c r="T612" s="6" t="str">
        <f t="shared" si="97"/>
        <v>Female</v>
      </c>
      <c r="U612" s="6" t="str">
        <f t="shared" si="100"/>
        <v>Unknown</v>
      </c>
      <c r="V612" s="6" t="str" cm="1">
        <f t="array" ref="V612">IF(TRIM(S612)="",INDEX($S$2:$S$1500,MATCH(MAX(COUNTIF($S$2:$S$1500,S612)),COUNTIF($S$2:$S$1500,$S$2:$S$1500),0)),S612)</f>
        <v>Cash</v>
      </c>
      <c r="W612" s="7" cm="1">
        <f t="array" ref="W612">IF(OR(TRIM(K612)="",TRIM(K612)="-"), MEDIAN(IF($E$2:$E$1500=E612,$K$2:$K$1500)),  VALUE(SUBSTITUTE(SUBSTITUTE(SUBSTITUTE(K612,"Rs. ",""),"₹",""),",","")))</f>
        <v>8107</v>
      </c>
      <c r="X612" s="8">
        <f t="shared" si="98"/>
        <v>3</v>
      </c>
      <c r="Y612" s="7">
        <f t="shared" si="99"/>
        <v>7864</v>
      </c>
      <c r="Z612" s="9" t="str">
        <f t="shared" si="91"/>
        <v>TEEN</v>
      </c>
    </row>
    <row r="613" spans="1:26" x14ac:dyDescent="0.3">
      <c r="A613" s="5" t="s">
        <v>1398</v>
      </c>
      <c r="B613" s="5" t="s">
        <v>45</v>
      </c>
      <c r="C613" s="5" t="s">
        <v>334</v>
      </c>
      <c r="D613" s="5" t="s">
        <v>55</v>
      </c>
      <c r="E613" s="5" t="s">
        <v>164</v>
      </c>
      <c r="F613" s="5" t="s">
        <v>233</v>
      </c>
      <c r="G613" s="5" t="s">
        <v>19</v>
      </c>
      <c r="H613" s="5">
        <v>50</v>
      </c>
      <c r="I613" s="5" t="s">
        <v>40</v>
      </c>
      <c r="J613" s="34" t="s">
        <v>1399</v>
      </c>
      <c r="K613" s="31">
        <v>10808</v>
      </c>
      <c r="L613" s="5" t="s">
        <v>52</v>
      </c>
      <c r="M613" s="32">
        <v>10</v>
      </c>
      <c r="N613" s="6">
        <f t="shared" si="92"/>
        <v>10</v>
      </c>
      <c r="O613" s="4" t="s">
        <v>233</v>
      </c>
      <c r="P613" s="5" t="str">
        <f t="shared" si="93"/>
        <v>Hyderabad</v>
      </c>
      <c r="Q613" s="5" t="str">
        <f t="shared" si="94"/>
        <v>Cardiology</v>
      </c>
      <c r="R613" s="6" t="str">
        <f t="shared" si="95"/>
        <v>Fortis</v>
      </c>
      <c r="S613" s="6" t="str">
        <f t="shared" si="96"/>
        <v>Credit Card</v>
      </c>
      <c r="T613" s="6" t="str">
        <f t="shared" si="97"/>
        <v>Female</v>
      </c>
      <c r="U613" s="6" t="str">
        <f t="shared" si="100"/>
        <v>General</v>
      </c>
      <c r="V613" s="6" t="str" cm="1">
        <f t="array" ref="V613">IF(TRIM(S613)="",INDEX($S$2:$S$1500,MATCH(MAX(COUNTIF($S$2:$S$1500,S613)),COUNTIF($S$2:$S$1500,$S$2:$S$1500),0)),S613)</f>
        <v>Credit Card</v>
      </c>
      <c r="W613" s="7" cm="1">
        <f t="array" ref="W613">IF(OR(TRIM(K613)="",TRIM(K613)="-"), MEDIAN(IF($E$2:$E$1500=E613,$K$2:$K$1500)),  VALUE(SUBSTITUTE(SUBSTITUTE(SUBSTITUTE(K613,"Rs. ",""),"₹",""),",","")))</f>
        <v>10808</v>
      </c>
      <c r="X613" s="8">
        <f t="shared" si="98"/>
        <v>10</v>
      </c>
      <c r="Y613" s="7">
        <f t="shared" si="99"/>
        <v>9727</v>
      </c>
      <c r="Z613" s="9" t="str">
        <f t="shared" si="91"/>
        <v>ADULT</v>
      </c>
    </row>
    <row r="614" spans="1:26" x14ac:dyDescent="0.3">
      <c r="A614" s="5" t="s">
        <v>1400</v>
      </c>
      <c r="B614" s="5" t="s">
        <v>106</v>
      </c>
      <c r="C614" s="5" t="s">
        <v>307</v>
      </c>
      <c r="D614" s="5" t="s">
        <v>55</v>
      </c>
      <c r="E614" s="5" t="s">
        <v>99</v>
      </c>
      <c r="F614" s="5" t="s">
        <v>372</v>
      </c>
      <c r="G614" s="5" t="s">
        <v>19</v>
      </c>
      <c r="H614" s="5">
        <v>68</v>
      </c>
      <c r="I614" s="5" t="s">
        <v>70</v>
      </c>
      <c r="J614" s="34" t="s">
        <v>269</v>
      </c>
      <c r="K614" s="31">
        <v>18718</v>
      </c>
      <c r="L614" s="5" t="s">
        <v>72</v>
      </c>
      <c r="M614" s="32">
        <v>0</v>
      </c>
      <c r="N614" s="6">
        <f t="shared" si="92"/>
        <v>0</v>
      </c>
      <c r="O614" s="4" t="s">
        <v>372</v>
      </c>
      <c r="P614" s="5" t="str">
        <f t="shared" si="93"/>
        <v>Hyderabad</v>
      </c>
      <c r="Q614" s="5" t="str">
        <f t="shared" si="94"/>
        <v>Ent</v>
      </c>
      <c r="R614" s="6" t="str">
        <f t="shared" si="95"/>
        <v>Aiims</v>
      </c>
      <c r="S614" s="6" t="str">
        <f t="shared" si="96"/>
        <v>Cash</v>
      </c>
      <c r="T614" s="6" t="str">
        <f t="shared" si="97"/>
        <v>Female</v>
      </c>
      <c r="U614" s="6" t="str">
        <f t="shared" si="100"/>
        <v>General</v>
      </c>
      <c r="V614" s="6" t="str" cm="1">
        <f t="array" ref="V614">IF(TRIM(S614)="",INDEX($S$2:$S$1500,MATCH(MAX(COUNTIF($S$2:$S$1500,S614)),COUNTIF($S$2:$S$1500,$S$2:$S$1500),0)),S614)</f>
        <v>Cash</v>
      </c>
      <c r="W614" s="7" cm="1">
        <f t="array" ref="W614">IF(OR(TRIM(K614)="",TRIM(K614)="-"), MEDIAN(IF($E$2:$E$1500=E614,$K$2:$K$1500)),  VALUE(SUBSTITUTE(SUBSTITUTE(SUBSTITUTE(K614,"Rs. ",""),"₹",""),",","")))</f>
        <v>18718</v>
      </c>
      <c r="X614" s="8">
        <f t="shared" si="98"/>
        <v>0</v>
      </c>
      <c r="Y614" s="7">
        <f t="shared" si="99"/>
        <v>18718</v>
      </c>
      <c r="Z614" s="9" t="str">
        <f t="shared" si="91"/>
        <v>SENIOR</v>
      </c>
    </row>
    <row r="615" spans="1:26" x14ac:dyDescent="0.3">
      <c r="A615" s="5" t="s">
        <v>1401</v>
      </c>
      <c r="B615" s="5" t="s">
        <v>117</v>
      </c>
      <c r="C615" s="5" t="s">
        <v>118</v>
      </c>
      <c r="D615" s="5" t="s">
        <v>80</v>
      </c>
      <c r="E615" s="5" t="s">
        <v>164</v>
      </c>
      <c r="F615" s="5" t="s">
        <v>219</v>
      </c>
      <c r="G615" s="5" t="s">
        <v>19</v>
      </c>
      <c r="H615" s="5">
        <v>69</v>
      </c>
      <c r="I615" s="5" t="s">
        <v>31</v>
      </c>
      <c r="J615" s="34" t="s">
        <v>1402</v>
      </c>
      <c r="K615" s="31" t="s">
        <v>1403</v>
      </c>
      <c r="L615" s="5" t="s">
        <v>87</v>
      </c>
      <c r="M615" s="32" t="s">
        <v>140</v>
      </c>
      <c r="N615" s="6" t="str">
        <f t="shared" si="92"/>
        <v>-</v>
      </c>
      <c r="O615" s="4" t="s">
        <v>219</v>
      </c>
      <c r="P615" s="5" t="str">
        <f t="shared" si="93"/>
        <v>Ahmedabad</v>
      </c>
      <c r="Q615" s="5" t="str">
        <f t="shared" si="94"/>
        <v>Cardiology</v>
      </c>
      <c r="R615" s="6" t="str">
        <f t="shared" si="95"/>
        <v>Manipal</v>
      </c>
      <c r="S615" s="6" t="str">
        <f t="shared" si="96"/>
        <v>Credit Card</v>
      </c>
      <c r="T615" s="6" t="str">
        <f t="shared" si="97"/>
        <v>Male</v>
      </c>
      <c r="U615" s="6" t="str">
        <f t="shared" si="100"/>
        <v>General</v>
      </c>
      <c r="V615" s="6" t="str" cm="1">
        <f t="array" ref="V615">IF(TRIM(S615)="",INDEX($S$2:$S$1500,MATCH(MAX(COUNTIF($S$2:$S$1500,S615)),COUNTIF($S$2:$S$1500,$S$2:$S$1500),0)),S615)</f>
        <v>Credit Card</v>
      </c>
      <c r="W615" s="7" cm="1">
        <f t="array" ref="W615">IF(OR(TRIM(K615)="",TRIM(K615)="-"), MEDIAN(IF($E$2:$E$1500=E615,$K$2:$K$1500)),  VALUE(SUBSTITUTE(SUBSTITUTE(SUBSTITUTE(K615,"Rs. ",""),"₹",""),",","")))</f>
        <v>3081</v>
      </c>
      <c r="X615" s="8">
        <f t="shared" si="98"/>
        <v>3</v>
      </c>
      <c r="Y615" s="7">
        <f t="shared" si="99"/>
        <v>2989</v>
      </c>
      <c r="Z615" s="9" t="str">
        <f t="shared" si="91"/>
        <v>SENIOR</v>
      </c>
    </row>
    <row r="616" spans="1:26" x14ac:dyDescent="0.3">
      <c r="A616" s="5" t="s">
        <v>1404</v>
      </c>
      <c r="B616" s="5" t="s">
        <v>14</v>
      </c>
      <c r="C616" s="5" t="s">
        <v>60</v>
      </c>
      <c r="D616" s="5" t="s">
        <v>61</v>
      </c>
      <c r="E616" s="5" t="s">
        <v>99</v>
      </c>
      <c r="F616" s="5" t="s">
        <v>100</v>
      </c>
      <c r="G616" s="5" t="s">
        <v>39</v>
      </c>
      <c r="H616" s="5">
        <v>2</v>
      </c>
      <c r="I616" s="5" t="s">
        <v>40</v>
      </c>
      <c r="J616" s="34" t="s">
        <v>231</v>
      </c>
      <c r="K616" s="31"/>
      <c r="L616" s="5"/>
      <c r="M616" s="32" t="s">
        <v>64</v>
      </c>
      <c r="N616" s="6" t="str">
        <f t="shared" si="92"/>
        <v>NA</v>
      </c>
      <c r="O616" s="4" t="s">
        <v>100</v>
      </c>
      <c r="P616" s="5" t="str">
        <f t="shared" si="93"/>
        <v>Pune</v>
      </c>
      <c r="Q616" s="5" t="str">
        <f t="shared" si="94"/>
        <v>Ent</v>
      </c>
      <c r="R616" s="6" t="str">
        <f t="shared" si="95"/>
        <v>Max_Healthcare</v>
      </c>
      <c r="S616" s="6" t="str">
        <f t="shared" si="96"/>
        <v>Unknown</v>
      </c>
      <c r="T616" s="6" t="str">
        <f t="shared" si="97"/>
        <v>Female</v>
      </c>
      <c r="U616" s="6" t="str">
        <f t="shared" si="100"/>
        <v>General</v>
      </c>
      <c r="V616" s="6" t="str" cm="1">
        <f t="array" ref="V616">IF(TRIM(S616)="",INDEX($S$2:$S$1500,MATCH(MAX(COUNTIF($S$2:$S$1500,S616)),COUNTIF($S$2:$S$1500,$S$2:$S$1500),0)),S616)</f>
        <v>Unknown</v>
      </c>
      <c r="W616" s="7" cm="1">
        <f t="array" ref="W616">IF(OR(TRIM(K616)="",TRIM(K616)="-"), MEDIAN(IF($E$2:$E$1500=E616,$K$2:$K$1500)),  VALUE(SUBSTITUTE(SUBSTITUTE(SUBSTITUTE(K616,"Rs. ",""),"₹",""),",","")))</f>
        <v>17549.5</v>
      </c>
      <c r="X616" s="8">
        <f t="shared" si="98"/>
        <v>4</v>
      </c>
      <c r="Y616" s="7">
        <f t="shared" si="99"/>
        <v>16848</v>
      </c>
      <c r="Z616" s="9" t="str">
        <f t="shared" si="91"/>
        <v>CHILD</v>
      </c>
    </row>
    <row r="617" spans="1:26" x14ac:dyDescent="0.3">
      <c r="A617" s="5" t="s">
        <v>1405</v>
      </c>
      <c r="B617" s="5" t="s">
        <v>25</v>
      </c>
      <c r="C617" s="5" t="s">
        <v>54</v>
      </c>
      <c r="D617" s="5" t="s">
        <v>66</v>
      </c>
      <c r="E617" s="5" t="s">
        <v>93</v>
      </c>
      <c r="F617" s="5" t="s">
        <v>94</v>
      </c>
      <c r="G617" s="5" t="s">
        <v>39</v>
      </c>
      <c r="H617" s="5">
        <v>62</v>
      </c>
      <c r="I617" s="5" t="s">
        <v>20</v>
      </c>
      <c r="J617" s="34" t="s">
        <v>800</v>
      </c>
      <c r="K617" s="31" t="s">
        <v>1406</v>
      </c>
      <c r="L617" s="5" t="s">
        <v>52</v>
      </c>
      <c r="M617" s="32"/>
      <c r="N617" s="6">
        <f t="shared" si="92"/>
        <v>0</v>
      </c>
      <c r="O617" s="4" t="s">
        <v>94</v>
      </c>
      <c r="P617" s="5" t="str">
        <f t="shared" si="93"/>
        <v>Kolkata</v>
      </c>
      <c r="Q617" s="5" t="str">
        <f t="shared" si="94"/>
        <v>Nephrology</v>
      </c>
      <c r="R617" s="6" t="str">
        <f t="shared" si="95"/>
        <v>Narayana</v>
      </c>
      <c r="S617" s="6" t="str">
        <f t="shared" si="96"/>
        <v>Credit Card</v>
      </c>
      <c r="T617" s="6" t="str">
        <f t="shared" si="97"/>
        <v>Male</v>
      </c>
      <c r="U617" s="6" t="str">
        <f t="shared" si="100"/>
        <v>General</v>
      </c>
      <c r="V617" s="6" t="str" cm="1">
        <f t="array" ref="V617">IF(TRIM(S617)="",INDEX($S$2:$S$1500,MATCH(MAX(COUNTIF($S$2:$S$1500,S617)),COUNTIF($S$2:$S$1500,$S$2:$S$1500),0)),S617)</f>
        <v>Credit Card</v>
      </c>
      <c r="W617" s="7" cm="1">
        <f t="array" ref="W617">IF(OR(TRIM(K617)="",TRIM(K617)="-"), MEDIAN(IF($E$2:$E$1500=E617,$K$2:$K$1500)),  VALUE(SUBSTITUTE(SUBSTITUTE(SUBSTITUTE(K617,"Rs. ",""),"₹",""),",","")))</f>
        <v>9857</v>
      </c>
      <c r="X617" s="8">
        <f t="shared" si="98"/>
        <v>0</v>
      </c>
      <c r="Y617" s="7">
        <f t="shared" si="99"/>
        <v>9857</v>
      </c>
      <c r="Z617" s="9" t="str">
        <f t="shared" si="91"/>
        <v>SENIOR</v>
      </c>
    </row>
    <row r="618" spans="1:26" x14ac:dyDescent="0.3">
      <c r="A618" s="5" t="s">
        <v>1407</v>
      </c>
      <c r="B618" s="5" t="s">
        <v>106</v>
      </c>
      <c r="C618" s="5" t="s">
        <v>107</v>
      </c>
      <c r="D618" s="5" t="s">
        <v>27</v>
      </c>
      <c r="E618" s="5" t="s">
        <v>28</v>
      </c>
      <c r="F618" s="5" t="s">
        <v>268</v>
      </c>
      <c r="G618" s="5" t="s">
        <v>39</v>
      </c>
      <c r="H618" s="5">
        <v>68</v>
      </c>
      <c r="I618" s="5" t="s">
        <v>20</v>
      </c>
      <c r="J618" s="34" t="s">
        <v>1109</v>
      </c>
      <c r="K618" s="31" t="s">
        <v>1408</v>
      </c>
      <c r="L618" s="5" t="s">
        <v>149</v>
      </c>
      <c r="M618" s="32" t="s">
        <v>140</v>
      </c>
      <c r="N618" s="6" t="str">
        <f t="shared" si="92"/>
        <v>-</v>
      </c>
      <c r="O618" s="4" t="s">
        <v>268</v>
      </c>
      <c r="P618" s="5" t="str">
        <f t="shared" si="93"/>
        <v>Mumbai</v>
      </c>
      <c r="Q618" s="5" t="str">
        <f t="shared" si="94"/>
        <v>Oncology</v>
      </c>
      <c r="R618" s="6" t="str">
        <f t="shared" si="95"/>
        <v>Aiims</v>
      </c>
      <c r="S618" s="6" t="str">
        <f t="shared" si="96"/>
        <v>Insurance</v>
      </c>
      <c r="T618" s="6" t="str">
        <f t="shared" si="97"/>
        <v>Male</v>
      </c>
      <c r="U618" s="6" t="str">
        <f t="shared" si="100"/>
        <v>General</v>
      </c>
      <c r="V618" s="6" t="str" cm="1">
        <f t="array" ref="V618">IF(TRIM(S618)="",INDEX($S$2:$S$1500,MATCH(MAX(COUNTIF($S$2:$S$1500,S618)),COUNTIF($S$2:$S$1500,$S$2:$S$1500),0)),S618)</f>
        <v>Insurance</v>
      </c>
      <c r="W618" s="7" cm="1">
        <f t="array" ref="W618">IF(OR(TRIM(K618)="",TRIM(K618)="-"), MEDIAN(IF($E$2:$E$1500=E618,$K$2:$K$1500)),  VALUE(SUBSTITUTE(SUBSTITUTE(SUBSTITUTE(K618,"Rs. ",""),"₹",""),",","")))</f>
        <v>16431</v>
      </c>
      <c r="X618" s="8">
        <f t="shared" si="98"/>
        <v>19</v>
      </c>
      <c r="Y618" s="7">
        <f t="shared" si="99"/>
        <v>13309</v>
      </c>
      <c r="Z618" s="9" t="str">
        <f t="shared" si="91"/>
        <v>SENIOR</v>
      </c>
    </row>
    <row r="619" spans="1:26" x14ac:dyDescent="0.3">
      <c r="A619" s="5" t="s">
        <v>1409</v>
      </c>
      <c r="B619" s="5" t="s">
        <v>25</v>
      </c>
      <c r="C619" s="5" t="s">
        <v>54</v>
      </c>
      <c r="D619" s="5" t="s">
        <v>55</v>
      </c>
      <c r="E619" s="5" t="s">
        <v>67</v>
      </c>
      <c r="F619" s="5" t="s">
        <v>68</v>
      </c>
      <c r="G619" s="5" t="s">
        <v>19</v>
      </c>
      <c r="H619" s="5">
        <v>66</v>
      </c>
      <c r="I619" s="5" t="s">
        <v>40</v>
      </c>
      <c r="J619" s="34" t="s">
        <v>845</v>
      </c>
      <c r="K619" s="31" t="s">
        <v>1410</v>
      </c>
      <c r="L619" s="5" t="s">
        <v>167</v>
      </c>
      <c r="M619" s="32">
        <v>15</v>
      </c>
      <c r="N619" s="6">
        <f t="shared" si="92"/>
        <v>15</v>
      </c>
      <c r="O619" s="4" t="s">
        <v>68</v>
      </c>
      <c r="P619" s="5" t="str">
        <f t="shared" si="93"/>
        <v>Hyderabad</v>
      </c>
      <c r="Q619" s="5" t="str">
        <f t="shared" si="94"/>
        <v>Neurology</v>
      </c>
      <c r="R619" s="6" t="str">
        <f t="shared" si="95"/>
        <v>Narayana</v>
      </c>
      <c r="S619" s="6" t="str">
        <f t="shared" si="96"/>
        <v>Insurance</v>
      </c>
      <c r="T619" s="6" t="str">
        <f t="shared" si="97"/>
        <v>Female</v>
      </c>
      <c r="U619" s="6" t="str">
        <f t="shared" si="100"/>
        <v>General</v>
      </c>
      <c r="V619" s="6" t="str" cm="1">
        <f t="array" ref="V619">IF(TRIM(S619)="",INDEX($S$2:$S$1500,MATCH(MAX(COUNTIF($S$2:$S$1500,S619)),COUNTIF($S$2:$S$1500,$S$2:$S$1500),0)),S619)</f>
        <v>Insurance</v>
      </c>
      <c r="W619" s="7" cm="1">
        <f t="array" ref="W619">IF(OR(TRIM(K619)="",TRIM(K619)="-"), MEDIAN(IF($E$2:$E$1500=E619,$K$2:$K$1500)),  VALUE(SUBSTITUTE(SUBSTITUTE(SUBSTITUTE(K619,"Rs. ",""),"₹",""),",","")))</f>
        <v>15373</v>
      </c>
      <c r="X619" s="8">
        <f t="shared" si="98"/>
        <v>15</v>
      </c>
      <c r="Y619" s="7">
        <f t="shared" si="99"/>
        <v>13067</v>
      </c>
      <c r="Z619" s="9" t="str">
        <f t="shared" si="91"/>
        <v>SENIOR</v>
      </c>
    </row>
    <row r="620" spans="1:26" x14ac:dyDescent="0.3">
      <c r="A620" s="5" t="s">
        <v>1411</v>
      </c>
      <c r="B620" s="5" t="s">
        <v>45</v>
      </c>
      <c r="C620" s="5" t="s">
        <v>46</v>
      </c>
      <c r="D620" s="5" t="s">
        <v>27</v>
      </c>
      <c r="E620" s="5" t="s">
        <v>164</v>
      </c>
      <c r="F620" s="5" t="s">
        <v>233</v>
      </c>
      <c r="G620" s="5" t="s">
        <v>19</v>
      </c>
      <c r="H620" s="5">
        <v>48</v>
      </c>
      <c r="I620" s="5" t="s">
        <v>31</v>
      </c>
      <c r="J620" s="34" t="s">
        <v>438</v>
      </c>
      <c r="K620" s="31">
        <v>6992</v>
      </c>
      <c r="L620" s="5" t="s">
        <v>87</v>
      </c>
      <c r="M620" s="32">
        <v>5</v>
      </c>
      <c r="N620" s="6">
        <f t="shared" si="92"/>
        <v>5</v>
      </c>
      <c r="O620" s="4" t="s">
        <v>233</v>
      </c>
      <c r="P620" s="5" t="str">
        <f t="shared" si="93"/>
        <v>Mumbai</v>
      </c>
      <c r="Q620" s="5" t="str">
        <f t="shared" si="94"/>
        <v>Cardiology</v>
      </c>
      <c r="R620" s="6" t="str">
        <f t="shared" si="95"/>
        <v>Fortis</v>
      </c>
      <c r="S620" s="6" t="str">
        <f t="shared" si="96"/>
        <v>Credit Card</v>
      </c>
      <c r="T620" s="6" t="str">
        <f t="shared" si="97"/>
        <v>Male</v>
      </c>
      <c r="U620" s="6" t="str">
        <f t="shared" si="100"/>
        <v>General</v>
      </c>
      <c r="V620" s="6" t="str" cm="1">
        <f t="array" ref="V620">IF(TRIM(S620)="",INDEX($S$2:$S$1500,MATCH(MAX(COUNTIF($S$2:$S$1500,S620)),COUNTIF($S$2:$S$1500,$S$2:$S$1500),0)),S620)</f>
        <v>Credit Card</v>
      </c>
      <c r="W620" s="7" cm="1">
        <f t="array" ref="W620">IF(OR(TRIM(K620)="",TRIM(K620)="-"), MEDIAN(IF($E$2:$E$1500=E620,$K$2:$K$1500)),  VALUE(SUBSTITUTE(SUBSTITUTE(SUBSTITUTE(K620,"Rs. ",""),"₹",""),",","")))</f>
        <v>6992</v>
      </c>
      <c r="X620" s="8">
        <f t="shared" si="98"/>
        <v>5</v>
      </c>
      <c r="Y620" s="7">
        <f t="shared" si="99"/>
        <v>6642</v>
      </c>
      <c r="Z620" s="9" t="str">
        <f t="shared" si="91"/>
        <v>ADULT</v>
      </c>
    </row>
    <row r="621" spans="1:26" x14ac:dyDescent="0.3">
      <c r="A621" s="5" t="s">
        <v>1412</v>
      </c>
      <c r="B621" s="5" t="s">
        <v>25</v>
      </c>
      <c r="C621" s="5" t="s">
        <v>54</v>
      </c>
      <c r="D621" s="5" t="s">
        <v>66</v>
      </c>
      <c r="E621" s="5" t="s">
        <v>164</v>
      </c>
      <c r="F621" s="5" t="s">
        <v>233</v>
      </c>
      <c r="G621" s="5" t="s">
        <v>62</v>
      </c>
      <c r="H621" s="5">
        <v>81</v>
      </c>
      <c r="I621" s="5" t="s">
        <v>40</v>
      </c>
      <c r="J621" s="34" t="s">
        <v>1148</v>
      </c>
      <c r="K621" s="31" t="s">
        <v>140</v>
      </c>
      <c r="L621" s="5" t="s">
        <v>115</v>
      </c>
      <c r="M621" s="32" t="s">
        <v>76</v>
      </c>
      <c r="N621" s="6">
        <f t="shared" si="92"/>
        <v>10</v>
      </c>
      <c r="O621" s="4" t="s">
        <v>233</v>
      </c>
      <c r="P621" s="5" t="str">
        <f t="shared" si="93"/>
        <v>Kolkata</v>
      </c>
      <c r="Q621" s="5" t="str">
        <f t="shared" si="94"/>
        <v>Cardiology</v>
      </c>
      <c r="R621" s="6" t="str">
        <f t="shared" si="95"/>
        <v>Narayana</v>
      </c>
      <c r="S621" s="6" t="str">
        <f t="shared" si="96"/>
        <v>Cash</v>
      </c>
      <c r="T621" s="6" t="str">
        <f t="shared" si="97"/>
        <v>Female</v>
      </c>
      <c r="U621" s="6" t="str">
        <f t="shared" si="100"/>
        <v>ICU</v>
      </c>
      <c r="V621" s="6" t="str" cm="1">
        <f t="array" ref="V621">IF(TRIM(S621)="",INDEX($S$2:$S$1500,MATCH(MAX(COUNTIF($S$2:$S$1500,S621)),COUNTIF($S$2:$S$1500,$S$2:$S$1500),0)),S621)</f>
        <v>Cash</v>
      </c>
      <c r="W621" s="7" cm="1">
        <f t="array" ref="W621">IF(OR(TRIM(K621)="",TRIM(K621)="-"), MEDIAN(IF($E$2:$E$1500=E621,$K$2:$K$1500)),  VALUE(SUBSTITUTE(SUBSTITUTE(SUBSTITUTE(K621,"Rs. ",""),"₹",""),",","")))</f>
        <v>13785</v>
      </c>
      <c r="X621" s="8">
        <f t="shared" si="98"/>
        <v>10</v>
      </c>
      <c r="Y621" s="7">
        <f t="shared" si="99"/>
        <v>12407</v>
      </c>
      <c r="Z621" s="9" t="str">
        <f t="shared" si="91"/>
        <v>SENIOR</v>
      </c>
    </row>
    <row r="622" spans="1:26" x14ac:dyDescent="0.3">
      <c r="A622" s="5" t="s">
        <v>1413</v>
      </c>
      <c r="B622" s="5" t="s">
        <v>117</v>
      </c>
      <c r="C622" s="5" t="s">
        <v>127</v>
      </c>
      <c r="D622" s="5" t="s">
        <v>61</v>
      </c>
      <c r="E622" s="5" t="s">
        <v>164</v>
      </c>
      <c r="F622" s="5" t="s">
        <v>282</v>
      </c>
      <c r="G622" s="5" t="s">
        <v>49</v>
      </c>
      <c r="H622" s="5">
        <v>60</v>
      </c>
      <c r="I622" s="5" t="s">
        <v>70</v>
      </c>
      <c r="J622" s="34" t="s">
        <v>222</v>
      </c>
      <c r="K622" s="31" t="s">
        <v>140</v>
      </c>
      <c r="L622" s="5" t="s">
        <v>72</v>
      </c>
      <c r="M622" s="32" t="s">
        <v>198</v>
      </c>
      <c r="N622" s="6">
        <f t="shared" si="92"/>
        <v>5</v>
      </c>
      <c r="O622" s="4" t="s">
        <v>282</v>
      </c>
      <c r="P622" s="5" t="str">
        <f t="shared" si="93"/>
        <v>Pune</v>
      </c>
      <c r="Q622" s="5" t="str">
        <f t="shared" si="94"/>
        <v>Cardiology</v>
      </c>
      <c r="R622" s="6" t="str">
        <f t="shared" si="95"/>
        <v>Manipal</v>
      </c>
      <c r="S622" s="6" t="str">
        <f t="shared" si="96"/>
        <v>Cash</v>
      </c>
      <c r="T622" s="6" t="str">
        <f t="shared" si="97"/>
        <v>Female</v>
      </c>
      <c r="U622" s="6" t="str">
        <f t="shared" si="100"/>
        <v>General</v>
      </c>
      <c r="V622" s="6" t="str" cm="1">
        <f t="array" ref="V622">IF(TRIM(S622)="",INDEX($S$2:$S$1500,MATCH(MAX(COUNTIF($S$2:$S$1500,S622)),COUNTIF($S$2:$S$1500,$S$2:$S$1500),0)),S622)</f>
        <v>Cash</v>
      </c>
      <c r="W622" s="7" cm="1">
        <f t="array" ref="W622">IF(OR(TRIM(K622)="",TRIM(K622)="-"), MEDIAN(IF($E$2:$E$1500=E622,$K$2:$K$1500)),  VALUE(SUBSTITUTE(SUBSTITUTE(SUBSTITUTE(K622,"Rs. ",""),"₹",""),",","")))</f>
        <v>13785</v>
      </c>
      <c r="X622" s="8">
        <f t="shared" si="98"/>
        <v>5</v>
      </c>
      <c r="Y622" s="7">
        <f t="shared" si="99"/>
        <v>13096</v>
      </c>
      <c r="Z622" s="9" t="str">
        <f t="shared" si="91"/>
        <v>SENIOR</v>
      </c>
    </row>
    <row r="623" spans="1:26" x14ac:dyDescent="0.3">
      <c r="A623" s="5" t="s">
        <v>1414</v>
      </c>
      <c r="B623" s="5" t="s">
        <v>25</v>
      </c>
      <c r="C623" s="5" t="s">
        <v>54</v>
      </c>
      <c r="D623" s="5" t="s">
        <v>36</v>
      </c>
      <c r="E623" s="5" t="s">
        <v>74</v>
      </c>
      <c r="F623" s="5" t="s">
        <v>172</v>
      </c>
      <c r="G623" s="5" t="s">
        <v>69</v>
      </c>
      <c r="H623" s="5">
        <v>14</v>
      </c>
      <c r="I623" s="5" t="s">
        <v>40</v>
      </c>
      <c r="J623" s="34" t="s">
        <v>500</v>
      </c>
      <c r="K623" s="31" t="s">
        <v>1415</v>
      </c>
      <c r="L623" s="5" t="s">
        <v>58</v>
      </c>
      <c r="M623" s="32">
        <v>5</v>
      </c>
      <c r="N623" s="6">
        <f t="shared" si="92"/>
        <v>5</v>
      </c>
      <c r="O623" s="4" t="s">
        <v>172</v>
      </c>
      <c r="P623" s="5" t="str">
        <f t="shared" si="93"/>
        <v>Chennai</v>
      </c>
      <c r="Q623" s="5" t="str">
        <f t="shared" si="94"/>
        <v>General Medicine</v>
      </c>
      <c r="R623" s="6" t="str">
        <f t="shared" si="95"/>
        <v>Narayana</v>
      </c>
      <c r="S623" s="6" t="str">
        <f t="shared" si="96"/>
        <v>UPI</v>
      </c>
      <c r="T623" s="6" t="str">
        <f t="shared" si="97"/>
        <v>Female</v>
      </c>
      <c r="U623" s="6" t="str">
        <f t="shared" si="100"/>
        <v>ICU</v>
      </c>
      <c r="V623" s="6" t="str" cm="1">
        <f t="array" ref="V623">IF(TRIM(S623)="",INDEX($S$2:$S$1500,MATCH(MAX(COUNTIF($S$2:$S$1500,S623)),COUNTIF($S$2:$S$1500,$S$2:$S$1500),0)),S623)</f>
        <v>UPI</v>
      </c>
      <c r="W623" s="7" cm="1">
        <f t="array" ref="W623">IF(OR(TRIM(K623)="",TRIM(K623)="-"), MEDIAN(IF($E$2:$E$1500=E623,$K$2:$K$1500)),  VALUE(SUBSTITUTE(SUBSTITUTE(SUBSTITUTE(K623,"Rs. ",""),"₹",""),",","")))</f>
        <v>50503</v>
      </c>
      <c r="X623" s="8">
        <f t="shared" si="98"/>
        <v>5</v>
      </c>
      <c r="Y623" s="7">
        <f t="shared" si="99"/>
        <v>47978</v>
      </c>
      <c r="Z623" s="9" t="str">
        <f t="shared" si="91"/>
        <v>TEEN</v>
      </c>
    </row>
    <row r="624" spans="1:26" x14ac:dyDescent="0.3">
      <c r="A624" s="5" t="s">
        <v>1416</v>
      </c>
      <c r="B624" s="5" t="s">
        <v>78</v>
      </c>
      <c r="C624" s="5" t="s">
        <v>161</v>
      </c>
      <c r="D624" s="5" t="s">
        <v>189</v>
      </c>
      <c r="E624" s="5" t="s">
        <v>99</v>
      </c>
      <c r="F624" s="5" t="s">
        <v>151</v>
      </c>
      <c r="G624" s="5" t="s">
        <v>39</v>
      </c>
      <c r="H624" s="5">
        <v>46</v>
      </c>
      <c r="I624" s="5" t="s">
        <v>20</v>
      </c>
      <c r="J624" s="34" t="s">
        <v>509</v>
      </c>
      <c r="K624" s="31">
        <v>18447</v>
      </c>
      <c r="L624" s="5" t="s">
        <v>34</v>
      </c>
      <c r="M624" s="32"/>
      <c r="N624" s="6">
        <f t="shared" si="92"/>
        <v>0</v>
      </c>
      <c r="O624" s="4" t="s">
        <v>151</v>
      </c>
      <c r="P624" s="5" t="str">
        <f t="shared" si="93"/>
        <v>Delhi</v>
      </c>
      <c r="Q624" s="5" t="str">
        <f t="shared" si="94"/>
        <v>Ent</v>
      </c>
      <c r="R624" s="6" t="str">
        <f t="shared" si="95"/>
        <v>Apollo</v>
      </c>
      <c r="S624" s="6" t="str">
        <f t="shared" si="96"/>
        <v>Cash</v>
      </c>
      <c r="T624" s="6" t="str">
        <f t="shared" si="97"/>
        <v>Male</v>
      </c>
      <c r="U624" s="6" t="str">
        <f t="shared" si="100"/>
        <v>General</v>
      </c>
      <c r="V624" s="6" t="str" cm="1">
        <f t="array" ref="V624">IF(TRIM(S624)="",INDEX($S$2:$S$1500,MATCH(MAX(COUNTIF($S$2:$S$1500,S624)),COUNTIF($S$2:$S$1500,$S$2:$S$1500),0)),S624)</f>
        <v>Cash</v>
      </c>
      <c r="W624" s="7" cm="1">
        <f t="array" ref="W624">IF(OR(TRIM(K624)="",TRIM(K624)="-"), MEDIAN(IF($E$2:$E$1500=E624,$K$2:$K$1500)),  VALUE(SUBSTITUTE(SUBSTITUTE(SUBSTITUTE(K624,"Rs. ",""),"₹",""),",","")))</f>
        <v>18447</v>
      </c>
      <c r="X624" s="8">
        <f t="shared" si="98"/>
        <v>0</v>
      </c>
      <c r="Y624" s="7">
        <f t="shared" si="99"/>
        <v>18447</v>
      </c>
      <c r="Z624" s="9" t="str">
        <f t="shared" si="91"/>
        <v>ADULT</v>
      </c>
    </row>
    <row r="625" spans="1:26" x14ac:dyDescent="0.3">
      <c r="A625" s="5" t="s">
        <v>1417</v>
      </c>
      <c r="B625" s="5" t="s">
        <v>117</v>
      </c>
      <c r="C625" s="5" t="s">
        <v>182</v>
      </c>
      <c r="D625" s="5" t="s">
        <v>16</v>
      </c>
      <c r="E625" s="5" t="s">
        <v>93</v>
      </c>
      <c r="F625" s="5" t="s">
        <v>144</v>
      </c>
      <c r="G625" s="5" t="s">
        <v>19</v>
      </c>
      <c r="H625" s="5">
        <v>20</v>
      </c>
      <c r="I625" s="5" t="s">
        <v>20</v>
      </c>
      <c r="J625" s="34" t="s">
        <v>86</v>
      </c>
      <c r="K625" s="31" t="s">
        <v>1418</v>
      </c>
      <c r="L625" s="5" t="s">
        <v>236</v>
      </c>
      <c r="M625" s="32">
        <v>0</v>
      </c>
      <c r="N625" s="6">
        <f t="shared" si="92"/>
        <v>0</v>
      </c>
      <c r="O625" s="4" t="s">
        <v>144</v>
      </c>
      <c r="P625" s="5" t="str">
        <f t="shared" si="93"/>
        <v>Bangalore</v>
      </c>
      <c r="Q625" s="5" t="str">
        <f t="shared" si="94"/>
        <v>Nephrology</v>
      </c>
      <c r="R625" s="6" t="str">
        <f t="shared" si="95"/>
        <v>Manipal</v>
      </c>
      <c r="S625" s="6" t="str">
        <f t="shared" si="96"/>
        <v>Debit Card</v>
      </c>
      <c r="T625" s="6" t="str">
        <f t="shared" si="97"/>
        <v>Male</v>
      </c>
      <c r="U625" s="6" t="str">
        <f t="shared" si="100"/>
        <v>General</v>
      </c>
      <c r="V625" s="6" t="str" cm="1">
        <f t="array" ref="V625">IF(TRIM(S625)="",INDEX($S$2:$S$1500,MATCH(MAX(COUNTIF($S$2:$S$1500,S625)),COUNTIF($S$2:$S$1500,$S$2:$S$1500),0)),S625)</f>
        <v>Debit Card</v>
      </c>
      <c r="W625" s="7" cm="1">
        <f t="array" ref="W625">IF(OR(TRIM(K625)="",TRIM(K625)="-"), MEDIAN(IF($E$2:$E$1500=E625,$K$2:$K$1500)),  VALUE(SUBSTITUTE(SUBSTITUTE(SUBSTITUTE(K625,"Rs. ",""),"₹",""),",","")))</f>
        <v>8935</v>
      </c>
      <c r="X625" s="8">
        <f t="shared" si="98"/>
        <v>0</v>
      </c>
      <c r="Y625" s="7">
        <f t="shared" si="99"/>
        <v>8935</v>
      </c>
      <c r="Z625" s="9" t="str">
        <f t="shared" si="91"/>
        <v>ADULT</v>
      </c>
    </row>
    <row r="626" spans="1:26" x14ac:dyDescent="0.3">
      <c r="A626" s="5" t="s">
        <v>1419</v>
      </c>
      <c r="B626" s="5" t="s">
        <v>14</v>
      </c>
      <c r="C626" s="5" t="s">
        <v>15</v>
      </c>
      <c r="D626" s="5" t="s">
        <v>16</v>
      </c>
      <c r="E626" s="5" t="s">
        <v>93</v>
      </c>
      <c r="F626" s="5" t="s">
        <v>144</v>
      </c>
      <c r="G626" s="5" t="s">
        <v>30</v>
      </c>
      <c r="H626" s="5">
        <v>53</v>
      </c>
      <c r="I626" s="5" t="s">
        <v>40</v>
      </c>
      <c r="J626" s="34" t="s">
        <v>977</v>
      </c>
      <c r="K626" s="31" t="s">
        <v>1420</v>
      </c>
      <c r="L626" s="5" t="s">
        <v>58</v>
      </c>
      <c r="M626" s="32">
        <v>0</v>
      </c>
      <c r="N626" s="6">
        <f t="shared" si="92"/>
        <v>0</v>
      </c>
      <c r="O626" s="4" t="s">
        <v>144</v>
      </c>
      <c r="P626" s="5" t="str">
        <f t="shared" si="93"/>
        <v>Bangalore</v>
      </c>
      <c r="Q626" s="5" t="str">
        <f t="shared" si="94"/>
        <v>Nephrology</v>
      </c>
      <c r="R626" s="6" t="str">
        <f t="shared" si="95"/>
        <v>Max_Healthcare</v>
      </c>
      <c r="S626" s="6" t="str">
        <f t="shared" si="96"/>
        <v>UPI</v>
      </c>
      <c r="T626" s="6" t="str">
        <f t="shared" si="97"/>
        <v>Female</v>
      </c>
      <c r="U626" s="6" t="str">
        <f t="shared" si="100"/>
        <v>General</v>
      </c>
      <c r="V626" s="6" t="str" cm="1">
        <f t="array" ref="V626">IF(TRIM(S626)="",INDEX($S$2:$S$1500,MATCH(MAX(COUNTIF($S$2:$S$1500,S626)),COUNTIF($S$2:$S$1500,$S$2:$S$1500),0)),S626)</f>
        <v>UPI</v>
      </c>
      <c r="W626" s="7" cm="1">
        <f t="array" ref="W626">IF(OR(TRIM(K626)="",TRIM(K626)="-"), MEDIAN(IF($E$2:$E$1500=E626,$K$2:$K$1500)),  VALUE(SUBSTITUTE(SUBSTITUTE(SUBSTITUTE(K626,"Rs. ",""),"₹",""),",","")))</f>
        <v>18301</v>
      </c>
      <c r="X626" s="8">
        <f t="shared" si="98"/>
        <v>0</v>
      </c>
      <c r="Y626" s="7">
        <f t="shared" si="99"/>
        <v>18301</v>
      </c>
      <c r="Z626" s="9" t="str">
        <f t="shared" si="91"/>
        <v>ADULT</v>
      </c>
    </row>
    <row r="627" spans="1:26" x14ac:dyDescent="0.3">
      <c r="A627" s="5" t="s">
        <v>1421</v>
      </c>
      <c r="B627" s="5" t="s">
        <v>14</v>
      </c>
      <c r="C627" s="5" t="s">
        <v>60</v>
      </c>
      <c r="D627" s="5" t="s">
        <v>27</v>
      </c>
      <c r="E627" s="5" t="s">
        <v>47</v>
      </c>
      <c r="F627" s="5" t="s">
        <v>364</v>
      </c>
      <c r="G627" s="5" t="s">
        <v>30</v>
      </c>
      <c r="H627" s="5">
        <v>90</v>
      </c>
      <c r="I627" s="5" t="s">
        <v>70</v>
      </c>
      <c r="J627" s="34" t="s">
        <v>1003</v>
      </c>
      <c r="K627" s="31" t="s">
        <v>1422</v>
      </c>
      <c r="L627" s="5" t="s">
        <v>91</v>
      </c>
      <c r="M627" s="32">
        <v>0</v>
      </c>
      <c r="N627" s="6">
        <f t="shared" si="92"/>
        <v>0</v>
      </c>
      <c r="O627" s="4" t="s">
        <v>364</v>
      </c>
      <c r="P627" s="5" t="str">
        <f t="shared" si="93"/>
        <v>Mumbai</v>
      </c>
      <c r="Q627" s="5" t="str">
        <f t="shared" si="94"/>
        <v>Gastroenterology</v>
      </c>
      <c r="R627" s="6" t="str">
        <f t="shared" si="95"/>
        <v>Max_Healthcare</v>
      </c>
      <c r="S627" s="6" t="str">
        <f t="shared" si="96"/>
        <v>Debit Card</v>
      </c>
      <c r="T627" s="6" t="str">
        <f t="shared" si="97"/>
        <v>Female</v>
      </c>
      <c r="U627" s="6" t="str">
        <f t="shared" si="100"/>
        <v>General</v>
      </c>
      <c r="V627" s="6" t="str" cm="1">
        <f t="array" ref="V627">IF(TRIM(S627)="",INDEX($S$2:$S$1500,MATCH(MAX(COUNTIF($S$2:$S$1500,S627)),COUNTIF($S$2:$S$1500,$S$2:$S$1500),0)),S627)</f>
        <v>Debit Card</v>
      </c>
      <c r="W627" s="7" cm="1">
        <f t="array" ref="W627">IF(OR(TRIM(K627)="",TRIM(K627)="-"), MEDIAN(IF($E$2:$E$1500=E627,$K$2:$K$1500)),  VALUE(SUBSTITUTE(SUBSTITUTE(SUBSTITUTE(K627,"Rs. ",""),"₹",""),",","")))</f>
        <v>5221</v>
      </c>
      <c r="X627" s="8">
        <f t="shared" si="98"/>
        <v>0</v>
      </c>
      <c r="Y627" s="7">
        <f t="shared" si="99"/>
        <v>5221</v>
      </c>
      <c r="Z627" s="9" t="str">
        <f t="shared" si="91"/>
        <v>SENIOR</v>
      </c>
    </row>
    <row r="628" spans="1:26" x14ac:dyDescent="0.3">
      <c r="A628" s="5" t="s">
        <v>1423</v>
      </c>
      <c r="B628" s="5" t="s">
        <v>78</v>
      </c>
      <c r="C628" s="5" t="s">
        <v>203</v>
      </c>
      <c r="D628" s="5" t="s">
        <v>61</v>
      </c>
      <c r="E628" s="5" t="s">
        <v>93</v>
      </c>
      <c r="F628" s="5" t="s">
        <v>121</v>
      </c>
      <c r="G628" s="5" t="s">
        <v>39</v>
      </c>
      <c r="H628" s="5">
        <v>59</v>
      </c>
      <c r="I628" s="5" t="s">
        <v>20</v>
      </c>
      <c r="J628" s="34" t="s">
        <v>225</v>
      </c>
      <c r="K628" s="31" t="s">
        <v>1424</v>
      </c>
      <c r="L628" s="5" t="s">
        <v>42</v>
      </c>
      <c r="M628" s="32" t="s">
        <v>187</v>
      </c>
      <c r="N628" s="6">
        <f t="shared" si="92"/>
        <v>35</v>
      </c>
      <c r="O628" s="4" t="s">
        <v>121</v>
      </c>
      <c r="P628" s="5" t="str">
        <f t="shared" si="93"/>
        <v>Pune</v>
      </c>
      <c r="Q628" s="5" t="str">
        <f t="shared" si="94"/>
        <v>Nephrology</v>
      </c>
      <c r="R628" s="6" t="str">
        <f t="shared" si="95"/>
        <v>Apollo</v>
      </c>
      <c r="S628" s="6" t="str">
        <f t="shared" si="96"/>
        <v>Insurance</v>
      </c>
      <c r="T628" s="6" t="str">
        <f t="shared" si="97"/>
        <v>Male</v>
      </c>
      <c r="U628" s="6" t="str">
        <f t="shared" si="100"/>
        <v>General</v>
      </c>
      <c r="V628" s="6" t="str" cm="1">
        <f t="array" ref="V628">IF(TRIM(S628)="",INDEX($S$2:$S$1500,MATCH(MAX(COUNTIF($S$2:$S$1500,S628)),COUNTIF($S$2:$S$1500,$S$2:$S$1500),0)),S628)</f>
        <v>Insurance</v>
      </c>
      <c r="W628" s="7" cm="1">
        <f t="array" ref="W628">IF(OR(TRIM(K628)="",TRIM(K628)="-"), MEDIAN(IF($E$2:$E$1500=E628,$K$2:$K$1500)),  VALUE(SUBSTITUTE(SUBSTITUTE(SUBSTITUTE(K628,"Rs. ",""),"₹",""),",","")))</f>
        <v>15333</v>
      </c>
      <c r="X628" s="8">
        <f t="shared" si="98"/>
        <v>35</v>
      </c>
      <c r="Y628" s="7">
        <f t="shared" si="99"/>
        <v>9966</v>
      </c>
      <c r="Z628" s="9" t="str">
        <f t="shared" si="91"/>
        <v>ADULT</v>
      </c>
    </row>
    <row r="629" spans="1:26" x14ac:dyDescent="0.3">
      <c r="A629" s="5" t="s">
        <v>1425</v>
      </c>
      <c r="B629" s="5" t="s">
        <v>117</v>
      </c>
      <c r="C629" s="5" t="s">
        <v>127</v>
      </c>
      <c r="D629" s="5" t="s">
        <v>16</v>
      </c>
      <c r="E629" s="5" t="s">
        <v>99</v>
      </c>
      <c r="F629" s="5" t="s">
        <v>151</v>
      </c>
      <c r="G629" s="5" t="s">
        <v>69</v>
      </c>
      <c r="H629" s="5">
        <v>28</v>
      </c>
      <c r="I629" s="5" t="s">
        <v>40</v>
      </c>
      <c r="J629" s="34" t="s">
        <v>626</v>
      </c>
      <c r="K629" s="31">
        <v>75059</v>
      </c>
      <c r="L629" s="5" t="s">
        <v>58</v>
      </c>
      <c r="M629" s="32" t="s">
        <v>76</v>
      </c>
      <c r="N629" s="6">
        <f t="shared" si="92"/>
        <v>10</v>
      </c>
      <c r="O629" s="4" t="s">
        <v>151</v>
      </c>
      <c r="P629" s="5" t="str">
        <f t="shared" si="93"/>
        <v>Bangalore</v>
      </c>
      <c r="Q629" s="5" t="str">
        <f t="shared" si="94"/>
        <v>Ent</v>
      </c>
      <c r="R629" s="6" t="str">
        <f t="shared" si="95"/>
        <v>Manipal</v>
      </c>
      <c r="S629" s="6" t="str">
        <f t="shared" si="96"/>
        <v>UPI</v>
      </c>
      <c r="T629" s="6" t="str">
        <f t="shared" si="97"/>
        <v>Female</v>
      </c>
      <c r="U629" s="6" t="str">
        <f t="shared" si="100"/>
        <v>ICU</v>
      </c>
      <c r="V629" s="6" t="str" cm="1">
        <f t="array" ref="V629">IF(TRIM(S629)="",INDEX($S$2:$S$1500,MATCH(MAX(COUNTIF($S$2:$S$1500,S629)),COUNTIF($S$2:$S$1500,$S$2:$S$1500),0)),S629)</f>
        <v>UPI</v>
      </c>
      <c r="W629" s="7" cm="1">
        <f t="array" ref="W629">IF(OR(TRIM(K629)="",TRIM(K629)="-"), MEDIAN(IF($E$2:$E$1500=E629,$K$2:$K$1500)),  VALUE(SUBSTITUTE(SUBSTITUTE(SUBSTITUTE(K629,"Rs. ",""),"₹",""),",","")))</f>
        <v>75059</v>
      </c>
      <c r="X629" s="8">
        <f t="shared" si="98"/>
        <v>10</v>
      </c>
      <c r="Y629" s="7">
        <f t="shared" si="99"/>
        <v>67553</v>
      </c>
      <c r="Z629" s="9" t="str">
        <f t="shared" si="91"/>
        <v>ADULT</v>
      </c>
    </row>
    <row r="630" spans="1:26" x14ac:dyDescent="0.3">
      <c r="A630" s="5" t="s">
        <v>1426</v>
      </c>
      <c r="B630" s="5" t="s">
        <v>45</v>
      </c>
      <c r="C630" s="5" t="s">
        <v>46</v>
      </c>
      <c r="D630" s="5" t="s">
        <v>55</v>
      </c>
      <c r="E630" s="5" t="s">
        <v>37</v>
      </c>
      <c r="F630" s="5" t="s">
        <v>56</v>
      </c>
      <c r="G630" s="5"/>
      <c r="H630" s="5">
        <v>57</v>
      </c>
      <c r="I630" s="5" t="s">
        <v>31</v>
      </c>
      <c r="J630" s="34" t="s">
        <v>1427</v>
      </c>
      <c r="K630" s="31">
        <v>11046</v>
      </c>
      <c r="L630" s="5" t="s">
        <v>87</v>
      </c>
      <c r="M630" s="32" t="s">
        <v>198</v>
      </c>
      <c r="N630" s="6">
        <f t="shared" si="92"/>
        <v>5</v>
      </c>
      <c r="O630" s="4" t="s">
        <v>56</v>
      </c>
      <c r="P630" s="5" t="str">
        <f t="shared" si="93"/>
        <v>Hyderabad</v>
      </c>
      <c r="Q630" s="5" t="str">
        <f t="shared" si="94"/>
        <v>Pediatrics</v>
      </c>
      <c r="R630" s="6" t="str">
        <f t="shared" si="95"/>
        <v>Fortis</v>
      </c>
      <c r="S630" s="6" t="str">
        <f t="shared" si="96"/>
        <v>Credit Card</v>
      </c>
      <c r="T630" s="6" t="str">
        <f t="shared" si="97"/>
        <v>Male</v>
      </c>
      <c r="U630" s="6" t="str">
        <f t="shared" si="100"/>
        <v>Unknown</v>
      </c>
      <c r="V630" s="6" t="str" cm="1">
        <f t="array" ref="V630">IF(TRIM(S630)="",INDEX($S$2:$S$1500,MATCH(MAX(COUNTIF($S$2:$S$1500,S630)),COUNTIF($S$2:$S$1500,$S$2:$S$1500),0)),S630)</f>
        <v>Credit Card</v>
      </c>
      <c r="W630" s="7" cm="1">
        <f t="array" ref="W630">IF(OR(TRIM(K630)="",TRIM(K630)="-"), MEDIAN(IF($E$2:$E$1500=E630,$K$2:$K$1500)),  VALUE(SUBSTITUTE(SUBSTITUTE(SUBSTITUTE(K630,"Rs. ",""),"₹",""),",","")))</f>
        <v>11046</v>
      </c>
      <c r="X630" s="8">
        <f t="shared" si="98"/>
        <v>5</v>
      </c>
      <c r="Y630" s="7">
        <f t="shared" si="99"/>
        <v>10494</v>
      </c>
      <c r="Z630" s="9" t="str">
        <f t="shared" si="91"/>
        <v>ADULT</v>
      </c>
    </row>
    <row r="631" spans="1:26" x14ac:dyDescent="0.3">
      <c r="A631" s="5" t="s">
        <v>1428</v>
      </c>
      <c r="B631" s="5" t="s">
        <v>45</v>
      </c>
      <c r="C631" s="5" t="s">
        <v>46</v>
      </c>
      <c r="D631" s="5" t="s">
        <v>80</v>
      </c>
      <c r="E631" s="5" t="s">
        <v>108</v>
      </c>
      <c r="F631" s="5" t="s">
        <v>109</v>
      </c>
      <c r="G631" s="5" t="s">
        <v>49</v>
      </c>
      <c r="H631" s="5">
        <v>67</v>
      </c>
      <c r="I631" s="5" t="s">
        <v>40</v>
      </c>
      <c r="J631" s="34" t="s">
        <v>1429</v>
      </c>
      <c r="K631" s="31" t="s">
        <v>1430</v>
      </c>
      <c r="L631" s="5" t="s">
        <v>42</v>
      </c>
      <c r="M631" s="32">
        <v>0.35</v>
      </c>
      <c r="N631" s="6">
        <f t="shared" si="92"/>
        <v>35</v>
      </c>
      <c r="O631" s="4" t="s">
        <v>109</v>
      </c>
      <c r="P631" s="5" t="str">
        <f t="shared" si="93"/>
        <v>Ahmedabad</v>
      </c>
      <c r="Q631" s="5" t="str">
        <f t="shared" si="94"/>
        <v>Orthopedics</v>
      </c>
      <c r="R631" s="6" t="str">
        <f t="shared" si="95"/>
        <v>Fortis</v>
      </c>
      <c r="S631" s="6" t="str">
        <f t="shared" si="96"/>
        <v>Insurance</v>
      </c>
      <c r="T631" s="6" t="str">
        <f t="shared" si="97"/>
        <v>Female</v>
      </c>
      <c r="U631" s="6" t="str">
        <f t="shared" si="100"/>
        <v>General</v>
      </c>
      <c r="V631" s="6" t="str" cm="1">
        <f t="array" ref="V631">IF(TRIM(S631)="",INDEX($S$2:$S$1500,MATCH(MAX(COUNTIF($S$2:$S$1500,S631)),COUNTIF($S$2:$S$1500,$S$2:$S$1500),0)),S631)</f>
        <v>Insurance</v>
      </c>
      <c r="W631" s="7" cm="1">
        <f t="array" ref="W631">IF(OR(TRIM(K631)="",TRIM(K631)="-"), MEDIAN(IF($E$2:$E$1500=E631,$K$2:$K$1500)),  VALUE(SUBSTITUTE(SUBSTITUTE(SUBSTITUTE(K631,"Rs. ",""),"₹",""),",","")))</f>
        <v>7294</v>
      </c>
      <c r="X631" s="8">
        <f t="shared" si="98"/>
        <v>35</v>
      </c>
      <c r="Y631" s="7">
        <f t="shared" si="99"/>
        <v>4741</v>
      </c>
      <c r="Z631" s="9" t="str">
        <f t="shared" si="91"/>
        <v>SENIOR</v>
      </c>
    </row>
    <row r="632" spans="1:26" x14ac:dyDescent="0.3">
      <c r="A632" s="5" t="s">
        <v>1431</v>
      </c>
      <c r="B632" s="5" t="s">
        <v>14</v>
      </c>
      <c r="C632" s="5" t="s">
        <v>60</v>
      </c>
      <c r="D632" s="5" t="s">
        <v>16</v>
      </c>
      <c r="E632" s="5" t="s">
        <v>37</v>
      </c>
      <c r="F632" s="5" t="s">
        <v>185</v>
      </c>
      <c r="G632" s="5" t="s">
        <v>49</v>
      </c>
      <c r="H632" s="5">
        <v>74</v>
      </c>
      <c r="I632" s="5" t="s">
        <v>31</v>
      </c>
      <c r="J632" s="34" t="s">
        <v>1432</v>
      </c>
      <c r="K632" s="31" t="s">
        <v>1433</v>
      </c>
      <c r="L632" s="5" t="s">
        <v>87</v>
      </c>
      <c r="M632" s="32">
        <v>5</v>
      </c>
      <c r="N632" s="6">
        <f t="shared" si="92"/>
        <v>5</v>
      </c>
      <c r="O632" s="4" t="s">
        <v>185</v>
      </c>
      <c r="P632" s="5" t="str">
        <f t="shared" si="93"/>
        <v>Bangalore</v>
      </c>
      <c r="Q632" s="5" t="str">
        <f t="shared" si="94"/>
        <v>Pediatrics</v>
      </c>
      <c r="R632" s="6" t="str">
        <f t="shared" si="95"/>
        <v>Max_Healthcare</v>
      </c>
      <c r="S632" s="6" t="str">
        <f t="shared" si="96"/>
        <v>Credit Card</v>
      </c>
      <c r="T632" s="6" t="str">
        <f t="shared" si="97"/>
        <v>Male</v>
      </c>
      <c r="U632" s="6" t="str">
        <f t="shared" si="100"/>
        <v>General</v>
      </c>
      <c r="V632" s="6" t="str" cm="1">
        <f t="array" ref="V632">IF(TRIM(S632)="",INDEX($S$2:$S$1500,MATCH(MAX(COUNTIF($S$2:$S$1500,S632)),COUNTIF($S$2:$S$1500,$S$2:$S$1500),0)),S632)</f>
        <v>Credit Card</v>
      </c>
      <c r="W632" s="7" cm="1">
        <f t="array" ref="W632">IF(OR(TRIM(K632)="",TRIM(K632)="-"), MEDIAN(IF($E$2:$E$1500=E632,$K$2:$K$1500)),  VALUE(SUBSTITUTE(SUBSTITUTE(SUBSTITUTE(K632,"Rs. ",""),"₹",""),",","")))</f>
        <v>15779</v>
      </c>
      <c r="X632" s="8">
        <f t="shared" si="98"/>
        <v>5</v>
      </c>
      <c r="Y632" s="7">
        <f t="shared" si="99"/>
        <v>14990</v>
      </c>
      <c r="Z632" s="9" t="str">
        <f t="shared" si="91"/>
        <v>SENIOR</v>
      </c>
    </row>
    <row r="633" spans="1:26" x14ac:dyDescent="0.3">
      <c r="A633" s="5" t="s">
        <v>1434</v>
      </c>
      <c r="B633" s="5" t="s">
        <v>117</v>
      </c>
      <c r="C633" s="5" t="s">
        <v>127</v>
      </c>
      <c r="D633" s="5" t="s">
        <v>36</v>
      </c>
      <c r="E633" s="5" t="s">
        <v>164</v>
      </c>
      <c r="F633" s="5" t="s">
        <v>282</v>
      </c>
      <c r="G633" s="5" t="s">
        <v>39</v>
      </c>
      <c r="H633" s="5">
        <v>58</v>
      </c>
      <c r="I633" s="5" t="s">
        <v>31</v>
      </c>
      <c r="J633" s="34" t="s">
        <v>1435</v>
      </c>
      <c r="K633" s="31">
        <v>13373</v>
      </c>
      <c r="L633" s="5" t="s">
        <v>52</v>
      </c>
      <c r="M633" s="32">
        <v>0</v>
      </c>
      <c r="N633" s="6">
        <f t="shared" si="92"/>
        <v>0</v>
      </c>
      <c r="O633" s="4" t="s">
        <v>282</v>
      </c>
      <c r="P633" s="5" t="str">
        <f t="shared" si="93"/>
        <v>Chennai</v>
      </c>
      <c r="Q633" s="5" t="str">
        <f t="shared" si="94"/>
        <v>Cardiology</v>
      </c>
      <c r="R633" s="6" t="str">
        <f t="shared" si="95"/>
        <v>Manipal</v>
      </c>
      <c r="S633" s="6" t="str">
        <f t="shared" si="96"/>
        <v>Credit Card</v>
      </c>
      <c r="T633" s="6" t="str">
        <f t="shared" si="97"/>
        <v>Male</v>
      </c>
      <c r="U633" s="6" t="str">
        <f t="shared" si="100"/>
        <v>General</v>
      </c>
      <c r="V633" s="6" t="str" cm="1">
        <f t="array" ref="V633">IF(TRIM(S633)="",INDEX($S$2:$S$1500,MATCH(MAX(COUNTIF($S$2:$S$1500,S633)),COUNTIF($S$2:$S$1500,$S$2:$S$1500),0)),S633)</f>
        <v>Credit Card</v>
      </c>
      <c r="W633" s="7" cm="1">
        <f t="array" ref="W633">IF(OR(TRIM(K633)="",TRIM(K633)="-"), MEDIAN(IF($E$2:$E$1500=E633,$K$2:$K$1500)),  VALUE(SUBSTITUTE(SUBSTITUTE(SUBSTITUTE(K633,"Rs. ",""),"₹",""),",","")))</f>
        <v>13373</v>
      </c>
      <c r="X633" s="8">
        <f t="shared" si="98"/>
        <v>0</v>
      </c>
      <c r="Y633" s="7">
        <f t="shared" si="99"/>
        <v>13373</v>
      </c>
      <c r="Z633" s="9" t="str">
        <f t="shared" si="91"/>
        <v>ADULT</v>
      </c>
    </row>
    <row r="634" spans="1:26" x14ac:dyDescent="0.3">
      <c r="A634" s="5" t="s">
        <v>1436</v>
      </c>
      <c r="B634" s="5" t="s">
        <v>106</v>
      </c>
      <c r="C634" s="5" t="s">
        <v>107</v>
      </c>
      <c r="D634" s="5" t="s">
        <v>189</v>
      </c>
      <c r="E634" s="5" t="s">
        <v>37</v>
      </c>
      <c r="F634" s="5" t="s">
        <v>56</v>
      </c>
      <c r="G634" s="5" t="s">
        <v>30</v>
      </c>
      <c r="H634" s="5">
        <v>54</v>
      </c>
      <c r="I634" s="5" t="s">
        <v>40</v>
      </c>
      <c r="J634" s="34" t="s">
        <v>1437</v>
      </c>
      <c r="K634" s="31">
        <v>6379</v>
      </c>
      <c r="L634" s="5" t="s">
        <v>167</v>
      </c>
      <c r="M634" s="32">
        <v>18</v>
      </c>
      <c r="N634" s="6">
        <f t="shared" si="92"/>
        <v>18</v>
      </c>
      <c r="O634" s="4" t="s">
        <v>56</v>
      </c>
      <c r="P634" s="5" t="str">
        <f t="shared" si="93"/>
        <v>Delhi</v>
      </c>
      <c r="Q634" s="5" t="str">
        <f t="shared" si="94"/>
        <v>Pediatrics</v>
      </c>
      <c r="R634" s="6" t="str">
        <f t="shared" si="95"/>
        <v>Aiims</v>
      </c>
      <c r="S634" s="6" t="str">
        <f t="shared" si="96"/>
        <v>Insurance</v>
      </c>
      <c r="T634" s="6" t="str">
        <f t="shared" si="97"/>
        <v>Female</v>
      </c>
      <c r="U634" s="6" t="str">
        <f t="shared" si="100"/>
        <v>General</v>
      </c>
      <c r="V634" s="6" t="str" cm="1">
        <f t="array" ref="V634">IF(TRIM(S634)="",INDEX($S$2:$S$1500,MATCH(MAX(COUNTIF($S$2:$S$1500,S634)),COUNTIF($S$2:$S$1500,$S$2:$S$1500),0)),S634)</f>
        <v>Insurance</v>
      </c>
      <c r="W634" s="7" cm="1">
        <f t="array" ref="W634">IF(OR(TRIM(K634)="",TRIM(K634)="-"), MEDIAN(IF($E$2:$E$1500=E634,$K$2:$K$1500)),  VALUE(SUBSTITUTE(SUBSTITUTE(SUBSTITUTE(K634,"Rs. ",""),"₹",""),",","")))</f>
        <v>6379</v>
      </c>
      <c r="X634" s="8">
        <f t="shared" si="98"/>
        <v>18</v>
      </c>
      <c r="Y634" s="7">
        <f t="shared" si="99"/>
        <v>5231</v>
      </c>
      <c r="Z634" s="9" t="str">
        <f t="shared" si="91"/>
        <v>ADULT</v>
      </c>
    </row>
    <row r="635" spans="1:26" x14ac:dyDescent="0.3">
      <c r="A635" s="5" t="s">
        <v>1438</v>
      </c>
      <c r="B635" s="5" t="s">
        <v>14</v>
      </c>
      <c r="C635" s="5" t="s">
        <v>60</v>
      </c>
      <c r="D635" s="5" t="s">
        <v>189</v>
      </c>
      <c r="E635" s="5" t="s">
        <v>164</v>
      </c>
      <c r="F635" s="5" t="s">
        <v>219</v>
      </c>
      <c r="G635" s="5" t="s">
        <v>19</v>
      </c>
      <c r="H635" s="5">
        <v>71</v>
      </c>
      <c r="I635" s="5" t="s">
        <v>40</v>
      </c>
      <c r="J635" s="34" t="s">
        <v>1427</v>
      </c>
      <c r="K635" s="31" t="s">
        <v>1439</v>
      </c>
      <c r="L635" s="5" t="s">
        <v>115</v>
      </c>
      <c r="M635" s="32" t="s">
        <v>130</v>
      </c>
      <c r="N635" s="6">
        <f t="shared" si="92"/>
        <v>0</v>
      </c>
      <c r="O635" s="4" t="s">
        <v>219</v>
      </c>
      <c r="P635" s="5" t="str">
        <f t="shared" si="93"/>
        <v>Delhi</v>
      </c>
      <c r="Q635" s="5" t="str">
        <f t="shared" si="94"/>
        <v>Cardiology</v>
      </c>
      <c r="R635" s="6" t="str">
        <f t="shared" si="95"/>
        <v>Max_Healthcare</v>
      </c>
      <c r="S635" s="6" t="str">
        <f t="shared" si="96"/>
        <v>Cash</v>
      </c>
      <c r="T635" s="6" t="str">
        <f t="shared" si="97"/>
        <v>Female</v>
      </c>
      <c r="U635" s="6" t="str">
        <f t="shared" si="100"/>
        <v>General</v>
      </c>
      <c r="V635" s="6" t="str" cm="1">
        <f t="array" ref="V635">IF(TRIM(S635)="",INDEX($S$2:$S$1500,MATCH(MAX(COUNTIF($S$2:$S$1500,S635)),COUNTIF($S$2:$S$1500,$S$2:$S$1500),0)),S635)</f>
        <v>Cash</v>
      </c>
      <c r="W635" s="7" cm="1">
        <f t="array" ref="W635">IF(OR(TRIM(K635)="",TRIM(K635)="-"), MEDIAN(IF($E$2:$E$1500=E635,$K$2:$K$1500)),  VALUE(SUBSTITUTE(SUBSTITUTE(SUBSTITUTE(K635,"Rs. ",""),"₹",""),",","")))</f>
        <v>19597</v>
      </c>
      <c r="X635" s="8">
        <f t="shared" si="98"/>
        <v>0</v>
      </c>
      <c r="Y635" s="7">
        <f t="shared" si="99"/>
        <v>19597</v>
      </c>
      <c r="Z635" s="9" t="str">
        <f t="shared" si="91"/>
        <v>SENIOR</v>
      </c>
    </row>
    <row r="636" spans="1:26" x14ac:dyDescent="0.3">
      <c r="A636" s="5" t="s">
        <v>1440</v>
      </c>
      <c r="B636" s="5" t="s">
        <v>106</v>
      </c>
      <c r="C636" s="5" t="s">
        <v>107</v>
      </c>
      <c r="D636" s="5" t="s">
        <v>55</v>
      </c>
      <c r="E636" s="5" t="s">
        <v>47</v>
      </c>
      <c r="F636" s="5" t="s">
        <v>175</v>
      </c>
      <c r="G636" s="5" t="s">
        <v>19</v>
      </c>
      <c r="H636" s="5">
        <v>31</v>
      </c>
      <c r="I636" s="5" t="s">
        <v>70</v>
      </c>
      <c r="J636" s="34" t="s">
        <v>527</v>
      </c>
      <c r="K636" s="31"/>
      <c r="L636" s="5" t="s">
        <v>115</v>
      </c>
      <c r="M636" s="32" t="s">
        <v>198</v>
      </c>
      <c r="N636" s="6">
        <f t="shared" si="92"/>
        <v>5</v>
      </c>
      <c r="O636" s="4" t="s">
        <v>175</v>
      </c>
      <c r="P636" s="5" t="str">
        <f t="shared" si="93"/>
        <v>Hyderabad</v>
      </c>
      <c r="Q636" s="5" t="str">
        <f t="shared" si="94"/>
        <v>Gastroenterology</v>
      </c>
      <c r="R636" s="6" t="str">
        <f t="shared" si="95"/>
        <v>Aiims</v>
      </c>
      <c r="S636" s="6" t="str">
        <f t="shared" si="96"/>
        <v>Cash</v>
      </c>
      <c r="T636" s="6" t="str">
        <f t="shared" si="97"/>
        <v>Female</v>
      </c>
      <c r="U636" s="6" t="str">
        <f t="shared" si="100"/>
        <v>General</v>
      </c>
      <c r="V636" s="6" t="str" cm="1">
        <f t="array" ref="V636">IF(TRIM(S636)="",INDEX($S$2:$S$1500,MATCH(MAX(COUNTIF($S$2:$S$1500,S636)),COUNTIF($S$2:$S$1500,$S$2:$S$1500),0)),S636)</f>
        <v>Cash</v>
      </c>
      <c r="W636" s="7" cm="1">
        <f t="array" ref="W636">IF(OR(TRIM(K636)="",TRIM(K636)="-"), MEDIAN(IF($E$2:$E$1500=E636,$K$2:$K$1500)),  VALUE(SUBSTITUTE(SUBSTITUTE(SUBSTITUTE(K636,"Rs. ",""),"₹",""),",","")))</f>
        <v>13312</v>
      </c>
      <c r="X636" s="8">
        <f t="shared" si="98"/>
        <v>5</v>
      </c>
      <c r="Y636" s="7">
        <f t="shared" si="99"/>
        <v>12646</v>
      </c>
      <c r="Z636" s="9" t="str">
        <f t="shared" si="91"/>
        <v>ADULT</v>
      </c>
    </row>
    <row r="637" spans="1:26" x14ac:dyDescent="0.3">
      <c r="A637" s="5" t="s">
        <v>1441</v>
      </c>
      <c r="B637" s="5" t="s">
        <v>25</v>
      </c>
      <c r="C637" s="5" t="s">
        <v>26</v>
      </c>
      <c r="D637" s="5" t="s">
        <v>61</v>
      </c>
      <c r="E637" s="5" t="s">
        <v>108</v>
      </c>
      <c r="F637" s="5" t="s">
        <v>308</v>
      </c>
      <c r="G637" s="5" t="s">
        <v>19</v>
      </c>
      <c r="H637" s="5">
        <v>56</v>
      </c>
      <c r="I637" s="5" t="s">
        <v>20</v>
      </c>
      <c r="J637" s="34" t="s">
        <v>1442</v>
      </c>
      <c r="K637" s="31">
        <v>10538</v>
      </c>
      <c r="L637" s="5" t="s">
        <v>72</v>
      </c>
      <c r="M637" s="32">
        <v>0</v>
      </c>
      <c r="N637" s="6">
        <f t="shared" si="92"/>
        <v>0</v>
      </c>
      <c r="O637" s="4" t="s">
        <v>308</v>
      </c>
      <c r="P637" s="5" t="str">
        <f t="shared" si="93"/>
        <v>Pune</v>
      </c>
      <c r="Q637" s="5" t="str">
        <f t="shared" si="94"/>
        <v>Orthopedics</v>
      </c>
      <c r="R637" s="6" t="str">
        <f t="shared" si="95"/>
        <v>Narayana</v>
      </c>
      <c r="S637" s="6" t="str">
        <f t="shared" si="96"/>
        <v>Cash</v>
      </c>
      <c r="T637" s="6" t="str">
        <f t="shared" si="97"/>
        <v>Male</v>
      </c>
      <c r="U637" s="6" t="str">
        <f t="shared" si="100"/>
        <v>General</v>
      </c>
      <c r="V637" s="6" t="str" cm="1">
        <f t="array" ref="V637">IF(TRIM(S637)="",INDEX($S$2:$S$1500,MATCH(MAX(COUNTIF($S$2:$S$1500,S637)),COUNTIF($S$2:$S$1500,$S$2:$S$1500),0)),S637)</f>
        <v>Cash</v>
      </c>
      <c r="W637" s="7" cm="1">
        <f t="array" ref="W637">IF(OR(TRIM(K637)="",TRIM(K637)="-"), MEDIAN(IF($E$2:$E$1500=E637,$K$2:$K$1500)),  VALUE(SUBSTITUTE(SUBSTITUTE(SUBSTITUTE(K637,"Rs. ",""),"₹",""),",","")))</f>
        <v>10538</v>
      </c>
      <c r="X637" s="8">
        <f t="shared" si="98"/>
        <v>0</v>
      </c>
      <c r="Y637" s="7">
        <f t="shared" si="99"/>
        <v>10538</v>
      </c>
      <c r="Z637" s="9" t="str">
        <f t="shared" si="91"/>
        <v>ADULT</v>
      </c>
    </row>
    <row r="638" spans="1:26" x14ac:dyDescent="0.3">
      <c r="A638" s="5" t="s">
        <v>1443</v>
      </c>
      <c r="B638" s="5" t="s">
        <v>45</v>
      </c>
      <c r="C638" s="5" t="s">
        <v>46</v>
      </c>
      <c r="D638" s="5" t="s">
        <v>189</v>
      </c>
      <c r="E638" s="5" t="s">
        <v>164</v>
      </c>
      <c r="F638" s="5" t="s">
        <v>165</v>
      </c>
      <c r="G638" s="5" t="s">
        <v>49</v>
      </c>
      <c r="H638" s="5">
        <v>34</v>
      </c>
      <c r="I638" s="5" t="s">
        <v>40</v>
      </c>
      <c r="J638" s="34" t="s">
        <v>966</v>
      </c>
      <c r="K638" s="31" t="s">
        <v>1444</v>
      </c>
      <c r="L638" s="5"/>
      <c r="M638" s="32">
        <v>20</v>
      </c>
      <c r="N638" s="6">
        <f t="shared" si="92"/>
        <v>20</v>
      </c>
      <c r="O638" s="4" t="s">
        <v>165</v>
      </c>
      <c r="P638" s="5" t="str">
        <f t="shared" si="93"/>
        <v>Delhi</v>
      </c>
      <c r="Q638" s="5" t="str">
        <f t="shared" si="94"/>
        <v>Cardiology</v>
      </c>
      <c r="R638" s="6" t="str">
        <f t="shared" si="95"/>
        <v>Fortis</v>
      </c>
      <c r="S638" s="6" t="str">
        <f t="shared" si="96"/>
        <v>Unknown</v>
      </c>
      <c r="T638" s="6" t="str">
        <f t="shared" si="97"/>
        <v>Female</v>
      </c>
      <c r="U638" s="6" t="str">
        <f t="shared" si="100"/>
        <v>General</v>
      </c>
      <c r="V638" s="6" t="str" cm="1">
        <f t="array" ref="V638">IF(TRIM(S638)="",INDEX($S$2:$S$1500,MATCH(MAX(COUNTIF($S$2:$S$1500,S638)),COUNTIF($S$2:$S$1500,$S$2:$S$1500),0)),S638)</f>
        <v>Unknown</v>
      </c>
      <c r="W638" s="7" cm="1">
        <f t="array" ref="W638">IF(OR(TRIM(K638)="",TRIM(K638)="-"), MEDIAN(IF($E$2:$E$1500=E638,$K$2:$K$1500)),  VALUE(SUBSTITUTE(SUBSTITUTE(SUBSTITUTE(K638,"Rs. ",""),"₹",""),",","")))</f>
        <v>18816</v>
      </c>
      <c r="X638" s="8">
        <f t="shared" si="98"/>
        <v>20</v>
      </c>
      <c r="Y638" s="7">
        <f t="shared" si="99"/>
        <v>15053</v>
      </c>
      <c r="Z638" s="9" t="str">
        <f t="shared" si="91"/>
        <v>ADULT</v>
      </c>
    </row>
    <row r="639" spans="1:26" x14ac:dyDescent="0.3">
      <c r="A639" s="5" t="s">
        <v>1445</v>
      </c>
      <c r="B639" s="5" t="s">
        <v>117</v>
      </c>
      <c r="C639" s="5" t="s">
        <v>182</v>
      </c>
      <c r="D639" s="5" t="s">
        <v>55</v>
      </c>
      <c r="E639" s="5" t="s">
        <v>17</v>
      </c>
      <c r="F639" s="5" t="s">
        <v>135</v>
      </c>
      <c r="G639" s="5" t="s">
        <v>19</v>
      </c>
      <c r="H639" s="5">
        <v>54</v>
      </c>
      <c r="I639" s="5" t="s">
        <v>40</v>
      </c>
      <c r="J639" s="34" t="s">
        <v>530</v>
      </c>
      <c r="K639" s="31" t="s">
        <v>1446</v>
      </c>
      <c r="L639" s="5" t="s">
        <v>311</v>
      </c>
      <c r="M639" s="32" t="s">
        <v>130</v>
      </c>
      <c r="N639" s="6">
        <f t="shared" si="92"/>
        <v>0</v>
      </c>
      <c r="O639" s="4" t="s">
        <v>135</v>
      </c>
      <c r="P639" s="5" t="str">
        <f t="shared" si="93"/>
        <v>Hyderabad</v>
      </c>
      <c r="Q639" s="5" t="str">
        <f t="shared" si="94"/>
        <v>Gynecology</v>
      </c>
      <c r="R639" s="6" t="str">
        <f t="shared" si="95"/>
        <v>Manipal</v>
      </c>
      <c r="S639" s="6" t="str">
        <f t="shared" si="96"/>
        <v>UPI</v>
      </c>
      <c r="T639" s="6" t="str">
        <f t="shared" si="97"/>
        <v>Female</v>
      </c>
      <c r="U639" s="6" t="str">
        <f t="shared" si="100"/>
        <v>General</v>
      </c>
      <c r="V639" s="6" t="str" cm="1">
        <f t="array" ref="V639">IF(TRIM(S639)="",INDEX($S$2:$S$1500,MATCH(MAX(COUNTIF($S$2:$S$1500,S639)),COUNTIF($S$2:$S$1500,$S$2:$S$1500),0)),S639)</f>
        <v>UPI</v>
      </c>
      <c r="W639" s="7" cm="1">
        <f t="array" ref="W639">IF(OR(TRIM(K639)="",TRIM(K639)="-"), MEDIAN(IF($E$2:$E$1500=E639,$K$2:$K$1500)),  VALUE(SUBSTITUTE(SUBSTITUTE(SUBSTITUTE(K639,"Rs. ",""),"₹",""),",","")))</f>
        <v>4719</v>
      </c>
      <c r="X639" s="8">
        <f t="shared" si="98"/>
        <v>0</v>
      </c>
      <c r="Y639" s="7">
        <f t="shared" si="99"/>
        <v>4719</v>
      </c>
      <c r="Z639" s="9" t="str">
        <f t="shared" si="91"/>
        <v>ADULT</v>
      </c>
    </row>
    <row r="640" spans="1:26" x14ac:dyDescent="0.3">
      <c r="A640" s="5" t="s">
        <v>1447</v>
      </c>
      <c r="B640" s="5" t="s">
        <v>25</v>
      </c>
      <c r="C640" s="5" t="s">
        <v>54</v>
      </c>
      <c r="D640" s="5" t="s">
        <v>80</v>
      </c>
      <c r="E640" s="5" t="s">
        <v>17</v>
      </c>
      <c r="F640" s="5" t="s">
        <v>18</v>
      </c>
      <c r="G640" s="5" t="s">
        <v>30</v>
      </c>
      <c r="H640" s="5">
        <v>85</v>
      </c>
      <c r="I640" s="5" t="s">
        <v>40</v>
      </c>
      <c r="J640" s="34" t="s">
        <v>1429</v>
      </c>
      <c r="K640" s="31">
        <v>17317</v>
      </c>
      <c r="L640" s="5" t="s">
        <v>83</v>
      </c>
      <c r="M640" s="32" t="s">
        <v>198</v>
      </c>
      <c r="N640" s="6">
        <f t="shared" si="92"/>
        <v>5</v>
      </c>
      <c r="O640" s="4" t="s">
        <v>18</v>
      </c>
      <c r="P640" s="5" t="str">
        <f t="shared" si="93"/>
        <v>Ahmedabad</v>
      </c>
      <c r="Q640" s="5" t="str">
        <f t="shared" si="94"/>
        <v>Gynecology</v>
      </c>
      <c r="R640" s="6" t="str">
        <f t="shared" si="95"/>
        <v>Narayana</v>
      </c>
      <c r="S640" s="6" t="str">
        <f t="shared" si="96"/>
        <v>Debit Card</v>
      </c>
      <c r="T640" s="6" t="str">
        <f t="shared" si="97"/>
        <v>Female</v>
      </c>
      <c r="U640" s="6" t="str">
        <f t="shared" si="100"/>
        <v>General</v>
      </c>
      <c r="V640" s="6" t="str" cm="1">
        <f t="array" ref="V640">IF(TRIM(S640)="",INDEX($S$2:$S$1500,MATCH(MAX(COUNTIF($S$2:$S$1500,S640)),COUNTIF($S$2:$S$1500,$S$2:$S$1500),0)),S640)</f>
        <v>Debit Card</v>
      </c>
      <c r="W640" s="7" cm="1">
        <f t="array" ref="W640">IF(OR(TRIM(K640)="",TRIM(K640)="-"), MEDIAN(IF($E$2:$E$1500=E640,$K$2:$K$1500)),  VALUE(SUBSTITUTE(SUBSTITUTE(SUBSTITUTE(K640,"Rs. ",""),"₹",""),",","")))</f>
        <v>17317</v>
      </c>
      <c r="X640" s="8">
        <f t="shared" si="98"/>
        <v>5</v>
      </c>
      <c r="Y640" s="7">
        <f t="shared" si="99"/>
        <v>16451</v>
      </c>
      <c r="Z640" s="9" t="str">
        <f t="shared" si="91"/>
        <v>SENIOR</v>
      </c>
    </row>
    <row r="641" spans="1:26" x14ac:dyDescent="0.3">
      <c r="A641" s="5" t="s">
        <v>1448</v>
      </c>
      <c r="B641" s="5" t="s">
        <v>14</v>
      </c>
      <c r="C641" s="5" t="s">
        <v>60</v>
      </c>
      <c r="D641" s="5" t="s">
        <v>66</v>
      </c>
      <c r="E641" s="5" t="s">
        <v>17</v>
      </c>
      <c r="F641" s="5" t="s">
        <v>135</v>
      </c>
      <c r="G641" s="5" t="s">
        <v>30</v>
      </c>
      <c r="H641" s="5">
        <v>4</v>
      </c>
      <c r="I641" s="5" t="s">
        <v>40</v>
      </c>
      <c r="J641" s="34" t="s">
        <v>1109</v>
      </c>
      <c r="K641" s="31" t="s">
        <v>1449</v>
      </c>
      <c r="L641" s="5" t="s">
        <v>23</v>
      </c>
      <c r="M641" s="32" t="s">
        <v>140</v>
      </c>
      <c r="N641" s="6" t="str">
        <f t="shared" si="92"/>
        <v>-</v>
      </c>
      <c r="O641" s="4" t="s">
        <v>135</v>
      </c>
      <c r="P641" s="5" t="str">
        <f t="shared" si="93"/>
        <v>Kolkata</v>
      </c>
      <c r="Q641" s="5" t="str">
        <f t="shared" si="94"/>
        <v>Gynecology</v>
      </c>
      <c r="R641" s="6" t="str">
        <f t="shared" si="95"/>
        <v>Max_Healthcare</v>
      </c>
      <c r="S641" s="6" t="str">
        <f t="shared" si="96"/>
        <v>Credit Card</v>
      </c>
      <c r="T641" s="6" t="str">
        <f t="shared" si="97"/>
        <v>Female</v>
      </c>
      <c r="U641" s="6" t="str">
        <f t="shared" si="100"/>
        <v>General</v>
      </c>
      <c r="V641" s="6" t="str" cm="1">
        <f t="array" ref="V641">IF(TRIM(S641)="",INDEX($S$2:$S$1500,MATCH(MAX(COUNTIF($S$2:$S$1500,S641)),COUNTIF($S$2:$S$1500,$S$2:$S$1500),0)),S641)</f>
        <v>Credit Card</v>
      </c>
      <c r="W641" s="7" cm="1">
        <f t="array" ref="W641">IF(OR(TRIM(K641)="",TRIM(K641)="-"), MEDIAN(IF($E$2:$E$1500=E641,$K$2:$K$1500)),  VALUE(SUBSTITUTE(SUBSTITUTE(SUBSTITUTE(K641,"Rs. ",""),"₹",""),",","")))</f>
        <v>10510</v>
      </c>
      <c r="X641" s="8">
        <f t="shared" si="98"/>
        <v>3</v>
      </c>
      <c r="Y641" s="7">
        <f t="shared" si="99"/>
        <v>10195</v>
      </c>
      <c r="Z641" s="9" t="str">
        <f t="shared" si="91"/>
        <v>CHILD</v>
      </c>
    </row>
    <row r="642" spans="1:26" x14ac:dyDescent="0.3">
      <c r="A642" s="5" t="s">
        <v>1450</v>
      </c>
      <c r="B642" s="5" t="s">
        <v>25</v>
      </c>
      <c r="C642" s="5" t="s">
        <v>54</v>
      </c>
      <c r="D642" s="5" t="s">
        <v>61</v>
      </c>
      <c r="E642" s="5" t="s">
        <v>17</v>
      </c>
      <c r="F642" s="5" t="s">
        <v>169</v>
      </c>
      <c r="G642" s="5" t="s">
        <v>30</v>
      </c>
      <c r="H642" s="5">
        <v>37</v>
      </c>
      <c r="I642" s="5" t="s">
        <v>20</v>
      </c>
      <c r="J642" s="34" t="s">
        <v>789</v>
      </c>
      <c r="K642" s="31">
        <v>4964</v>
      </c>
      <c r="L642" s="5" t="s">
        <v>34</v>
      </c>
      <c r="M642" s="32">
        <v>0</v>
      </c>
      <c r="N642" s="6">
        <f t="shared" si="92"/>
        <v>0</v>
      </c>
      <c r="O642" s="4" t="s">
        <v>169</v>
      </c>
      <c r="P642" s="5" t="str">
        <f t="shared" si="93"/>
        <v>Pune</v>
      </c>
      <c r="Q642" s="5" t="str">
        <f t="shared" si="94"/>
        <v>Gynecology</v>
      </c>
      <c r="R642" s="6" t="str">
        <f t="shared" si="95"/>
        <v>Narayana</v>
      </c>
      <c r="S642" s="6" t="str">
        <f t="shared" si="96"/>
        <v>Cash</v>
      </c>
      <c r="T642" s="6" t="str">
        <f t="shared" si="97"/>
        <v>Male</v>
      </c>
      <c r="U642" s="6" t="str">
        <f t="shared" si="100"/>
        <v>General</v>
      </c>
      <c r="V642" s="6" t="str" cm="1">
        <f t="array" ref="V642">IF(TRIM(S642)="",INDEX($S$2:$S$1500,MATCH(MAX(COUNTIF($S$2:$S$1500,S642)),COUNTIF($S$2:$S$1500,$S$2:$S$1500),0)),S642)</f>
        <v>Cash</v>
      </c>
      <c r="W642" s="7" cm="1">
        <f t="array" ref="W642">IF(OR(TRIM(K642)="",TRIM(K642)="-"), MEDIAN(IF($E$2:$E$1500=E642,$K$2:$K$1500)),  VALUE(SUBSTITUTE(SUBSTITUTE(SUBSTITUTE(K642,"Rs. ",""),"₹",""),",","")))</f>
        <v>4964</v>
      </c>
      <c r="X642" s="8">
        <f t="shared" si="98"/>
        <v>0</v>
      </c>
      <c r="Y642" s="7">
        <f t="shared" si="99"/>
        <v>4964</v>
      </c>
      <c r="Z642" s="9" t="str">
        <f t="shared" ref="Z642:Z705" si="101">IF(H642&lt;13,"CHILD",IF(H642&lt;20,"TEEN",IF(H642&lt;60,"ADULT","SENIOR")))</f>
        <v>ADULT</v>
      </c>
    </row>
    <row r="643" spans="1:26" x14ac:dyDescent="0.3">
      <c r="A643" s="5" t="s">
        <v>1451</v>
      </c>
      <c r="B643" s="5" t="s">
        <v>45</v>
      </c>
      <c r="C643" s="5" t="s">
        <v>334</v>
      </c>
      <c r="D643" s="5" t="s">
        <v>189</v>
      </c>
      <c r="E643" s="5" t="s">
        <v>93</v>
      </c>
      <c r="F643" s="5" t="s">
        <v>207</v>
      </c>
      <c r="G643" s="5" t="s">
        <v>19</v>
      </c>
      <c r="H643" s="5">
        <v>23</v>
      </c>
      <c r="I643" s="5" t="s">
        <v>20</v>
      </c>
      <c r="J643" s="34" t="s">
        <v>1452</v>
      </c>
      <c r="K643" s="31">
        <v>18395</v>
      </c>
      <c r="L643" s="5" t="s">
        <v>115</v>
      </c>
      <c r="M643" s="32">
        <v>0</v>
      </c>
      <c r="N643" s="6">
        <f t="shared" ref="N643:N706" si="102">IF(RIGHT(TRIM(M643),1)="%",VALUE(LEFT(TRIM(M643),LEN(TRIM(M643))-1)),  IF(AND(ISNUMBER(M643),M643&lt;=1,M643&gt;0),M643*100,M643))</f>
        <v>0</v>
      </c>
      <c r="O643" s="4" t="s">
        <v>207</v>
      </c>
      <c r="P643" s="5" t="str">
        <f t="shared" ref="P643:P706" si="103">PROPER(D643)</f>
        <v>Delhi</v>
      </c>
      <c r="Q643" s="5" t="str">
        <f t="shared" ref="Q643:Q706" si="104">PROPER(E643)</f>
        <v>Nephrology</v>
      </c>
      <c r="R643" s="6" t="str">
        <f t="shared" ref="R643:R706" si="105">PROPER(C643)</f>
        <v>Fortis</v>
      </c>
      <c r="S643" s="6" t="str">
        <f t="shared" ref="S643:S706" si="106">IF(OR(UPPER(TRIM(L643))="CREDIT_CARD",UPPER(TRIM(L643))="CREDIT CARD",UPPER(TRIM(L643))="CC"),"Credit Card", IF(OR(UPPER(TRIM(L643))="DEBIT_CARD",UPPER(TRIM(L643))="DEBIT CARD",UPPER(TRIM(L643))="DC"),"Debit Card", IF(UPPER(TRIM(L643))="CASH","Cash", IF(UPPER(TRIM(L643))="UPI","UPI", IF(OR(UPPER(TRIM(L643))="INSURANCE",UPPER(TRIM(L643))="INS"),"Insurance", IF(TRIM(L643)="","Unknown","Unknown"))))))</f>
        <v>Cash</v>
      </c>
      <c r="T643" s="6" t="str">
        <f t="shared" ref="T643:T706" si="107">IF(OR(UPPER(TRIM(I643))="M",UPPER(TRIM(I643))="MALE"),"Male",IF(OR(UPPER(TRIM(I643))="F",UPPER(TRIM(I643))="FEMALE"),"Female","Unknown"))</f>
        <v>Male</v>
      </c>
      <c r="U643" s="6" t="str">
        <f t="shared" si="100"/>
        <v>General</v>
      </c>
      <c r="V643" s="6" t="str" cm="1">
        <f t="array" ref="V643">IF(TRIM(S643)="",INDEX($S$2:$S$1500,MATCH(MAX(COUNTIF($S$2:$S$1500,S643)),COUNTIF($S$2:$S$1500,$S$2:$S$1500),0)),S643)</f>
        <v>Cash</v>
      </c>
      <c r="W643" s="7" cm="1">
        <f t="array" ref="W643">IF(OR(TRIM(K643)="",TRIM(K643)="-"), MEDIAN(IF($E$2:$E$1500=E643,$K$2:$K$1500)),  VALUE(SUBSTITUTE(SUBSTITUTE(SUBSTITUTE(K643,"Rs. ",""),"₹",""),",","")))</f>
        <v>18395</v>
      </c>
      <c r="X643" s="8">
        <f t="shared" ref="X643:X706" si="108">ROUND(IF(OR(TRIM(N643)="-",UPPER(TRIM(N643))="N/A",UPPER(TRIM(N643))="NA"), IFERROR(AVERAGEIF($V$2:$V$1500,V643,$N$2:$N$1500),AVERAGE($N$2:$N$1500)), N643),0)</f>
        <v>0</v>
      </c>
      <c r="Y643" s="7">
        <f t="shared" ref="Y643:Y706" si="109">ROUND(W643*(1-X643/100),0)</f>
        <v>18395</v>
      </c>
      <c r="Z643" s="9" t="str">
        <f t="shared" si="101"/>
        <v>ADULT</v>
      </c>
    </row>
    <row r="644" spans="1:26" x14ac:dyDescent="0.3">
      <c r="A644" s="5" t="s">
        <v>1453</v>
      </c>
      <c r="B644" s="5" t="s">
        <v>106</v>
      </c>
      <c r="C644" s="5" t="s">
        <v>107</v>
      </c>
      <c r="D644" s="5" t="s">
        <v>61</v>
      </c>
      <c r="E644" s="5" t="s">
        <v>74</v>
      </c>
      <c r="F644" s="5" t="s">
        <v>147</v>
      </c>
      <c r="G644" s="5" t="s">
        <v>39</v>
      </c>
      <c r="H644" s="5">
        <v>46</v>
      </c>
      <c r="I644" s="5" t="s">
        <v>31</v>
      </c>
      <c r="J644" s="34" t="s">
        <v>685</v>
      </c>
      <c r="K644" s="31">
        <v>10232</v>
      </c>
      <c r="L644" s="5" t="s">
        <v>115</v>
      </c>
      <c r="M644" s="32" t="s">
        <v>64</v>
      </c>
      <c r="N644" s="6" t="str">
        <f t="shared" si="102"/>
        <v>NA</v>
      </c>
      <c r="O644" s="4" t="s">
        <v>147</v>
      </c>
      <c r="P644" s="5" t="str">
        <f t="shared" si="103"/>
        <v>Pune</v>
      </c>
      <c r="Q644" s="5" t="str">
        <f t="shared" si="104"/>
        <v>General Medicine</v>
      </c>
      <c r="R644" s="6" t="str">
        <f t="shared" si="105"/>
        <v>Aiims</v>
      </c>
      <c r="S644" s="6" t="str">
        <f t="shared" si="106"/>
        <v>Cash</v>
      </c>
      <c r="T644" s="6" t="str">
        <f t="shared" si="107"/>
        <v>Male</v>
      </c>
      <c r="U644" s="6" t="str">
        <f t="shared" si="100"/>
        <v>General</v>
      </c>
      <c r="V644" s="6" t="str" cm="1">
        <f t="array" ref="V644">IF(TRIM(S644)="",INDEX($S$2:$S$1500,MATCH(MAX(COUNTIF($S$2:$S$1500,S644)),COUNTIF($S$2:$S$1500,$S$2:$S$1500),0)),S644)</f>
        <v>Cash</v>
      </c>
      <c r="W644" s="7" cm="1">
        <f t="array" ref="W644">IF(OR(TRIM(K644)="",TRIM(K644)="-"), MEDIAN(IF($E$2:$E$1500=E644,$K$2:$K$1500)),  VALUE(SUBSTITUTE(SUBSTITUTE(SUBSTITUTE(K644,"Rs. ",""),"₹",""),",","")))</f>
        <v>10232</v>
      </c>
      <c r="X644" s="8">
        <f t="shared" si="108"/>
        <v>3</v>
      </c>
      <c r="Y644" s="7">
        <f t="shared" si="109"/>
        <v>9925</v>
      </c>
      <c r="Z644" s="9" t="str">
        <f t="shared" si="101"/>
        <v>ADULT</v>
      </c>
    </row>
    <row r="645" spans="1:26" x14ac:dyDescent="0.3">
      <c r="A645" s="5" t="s">
        <v>1454</v>
      </c>
      <c r="B645" s="5" t="s">
        <v>78</v>
      </c>
      <c r="C645" s="5" t="s">
        <v>161</v>
      </c>
      <c r="D645" s="5" t="s">
        <v>61</v>
      </c>
      <c r="E645" s="5" t="s">
        <v>17</v>
      </c>
      <c r="F645" s="5" t="s">
        <v>135</v>
      </c>
      <c r="G645" s="5" t="s">
        <v>19</v>
      </c>
      <c r="H645" s="5">
        <v>42</v>
      </c>
      <c r="I645" s="5" t="s">
        <v>31</v>
      </c>
      <c r="J645" s="34" t="s">
        <v>1455</v>
      </c>
      <c r="K645" s="31" t="s">
        <v>1456</v>
      </c>
      <c r="L645" s="5" t="s">
        <v>149</v>
      </c>
      <c r="M645" s="32">
        <v>18</v>
      </c>
      <c r="N645" s="6">
        <f t="shared" si="102"/>
        <v>18</v>
      </c>
      <c r="O645" s="4" t="s">
        <v>135</v>
      </c>
      <c r="P645" s="5" t="str">
        <f t="shared" si="103"/>
        <v>Pune</v>
      </c>
      <c r="Q645" s="5" t="str">
        <f t="shared" si="104"/>
        <v>Gynecology</v>
      </c>
      <c r="R645" s="6" t="str">
        <f t="shared" si="105"/>
        <v>Apollo</v>
      </c>
      <c r="S645" s="6" t="str">
        <f t="shared" si="106"/>
        <v>Insurance</v>
      </c>
      <c r="T645" s="6" t="str">
        <f t="shared" si="107"/>
        <v>Male</v>
      </c>
      <c r="U645" s="6" t="str">
        <f t="shared" si="100"/>
        <v>General</v>
      </c>
      <c r="V645" s="6" t="str" cm="1">
        <f t="array" ref="V645">IF(TRIM(S645)="",INDEX($S$2:$S$1500,MATCH(MAX(COUNTIF($S$2:$S$1500,S645)),COUNTIF($S$2:$S$1500,$S$2:$S$1500),0)),S645)</f>
        <v>Insurance</v>
      </c>
      <c r="W645" s="7" cm="1">
        <f t="array" ref="W645">IF(OR(TRIM(K645)="",TRIM(K645)="-"), MEDIAN(IF($E$2:$E$1500=E645,$K$2:$K$1500)),  VALUE(SUBSTITUTE(SUBSTITUTE(SUBSTITUTE(K645,"Rs. ",""),"₹",""),",","")))</f>
        <v>16429</v>
      </c>
      <c r="X645" s="8">
        <f t="shared" si="108"/>
        <v>18</v>
      </c>
      <c r="Y645" s="7">
        <f t="shared" si="109"/>
        <v>13472</v>
      </c>
      <c r="Z645" s="9" t="str">
        <f t="shared" si="101"/>
        <v>ADULT</v>
      </c>
    </row>
    <row r="646" spans="1:26" x14ac:dyDescent="0.3">
      <c r="A646" s="5" t="s">
        <v>1457</v>
      </c>
      <c r="B646" s="5" t="s">
        <v>45</v>
      </c>
      <c r="C646" s="5" t="s">
        <v>46</v>
      </c>
      <c r="D646" s="5" t="s">
        <v>80</v>
      </c>
      <c r="E646" s="5" t="s">
        <v>108</v>
      </c>
      <c r="F646" s="5" t="s">
        <v>109</v>
      </c>
      <c r="G646" s="5" t="s">
        <v>69</v>
      </c>
      <c r="H646" s="5">
        <v>48</v>
      </c>
      <c r="I646" s="5" t="s">
        <v>70</v>
      </c>
      <c r="J646" s="34" t="s">
        <v>553</v>
      </c>
      <c r="K646" s="31">
        <v>75859</v>
      </c>
      <c r="L646" s="5" t="s">
        <v>311</v>
      </c>
      <c r="M646" s="32" t="s">
        <v>130</v>
      </c>
      <c r="N646" s="6">
        <f t="shared" si="102"/>
        <v>0</v>
      </c>
      <c r="O646" s="4" t="s">
        <v>109</v>
      </c>
      <c r="P646" s="5" t="str">
        <f t="shared" si="103"/>
        <v>Ahmedabad</v>
      </c>
      <c r="Q646" s="5" t="str">
        <f t="shared" si="104"/>
        <v>Orthopedics</v>
      </c>
      <c r="R646" s="6" t="str">
        <f t="shared" si="105"/>
        <v>Fortis</v>
      </c>
      <c r="S646" s="6" t="str">
        <f t="shared" si="106"/>
        <v>UPI</v>
      </c>
      <c r="T646" s="6" t="str">
        <f t="shared" si="107"/>
        <v>Female</v>
      </c>
      <c r="U646" s="6" t="str">
        <f t="shared" si="100"/>
        <v>ICU</v>
      </c>
      <c r="V646" s="6" t="str" cm="1">
        <f t="array" ref="V646">IF(TRIM(S646)="",INDEX($S$2:$S$1500,MATCH(MAX(COUNTIF($S$2:$S$1500,S646)),COUNTIF($S$2:$S$1500,$S$2:$S$1500),0)),S646)</f>
        <v>UPI</v>
      </c>
      <c r="W646" s="7" cm="1">
        <f t="array" ref="W646">IF(OR(TRIM(K646)="",TRIM(K646)="-"), MEDIAN(IF($E$2:$E$1500=E646,$K$2:$K$1500)),  VALUE(SUBSTITUTE(SUBSTITUTE(SUBSTITUTE(K646,"Rs. ",""),"₹",""),",","")))</f>
        <v>75859</v>
      </c>
      <c r="X646" s="8">
        <f t="shared" si="108"/>
        <v>0</v>
      </c>
      <c r="Y646" s="7">
        <f t="shared" si="109"/>
        <v>75859</v>
      </c>
      <c r="Z646" s="9" t="str">
        <f t="shared" si="101"/>
        <v>ADULT</v>
      </c>
    </row>
    <row r="647" spans="1:26" x14ac:dyDescent="0.3">
      <c r="A647" s="5" t="s">
        <v>1458</v>
      </c>
      <c r="B647" s="5" t="s">
        <v>106</v>
      </c>
      <c r="C647" s="5" t="s">
        <v>307</v>
      </c>
      <c r="D647" s="5" t="s">
        <v>16</v>
      </c>
      <c r="E647" s="5" t="s">
        <v>47</v>
      </c>
      <c r="F647" s="5" t="s">
        <v>48</v>
      </c>
      <c r="G647" s="5" t="s">
        <v>30</v>
      </c>
      <c r="H647" s="5">
        <v>53</v>
      </c>
      <c r="I647" s="5" t="s">
        <v>20</v>
      </c>
      <c r="J647" s="34" t="s">
        <v>1459</v>
      </c>
      <c r="K647" s="31" t="s">
        <v>1460</v>
      </c>
      <c r="L647" s="5" t="s">
        <v>23</v>
      </c>
      <c r="M647" s="32">
        <v>0</v>
      </c>
      <c r="N647" s="6">
        <f t="shared" si="102"/>
        <v>0</v>
      </c>
      <c r="O647" s="4" t="s">
        <v>48</v>
      </c>
      <c r="P647" s="5" t="str">
        <f t="shared" si="103"/>
        <v>Bangalore</v>
      </c>
      <c r="Q647" s="5" t="str">
        <f t="shared" si="104"/>
        <v>Gastroenterology</v>
      </c>
      <c r="R647" s="6" t="str">
        <f t="shared" si="105"/>
        <v>Aiims</v>
      </c>
      <c r="S647" s="6" t="str">
        <f t="shared" si="106"/>
        <v>Credit Card</v>
      </c>
      <c r="T647" s="6" t="str">
        <f t="shared" si="107"/>
        <v>Male</v>
      </c>
      <c r="U647" s="6" t="str">
        <f t="shared" si="100"/>
        <v>General</v>
      </c>
      <c r="V647" s="6" t="str" cm="1">
        <f t="array" ref="V647">IF(TRIM(S647)="",INDEX($S$2:$S$1500,MATCH(MAX(COUNTIF($S$2:$S$1500,S647)),COUNTIF($S$2:$S$1500,$S$2:$S$1500),0)),S647)</f>
        <v>Credit Card</v>
      </c>
      <c r="W647" s="7" cm="1">
        <f t="array" ref="W647">IF(OR(TRIM(K647)="",TRIM(K647)="-"), MEDIAN(IF($E$2:$E$1500=E647,$K$2:$K$1500)),  VALUE(SUBSTITUTE(SUBSTITUTE(SUBSTITUTE(K647,"Rs. ",""),"₹",""),",","")))</f>
        <v>7866</v>
      </c>
      <c r="X647" s="8">
        <f t="shared" si="108"/>
        <v>0</v>
      </c>
      <c r="Y647" s="7">
        <f t="shared" si="109"/>
        <v>7866</v>
      </c>
      <c r="Z647" s="9" t="str">
        <f t="shared" si="101"/>
        <v>ADULT</v>
      </c>
    </row>
    <row r="648" spans="1:26" x14ac:dyDescent="0.3">
      <c r="A648" s="5" t="s">
        <v>1461</v>
      </c>
      <c r="B648" s="5" t="s">
        <v>14</v>
      </c>
      <c r="C648" s="5" t="s">
        <v>60</v>
      </c>
      <c r="D648" s="5" t="s">
        <v>61</v>
      </c>
      <c r="E648" s="5" t="s">
        <v>47</v>
      </c>
      <c r="F648" s="5" t="s">
        <v>364</v>
      </c>
      <c r="G648" s="5" t="s">
        <v>62</v>
      </c>
      <c r="H648" s="5">
        <v>89</v>
      </c>
      <c r="I648" s="5" t="s">
        <v>31</v>
      </c>
      <c r="J648" s="34" t="s">
        <v>845</v>
      </c>
      <c r="K648" s="31" t="s">
        <v>1462</v>
      </c>
      <c r="L648" s="5" t="s">
        <v>34</v>
      </c>
      <c r="M648" s="32" t="s">
        <v>140</v>
      </c>
      <c r="N648" s="6" t="str">
        <f t="shared" si="102"/>
        <v>-</v>
      </c>
      <c r="O648" s="4" t="s">
        <v>364</v>
      </c>
      <c r="P648" s="5" t="str">
        <f t="shared" si="103"/>
        <v>Pune</v>
      </c>
      <c r="Q648" s="5" t="str">
        <f t="shared" si="104"/>
        <v>Gastroenterology</v>
      </c>
      <c r="R648" s="6" t="str">
        <f t="shared" si="105"/>
        <v>Max_Healthcare</v>
      </c>
      <c r="S648" s="6" t="str">
        <f t="shared" si="106"/>
        <v>Cash</v>
      </c>
      <c r="T648" s="6" t="str">
        <f t="shared" si="107"/>
        <v>Male</v>
      </c>
      <c r="U648" s="6" t="str">
        <f t="shared" si="100"/>
        <v>ICU</v>
      </c>
      <c r="V648" s="6" t="str" cm="1">
        <f t="array" ref="V648">IF(TRIM(S648)="",INDEX($S$2:$S$1500,MATCH(MAX(COUNTIF($S$2:$S$1500,S648)),COUNTIF($S$2:$S$1500,$S$2:$S$1500),0)),S648)</f>
        <v>Cash</v>
      </c>
      <c r="W648" s="7" cm="1">
        <f t="array" ref="W648">IF(OR(TRIM(K648)="",TRIM(K648)="-"), MEDIAN(IF($E$2:$E$1500=E648,$K$2:$K$1500)),  VALUE(SUBSTITUTE(SUBSTITUTE(SUBSTITUTE(K648,"Rs. ",""),"₹",""),",","")))</f>
        <v>67117</v>
      </c>
      <c r="X648" s="8">
        <f t="shared" si="108"/>
        <v>3</v>
      </c>
      <c r="Y648" s="7">
        <f t="shared" si="109"/>
        <v>65103</v>
      </c>
      <c r="Z648" s="9" t="str">
        <f t="shared" si="101"/>
        <v>SENIOR</v>
      </c>
    </row>
    <row r="649" spans="1:26" x14ac:dyDescent="0.3">
      <c r="A649" s="5" t="s">
        <v>1463</v>
      </c>
      <c r="B649" s="5" t="s">
        <v>106</v>
      </c>
      <c r="C649" s="5" t="s">
        <v>307</v>
      </c>
      <c r="D649" s="5" t="s">
        <v>189</v>
      </c>
      <c r="E649" s="5" t="s">
        <v>37</v>
      </c>
      <c r="F649" s="5" t="s">
        <v>38</v>
      </c>
      <c r="G649" s="5" t="s">
        <v>39</v>
      </c>
      <c r="H649" s="5">
        <v>84</v>
      </c>
      <c r="I649" s="5" t="s">
        <v>70</v>
      </c>
      <c r="J649" s="34" t="s">
        <v>204</v>
      </c>
      <c r="K649" s="31" t="s">
        <v>1464</v>
      </c>
      <c r="L649" s="5" t="s">
        <v>104</v>
      </c>
      <c r="M649" s="32">
        <v>15</v>
      </c>
      <c r="N649" s="6">
        <f t="shared" si="102"/>
        <v>15</v>
      </c>
      <c r="O649" s="4" t="s">
        <v>38</v>
      </c>
      <c r="P649" s="5" t="str">
        <f t="shared" si="103"/>
        <v>Delhi</v>
      </c>
      <c r="Q649" s="5" t="str">
        <f t="shared" si="104"/>
        <v>Pediatrics</v>
      </c>
      <c r="R649" s="6" t="str">
        <f t="shared" si="105"/>
        <v>Aiims</v>
      </c>
      <c r="S649" s="6" t="str">
        <f t="shared" si="106"/>
        <v>Insurance</v>
      </c>
      <c r="T649" s="6" t="str">
        <f t="shared" si="107"/>
        <v>Female</v>
      </c>
      <c r="U649" s="6" t="str">
        <f t="shared" si="100"/>
        <v>General</v>
      </c>
      <c r="V649" s="6" t="str" cm="1">
        <f t="array" ref="V649">IF(TRIM(S649)="",INDEX($S$2:$S$1500,MATCH(MAX(COUNTIF($S$2:$S$1500,S649)),COUNTIF($S$2:$S$1500,$S$2:$S$1500),0)),S649)</f>
        <v>Insurance</v>
      </c>
      <c r="W649" s="7" cm="1">
        <f t="array" ref="W649">IF(OR(TRIM(K649)="",TRIM(K649)="-"), MEDIAN(IF($E$2:$E$1500=E649,$K$2:$K$1500)),  VALUE(SUBSTITUTE(SUBSTITUTE(SUBSTITUTE(K649,"Rs. ",""),"₹",""),",","")))</f>
        <v>6702</v>
      </c>
      <c r="X649" s="8">
        <f t="shared" si="108"/>
        <v>15</v>
      </c>
      <c r="Y649" s="7">
        <f t="shared" si="109"/>
        <v>5697</v>
      </c>
      <c r="Z649" s="9" t="str">
        <f t="shared" si="101"/>
        <v>SENIOR</v>
      </c>
    </row>
    <row r="650" spans="1:26" x14ac:dyDescent="0.3">
      <c r="A650" s="5" t="s">
        <v>1465</v>
      </c>
      <c r="B650" s="5" t="s">
        <v>78</v>
      </c>
      <c r="C650" s="5" t="s">
        <v>79</v>
      </c>
      <c r="D650" s="5" t="s">
        <v>66</v>
      </c>
      <c r="E650" s="5" t="s">
        <v>99</v>
      </c>
      <c r="F650" s="5" t="s">
        <v>372</v>
      </c>
      <c r="G650" s="5"/>
      <c r="H650" s="5">
        <v>78</v>
      </c>
      <c r="I650" s="5" t="s">
        <v>70</v>
      </c>
      <c r="J650" s="34" t="s">
        <v>1466</v>
      </c>
      <c r="K650" s="31">
        <v>88879</v>
      </c>
      <c r="L650" s="5" t="s">
        <v>104</v>
      </c>
      <c r="M650" s="32" t="s">
        <v>64</v>
      </c>
      <c r="N650" s="6" t="str">
        <f t="shared" si="102"/>
        <v>NA</v>
      </c>
      <c r="O650" s="4" t="s">
        <v>372</v>
      </c>
      <c r="P650" s="5" t="str">
        <f t="shared" si="103"/>
        <v>Kolkata</v>
      </c>
      <c r="Q650" s="5" t="str">
        <f t="shared" si="104"/>
        <v>Ent</v>
      </c>
      <c r="R650" s="6" t="str">
        <f t="shared" si="105"/>
        <v>Apollo</v>
      </c>
      <c r="S650" s="6" t="str">
        <f t="shared" si="106"/>
        <v>Insurance</v>
      </c>
      <c r="T650" s="6" t="str">
        <f t="shared" si="107"/>
        <v>Female</v>
      </c>
      <c r="U650" s="6" t="str">
        <f t="shared" si="100"/>
        <v>Unknown</v>
      </c>
      <c r="V650" s="6" t="str" cm="1">
        <f t="array" ref="V650">IF(TRIM(S650)="",INDEX($S$2:$S$1500,MATCH(MAX(COUNTIF($S$2:$S$1500,S650)),COUNTIF($S$2:$S$1500,$S$2:$S$1500),0)),S650)</f>
        <v>Insurance</v>
      </c>
      <c r="W650" s="7" cm="1">
        <f t="array" ref="W650">IF(OR(TRIM(K650)="",TRIM(K650)="-"), MEDIAN(IF($E$2:$E$1500=E650,$K$2:$K$1500)),  VALUE(SUBSTITUTE(SUBSTITUTE(SUBSTITUTE(K650,"Rs. ",""),"₹",""),",","")))</f>
        <v>88879</v>
      </c>
      <c r="X650" s="8">
        <f t="shared" si="108"/>
        <v>19</v>
      </c>
      <c r="Y650" s="7">
        <f t="shared" si="109"/>
        <v>71992</v>
      </c>
      <c r="Z650" s="9" t="str">
        <f t="shared" si="101"/>
        <v>SENIOR</v>
      </c>
    </row>
    <row r="651" spans="1:26" x14ac:dyDescent="0.3">
      <c r="A651" s="5" t="s">
        <v>1467</v>
      </c>
      <c r="B651" s="5" t="s">
        <v>45</v>
      </c>
      <c r="C651" s="5" t="s">
        <v>46</v>
      </c>
      <c r="D651" s="5" t="s">
        <v>61</v>
      </c>
      <c r="E651" s="5" t="s">
        <v>99</v>
      </c>
      <c r="F651" s="5" t="s">
        <v>100</v>
      </c>
      <c r="G651" s="5" t="s">
        <v>69</v>
      </c>
      <c r="H651" s="5">
        <v>35</v>
      </c>
      <c r="I651" s="5" t="s">
        <v>40</v>
      </c>
      <c r="J651" s="34" t="s">
        <v>242</v>
      </c>
      <c r="K651" s="31">
        <v>55966</v>
      </c>
      <c r="L651" s="5" t="s">
        <v>72</v>
      </c>
      <c r="M651" s="32" t="s">
        <v>76</v>
      </c>
      <c r="N651" s="6">
        <f t="shared" si="102"/>
        <v>10</v>
      </c>
      <c r="O651" s="4" t="s">
        <v>100</v>
      </c>
      <c r="P651" s="5" t="str">
        <f t="shared" si="103"/>
        <v>Pune</v>
      </c>
      <c r="Q651" s="5" t="str">
        <f t="shared" si="104"/>
        <v>Ent</v>
      </c>
      <c r="R651" s="6" t="str">
        <f t="shared" si="105"/>
        <v>Fortis</v>
      </c>
      <c r="S651" s="6" t="str">
        <f t="shared" si="106"/>
        <v>Cash</v>
      </c>
      <c r="T651" s="6" t="str">
        <f t="shared" si="107"/>
        <v>Female</v>
      </c>
      <c r="U651" s="6" t="str">
        <f t="shared" si="100"/>
        <v>ICU</v>
      </c>
      <c r="V651" s="6" t="str" cm="1">
        <f t="array" ref="V651">IF(TRIM(S651)="",INDEX($S$2:$S$1500,MATCH(MAX(COUNTIF($S$2:$S$1500,S651)),COUNTIF($S$2:$S$1500,$S$2:$S$1500),0)),S651)</f>
        <v>Cash</v>
      </c>
      <c r="W651" s="7" cm="1">
        <f t="array" ref="W651">IF(OR(TRIM(K651)="",TRIM(K651)="-"), MEDIAN(IF($E$2:$E$1500=E651,$K$2:$K$1500)),  VALUE(SUBSTITUTE(SUBSTITUTE(SUBSTITUTE(K651,"Rs. ",""),"₹",""),",","")))</f>
        <v>55966</v>
      </c>
      <c r="X651" s="8">
        <f t="shared" si="108"/>
        <v>10</v>
      </c>
      <c r="Y651" s="7">
        <f t="shared" si="109"/>
        <v>50369</v>
      </c>
      <c r="Z651" s="9" t="str">
        <f t="shared" si="101"/>
        <v>ADULT</v>
      </c>
    </row>
    <row r="652" spans="1:26" x14ac:dyDescent="0.3">
      <c r="A652" s="5" t="s">
        <v>1468</v>
      </c>
      <c r="B652" s="5" t="s">
        <v>25</v>
      </c>
      <c r="C652" s="5" t="s">
        <v>54</v>
      </c>
      <c r="D652" s="5" t="s">
        <v>27</v>
      </c>
      <c r="E652" s="5" t="s">
        <v>47</v>
      </c>
      <c r="F652" s="5" t="s">
        <v>364</v>
      </c>
      <c r="G652" s="5" t="s">
        <v>69</v>
      </c>
      <c r="H652" s="5">
        <v>75</v>
      </c>
      <c r="I652" s="5" t="s">
        <v>40</v>
      </c>
      <c r="J652" s="34" t="s">
        <v>1469</v>
      </c>
      <c r="K652" s="31">
        <v>68211</v>
      </c>
      <c r="L652" s="5" t="s">
        <v>58</v>
      </c>
      <c r="M652" s="32">
        <v>0</v>
      </c>
      <c r="N652" s="6">
        <f t="shared" si="102"/>
        <v>0</v>
      </c>
      <c r="O652" s="4" t="s">
        <v>364</v>
      </c>
      <c r="P652" s="5" t="str">
        <f t="shared" si="103"/>
        <v>Mumbai</v>
      </c>
      <c r="Q652" s="5" t="str">
        <f t="shared" si="104"/>
        <v>Gastroenterology</v>
      </c>
      <c r="R652" s="6" t="str">
        <f t="shared" si="105"/>
        <v>Narayana</v>
      </c>
      <c r="S652" s="6" t="str">
        <f t="shared" si="106"/>
        <v>UPI</v>
      </c>
      <c r="T652" s="6" t="str">
        <f t="shared" si="107"/>
        <v>Female</v>
      </c>
      <c r="U652" s="6" t="str">
        <f t="shared" si="100"/>
        <v>ICU</v>
      </c>
      <c r="V652" s="6" t="str" cm="1">
        <f t="array" ref="V652">IF(TRIM(S652)="",INDEX($S$2:$S$1500,MATCH(MAX(COUNTIF($S$2:$S$1500,S652)),COUNTIF($S$2:$S$1500,$S$2:$S$1500),0)),S652)</f>
        <v>UPI</v>
      </c>
      <c r="W652" s="7" cm="1">
        <f t="array" ref="W652">IF(OR(TRIM(K652)="",TRIM(K652)="-"), MEDIAN(IF($E$2:$E$1500=E652,$K$2:$K$1500)),  VALUE(SUBSTITUTE(SUBSTITUTE(SUBSTITUTE(K652,"Rs. ",""),"₹",""),",","")))</f>
        <v>68211</v>
      </c>
      <c r="X652" s="8">
        <f t="shared" si="108"/>
        <v>0</v>
      </c>
      <c r="Y652" s="7">
        <f t="shared" si="109"/>
        <v>68211</v>
      </c>
      <c r="Z652" s="9" t="str">
        <f t="shared" si="101"/>
        <v>SENIOR</v>
      </c>
    </row>
    <row r="653" spans="1:26" x14ac:dyDescent="0.3">
      <c r="A653" s="5" t="s">
        <v>1470</v>
      </c>
      <c r="B653" s="5" t="s">
        <v>78</v>
      </c>
      <c r="C653" s="5" t="s">
        <v>161</v>
      </c>
      <c r="D653" s="5" t="s">
        <v>66</v>
      </c>
      <c r="E653" s="5" t="s">
        <v>28</v>
      </c>
      <c r="F653" s="5" t="s">
        <v>268</v>
      </c>
      <c r="G653" s="5" t="s">
        <v>19</v>
      </c>
      <c r="H653" s="5">
        <v>70</v>
      </c>
      <c r="I653" s="5" t="s">
        <v>20</v>
      </c>
      <c r="J653" s="34" t="s">
        <v>680</v>
      </c>
      <c r="K653" s="31">
        <v>3308</v>
      </c>
      <c r="L653" s="5" t="s">
        <v>34</v>
      </c>
      <c r="M653" s="32" t="s">
        <v>140</v>
      </c>
      <c r="N653" s="6" t="str">
        <f t="shared" si="102"/>
        <v>-</v>
      </c>
      <c r="O653" s="4" t="s">
        <v>268</v>
      </c>
      <c r="P653" s="5" t="str">
        <f t="shared" si="103"/>
        <v>Kolkata</v>
      </c>
      <c r="Q653" s="5" t="str">
        <f t="shared" si="104"/>
        <v>Oncology</v>
      </c>
      <c r="R653" s="6" t="str">
        <f t="shared" si="105"/>
        <v>Apollo</v>
      </c>
      <c r="S653" s="6" t="str">
        <f t="shared" si="106"/>
        <v>Cash</v>
      </c>
      <c r="T653" s="6" t="str">
        <f t="shared" si="107"/>
        <v>Male</v>
      </c>
      <c r="U653" s="6" t="str">
        <f t="shared" si="100"/>
        <v>General</v>
      </c>
      <c r="V653" s="6" t="str" cm="1">
        <f t="array" ref="V653">IF(TRIM(S653)="",INDEX($S$2:$S$1500,MATCH(MAX(COUNTIF($S$2:$S$1500,S653)),COUNTIF($S$2:$S$1500,$S$2:$S$1500),0)),S653)</f>
        <v>Cash</v>
      </c>
      <c r="W653" s="7" cm="1">
        <f t="array" ref="W653">IF(OR(TRIM(K653)="",TRIM(K653)="-"), MEDIAN(IF($E$2:$E$1500=E653,$K$2:$K$1500)),  VALUE(SUBSTITUTE(SUBSTITUTE(SUBSTITUTE(K653,"Rs. ",""),"₹",""),",","")))</f>
        <v>3308</v>
      </c>
      <c r="X653" s="8">
        <f t="shared" si="108"/>
        <v>3</v>
      </c>
      <c r="Y653" s="7">
        <f t="shared" si="109"/>
        <v>3209</v>
      </c>
      <c r="Z653" s="9" t="str">
        <f t="shared" si="101"/>
        <v>SENIOR</v>
      </c>
    </row>
    <row r="654" spans="1:26" x14ac:dyDescent="0.3">
      <c r="A654" s="5" t="s">
        <v>1471</v>
      </c>
      <c r="B654" s="5" t="s">
        <v>78</v>
      </c>
      <c r="C654" s="5" t="s">
        <v>79</v>
      </c>
      <c r="D654" s="5" t="s">
        <v>80</v>
      </c>
      <c r="E654" s="5" t="s">
        <v>28</v>
      </c>
      <c r="F654" s="5" t="s">
        <v>268</v>
      </c>
      <c r="G654" s="5" t="s">
        <v>101</v>
      </c>
      <c r="H654" s="5">
        <v>61</v>
      </c>
      <c r="I654" s="5" t="s">
        <v>20</v>
      </c>
      <c r="J654" s="34" t="s">
        <v>1472</v>
      </c>
      <c r="K654" s="31" t="s">
        <v>1473</v>
      </c>
      <c r="L654" s="5" t="s">
        <v>72</v>
      </c>
      <c r="M654" s="32">
        <v>0</v>
      </c>
      <c r="N654" s="6">
        <f t="shared" si="102"/>
        <v>0</v>
      </c>
      <c r="O654" s="4" t="s">
        <v>268</v>
      </c>
      <c r="P654" s="5" t="str">
        <f t="shared" si="103"/>
        <v>Ahmedabad</v>
      </c>
      <c r="Q654" s="5" t="str">
        <f t="shared" si="104"/>
        <v>Oncology</v>
      </c>
      <c r="R654" s="6" t="str">
        <f t="shared" si="105"/>
        <v>Apollo</v>
      </c>
      <c r="S654" s="6" t="str">
        <f t="shared" si="106"/>
        <v>Cash</v>
      </c>
      <c r="T654" s="6" t="str">
        <f t="shared" si="107"/>
        <v>Male</v>
      </c>
      <c r="U654" s="6" t="str">
        <f t="shared" ref="U654:U717" si="110">IF(OR(UPPER(TRIM(G654))="GENERAL",UPPER(TRIM(G654))="GENRAL"),"General",IF(UPPER(TRIM(G654))="ICU","ICU","Unknown"))</f>
        <v>ICU</v>
      </c>
      <c r="V654" s="6" t="str" cm="1">
        <f t="array" ref="V654">IF(TRIM(S654)="",INDEX($S$2:$S$1500,MATCH(MAX(COUNTIF($S$2:$S$1500,S654)),COUNTIF($S$2:$S$1500,$S$2:$S$1500),0)),S654)</f>
        <v>Cash</v>
      </c>
      <c r="W654" s="7" cm="1">
        <f t="array" ref="W654">IF(OR(TRIM(K654)="",TRIM(K654)="-"), MEDIAN(IF($E$2:$E$1500=E654,$K$2:$K$1500)),  VALUE(SUBSTITUTE(SUBSTITUTE(SUBSTITUTE(K654,"Rs. ",""),"₹",""),",","")))</f>
        <v>49056</v>
      </c>
      <c r="X654" s="8">
        <f t="shared" si="108"/>
        <v>0</v>
      </c>
      <c r="Y654" s="7">
        <f t="shared" si="109"/>
        <v>49056</v>
      </c>
      <c r="Z654" s="9" t="str">
        <f t="shared" si="101"/>
        <v>SENIOR</v>
      </c>
    </row>
    <row r="655" spans="1:26" x14ac:dyDescent="0.3">
      <c r="A655" s="5" t="s">
        <v>1474</v>
      </c>
      <c r="B655" s="5" t="s">
        <v>14</v>
      </c>
      <c r="C655" s="5" t="s">
        <v>60</v>
      </c>
      <c r="D655" s="5" t="s">
        <v>55</v>
      </c>
      <c r="E655" s="5" t="s">
        <v>164</v>
      </c>
      <c r="F655" s="5" t="s">
        <v>165</v>
      </c>
      <c r="G655" s="5" t="s">
        <v>62</v>
      </c>
      <c r="H655" s="5">
        <v>28</v>
      </c>
      <c r="I655" s="5" t="s">
        <v>31</v>
      </c>
      <c r="J655" s="34" t="s">
        <v>764</v>
      </c>
      <c r="K655" s="31" t="s">
        <v>1475</v>
      </c>
      <c r="L655" s="5" t="s">
        <v>149</v>
      </c>
      <c r="M655" s="32">
        <v>20</v>
      </c>
      <c r="N655" s="6">
        <f t="shared" si="102"/>
        <v>20</v>
      </c>
      <c r="O655" s="4" t="s">
        <v>165</v>
      </c>
      <c r="P655" s="5" t="str">
        <f t="shared" si="103"/>
        <v>Hyderabad</v>
      </c>
      <c r="Q655" s="5" t="str">
        <f t="shared" si="104"/>
        <v>Cardiology</v>
      </c>
      <c r="R655" s="6" t="str">
        <f t="shared" si="105"/>
        <v>Max_Healthcare</v>
      </c>
      <c r="S655" s="6" t="str">
        <f t="shared" si="106"/>
        <v>Insurance</v>
      </c>
      <c r="T655" s="6" t="str">
        <f t="shared" si="107"/>
        <v>Male</v>
      </c>
      <c r="U655" s="6" t="str">
        <f t="shared" si="110"/>
        <v>ICU</v>
      </c>
      <c r="V655" s="6" t="str" cm="1">
        <f t="array" ref="V655">IF(TRIM(S655)="",INDEX($S$2:$S$1500,MATCH(MAX(COUNTIF($S$2:$S$1500,S655)),COUNTIF($S$2:$S$1500,$S$2:$S$1500),0)),S655)</f>
        <v>Insurance</v>
      </c>
      <c r="W655" s="7" cm="1">
        <f t="array" ref="W655">IF(OR(TRIM(K655)="",TRIM(K655)="-"), MEDIAN(IF($E$2:$E$1500=E655,$K$2:$K$1500)),  VALUE(SUBSTITUTE(SUBSTITUTE(SUBSTITUTE(K655,"Rs. ",""),"₹",""),",","")))</f>
        <v>55034</v>
      </c>
      <c r="X655" s="8">
        <f t="shared" si="108"/>
        <v>20</v>
      </c>
      <c r="Y655" s="7">
        <f t="shared" si="109"/>
        <v>44027</v>
      </c>
      <c r="Z655" s="9" t="str">
        <f t="shared" si="101"/>
        <v>ADULT</v>
      </c>
    </row>
    <row r="656" spans="1:26" x14ac:dyDescent="0.3">
      <c r="A656" s="5" t="s">
        <v>1476</v>
      </c>
      <c r="B656" s="5" t="s">
        <v>14</v>
      </c>
      <c r="C656" s="5" t="s">
        <v>60</v>
      </c>
      <c r="D656" s="5" t="s">
        <v>61</v>
      </c>
      <c r="E656" s="5" t="s">
        <v>28</v>
      </c>
      <c r="F656" s="5" t="s">
        <v>268</v>
      </c>
      <c r="G656" s="5" t="s">
        <v>19</v>
      </c>
      <c r="H656" s="5">
        <v>30</v>
      </c>
      <c r="I656" s="5" t="s">
        <v>31</v>
      </c>
      <c r="J656" s="34" t="s">
        <v>394</v>
      </c>
      <c r="K656" s="31">
        <v>5349</v>
      </c>
      <c r="L656" s="5" t="s">
        <v>34</v>
      </c>
      <c r="M656" s="32" t="s">
        <v>130</v>
      </c>
      <c r="N656" s="6">
        <f t="shared" si="102"/>
        <v>0</v>
      </c>
      <c r="O656" s="4" t="s">
        <v>268</v>
      </c>
      <c r="P656" s="5" t="str">
        <f t="shared" si="103"/>
        <v>Pune</v>
      </c>
      <c r="Q656" s="5" t="str">
        <f t="shared" si="104"/>
        <v>Oncology</v>
      </c>
      <c r="R656" s="6" t="str">
        <f t="shared" si="105"/>
        <v>Max_Healthcare</v>
      </c>
      <c r="S656" s="6" t="str">
        <f t="shared" si="106"/>
        <v>Cash</v>
      </c>
      <c r="T656" s="6" t="str">
        <f t="shared" si="107"/>
        <v>Male</v>
      </c>
      <c r="U656" s="6" t="str">
        <f t="shared" si="110"/>
        <v>General</v>
      </c>
      <c r="V656" s="6" t="str" cm="1">
        <f t="array" ref="V656">IF(TRIM(S656)="",INDEX($S$2:$S$1500,MATCH(MAX(COUNTIF($S$2:$S$1500,S656)),COUNTIF($S$2:$S$1500,$S$2:$S$1500),0)),S656)</f>
        <v>Cash</v>
      </c>
      <c r="W656" s="7" cm="1">
        <f t="array" ref="W656">IF(OR(TRIM(K656)="",TRIM(K656)="-"), MEDIAN(IF($E$2:$E$1500=E656,$K$2:$K$1500)),  VALUE(SUBSTITUTE(SUBSTITUTE(SUBSTITUTE(K656,"Rs. ",""),"₹",""),",","")))</f>
        <v>5349</v>
      </c>
      <c r="X656" s="8">
        <f t="shared" si="108"/>
        <v>0</v>
      </c>
      <c r="Y656" s="7">
        <f t="shared" si="109"/>
        <v>5349</v>
      </c>
      <c r="Z656" s="9" t="str">
        <f t="shared" si="101"/>
        <v>ADULT</v>
      </c>
    </row>
    <row r="657" spans="1:26" x14ac:dyDescent="0.3">
      <c r="A657" s="5" t="s">
        <v>1477</v>
      </c>
      <c r="B657" s="5" t="s">
        <v>117</v>
      </c>
      <c r="C657" s="5" t="s">
        <v>182</v>
      </c>
      <c r="D657" s="5" t="s">
        <v>61</v>
      </c>
      <c r="E657" s="5" t="s">
        <v>164</v>
      </c>
      <c r="F657" s="5" t="s">
        <v>165</v>
      </c>
      <c r="G657" s="5" t="s">
        <v>62</v>
      </c>
      <c r="H657" s="5">
        <v>78</v>
      </c>
      <c r="I657" s="5" t="s">
        <v>20</v>
      </c>
      <c r="J657" s="34" t="s">
        <v>133</v>
      </c>
      <c r="K657" s="31">
        <v>44279</v>
      </c>
      <c r="L657" s="5" t="s">
        <v>72</v>
      </c>
      <c r="M657" s="32">
        <v>0</v>
      </c>
      <c r="N657" s="6">
        <f t="shared" si="102"/>
        <v>0</v>
      </c>
      <c r="O657" s="4" t="s">
        <v>165</v>
      </c>
      <c r="P657" s="5" t="str">
        <f t="shared" si="103"/>
        <v>Pune</v>
      </c>
      <c r="Q657" s="5" t="str">
        <f t="shared" si="104"/>
        <v>Cardiology</v>
      </c>
      <c r="R657" s="6" t="str">
        <f t="shared" si="105"/>
        <v>Manipal</v>
      </c>
      <c r="S657" s="6" t="str">
        <f t="shared" si="106"/>
        <v>Cash</v>
      </c>
      <c r="T657" s="6" t="str">
        <f t="shared" si="107"/>
        <v>Male</v>
      </c>
      <c r="U657" s="6" t="str">
        <f t="shared" si="110"/>
        <v>ICU</v>
      </c>
      <c r="V657" s="6" t="str" cm="1">
        <f t="array" ref="V657">IF(TRIM(S657)="",INDEX($S$2:$S$1500,MATCH(MAX(COUNTIF($S$2:$S$1500,S657)),COUNTIF($S$2:$S$1500,$S$2:$S$1500),0)),S657)</f>
        <v>Cash</v>
      </c>
      <c r="W657" s="7" cm="1">
        <f t="array" ref="W657">IF(OR(TRIM(K657)="",TRIM(K657)="-"), MEDIAN(IF($E$2:$E$1500=E657,$K$2:$K$1500)),  VALUE(SUBSTITUTE(SUBSTITUTE(SUBSTITUTE(K657,"Rs. ",""),"₹",""),",","")))</f>
        <v>44279</v>
      </c>
      <c r="X657" s="8">
        <f t="shared" si="108"/>
        <v>0</v>
      </c>
      <c r="Y657" s="7">
        <f t="shared" si="109"/>
        <v>44279</v>
      </c>
      <c r="Z657" s="9" t="str">
        <f t="shared" si="101"/>
        <v>SENIOR</v>
      </c>
    </row>
    <row r="658" spans="1:26" x14ac:dyDescent="0.3">
      <c r="A658" s="5" t="s">
        <v>1478</v>
      </c>
      <c r="B658" s="5" t="s">
        <v>78</v>
      </c>
      <c r="C658" s="5" t="s">
        <v>161</v>
      </c>
      <c r="D658" s="5" t="s">
        <v>36</v>
      </c>
      <c r="E658" s="5" t="s">
        <v>93</v>
      </c>
      <c r="F658" s="5" t="s">
        <v>144</v>
      </c>
      <c r="G658" s="5"/>
      <c r="H658" s="5">
        <v>40</v>
      </c>
      <c r="I658" s="5" t="s">
        <v>70</v>
      </c>
      <c r="J658" s="34" t="s">
        <v>1479</v>
      </c>
      <c r="K658" s="31">
        <v>6960</v>
      </c>
      <c r="L658" s="5" t="s">
        <v>34</v>
      </c>
      <c r="M658" s="32">
        <v>0</v>
      </c>
      <c r="N658" s="6">
        <f t="shared" si="102"/>
        <v>0</v>
      </c>
      <c r="O658" s="4" t="s">
        <v>144</v>
      </c>
      <c r="P658" s="5" t="str">
        <f t="shared" si="103"/>
        <v>Chennai</v>
      </c>
      <c r="Q658" s="5" t="str">
        <f t="shared" si="104"/>
        <v>Nephrology</v>
      </c>
      <c r="R658" s="6" t="str">
        <f t="shared" si="105"/>
        <v>Apollo</v>
      </c>
      <c r="S658" s="6" t="str">
        <f t="shared" si="106"/>
        <v>Cash</v>
      </c>
      <c r="T658" s="6" t="str">
        <f t="shared" si="107"/>
        <v>Female</v>
      </c>
      <c r="U658" s="6" t="str">
        <f t="shared" si="110"/>
        <v>Unknown</v>
      </c>
      <c r="V658" s="6" t="str" cm="1">
        <f t="array" ref="V658">IF(TRIM(S658)="",INDEX($S$2:$S$1500,MATCH(MAX(COUNTIF($S$2:$S$1500,S658)),COUNTIF($S$2:$S$1500,$S$2:$S$1500),0)),S658)</f>
        <v>Cash</v>
      </c>
      <c r="W658" s="7" cm="1">
        <f t="array" ref="W658">IF(OR(TRIM(K658)="",TRIM(K658)="-"), MEDIAN(IF($E$2:$E$1500=E658,$K$2:$K$1500)),  VALUE(SUBSTITUTE(SUBSTITUTE(SUBSTITUTE(K658,"Rs. ",""),"₹",""),",","")))</f>
        <v>6960</v>
      </c>
      <c r="X658" s="8">
        <f t="shared" si="108"/>
        <v>0</v>
      </c>
      <c r="Y658" s="7">
        <f t="shared" si="109"/>
        <v>6960</v>
      </c>
      <c r="Z658" s="9" t="str">
        <f t="shared" si="101"/>
        <v>ADULT</v>
      </c>
    </row>
    <row r="659" spans="1:26" x14ac:dyDescent="0.3">
      <c r="A659" s="5" t="s">
        <v>1480</v>
      </c>
      <c r="B659" s="5" t="s">
        <v>106</v>
      </c>
      <c r="C659" s="5" t="s">
        <v>307</v>
      </c>
      <c r="D659" s="5" t="s">
        <v>80</v>
      </c>
      <c r="E659" s="5" t="s">
        <v>108</v>
      </c>
      <c r="F659" s="5" t="s">
        <v>272</v>
      </c>
      <c r="G659" s="5" t="s">
        <v>49</v>
      </c>
      <c r="H659" s="5">
        <v>39</v>
      </c>
      <c r="I659" s="5" t="s">
        <v>40</v>
      </c>
      <c r="J659" s="34" t="s">
        <v>953</v>
      </c>
      <c r="K659" s="31">
        <v>11177</v>
      </c>
      <c r="L659" s="5" t="s">
        <v>72</v>
      </c>
      <c r="M659" s="32"/>
      <c r="N659" s="6">
        <f t="shared" si="102"/>
        <v>0</v>
      </c>
      <c r="O659" s="4" t="s">
        <v>272</v>
      </c>
      <c r="P659" s="5" t="str">
        <f t="shared" si="103"/>
        <v>Ahmedabad</v>
      </c>
      <c r="Q659" s="5" t="str">
        <f t="shared" si="104"/>
        <v>Orthopedics</v>
      </c>
      <c r="R659" s="6" t="str">
        <f t="shared" si="105"/>
        <v>Aiims</v>
      </c>
      <c r="S659" s="6" t="str">
        <f t="shared" si="106"/>
        <v>Cash</v>
      </c>
      <c r="T659" s="6" t="str">
        <f t="shared" si="107"/>
        <v>Female</v>
      </c>
      <c r="U659" s="6" t="str">
        <f t="shared" si="110"/>
        <v>General</v>
      </c>
      <c r="V659" s="6" t="str" cm="1">
        <f t="array" ref="V659">IF(TRIM(S659)="",INDEX($S$2:$S$1500,MATCH(MAX(COUNTIF($S$2:$S$1500,S659)),COUNTIF($S$2:$S$1500,$S$2:$S$1500),0)),S659)</f>
        <v>Cash</v>
      </c>
      <c r="W659" s="7" cm="1">
        <f t="array" ref="W659">IF(OR(TRIM(K659)="",TRIM(K659)="-"), MEDIAN(IF($E$2:$E$1500=E659,$K$2:$K$1500)),  VALUE(SUBSTITUTE(SUBSTITUTE(SUBSTITUTE(K659,"Rs. ",""),"₹",""),",","")))</f>
        <v>11177</v>
      </c>
      <c r="X659" s="8">
        <f t="shared" si="108"/>
        <v>0</v>
      </c>
      <c r="Y659" s="7">
        <f t="shared" si="109"/>
        <v>11177</v>
      </c>
      <c r="Z659" s="9" t="str">
        <f t="shared" si="101"/>
        <v>ADULT</v>
      </c>
    </row>
    <row r="660" spans="1:26" x14ac:dyDescent="0.3">
      <c r="A660" s="5" t="s">
        <v>1481</v>
      </c>
      <c r="B660" s="5" t="s">
        <v>25</v>
      </c>
      <c r="C660" s="5" t="s">
        <v>54</v>
      </c>
      <c r="D660" s="5" t="s">
        <v>16</v>
      </c>
      <c r="E660" s="5" t="s">
        <v>67</v>
      </c>
      <c r="F660" s="5" t="s">
        <v>89</v>
      </c>
      <c r="G660" s="5" t="s">
        <v>49</v>
      </c>
      <c r="H660" s="5">
        <v>52</v>
      </c>
      <c r="I660" s="5" t="s">
        <v>31</v>
      </c>
      <c r="J660" s="34" t="s">
        <v>503</v>
      </c>
      <c r="K660" s="31" t="s">
        <v>1482</v>
      </c>
      <c r="L660" s="5" t="s">
        <v>91</v>
      </c>
      <c r="M660" s="32">
        <v>10</v>
      </c>
      <c r="N660" s="6">
        <f t="shared" si="102"/>
        <v>10</v>
      </c>
      <c r="O660" s="4" t="s">
        <v>89</v>
      </c>
      <c r="P660" s="5" t="str">
        <f t="shared" si="103"/>
        <v>Bangalore</v>
      </c>
      <c r="Q660" s="5" t="str">
        <f t="shared" si="104"/>
        <v>Neurology</v>
      </c>
      <c r="R660" s="6" t="str">
        <f t="shared" si="105"/>
        <v>Narayana</v>
      </c>
      <c r="S660" s="6" t="str">
        <f t="shared" si="106"/>
        <v>Debit Card</v>
      </c>
      <c r="T660" s="6" t="str">
        <f t="shared" si="107"/>
        <v>Male</v>
      </c>
      <c r="U660" s="6" t="str">
        <f t="shared" si="110"/>
        <v>General</v>
      </c>
      <c r="V660" s="6" t="str" cm="1">
        <f t="array" ref="V660">IF(TRIM(S660)="",INDEX($S$2:$S$1500,MATCH(MAX(COUNTIF($S$2:$S$1500,S660)),COUNTIF($S$2:$S$1500,$S$2:$S$1500),0)),S660)</f>
        <v>Debit Card</v>
      </c>
      <c r="W660" s="7" cm="1">
        <f t="array" ref="W660">IF(OR(TRIM(K660)="",TRIM(K660)="-"), MEDIAN(IF($E$2:$E$1500=E660,$K$2:$K$1500)),  VALUE(SUBSTITUTE(SUBSTITUTE(SUBSTITUTE(K660,"Rs. ",""),"₹",""),",","")))</f>
        <v>8416</v>
      </c>
      <c r="X660" s="8">
        <f t="shared" si="108"/>
        <v>10</v>
      </c>
      <c r="Y660" s="7">
        <f t="shared" si="109"/>
        <v>7574</v>
      </c>
      <c r="Z660" s="9" t="str">
        <f t="shared" si="101"/>
        <v>ADULT</v>
      </c>
    </row>
    <row r="661" spans="1:26" x14ac:dyDescent="0.3">
      <c r="A661" s="5" t="s">
        <v>1483</v>
      </c>
      <c r="B661" s="5" t="s">
        <v>14</v>
      </c>
      <c r="C661" s="5" t="s">
        <v>60</v>
      </c>
      <c r="D661" s="5" t="s">
        <v>66</v>
      </c>
      <c r="E661" s="5" t="s">
        <v>164</v>
      </c>
      <c r="F661" s="5" t="s">
        <v>165</v>
      </c>
      <c r="G661" s="5" t="s">
        <v>49</v>
      </c>
      <c r="H661" s="5">
        <v>56</v>
      </c>
      <c r="I661" s="5" t="s">
        <v>40</v>
      </c>
      <c r="J661" s="34" t="s">
        <v>1484</v>
      </c>
      <c r="K661" s="31">
        <v>5978</v>
      </c>
      <c r="L661" s="5" t="s">
        <v>104</v>
      </c>
      <c r="M661" s="32">
        <v>0.4</v>
      </c>
      <c r="N661" s="6">
        <f t="shared" si="102"/>
        <v>40</v>
      </c>
      <c r="O661" s="4" t="s">
        <v>165</v>
      </c>
      <c r="P661" s="5" t="str">
        <f t="shared" si="103"/>
        <v>Kolkata</v>
      </c>
      <c r="Q661" s="5" t="str">
        <f t="shared" si="104"/>
        <v>Cardiology</v>
      </c>
      <c r="R661" s="6" t="str">
        <f t="shared" si="105"/>
        <v>Max_Healthcare</v>
      </c>
      <c r="S661" s="6" t="str">
        <f t="shared" si="106"/>
        <v>Insurance</v>
      </c>
      <c r="T661" s="6" t="str">
        <f t="shared" si="107"/>
        <v>Female</v>
      </c>
      <c r="U661" s="6" t="str">
        <f t="shared" si="110"/>
        <v>General</v>
      </c>
      <c r="V661" s="6" t="str" cm="1">
        <f t="array" ref="V661">IF(TRIM(S661)="",INDEX($S$2:$S$1500,MATCH(MAX(COUNTIF($S$2:$S$1500,S661)),COUNTIF($S$2:$S$1500,$S$2:$S$1500),0)),S661)</f>
        <v>Insurance</v>
      </c>
      <c r="W661" s="7" cm="1">
        <f t="array" ref="W661">IF(OR(TRIM(K661)="",TRIM(K661)="-"), MEDIAN(IF($E$2:$E$1500=E661,$K$2:$K$1500)),  VALUE(SUBSTITUTE(SUBSTITUTE(SUBSTITUTE(K661,"Rs. ",""),"₹",""),",","")))</f>
        <v>5978</v>
      </c>
      <c r="X661" s="8">
        <f t="shared" si="108"/>
        <v>40</v>
      </c>
      <c r="Y661" s="7">
        <f t="shared" si="109"/>
        <v>3587</v>
      </c>
      <c r="Z661" s="9" t="str">
        <f t="shared" si="101"/>
        <v>ADULT</v>
      </c>
    </row>
    <row r="662" spans="1:26" x14ac:dyDescent="0.3">
      <c r="A662" s="5" t="s">
        <v>1485</v>
      </c>
      <c r="B662" s="5" t="s">
        <v>117</v>
      </c>
      <c r="C662" s="5" t="s">
        <v>118</v>
      </c>
      <c r="D662" s="5" t="s">
        <v>36</v>
      </c>
      <c r="E662" s="5" t="s">
        <v>74</v>
      </c>
      <c r="F662" s="5" t="s">
        <v>192</v>
      </c>
      <c r="G662" s="5" t="s">
        <v>30</v>
      </c>
      <c r="H662" s="5">
        <v>71</v>
      </c>
      <c r="I662" s="5" t="s">
        <v>20</v>
      </c>
      <c r="J662" s="34" t="s">
        <v>513</v>
      </c>
      <c r="K662" s="31">
        <v>8851</v>
      </c>
      <c r="L662" s="5" t="s">
        <v>72</v>
      </c>
      <c r="M662" s="32">
        <v>0</v>
      </c>
      <c r="N662" s="6">
        <f t="shared" si="102"/>
        <v>0</v>
      </c>
      <c r="O662" s="4" t="s">
        <v>192</v>
      </c>
      <c r="P662" s="5" t="str">
        <f t="shared" si="103"/>
        <v>Chennai</v>
      </c>
      <c r="Q662" s="5" t="str">
        <f t="shared" si="104"/>
        <v>General Medicine</v>
      </c>
      <c r="R662" s="6" t="str">
        <f t="shared" si="105"/>
        <v>Manipal</v>
      </c>
      <c r="S662" s="6" t="str">
        <f t="shared" si="106"/>
        <v>Cash</v>
      </c>
      <c r="T662" s="6" t="str">
        <f t="shared" si="107"/>
        <v>Male</v>
      </c>
      <c r="U662" s="6" t="str">
        <f t="shared" si="110"/>
        <v>General</v>
      </c>
      <c r="V662" s="6" t="str" cm="1">
        <f t="array" ref="V662">IF(TRIM(S662)="",INDEX($S$2:$S$1500,MATCH(MAX(COUNTIF($S$2:$S$1500,S662)),COUNTIF($S$2:$S$1500,$S$2:$S$1500),0)),S662)</f>
        <v>Cash</v>
      </c>
      <c r="W662" s="7" cm="1">
        <f t="array" ref="W662">IF(OR(TRIM(K662)="",TRIM(K662)="-"), MEDIAN(IF($E$2:$E$1500=E662,$K$2:$K$1500)),  VALUE(SUBSTITUTE(SUBSTITUTE(SUBSTITUTE(K662,"Rs. ",""),"₹",""),",","")))</f>
        <v>8851</v>
      </c>
      <c r="X662" s="8">
        <f t="shared" si="108"/>
        <v>0</v>
      </c>
      <c r="Y662" s="7">
        <f t="shared" si="109"/>
        <v>8851</v>
      </c>
      <c r="Z662" s="9" t="str">
        <f t="shared" si="101"/>
        <v>SENIOR</v>
      </c>
    </row>
    <row r="663" spans="1:26" x14ac:dyDescent="0.3">
      <c r="A663" s="5" t="s">
        <v>1486</v>
      </c>
      <c r="B663" s="5" t="s">
        <v>78</v>
      </c>
      <c r="C663" s="5" t="s">
        <v>161</v>
      </c>
      <c r="D663" s="5" t="s">
        <v>27</v>
      </c>
      <c r="E663" s="5" t="s">
        <v>28</v>
      </c>
      <c r="F663" s="5" t="s">
        <v>290</v>
      </c>
      <c r="G663" s="5" t="s">
        <v>39</v>
      </c>
      <c r="H663" s="5">
        <v>87</v>
      </c>
      <c r="I663" s="5" t="s">
        <v>31</v>
      </c>
      <c r="J663" s="34" t="s">
        <v>1194</v>
      </c>
      <c r="K663" s="31">
        <v>3701</v>
      </c>
      <c r="L663" s="5" t="s">
        <v>72</v>
      </c>
      <c r="M663" s="32">
        <v>10</v>
      </c>
      <c r="N663" s="6">
        <f t="shared" si="102"/>
        <v>10</v>
      </c>
      <c r="O663" s="4" t="s">
        <v>290</v>
      </c>
      <c r="P663" s="5" t="str">
        <f t="shared" si="103"/>
        <v>Mumbai</v>
      </c>
      <c r="Q663" s="5" t="str">
        <f t="shared" si="104"/>
        <v>Oncology</v>
      </c>
      <c r="R663" s="6" t="str">
        <f t="shared" si="105"/>
        <v>Apollo</v>
      </c>
      <c r="S663" s="6" t="str">
        <f t="shared" si="106"/>
        <v>Cash</v>
      </c>
      <c r="T663" s="6" t="str">
        <f t="shared" si="107"/>
        <v>Male</v>
      </c>
      <c r="U663" s="6" t="str">
        <f t="shared" si="110"/>
        <v>General</v>
      </c>
      <c r="V663" s="6" t="str" cm="1">
        <f t="array" ref="V663">IF(TRIM(S663)="",INDEX($S$2:$S$1500,MATCH(MAX(COUNTIF($S$2:$S$1500,S663)),COUNTIF($S$2:$S$1500,$S$2:$S$1500),0)),S663)</f>
        <v>Cash</v>
      </c>
      <c r="W663" s="7" cm="1">
        <f t="array" ref="W663">IF(OR(TRIM(K663)="",TRIM(K663)="-"), MEDIAN(IF($E$2:$E$1500=E663,$K$2:$K$1500)),  VALUE(SUBSTITUTE(SUBSTITUTE(SUBSTITUTE(K663,"Rs. ",""),"₹",""),",","")))</f>
        <v>3701</v>
      </c>
      <c r="X663" s="8">
        <f t="shared" si="108"/>
        <v>10</v>
      </c>
      <c r="Y663" s="7">
        <f t="shared" si="109"/>
        <v>3331</v>
      </c>
      <c r="Z663" s="9" t="str">
        <f t="shared" si="101"/>
        <v>SENIOR</v>
      </c>
    </row>
    <row r="664" spans="1:26" x14ac:dyDescent="0.3">
      <c r="A664" s="5" t="s">
        <v>1487</v>
      </c>
      <c r="B664" s="5" t="s">
        <v>25</v>
      </c>
      <c r="C664" s="5" t="s">
        <v>26</v>
      </c>
      <c r="D664" s="5" t="s">
        <v>80</v>
      </c>
      <c r="E664" s="5" t="s">
        <v>74</v>
      </c>
      <c r="F664" s="5" t="s">
        <v>192</v>
      </c>
      <c r="G664" s="5" t="s">
        <v>49</v>
      </c>
      <c r="H664" s="5">
        <v>43</v>
      </c>
      <c r="I664" s="5" t="s">
        <v>20</v>
      </c>
      <c r="J664" s="34" t="s">
        <v>1488</v>
      </c>
      <c r="K664" s="31" t="s">
        <v>1489</v>
      </c>
      <c r="L664" s="5" t="s">
        <v>72</v>
      </c>
      <c r="M664" s="32" t="s">
        <v>130</v>
      </c>
      <c r="N664" s="6">
        <f t="shared" si="102"/>
        <v>0</v>
      </c>
      <c r="O664" s="4" t="s">
        <v>192</v>
      </c>
      <c r="P664" s="5" t="str">
        <f t="shared" si="103"/>
        <v>Ahmedabad</v>
      </c>
      <c r="Q664" s="5" t="str">
        <f t="shared" si="104"/>
        <v>General Medicine</v>
      </c>
      <c r="R664" s="6" t="str">
        <f t="shared" si="105"/>
        <v>Narayana</v>
      </c>
      <c r="S664" s="6" t="str">
        <f t="shared" si="106"/>
        <v>Cash</v>
      </c>
      <c r="T664" s="6" t="str">
        <f t="shared" si="107"/>
        <v>Male</v>
      </c>
      <c r="U664" s="6" t="str">
        <f t="shared" si="110"/>
        <v>General</v>
      </c>
      <c r="V664" s="6" t="str" cm="1">
        <f t="array" ref="V664">IF(TRIM(S664)="",INDEX($S$2:$S$1500,MATCH(MAX(COUNTIF($S$2:$S$1500,S664)),COUNTIF($S$2:$S$1500,$S$2:$S$1500),0)),S664)</f>
        <v>Cash</v>
      </c>
      <c r="W664" s="7" cm="1">
        <f t="array" ref="W664">IF(OR(TRIM(K664)="",TRIM(K664)="-"), MEDIAN(IF($E$2:$E$1500=E664,$K$2:$K$1500)),  VALUE(SUBSTITUTE(SUBSTITUTE(SUBSTITUTE(K664,"Rs. ",""),"₹",""),",","")))</f>
        <v>12079</v>
      </c>
      <c r="X664" s="8">
        <f t="shared" si="108"/>
        <v>0</v>
      </c>
      <c r="Y664" s="7">
        <f t="shared" si="109"/>
        <v>12079</v>
      </c>
      <c r="Z664" s="9" t="str">
        <f t="shared" si="101"/>
        <v>ADULT</v>
      </c>
    </row>
    <row r="665" spans="1:26" x14ac:dyDescent="0.3">
      <c r="A665" s="5" t="s">
        <v>1490</v>
      </c>
      <c r="B665" s="5" t="s">
        <v>45</v>
      </c>
      <c r="C665" s="5" t="s">
        <v>46</v>
      </c>
      <c r="D665" s="5" t="s">
        <v>61</v>
      </c>
      <c r="E665" s="5" t="s">
        <v>93</v>
      </c>
      <c r="F665" s="5" t="s">
        <v>121</v>
      </c>
      <c r="G665" s="5" t="s">
        <v>49</v>
      </c>
      <c r="H665" s="5">
        <v>62</v>
      </c>
      <c r="I665" s="5" t="s">
        <v>20</v>
      </c>
      <c r="J665" s="34" t="s">
        <v>318</v>
      </c>
      <c r="K665" s="31">
        <v>4403</v>
      </c>
      <c r="L665" s="5" t="s">
        <v>72</v>
      </c>
      <c r="M665" s="32">
        <v>0</v>
      </c>
      <c r="N665" s="6">
        <f t="shared" si="102"/>
        <v>0</v>
      </c>
      <c r="O665" s="4" t="s">
        <v>121</v>
      </c>
      <c r="P665" s="5" t="str">
        <f t="shared" si="103"/>
        <v>Pune</v>
      </c>
      <c r="Q665" s="5" t="str">
        <f t="shared" si="104"/>
        <v>Nephrology</v>
      </c>
      <c r="R665" s="6" t="str">
        <f t="shared" si="105"/>
        <v>Fortis</v>
      </c>
      <c r="S665" s="6" t="str">
        <f t="shared" si="106"/>
        <v>Cash</v>
      </c>
      <c r="T665" s="6" t="str">
        <f t="shared" si="107"/>
        <v>Male</v>
      </c>
      <c r="U665" s="6" t="str">
        <f t="shared" si="110"/>
        <v>General</v>
      </c>
      <c r="V665" s="6" t="str" cm="1">
        <f t="array" ref="V665">IF(TRIM(S665)="",INDEX($S$2:$S$1500,MATCH(MAX(COUNTIF($S$2:$S$1500,S665)),COUNTIF($S$2:$S$1500,$S$2:$S$1500),0)),S665)</f>
        <v>Cash</v>
      </c>
      <c r="W665" s="7" cm="1">
        <f t="array" ref="W665">IF(OR(TRIM(K665)="",TRIM(K665)="-"), MEDIAN(IF($E$2:$E$1500=E665,$K$2:$K$1500)),  VALUE(SUBSTITUTE(SUBSTITUTE(SUBSTITUTE(K665,"Rs. ",""),"₹",""),",","")))</f>
        <v>4403</v>
      </c>
      <c r="X665" s="8">
        <f t="shared" si="108"/>
        <v>0</v>
      </c>
      <c r="Y665" s="7">
        <f t="shared" si="109"/>
        <v>4403</v>
      </c>
      <c r="Z665" s="9" t="str">
        <f t="shared" si="101"/>
        <v>SENIOR</v>
      </c>
    </row>
    <row r="666" spans="1:26" x14ac:dyDescent="0.3">
      <c r="A666" s="5" t="s">
        <v>1491</v>
      </c>
      <c r="B666" s="5" t="s">
        <v>106</v>
      </c>
      <c r="C666" s="5" t="s">
        <v>107</v>
      </c>
      <c r="D666" s="5" t="s">
        <v>189</v>
      </c>
      <c r="E666" s="5" t="s">
        <v>67</v>
      </c>
      <c r="F666" s="5" t="s">
        <v>85</v>
      </c>
      <c r="G666" s="5" t="s">
        <v>30</v>
      </c>
      <c r="H666" s="5">
        <v>46</v>
      </c>
      <c r="I666" s="5" t="s">
        <v>20</v>
      </c>
      <c r="J666" s="34" t="s">
        <v>656</v>
      </c>
      <c r="K666" s="31">
        <v>13956</v>
      </c>
      <c r="L666" s="5" t="s">
        <v>23</v>
      </c>
      <c r="M666" s="32">
        <v>0</v>
      </c>
      <c r="N666" s="6">
        <f t="shared" si="102"/>
        <v>0</v>
      </c>
      <c r="O666" s="4" t="s">
        <v>85</v>
      </c>
      <c r="P666" s="5" t="str">
        <f t="shared" si="103"/>
        <v>Delhi</v>
      </c>
      <c r="Q666" s="5" t="str">
        <f t="shared" si="104"/>
        <v>Neurology</v>
      </c>
      <c r="R666" s="6" t="str">
        <f t="shared" si="105"/>
        <v>Aiims</v>
      </c>
      <c r="S666" s="6" t="str">
        <f t="shared" si="106"/>
        <v>Credit Card</v>
      </c>
      <c r="T666" s="6" t="str">
        <f t="shared" si="107"/>
        <v>Male</v>
      </c>
      <c r="U666" s="6" t="str">
        <f t="shared" si="110"/>
        <v>General</v>
      </c>
      <c r="V666" s="6" t="str" cm="1">
        <f t="array" ref="V666">IF(TRIM(S666)="",INDEX($S$2:$S$1500,MATCH(MAX(COUNTIF($S$2:$S$1500,S666)),COUNTIF($S$2:$S$1500,$S$2:$S$1500),0)),S666)</f>
        <v>Credit Card</v>
      </c>
      <c r="W666" s="7" cm="1">
        <f t="array" ref="W666">IF(OR(TRIM(K666)="",TRIM(K666)="-"), MEDIAN(IF($E$2:$E$1500=E666,$K$2:$K$1500)),  VALUE(SUBSTITUTE(SUBSTITUTE(SUBSTITUTE(K666,"Rs. ",""),"₹",""),",","")))</f>
        <v>13956</v>
      </c>
      <c r="X666" s="8">
        <f t="shared" si="108"/>
        <v>0</v>
      </c>
      <c r="Y666" s="7">
        <f t="shared" si="109"/>
        <v>13956</v>
      </c>
      <c r="Z666" s="9" t="str">
        <f t="shared" si="101"/>
        <v>ADULT</v>
      </c>
    </row>
    <row r="667" spans="1:26" x14ac:dyDescent="0.3">
      <c r="A667" s="5" t="s">
        <v>1492</v>
      </c>
      <c r="B667" s="5" t="s">
        <v>78</v>
      </c>
      <c r="C667" s="5" t="s">
        <v>79</v>
      </c>
      <c r="D667" s="5" t="s">
        <v>66</v>
      </c>
      <c r="E667" s="5" t="s">
        <v>17</v>
      </c>
      <c r="F667" s="5" t="s">
        <v>135</v>
      </c>
      <c r="G667" s="5" t="s">
        <v>49</v>
      </c>
      <c r="H667" s="5">
        <v>66</v>
      </c>
      <c r="I667" s="5" t="s">
        <v>31</v>
      </c>
      <c r="J667" s="34" t="s">
        <v>1493</v>
      </c>
      <c r="K667" s="31">
        <v>19595</v>
      </c>
      <c r="L667" s="5" t="s">
        <v>211</v>
      </c>
      <c r="M667" s="32">
        <v>0</v>
      </c>
      <c r="N667" s="6">
        <f t="shared" si="102"/>
        <v>0</v>
      </c>
      <c r="O667" s="4" t="s">
        <v>135</v>
      </c>
      <c r="P667" s="5" t="str">
        <f t="shared" si="103"/>
        <v>Kolkata</v>
      </c>
      <c r="Q667" s="5" t="str">
        <f t="shared" si="104"/>
        <v>Gynecology</v>
      </c>
      <c r="R667" s="6" t="str">
        <f t="shared" si="105"/>
        <v>Apollo</v>
      </c>
      <c r="S667" s="6" t="str">
        <f t="shared" si="106"/>
        <v>Credit Card</v>
      </c>
      <c r="T667" s="6" t="str">
        <f t="shared" si="107"/>
        <v>Male</v>
      </c>
      <c r="U667" s="6" t="str">
        <f t="shared" si="110"/>
        <v>General</v>
      </c>
      <c r="V667" s="6" t="str" cm="1">
        <f t="array" ref="V667">IF(TRIM(S667)="",INDEX($S$2:$S$1500,MATCH(MAX(COUNTIF($S$2:$S$1500,S667)),COUNTIF($S$2:$S$1500,$S$2:$S$1500),0)),S667)</f>
        <v>Credit Card</v>
      </c>
      <c r="W667" s="7" cm="1">
        <f t="array" ref="W667">IF(OR(TRIM(K667)="",TRIM(K667)="-"), MEDIAN(IF($E$2:$E$1500=E667,$K$2:$K$1500)),  VALUE(SUBSTITUTE(SUBSTITUTE(SUBSTITUTE(K667,"Rs. ",""),"₹",""),",","")))</f>
        <v>19595</v>
      </c>
      <c r="X667" s="8">
        <f t="shared" si="108"/>
        <v>0</v>
      </c>
      <c r="Y667" s="7">
        <f t="shared" si="109"/>
        <v>19595</v>
      </c>
      <c r="Z667" s="9" t="str">
        <f t="shared" si="101"/>
        <v>SENIOR</v>
      </c>
    </row>
    <row r="668" spans="1:26" x14ac:dyDescent="0.3">
      <c r="A668" s="5" t="s">
        <v>1494</v>
      </c>
      <c r="B668" s="5" t="s">
        <v>45</v>
      </c>
      <c r="C668" s="5" t="s">
        <v>46</v>
      </c>
      <c r="D668" s="5" t="s">
        <v>36</v>
      </c>
      <c r="E668" s="5" t="s">
        <v>74</v>
      </c>
      <c r="F668" s="5" t="s">
        <v>172</v>
      </c>
      <c r="G668" s="5" t="s">
        <v>19</v>
      </c>
      <c r="H668" s="5">
        <v>66</v>
      </c>
      <c r="I668" s="5" t="s">
        <v>20</v>
      </c>
      <c r="J668" s="34" t="s">
        <v>1495</v>
      </c>
      <c r="K668" s="31">
        <v>8616</v>
      </c>
      <c r="L668" s="5" t="s">
        <v>23</v>
      </c>
      <c r="M668" s="32" t="s">
        <v>130</v>
      </c>
      <c r="N668" s="6">
        <f t="shared" si="102"/>
        <v>0</v>
      </c>
      <c r="O668" s="4" t="s">
        <v>172</v>
      </c>
      <c r="P668" s="5" t="str">
        <f t="shared" si="103"/>
        <v>Chennai</v>
      </c>
      <c r="Q668" s="5" t="str">
        <f t="shared" si="104"/>
        <v>General Medicine</v>
      </c>
      <c r="R668" s="6" t="str">
        <f t="shared" si="105"/>
        <v>Fortis</v>
      </c>
      <c r="S668" s="6" t="str">
        <f t="shared" si="106"/>
        <v>Credit Card</v>
      </c>
      <c r="T668" s="6" t="str">
        <f t="shared" si="107"/>
        <v>Male</v>
      </c>
      <c r="U668" s="6" t="str">
        <f t="shared" si="110"/>
        <v>General</v>
      </c>
      <c r="V668" s="6" t="str" cm="1">
        <f t="array" ref="V668">IF(TRIM(S668)="",INDEX($S$2:$S$1500,MATCH(MAX(COUNTIF($S$2:$S$1500,S668)),COUNTIF($S$2:$S$1500,$S$2:$S$1500),0)),S668)</f>
        <v>Credit Card</v>
      </c>
      <c r="W668" s="7" cm="1">
        <f t="array" ref="W668">IF(OR(TRIM(K668)="",TRIM(K668)="-"), MEDIAN(IF($E$2:$E$1500=E668,$K$2:$K$1500)),  VALUE(SUBSTITUTE(SUBSTITUTE(SUBSTITUTE(K668,"Rs. ",""),"₹",""),",","")))</f>
        <v>8616</v>
      </c>
      <c r="X668" s="8">
        <f t="shared" si="108"/>
        <v>0</v>
      </c>
      <c r="Y668" s="7">
        <f t="shared" si="109"/>
        <v>8616</v>
      </c>
      <c r="Z668" s="9" t="str">
        <f t="shared" si="101"/>
        <v>SENIOR</v>
      </c>
    </row>
    <row r="669" spans="1:26" x14ac:dyDescent="0.3">
      <c r="A669" s="5" t="s">
        <v>1496</v>
      </c>
      <c r="B669" s="5" t="s">
        <v>14</v>
      </c>
      <c r="C669" s="5" t="s">
        <v>60</v>
      </c>
      <c r="D669" s="5" t="s">
        <v>66</v>
      </c>
      <c r="E669" s="5" t="s">
        <v>28</v>
      </c>
      <c r="F669" s="5" t="s">
        <v>290</v>
      </c>
      <c r="G669" s="5" t="s">
        <v>39</v>
      </c>
      <c r="H669" s="5">
        <v>24</v>
      </c>
      <c r="I669" s="5" t="s">
        <v>31</v>
      </c>
      <c r="J669" s="34" t="s">
        <v>1497</v>
      </c>
      <c r="K669" s="31" t="s">
        <v>1498</v>
      </c>
      <c r="L669" s="5" t="s">
        <v>97</v>
      </c>
      <c r="M669" s="32">
        <v>5</v>
      </c>
      <c r="N669" s="6">
        <f t="shared" si="102"/>
        <v>5</v>
      </c>
      <c r="O669" s="4" t="s">
        <v>290</v>
      </c>
      <c r="P669" s="5" t="str">
        <f t="shared" si="103"/>
        <v>Kolkata</v>
      </c>
      <c r="Q669" s="5" t="str">
        <f t="shared" si="104"/>
        <v>Oncology</v>
      </c>
      <c r="R669" s="6" t="str">
        <f t="shared" si="105"/>
        <v>Max_Healthcare</v>
      </c>
      <c r="S669" s="6" t="str">
        <f t="shared" si="106"/>
        <v>UPI</v>
      </c>
      <c r="T669" s="6" t="str">
        <f t="shared" si="107"/>
        <v>Male</v>
      </c>
      <c r="U669" s="6" t="str">
        <f t="shared" si="110"/>
        <v>General</v>
      </c>
      <c r="V669" s="6" t="str" cm="1">
        <f t="array" ref="V669">IF(TRIM(S669)="",INDEX($S$2:$S$1500,MATCH(MAX(COUNTIF($S$2:$S$1500,S669)),COUNTIF($S$2:$S$1500,$S$2:$S$1500),0)),S669)</f>
        <v>UPI</v>
      </c>
      <c r="W669" s="7" cm="1">
        <f t="array" ref="W669">IF(OR(TRIM(K669)="",TRIM(K669)="-"), MEDIAN(IF($E$2:$E$1500=E669,$K$2:$K$1500)),  VALUE(SUBSTITUTE(SUBSTITUTE(SUBSTITUTE(K669,"Rs. ",""),"₹",""),",","")))</f>
        <v>10126</v>
      </c>
      <c r="X669" s="8">
        <f t="shared" si="108"/>
        <v>5</v>
      </c>
      <c r="Y669" s="7">
        <f t="shared" si="109"/>
        <v>9620</v>
      </c>
      <c r="Z669" s="9" t="str">
        <f t="shared" si="101"/>
        <v>ADULT</v>
      </c>
    </row>
    <row r="670" spans="1:26" x14ac:dyDescent="0.3">
      <c r="A670" s="5" t="s">
        <v>1499</v>
      </c>
      <c r="B670" s="5" t="s">
        <v>25</v>
      </c>
      <c r="C670" s="5" t="s">
        <v>54</v>
      </c>
      <c r="D670" s="5" t="s">
        <v>36</v>
      </c>
      <c r="E670" s="5" t="s">
        <v>17</v>
      </c>
      <c r="F670" s="5" t="s">
        <v>169</v>
      </c>
      <c r="G670" s="5" t="s">
        <v>19</v>
      </c>
      <c r="H670" s="5">
        <v>29</v>
      </c>
      <c r="I670" s="5" t="s">
        <v>20</v>
      </c>
      <c r="J670" s="34" t="s">
        <v>1205</v>
      </c>
      <c r="K670" s="31">
        <v>16744</v>
      </c>
      <c r="L670" s="5" t="s">
        <v>58</v>
      </c>
      <c r="M670" s="32">
        <v>0</v>
      </c>
      <c r="N670" s="6">
        <f t="shared" si="102"/>
        <v>0</v>
      </c>
      <c r="O670" s="4" t="s">
        <v>169</v>
      </c>
      <c r="P670" s="5" t="str">
        <f t="shared" si="103"/>
        <v>Chennai</v>
      </c>
      <c r="Q670" s="5" t="str">
        <f t="shared" si="104"/>
        <v>Gynecology</v>
      </c>
      <c r="R670" s="6" t="str">
        <f t="shared" si="105"/>
        <v>Narayana</v>
      </c>
      <c r="S670" s="6" t="str">
        <f t="shared" si="106"/>
        <v>UPI</v>
      </c>
      <c r="T670" s="6" t="str">
        <f t="shared" si="107"/>
        <v>Male</v>
      </c>
      <c r="U670" s="6" t="str">
        <f t="shared" si="110"/>
        <v>General</v>
      </c>
      <c r="V670" s="6" t="str" cm="1">
        <f t="array" ref="V670">IF(TRIM(S670)="",INDEX($S$2:$S$1500,MATCH(MAX(COUNTIF($S$2:$S$1500,S670)),COUNTIF($S$2:$S$1500,$S$2:$S$1500),0)),S670)</f>
        <v>UPI</v>
      </c>
      <c r="W670" s="7" cm="1">
        <f t="array" ref="W670">IF(OR(TRIM(K670)="",TRIM(K670)="-"), MEDIAN(IF($E$2:$E$1500=E670,$K$2:$K$1500)),  VALUE(SUBSTITUTE(SUBSTITUTE(SUBSTITUTE(K670,"Rs. ",""),"₹",""),",","")))</f>
        <v>16744</v>
      </c>
      <c r="X670" s="8">
        <f t="shared" si="108"/>
        <v>0</v>
      </c>
      <c r="Y670" s="7">
        <f t="shared" si="109"/>
        <v>16744</v>
      </c>
      <c r="Z670" s="9" t="str">
        <f t="shared" si="101"/>
        <v>ADULT</v>
      </c>
    </row>
    <row r="671" spans="1:26" x14ac:dyDescent="0.3">
      <c r="A671" s="5" t="s">
        <v>1500</v>
      </c>
      <c r="B671" s="5" t="s">
        <v>78</v>
      </c>
      <c r="C671" s="5" t="s">
        <v>79</v>
      </c>
      <c r="D671" s="5" t="s">
        <v>36</v>
      </c>
      <c r="E671" s="5" t="s">
        <v>99</v>
      </c>
      <c r="F671" s="5" t="s">
        <v>372</v>
      </c>
      <c r="G671" s="5" t="s">
        <v>62</v>
      </c>
      <c r="H671" s="5">
        <v>43</v>
      </c>
      <c r="I671" s="5" t="s">
        <v>20</v>
      </c>
      <c r="J671" s="34" t="s">
        <v>759</v>
      </c>
      <c r="K671" s="31" t="s">
        <v>1501</v>
      </c>
      <c r="L671" s="5" t="s">
        <v>58</v>
      </c>
      <c r="M671" s="32" t="s">
        <v>130</v>
      </c>
      <c r="N671" s="6">
        <f t="shared" si="102"/>
        <v>0</v>
      </c>
      <c r="O671" s="4" t="s">
        <v>372</v>
      </c>
      <c r="P671" s="5" t="str">
        <f t="shared" si="103"/>
        <v>Chennai</v>
      </c>
      <c r="Q671" s="5" t="str">
        <f t="shared" si="104"/>
        <v>Ent</v>
      </c>
      <c r="R671" s="6" t="str">
        <f t="shared" si="105"/>
        <v>Apollo</v>
      </c>
      <c r="S671" s="6" t="str">
        <f t="shared" si="106"/>
        <v>UPI</v>
      </c>
      <c r="T671" s="6" t="str">
        <f t="shared" si="107"/>
        <v>Male</v>
      </c>
      <c r="U671" s="6" t="str">
        <f t="shared" si="110"/>
        <v>ICU</v>
      </c>
      <c r="V671" s="6" t="str" cm="1">
        <f t="array" ref="V671">IF(TRIM(S671)="",INDEX($S$2:$S$1500,MATCH(MAX(COUNTIF($S$2:$S$1500,S671)),COUNTIF($S$2:$S$1500,$S$2:$S$1500),0)),S671)</f>
        <v>UPI</v>
      </c>
      <c r="W671" s="7" cm="1">
        <f t="array" ref="W671">IF(OR(TRIM(K671)="",TRIM(K671)="-"), MEDIAN(IF($E$2:$E$1500=E671,$K$2:$K$1500)),  VALUE(SUBSTITUTE(SUBSTITUTE(SUBSTITUTE(K671,"Rs. ",""),"₹",""),",","")))</f>
        <v>69346</v>
      </c>
      <c r="X671" s="8">
        <f t="shared" si="108"/>
        <v>0</v>
      </c>
      <c r="Y671" s="7">
        <f t="shared" si="109"/>
        <v>69346</v>
      </c>
      <c r="Z671" s="9" t="str">
        <f t="shared" si="101"/>
        <v>ADULT</v>
      </c>
    </row>
    <row r="672" spans="1:26" x14ac:dyDescent="0.3">
      <c r="A672" s="5" t="s">
        <v>1502</v>
      </c>
      <c r="B672" s="5" t="s">
        <v>25</v>
      </c>
      <c r="C672" s="5" t="s">
        <v>54</v>
      </c>
      <c r="D672" s="5" t="s">
        <v>27</v>
      </c>
      <c r="E672" s="5" t="s">
        <v>74</v>
      </c>
      <c r="F672" s="5" t="s">
        <v>192</v>
      </c>
      <c r="G672" s="5" t="s">
        <v>69</v>
      </c>
      <c r="H672" s="5">
        <v>57</v>
      </c>
      <c r="I672" s="5" t="s">
        <v>31</v>
      </c>
      <c r="J672" s="34" t="s">
        <v>845</v>
      </c>
      <c r="K672" s="31" t="s">
        <v>1503</v>
      </c>
      <c r="L672" s="5" t="s">
        <v>87</v>
      </c>
      <c r="M672" s="32">
        <v>0</v>
      </c>
      <c r="N672" s="6">
        <f t="shared" si="102"/>
        <v>0</v>
      </c>
      <c r="O672" s="4" t="s">
        <v>192</v>
      </c>
      <c r="P672" s="5" t="str">
        <f t="shared" si="103"/>
        <v>Mumbai</v>
      </c>
      <c r="Q672" s="5" t="str">
        <f t="shared" si="104"/>
        <v>General Medicine</v>
      </c>
      <c r="R672" s="6" t="str">
        <f t="shared" si="105"/>
        <v>Narayana</v>
      </c>
      <c r="S672" s="6" t="str">
        <f t="shared" si="106"/>
        <v>Credit Card</v>
      </c>
      <c r="T672" s="6" t="str">
        <f t="shared" si="107"/>
        <v>Male</v>
      </c>
      <c r="U672" s="6" t="str">
        <f t="shared" si="110"/>
        <v>ICU</v>
      </c>
      <c r="V672" s="6" t="str" cm="1">
        <f t="array" ref="V672">IF(TRIM(S672)="",INDEX($S$2:$S$1500,MATCH(MAX(COUNTIF($S$2:$S$1500,S672)),COUNTIF($S$2:$S$1500,$S$2:$S$1500),0)),S672)</f>
        <v>Credit Card</v>
      </c>
      <c r="W672" s="7" cm="1">
        <f t="array" ref="W672">IF(OR(TRIM(K672)="",TRIM(K672)="-"), MEDIAN(IF($E$2:$E$1500=E672,$K$2:$K$1500)),  VALUE(SUBSTITUTE(SUBSTITUTE(SUBSTITUTE(K672,"Rs. ",""),"₹",""),",","")))</f>
        <v>57407</v>
      </c>
      <c r="X672" s="8">
        <f t="shared" si="108"/>
        <v>0</v>
      </c>
      <c r="Y672" s="7">
        <f t="shared" si="109"/>
        <v>57407</v>
      </c>
      <c r="Z672" s="9" t="str">
        <f t="shared" si="101"/>
        <v>ADULT</v>
      </c>
    </row>
    <row r="673" spans="1:26" x14ac:dyDescent="0.3">
      <c r="A673" s="5" t="s">
        <v>1504</v>
      </c>
      <c r="B673" s="5" t="s">
        <v>117</v>
      </c>
      <c r="C673" s="5" t="s">
        <v>127</v>
      </c>
      <c r="D673" s="5" t="s">
        <v>36</v>
      </c>
      <c r="E673" s="5" t="s">
        <v>164</v>
      </c>
      <c r="F673" s="5" t="s">
        <v>233</v>
      </c>
      <c r="G673" s="5" t="s">
        <v>39</v>
      </c>
      <c r="H673" s="5">
        <v>43</v>
      </c>
      <c r="I673" s="5" t="s">
        <v>40</v>
      </c>
      <c r="J673" s="34" t="s">
        <v>318</v>
      </c>
      <c r="K673" s="31" t="s">
        <v>1505</v>
      </c>
      <c r="L673" s="5" t="s">
        <v>104</v>
      </c>
      <c r="M673" s="32" t="s">
        <v>64</v>
      </c>
      <c r="N673" s="6" t="str">
        <f t="shared" si="102"/>
        <v>NA</v>
      </c>
      <c r="O673" s="4" t="s">
        <v>233</v>
      </c>
      <c r="P673" s="5" t="str">
        <f t="shared" si="103"/>
        <v>Chennai</v>
      </c>
      <c r="Q673" s="5" t="str">
        <f t="shared" si="104"/>
        <v>Cardiology</v>
      </c>
      <c r="R673" s="6" t="str">
        <f t="shared" si="105"/>
        <v>Manipal</v>
      </c>
      <c r="S673" s="6" t="str">
        <f t="shared" si="106"/>
        <v>Insurance</v>
      </c>
      <c r="T673" s="6" t="str">
        <f t="shared" si="107"/>
        <v>Female</v>
      </c>
      <c r="U673" s="6" t="str">
        <f t="shared" si="110"/>
        <v>General</v>
      </c>
      <c r="V673" s="6" t="str" cm="1">
        <f t="array" ref="V673">IF(TRIM(S673)="",INDEX($S$2:$S$1500,MATCH(MAX(COUNTIF($S$2:$S$1500,S673)),COUNTIF($S$2:$S$1500,$S$2:$S$1500),0)),S673)</f>
        <v>Insurance</v>
      </c>
      <c r="W673" s="7" cm="1">
        <f t="array" ref="W673">IF(OR(TRIM(K673)="",TRIM(K673)="-"), MEDIAN(IF($E$2:$E$1500=E673,$K$2:$K$1500)),  VALUE(SUBSTITUTE(SUBSTITUTE(SUBSTITUTE(K673,"Rs. ",""),"₹",""),",","")))</f>
        <v>15921</v>
      </c>
      <c r="X673" s="8">
        <f t="shared" si="108"/>
        <v>19</v>
      </c>
      <c r="Y673" s="7">
        <f t="shared" si="109"/>
        <v>12896</v>
      </c>
      <c r="Z673" s="9" t="str">
        <f t="shared" si="101"/>
        <v>ADULT</v>
      </c>
    </row>
    <row r="674" spans="1:26" x14ac:dyDescent="0.3">
      <c r="A674" s="5" t="s">
        <v>1506</v>
      </c>
      <c r="B674" s="5" t="s">
        <v>106</v>
      </c>
      <c r="C674" s="5" t="s">
        <v>107</v>
      </c>
      <c r="D674" s="5" t="s">
        <v>61</v>
      </c>
      <c r="E674" s="5" t="s">
        <v>47</v>
      </c>
      <c r="F674" s="5" t="s">
        <v>175</v>
      </c>
      <c r="G674" s="5" t="s">
        <v>49</v>
      </c>
      <c r="H674" s="5">
        <v>46</v>
      </c>
      <c r="I674" s="5" t="s">
        <v>40</v>
      </c>
      <c r="J674" s="34" t="s">
        <v>485</v>
      </c>
      <c r="K674" s="31">
        <v>6706</v>
      </c>
      <c r="L674" s="5" t="s">
        <v>91</v>
      </c>
      <c r="M674" s="32" t="s">
        <v>140</v>
      </c>
      <c r="N674" s="6" t="str">
        <f t="shared" si="102"/>
        <v>-</v>
      </c>
      <c r="O674" s="4" t="s">
        <v>175</v>
      </c>
      <c r="P674" s="5" t="str">
        <f t="shared" si="103"/>
        <v>Pune</v>
      </c>
      <c r="Q674" s="5" t="str">
        <f t="shared" si="104"/>
        <v>Gastroenterology</v>
      </c>
      <c r="R674" s="6" t="str">
        <f t="shared" si="105"/>
        <v>Aiims</v>
      </c>
      <c r="S674" s="6" t="str">
        <f t="shared" si="106"/>
        <v>Debit Card</v>
      </c>
      <c r="T674" s="6" t="str">
        <f t="shared" si="107"/>
        <v>Female</v>
      </c>
      <c r="U674" s="6" t="str">
        <f t="shared" si="110"/>
        <v>General</v>
      </c>
      <c r="V674" s="6" t="str" cm="1">
        <f t="array" ref="V674">IF(TRIM(S674)="",INDEX($S$2:$S$1500,MATCH(MAX(COUNTIF($S$2:$S$1500,S674)),COUNTIF($S$2:$S$1500,$S$2:$S$1500),0)),S674)</f>
        <v>Debit Card</v>
      </c>
      <c r="W674" s="7" cm="1">
        <f t="array" ref="W674">IF(OR(TRIM(K674)="",TRIM(K674)="-"), MEDIAN(IF($E$2:$E$1500=E674,$K$2:$K$1500)),  VALUE(SUBSTITUTE(SUBSTITUTE(SUBSTITUTE(K674,"Rs. ",""),"₹",""),",","")))</f>
        <v>6706</v>
      </c>
      <c r="X674" s="8">
        <f t="shared" si="108"/>
        <v>3</v>
      </c>
      <c r="Y674" s="7">
        <f t="shared" si="109"/>
        <v>6505</v>
      </c>
      <c r="Z674" s="9" t="str">
        <f t="shared" si="101"/>
        <v>ADULT</v>
      </c>
    </row>
    <row r="675" spans="1:26" x14ac:dyDescent="0.3">
      <c r="A675" s="5" t="s">
        <v>1507</v>
      </c>
      <c r="B675" s="5" t="s">
        <v>117</v>
      </c>
      <c r="C675" s="5" t="s">
        <v>118</v>
      </c>
      <c r="D675" s="5" t="s">
        <v>36</v>
      </c>
      <c r="E675" s="5" t="s">
        <v>99</v>
      </c>
      <c r="F675" s="5" t="s">
        <v>256</v>
      </c>
      <c r="G675" s="5" t="s">
        <v>69</v>
      </c>
      <c r="H675" s="5">
        <v>84</v>
      </c>
      <c r="I675" s="5" t="s">
        <v>40</v>
      </c>
      <c r="J675" s="34" t="s">
        <v>545</v>
      </c>
      <c r="K675" s="31" t="s">
        <v>1508</v>
      </c>
      <c r="L675" s="5" t="s">
        <v>72</v>
      </c>
      <c r="M675" s="32">
        <v>0</v>
      </c>
      <c r="N675" s="6">
        <f t="shared" si="102"/>
        <v>0</v>
      </c>
      <c r="O675" s="4" t="s">
        <v>256</v>
      </c>
      <c r="P675" s="5" t="str">
        <f t="shared" si="103"/>
        <v>Chennai</v>
      </c>
      <c r="Q675" s="5" t="str">
        <f t="shared" si="104"/>
        <v>Ent</v>
      </c>
      <c r="R675" s="6" t="str">
        <f t="shared" si="105"/>
        <v>Manipal</v>
      </c>
      <c r="S675" s="6" t="str">
        <f t="shared" si="106"/>
        <v>Cash</v>
      </c>
      <c r="T675" s="6" t="str">
        <f t="shared" si="107"/>
        <v>Female</v>
      </c>
      <c r="U675" s="6" t="str">
        <f t="shared" si="110"/>
        <v>ICU</v>
      </c>
      <c r="V675" s="6" t="str" cm="1">
        <f t="array" ref="V675">IF(TRIM(S675)="",INDEX($S$2:$S$1500,MATCH(MAX(COUNTIF($S$2:$S$1500,S675)),COUNTIF($S$2:$S$1500,$S$2:$S$1500),0)),S675)</f>
        <v>Cash</v>
      </c>
      <c r="W675" s="7" cm="1">
        <f t="array" ref="W675">IF(OR(TRIM(K675)="",TRIM(K675)="-"), MEDIAN(IF($E$2:$E$1500=E675,$K$2:$K$1500)),  VALUE(SUBSTITUTE(SUBSTITUTE(SUBSTITUTE(K675,"Rs. ",""),"₹",""),",","")))</f>
        <v>47687</v>
      </c>
      <c r="X675" s="8">
        <f t="shared" si="108"/>
        <v>0</v>
      </c>
      <c r="Y675" s="7">
        <f t="shared" si="109"/>
        <v>47687</v>
      </c>
      <c r="Z675" s="9" t="str">
        <f t="shared" si="101"/>
        <v>SENIOR</v>
      </c>
    </row>
    <row r="676" spans="1:26" x14ac:dyDescent="0.3">
      <c r="A676" s="5" t="s">
        <v>1509</v>
      </c>
      <c r="B676" s="5" t="s">
        <v>14</v>
      </c>
      <c r="C676" s="5" t="s">
        <v>15</v>
      </c>
      <c r="D676" s="5" t="s">
        <v>61</v>
      </c>
      <c r="E676" s="5" t="s">
        <v>17</v>
      </c>
      <c r="F676" s="5" t="s">
        <v>169</v>
      </c>
      <c r="G676" s="5" t="s">
        <v>19</v>
      </c>
      <c r="H676" s="5">
        <v>59</v>
      </c>
      <c r="I676" s="5" t="s">
        <v>40</v>
      </c>
      <c r="J676" s="34" t="s">
        <v>584</v>
      </c>
      <c r="K676" s="31">
        <v>10382</v>
      </c>
      <c r="L676" s="5" t="s">
        <v>115</v>
      </c>
      <c r="M676" s="32">
        <v>0</v>
      </c>
      <c r="N676" s="6">
        <f t="shared" si="102"/>
        <v>0</v>
      </c>
      <c r="O676" s="4" t="s">
        <v>169</v>
      </c>
      <c r="P676" s="5" t="str">
        <f t="shared" si="103"/>
        <v>Pune</v>
      </c>
      <c r="Q676" s="5" t="str">
        <f t="shared" si="104"/>
        <v>Gynecology</v>
      </c>
      <c r="R676" s="6" t="str">
        <f t="shared" si="105"/>
        <v>Max_Healthcare</v>
      </c>
      <c r="S676" s="6" t="str">
        <f t="shared" si="106"/>
        <v>Cash</v>
      </c>
      <c r="T676" s="6" t="str">
        <f t="shared" si="107"/>
        <v>Female</v>
      </c>
      <c r="U676" s="6" t="str">
        <f t="shared" si="110"/>
        <v>General</v>
      </c>
      <c r="V676" s="6" t="str" cm="1">
        <f t="array" ref="V676">IF(TRIM(S676)="",INDEX($S$2:$S$1500,MATCH(MAX(COUNTIF($S$2:$S$1500,S676)),COUNTIF($S$2:$S$1500,$S$2:$S$1500),0)),S676)</f>
        <v>Cash</v>
      </c>
      <c r="W676" s="7" cm="1">
        <f t="array" ref="W676">IF(OR(TRIM(K676)="",TRIM(K676)="-"), MEDIAN(IF($E$2:$E$1500=E676,$K$2:$K$1500)),  VALUE(SUBSTITUTE(SUBSTITUTE(SUBSTITUTE(K676,"Rs. ",""),"₹",""),",","")))</f>
        <v>10382</v>
      </c>
      <c r="X676" s="8">
        <f t="shared" si="108"/>
        <v>0</v>
      </c>
      <c r="Y676" s="7">
        <f t="shared" si="109"/>
        <v>10382</v>
      </c>
      <c r="Z676" s="9" t="str">
        <f t="shared" si="101"/>
        <v>ADULT</v>
      </c>
    </row>
    <row r="677" spans="1:26" x14ac:dyDescent="0.3">
      <c r="A677" s="5" t="s">
        <v>1510</v>
      </c>
      <c r="B677" s="5" t="s">
        <v>25</v>
      </c>
      <c r="C677" s="5" t="s">
        <v>54</v>
      </c>
      <c r="D677" s="5" t="s">
        <v>55</v>
      </c>
      <c r="E677" s="5" t="s">
        <v>74</v>
      </c>
      <c r="F677" s="5" t="s">
        <v>75</v>
      </c>
      <c r="G677" s="5" t="s">
        <v>69</v>
      </c>
      <c r="H677" s="5">
        <v>79</v>
      </c>
      <c r="I677" s="5" t="s">
        <v>20</v>
      </c>
      <c r="J677" s="34" t="s">
        <v>1466</v>
      </c>
      <c r="K677" s="31">
        <v>47758</v>
      </c>
      <c r="L677" s="5" t="s">
        <v>236</v>
      </c>
      <c r="M677" s="32">
        <v>5</v>
      </c>
      <c r="N677" s="6">
        <f t="shared" si="102"/>
        <v>5</v>
      </c>
      <c r="O677" s="4" t="s">
        <v>75</v>
      </c>
      <c r="P677" s="5" t="str">
        <f t="shared" si="103"/>
        <v>Hyderabad</v>
      </c>
      <c r="Q677" s="5" t="str">
        <f t="shared" si="104"/>
        <v>General Medicine</v>
      </c>
      <c r="R677" s="6" t="str">
        <f t="shared" si="105"/>
        <v>Narayana</v>
      </c>
      <c r="S677" s="6" t="str">
        <f t="shared" si="106"/>
        <v>Debit Card</v>
      </c>
      <c r="T677" s="6" t="str">
        <f t="shared" si="107"/>
        <v>Male</v>
      </c>
      <c r="U677" s="6" t="str">
        <f t="shared" si="110"/>
        <v>ICU</v>
      </c>
      <c r="V677" s="6" t="str" cm="1">
        <f t="array" ref="V677">IF(TRIM(S677)="",INDEX($S$2:$S$1500,MATCH(MAX(COUNTIF($S$2:$S$1500,S677)),COUNTIF($S$2:$S$1500,$S$2:$S$1500),0)),S677)</f>
        <v>Debit Card</v>
      </c>
      <c r="W677" s="7" cm="1">
        <f t="array" ref="W677">IF(OR(TRIM(K677)="",TRIM(K677)="-"), MEDIAN(IF($E$2:$E$1500=E677,$K$2:$K$1500)),  VALUE(SUBSTITUTE(SUBSTITUTE(SUBSTITUTE(K677,"Rs. ",""),"₹",""),",","")))</f>
        <v>47758</v>
      </c>
      <c r="X677" s="8">
        <f t="shared" si="108"/>
        <v>5</v>
      </c>
      <c r="Y677" s="7">
        <f t="shared" si="109"/>
        <v>45370</v>
      </c>
      <c r="Z677" s="9" t="str">
        <f t="shared" si="101"/>
        <v>SENIOR</v>
      </c>
    </row>
    <row r="678" spans="1:26" x14ac:dyDescent="0.3">
      <c r="A678" s="5" t="s">
        <v>1511</v>
      </c>
      <c r="B678" s="5" t="s">
        <v>25</v>
      </c>
      <c r="C678" s="5" t="s">
        <v>54</v>
      </c>
      <c r="D678" s="5" t="s">
        <v>55</v>
      </c>
      <c r="E678" s="5" t="s">
        <v>37</v>
      </c>
      <c r="F678" s="5" t="s">
        <v>185</v>
      </c>
      <c r="G678" s="5" t="s">
        <v>49</v>
      </c>
      <c r="H678" s="5">
        <v>15</v>
      </c>
      <c r="I678" s="5" t="s">
        <v>20</v>
      </c>
      <c r="J678" s="34" t="s">
        <v>102</v>
      </c>
      <c r="K678" s="31" t="s">
        <v>1512</v>
      </c>
      <c r="L678" s="5" t="s">
        <v>236</v>
      </c>
      <c r="M678" s="32">
        <v>0.1</v>
      </c>
      <c r="N678" s="6">
        <f t="shared" si="102"/>
        <v>10</v>
      </c>
      <c r="O678" s="4" t="s">
        <v>185</v>
      </c>
      <c r="P678" s="5" t="str">
        <f t="shared" si="103"/>
        <v>Hyderabad</v>
      </c>
      <c r="Q678" s="5" t="str">
        <f t="shared" si="104"/>
        <v>Pediatrics</v>
      </c>
      <c r="R678" s="6" t="str">
        <f t="shared" si="105"/>
        <v>Narayana</v>
      </c>
      <c r="S678" s="6" t="str">
        <f t="shared" si="106"/>
        <v>Debit Card</v>
      </c>
      <c r="T678" s="6" t="str">
        <f t="shared" si="107"/>
        <v>Male</v>
      </c>
      <c r="U678" s="6" t="str">
        <f t="shared" si="110"/>
        <v>General</v>
      </c>
      <c r="V678" s="6" t="str" cm="1">
        <f t="array" ref="V678">IF(TRIM(S678)="",INDEX($S$2:$S$1500,MATCH(MAX(COUNTIF($S$2:$S$1500,S678)),COUNTIF($S$2:$S$1500,$S$2:$S$1500),0)),S678)</f>
        <v>Debit Card</v>
      </c>
      <c r="W678" s="7" cm="1">
        <f t="array" ref="W678">IF(OR(TRIM(K678)="",TRIM(K678)="-"), MEDIAN(IF($E$2:$E$1500=E678,$K$2:$K$1500)),  VALUE(SUBSTITUTE(SUBSTITUTE(SUBSTITUTE(K678,"Rs. ",""),"₹",""),",","")))</f>
        <v>15976</v>
      </c>
      <c r="X678" s="8">
        <f t="shared" si="108"/>
        <v>10</v>
      </c>
      <c r="Y678" s="7">
        <f t="shared" si="109"/>
        <v>14378</v>
      </c>
      <c r="Z678" s="9" t="str">
        <f t="shared" si="101"/>
        <v>TEEN</v>
      </c>
    </row>
    <row r="679" spans="1:26" x14ac:dyDescent="0.3">
      <c r="A679" s="5" t="s">
        <v>1513</v>
      </c>
      <c r="B679" s="5" t="s">
        <v>106</v>
      </c>
      <c r="C679" s="5" t="s">
        <v>307</v>
      </c>
      <c r="D679" s="5" t="s">
        <v>61</v>
      </c>
      <c r="E679" s="5" t="s">
        <v>28</v>
      </c>
      <c r="F679" s="5" t="s">
        <v>290</v>
      </c>
      <c r="G679" s="5" t="s">
        <v>49</v>
      </c>
      <c r="H679" s="5">
        <v>47</v>
      </c>
      <c r="I679" s="5" t="s">
        <v>40</v>
      </c>
      <c r="J679" s="34" t="s">
        <v>216</v>
      </c>
      <c r="K679" s="31" t="s">
        <v>1514</v>
      </c>
      <c r="L679" s="5" t="s">
        <v>87</v>
      </c>
      <c r="M679" s="32" t="s">
        <v>130</v>
      </c>
      <c r="N679" s="6">
        <f t="shared" si="102"/>
        <v>0</v>
      </c>
      <c r="O679" s="4" t="s">
        <v>290</v>
      </c>
      <c r="P679" s="5" t="str">
        <f t="shared" si="103"/>
        <v>Pune</v>
      </c>
      <c r="Q679" s="5" t="str">
        <f t="shared" si="104"/>
        <v>Oncology</v>
      </c>
      <c r="R679" s="6" t="str">
        <f t="shared" si="105"/>
        <v>Aiims</v>
      </c>
      <c r="S679" s="6" t="str">
        <f t="shared" si="106"/>
        <v>Credit Card</v>
      </c>
      <c r="T679" s="6" t="str">
        <f t="shared" si="107"/>
        <v>Female</v>
      </c>
      <c r="U679" s="6" t="str">
        <f t="shared" si="110"/>
        <v>General</v>
      </c>
      <c r="V679" s="6" t="str" cm="1">
        <f t="array" ref="V679">IF(TRIM(S679)="",INDEX($S$2:$S$1500,MATCH(MAX(COUNTIF($S$2:$S$1500,S679)),COUNTIF($S$2:$S$1500,$S$2:$S$1500),0)),S679)</f>
        <v>Credit Card</v>
      </c>
      <c r="W679" s="7" cm="1">
        <f t="array" ref="W679">IF(OR(TRIM(K679)="",TRIM(K679)="-"), MEDIAN(IF($E$2:$E$1500=E679,$K$2:$K$1500)),  VALUE(SUBSTITUTE(SUBSTITUTE(SUBSTITUTE(K679,"Rs. ",""),"₹",""),",","")))</f>
        <v>14234</v>
      </c>
      <c r="X679" s="8">
        <f t="shared" si="108"/>
        <v>0</v>
      </c>
      <c r="Y679" s="7">
        <f t="shared" si="109"/>
        <v>14234</v>
      </c>
      <c r="Z679" s="9" t="str">
        <f t="shared" si="101"/>
        <v>ADULT</v>
      </c>
    </row>
    <row r="680" spans="1:26" x14ac:dyDescent="0.3">
      <c r="A680" s="5" t="s">
        <v>1515</v>
      </c>
      <c r="B680" s="5" t="s">
        <v>78</v>
      </c>
      <c r="C680" s="5" t="s">
        <v>203</v>
      </c>
      <c r="D680" s="5" t="s">
        <v>16</v>
      </c>
      <c r="E680" s="5" t="s">
        <v>93</v>
      </c>
      <c r="F680" s="5" t="s">
        <v>94</v>
      </c>
      <c r="G680" s="5" t="s">
        <v>69</v>
      </c>
      <c r="H680" s="5">
        <v>45</v>
      </c>
      <c r="I680" s="5" t="s">
        <v>20</v>
      </c>
      <c r="J680" s="34" t="s">
        <v>576</v>
      </c>
      <c r="K680" s="31" t="s">
        <v>1516</v>
      </c>
      <c r="L680" s="5" t="s">
        <v>115</v>
      </c>
      <c r="M680" s="32"/>
      <c r="N680" s="6">
        <f t="shared" si="102"/>
        <v>0</v>
      </c>
      <c r="O680" s="4" t="s">
        <v>94</v>
      </c>
      <c r="P680" s="5" t="str">
        <f t="shared" si="103"/>
        <v>Bangalore</v>
      </c>
      <c r="Q680" s="5" t="str">
        <f t="shared" si="104"/>
        <v>Nephrology</v>
      </c>
      <c r="R680" s="6" t="str">
        <f t="shared" si="105"/>
        <v>Apollo</v>
      </c>
      <c r="S680" s="6" t="str">
        <f t="shared" si="106"/>
        <v>Cash</v>
      </c>
      <c r="T680" s="6" t="str">
        <f t="shared" si="107"/>
        <v>Male</v>
      </c>
      <c r="U680" s="6" t="str">
        <f t="shared" si="110"/>
        <v>ICU</v>
      </c>
      <c r="V680" s="6" t="str" cm="1">
        <f t="array" ref="V680">IF(TRIM(S680)="",INDEX($S$2:$S$1500,MATCH(MAX(COUNTIF($S$2:$S$1500,S680)),COUNTIF($S$2:$S$1500,$S$2:$S$1500),0)),S680)</f>
        <v>Cash</v>
      </c>
      <c r="W680" s="7" cm="1">
        <f t="array" ref="W680">IF(OR(TRIM(K680)="",TRIM(K680)="-"), MEDIAN(IF($E$2:$E$1500=E680,$K$2:$K$1500)),  VALUE(SUBSTITUTE(SUBSTITUTE(SUBSTITUTE(K680,"Rs. ",""),"₹",""),",","")))</f>
        <v>31402</v>
      </c>
      <c r="X680" s="8">
        <f t="shared" si="108"/>
        <v>0</v>
      </c>
      <c r="Y680" s="7">
        <f t="shared" si="109"/>
        <v>31402</v>
      </c>
      <c r="Z680" s="9" t="str">
        <f t="shared" si="101"/>
        <v>ADULT</v>
      </c>
    </row>
    <row r="681" spans="1:26" x14ac:dyDescent="0.3">
      <c r="A681" s="5" t="s">
        <v>1517</v>
      </c>
      <c r="B681" s="5" t="s">
        <v>14</v>
      </c>
      <c r="C681" s="5" t="s">
        <v>60</v>
      </c>
      <c r="D681" s="5" t="s">
        <v>36</v>
      </c>
      <c r="E681" s="5" t="s">
        <v>99</v>
      </c>
      <c r="F681" s="5" t="s">
        <v>256</v>
      </c>
      <c r="G681" s="5" t="s">
        <v>39</v>
      </c>
      <c r="H681" s="5">
        <v>60</v>
      </c>
      <c r="I681" s="5" t="s">
        <v>31</v>
      </c>
      <c r="J681" s="34" t="s">
        <v>1228</v>
      </c>
      <c r="K681" s="31" t="s">
        <v>1518</v>
      </c>
      <c r="L681" s="5" t="s">
        <v>42</v>
      </c>
      <c r="M681" s="32" t="s">
        <v>43</v>
      </c>
      <c r="N681" s="6">
        <f t="shared" si="102"/>
        <v>18</v>
      </c>
      <c r="O681" s="4" t="s">
        <v>256</v>
      </c>
      <c r="P681" s="5" t="str">
        <f t="shared" si="103"/>
        <v>Chennai</v>
      </c>
      <c r="Q681" s="5" t="str">
        <f t="shared" si="104"/>
        <v>Ent</v>
      </c>
      <c r="R681" s="6" t="str">
        <f t="shared" si="105"/>
        <v>Max_Healthcare</v>
      </c>
      <c r="S681" s="6" t="str">
        <f t="shared" si="106"/>
        <v>Insurance</v>
      </c>
      <c r="T681" s="6" t="str">
        <f t="shared" si="107"/>
        <v>Male</v>
      </c>
      <c r="U681" s="6" t="str">
        <f t="shared" si="110"/>
        <v>General</v>
      </c>
      <c r="V681" s="6" t="str" cm="1">
        <f t="array" ref="V681">IF(TRIM(S681)="",INDEX($S$2:$S$1500,MATCH(MAX(COUNTIF($S$2:$S$1500,S681)),COUNTIF($S$2:$S$1500,$S$2:$S$1500),0)),S681)</f>
        <v>Insurance</v>
      </c>
      <c r="W681" s="7" cm="1">
        <f t="array" ref="W681">IF(OR(TRIM(K681)="",TRIM(K681)="-"), MEDIAN(IF($E$2:$E$1500=E681,$K$2:$K$1500)),  VALUE(SUBSTITUTE(SUBSTITUTE(SUBSTITUTE(K681,"Rs. ",""),"₹",""),",","")))</f>
        <v>10440</v>
      </c>
      <c r="X681" s="8">
        <f t="shared" si="108"/>
        <v>18</v>
      </c>
      <c r="Y681" s="7">
        <f t="shared" si="109"/>
        <v>8561</v>
      </c>
      <c r="Z681" s="9" t="str">
        <f t="shared" si="101"/>
        <v>SENIOR</v>
      </c>
    </row>
    <row r="682" spans="1:26" x14ac:dyDescent="0.3">
      <c r="A682" s="5" t="s">
        <v>1519</v>
      </c>
      <c r="B682" s="5" t="s">
        <v>106</v>
      </c>
      <c r="C682" s="5" t="s">
        <v>107</v>
      </c>
      <c r="D682" s="5" t="s">
        <v>16</v>
      </c>
      <c r="E682" s="5" t="s">
        <v>93</v>
      </c>
      <c r="F682" s="5" t="s">
        <v>144</v>
      </c>
      <c r="G682" s="5" t="s">
        <v>39</v>
      </c>
      <c r="H682" s="5">
        <v>1</v>
      </c>
      <c r="I682" s="5" t="s">
        <v>40</v>
      </c>
      <c r="J682" s="34" t="s">
        <v>407</v>
      </c>
      <c r="K682" s="31" t="s">
        <v>1520</v>
      </c>
      <c r="L682" s="5" t="s">
        <v>97</v>
      </c>
      <c r="M682" s="32" t="s">
        <v>130</v>
      </c>
      <c r="N682" s="6">
        <f t="shared" si="102"/>
        <v>0</v>
      </c>
      <c r="O682" s="4" t="s">
        <v>144</v>
      </c>
      <c r="P682" s="5" t="str">
        <f t="shared" si="103"/>
        <v>Bangalore</v>
      </c>
      <c r="Q682" s="5" t="str">
        <f t="shared" si="104"/>
        <v>Nephrology</v>
      </c>
      <c r="R682" s="6" t="str">
        <f t="shared" si="105"/>
        <v>Aiims</v>
      </c>
      <c r="S682" s="6" t="str">
        <f t="shared" si="106"/>
        <v>UPI</v>
      </c>
      <c r="T682" s="6" t="str">
        <f t="shared" si="107"/>
        <v>Female</v>
      </c>
      <c r="U682" s="6" t="str">
        <f t="shared" si="110"/>
        <v>General</v>
      </c>
      <c r="V682" s="6" t="str" cm="1">
        <f t="array" ref="V682">IF(TRIM(S682)="",INDEX($S$2:$S$1500,MATCH(MAX(COUNTIF($S$2:$S$1500,S682)),COUNTIF($S$2:$S$1500,$S$2:$S$1500),0)),S682)</f>
        <v>UPI</v>
      </c>
      <c r="W682" s="7" cm="1">
        <f t="array" ref="W682">IF(OR(TRIM(K682)="",TRIM(K682)="-"), MEDIAN(IF($E$2:$E$1500=E682,$K$2:$K$1500)),  VALUE(SUBSTITUTE(SUBSTITUTE(SUBSTITUTE(K682,"Rs. ",""),"₹",""),",","")))</f>
        <v>7726</v>
      </c>
      <c r="X682" s="8">
        <f t="shared" si="108"/>
        <v>0</v>
      </c>
      <c r="Y682" s="7">
        <f t="shared" si="109"/>
        <v>7726</v>
      </c>
      <c r="Z682" s="9" t="str">
        <f t="shared" si="101"/>
        <v>CHILD</v>
      </c>
    </row>
    <row r="683" spans="1:26" x14ac:dyDescent="0.3">
      <c r="A683" s="5" t="s">
        <v>1521</v>
      </c>
      <c r="B683" s="5" t="s">
        <v>78</v>
      </c>
      <c r="C683" s="5" t="s">
        <v>161</v>
      </c>
      <c r="D683" s="5" t="s">
        <v>16</v>
      </c>
      <c r="E683" s="5" t="s">
        <v>108</v>
      </c>
      <c r="F683" s="5" t="s">
        <v>124</v>
      </c>
      <c r="G683" s="5" t="s">
        <v>39</v>
      </c>
      <c r="H683" s="5">
        <v>82</v>
      </c>
      <c r="I683" s="5" t="s">
        <v>40</v>
      </c>
      <c r="J683" s="34" t="s">
        <v>690</v>
      </c>
      <c r="K683" s="31" t="s">
        <v>1522</v>
      </c>
      <c r="L683" s="5" t="s">
        <v>311</v>
      </c>
      <c r="M683" s="32"/>
      <c r="N683" s="6">
        <f t="shared" si="102"/>
        <v>0</v>
      </c>
      <c r="O683" s="4" t="s">
        <v>124</v>
      </c>
      <c r="P683" s="5" t="str">
        <f t="shared" si="103"/>
        <v>Bangalore</v>
      </c>
      <c r="Q683" s="5" t="str">
        <f t="shared" si="104"/>
        <v>Orthopedics</v>
      </c>
      <c r="R683" s="6" t="str">
        <f t="shared" si="105"/>
        <v>Apollo</v>
      </c>
      <c r="S683" s="6" t="str">
        <f t="shared" si="106"/>
        <v>UPI</v>
      </c>
      <c r="T683" s="6" t="str">
        <f t="shared" si="107"/>
        <v>Female</v>
      </c>
      <c r="U683" s="6" t="str">
        <f t="shared" si="110"/>
        <v>General</v>
      </c>
      <c r="V683" s="6" t="str" cm="1">
        <f t="array" ref="V683">IF(TRIM(S683)="",INDEX($S$2:$S$1500,MATCH(MAX(COUNTIF($S$2:$S$1500,S683)),COUNTIF($S$2:$S$1500,$S$2:$S$1500),0)),S683)</f>
        <v>UPI</v>
      </c>
      <c r="W683" s="7" cm="1">
        <f t="array" ref="W683">IF(OR(TRIM(K683)="",TRIM(K683)="-"), MEDIAN(IF($E$2:$E$1500=E683,$K$2:$K$1500)),  VALUE(SUBSTITUTE(SUBSTITUTE(SUBSTITUTE(K683,"Rs. ",""),"₹",""),",","")))</f>
        <v>17123</v>
      </c>
      <c r="X683" s="8">
        <f t="shared" si="108"/>
        <v>0</v>
      </c>
      <c r="Y683" s="7">
        <f t="shared" si="109"/>
        <v>17123</v>
      </c>
      <c r="Z683" s="9" t="str">
        <f t="shared" si="101"/>
        <v>SENIOR</v>
      </c>
    </row>
    <row r="684" spans="1:26" x14ac:dyDescent="0.3">
      <c r="A684" s="5" t="s">
        <v>1523</v>
      </c>
      <c r="B684" s="5" t="s">
        <v>14</v>
      </c>
      <c r="C684" s="5" t="s">
        <v>60</v>
      </c>
      <c r="D684" s="5" t="s">
        <v>16</v>
      </c>
      <c r="E684" s="5" t="s">
        <v>74</v>
      </c>
      <c r="F684" s="5" t="s">
        <v>192</v>
      </c>
      <c r="G684" s="5" t="s">
        <v>49</v>
      </c>
      <c r="H684" s="5">
        <v>50</v>
      </c>
      <c r="I684" s="5" t="s">
        <v>20</v>
      </c>
      <c r="J684" s="34" t="s">
        <v>359</v>
      </c>
      <c r="K684" s="31">
        <v>3906</v>
      </c>
      <c r="L684" s="5" t="s">
        <v>58</v>
      </c>
      <c r="M684" s="32">
        <v>0</v>
      </c>
      <c r="N684" s="6">
        <f t="shared" si="102"/>
        <v>0</v>
      </c>
      <c r="O684" s="4" t="s">
        <v>192</v>
      </c>
      <c r="P684" s="5" t="str">
        <f t="shared" si="103"/>
        <v>Bangalore</v>
      </c>
      <c r="Q684" s="5" t="str">
        <f t="shared" si="104"/>
        <v>General Medicine</v>
      </c>
      <c r="R684" s="6" t="str">
        <f t="shared" si="105"/>
        <v>Max_Healthcare</v>
      </c>
      <c r="S684" s="6" t="str">
        <f t="shared" si="106"/>
        <v>UPI</v>
      </c>
      <c r="T684" s="6" t="str">
        <f t="shared" si="107"/>
        <v>Male</v>
      </c>
      <c r="U684" s="6" t="str">
        <f t="shared" si="110"/>
        <v>General</v>
      </c>
      <c r="V684" s="6" t="str" cm="1">
        <f t="array" ref="V684">IF(TRIM(S684)="",INDEX($S$2:$S$1500,MATCH(MAX(COUNTIF($S$2:$S$1500,S684)),COUNTIF($S$2:$S$1500,$S$2:$S$1500),0)),S684)</f>
        <v>UPI</v>
      </c>
      <c r="W684" s="7" cm="1">
        <f t="array" ref="W684">IF(OR(TRIM(K684)="",TRIM(K684)="-"), MEDIAN(IF($E$2:$E$1500=E684,$K$2:$K$1500)),  VALUE(SUBSTITUTE(SUBSTITUTE(SUBSTITUTE(K684,"Rs. ",""),"₹",""),",","")))</f>
        <v>3906</v>
      </c>
      <c r="X684" s="8">
        <f t="shared" si="108"/>
        <v>0</v>
      </c>
      <c r="Y684" s="7">
        <f t="shared" si="109"/>
        <v>3906</v>
      </c>
      <c r="Z684" s="9" t="str">
        <f t="shared" si="101"/>
        <v>ADULT</v>
      </c>
    </row>
    <row r="685" spans="1:26" x14ac:dyDescent="0.3">
      <c r="A685" s="5" t="s">
        <v>1524</v>
      </c>
      <c r="B685" s="5" t="s">
        <v>106</v>
      </c>
      <c r="C685" s="5" t="s">
        <v>107</v>
      </c>
      <c r="D685" s="5" t="s">
        <v>16</v>
      </c>
      <c r="E685" s="5" t="s">
        <v>74</v>
      </c>
      <c r="F685" s="5" t="s">
        <v>75</v>
      </c>
      <c r="G685" s="5" t="s">
        <v>19</v>
      </c>
      <c r="H685" s="5">
        <v>73</v>
      </c>
      <c r="I685" s="5" t="s">
        <v>31</v>
      </c>
      <c r="J685" s="34" t="s">
        <v>868</v>
      </c>
      <c r="K685" s="31" t="s">
        <v>1525</v>
      </c>
      <c r="L685" s="5" t="s">
        <v>52</v>
      </c>
      <c r="M685" s="32">
        <v>0</v>
      </c>
      <c r="N685" s="6">
        <f t="shared" si="102"/>
        <v>0</v>
      </c>
      <c r="O685" s="4" t="s">
        <v>75</v>
      </c>
      <c r="P685" s="5" t="str">
        <f t="shared" si="103"/>
        <v>Bangalore</v>
      </c>
      <c r="Q685" s="5" t="str">
        <f t="shared" si="104"/>
        <v>General Medicine</v>
      </c>
      <c r="R685" s="6" t="str">
        <f t="shared" si="105"/>
        <v>Aiims</v>
      </c>
      <c r="S685" s="6" t="str">
        <f t="shared" si="106"/>
        <v>Credit Card</v>
      </c>
      <c r="T685" s="6" t="str">
        <f t="shared" si="107"/>
        <v>Male</v>
      </c>
      <c r="U685" s="6" t="str">
        <f t="shared" si="110"/>
        <v>General</v>
      </c>
      <c r="V685" s="6" t="str" cm="1">
        <f t="array" ref="V685">IF(TRIM(S685)="",INDEX($S$2:$S$1500,MATCH(MAX(COUNTIF($S$2:$S$1500,S685)),COUNTIF($S$2:$S$1500,$S$2:$S$1500),0)),S685)</f>
        <v>Credit Card</v>
      </c>
      <c r="W685" s="7" cm="1">
        <f t="array" ref="W685">IF(OR(TRIM(K685)="",TRIM(K685)="-"), MEDIAN(IF($E$2:$E$1500=E685,$K$2:$K$1500)),  VALUE(SUBSTITUTE(SUBSTITUTE(SUBSTITUTE(K685,"Rs. ",""),"₹",""),",","")))</f>
        <v>12520</v>
      </c>
      <c r="X685" s="8">
        <f t="shared" si="108"/>
        <v>0</v>
      </c>
      <c r="Y685" s="7">
        <f t="shared" si="109"/>
        <v>12520</v>
      </c>
      <c r="Z685" s="9" t="str">
        <f t="shared" si="101"/>
        <v>SENIOR</v>
      </c>
    </row>
    <row r="686" spans="1:26" x14ac:dyDescent="0.3">
      <c r="A686" s="5" t="s">
        <v>1526</v>
      </c>
      <c r="B686" s="5" t="s">
        <v>45</v>
      </c>
      <c r="C686" s="5" t="s">
        <v>46</v>
      </c>
      <c r="D686" s="5" t="s">
        <v>61</v>
      </c>
      <c r="E686" s="5" t="s">
        <v>93</v>
      </c>
      <c r="F686" s="5" t="s">
        <v>94</v>
      </c>
      <c r="G686" s="5" t="s">
        <v>19</v>
      </c>
      <c r="H686" s="5">
        <v>83</v>
      </c>
      <c r="I686" s="5" t="s">
        <v>40</v>
      </c>
      <c r="J686" s="34" t="s">
        <v>1527</v>
      </c>
      <c r="K686" s="31">
        <v>7047</v>
      </c>
      <c r="L686" s="5" t="s">
        <v>52</v>
      </c>
      <c r="M686" s="32">
        <v>0</v>
      </c>
      <c r="N686" s="6">
        <f t="shared" si="102"/>
        <v>0</v>
      </c>
      <c r="O686" s="4" t="s">
        <v>94</v>
      </c>
      <c r="P686" s="5" t="str">
        <f t="shared" si="103"/>
        <v>Pune</v>
      </c>
      <c r="Q686" s="5" t="str">
        <f t="shared" si="104"/>
        <v>Nephrology</v>
      </c>
      <c r="R686" s="6" t="str">
        <f t="shared" si="105"/>
        <v>Fortis</v>
      </c>
      <c r="S686" s="6" t="str">
        <f t="shared" si="106"/>
        <v>Credit Card</v>
      </c>
      <c r="T686" s="6" t="str">
        <f t="shared" si="107"/>
        <v>Female</v>
      </c>
      <c r="U686" s="6" t="str">
        <f t="shared" si="110"/>
        <v>General</v>
      </c>
      <c r="V686" s="6" t="str" cm="1">
        <f t="array" ref="V686">IF(TRIM(S686)="",INDEX($S$2:$S$1500,MATCH(MAX(COUNTIF($S$2:$S$1500,S686)),COUNTIF($S$2:$S$1500,$S$2:$S$1500),0)),S686)</f>
        <v>Credit Card</v>
      </c>
      <c r="W686" s="7" cm="1">
        <f t="array" ref="W686">IF(OR(TRIM(K686)="",TRIM(K686)="-"), MEDIAN(IF($E$2:$E$1500=E686,$K$2:$K$1500)),  VALUE(SUBSTITUTE(SUBSTITUTE(SUBSTITUTE(K686,"Rs. ",""),"₹",""),",","")))</f>
        <v>7047</v>
      </c>
      <c r="X686" s="8">
        <f t="shared" si="108"/>
        <v>0</v>
      </c>
      <c r="Y686" s="7">
        <f t="shared" si="109"/>
        <v>7047</v>
      </c>
      <c r="Z686" s="9" t="str">
        <f t="shared" si="101"/>
        <v>SENIOR</v>
      </c>
    </row>
    <row r="687" spans="1:26" x14ac:dyDescent="0.3">
      <c r="A687" s="5" t="s">
        <v>1528</v>
      </c>
      <c r="B687" s="5" t="s">
        <v>117</v>
      </c>
      <c r="C687" s="5" t="s">
        <v>182</v>
      </c>
      <c r="D687" s="5" t="s">
        <v>189</v>
      </c>
      <c r="E687" s="5" t="s">
        <v>93</v>
      </c>
      <c r="F687" s="5" t="s">
        <v>144</v>
      </c>
      <c r="G687" s="5" t="s">
        <v>19</v>
      </c>
      <c r="H687" s="5">
        <v>92</v>
      </c>
      <c r="I687" s="5" t="s">
        <v>70</v>
      </c>
      <c r="J687" s="34" t="s">
        <v>848</v>
      </c>
      <c r="K687" s="31">
        <v>19258</v>
      </c>
      <c r="L687" s="5" t="s">
        <v>91</v>
      </c>
      <c r="M687" s="32">
        <v>0</v>
      </c>
      <c r="N687" s="6">
        <f t="shared" si="102"/>
        <v>0</v>
      </c>
      <c r="O687" s="4" t="s">
        <v>144</v>
      </c>
      <c r="P687" s="5" t="str">
        <f t="shared" si="103"/>
        <v>Delhi</v>
      </c>
      <c r="Q687" s="5" t="str">
        <f t="shared" si="104"/>
        <v>Nephrology</v>
      </c>
      <c r="R687" s="6" t="str">
        <f t="shared" si="105"/>
        <v>Manipal</v>
      </c>
      <c r="S687" s="6" t="str">
        <f t="shared" si="106"/>
        <v>Debit Card</v>
      </c>
      <c r="T687" s="6" t="str">
        <f t="shared" si="107"/>
        <v>Female</v>
      </c>
      <c r="U687" s="6" t="str">
        <f t="shared" si="110"/>
        <v>General</v>
      </c>
      <c r="V687" s="6" t="str" cm="1">
        <f t="array" ref="V687">IF(TRIM(S687)="",INDEX($S$2:$S$1500,MATCH(MAX(COUNTIF($S$2:$S$1500,S687)),COUNTIF($S$2:$S$1500,$S$2:$S$1500),0)),S687)</f>
        <v>Debit Card</v>
      </c>
      <c r="W687" s="7" cm="1">
        <f t="array" ref="W687">IF(OR(TRIM(K687)="",TRIM(K687)="-"), MEDIAN(IF($E$2:$E$1500=E687,$K$2:$K$1500)),  VALUE(SUBSTITUTE(SUBSTITUTE(SUBSTITUTE(K687,"Rs. ",""),"₹",""),",","")))</f>
        <v>19258</v>
      </c>
      <c r="X687" s="8">
        <f t="shared" si="108"/>
        <v>0</v>
      </c>
      <c r="Y687" s="7">
        <f t="shared" si="109"/>
        <v>19258</v>
      </c>
      <c r="Z687" s="9" t="str">
        <f t="shared" si="101"/>
        <v>SENIOR</v>
      </c>
    </row>
    <row r="688" spans="1:26" x14ac:dyDescent="0.3">
      <c r="A688" s="5" t="s">
        <v>1529</v>
      </c>
      <c r="B688" s="5" t="s">
        <v>117</v>
      </c>
      <c r="C688" s="5" t="s">
        <v>182</v>
      </c>
      <c r="D688" s="5" t="s">
        <v>189</v>
      </c>
      <c r="E688" s="5" t="s">
        <v>164</v>
      </c>
      <c r="F688" s="5" t="s">
        <v>219</v>
      </c>
      <c r="G688" s="5" t="s">
        <v>49</v>
      </c>
      <c r="H688" s="5">
        <v>78</v>
      </c>
      <c r="I688" s="5" t="s">
        <v>40</v>
      </c>
      <c r="J688" s="34" t="s">
        <v>257</v>
      </c>
      <c r="K688" s="31">
        <v>19586</v>
      </c>
      <c r="L688" s="5" t="s">
        <v>311</v>
      </c>
      <c r="M688" s="32" t="s">
        <v>140</v>
      </c>
      <c r="N688" s="6" t="str">
        <f t="shared" si="102"/>
        <v>-</v>
      </c>
      <c r="O688" s="4" t="s">
        <v>219</v>
      </c>
      <c r="P688" s="5" t="str">
        <f t="shared" si="103"/>
        <v>Delhi</v>
      </c>
      <c r="Q688" s="5" t="str">
        <f t="shared" si="104"/>
        <v>Cardiology</v>
      </c>
      <c r="R688" s="6" t="str">
        <f t="shared" si="105"/>
        <v>Manipal</v>
      </c>
      <c r="S688" s="6" t="str">
        <f t="shared" si="106"/>
        <v>UPI</v>
      </c>
      <c r="T688" s="6" t="str">
        <f t="shared" si="107"/>
        <v>Female</v>
      </c>
      <c r="U688" s="6" t="str">
        <f t="shared" si="110"/>
        <v>General</v>
      </c>
      <c r="V688" s="6" t="str" cm="1">
        <f t="array" ref="V688">IF(TRIM(S688)="",INDEX($S$2:$S$1500,MATCH(MAX(COUNTIF($S$2:$S$1500,S688)),COUNTIF($S$2:$S$1500,$S$2:$S$1500),0)),S688)</f>
        <v>UPI</v>
      </c>
      <c r="W688" s="7" cm="1">
        <f t="array" ref="W688">IF(OR(TRIM(K688)="",TRIM(K688)="-"), MEDIAN(IF($E$2:$E$1500=E688,$K$2:$K$1500)),  VALUE(SUBSTITUTE(SUBSTITUTE(SUBSTITUTE(K688,"Rs. ",""),"₹",""),",","")))</f>
        <v>19586</v>
      </c>
      <c r="X688" s="8">
        <f t="shared" si="108"/>
        <v>3</v>
      </c>
      <c r="Y688" s="7">
        <f t="shared" si="109"/>
        <v>18998</v>
      </c>
      <c r="Z688" s="9" t="str">
        <f t="shared" si="101"/>
        <v>SENIOR</v>
      </c>
    </row>
    <row r="689" spans="1:26" x14ac:dyDescent="0.3">
      <c r="A689" s="5" t="s">
        <v>1530</v>
      </c>
      <c r="B689" s="5" t="s">
        <v>78</v>
      </c>
      <c r="C689" s="5" t="s">
        <v>161</v>
      </c>
      <c r="D689" s="5" t="s">
        <v>189</v>
      </c>
      <c r="E689" s="5" t="s">
        <v>108</v>
      </c>
      <c r="F689" s="5" t="s">
        <v>124</v>
      </c>
      <c r="G689" s="5" t="s">
        <v>69</v>
      </c>
      <c r="H689" s="5">
        <v>21</v>
      </c>
      <c r="I689" s="5" t="s">
        <v>70</v>
      </c>
      <c r="J689" s="34" t="s">
        <v>262</v>
      </c>
      <c r="K689" s="31">
        <v>55863</v>
      </c>
      <c r="L689" s="5" t="s">
        <v>23</v>
      </c>
      <c r="M689" s="32">
        <v>5</v>
      </c>
      <c r="N689" s="6">
        <f t="shared" si="102"/>
        <v>5</v>
      </c>
      <c r="O689" s="4" t="s">
        <v>124</v>
      </c>
      <c r="P689" s="5" t="str">
        <f t="shared" si="103"/>
        <v>Delhi</v>
      </c>
      <c r="Q689" s="5" t="str">
        <f t="shared" si="104"/>
        <v>Orthopedics</v>
      </c>
      <c r="R689" s="6" t="str">
        <f t="shared" si="105"/>
        <v>Apollo</v>
      </c>
      <c r="S689" s="6" t="str">
        <f t="shared" si="106"/>
        <v>Credit Card</v>
      </c>
      <c r="T689" s="6" t="str">
        <f t="shared" si="107"/>
        <v>Female</v>
      </c>
      <c r="U689" s="6" t="str">
        <f t="shared" si="110"/>
        <v>ICU</v>
      </c>
      <c r="V689" s="6" t="str" cm="1">
        <f t="array" ref="V689">IF(TRIM(S689)="",INDEX($S$2:$S$1500,MATCH(MAX(COUNTIF($S$2:$S$1500,S689)),COUNTIF($S$2:$S$1500,$S$2:$S$1500),0)),S689)</f>
        <v>Credit Card</v>
      </c>
      <c r="W689" s="7" cm="1">
        <f t="array" ref="W689">IF(OR(TRIM(K689)="",TRIM(K689)="-"), MEDIAN(IF($E$2:$E$1500=E689,$K$2:$K$1500)),  VALUE(SUBSTITUTE(SUBSTITUTE(SUBSTITUTE(K689,"Rs. ",""),"₹",""),",","")))</f>
        <v>55863</v>
      </c>
      <c r="X689" s="8">
        <f t="shared" si="108"/>
        <v>5</v>
      </c>
      <c r="Y689" s="7">
        <f t="shared" si="109"/>
        <v>53070</v>
      </c>
      <c r="Z689" s="9" t="str">
        <f t="shared" si="101"/>
        <v>ADULT</v>
      </c>
    </row>
    <row r="690" spans="1:26" x14ac:dyDescent="0.3">
      <c r="A690" s="5" t="s">
        <v>1531</v>
      </c>
      <c r="B690" s="5" t="s">
        <v>106</v>
      </c>
      <c r="C690" s="5" t="s">
        <v>107</v>
      </c>
      <c r="D690" s="5" t="s">
        <v>36</v>
      </c>
      <c r="E690" s="5" t="s">
        <v>74</v>
      </c>
      <c r="F690" s="5" t="s">
        <v>172</v>
      </c>
      <c r="G690" s="5" t="s">
        <v>69</v>
      </c>
      <c r="H690" s="5">
        <v>48</v>
      </c>
      <c r="I690" s="5" t="s">
        <v>20</v>
      </c>
      <c r="J690" s="34" t="s">
        <v>1532</v>
      </c>
      <c r="K690" s="31" t="s">
        <v>1533</v>
      </c>
      <c r="L690" s="5" t="s">
        <v>34</v>
      </c>
      <c r="M690" s="32" t="s">
        <v>64</v>
      </c>
      <c r="N690" s="6" t="str">
        <f t="shared" si="102"/>
        <v>NA</v>
      </c>
      <c r="O690" s="4" t="s">
        <v>172</v>
      </c>
      <c r="P690" s="5" t="str">
        <f t="shared" si="103"/>
        <v>Chennai</v>
      </c>
      <c r="Q690" s="5" t="str">
        <f t="shared" si="104"/>
        <v>General Medicine</v>
      </c>
      <c r="R690" s="6" t="str">
        <f t="shared" si="105"/>
        <v>Aiims</v>
      </c>
      <c r="S690" s="6" t="str">
        <f t="shared" si="106"/>
        <v>Cash</v>
      </c>
      <c r="T690" s="6" t="str">
        <f t="shared" si="107"/>
        <v>Male</v>
      </c>
      <c r="U690" s="6" t="str">
        <f t="shared" si="110"/>
        <v>ICU</v>
      </c>
      <c r="V690" s="6" t="str" cm="1">
        <f t="array" ref="V690">IF(TRIM(S690)="",INDEX($S$2:$S$1500,MATCH(MAX(COUNTIF($S$2:$S$1500,S690)),COUNTIF($S$2:$S$1500,$S$2:$S$1500),0)),S690)</f>
        <v>Cash</v>
      </c>
      <c r="W690" s="7" cm="1">
        <f t="array" ref="W690">IF(OR(TRIM(K690)="",TRIM(K690)="-"), MEDIAN(IF($E$2:$E$1500=E690,$K$2:$K$1500)),  VALUE(SUBSTITUTE(SUBSTITUTE(SUBSTITUTE(K690,"Rs. ",""),"₹",""),",","")))</f>
        <v>39482</v>
      </c>
      <c r="X690" s="8">
        <f t="shared" si="108"/>
        <v>3</v>
      </c>
      <c r="Y690" s="7">
        <f t="shared" si="109"/>
        <v>38298</v>
      </c>
      <c r="Z690" s="9" t="str">
        <f t="shared" si="101"/>
        <v>ADULT</v>
      </c>
    </row>
    <row r="691" spans="1:26" x14ac:dyDescent="0.3">
      <c r="A691" s="5" t="s">
        <v>1534</v>
      </c>
      <c r="B691" s="5" t="s">
        <v>14</v>
      </c>
      <c r="C691" s="5" t="s">
        <v>60</v>
      </c>
      <c r="D691" s="5" t="s">
        <v>189</v>
      </c>
      <c r="E691" s="5" t="s">
        <v>67</v>
      </c>
      <c r="F691" s="5" t="s">
        <v>196</v>
      </c>
      <c r="G691" s="5" t="s">
        <v>19</v>
      </c>
      <c r="H691" s="5">
        <v>38</v>
      </c>
      <c r="I691" s="5" t="s">
        <v>40</v>
      </c>
      <c r="J691" s="34" t="s">
        <v>1029</v>
      </c>
      <c r="K691" s="31">
        <v>17212</v>
      </c>
      <c r="L691" s="5" t="s">
        <v>58</v>
      </c>
      <c r="M691" s="32" t="s">
        <v>140</v>
      </c>
      <c r="N691" s="6" t="str">
        <f t="shared" si="102"/>
        <v>-</v>
      </c>
      <c r="O691" s="4" t="s">
        <v>196</v>
      </c>
      <c r="P691" s="5" t="str">
        <f t="shared" si="103"/>
        <v>Delhi</v>
      </c>
      <c r="Q691" s="5" t="str">
        <f t="shared" si="104"/>
        <v>Neurology</v>
      </c>
      <c r="R691" s="6" t="str">
        <f t="shared" si="105"/>
        <v>Max_Healthcare</v>
      </c>
      <c r="S691" s="6" t="str">
        <f t="shared" si="106"/>
        <v>UPI</v>
      </c>
      <c r="T691" s="6" t="str">
        <f t="shared" si="107"/>
        <v>Female</v>
      </c>
      <c r="U691" s="6" t="str">
        <f t="shared" si="110"/>
        <v>General</v>
      </c>
      <c r="V691" s="6" t="str" cm="1">
        <f t="array" ref="V691">IF(TRIM(S691)="",INDEX($S$2:$S$1500,MATCH(MAX(COUNTIF($S$2:$S$1500,S691)),COUNTIF($S$2:$S$1500,$S$2:$S$1500),0)),S691)</f>
        <v>UPI</v>
      </c>
      <c r="W691" s="7" cm="1">
        <f t="array" ref="W691">IF(OR(TRIM(K691)="",TRIM(K691)="-"), MEDIAN(IF($E$2:$E$1500=E691,$K$2:$K$1500)),  VALUE(SUBSTITUTE(SUBSTITUTE(SUBSTITUTE(K691,"Rs. ",""),"₹",""),",","")))</f>
        <v>17212</v>
      </c>
      <c r="X691" s="8">
        <f t="shared" si="108"/>
        <v>3</v>
      </c>
      <c r="Y691" s="7">
        <f t="shared" si="109"/>
        <v>16696</v>
      </c>
      <c r="Z691" s="9" t="str">
        <f t="shared" si="101"/>
        <v>ADULT</v>
      </c>
    </row>
    <row r="692" spans="1:26" x14ac:dyDescent="0.3">
      <c r="A692" s="5" t="s">
        <v>1535</v>
      </c>
      <c r="B692" s="5" t="s">
        <v>106</v>
      </c>
      <c r="C692" s="5" t="s">
        <v>107</v>
      </c>
      <c r="D692" s="5" t="s">
        <v>36</v>
      </c>
      <c r="E692" s="5" t="s">
        <v>28</v>
      </c>
      <c r="F692" s="5" t="s">
        <v>268</v>
      </c>
      <c r="G692" s="5" t="s">
        <v>30</v>
      </c>
      <c r="H692" s="5">
        <v>33</v>
      </c>
      <c r="I692" s="5" t="s">
        <v>31</v>
      </c>
      <c r="J692" s="34" t="s">
        <v>1536</v>
      </c>
      <c r="K692" s="31" t="s">
        <v>1537</v>
      </c>
      <c r="L692" s="5" t="s">
        <v>87</v>
      </c>
      <c r="M692" s="32">
        <v>0</v>
      </c>
      <c r="N692" s="6">
        <f t="shared" si="102"/>
        <v>0</v>
      </c>
      <c r="O692" s="4" t="s">
        <v>268</v>
      </c>
      <c r="P692" s="5" t="str">
        <f t="shared" si="103"/>
        <v>Chennai</v>
      </c>
      <c r="Q692" s="5" t="str">
        <f t="shared" si="104"/>
        <v>Oncology</v>
      </c>
      <c r="R692" s="6" t="str">
        <f t="shared" si="105"/>
        <v>Aiims</v>
      </c>
      <c r="S692" s="6" t="str">
        <f t="shared" si="106"/>
        <v>Credit Card</v>
      </c>
      <c r="T692" s="6" t="str">
        <f t="shared" si="107"/>
        <v>Male</v>
      </c>
      <c r="U692" s="6" t="str">
        <f t="shared" si="110"/>
        <v>General</v>
      </c>
      <c r="V692" s="6" t="str" cm="1">
        <f t="array" ref="V692">IF(TRIM(S692)="",INDEX($S$2:$S$1500,MATCH(MAX(COUNTIF($S$2:$S$1500,S692)),COUNTIF($S$2:$S$1500,$S$2:$S$1500),0)),S692)</f>
        <v>Credit Card</v>
      </c>
      <c r="W692" s="7" cm="1">
        <f t="array" ref="W692">IF(OR(TRIM(K692)="",TRIM(K692)="-"), MEDIAN(IF($E$2:$E$1500=E692,$K$2:$K$1500)),  VALUE(SUBSTITUTE(SUBSTITUTE(SUBSTITUTE(K692,"Rs. ",""),"₹",""),",","")))</f>
        <v>10633</v>
      </c>
      <c r="X692" s="8">
        <f t="shared" si="108"/>
        <v>0</v>
      </c>
      <c r="Y692" s="7">
        <f t="shared" si="109"/>
        <v>10633</v>
      </c>
      <c r="Z692" s="9" t="str">
        <f t="shared" si="101"/>
        <v>ADULT</v>
      </c>
    </row>
    <row r="693" spans="1:26" x14ac:dyDescent="0.3">
      <c r="A693" s="5" t="s">
        <v>1538</v>
      </c>
      <c r="B693" s="5" t="s">
        <v>45</v>
      </c>
      <c r="C693" s="5" t="s">
        <v>46</v>
      </c>
      <c r="D693" s="5" t="s">
        <v>16</v>
      </c>
      <c r="E693" s="5" t="s">
        <v>47</v>
      </c>
      <c r="F693" s="5" t="s">
        <v>364</v>
      </c>
      <c r="G693" s="5" t="s">
        <v>39</v>
      </c>
      <c r="H693" s="5">
        <v>48</v>
      </c>
      <c r="I693" s="5" t="s">
        <v>20</v>
      </c>
      <c r="J693" s="34" t="s">
        <v>274</v>
      </c>
      <c r="K693" s="31">
        <v>5434</v>
      </c>
      <c r="L693" s="5" t="s">
        <v>97</v>
      </c>
      <c r="M693" s="32">
        <v>10</v>
      </c>
      <c r="N693" s="6">
        <f t="shared" si="102"/>
        <v>10</v>
      </c>
      <c r="O693" s="4" t="s">
        <v>364</v>
      </c>
      <c r="P693" s="5" t="str">
        <f t="shared" si="103"/>
        <v>Bangalore</v>
      </c>
      <c r="Q693" s="5" t="str">
        <f t="shared" si="104"/>
        <v>Gastroenterology</v>
      </c>
      <c r="R693" s="6" t="str">
        <f t="shared" si="105"/>
        <v>Fortis</v>
      </c>
      <c r="S693" s="6" t="str">
        <f t="shared" si="106"/>
        <v>UPI</v>
      </c>
      <c r="T693" s="6" t="str">
        <f t="shared" si="107"/>
        <v>Male</v>
      </c>
      <c r="U693" s="6" t="str">
        <f t="shared" si="110"/>
        <v>General</v>
      </c>
      <c r="V693" s="6" t="str" cm="1">
        <f t="array" ref="V693">IF(TRIM(S693)="",INDEX($S$2:$S$1500,MATCH(MAX(COUNTIF($S$2:$S$1500,S693)),COUNTIF($S$2:$S$1500,$S$2:$S$1500),0)),S693)</f>
        <v>UPI</v>
      </c>
      <c r="W693" s="7" cm="1">
        <f t="array" ref="W693">IF(OR(TRIM(K693)="",TRIM(K693)="-"), MEDIAN(IF($E$2:$E$1500=E693,$K$2:$K$1500)),  VALUE(SUBSTITUTE(SUBSTITUTE(SUBSTITUTE(K693,"Rs. ",""),"₹",""),",","")))</f>
        <v>5434</v>
      </c>
      <c r="X693" s="8">
        <f t="shared" si="108"/>
        <v>10</v>
      </c>
      <c r="Y693" s="7">
        <f t="shared" si="109"/>
        <v>4891</v>
      </c>
      <c r="Z693" s="9" t="str">
        <f t="shared" si="101"/>
        <v>ADULT</v>
      </c>
    </row>
    <row r="694" spans="1:26" x14ac:dyDescent="0.3">
      <c r="A694" s="5" t="s">
        <v>1539</v>
      </c>
      <c r="B694" s="5" t="s">
        <v>14</v>
      </c>
      <c r="C694" s="5" t="s">
        <v>60</v>
      </c>
      <c r="D694" s="5" t="s">
        <v>80</v>
      </c>
      <c r="E694" s="5" t="s">
        <v>93</v>
      </c>
      <c r="F694" s="5" t="s">
        <v>144</v>
      </c>
      <c r="G694" s="5" t="s">
        <v>30</v>
      </c>
      <c r="H694" s="5">
        <v>26</v>
      </c>
      <c r="I694" s="5" t="s">
        <v>70</v>
      </c>
      <c r="J694" s="34" t="s">
        <v>216</v>
      </c>
      <c r="K694" s="31" t="s">
        <v>1540</v>
      </c>
      <c r="L694" s="5" t="s">
        <v>58</v>
      </c>
      <c r="M694" s="32">
        <v>0</v>
      </c>
      <c r="N694" s="6">
        <f t="shared" si="102"/>
        <v>0</v>
      </c>
      <c r="O694" s="4" t="s">
        <v>144</v>
      </c>
      <c r="P694" s="5" t="str">
        <f t="shared" si="103"/>
        <v>Ahmedabad</v>
      </c>
      <c r="Q694" s="5" t="str">
        <f t="shared" si="104"/>
        <v>Nephrology</v>
      </c>
      <c r="R694" s="6" t="str">
        <f t="shared" si="105"/>
        <v>Max_Healthcare</v>
      </c>
      <c r="S694" s="6" t="str">
        <f t="shared" si="106"/>
        <v>UPI</v>
      </c>
      <c r="T694" s="6" t="str">
        <f t="shared" si="107"/>
        <v>Female</v>
      </c>
      <c r="U694" s="6" t="str">
        <f t="shared" si="110"/>
        <v>General</v>
      </c>
      <c r="V694" s="6" t="str" cm="1">
        <f t="array" ref="V694">IF(TRIM(S694)="",INDEX($S$2:$S$1500,MATCH(MAX(COUNTIF($S$2:$S$1500,S694)),COUNTIF($S$2:$S$1500,$S$2:$S$1500),0)),S694)</f>
        <v>UPI</v>
      </c>
      <c r="W694" s="7" cm="1">
        <f t="array" ref="W694">IF(OR(TRIM(K694)="",TRIM(K694)="-"), MEDIAN(IF($E$2:$E$1500=E694,$K$2:$K$1500)),  VALUE(SUBSTITUTE(SUBSTITUTE(SUBSTITUTE(K694,"Rs. ",""),"₹",""),",","")))</f>
        <v>6932</v>
      </c>
      <c r="X694" s="8">
        <f t="shared" si="108"/>
        <v>0</v>
      </c>
      <c r="Y694" s="7">
        <f t="shared" si="109"/>
        <v>6932</v>
      </c>
      <c r="Z694" s="9" t="str">
        <f t="shared" si="101"/>
        <v>ADULT</v>
      </c>
    </row>
    <row r="695" spans="1:26" x14ac:dyDescent="0.3">
      <c r="A695" s="5" t="s">
        <v>1541</v>
      </c>
      <c r="B695" s="5" t="s">
        <v>45</v>
      </c>
      <c r="C695" s="5" t="s">
        <v>46</v>
      </c>
      <c r="D695" s="5" t="s">
        <v>80</v>
      </c>
      <c r="E695" s="5" t="s">
        <v>164</v>
      </c>
      <c r="F695" s="5" t="s">
        <v>282</v>
      </c>
      <c r="G695" s="5" t="s">
        <v>101</v>
      </c>
      <c r="H695" s="5">
        <v>51</v>
      </c>
      <c r="I695" s="5" t="s">
        <v>40</v>
      </c>
      <c r="J695" s="34" t="s">
        <v>1542</v>
      </c>
      <c r="K695" s="31"/>
      <c r="L695" s="5" t="s">
        <v>23</v>
      </c>
      <c r="M695" s="32" t="s">
        <v>198</v>
      </c>
      <c r="N695" s="6">
        <f t="shared" si="102"/>
        <v>5</v>
      </c>
      <c r="O695" s="4" t="s">
        <v>282</v>
      </c>
      <c r="P695" s="5" t="str">
        <f t="shared" si="103"/>
        <v>Ahmedabad</v>
      </c>
      <c r="Q695" s="5" t="str">
        <f t="shared" si="104"/>
        <v>Cardiology</v>
      </c>
      <c r="R695" s="6" t="str">
        <f t="shared" si="105"/>
        <v>Fortis</v>
      </c>
      <c r="S695" s="6" t="str">
        <f t="shared" si="106"/>
        <v>Credit Card</v>
      </c>
      <c r="T695" s="6" t="str">
        <f t="shared" si="107"/>
        <v>Female</v>
      </c>
      <c r="U695" s="6" t="str">
        <f t="shared" si="110"/>
        <v>ICU</v>
      </c>
      <c r="V695" s="6" t="str" cm="1">
        <f t="array" ref="V695">IF(TRIM(S695)="",INDEX($S$2:$S$1500,MATCH(MAX(COUNTIF($S$2:$S$1500,S695)),COUNTIF($S$2:$S$1500,$S$2:$S$1500),0)),S695)</f>
        <v>Credit Card</v>
      </c>
      <c r="W695" s="7" cm="1">
        <f t="array" ref="W695">IF(OR(TRIM(K695)="",TRIM(K695)="-"), MEDIAN(IF($E$2:$E$1500=E695,$K$2:$K$1500)),  VALUE(SUBSTITUTE(SUBSTITUTE(SUBSTITUTE(K695,"Rs. ",""),"₹",""),",","")))</f>
        <v>13785</v>
      </c>
      <c r="X695" s="8">
        <f t="shared" si="108"/>
        <v>5</v>
      </c>
      <c r="Y695" s="7">
        <f t="shared" si="109"/>
        <v>13096</v>
      </c>
      <c r="Z695" s="9" t="str">
        <f t="shared" si="101"/>
        <v>ADULT</v>
      </c>
    </row>
    <row r="696" spans="1:26" x14ac:dyDescent="0.3">
      <c r="A696" s="5" t="s">
        <v>1543</v>
      </c>
      <c r="B696" s="5" t="s">
        <v>14</v>
      </c>
      <c r="C696" s="5" t="s">
        <v>60</v>
      </c>
      <c r="D696" s="5" t="s">
        <v>16</v>
      </c>
      <c r="E696" s="5" t="s">
        <v>37</v>
      </c>
      <c r="F696" s="5" t="s">
        <v>132</v>
      </c>
      <c r="G696" s="5" t="s">
        <v>49</v>
      </c>
      <c r="H696" s="5">
        <v>9</v>
      </c>
      <c r="I696" s="5" t="s">
        <v>20</v>
      </c>
      <c r="J696" s="34" t="s">
        <v>633</v>
      </c>
      <c r="K696" s="31" t="s">
        <v>1544</v>
      </c>
      <c r="L696" s="5" t="s">
        <v>115</v>
      </c>
      <c r="M696" s="32" t="s">
        <v>130</v>
      </c>
      <c r="N696" s="6">
        <f t="shared" si="102"/>
        <v>0</v>
      </c>
      <c r="O696" s="4" t="s">
        <v>132</v>
      </c>
      <c r="P696" s="5" t="str">
        <f t="shared" si="103"/>
        <v>Bangalore</v>
      </c>
      <c r="Q696" s="5" t="str">
        <f t="shared" si="104"/>
        <v>Pediatrics</v>
      </c>
      <c r="R696" s="6" t="str">
        <f t="shared" si="105"/>
        <v>Max_Healthcare</v>
      </c>
      <c r="S696" s="6" t="str">
        <f t="shared" si="106"/>
        <v>Cash</v>
      </c>
      <c r="T696" s="6" t="str">
        <f t="shared" si="107"/>
        <v>Male</v>
      </c>
      <c r="U696" s="6" t="str">
        <f t="shared" si="110"/>
        <v>General</v>
      </c>
      <c r="V696" s="6" t="str" cm="1">
        <f t="array" ref="V696">IF(TRIM(S696)="",INDEX($S$2:$S$1500,MATCH(MAX(COUNTIF($S$2:$S$1500,S696)),COUNTIF($S$2:$S$1500,$S$2:$S$1500),0)),S696)</f>
        <v>Cash</v>
      </c>
      <c r="W696" s="7" cm="1">
        <f t="array" ref="W696">IF(OR(TRIM(K696)="",TRIM(K696)="-"), MEDIAN(IF($E$2:$E$1500=E696,$K$2:$K$1500)),  VALUE(SUBSTITUTE(SUBSTITUTE(SUBSTITUTE(K696,"Rs. ",""),"₹",""),",","")))</f>
        <v>10121</v>
      </c>
      <c r="X696" s="8">
        <f t="shared" si="108"/>
        <v>0</v>
      </c>
      <c r="Y696" s="7">
        <f t="shared" si="109"/>
        <v>10121</v>
      </c>
      <c r="Z696" s="9" t="str">
        <f t="shared" si="101"/>
        <v>CHILD</v>
      </c>
    </row>
    <row r="697" spans="1:26" x14ac:dyDescent="0.3">
      <c r="A697" s="5" t="s">
        <v>1545</v>
      </c>
      <c r="B697" s="5" t="s">
        <v>78</v>
      </c>
      <c r="C697" s="5" t="s">
        <v>161</v>
      </c>
      <c r="D697" s="5" t="s">
        <v>55</v>
      </c>
      <c r="E697" s="5" t="s">
        <v>37</v>
      </c>
      <c r="F697" s="5" t="s">
        <v>132</v>
      </c>
      <c r="G697" s="5" t="s">
        <v>49</v>
      </c>
      <c r="H697" s="5">
        <v>76</v>
      </c>
      <c r="I697" s="5" t="s">
        <v>70</v>
      </c>
      <c r="J697" s="34" t="s">
        <v>368</v>
      </c>
      <c r="K697" s="31" t="s">
        <v>1546</v>
      </c>
      <c r="L697" s="5" t="s">
        <v>115</v>
      </c>
      <c r="M697" s="32" t="s">
        <v>140</v>
      </c>
      <c r="N697" s="6" t="str">
        <f t="shared" si="102"/>
        <v>-</v>
      </c>
      <c r="O697" s="4" t="s">
        <v>132</v>
      </c>
      <c r="P697" s="5" t="str">
        <f t="shared" si="103"/>
        <v>Hyderabad</v>
      </c>
      <c r="Q697" s="5" t="str">
        <f t="shared" si="104"/>
        <v>Pediatrics</v>
      </c>
      <c r="R697" s="6" t="str">
        <f t="shared" si="105"/>
        <v>Apollo</v>
      </c>
      <c r="S697" s="6" t="str">
        <f t="shared" si="106"/>
        <v>Cash</v>
      </c>
      <c r="T697" s="6" t="str">
        <f t="shared" si="107"/>
        <v>Female</v>
      </c>
      <c r="U697" s="6" t="str">
        <f t="shared" si="110"/>
        <v>General</v>
      </c>
      <c r="V697" s="6" t="str" cm="1">
        <f t="array" ref="V697">IF(TRIM(S697)="",INDEX($S$2:$S$1500,MATCH(MAX(COUNTIF($S$2:$S$1500,S697)),COUNTIF($S$2:$S$1500,$S$2:$S$1500),0)),S697)</f>
        <v>Cash</v>
      </c>
      <c r="W697" s="7" cm="1">
        <f t="array" ref="W697">IF(OR(TRIM(K697)="",TRIM(K697)="-"), MEDIAN(IF($E$2:$E$1500=E697,$K$2:$K$1500)),  VALUE(SUBSTITUTE(SUBSTITUTE(SUBSTITUTE(K697,"Rs. ",""),"₹",""),",","")))</f>
        <v>19277</v>
      </c>
      <c r="X697" s="8">
        <f t="shared" si="108"/>
        <v>3</v>
      </c>
      <c r="Y697" s="7">
        <f t="shared" si="109"/>
        <v>18699</v>
      </c>
      <c r="Z697" s="9" t="str">
        <f t="shared" si="101"/>
        <v>SENIOR</v>
      </c>
    </row>
    <row r="698" spans="1:26" x14ac:dyDescent="0.3">
      <c r="A698" s="5" t="s">
        <v>1547</v>
      </c>
      <c r="B698" s="5" t="s">
        <v>78</v>
      </c>
      <c r="C698" s="5" t="s">
        <v>161</v>
      </c>
      <c r="D698" s="5" t="s">
        <v>36</v>
      </c>
      <c r="E698" s="5" t="s">
        <v>67</v>
      </c>
      <c r="F698" s="5" t="s">
        <v>196</v>
      </c>
      <c r="G698" s="5" t="s">
        <v>49</v>
      </c>
      <c r="H698" s="5">
        <v>32</v>
      </c>
      <c r="I698" s="5" t="s">
        <v>31</v>
      </c>
      <c r="J698" s="34" t="s">
        <v>1548</v>
      </c>
      <c r="K698" s="31" t="s">
        <v>1549</v>
      </c>
      <c r="L698" s="5" t="s">
        <v>97</v>
      </c>
      <c r="M698" s="32">
        <v>0</v>
      </c>
      <c r="N698" s="6">
        <f t="shared" si="102"/>
        <v>0</v>
      </c>
      <c r="O698" s="4" t="s">
        <v>196</v>
      </c>
      <c r="P698" s="5" t="str">
        <f t="shared" si="103"/>
        <v>Chennai</v>
      </c>
      <c r="Q698" s="5" t="str">
        <f t="shared" si="104"/>
        <v>Neurology</v>
      </c>
      <c r="R698" s="6" t="str">
        <f t="shared" si="105"/>
        <v>Apollo</v>
      </c>
      <c r="S698" s="6" t="str">
        <f t="shared" si="106"/>
        <v>UPI</v>
      </c>
      <c r="T698" s="6" t="str">
        <f t="shared" si="107"/>
        <v>Male</v>
      </c>
      <c r="U698" s="6" t="str">
        <f t="shared" si="110"/>
        <v>General</v>
      </c>
      <c r="V698" s="6" t="str" cm="1">
        <f t="array" ref="V698">IF(TRIM(S698)="",INDEX($S$2:$S$1500,MATCH(MAX(COUNTIF($S$2:$S$1500,S698)),COUNTIF($S$2:$S$1500,$S$2:$S$1500),0)),S698)</f>
        <v>UPI</v>
      </c>
      <c r="W698" s="7" cm="1">
        <f t="array" ref="W698">IF(OR(TRIM(K698)="",TRIM(K698)="-"), MEDIAN(IF($E$2:$E$1500=E698,$K$2:$K$1500)),  VALUE(SUBSTITUTE(SUBSTITUTE(SUBSTITUTE(K698,"Rs. ",""),"₹",""),",","")))</f>
        <v>13919</v>
      </c>
      <c r="X698" s="8">
        <f t="shared" si="108"/>
        <v>0</v>
      </c>
      <c r="Y698" s="7">
        <f t="shared" si="109"/>
        <v>13919</v>
      </c>
      <c r="Z698" s="9" t="str">
        <f t="shared" si="101"/>
        <v>ADULT</v>
      </c>
    </row>
    <row r="699" spans="1:26" x14ac:dyDescent="0.3">
      <c r="A699" s="5" t="s">
        <v>1550</v>
      </c>
      <c r="B699" s="5" t="s">
        <v>106</v>
      </c>
      <c r="C699" s="5" t="s">
        <v>107</v>
      </c>
      <c r="D699" s="5" t="s">
        <v>80</v>
      </c>
      <c r="E699" s="5" t="s">
        <v>93</v>
      </c>
      <c r="F699" s="5" t="s">
        <v>94</v>
      </c>
      <c r="G699" s="5" t="s">
        <v>19</v>
      </c>
      <c r="H699" s="5">
        <v>71</v>
      </c>
      <c r="I699" s="5" t="s">
        <v>31</v>
      </c>
      <c r="J699" s="34" t="s">
        <v>253</v>
      </c>
      <c r="K699" s="31">
        <v>8025</v>
      </c>
      <c r="L699" s="5" t="s">
        <v>149</v>
      </c>
      <c r="M699" s="32" t="s">
        <v>140</v>
      </c>
      <c r="N699" s="6" t="str">
        <f t="shared" si="102"/>
        <v>-</v>
      </c>
      <c r="O699" s="4" t="s">
        <v>94</v>
      </c>
      <c r="P699" s="5" t="str">
        <f t="shared" si="103"/>
        <v>Ahmedabad</v>
      </c>
      <c r="Q699" s="5" t="str">
        <f t="shared" si="104"/>
        <v>Nephrology</v>
      </c>
      <c r="R699" s="6" t="str">
        <f t="shared" si="105"/>
        <v>Aiims</v>
      </c>
      <c r="S699" s="6" t="str">
        <f t="shared" si="106"/>
        <v>Insurance</v>
      </c>
      <c r="T699" s="6" t="str">
        <f t="shared" si="107"/>
        <v>Male</v>
      </c>
      <c r="U699" s="6" t="str">
        <f t="shared" si="110"/>
        <v>General</v>
      </c>
      <c r="V699" s="6" t="str" cm="1">
        <f t="array" ref="V699">IF(TRIM(S699)="",INDEX($S$2:$S$1500,MATCH(MAX(COUNTIF($S$2:$S$1500,S699)),COUNTIF($S$2:$S$1500,$S$2:$S$1500),0)),S699)</f>
        <v>Insurance</v>
      </c>
      <c r="W699" s="7" cm="1">
        <f t="array" ref="W699">IF(OR(TRIM(K699)="",TRIM(K699)="-"), MEDIAN(IF($E$2:$E$1500=E699,$K$2:$K$1500)),  VALUE(SUBSTITUTE(SUBSTITUTE(SUBSTITUTE(K699,"Rs. ",""),"₹",""),",","")))</f>
        <v>8025</v>
      </c>
      <c r="X699" s="8">
        <f t="shared" si="108"/>
        <v>19</v>
      </c>
      <c r="Y699" s="7">
        <f t="shared" si="109"/>
        <v>6500</v>
      </c>
      <c r="Z699" s="9" t="str">
        <f t="shared" si="101"/>
        <v>SENIOR</v>
      </c>
    </row>
    <row r="700" spans="1:26" x14ac:dyDescent="0.3">
      <c r="A700" s="5" t="s">
        <v>1551</v>
      </c>
      <c r="B700" s="5" t="s">
        <v>25</v>
      </c>
      <c r="C700" s="5" t="s">
        <v>26</v>
      </c>
      <c r="D700" s="5" t="s">
        <v>55</v>
      </c>
      <c r="E700" s="5" t="s">
        <v>67</v>
      </c>
      <c r="F700" s="5" t="s">
        <v>89</v>
      </c>
      <c r="G700" s="5" t="s">
        <v>49</v>
      </c>
      <c r="H700" s="5">
        <v>65</v>
      </c>
      <c r="I700" s="5" t="s">
        <v>20</v>
      </c>
      <c r="J700" s="34" t="s">
        <v>1429</v>
      </c>
      <c r="K700" s="31">
        <v>16145</v>
      </c>
      <c r="L700" s="5" t="s">
        <v>72</v>
      </c>
      <c r="M700" s="32">
        <v>0</v>
      </c>
      <c r="N700" s="6">
        <f t="shared" si="102"/>
        <v>0</v>
      </c>
      <c r="O700" s="4" t="s">
        <v>89</v>
      </c>
      <c r="P700" s="5" t="str">
        <f t="shared" si="103"/>
        <v>Hyderabad</v>
      </c>
      <c r="Q700" s="5" t="str">
        <f t="shared" si="104"/>
        <v>Neurology</v>
      </c>
      <c r="R700" s="6" t="str">
        <f t="shared" si="105"/>
        <v>Narayana</v>
      </c>
      <c r="S700" s="6" t="str">
        <f t="shared" si="106"/>
        <v>Cash</v>
      </c>
      <c r="T700" s="6" t="str">
        <f t="shared" si="107"/>
        <v>Male</v>
      </c>
      <c r="U700" s="6" t="str">
        <f t="shared" si="110"/>
        <v>General</v>
      </c>
      <c r="V700" s="6" t="str" cm="1">
        <f t="array" ref="V700">IF(TRIM(S700)="",INDEX($S$2:$S$1500,MATCH(MAX(COUNTIF($S$2:$S$1500,S700)),COUNTIF($S$2:$S$1500,$S$2:$S$1500),0)),S700)</f>
        <v>Cash</v>
      </c>
      <c r="W700" s="7" cm="1">
        <f t="array" ref="W700">IF(OR(TRIM(K700)="",TRIM(K700)="-"), MEDIAN(IF($E$2:$E$1500=E700,$K$2:$K$1500)),  VALUE(SUBSTITUTE(SUBSTITUTE(SUBSTITUTE(K700,"Rs. ",""),"₹",""),",","")))</f>
        <v>16145</v>
      </c>
      <c r="X700" s="8">
        <f t="shared" si="108"/>
        <v>0</v>
      </c>
      <c r="Y700" s="7">
        <f t="shared" si="109"/>
        <v>16145</v>
      </c>
      <c r="Z700" s="9" t="str">
        <f t="shared" si="101"/>
        <v>SENIOR</v>
      </c>
    </row>
    <row r="701" spans="1:26" x14ac:dyDescent="0.3">
      <c r="A701" s="5" t="s">
        <v>1552</v>
      </c>
      <c r="B701" s="5" t="s">
        <v>78</v>
      </c>
      <c r="C701" s="5" t="s">
        <v>203</v>
      </c>
      <c r="D701" s="5" t="s">
        <v>66</v>
      </c>
      <c r="E701" s="5" t="s">
        <v>47</v>
      </c>
      <c r="F701" s="5" t="s">
        <v>461</v>
      </c>
      <c r="G701" s="5" t="s">
        <v>39</v>
      </c>
      <c r="H701" s="5">
        <v>4</v>
      </c>
      <c r="I701" s="5" t="s">
        <v>20</v>
      </c>
      <c r="J701" s="34" t="s">
        <v>1313</v>
      </c>
      <c r="K701" s="31" t="s">
        <v>1553</v>
      </c>
      <c r="L701" s="5" t="s">
        <v>34</v>
      </c>
      <c r="M701" s="32" t="s">
        <v>64</v>
      </c>
      <c r="N701" s="6" t="str">
        <f t="shared" si="102"/>
        <v>NA</v>
      </c>
      <c r="O701" s="4" t="s">
        <v>461</v>
      </c>
      <c r="P701" s="5" t="str">
        <f t="shared" si="103"/>
        <v>Kolkata</v>
      </c>
      <c r="Q701" s="5" t="str">
        <f t="shared" si="104"/>
        <v>Gastroenterology</v>
      </c>
      <c r="R701" s="6" t="str">
        <f t="shared" si="105"/>
        <v>Apollo</v>
      </c>
      <c r="S701" s="6" t="str">
        <f t="shared" si="106"/>
        <v>Cash</v>
      </c>
      <c r="T701" s="6" t="str">
        <f t="shared" si="107"/>
        <v>Male</v>
      </c>
      <c r="U701" s="6" t="str">
        <f t="shared" si="110"/>
        <v>General</v>
      </c>
      <c r="V701" s="6" t="str" cm="1">
        <f t="array" ref="V701">IF(TRIM(S701)="",INDEX($S$2:$S$1500,MATCH(MAX(COUNTIF($S$2:$S$1500,S701)),COUNTIF($S$2:$S$1500,$S$2:$S$1500),0)),S701)</f>
        <v>Cash</v>
      </c>
      <c r="W701" s="7" cm="1">
        <f t="array" ref="W701">IF(OR(TRIM(K701)="",TRIM(K701)="-"), MEDIAN(IF($E$2:$E$1500=E701,$K$2:$K$1500)),  VALUE(SUBSTITUTE(SUBSTITUTE(SUBSTITUTE(K701,"Rs. ",""),"₹",""),",","")))</f>
        <v>15665</v>
      </c>
      <c r="X701" s="8">
        <f t="shared" si="108"/>
        <v>3</v>
      </c>
      <c r="Y701" s="7">
        <f t="shared" si="109"/>
        <v>15195</v>
      </c>
      <c r="Z701" s="9" t="str">
        <f t="shared" si="101"/>
        <v>CHILD</v>
      </c>
    </row>
    <row r="702" spans="1:26" x14ac:dyDescent="0.3">
      <c r="A702" s="5" t="s">
        <v>1554</v>
      </c>
      <c r="B702" s="5" t="s">
        <v>45</v>
      </c>
      <c r="C702" s="5" t="s">
        <v>334</v>
      </c>
      <c r="D702" s="5" t="s">
        <v>80</v>
      </c>
      <c r="E702" s="5" t="s">
        <v>99</v>
      </c>
      <c r="F702" s="5" t="s">
        <v>100</v>
      </c>
      <c r="G702" s="5" t="s">
        <v>69</v>
      </c>
      <c r="H702" s="5">
        <v>25</v>
      </c>
      <c r="I702" s="5" t="s">
        <v>31</v>
      </c>
      <c r="J702" s="34" t="s">
        <v>220</v>
      </c>
      <c r="K702" s="31" t="s">
        <v>1555</v>
      </c>
      <c r="L702" s="5" t="s">
        <v>34</v>
      </c>
      <c r="M702" s="32" t="s">
        <v>130</v>
      </c>
      <c r="N702" s="6">
        <f t="shared" si="102"/>
        <v>0</v>
      </c>
      <c r="O702" s="4" t="s">
        <v>100</v>
      </c>
      <c r="P702" s="5" t="str">
        <f t="shared" si="103"/>
        <v>Ahmedabad</v>
      </c>
      <c r="Q702" s="5" t="str">
        <f t="shared" si="104"/>
        <v>Ent</v>
      </c>
      <c r="R702" s="6" t="str">
        <f t="shared" si="105"/>
        <v>Fortis</v>
      </c>
      <c r="S702" s="6" t="str">
        <f t="shared" si="106"/>
        <v>Cash</v>
      </c>
      <c r="T702" s="6" t="str">
        <f t="shared" si="107"/>
        <v>Male</v>
      </c>
      <c r="U702" s="6" t="str">
        <f t="shared" si="110"/>
        <v>ICU</v>
      </c>
      <c r="V702" s="6" t="str" cm="1">
        <f t="array" ref="V702">IF(TRIM(S702)="",INDEX($S$2:$S$1500,MATCH(MAX(COUNTIF($S$2:$S$1500,S702)),COUNTIF($S$2:$S$1500,$S$2:$S$1500),0)),S702)</f>
        <v>Cash</v>
      </c>
      <c r="W702" s="7" cm="1">
        <f t="array" ref="W702">IF(OR(TRIM(K702)="",TRIM(K702)="-"), MEDIAN(IF($E$2:$E$1500=E702,$K$2:$K$1500)),  VALUE(SUBSTITUTE(SUBSTITUTE(SUBSTITUTE(K702,"Rs. ",""),"₹",""),",","")))</f>
        <v>76503</v>
      </c>
      <c r="X702" s="8">
        <f t="shared" si="108"/>
        <v>0</v>
      </c>
      <c r="Y702" s="7">
        <f t="shared" si="109"/>
        <v>76503</v>
      </c>
      <c r="Z702" s="9" t="str">
        <f t="shared" si="101"/>
        <v>ADULT</v>
      </c>
    </row>
    <row r="703" spans="1:26" x14ac:dyDescent="0.3">
      <c r="A703" s="5" t="s">
        <v>1556</v>
      </c>
      <c r="B703" s="5" t="s">
        <v>45</v>
      </c>
      <c r="C703" s="5" t="s">
        <v>46</v>
      </c>
      <c r="D703" s="5" t="s">
        <v>66</v>
      </c>
      <c r="E703" s="5" t="s">
        <v>17</v>
      </c>
      <c r="F703" s="5" t="s">
        <v>18</v>
      </c>
      <c r="G703" s="5" t="s">
        <v>62</v>
      </c>
      <c r="H703" s="5">
        <v>20</v>
      </c>
      <c r="I703" s="5" t="s">
        <v>31</v>
      </c>
      <c r="J703" s="34" t="s">
        <v>1557</v>
      </c>
      <c r="K703" s="31">
        <v>87045</v>
      </c>
      <c r="L703" s="5"/>
      <c r="M703" s="32" t="s">
        <v>140</v>
      </c>
      <c r="N703" s="6" t="str">
        <f t="shared" si="102"/>
        <v>-</v>
      </c>
      <c r="O703" s="4" t="s">
        <v>18</v>
      </c>
      <c r="P703" s="5" t="str">
        <f t="shared" si="103"/>
        <v>Kolkata</v>
      </c>
      <c r="Q703" s="5" t="str">
        <f t="shared" si="104"/>
        <v>Gynecology</v>
      </c>
      <c r="R703" s="6" t="str">
        <f t="shared" si="105"/>
        <v>Fortis</v>
      </c>
      <c r="S703" s="6" t="str">
        <f t="shared" si="106"/>
        <v>Unknown</v>
      </c>
      <c r="T703" s="6" t="str">
        <f t="shared" si="107"/>
        <v>Male</v>
      </c>
      <c r="U703" s="6" t="str">
        <f t="shared" si="110"/>
        <v>ICU</v>
      </c>
      <c r="V703" s="6" t="str" cm="1">
        <f t="array" ref="V703">IF(TRIM(S703)="",INDEX($S$2:$S$1500,MATCH(MAX(COUNTIF($S$2:$S$1500,S703)),COUNTIF($S$2:$S$1500,$S$2:$S$1500),0)),S703)</f>
        <v>Unknown</v>
      </c>
      <c r="W703" s="7" cm="1">
        <f t="array" ref="W703">IF(OR(TRIM(K703)="",TRIM(K703)="-"), MEDIAN(IF($E$2:$E$1500=E703,$K$2:$K$1500)),  VALUE(SUBSTITUTE(SUBSTITUTE(SUBSTITUTE(K703,"Rs. ",""),"₹",""),",","")))</f>
        <v>87045</v>
      </c>
      <c r="X703" s="8">
        <f t="shared" si="108"/>
        <v>4</v>
      </c>
      <c r="Y703" s="7">
        <f t="shared" si="109"/>
        <v>83563</v>
      </c>
      <c r="Z703" s="9" t="str">
        <f t="shared" si="101"/>
        <v>ADULT</v>
      </c>
    </row>
    <row r="704" spans="1:26" x14ac:dyDescent="0.3">
      <c r="A704" s="5" t="s">
        <v>1558</v>
      </c>
      <c r="B704" s="5" t="s">
        <v>117</v>
      </c>
      <c r="C704" s="5" t="s">
        <v>118</v>
      </c>
      <c r="D704" s="5" t="s">
        <v>36</v>
      </c>
      <c r="E704" s="5" t="s">
        <v>74</v>
      </c>
      <c r="F704" s="5" t="s">
        <v>147</v>
      </c>
      <c r="G704" s="5" t="s">
        <v>30</v>
      </c>
      <c r="H704" s="5">
        <v>21</v>
      </c>
      <c r="I704" s="5" t="s">
        <v>40</v>
      </c>
      <c r="J704" s="34" t="s">
        <v>291</v>
      </c>
      <c r="K704" s="31" t="s">
        <v>1559</v>
      </c>
      <c r="L704" s="5" t="s">
        <v>104</v>
      </c>
      <c r="M704" s="32">
        <v>5</v>
      </c>
      <c r="N704" s="6">
        <f t="shared" si="102"/>
        <v>5</v>
      </c>
      <c r="O704" s="4" t="s">
        <v>147</v>
      </c>
      <c r="P704" s="5" t="str">
        <f t="shared" si="103"/>
        <v>Chennai</v>
      </c>
      <c r="Q704" s="5" t="str">
        <f t="shared" si="104"/>
        <v>General Medicine</v>
      </c>
      <c r="R704" s="6" t="str">
        <f t="shared" si="105"/>
        <v>Manipal</v>
      </c>
      <c r="S704" s="6" t="str">
        <f t="shared" si="106"/>
        <v>Insurance</v>
      </c>
      <c r="T704" s="6" t="str">
        <f t="shared" si="107"/>
        <v>Female</v>
      </c>
      <c r="U704" s="6" t="str">
        <f t="shared" si="110"/>
        <v>General</v>
      </c>
      <c r="V704" s="6" t="str" cm="1">
        <f t="array" ref="V704">IF(TRIM(S704)="",INDEX($S$2:$S$1500,MATCH(MAX(COUNTIF($S$2:$S$1500,S704)),COUNTIF($S$2:$S$1500,$S$2:$S$1500),0)),S704)</f>
        <v>Insurance</v>
      </c>
      <c r="W704" s="7" cm="1">
        <f t="array" ref="W704">IF(OR(TRIM(K704)="",TRIM(K704)="-"), MEDIAN(IF($E$2:$E$1500=E704,$K$2:$K$1500)),  VALUE(SUBSTITUTE(SUBSTITUTE(SUBSTITUTE(K704,"Rs. ",""),"₹",""),",","")))</f>
        <v>7689</v>
      </c>
      <c r="X704" s="8">
        <f t="shared" si="108"/>
        <v>5</v>
      </c>
      <c r="Y704" s="7">
        <f t="shared" si="109"/>
        <v>7305</v>
      </c>
      <c r="Z704" s="9" t="str">
        <f t="shared" si="101"/>
        <v>ADULT</v>
      </c>
    </row>
    <row r="705" spans="1:26" x14ac:dyDescent="0.3">
      <c r="A705" s="5" t="s">
        <v>1560</v>
      </c>
      <c r="B705" s="5" t="s">
        <v>25</v>
      </c>
      <c r="C705" s="5" t="s">
        <v>54</v>
      </c>
      <c r="D705" s="5" t="s">
        <v>36</v>
      </c>
      <c r="E705" s="5" t="s">
        <v>93</v>
      </c>
      <c r="F705" s="5" t="s">
        <v>94</v>
      </c>
      <c r="G705" s="5" t="s">
        <v>101</v>
      </c>
      <c r="H705" s="5">
        <v>47</v>
      </c>
      <c r="I705" s="5" t="s">
        <v>20</v>
      </c>
      <c r="J705" s="34" t="s">
        <v>1561</v>
      </c>
      <c r="K705" s="31">
        <v>51385</v>
      </c>
      <c r="L705" s="5" t="s">
        <v>52</v>
      </c>
      <c r="M705" s="32">
        <v>0</v>
      </c>
      <c r="N705" s="6">
        <f t="shared" si="102"/>
        <v>0</v>
      </c>
      <c r="O705" s="4" t="s">
        <v>94</v>
      </c>
      <c r="P705" s="5" t="str">
        <f t="shared" si="103"/>
        <v>Chennai</v>
      </c>
      <c r="Q705" s="5" t="str">
        <f t="shared" si="104"/>
        <v>Nephrology</v>
      </c>
      <c r="R705" s="6" t="str">
        <f t="shared" si="105"/>
        <v>Narayana</v>
      </c>
      <c r="S705" s="6" t="str">
        <f t="shared" si="106"/>
        <v>Credit Card</v>
      </c>
      <c r="T705" s="6" t="str">
        <f t="shared" si="107"/>
        <v>Male</v>
      </c>
      <c r="U705" s="6" t="str">
        <f t="shared" si="110"/>
        <v>ICU</v>
      </c>
      <c r="V705" s="6" t="str" cm="1">
        <f t="array" ref="V705">IF(TRIM(S705)="",INDEX($S$2:$S$1500,MATCH(MAX(COUNTIF($S$2:$S$1500,S705)),COUNTIF($S$2:$S$1500,$S$2:$S$1500),0)),S705)</f>
        <v>Credit Card</v>
      </c>
      <c r="W705" s="7" cm="1">
        <f t="array" ref="W705">IF(OR(TRIM(K705)="",TRIM(K705)="-"), MEDIAN(IF($E$2:$E$1500=E705,$K$2:$K$1500)),  VALUE(SUBSTITUTE(SUBSTITUTE(SUBSTITUTE(K705,"Rs. ",""),"₹",""),",","")))</f>
        <v>51385</v>
      </c>
      <c r="X705" s="8">
        <f t="shared" si="108"/>
        <v>0</v>
      </c>
      <c r="Y705" s="7">
        <f t="shared" si="109"/>
        <v>51385</v>
      </c>
      <c r="Z705" s="9" t="str">
        <f t="shared" si="101"/>
        <v>ADULT</v>
      </c>
    </row>
    <row r="706" spans="1:26" x14ac:dyDescent="0.3">
      <c r="A706" s="5" t="s">
        <v>1562</v>
      </c>
      <c r="B706" s="5" t="s">
        <v>14</v>
      </c>
      <c r="C706" s="5" t="s">
        <v>60</v>
      </c>
      <c r="D706" s="5" t="s">
        <v>16</v>
      </c>
      <c r="E706" s="5" t="s">
        <v>47</v>
      </c>
      <c r="F706" s="5" t="s">
        <v>48</v>
      </c>
      <c r="G706" s="5" t="s">
        <v>30</v>
      </c>
      <c r="H706" s="5">
        <v>87</v>
      </c>
      <c r="I706" s="5" t="s">
        <v>20</v>
      </c>
      <c r="J706" s="34" t="s">
        <v>1042</v>
      </c>
      <c r="K706" s="31">
        <v>13778</v>
      </c>
      <c r="L706" s="5" t="s">
        <v>115</v>
      </c>
      <c r="M706" s="32">
        <v>0</v>
      </c>
      <c r="N706" s="6">
        <f t="shared" si="102"/>
        <v>0</v>
      </c>
      <c r="O706" s="4" t="s">
        <v>48</v>
      </c>
      <c r="P706" s="5" t="str">
        <f t="shared" si="103"/>
        <v>Bangalore</v>
      </c>
      <c r="Q706" s="5" t="str">
        <f t="shared" si="104"/>
        <v>Gastroenterology</v>
      </c>
      <c r="R706" s="6" t="str">
        <f t="shared" si="105"/>
        <v>Max_Healthcare</v>
      </c>
      <c r="S706" s="6" t="str">
        <f t="shared" si="106"/>
        <v>Cash</v>
      </c>
      <c r="T706" s="6" t="str">
        <f t="shared" si="107"/>
        <v>Male</v>
      </c>
      <c r="U706" s="6" t="str">
        <f t="shared" si="110"/>
        <v>General</v>
      </c>
      <c r="V706" s="6" t="str" cm="1">
        <f t="array" ref="V706">IF(TRIM(S706)="",INDEX($S$2:$S$1500,MATCH(MAX(COUNTIF($S$2:$S$1500,S706)),COUNTIF($S$2:$S$1500,$S$2:$S$1500),0)),S706)</f>
        <v>Cash</v>
      </c>
      <c r="W706" s="7" cm="1">
        <f t="array" ref="W706">IF(OR(TRIM(K706)="",TRIM(K706)="-"), MEDIAN(IF($E$2:$E$1500=E706,$K$2:$K$1500)),  VALUE(SUBSTITUTE(SUBSTITUTE(SUBSTITUTE(K706,"Rs. ",""),"₹",""),",","")))</f>
        <v>13778</v>
      </c>
      <c r="X706" s="8">
        <f t="shared" si="108"/>
        <v>0</v>
      </c>
      <c r="Y706" s="7">
        <f t="shared" si="109"/>
        <v>13778</v>
      </c>
      <c r="Z706" s="9" t="str">
        <f t="shared" ref="Z706:Z769" si="111">IF(H706&lt;13,"CHILD",IF(H706&lt;20,"TEEN",IF(H706&lt;60,"ADULT","SENIOR")))</f>
        <v>SENIOR</v>
      </c>
    </row>
    <row r="707" spans="1:26" x14ac:dyDescent="0.3">
      <c r="A707" s="5" t="s">
        <v>1563</v>
      </c>
      <c r="B707" s="5" t="s">
        <v>78</v>
      </c>
      <c r="C707" s="5" t="s">
        <v>161</v>
      </c>
      <c r="D707" s="5" t="s">
        <v>80</v>
      </c>
      <c r="E707" s="5" t="s">
        <v>17</v>
      </c>
      <c r="F707" s="5" t="s">
        <v>135</v>
      </c>
      <c r="G707" s="5" t="s">
        <v>39</v>
      </c>
      <c r="H707" s="5">
        <v>45</v>
      </c>
      <c r="I707" s="5" t="s">
        <v>40</v>
      </c>
      <c r="J707" s="34" t="s">
        <v>503</v>
      </c>
      <c r="K707" s="31" t="s">
        <v>1564</v>
      </c>
      <c r="L707" s="5" t="s">
        <v>72</v>
      </c>
      <c r="M707" s="32">
        <v>0</v>
      </c>
      <c r="N707" s="6">
        <f t="shared" ref="N707:N770" si="112">IF(RIGHT(TRIM(M707),1)="%",VALUE(LEFT(TRIM(M707),LEN(TRIM(M707))-1)),  IF(AND(ISNUMBER(M707),M707&lt;=1,M707&gt;0),M707*100,M707))</f>
        <v>0</v>
      </c>
      <c r="O707" s="4" t="s">
        <v>135</v>
      </c>
      <c r="P707" s="5" t="str">
        <f t="shared" ref="P707:P770" si="113">PROPER(D707)</f>
        <v>Ahmedabad</v>
      </c>
      <c r="Q707" s="5" t="str">
        <f t="shared" ref="Q707:Q770" si="114">PROPER(E707)</f>
        <v>Gynecology</v>
      </c>
      <c r="R707" s="6" t="str">
        <f t="shared" ref="R707:R770" si="115">PROPER(C707)</f>
        <v>Apollo</v>
      </c>
      <c r="S707" s="6" t="str">
        <f t="shared" ref="S707:S770" si="116">IF(OR(UPPER(TRIM(L707))="CREDIT_CARD",UPPER(TRIM(L707))="CREDIT CARD",UPPER(TRIM(L707))="CC"),"Credit Card", IF(OR(UPPER(TRIM(L707))="DEBIT_CARD",UPPER(TRIM(L707))="DEBIT CARD",UPPER(TRIM(L707))="DC"),"Debit Card", IF(UPPER(TRIM(L707))="CASH","Cash", IF(UPPER(TRIM(L707))="UPI","UPI", IF(OR(UPPER(TRIM(L707))="INSURANCE",UPPER(TRIM(L707))="INS"),"Insurance", IF(TRIM(L707)="","Unknown","Unknown"))))))</f>
        <v>Cash</v>
      </c>
      <c r="T707" s="6" t="str">
        <f t="shared" ref="T707:T770" si="117">IF(OR(UPPER(TRIM(I707))="M",UPPER(TRIM(I707))="MALE"),"Male",IF(OR(UPPER(TRIM(I707))="F",UPPER(TRIM(I707))="FEMALE"),"Female","Unknown"))</f>
        <v>Female</v>
      </c>
      <c r="U707" s="6" t="str">
        <f t="shared" si="110"/>
        <v>General</v>
      </c>
      <c r="V707" s="6" t="str" cm="1">
        <f t="array" ref="V707">IF(TRIM(S707)="",INDEX($S$2:$S$1500,MATCH(MAX(COUNTIF($S$2:$S$1500,S707)),COUNTIF($S$2:$S$1500,$S$2:$S$1500),0)),S707)</f>
        <v>Cash</v>
      </c>
      <c r="W707" s="7" cm="1">
        <f t="array" ref="W707">IF(OR(TRIM(K707)="",TRIM(K707)="-"), MEDIAN(IF($E$2:$E$1500=E707,$K$2:$K$1500)),  VALUE(SUBSTITUTE(SUBSTITUTE(SUBSTITUTE(K707,"Rs. ",""),"₹",""),",","")))</f>
        <v>16626</v>
      </c>
      <c r="X707" s="8">
        <f t="shared" ref="X707:X770" si="118">ROUND(IF(OR(TRIM(N707)="-",UPPER(TRIM(N707))="N/A",UPPER(TRIM(N707))="NA"), IFERROR(AVERAGEIF($V$2:$V$1500,V707,$N$2:$N$1500),AVERAGE($N$2:$N$1500)), N707),0)</f>
        <v>0</v>
      </c>
      <c r="Y707" s="7">
        <f t="shared" ref="Y707:Y770" si="119">ROUND(W707*(1-X707/100),0)</f>
        <v>16626</v>
      </c>
      <c r="Z707" s="9" t="str">
        <f t="shared" si="111"/>
        <v>ADULT</v>
      </c>
    </row>
    <row r="708" spans="1:26" x14ac:dyDescent="0.3">
      <c r="A708" s="5" t="s">
        <v>1565</v>
      </c>
      <c r="B708" s="5" t="s">
        <v>14</v>
      </c>
      <c r="C708" s="5" t="s">
        <v>60</v>
      </c>
      <c r="D708" s="5" t="s">
        <v>66</v>
      </c>
      <c r="E708" s="5" t="s">
        <v>37</v>
      </c>
      <c r="F708" s="5" t="s">
        <v>132</v>
      </c>
      <c r="G708" s="5" t="s">
        <v>30</v>
      </c>
      <c r="H708" s="5">
        <v>69</v>
      </c>
      <c r="I708" s="5" t="s">
        <v>31</v>
      </c>
      <c r="J708" s="34" t="s">
        <v>1062</v>
      </c>
      <c r="K708" s="31" t="s">
        <v>1566</v>
      </c>
      <c r="L708" s="5" t="s">
        <v>97</v>
      </c>
      <c r="M708" s="32">
        <v>0</v>
      </c>
      <c r="N708" s="6">
        <f t="shared" si="112"/>
        <v>0</v>
      </c>
      <c r="O708" s="4" t="s">
        <v>132</v>
      </c>
      <c r="P708" s="5" t="str">
        <f t="shared" si="113"/>
        <v>Kolkata</v>
      </c>
      <c r="Q708" s="5" t="str">
        <f t="shared" si="114"/>
        <v>Pediatrics</v>
      </c>
      <c r="R708" s="6" t="str">
        <f t="shared" si="115"/>
        <v>Max_Healthcare</v>
      </c>
      <c r="S708" s="6" t="str">
        <f t="shared" si="116"/>
        <v>UPI</v>
      </c>
      <c r="T708" s="6" t="str">
        <f t="shared" si="117"/>
        <v>Male</v>
      </c>
      <c r="U708" s="6" t="str">
        <f t="shared" si="110"/>
        <v>General</v>
      </c>
      <c r="V708" s="6" t="str" cm="1">
        <f t="array" ref="V708">IF(TRIM(S708)="",INDEX($S$2:$S$1500,MATCH(MAX(COUNTIF($S$2:$S$1500,S708)),COUNTIF($S$2:$S$1500,$S$2:$S$1500),0)),S708)</f>
        <v>UPI</v>
      </c>
      <c r="W708" s="7" cm="1">
        <f t="array" ref="W708">IF(OR(TRIM(K708)="",TRIM(K708)="-"), MEDIAN(IF($E$2:$E$1500=E708,$K$2:$K$1500)),  VALUE(SUBSTITUTE(SUBSTITUTE(SUBSTITUTE(K708,"Rs. ",""),"₹",""),",","")))</f>
        <v>9134</v>
      </c>
      <c r="X708" s="8">
        <f t="shared" si="118"/>
        <v>0</v>
      </c>
      <c r="Y708" s="7">
        <f t="shared" si="119"/>
        <v>9134</v>
      </c>
      <c r="Z708" s="9" t="str">
        <f t="shared" si="111"/>
        <v>SENIOR</v>
      </c>
    </row>
    <row r="709" spans="1:26" x14ac:dyDescent="0.3">
      <c r="A709" s="5" t="s">
        <v>1567</v>
      </c>
      <c r="B709" s="5" t="s">
        <v>78</v>
      </c>
      <c r="C709" s="5" t="s">
        <v>203</v>
      </c>
      <c r="D709" s="5" t="s">
        <v>55</v>
      </c>
      <c r="E709" s="5" t="s">
        <v>74</v>
      </c>
      <c r="F709" s="5" t="s">
        <v>147</v>
      </c>
      <c r="G709" s="5" t="s">
        <v>49</v>
      </c>
      <c r="H709" s="5">
        <v>27</v>
      </c>
      <c r="I709" s="5" t="s">
        <v>40</v>
      </c>
      <c r="J709" s="34" t="s">
        <v>394</v>
      </c>
      <c r="K709" s="31" t="s">
        <v>1568</v>
      </c>
      <c r="L709" s="5" t="s">
        <v>83</v>
      </c>
      <c r="M709" s="32">
        <v>10</v>
      </c>
      <c r="N709" s="6">
        <f t="shared" si="112"/>
        <v>10</v>
      </c>
      <c r="O709" s="4" t="s">
        <v>147</v>
      </c>
      <c r="P709" s="5" t="str">
        <f t="shared" si="113"/>
        <v>Hyderabad</v>
      </c>
      <c r="Q709" s="5" t="str">
        <f t="shared" si="114"/>
        <v>General Medicine</v>
      </c>
      <c r="R709" s="6" t="str">
        <f t="shared" si="115"/>
        <v>Apollo</v>
      </c>
      <c r="S709" s="6" t="str">
        <f t="shared" si="116"/>
        <v>Debit Card</v>
      </c>
      <c r="T709" s="6" t="str">
        <f t="shared" si="117"/>
        <v>Female</v>
      </c>
      <c r="U709" s="6" t="str">
        <f t="shared" si="110"/>
        <v>General</v>
      </c>
      <c r="V709" s="6" t="str" cm="1">
        <f t="array" ref="V709">IF(TRIM(S709)="",INDEX($S$2:$S$1500,MATCH(MAX(COUNTIF($S$2:$S$1500,S709)),COUNTIF($S$2:$S$1500,$S$2:$S$1500),0)),S709)</f>
        <v>Debit Card</v>
      </c>
      <c r="W709" s="7" cm="1">
        <f t="array" ref="W709">IF(OR(TRIM(K709)="",TRIM(K709)="-"), MEDIAN(IF($E$2:$E$1500=E709,$K$2:$K$1500)),  VALUE(SUBSTITUTE(SUBSTITUTE(SUBSTITUTE(K709,"Rs. ",""),"₹",""),",","")))</f>
        <v>4041</v>
      </c>
      <c r="X709" s="8">
        <f t="shared" si="118"/>
        <v>10</v>
      </c>
      <c r="Y709" s="7">
        <f t="shared" si="119"/>
        <v>3637</v>
      </c>
      <c r="Z709" s="9" t="str">
        <f t="shared" si="111"/>
        <v>ADULT</v>
      </c>
    </row>
    <row r="710" spans="1:26" x14ac:dyDescent="0.3">
      <c r="A710" s="5" t="s">
        <v>1569</v>
      </c>
      <c r="B710" s="5" t="s">
        <v>106</v>
      </c>
      <c r="C710" s="5" t="s">
        <v>307</v>
      </c>
      <c r="D710" s="5" t="s">
        <v>36</v>
      </c>
      <c r="E710" s="5" t="s">
        <v>17</v>
      </c>
      <c r="F710" s="5" t="s">
        <v>169</v>
      </c>
      <c r="G710" s="5" t="s">
        <v>39</v>
      </c>
      <c r="H710" s="5">
        <v>17</v>
      </c>
      <c r="I710" s="5" t="s">
        <v>31</v>
      </c>
      <c r="J710" s="34" t="s">
        <v>873</v>
      </c>
      <c r="K710" s="31" t="s">
        <v>1570</v>
      </c>
      <c r="L710" s="5" t="s">
        <v>115</v>
      </c>
      <c r="M710" s="32" t="s">
        <v>140</v>
      </c>
      <c r="N710" s="6" t="str">
        <f t="shared" si="112"/>
        <v>-</v>
      </c>
      <c r="O710" s="4" t="s">
        <v>169</v>
      </c>
      <c r="P710" s="5" t="str">
        <f t="shared" si="113"/>
        <v>Chennai</v>
      </c>
      <c r="Q710" s="5" t="str">
        <f t="shared" si="114"/>
        <v>Gynecology</v>
      </c>
      <c r="R710" s="6" t="str">
        <f t="shared" si="115"/>
        <v>Aiims</v>
      </c>
      <c r="S710" s="6" t="str">
        <f t="shared" si="116"/>
        <v>Cash</v>
      </c>
      <c r="T710" s="6" t="str">
        <f t="shared" si="117"/>
        <v>Male</v>
      </c>
      <c r="U710" s="6" t="str">
        <f t="shared" si="110"/>
        <v>General</v>
      </c>
      <c r="V710" s="6" t="str" cm="1">
        <f t="array" ref="V710">IF(TRIM(S710)="",INDEX($S$2:$S$1500,MATCH(MAX(COUNTIF($S$2:$S$1500,S710)),COUNTIF($S$2:$S$1500,$S$2:$S$1500),0)),S710)</f>
        <v>Cash</v>
      </c>
      <c r="W710" s="7" cm="1">
        <f t="array" ref="W710">IF(OR(TRIM(K710)="",TRIM(K710)="-"), MEDIAN(IF($E$2:$E$1500=E710,$K$2:$K$1500)),  VALUE(SUBSTITUTE(SUBSTITUTE(SUBSTITUTE(K710,"Rs. ",""),"₹",""),",","")))</f>
        <v>7515</v>
      </c>
      <c r="X710" s="8">
        <f t="shared" si="118"/>
        <v>3</v>
      </c>
      <c r="Y710" s="7">
        <f t="shared" si="119"/>
        <v>7290</v>
      </c>
      <c r="Z710" s="9" t="str">
        <f t="shared" si="111"/>
        <v>TEEN</v>
      </c>
    </row>
    <row r="711" spans="1:26" x14ac:dyDescent="0.3">
      <c r="A711" s="5" t="s">
        <v>1571</v>
      </c>
      <c r="B711" s="5" t="s">
        <v>45</v>
      </c>
      <c r="C711" s="5" t="s">
        <v>46</v>
      </c>
      <c r="D711" s="5" t="s">
        <v>55</v>
      </c>
      <c r="E711" s="5" t="s">
        <v>108</v>
      </c>
      <c r="F711" s="5" t="s">
        <v>272</v>
      </c>
      <c r="G711" s="5" t="s">
        <v>39</v>
      </c>
      <c r="H711" s="5">
        <v>18</v>
      </c>
      <c r="I711" s="5" t="s">
        <v>20</v>
      </c>
      <c r="J711" s="34" t="s">
        <v>330</v>
      </c>
      <c r="K711" s="31">
        <v>16831</v>
      </c>
      <c r="L711" s="5" t="s">
        <v>167</v>
      </c>
      <c r="M711" s="32">
        <v>15</v>
      </c>
      <c r="N711" s="6">
        <f t="shared" si="112"/>
        <v>15</v>
      </c>
      <c r="O711" s="4" t="s">
        <v>272</v>
      </c>
      <c r="P711" s="5" t="str">
        <f t="shared" si="113"/>
        <v>Hyderabad</v>
      </c>
      <c r="Q711" s="5" t="str">
        <f t="shared" si="114"/>
        <v>Orthopedics</v>
      </c>
      <c r="R711" s="6" t="str">
        <f t="shared" si="115"/>
        <v>Fortis</v>
      </c>
      <c r="S711" s="6" t="str">
        <f t="shared" si="116"/>
        <v>Insurance</v>
      </c>
      <c r="T711" s="6" t="str">
        <f t="shared" si="117"/>
        <v>Male</v>
      </c>
      <c r="U711" s="6" t="str">
        <f t="shared" si="110"/>
        <v>General</v>
      </c>
      <c r="V711" s="6" t="str" cm="1">
        <f t="array" ref="V711">IF(TRIM(S711)="",INDEX($S$2:$S$1500,MATCH(MAX(COUNTIF($S$2:$S$1500,S711)),COUNTIF($S$2:$S$1500,$S$2:$S$1500),0)),S711)</f>
        <v>Insurance</v>
      </c>
      <c r="W711" s="7" cm="1">
        <f t="array" ref="W711">IF(OR(TRIM(K711)="",TRIM(K711)="-"), MEDIAN(IF($E$2:$E$1500=E711,$K$2:$K$1500)),  VALUE(SUBSTITUTE(SUBSTITUTE(SUBSTITUTE(K711,"Rs. ",""),"₹",""),",","")))</f>
        <v>16831</v>
      </c>
      <c r="X711" s="8">
        <f t="shared" si="118"/>
        <v>15</v>
      </c>
      <c r="Y711" s="7">
        <f t="shared" si="119"/>
        <v>14306</v>
      </c>
      <c r="Z711" s="9" t="str">
        <f t="shared" si="111"/>
        <v>TEEN</v>
      </c>
    </row>
    <row r="712" spans="1:26" x14ac:dyDescent="0.3">
      <c r="A712" s="5" t="s">
        <v>1572</v>
      </c>
      <c r="B712" s="5" t="s">
        <v>25</v>
      </c>
      <c r="C712" s="5" t="s">
        <v>26</v>
      </c>
      <c r="D712" s="5" t="s">
        <v>27</v>
      </c>
      <c r="E712" s="5" t="s">
        <v>28</v>
      </c>
      <c r="F712" s="5" t="s">
        <v>268</v>
      </c>
      <c r="G712" s="5" t="s">
        <v>19</v>
      </c>
      <c r="H712" s="5">
        <v>87</v>
      </c>
      <c r="I712" s="5" t="s">
        <v>20</v>
      </c>
      <c r="J712" s="34" t="s">
        <v>723</v>
      </c>
      <c r="K712" s="31" t="s">
        <v>1573</v>
      </c>
      <c r="L712" s="5" t="s">
        <v>115</v>
      </c>
      <c r="M712" s="32" t="s">
        <v>76</v>
      </c>
      <c r="N712" s="6">
        <f t="shared" si="112"/>
        <v>10</v>
      </c>
      <c r="O712" s="4" t="s">
        <v>268</v>
      </c>
      <c r="P712" s="5" t="str">
        <f t="shared" si="113"/>
        <v>Mumbai</v>
      </c>
      <c r="Q712" s="5" t="str">
        <f t="shared" si="114"/>
        <v>Oncology</v>
      </c>
      <c r="R712" s="6" t="str">
        <f t="shared" si="115"/>
        <v>Narayana</v>
      </c>
      <c r="S712" s="6" t="str">
        <f t="shared" si="116"/>
        <v>Cash</v>
      </c>
      <c r="T712" s="6" t="str">
        <f t="shared" si="117"/>
        <v>Male</v>
      </c>
      <c r="U712" s="6" t="str">
        <f t="shared" si="110"/>
        <v>General</v>
      </c>
      <c r="V712" s="6" t="str" cm="1">
        <f t="array" ref="V712">IF(TRIM(S712)="",INDEX($S$2:$S$1500,MATCH(MAX(COUNTIF($S$2:$S$1500,S712)),COUNTIF($S$2:$S$1500,$S$2:$S$1500),0)),S712)</f>
        <v>Cash</v>
      </c>
      <c r="W712" s="7" cm="1">
        <f t="array" ref="W712">IF(OR(TRIM(K712)="",TRIM(K712)="-"), MEDIAN(IF($E$2:$E$1500=E712,$K$2:$K$1500)),  VALUE(SUBSTITUTE(SUBSTITUTE(SUBSTITUTE(K712,"Rs. ",""),"₹",""),",","")))</f>
        <v>17400</v>
      </c>
      <c r="X712" s="8">
        <f t="shared" si="118"/>
        <v>10</v>
      </c>
      <c r="Y712" s="7">
        <f t="shared" si="119"/>
        <v>15660</v>
      </c>
      <c r="Z712" s="9" t="str">
        <f t="shared" si="111"/>
        <v>SENIOR</v>
      </c>
    </row>
    <row r="713" spans="1:26" x14ac:dyDescent="0.3">
      <c r="A713" s="5" t="s">
        <v>1574</v>
      </c>
      <c r="B713" s="5" t="s">
        <v>78</v>
      </c>
      <c r="C713" s="5" t="s">
        <v>79</v>
      </c>
      <c r="D713" s="5" t="s">
        <v>16</v>
      </c>
      <c r="E713" s="5" t="s">
        <v>108</v>
      </c>
      <c r="F713" s="5" t="s">
        <v>124</v>
      </c>
      <c r="G713" s="5" t="s">
        <v>19</v>
      </c>
      <c r="H713" s="5">
        <v>76</v>
      </c>
      <c r="I713" s="5" t="s">
        <v>31</v>
      </c>
      <c r="J713" s="34" t="s">
        <v>391</v>
      </c>
      <c r="K713" s="31" t="s">
        <v>1575</v>
      </c>
      <c r="L713" s="5" t="s">
        <v>236</v>
      </c>
      <c r="M713" s="32">
        <v>5</v>
      </c>
      <c r="N713" s="6">
        <f t="shared" si="112"/>
        <v>5</v>
      </c>
      <c r="O713" s="4" t="s">
        <v>124</v>
      </c>
      <c r="P713" s="5" t="str">
        <f t="shared" si="113"/>
        <v>Bangalore</v>
      </c>
      <c r="Q713" s="5" t="str">
        <f t="shared" si="114"/>
        <v>Orthopedics</v>
      </c>
      <c r="R713" s="6" t="str">
        <f t="shared" si="115"/>
        <v>Apollo</v>
      </c>
      <c r="S713" s="6" t="str">
        <f t="shared" si="116"/>
        <v>Debit Card</v>
      </c>
      <c r="T713" s="6" t="str">
        <f t="shared" si="117"/>
        <v>Male</v>
      </c>
      <c r="U713" s="6" t="str">
        <f t="shared" si="110"/>
        <v>General</v>
      </c>
      <c r="V713" s="6" t="str" cm="1">
        <f t="array" ref="V713">IF(TRIM(S713)="",INDEX($S$2:$S$1500,MATCH(MAX(COUNTIF($S$2:$S$1500,S713)),COUNTIF($S$2:$S$1500,$S$2:$S$1500),0)),S713)</f>
        <v>Debit Card</v>
      </c>
      <c r="W713" s="7" cm="1">
        <f t="array" ref="W713">IF(OR(TRIM(K713)="",TRIM(K713)="-"), MEDIAN(IF($E$2:$E$1500=E713,$K$2:$K$1500)),  VALUE(SUBSTITUTE(SUBSTITUTE(SUBSTITUTE(K713,"Rs. ",""),"₹",""),",","")))</f>
        <v>8291</v>
      </c>
      <c r="X713" s="8">
        <f t="shared" si="118"/>
        <v>5</v>
      </c>
      <c r="Y713" s="7">
        <f t="shared" si="119"/>
        <v>7876</v>
      </c>
      <c r="Z713" s="9" t="str">
        <f t="shared" si="111"/>
        <v>SENIOR</v>
      </c>
    </row>
    <row r="714" spans="1:26" x14ac:dyDescent="0.3">
      <c r="A714" s="5" t="s">
        <v>1576</v>
      </c>
      <c r="B714" s="5" t="s">
        <v>117</v>
      </c>
      <c r="C714" s="5" t="s">
        <v>182</v>
      </c>
      <c r="D714" s="5" t="s">
        <v>66</v>
      </c>
      <c r="E714" s="5" t="s">
        <v>74</v>
      </c>
      <c r="F714" s="5" t="s">
        <v>192</v>
      </c>
      <c r="G714" s="5" t="s">
        <v>30</v>
      </c>
      <c r="H714" s="5">
        <v>60</v>
      </c>
      <c r="I714" s="5" t="s">
        <v>20</v>
      </c>
      <c r="J714" s="34" t="s">
        <v>1577</v>
      </c>
      <c r="K714" s="31">
        <v>10218</v>
      </c>
      <c r="L714" s="5" t="s">
        <v>211</v>
      </c>
      <c r="M714" s="32"/>
      <c r="N714" s="6">
        <f t="shared" si="112"/>
        <v>0</v>
      </c>
      <c r="O714" s="4" t="s">
        <v>192</v>
      </c>
      <c r="P714" s="5" t="str">
        <f t="shared" si="113"/>
        <v>Kolkata</v>
      </c>
      <c r="Q714" s="5" t="str">
        <f t="shared" si="114"/>
        <v>General Medicine</v>
      </c>
      <c r="R714" s="6" t="str">
        <f t="shared" si="115"/>
        <v>Manipal</v>
      </c>
      <c r="S714" s="6" t="str">
        <f t="shared" si="116"/>
        <v>Credit Card</v>
      </c>
      <c r="T714" s="6" t="str">
        <f t="shared" si="117"/>
        <v>Male</v>
      </c>
      <c r="U714" s="6" t="str">
        <f t="shared" si="110"/>
        <v>General</v>
      </c>
      <c r="V714" s="6" t="str" cm="1">
        <f t="array" ref="V714">IF(TRIM(S714)="",INDEX($S$2:$S$1500,MATCH(MAX(COUNTIF($S$2:$S$1500,S714)),COUNTIF($S$2:$S$1500,$S$2:$S$1500),0)),S714)</f>
        <v>Credit Card</v>
      </c>
      <c r="W714" s="7" cm="1">
        <f t="array" ref="W714">IF(OR(TRIM(K714)="",TRIM(K714)="-"), MEDIAN(IF($E$2:$E$1500=E714,$K$2:$K$1500)),  VALUE(SUBSTITUTE(SUBSTITUTE(SUBSTITUTE(K714,"Rs. ",""),"₹",""),",","")))</f>
        <v>10218</v>
      </c>
      <c r="X714" s="8">
        <f t="shared" si="118"/>
        <v>0</v>
      </c>
      <c r="Y714" s="7">
        <f t="shared" si="119"/>
        <v>10218</v>
      </c>
      <c r="Z714" s="9" t="str">
        <f t="shared" si="111"/>
        <v>SENIOR</v>
      </c>
    </row>
    <row r="715" spans="1:26" x14ac:dyDescent="0.3">
      <c r="A715" s="5" t="s">
        <v>1578</v>
      </c>
      <c r="B715" s="5" t="s">
        <v>45</v>
      </c>
      <c r="C715" s="5" t="s">
        <v>46</v>
      </c>
      <c r="D715" s="5" t="s">
        <v>55</v>
      </c>
      <c r="E715" s="5" t="s">
        <v>37</v>
      </c>
      <c r="F715" s="5" t="s">
        <v>38</v>
      </c>
      <c r="G715" s="5" t="s">
        <v>19</v>
      </c>
      <c r="H715" s="5">
        <v>5</v>
      </c>
      <c r="I715" s="5" t="s">
        <v>40</v>
      </c>
      <c r="J715" s="34" t="s">
        <v>556</v>
      </c>
      <c r="K715" s="31">
        <v>6764</v>
      </c>
      <c r="L715" s="5" t="s">
        <v>167</v>
      </c>
      <c r="M715" s="32">
        <v>15</v>
      </c>
      <c r="N715" s="6">
        <f t="shared" si="112"/>
        <v>15</v>
      </c>
      <c r="O715" s="4" t="s">
        <v>38</v>
      </c>
      <c r="P715" s="5" t="str">
        <f t="shared" si="113"/>
        <v>Hyderabad</v>
      </c>
      <c r="Q715" s="5" t="str">
        <f t="shared" si="114"/>
        <v>Pediatrics</v>
      </c>
      <c r="R715" s="6" t="str">
        <f t="shared" si="115"/>
        <v>Fortis</v>
      </c>
      <c r="S715" s="6" t="str">
        <f t="shared" si="116"/>
        <v>Insurance</v>
      </c>
      <c r="T715" s="6" t="str">
        <f t="shared" si="117"/>
        <v>Female</v>
      </c>
      <c r="U715" s="6" t="str">
        <f t="shared" si="110"/>
        <v>General</v>
      </c>
      <c r="V715" s="6" t="str" cm="1">
        <f t="array" ref="V715">IF(TRIM(S715)="",INDEX($S$2:$S$1500,MATCH(MAX(COUNTIF($S$2:$S$1500,S715)),COUNTIF($S$2:$S$1500,$S$2:$S$1500),0)),S715)</f>
        <v>Insurance</v>
      </c>
      <c r="W715" s="7" cm="1">
        <f t="array" ref="W715">IF(OR(TRIM(K715)="",TRIM(K715)="-"), MEDIAN(IF($E$2:$E$1500=E715,$K$2:$K$1500)),  VALUE(SUBSTITUTE(SUBSTITUTE(SUBSTITUTE(K715,"Rs. ",""),"₹",""),",","")))</f>
        <v>6764</v>
      </c>
      <c r="X715" s="8">
        <f t="shared" si="118"/>
        <v>15</v>
      </c>
      <c r="Y715" s="7">
        <f t="shared" si="119"/>
        <v>5749</v>
      </c>
      <c r="Z715" s="9" t="str">
        <f t="shared" si="111"/>
        <v>CHILD</v>
      </c>
    </row>
    <row r="716" spans="1:26" x14ac:dyDescent="0.3">
      <c r="A716" s="5" t="s">
        <v>1579</v>
      </c>
      <c r="B716" s="5" t="s">
        <v>78</v>
      </c>
      <c r="C716" s="5" t="s">
        <v>79</v>
      </c>
      <c r="D716" s="5" t="s">
        <v>80</v>
      </c>
      <c r="E716" s="5" t="s">
        <v>37</v>
      </c>
      <c r="F716" s="5" t="s">
        <v>185</v>
      </c>
      <c r="G716" s="5" t="s">
        <v>49</v>
      </c>
      <c r="H716" s="5">
        <v>24</v>
      </c>
      <c r="I716" s="5" t="s">
        <v>40</v>
      </c>
      <c r="J716" s="34" t="s">
        <v>611</v>
      </c>
      <c r="K716" s="31" t="s">
        <v>1580</v>
      </c>
      <c r="L716" s="5" t="s">
        <v>211</v>
      </c>
      <c r="M716" s="32">
        <v>0</v>
      </c>
      <c r="N716" s="6">
        <f t="shared" si="112"/>
        <v>0</v>
      </c>
      <c r="O716" s="4" t="s">
        <v>185</v>
      </c>
      <c r="P716" s="5" t="str">
        <f t="shared" si="113"/>
        <v>Ahmedabad</v>
      </c>
      <c r="Q716" s="5" t="str">
        <f t="shared" si="114"/>
        <v>Pediatrics</v>
      </c>
      <c r="R716" s="6" t="str">
        <f t="shared" si="115"/>
        <v>Apollo</v>
      </c>
      <c r="S716" s="6" t="str">
        <f t="shared" si="116"/>
        <v>Credit Card</v>
      </c>
      <c r="T716" s="6" t="str">
        <f t="shared" si="117"/>
        <v>Female</v>
      </c>
      <c r="U716" s="6" t="str">
        <f t="shared" si="110"/>
        <v>General</v>
      </c>
      <c r="V716" s="6" t="str" cm="1">
        <f t="array" ref="V716">IF(TRIM(S716)="",INDEX($S$2:$S$1500,MATCH(MAX(COUNTIF($S$2:$S$1500,S716)),COUNTIF($S$2:$S$1500,$S$2:$S$1500),0)),S716)</f>
        <v>Credit Card</v>
      </c>
      <c r="W716" s="7" cm="1">
        <f t="array" ref="W716">IF(OR(TRIM(K716)="",TRIM(K716)="-"), MEDIAN(IF($E$2:$E$1500=E716,$K$2:$K$1500)),  VALUE(SUBSTITUTE(SUBSTITUTE(SUBSTITUTE(K716,"Rs. ",""),"₹",""),",","")))</f>
        <v>14366</v>
      </c>
      <c r="X716" s="8">
        <f t="shared" si="118"/>
        <v>0</v>
      </c>
      <c r="Y716" s="7">
        <f t="shared" si="119"/>
        <v>14366</v>
      </c>
      <c r="Z716" s="9" t="str">
        <f t="shared" si="111"/>
        <v>ADULT</v>
      </c>
    </row>
    <row r="717" spans="1:26" x14ac:dyDescent="0.3">
      <c r="A717" s="5" t="s">
        <v>1581</v>
      </c>
      <c r="B717" s="5" t="s">
        <v>25</v>
      </c>
      <c r="C717" s="5" t="s">
        <v>54</v>
      </c>
      <c r="D717" s="5" t="s">
        <v>55</v>
      </c>
      <c r="E717" s="5" t="s">
        <v>47</v>
      </c>
      <c r="F717" s="5" t="s">
        <v>175</v>
      </c>
      <c r="G717" s="5" t="s">
        <v>101</v>
      </c>
      <c r="H717" s="5">
        <v>57</v>
      </c>
      <c r="I717" s="5" t="s">
        <v>40</v>
      </c>
      <c r="J717" s="34" t="s">
        <v>424</v>
      </c>
      <c r="K717" s="31">
        <v>51951</v>
      </c>
      <c r="L717" s="5" t="s">
        <v>211</v>
      </c>
      <c r="M717" s="32">
        <v>0.05</v>
      </c>
      <c r="N717" s="6">
        <f t="shared" si="112"/>
        <v>5</v>
      </c>
      <c r="O717" s="4" t="s">
        <v>175</v>
      </c>
      <c r="P717" s="5" t="str">
        <f t="shared" si="113"/>
        <v>Hyderabad</v>
      </c>
      <c r="Q717" s="5" t="str">
        <f t="shared" si="114"/>
        <v>Gastroenterology</v>
      </c>
      <c r="R717" s="6" t="str">
        <f t="shared" si="115"/>
        <v>Narayana</v>
      </c>
      <c r="S717" s="6" t="str">
        <f t="shared" si="116"/>
        <v>Credit Card</v>
      </c>
      <c r="T717" s="6" t="str">
        <f t="shared" si="117"/>
        <v>Female</v>
      </c>
      <c r="U717" s="6" t="str">
        <f t="shared" si="110"/>
        <v>ICU</v>
      </c>
      <c r="V717" s="6" t="str" cm="1">
        <f t="array" ref="V717">IF(TRIM(S717)="",INDEX($S$2:$S$1500,MATCH(MAX(COUNTIF($S$2:$S$1500,S717)),COUNTIF($S$2:$S$1500,$S$2:$S$1500),0)),S717)</f>
        <v>Credit Card</v>
      </c>
      <c r="W717" s="7" cm="1">
        <f t="array" ref="W717">IF(OR(TRIM(K717)="",TRIM(K717)="-"), MEDIAN(IF($E$2:$E$1500=E717,$K$2:$K$1500)),  VALUE(SUBSTITUTE(SUBSTITUTE(SUBSTITUTE(K717,"Rs. ",""),"₹",""),",","")))</f>
        <v>51951</v>
      </c>
      <c r="X717" s="8">
        <f t="shared" si="118"/>
        <v>5</v>
      </c>
      <c r="Y717" s="7">
        <f t="shared" si="119"/>
        <v>49353</v>
      </c>
      <c r="Z717" s="9" t="str">
        <f t="shared" si="111"/>
        <v>ADULT</v>
      </c>
    </row>
    <row r="718" spans="1:26" x14ac:dyDescent="0.3">
      <c r="A718" s="5" t="s">
        <v>1582</v>
      </c>
      <c r="B718" s="5" t="s">
        <v>45</v>
      </c>
      <c r="C718" s="5" t="s">
        <v>46</v>
      </c>
      <c r="D718" s="5" t="s">
        <v>27</v>
      </c>
      <c r="E718" s="5" t="s">
        <v>17</v>
      </c>
      <c r="F718" s="5" t="s">
        <v>169</v>
      </c>
      <c r="G718" s="5" t="s">
        <v>39</v>
      </c>
      <c r="H718" s="5">
        <v>62</v>
      </c>
      <c r="I718" s="5" t="s">
        <v>40</v>
      </c>
      <c r="J718" s="34" t="s">
        <v>1001</v>
      </c>
      <c r="K718" s="31">
        <v>16924</v>
      </c>
      <c r="L718" s="5" t="s">
        <v>34</v>
      </c>
      <c r="M718" s="32">
        <v>0</v>
      </c>
      <c r="N718" s="6">
        <f t="shared" si="112"/>
        <v>0</v>
      </c>
      <c r="O718" s="4" t="s">
        <v>169</v>
      </c>
      <c r="P718" s="5" t="str">
        <f t="shared" si="113"/>
        <v>Mumbai</v>
      </c>
      <c r="Q718" s="5" t="str">
        <f t="shared" si="114"/>
        <v>Gynecology</v>
      </c>
      <c r="R718" s="6" t="str">
        <f t="shared" si="115"/>
        <v>Fortis</v>
      </c>
      <c r="S718" s="6" t="str">
        <f t="shared" si="116"/>
        <v>Cash</v>
      </c>
      <c r="T718" s="6" t="str">
        <f t="shared" si="117"/>
        <v>Female</v>
      </c>
      <c r="U718" s="6" t="str">
        <f t="shared" ref="U718:U781" si="120">IF(OR(UPPER(TRIM(G718))="GENERAL",UPPER(TRIM(G718))="GENRAL"),"General",IF(UPPER(TRIM(G718))="ICU","ICU","Unknown"))</f>
        <v>General</v>
      </c>
      <c r="V718" s="6" t="str" cm="1">
        <f t="array" ref="V718">IF(TRIM(S718)="",INDEX($S$2:$S$1500,MATCH(MAX(COUNTIF($S$2:$S$1500,S718)),COUNTIF($S$2:$S$1500,$S$2:$S$1500),0)),S718)</f>
        <v>Cash</v>
      </c>
      <c r="W718" s="7" cm="1">
        <f t="array" ref="W718">IF(OR(TRIM(K718)="",TRIM(K718)="-"), MEDIAN(IF($E$2:$E$1500=E718,$K$2:$K$1500)),  VALUE(SUBSTITUTE(SUBSTITUTE(SUBSTITUTE(K718,"Rs. ",""),"₹",""),",","")))</f>
        <v>16924</v>
      </c>
      <c r="X718" s="8">
        <f t="shared" si="118"/>
        <v>0</v>
      </c>
      <c r="Y718" s="7">
        <f t="shared" si="119"/>
        <v>16924</v>
      </c>
      <c r="Z718" s="9" t="str">
        <f t="shared" si="111"/>
        <v>SENIOR</v>
      </c>
    </row>
    <row r="719" spans="1:26" x14ac:dyDescent="0.3">
      <c r="A719" s="5" t="s">
        <v>1583</v>
      </c>
      <c r="B719" s="5" t="s">
        <v>106</v>
      </c>
      <c r="C719" s="5" t="s">
        <v>107</v>
      </c>
      <c r="D719" s="5" t="s">
        <v>66</v>
      </c>
      <c r="E719" s="5" t="s">
        <v>108</v>
      </c>
      <c r="F719" s="5" t="s">
        <v>124</v>
      </c>
      <c r="G719" s="5" t="s">
        <v>101</v>
      </c>
      <c r="H719" s="5">
        <v>91</v>
      </c>
      <c r="I719" s="5" t="s">
        <v>20</v>
      </c>
      <c r="J719" s="34" t="s">
        <v>807</v>
      </c>
      <c r="K719" s="31" t="s">
        <v>1584</v>
      </c>
      <c r="L719" s="5"/>
      <c r="M719" s="32">
        <v>10</v>
      </c>
      <c r="N719" s="6">
        <f t="shared" si="112"/>
        <v>10</v>
      </c>
      <c r="O719" s="4" t="s">
        <v>124</v>
      </c>
      <c r="P719" s="5" t="str">
        <f t="shared" si="113"/>
        <v>Kolkata</v>
      </c>
      <c r="Q719" s="5" t="str">
        <f t="shared" si="114"/>
        <v>Orthopedics</v>
      </c>
      <c r="R719" s="6" t="str">
        <f t="shared" si="115"/>
        <v>Aiims</v>
      </c>
      <c r="S719" s="6" t="str">
        <f t="shared" si="116"/>
        <v>Unknown</v>
      </c>
      <c r="T719" s="6" t="str">
        <f t="shared" si="117"/>
        <v>Male</v>
      </c>
      <c r="U719" s="6" t="str">
        <f t="shared" si="120"/>
        <v>ICU</v>
      </c>
      <c r="V719" s="6" t="str" cm="1">
        <f t="array" ref="V719">IF(TRIM(S719)="",INDEX($S$2:$S$1500,MATCH(MAX(COUNTIF($S$2:$S$1500,S719)),COUNTIF($S$2:$S$1500,$S$2:$S$1500),0)),S719)</f>
        <v>Unknown</v>
      </c>
      <c r="W719" s="7" cm="1">
        <f t="array" ref="W719">IF(OR(TRIM(K719)="",TRIM(K719)="-"), MEDIAN(IF($E$2:$E$1500=E719,$K$2:$K$1500)),  VALUE(SUBSTITUTE(SUBSTITUTE(SUBSTITUTE(K719,"Rs. ",""),"₹",""),",","")))</f>
        <v>42843</v>
      </c>
      <c r="X719" s="8">
        <f t="shared" si="118"/>
        <v>10</v>
      </c>
      <c r="Y719" s="7">
        <f t="shared" si="119"/>
        <v>38559</v>
      </c>
      <c r="Z719" s="9" t="str">
        <f t="shared" si="111"/>
        <v>SENIOR</v>
      </c>
    </row>
    <row r="720" spans="1:26" x14ac:dyDescent="0.3">
      <c r="A720" s="5" t="s">
        <v>1585</v>
      </c>
      <c r="B720" s="5" t="s">
        <v>117</v>
      </c>
      <c r="C720" s="5" t="s">
        <v>118</v>
      </c>
      <c r="D720" s="5" t="s">
        <v>189</v>
      </c>
      <c r="E720" s="5" t="s">
        <v>67</v>
      </c>
      <c r="F720" s="5" t="s">
        <v>89</v>
      </c>
      <c r="G720" s="5" t="s">
        <v>19</v>
      </c>
      <c r="H720" s="5">
        <v>32</v>
      </c>
      <c r="I720" s="5" t="s">
        <v>20</v>
      </c>
      <c r="J720" s="34" t="s">
        <v>868</v>
      </c>
      <c r="K720" s="31" t="s">
        <v>1586</v>
      </c>
      <c r="L720" s="5" t="s">
        <v>87</v>
      </c>
      <c r="M720" s="32">
        <v>0</v>
      </c>
      <c r="N720" s="6">
        <f t="shared" si="112"/>
        <v>0</v>
      </c>
      <c r="O720" s="4" t="s">
        <v>89</v>
      </c>
      <c r="P720" s="5" t="str">
        <f t="shared" si="113"/>
        <v>Delhi</v>
      </c>
      <c r="Q720" s="5" t="str">
        <f t="shared" si="114"/>
        <v>Neurology</v>
      </c>
      <c r="R720" s="6" t="str">
        <f t="shared" si="115"/>
        <v>Manipal</v>
      </c>
      <c r="S720" s="6" t="str">
        <f t="shared" si="116"/>
        <v>Credit Card</v>
      </c>
      <c r="T720" s="6" t="str">
        <f t="shared" si="117"/>
        <v>Male</v>
      </c>
      <c r="U720" s="6" t="str">
        <f t="shared" si="120"/>
        <v>General</v>
      </c>
      <c r="V720" s="6" t="str" cm="1">
        <f t="array" ref="V720">IF(TRIM(S720)="",INDEX($S$2:$S$1500,MATCH(MAX(COUNTIF($S$2:$S$1500,S720)),COUNTIF($S$2:$S$1500,$S$2:$S$1500),0)),S720)</f>
        <v>Credit Card</v>
      </c>
      <c r="W720" s="7" cm="1">
        <f t="array" ref="W720">IF(OR(TRIM(K720)="",TRIM(K720)="-"), MEDIAN(IF($E$2:$E$1500=E720,$K$2:$K$1500)),  VALUE(SUBSTITUTE(SUBSTITUTE(SUBSTITUTE(K720,"Rs. ",""),"₹",""),",","")))</f>
        <v>13674</v>
      </c>
      <c r="X720" s="8">
        <f t="shared" si="118"/>
        <v>0</v>
      </c>
      <c r="Y720" s="7">
        <f t="shared" si="119"/>
        <v>13674</v>
      </c>
      <c r="Z720" s="9" t="str">
        <f t="shared" si="111"/>
        <v>ADULT</v>
      </c>
    </row>
    <row r="721" spans="1:26" x14ac:dyDescent="0.3">
      <c r="A721" s="5" t="s">
        <v>1587</v>
      </c>
      <c r="B721" s="5" t="s">
        <v>117</v>
      </c>
      <c r="C721" s="5" t="s">
        <v>182</v>
      </c>
      <c r="D721" s="5" t="s">
        <v>16</v>
      </c>
      <c r="E721" s="5" t="s">
        <v>164</v>
      </c>
      <c r="F721" s="5" t="s">
        <v>233</v>
      </c>
      <c r="G721" s="5" t="s">
        <v>101</v>
      </c>
      <c r="H721" s="5">
        <v>92</v>
      </c>
      <c r="I721" s="5" t="s">
        <v>20</v>
      </c>
      <c r="J721" s="34" t="s">
        <v>868</v>
      </c>
      <c r="K721" s="31" t="s">
        <v>1588</v>
      </c>
      <c r="L721" s="5" t="s">
        <v>83</v>
      </c>
      <c r="M721" s="32">
        <v>0</v>
      </c>
      <c r="N721" s="6">
        <f t="shared" si="112"/>
        <v>0</v>
      </c>
      <c r="O721" s="4" t="s">
        <v>233</v>
      </c>
      <c r="P721" s="5" t="str">
        <f t="shared" si="113"/>
        <v>Bangalore</v>
      </c>
      <c r="Q721" s="5" t="str">
        <f t="shared" si="114"/>
        <v>Cardiology</v>
      </c>
      <c r="R721" s="6" t="str">
        <f t="shared" si="115"/>
        <v>Manipal</v>
      </c>
      <c r="S721" s="6" t="str">
        <f t="shared" si="116"/>
        <v>Debit Card</v>
      </c>
      <c r="T721" s="6" t="str">
        <f t="shared" si="117"/>
        <v>Male</v>
      </c>
      <c r="U721" s="6" t="str">
        <f t="shared" si="120"/>
        <v>ICU</v>
      </c>
      <c r="V721" s="6" t="str" cm="1">
        <f t="array" ref="V721">IF(TRIM(S721)="",INDEX($S$2:$S$1500,MATCH(MAX(COUNTIF($S$2:$S$1500,S721)),COUNTIF($S$2:$S$1500,$S$2:$S$1500),0)),S721)</f>
        <v>Debit Card</v>
      </c>
      <c r="W721" s="7" cm="1">
        <f t="array" ref="W721">IF(OR(TRIM(K721)="",TRIM(K721)="-"), MEDIAN(IF($E$2:$E$1500=E721,$K$2:$K$1500)),  VALUE(SUBSTITUTE(SUBSTITUTE(SUBSTITUTE(K721,"Rs. ",""),"₹",""),",","")))</f>
        <v>37969</v>
      </c>
      <c r="X721" s="8">
        <f t="shared" si="118"/>
        <v>0</v>
      </c>
      <c r="Y721" s="7">
        <f t="shared" si="119"/>
        <v>37969</v>
      </c>
      <c r="Z721" s="9" t="str">
        <f t="shared" si="111"/>
        <v>SENIOR</v>
      </c>
    </row>
    <row r="722" spans="1:26" x14ac:dyDescent="0.3">
      <c r="A722" s="5" t="s">
        <v>1589</v>
      </c>
      <c r="B722" s="5" t="s">
        <v>117</v>
      </c>
      <c r="C722" s="5" t="s">
        <v>127</v>
      </c>
      <c r="D722" s="5" t="s">
        <v>80</v>
      </c>
      <c r="E722" s="5" t="s">
        <v>37</v>
      </c>
      <c r="F722" s="5" t="s">
        <v>132</v>
      </c>
      <c r="G722" s="5" t="s">
        <v>39</v>
      </c>
      <c r="H722" s="5">
        <v>82</v>
      </c>
      <c r="I722" s="5" t="s">
        <v>70</v>
      </c>
      <c r="J722" s="34" t="s">
        <v>1590</v>
      </c>
      <c r="K722" s="31" t="s">
        <v>1591</v>
      </c>
      <c r="L722" s="5" t="s">
        <v>149</v>
      </c>
      <c r="M722" s="32" t="s">
        <v>227</v>
      </c>
      <c r="N722" s="6">
        <f t="shared" si="112"/>
        <v>25</v>
      </c>
      <c r="O722" s="4" t="s">
        <v>132</v>
      </c>
      <c r="P722" s="5" t="str">
        <f t="shared" si="113"/>
        <v>Ahmedabad</v>
      </c>
      <c r="Q722" s="5" t="str">
        <f t="shared" si="114"/>
        <v>Pediatrics</v>
      </c>
      <c r="R722" s="6" t="str">
        <f t="shared" si="115"/>
        <v>Manipal</v>
      </c>
      <c r="S722" s="6" t="str">
        <f t="shared" si="116"/>
        <v>Insurance</v>
      </c>
      <c r="T722" s="6" t="str">
        <f t="shared" si="117"/>
        <v>Female</v>
      </c>
      <c r="U722" s="6" t="str">
        <f t="shared" si="120"/>
        <v>General</v>
      </c>
      <c r="V722" s="6" t="str" cm="1">
        <f t="array" ref="V722">IF(TRIM(S722)="",INDEX($S$2:$S$1500,MATCH(MAX(COUNTIF($S$2:$S$1500,S722)),COUNTIF($S$2:$S$1500,$S$2:$S$1500),0)),S722)</f>
        <v>Insurance</v>
      </c>
      <c r="W722" s="7" cm="1">
        <f t="array" ref="W722">IF(OR(TRIM(K722)="",TRIM(K722)="-"), MEDIAN(IF($E$2:$E$1500=E722,$K$2:$K$1500)),  VALUE(SUBSTITUTE(SUBSTITUTE(SUBSTITUTE(K722,"Rs. ",""),"₹",""),",","")))</f>
        <v>19819</v>
      </c>
      <c r="X722" s="8">
        <f t="shared" si="118"/>
        <v>25</v>
      </c>
      <c r="Y722" s="7">
        <f t="shared" si="119"/>
        <v>14864</v>
      </c>
      <c r="Z722" s="9" t="str">
        <f t="shared" si="111"/>
        <v>SENIOR</v>
      </c>
    </row>
    <row r="723" spans="1:26" x14ac:dyDescent="0.3">
      <c r="A723" s="5" t="s">
        <v>1592</v>
      </c>
      <c r="B723" s="5" t="s">
        <v>25</v>
      </c>
      <c r="C723" s="5" t="s">
        <v>54</v>
      </c>
      <c r="D723" s="5" t="s">
        <v>61</v>
      </c>
      <c r="E723" s="5" t="s">
        <v>99</v>
      </c>
      <c r="F723" s="5" t="s">
        <v>372</v>
      </c>
      <c r="G723" s="5" t="s">
        <v>19</v>
      </c>
      <c r="H723" s="5">
        <v>2</v>
      </c>
      <c r="I723" s="5" t="s">
        <v>40</v>
      </c>
      <c r="J723" s="34" t="s">
        <v>216</v>
      </c>
      <c r="K723" s="31" t="s">
        <v>140</v>
      </c>
      <c r="L723" s="5" t="s">
        <v>87</v>
      </c>
      <c r="M723" s="32"/>
      <c r="N723" s="6">
        <f t="shared" si="112"/>
        <v>0</v>
      </c>
      <c r="O723" s="4" t="s">
        <v>372</v>
      </c>
      <c r="P723" s="5" t="str">
        <f t="shared" si="113"/>
        <v>Pune</v>
      </c>
      <c r="Q723" s="5" t="str">
        <f t="shared" si="114"/>
        <v>Ent</v>
      </c>
      <c r="R723" s="6" t="str">
        <f t="shared" si="115"/>
        <v>Narayana</v>
      </c>
      <c r="S723" s="6" t="str">
        <f t="shared" si="116"/>
        <v>Credit Card</v>
      </c>
      <c r="T723" s="6" t="str">
        <f t="shared" si="117"/>
        <v>Female</v>
      </c>
      <c r="U723" s="6" t="str">
        <f t="shared" si="120"/>
        <v>General</v>
      </c>
      <c r="V723" s="6" t="str" cm="1">
        <f t="array" ref="V723">IF(TRIM(S723)="",INDEX($S$2:$S$1500,MATCH(MAX(COUNTIF($S$2:$S$1500,S723)),COUNTIF($S$2:$S$1500,$S$2:$S$1500),0)),S723)</f>
        <v>Credit Card</v>
      </c>
      <c r="W723" s="7" cm="1">
        <f t="array" ref="W723">IF(OR(TRIM(K723)="",TRIM(K723)="-"), MEDIAN(IF($E$2:$E$1500=E723,$K$2:$K$1500)),  VALUE(SUBSTITUTE(SUBSTITUTE(SUBSTITUTE(K723,"Rs. ",""),"₹",""),",","")))</f>
        <v>17549.5</v>
      </c>
      <c r="X723" s="8">
        <f t="shared" si="118"/>
        <v>0</v>
      </c>
      <c r="Y723" s="7">
        <f t="shared" si="119"/>
        <v>17550</v>
      </c>
      <c r="Z723" s="9" t="str">
        <f t="shared" si="111"/>
        <v>CHILD</v>
      </c>
    </row>
    <row r="724" spans="1:26" x14ac:dyDescent="0.3">
      <c r="A724" s="5" t="s">
        <v>1593</v>
      </c>
      <c r="B724" s="5" t="s">
        <v>25</v>
      </c>
      <c r="C724" s="5" t="s">
        <v>54</v>
      </c>
      <c r="D724" s="5" t="s">
        <v>61</v>
      </c>
      <c r="E724" s="5" t="s">
        <v>74</v>
      </c>
      <c r="F724" s="5" t="s">
        <v>172</v>
      </c>
      <c r="G724" s="5" t="s">
        <v>62</v>
      </c>
      <c r="H724" s="5">
        <v>67</v>
      </c>
      <c r="I724" s="5" t="s">
        <v>20</v>
      </c>
      <c r="J724" s="34" t="s">
        <v>145</v>
      </c>
      <c r="K724" s="31">
        <v>72267</v>
      </c>
      <c r="L724" s="5" t="s">
        <v>42</v>
      </c>
      <c r="M724" s="32">
        <v>0.18</v>
      </c>
      <c r="N724" s="6">
        <f t="shared" si="112"/>
        <v>18</v>
      </c>
      <c r="O724" s="4" t="s">
        <v>172</v>
      </c>
      <c r="P724" s="5" t="str">
        <f t="shared" si="113"/>
        <v>Pune</v>
      </c>
      <c r="Q724" s="5" t="str">
        <f t="shared" si="114"/>
        <v>General Medicine</v>
      </c>
      <c r="R724" s="6" t="str">
        <f t="shared" si="115"/>
        <v>Narayana</v>
      </c>
      <c r="S724" s="6" t="str">
        <f t="shared" si="116"/>
        <v>Insurance</v>
      </c>
      <c r="T724" s="6" t="str">
        <f t="shared" si="117"/>
        <v>Male</v>
      </c>
      <c r="U724" s="6" t="str">
        <f t="shared" si="120"/>
        <v>ICU</v>
      </c>
      <c r="V724" s="6" t="str" cm="1">
        <f t="array" ref="V724">IF(TRIM(S724)="",INDEX($S$2:$S$1500,MATCH(MAX(COUNTIF($S$2:$S$1500,S724)),COUNTIF($S$2:$S$1500,$S$2:$S$1500),0)),S724)</f>
        <v>Insurance</v>
      </c>
      <c r="W724" s="7" cm="1">
        <f t="array" ref="W724">IF(OR(TRIM(K724)="",TRIM(K724)="-"), MEDIAN(IF($E$2:$E$1500=E724,$K$2:$K$1500)),  VALUE(SUBSTITUTE(SUBSTITUTE(SUBSTITUTE(K724,"Rs. ",""),"₹",""),",","")))</f>
        <v>72267</v>
      </c>
      <c r="X724" s="8">
        <f t="shared" si="118"/>
        <v>18</v>
      </c>
      <c r="Y724" s="7">
        <f t="shared" si="119"/>
        <v>59259</v>
      </c>
      <c r="Z724" s="9" t="str">
        <f t="shared" si="111"/>
        <v>SENIOR</v>
      </c>
    </row>
    <row r="725" spans="1:26" x14ac:dyDescent="0.3">
      <c r="A725" s="5" t="s">
        <v>1594</v>
      </c>
      <c r="B725" s="5" t="s">
        <v>78</v>
      </c>
      <c r="C725" s="5" t="s">
        <v>161</v>
      </c>
      <c r="D725" s="5" t="s">
        <v>61</v>
      </c>
      <c r="E725" s="5" t="s">
        <v>28</v>
      </c>
      <c r="F725" s="5" t="s">
        <v>268</v>
      </c>
      <c r="G725" s="5" t="s">
        <v>101</v>
      </c>
      <c r="H725" s="5">
        <v>22</v>
      </c>
      <c r="I725" s="5" t="s">
        <v>40</v>
      </c>
      <c r="J725" s="34" t="s">
        <v>469</v>
      </c>
      <c r="K725" s="31" t="s">
        <v>1595</v>
      </c>
      <c r="L725" s="5" t="s">
        <v>52</v>
      </c>
      <c r="M725" s="32">
        <v>0</v>
      </c>
      <c r="N725" s="6">
        <f t="shared" si="112"/>
        <v>0</v>
      </c>
      <c r="O725" s="4" t="s">
        <v>268</v>
      </c>
      <c r="P725" s="5" t="str">
        <f t="shared" si="113"/>
        <v>Pune</v>
      </c>
      <c r="Q725" s="5" t="str">
        <f t="shared" si="114"/>
        <v>Oncology</v>
      </c>
      <c r="R725" s="6" t="str">
        <f t="shared" si="115"/>
        <v>Apollo</v>
      </c>
      <c r="S725" s="6" t="str">
        <f t="shared" si="116"/>
        <v>Credit Card</v>
      </c>
      <c r="T725" s="6" t="str">
        <f t="shared" si="117"/>
        <v>Female</v>
      </c>
      <c r="U725" s="6" t="str">
        <f t="shared" si="120"/>
        <v>ICU</v>
      </c>
      <c r="V725" s="6" t="str" cm="1">
        <f t="array" ref="V725">IF(TRIM(S725)="",INDEX($S$2:$S$1500,MATCH(MAX(COUNTIF($S$2:$S$1500,S725)),COUNTIF($S$2:$S$1500,$S$2:$S$1500),0)),S725)</f>
        <v>Credit Card</v>
      </c>
      <c r="W725" s="7" cm="1">
        <f t="array" ref="W725">IF(OR(TRIM(K725)="",TRIM(K725)="-"), MEDIAN(IF($E$2:$E$1500=E725,$K$2:$K$1500)),  VALUE(SUBSTITUTE(SUBSTITUTE(SUBSTITUTE(K725,"Rs. ",""),"₹",""),",","")))</f>
        <v>53546</v>
      </c>
      <c r="X725" s="8">
        <f t="shared" si="118"/>
        <v>0</v>
      </c>
      <c r="Y725" s="7">
        <f t="shared" si="119"/>
        <v>53546</v>
      </c>
      <c r="Z725" s="9" t="str">
        <f t="shared" si="111"/>
        <v>ADULT</v>
      </c>
    </row>
    <row r="726" spans="1:26" x14ac:dyDescent="0.3">
      <c r="A726" s="5" t="s">
        <v>1596</v>
      </c>
      <c r="B726" s="5" t="s">
        <v>78</v>
      </c>
      <c r="C726" s="5" t="s">
        <v>79</v>
      </c>
      <c r="D726" s="5" t="s">
        <v>189</v>
      </c>
      <c r="E726" s="5" t="s">
        <v>99</v>
      </c>
      <c r="F726" s="5" t="s">
        <v>151</v>
      </c>
      <c r="G726" s="5" t="s">
        <v>49</v>
      </c>
      <c r="H726" s="5">
        <v>64</v>
      </c>
      <c r="I726" s="5" t="s">
        <v>31</v>
      </c>
      <c r="J726" s="34" t="s">
        <v>1597</v>
      </c>
      <c r="K726" s="31">
        <v>4951</v>
      </c>
      <c r="L726" s="5" t="s">
        <v>58</v>
      </c>
      <c r="M726" s="32">
        <v>0</v>
      </c>
      <c r="N726" s="6">
        <f t="shared" si="112"/>
        <v>0</v>
      </c>
      <c r="O726" s="4" t="s">
        <v>151</v>
      </c>
      <c r="P726" s="5" t="str">
        <f t="shared" si="113"/>
        <v>Delhi</v>
      </c>
      <c r="Q726" s="5" t="str">
        <f t="shared" si="114"/>
        <v>Ent</v>
      </c>
      <c r="R726" s="6" t="str">
        <f t="shared" si="115"/>
        <v>Apollo</v>
      </c>
      <c r="S726" s="6" t="str">
        <f t="shared" si="116"/>
        <v>UPI</v>
      </c>
      <c r="T726" s="6" t="str">
        <f t="shared" si="117"/>
        <v>Male</v>
      </c>
      <c r="U726" s="6" t="str">
        <f t="shared" si="120"/>
        <v>General</v>
      </c>
      <c r="V726" s="6" t="str" cm="1">
        <f t="array" ref="V726">IF(TRIM(S726)="",INDEX($S$2:$S$1500,MATCH(MAX(COUNTIF($S$2:$S$1500,S726)),COUNTIF($S$2:$S$1500,$S$2:$S$1500),0)),S726)</f>
        <v>UPI</v>
      </c>
      <c r="W726" s="7" cm="1">
        <f t="array" ref="W726">IF(OR(TRIM(K726)="",TRIM(K726)="-"), MEDIAN(IF($E$2:$E$1500=E726,$K$2:$K$1500)),  VALUE(SUBSTITUTE(SUBSTITUTE(SUBSTITUTE(K726,"Rs. ",""),"₹",""),",","")))</f>
        <v>4951</v>
      </c>
      <c r="X726" s="8">
        <f t="shared" si="118"/>
        <v>0</v>
      </c>
      <c r="Y726" s="7">
        <f t="shared" si="119"/>
        <v>4951</v>
      </c>
      <c r="Z726" s="9" t="str">
        <f t="shared" si="111"/>
        <v>SENIOR</v>
      </c>
    </row>
    <row r="727" spans="1:26" x14ac:dyDescent="0.3">
      <c r="A727" s="5" t="s">
        <v>1598</v>
      </c>
      <c r="B727" s="5" t="s">
        <v>14</v>
      </c>
      <c r="C727" s="5" t="s">
        <v>15</v>
      </c>
      <c r="D727" s="5" t="s">
        <v>80</v>
      </c>
      <c r="E727" s="5" t="s">
        <v>67</v>
      </c>
      <c r="F727" s="5" t="s">
        <v>196</v>
      </c>
      <c r="G727" s="5" t="s">
        <v>39</v>
      </c>
      <c r="H727" s="5">
        <v>63</v>
      </c>
      <c r="I727" s="5" t="s">
        <v>20</v>
      </c>
      <c r="J727" s="34" t="s">
        <v>426</v>
      </c>
      <c r="K727" s="31">
        <v>16617</v>
      </c>
      <c r="L727" s="5" t="s">
        <v>34</v>
      </c>
      <c r="M727" s="32">
        <v>0</v>
      </c>
      <c r="N727" s="6">
        <f t="shared" si="112"/>
        <v>0</v>
      </c>
      <c r="O727" s="4" t="s">
        <v>196</v>
      </c>
      <c r="P727" s="5" t="str">
        <f t="shared" si="113"/>
        <v>Ahmedabad</v>
      </c>
      <c r="Q727" s="5" t="str">
        <f t="shared" si="114"/>
        <v>Neurology</v>
      </c>
      <c r="R727" s="6" t="str">
        <f t="shared" si="115"/>
        <v>Max_Healthcare</v>
      </c>
      <c r="S727" s="6" t="str">
        <f t="shared" si="116"/>
        <v>Cash</v>
      </c>
      <c r="T727" s="6" t="str">
        <f t="shared" si="117"/>
        <v>Male</v>
      </c>
      <c r="U727" s="6" t="str">
        <f t="shared" si="120"/>
        <v>General</v>
      </c>
      <c r="V727" s="6" t="str" cm="1">
        <f t="array" ref="V727">IF(TRIM(S727)="",INDEX($S$2:$S$1500,MATCH(MAX(COUNTIF($S$2:$S$1500,S727)),COUNTIF($S$2:$S$1500,$S$2:$S$1500),0)),S727)</f>
        <v>Cash</v>
      </c>
      <c r="W727" s="7" cm="1">
        <f t="array" ref="W727">IF(OR(TRIM(K727)="",TRIM(K727)="-"), MEDIAN(IF($E$2:$E$1500=E727,$K$2:$K$1500)),  VALUE(SUBSTITUTE(SUBSTITUTE(SUBSTITUTE(K727,"Rs. ",""),"₹",""),",","")))</f>
        <v>16617</v>
      </c>
      <c r="X727" s="8">
        <f t="shared" si="118"/>
        <v>0</v>
      </c>
      <c r="Y727" s="7">
        <f t="shared" si="119"/>
        <v>16617</v>
      </c>
      <c r="Z727" s="9" t="str">
        <f t="shared" si="111"/>
        <v>SENIOR</v>
      </c>
    </row>
    <row r="728" spans="1:26" x14ac:dyDescent="0.3">
      <c r="A728" s="5" t="s">
        <v>1599</v>
      </c>
      <c r="B728" s="5" t="s">
        <v>45</v>
      </c>
      <c r="C728" s="5" t="s">
        <v>46</v>
      </c>
      <c r="D728" s="5" t="s">
        <v>189</v>
      </c>
      <c r="E728" s="5" t="s">
        <v>93</v>
      </c>
      <c r="F728" s="5" t="s">
        <v>207</v>
      </c>
      <c r="G728" s="5" t="s">
        <v>39</v>
      </c>
      <c r="H728" s="5">
        <v>18</v>
      </c>
      <c r="I728" s="5" t="s">
        <v>31</v>
      </c>
      <c r="J728" s="34" t="s">
        <v>866</v>
      </c>
      <c r="K728" s="31">
        <v>3890</v>
      </c>
      <c r="L728" s="5" t="s">
        <v>87</v>
      </c>
      <c r="M728" s="32" t="s">
        <v>140</v>
      </c>
      <c r="N728" s="6" t="str">
        <f t="shared" si="112"/>
        <v>-</v>
      </c>
      <c r="O728" s="4" t="s">
        <v>207</v>
      </c>
      <c r="P728" s="5" t="str">
        <f t="shared" si="113"/>
        <v>Delhi</v>
      </c>
      <c r="Q728" s="5" t="str">
        <f t="shared" si="114"/>
        <v>Nephrology</v>
      </c>
      <c r="R728" s="6" t="str">
        <f t="shared" si="115"/>
        <v>Fortis</v>
      </c>
      <c r="S728" s="6" t="str">
        <f t="shared" si="116"/>
        <v>Credit Card</v>
      </c>
      <c r="T728" s="6" t="str">
        <f t="shared" si="117"/>
        <v>Male</v>
      </c>
      <c r="U728" s="6" t="str">
        <f t="shared" si="120"/>
        <v>General</v>
      </c>
      <c r="V728" s="6" t="str" cm="1">
        <f t="array" ref="V728">IF(TRIM(S728)="",INDEX($S$2:$S$1500,MATCH(MAX(COUNTIF($S$2:$S$1500,S728)),COUNTIF($S$2:$S$1500,$S$2:$S$1500),0)),S728)</f>
        <v>Credit Card</v>
      </c>
      <c r="W728" s="7" cm="1">
        <f t="array" ref="W728">IF(OR(TRIM(K728)="",TRIM(K728)="-"), MEDIAN(IF($E$2:$E$1500=E728,$K$2:$K$1500)),  VALUE(SUBSTITUTE(SUBSTITUTE(SUBSTITUTE(K728,"Rs. ",""),"₹",""),",","")))</f>
        <v>3890</v>
      </c>
      <c r="X728" s="8">
        <f t="shared" si="118"/>
        <v>3</v>
      </c>
      <c r="Y728" s="7">
        <f t="shared" si="119"/>
        <v>3773</v>
      </c>
      <c r="Z728" s="9" t="str">
        <f t="shared" si="111"/>
        <v>TEEN</v>
      </c>
    </row>
    <row r="729" spans="1:26" x14ac:dyDescent="0.3">
      <c r="A729" s="5" t="s">
        <v>1600</v>
      </c>
      <c r="B729" s="5" t="s">
        <v>106</v>
      </c>
      <c r="C729" s="5" t="s">
        <v>107</v>
      </c>
      <c r="D729" s="5" t="s">
        <v>66</v>
      </c>
      <c r="E729" s="5" t="s">
        <v>28</v>
      </c>
      <c r="F729" s="5" t="s">
        <v>290</v>
      </c>
      <c r="G729" s="5" t="s">
        <v>30</v>
      </c>
      <c r="H729" s="5">
        <v>32</v>
      </c>
      <c r="I729" s="5" t="s">
        <v>31</v>
      </c>
      <c r="J729" s="34" t="s">
        <v>723</v>
      </c>
      <c r="K729" s="31">
        <v>9818</v>
      </c>
      <c r="L729" s="5" t="s">
        <v>91</v>
      </c>
      <c r="M729" s="32">
        <v>0</v>
      </c>
      <c r="N729" s="6">
        <f t="shared" si="112"/>
        <v>0</v>
      </c>
      <c r="O729" s="4" t="s">
        <v>290</v>
      </c>
      <c r="P729" s="5" t="str">
        <f t="shared" si="113"/>
        <v>Kolkata</v>
      </c>
      <c r="Q729" s="5" t="str">
        <f t="shared" si="114"/>
        <v>Oncology</v>
      </c>
      <c r="R729" s="6" t="str">
        <f t="shared" si="115"/>
        <v>Aiims</v>
      </c>
      <c r="S729" s="6" t="str">
        <f t="shared" si="116"/>
        <v>Debit Card</v>
      </c>
      <c r="T729" s="6" t="str">
        <f t="shared" si="117"/>
        <v>Male</v>
      </c>
      <c r="U729" s="6" t="str">
        <f t="shared" si="120"/>
        <v>General</v>
      </c>
      <c r="V729" s="6" t="str" cm="1">
        <f t="array" ref="V729">IF(TRIM(S729)="",INDEX($S$2:$S$1500,MATCH(MAX(COUNTIF($S$2:$S$1500,S729)),COUNTIF($S$2:$S$1500,$S$2:$S$1500),0)),S729)</f>
        <v>Debit Card</v>
      </c>
      <c r="W729" s="7" cm="1">
        <f t="array" ref="W729">IF(OR(TRIM(K729)="",TRIM(K729)="-"), MEDIAN(IF($E$2:$E$1500=E729,$K$2:$K$1500)),  VALUE(SUBSTITUTE(SUBSTITUTE(SUBSTITUTE(K729,"Rs. ",""),"₹",""),",","")))</f>
        <v>9818</v>
      </c>
      <c r="X729" s="8">
        <f t="shared" si="118"/>
        <v>0</v>
      </c>
      <c r="Y729" s="7">
        <f t="shared" si="119"/>
        <v>9818</v>
      </c>
      <c r="Z729" s="9" t="str">
        <f t="shared" si="111"/>
        <v>ADULT</v>
      </c>
    </row>
    <row r="730" spans="1:26" x14ac:dyDescent="0.3">
      <c r="A730" s="5" t="s">
        <v>1601</v>
      </c>
      <c r="B730" s="5" t="s">
        <v>45</v>
      </c>
      <c r="C730" s="5" t="s">
        <v>46</v>
      </c>
      <c r="D730" s="5" t="s">
        <v>36</v>
      </c>
      <c r="E730" s="5" t="s">
        <v>17</v>
      </c>
      <c r="F730" s="5" t="s">
        <v>18</v>
      </c>
      <c r="G730" s="5" t="s">
        <v>30</v>
      </c>
      <c r="H730" s="5">
        <v>62</v>
      </c>
      <c r="I730" s="5" t="s">
        <v>20</v>
      </c>
      <c r="J730" s="34" t="s">
        <v>708</v>
      </c>
      <c r="K730" s="31" t="s">
        <v>1602</v>
      </c>
      <c r="L730" s="5" t="s">
        <v>52</v>
      </c>
      <c r="M730" s="32" t="s">
        <v>130</v>
      </c>
      <c r="N730" s="6">
        <f t="shared" si="112"/>
        <v>0</v>
      </c>
      <c r="O730" s="4" t="s">
        <v>18</v>
      </c>
      <c r="P730" s="5" t="str">
        <f t="shared" si="113"/>
        <v>Chennai</v>
      </c>
      <c r="Q730" s="5" t="str">
        <f t="shared" si="114"/>
        <v>Gynecology</v>
      </c>
      <c r="R730" s="6" t="str">
        <f t="shared" si="115"/>
        <v>Fortis</v>
      </c>
      <c r="S730" s="6" t="str">
        <f t="shared" si="116"/>
        <v>Credit Card</v>
      </c>
      <c r="T730" s="6" t="str">
        <f t="shared" si="117"/>
        <v>Male</v>
      </c>
      <c r="U730" s="6" t="str">
        <f t="shared" si="120"/>
        <v>General</v>
      </c>
      <c r="V730" s="6" t="str" cm="1">
        <f t="array" ref="V730">IF(TRIM(S730)="",INDEX($S$2:$S$1500,MATCH(MAX(COUNTIF($S$2:$S$1500,S730)),COUNTIF($S$2:$S$1500,$S$2:$S$1500),0)),S730)</f>
        <v>Credit Card</v>
      </c>
      <c r="W730" s="7" cm="1">
        <f t="array" ref="W730">IF(OR(TRIM(K730)="",TRIM(K730)="-"), MEDIAN(IF($E$2:$E$1500=E730,$K$2:$K$1500)),  VALUE(SUBSTITUTE(SUBSTITUTE(SUBSTITUTE(K730,"Rs. ",""),"₹",""),",","")))</f>
        <v>16721</v>
      </c>
      <c r="X730" s="8">
        <f t="shared" si="118"/>
        <v>0</v>
      </c>
      <c r="Y730" s="7">
        <f t="shared" si="119"/>
        <v>16721</v>
      </c>
      <c r="Z730" s="9" t="str">
        <f t="shared" si="111"/>
        <v>SENIOR</v>
      </c>
    </row>
    <row r="731" spans="1:26" x14ac:dyDescent="0.3">
      <c r="A731" s="5" t="s">
        <v>1603</v>
      </c>
      <c r="B731" s="5" t="s">
        <v>14</v>
      </c>
      <c r="C731" s="5" t="s">
        <v>60</v>
      </c>
      <c r="D731" s="5" t="s">
        <v>80</v>
      </c>
      <c r="E731" s="5" t="s">
        <v>28</v>
      </c>
      <c r="F731" s="5" t="s">
        <v>259</v>
      </c>
      <c r="G731" s="5" t="s">
        <v>62</v>
      </c>
      <c r="H731" s="5">
        <v>42</v>
      </c>
      <c r="I731" s="5" t="s">
        <v>31</v>
      </c>
      <c r="J731" s="34" t="s">
        <v>1604</v>
      </c>
      <c r="K731" s="31" t="s">
        <v>1605</v>
      </c>
      <c r="L731" s="5" t="s">
        <v>34</v>
      </c>
      <c r="M731" s="32" t="s">
        <v>64</v>
      </c>
      <c r="N731" s="6" t="str">
        <f t="shared" si="112"/>
        <v>NA</v>
      </c>
      <c r="O731" s="4" t="s">
        <v>259</v>
      </c>
      <c r="P731" s="5" t="str">
        <f t="shared" si="113"/>
        <v>Ahmedabad</v>
      </c>
      <c r="Q731" s="5" t="str">
        <f t="shared" si="114"/>
        <v>Oncology</v>
      </c>
      <c r="R731" s="6" t="str">
        <f t="shared" si="115"/>
        <v>Max_Healthcare</v>
      </c>
      <c r="S731" s="6" t="str">
        <f t="shared" si="116"/>
        <v>Cash</v>
      </c>
      <c r="T731" s="6" t="str">
        <f t="shared" si="117"/>
        <v>Male</v>
      </c>
      <c r="U731" s="6" t="str">
        <f t="shared" si="120"/>
        <v>ICU</v>
      </c>
      <c r="V731" s="6" t="str" cm="1">
        <f t="array" ref="V731">IF(TRIM(S731)="",INDEX($S$2:$S$1500,MATCH(MAX(COUNTIF($S$2:$S$1500,S731)),COUNTIF($S$2:$S$1500,$S$2:$S$1500),0)),S731)</f>
        <v>Cash</v>
      </c>
      <c r="W731" s="7" cm="1">
        <f t="array" ref="W731">IF(OR(TRIM(K731)="",TRIM(K731)="-"), MEDIAN(IF($E$2:$E$1500=E731,$K$2:$K$1500)),  VALUE(SUBSTITUTE(SUBSTITUTE(SUBSTITUTE(K731,"Rs. ",""),"₹",""),",","")))</f>
        <v>65448</v>
      </c>
      <c r="X731" s="8">
        <f t="shared" si="118"/>
        <v>3</v>
      </c>
      <c r="Y731" s="7">
        <f t="shared" si="119"/>
        <v>63485</v>
      </c>
      <c r="Z731" s="9" t="str">
        <f t="shared" si="111"/>
        <v>ADULT</v>
      </c>
    </row>
    <row r="732" spans="1:26" x14ac:dyDescent="0.3">
      <c r="A732" s="5" t="s">
        <v>1606</v>
      </c>
      <c r="B732" s="5" t="s">
        <v>45</v>
      </c>
      <c r="C732" s="5" t="s">
        <v>334</v>
      </c>
      <c r="D732" s="5" t="s">
        <v>27</v>
      </c>
      <c r="E732" s="5" t="s">
        <v>93</v>
      </c>
      <c r="F732" s="5" t="s">
        <v>144</v>
      </c>
      <c r="G732" s="5" t="s">
        <v>19</v>
      </c>
      <c r="H732" s="5">
        <v>58</v>
      </c>
      <c r="I732" s="5" t="s">
        <v>20</v>
      </c>
      <c r="J732" s="34" t="s">
        <v>723</v>
      </c>
      <c r="K732" s="31" t="s">
        <v>1607</v>
      </c>
      <c r="L732" s="5" t="s">
        <v>211</v>
      </c>
      <c r="M732" s="32" t="s">
        <v>64</v>
      </c>
      <c r="N732" s="6" t="str">
        <f t="shared" si="112"/>
        <v>NA</v>
      </c>
      <c r="O732" s="4" t="s">
        <v>144</v>
      </c>
      <c r="P732" s="5" t="str">
        <f t="shared" si="113"/>
        <v>Mumbai</v>
      </c>
      <c r="Q732" s="5" t="str">
        <f t="shared" si="114"/>
        <v>Nephrology</v>
      </c>
      <c r="R732" s="6" t="str">
        <f t="shared" si="115"/>
        <v>Fortis</v>
      </c>
      <c r="S732" s="6" t="str">
        <f t="shared" si="116"/>
        <v>Credit Card</v>
      </c>
      <c r="T732" s="6" t="str">
        <f t="shared" si="117"/>
        <v>Male</v>
      </c>
      <c r="U732" s="6" t="str">
        <f t="shared" si="120"/>
        <v>General</v>
      </c>
      <c r="V732" s="6" t="str" cm="1">
        <f t="array" ref="V732">IF(TRIM(S732)="",INDEX($S$2:$S$1500,MATCH(MAX(COUNTIF($S$2:$S$1500,S732)),COUNTIF($S$2:$S$1500,$S$2:$S$1500),0)),S732)</f>
        <v>Credit Card</v>
      </c>
      <c r="W732" s="7" cm="1">
        <f t="array" ref="W732">IF(OR(TRIM(K732)="",TRIM(K732)="-"), MEDIAN(IF($E$2:$E$1500=E732,$K$2:$K$1500)),  VALUE(SUBSTITUTE(SUBSTITUTE(SUBSTITUTE(K732,"Rs. ",""),"₹",""),",","")))</f>
        <v>11852</v>
      </c>
      <c r="X732" s="8">
        <f t="shared" si="118"/>
        <v>3</v>
      </c>
      <c r="Y732" s="7">
        <f t="shared" si="119"/>
        <v>11496</v>
      </c>
      <c r="Z732" s="9" t="str">
        <f t="shared" si="111"/>
        <v>ADULT</v>
      </c>
    </row>
    <row r="733" spans="1:26" x14ac:dyDescent="0.3">
      <c r="A733" s="5" t="s">
        <v>1608</v>
      </c>
      <c r="B733" s="5" t="s">
        <v>14</v>
      </c>
      <c r="C733" s="5" t="s">
        <v>60</v>
      </c>
      <c r="D733" s="5" t="s">
        <v>80</v>
      </c>
      <c r="E733" s="5" t="s">
        <v>28</v>
      </c>
      <c r="F733" s="5" t="s">
        <v>29</v>
      </c>
      <c r="G733" s="5" t="s">
        <v>101</v>
      </c>
      <c r="H733" s="5">
        <v>22</v>
      </c>
      <c r="I733" s="5" t="s">
        <v>40</v>
      </c>
      <c r="J733" s="34" t="s">
        <v>1609</v>
      </c>
      <c r="K733" s="31" t="s">
        <v>1610</v>
      </c>
      <c r="L733" s="5" t="s">
        <v>211</v>
      </c>
      <c r="M733" s="32">
        <v>0</v>
      </c>
      <c r="N733" s="6">
        <f t="shared" si="112"/>
        <v>0</v>
      </c>
      <c r="O733" s="4" t="s">
        <v>29</v>
      </c>
      <c r="P733" s="5" t="str">
        <f t="shared" si="113"/>
        <v>Ahmedabad</v>
      </c>
      <c r="Q733" s="5" t="str">
        <f t="shared" si="114"/>
        <v>Oncology</v>
      </c>
      <c r="R733" s="6" t="str">
        <f t="shared" si="115"/>
        <v>Max_Healthcare</v>
      </c>
      <c r="S733" s="6" t="str">
        <f t="shared" si="116"/>
        <v>Credit Card</v>
      </c>
      <c r="T733" s="6" t="str">
        <f t="shared" si="117"/>
        <v>Female</v>
      </c>
      <c r="U733" s="6" t="str">
        <f t="shared" si="120"/>
        <v>ICU</v>
      </c>
      <c r="V733" s="6" t="str" cm="1">
        <f t="array" ref="V733">IF(TRIM(S733)="",INDEX($S$2:$S$1500,MATCH(MAX(COUNTIF($S$2:$S$1500,S733)),COUNTIF($S$2:$S$1500,$S$2:$S$1500),0)),S733)</f>
        <v>Credit Card</v>
      </c>
      <c r="W733" s="7" cm="1">
        <f t="array" ref="W733">IF(OR(TRIM(K733)="",TRIM(K733)="-"), MEDIAN(IF($E$2:$E$1500=E733,$K$2:$K$1500)),  VALUE(SUBSTITUTE(SUBSTITUTE(SUBSTITUTE(K733,"Rs. ",""),"₹",""),",","")))</f>
        <v>81046</v>
      </c>
      <c r="X733" s="8">
        <f t="shared" si="118"/>
        <v>0</v>
      </c>
      <c r="Y733" s="7">
        <f t="shared" si="119"/>
        <v>81046</v>
      </c>
      <c r="Z733" s="9" t="str">
        <f t="shared" si="111"/>
        <v>ADULT</v>
      </c>
    </row>
    <row r="734" spans="1:26" x14ac:dyDescent="0.3">
      <c r="A734" s="5" t="s">
        <v>1611</v>
      </c>
      <c r="B734" s="5" t="s">
        <v>45</v>
      </c>
      <c r="C734" s="5" t="s">
        <v>46</v>
      </c>
      <c r="D734" s="5" t="s">
        <v>16</v>
      </c>
      <c r="E734" s="5" t="s">
        <v>28</v>
      </c>
      <c r="F734" s="5" t="s">
        <v>268</v>
      </c>
      <c r="G734" s="5" t="s">
        <v>19</v>
      </c>
      <c r="H734" s="5">
        <v>32</v>
      </c>
      <c r="I734" s="5" t="s">
        <v>70</v>
      </c>
      <c r="J734" s="34" t="s">
        <v>1612</v>
      </c>
      <c r="K734" s="31" t="s">
        <v>1613</v>
      </c>
      <c r="L734" s="5" t="s">
        <v>211</v>
      </c>
      <c r="M734" s="32">
        <v>0</v>
      </c>
      <c r="N734" s="6">
        <f t="shared" si="112"/>
        <v>0</v>
      </c>
      <c r="O734" s="4" t="s">
        <v>268</v>
      </c>
      <c r="P734" s="5" t="str">
        <f t="shared" si="113"/>
        <v>Bangalore</v>
      </c>
      <c r="Q734" s="5" t="str">
        <f t="shared" si="114"/>
        <v>Oncology</v>
      </c>
      <c r="R734" s="6" t="str">
        <f t="shared" si="115"/>
        <v>Fortis</v>
      </c>
      <c r="S734" s="6" t="str">
        <f t="shared" si="116"/>
        <v>Credit Card</v>
      </c>
      <c r="T734" s="6" t="str">
        <f t="shared" si="117"/>
        <v>Female</v>
      </c>
      <c r="U734" s="6" t="str">
        <f t="shared" si="120"/>
        <v>General</v>
      </c>
      <c r="V734" s="6" t="str" cm="1">
        <f t="array" ref="V734">IF(TRIM(S734)="",INDEX($S$2:$S$1500,MATCH(MAX(COUNTIF($S$2:$S$1500,S734)),COUNTIF($S$2:$S$1500,$S$2:$S$1500),0)),S734)</f>
        <v>Credit Card</v>
      </c>
      <c r="W734" s="7" cm="1">
        <f t="array" ref="W734">IF(OR(TRIM(K734)="",TRIM(K734)="-"), MEDIAN(IF($E$2:$E$1500=E734,$K$2:$K$1500)),  VALUE(SUBSTITUTE(SUBSTITUTE(SUBSTITUTE(K734,"Rs. ",""),"₹",""),",","")))</f>
        <v>18794</v>
      </c>
      <c r="X734" s="8">
        <f t="shared" si="118"/>
        <v>0</v>
      </c>
      <c r="Y734" s="7">
        <f t="shared" si="119"/>
        <v>18794</v>
      </c>
      <c r="Z734" s="9" t="str">
        <f t="shared" si="111"/>
        <v>ADULT</v>
      </c>
    </row>
    <row r="735" spans="1:26" x14ac:dyDescent="0.3">
      <c r="A735" s="5" t="s">
        <v>1614</v>
      </c>
      <c r="B735" s="5" t="s">
        <v>45</v>
      </c>
      <c r="C735" s="5" t="s">
        <v>46</v>
      </c>
      <c r="D735" s="5" t="s">
        <v>80</v>
      </c>
      <c r="E735" s="5" t="s">
        <v>28</v>
      </c>
      <c r="F735" s="5" t="s">
        <v>290</v>
      </c>
      <c r="G735" s="5" t="s">
        <v>69</v>
      </c>
      <c r="H735" s="5">
        <v>39</v>
      </c>
      <c r="I735" s="5" t="s">
        <v>40</v>
      </c>
      <c r="J735" s="34" t="s">
        <v>1313</v>
      </c>
      <c r="K735" s="31">
        <v>70056</v>
      </c>
      <c r="L735" s="5" t="s">
        <v>236</v>
      </c>
      <c r="M735" s="32">
        <v>5</v>
      </c>
      <c r="N735" s="6">
        <f t="shared" si="112"/>
        <v>5</v>
      </c>
      <c r="O735" s="4" t="s">
        <v>290</v>
      </c>
      <c r="P735" s="5" t="str">
        <f t="shared" si="113"/>
        <v>Ahmedabad</v>
      </c>
      <c r="Q735" s="5" t="str">
        <f t="shared" si="114"/>
        <v>Oncology</v>
      </c>
      <c r="R735" s="6" t="str">
        <f t="shared" si="115"/>
        <v>Fortis</v>
      </c>
      <c r="S735" s="6" t="str">
        <f t="shared" si="116"/>
        <v>Debit Card</v>
      </c>
      <c r="T735" s="6" t="str">
        <f t="shared" si="117"/>
        <v>Female</v>
      </c>
      <c r="U735" s="6" t="str">
        <f t="shared" si="120"/>
        <v>ICU</v>
      </c>
      <c r="V735" s="6" t="str" cm="1">
        <f t="array" ref="V735">IF(TRIM(S735)="",INDEX($S$2:$S$1500,MATCH(MAX(COUNTIF($S$2:$S$1500,S735)),COUNTIF($S$2:$S$1500,$S$2:$S$1500),0)),S735)</f>
        <v>Debit Card</v>
      </c>
      <c r="W735" s="7" cm="1">
        <f t="array" ref="W735">IF(OR(TRIM(K735)="",TRIM(K735)="-"), MEDIAN(IF($E$2:$E$1500=E735,$K$2:$K$1500)),  VALUE(SUBSTITUTE(SUBSTITUTE(SUBSTITUTE(K735,"Rs. ",""),"₹",""),",","")))</f>
        <v>70056</v>
      </c>
      <c r="X735" s="8">
        <f t="shared" si="118"/>
        <v>5</v>
      </c>
      <c r="Y735" s="7">
        <f t="shared" si="119"/>
        <v>66553</v>
      </c>
      <c r="Z735" s="9" t="str">
        <f t="shared" si="111"/>
        <v>ADULT</v>
      </c>
    </row>
    <row r="736" spans="1:26" x14ac:dyDescent="0.3">
      <c r="A736" s="5" t="s">
        <v>1615</v>
      </c>
      <c r="B736" s="5" t="s">
        <v>106</v>
      </c>
      <c r="C736" s="5" t="s">
        <v>107</v>
      </c>
      <c r="D736" s="5" t="s">
        <v>36</v>
      </c>
      <c r="E736" s="5" t="s">
        <v>17</v>
      </c>
      <c r="F736" s="5" t="s">
        <v>169</v>
      </c>
      <c r="G736" s="5" t="s">
        <v>19</v>
      </c>
      <c r="H736" s="5">
        <v>91</v>
      </c>
      <c r="I736" s="5" t="s">
        <v>31</v>
      </c>
      <c r="J736" s="34" t="s">
        <v>294</v>
      </c>
      <c r="K736" s="31" t="s">
        <v>1616</v>
      </c>
      <c r="L736" s="5" t="s">
        <v>83</v>
      </c>
      <c r="M736" s="32"/>
      <c r="N736" s="6">
        <f t="shared" si="112"/>
        <v>0</v>
      </c>
      <c r="O736" s="4" t="s">
        <v>169</v>
      </c>
      <c r="P736" s="5" t="str">
        <f t="shared" si="113"/>
        <v>Chennai</v>
      </c>
      <c r="Q736" s="5" t="str">
        <f t="shared" si="114"/>
        <v>Gynecology</v>
      </c>
      <c r="R736" s="6" t="str">
        <f t="shared" si="115"/>
        <v>Aiims</v>
      </c>
      <c r="S736" s="6" t="str">
        <f t="shared" si="116"/>
        <v>Debit Card</v>
      </c>
      <c r="T736" s="6" t="str">
        <f t="shared" si="117"/>
        <v>Male</v>
      </c>
      <c r="U736" s="6" t="str">
        <f t="shared" si="120"/>
        <v>General</v>
      </c>
      <c r="V736" s="6" t="str" cm="1">
        <f t="array" ref="V736">IF(TRIM(S736)="",INDEX($S$2:$S$1500,MATCH(MAX(COUNTIF($S$2:$S$1500,S736)),COUNTIF($S$2:$S$1500,$S$2:$S$1500),0)),S736)</f>
        <v>Debit Card</v>
      </c>
      <c r="W736" s="7" cm="1">
        <f t="array" ref="W736">IF(OR(TRIM(K736)="",TRIM(K736)="-"), MEDIAN(IF($E$2:$E$1500=E736,$K$2:$K$1500)),  VALUE(SUBSTITUTE(SUBSTITUTE(SUBSTITUTE(K736,"Rs. ",""),"₹",""),",","")))</f>
        <v>11534</v>
      </c>
      <c r="X736" s="8">
        <f t="shared" si="118"/>
        <v>0</v>
      </c>
      <c r="Y736" s="7">
        <f t="shared" si="119"/>
        <v>11534</v>
      </c>
      <c r="Z736" s="9" t="str">
        <f t="shared" si="111"/>
        <v>SENIOR</v>
      </c>
    </row>
    <row r="737" spans="1:26" x14ac:dyDescent="0.3">
      <c r="A737" s="5" t="s">
        <v>1617</v>
      </c>
      <c r="B737" s="5" t="s">
        <v>25</v>
      </c>
      <c r="C737" s="5" t="s">
        <v>54</v>
      </c>
      <c r="D737" s="5" t="s">
        <v>27</v>
      </c>
      <c r="E737" s="5" t="s">
        <v>17</v>
      </c>
      <c r="F737" s="5" t="s">
        <v>169</v>
      </c>
      <c r="G737" s="5" t="s">
        <v>30</v>
      </c>
      <c r="H737" s="5">
        <v>88</v>
      </c>
      <c r="I737" s="5" t="s">
        <v>40</v>
      </c>
      <c r="J737" s="34" t="s">
        <v>269</v>
      </c>
      <c r="K737" s="31" t="s">
        <v>1618</v>
      </c>
      <c r="L737" s="5" t="s">
        <v>34</v>
      </c>
      <c r="M737" s="32" t="s">
        <v>140</v>
      </c>
      <c r="N737" s="6" t="str">
        <f t="shared" si="112"/>
        <v>-</v>
      </c>
      <c r="O737" s="4" t="s">
        <v>169</v>
      </c>
      <c r="P737" s="5" t="str">
        <f t="shared" si="113"/>
        <v>Mumbai</v>
      </c>
      <c r="Q737" s="5" t="str">
        <f t="shared" si="114"/>
        <v>Gynecology</v>
      </c>
      <c r="R737" s="6" t="str">
        <f t="shared" si="115"/>
        <v>Narayana</v>
      </c>
      <c r="S737" s="6" t="str">
        <f t="shared" si="116"/>
        <v>Cash</v>
      </c>
      <c r="T737" s="6" t="str">
        <f t="shared" si="117"/>
        <v>Female</v>
      </c>
      <c r="U737" s="6" t="str">
        <f t="shared" si="120"/>
        <v>General</v>
      </c>
      <c r="V737" s="6" t="str" cm="1">
        <f t="array" ref="V737">IF(TRIM(S737)="",INDEX($S$2:$S$1500,MATCH(MAX(COUNTIF($S$2:$S$1500,S737)),COUNTIF($S$2:$S$1500,$S$2:$S$1500),0)),S737)</f>
        <v>Cash</v>
      </c>
      <c r="W737" s="7" cm="1">
        <f t="array" ref="W737">IF(OR(TRIM(K737)="",TRIM(K737)="-"), MEDIAN(IF($E$2:$E$1500=E737,$K$2:$K$1500)),  VALUE(SUBSTITUTE(SUBSTITUTE(SUBSTITUTE(K737,"Rs. ",""),"₹",""),",","")))</f>
        <v>10511</v>
      </c>
      <c r="X737" s="8">
        <f t="shared" si="118"/>
        <v>3</v>
      </c>
      <c r="Y737" s="7">
        <f t="shared" si="119"/>
        <v>10196</v>
      </c>
      <c r="Z737" s="9" t="str">
        <f t="shared" si="111"/>
        <v>SENIOR</v>
      </c>
    </row>
    <row r="738" spans="1:26" x14ac:dyDescent="0.3">
      <c r="A738" s="5" t="s">
        <v>1619</v>
      </c>
      <c r="B738" s="5" t="s">
        <v>78</v>
      </c>
      <c r="C738" s="5" t="s">
        <v>79</v>
      </c>
      <c r="D738" s="5" t="s">
        <v>16</v>
      </c>
      <c r="E738" s="5" t="s">
        <v>28</v>
      </c>
      <c r="F738" s="5" t="s">
        <v>29</v>
      </c>
      <c r="G738" s="5" t="s">
        <v>49</v>
      </c>
      <c r="H738" s="5">
        <v>76</v>
      </c>
      <c r="I738" s="5" t="s">
        <v>31</v>
      </c>
      <c r="J738" s="34" t="s">
        <v>279</v>
      </c>
      <c r="K738" s="31">
        <v>15334</v>
      </c>
      <c r="L738" s="5" t="s">
        <v>115</v>
      </c>
      <c r="M738" s="32">
        <v>0</v>
      </c>
      <c r="N738" s="6">
        <f t="shared" si="112"/>
        <v>0</v>
      </c>
      <c r="O738" s="4" t="s">
        <v>29</v>
      </c>
      <c r="P738" s="5" t="str">
        <f t="shared" si="113"/>
        <v>Bangalore</v>
      </c>
      <c r="Q738" s="5" t="str">
        <f t="shared" si="114"/>
        <v>Oncology</v>
      </c>
      <c r="R738" s="6" t="str">
        <f t="shared" si="115"/>
        <v>Apollo</v>
      </c>
      <c r="S738" s="6" t="str">
        <f t="shared" si="116"/>
        <v>Cash</v>
      </c>
      <c r="T738" s="6" t="str">
        <f t="shared" si="117"/>
        <v>Male</v>
      </c>
      <c r="U738" s="6" t="str">
        <f t="shared" si="120"/>
        <v>General</v>
      </c>
      <c r="V738" s="6" t="str" cm="1">
        <f t="array" ref="V738">IF(TRIM(S738)="",INDEX($S$2:$S$1500,MATCH(MAX(COUNTIF($S$2:$S$1500,S738)),COUNTIF($S$2:$S$1500,$S$2:$S$1500),0)),S738)</f>
        <v>Cash</v>
      </c>
      <c r="W738" s="7" cm="1">
        <f t="array" ref="W738">IF(OR(TRIM(K738)="",TRIM(K738)="-"), MEDIAN(IF($E$2:$E$1500=E738,$K$2:$K$1500)),  VALUE(SUBSTITUTE(SUBSTITUTE(SUBSTITUTE(K738,"Rs. ",""),"₹",""),",","")))</f>
        <v>15334</v>
      </c>
      <c r="X738" s="8">
        <f t="shared" si="118"/>
        <v>0</v>
      </c>
      <c r="Y738" s="7">
        <f t="shared" si="119"/>
        <v>15334</v>
      </c>
      <c r="Z738" s="9" t="str">
        <f t="shared" si="111"/>
        <v>SENIOR</v>
      </c>
    </row>
    <row r="739" spans="1:26" x14ac:dyDescent="0.3">
      <c r="A739" s="5" t="s">
        <v>1620</v>
      </c>
      <c r="B739" s="5" t="s">
        <v>106</v>
      </c>
      <c r="C739" s="5" t="s">
        <v>107</v>
      </c>
      <c r="D739" s="5" t="s">
        <v>61</v>
      </c>
      <c r="E739" s="5" t="s">
        <v>37</v>
      </c>
      <c r="F739" s="5" t="s">
        <v>56</v>
      </c>
      <c r="G739" s="5" t="s">
        <v>19</v>
      </c>
      <c r="H739" s="5">
        <v>84</v>
      </c>
      <c r="I739" s="5" t="s">
        <v>20</v>
      </c>
      <c r="J739" s="34" t="s">
        <v>1201</v>
      </c>
      <c r="K739" s="31" t="s">
        <v>1621</v>
      </c>
      <c r="L739" s="5" t="s">
        <v>97</v>
      </c>
      <c r="M739" s="32">
        <v>5</v>
      </c>
      <c r="N739" s="6">
        <f t="shared" si="112"/>
        <v>5</v>
      </c>
      <c r="O739" s="4" t="s">
        <v>56</v>
      </c>
      <c r="P739" s="5" t="str">
        <f t="shared" si="113"/>
        <v>Pune</v>
      </c>
      <c r="Q739" s="5" t="str">
        <f t="shared" si="114"/>
        <v>Pediatrics</v>
      </c>
      <c r="R739" s="6" t="str">
        <f t="shared" si="115"/>
        <v>Aiims</v>
      </c>
      <c r="S739" s="6" t="str">
        <f t="shared" si="116"/>
        <v>UPI</v>
      </c>
      <c r="T739" s="6" t="str">
        <f t="shared" si="117"/>
        <v>Male</v>
      </c>
      <c r="U739" s="6" t="str">
        <f t="shared" si="120"/>
        <v>General</v>
      </c>
      <c r="V739" s="6" t="str" cm="1">
        <f t="array" ref="V739">IF(TRIM(S739)="",INDEX($S$2:$S$1500,MATCH(MAX(COUNTIF($S$2:$S$1500,S739)),COUNTIF($S$2:$S$1500,$S$2:$S$1500),0)),S739)</f>
        <v>UPI</v>
      </c>
      <c r="W739" s="7" cm="1">
        <f t="array" ref="W739">IF(OR(TRIM(K739)="",TRIM(K739)="-"), MEDIAN(IF($E$2:$E$1500=E739,$K$2:$K$1500)),  VALUE(SUBSTITUTE(SUBSTITUTE(SUBSTITUTE(K739,"Rs. ",""),"₹",""),",","")))</f>
        <v>10276</v>
      </c>
      <c r="X739" s="8">
        <f t="shared" si="118"/>
        <v>5</v>
      </c>
      <c r="Y739" s="7">
        <f t="shared" si="119"/>
        <v>9762</v>
      </c>
      <c r="Z739" s="9" t="str">
        <f t="shared" si="111"/>
        <v>SENIOR</v>
      </c>
    </row>
    <row r="740" spans="1:26" x14ac:dyDescent="0.3">
      <c r="A740" s="5" t="s">
        <v>1622</v>
      </c>
      <c r="B740" s="5" t="s">
        <v>14</v>
      </c>
      <c r="C740" s="5" t="s">
        <v>60</v>
      </c>
      <c r="D740" s="5" t="s">
        <v>66</v>
      </c>
      <c r="E740" s="5" t="s">
        <v>17</v>
      </c>
      <c r="F740" s="5" t="s">
        <v>169</v>
      </c>
      <c r="G740" s="5" t="s">
        <v>30</v>
      </c>
      <c r="H740" s="5">
        <v>80</v>
      </c>
      <c r="I740" s="5" t="s">
        <v>20</v>
      </c>
      <c r="J740" s="34" t="s">
        <v>328</v>
      </c>
      <c r="K740" s="31" t="s">
        <v>1623</v>
      </c>
      <c r="L740" s="5" t="s">
        <v>211</v>
      </c>
      <c r="M740" s="32"/>
      <c r="N740" s="6">
        <f t="shared" si="112"/>
        <v>0</v>
      </c>
      <c r="O740" s="4" t="s">
        <v>169</v>
      </c>
      <c r="P740" s="5" t="str">
        <f t="shared" si="113"/>
        <v>Kolkata</v>
      </c>
      <c r="Q740" s="5" t="str">
        <f t="shared" si="114"/>
        <v>Gynecology</v>
      </c>
      <c r="R740" s="6" t="str">
        <f t="shared" si="115"/>
        <v>Max_Healthcare</v>
      </c>
      <c r="S740" s="6" t="str">
        <f t="shared" si="116"/>
        <v>Credit Card</v>
      </c>
      <c r="T740" s="6" t="str">
        <f t="shared" si="117"/>
        <v>Male</v>
      </c>
      <c r="U740" s="6" t="str">
        <f t="shared" si="120"/>
        <v>General</v>
      </c>
      <c r="V740" s="6" t="str" cm="1">
        <f t="array" ref="V740">IF(TRIM(S740)="",INDEX($S$2:$S$1500,MATCH(MAX(COUNTIF($S$2:$S$1500,S740)),COUNTIF($S$2:$S$1500,$S$2:$S$1500),0)),S740)</f>
        <v>Credit Card</v>
      </c>
      <c r="W740" s="7" cm="1">
        <f t="array" ref="W740">IF(OR(TRIM(K740)="",TRIM(K740)="-"), MEDIAN(IF($E$2:$E$1500=E740,$K$2:$K$1500)),  VALUE(SUBSTITUTE(SUBSTITUTE(SUBSTITUTE(K740,"Rs. ",""),"₹",""),",","")))</f>
        <v>6853</v>
      </c>
      <c r="X740" s="8">
        <f t="shared" si="118"/>
        <v>0</v>
      </c>
      <c r="Y740" s="7">
        <f t="shared" si="119"/>
        <v>6853</v>
      </c>
      <c r="Z740" s="9" t="str">
        <f t="shared" si="111"/>
        <v>SENIOR</v>
      </c>
    </row>
    <row r="741" spans="1:26" x14ac:dyDescent="0.3">
      <c r="A741" s="5" t="s">
        <v>1624</v>
      </c>
      <c r="B741" s="5" t="s">
        <v>45</v>
      </c>
      <c r="C741" s="5" t="s">
        <v>46</v>
      </c>
      <c r="D741" s="5" t="s">
        <v>27</v>
      </c>
      <c r="E741" s="5" t="s">
        <v>47</v>
      </c>
      <c r="F741" s="5" t="s">
        <v>48</v>
      </c>
      <c r="G741" s="5" t="s">
        <v>39</v>
      </c>
      <c r="H741" s="5">
        <v>40</v>
      </c>
      <c r="I741" s="5" t="s">
        <v>20</v>
      </c>
      <c r="J741" s="34" t="s">
        <v>902</v>
      </c>
      <c r="K741" s="31" t="s">
        <v>1625</v>
      </c>
      <c r="L741" s="5" t="s">
        <v>149</v>
      </c>
      <c r="M741" s="32" t="s">
        <v>1626</v>
      </c>
      <c r="N741" s="6">
        <f t="shared" si="112"/>
        <v>40</v>
      </c>
      <c r="O741" s="4" t="s">
        <v>48</v>
      </c>
      <c r="P741" s="5" t="str">
        <f t="shared" si="113"/>
        <v>Mumbai</v>
      </c>
      <c r="Q741" s="5" t="str">
        <f t="shared" si="114"/>
        <v>Gastroenterology</v>
      </c>
      <c r="R741" s="6" t="str">
        <f t="shared" si="115"/>
        <v>Fortis</v>
      </c>
      <c r="S741" s="6" t="str">
        <f t="shared" si="116"/>
        <v>Insurance</v>
      </c>
      <c r="T741" s="6" t="str">
        <f t="shared" si="117"/>
        <v>Male</v>
      </c>
      <c r="U741" s="6" t="str">
        <f t="shared" si="120"/>
        <v>General</v>
      </c>
      <c r="V741" s="6" t="str" cm="1">
        <f t="array" ref="V741">IF(TRIM(S741)="",INDEX($S$2:$S$1500,MATCH(MAX(COUNTIF($S$2:$S$1500,S741)),COUNTIF($S$2:$S$1500,$S$2:$S$1500),0)),S741)</f>
        <v>Insurance</v>
      </c>
      <c r="W741" s="7" cm="1">
        <f t="array" ref="W741">IF(OR(TRIM(K741)="",TRIM(K741)="-"), MEDIAN(IF($E$2:$E$1500=E741,$K$2:$K$1500)),  VALUE(SUBSTITUTE(SUBSTITUTE(SUBSTITUTE(K741,"Rs. ",""),"₹",""),",","")))</f>
        <v>13968</v>
      </c>
      <c r="X741" s="8">
        <f t="shared" si="118"/>
        <v>40</v>
      </c>
      <c r="Y741" s="7">
        <f t="shared" si="119"/>
        <v>8381</v>
      </c>
      <c r="Z741" s="9" t="str">
        <f t="shared" si="111"/>
        <v>ADULT</v>
      </c>
    </row>
    <row r="742" spans="1:26" x14ac:dyDescent="0.3">
      <c r="A742" s="5" t="s">
        <v>1627</v>
      </c>
      <c r="B742" s="5" t="s">
        <v>78</v>
      </c>
      <c r="C742" s="5" t="s">
        <v>203</v>
      </c>
      <c r="D742" s="5" t="s">
        <v>27</v>
      </c>
      <c r="E742" s="5" t="s">
        <v>99</v>
      </c>
      <c r="F742" s="5" t="s">
        <v>372</v>
      </c>
      <c r="G742" s="5" t="s">
        <v>62</v>
      </c>
      <c r="H742" s="5">
        <v>13</v>
      </c>
      <c r="I742" s="5" t="s">
        <v>40</v>
      </c>
      <c r="J742" s="34" t="s">
        <v>1497</v>
      </c>
      <c r="K742" s="31" t="s">
        <v>1628</v>
      </c>
      <c r="L742" s="5" t="s">
        <v>167</v>
      </c>
      <c r="M742" s="32">
        <v>35</v>
      </c>
      <c r="N742" s="6">
        <f t="shared" si="112"/>
        <v>35</v>
      </c>
      <c r="O742" s="4" t="s">
        <v>372</v>
      </c>
      <c r="P742" s="5" t="str">
        <f t="shared" si="113"/>
        <v>Mumbai</v>
      </c>
      <c r="Q742" s="5" t="str">
        <f t="shared" si="114"/>
        <v>Ent</v>
      </c>
      <c r="R742" s="6" t="str">
        <f t="shared" si="115"/>
        <v>Apollo</v>
      </c>
      <c r="S742" s="6" t="str">
        <f t="shared" si="116"/>
        <v>Insurance</v>
      </c>
      <c r="T742" s="6" t="str">
        <f t="shared" si="117"/>
        <v>Female</v>
      </c>
      <c r="U742" s="6" t="str">
        <f t="shared" si="120"/>
        <v>ICU</v>
      </c>
      <c r="V742" s="6" t="str" cm="1">
        <f t="array" ref="V742">IF(TRIM(S742)="",INDEX($S$2:$S$1500,MATCH(MAX(COUNTIF($S$2:$S$1500,S742)),COUNTIF($S$2:$S$1500,$S$2:$S$1500),0)),S742)</f>
        <v>Insurance</v>
      </c>
      <c r="W742" s="7" cm="1">
        <f t="array" ref="W742">IF(OR(TRIM(K742)="",TRIM(K742)="-"), MEDIAN(IF($E$2:$E$1500=E742,$K$2:$K$1500)),  VALUE(SUBSTITUTE(SUBSTITUTE(SUBSTITUTE(K742,"Rs. ",""),"₹",""),",","")))</f>
        <v>40193</v>
      </c>
      <c r="X742" s="8">
        <f t="shared" si="118"/>
        <v>35</v>
      </c>
      <c r="Y742" s="7">
        <f t="shared" si="119"/>
        <v>26125</v>
      </c>
      <c r="Z742" s="9" t="str">
        <f t="shared" si="111"/>
        <v>TEEN</v>
      </c>
    </row>
    <row r="743" spans="1:26" x14ac:dyDescent="0.3">
      <c r="A743" s="5" t="s">
        <v>1629</v>
      </c>
      <c r="B743" s="5" t="s">
        <v>106</v>
      </c>
      <c r="C743" s="5" t="s">
        <v>107</v>
      </c>
      <c r="D743" s="5" t="s">
        <v>36</v>
      </c>
      <c r="E743" s="5" t="s">
        <v>67</v>
      </c>
      <c r="F743" s="5" t="s">
        <v>196</v>
      </c>
      <c r="G743" s="5" t="s">
        <v>49</v>
      </c>
      <c r="H743" s="5">
        <v>9</v>
      </c>
      <c r="I743" s="5" t="s">
        <v>31</v>
      </c>
      <c r="J743" s="34" t="s">
        <v>1630</v>
      </c>
      <c r="K743" s="31" t="s">
        <v>1631</v>
      </c>
      <c r="L743" s="5" t="s">
        <v>72</v>
      </c>
      <c r="M743" s="32">
        <v>0</v>
      </c>
      <c r="N743" s="6">
        <f t="shared" si="112"/>
        <v>0</v>
      </c>
      <c r="O743" s="4" t="s">
        <v>196</v>
      </c>
      <c r="P743" s="5" t="str">
        <f t="shared" si="113"/>
        <v>Chennai</v>
      </c>
      <c r="Q743" s="5" t="str">
        <f t="shared" si="114"/>
        <v>Neurology</v>
      </c>
      <c r="R743" s="6" t="str">
        <f t="shared" si="115"/>
        <v>Aiims</v>
      </c>
      <c r="S743" s="6" t="str">
        <f t="shared" si="116"/>
        <v>Cash</v>
      </c>
      <c r="T743" s="6" t="str">
        <f t="shared" si="117"/>
        <v>Male</v>
      </c>
      <c r="U743" s="6" t="str">
        <f t="shared" si="120"/>
        <v>General</v>
      </c>
      <c r="V743" s="6" t="str" cm="1">
        <f t="array" ref="V743">IF(TRIM(S743)="",INDEX($S$2:$S$1500,MATCH(MAX(COUNTIF($S$2:$S$1500,S743)),COUNTIF($S$2:$S$1500,$S$2:$S$1500),0)),S743)</f>
        <v>Cash</v>
      </c>
      <c r="W743" s="7" cm="1">
        <f t="array" ref="W743">IF(OR(TRIM(K743)="",TRIM(K743)="-"), MEDIAN(IF($E$2:$E$1500=E743,$K$2:$K$1500)),  VALUE(SUBSTITUTE(SUBSTITUTE(SUBSTITUTE(K743,"Rs. ",""),"₹",""),",","")))</f>
        <v>18607</v>
      </c>
      <c r="X743" s="8">
        <f t="shared" si="118"/>
        <v>0</v>
      </c>
      <c r="Y743" s="7">
        <f t="shared" si="119"/>
        <v>18607</v>
      </c>
      <c r="Z743" s="9" t="str">
        <f t="shared" si="111"/>
        <v>CHILD</v>
      </c>
    </row>
    <row r="744" spans="1:26" x14ac:dyDescent="0.3">
      <c r="A744" s="5" t="s">
        <v>1632</v>
      </c>
      <c r="B744" s="5" t="s">
        <v>25</v>
      </c>
      <c r="C744" s="5" t="s">
        <v>54</v>
      </c>
      <c r="D744" s="5" t="s">
        <v>189</v>
      </c>
      <c r="E744" s="5" t="s">
        <v>74</v>
      </c>
      <c r="F744" s="5" t="s">
        <v>192</v>
      </c>
      <c r="G744" s="5" t="s">
        <v>101</v>
      </c>
      <c r="H744" s="5">
        <v>22</v>
      </c>
      <c r="I744" s="5" t="s">
        <v>70</v>
      </c>
      <c r="J744" s="34" t="s">
        <v>1488</v>
      </c>
      <c r="K744" s="31">
        <v>78743</v>
      </c>
      <c r="L744" s="5" t="s">
        <v>236</v>
      </c>
      <c r="M744" s="32" t="s">
        <v>76</v>
      </c>
      <c r="N744" s="6">
        <f t="shared" si="112"/>
        <v>10</v>
      </c>
      <c r="O744" s="4" t="s">
        <v>192</v>
      </c>
      <c r="P744" s="5" t="str">
        <f t="shared" si="113"/>
        <v>Delhi</v>
      </c>
      <c r="Q744" s="5" t="str">
        <f t="shared" si="114"/>
        <v>General Medicine</v>
      </c>
      <c r="R744" s="6" t="str">
        <f t="shared" si="115"/>
        <v>Narayana</v>
      </c>
      <c r="S744" s="6" t="str">
        <f t="shared" si="116"/>
        <v>Debit Card</v>
      </c>
      <c r="T744" s="6" t="str">
        <f t="shared" si="117"/>
        <v>Female</v>
      </c>
      <c r="U744" s="6" t="str">
        <f t="shared" si="120"/>
        <v>ICU</v>
      </c>
      <c r="V744" s="6" t="str" cm="1">
        <f t="array" ref="V744">IF(TRIM(S744)="",INDEX($S$2:$S$1500,MATCH(MAX(COUNTIF($S$2:$S$1500,S744)),COUNTIF($S$2:$S$1500,$S$2:$S$1500),0)),S744)</f>
        <v>Debit Card</v>
      </c>
      <c r="W744" s="7" cm="1">
        <f t="array" ref="W744">IF(OR(TRIM(K744)="",TRIM(K744)="-"), MEDIAN(IF($E$2:$E$1500=E744,$K$2:$K$1500)),  VALUE(SUBSTITUTE(SUBSTITUTE(SUBSTITUTE(K744,"Rs. ",""),"₹",""),",","")))</f>
        <v>78743</v>
      </c>
      <c r="X744" s="8">
        <f t="shared" si="118"/>
        <v>10</v>
      </c>
      <c r="Y744" s="7">
        <f t="shared" si="119"/>
        <v>70869</v>
      </c>
      <c r="Z744" s="9" t="str">
        <f t="shared" si="111"/>
        <v>ADULT</v>
      </c>
    </row>
    <row r="745" spans="1:26" x14ac:dyDescent="0.3">
      <c r="A745" s="5" t="s">
        <v>1633</v>
      </c>
      <c r="B745" s="5" t="s">
        <v>78</v>
      </c>
      <c r="C745" s="5" t="s">
        <v>203</v>
      </c>
      <c r="D745" s="5" t="s">
        <v>27</v>
      </c>
      <c r="E745" s="5" t="s">
        <v>37</v>
      </c>
      <c r="F745" s="5" t="s">
        <v>132</v>
      </c>
      <c r="G745" s="5" t="s">
        <v>30</v>
      </c>
      <c r="H745" s="5">
        <v>67</v>
      </c>
      <c r="I745" s="5" t="s">
        <v>40</v>
      </c>
      <c r="J745" s="34" t="s">
        <v>1634</v>
      </c>
      <c r="K745" s="31">
        <v>19411</v>
      </c>
      <c r="L745" s="5" t="s">
        <v>115</v>
      </c>
      <c r="M745" s="32">
        <v>0</v>
      </c>
      <c r="N745" s="6">
        <f t="shared" si="112"/>
        <v>0</v>
      </c>
      <c r="O745" s="4" t="s">
        <v>132</v>
      </c>
      <c r="P745" s="5" t="str">
        <f t="shared" si="113"/>
        <v>Mumbai</v>
      </c>
      <c r="Q745" s="5" t="str">
        <f t="shared" si="114"/>
        <v>Pediatrics</v>
      </c>
      <c r="R745" s="6" t="str">
        <f t="shared" si="115"/>
        <v>Apollo</v>
      </c>
      <c r="S745" s="6" t="str">
        <f t="shared" si="116"/>
        <v>Cash</v>
      </c>
      <c r="T745" s="6" t="str">
        <f t="shared" si="117"/>
        <v>Female</v>
      </c>
      <c r="U745" s="6" t="str">
        <f t="shared" si="120"/>
        <v>General</v>
      </c>
      <c r="V745" s="6" t="str" cm="1">
        <f t="array" ref="V745">IF(TRIM(S745)="",INDEX($S$2:$S$1500,MATCH(MAX(COUNTIF($S$2:$S$1500,S745)),COUNTIF($S$2:$S$1500,$S$2:$S$1500),0)),S745)</f>
        <v>Cash</v>
      </c>
      <c r="W745" s="7" cm="1">
        <f t="array" ref="W745">IF(OR(TRIM(K745)="",TRIM(K745)="-"), MEDIAN(IF($E$2:$E$1500=E745,$K$2:$K$1500)),  VALUE(SUBSTITUTE(SUBSTITUTE(SUBSTITUTE(K745,"Rs. ",""),"₹",""),",","")))</f>
        <v>19411</v>
      </c>
      <c r="X745" s="8">
        <f t="shared" si="118"/>
        <v>0</v>
      </c>
      <c r="Y745" s="7">
        <f t="shared" si="119"/>
        <v>19411</v>
      </c>
      <c r="Z745" s="9" t="str">
        <f t="shared" si="111"/>
        <v>SENIOR</v>
      </c>
    </row>
    <row r="746" spans="1:26" x14ac:dyDescent="0.3">
      <c r="A746" s="5" t="s">
        <v>1635</v>
      </c>
      <c r="B746" s="5" t="s">
        <v>14</v>
      </c>
      <c r="C746" s="5" t="s">
        <v>60</v>
      </c>
      <c r="D746" s="5" t="s">
        <v>16</v>
      </c>
      <c r="E746" s="5" t="s">
        <v>108</v>
      </c>
      <c r="F746" s="5" t="s">
        <v>109</v>
      </c>
      <c r="G746" s="5" t="s">
        <v>19</v>
      </c>
      <c r="H746" s="5">
        <v>25</v>
      </c>
      <c r="I746" s="5" t="s">
        <v>40</v>
      </c>
      <c r="J746" s="34" t="s">
        <v>825</v>
      </c>
      <c r="K746" s="31" t="s">
        <v>1636</v>
      </c>
      <c r="L746" s="5" t="s">
        <v>97</v>
      </c>
      <c r="M746" s="32" t="s">
        <v>130</v>
      </c>
      <c r="N746" s="6">
        <f t="shared" si="112"/>
        <v>0</v>
      </c>
      <c r="O746" s="4" t="s">
        <v>109</v>
      </c>
      <c r="P746" s="5" t="str">
        <f t="shared" si="113"/>
        <v>Bangalore</v>
      </c>
      <c r="Q746" s="5" t="str">
        <f t="shared" si="114"/>
        <v>Orthopedics</v>
      </c>
      <c r="R746" s="6" t="str">
        <f t="shared" si="115"/>
        <v>Max_Healthcare</v>
      </c>
      <c r="S746" s="6" t="str">
        <f t="shared" si="116"/>
        <v>UPI</v>
      </c>
      <c r="T746" s="6" t="str">
        <f t="shared" si="117"/>
        <v>Female</v>
      </c>
      <c r="U746" s="6" t="str">
        <f t="shared" si="120"/>
        <v>General</v>
      </c>
      <c r="V746" s="6" t="str" cm="1">
        <f t="array" ref="V746">IF(TRIM(S746)="",INDEX($S$2:$S$1500,MATCH(MAX(COUNTIF($S$2:$S$1500,S746)),COUNTIF($S$2:$S$1500,$S$2:$S$1500),0)),S746)</f>
        <v>UPI</v>
      </c>
      <c r="W746" s="7" cm="1">
        <f t="array" ref="W746">IF(OR(TRIM(K746)="",TRIM(K746)="-"), MEDIAN(IF($E$2:$E$1500=E746,$K$2:$K$1500)),  VALUE(SUBSTITUTE(SUBSTITUTE(SUBSTITUTE(K746,"Rs. ",""),"₹",""),",","")))</f>
        <v>7807</v>
      </c>
      <c r="X746" s="8">
        <f t="shared" si="118"/>
        <v>0</v>
      </c>
      <c r="Y746" s="7">
        <f t="shared" si="119"/>
        <v>7807</v>
      </c>
      <c r="Z746" s="9" t="str">
        <f t="shared" si="111"/>
        <v>ADULT</v>
      </c>
    </row>
    <row r="747" spans="1:26" x14ac:dyDescent="0.3">
      <c r="A747" s="5" t="s">
        <v>1637</v>
      </c>
      <c r="B747" s="5" t="s">
        <v>117</v>
      </c>
      <c r="C747" s="5" t="s">
        <v>127</v>
      </c>
      <c r="D747" s="5" t="s">
        <v>36</v>
      </c>
      <c r="E747" s="5" t="s">
        <v>17</v>
      </c>
      <c r="F747" s="5" t="s">
        <v>135</v>
      </c>
      <c r="G747" s="5" t="s">
        <v>49</v>
      </c>
      <c r="H747" s="5">
        <v>34</v>
      </c>
      <c r="I747" s="5" t="s">
        <v>40</v>
      </c>
      <c r="J747" s="34" t="s">
        <v>1638</v>
      </c>
      <c r="K747" s="31" t="s">
        <v>1639</v>
      </c>
      <c r="L747" s="5" t="s">
        <v>311</v>
      </c>
      <c r="M747" s="32" t="s">
        <v>130</v>
      </c>
      <c r="N747" s="6">
        <f t="shared" si="112"/>
        <v>0</v>
      </c>
      <c r="O747" s="4" t="s">
        <v>135</v>
      </c>
      <c r="P747" s="5" t="str">
        <f t="shared" si="113"/>
        <v>Chennai</v>
      </c>
      <c r="Q747" s="5" t="str">
        <f t="shared" si="114"/>
        <v>Gynecology</v>
      </c>
      <c r="R747" s="6" t="str">
        <f t="shared" si="115"/>
        <v>Manipal</v>
      </c>
      <c r="S747" s="6" t="str">
        <f t="shared" si="116"/>
        <v>UPI</v>
      </c>
      <c r="T747" s="6" t="str">
        <f t="shared" si="117"/>
        <v>Female</v>
      </c>
      <c r="U747" s="6" t="str">
        <f t="shared" si="120"/>
        <v>General</v>
      </c>
      <c r="V747" s="6" t="str" cm="1">
        <f t="array" ref="V747">IF(TRIM(S747)="",INDEX($S$2:$S$1500,MATCH(MAX(COUNTIF($S$2:$S$1500,S747)),COUNTIF($S$2:$S$1500,$S$2:$S$1500),0)),S747)</f>
        <v>UPI</v>
      </c>
      <c r="W747" s="7" cm="1">
        <f t="array" ref="W747">IF(OR(TRIM(K747)="",TRIM(K747)="-"), MEDIAN(IF($E$2:$E$1500=E747,$K$2:$K$1500)),  VALUE(SUBSTITUTE(SUBSTITUTE(SUBSTITUTE(K747,"Rs. ",""),"₹",""),",","")))</f>
        <v>15674</v>
      </c>
      <c r="X747" s="8">
        <f t="shared" si="118"/>
        <v>0</v>
      </c>
      <c r="Y747" s="7">
        <f t="shared" si="119"/>
        <v>15674</v>
      </c>
      <c r="Z747" s="9" t="str">
        <f t="shared" si="111"/>
        <v>ADULT</v>
      </c>
    </row>
    <row r="748" spans="1:26" x14ac:dyDescent="0.3">
      <c r="A748" s="5" t="s">
        <v>1640</v>
      </c>
      <c r="B748" s="5" t="s">
        <v>45</v>
      </c>
      <c r="C748" s="5" t="s">
        <v>46</v>
      </c>
      <c r="D748" s="5" t="s">
        <v>36</v>
      </c>
      <c r="E748" s="5" t="s">
        <v>93</v>
      </c>
      <c r="F748" s="5" t="s">
        <v>144</v>
      </c>
      <c r="G748" s="5" t="s">
        <v>49</v>
      </c>
      <c r="H748" s="5">
        <v>38</v>
      </c>
      <c r="I748" s="5" t="s">
        <v>40</v>
      </c>
      <c r="J748" s="34" t="s">
        <v>1641</v>
      </c>
      <c r="K748" s="31">
        <v>17101</v>
      </c>
      <c r="L748" s="5" t="s">
        <v>52</v>
      </c>
      <c r="M748" s="32" t="s">
        <v>130</v>
      </c>
      <c r="N748" s="6">
        <f t="shared" si="112"/>
        <v>0</v>
      </c>
      <c r="O748" s="4" t="s">
        <v>144</v>
      </c>
      <c r="P748" s="5" t="str">
        <f t="shared" si="113"/>
        <v>Chennai</v>
      </c>
      <c r="Q748" s="5" t="str">
        <f t="shared" si="114"/>
        <v>Nephrology</v>
      </c>
      <c r="R748" s="6" t="str">
        <f t="shared" si="115"/>
        <v>Fortis</v>
      </c>
      <c r="S748" s="6" t="str">
        <f t="shared" si="116"/>
        <v>Credit Card</v>
      </c>
      <c r="T748" s="6" t="str">
        <f t="shared" si="117"/>
        <v>Female</v>
      </c>
      <c r="U748" s="6" t="str">
        <f t="shared" si="120"/>
        <v>General</v>
      </c>
      <c r="V748" s="6" t="str" cm="1">
        <f t="array" ref="V748">IF(TRIM(S748)="",INDEX($S$2:$S$1500,MATCH(MAX(COUNTIF($S$2:$S$1500,S748)),COUNTIF($S$2:$S$1500,$S$2:$S$1500),0)),S748)</f>
        <v>Credit Card</v>
      </c>
      <c r="W748" s="7" cm="1">
        <f t="array" ref="W748">IF(OR(TRIM(K748)="",TRIM(K748)="-"), MEDIAN(IF($E$2:$E$1500=E748,$K$2:$K$1500)),  VALUE(SUBSTITUTE(SUBSTITUTE(SUBSTITUTE(K748,"Rs. ",""),"₹",""),",","")))</f>
        <v>17101</v>
      </c>
      <c r="X748" s="8">
        <f t="shared" si="118"/>
        <v>0</v>
      </c>
      <c r="Y748" s="7">
        <f t="shared" si="119"/>
        <v>17101</v>
      </c>
      <c r="Z748" s="9" t="str">
        <f t="shared" si="111"/>
        <v>ADULT</v>
      </c>
    </row>
    <row r="749" spans="1:26" x14ac:dyDescent="0.3">
      <c r="A749" s="5" t="s">
        <v>1642</v>
      </c>
      <c r="B749" s="5" t="s">
        <v>45</v>
      </c>
      <c r="C749" s="5" t="s">
        <v>334</v>
      </c>
      <c r="D749" s="5" t="s">
        <v>80</v>
      </c>
      <c r="E749" s="5" t="s">
        <v>99</v>
      </c>
      <c r="F749" s="5" t="s">
        <v>372</v>
      </c>
      <c r="G749" s="5" t="s">
        <v>39</v>
      </c>
      <c r="H749" s="5">
        <v>28</v>
      </c>
      <c r="I749" s="5" t="s">
        <v>40</v>
      </c>
      <c r="J749" s="34" t="s">
        <v>819</v>
      </c>
      <c r="K749" s="31">
        <v>19379</v>
      </c>
      <c r="L749" s="5" t="s">
        <v>34</v>
      </c>
      <c r="M749" s="32" t="s">
        <v>130</v>
      </c>
      <c r="N749" s="6">
        <f t="shared" si="112"/>
        <v>0</v>
      </c>
      <c r="O749" s="4" t="s">
        <v>372</v>
      </c>
      <c r="P749" s="5" t="str">
        <f t="shared" si="113"/>
        <v>Ahmedabad</v>
      </c>
      <c r="Q749" s="5" t="str">
        <f t="shared" si="114"/>
        <v>Ent</v>
      </c>
      <c r="R749" s="6" t="str">
        <f t="shared" si="115"/>
        <v>Fortis</v>
      </c>
      <c r="S749" s="6" t="str">
        <f t="shared" si="116"/>
        <v>Cash</v>
      </c>
      <c r="T749" s="6" t="str">
        <f t="shared" si="117"/>
        <v>Female</v>
      </c>
      <c r="U749" s="6" t="str">
        <f t="shared" si="120"/>
        <v>General</v>
      </c>
      <c r="V749" s="6" t="str" cm="1">
        <f t="array" ref="V749">IF(TRIM(S749)="",INDEX($S$2:$S$1500,MATCH(MAX(COUNTIF($S$2:$S$1500,S749)),COUNTIF($S$2:$S$1500,$S$2:$S$1500),0)),S749)</f>
        <v>Cash</v>
      </c>
      <c r="W749" s="7" cm="1">
        <f t="array" ref="W749">IF(OR(TRIM(K749)="",TRIM(K749)="-"), MEDIAN(IF($E$2:$E$1500=E749,$K$2:$K$1500)),  VALUE(SUBSTITUTE(SUBSTITUTE(SUBSTITUTE(K749,"Rs. ",""),"₹",""),",","")))</f>
        <v>19379</v>
      </c>
      <c r="X749" s="8">
        <f t="shared" si="118"/>
        <v>0</v>
      </c>
      <c r="Y749" s="7">
        <f t="shared" si="119"/>
        <v>19379</v>
      </c>
      <c r="Z749" s="9" t="str">
        <f t="shared" si="111"/>
        <v>ADULT</v>
      </c>
    </row>
    <row r="750" spans="1:26" x14ac:dyDescent="0.3">
      <c r="A750" s="5" t="s">
        <v>1643</v>
      </c>
      <c r="B750" s="5" t="s">
        <v>25</v>
      </c>
      <c r="C750" s="5" t="s">
        <v>54</v>
      </c>
      <c r="D750" s="5" t="s">
        <v>16</v>
      </c>
      <c r="E750" s="5" t="s">
        <v>28</v>
      </c>
      <c r="F750" s="5" t="s">
        <v>290</v>
      </c>
      <c r="G750" s="5" t="s">
        <v>39</v>
      </c>
      <c r="H750" s="5">
        <v>64</v>
      </c>
      <c r="I750" s="5" t="s">
        <v>20</v>
      </c>
      <c r="J750" s="34" t="s">
        <v>488</v>
      </c>
      <c r="K750" s="31">
        <v>16142</v>
      </c>
      <c r="L750" s="5" t="s">
        <v>91</v>
      </c>
      <c r="M750" s="32">
        <v>10</v>
      </c>
      <c r="N750" s="6">
        <f t="shared" si="112"/>
        <v>10</v>
      </c>
      <c r="O750" s="4" t="s">
        <v>290</v>
      </c>
      <c r="P750" s="5" t="str">
        <f t="shared" si="113"/>
        <v>Bangalore</v>
      </c>
      <c r="Q750" s="5" t="str">
        <f t="shared" si="114"/>
        <v>Oncology</v>
      </c>
      <c r="R750" s="6" t="str">
        <f t="shared" si="115"/>
        <v>Narayana</v>
      </c>
      <c r="S750" s="6" t="str">
        <f t="shared" si="116"/>
        <v>Debit Card</v>
      </c>
      <c r="T750" s="6" t="str">
        <f t="shared" si="117"/>
        <v>Male</v>
      </c>
      <c r="U750" s="6" t="str">
        <f t="shared" si="120"/>
        <v>General</v>
      </c>
      <c r="V750" s="6" t="str" cm="1">
        <f t="array" ref="V750">IF(TRIM(S750)="",INDEX($S$2:$S$1500,MATCH(MAX(COUNTIF($S$2:$S$1500,S750)),COUNTIF($S$2:$S$1500,$S$2:$S$1500),0)),S750)</f>
        <v>Debit Card</v>
      </c>
      <c r="W750" s="7" cm="1">
        <f t="array" ref="W750">IF(OR(TRIM(K750)="",TRIM(K750)="-"), MEDIAN(IF($E$2:$E$1500=E750,$K$2:$K$1500)),  VALUE(SUBSTITUTE(SUBSTITUTE(SUBSTITUTE(K750,"Rs. ",""),"₹",""),",","")))</f>
        <v>16142</v>
      </c>
      <c r="X750" s="8">
        <f t="shared" si="118"/>
        <v>10</v>
      </c>
      <c r="Y750" s="7">
        <f t="shared" si="119"/>
        <v>14528</v>
      </c>
      <c r="Z750" s="9" t="str">
        <f t="shared" si="111"/>
        <v>SENIOR</v>
      </c>
    </row>
    <row r="751" spans="1:26" x14ac:dyDescent="0.3">
      <c r="A751" s="5" t="s">
        <v>1644</v>
      </c>
      <c r="B751" s="5" t="s">
        <v>117</v>
      </c>
      <c r="C751" s="5" t="s">
        <v>127</v>
      </c>
      <c r="D751" s="5" t="s">
        <v>189</v>
      </c>
      <c r="E751" s="5" t="s">
        <v>28</v>
      </c>
      <c r="F751" s="5" t="s">
        <v>259</v>
      </c>
      <c r="G751" s="5" t="s">
        <v>30</v>
      </c>
      <c r="H751" s="5">
        <v>64</v>
      </c>
      <c r="I751" s="5" t="s">
        <v>20</v>
      </c>
      <c r="J751" s="34" t="s">
        <v>375</v>
      </c>
      <c r="K751" s="31" t="s">
        <v>1645</v>
      </c>
      <c r="L751" s="5" t="s">
        <v>87</v>
      </c>
      <c r="M751" s="32">
        <v>10</v>
      </c>
      <c r="N751" s="6">
        <f t="shared" si="112"/>
        <v>10</v>
      </c>
      <c r="O751" s="4" t="s">
        <v>259</v>
      </c>
      <c r="P751" s="5" t="str">
        <f t="shared" si="113"/>
        <v>Delhi</v>
      </c>
      <c r="Q751" s="5" t="str">
        <f t="shared" si="114"/>
        <v>Oncology</v>
      </c>
      <c r="R751" s="6" t="str">
        <f t="shared" si="115"/>
        <v>Manipal</v>
      </c>
      <c r="S751" s="6" t="str">
        <f t="shared" si="116"/>
        <v>Credit Card</v>
      </c>
      <c r="T751" s="6" t="str">
        <f t="shared" si="117"/>
        <v>Male</v>
      </c>
      <c r="U751" s="6" t="str">
        <f t="shared" si="120"/>
        <v>General</v>
      </c>
      <c r="V751" s="6" t="str" cm="1">
        <f t="array" ref="V751">IF(TRIM(S751)="",INDEX($S$2:$S$1500,MATCH(MAX(COUNTIF($S$2:$S$1500,S751)),COUNTIF($S$2:$S$1500,$S$2:$S$1500),0)),S751)</f>
        <v>Credit Card</v>
      </c>
      <c r="W751" s="7" cm="1">
        <f t="array" ref="W751">IF(OR(TRIM(K751)="",TRIM(K751)="-"), MEDIAN(IF($E$2:$E$1500=E751,$K$2:$K$1500)),  VALUE(SUBSTITUTE(SUBSTITUTE(SUBSTITUTE(K751,"Rs. ",""),"₹",""),",","")))</f>
        <v>4188</v>
      </c>
      <c r="X751" s="8">
        <f t="shared" si="118"/>
        <v>10</v>
      </c>
      <c r="Y751" s="7">
        <f t="shared" si="119"/>
        <v>3769</v>
      </c>
      <c r="Z751" s="9" t="str">
        <f t="shared" si="111"/>
        <v>SENIOR</v>
      </c>
    </row>
    <row r="752" spans="1:26" x14ac:dyDescent="0.3">
      <c r="A752" s="5" t="s">
        <v>1646</v>
      </c>
      <c r="B752" s="5" t="s">
        <v>117</v>
      </c>
      <c r="C752" s="5" t="s">
        <v>118</v>
      </c>
      <c r="D752" s="5" t="s">
        <v>80</v>
      </c>
      <c r="E752" s="5" t="s">
        <v>108</v>
      </c>
      <c r="F752" s="5" t="s">
        <v>308</v>
      </c>
      <c r="G752" s="5" t="s">
        <v>69</v>
      </c>
      <c r="H752" s="5">
        <v>74</v>
      </c>
      <c r="I752" s="5" t="s">
        <v>31</v>
      </c>
      <c r="J752" s="34" t="s">
        <v>337</v>
      </c>
      <c r="K752" s="31" t="s">
        <v>1647</v>
      </c>
      <c r="L752" s="5" t="s">
        <v>91</v>
      </c>
      <c r="M752" s="32">
        <v>5</v>
      </c>
      <c r="N752" s="6">
        <f t="shared" si="112"/>
        <v>5</v>
      </c>
      <c r="O752" s="4" t="s">
        <v>308</v>
      </c>
      <c r="P752" s="5" t="str">
        <f t="shared" si="113"/>
        <v>Ahmedabad</v>
      </c>
      <c r="Q752" s="5" t="str">
        <f t="shared" si="114"/>
        <v>Orthopedics</v>
      </c>
      <c r="R752" s="6" t="str">
        <f t="shared" si="115"/>
        <v>Manipal</v>
      </c>
      <c r="S752" s="6" t="str">
        <f t="shared" si="116"/>
        <v>Debit Card</v>
      </c>
      <c r="T752" s="6" t="str">
        <f t="shared" si="117"/>
        <v>Male</v>
      </c>
      <c r="U752" s="6" t="str">
        <f t="shared" si="120"/>
        <v>ICU</v>
      </c>
      <c r="V752" s="6" t="str" cm="1">
        <f t="array" ref="V752">IF(TRIM(S752)="",INDEX($S$2:$S$1500,MATCH(MAX(COUNTIF($S$2:$S$1500,S752)),COUNTIF($S$2:$S$1500,$S$2:$S$1500),0)),S752)</f>
        <v>Debit Card</v>
      </c>
      <c r="W752" s="7" cm="1">
        <f t="array" ref="W752">IF(OR(TRIM(K752)="",TRIM(K752)="-"), MEDIAN(IF($E$2:$E$1500=E752,$K$2:$K$1500)),  VALUE(SUBSTITUTE(SUBSTITUTE(SUBSTITUTE(K752,"Rs. ",""),"₹",""),",","")))</f>
        <v>60645</v>
      </c>
      <c r="X752" s="8">
        <f t="shared" si="118"/>
        <v>5</v>
      </c>
      <c r="Y752" s="7">
        <f t="shared" si="119"/>
        <v>57613</v>
      </c>
      <c r="Z752" s="9" t="str">
        <f t="shared" si="111"/>
        <v>SENIOR</v>
      </c>
    </row>
    <row r="753" spans="1:26" x14ac:dyDescent="0.3">
      <c r="A753" s="5" t="s">
        <v>1648</v>
      </c>
      <c r="B753" s="5" t="s">
        <v>45</v>
      </c>
      <c r="C753" s="5" t="s">
        <v>334</v>
      </c>
      <c r="D753" s="5" t="s">
        <v>55</v>
      </c>
      <c r="E753" s="5" t="s">
        <v>47</v>
      </c>
      <c r="F753" s="5" t="s">
        <v>364</v>
      </c>
      <c r="G753" s="5" t="s">
        <v>69</v>
      </c>
      <c r="H753" s="5">
        <v>80</v>
      </c>
      <c r="I753" s="5" t="s">
        <v>31</v>
      </c>
      <c r="J753" s="34" t="s">
        <v>1066</v>
      </c>
      <c r="K753" s="31">
        <v>85184</v>
      </c>
      <c r="L753" s="5" t="s">
        <v>42</v>
      </c>
      <c r="M753" s="32">
        <v>20</v>
      </c>
      <c r="N753" s="6">
        <f t="shared" si="112"/>
        <v>20</v>
      </c>
      <c r="O753" s="4" t="s">
        <v>364</v>
      </c>
      <c r="P753" s="5" t="str">
        <f t="shared" si="113"/>
        <v>Hyderabad</v>
      </c>
      <c r="Q753" s="5" t="str">
        <f t="shared" si="114"/>
        <v>Gastroenterology</v>
      </c>
      <c r="R753" s="6" t="str">
        <f t="shared" si="115"/>
        <v>Fortis</v>
      </c>
      <c r="S753" s="6" t="str">
        <f t="shared" si="116"/>
        <v>Insurance</v>
      </c>
      <c r="T753" s="6" t="str">
        <f t="shared" si="117"/>
        <v>Male</v>
      </c>
      <c r="U753" s="6" t="str">
        <f t="shared" si="120"/>
        <v>ICU</v>
      </c>
      <c r="V753" s="6" t="str" cm="1">
        <f t="array" ref="V753">IF(TRIM(S753)="",INDEX($S$2:$S$1500,MATCH(MAX(COUNTIF($S$2:$S$1500,S753)),COUNTIF($S$2:$S$1500,$S$2:$S$1500),0)),S753)</f>
        <v>Insurance</v>
      </c>
      <c r="W753" s="7" cm="1">
        <f t="array" ref="W753">IF(OR(TRIM(K753)="",TRIM(K753)="-"), MEDIAN(IF($E$2:$E$1500=E753,$K$2:$K$1500)),  VALUE(SUBSTITUTE(SUBSTITUTE(SUBSTITUTE(K753,"Rs. ",""),"₹",""),",","")))</f>
        <v>85184</v>
      </c>
      <c r="X753" s="8">
        <f t="shared" si="118"/>
        <v>20</v>
      </c>
      <c r="Y753" s="7">
        <f t="shared" si="119"/>
        <v>68147</v>
      </c>
      <c r="Z753" s="9" t="str">
        <f t="shared" si="111"/>
        <v>SENIOR</v>
      </c>
    </row>
    <row r="754" spans="1:26" x14ac:dyDescent="0.3">
      <c r="A754" s="5" t="s">
        <v>1649</v>
      </c>
      <c r="B754" s="5" t="s">
        <v>106</v>
      </c>
      <c r="C754" s="5" t="s">
        <v>107</v>
      </c>
      <c r="D754" s="5" t="s">
        <v>66</v>
      </c>
      <c r="E754" s="5" t="s">
        <v>17</v>
      </c>
      <c r="F754" s="5" t="s">
        <v>18</v>
      </c>
      <c r="G754" s="5" t="s">
        <v>39</v>
      </c>
      <c r="H754" s="5">
        <v>47</v>
      </c>
      <c r="I754" s="5" t="s">
        <v>40</v>
      </c>
      <c r="J754" s="34" t="s">
        <v>1650</v>
      </c>
      <c r="K754" s="31" t="s">
        <v>140</v>
      </c>
      <c r="L754" s="5" t="s">
        <v>23</v>
      </c>
      <c r="M754" s="32">
        <v>10</v>
      </c>
      <c r="N754" s="6">
        <f t="shared" si="112"/>
        <v>10</v>
      </c>
      <c r="O754" s="4" t="s">
        <v>18</v>
      </c>
      <c r="P754" s="5" t="str">
        <f t="shared" si="113"/>
        <v>Kolkata</v>
      </c>
      <c r="Q754" s="5" t="str">
        <f t="shared" si="114"/>
        <v>Gynecology</v>
      </c>
      <c r="R754" s="6" t="str">
        <f t="shared" si="115"/>
        <v>Aiims</v>
      </c>
      <c r="S754" s="6" t="str">
        <f t="shared" si="116"/>
        <v>Credit Card</v>
      </c>
      <c r="T754" s="6" t="str">
        <f t="shared" si="117"/>
        <v>Female</v>
      </c>
      <c r="U754" s="6" t="str">
        <f t="shared" si="120"/>
        <v>General</v>
      </c>
      <c r="V754" s="6" t="str" cm="1">
        <f t="array" ref="V754">IF(TRIM(S754)="",INDEX($S$2:$S$1500,MATCH(MAX(COUNTIF($S$2:$S$1500,S754)),COUNTIF($S$2:$S$1500,$S$2:$S$1500),0)),S754)</f>
        <v>Credit Card</v>
      </c>
      <c r="W754" s="7" cm="1">
        <f t="array" ref="W754">IF(OR(TRIM(K754)="",TRIM(K754)="-"), MEDIAN(IF($E$2:$E$1500=E754,$K$2:$K$1500)),  VALUE(SUBSTITUTE(SUBSTITUTE(SUBSTITUTE(K754,"Rs. ",""),"₹",""),",","")))</f>
        <v>16493.5</v>
      </c>
      <c r="X754" s="8">
        <f t="shared" si="118"/>
        <v>10</v>
      </c>
      <c r="Y754" s="7">
        <f t="shared" si="119"/>
        <v>14844</v>
      </c>
      <c r="Z754" s="9" t="str">
        <f t="shared" si="111"/>
        <v>ADULT</v>
      </c>
    </row>
    <row r="755" spans="1:26" x14ac:dyDescent="0.3">
      <c r="A755" s="5" t="s">
        <v>1651</v>
      </c>
      <c r="B755" s="5" t="s">
        <v>14</v>
      </c>
      <c r="C755" s="5" t="s">
        <v>60</v>
      </c>
      <c r="D755" s="5" t="s">
        <v>61</v>
      </c>
      <c r="E755" s="5" t="s">
        <v>47</v>
      </c>
      <c r="F755" s="5" t="s">
        <v>461</v>
      </c>
      <c r="G755" s="5" t="s">
        <v>19</v>
      </c>
      <c r="H755" s="5">
        <v>41</v>
      </c>
      <c r="I755" s="5" t="s">
        <v>20</v>
      </c>
      <c r="J755" s="34" t="s">
        <v>257</v>
      </c>
      <c r="K755" s="31" t="s">
        <v>1652</v>
      </c>
      <c r="L755" s="5" t="s">
        <v>42</v>
      </c>
      <c r="M755" s="32"/>
      <c r="N755" s="6">
        <f t="shared" si="112"/>
        <v>0</v>
      </c>
      <c r="O755" s="4" t="s">
        <v>461</v>
      </c>
      <c r="P755" s="5" t="str">
        <f t="shared" si="113"/>
        <v>Pune</v>
      </c>
      <c r="Q755" s="5" t="str">
        <f t="shared" si="114"/>
        <v>Gastroenterology</v>
      </c>
      <c r="R755" s="6" t="str">
        <f t="shared" si="115"/>
        <v>Max_Healthcare</v>
      </c>
      <c r="S755" s="6" t="str">
        <f t="shared" si="116"/>
        <v>Insurance</v>
      </c>
      <c r="T755" s="6" t="str">
        <f t="shared" si="117"/>
        <v>Male</v>
      </c>
      <c r="U755" s="6" t="str">
        <f t="shared" si="120"/>
        <v>General</v>
      </c>
      <c r="V755" s="6" t="str" cm="1">
        <f t="array" ref="V755">IF(TRIM(S755)="",INDEX($S$2:$S$1500,MATCH(MAX(COUNTIF($S$2:$S$1500,S755)),COUNTIF($S$2:$S$1500,$S$2:$S$1500),0)),S755)</f>
        <v>Insurance</v>
      </c>
      <c r="W755" s="7" cm="1">
        <f t="array" ref="W755">IF(OR(TRIM(K755)="",TRIM(K755)="-"), MEDIAN(IF($E$2:$E$1500=E755,$K$2:$K$1500)),  VALUE(SUBSTITUTE(SUBSTITUTE(SUBSTITUTE(K755,"Rs. ",""),"₹",""),",","")))</f>
        <v>9595</v>
      </c>
      <c r="X755" s="8">
        <f t="shared" si="118"/>
        <v>0</v>
      </c>
      <c r="Y755" s="7">
        <f t="shared" si="119"/>
        <v>9595</v>
      </c>
      <c r="Z755" s="9" t="str">
        <f t="shared" si="111"/>
        <v>ADULT</v>
      </c>
    </row>
    <row r="756" spans="1:26" x14ac:dyDescent="0.3">
      <c r="A756" s="5" t="s">
        <v>1653</v>
      </c>
      <c r="B756" s="5" t="s">
        <v>106</v>
      </c>
      <c r="C756" s="5" t="s">
        <v>107</v>
      </c>
      <c r="D756" s="5" t="s">
        <v>55</v>
      </c>
      <c r="E756" s="5" t="s">
        <v>74</v>
      </c>
      <c r="F756" s="5" t="s">
        <v>172</v>
      </c>
      <c r="G756" s="5" t="s">
        <v>49</v>
      </c>
      <c r="H756" s="5">
        <v>51</v>
      </c>
      <c r="I756" s="5" t="s">
        <v>40</v>
      </c>
      <c r="J756" s="34" t="s">
        <v>527</v>
      </c>
      <c r="K756" s="31">
        <v>14158</v>
      </c>
      <c r="L756" s="5" t="s">
        <v>52</v>
      </c>
      <c r="M756" s="32">
        <v>0</v>
      </c>
      <c r="N756" s="6">
        <f t="shared" si="112"/>
        <v>0</v>
      </c>
      <c r="O756" s="4" t="s">
        <v>172</v>
      </c>
      <c r="P756" s="5" t="str">
        <f t="shared" si="113"/>
        <v>Hyderabad</v>
      </c>
      <c r="Q756" s="5" t="str">
        <f t="shared" si="114"/>
        <v>General Medicine</v>
      </c>
      <c r="R756" s="6" t="str">
        <f t="shared" si="115"/>
        <v>Aiims</v>
      </c>
      <c r="S756" s="6" t="str">
        <f t="shared" si="116"/>
        <v>Credit Card</v>
      </c>
      <c r="T756" s="6" t="str">
        <f t="shared" si="117"/>
        <v>Female</v>
      </c>
      <c r="U756" s="6" t="str">
        <f t="shared" si="120"/>
        <v>General</v>
      </c>
      <c r="V756" s="6" t="str" cm="1">
        <f t="array" ref="V756">IF(TRIM(S756)="",INDEX($S$2:$S$1500,MATCH(MAX(COUNTIF($S$2:$S$1500,S756)),COUNTIF($S$2:$S$1500,$S$2:$S$1500),0)),S756)</f>
        <v>Credit Card</v>
      </c>
      <c r="W756" s="7" cm="1">
        <f t="array" ref="W756">IF(OR(TRIM(K756)="",TRIM(K756)="-"), MEDIAN(IF($E$2:$E$1500=E756,$K$2:$K$1500)),  VALUE(SUBSTITUTE(SUBSTITUTE(SUBSTITUTE(K756,"Rs. ",""),"₹",""),",","")))</f>
        <v>14158</v>
      </c>
      <c r="X756" s="8">
        <f t="shared" si="118"/>
        <v>0</v>
      </c>
      <c r="Y756" s="7">
        <f t="shared" si="119"/>
        <v>14158</v>
      </c>
      <c r="Z756" s="9" t="str">
        <f t="shared" si="111"/>
        <v>ADULT</v>
      </c>
    </row>
    <row r="757" spans="1:26" x14ac:dyDescent="0.3">
      <c r="A757" s="5" t="s">
        <v>1654</v>
      </c>
      <c r="B757" s="5" t="s">
        <v>25</v>
      </c>
      <c r="C757" s="5" t="s">
        <v>54</v>
      </c>
      <c r="D757" s="5" t="s">
        <v>36</v>
      </c>
      <c r="E757" s="5" t="s">
        <v>47</v>
      </c>
      <c r="F757" s="5" t="s">
        <v>364</v>
      </c>
      <c r="G757" s="5" t="s">
        <v>69</v>
      </c>
      <c r="H757" s="5">
        <v>30</v>
      </c>
      <c r="I757" s="5" t="s">
        <v>40</v>
      </c>
      <c r="J757" s="34" t="s">
        <v>1042</v>
      </c>
      <c r="K757" s="31">
        <v>44093</v>
      </c>
      <c r="L757" s="5" t="s">
        <v>52</v>
      </c>
      <c r="M757" s="32">
        <v>0</v>
      </c>
      <c r="N757" s="6">
        <f t="shared" si="112"/>
        <v>0</v>
      </c>
      <c r="O757" s="4" t="s">
        <v>364</v>
      </c>
      <c r="P757" s="5" t="str">
        <f t="shared" si="113"/>
        <v>Chennai</v>
      </c>
      <c r="Q757" s="5" t="str">
        <f t="shared" si="114"/>
        <v>Gastroenterology</v>
      </c>
      <c r="R757" s="6" t="str">
        <f t="shared" si="115"/>
        <v>Narayana</v>
      </c>
      <c r="S757" s="6" t="str">
        <f t="shared" si="116"/>
        <v>Credit Card</v>
      </c>
      <c r="T757" s="6" t="str">
        <f t="shared" si="117"/>
        <v>Female</v>
      </c>
      <c r="U757" s="6" t="str">
        <f t="shared" si="120"/>
        <v>ICU</v>
      </c>
      <c r="V757" s="6" t="str" cm="1">
        <f t="array" ref="V757">IF(TRIM(S757)="",INDEX($S$2:$S$1500,MATCH(MAX(COUNTIF($S$2:$S$1500,S757)),COUNTIF($S$2:$S$1500,$S$2:$S$1500),0)),S757)</f>
        <v>Credit Card</v>
      </c>
      <c r="W757" s="7" cm="1">
        <f t="array" ref="W757">IF(OR(TRIM(K757)="",TRIM(K757)="-"), MEDIAN(IF($E$2:$E$1500=E757,$K$2:$K$1500)),  VALUE(SUBSTITUTE(SUBSTITUTE(SUBSTITUTE(K757,"Rs. ",""),"₹",""),",","")))</f>
        <v>44093</v>
      </c>
      <c r="X757" s="8">
        <f t="shared" si="118"/>
        <v>0</v>
      </c>
      <c r="Y757" s="7">
        <f t="shared" si="119"/>
        <v>44093</v>
      </c>
      <c r="Z757" s="9" t="str">
        <f t="shared" si="111"/>
        <v>ADULT</v>
      </c>
    </row>
    <row r="758" spans="1:26" x14ac:dyDescent="0.3">
      <c r="A758" s="5" t="s">
        <v>1655</v>
      </c>
      <c r="B758" s="5" t="s">
        <v>78</v>
      </c>
      <c r="C758" s="5" t="s">
        <v>79</v>
      </c>
      <c r="D758" s="5" t="s">
        <v>189</v>
      </c>
      <c r="E758" s="5" t="s">
        <v>99</v>
      </c>
      <c r="F758" s="5" t="s">
        <v>256</v>
      </c>
      <c r="G758" s="5" t="s">
        <v>30</v>
      </c>
      <c r="H758" s="5">
        <v>66</v>
      </c>
      <c r="I758" s="5" t="s">
        <v>31</v>
      </c>
      <c r="J758" s="34" t="s">
        <v>1459</v>
      </c>
      <c r="K758" s="31" t="s">
        <v>1656</v>
      </c>
      <c r="L758" s="5" t="s">
        <v>72</v>
      </c>
      <c r="M758" s="32">
        <v>5</v>
      </c>
      <c r="N758" s="6">
        <f t="shared" si="112"/>
        <v>5</v>
      </c>
      <c r="O758" s="4" t="s">
        <v>256</v>
      </c>
      <c r="P758" s="5" t="str">
        <f t="shared" si="113"/>
        <v>Delhi</v>
      </c>
      <c r="Q758" s="5" t="str">
        <f t="shared" si="114"/>
        <v>Ent</v>
      </c>
      <c r="R758" s="6" t="str">
        <f t="shared" si="115"/>
        <v>Apollo</v>
      </c>
      <c r="S758" s="6" t="str">
        <f t="shared" si="116"/>
        <v>Cash</v>
      </c>
      <c r="T758" s="6" t="str">
        <f t="shared" si="117"/>
        <v>Male</v>
      </c>
      <c r="U758" s="6" t="str">
        <f t="shared" si="120"/>
        <v>General</v>
      </c>
      <c r="V758" s="6" t="str" cm="1">
        <f t="array" ref="V758">IF(TRIM(S758)="",INDEX($S$2:$S$1500,MATCH(MAX(COUNTIF($S$2:$S$1500,S758)),COUNTIF($S$2:$S$1500,$S$2:$S$1500),0)),S758)</f>
        <v>Cash</v>
      </c>
      <c r="W758" s="7" cm="1">
        <f t="array" ref="W758">IF(OR(TRIM(K758)="",TRIM(K758)="-"), MEDIAN(IF($E$2:$E$1500=E758,$K$2:$K$1500)),  VALUE(SUBSTITUTE(SUBSTITUTE(SUBSTITUTE(K758,"Rs. ",""),"₹",""),",","")))</f>
        <v>19688</v>
      </c>
      <c r="X758" s="8">
        <f t="shared" si="118"/>
        <v>5</v>
      </c>
      <c r="Y758" s="7">
        <f t="shared" si="119"/>
        <v>18704</v>
      </c>
      <c r="Z758" s="9" t="str">
        <f t="shared" si="111"/>
        <v>SENIOR</v>
      </c>
    </row>
    <row r="759" spans="1:26" x14ac:dyDescent="0.3">
      <c r="A759" s="5" t="s">
        <v>1657</v>
      </c>
      <c r="B759" s="5" t="s">
        <v>78</v>
      </c>
      <c r="C759" s="5" t="s">
        <v>79</v>
      </c>
      <c r="D759" s="5" t="s">
        <v>61</v>
      </c>
      <c r="E759" s="5" t="s">
        <v>108</v>
      </c>
      <c r="F759" s="5" t="s">
        <v>308</v>
      </c>
      <c r="G759" s="5" t="s">
        <v>30</v>
      </c>
      <c r="H759" s="5">
        <v>25</v>
      </c>
      <c r="I759" s="5" t="s">
        <v>40</v>
      </c>
      <c r="J759" s="34" t="s">
        <v>125</v>
      </c>
      <c r="K759" s="31">
        <v>14345</v>
      </c>
      <c r="L759" s="5" t="s">
        <v>97</v>
      </c>
      <c r="M759" s="32" t="s">
        <v>130</v>
      </c>
      <c r="N759" s="6">
        <f t="shared" si="112"/>
        <v>0</v>
      </c>
      <c r="O759" s="4" t="s">
        <v>308</v>
      </c>
      <c r="P759" s="5" t="str">
        <f t="shared" si="113"/>
        <v>Pune</v>
      </c>
      <c r="Q759" s="5" t="str">
        <f t="shared" si="114"/>
        <v>Orthopedics</v>
      </c>
      <c r="R759" s="6" t="str">
        <f t="shared" si="115"/>
        <v>Apollo</v>
      </c>
      <c r="S759" s="6" t="str">
        <f t="shared" si="116"/>
        <v>UPI</v>
      </c>
      <c r="T759" s="6" t="str">
        <f t="shared" si="117"/>
        <v>Female</v>
      </c>
      <c r="U759" s="6" t="str">
        <f t="shared" si="120"/>
        <v>General</v>
      </c>
      <c r="V759" s="6" t="str" cm="1">
        <f t="array" ref="V759">IF(TRIM(S759)="",INDEX($S$2:$S$1500,MATCH(MAX(COUNTIF($S$2:$S$1500,S759)),COUNTIF($S$2:$S$1500,$S$2:$S$1500),0)),S759)</f>
        <v>UPI</v>
      </c>
      <c r="W759" s="7" cm="1">
        <f t="array" ref="W759">IF(OR(TRIM(K759)="",TRIM(K759)="-"), MEDIAN(IF($E$2:$E$1500=E759,$K$2:$K$1500)),  VALUE(SUBSTITUTE(SUBSTITUTE(SUBSTITUTE(K759,"Rs. ",""),"₹",""),",","")))</f>
        <v>14345</v>
      </c>
      <c r="X759" s="8">
        <f t="shared" si="118"/>
        <v>0</v>
      </c>
      <c r="Y759" s="7">
        <f t="shared" si="119"/>
        <v>14345</v>
      </c>
      <c r="Z759" s="9" t="str">
        <f t="shared" si="111"/>
        <v>ADULT</v>
      </c>
    </row>
    <row r="760" spans="1:26" x14ac:dyDescent="0.3">
      <c r="A760" s="5" t="s">
        <v>1658</v>
      </c>
      <c r="B760" s="5" t="s">
        <v>14</v>
      </c>
      <c r="C760" s="5" t="s">
        <v>60</v>
      </c>
      <c r="D760" s="5" t="s">
        <v>27</v>
      </c>
      <c r="E760" s="5" t="s">
        <v>164</v>
      </c>
      <c r="F760" s="5" t="s">
        <v>165</v>
      </c>
      <c r="G760" s="5" t="s">
        <v>30</v>
      </c>
      <c r="H760" s="5">
        <v>68</v>
      </c>
      <c r="I760" s="5" t="s">
        <v>20</v>
      </c>
      <c r="J760" s="34" t="s">
        <v>469</v>
      </c>
      <c r="K760" s="31" t="s">
        <v>1659</v>
      </c>
      <c r="L760" s="5" t="s">
        <v>83</v>
      </c>
      <c r="M760" s="32" t="s">
        <v>198</v>
      </c>
      <c r="N760" s="6">
        <f t="shared" si="112"/>
        <v>5</v>
      </c>
      <c r="O760" s="4" t="s">
        <v>165</v>
      </c>
      <c r="P760" s="5" t="str">
        <f t="shared" si="113"/>
        <v>Mumbai</v>
      </c>
      <c r="Q760" s="5" t="str">
        <f t="shared" si="114"/>
        <v>Cardiology</v>
      </c>
      <c r="R760" s="6" t="str">
        <f t="shared" si="115"/>
        <v>Max_Healthcare</v>
      </c>
      <c r="S760" s="6" t="str">
        <f t="shared" si="116"/>
        <v>Debit Card</v>
      </c>
      <c r="T760" s="6" t="str">
        <f t="shared" si="117"/>
        <v>Male</v>
      </c>
      <c r="U760" s="6" t="str">
        <f t="shared" si="120"/>
        <v>General</v>
      </c>
      <c r="V760" s="6" t="str" cm="1">
        <f t="array" ref="V760">IF(TRIM(S760)="",INDEX($S$2:$S$1500,MATCH(MAX(COUNTIF($S$2:$S$1500,S760)),COUNTIF($S$2:$S$1500,$S$2:$S$1500),0)),S760)</f>
        <v>Debit Card</v>
      </c>
      <c r="W760" s="7" cm="1">
        <f t="array" ref="W760">IF(OR(TRIM(K760)="",TRIM(K760)="-"), MEDIAN(IF($E$2:$E$1500=E760,$K$2:$K$1500)),  VALUE(SUBSTITUTE(SUBSTITUTE(SUBSTITUTE(K760,"Rs. ",""),"₹",""),",","")))</f>
        <v>16004</v>
      </c>
      <c r="X760" s="8">
        <f t="shared" si="118"/>
        <v>5</v>
      </c>
      <c r="Y760" s="7">
        <f t="shared" si="119"/>
        <v>15204</v>
      </c>
      <c r="Z760" s="9" t="str">
        <f t="shared" si="111"/>
        <v>SENIOR</v>
      </c>
    </row>
    <row r="761" spans="1:26" x14ac:dyDescent="0.3">
      <c r="A761" s="5" t="s">
        <v>1660</v>
      </c>
      <c r="B761" s="5" t="s">
        <v>78</v>
      </c>
      <c r="C761" s="5" t="s">
        <v>79</v>
      </c>
      <c r="D761" s="5" t="s">
        <v>36</v>
      </c>
      <c r="E761" s="5" t="s">
        <v>47</v>
      </c>
      <c r="F761" s="5" t="s">
        <v>48</v>
      </c>
      <c r="G761" s="5" t="s">
        <v>39</v>
      </c>
      <c r="H761" s="5">
        <v>54</v>
      </c>
      <c r="I761" s="5" t="s">
        <v>40</v>
      </c>
      <c r="J761" s="34" t="s">
        <v>1399</v>
      </c>
      <c r="K761" s="31" t="s">
        <v>1661</v>
      </c>
      <c r="L761" s="5" t="s">
        <v>58</v>
      </c>
      <c r="M761" s="32" t="s">
        <v>64</v>
      </c>
      <c r="N761" s="6" t="str">
        <f t="shared" si="112"/>
        <v>NA</v>
      </c>
      <c r="O761" s="4" t="s">
        <v>48</v>
      </c>
      <c r="P761" s="5" t="str">
        <f t="shared" si="113"/>
        <v>Chennai</v>
      </c>
      <c r="Q761" s="5" t="str">
        <f t="shared" si="114"/>
        <v>Gastroenterology</v>
      </c>
      <c r="R761" s="6" t="str">
        <f t="shared" si="115"/>
        <v>Apollo</v>
      </c>
      <c r="S761" s="6" t="str">
        <f t="shared" si="116"/>
        <v>UPI</v>
      </c>
      <c r="T761" s="6" t="str">
        <f t="shared" si="117"/>
        <v>Female</v>
      </c>
      <c r="U761" s="6" t="str">
        <f t="shared" si="120"/>
        <v>General</v>
      </c>
      <c r="V761" s="6" t="str" cm="1">
        <f t="array" ref="V761">IF(TRIM(S761)="",INDEX($S$2:$S$1500,MATCH(MAX(COUNTIF($S$2:$S$1500,S761)),COUNTIF($S$2:$S$1500,$S$2:$S$1500),0)),S761)</f>
        <v>UPI</v>
      </c>
      <c r="W761" s="7" cm="1">
        <f t="array" ref="W761">IF(OR(TRIM(K761)="",TRIM(K761)="-"), MEDIAN(IF($E$2:$E$1500=E761,$K$2:$K$1500)),  VALUE(SUBSTITUTE(SUBSTITUTE(SUBSTITUTE(K761,"Rs. ",""),"₹",""),",","")))</f>
        <v>15570</v>
      </c>
      <c r="X761" s="8">
        <f t="shared" si="118"/>
        <v>3</v>
      </c>
      <c r="Y761" s="7">
        <f t="shared" si="119"/>
        <v>15103</v>
      </c>
      <c r="Z761" s="9" t="str">
        <f t="shared" si="111"/>
        <v>ADULT</v>
      </c>
    </row>
    <row r="762" spans="1:26" x14ac:dyDescent="0.3">
      <c r="A762" s="5" t="s">
        <v>1662</v>
      </c>
      <c r="B762" s="5" t="s">
        <v>14</v>
      </c>
      <c r="C762" s="5" t="s">
        <v>15</v>
      </c>
      <c r="D762" s="5" t="s">
        <v>16</v>
      </c>
      <c r="E762" s="5" t="s">
        <v>17</v>
      </c>
      <c r="F762" s="5" t="s">
        <v>18</v>
      </c>
      <c r="G762" s="5" t="s">
        <v>49</v>
      </c>
      <c r="H762" s="5">
        <v>2</v>
      </c>
      <c r="I762" s="5" t="s">
        <v>20</v>
      </c>
      <c r="J762" s="34" t="s">
        <v>590</v>
      </c>
      <c r="K762" s="31">
        <v>7878</v>
      </c>
      <c r="L762" s="5" t="s">
        <v>311</v>
      </c>
      <c r="M762" s="32">
        <v>10</v>
      </c>
      <c r="N762" s="6">
        <f t="shared" si="112"/>
        <v>10</v>
      </c>
      <c r="O762" s="4" t="s">
        <v>18</v>
      </c>
      <c r="P762" s="5" t="str">
        <f t="shared" si="113"/>
        <v>Bangalore</v>
      </c>
      <c r="Q762" s="5" t="str">
        <f t="shared" si="114"/>
        <v>Gynecology</v>
      </c>
      <c r="R762" s="6" t="str">
        <f t="shared" si="115"/>
        <v>Max_Healthcare</v>
      </c>
      <c r="S762" s="6" t="str">
        <f t="shared" si="116"/>
        <v>UPI</v>
      </c>
      <c r="T762" s="6" t="str">
        <f t="shared" si="117"/>
        <v>Male</v>
      </c>
      <c r="U762" s="6" t="str">
        <f t="shared" si="120"/>
        <v>General</v>
      </c>
      <c r="V762" s="6" t="str" cm="1">
        <f t="array" ref="V762">IF(TRIM(S762)="",INDEX($S$2:$S$1500,MATCH(MAX(COUNTIF($S$2:$S$1500,S762)),COUNTIF($S$2:$S$1500,$S$2:$S$1500),0)),S762)</f>
        <v>UPI</v>
      </c>
      <c r="W762" s="7" cm="1">
        <f t="array" ref="W762">IF(OR(TRIM(K762)="",TRIM(K762)="-"), MEDIAN(IF($E$2:$E$1500=E762,$K$2:$K$1500)),  VALUE(SUBSTITUTE(SUBSTITUTE(SUBSTITUTE(K762,"Rs. ",""),"₹",""),",","")))</f>
        <v>7878</v>
      </c>
      <c r="X762" s="8">
        <f t="shared" si="118"/>
        <v>10</v>
      </c>
      <c r="Y762" s="7">
        <f t="shared" si="119"/>
        <v>7090</v>
      </c>
      <c r="Z762" s="9" t="str">
        <f t="shared" si="111"/>
        <v>CHILD</v>
      </c>
    </row>
    <row r="763" spans="1:26" x14ac:dyDescent="0.3">
      <c r="A763" s="5" t="s">
        <v>1663</v>
      </c>
      <c r="B763" s="5" t="s">
        <v>106</v>
      </c>
      <c r="C763" s="5" t="s">
        <v>107</v>
      </c>
      <c r="D763" s="5" t="s">
        <v>66</v>
      </c>
      <c r="E763" s="5" t="s">
        <v>108</v>
      </c>
      <c r="F763" s="5" t="s">
        <v>109</v>
      </c>
      <c r="G763" s="5" t="s">
        <v>30</v>
      </c>
      <c r="H763" s="5">
        <v>57</v>
      </c>
      <c r="I763" s="5" t="s">
        <v>20</v>
      </c>
      <c r="J763" s="34" t="s">
        <v>1253</v>
      </c>
      <c r="K763" s="31">
        <v>9282</v>
      </c>
      <c r="L763" s="5" t="s">
        <v>115</v>
      </c>
      <c r="M763" s="32">
        <v>10</v>
      </c>
      <c r="N763" s="6">
        <f t="shared" si="112"/>
        <v>10</v>
      </c>
      <c r="O763" s="4" t="s">
        <v>109</v>
      </c>
      <c r="P763" s="5" t="str">
        <f t="shared" si="113"/>
        <v>Kolkata</v>
      </c>
      <c r="Q763" s="5" t="str">
        <f t="shared" si="114"/>
        <v>Orthopedics</v>
      </c>
      <c r="R763" s="6" t="str">
        <f t="shared" si="115"/>
        <v>Aiims</v>
      </c>
      <c r="S763" s="6" t="str">
        <f t="shared" si="116"/>
        <v>Cash</v>
      </c>
      <c r="T763" s="6" t="str">
        <f t="shared" si="117"/>
        <v>Male</v>
      </c>
      <c r="U763" s="6" t="str">
        <f t="shared" si="120"/>
        <v>General</v>
      </c>
      <c r="V763" s="6" t="str" cm="1">
        <f t="array" ref="V763">IF(TRIM(S763)="",INDEX($S$2:$S$1500,MATCH(MAX(COUNTIF($S$2:$S$1500,S763)),COUNTIF($S$2:$S$1500,$S$2:$S$1500),0)),S763)</f>
        <v>Cash</v>
      </c>
      <c r="W763" s="7" cm="1">
        <f t="array" ref="W763">IF(OR(TRIM(K763)="",TRIM(K763)="-"), MEDIAN(IF($E$2:$E$1500=E763,$K$2:$K$1500)),  VALUE(SUBSTITUTE(SUBSTITUTE(SUBSTITUTE(K763,"Rs. ",""),"₹",""),",","")))</f>
        <v>9282</v>
      </c>
      <c r="X763" s="8">
        <f t="shared" si="118"/>
        <v>10</v>
      </c>
      <c r="Y763" s="7">
        <f t="shared" si="119"/>
        <v>8354</v>
      </c>
      <c r="Z763" s="9" t="str">
        <f t="shared" si="111"/>
        <v>ADULT</v>
      </c>
    </row>
    <row r="764" spans="1:26" x14ac:dyDescent="0.3">
      <c r="A764" s="5" t="s">
        <v>1664</v>
      </c>
      <c r="B764" s="5" t="s">
        <v>78</v>
      </c>
      <c r="C764" s="5" t="s">
        <v>203</v>
      </c>
      <c r="D764" s="5" t="s">
        <v>27</v>
      </c>
      <c r="E764" s="5" t="s">
        <v>93</v>
      </c>
      <c r="F764" s="5" t="s">
        <v>144</v>
      </c>
      <c r="G764" s="5" t="s">
        <v>39</v>
      </c>
      <c r="H764" s="5">
        <v>87</v>
      </c>
      <c r="I764" s="5" t="s">
        <v>40</v>
      </c>
      <c r="J764" s="34" t="s">
        <v>800</v>
      </c>
      <c r="K764" s="31" t="s">
        <v>1665</v>
      </c>
      <c r="L764" s="5" t="s">
        <v>91</v>
      </c>
      <c r="M764" s="32">
        <v>0</v>
      </c>
      <c r="N764" s="6">
        <f t="shared" si="112"/>
        <v>0</v>
      </c>
      <c r="O764" s="4" t="s">
        <v>144</v>
      </c>
      <c r="P764" s="5" t="str">
        <f t="shared" si="113"/>
        <v>Mumbai</v>
      </c>
      <c r="Q764" s="5" t="str">
        <f t="shared" si="114"/>
        <v>Nephrology</v>
      </c>
      <c r="R764" s="6" t="str">
        <f t="shared" si="115"/>
        <v>Apollo</v>
      </c>
      <c r="S764" s="6" t="str">
        <f t="shared" si="116"/>
        <v>Debit Card</v>
      </c>
      <c r="T764" s="6" t="str">
        <f t="shared" si="117"/>
        <v>Female</v>
      </c>
      <c r="U764" s="6" t="str">
        <f t="shared" si="120"/>
        <v>General</v>
      </c>
      <c r="V764" s="6" t="str" cm="1">
        <f t="array" ref="V764">IF(TRIM(S764)="",INDEX($S$2:$S$1500,MATCH(MAX(COUNTIF($S$2:$S$1500,S764)),COUNTIF($S$2:$S$1500,$S$2:$S$1500),0)),S764)</f>
        <v>Debit Card</v>
      </c>
      <c r="W764" s="7" cm="1">
        <f t="array" ref="W764">IF(OR(TRIM(K764)="",TRIM(K764)="-"), MEDIAN(IF($E$2:$E$1500=E764,$K$2:$K$1500)),  VALUE(SUBSTITUTE(SUBSTITUTE(SUBSTITUTE(K764,"Rs. ",""),"₹",""),",","")))</f>
        <v>11476</v>
      </c>
      <c r="X764" s="8">
        <f t="shared" si="118"/>
        <v>0</v>
      </c>
      <c r="Y764" s="7">
        <f t="shared" si="119"/>
        <v>11476</v>
      </c>
      <c r="Z764" s="9" t="str">
        <f t="shared" si="111"/>
        <v>SENIOR</v>
      </c>
    </row>
    <row r="765" spans="1:26" x14ac:dyDescent="0.3">
      <c r="A765" s="5" t="s">
        <v>1666</v>
      </c>
      <c r="B765" s="5" t="s">
        <v>45</v>
      </c>
      <c r="C765" s="5" t="s">
        <v>334</v>
      </c>
      <c r="D765" s="5" t="s">
        <v>27</v>
      </c>
      <c r="E765" s="5" t="s">
        <v>28</v>
      </c>
      <c r="F765" s="5" t="s">
        <v>268</v>
      </c>
      <c r="G765" s="5" t="s">
        <v>49</v>
      </c>
      <c r="H765" s="5">
        <v>48</v>
      </c>
      <c r="I765" s="5" t="s">
        <v>40</v>
      </c>
      <c r="J765" s="34" t="s">
        <v>571</v>
      </c>
      <c r="K765" s="31" t="s">
        <v>1667</v>
      </c>
      <c r="L765" s="5" t="s">
        <v>23</v>
      </c>
      <c r="M765" s="32" t="s">
        <v>130</v>
      </c>
      <c r="N765" s="6">
        <f t="shared" si="112"/>
        <v>0</v>
      </c>
      <c r="O765" s="4" t="s">
        <v>268</v>
      </c>
      <c r="P765" s="5" t="str">
        <f t="shared" si="113"/>
        <v>Mumbai</v>
      </c>
      <c r="Q765" s="5" t="str">
        <f t="shared" si="114"/>
        <v>Oncology</v>
      </c>
      <c r="R765" s="6" t="str">
        <f t="shared" si="115"/>
        <v>Fortis</v>
      </c>
      <c r="S765" s="6" t="str">
        <f t="shared" si="116"/>
        <v>Credit Card</v>
      </c>
      <c r="T765" s="6" t="str">
        <f t="shared" si="117"/>
        <v>Female</v>
      </c>
      <c r="U765" s="6" t="str">
        <f t="shared" si="120"/>
        <v>General</v>
      </c>
      <c r="V765" s="6" t="str" cm="1">
        <f t="array" ref="V765">IF(TRIM(S765)="",INDEX($S$2:$S$1500,MATCH(MAX(COUNTIF($S$2:$S$1500,S765)),COUNTIF($S$2:$S$1500,$S$2:$S$1500),0)),S765)</f>
        <v>Credit Card</v>
      </c>
      <c r="W765" s="7" cm="1">
        <f t="array" ref="W765">IF(OR(TRIM(K765)="",TRIM(K765)="-"), MEDIAN(IF($E$2:$E$1500=E765,$K$2:$K$1500)),  VALUE(SUBSTITUTE(SUBSTITUTE(SUBSTITUTE(K765,"Rs. ",""),"₹",""),",","")))</f>
        <v>12205</v>
      </c>
      <c r="X765" s="8">
        <f t="shared" si="118"/>
        <v>0</v>
      </c>
      <c r="Y765" s="7">
        <f t="shared" si="119"/>
        <v>12205</v>
      </c>
      <c r="Z765" s="9" t="str">
        <f t="shared" si="111"/>
        <v>ADULT</v>
      </c>
    </row>
    <row r="766" spans="1:26" x14ac:dyDescent="0.3">
      <c r="A766" s="5" t="s">
        <v>1668</v>
      </c>
      <c r="B766" s="5" t="s">
        <v>14</v>
      </c>
      <c r="C766" s="5" t="s">
        <v>15</v>
      </c>
      <c r="D766" s="5" t="s">
        <v>55</v>
      </c>
      <c r="E766" s="5" t="s">
        <v>164</v>
      </c>
      <c r="F766" s="5" t="s">
        <v>219</v>
      </c>
      <c r="G766" s="5" t="s">
        <v>39</v>
      </c>
      <c r="H766" s="5">
        <v>5</v>
      </c>
      <c r="I766" s="5" t="s">
        <v>40</v>
      </c>
      <c r="J766" s="34" t="s">
        <v>984</v>
      </c>
      <c r="K766" s="31" t="s">
        <v>1669</v>
      </c>
      <c r="L766" s="5" t="s">
        <v>115</v>
      </c>
      <c r="M766" s="32"/>
      <c r="N766" s="6">
        <f t="shared" si="112"/>
        <v>0</v>
      </c>
      <c r="O766" s="4" t="s">
        <v>219</v>
      </c>
      <c r="P766" s="5" t="str">
        <f t="shared" si="113"/>
        <v>Hyderabad</v>
      </c>
      <c r="Q766" s="5" t="str">
        <f t="shared" si="114"/>
        <v>Cardiology</v>
      </c>
      <c r="R766" s="6" t="str">
        <f t="shared" si="115"/>
        <v>Max_Healthcare</v>
      </c>
      <c r="S766" s="6" t="str">
        <f t="shared" si="116"/>
        <v>Cash</v>
      </c>
      <c r="T766" s="6" t="str">
        <f t="shared" si="117"/>
        <v>Female</v>
      </c>
      <c r="U766" s="6" t="str">
        <f t="shared" si="120"/>
        <v>General</v>
      </c>
      <c r="V766" s="6" t="str" cm="1">
        <f t="array" ref="V766">IF(TRIM(S766)="",INDEX($S$2:$S$1500,MATCH(MAX(COUNTIF($S$2:$S$1500,S766)),COUNTIF($S$2:$S$1500,$S$2:$S$1500),0)),S766)</f>
        <v>Cash</v>
      </c>
      <c r="W766" s="7" cm="1">
        <f t="array" ref="W766">IF(OR(TRIM(K766)="",TRIM(K766)="-"), MEDIAN(IF($E$2:$E$1500=E766,$K$2:$K$1500)),  VALUE(SUBSTITUTE(SUBSTITUTE(SUBSTITUTE(K766,"Rs. ",""),"₹",""),",","")))</f>
        <v>9617</v>
      </c>
      <c r="X766" s="8">
        <f t="shared" si="118"/>
        <v>0</v>
      </c>
      <c r="Y766" s="7">
        <f t="shared" si="119"/>
        <v>9617</v>
      </c>
      <c r="Z766" s="9" t="str">
        <f t="shared" si="111"/>
        <v>CHILD</v>
      </c>
    </row>
    <row r="767" spans="1:26" x14ac:dyDescent="0.3">
      <c r="A767" s="5" t="s">
        <v>1670</v>
      </c>
      <c r="B767" s="5" t="s">
        <v>78</v>
      </c>
      <c r="C767" s="5" t="s">
        <v>161</v>
      </c>
      <c r="D767" s="5" t="s">
        <v>55</v>
      </c>
      <c r="E767" s="5" t="s">
        <v>99</v>
      </c>
      <c r="F767" s="5" t="s">
        <v>151</v>
      </c>
      <c r="G767" s="5" t="s">
        <v>39</v>
      </c>
      <c r="H767" s="5">
        <v>89</v>
      </c>
      <c r="I767" s="5" t="s">
        <v>31</v>
      </c>
      <c r="J767" s="34" t="s">
        <v>354</v>
      </c>
      <c r="K767" s="31" t="s">
        <v>1671</v>
      </c>
      <c r="L767" s="5" t="s">
        <v>311</v>
      </c>
      <c r="M767" s="32" t="s">
        <v>76</v>
      </c>
      <c r="N767" s="6">
        <f t="shared" si="112"/>
        <v>10</v>
      </c>
      <c r="O767" s="4" t="s">
        <v>151</v>
      </c>
      <c r="P767" s="5" t="str">
        <f t="shared" si="113"/>
        <v>Hyderabad</v>
      </c>
      <c r="Q767" s="5" t="str">
        <f t="shared" si="114"/>
        <v>Ent</v>
      </c>
      <c r="R767" s="6" t="str">
        <f t="shared" si="115"/>
        <v>Apollo</v>
      </c>
      <c r="S767" s="6" t="str">
        <f t="shared" si="116"/>
        <v>UPI</v>
      </c>
      <c r="T767" s="6" t="str">
        <f t="shared" si="117"/>
        <v>Male</v>
      </c>
      <c r="U767" s="6" t="str">
        <f t="shared" si="120"/>
        <v>General</v>
      </c>
      <c r="V767" s="6" t="str" cm="1">
        <f t="array" ref="V767">IF(TRIM(S767)="",INDEX($S$2:$S$1500,MATCH(MAX(COUNTIF($S$2:$S$1500,S767)),COUNTIF($S$2:$S$1500,$S$2:$S$1500),0)),S767)</f>
        <v>UPI</v>
      </c>
      <c r="W767" s="7" cm="1">
        <f t="array" ref="W767">IF(OR(TRIM(K767)="",TRIM(K767)="-"), MEDIAN(IF($E$2:$E$1500=E767,$K$2:$K$1500)),  VALUE(SUBSTITUTE(SUBSTITUTE(SUBSTITUTE(K767,"Rs. ",""),"₹",""),",","")))</f>
        <v>15757</v>
      </c>
      <c r="X767" s="8">
        <f t="shared" si="118"/>
        <v>10</v>
      </c>
      <c r="Y767" s="7">
        <f t="shared" si="119"/>
        <v>14181</v>
      </c>
      <c r="Z767" s="9" t="str">
        <f t="shared" si="111"/>
        <v>SENIOR</v>
      </c>
    </row>
    <row r="768" spans="1:26" x14ac:dyDescent="0.3">
      <c r="A768" s="5" t="s">
        <v>1672</v>
      </c>
      <c r="B768" s="5" t="s">
        <v>106</v>
      </c>
      <c r="C768" s="5" t="s">
        <v>107</v>
      </c>
      <c r="D768" s="5" t="s">
        <v>36</v>
      </c>
      <c r="E768" s="5" t="s">
        <v>93</v>
      </c>
      <c r="F768" s="5" t="s">
        <v>144</v>
      </c>
      <c r="G768" s="5" t="s">
        <v>30</v>
      </c>
      <c r="H768" s="5">
        <v>35</v>
      </c>
      <c r="I768" s="5" t="s">
        <v>40</v>
      </c>
      <c r="J768" s="34" t="s">
        <v>1536</v>
      </c>
      <c r="K768" s="31">
        <v>5991</v>
      </c>
      <c r="L768" s="5"/>
      <c r="M768" s="32">
        <v>10</v>
      </c>
      <c r="N768" s="6">
        <f t="shared" si="112"/>
        <v>10</v>
      </c>
      <c r="O768" s="4" t="s">
        <v>144</v>
      </c>
      <c r="P768" s="5" t="str">
        <f t="shared" si="113"/>
        <v>Chennai</v>
      </c>
      <c r="Q768" s="5" t="str">
        <f t="shared" si="114"/>
        <v>Nephrology</v>
      </c>
      <c r="R768" s="6" t="str">
        <f t="shared" si="115"/>
        <v>Aiims</v>
      </c>
      <c r="S768" s="6" t="str">
        <f t="shared" si="116"/>
        <v>Unknown</v>
      </c>
      <c r="T768" s="6" t="str">
        <f t="shared" si="117"/>
        <v>Female</v>
      </c>
      <c r="U768" s="6" t="str">
        <f t="shared" si="120"/>
        <v>General</v>
      </c>
      <c r="V768" s="6" t="str" cm="1">
        <f t="array" ref="V768">IF(TRIM(S768)="",INDEX($S$2:$S$1500,MATCH(MAX(COUNTIF($S$2:$S$1500,S768)),COUNTIF($S$2:$S$1500,$S$2:$S$1500),0)),S768)</f>
        <v>Unknown</v>
      </c>
      <c r="W768" s="7" cm="1">
        <f t="array" ref="W768">IF(OR(TRIM(K768)="",TRIM(K768)="-"), MEDIAN(IF($E$2:$E$1500=E768,$K$2:$K$1500)),  VALUE(SUBSTITUTE(SUBSTITUTE(SUBSTITUTE(K768,"Rs. ",""),"₹",""),",","")))</f>
        <v>5991</v>
      </c>
      <c r="X768" s="8">
        <f t="shared" si="118"/>
        <v>10</v>
      </c>
      <c r="Y768" s="7">
        <f t="shared" si="119"/>
        <v>5392</v>
      </c>
      <c r="Z768" s="9" t="str">
        <f t="shared" si="111"/>
        <v>ADULT</v>
      </c>
    </row>
    <row r="769" spans="1:26" x14ac:dyDescent="0.3">
      <c r="A769" s="5" t="s">
        <v>1673</v>
      </c>
      <c r="B769" s="5" t="s">
        <v>45</v>
      </c>
      <c r="C769" s="5" t="s">
        <v>46</v>
      </c>
      <c r="D769" s="5" t="s">
        <v>16</v>
      </c>
      <c r="E769" s="5" t="s">
        <v>17</v>
      </c>
      <c r="F769" s="5" t="s">
        <v>135</v>
      </c>
      <c r="G769" s="5" t="s">
        <v>101</v>
      </c>
      <c r="H769" s="5">
        <v>68</v>
      </c>
      <c r="I769" s="5" t="s">
        <v>20</v>
      </c>
      <c r="J769" s="34" t="s">
        <v>777</v>
      </c>
      <c r="K769" s="31">
        <v>74777</v>
      </c>
      <c r="L769" s="5" t="s">
        <v>52</v>
      </c>
      <c r="M769" s="32">
        <v>10</v>
      </c>
      <c r="N769" s="6">
        <f t="shared" si="112"/>
        <v>10</v>
      </c>
      <c r="O769" s="4" t="s">
        <v>135</v>
      </c>
      <c r="P769" s="5" t="str">
        <f t="shared" si="113"/>
        <v>Bangalore</v>
      </c>
      <c r="Q769" s="5" t="str">
        <f t="shared" si="114"/>
        <v>Gynecology</v>
      </c>
      <c r="R769" s="6" t="str">
        <f t="shared" si="115"/>
        <v>Fortis</v>
      </c>
      <c r="S769" s="6" t="str">
        <f t="shared" si="116"/>
        <v>Credit Card</v>
      </c>
      <c r="T769" s="6" t="str">
        <f t="shared" si="117"/>
        <v>Male</v>
      </c>
      <c r="U769" s="6" t="str">
        <f t="shared" si="120"/>
        <v>ICU</v>
      </c>
      <c r="V769" s="6" t="str" cm="1">
        <f t="array" ref="V769">IF(TRIM(S769)="",INDEX($S$2:$S$1500,MATCH(MAX(COUNTIF($S$2:$S$1500,S769)),COUNTIF($S$2:$S$1500,$S$2:$S$1500),0)),S769)</f>
        <v>Credit Card</v>
      </c>
      <c r="W769" s="7" cm="1">
        <f t="array" ref="W769">IF(OR(TRIM(K769)="",TRIM(K769)="-"), MEDIAN(IF($E$2:$E$1500=E769,$K$2:$K$1500)),  VALUE(SUBSTITUTE(SUBSTITUTE(SUBSTITUTE(K769,"Rs. ",""),"₹",""),",","")))</f>
        <v>74777</v>
      </c>
      <c r="X769" s="8">
        <f t="shared" si="118"/>
        <v>10</v>
      </c>
      <c r="Y769" s="7">
        <f t="shared" si="119"/>
        <v>67299</v>
      </c>
      <c r="Z769" s="9" t="str">
        <f t="shared" si="111"/>
        <v>SENIOR</v>
      </c>
    </row>
    <row r="770" spans="1:26" x14ac:dyDescent="0.3">
      <c r="A770" s="5" t="s">
        <v>1674</v>
      </c>
      <c r="B770" s="5" t="s">
        <v>117</v>
      </c>
      <c r="C770" s="5" t="s">
        <v>118</v>
      </c>
      <c r="D770" s="5" t="s">
        <v>80</v>
      </c>
      <c r="E770" s="5" t="s">
        <v>164</v>
      </c>
      <c r="F770" s="5" t="s">
        <v>219</v>
      </c>
      <c r="G770" s="5" t="s">
        <v>39</v>
      </c>
      <c r="H770" s="5">
        <v>85</v>
      </c>
      <c r="I770" s="5" t="s">
        <v>40</v>
      </c>
      <c r="J770" s="34" t="s">
        <v>1577</v>
      </c>
      <c r="K770" s="31" t="s">
        <v>1675</v>
      </c>
      <c r="L770" s="5" t="s">
        <v>115</v>
      </c>
      <c r="M770" s="32" t="s">
        <v>130</v>
      </c>
      <c r="N770" s="6">
        <f t="shared" si="112"/>
        <v>0</v>
      </c>
      <c r="O770" s="4" t="s">
        <v>219</v>
      </c>
      <c r="P770" s="5" t="str">
        <f t="shared" si="113"/>
        <v>Ahmedabad</v>
      </c>
      <c r="Q770" s="5" t="str">
        <f t="shared" si="114"/>
        <v>Cardiology</v>
      </c>
      <c r="R770" s="6" t="str">
        <f t="shared" si="115"/>
        <v>Manipal</v>
      </c>
      <c r="S770" s="6" t="str">
        <f t="shared" si="116"/>
        <v>Cash</v>
      </c>
      <c r="T770" s="6" t="str">
        <f t="shared" si="117"/>
        <v>Female</v>
      </c>
      <c r="U770" s="6" t="str">
        <f t="shared" si="120"/>
        <v>General</v>
      </c>
      <c r="V770" s="6" t="str" cm="1">
        <f t="array" ref="V770">IF(TRIM(S770)="",INDEX($S$2:$S$1500,MATCH(MAX(COUNTIF($S$2:$S$1500,S770)),COUNTIF($S$2:$S$1500,$S$2:$S$1500),0)),S770)</f>
        <v>Cash</v>
      </c>
      <c r="W770" s="7" cm="1">
        <f t="array" ref="W770">IF(OR(TRIM(K770)="",TRIM(K770)="-"), MEDIAN(IF($E$2:$E$1500=E770,$K$2:$K$1500)),  VALUE(SUBSTITUTE(SUBSTITUTE(SUBSTITUTE(K770,"Rs. ",""),"₹",""),",","")))</f>
        <v>6799</v>
      </c>
      <c r="X770" s="8">
        <f t="shared" si="118"/>
        <v>0</v>
      </c>
      <c r="Y770" s="7">
        <f t="shared" si="119"/>
        <v>6799</v>
      </c>
      <c r="Z770" s="9" t="str">
        <f t="shared" ref="Z770:Z833" si="121">IF(H770&lt;13,"CHILD",IF(H770&lt;20,"TEEN",IF(H770&lt;60,"ADULT","SENIOR")))</f>
        <v>SENIOR</v>
      </c>
    </row>
    <row r="771" spans="1:26" x14ac:dyDescent="0.3">
      <c r="A771" s="5" t="s">
        <v>1676</v>
      </c>
      <c r="B771" s="5" t="s">
        <v>106</v>
      </c>
      <c r="C771" s="5" t="s">
        <v>107</v>
      </c>
      <c r="D771" s="5" t="s">
        <v>189</v>
      </c>
      <c r="E771" s="5" t="s">
        <v>37</v>
      </c>
      <c r="F771" s="5" t="s">
        <v>56</v>
      </c>
      <c r="G771" s="5" t="s">
        <v>62</v>
      </c>
      <c r="H771" s="5">
        <v>38</v>
      </c>
      <c r="I771" s="5" t="s">
        <v>20</v>
      </c>
      <c r="J771" s="34" t="s">
        <v>186</v>
      </c>
      <c r="K771" s="31">
        <v>75877</v>
      </c>
      <c r="L771" s="5" t="s">
        <v>83</v>
      </c>
      <c r="M771" s="32">
        <v>0</v>
      </c>
      <c r="N771" s="6">
        <f t="shared" ref="N771:N834" si="122">IF(RIGHT(TRIM(M771),1)="%",VALUE(LEFT(TRIM(M771),LEN(TRIM(M771))-1)),  IF(AND(ISNUMBER(M771),M771&lt;=1,M771&gt;0),M771*100,M771))</f>
        <v>0</v>
      </c>
      <c r="O771" s="4" t="s">
        <v>56</v>
      </c>
      <c r="P771" s="5" t="str">
        <f t="shared" ref="P771:P834" si="123">PROPER(D771)</f>
        <v>Delhi</v>
      </c>
      <c r="Q771" s="5" t="str">
        <f t="shared" ref="Q771:Q834" si="124">PROPER(E771)</f>
        <v>Pediatrics</v>
      </c>
      <c r="R771" s="6" t="str">
        <f t="shared" ref="R771:R834" si="125">PROPER(C771)</f>
        <v>Aiims</v>
      </c>
      <c r="S771" s="6" t="str">
        <f t="shared" ref="S771:S834" si="126">IF(OR(UPPER(TRIM(L771))="CREDIT_CARD",UPPER(TRIM(L771))="CREDIT CARD",UPPER(TRIM(L771))="CC"),"Credit Card", IF(OR(UPPER(TRIM(L771))="DEBIT_CARD",UPPER(TRIM(L771))="DEBIT CARD",UPPER(TRIM(L771))="DC"),"Debit Card", IF(UPPER(TRIM(L771))="CASH","Cash", IF(UPPER(TRIM(L771))="UPI","UPI", IF(OR(UPPER(TRIM(L771))="INSURANCE",UPPER(TRIM(L771))="INS"),"Insurance", IF(TRIM(L771)="","Unknown","Unknown"))))))</f>
        <v>Debit Card</v>
      </c>
      <c r="T771" s="6" t="str">
        <f t="shared" ref="T771:T834" si="127">IF(OR(UPPER(TRIM(I771))="M",UPPER(TRIM(I771))="MALE"),"Male",IF(OR(UPPER(TRIM(I771))="F",UPPER(TRIM(I771))="FEMALE"),"Female","Unknown"))</f>
        <v>Male</v>
      </c>
      <c r="U771" s="6" t="str">
        <f t="shared" si="120"/>
        <v>ICU</v>
      </c>
      <c r="V771" s="6" t="str" cm="1">
        <f t="array" ref="V771">IF(TRIM(S771)="",INDEX($S$2:$S$1500,MATCH(MAX(COUNTIF($S$2:$S$1500,S771)),COUNTIF($S$2:$S$1500,$S$2:$S$1500),0)),S771)</f>
        <v>Debit Card</v>
      </c>
      <c r="W771" s="7" cm="1">
        <f t="array" ref="W771">IF(OR(TRIM(K771)="",TRIM(K771)="-"), MEDIAN(IF($E$2:$E$1500=E771,$K$2:$K$1500)),  VALUE(SUBSTITUTE(SUBSTITUTE(SUBSTITUTE(K771,"Rs. ",""),"₹",""),",","")))</f>
        <v>75877</v>
      </c>
      <c r="X771" s="8">
        <f t="shared" ref="X771:X834" si="128">ROUND(IF(OR(TRIM(N771)="-",UPPER(TRIM(N771))="N/A",UPPER(TRIM(N771))="NA"), IFERROR(AVERAGEIF($V$2:$V$1500,V771,$N$2:$N$1500),AVERAGE($N$2:$N$1500)), N771),0)</f>
        <v>0</v>
      </c>
      <c r="Y771" s="7">
        <f t="shared" ref="Y771:Y834" si="129">ROUND(W771*(1-X771/100),0)</f>
        <v>75877</v>
      </c>
      <c r="Z771" s="9" t="str">
        <f t="shared" si="121"/>
        <v>ADULT</v>
      </c>
    </row>
    <row r="772" spans="1:26" x14ac:dyDescent="0.3">
      <c r="A772" s="5" t="s">
        <v>1677</v>
      </c>
      <c r="B772" s="5" t="s">
        <v>106</v>
      </c>
      <c r="C772" s="5" t="s">
        <v>107</v>
      </c>
      <c r="D772" s="5" t="s">
        <v>80</v>
      </c>
      <c r="E772" s="5" t="s">
        <v>108</v>
      </c>
      <c r="F772" s="5" t="s">
        <v>272</v>
      </c>
      <c r="G772" s="5" t="s">
        <v>49</v>
      </c>
      <c r="H772" s="5">
        <v>45</v>
      </c>
      <c r="I772" s="5" t="s">
        <v>40</v>
      </c>
      <c r="J772" s="34" t="s">
        <v>1590</v>
      </c>
      <c r="K772" s="31" t="s">
        <v>1678</v>
      </c>
      <c r="L772" s="5" t="s">
        <v>211</v>
      </c>
      <c r="M772" s="32">
        <v>0</v>
      </c>
      <c r="N772" s="6">
        <f t="shared" si="122"/>
        <v>0</v>
      </c>
      <c r="O772" s="4" t="s">
        <v>272</v>
      </c>
      <c r="P772" s="5" t="str">
        <f t="shared" si="123"/>
        <v>Ahmedabad</v>
      </c>
      <c r="Q772" s="5" t="str">
        <f t="shared" si="124"/>
        <v>Orthopedics</v>
      </c>
      <c r="R772" s="6" t="str">
        <f t="shared" si="125"/>
        <v>Aiims</v>
      </c>
      <c r="S772" s="6" t="str">
        <f t="shared" si="126"/>
        <v>Credit Card</v>
      </c>
      <c r="T772" s="6" t="str">
        <f t="shared" si="127"/>
        <v>Female</v>
      </c>
      <c r="U772" s="6" t="str">
        <f t="shared" si="120"/>
        <v>General</v>
      </c>
      <c r="V772" s="6" t="str" cm="1">
        <f t="array" ref="V772">IF(TRIM(S772)="",INDEX($S$2:$S$1500,MATCH(MAX(COUNTIF($S$2:$S$1500,S772)),COUNTIF($S$2:$S$1500,$S$2:$S$1500),0)),S772)</f>
        <v>Credit Card</v>
      </c>
      <c r="W772" s="7" cm="1">
        <f t="array" ref="W772">IF(OR(TRIM(K772)="",TRIM(K772)="-"), MEDIAN(IF($E$2:$E$1500=E772,$K$2:$K$1500)),  VALUE(SUBSTITUTE(SUBSTITUTE(SUBSTITUTE(K772,"Rs. ",""),"₹",""),",","")))</f>
        <v>4674</v>
      </c>
      <c r="X772" s="8">
        <f t="shared" si="128"/>
        <v>0</v>
      </c>
      <c r="Y772" s="7">
        <f t="shared" si="129"/>
        <v>4674</v>
      </c>
      <c r="Z772" s="9" t="str">
        <f t="shared" si="121"/>
        <v>ADULT</v>
      </c>
    </row>
    <row r="773" spans="1:26" x14ac:dyDescent="0.3">
      <c r="A773" s="5" t="s">
        <v>1679</v>
      </c>
      <c r="B773" s="5" t="s">
        <v>106</v>
      </c>
      <c r="C773" s="5" t="s">
        <v>307</v>
      </c>
      <c r="D773" s="5" t="s">
        <v>55</v>
      </c>
      <c r="E773" s="5" t="s">
        <v>93</v>
      </c>
      <c r="F773" s="5" t="s">
        <v>94</v>
      </c>
      <c r="G773" s="5" t="s">
        <v>49</v>
      </c>
      <c r="H773" s="5">
        <v>88</v>
      </c>
      <c r="I773" s="5" t="s">
        <v>20</v>
      </c>
      <c r="J773" s="34" t="s">
        <v>1680</v>
      </c>
      <c r="K773" s="31">
        <v>14905</v>
      </c>
      <c r="L773" s="5" t="s">
        <v>115</v>
      </c>
      <c r="M773" s="32">
        <v>0</v>
      </c>
      <c r="N773" s="6">
        <f t="shared" si="122"/>
        <v>0</v>
      </c>
      <c r="O773" s="4" t="s">
        <v>94</v>
      </c>
      <c r="P773" s="5" t="str">
        <f t="shared" si="123"/>
        <v>Hyderabad</v>
      </c>
      <c r="Q773" s="5" t="str">
        <f t="shared" si="124"/>
        <v>Nephrology</v>
      </c>
      <c r="R773" s="6" t="str">
        <f t="shared" si="125"/>
        <v>Aiims</v>
      </c>
      <c r="S773" s="6" t="str">
        <f t="shared" si="126"/>
        <v>Cash</v>
      </c>
      <c r="T773" s="6" t="str">
        <f t="shared" si="127"/>
        <v>Male</v>
      </c>
      <c r="U773" s="6" t="str">
        <f t="shared" si="120"/>
        <v>General</v>
      </c>
      <c r="V773" s="6" t="str" cm="1">
        <f t="array" ref="V773">IF(TRIM(S773)="",INDEX($S$2:$S$1500,MATCH(MAX(COUNTIF($S$2:$S$1500,S773)),COUNTIF($S$2:$S$1500,$S$2:$S$1500),0)),S773)</f>
        <v>Cash</v>
      </c>
      <c r="W773" s="7" cm="1">
        <f t="array" ref="W773">IF(OR(TRIM(K773)="",TRIM(K773)="-"), MEDIAN(IF($E$2:$E$1500=E773,$K$2:$K$1500)),  VALUE(SUBSTITUTE(SUBSTITUTE(SUBSTITUTE(K773,"Rs. ",""),"₹",""),",","")))</f>
        <v>14905</v>
      </c>
      <c r="X773" s="8">
        <f t="shared" si="128"/>
        <v>0</v>
      </c>
      <c r="Y773" s="7">
        <f t="shared" si="129"/>
        <v>14905</v>
      </c>
      <c r="Z773" s="9" t="str">
        <f t="shared" si="121"/>
        <v>SENIOR</v>
      </c>
    </row>
    <row r="774" spans="1:26" x14ac:dyDescent="0.3">
      <c r="A774" s="5" t="s">
        <v>1681</v>
      </c>
      <c r="B774" s="5" t="s">
        <v>25</v>
      </c>
      <c r="C774" s="5" t="s">
        <v>54</v>
      </c>
      <c r="D774" s="5" t="s">
        <v>16</v>
      </c>
      <c r="E774" s="5" t="s">
        <v>93</v>
      </c>
      <c r="F774" s="5" t="s">
        <v>94</v>
      </c>
      <c r="G774" s="5" t="s">
        <v>19</v>
      </c>
      <c r="H774" s="5">
        <v>70</v>
      </c>
      <c r="I774" s="5" t="s">
        <v>31</v>
      </c>
      <c r="J774" s="34" t="s">
        <v>21</v>
      </c>
      <c r="K774" s="31">
        <v>6950</v>
      </c>
      <c r="L774" s="5" t="s">
        <v>23</v>
      </c>
      <c r="M774" s="32">
        <v>0</v>
      </c>
      <c r="N774" s="6">
        <f t="shared" si="122"/>
        <v>0</v>
      </c>
      <c r="O774" s="4" t="s">
        <v>94</v>
      </c>
      <c r="P774" s="5" t="str">
        <f t="shared" si="123"/>
        <v>Bangalore</v>
      </c>
      <c r="Q774" s="5" t="str">
        <f t="shared" si="124"/>
        <v>Nephrology</v>
      </c>
      <c r="R774" s="6" t="str">
        <f t="shared" si="125"/>
        <v>Narayana</v>
      </c>
      <c r="S774" s="6" t="str">
        <f t="shared" si="126"/>
        <v>Credit Card</v>
      </c>
      <c r="T774" s="6" t="str">
        <f t="shared" si="127"/>
        <v>Male</v>
      </c>
      <c r="U774" s="6" t="str">
        <f t="shared" si="120"/>
        <v>General</v>
      </c>
      <c r="V774" s="6" t="str" cm="1">
        <f t="array" ref="V774">IF(TRIM(S774)="",INDEX($S$2:$S$1500,MATCH(MAX(COUNTIF($S$2:$S$1500,S774)),COUNTIF($S$2:$S$1500,$S$2:$S$1500),0)),S774)</f>
        <v>Credit Card</v>
      </c>
      <c r="W774" s="7" cm="1">
        <f t="array" ref="W774">IF(OR(TRIM(K774)="",TRIM(K774)="-"), MEDIAN(IF($E$2:$E$1500=E774,$K$2:$K$1500)),  VALUE(SUBSTITUTE(SUBSTITUTE(SUBSTITUTE(K774,"Rs. ",""),"₹",""),",","")))</f>
        <v>6950</v>
      </c>
      <c r="X774" s="8">
        <f t="shared" si="128"/>
        <v>0</v>
      </c>
      <c r="Y774" s="7">
        <f t="shared" si="129"/>
        <v>6950</v>
      </c>
      <c r="Z774" s="9" t="str">
        <f t="shared" si="121"/>
        <v>SENIOR</v>
      </c>
    </row>
    <row r="775" spans="1:26" x14ac:dyDescent="0.3">
      <c r="A775" s="5" t="s">
        <v>1682</v>
      </c>
      <c r="B775" s="5" t="s">
        <v>45</v>
      </c>
      <c r="C775" s="5" t="s">
        <v>46</v>
      </c>
      <c r="D775" s="5" t="s">
        <v>66</v>
      </c>
      <c r="E775" s="5" t="s">
        <v>99</v>
      </c>
      <c r="F775" s="5" t="s">
        <v>100</v>
      </c>
      <c r="G775" s="5" t="s">
        <v>62</v>
      </c>
      <c r="H775" s="5">
        <v>18</v>
      </c>
      <c r="I775" s="5" t="s">
        <v>40</v>
      </c>
      <c r="J775" s="34" t="s">
        <v>397</v>
      </c>
      <c r="K775" s="31" t="s">
        <v>1683</v>
      </c>
      <c r="L775" s="5" t="s">
        <v>34</v>
      </c>
      <c r="M775" s="32" t="s">
        <v>130</v>
      </c>
      <c r="N775" s="6">
        <f t="shared" si="122"/>
        <v>0</v>
      </c>
      <c r="O775" s="4" t="s">
        <v>100</v>
      </c>
      <c r="P775" s="5" t="str">
        <f t="shared" si="123"/>
        <v>Kolkata</v>
      </c>
      <c r="Q775" s="5" t="str">
        <f t="shared" si="124"/>
        <v>Ent</v>
      </c>
      <c r="R775" s="6" t="str">
        <f t="shared" si="125"/>
        <v>Fortis</v>
      </c>
      <c r="S775" s="6" t="str">
        <f t="shared" si="126"/>
        <v>Cash</v>
      </c>
      <c r="T775" s="6" t="str">
        <f t="shared" si="127"/>
        <v>Female</v>
      </c>
      <c r="U775" s="6" t="str">
        <f t="shared" si="120"/>
        <v>ICU</v>
      </c>
      <c r="V775" s="6" t="str" cm="1">
        <f t="array" ref="V775">IF(TRIM(S775)="",INDEX($S$2:$S$1500,MATCH(MAX(COUNTIF($S$2:$S$1500,S775)),COUNTIF($S$2:$S$1500,$S$2:$S$1500),0)),S775)</f>
        <v>Cash</v>
      </c>
      <c r="W775" s="7" cm="1">
        <f t="array" ref="W775">IF(OR(TRIM(K775)="",TRIM(K775)="-"), MEDIAN(IF($E$2:$E$1500=E775,$K$2:$K$1500)),  VALUE(SUBSTITUTE(SUBSTITUTE(SUBSTITUTE(K775,"Rs. ",""),"₹",""),",","")))</f>
        <v>67136</v>
      </c>
      <c r="X775" s="8">
        <f t="shared" si="128"/>
        <v>0</v>
      </c>
      <c r="Y775" s="7">
        <f t="shared" si="129"/>
        <v>67136</v>
      </c>
      <c r="Z775" s="9" t="str">
        <f t="shared" si="121"/>
        <v>TEEN</v>
      </c>
    </row>
    <row r="776" spans="1:26" x14ac:dyDescent="0.3">
      <c r="A776" s="5" t="s">
        <v>1684</v>
      </c>
      <c r="B776" s="5" t="s">
        <v>45</v>
      </c>
      <c r="C776" s="5" t="s">
        <v>46</v>
      </c>
      <c r="D776" s="5" t="s">
        <v>66</v>
      </c>
      <c r="E776" s="5" t="s">
        <v>99</v>
      </c>
      <c r="F776" s="5" t="s">
        <v>151</v>
      </c>
      <c r="G776" s="5" t="s">
        <v>30</v>
      </c>
      <c r="H776" s="5">
        <v>70</v>
      </c>
      <c r="I776" s="5" t="s">
        <v>40</v>
      </c>
      <c r="J776" s="34" t="s">
        <v>1685</v>
      </c>
      <c r="K776" s="31" t="s">
        <v>1686</v>
      </c>
      <c r="L776" s="5" t="s">
        <v>311</v>
      </c>
      <c r="M776" s="32" t="s">
        <v>140</v>
      </c>
      <c r="N776" s="6" t="str">
        <f t="shared" si="122"/>
        <v>-</v>
      </c>
      <c r="O776" s="4" t="s">
        <v>151</v>
      </c>
      <c r="P776" s="5" t="str">
        <f t="shared" si="123"/>
        <v>Kolkata</v>
      </c>
      <c r="Q776" s="5" t="str">
        <f t="shared" si="124"/>
        <v>Ent</v>
      </c>
      <c r="R776" s="6" t="str">
        <f t="shared" si="125"/>
        <v>Fortis</v>
      </c>
      <c r="S776" s="6" t="str">
        <f t="shared" si="126"/>
        <v>UPI</v>
      </c>
      <c r="T776" s="6" t="str">
        <f t="shared" si="127"/>
        <v>Female</v>
      </c>
      <c r="U776" s="6" t="str">
        <f t="shared" si="120"/>
        <v>General</v>
      </c>
      <c r="V776" s="6" t="str" cm="1">
        <f t="array" ref="V776">IF(TRIM(S776)="",INDEX($S$2:$S$1500,MATCH(MAX(COUNTIF($S$2:$S$1500,S776)),COUNTIF($S$2:$S$1500,$S$2:$S$1500),0)),S776)</f>
        <v>UPI</v>
      </c>
      <c r="W776" s="7" cm="1">
        <f t="array" ref="W776">IF(OR(TRIM(K776)="",TRIM(K776)="-"), MEDIAN(IF($E$2:$E$1500=E776,$K$2:$K$1500)),  VALUE(SUBSTITUTE(SUBSTITUTE(SUBSTITUTE(K776,"Rs. ",""),"₹",""),",","")))</f>
        <v>13930</v>
      </c>
      <c r="X776" s="8">
        <f t="shared" si="128"/>
        <v>3</v>
      </c>
      <c r="Y776" s="7">
        <f t="shared" si="129"/>
        <v>13512</v>
      </c>
      <c r="Z776" s="9" t="str">
        <f t="shared" si="121"/>
        <v>SENIOR</v>
      </c>
    </row>
    <row r="777" spans="1:26" x14ac:dyDescent="0.3">
      <c r="A777" s="5" t="s">
        <v>1687</v>
      </c>
      <c r="B777" s="5" t="s">
        <v>106</v>
      </c>
      <c r="C777" s="5" t="s">
        <v>107</v>
      </c>
      <c r="D777" s="5" t="s">
        <v>36</v>
      </c>
      <c r="E777" s="5" t="s">
        <v>108</v>
      </c>
      <c r="F777" s="5" t="s">
        <v>124</v>
      </c>
      <c r="G777" s="5" t="s">
        <v>39</v>
      </c>
      <c r="H777" s="5">
        <v>31</v>
      </c>
      <c r="I777" s="5" t="s">
        <v>31</v>
      </c>
      <c r="J777" s="34" t="s">
        <v>565</v>
      </c>
      <c r="K777" s="31">
        <v>19633</v>
      </c>
      <c r="L777" s="5" t="s">
        <v>83</v>
      </c>
      <c r="M777" s="32" t="s">
        <v>140</v>
      </c>
      <c r="N777" s="6" t="str">
        <f t="shared" si="122"/>
        <v>-</v>
      </c>
      <c r="O777" s="4" t="s">
        <v>124</v>
      </c>
      <c r="P777" s="5" t="str">
        <f t="shared" si="123"/>
        <v>Chennai</v>
      </c>
      <c r="Q777" s="5" t="str">
        <f t="shared" si="124"/>
        <v>Orthopedics</v>
      </c>
      <c r="R777" s="6" t="str">
        <f t="shared" si="125"/>
        <v>Aiims</v>
      </c>
      <c r="S777" s="6" t="str">
        <f t="shared" si="126"/>
        <v>Debit Card</v>
      </c>
      <c r="T777" s="6" t="str">
        <f t="shared" si="127"/>
        <v>Male</v>
      </c>
      <c r="U777" s="6" t="str">
        <f t="shared" si="120"/>
        <v>General</v>
      </c>
      <c r="V777" s="6" t="str" cm="1">
        <f t="array" ref="V777">IF(TRIM(S777)="",INDEX($S$2:$S$1500,MATCH(MAX(COUNTIF($S$2:$S$1500,S777)),COUNTIF($S$2:$S$1500,$S$2:$S$1500),0)),S777)</f>
        <v>Debit Card</v>
      </c>
      <c r="W777" s="7" cm="1">
        <f t="array" ref="W777">IF(OR(TRIM(K777)="",TRIM(K777)="-"), MEDIAN(IF($E$2:$E$1500=E777,$K$2:$K$1500)),  VALUE(SUBSTITUTE(SUBSTITUTE(SUBSTITUTE(K777,"Rs. ",""),"₹",""),",","")))</f>
        <v>19633</v>
      </c>
      <c r="X777" s="8">
        <f t="shared" si="128"/>
        <v>3</v>
      </c>
      <c r="Y777" s="7">
        <f t="shared" si="129"/>
        <v>19044</v>
      </c>
      <c r="Z777" s="9" t="str">
        <f t="shared" si="121"/>
        <v>ADULT</v>
      </c>
    </row>
    <row r="778" spans="1:26" x14ac:dyDescent="0.3">
      <c r="A778" s="5" t="s">
        <v>1688</v>
      </c>
      <c r="B778" s="5" t="s">
        <v>14</v>
      </c>
      <c r="C778" s="5" t="s">
        <v>60</v>
      </c>
      <c r="D778" s="5" t="s">
        <v>27</v>
      </c>
      <c r="E778" s="5" t="s">
        <v>67</v>
      </c>
      <c r="F778" s="5" t="s">
        <v>196</v>
      </c>
      <c r="G778" s="5" t="s">
        <v>62</v>
      </c>
      <c r="H778" s="5">
        <v>41</v>
      </c>
      <c r="I778" s="5" t="s">
        <v>31</v>
      </c>
      <c r="J778" s="34" t="s">
        <v>940</v>
      </c>
      <c r="K778" s="31" t="s">
        <v>1689</v>
      </c>
      <c r="L778" s="5" t="s">
        <v>87</v>
      </c>
      <c r="M778" s="32">
        <v>0</v>
      </c>
      <c r="N778" s="6">
        <f t="shared" si="122"/>
        <v>0</v>
      </c>
      <c r="O778" s="4" t="s">
        <v>196</v>
      </c>
      <c r="P778" s="5" t="str">
        <f t="shared" si="123"/>
        <v>Mumbai</v>
      </c>
      <c r="Q778" s="5" t="str">
        <f t="shared" si="124"/>
        <v>Neurology</v>
      </c>
      <c r="R778" s="6" t="str">
        <f t="shared" si="125"/>
        <v>Max_Healthcare</v>
      </c>
      <c r="S778" s="6" t="str">
        <f t="shared" si="126"/>
        <v>Credit Card</v>
      </c>
      <c r="T778" s="6" t="str">
        <f t="shared" si="127"/>
        <v>Male</v>
      </c>
      <c r="U778" s="6" t="str">
        <f t="shared" si="120"/>
        <v>ICU</v>
      </c>
      <c r="V778" s="6" t="str" cm="1">
        <f t="array" ref="V778">IF(TRIM(S778)="",INDEX($S$2:$S$1500,MATCH(MAX(COUNTIF($S$2:$S$1500,S778)),COUNTIF($S$2:$S$1500,$S$2:$S$1500),0)),S778)</f>
        <v>Credit Card</v>
      </c>
      <c r="W778" s="7" cm="1">
        <f t="array" ref="W778">IF(OR(TRIM(K778)="",TRIM(K778)="-"), MEDIAN(IF($E$2:$E$1500=E778,$K$2:$K$1500)),  VALUE(SUBSTITUTE(SUBSTITUTE(SUBSTITUTE(K778,"Rs. ",""),"₹",""),",","")))</f>
        <v>71613</v>
      </c>
      <c r="X778" s="8">
        <f t="shared" si="128"/>
        <v>0</v>
      </c>
      <c r="Y778" s="7">
        <f t="shared" si="129"/>
        <v>71613</v>
      </c>
      <c r="Z778" s="9" t="str">
        <f t="shared" si="121"/>
        <v>ADULT</v>
      </c>
    </row>
    <row r="779" spans="1:26" x14ac:dyDescent="0.3">
      <c r="A779" s="5" t="s">
        <v>1690</v>
      </c>
      <c r="B779" s="5" t="s">
        <v>106</v>
      </c>
      <c r="C779" s="5" t="s">
        <v>107</v>
      </c>
      <c r="D779" s="5" t="s">
        <v>80</v>
      </c>
      <c r="E779" s="5" t="s">
        <v>17</v>
      </c>
      <c r="F779" s="5" t="s">
        <v>169</v>
      </c>
      <c r="G779" s="5" t="s">
        <v>30</v>
      </c>
      <c r="H779" s="5">
        <v>76</v>
      </c>
      <c r="I779" s="5" t="s">
        <v>20</v>
      </c>
      <c r="J779" s="34" t="s">
        <v>556</v>
      </c>
      <c r="K779" s="31">
        <v>14113</v>
      </c>
      <c r="L779" s="5" t="s">
        <v>72</v>
      </c>
      <c r="M779" s="32" t="s">
        <v>198</v>
      </c>
      <c r="N779" s="6">
        <f t="shared" si="122"/>
        <v>5</v>
      </c>
      <c r="O779" s="4" t="s">
        <v>169</v>
      </c>
      <c r="P779" s="5" t="str">
        <f t="shared" si="123"/>
        <v>Ahmedabad</v>
      </c>
      <c r="Q779" s="5" t="str">
        <f t="shared" si="124"/>
        <v>Gynecology</v>
      </c>
      <c r="R779" s="6" t="str">
        <f t="shared" si="125"/>
        <v>Aiims</v>
      </c>
      <c r="S779" s="6" t="str">
        <f t="shared" si="126"/>
        <v>Cash</v>
      </c>
      <c r="T779" s="6" t="str">
        <f t="shared" si="127"/>
        <v>Male</v>
      </c>
      <c r="U779" s="6" t="str">
        <f t="shared" si="120"/>
        <v>General</v>
      </c>
      <c r="V779" s="6" t="str" cm="1">
        <f t="array" ref="V779">IF(TRIM(S779)="",INDEX($S$2:$S$1500,MATCH(MAX(COUNTIF($S$2:$S$1500,S779)),COUNTIF($S$2:$S$1500,$S$2:$S$1500),0)),S779)</f>
        <v>Cash</v>
      </c>
      <c r="W779" s="7" cm="1">
        <f t="array" ref="W779">IF(OR(TRIM(K779)="",TRIM(K779)="-"), MEDIAN(IF($E$2:$E$1500=E779,$K$2:$K$1500)),  VALUE(SUBSTITUTE(SUBSTITUTE(SUBSTITUTE(K779,"Rs. ",""),"₹",""),",","")))</f>
        <v>14113</v>
      </c>
      <c r="X779" s="8">
        <f t="shared" si="128"/>
        <v>5</v>
      </c>
      <c r="Y779" s="7">
        <f t="shared" si="129"/>
        <v>13407</v>
      </c>
      <c r="Z779" s="9" t="str">
        <f t="shared" si="121"/>
        <v>SENIOR</v>
      </c>
    </row>
    <row r="780" spans="1:26" x14ac:dyDescent="0.3">
      <c r="A780" s="5" t="s">
        <v>1691</v>
      </c>
      <c r="B780" s="5" t="s">
        <v>25</v>
      </c>
      <c r="C780" s="5" t="s">
        <v>54</v>
      </c>
      <c r="D780" s="5" t="s">
        <v>36</v>
      </c>
      <c r="E780" s="5" t="s">
        <v>28</v>
      </c>
      <c r="F780" s="5" t="s">
        <v>259</v>
      </c>
      <c r="G780" s="5" t="s">
        <v>101</v>
      </c>
      <c r="H780" s="5">
        <v>59</v>
      </c>
      <c r="I780" s="5" t="s">
        <v>20</v>
      </c>
      <c r="J780" s="34" t="s">
        <v>1692</v>
      </c>
      <c r="K780" s="31" t="s">
        <v>1693</v>
      </c>
      <c r="L780" s="5" t="s">
        <v>115</v>
      </c>
      <c r="M780" s="32">
        <v>0</v>
      </c>
      <c r="N780" s="6">
        <f t="shared" si="122"/>
        <v>0</v>
      </c>
      <c r="O780" s="4" t="s">
        <v>259</v>
      </c>
      <c r="P780" s="5" t="str">
        <f t="shared" si="123"/>
        <v>Chennai</v>
      </c>
      <c r="Q780" s="5" t="str">
        <f t="shared" si="124"/>
        <v>Oncology</v>
      </c>
      <c r="R780" s="6" t="str">
        <f t="shared" si="125"/>
        <v>Narayana</v>
      </c>
      <c r="S780" s="6" t="str">
        <f t="shared" si="126"/>
        <v>Cash</v>
      </c>
      <c r="T780" s="6" t="str">
        <f t="shared" si="127"/>
        <v>Male</v>
      </c>
      <c r="U780" s="6" t="str">
        <f t="shared" si="120"/>
        <v>ICU</v>
      </c>
      <c r="V780" s="6" t="str" cm="1">
        <f t="array" ref="V780">IF(TRIM(S780)="",INDEX($S$2:$S$1500,MATCH(MAX(COUNTIF($S$2:$S$1500,S780)),COUNTIF($S$2:$S$1500,$S$2:$S$1500),0)),S780)</f>
        <v>Cash</v>
      </c>
      <c r="W780" s="7" cm="1">
        <f t="array" ref="W780">IF(OR(TRIM(K780)="",TRIM(K780)="-"), MEDIAN(IF($E$2:$E$1500=E780,$K$2:$K$1500)),  VALUE(SUBSTITUTE(SUBSTITUTE(SUBSTITUTE(K780,"Rs. ",""),"₹",""),",","")))</f>
        <v>30095</v>
      </c>
      <c r="X780" s="8">
        <f t="shared" si="128"/>
        <v>0</v>
      </c>
      <c r="Y780" s="7">
        <f t="shared" si="129"/>
        <v>30095</v>
      </c>
      <c r="Z780" s="9" t="str">
        <f t="shared" si="121"/>
        <v>ADULT</v>
      </c>
    </row>
    <row r="781" spans="1:26" x14ac:dyDescent="0.3">
      <c r="A781" s="5" t="s">
        <v>1694</v>
      </c>
      <c r="B781" s="5" t="s">
        <v>106</v>
      </c>
      <c r="C781" s="5" t="s">
        <v>107</v>
      </c>
      <c r="D781" s="5" t="s">
        <v>189</v>
      </c>
      <c r="E781" s="5" t="s">
        <v>93</v>
      </c>
      <c r="F781" s="5" t="s">
        <v>94</v>
      </c>
      <c r="G781" s="5" t="s">
        <v>30</v>
      </c>
      <c r="H781" s="5">
        <v>81</v>
      </c>
      <c r="I781" s="5" t="s">
        <v>20</v>
      </c>
      <c r="J781" s="34" t="s">
        <v>735</v>
      </c>
      <c r="K781" s="31" t="s">
        <v>1695</v>
      </c>
      <c r="L781" s="5" t="s">
        <v>42</v>
      </c>
      <c r="M781" s="32">
        <v>0.35</v>
      </c>
      <c r="N781" s="6">
        <f t="shared" si="122"/>
        <v>35</v>
      </c>
      <c r="O781" s="4" t="s">
        <v>94</v>
      </c>
      <c r="P781" s="5" t="str">
        <f t="shared" si="123"/>
        <v>Delhi</v>
      </c>
      <c r="Q781" s="5" t="str">
        <f t="shared" si="124"/>
        <v>Nephrology</v>
      </c>
      <c r="R781" s="6" t="str">
        <f t="shared" si="125"/>
        <v>Aiims</v>
      </c>
      <c r="S781" s="6" t="str">
        <f t="shared" si="126"/>
        <v>Insurance</v>
      </c>
      <c r="T781" s="6" t="str">
        <f t="shared" si="127"/>
        <v>Male</v>
      </c>
      <c r="U781" s="6" t="str">
        <f t="shared" si="120"/>
        <v>General</v>
      </c>
      <c r="V781" s="6" t="str" cm="1">
        <f t="array" ref="V781">IF(TRIM(S781)="",INDEX($S$2:$S$1500,MATCH(MAX(COUNTIF($S$2:$S$1500,S781)),COUNTIF($S$2:$S$1500,$S$2:$S$1500),0)),S781)</f>
        <v>Insurance</v>
      </c>
      <c r="W781" s="7" cm="1">
        <f t="array" ref="W781">IF(OR(TRIM(K781)="",TRIM(K781)="-"), MEDIAN(IF($E$2:$E$1500=E781,$K$2:$K$1500)),  VALUE(SUBSTITUTE(SUBSTITUTE(SUBSTITUTE(K781,"Rs. ",""),"₹",""),",","")))</f>
        <v>12812</v>
      </c>
      <c r="X781" s="8">
        <f t="shared" si="128"/>
        <v>35</v>
      </c>
      <c r="Y781" s="7">
        <f t="shared" si="129"/>
        <v>8328</v>
      </c>
      <c r="Z781" s="9" t="str">
        <f t="shared" si="121"/>
        <v>SENIOR</v>
      </c>
    </row>
    <row r="782" spans="1:26" x14ac:dyDescent="0.3">
      <c r="A782" s="5" t="s">
        <v>1696</v>
      </c>
      <c r="B782" s="5" t="s">
        <v>25</v>
      </c>
      <c r="C782" s="5" t="s">
        <v>54</v>
      </c>
      <c r="D782" s="5" t="s">
        <v>80</v>
      </c>
      <c r="E782" s="5" t="s">
        <v>108</v>
      </c>
      <c r="F782" s="5" t="s">
        <v>109</v>
      </c>
      <c r="G782" s="5" t="s">
        <v>62</v>
      </c>
      <c r="H782" s="5">
        <v>40</v>
      </c>
      <c r="I782" s="5" t="s">
        <v>40</v>
      </c>
      <c r="J782" s="34" t="s">
        <v>462</v>
      </c>
      <c r="K782" s="31" t="s">
        <v>1697</v>
      </c>
      <c r="L782" s="5" t="s">
        <v>311</v>
      </c>
      <c r="M782" s="32">
        <v>10</v>
      </c>
      <c r="N782" s="6">
        <f t="shared" si="122"/>
        <v>10</v>
      </c>
      <c r="O782" s="4" t="s">
        <v>109</v>
      </c>
      <c r="P782" s="5" t="str">
        <f t="shared" si="123"/>
        <v>Ahmedabad</v>
      </c>
      <c r="Q782" s="5" t="str">
        <f t="shared" si="124"/>
        <v>Orthopedics</v>
      </c>
      <c r="R782" s="6" t="str">
        <f t="shared" si="125"/>
        <v>Narayana</v>
      </c>
      <c r="S782" s="6" t="str">
        <f t="shared" si="126"/>
        <v>UPI</v>
      </c>
      <c r="T782" s="6" t="str">
        <f t="shared" si="127"/>
        <v>Female</v>
      </c>
      <c r="U782" s="6" t="str">
        <f t="shared" ref="U782:U845" si="130">IF(OR(UPPER(TRIM(G782))="GENERAL",UPPER(TRIM(G782))="GENRAL"),"General",IF(UPPER(TRIM(G782))="ICU","ICU","Unknown"))</f>
        <v>ICU</v>
      </c>
      <c r="V782" s="6" t="str" cm="1">
        <f t="array" ref="V782">IF(TRIM(S782)="",INDEX($S$2:$S$1500,MATCH(MAX(COUNTIF($S$2:$S$1500,S782)),COUNTIF($S$2:$S$1500,$S$2:$S$1500),0)),S782)</f>
        <v>UPI</v>
      </c>
      <c r="W782" s="7" cm="1">
        <f t="array" ref="W782">IF(OR(TRIM(K782)="",TRIM(K782)="-"), MEDIAN(IF($E$2:$E$1500=E782,$K$2:$K$1500)),  VALUE(SUBSTITUTE(SUBSTITUTE(SUBSTITUTE(K782,"Rs. ",""),"₹",""),",","")))</f>
        <v>68025</v>
      </c>
      <c r="X782" s="8">
        <f t="shared" si="128"/>
        <v>10</v>
      </c>
      <c r="Y782" s="7">
        <f t="shared" si="129"/>
        <v>61223</v>
      </c>
      <c r="Z782" s="9" t="str">
        <f t="shared" si="121"/>
        <v>ADULT</v>
      </c>
    </row>
    <row r="783" spans="1:26" x14ac:dyDescent="0.3">
      <c r="A783" s="5" t="s">
        <v>1698</v>
      </c>
      <c r="B783" s="5" t="s">
        <v>14</v>
      </c>
      <c r="C783" s="5" t="s">
        <v>15</v>
      </c>
      <c r="D783" s="5" t="s">
        <v>189</v>
      </c>
      <c r="E783" s="5" t="s">
        <v>99</v>
      </c>
      <c r="F783" s="5" t="s">
        <v>151</v>
      </c>
      <c r="G783" s="5" t="s">
        <v>49</v>
      </c>
      <c r="H783" s="5">
        <v>69</v>
      </c>
      <c r="I783" s="5" t="s">
        <v>31</v>
      </c>
      <c r="J783" s="34" t="s">
        <v>970</v>
      </c>
      <c r="K783" s="31" t="s">
        <v>1699</v>
      </c>
      <c r="L783" s="5" t="s">
        <v>311</v>
      </c>
      <c r="M783" s="32">
        <v>0</v>
      </c>
      <c r="N783" s="6">
        <f t="shared" si="122"/>
        <v>0</v>
      </c>
      <c r="O783" s="4" t="s">
        <v>151</v>
      </c>
      <c r="P783" s="5" t="str">
        <f t="shared" si="123"/>
        <v>Delhi</v>
      </c>
      <c r="Q783" s="5" t="str">
        <f t="shared" si="124"/>
        <v>Ent</v>
      </c>
      <c r="R783" s="6" t="str">
        <f t="shared" si="125"/>
        <v>Max_Healthcare</v>
      </c>
      <c r="S783" s="6" t="str">
        <f t="shared" si="126"/>
        <v>UPI</v>
      </c>
      <c r="T783" s="6" t="str">
        <f t="shared" si="127"/>
        <v>Male</v>
      </c>
      <c r="U783" s="6" t="str">
        <f t="shared" si="130"/>
        <v>General</v>
      </c>
      <c r="V783" s="6" t="str" cm="1">
        <f t="array" ref="V783">IF(TRIM(S783)="",INDEX($S$2:$S$1500,MATCH(MAX(COUNTIF($S$2:$S$1500,S783)),COUNTIF($S$2:$S$1500,$S$2:$S$1500),0)),S783)</f>
        <v>UPI</v>
      </c>
      <c r="W783" s="7" cm="1">
        <f t="array" ref="W783">IF(OR(TRIM(K783)="",TRIM(K783)="-"), MEDIAN(IF($E$2:$E$1500=E783,$K$2:$K$1500)),  VALUE(SUBSTITUTE(SUBSTITUTE(SUBSTITUTE(K783,"Rs. ",""),"₹",""),",","")))</f>
        <v>13402</v>
      </c>
      <c r="X783" s="8">
        <f t="shared" si="128"/>
        <v>0</v>
      </c>
      <c r="Y783" s="7">
        <f t="shared" si="129"/>
        <v>13402</v>
      </c>
      <c r="Z783" s="9" t="str">
        <f t="shared" si="121"/>
        <v>SENIOR</v>
      </c>
    </row>
    <row r="784" spans="1:26" x14ac:dyDescent="0.3">
      <c r="A784" s="5" t="s">
        <v>1700</v>
      </c>
      <c r="B784" s="5" t="s">
        <v>25</v>
      </c>
      <c r="C784" s="5" t="s">
        <v>26</v>
      </c>
      <c r="D784" s="5" t="s">
        <v>55</v>
      </c>
      <c r="E784" s="5" t="s">
        <v>28</v>
      </c>
      <c r="F784" s="5" t="s">
        <v>290</v>
      </c>
      <c r="G784" s="5" t="s">
        <v>30</v>
      </c>
      <c r="H784" s="5">
        <v>1</v>
      </c>
      <c r="I784" s="5" t="s">
        <v>40</v>
      </c>
      <c r="J784" s="34" t="s">
        <v>210</v>
      </c>
      <c r="K784" s="31">
        <v>9357</v>
      </c>
      <c r="L784" s="5" t="s">
        <v>72</v>
      </c>
      <c r="M784" s="32">
        <v>0</v>
      </c>
      <c r="N784" s="6">
        <f t="shared" si="122"/>
        <v>0</v>
      </c>
      <c r="O784" s="4" t="s">
        <v>290</v>
      </c>
      <c r="P784" s="5" t="str">
        <f t="shared" si="123"/>
        <v>Hyderabad</v>
      </c>
      <c r="Q784" s="5" t="str">
        <f t="shared" si="124"/>
        <v>Oncology</v>
      </c>
      <c r="R784" s="6" t="str">
        <f t="shared" si="125"/>
        <v>Narayana</v>
      </c>
      <c r="S784" s="6" t="str">
        <f t="shared" si="126"/>
        <v>Cash</v>
      </c>
      <c r="T784" s="6" t="str">
        <f t="shared" si="127"/>
        <v>Female</v>
      </c>
      <c r="U784" s="6" t="str">
        <f t="shared" si="130"/>
        <v>General</v>
      </c>
      <c r="V784" s="6" t="str" cm="1">
        <f t="array" ref="V784">IF(TRIM(S784)="",INDEX($S$2:$S$1500,MATCH(MAX(COUNTIF($S$2:$S$1500,S784)),COUNTIF($S$2:$S$1500,$S$2:$S$1500),0)),S784)</f>
        <v>Cash</v>
      </c>
      <c r="W784" s="7" cm="1">
        <f t="array" ref="W784">IF(OR(TRIM(K784)="",TRIM(K784)="-"), MEDIAN(IF($E$2:$E$1500=E784,$K$2:$K$1500)),  VALUE(SUBSTITUTE(SUBSTITUTE(SUBSTITUTE(K784,"Rs. ",""),"₹",""),",","")))</f>
        <v>9357</v>
      </c>
      <c r="X784" s="8">
        <f t="shared" si="128"/>
        <v>0</v>
      </c>
      <c r="Y784" s="7">
        <f t="shared" si="129"/>
        <v>9357</v>
      </c>
      <c r="Z784" s="9" t="str">
        <f t="shared" si="121"/>
        <v>CHILD</v>
      </c>
    </row>
    <row r="785" spans="1:26" x14ac:dyDescent="0.3">
      <c r="A785" s="5" t="s">
        <v>1701</v>
      </c>
      <c r="B785" s="5" t="s">
        <v>14</v>
      </c>
      <c r="C785" s="5" t="s">
        <v>15</v>
      </c>
      <c r="D785" s="5" t="s">
        <v>80</v>
      </c>
      <c r="E785" s="5" t="s">
        <v>99</v>
      </c>
      <c r="F785" s="5" t="s">
        <v>372</v>
      </c>
      <c r="G785" s="5" t="s">
        <v>69</v>
      </c>
      <c r="H785" s="5">
        <v>56</v>
      </c>
      <c r="I785" s="5" t="s">
        <v>20</v>
      </c>
      <c r="J785" s="34" t="s">
        <v>1335</v>
      </c>
      <c r="K785" s="31">
        <v>26133</v>
      </c>
      <c r="L785" s="5" t="s">
        <v>167</v>
      </c>
      <c r="M785" s="32" t="s">
        <v>886</v>
      </c>
      <c r="N785" s="6">
        <f t="shared" si="122"/>
        <v>15</v>
      </c>
      <c r="O785" s="4" t="s">
        <v>372</v>
      </c>
      <c r="P785" s="5" t="str">
        <f t="shared" si="123"/>
        <v>Ahmedabad</v>
      </c>
      <c r="Q785" s="5" t="str">
        <f t="shared" si="124"/>
        <v>Ent</v>
      </c>
      <c r="R785" s="6" t="str">
        <f t="shared" si="125"/>
        <v>Max_Healthcare</v>
      </c>
      <c r="S785" s="6" t="str">
        <f t="shared" si="126"/>
        <v>Insurance</v>
      </c>
      <c r="T785" s="6" t="str">
        <f t="shared" si="127"/>
        <v>Male</v>
      </c>
      <c r="U785" s="6" t="str">
        <f t="shared" si="130"/>
        <v>ICU</v>
      </c>
      <c r="V785" s="6" t="str" cm="1">
        <f t="array" ref="V785">IF(TRIM(S785)="",INDEX($S$2:$S$1500,MATCH(MAX(COUNTIF($S$2:$S$1500,S785)),COUNTIF($S$2:$S$1500,$S$2:$S$1500),0)),S785)</f>
        <v>Insurance</v>
      </c>
      <c r="W785" s="7" cm="1">
        <f t="array" ref="W785">IF(OR(TRIM(K785)="",TRIM(K785)="-"), MEDIAN(IF($E$2:$E$1500=E785,$K$2:$K$1500)),  VALUE(SUBSTITUTE(SUBSTITUTE(SUBSTITUTE(K785,"Rs. ",""),"₹",""),",","")))</f>
        <v>26133</v>
      </c>
      <c r="X785" s="8">
        <f t="shared" si="128"/>
        <v>15</v>
      </c>
      <c r="Y785" s="7">
        <f t="shared" si="129"/>
        <v>22213</v>
      </c>
      <c r="Z785" s="9" t="str">
        <f t="shared" si="121"/>
        <v>ADULT</v>
      </c>
    </row>
    <row r="786" spans="1:26" x14ac:dyDescent="0.3">
      <c r="A786" s="5" t="s">
        <v>1702</v>
      </c>
      <c r="B786" s="5" t="s">
        <v>106</v>
      </c>
      <c r="C786" s="5" t="s">
        <v>107</v>
      </c>
      <c r="D786" s="5" t="s">
        <v>16</v>
      </c>
      <c r="E786" s="5" t="s">
        <v>47</v>
      </c>
      <c r="F786" s="5" t="s">
        <v>364</v>
      </c>
      <c r="G786" s="5" t="s">
        <v>19</v>
      </c>
      <c r="H786" s="5">
        <v>42</v>
      </c>
      <c r="I786" s="5" t="s">
        <v>31</v>
      </c>
      <c r="J786" s="34" t="s">
        <v>86</v>
      </c>
      <c r="K786" s="31">
        <v>16090</v>
      </c>
      <c r="L786" s="5" t="s">
        <v>311</v>
      </c>
      <c r="M786" s="32">
        <v>0</v>
      </c>
      <c r="N786" s="6">
        <f t="shared" si="122"/>
        <v>0</v>
      </c>
      <c r="O786" s="4" t="s">
        <v>364</v>
      </c>
      <c r="P786" s="5" t="str">
        <f t="shared" si="123"/>
        <v>Bangalore</v>
      </c>
      <c r="Q786" s="5" t="str">
        <f t="shared" si="124"/>
        <v>Gastroenterology</v>
      </c>
      <c r="R786" s="6" t="str">
        <f t="shared" si="125"/>
        <v>Aiims</v>
      </c>
      <c r="S786" s="6" t="str">
        <f t="shared" si="126"/>
        <v>UPI</v>
      </c>
      <c r="T786" s="6" t="str">
        <f t="shared" si="127"/>
        <v>Male</v>
      </c>
      <c r="U786" s="6" t="str">
        <f t="shared" si="130"/>
        <v>General</v>
      </c>
      <c r="V786" s="6" t="str" cm="1">
        <f t="array" ref="V786">IF(TRIM(S786)="",INDEX($S$2:$S$1500,MATCH(MAX(COUNTIF($S$2:$S$1500,S786)),COUNTIF($S$2:$S$1500,$S$2:$S$1500),0)),S786)</f>
        <v>UPI</v>
      </c>
      <c r="W786" s="7" cm="1">
        <f t="array" ref="W786">IF(OR(TRIM(K786)="",TRIM(K786)="-"), MEDIAN(IF($E$2:$E$1500=E786,$K$2:$K$1500)),  VALUE(SUBSTITUTE(SUBSTITUTE(SUBSTITUTE(K786,"Rs. ",""),"₹",""),",","")))</f>
        <v>16090</v>
      </c>
      <c r="X786" s="8">
        <f t="shared" si="128"/>
        <v>0</v>
      </c>
      <c r="Y786" s="7">
        <f t="shared" si="129"/>
        <v>16090</v>
      </c>
      <c r="Z786" s="9" t="str">
        <f t="shared" si="121"/>
        <v>ADULT</v>
      </c>
    </row>
    <row r="787" spans="1:26" x14ac:dyDescent="0.3">
      <c r="A787" s="5" t="s">
        <v>1703</v>
      </c>
      <c r="B787" s="5" t="s">
        <v>106</v>
      </c>
      <c r="C787" s="5" t="s">
        <v>107</v>
      </c>
      <c r="D787" s="5" t="s">
        <v>55</v>
      </c>
      <c r="E787" s="5" t="s">
        <v>164</v>
      </c>
      <c r="F787" s="5" t="s">
        <v>233</v>
      </c>
      <c r="G787" s="5" t="s">
        <v>69</v>
      </c>
      <c r="H787" s="5">
        <v>25</v>
      </c>
      <c r="I787" s="5" t="s">
        <v>70</v>
      </c>
      <c r="J787" s="34" t="s">
        <v>162</v>
      </c>
      <c r="K787" s="31">
        <v>86105</v>
      </c>
      <c r="L787" s="5" t="s">
        <v>167</v>
      </c>
      <c r="M787" s="32" t="s">
        <v>198</v>
      </c>
      <c r="N787" s="6">
        <f t="shared" si="122"/>
        <v>5</v>
      </c>
      <c r="O787" s="4" t="s">
        <v>233</v>
      </c>
      <c r="P787" s="5" t="str">
        <f t="shared" si="123"/>
        <v>Hyderabad</v>
      </c>
      <c r="Q787" s="5" t="str">
        <f t="shared" si="124"/>
        <v>Cardiology</v>
      </c>
      <c r="R787" s="6" t="str">
        <f t="shared" si="125"/>
        <v>Aiims</v>
      </c>
      <c r="S787" s="6" t="str">
        <f t="shared" si="126"/>
        <v>Insurance</v>
      </c>
      <c r="T787" s="6" t="str">
        <f t="shared" si="127"/>
        <v>Female</v>
      </c>
      <c r="U787" s="6" t="str">
        <f t="shared" si="130"/>
        <v>ICU</v>
      </c>
      <c r="V787" s="6" t="str" cm="1">
        <f t="array" ref="V787">IF(TRIM(S787)="",INDEX($S$2:$S$1500,MATCH(MAX(COUNTIF($S$2:$S$1500,S787)),COUNTIF($S$2:$S$1500,$S$2:$S$1500),0)),S787)</f>
        <v>Insurance</v>
      </c>
      <c r="W787" s="7" cm="1">
        <f t="array" ref="W787">IF(OR(TRIM(K787)="",TRIM(K787)="-"), MEDIAN(IF($E$2:$E$1500=E787,$K$2:$K$1500)),  VALUE(SUBSTITUTE(SUBSTITUTE(SUBSTITUTE(K787,"Rs. ",""),"₹",""),",","")))</f>
        <v>86105</v>
      </c>
      <c r="X787" s="8">
        <f t="shared" si="128"/>
        <v>5</v>
      </c>
      <c r="Y787" s="7">
        <f t="shared" si="129"/>
        <v>81800</v>
      </c>
      <c r="Z787" s="9" t="str">
        <f t="shared" si="121"/>
        <v>ADULT</v>
      </c>
    </row>
    <row r="788" spans="1:26" x14ac:dyDescent="0.3">
      <c r="A788" s="5" t="s">
        <v>1704</v>
      </c>
      <c r="B788" s="5" t="s">
        <v>117</v>
      </c>
      <c r="C788" s="5" t="s">
        <v>118</v>
      </c>
      <c r="D788" s="5" t="s">
        <v>189</v>
      </c>
      <c r="E788" s="5" t="s">
        <v>67</v>
      </c>
      <c r="F788" s="5" t="s">
        <v>89</v>
      </c>
      <c r="G788" s="5" t="s">
        <v>49</v>
      </c>
      <c r="H788" s="5">
        <v>54</v>
      </c>
      <c r="I788" s="5" t="s">
        <v>40</v>
      </c>
      <c r="J788" s="34" t="s">
        <v>812</v>
      </c>
      <c r="K788" s="31">
        <v>6549</v>
      </c>
      <c r="L788" s="5" t="s">
        <v>34</v>
      </c>
      <c r="M788" s="32" t="s">
        <v>64</v>
      </c>
      <c r="N788" s="6" t="str">
        <f t="shared" si="122"/>
        <v>NA</v>
      </c>
      <c r="O788" s="4" t="s">
        <v>89</v>
      </c>
      <c r="P788" s="5" t="str">
        <f t="shared" si="123"/>
        <v>Delhi</v>
      </c>
      <c r="Q788" s="5" t="str">
        <f t="shared" si="124"/>
        <v>Neurology</v>
      </c>
      <c r="R788" s="6" t="str">
        <f t="shared" si="125"/>
        <v>Manipal</v>
      </c>
      <c r="S788" s="6" t="str">
        <f t="shared" si="126"/>
        <v>Cash</v>
      </c>
      <c r="T788" s="6" t="str">
        <f t="shared" si="127"/>
        <v>Female</v>
      </c>
      <c r="U788" s="6" t="str">
        <f t="shared" si="130"/>
        <v>General</v>
      </c>
      <c r="V788" s="6" t="str" cm="1">
        <f t="array" ref="V788">IF(TRIM(S788)="",INDEX($S$2:$S$1500,MATCH(MAX(COUNTIF($S$2:$S$1500,S788)),COUNTIF($S$2:$S$1500,$S$2:$S$1500),0)),S788)</f>
        <v>Cash</v>
      </c>
      <c r="W788" s="7" cm="1">
        <f t="array" ref="W788">IF(OR(TRIM(K788)="",TRIM(K788)="-"), MEDIAN(IF($E$2:$E$1500=E788,$K$2:$K$1500)),  VALUE(SUBSTITUTE(SUBSTITUTE(SUBSTITUTE(K788,"Rs. ",""),"₹",""),",","")))</f>
        <v>6549</v>
      </c>
      <c r="X788" s="8">
        <f t="shared" si="128"/>
        <v>3</v>
      </c>
      <c r="Y788" s="7">
        <f t="shared" si="129"/>
        <v>6353</v>
      </c>
      <c r="Z788" s="9" t="str">
        <f t="shared" si="121"/>
        <v>ADULT</v>
      </c>
    </row>
    <row r="789" spans="1:26" x14ac:dyDescent="0.3">
      <c r="A789" s="5" t="s">
        <v>1705</v>
      </c>
      <c r="B789" s="5" t="s">
        <v>117</v>
      </c>
      <c r="C789" s="5" t="s">
        <v>127</v>
      </c>
      <c r="D789" s="5" t="s">
        <v>80</v>
      </c>
      <c r="E789" s="5" t="s">
        <v>67</v>
      </c>
      <c r="F789" s="5" t="s">
        <v>89</v>
      </c>
      <c r="G789" s="5" t="s">
        <v>62</v>
      </c>
      <c r="H789" s="5">
        <v>69</v>
      </c>
      <c r="I789" s="5" t="s">
        <v>31</v>
      </c>
      <c r="J789" s="34" t="s">
        <v>95</v>
      </c>
      <c r="K789" s="31" t="s">
        <v>1706</v>
      </c>
      <c r="L789" s="5" t="s">
        <v>34</v>
      </c>
      <c r="M789" s="32"/>
      <c r="N789" s="6">
        <f t="shared" si="122"/>
        <v>0</v>
      </c>
      <c r="O789" s="4" t="s">
        <v>89</v>
      </c>
      <c r="P789" s="5" t="str">
        <f t="shared" si="123"/>
        <v>Ahmedabad</v>
      </c>
      <c r="Q789" s="5" t="str">
        <f t="shared" si="124"/>
        <v>Neurology</v>
      </c>
      <c r="R789" s="6" t="str">
        <f t="shared" si="125"/>
        <v>Manipal</v>
      </c>
      <c r="S789" s="6" t="str">
        <f t="shared" si="126"/>
        <v>Cash</v>
      </c>
      <c r="T789" s="6" t="str">
        <f t="shared" si="127"/>
        <v>Male</v>
      </c>
      <c r="U789" s="6" t="str">
        <f t="shared" si="130"/>
        <v>ICU</v>
      </c>
      <c r="V789" s="6" t="str" cm="1">
        <f t="array" ref="V789">IF(TRIM(S789)="",INDEX($S$2:$S$1500,MATCH(MAX(COUNTIF($S$2:$S$1500,S789)),COUNTIF($S$2:$S$1500,$S$2:$S$1500),0)),S789)</f>
        <v>Cash</v>
      </c>
      <c r="W789" s="7" cm="1">
        <f t="array" ref="W789">IF(OR(TRIM(K789)="",TRIM(K789)="-"), MEDIAN(IF($E$2:$E$1500=E789,$K$2:$K$1500)),  VALUE(SUBSTITUTE(SUBSTITUTE(SUBSTITUTE(K789,"Rs. ",""),"₹",""),",","")))</f>
        <v>49726</v>
      </c>
      <c r="X789" s="8">
        <f t="shared" si="128"/>
        <v>0</v>
      </c>
      <c r="Y789" s="7">
        <f t="shared" si="129"/>
        <v>49726</v>
      </c>
      <c r="Z789" s="9" t="str">
        <f t="shared" si="121"/>
        <v>SENIOR</v>
      </c>
    </row>
    <row r="790" spans="1:26" x14ac:dyDescent="0.3">
      <c r="A790" s="5" t="s">
        <v>1707</v>
      </c>
      <c r="B790" s="5" t="s">
        <v>106</v>
      </c>
      <c r="C790" s="5" t="s">
        <v>107</v>
      </c>
      <c r="D790" s="5" t="s">
        <v>80</v>
      </c>
      <c r="E790" s="5" t="s">
        <v>28</v>
      </c>
      <c r="F790" s="5" t="s">
        <v>259</v>
      </c>
      <c r="G790" s="5" t="s">
        <v>69</v>
      </c>
      <c r="H790" s="5">
        <v>23</v>
      </c>
      <c r="I790" s="5" t="s">
        <v>70</v>
      </c>
      <c r="J790" s="34" t="s">
        <v>444</v>
      </c>
      <c r="K790" s="31" t="s">
        <v>1708</v>
      </c>
      <c r="L790" s="5" t="s">
        <v>104</v>
      </c>
      <c r="M790" s="32" t="s">
        <v>64</v>
      </c>
      <c r="N790" s="6" t="str">
        <f t="shared" si="122"/>
        <v>NA</v>
      </c>
      <c r="O790" s="4" t="s">
        <v>259</v>
      </c>
      <c r="P790" s="5" t="str">
        <f t="shared" si="123"/>
        <v>Ahmedabad</v>
      </c>
      <c r="Q790" s="5" t="str">
        <f t="shared" si="124"/>
        <v>Oncology</v>
      </c>
      <c r="R790" s="6" t="str">
        <f t="shared" si="125"/>
        <v>Aiims</v>
      </c>
      <c r="S790" s="6" t="str">
        <f t="shared" si="126"/>
        <v>Insurance</v>
      </c>
      <c r="T790" s="6" t="str">
        <f t="shared" si="127"/>
        <v>Female</v>
      </c>
      <c r="U790" s="6" t="str">
        <f t="shared" si="130"/>
        <v>ICU</v>
      </c>
      <c r="V790" s="6" t="str" cm="1">
        <f t="array" ref="V790">IF(TRIM(S790)="",INDEX($S$2:$S$1500,MATCH(MAX(COUNTIF($S$2:$S$1500,S790)),COUNTIF($S$2:$S$1500,$S$2:$S$1500),0)),S790)</f>
        <v>Insurance</v>
      </c>
      <c r="W790" s="7" cm="1">
        <f t="array" ref="W790">IF(OR(TRIM(K790)="",TRIM(K790)="-"), MEDIAN(IF($E$2:$E$1500=E790,$K$2:$K$1500)),  VALUE(SUBSTITUTE(SUBSTITUTE(SUBSTITUTE(K790,"Rs. ",""),"₹",""),",","")))</f>
        <v>42005</v>
      </c>
      <c r="X790" s="8">
        <f t="shared" si="128"/>
        <v>19</v>
      </c>
      <c r="Y790" s="7">
        <f t="shared" si="129"/>
        <v>34024</v>
      </c>
      <c r="Z790" s="9" t="str">
        <f t="shared" si="121"/>
        <v>ADULT</v>
      </c>
    </row>
    <row r="791" spans="1:26" x14ac:dyDescent="0.3">
      <c r="A791" s="5" t="s">
        <v>1709</v>
      </c>
      <c r="B791" s="5" t="s">
        <v>106</v>
      </c>
      <c r="C791" s="5" t="s">
        <v>307</v>
      </c>
      <c r="D791" s="5" t="s">
        <v>55</v>
      </c>
      <c r="E791" s="5" t="s">
        <v>17</v>
      </c>
      <c r="F791" s="5" t="s">
        <v>213</v>
      </c>
      <c r="G791" s="5" t="s">
        <v>49</v>
      </c>
      <c r="H791" s="5">
        <v>30</v>
      </c>
      <c r="I791" s="5" t="s">
        <v>40</v>
      </c>
      <c r="J791" s="34" t="s">
        <v>1710</v>
      </c>
      <c r="K791" s="31">
        <v>11540</v>
      </c>
      <c r="L791" s="5" t="s">
        <v>211</v>
      </c>
      <c r="M791" s="32" t="s">
        <v>76</v>
      </c>
      <c r="N791" s="6">
        <f t="shared" si="122"/>
        <v>10</v>
      </c>
      <c r="O791" s="4" t="s">
        <v>213</v>
      </c>
      <c r="P791" s="5" t="str">
        <f t="shared" si="123"/>
        <v>Hyderabad</v>
      </c>
      <c r="Q791" s="5" t="str">
        <f t="shared" si="124"/>
        <v>Gynecology</v>
      </c>
      <c r="R791" s="6" t="str">
        <f t="shared" si="125"/>
        <v>Aiims</v>
      </c>
      <c r="S791" s="6" t="str">
        <f t="shared" si="126"/>
        <v>Credit Card</v>
      </c>
      <c r="T791" s="6" t="str">
        <f t="shared" si="127"/>
        <v>Female</v>
      </c>
      <c r="U791" s="6" t="str">
        <f t="shared" si="130"/>
        <v>General</v>
      </c>
      <c r="V791" s="6" t="str" cm="1">
        <f t="array" ref="V791">IF(TRIM(S791)="",INDEX($S$2:$S$1500,MATCH(MAX(COUNTIF($S$2:$S$1500,S791)),COUNTIF($S$2:$S$1500,$S$2:$S$1500),0)),S791)</f>
        <v>Credit Card</v>
      </c>
      <c r="W791" s="7" cm="1">
        <f t="array" ref="W791">IF(OR(TRIM(K791)="",TRIM(K791)="-"), MEDIAN(IF($E$2:$E$1500=E791,$K$2:$K$1500)),  VALUE(SUBSTITUTE(SUBSTITUTE(SUBSTITUTE(K791,"Rs. ",""),"₹",""),",","")))</f>
        <v>11540</v>
      </c>
      <c r="X791" s="8">
        <f t="shared" si="128"/>
        <v>10</v>
      </c>
      <c r="Y791" s="7">
        <f t="shared" si="129"/>
        <v>10386</v>
      </c>
      <c r="Z791" s="9" t="str">
        <f t="shared" si="121"/>
        <v>ADULT</v>
      </c>
    </row>
    <row r="792" spans="1:26" x14ac:dyDescent="0.3">
      <c r="A792" s="5" t="s">
        <v>1711</v>
      </c>
      <c r="B792" s="5" t="s">
        <v>25</v>
      </c>
      <c r="C792" s="5" t="s">
        <v>54</v>
      </c>
      <c r="D792" s="5" t="s">
        <v>16</v>
      </c>
      <c r="E792" s="5" t="s">
        <v>67</v>
      </c>
      <c r="F792" s="5" t="s">
        <v>85</v>
      </c>
      <c r="G792" s="5" t="s">
        <v>101</v>
      </c>
      <c r="H792" s="5">
        <v>30</v>
      </c>
      <c r="I792" s="5" t="s">
        <v>70</v>
      </c>
      <c r="J792" s="34" t="s">
        <v>193</v>
      </c>
      <c r="K792" s="31">
        <v>87406</v>
      </c>
      <c r="L792" s="5" t="s">
        <v>34</v>
      </c>
      <c r="M792" s="32" t="s">
        <v>130</v>
      </c>
      <c r="N792" s="6">
        <f t="shared" si="122"/>
        <v>0</v>
      </c>
      <c r="O792" s="4" t="s">
        <v>85</v>
      </c>
      <c r="P792" s="5" t="str">
        <f t="shared" si="123"/>
        <v>Bangalore</v>
      </c>
      <c r="Q792" s="5" t="str">
        <f t="shared" si="124"/>
        <v>Neurology</v>
      </c>
      <c r="R792" s="6" t="str">
        <f t="shared" si="125"/>
        <v>Narayana</v>
      </c>
      <c r="S792" s="6" t="str">
        <f t="shared" si="126"/>
        <v>Cash</v>
      </c>
      <c r="T792" s="6" t="str">
        <f t="shared" si="127"/>
        <v>Female</v>
      </c>
      <c r="U792" s="6" t="str">
        <f t="shared" si="130"/>
        <v>ICU</v>
      </c>
      <c r="V792" s="6" t="str" cm="1">
        <f t="array" ref="V792">IF(TRIM(S792)="",INDEX($S$2:$S$1500,MATCH(MAX(COUNTIF($S$2:$S$1500,S792)),COUNTIF($S$2:$S$1500,$S$2:$S$1500),0)),S792)</f>
        <v>Cash</v>
      </c>
      <c r="W792" s="7" cm="1">
        <f t="array" ref="W792">IF(OR(TRIM(K792)="",TRIM(K792)="-"), MEDIAN(IF($E$2:$E$1500=E792,$K$2:$K$1500)),  VALUE(SUBSTITUTE(SUBSTITUTE(SUBSTITUTE(K792,"Rs. ",""),"₹",""),",","")))</f>
        <v>87406</v>
      </c>
      <c r="X792" s="8">
        <f t="shared" si="128"/>
        <v>0</v>
      </c>
      <c r="Y792" s="7">
        <f t="shared" si="129"/>
        <v>87406</v>
      </c>
      <c r="Z792" s="9" t="str">
        <f t="shared" si="121"/>
        <v>ADULT</v>
      </c>
    </row>
    <row r="793" spans="1:26" x14ac:dyDescent="0.3">
      <c r="A793" s="5" t="s">
        <v>1712</v>
      </c>
      <c r="B793" s="5" t="s">
        <v>45</v>
      </c>
      <c r="C793" s="5" t="s">
        <v>334</v>
      </c>
      <c r="D793" s="5" t="s">
        <v>55</v>
      </c>
      <c r="E793" s="5" t="s">
        <v>67</v>
      </c>
      <c r="F793" s="5" t="s">
        <v>85</v>
      </c>
      <c r="G793" s="5"/>
      <c r="H793" s="5">
        <v>66</v>
      </c>
      <c r="I793" s="5" t="s">
        <v>20</v>
      </c>
      <c r="J793" s="34" t="s">
        <v>633</v>
      </c>
      <c r="K793" s="31">
        <v>12891</v>
      </c>
      <c r="L793" s="5" t="s">
        <v>91</v>
      </c>
      <c r="M793" s="32" t="s">
        <v>76</v>
      </c>
      <c r="N793" s="6">
        <f t="shared" si="122"/>
        <v>10</v>
      </c>
      <c r="O793" s="4" t="s">
        <v>85</v>
      </c>
      <c r="P793" s="5" t="str">
        <f t="shared" si="123"/>
        <v>Hyderabad</v>
      </c>
      <c r="Q793" s="5" t="str">
        <f t="shared" si="124"/>
        <v>Neurology</v>
      </c>
      <c r="R793" s="6" t="str">
        <f t="shared" si="125"/>
        <v>Fortis</v>
      </c>
      <c r="S793" s="6" t="str">
        <f t="shared" si="126"/>
        <v>Debit Card</v>
      </c>
      <c r="T793" s="6" t="str">
        <f t="shared" si="127"/>
        <v>Male</v>
      </c>
      <c r="U793" s="6" t="str">
        <f t="shared" si="130"/>
        <v>Unknown</v>
      </c>
      <c r="V793" s="6" t="str" cm="1">
        <f t="array" ref="V793">IF(TRIM(S793)="",INDEX($S$2:$S$1500,MATCH(MAX(COUNTIF($S$2:$S$1500,S793)),COUNTIF($S$2:$S$1500,$S$2:$S$1500),0)),S793)</f>
        <v>Debit Card</v>
      </c>
      <c r="W793" s="7" cm="1">
        <f t="array" ref="W793">IF(OR(TRIM(K793)="",TRIM(K793)="-"), MEDIAN(IF($E$2:$E$1500=E793,$K$2:$K$1500)),  VALUE(SUBSTITUTE(SUBSTITUTE(SUBSTITUTE(K793,"Rs. ",""),"₹",""),",","")))</f>
        <v>12891</v>
      </c>
      <c r="X793" s="8">
        <f t="shared" si="128"/>
        <v>10</v>
      </c>
      <c r="Y793" s="7">
        <f t="shared" si="129"/>
        <v>11602</v>
      </c>
      <c r="Z793" s="9" t="str">
        <f t="shared" si="121"/>
        <v>SENIOR</v>
      </c>
    </row>
    <row r="794" spans="1:26" x14ac:dyDescent="0.3">
      <c r="A794" s="5" t="s">
        <v>1713</v>
      </c>
      <c r="B794" s="5" t="s">
        <v>14</v>
      </c>
      <c r="C794" s="5" t="s">
        <v>60</v>
      </c>
      <c r="D794" s="5" t="s">
        <v>80</v>
      </c>
      <c r="E794" s="5" t="s">
        <v>74</v>
      </c>
      <c r="F794" s="5" t="s">
        <v>147</v>
      </c>
      <c r="G794" s="5" t="s">
        <v>19</v>
      </c>
      <c r="H794" s="5">
        <v>65</v>
      </c>
      <c r="I794" s="5" t="s">
        <v>20</v>
      </c>
      <c r="J794" s="34" t="s">
        <v>1714</v>
      </c>
      <c r="K794" s="31">
        <v>3633</v>
      </c>
      <c r="L794" s="5" t="s">
        <v>97</v>
      </c>
      <c r="M794" s="32"/>
      <c r="N794" s="6">
        <f t="shared" si="122"/>
        <v>0</v>
      </c>
      <c r="O794" s="4" t="s">
        <v>147</v>
      </c>
      <c r="P794" s="5" t="str">
        <f t="shared" si="123"/>
        <v>Ahmedabad</v>
      </c>
      <c r="Q794" s="5" t="str">
        <f t="shared" si="124"/>
        <v>General Medicine</v>
      </c>
      <c r="R794" s="6" t="str">
        <f t="shared" si="125"/>
        <v>Max_Healthcare</v>
      </c>
      <c r="S794" s="6" t="str">
        <f t="shared" si="126"/>
        <v>UPI</v>
      </c>
      <c r="T794" s="6" t="str">
        <f t="shared" si="127"/>
        <v>Male</v>
      </c>
      <c r="U794" s="6" t="str">
        <f t="shared" si="130"/>
        <v>General</v>
      </c>
      <c r="V794" s="6" t="str" cm="1">
        <f t="array" ref="V794">IF(TRIM(S794)="",INDEX($S$2:$S$1500,MATCH(MAX(COUNTIF($S$2:$S$1500,S794)),COUNTIF($S$2:$S$1500,$S$2:$S$1500),0)),S794)</f>
        <v>UPI</v>
      </c>
      <c r="W794" s="7" cm="1">
        <f t="array" ref="W794">IF(OR(TRIM(K794)="",TRIM(K794)="-"), MEDIAN(IF($E$2:$E$1500=E794,$K$2:$K$1500)),  VALUE(SUBSTITUTE(SUBSTITUTE(SUBSTITUTE(K794,"Rs. ",""),"₹",""),",","")))</f>
        <v>3633</v>
      </c>
      <c r="X794" s="8">
        <f t="shared" si="128"/>
        <v>0</v>
      </c>
      <c r="Y794" s="7">
        <f t="shared" si="129"/>
        <v>3633</v>
      </c>
      <c r="Z794" s="9" t="str">
        <f t="shared" si="121"/>
        <v>SENIOR</v>
      </c>
    </row>
    <row r="795" spans="1:26" x14ac:dyDescent="0.3">
      <c r="A795" s="5" t="s">
        <v>1715</v>
      </c>
      <c r="B795" s="5" t="s">
        <v>106</v>
      </c>
      <c r="C795" s="5" t="s">
        <v>107</v>
      </c>
      <c r="D795" s="5" t="s">
        <v>16</v>
      </c>
      <c r="E795" s="5" t="s">
        <v>93</v>
      </c>
      <c r="F795" s="5" t="s">
        <v>121</v>
      </c>
      <c r="G795" s="5" t="s">
        <v>19</v>
      </c>
      <c r="H795" s="5">
        <v>56</v>
      </c>
      <c r="I795" s="5" t="s">
        <v>20</v>
      </c>
      <c r="J795" s="34" t="s">
        <v>413</v>
      </c>
      <c r="K795" s="31" t="s">
        <v>1716</v>
      </c>
      <c r="L795" s="5" t="s">
        <v>97</v>
      </c>
      <c r="M795" s="32">
        <v>10</v>
      </c>
      <c r="N795" s="6">
        <f t="shared" si="122"/>
        <v>10</v>
      </c>
      <c r="O795" s="4" t="s">
        <v>121</v>
      </c>
      <c r="P795" s="5" t="str">
        <f t="shared" si="123"/>
        <v>Bangalore</v>
      </c>
      <c r="Q795" s="5" t="str">
        <f t="shared" si="124"/>
        <v>Nephrology</v>
      </c>
      <c r="R795" s="6" t="str">
        <f t="shared" si="125"/>
        <v>Aiims</v>
      </c>
      <c r="S795" s="6" t="str">
        <f t="shared" si="126"/>
        <v>UPI</v>
      </c>
      <c r="T795" s="6" t="str">
        <f t="shared" si="127"/>
        <v>Male</v>
      </c>
      <c r="U795" s="6" t="str">
        <f t="shared" si="130"/>
        <v>General</v>
      </c>
      <c r="V795" s="6" t="str" cm="1">
        <f t="array" ref="V795">IF(TRIM(S795)="",INDEX($S$2:$S$1500,MATCH(MAX(COUNTIF($S$2:$S$1500,S795)),COUNTIF($S$2:$S$1500,$S$2:$S$1500),0)),S795)</f>
        <v>UPI</v>
      </c>
      <c r="W795" s="7" cm="1">
        <f t="array" ref="W795">IF(OR(TRIM(K795)="",TRIM(K795)="-"), MEDIAN(IF($E$2:$E$1500=E795,$K$2:$K$1500)),  VALUE(SUBSTITUTE(SUBSTITUTE(SUBSTITUTE(K795,"Rs. ",""),"₹",""),",","")))</f>
        <v>5633</v>
      </c>
      <c r="X795" s="8">
        <f t="shared" si="128"/>
        <v>10</v>
      </c>
      <c r="Y795" s="7">
        <f t="shared" si="129"/>
        <v>5070</v>
      </c>
      <c r="Z795" s="9" t="str">
        <f t="shared" si="121"/>
        <v>ADULT</v>
      </c>
    </row>
    <row r="796" spans="1:26" x14ac:dyDescent="0.3">
      <c r="A796" s="5" t="s">
        <v>1717</v>
      </c>
      <c r="B796" s="5" t="s">
        <v>14</v>
      </c>
      <c r="C796" s="5" t="s">
        <v>60</v>
      </c>
      <c r="D796" s="5" t="s">
        <v>16</v>
      </c>
      <c r="E796" s="5" t="s">
        <v>93</v>
      </c>
      <c r="F796" s="5" t="s">
        <v>94</v>
      </c>
      <c r="G796" s="5" t="s">
        <v>69</v>
      </c>
      <c r="H796" s="5">
        <v>25</v>
      </c>
      <c r="I796" s="5" t="s">
        <v>40</v>
      </c>
      <c r="J796" s="34" t="s">
        <v>854</v>
      </c>
      <c r="K796" s="31" t="s">
        <v>1718</v>
      </c>
      <c r="L796" s="5" t="s">
        <v>87</v>
      </c>
      <c r="M796" s="32">
        <v>5</v>
      </c>
      <c r="N796" s="6">
        <f t="shared" si="122"/>
        <v>5</v>
      </c>
      <c r="O796" s="4" t="s">
        <v>94</v>
      </c>
      <c r="P796" s="5" t="str">
        <f t="shared" si="123"/>
        <v>Bangalore</v>
      </c>
      <c r="Q796" s="5" t="str">
        <f t="shared" si="124"/>
        <v>Nephrology</v>
      </c>
      <c r="R796" s="6" t="str">
        <f t="shared" si="125"/>
        <v>Max_Healthcare</v>
      </c>
      <c r="S796" s="6" t="str">
        <f t="shared" si="126"/>
        <v>Credit Card</v>
      </c>
      <c r="T796" s="6" t="str">
        <f t="shared" si="127"/>
        <v>Female</v>
      </c>
      <c r="U796" s="6" t="str">
        <f t="shared" si="130"/>
        <v>ICU</v>
      </c>
      <c r="V796" s="6" t="str" cm="1">
        <f t="array" ref="V796">IF(TRIM(S796)="",INDEX($S$2:$S$1500,MATCH(MAX(COUNTIF($S$2:$S$1500,S796)),COUNTIF($S$2:$S$1500,$S$2:$S$1500),0)),S796)</f>
        <v>Credit Card</v>
      </c>
      <c r="W796" s="7" cm="1">
        <f t="array" ref="W796">IF(OR(TRIM(K796)="",TRIM(K796)="-"), MEDIAN(IF($E$2:$E$1500=E796,$K$2:$K$1500)),  VALUE(SUBSTITUTE(SUBSTITUTE(SUBSTITUTE(K796,"Rs. ",""),"₹",""),",","")))</f>
        <v>84006</v>
      </c>
      <c r="X796" s="8">
        <f t="shared" si="128"/>
        <v>5</v>
      </c>
      <c r="Y796" s="7">
        <f t="shared" si="129"/>
        <v>79806</v>
      </c>
      <c r="Z796" s="9" t="str">
        <f t="shared" si="121"/>
        <v>ADULT</v>
      </c>
    </row>
    <row r="797" spans="1:26" x14ac:dyDescent="0.3">
      <c r="A797" s="5" t="s">
        <v>1719</v>
      </c>
      <c r="B797" s="5" t="s">
        <v>106</v>
      </c>
      <c r="C797" s="5" t="s">
        <v>107</v>
      </c>
      <c r="D797" s="5" t="s">
        <v>16</v>
      </c>
      <c r="E797" s="5" t="s">
        <v>164</v>
      </c>
      <c r="F797" s="5" t="s">
        <v>233</v>
      </c>
      <c r="G797" s="5" t="s">
        <v>19</v>
      </c>
      <c r="H797" s="5">
        <v>21</v>
      </c>
      <c r="I797" s="5" t="s">
        <v>20</v>
      </c>
      <c r="J797" s="34" t="s">
        <v>262</v>
      </c>
      <c r="K797" s="31">
        <v>17861</v>
      </c>
      <c r="L797" s="5" t="s">
        <v>311</v>
      </c>
      <c r="M797" s="32">
        <v>0</v>
      </c>
      <c r="N797" s="6">
        <f t="shared" si="122"/>
        <v>0</v>
      </c>
      <c r="O797" s="4" t="s">
        <v>233</v>
      </c>
      <c r="P797" s="5" t="str">
        <f t="shared" si="123"/>
        <v>Bangalore</v>
      </c>
      <c r="Q797" s="5" t="str">
        <f t="shared" si="124"/>
        <v>Cardiology</v>
      </c>
      <c r="R797" s="6" t="str">
        <f t="shared" si="125"/>
        <v>Aiims</v>
      </c>
      <c r="S797" s="6" t="str">
        <f t="shared" si="126"/>
        <v>UPI</v>
      </c>
      <c r="T797" s="6" t="str">
        <f t="shared" si="127"/>
        <v>Male</v>
      </c>
      <c r="U797" s="6" t="str">
        <f t="shared" si="130"/>
        <v>General</v>
      </c>
      <c r="V797" s="6" t="str" cm="1">
        <f t="array" ref="V797">IF(TRIM(S797)="",INDEX($S$2:$S$1500,MATCH(MAX(COUNTIF($S$2:$S$1500,S797)),COUNTIF($S$2:$S$1500,$S$2:$S$1500),0)),S797)</f>
        <v>UPI</v>
      </c>
      <c r="W797" s="7" cm="1">
        <f t="array" ref="W797">IF(OR(TRIM(K797)="",TRIM(K797)="-"), MEDIAN(IF($E$2:$E$1500=E797,$K$2:$K$1500)),  VALUE(SUBSTITUTE(SUBSTITUTE(SUBSTITUTE(K797,"Rs. ",""),"₹",""),",","")))</f>
        <v>17861</v>
      </c>
      <c r="X797" s="8">
        <f t="shared" si="128"/>
        <v>0</v>
      </c>
      <c r="Y797" s="7">
        <f t="shared" si="129"/>
        <v>17861</v>
      </c>
      <c r="Z797" s="9" t="str">
        <f t="shared" si="121"/>
        <v>ADULT</v>
      </c>
    </row>
    <row r="798" spans="1:26" x14ac:dyDescent="0.3">
      <c r="A798" s="5" t="s">
        <v>1720</v>
      </c>
      <c r="B798" s="5" t="s">
        <v>45</v>
      </c>
      <c r="C798" s="5" t="s">
        <v>46</v>
      </c>
      <c r="D798" s="5" t="s">
        <v>80</v>
      </c>
      <c r="E798" s="5" t="s">
        <v>108</v>
      </c>
      <c r="F798" s="5" t="s">
        <v>124</v>
      </c>
      <c r="G798" s="5" t="s">
        <v>19</v>
      </c>
      <c r="H798" s="5">
        <v>35</v>
      </c>
      <c r="I798" s="5" t="s">
        <v>40</v>
      </c>
      <c r="J798" s="34" t="s">
        <v>352</v>
      </c>
      <c r="K798" s="31"/>
      <c r="L798" s="5" t="s">
        <v>115</v>
      </c>
      <c r="M798" s="32" t="s">
        <v>130</v>
      </c>
      <c r="N798" s="6">
        <f t="shared" si="122"/>
        <v>0</v>
      </c>
      <c r="O798" s="4" t="s">
        <v>124</v>
      </c>
      <c r="P798" s="5" t="str">
        <f t="shared" si="123"/>
        <v>Ahmedabad</v>
      </c>
      <c r="Q798" s="5" t="str">
        <f t="shared" si="124"/>
        <v>Orthopedics</v>
      </c>
      <c r="R798" s="6" t="str">
        <f t="shared" si="125"/>
        <v>Fortis</v>
      </c>
      <c r="S798" s="6" t="str">
        <f t="shared" si="126"/>
        <v>Cash</v>
      </c>
      <c r="T798" s="6" t="str">
        <f t="shared" si="127"/>
        <v>Female</v>
      </c>
      <c r="U798" s="6" t="str">
        <f t="shared" si="130"/>
        <v>General</v>
      </c>
      <c r="V798" s="6" t="str" cm="1">
        <f t="array" ref="V798">IF(TRIM(S798)="",INDEX($S$2:$S$1500,MATCH(MAX(COUNTIF($S$2:$S$1500,S798)),COUNTIF($S$2:$S$1500,$S$2:$S$1500),0)),S798)</f>
        <v>Cash</v>
      </c>
      <c r="W798" s="7" cm="1">
        <f t="array" ref="W798">IF(OR(TRIM(K798)="",TRIM(K798)="-"), MEDIAN(IF($E$2:$E$1500=E798,$K$2:$K$1500)),  VALUE(SUBSTITUTE(SUBSTITUTE(SUBSTITUTE(K798,"Rs. ",""),"₹",""),",","")))</f>
        <v>13871</v>
      </c>
      <c r="X798" s="8">
        <f t="shared" si="128"/>
        <v>0</v>
      </c>
      <c r="Y798" s="7">
        <f t="shared" si="129"/>
        <v>13871</v>
      </c>
      <c r="Z798" s="9" t="str">
        <f t="shared" si="121"/>
        <v>ADULT</v>
      </c>
    </row>
    <row r="799" spans="1:26" x14ac:dyDescent="0.3">
      <c r="A799" s="5" t="s">
        <v>1721</v>
      </c>
      <c r="B799" s="5" t="s">
        <v>106</v>
      </c>
      <c r="C799" s="5" t="s">
        <v>107</v>
      </c>
      <c r="D799" s="5" t="s">
        <v>16</v>
      </c>
      <c r="E799" s="5" t="s">
        <v>28</v>
      </c>
      <c r="F799" s="5" t="s">
        <v>268</v>
      </c>
      <c r="G799" s="5" t="s">
        <v>101</v>
      </c>
      <c r="H799" s="5">
        <v>67</v>
      </c>
      <c r="I799" s="5" t="s">
        <v>70</v>
      </c>
      <c r="J799" s="34" t="s">
        <v>1722</v>
      </c>
      <c r="K799" s="31">
        <v>25471</v>
      </c>
      <c r="L799" s="5" t="s">
        <v>42</v>
      </c>
      <c r="M799" s="32" t="s">
        <v>187</v>
      </c>
      <c r="N799" s="6">
        <f t="shared" si="122"/>
        <v>35</v>
      </c>
      <c r="O799" s="4" t="s">
        <v>268</v>
      </c>
      <c r="P799" s="5" t="str">
        <f t="shared" si="123"/>
        <v>Bangalore</v>
      </c>
      <c r="Q799" s="5" t="str">
        <f t="shared" si="124"/>
        <v>Oncology</v>
      </c>
      <c r="R799" s="6" t="str">
        <f t="shared" si="125"/>
        <v>Aiims</v>
      </c>
      <c r="S799" s="6" t="str">
        <f t="shared" si="126"/>
        <v>Insurance</v>
      </c>
      <c r="T799" s="6" t="str">
        <f t="shared" si="127"/>
        <v>Female</v>
      </c>
      <c r="U799" s="6" t="str">
        <f t="shared" si="130"/>
        <v>ICU</v>
      </c>
      <c r="V799" s="6" t="str" cm="1">
        <f t="array" ref="V799">IF(TRIM(S799)="",INDEX($S$2:$S$1500,MATCH(MAX(COUNTIF($S$2:$S$1500,S799)),COUNTIF($S$2:$S$1500,$S$2:$S$1500),0)),S799)</f>
        <v>Insurance</v>
      </c>
      <c r="W799" s="7" cm="1">
        <f t="array" ref="W799">IF(OR(TRIM(K799)="",TRIM(K799)="-"), MEDIAN(IF($E$2:$E$1500=E799,$K$2:$K$1500)),  VALUE(SUBSTITUTE(SUBSTITUTE(SUBSTITUTE(K799,"Rs. ",""),"₹",""),",","")))</f>
        <v>25471</v>
      </c>
      <c r="X799" s="8">
        <f t="shared" si="128"/>
        <v>35</v>
      </c>
      <c r="Y799" s="7">
        <f t="shared" si="129"/>
        <v>16556</v>
      </c>
      <c r="Z799" s="9" t="str">
        <f t="shared" si="121"/>
        <v>SENIOR</v>
      </c>
    </row>
    <row r="800" spans="1:26" x14ac:dyDescent="0.3">
      <c r="A800" s="5" t="s">
        <v>1723</v>
      </c>
      <c r="B800" s="5" t="s">
        <v>45</v>
      </c>
      <c r="C800" s="5" t="s">
        <v>334</v>
      </c>
      <c r="D800" s="5" t="s">
        <v>27</v>
      </c>
      <c r="E800" s="5" t="s">
        <v>93</v>
      </c>
      <c r="F800" s="5" t="s">
        <v>144</v>
      </c>
      <c r="G800" s="5" t="s">
        <v>19</v>
      </c>
      <c r="H800" s="5">
        <v>21</v>
      </c>
      <c r="I800" s="5" t="s">
        <v>70</v>
      </c>
      <c r="J800" s="34" t="s">
        <v>377</v>
      </c>
      <c r="K800" s="31">
        <v>4093</v>
      </c>
      <c r="L800" s="5" t="s">
        <v>115</v>
      </c>
      <c r="M800" s="32" t="s">
        <v>130</v>
      </c>
      <c r="N800" s="6">
        <f t="shared" si="122"/>
        <v>0</v>
      </c>
      <c r="O800" s="4" t="s">
        <v>144</v>
      </c>
      <c r="P800" s="5" t="str">
        <f t="shared" si="123"/>
        <v>Mumbai</v>
      </c>
      <c r="Q800" s="5" t="str">
        <f t="shared" si="124"/>
        <v>Nephrology</v>
      </c>
      <c r="R800" s="6" t="str">
        <f t="shared" si="125"/>
        <v>Fortis</v>
      </c>
      <c r="S800" s="6" t="str">
        <f t="shared" si="126"/>
        <v>Cash</v>
      </c>
      <c r="T800" s="6" t="str">
        <f t="shared" si="127"/>
        <v>Female</v>
      </c>
      <c r="U800" s="6" t="str">
        <f t="shared" si="130"/>
        <v>General</v>
      </c>
      <c r="V800" s="6" t="str" cm="1">
        <f t="array" ref="V800">IF(TRIM(S800)="",INDEX($S$2:$S$1500,MATCH(MAX(COUNTIF($S$2:$S$1500,S800)),COUNTIF($S$2:$S$1500,$S$2:$S$1500),0)),S800)</f>
        <v>Cash</v>
      </c>
      <c r="W800" s="7" cm="1">
        <f t="array" ref="W800">IF(OR(TRIM(K800)="",TRIM(K800)="-"), MEDIAN(IF($E$2:$E$1500=E800,$K$2:$K$1500)),  VALUE(SUBSTITUTE(SUBSTITUTE(SUBSTITUTE(K800,"Rs. ",""),"₹",""),",","")))</f>
        <v>4093</v>
      </c>
      <c r="X800" s="8">
        <f t="shared" si="128"/>
        <v>0</v>
      </c>
      <c r="Y800" s="7">
        <f t="shared" si="129"/>
        <v>4093</v>
      </c>
      <c r="Z800" s="9" t="str">
        <f t="shared" si="121"/>
        <v>ADULT</v>
      </c>
    </row>
    <row r="801" spans="1:26" x14ac:dyDescent="0.3">
      <c r="A801" s="5" t="s">
        <v>1724</v>
      </c>
      <c r="B801" s="5" t="s">
        <v>106</v>
      </c>
      <c r="C801" s="5" t="s">
        <v>107</v>
      </c>
      <c r="D801" s="5" t="s">
        <v>27</v>
      </c>
      <c r="E801" s="5" t="s">
        <v>164</v>
      </c>
      <c r="F801" s="5" t="s">
        <v>219</v>
      </c>
      <c r="G801" s="5" t="s">
        <v>39</v>
      </c>
      <c r="H801" s="5">
        <v>14</v>
      </c>
      <c r="I801" s="5" t="s">
        <v>40</v>
      </c>
      <c r="J801" s="34" t="s">
        <v>288</v>
      </c>
      <c r="K801" s="31">
        <v>4920</v>
      </c>
      <c r="L801" s="5" t="s">
        <v>236</v>
      </c>
      <c r="M801" s="32"/>
      <c r="N801" s="6">
        <f t="shared" si="122"/>
        <v>0</v>
      </c>
      <c r="O801" s="4" t="s">
        <v>219</v>
      </c>
      <c r="P801" s="5" t="str">
        <f t="shared" si="123"/>
        <v>Mumbai</v>
      </c>
      <c r="Q801" s="5" t="str">
        <f t="shared" si="124"/>
        <v>Cardiology</v>
      </c>
      <c r="R801" s="6" t="str">
        <f t="shared" si="125"/>
        <v>Aiims</v>
      </c>
      <c r="S801" s="6" t="str">
        <f t="shared" si="126"/>
        <v>Debit Card</v>
      </c>
      <c r="T801" s="6" t="str">
        <f t="shared" si="127"/>
        <v>Female</v>
      </c>
      <c r="U801" s="6" t="str">
        <f t="shared" si="130"/>
        <v>General</v>
      </c>
      <c r="V801" s="6" t="str" cm="1">
        <f t="array" ref="V801">IF(TRIM(S801)="",INDEX($S$2:$S$1500,MATCH(MAX(COUNTIF($S$2:$S$1500,S801)),COUNTIF($S$2:$S$1500,$S$2:$S$1500),0)),S801)</f>
        <v>Debit Card</v>
      </c>
      <c r="W801" s="7" cm="1">
        <f t="array" ref="W801">IF(OR(TRIM(K801)="",TRIM(K801)="-"), MEDIAN(IF($E$2:$E$1500=E801,$K$2:$K$1500)),  VALUE(SUBSTITUTE(SUBSTITUTE(SUBSTITUTE(K801,"Rs. ",""),"₹",""),",","")))</f>
        <v>4920</v>
      </c>
      <c r="X801" s="8">
        <f t="shared" si="128"/>
        <v>0</v>
      </c>
      <c r="Y801" s="7">
        <f t="shared" si="129"/>
        <v>4920</v>
      </c>
      <c r="Z801" s="9" t="str">
        <f t="shared" si="121"/>
        <v>TEEN</v>
      </c>
    </row>
    <row r="802" spans="1:26" x14ac:dyDescent="0.3">
      <c r="A802" s="5" t="s">
        <v>1725</v>
      </c>
      <c r="B802" s="5" t="s">
        <v>78</v>
      </c>
      <c r="C802" s="5" t="s">
        <v>161</v>
      </c>
      <c r="D802" s="5" t="s">
        <v>61</v>
      </c>
      <c r="E802" s="5" t="s">
        <v>164</v>
      </c>
      <c r="F802" s="5" t="s">
        <v>233</v>
      </c>
      <c r="G802" s="5" t="s">
        <v>62</v>
      </c>
      <c r="H802" s="5">
        <v>14</v>
      </c>
      <c r="I802" s="5" t="s">
        <v>20</v>
      </c>
      <c r="J802" s="34" t="s">
        <v>1726</v>
      </c>
      <c r="K802" s="31" t="s">
        <v>1727</v>
      </c>
      <c r="L802" s="5" t="s">
        <v>72</v>
      </c>
      <c r="M802" s="32" t="s">
        <v>76</v>
      </c>
      <c r="N802" s="6">
        <f t="shared" si="122"/>
        <v>10</v>
      </c>
      <c r="O802" s="4" t="s">
        <v>233</v>
      </c>
      <c r="P802" s="5" t="str">
        <f t="shared" si="123"/>
        <v>Pune</v>
      </c>
      <c r="Q802" s="5" t="str">
        <f t="shared" si="124"/>
        <v>Cardiology</v>
      </c>
      <c r="R802" s="6" t="str">
        <f t="shared" si="125"/>
        <v>Apollo</v>
      </c>
      <c r="S802" s="6" t="str">
        <f t="shared" si="126"/>
        <v>Cash</v>
      </c>
      <c r="T802" s="6" t="str">
        <f t="shared" si="127"/>
        <v>Male</v>
      </c>
      <c r="U802" s="6" t="str">
        <f t="shared" si="130"/>
        <v>ICU</v>
      </c>
      <c r="V802" s="6" t="str" cm="1">
        <f t="array" ref="V802">IF(TRIM(S802)="",INDEX($S$2:$S$1500,MATCH(MAX(COUNTIF($S$2:$S$1500,S802)),COUNTIF($S$2:$S$1500,$S$2:$S$1500),0)),S802)</f>
        <v>Cash</v>
      </c>
      <c r="W802" s="7" cm="1">
        <f t="array" ref="W802">IF(OR(TRIM(K802)="",TRIM(K802)="-"), MEDIAN(IF($E$2:$E$1500=E802,$K$2:$K$1500)),  VALUE(SUBSTITUTE(SUBSTITUTE(SUBSTITUTE(K802,"Rs. ",""),"₹",""),",","")))</f>
        <v>67577</v>
      </c>
      <c r="X802" s="8">
        <f t="shared" si="128"/>
        <v>10</v>
      </c>
      <c r="Y802" s="7">
        <f t="shared" si="129"/>
        <v>60819</v>
      </c>
      <c r="Z802" s="9" t="str">
        <f t="shared" si="121"/>
        <v>TEEN</v>
      </c>
    </row>
    <row r="803" spans="1:26" x14ac:dyDescent="0.3">
      <c r="A803" s="5" t="s">
        <v>1728</v>
      </c>
      <c r="B803" s="5" t="s">
        <v>106</v>
      </c>
      <c r="C803" s="5" t="s">
        <v>107</v>
      </c>
      <c r="D803" s="5" t="s">
        <v>189</v>
      </c>
      <c r="E803" s="5" t="s">
        <v>93</v>
      </c>
      <c r="F803" s="5" t="s">
        <v>207</v>
      </c>
      <c r="G803" s="5" t="s">
        <v>69</v>
      </c>
      <c r="H803" s="5">
        <v>75</v>
      </c>
      <c r="I803" s="5" t="s">
        <v>40</v>
      </c>
      <c r="J803" s="34" t="s">
        <v>269</v>
      </c>
      <c r="K803" s="31" t="s">
        <v>1729</v>
      </c>
      <c r="L803" s="5" t="s">
        <v>23</v>
      </c>
      <c r="M803" s="32" t="s">
        <v>130</v>
      </c>
      <c r="N803" s="6">
        <f t="shared" si="122"/>
        <v>0</v>
      </c>
      <c r="O803" s="4" t="s">
        <v>207</v>
      </c>
      <c r="P803" s="5" t="str">
        <f t="shared" si="123"/>
        <v>Delhi</v>
      </c>
      <c r="Q803" s="5" t="str">
        <f t="shared" si="124"/>
        <v>Nephrology</v>
      </c>
      <c r="R803" s="6" t="str">
        <f t="shared" si="125"/>
        <v>Aiims</v>
      </c>
      <c r="S803" s="6" t="str">
        <f t="shared" si="126"/>
        <v>Credit Card</v>
      </c>
      <c r="T803" s="6" t="str">
        <f t="shared" si="127"/>
        <v>Female</v>
      </c>
      <c r="U803" s="6" t="str">
        <f t="shared" si="130"/>
        <v>ICU</v>
      </c>
      <c r="V803" s="6" t="str" cm="1">
        <f t="array" ref="V803">IF(TRIM(S803)="",INDEX($S$2:$S$1500,MATCH(MAX(COUNTIF($S$2:$S$1500,S803)),COUNTIF($S$2:$S$1500,$S$2:$S$1500),0)),S803)</f>
        <v>Credit Card</v>
      </c>
      <c r="W803" s="7" cm="1">
        <f t="array" ref="W803">IF(OR(TRIM(K803)="",TRIM(K803)="-"), MEDIAN(IF($E$2:$E$1500=E803,$K$2:$K$1500)),  VALUE(SUBSTITUTE(SUBSTITUTE(SUBSTITUTE(K803,"Rs. ",""),"₹",""),",","")))</f>
        <v>28285</v>
      </c>
      <c r="X803" s="8">
        <f t="shared" si="128"/>
        <v>0</v>
      </c>
      <c r="Y803" s="7">
        <f t="shared" si="129"/>
        <v>28285</v>
      </c>
      <c r="Z803" s="9" t="str">
        <f t="shared" si="121"/>
        <v>SENIOR</v>
      </c>
    </row>
    <row r="804" spans="1:26" x14ac:dyDescent="0.3">
      <c r="A804" s="5" t="s">
        <v>1730</v>
      </c>
      <c r="B804" s="5" t="s">
        <v>117</v>
      </c>
      <c r="C804" s="5" t="s">
        <v>118</v>
      </c>
      <c r="D804" s="5" t="s">
        <v>16</v>
      </c>
      <c r="E804" s="5" t="s">
        <v>108</v>
      </c>
      <c r="F804" s="5" t="s">
        <v>109</v>
      </c>
      <c r="G804" s="5" t="s">
        <v>30</v>
      </c>
      <c r="H804" s="5">
        <v>91</v>
      </c>
      <c r="I804" s="5" t="s">
        <v>20</v>
      </c>
      <c r="J804" s="34" t="s">
        <v>1731</v>
      </c>
      <c r="K804" s="31" t="s">
        <v>1732</v>
      </c>
      <c r="L804" s="5" t="s">
        <v>42</v>
      </c>
      <c r="M804" s="32">
        <v>10</v>
      </c>
      <c r="N804" s="6">
        <f t="shared" si="122"/>
        <v>10</v>
      </c>
      <c r="O804" s="4" t="s">
        <v>109</v>
      </c>
      <c r="P804" s="5" t="str">
        <f t="shared" si="123"/>
        <v>Bangalore</v>
      </c>
      <c r="Q804" s="5" t="str">
        <f t="shared" si="124"/>
        <v>Orthopedics</v>
      </c>
      <c r="R804" s="6" t="str">
        <f t="shared" si="125"/>
        <v>Manipal</v>
      </c>
      <c r="S804" s="6" t="str">
        <f t="shared" si="126"/>
        <v>Insurance</v>
      </c>
      <c r="T804" s="6" t="str">
        <f t="shared" si="127"/>
        <v>Male</v>
      </c>
      <c r="U804" s="6" t="str">
        <f t="shared" si="130"/>
        <v>General</v>
      </c>
      <c r="V804" s="6" t="str" cm="1">
        <f t="array" ref="V804">IF(TRIM(S804)="",INDEX($S$2:$S$1500,MATCH(MAX(COUNTIF($S$2:$S$1500,S804)),COUNTIF($S$2:$S$1500,$S$2:$S$1500),0)),S804)</f>
        <v>Insurance</v>
      </c>
      <c r="W804" s="7" cm="1">
        <f t="array" ref="W804">IF(OR(TRIM(K804)="",TRIM(K804)="-"), MEDIAN(IF($E$2:$E$1500=E804,$K$2:$K$1500)),  VALUE(SUBSTITUTE(SUBSTITUTE(SUBSTITUTE(K804,"Rs. ",""),"₹",""),",","")))</f>
        <v>4940</v>
      </c>
      <c r="X804" s="8">
        <f t="shared" si="128"/>
        <v>10</v>
      </c>
      <c r="Y804" s="7">
        <f t="shared" si="129"/>
        <v>4446</v>
      </c>
      <c r="Z804" s="9" t="str">
        <f t="shared" si="121"/>
        <v>SENIOR</v>
      </c>
    </row>
    <row r="805" spans="1:26" x14ac:dyDescent="0.3">
      <c r="A805" s="5" t="s">
        <v>1733</v>
      </c>
      <c r="B805" s="5" t="s">
        <v>45</v>
      </c>
      <c r="C805" s="5" t="s">
        <v>46</v>
      </c>
      <c r="D805" s="5" t="s">
        <v>36</v>
      </c>
      <c r="E805" s="5" t="s">
        <v>67</v>
      </c>
      <c r="F805" s="5" t="s">
        <v>68</v>
      </c>
      <c r="G805" s="5" t="s">
        <v>19</v>
      </c>
      <c r="H805" s="5">
        <v>31</v>
      </c>
      <c r="I805" s="5" t="s">
        <v>40</v>
      </c>
      <c r="J805" s="34" t="s">
        <v>545</v>
      </c>
      <c r="K805" s="31" t="s">
        <v>1734</v>
      </c>
      <c r="L805" s="5" t="s">
        <v>52</v>
      </c>
      <c r="M805" s="32">
        <v>10</v>
      </c>
      <c r="N805" s="6">
        <f t="shared" si="122"/>
        <v>10</v>
      </c>
      <c r="O805" s="4" t="s">
        <v>68</v>
      </c>
      <c r="P805" s="5" t="str">
        <f t="shared" si="123"/>
        <v>Chennai</v>
      </c>
      <c r="Q805" s="5" t="str">
        <f t="shared" si="124"/>
        <v>Neurology</v>
      </c>
      <c r="R805" s="6" t="str">
        <f t="shared" si="125"/>
        <v>Fortis</v>
      </c>
      <c r="S805" s="6" t="str">
        <f t="shared" si="126"/>
        <v>Credit Card</v>
      </c>
      <c r="T805" s="6" t="str">
        <f t="shared" si="127"/>
        <v>Female</v>
      </c>
      <c r="U805" s="6" t="str">
        <f t="shared" si="130"/>
        <v>General</v>
      </c>
      <c r="V805" s="6" t="str" cm="1">
        <f t="array" ref="V805">IF(TRIM(S805)="",INDEX($S$2:$S$1500,MATCH(MAX(COUNTIF($S$2:$S$1500,S805)),COUNTIF($S$2:$S$1500,$S$2:$S$1500),0)),S805)</f>
        <v>Credit Card</v>
      </c>
      <c r="W805" s="7" cm="1">
        <f t="array" ref="W805">IF(OR(TRIM(K805)="",TRIM(K805)="-"), MEDIAN(IF($E$2:$E$1500=E805,$K$2:$K$1500)),  VALUE(SUBSTITUTE(SUBSTITUTE(SUBSTITUTE(K805,"Rs. ",""),"₹",""),",","")))</f>
        <v>6515</v>
      </c>
      <c r="X805" s="8">
        <f t="shared" si="128"/>
        <v>10</v>
      </c>
      <c r="Y805" s="7">
        <f t="shared" si="129"/>
        <v>5864</v>
      </c>
      <c r="Z805" s="9" t="str">
        <f t="shared" si="121"/>
        <v>ADULT</v>
      </c>
    </row>
    <row r="806" spans="1:26" x14ac:dyDescent="0.3">
      <c r="A806" s="5" t="s">
        <v>1735</v>
      </c>
      <c r="B806" s="5" t="s">
        <v>78</v>
      </c>
      <c r="C806" s="5" t="s">
        <v>79</v>
      </c>
      <c r="D806" s="5" t="s">
        <v>61</v>
      </c>
      <c r="E806" s="5" t="s">
        <v>99</v>
      </c>
      <c r="F806" s="5" t="s">
        <v>151</v>
      </c>
      <c r="G806" s="5" t="s">
        <v>30</v>
      </c>
      <c r="H806" s="5">
        <v>63</v>
      </c>
      <c r="I806" s="5" t="s">
        <v>20</v>
      </c>
      <c r="J806" s="34" t="s">
        <v>413</v>
      </c>
      <c r="K806" s="31" t="s">
        <v>1736</v>
      </c>
      <c r="L806" s="5" t="s">
        <v>23</v>
      </c>
      <c r="M806" s="32">
        <v>0</v>
      </c>
      <c r="N806" s="6">
        <f t="shared" si="122"/>
        <v>0</v>
      </c>
      <c r="O806" s="4" t="s">
        <v>151</v>
      </c>
      <c r="P806" s="5" t="str">
        <f t="shared" si="123"/>
        <v>Pune</v>
      </c>
      <c r="Q806" s="5" t="str">
        <f t="shared" si="124"/>
        <v>Ent</v>
      </c>
      <c r="R806" s="6" t="str">
        <f t="shared" si="125"/>
        <v>Apollo</v>
      </c>
      <c r="S806" s="6" t="str">
        <f t="shared" si="126"/>
        <v>Credit Card</v>
      </c>
      <c r="T806" s="6" t="str">
        <f t="shared" si="127"/>
        <v>Male</v>
      </c>
      <c r="U806" s="6" t="str">
        <f t="shared" si="130"/>
        <v>General</v>
      </c>
      <c r="V806" s="6" t="str" cm="1">
        <f t="array" ref="V806">IF(TRIM(S806)="",INDEX($S$2:$S$1500,MATCH(MAX(COUNTIF($S$2:$S$1500,S806)),COUNTIF($S$2:$S$1500,$S$2:$S$1500),0)),S806)</f>
        <v>Credit Card</v>
      </c>
      <c r="W806" s="7" cm="1">
        <f t="array" ref="W806">IF(OR(TRIM(K806)="",TRIM(K806)="-"), MEDIAN(IF($E$2:$E$1500=E806,$K$2:$K$1500)),  VALUE(SUBSTITUTE(SUBSTITUTE(SUBSTITUTE(K806,"Rs. ",""),"₹",""),",","")))</f>
        <v>9503</v>
      </c>
      <c r="X806" s="8">
        <f t="shared" si="128"/>
        <v>0</v>
      </c>
      <c r="Y806" s="7">
        <f t="shared" si="129"/>
        <v>9503</v>
      </c>
      <c r="Z806" s="9" t="str">
        <f t="shared" si="121"/>
        <v>SENIOR</v>
      </c>
    </row>
    <row r="807" spans="1:26" x14ac:dyDescent="0.3">
      <c r="A807" s="5" t="s">
        <v>1737</v>
      </c>
      <c r="B807" s="5" t="s">
        <v>14</v>
      </c>
      <c r="C807" s="5" t="s">
        <v>60</v>
      </c>
      <c r="D807" s="5" t="s">
        <v>55</v>
      </c>
      <c r="E807" s="5" t="s">
        <v>93</v>
      </c>
      <c r="F807" s="5" t="s">
        <v>207</v>
      </c>
      <c r="G807" s="5" t="s">
        <v>62</v>
      </c>
      <c r="H807" s="5">
        <v>55</v>
      </c>
      <c r="I807" s="5" t="s">
        <v>20</v>
      </c>
      <c r="J807" s="34" t="s">
        <v>590</v>
      </c>
      <c r="K807" s="31">
        <v>38268</v>
      </c>
      <c r="L807" s="5" t="s">
        <v>83</v>
      </c>
      <c r="M807" s="32" t="s">
        <v>130</v>
      </c>
      <c r="N807" s="6">
        <f t="shared" si="122"/>
        <v>0</v>
      </c>
      <c r="O807" s="4" t="s">
        <v>207</v>
      </c>
      <c r="P807" s="5" t="str">
        <f t="shared" si="123"/>
        <v>Hyderabad</v>
      </c>
      <c r="Q807" s="5" t="str">
        <f t="shared" si="124"/>
        <v>Nephrology</v>
      </c>
      <c r="R807" s="6" t="str">
        <f t="shared" si="125"/>
        <v>Max_Healthcare</v>
      </c>
      <c r="S807" s="6" t="str">
        <f t="shared" si="126"/>
        <v>Debit Card</v>
      </c>
      <c r="T807" s="6" t="str">
        <f t="shared" si="127"/>
        <v>Male</v>
      </c>
      <c r="U807" s="6" t="str">
        <f t="shared" si="130"/>
        <v>ICU</v>
      </c>
      <c r="V807" s="6" t="str" cm="1">
        <f t="array" ref="V807">IF(TRIM(S807)="",INDEX($S$2:$S$1500,MATCH(MAX(COUNTIF($S$2:$S$1500,S807)),COUNTIF($S$2:$S$1500,$S$2:$S$1500),0)),S807)</f>
        <v>Debit Card</v>
      </c>
      <c r="W807" s="7" cm="1">
        <f t="array" ref="W807">IF(OR(TRIM(K807)="",TRIM(K807)="-"), MEDIAN(IF($E$2:$E$1500=E807,$K$2:$K$1500)),  VALUE(SUBSTITUTE(SUBSTITUTE(SUBSTITUTE(K807,"Rs. ",""),"₹",""),",","")))</f>
        <v>38268</v>
      </c>
      <c r="X807" s="8">
        <f t="shared" si="128"/>
        <v>0</v>
      </c>
      <c r="Y807" s="7">
        <f t="shared" si="129"/>
        <v>38268</v>
      </c>
      <c r="Z807" s="9" t="str">
        <f t="shared" si="121"/>
        <v>ADULT</v>
      </c>
    </row>
    <row r="808" spans="1:26" x14ac:dyDescent="0.3">
      <c r="A808" s="5" t="s">
        <v>1738</v>
      </c>
      <c r="B808" s="5" t="s">
        <v>106</v>
      </c>
      <c r="C808" s="5" t="s">
        <v>107</v>
      </c>
      <c r="D808" s="5" t="s">
        <v>80</v>
      </c>
      <c r="E808" s="5" t="s">
        <v>37</v>
      </c>
      <c r="F808" s="5" t="s">
        <v>185</v>
      </c>
      <c r="G808" s="5" t="s">
        <v>49</v>
      </c>
      <c r="H808" s="5">
        <v>43</v>
      </c>
      <c r="I808" s="5" t="s">
        <v>40</v>
      </c>
      <c r="J808" s="34" t="s">
        <v>1001</v>
      </c>
      <c r="K808" s="31" t="s">
        <v>1739</v>
      </c>
      <c r="L808" s="5" t="s">
        <v>149</v>
      </c>
      <c r="M808" s="32" t="s">
        <v>713</v>
      </c>
      <c r="N808" s="6">
        <f t="shared" si="122"/>
        <v>30</v>
      </c>
      <c r="O808" s="4" t="s">
        <v>185</v>
      </c>
      <c r="P808" s="5" t="str">
        <f t="shared" si="123"/>
        <v>Ahmedabad</v>
      </c>
      <c r="Q808" s="5" t="str">
        <f t="shared" si="124"/>
        <v>Pediatrics</v>
      </c>
      <c r="R808" s="6" t="str">
        <f t="shared" si="125"/>
        <v>Aiims</v>
      </c>
      <c r="S808" s="6" t="str">
        <f t="shared" si="126"/>
        <v>Insurance</v>
      </c>
      <c r="T808" s="6" t="str">
        <f t="shared" si="127"/>
        <v>Female</v>
      </c>
      <c r="U808" s="6" t="str">
        <f t="shared" si="130"/>
        <v>General</v>
      </c>
      <c r="V808" s="6" t="str" cm="1">
        <f t="array" ref="V808">IF(TRIM(S808)="",INDEX($S$2:$S$1500,MATCH(MAX(COUNTIF($S$2:$S$1500,S808)),COUNTIF($S$2:$S$1500,$S$2:$S$1500),0)),S808)</f>
        <v>Insurance</v>
      </c>
      <c r="W808" s="7" cm="1">
        <f t="array" ref="W808">IF(OR(TRIM(K808)="",TRIM(K808)="-"), MEDIAN(IF($E$2:$E$1500=E808,$K$2:$K$1500)),  VALUE(SUBSTITUTE(SUBSTITUTE(SUBSTITUTE(K808,"Rs. ",""),"₹",""),",","")))</f>
        <v>17174</v>
      </c>
      <c r="X808" s="8">
        <f t="shared" si="128"/>
        <v>30</v>
      </c>
      <c r="Y808" s="7">
        <f t="shared" si="129"/>
        <v>12022</v>
      </c>
      <c r="Z808" s="9" t="str">
        <f t="shared" si="121"/>
        <v>ADULT</v>
      </c>
    </row>
    <row r="809" spans="1:26" x14ac:dyDescent="0.3">
      <c r="A809" s="5" t="s">
        <v>1740</v>
      </c>
      <c r="B809" s="5" t="s">
        <v>45</v>
      </c>
      <c r="C809" s="5" t="s">
        <v>46</v>
      </c>
      <c r="D809" s="5" t="s">
        <v>36</v>
      </c>
      <c r="E809" s="5" t="s">
        <v>67</v>
      </c>
      <c r="F809" s="5" t="s">
        <v>85</v>
      </c>
      <c r="G809" s="5" t="s">
        <v>19</v>
      </c>
      <c r="H809" s="5">
        <v>68</v>
      </c>
      <c r="I809" s="5" t="s">
        <v>40</v>
      </c>
      <c r="J809" s="34" t="s">
        <v>1741</v>
      </c>
      <c r="K809" s="31">
        <v>14802</v>
      </c>
      <c r="L809" s="5" t="s">
        <v>87</v>
      </c>
      <c r="M809" s="32">
        <v>5</v>
      </c>
      <c r="N809" s="6">
        <f t="shared" si="122"/>
        <v>5</v>
      </c>
      <c r="O809" s="4" t="s">
        <v>85</v>
      </c>
      <c r="P809" s="5" t="str">
        <f t="shared" si="123"/>
        <v>Chennai</v>
      </c>
      <c r="Q809" s="5" t="str">
        <f t="shared" si="124"/>
        <v>Neurology</v>
      </c>
      <c r="R809" s="6" t="str">
        <f t="shared" si="125"/>
        <v>Fortis</v>
      </c>
      <c r="S809" s="6" t="str">
        <f t="shared" si="126"/>
        <v>Credit Card</v>
      </c>
      <c r="T809" s="6" t="str">
        <f t="shared" si="127"/>
        <v>Female</v>
      </c>
      <c r="U809" s="6" t="str">
        <f t="shared" si="130"/>
        <v>General</v>
      </c>
      <c r="V809" s="6" t="str" cm="1">
        <f t="array" ref="V809">IF(TRIM(S809)="",INDEX($S$2:$S$1500,MATCH(MAX(COUNTIF($S$2:$S$1500,S809)),COUNTIF($S$2:$S$1500,$S$2:$S$1500),0)),S809)</f>
        <v>Credit Card</v>
      </c>
      <c r="W809" s="7" cm="1">
        <f t="array" ref="W809">IF(OR(TRIM(K809)="",TRIM(K809)="-"), MEDIAN(IF($E$2:$E$1500=E809,$K$2:$K$1500)),  VALUE(SUBSTITUTE(SUBSTITUTE(SUBSTITUTE(K809,"Rs. ",""),"₹",""),",","")))</f>
        <v>14802</v>
      </c>
      <c r="X809" s="8">
        <f t="shared" si="128"/>
        <v>5</v>
      </c>
      <c r="Y809" s="7">
        <f t="shared" si="129"/>
        <v>14062</v>
      </c>
      <c r="Z809" s="9" t="str">
        <f t="shared" si="121"/>
        <v>SENIOR</v>
      </c>
    </row>
    <row r="810" spans="1:26" x14ac:dyDescent="0.3">
      <c r="A810" s="5" t="s">
        <v>1742</v>
      </c>
      <c r="B810" s="5" t="s">
        <v>117</v>
      </c>
      <c r="C810" s="5" t="s">
        <v>127</v>
      </c>
      <c r="D810" s="5" t="s">
        <v>66</v>
      </c>
      <c r="E810" s="5" t="s">
        <v>99</v>
      </c>
      <c r="F810" s="5" t="s">
        <v>151</v>
      </c>
      <c r="G810" s="5" t="s">
        <v>49</v>
      </c>
      <c r="H810" s="5">
        <v>68</v>
      </c>
      <c r="I810" s="5" t="s">
        <v>20</v>
      </c>
      <c r="J810" s="34" t="s">
        <v>1271</v>
      </c>
      <c r="K810" s="31">
        <v>4678</v>
      </c>
      <c r="L810" s="5" t="s">
        <v>115</v>
      </c>
      <c r="M810" s="32">
        <v>0</v>
      </c>
      <c r="N810" s="6">
        <f t="shared" si="122"/>
        <v>0</v>
      </c>
      <c r="O810" s="4" t="s">
        <v>151</v>
      </c>
      <c r="P810" s="5" t="str">
        <f t="shared" si="123"/>
        <v>Kolkata</v>
      </c>
      <c r="Q810" s="5" t="str">
        <f t="shared" si="124"/>
        <v>Ent</v>
      </c>
      <c r="R810" s="6" t="str">
        <f t="shared" si="125"/>
        <v>Manipal</v>
      </c>
      <c r="S810" s="6" t="str">
        <f t="shared" si="126"/>
        <v>Cash</v>
      </c>
      <c r="T810" s="6" t="str">
        <f t="shared" si="127"/>
        <v>Male</v>
      </c>
      <c r="U810" s="6" t="str">
        <f t="shared" si="130"/>
        <v>General</v>
      </c>
      <c r="V810" s="6" t="str" cm="1">
        <f t="array" ref="V810">IF(TRIM(S810)="",INDEX($S$2:$S$1500,MATCH(MAX(COUNTIF($S$2:$S$1500,S810)),COUNTIF($S$2:$S$1500,$S$2:$S$1500),0)),S810)</f>
        <v>Cash</v>
      </c>
      <c r="W810" s="7" cm="1">
        <f t="array" ref="W810">IF(OR(TRIM(K810)="",TRIM(K810)="-"), MEDIAN(IF($E$2:$E$1500=E810,$K$2:$K$1500)),  VALUE(SUBSTITUTE(SUBSTITUTE(SUBSTITUTE(K810,"Rs. ",""),"₹",""),",","")))</f>
        <v>4678</v>
      </c>
      <c r="X810" s="8">
        <f t="shared" si="128"/>
        <v>0</v>
      </c>
      <c r="Y810" s="7">
        <f t="shared" si="129"/>
        <v>4678</v>
      </c>
      <c r="Z810" s="9" t="str">
        <f t="shared" si="121"/>
        <v>SENIOR</v>
      </c>
    </row>
    <row r="811" spans="1:26" x14ac:dyDescent="0.3">
      <c r="A811" s="5" t="s">
        <v>1743</v>
      </c>
      <c r="B811" s="5" t="s">
        <v>106</v>
      </c>
      <c r="C811" s="5" t="s">
        <v>307</v>
      </c>
      <c r="D811" s="5" t="s">
        <v>36</v>
      </c>
      <c r="E811" s="5" t="s">
        <v>47</v>
      </c>
      <c r="F811" s="5" t="s">
        <v>175</v>
      </c>
      <c r="G811" s="5" t="s">
        <v>69</v>
      </c>
      <c r="H811" s="5">
        <v>15</v>
      </c>
      <c r="I811" s="5" t="s">
        <v>70</v>
      </c>
      <c r="J811" s="34" t="s">
        <v>1685</v>
      </c>
      <c r="K811" s="31">
        <v>85981</v>
      </c>
      <c r="L811" s="5" t="s">
        <v>52</v>
      </c>
      <c r="M811" s="32" t="s">
        <v>130</v>
      </c>
      <c r="N811" s="6">
        <f t="shared" si="122"/>
        <v>0</v>
      </c>
      <c r="O811" s="4" t="s">
        <v>175</v>
      </c>
      <c r="P811" s="5" t="str">
        <f t="shared" si="123"/>
        <v>Chennai</v>
      </c>
      <c r="Q811" s="5" t="str">
        <f t="shared" si="124"/>
        <v>Gastroenterology</v>
      </c>
      <c r="R811" s="6" t="str">
        <f t="shared" si="125"/>
        <v>Aiims</v>
      </c>
      <c r="S811" s="6" t="str">
        <f t="shared" si="126"/>
        <v>Credit Card</v>
      </c>
      <c r="T811" s="6" t="str">
        <f t="shared" si="127"/>
        <v>Female</v>
      </c>
      <c r="U811" s="6" t="str">
        <f t="shared" si="130"/>
        <v>ICU</v>
      </c>
      <c r="V811" s="6" t="str" cm="1">
        <f t="array" ref="V811">IF(TRIM(S811)="",INDEX($S$2:$S$1500,MATCH(MAX(COUNTIF($S$2:$S$1500,S811)),COUNTIF($S$2:$S$1500,$S$2:$S$1500),0)),S811)</f>
        <v>Credit Card</v>
      </c>
      <c r="W811" s="7" cm="1">
        <f t="array" ref="W811">IF(OR(TRIM(K811)="",TRIM(K811)="-"), MEDIAN(IF($E$2:$E$1500=E811,$K$2:$K$1500)),  VALUE(SUBSTITUTE(SUBSTITUTE(SUBSTITUTE(K811,"Rs. ",""),"₹",""),",","")))</f>
        <v>85981</v>
      </c>
      <c r="X811" s="8">
        <f t="shared" si="128"/>
        <v>0</v>
      </c>
      <c r="Y811" s="7">
        <f t="shared" si="129"/>
        <v>85981</v>
      </c>
      <c r="Z811" s="9" t="str">
        <f t="shared" si="121"/>
        <v>TEEN</v>
      </c>
    </row>
    <row r="812" spans="1:26" x14ac:dyDescent="0.3">
      <c r="A812" s="5" t="s">
        <v>1744</v>
      </c>
      <c r="B812" s="5" t="s">
        <v>45</v>
      </c>
      <c r="C812" s="5" t="s">
        <v>46</v>
      </c>
      <c r="D812" s="5" t="s">
        <v>27</v>
      </c>
      <c r="E812" s="5" t="s">
        <v>74</v>
      </c>
      <c r="F812" s="5" t="s">
        <v>147</v>
      </c>
      <c r="G812" s="5" t="s">
        <v>30</v>
      </c>
      <c r="H812" s="5">
        <v>77</v>
      </c>
      <c r="I812" s="5" t="s">
        <v>20</v>
      </c>
      <c r="J812" s="34" t="s">
        <v>1745</v>
      </c>
      <c r="K812" s="31" t="s">
        <v>1746</v>
      </c>
      <c r="L812" s="5" t="s">
        <v>42</v>
      </c>
      <c r="M812" s="32">
        <v>18</v>
      </c>
      <c r="N812" s="6">
        <f t="shared" si="122"/>
        <v>18</v>
      </c>
      <c r="O812" s="4" t="s">
        <v>147</v>
      </c>
      <c r="P812" s="5" t="str">
        <f t="shared" si="123"/>
        <v>Mumbai</v>
      </c>
      <c r="Q812" s="5" t="str">
        <f t="shared" si="124"/>
        <v>General Medicine</v>
      </c>
      <c r="R812" s="6" t="str">
        <f t="shared" si="125"/>
        <v>Fortis</v>
      </c>
      <c r="S812" s="6" t="str">
        <f t="shared" si="126"/>
        <v>Insurance</v>
      </c>
      <c r="T812" s="6" t="str">
        <f t="shared" si="127"/>
        <v>Male</v>
      </c>
      <c r="U812" s="6" t="str">
        <f t="shared" si="130"/>
        <v>General</v>
      </c>
      <c r="V812" s="6" t="str" cm="1">
        <f t="array" ref="V812">IF(TRIM(S812)="",INDEX($S$2:$S$1500,MATCH(MAX(COUNTIF($S$2:$S$1500,S812)),COUNTIF($S$2:$S$1500,$S$2:$S$1500),0)),S812)</f>
        <v>Insurance</v>
      </c>
      <c r="W812" s="7" cm="1">
        <f t="array" ref="W812">IF(OR(TRIM(K812)="",TRIM(K812)="-"), MEDIAN(IF($E$2:$E$1500=E812,$K$2:$K$1500)),  VALUE(SUBSTITUTE(SUBSTITUTE(SUBSTITUTE(K812,"Rs. ",""),"₹",""),",","")))</f>
        <v>13050</v>
      </c>
      <c r="X812" s="8">
        <f t="shared" si="128"/>
        <v>18</v>
      </c>
      <c r="Y812" s="7">
        <f t="shared" si="129"/>
        <v>10701</v>
      </c>
      <c r="Z812" s="9" t="str">
        <f t="shared" si="121"/>
        <v>SENIOR</v>
      </c>
    </row>
    <row r="813" spans="1:26" x14ac:dyDescent="0.3">
      <c r="A813" s="5" t="s">
        <v>1747</v>
      </c>
      <c r="B813" s="5" t="s">
        <v>106</v>
      </c>
      <c r="C813" s="5" t="s">
        <v>307</v>
      </c>
      <c r="D813" s="5" t="s">
        <v>189</v>
      </c>
      <c r="E813" s="5" t="s">
        <v>47</v>
      </c>
      <c r="F813" s="5" t="s">
        <v>175</v>
      </c>
      <c r="G813" s="5"/>
      <c r="H813" s="5">
        <v>33</v>
      </c>
      <c r="I813" s="5" t="s">
        <v>40</v>
      </c>
      <c r="J813" s="34" t="s">
        <v>1288</v>
      </c>
      <c r="K813" s="31" t="s">
        <v>1748</v>
      </c>
      <c r="L813" s="5" t="s">
        <v>58</v>
      </c>
      <c r="M813" s="32">
        <v>0</v>
      </c>
      <c r="N813" s="6">
        <f t="shared" si="122"/>
        <v>0</v>
      </c>
      <c r="O813" s="4" t="s">
        <v>175</v>
      </c>
      <c r="P813" s="5" t="str">
        <f t="shared" si="123"/>
        <v>Delhi</v>
      </c>
      <c r="Q813" s="5" t="str">
        <f t="shared" si="124"/>
        <v>Gastroenterology</v>
      </c>
      <c r="R813" s="6" t="str">
        <f t="shared" si="125"/>
        <v>Aiims</v>
      </c>
      <c r="S813" s="6" t="str">
        <f t="shared" si="126"/>
        <v>UPI</v>
      </c>
      <c r="T813" s="6" t="str">
        <f t="shared" si="127"/>
        <v>Female</v>
      </c>
      <c r="U813" s="6" t="str">
        <f t="shared" si="130"/>
        <v>Unknown</v>
      </c>
      <c r="V813" s="6" t="str" cm="1">
        <f t="array" ref="V813">IF(TRIM(S813)="",INDEX($S$2:$S$1500,MATCH(MAX(COUNTIF($S$2:$S$1500,S813)),COUNTIF($S$2:$S$1500,$S$2:$S$1500),0)),S813)</f>
        <v>UPI</v>
      </c>
      <c r="W813" s="7" cm="1">
        <f t="array" ref="W813">IF(OR(TRIM(K813)="",TRIM(K813)="-"), MEDIAN(IF($E$2:$E$1500=E813,$K$2:$K$1500)),  VALUE(SUBSTITUTE(SUBSTITUTE(SUBSTITUTE(K813,"Rs. ",""),"₹",""),",","")))</f>
        <v>21011</v>
      </c>
      <c r="X813" s="8">
        <f t="shared" si="128"/>
        <v>0</v>
      </c>
      <c r="Y813" s="7">
        <f t="shared" si="129"/>
        <v>21011</v>
      </c>
      <c r="Z813" s="9" t="str">
        <f t="shared" si="121"/>
        <v>ADULT</v>
      </c>
    </row>
    <row r="814" spans="1:26" x14ac:dyDescent="0.3">
      <c r="A814" s="5" t="s">
        <v>1749</v>
      </c>
      <c r="B814" s="5" t="s">
        <v>78</v>
      </c>
      <c r="C814" s="5" t="s">
        <v>203</v>
      </c>
      <c r="D814" s="5" t="s">
        <v>16</v>
      </c>
      <c r="E814" s="5" t="s">
        <v>99</v>
      </c>
      <c r="F814" s="5" t="s">
        <v>372</v>
      </c>
      <c r="G814" s="5" t="s">
        <v>30</v>
      </c>
      <c r="H814" s="5">
        <v>26</v>
      </c>
      <c r="I814" s="5" t="s">
        <v>40</v>
      </c>
      <c r="J814" s="34" t="s">
        <v>1750</v>
      </c>
      <c r="K814" s="31">
        <v>14574</v>
      </c>
      <c r="L814" s="5" t="s">
        <v>34</v>
      </c>
      <c r="M814" s="32"/>
      <c r="N814" s="6">
        <f t="shared" si="122"/>
        <v>0</v>
      </c>
      <c r="O814" s="4" t="s">
        <v>372</v>
      </c>
      <c r="P814" s="5" t="str">
        <f t="shared" si="123"/>
        <v>Bangalore</v>
      </c>
      <c r="Q814" s="5" t="str">
        <f t="shared" si="124"/>
        <v>Ent</v>
      </c>
      <c r="R814" s="6" t="str">
        <f t="shared" si="125"/>
        <v>Apollo</v>
      </c>
      <c r="S814" s="6" t="str">
        <f t="shared" si="126"/>
        <v>Cash</v>
      </c>
      <c r="T814" s="6" t="str">
        <f t="shared" si="127"/>
        <v>Female</v>
      </c>
      <c r="U814" s="6" t="str">
        <f t="shared" si="130"/>
        <v>General</v>
      </c>
      <c r="V814" s="6" t="str" cm="1">
        <f t="array" ref="V814">IF(TRIM(S814)="",INDEX($S$2:$S$1500,MATCH(MAX(COUNTIF($S$2:$S$1500,S814)),COUNTIF($S$2:$S$1500,$S$2:$S$1500),0)),S814)</f>
        <v>Cash</v>
      </c>
      <c r="W814" s="7" cm="1">
        <f t="array" ref="W814">IF(OR(TRIM(K814)="",TRIM(K814)="-"), MEDIAN(IF($E$2:$E$1500=E814,$K$2:$K$1500)),  VALUE(SUBSTITUTE(SUBSTITUTE(SUBSTITUTE(K814,"Rs. ",""),"₹",""),",","")))</f>
        <v>14574</v>
      </c>
      <c r="X814" s="8">
        <f t="shared" si="128"/>
        <v>0</v>
      </c>
      <c r="Y814" s="7">
        <f t="shared" si="129"/>
        <v>14574</v>
      </c>
      <c r="Z814" s="9" t="str">
        <f t="shared" si="121"/>
        <v>ADULT</v>
      </c>
    </row>
    <row r="815" spans="1:26" x14ac:dyDescent="0.3">
      <c r="A815" s="5" t="s">
        <v>1751</v>
      </c>
      <c r="B815" s="5" t="s">
        <v>45</v>
      </c>
      <c r="C815" s="5" t="s">
        <v>334</v>
      </c>
      <c r="D815" s="5" t="s">
        <v>36</v>
      </c>
      <c r="E815" s="5" t="s">
        <v>108</v>
      </c>
      <c r="F815" s="5" t="s">
        <v>109</v>
      </c>
      <c r="G815" s="5" t="s">
        <v>30</v>
      </c>
      <c r="H815" s="5">
        <v>13</v>
      </c>
      <c r="I815" s="5" t="s">
        <v>20</v>
      </c>
      <c r="J815" s="34" t="s">
        <v>866</v>
      </c>
      <c r="K815" s="31">
        <v>3878</v>
      </c>
      <c r="L815" s="5" t="s">
        <v>167</v>
      </c>
      <c r="M815" s="32">
        <v>30</v>
      </c>
      <c r="N815" s="6">
        <f t="shared" si="122"/>
        <v>30</v>
      </c>
      <c r="O815" s="4" t="s">
        <v>109</v>
      </c>
      <c r="P815" s="5" t="str">
        <f t="shared" si="123"/>
        <v>Chennai</v>
      </c>
      <c r="Q815" s="5" t="str">
        <f t="shared" si="124"/>
        <v>Orthopedics</v>
      </c>
      <c r="R815" s="6" t="str">
        <f t="shared" si="125"/>
        <v>Fortis</v>
      </c>
      <c r="S815" s="6" t="str">
        <f t="shared" si="126"/>
        <v>Insurance</v>
      </c>
      <c r="T815" s="6" t="str">
        <f t="shared" si="127"/>
        <v>Male</v>
      </c>
      <c r="U815" s="6" t="str">
        <f t="shared" si="130"/>
        <v>General</v>
      </c>
      <c r="V815" s="6" t="str" cm="1">
        <f t="array" ref="V815">IF(TRIM(S815)="",INDEX($S$2:$S$1500,MATCH(MAX(COUNTIF($S$2:$S$1500,S815)),COUNTIF($S$2:$S$1500,$S$2:$S$1500),0)),S815)</f>
        <v>Insurance</v>
      </c>
      <c r="W815" s="7" cm="1">
        <f t="array" ref="W815">IF(OR(TRIM(K815)="",TRIM(K815)="-"), MEDIAN(IF($E$2:$E$1500=E815,$K$2:$K$1500)),  VALUE(SUBSTITUTE(SUBSTITUTE(SUBSTITUTE(K815,"Rs. ",""),"₹",""),",","")))</f>
        <v>3878</v>
      </c>
      <c r="X815" s="8">
        <f t="shared" si="128"/>
        <v>30</v>
      </c>
      <c r="Y815" s="7">
        <f t="shared" si="129"/>
        <v>2715</v>
      </c>
      <c r="Z815" s="9" t="str">
        <f t="shared" si="121"/>
        <v>TEEN</v>
      </c>
    </row>
    <row r="816" spans="1:26" x14ac:dyDescent="0.3">
      <c r="A816" s="5" t="s">
        <v>1752</v>
      </c>
      <c r="B816" s="5" t="s">
        <v>14</v>
      </c>
      <c r="C816" s="5" t="s">
        <v>60</v>
      </c>
      <c r="D816" s="5" t="s">
        <v>27</v>
      </c>
      <c r="E816" s="5" t="s">
        <v>164</v>
      </c>
      <c r="F816" s="5" t="s">
        <v>219</v>
      </c>
      <c r="G816" s="5" t="s">
        <v>30</v>
      </c>
      <c r="H816" s="5">
        <v>39</v>
      </c>
      <c r="I816" s="5" t="s">
        <v>70</v>
      </c>
      <c r="J816" s="34" t="s">
        <v>449</v>
      </c>
      <c r="K816" s="31">
        <v>11406</v>
      </c>
      <c r="L816" s="5" t="s">
        <v>149</v>
      </c>
      <c r="M816" s="32">
        <v>25</v>
      </c>
      <c r="N816" s="6">
        <f t="shared" si="122"/>
        <v>25</v>
      </c>
      <c r="O816" s="4" t="s">
        <v>219</v>
      </c>
      <c r="P816" s="5" t="str">
        <f t="shared" si="123"/>
        <v>Mumbai</v>
      </c>
      <c r="Q816" s="5" t="str">
        <f t="shared" si="124"/>
        <v>Cardiology</v>
      </c>
      <c r="R816" s="6" t="str">
        <f t="shared" si="125"/>
        <v>Max_Healthcare</v>
      </c>
      <c r="S816" s="6" t="str">
        <f t="shared" si="126"/>
        <v>Insurance</v>
      </c>
      <c r="T816" s="6" t="str">
        <f t="shared" si="127"/>
        <v>Female</v>
      </c>
      <c r="U816" s="6" t="str">
        <f t="shared" si="130"/>
        <v>General</v>
      </c>
      <c r="V816" s="6" t="str" cm="1">
        <f t="array" ref="V816">IF(TRIM(S816)="",INDEX($S$2:$S$1500,MATCH(MAX(COUNTIF($S$2:$S$1500,S816)),COUNTIF($S$2:$S$1500,$S$2:$S$1500),0)),S816)</f>
        <v>Insurance</v>
      </c>
      <c r="W816" s="7" cm="1">
        <f t="array" ref="W816">IF(OR(TRIM(K816)="",TRIM(K816)="-"), MEDIAN(IF($E$2:$E$1500=E816,$K$2:$K$1500)),  VALUE(SUBSTITUTE(SUBSTITUTE(SUBSTITUTE(K816,"Rs. ",""),"₹",""),",","")))</f>
        <v>11406</v>
      </c>
      <c r="X816" s="8">
        <f t="shared" si="128"/>
        <v>25</v>
      </c>
      <c r="Y816" s="7">
        <f t="shared" si="129"/>
        <v>8555</v>
      </c>
      <c r="Z816" s="9" t="str">
        <f t="shared" si="121"/>
        <v>ADULT</v>
      </c>
    </row>
    <row r="817" spans="1:26" x14ac:dyDescent="0.3">
      <c r="A817" s="5" t="s">
        <v>1753</v>
      </c>
      <c r="B817" s="5" t="s">
        <v>14</v>
      </c>
      <c r="C817" s="5" t="s">
        <v>15</v>
      </c>
      <c r="D817" s="5" t="s">
        <v>16</v>
      </c>
      <c r="E817" s="5" t="s">
        <v>99</v>
      </c>
      <c r="F817" s="5" t="s">
        <v>151</v>
      </c>
      <c r="G817" s="5"/>
      <c r="H817" s="5">
        <v>79</v>
      </c>
      <c r="I817" s="5" t="s">
        <v>20</v>
      </c>
      <c r="J817" s="34" t="s">
        <v>1128</v>
      </c>
      <c r="K817" s="31">
        <v>49467</v>
      </c>
      <c r="L817" s="5" t="s">
        <v>87</v>
      </c>
      <c r="M817" s="32"/>
      <c r="N817" s="6">
        <f t="shared" si="122"/>
        <v>0</v>
      </c>
      <c r="O817" s="4" t="s">
        <v>151</v>
      </c>
      <c r="P817" s="5" t="str">
        <f t="shared" si="123"/>
        <v>Bangalore</v>
      </c>
      <c r="Q817" s="5" t="str">
        <f t="shared" si="124"/>
        <v>Ent</v>
      </c>
      <c r="R817" s="6" t="str">
        <f t="shared" si="125"/>
        <v>Max_Healthcare</v>
      </c>
      <c r="S817" s="6" t="str">
        <f t="shared" si="126"/>
        <v>Credit Card</v>
      </c>
      <c r="T817" s="6" t="str">
        <f t="shared" si="127"/>
        <v>Male</v>
      </c>
      <c r="U817" s="6" t="str">
        <f t="shared" si="130"/>
        <v>Unknown</v>
      </c>
      <c r="V817" s="6" t="str" cm="1">
        <f t="array" ref="V817">IF(TRIM(S817)="",INDEX($S$2:$S$1500,MATCH(MAX(COUNTIF($S$2:$S$1500,S817)),COUNTIF($S$2:$S$1500,$S$2:$S$1500),0)),S817)</f>
        <v>Credit Card</v>
      </c>
      <c r="W817" s="7" cm="1">
        <f t="array" ref="W817">IF(OR(TRIM(K817)="",TRIM(K817)="-"), MEDIAN(IF($E$2:$E$1500=E817,$K$2:$K$1500)),  VALUE(SUBSTITUTE(SUBSTITUTE(SUBSTITUTE(K817,"Rs. ",""),"₹",""),",","")))</f>
        <v>49467</v>
      </c>
      <c r="X817" s="8">
        <f t="shared" si="128"/>
        <v>0</v>
      </c>
      <c r="Y817" s="7">
        <f t="shared" si="129"/>
        <v>49467</v>
      </c>
      <c r="Z817" s="9" t="str">
        <f t="shared" si="121"/>
        <v>SENIOR</v>
      </c>
    </row>
    <row r="818" spans="1:26" x14ac:dyDescent="0.3">
      <c r="A818" s="5" t="s">
        <v>1754</v>
      </c>
      <c r="B818" s="5" t="s">
        <v>45</v>
      </c>
      <c r="C818" s="5" t="s">
        <v>46</v>
      </c>
      <c r="D818" s="5" t="s">
        <v>61</v>
      </c>
      <c r="E818" s="5" t="s">
        <v>74</v>
      </c>
      <c r="F818" s="5" t="s">
        <v>192</v>
      </c>
      <c r="G818" s="5" t="s">
        <v>30</v>
      </c>
      <c r="H818" s="5">
        <v>52</v>
      </c>
      <c r="I818" s="5" t="s">
        <v>40</v>
      </c>
      <c r="J818" s="34" t="s">
        <v>912</v>
      </c>
      <c r="K818" s="31" t="s">
        <v>1755</v>
      </c>
      <c r="L818" s="5" t="s">
        <v>211</v>
      </c>
      <c r="M818" s="32">
        <v>10</v>
      </c>
      <c r="N818" s="6">
        <f t="shared" si="122"/>
        <v>10</v>
      </c>
      <c r="O818" s="4" t="s">
        <v>192</v>
      </c>
      <c r="P818" s="5" t="str">
        <f t="shared" si="123"/>
        <v>Pune</v>
      </c>
      <c r="Q818" s="5" t="str">
        <f t="shared" si="124"/>
        <v>General Medicine</v>
      </c>
      <c r="R818" s="6" t="str">
        <f t="shared" si="125"/>
        <v>Fortis</v>
      </c>
      <c r="S818" s="6" t="str">
        <f t="shared" si="126"/>
        <v>Credit Card</v>
      </c>
      <c r="T818" s="6" t="str">
        <f t="shared" si="127"/>
        <v>Female</v>
      </c>
      <c r="U818" s="6" t="str">
        <f t="shared" si="130"/>
        <v>General</v>
      </c>
      <c r="V818" s="6" t="str" cm="1">
        <f t="array" ref="V818">IF(TRIM(S818)="",INDEX($S$2:$S$1500,MATCH(MAX(COUNTIF($S$2:$S$1500,S818)),COUNTIF($S$2:$S$1500,$S$2:$S$1500),0)),S818)</f>
        <v>Credit Card</v>
      </c>
      <c r="W818" s="7" cm="1">
        <f t="array" ref="W818">IF(OR(TRIM(K818)="",TRIM(K818)="-"), MEDIAN(IF($E$2:$E$1500=E818,$K$2:$K$1500)),  VALUE(SUBSTITUTE(SUBSTITUTE(SUBSTITUTE(K818,"Rs. ",""),"₹",""),",","")))</f>
        <v>6598</v>
      </c>
      <c r="X818" s="8">
        <f t="shared" si="128"/>
        <v>10</v>
      </c>
      <c r="Y818" s="7">
        <f t="shared" si="129"/>
        <v>5938</v>
      </c>
      <c r="Z818" s="9" t="str">
        <f t="shared" si="121"/>
        <v>ADULT</v>
      </c>
    </row>
    <row r="819" spans="1:26" x14ac:dyDescent="0.3">
      <c r="A819" s="5" t="s">
        <v>1756</v>
      </c>
      <c r="B819" s="5" t="s">
        <v>78</v>
      </c>
      <c r="C819" s="5" t="s">
        <v>203</v>
      </c>
      <c r="D819" s="5" t="s">
        <v>61</v>
      </c>
      <c r="E819" s="5" t="s">
        <v>37</v>
      </c>
      <c r="F819" s="5" t="s">
        <v>185</v>
      </c>
      <c r="G819" s="5" t="s">
        <v>62</v>
      </c>
      <c r="H819" s="5">
        <v>57</v>
      </c>
      <c r="I819" s="5" t="s">
        <v>70</v>
      </c>
      <c r="J819" s="34" t="s">
        <v>402</v>
      </c>
      <c r="K819" s="31" t="s">
        <v>1757</v>
      </c>
      <c r="L819" s="5" t="s">
        <v>236</v>
      </c>
      <c r="M819" s="32"/>
      <c r="N819" s="6">
        <f t="shared" si="122"/>
        <v>0</v>
      </c>
      <c r="O819" s="4" t="s">
        <v>185</v>
      </c>
      <c r="P819" s="5" t="str">
        <f t="shared" si="123"/>
        <v>Pune</v>
      </c>
      <c r="Q819" s="5" t="str">
        <f t="shared" si="124"/>
        <v>Pediatrics</v>
      </c>
      <c r="R819" s="6" t="str">
        <f t="shared" si="125"/>
        <v>Apollo</v>
      </c>
      <c r="S819" s="6" t="str">
        <f t="shared" si="126"/>
        <v>Debit Card</v>
      </c>
      <c r="T819" s="6" t="str">
        <f t="shared" si="127"/>
        <v>Female</v>
      </c>
      <c r="U819" s="6" t="str">
        <f t="shared" si="130"/>
        <v>ICU</v>
      </c>
      <c r="V819" s="6" t="str" cm="1">
        <f t="array" ref="V819">IF(TRIM(S819)="",INDEX($S$2:$S$1500,MATCH(MAX(COUNTIF($S$2:$S$1500,S819)),COUNTIF($S$2:$S$1500,$S$2:$S$1500),0)),S819)</f>
        <v>Debit Card</v>
      </c>
      <c r="W819" s="7" cm="1">
        <f t="array" ref="W819">IF(OR(TRIM(K819)="",TRIM(K819)="-"), MEDIAN(IF($E$2:$E$1500=E819,$K$2:$K$1500)),  VALUE(SUBSTITUTE(SUBSTITUTE(SUBSTITUTE(K819,"Rs. ",""),"₹",""),",","")))</f>
        <v>83383</v>
      </c>
      <c r="X819" s="8">
        <f t="shared" si="128"/>
        <v>0</v>
      </c>
      <c r="Y819" s="7">
        <f t="shared" si="129"/>
        <v>83383</v>
      </c>
      <c r="Z819" s="9" t="str">
        <f t="shared" si="121"/>
        <v>ADULT</v>
      </c>
    </row>
    <row r="820" spans="1:26" x14ac:dyDescent="0.3">
      <c r="A820" s="5" t="s">
        <v>1758</v>
      </c>
      <c r="B820" s="5" t="s">
        <v>117</v>
      </c>
      <c r="C820" s="5" t="s">
        <v>182</v>
      </c>
      <c r="D820" s="5" t="s">
        <v>27</v>
      </c>
      <c r="E820" s="5" t="s">
        <v>93</v>
      </c>
      <c r="F820" s="5" t="s">
        <v>144</v>
      </c>
      <c r="G820" s="5" t="s">
        <v>39</v>
      </c>
      <c r="H820" s="5">
        <v>77</v>
      </c>
      <c r="I820" s="5" t="s">
        <v>40</v>
      </c>
      <c r="J820" s="34" t="s">
        <v>1759</v>
      </c>
      <c r="K820" s="31">
        <v>8453</v>
      </c>
      <c r="L820" s="5" t="s">
        <v>34</v>
      </c>
      <c r="M820" s="32" t="s">
        <v>76</v>
      </c>
      <c r="N820" s="6">
        <f t="shared" si="122"/>
        <v>10</v>
      </c>
      <c r="O820" s="4" t="s">
        <v>144</v>
      </c>
      <c r="P820" s="5" t="str">
        <f t="shared" si="123"/>
        <v>Mumbai</v>
      </c>
      <c r="Q820" s="5" t="str">
        <f t="shared" si="124"/>
        <v>Nephrology</v>
      </c>
      <c r="R820" s="6" t="str">
        <f t="shared" si="125"/>
        <v>Manipal</v>
      </c>
      <c r="S820" s="6" t="str">
        <f t="shared" si="126"/>
        <v>Cash</v>
      </c>
      <c r="T820" s="6" t="str">
        <f t="shared" si="127"/>
        <v>Female</v>
      </c>
      <c r="U820" s="6" t="str">
        <f t="shared" si="130"/>
        <v>General</v>
      </c>
      <c r="V820" s="6" t="str" cm="1">
        <f t="array" ref="V820">IF(TRIM(S820)="",INDEX($S$2:$S$1500,MATCH(MAX(COUNTIF($S$2:$S$1500,S820)),COUNTIF($S$2:$S$1500,$S$2:$S$1500),0)),S820)</f>
        <v>Cash</v>
      </c>
      <c r="W820" s="7" cm="1">
        <f t="array" ref="W820">IF(OR(TRIM(K820)="",TRIM(K820)="-"), MEDIAN(IF($E$2:$E$1500=E820,$K$2:$K$1500)),  VALUE(SUBSTITUTE(SUBSTITUTE(SUBSTITUTE(K820,"Rs. ",""),"₹",""),",","")))</f>
        <v>8453</v>
      </c>
      <c r="X820" s="8">
        <f t="shared" si="128"/>
        <v>10</v>
      </c>
      <c r="Y820" s="7">
        <f t="shared" si="129"/>
        <v>7608</v>
      </c>
      <c r="Z820" s="9" t="str">
        <f t="shared" si="121"/>
        <v>SENIOR</v>
      </c>
    </row>
    <row r="821" spans="1:26" x14ac:dyDescent="0.3">
      <c r="A821" s="5" t="s">
        <v>1760</v>
      </c>
      <c r="B821" s="5" t="s">
        <v>14</v>
      </c>
      <c r="C821" s="5" t="s">
        <v>60</v>
      </c>
      <c r="D821" s="5" t="s">
        <v>36</v>
      </c>
      <c r="E821" s="5" t="s">
        <v>93</v>
      </c>
      <c r="F821" s="5" t="s">
        <v>144</v>
      </c>
      <c r="G821" s="5"/>
      <c r="H821" s="5">
        <v>42</v>
      </c>
      <c r="I821" s="5" t="s">
        <v>70</v>
      </c>
      <c r="J821" s="34" t="s">
        <v>927</v>
      </c>
      <c r="K821" s="31">
        <v>54869</v>
      </c>
      <c r="L821" s="5" t="s">
        <v>42</v>
      </c>
      <c r="M821" s="32" t="s">
        <v>713</v>
      </c>
      <c r="N821" s="6">
        <f t="shared" si="122"/>
        <v>30</v>
      </c>
      <c r="O821" s="4" t="s">
        <v>144</v>
      </c>
      <c r="P821" s="5" t="str">
        <f t="shared" si="123"/>
        <v>Chennai</v>
      </c>
      <c r="Q821" s="5" t="str">
        <f t="shared" si="124"/>
        <v>Nephrology</v>
      </c>
      <c r="R821" s="6" t="str">
        <f t="shared" si="125"/>
        <v>Max_Healthcare</v>
      </c>
      <c r="S821" s="6" t="str">
        <f t="shared" si="126"/>
        <v>Insurance</v>
      </c>
      <c r="T821" s="6" t="str">
        <f t="shared" si="127"/>
        <v>Female</v>
      </c>
      <c r="U821" s="6" t="str">
        <f t="shared" si="130"/>
        <v>Unknown</v>
      </c>
      <c r="V821" s="6" t="str" cm="1">
        <f t="array" ref="V821">IF(TRIM(S821)="",INDEX($S$2:$S$1500,MATCH(MAX(COUNTIF($S$2:$S$1500,S821)),COUNTIF($S$2:$S$1500,$S$2:$S$1500),0)),S821)</f>
        <v>Insurance</v>
      </c>
      <c r="W821" s="7" cm="1">
        <f t="array" ref="W821">IF(OR(TRIM(K821)="",TRIM(K821)="-"), MEDIAN(IF($E$2:$E$1500=E821,$K$2:$K$1500)),  VALUE(SUBSTITUTE(SUBSTITUTE(SUBSTITUTE(K821,"Rs. ",""),"₹",""),",","")))</f>
        <v>54869</v>
      </c>
      <c r="X821" s="8">
        <f t="shared" si="128"/>
        <v>30</v>
      </c>
      <c r="Y821" s="7">
        <f t="shared" si="129"/>
        <v>38408</v>
      </c>
      <c r="Z821" s="9" t="str">
        <f t="shared" si="121"/>
        <v>ADULT</v>
      </c>
    </row>
    <row r="822" spans="1:26" x14ac:dyDescent="0.3">
      <c r="A822" s="5" t="s">
        <v>1761</v>
      </c>
      <c r="B822" s="5" t="s">
        <v>117</v>
      </c>
      <c r="C822" s="5" t="s">
        <v>182</v>
      </c>
      <c r="D822" s="5" t="s">
        <v>27</v>
      </c>
      <c r="E822" s="5" t="s">
        <v>99</v>
      </c>
      <c r="F822" s="5" t="s">
        <v>372</v>
      </c>
      <c r="G822" s="5" t="s">
        <v>39</v>
      </c>
      <c r="H822" s="5">
        <v>15</v>
      </c>
      <c r="I822" s="5" t="s">
        <v>40</v>
      </c>
      <c r="J822" s="34" t="s">
        <v>1762</v>
      </c>
      <c r="K822" s="31" t="s">
        <v>1763</v>
      </c>
      <c r="L822" s="5" t="s">
        <v>34</v>
      </c>
      <c r="M822" s="32">
        <v>0</v>
      </c>
      <c r="N822" s="6">
        <f t="shared" si="122"/>
        <v>0</v>
      </c>
      <c r="O822" s="4" t="s">
        <v>372</v>
      </c>
      <c r="P822" s="5" t="str">
        <f t="shared" si="123"/>
        <v>Mumbai</v>
      </c>
      <c r="Q822" s="5" t="str">
        <f t="shared" si="124"/>
        <v>Ent</v>
      </c>
      <c r="R822" s="6" t="str">
        <f t="shared" si="125"/>
        <v>Manipal</v>
      </c>
      <c r="S822" s="6" t="str">
        <f t="shared" si="126"/>
        <v>Cash</v>
      </c>
      <c r="T822" s="6" t="str">
        <f t="shared" si="127"/>
        <v>Female</v>
      </c>
      <c r="U822" s="6" t="str">
        <f t="shared" si="130"/>
        <v>General</v>
      </c>
      <c r="V822" s="6" t="str" cm="1">
        <f t="array" ref="V822">IF(TRIM(S822)="",INDEX($S$2:$S$1500,MATCH(MAX(COUNTIF($S$2:$S$1500,S822)),COUNTIF($S$2:$S$1500,$S$2:$S$1500),0)),S822)</f>
        <v>Cash</v>
      </c>
      <c r="W822" s="7" cm="1">
        <f t="array" ref="W822">IF(OR(TRIM(K822)="",TRIM(K822)="-"), MEDIAN(IF($E$2:$E$1500=E822,$K$2:$K$1500)),  VALUE(SUBSTITUTE(SUBSTITUTE(SUBSTITUTE(K822,"Rs. ",""),"₹",""),",","")))</f>
        <v>8615</v>
      </c>
      <c r="X822" s="8">
        <f t="shared" si="128"/>
        <v>0</v>
      </c>
      <c r="Y822" s="7">
        <f t="shared" si="129"/>
        <v>8615</v>
      </c>
      <c r="Z822" s="9" t="str">
        <f t="shared" si="121"/>
        <v>TEEN</v>
      </c>
    </row>
    <row r="823" spans="1:26" x14ac:dyDescent="0.3">
      <c r="A823" s="5" t="s">
        <v>1764</v>
      </c>
      <c r="B823" s="5" t="s">
        <v>106</v>
      </c>
      <c r="C823" s="5" t="s">
        <v>307</v>
      </c>
      <c r="D823" s="5" t="s">
        <v>189</v>
      </c>
      <c r="E823" s="5" t="s">
        <v>47</v>
      </c>
      <c r="F823" s="5" t="s">
        <v>48</v>
      </c>
      <c r="G823" s="5" t="s">
        <v>39</v>
      </c>
      <c r="H823" s="5">
        <v>13</v>
      </c>
      <c r="I823" s="5" t="s">
        <v>40</v>
      </c>
      <c r="J823" s="34" t="s">
        <v>694</v>
      </c>
      <c r="K823" s="31">
        <v>18313</v>
      </c>
      <c r="L823" s="5" t="s">
        <v>115</v>
      </c>
      <c r="M823" s="32">
        <v>0</v>
      </c>
      <c r="N823" s="6">
        <f t="shared" si="122"/>
        <v>0</v>
      </c>
      <c r="O823" s="4" t="s">
        <v>48</v>
      </c>
      <c r="P823" s="5" t="str">
        <f t="shared" si="123"/>
        <v>Delhi</v>
      </c>
      <c r="Q823" s="5" t="str">
        <f t="shared" si="124"/>
        <v>Gastroenterology</v>
      </c>
      <c r="R823" s="6" t="str">
        <f t="shared" si="125"/>
        <v>Aiims</v>
      </c>
      <c r="S823" s="6" t="str">
        <f t="shared" si="126"/>
        <v>Cash</v>
      </c>
      <c r="T823" s="6" t="str">
        <f t="shared" si="127"/>
        <v>Female</v>
      </c>
      <c r="U823" s="6" t="str">
        <f t="shared" si="130"/>
        <v>General</v>
      </c>
      <c r="V823" s="6" t="str" cm="1">
        <f t="array" ref="V823">IF(TRIM(S823)="",INDEX($S$2:$S$1500,MATCH(MAX(COUNTIF($S$2:$S$1500,S823)),COUNTIF($S$2:$S$1500,$S$2:$S$1500),0)),S823)</f>
        <v>Cash</v>
      </c>
      <c r="W823" s="7" cm="1">
        <f t="array" ref="W823">IF(OR(TRIM(K823)="",TRIM(K823)="-"), MEDIAN(IF($E$2:$E$1500=E823,$K$2:$K$1500)),  VALUE(SUBSTITUTE(SUBSTITUTE(SUBSTITUTE(K823,"Rs. ",""),"₹",""),",","")))</f>
        <v>18313</v>
      </c>
      <c r="X823" s="8">
        <f t="shared" si="128"/>
        <v>0</v>
      </c>
      <c r="Y823" s="7">
        <f t="shared" si="129"/>
        <v>18313</v>
      </c>
      <c r="Z823" s="9" t="str">
        <f t="shared" si="121"/>
        <v>TEEN</v>
      </c>
    </row>
    <row r="824" spans="1:26" x14ac:dyDescent="0.3">
      <c r="A824" s="5" t="s">
        <v>1765</v>
      </c>
      <c r="B824" s="5" t="s">
        <v>106</v>
      </c>
      <c r="C824" s="5" t="s">
        <v>307</v>
      </c>
      <c r="D824" s="5" t="s">
        <v>66</v>
      </c>
      <c r="E824" s="5" t="s">
        <v>164</v>
      </c>
      <c r="F824" s="5" t="s">
        <v>233</v>
      </c>
      <c r="G824" s="5" t="s">
        <v>39</v>
      </c>
      <c r="H824" s="5">
        <v>80</v>
      </c>
      <c r="I824" s="5" t="s">
        <v>70</v>
      </c>
      <c r="J824" s="34" t="s">
        <v>234</v>
      </c>
      <c r="K824" s="31">
        <v>5136</v>
      </c>
      <c r="L824" s="5" t="s">
        <v>91</v>
      </c>
      <c r="M824" s="32" t="s">
        <v>130</v>
      </c>
      <c r="N824" s="6">
        <f t="shared" si="122"/>
        <v>0</v>
      </c>
      <c r="O824" s="4" t="s">
        <v>233</v>
      </c>
      <c r="P824" s="5" t="str">
        <f t="shared" si="123"/>
        <v>Kolkata</v>
      </c>
      <c r="Q824" s="5" t="str">
        <f t="shared" si="124"/>
        <v>Cardiology</v>
      </c>
      <c r="R824" s="6" t="str">
        <f t="shared" si="125"/>
        <v>Aiims</v>
      </c>
      <c r="S824" s="6" t="str">
        <f t="shared" si="126"/>
        <v>Debit Card</v>
      </c>
      <c r="T824" s="6" t="str">
        <f t="shared" si="127"/>
        <v>Female</v>
      </c>
      <c r="U824" s="6" t="str">
        <f t="shared" si="130"/>
        <v>General</v>
      </c>
      <c r="V824" s="6" t="str" cm="1">
        <f t="array" ref="V824">IF(TRIM(S824)="",INDEX($S$2:$S$1500,MATCH(MAX(COUNTIF($S$2:$S$1500,S824)),COUNTIF($S$2:$S$1500,$S$2:$S$1500),0)),S824)</f>
        <v>Debit Card</v>
      </c>
      <c r="W824" s="7" cm="1">
        <f t="array" ref="W824">IF(OR(TRIM(K824)="",TRIM(K824)="-"), MEDIAN(IF($E$2:$E$1500=E824,$K$2:$K$1500)),  VALUE(SUBSTITUTE(SUBSTITUTE(SUBSTITUTE(K824,"Rs. ",""),"₹",""),",","")))</f>
        <v>5136</v>
      </c>
      <c r="X824" s="8">
        <f t="shared" si="128"/>
        <v>0</v>
      </c>
      <c r="Y824" s="7">
        <f t="shared" si="129"/>
        <v>5136</v>
      </c>
      <c r="Z824" s="9" t="str">
        <f t="shared" si="121"/>
        <v>SENIOR</v>
      </c>
    </row>
    <row r="825" spans="1:26" x14ac:dyDescent="0.3">
      <c r="A825" s="5" t="s">
        <v>1766</v>
      </c>
      <c r="B825" s="5" t="s">
        <v>117</v>
      </c>
      <c r="C825" s="5" t="s">
        <v>127</v>
      </c>
      <c r="D825" s="5" t="s">
        <v>27</v>
      </c>
      <c r="E825" s="5" t="s">
        <v>164</v>
      </c>
      <c r="F825" s="5" t="s">
        <v>282</v>
      </c>
      <c r="G825" s="5" t="s">
        <v>39</v>
      </c>
      <c r="H825" s="5">
        <v>4</v>
      </c>
      <c r="I825" s="5" t="s">
        <v>40</v>
      </c>
      <c r="J825" s="34" t="s">
        <v>298</v>
      </c>
      <c r="K825" s="31">
        <v>19852</v>
      </c>
      <c r="L825" s="5" t="s">
        <v>72</v>
      </c>
      <c r="M825" s="32"/>
      <c r="N825" s="6">
        <f t="shared" si="122"/>
        <v>0</v>
      </c>
      <c r="O825" s="4" t="s">
        <v>282</v>
      </c>
      <c r="P825" s="5" t="str">
        <f t="shared" si="123"/>
        <v>Mumbai</v>
      </c>
      <c r="Q825" s="5" t="str">
        <f t="shared" si="124"/>
        <v>Cardiology</v>
      </c>
      <c r="R825" s="6" t="str">
        <f t="shared" si="125"/>
        <v>Manipal</v>
      </c>
      <c r="S825" s="6" t="str">
        <f t="shared" si="126"/>
        <v>Cash</v>
      </c>
      <c r="T825" s="6" t="str">
        <f t="shared" si="127"/>
        <v>Female</v>
      </c>
      <c r="U825" s="6" t="str">
        <f t="shared" si="130"/>
        <v>General</v>
      </c>
      <c r="V825" s="6" t="str" cm="1">
        <f t="array" ref="V825">IF(TRIM(S825)="",INDEX($S$2:$S$1500,MATCH(MAX(COUNTIF($S$2:$S$1500,S825)),COUNTIF($S$2:$S$1500,$S$2:$S$1500),0)),S825)</f>
        <v>Cash</v>
      </c>
      <c r="W825" s="7" cm="1">
        <f t="array" ref="W825">IF(OR(TRIM(K825)="",TRIM(K825)="-"), MEDIAN(IF($E$2:$E$1500=E825,$K$2:$K$1500)),  VALUE(SUBSTITUTE(SUBSTITUTE(SUBSTITUTE(K825,"Rs. ",""),"₹",""),",","")))</f>
        <v>19852</v>
      </c>
      <c r="X825" s="8">
        <f t="shared" si="128"/>
        <v>0</v>
      </c>
      <c r="Y825" s="7">
        <f t="shared" si="129"/>
        <v>19852</v>
      </c>
      <c r="Z825" s="9" t="str">
        <f t="shared" si="121"/>
        <v>CHILD</v>
      </c>
    </row>
    <row r="826" spans="1:26" x14ac:dyDescent="0.3">
      <c r="A826" s="5" t="s">
        <v>1767</v>
      </c>
      <c r="B826" s="5" t="s">
        <v>25</v>
      </c>
      <c r="C826" s="5" t="s">
        <v>54</v>
      </c>
      <c r="D826" s="5" t="s">
        <v>36</v>
      </c>
      <c r="E826" s="5" t="s">
        <v>28</v>
      </c>
      <c r="F826" s="5" t="s">
        <v>29</v>
      </c>
      <c r="G826" s="5" t="s">
        <v>69</v>
      </c>
      <c r="H826" s="5">
        <v>61</v>
      </c>
      <c r="I826" s="5" t="s">
        <v>70</v>
      </c>
      <c r="J826" s="34" t="s">
        <v>316</v>
      </c>
      <c r="K826" s="31" t="s">
        <v>1768</v>
      </c>
      <c r="L826" s="5" t="s">
        <v>87</v>
      </c>
      <c r="M826" s="32">
        <v>10</v>
      </c>
      <c r="N826" s="6">
        <f t="shared" si="122"/>
        <v>10</v>
      </c>
      <c r="O826" s="4" t="s">
        <v>29</v>
      </c>
      <c r="P826" s="5" t="str">
        <f t="shared" si="123"/>
        <v>Chennai</v>
      </c>
      <c r="Q826" s="5" t="str">
        <f t="shared" si="124"/>
        <v>Oncology</v>
      </c>
      <c r="R826" s="6" t="str">
        <f t="shared" si="125"/>
        <v>Narayana</v>
      </c>
      <c r="S826" s="6" t="str">
        <f t="shared" si="126"/>
        <v>Credit Card</v>
      </c>
      <c r="T826" s="6" t="str">
        <f t="shared" si="127"/>
        <v>Female</v>
      </c>
      <c r="U826" s="6" t="str">
        <f t="shared" si="130"/>
        <v>ICU</v>
      </c>
      <c r="V826" s="6" t="str" cm="1">
        <f t="array" ref="V826">IF(TRIM(S826)="",INDEX($S$2:$S$1500,MATCH(MAX(COUNTIF($S$2:$S$1500,S826)),COUNTIF($S$2:$S$1500,$S$2:$S$1500),0)),S826)</f>
        <v>Credit Card</v>
      </c>
      <c r="W826" s="7" cm="1">
        <f t="array" ref="W826">IF(OR(TRIM(K826)="",TRIM(K826)="-"), MEDIAN(IF($E$2:$E$1500=E826,$K$2:$K$1500)),  VALUE(SUBSTITUTE(SUBSTITUTE(SUBSTITUTE(K826,"Rs. ",""),"₹",""),",","")))</f>
        <v>42998</v>
      </c>
      <c r="X826" s="8">
        <f t="shared" si="128"/>
        <v>10</v>
      </c>
      <c r="Y826" s="7">
        <f t="shared" si="129"/>
        <v>38698</v>
      </c>
      <c r="Z826" s="9" t="str">
        <f t="shared" si="121"/>
        <v>SENIOR</v>
      </c>
    </row>
    <row r="827" spans="1:26" x14ac:dyDescent="0.3">
      <c r="A827" s="5" t="s">
        <v>1769</v>
      </c>
      <c r="B827" s="5" t="s">
        <v>25</v>
      </c>
      <c r="C827" s="5" t="s">
        <v>54</v>
      </c>
      <c r="D827" s="5" t="s">
        <v>55</v>
      </c>
      <c r="E827" s="5" t="s">
        <v>28</v>
      </c>
      <c r="F827" s="5" t="s">
        <v>29</v>
      </c>
      <c r="G827" s="5" t="s">
        <v>49</v>
      </c>
      <c r="H827" s="5">
        <v>87</v>
      </c>
      <c r="I827" s="5" t="s">
        <v>31</v>
      </c>
      <c r="J827" s="34" t="s">
        <v>1014</v>
      </c>
      <c r="K827" s="31">
        <v>8785</v>
      </c>
      <c r="L827" s="5" t="s">
        <v>236</v>
      </c>
      <c r="M827" s="32">
        <v>0</v>
      </c>
      <c r="N827" s="6">
        <f t="shared" si="122"/>
        <v>0</v>
      </c>
      <c r="O827" s="4" t="s">
        <v>29</v>
      </c>
      <c r="P827" s="5" t="str">
        <f t="shared" si="123"/>
        <v>Hyderabad</v>
      </c>
      <c r="Q827" s="5" t="str">
        <f t="shared" si="124"/>
        <v>Oncology</v>
      </c>
      <c r="R827" s="6" t="str">
        <f t="shared" si="125"/>
        <v>Narayana</v>
      </c>
      <c r="S827" s="6" t="str">
        <f t="shared" si="126"/>
        <v>Debit Card</v>
      </c>
      <c r="T827" s="6" t="str">
        <f t="shared" si="127"/>
        <v>Male</v>
      </c>
      <c r="U827" s="6" t="str">
        <f t="shared" si="130"/>
        <v>General</v>
      </c>
      <c r="V827" s="6" t="str" cm="1">
        <f t="array" ref="V827">IF(TRIM(S827)="",INDEX($S$2:$S$1500,MATCH(MAX(COUNTIF($S$2:$S$1500,S827)),COUNTIF($S$2:$S$1500,$S$2:$S$1500),0)),S827)</f>
        <v>Debit Card</v>
      </c>
      <c r="W827" s="7" cm="1">
        <f t="array" ref="W827">IF(OR(TRIM(K827)="",TRIM(K827)="-"), MEDIAN(IF($E$2:$E$1500=E827,$K$2:$K$1500)),  VALUE(SUBSTITUTE(SUBSTITUTE(SUBSTITUTE(K827,"Rs. ",""),"₹",""),",","")))</f>
        <v>8785</v>
      </c>
      <c r="X827" s="8">
        <f t="shared" si="128"/>
        <v>0</v>
      </c>
      <c r="Y827" s="7">
        <f t="shared" si="129"/>
        <v>8785</v>
      </c>
      <c r="Z827" s="9" t="str">
        <f t="shared" si="121"/>
        <v>SENIOR</v>
      </c>
    </row>
    <row r="828" spans="1:26" x14ac:dyDescent="0.3">
      <c r="A828" s="5" t="s">
        <v>1770</v>
      </c>
      <c r="B828" s="5" t="s">
        <v>117</v>
      </c>
      <c r="C828" s="5" t="s">
        <v>118</v>
      </c>
      <c r="D828" s="5" t="s">
        <v>189</v>
      </c>
      <c r="E828" s="5" t="s">
        <v>67</v>
      </c>
      <c r="F828" s="5" t="s">
        <v>89</v>
      </c>
      <c r="G828" s="5" t="s">
        <v>19</v>
      </c>
      <c r="H828" s="5">
        <v>46</v>
      </c>
      <c r="I828" s="5" t="s">
        <v>70</v>
      </c>
      <c r="J828" s="34" t="s">
        <v>1162</v>
      </c>
      <c r="K828" s="31" t="s">
        <v>1771</v>
      </c>
      <c r="L828" s="5"/>
      <c r="M828" s="32" t="s">
        <v>140</v>
      </c>
      <c r="N828" s="6" t="str">
        <f t="shared" si="122"/>
        <v>-</v>
      </c>
      <c r="O828" s="4" t="s">
        <v>89</v>
      </c>
      <c r="P828" s="5" t="str">
        <f t="shared" si="123"/>
        <v>Delhi</v>
      </c>
      <c r="Q828" s="5" t="str">
        <f t="shared" si="124"/>
        <v>Neurology</v>
      </c>
      <c r="R828" s="6" t="str">
        <f t="shared" si="125"/>
        <v>Manipal</v>
      </c>
      <c r="S828" s="6" t="str">
        <f t="shared" si="126"/>
        <v>Unknown</v>
      </c>
      <c r="T828" s="6" t="str">
        <f t="shared" si="127"/>
        <v>Female</v>
      </c>
      <c r="U828" s="6" t="str">
        <f t="shared" si="130"/>
        <v>General</v>
      </c>
      <c r="V828" s="6" t="str" cm="1">
        <f t="array" ref="V828">IF(TRIM(S828)="",INDEX($S$2:$S$1500,MATCH(MAX(COUNTIF($S$2:$S$1500,S828)),COUNTIF($S$2:$S$1500,$S$2:$S$1500),0)),S828)</f>
        <v>Unknown</v>
      </c>
      <c r="W828" s="7" cm="1">
        <f t="array" ref="W828">IF(OR(TRIM(K828)="",TRIM(K828)="-"), MEDIAN(IF($E$2:$E$1500=E828,$K$2:$K$1500)),  VALUE(SUBSTITUTE(SUBSTITUTE(SUBSTITUTE(K828,"Rs. ",""),"₹",""),",","")))</f>
        <v>5945</v>
      </c>
      <c r="X828" s="8">
        <f t="shared" si="128"/>
        <v>4</v>
      </c>
      <c r="Y828" s="7">
        <f t="shared" si="129"/>
        <v>5707</v>
      </c>
      <c r="Z828" s="9" t="str">
        <f t="shared" si="121"/>
        <v>ADULT</v>
      </c>
    </row>
    <row r="829" spans="1:26" x14ac:dyDescent="0.3">
      <c r="A829" s="5" t="s">
        <v>1772</v>
      </c>
      <c r="B829" s="5" t="s">
        <v>25</v>
      </c>
      <c r="C829" s="5" t="s">
        <v>26</v>
      </c>
      <c r="D829" s="5" t="s">
        <v>66</v>
      </c>
      <c r="E829" s="5" t="s">
        <v>93</v>
      </c>
      <c r="F829" s="5" t="s">
        <v>144</v>
      </c>
      <c r="G829" s="5" t="s">
        <v>19</v>
      </c>
      <c r="H829" s="5">
        <v>44</v>
      </c>
      <c r="I829" s="5" t="s">
        <v>40</v>
      </c>
      <c r="J829" s="34" t="s">
        <v>777</v>
      </c>
      <c r="K829" s="31">
        <v>17017</v>
      </c>
      <c r="L829" s="5" t="s">
        <v>72</v>
      </c>
      <c r="M829" s="32">
        <v>0.1</v>
      </c>
      <c r="N829" s="6">
        <f t="shared" si="122"/>
        <v>10</v>
      </c>
      <c r="O829" s="4" t="s">
        <v>144</v>
      </c>
      <c r="P829" s="5" t="str">
        <f t="shared" si="123"/>
        <v>Kolkata</v>
      </c>
      <c r="Q829" s="5" t="str">
        <f t="shared" si="124"/>
        <v>Nephrology</v>
      </c>
      <c r="R829" s="6" t="str">
        <f t="shared" si="125"/>
        <v>Narayana</v>
      </c>
      <c r="S829" s="6" t="str">
        <f t="shared" si="126"/>
        <v>Cash</v>
      </c>
      <c r="T829" s="6" t="str">
        <f t="shared" si="127"/>
        <v>Female</v>
      </c>
      <c r="U829" s="6" t="str">
        <f t="shared" si="130"/>
        <v>General</v>
      </c>
      <c r="V829" s="6" t="str" cm="1">
        <f t="array" ref="V829">IF(TRIM(S829)="",INDEX($S$2:$S$1500,MATCH(MAX(COUNTIF($S$2:$S$1500,S829)),COUNTIF($S$2:$S$1500,$S$2:$S$1500),0)),S829)</f>
        <v>Cash</v>
      </c>
      <c r="W829" s="7" cm="1">
        <f t="array" ref="W829">IF(OR(TRIM(K829)="",TRIM(K829)="-"), MEDIAN(IF($E$2:$E$1500=E829,$K$2:$K$1500)),  VALUE(SUBSTITUTE(SUBSTITUTE(SUBSTITUTE(K829,"Rs. ",""),"₹",""),",","")))</f>
        <v>17017</v>
      </c>
      <c r="X829" s="8">
        <f t="shared" si="128"/>
        <v>10</v>
      </c>
      <c r="Y829" s="7">
        <f t="shared" si="129"/>
        <v>15315</v>
      </c>
      <c r="Z829" s="9" t="str">
        <f t="shared" si="121"/>
        <v>ADULT</v>
      </c>
    </row>
    <row r="830" spans="1:26" x14ac:dyDescent="0.3">
      <c r="A830" s="5" t="s">
        <v>1773</v>
      </c>
      <c r="B830" s="5" t="s">
        <v>14</v>
      </c>
      <c r="C830" s="5" t="s">
        <v>60</v>
      </c>
      <c r="D830" s="5" t="s">
        <v>55</v>
      </c>
      <c r="E830" s="5" t="s">
        <v>108</v>
      </c>
      <c r="F830" s="5" t="s">
        <v>109</v>
      </c>
      <c r="G830" s="5" t="s">
        <v>19</v>
      </c>
      <c r="H830" s="5">
        <v>2</v>
      </c>
      <c r="I830" s="5" t="s">
        <v>20</v>
      </c>
      <c r="J830" s="34" t="s">
        <v>1374</v>
      </c>
      <c r="K830" s="31" t="s">
        <v>1774</v>
      </c>
      <c r="L830" s="5" t="s">
        <v>115</v>
      </c>
      <c r="M830" s="32">
        <v>0</v>
      </c>
      <c r="N830" s="6">
        <f t="shared" si="122"/>
        <v>0</v>
      </c>
      <c r="O830" s="4" t="s">
        <v>109</v>
      </c>
      <c r="P830" s="5" t="str">
        <f t="shared" si="123"/>
        <v>Hyderabad</v>
      </c>
      <c r="Q830" s="5" t="str">
        <f t="shared" si="124"/>
        <v>Orthopedics</v>
      </c>
      <c r="R830" s="6" t="str">
        <f t="shared" si="125"/>
        <v>Max_Healthcare</v>
      </c>
      <c r="S830" s="6" t="str">
        <f t="shared" si="126"/>
        <v>Cash</v>
      </c>
      <c r="T830" s="6" t="str">
        <f t="shared" si="127"/>
        <v>Male</v>
      </c>
      <c r="U830" s="6" t="str">
        <f t="shared" si="130"/>
        <v>General</v>
      </c>
      <c r="V830" s="6" t="str" cm="1">
        <f t="array" ref="V830">IF(TRIM(S830)="",INDEX($S$2:$S$1500,MATCH(MAX(COUNTIF($S$2:$S$1500,S830)),COUNTIF($S$2:$S$1500,$S$2:$S$1500),0)),S830)</f>
        <v>Cash</v>
      </c>
      <c r="W830" s="7" cm="1">
        <f t="array" ref="W830">IF(OR(TRIM(K830)="",TRIM(K830)="-"), MEDIAN(IF($E$2:$E$1500=E830,$K$2:$K$1500)),  VALUE(SUBSTITUTE(SUBSTITUTE(SUBSTITUTE(K830,"Rs. ",""),"₹",""),",","")))</f>
        <v>4949</v>
      </c>
      <c r="X830" s="8">
        <f t="shared" si="128"/>
        <v>0</v>
      </c>
      <c r="Y830" s="7">
        <f t="shared" si="129"/>
        <v>4949</v>
      </c>
      <c r="Z830" s="9" t="str">
        <f t="shared" si="121"/>
        <v>CHILD</v>
      </c>
    </row>
    <row r="831" spans="1:26" x14ac:dyDescent="0.3">
      <c r="A831" s="5" t="s">
        <v>1775</v>
      </c>
      <c r="B831" s="5" t="s">
        <v>45</v>
      </c>
      <c r="C831" s="5" t="s">
        <v>46</v>
      </c>
      <c r="D831" s="5" t="s">
        <v>66</v>
      </c>
      <c r="E831" s="5" t="s">
        <v>28</v>
      </c>
      <c r="F831" s="5" t="s">
        <v>268</v>
      </c>
      <c r="G831" s="5" t="s">
        <v>39</v>
      </c>
      <c r="H831" s="5">
        <v>58</v>
      </c>
      <c r="I831" s="5" t="s">
        <v>20</v>
      </c>
      <c r="J831" s="34" t="s">
        <v>723</v>
      </c>
      <c r="K831" s="31">
        <v>14747</v>
      </c>
      <c r="L831" s="5" t="s">
        <v>34</v>
      </c>
      <c r="M831" s="32">
        <v>0</v>
      </c>
      <c r="N831" s="6">
        <f t="shared" si="122"/>
        <v>0</v>
      </c>
      <c r="O831" s="4" t="s">
        <v>268</v>
      </c>
      <c r="P831" s="5" t="str">
        <f t="shared" si="123"/>
        <v>Kolkata</v>
      </c>
      <c r="Q831" s="5" t="str">
        <f t="shared" si="124"/>
        <v>Oncology</v>
      </c>
      <c r="R831" s="6" t="str">
        <f t="shared" si="125"/>
        <v>Fortis</v>
      </c>
      <c r="S831" s="6" t="str">
        <f t="shared" si="126"/>
        <v>Cash</v>
      </c>
      <c r="T831" s="6" t="str">
        <f t="shared" si="127"/>
        <v>Male</v>
      </c>
      <c r="U831" s="6" t="str">
        <f t="shared" si="130"/>
        <v>General</v>
      </c>
      <c r="V831" s="6" t="str" cm="1">
        <f t="array" ref="V831">IF(TRIM(S831)="",INDEX($S$2:$S$1500,MATCH(MAX(COUNTIF($S$2:$S$1500,S831)),COUNTIF($S$2:$S$1500,$S$2:$S$1500),0)),S831)</f>
        <v>Cash</v>
      </c>
      <c r="W831" s="7" cm="1">
        <f t="array" ref="W831">IF(OR(TRIM(K831)="",TRIM(K831)="-"), MEDIAN(IF($E$2:$E$1500=E831,$K$2:$K$1500)),  VALUE(SUBSTITUTE(SUBSTITUTE(SUBSTITUTE(K831,"Rs. ",""),"₹",""),",","")))</f>
        <v>14747</v>
      </c>
      <c r="X831" s="8">
        <f t="shared" si="128"/>
        <v>0</v>
      </c>
      <c r="Y831" s="7">
        <f t="shared" si="129"/>
        <v>14747</v>
      </c>
      <c r="Z831" s="9" t="str">
        <f t="shared" si="121"/>
        <v>ADULT</v>
      </c>
    </row>
    <row r="832" spans="1:26" x14ac:dyDescent="0.3">
      <c r="A832" s="5" t="s">
        <v>1776</v>
      </c>
      <c r="B832" s="5" t="s">
        <v>78</v>
      </c>
      <c r="C832" s="5" t="s">
        <v>161</v>
      </c>
      <c r="D832" s="5" t="s">
        <v>36</v>
      </c>
      <c r="E832" s="5" t="s">
        <v>93</v>
      </c>
      <c r="F832" s="5" t="s">
        <v>121</v>
      </c>
      <c r="G832" s="5" t="s">
        <v>19</v>
      </c>
      <c r="H832" s="5">
        <v>16</v>
      </c>
      <c r="I832" s="5" t="s">
        <v>20</v>
      </c>
      <c r="J832" s="34" t="s">
        <v>1392</v>
      </c>
      <c r="K832" s="31">
        <v>9373</v>
      </c>
      <c r="L832" s="5" t="s">
        <v>34</v>
      </c>
      <c r="M832" s="32" t="s">
        <v>76</v>
      </c>
      <c r="N832" s="6">
        <f t="shared" si="122"/>
        <v>10</v>
      </c>
      <c r="O832" s="4" t="s">
        <v>121</v>
      </c>
      <c r="P832" s="5" t="str">
        <f t="shared" si="123"/>
        <v>Chennai</v>
      </c>
      <c r="Q832" s="5" t="str">
        <f t="shared" si="124"/>
        <v>Nephrology</v>
      </c>
      <c r="R832" s="6" t="str">
        <f t="shared" si="125"/>
        <v>Apollo</v>
      </c>
      <c r="S832" s="6" t="str">
        <f t="shared" si="126"/>
        <v>Cash</v>
      </c>
      <c r="T832" s="6" t="str">
        <f t="shared" si="127"/>
        <v>Male</v>
      </c>
      <c r="U832" s="6" t="str">
        <f t="shared" si="130"/>
        <v>General</v>
      </c>
      <c r="V832" s="6" t="str" cm="1">
        <f t="array" ref="V832">IF(TRIM(S832)="",INDEX($S$2:$S$1500,MATCH(MAX(COUNTIF($S$2:$S$1500,S832)),COUNTIF($S$2:$S$1500,$S$2:$S$1500),0)),S832)</f>
        <v>Cash</v>
      </c>
      <c r="W832" s="7" cm="1">
        <f t="array" ref="W832">IF(OR(TRIM(K832)="",TRIM(K832)="-"), MEDIAN(IF($E$2:$E$1500=E832,$K$2:$K$1500)),  VALUE(SUBSTITUTE(SUBSTITUTE(SUBSTITUTE(K832,"Rs. ",""),"₹",""),",","")))</f>
        <v>9373</v>
      </c>
      <c r="X832" s="8">
        <f t="shared" si="128"/>
        <v>10</v>
      </c>
      <c r="Y832" s="7">
        <f t="shared" si="129"/>
        <v>8436</v>
      </c>
      <c r="Z832" s="9" t="str">
        <f t="shared" si="121"/>
        <v>TEEN</v>
      </c>
    </row>
    <row r="833" spans="1:26" x14ac:dyDescent="0.3">
      <c r="A833" s="5" t="s">
        <v>1777</v>
      </c>
      <c r="B833" s="5" t="s">
        <v>78</v>
      </c>
      <c r="C833" s="5" t="s">
        <v>203</v>
      </c>
      <c r="D833" s="5" t="s">
        <v>80</v>
      </c>
      <c r="E833" s="5" t="s">
        <v>67</v>
      </c>
      <c r="F833" s="5" t="s">
        <v>85</v>
      </c>
      <c r="G833" s="5" t="s">
        <v>30</v>
      </c>
      <c r="H833" s="5">
        <v>21</v>
      </c>
      <c r="I833" s="5" t="s">
        <v>31</v>
      </c>
      <c r="J833" s="34" t="s">
        <v>519</v>
      </c>
      <c r="K833" s="31">
        <v>3598</v>
      </c>
      <c r="L833" s="5" t="s">
        <v>236</v>
      </c>
      <c r="M833" s="32">
        <v>0</v>
      </c>
      <c r="N833" s="6">
        <f t="shared" si="122"/>
        <v>0</v>
      </c>
      <c r="O833" s="4" t="s">
        <v>85</v>
      </c>
      <c r="P833" s="5" t="str">
        <f t="shared" si="123"/>
        <v>Ahmedabad</v>
      </c>
      <c r="Q833" s="5" t="str">
        <f t="shared" si="124"/>
        <v>Neurology</v>
      </c>
      <c r="R833" s="6" t="str">
        <f t="shared" si="125"/>
        <v>Apollo</v>
      </c>
      <c r="S833" s="6" t="str">
        <f t="shared" si="126"/>
        <v>Debit Card</v>
      </c>
      <c r="T833" s="6" t="str">
        <f t="shared" si="127"/>
        <v>Male</v>
      </c>
      <c r="U833" s="6" t="str">
        <f t="shared" si="130"/>
        <v>General</v>
      </c>
      <c r="V833" s="6" t="str" cm="1">
        <f t="array" ref="V833">IF(TRIM(S833)="",INDEX($S$2:$S$1500,MATCH(MAX(COUNTIF($S$2:$S$1500,S833)),COUNTIF($S$2:$S$1500,$S$2:$S$1500),0)),S833)</f>
        <v>Debit Card</v>
      </c>
      <c r="W833" s="7" cm="1">
        <f t="array" ref="W833">IF(OR(TRIM(K833)="",TRIM(K833)="-"), MEDIAN(IF($E$2:$E$1500=E833,$K$2:$K$1500)),  VALUE(SUBSTITUTE(SUBSTITUTE(SUBSTITUTE(K833,"Rs. ",""),"₹",""),",","")))</f>
        <v>3598</v>
      </c>
      <c r="X833" s="8">
        <f t="shared" si="128"/>
        <v>0</v>
      </c>
      <c r="Y833" s="7">
        <f t="shared" si="129"/>
        <v>3598</v>
      </c>
      <c r="Z833" s="9" t="str">
        <f t="shared" si="121"/>
        <v>ADULT</v>
      </c>
    </row>
    <row r="834" spans="1:26" x14ac:dyDescent="0.3">
      <c r="A834" s="5" t="s">
        <v>1778</v>
      </c>
      <c r="B834" s="5" t="s">
        <v>45</v>
      </c>
      <c r="C834" s="5" t="s">
        <v>46</v>
      </c>
      <c r="D834" s="5" t="s">
        <v>16</v>
      </c>
      <c r="E834" s="5" t="s">
        <v>37</v>
      </c>
      <c r="F834" s="5" t="s">
        <v>185</v>
      </c>
      <c r="G834" s="5" t="s">
        <v>19</v>
      </c>
      <c r="H834" s="5">
        <v>31</v>
      </c>
      <c r="I834" s="5" t="s">
        <v>20</v>
      </c>
      <c r="J834" s="34" t="s">
        <v>183</v>
      </c>
      <c r="K834" s="31">
        <v>13615</v>
      </c>
      <c r="L834" s="5" t="s">
        <v>52</v>
      </c>
      <c r="M834" s="32" t="s">
        <v>130</v>
      </c>
      <c r="N834" s="6">
        <f t="shared" si="122"/>
        <v>0</v>
      </c>
      <c r="O834" s="4" t="s">
        <v>185</v>
      </c>
      <c r="P834" s="5" t="str">
        <f t="shared" si="123"/>
        <v>Bangalore</v>
      </c>
      <c r="Q834" s="5" t="str">
        <f t="shared" si="124"/>
        <v>Pediatrics</v>
      </c>
      <c r="R834" s="6" t="str">
        <f t="shared" si="125"/>
        <v>Fortis</v>
      </c>
      <c r="S834" s="6" t="str">
        <f t="shared" si="126"/>
        <v>Credit Card</v>
      </c>
      <c r="T834" s="6" t="str">
        <f t="shared" si="127"/>
        <v>Male</v>
      </c>
      <c r="U834" s="6" t="str">
        <f t="shared" si="130"/>
        <v>General</v>
      </c>
      <c r="V834" s="6" t="str" cm="1">
        <f t="array" ref="V834">IF(TRIM(S834)="",INDEX($S$2:$S$1500,MATCH(MAX(COUNTIF($S$2:$S$1500,S834)),COUNTIF($S$2:$S$1500,$S$2:$S$1500),0)),S834)</f>
        <v>Credit Card</v>
      </c>
      <c r="W834" s="7" cm="1">
        <f t="array" ref="W834">IF(OR(TRIM(K834)="",TRIM(K834)="-"), MEDIAN(IF($E$2:$E$1500=E834,$K$2:$K$1500)),  VALUE(SUBSTITUTE(SUBSTITUTE(SUBSTITUTE(K834,"Rs. ",""),"₹",""),",","")))</f>
        <v>13615</v>
      </c>
      <c r="X834" s="8">
        <f t="shared" si="128"/>
        <v>0</v>
      </c>
      <c r="Y834" s="7">
        <f t="shared" si="129"/>
        <v>13615</v>
      </c>
      <c r="Z834" s="9" t="str">
        <f t="shared" ref="Z834:Z897" si="131">IF(H834&lt;13,"CHILD",IF(H834&lt;20,"TEEN",IF(H834&lt;60,"ADULT","SENIOR")))</f>
        <v>ADULT</v>
      </c>
    </row>
    <row r="835" spans="1:26" x14ac:dyDescent="0.3">
      <c r="A835" s="5" t="s">
        <v>1779</v>
      </c>
      <c r="B835" s="5" t="s">
        <v>106</v>
      </c>
      <c r="C835" s="5" t="s">
        <v>307</v>
      </c>
      <c r="D835" s="5" t="s">
        <v>189</v>
      </c>
      <c r="E835" s="5" t="s">
        <v>37</v>
      </c>
      <c r="F835" s="5" t="s">
        <v>38</v>
      </c>
      <c r="G835" s="5" t="s">
        <v>39</v>
      </c>
      <c r="H835" s="5">
        <v>92</v>
      </c>
      <c r="I835" s="5" t="s">
        <v>40</v>
      </c>
      <c r="J835" s="34" t="s">
        <v>568</v>
      </c>
      <c r="K835" s="31" t="s">
        <v>1780</v>
      </c>
      <c r="L835" s="5" t="s">
        <v>236</v>
      </c>
      <c r="M835" s="32" t="s">
        <v>64</v>
      </c>
      <c r="N835" s="6" t="str">
        <f t="shared" ref="N835:N898" si="132">IF(RIGHT(TRIM(M835),1)="%",VALUE(LEFT(TRIM(M835),LEN(TRIM(M835))-1)),  IF(AND(ISNUMBER(M835),M835&lt;=1,M835&gt;0),M835*100,M835))</f>
        <v>NA</v>
      </c>
      <c r="O835" s="4" t="s">
        <v>38</v>
      </c>
      <c r="P835" s="5" t="str">
        <f t="shared" ref="P835:P898" si="133">PROPER(D835)</f>
        <v>Delhi</v>
      </c>
      <c r="Q835" s="5" t="str">
        <f t="shared" ref="Q835:Q898" si="134">PROPER(E835)</f>
        <v>Pediatrics</v>
      </c>
      <c r="R835" s="6" t="str">
        <f t="shared" ref="R835:R898" si="135">PROPER(C835)</f>
        <v>Aiims</v>
      </c>
      <c r="S835" s="6" t="str">
        <f t="shared" ref="S835:S898" si="136">IF(OR(UPPER(TRIM(L835))="CREDIT_CARD",UPPER(TRIM(L835))="CREDIT CARD",UPPER(TRIM(L835))="CC"),"Credit Card", IF(OR(UPPER(TRIM(L835))="DEBIT_CARD",UPPER(TRIM(L835))="DEBIT CARD",UPPER(TRIM(L835))="DC"),"Debit Card", IF(UPPER(TRIM(L835))="CASH","Cash", IF(UPPER(TRIM(L835))="UPI","UPI", IF(OR(UPPER(TRIM(L835))="INSURANCE",UPPER(TRIM(L835))="INS"),"Insurance", IF(TRIM(L835)="","Unknown","Unknown"))))))</f>
        <v>Debit Card</v>
      </c>
      <c r="T835" s="6" t="str">
        <f t="shared" ref="T835:T898" si="137">IF(OR(UPPER(TRIM(I835))="M",UPPER(TRIM(I835))="MALE"),"Male",IF(OR(UPPER(TRIM(I835))="F",UPPER(TRIM(I835))="FEMALE"),"Female","Unknown"))</f>
        <v>Female</v>
      </c>
      <c r="U835" s="6" t="str">
        <f t="shared" si="130"/>
        <v>General</v>
      </c>
      <c r="V835" s="6" t="str" cm="1">
        <f t="array" ref="V835">IF(TRIM(S835)="",INDEX($S$2:$S$1500,MATCH(MAX(COUNTIF($S$2:$S$1500,S835)),COUNTIF($S$2:$S$1500,$S$2:$S$1500),0)),S835)</f>
        <v>Debit Card</v>
      </c>
      <c r="W835" s="7" cm="1">
        <f t="array" ref="W835">IF(OR(TRIM(K835)="",TRIM(K835)="-"), MEDIAN(IF($E$2:$E$1500=E835,$K$2:$K$1500)),  VALUE(SUBSTITUTE(SUBSTITUTE(SUBSTITUTE(K835,"Rs. ",""),"₹",""),",","")))</f>
        <v>5804</v>
      </c>
      <c r="X835" s="8">
        <f t="shared" ref="X835:X898" si="138">ROUND(IF(OR(TRIM(N835)="-",UPPER(TRIM(N835))="N/A",UPPER(TRIM(N835))="NA"), IFERROR(AVERAGEIF($V$2:$V$1500,V835,$N$2:$N$1500),AVERAGE($N$2:$N$1500)), N835),0)</f>
        <v>3</v>
      </c>
      <c r="Y835" s="7">
        <f t="shared" ref="Y835:Y898" si="139">ROUND(W835*(1-X835/100),0)</f>
        <v>5630</v>
      </c>
      <c r="Z835" s="9" t="str">
        <f t="shared" si="131"/>
        <v>SENIOR</v>
      </c>
    </row>
    <row r="836" spans="1:26" x14ac:dyDescent="0.3">
      <c r="A836" s="5" t="s">
        <v>1781</v>
      </c>
      <c r="B836" s="5" t="s">
        <v>45</v>
      </c>
      <c r="C836" s="5" t="s">
        <v>334</v>
      </c>
      <c r="D836" s="5" t="s">
        <v>80</v>
      </c>
      <c r="E836" s="5" t="s">
        <v>164</v>
      </c>
      <c r="F836" s="5" t="s">
        <v>233</v>
      </c>
      <c r="G836" s="5" t="s">
        <v>19</v>
      </c>
      <c r="H836" s="5">
        <v>25</v>
      </c>
      <c r="I836" s="5" t="s">
        <v>31</v>
      </c>
      <c r="J836" s="34" t="s">
        <v>1435</v>
      </c>
      <c r="K836" s="31" t="s">
        <v>1782</v>
      </c>
      <c r="L836" s="5" t="s">
        <v>42</v>
      </c>
      <c r="M836" s="32">
        <v>20</v>
      </c>
      <c r="N836" s="6">
        <f t="shared" si="132"/>
        <v>20</v>
      </c>
      <c r="O836" s="4" t="s">
        <v>233</v>
      </c>
      <c r="P836" s="5" t="str">
        <f t="shared" si="133"/>
        <v>Ahmedabad</v>
      </c>
      <c r="Q836" s="5" t="str">
        <f t="shared" si="134"/>
        <v>Cardiology</v>
      </c>
      <c r="R836" s="6" t="str">
        <f t="shared" si="135"/>
        <v>Fortis</v>
      </c>
      <c r="S836" s="6" t="str">
        <f t="shared" si="136"/>
        <v>Insurance</v>
      </c>
      <c r="T836" s="6" t="str">
        <f t="shared" si="137"/>
        <v>Male</v>
      </c>
      <c r="U836" s="6" t="str">
        <f t="shared" si="130"/>
        <v>General</v>
      </c>
      <c r="V836" s="6" t="str" cm="1">
        <f t="array" ref="V836">IF(TRIM(S836)="",INDEX($S$2:$S$1500,MATCH(MAX(COUNTIF($S$2:$S$1500,S836)),COUNTIF($S$2:$S$1500,$S$2:$S$1500),0)),S836)</f>
        <v>Insurance</v>
      </c>
      <c r="W836" s="7" cm="1">
        <f t="array" ref="W836">IF(OR(TRIM(K836)="",TRIM(K836)="-"), MEDIAN(IF($E$2:$E$1500=E836,$K$2:$K$1500)),  VALUE(SUBSTITUTE(SUBSTITUTE(SUBSTITUTE(K836,"Rs. ",""),"₹",""),",","")))</f>
        <v>11826</v>
      </c>
      <c r="X836" s="8">
        <f t="shared" si="138"/>
        <v>20</v>
      </c>
      <c r="Y836" s="7">
        <f t="shared" si="139"/>
        <v>9461</v>
      </c>
      <c r="Z836" s="9" t="str">
        <f t="shared" si="131"/>
        <v>ADULT</v>
      </c>
    </row>
    <row r="837" spans="1:26" x14ac:dyDescent="0.3">
      <c r="A837" s="5" t="s">
        <v>1783</v>
      </c>
      <c r="B837" s="5" t="s">
        <v>78</v>
      </c>
      <c r="C837" s="5" t="s">
        <v>79</v>
      </c>
      <c r="D837" s="5" t="s">
        <v>55</v>
      </c>
      <c r="E837" s="5" t="s">
        <v>74</v>
      </c>
      <c r="F837" s="5" t="s">
        <v>147</v>
      </c>
      <c r="G837" s="5"/>
      <c r="H837" s="5">
        <v>60</v>
      </c>
      <c r="I837" s="5" t="s">
        <v>20</v>
      </c>
      <c r="J837" s="34" t="s">
        <v>556</v>
      </c>
      <c r="K837" s="31">
        <v>76276</v>
      </c>
      <c r="L837" s="5" t="s">
        <v>115</v>
      </c>
      <c r="M837" s="32">
        <v>0</v>
      </c>
      <c r="N837" s="6">
        <f t="shared" si="132"/>
        <v>0</v>
      </c>
      <c r="O837" s="4" t="s">
        <v>147</v>
      </c>
      <c r="P837" s="5" t="str">
        <f t="shared" si="133"/>
        <v>Hyderabad</v>
      </c>
      <c r="Q837" s="5" t="str">
        <f t="shared" si="134"/>
        <v>General Medicine</v>
      </c>
      <c r="R837" s="6" t="str">
        <f t="shared" si="135"/>
        <v>Apollo</v>
      </c>
      <c r="S837" s="6" t="str">
        <f t="shared" si="136"/>
        <v>Cash</v>
      </c>
      <c r="T837" s="6" t="str">
        <f t="shared" si="137"/>
        <v>Male</v>
      </c>
      <c r="U837" s="6" t="str">
        <f t="shared" si="130"/>
        <v>Unknown</v>
      </c>
      <c r="V837" s="6" t="str" cm="1">
        <f t="array" ref="V837">IF(TRIM(S837)="",INDEX($S$2:$S$1500,MATCH(MAX(COUNTIF($S$2:$S$1500,S837)),COUNTIF($S$2:$S$1500,$S$2:$S$1500),0)),S837)</f>
        <v>Cash</v>
      </c>
      <c r="W837" s="7" cm="1">
        <f t="array" ref="W837">IF(OR(TRIM(K837)="",TRIM(K837)="-"), MEDIAN(IF($E$2:$E$1500=E837,$K$2:$K$1500)),  VALUE(SUBSTITUTE(SUBSTITUTE(SUBSTITUTE(K837,"Rs. ",""),"₹",""),",","")))</f>
        <v>76276</v>
      </c>
      <c r="X837" s="8">
        <f t="shared" si="138"/>
        <v>0</v>
      </c>
      <c r="Y837" s="7">
        <f t="shared" si="139"/>
        <v>76276</v>
      </c>
      <c r="Z837" s="9" t="str">
        <f t="shared" si="131"/>
        <v>SENIOR</v>
      </c>
    </row>
    <row r="838" spans="1:26" x14ac:dyDescent="0.3">
      <c r="A838" s="5" t="s">
        <v>1784</v>
      </c>
      <c r="B838" s="5" t="s">
        <v>106</v>
      </c>
      <c r="C838" s="5" t="s">
        <v>307</v>
      </c>
      <c r="D838" s="5" t="s">
        <v>80</v>
      </c>
      <c r="E838" s="5" t="s">
        <v>17</v>
      </c>
      <c r="F838" s="5" t="s">
        <v>169</v>
      </c>
      <c r="G838" s="5" t="s">
        <v>30</v>
      </c>
      <c r="H838" s="5">
        <v>39</v>
      </c>
      <c r="I838" s="5" t="s">
        <v>20</v>
      </c>
      <c r="J838" s="34" t="s">
        <v>1131</v>
      </c>
      <c r="K838" s="31">
        <v>7947</v>
      </c>
      <c r="L838" s="5" t="s">
        <v>115</v>
      </c>
      <c r="M838" s="32" t="s">
        <v>198</v>
      </c>
      <c r="N838" s="6">
        <f t="shared" si="132"/>
        <v>5</v>
      </c>
      <c r="O838" s="4" t="s">
        <v>169</v>
      </c>
      <c r="P838" s="5" t="str">
        <f t="shared" si="133"/>
        <v>Ahmedabad</v>
      </c>
      <c r="Q838" s="5" t="str">
        <f t="shared" si="134"/>
        <v>Gynecology</v>
      </c>
      <c r="R838" s="6" t="str">
        <f t="shared" si="135"/>
        <v>Aiims</v>
      </c>
      <c r="S838" s="6" t="str">
        <f t="shared" si="136"/>
        <v>Cash</v>
      </c>
      <c r="T838" s="6" t="str">
        <f t="shared" si="137"/>
        <v>Male</v>
      </c>
      <c r="U838" s="6" t="str">
        <f t="shared" si="130"/>
        <v>General</v>
      </c>
      <c r="V838" s="6" t="str" cm="1">
        <f t="array" ref="V838">IF(TRIM(S838)="",INDEX($S$2:$S$1500,MATCH(MAX(COUNTIF($S$2:$S$1500,S838)),COUNTIF($S$2:$S$1500,$S$2:$S$1500),0)),S838)</f>
        <v>Cash</v>
      </c>
      <c r="W838" s="7" cm="1">
        <f t="array" ref="W838">IF(OR(TRIM(K838)="",TRIM(K838)="-"), MEDIAN(IF($E$2:$E$1500=E838,$K$2:$K$1500)),  VALUE(SUBSTITUTE(SUBSTITUTE(SUBSTITUTE(K838,"Rs. ",""),"₹",""),",","")))</f>
        <v>7947</v>
      </c>
      <c r="X838" s="8">
        <f t="shared" si="138"/>
        <v>5</v>
      </c>
      <c r="Y838" s="7">
        <f t="shared" si="139"/>
        <v>7550</v>
      </c>
      <c r="Z838" s="9" t="str">
        <f t="shared" si="131"/>
        <v>ADULT</v>
      </c>
    </row>
    <row r="839" spans="1:26" x14ac:dyDescent="0.3">
      <c r="A839" s="5" t="s">
        <v>1785</v>
      </c>
      <c r="B839" s="5" t="s">
        <v>78</v>
      </c>
      <c r="C839" s="5" t="s">
        <v>161</v>
      </c>
      <c r="D839" s="5" t="s">
        <v>55</v>
      </c>
      <c r="E839" s="5" t="s">
        <v>28</v>
      </c>
      <c r="F839" s="5" t="s">
        <v>290</v>
      </c>
      <c r="G839" s="5" t="s">
        <v>39</v>
      </c>
      <c r="H839" s="5">
        <v>32</v>
      </c>
      <c r="I839" s="5" t="s">
        <v>70</v>
      </c>
      <c r="J839" s="34" t="s">
        <v>148</v>
      </c>
      <c r="K839" s="31">
        <v>3191</v>
      </c>
      <c r="L839" s="5"/>
      <c r="M839" s="32" t="s">
        <v>130</v>
      </c>
      <c r="N839" s="6">
        <f t="shared" si="132"/>
        <v>0</v>
      </c>
      <c r="O839" s="4" t="s">
        <v>290</v>
      </c>
      <c r="P839" s="5" t="str">
        <f t="shared" si="133"/>
        <v>Hyderabad</v>
      </c>
      <c r="Q839" s="5" t="str">
        <f t="shared" si="134"/>
        <v>Oncology</v>
      </c>
      <c r="R839" s="6" t="str">
        <f t="shared" si="135"/>
        <v>Apollo</v>
      </c>
      <c r="S839" s="6" t="str">
        <f t="shared" si="136"/>
        <v>Unknown</v>
      </c>
      <c r="T839" s="6" t="str">
        <f t="shared" si="137"/>
        <v>Female</v>
      </c>
      <c r="U839" s="6" t="str">
        <f t="shared" si="130"/>
        <v>General</v>
      </c>
      <c r="V839" s="6" t="str" cm="1">
        <f t="array" ref="V839">IF(TRIM(S839)="",INDEX($S$2:$S$1500,MATCH(MAX(COUNTIF($S$2:$S$1500,S839)),COUNTIF($S$2:$S$1500,$S$2:$S$1500),0)),S839)</f>
        <v>Unknown</v>
      </c>
      <c r="W839" s="7" cm="1">
        <f t="array" ref="W839">IF(OR(TRIM(K839)="",TRIM(K839)="-"), MEDIAN(IF($E$2:$E$1500=E839,$K$2:$K$1500)),  VALUE(SUBSTITUTE(SUBSTITUTE(SUBSTITUTE(K839,"Rs. ",""),"₹",""),",","")))</f>
        <v>3191</v>
      </c>
      <c r="X839" s="8">
        <f t="shared" si="138"/>
        <v>0</v>
      </c>
      <c r="Y839" s="7">
        <f t="shared" si="139"/>
        <v>3191</v>
      </c>
      <c r="Z839" s="9" t="str">
        <f t="shared" si="131"/>
        <v>ADULT</v>
      </c>
    </row>
    <row r="840" spans="1:26" x14ac:dyDescent="0.3">
      <c r="A840" s="5" t="s">
        <v>1786</v>
      </c>
      <c r="B840" s="5" t="s">
        <v>45</v>
      </c>
      <c r="C840" s="5" t="s">
        <v>334</v>
      </c>
      <c r="D840" s="5" t="s">
        <v>36</v>
      </c>
      <c r="E840" s="5" t="s">
        <v>17</v>
      </c>
      <c r="F840" s="5" t="s">
        <v>169</v>
      </c>
      <c r="G840" s="5" t="s">
        <v>30</v>
      </c>
      <c r="H840" s="5">
        <v>77</v>
      </c>
      <c r="I840" s="5" t="s">
        <v>20</v>
      </c>
      <c r="J840" s="34" t="s">
        <v>1222</v>
      </c>
      <c r="K840" s="31">
        <v>5106</v>
      </c>
      <c r="L840" s="5" t="s">
        <v>34</v>
      </c>
      <c r="M840" s="32">
        <v>0</v>
      </c>
      <c r="N840" s="6">
        <f t="shared" si="132"/>
        <v>0</v>
      </c>
      <c r="O840" s="4" t="s">
        <v>169</v>
      </c>
      <c r="P840" s="5" t="str">
        <f t="shared" si="133"/>
        <v>Chennai</v>
      </c>
      <c r="Q840" s="5" t="str">
        <f t="shared" si="134"/>
        <v>Gynecology</v>
      </c>
      <c r="R840" s="6" t="str">
        <f t="shared" si="135"/>
        <v>Fortis</v>
      </c>
      <c r="S840" s="6" t="str">
        <f t="shared" si="136"/>
        <v>Cash</v>
      </c>
      <c r="T840" s="6" t="str">
        <f t="shared" si="137"/>
        <v>Male</v>
      </c>
      <c r="U840" s="6" t="str">
        <f t="shared" si="130"/>
        <v>General</v>
      </c>
      <c r="V840" s="6" t="str" cm="1">
        <f t="array" ref="V840">IF(TRIM(S840)="",INDEX($S$2:$S$1500,MATCH(MAX(COUNTIF($S$2:$S$1500,S840)),COUNTIF($S$2:$S$1500,$S$2:$S$1500),0)),S840)</f>
        <v>Cash</v>
      </c>
      <c r="W840" s="7" cm="1">
        <f t="array" ref="W840">IF(OR(TRIM(K840)="",TRIM(K840)="-"), MEDIAN(IF($E$2:$E$1500=E840,$K$2:$K$1500)),  VALUE(SUBSTITUTE(SUBSTITUTE(SUBSTITUTE(K840,"Rs. ",""),"₹",""),",","")))</f>
        <v>5106</v>
      </c>
      <c r="X840" s="8">
        <f t="shared" si="138"/>
        <v>0</v>
      </c>
      <c r="Y840" s="7">
        <f t="shared" si="139"/>
        <v>5106</v>
      </c>
      <c r="Z840" s="9" t="str">
        <f t="shared" si="131"/>
        <v>SENIOR</v>
      </c>
    </row>
    <row r="841" spans="1:26" x14ac:dyDescent="0.3">
      <c r="A841" s="5" t="s">
        <v>1787</v>
      </c>
      <c r="B841" s="5" t="s">
        <v>117</v>
      </c>
      <c r="C841" s="5" t="s">
        <v>118</v>
      </c>
      <c r="D841" s="5" t="s">
        <v>66</v>
      </c>
      <c r="E841" s="5" t="s">
        <v>74</v>
      </c>
      <c r="F841" s="5" t="s">
        <v>192</v>
      </c>
      <c r="G841" s="5" t="s">
        <v>30</v>
      </c>
      <c r="H841" s="5">
        <v>61</v>
      </c>
      <c r="I841" s="5" t="s">
        <v>20</v>
      </c>
      <c r="J841" s="34" t="s">
        <v>1228</v>
      </c>
      <c r="K841" s="31" t="s">
        <v>1788</v>
      </c>
      <c r="L841" s="5" t="s">
        <v>87</v>
      </c>
      <c r="M841" s="32" t="s">
        <v>130</v>
      </c>
      <c r="N841" s="6">
        <f t="shared" si="132"/>
        <v>0</v>
      </c>
      <c r="O841" s="4" t="s">
        <v>192</v>
      </c>
      <c r="P841" s="5" t="str">
        <f t="shared" si="133"/>
        <v>Kolkata</v>
      </c>
      <c r="Q841" s="5" t="str">
        <f t="shared" si="134"/>
        <v>General Medicine</v>
      </c>
      <c r="R841" s="6" t="str">
        <f t="shared" si="135"/>
        <v>Manipal</v>
      </c>
      <c r="S841" s="6" t="str">
        <f t="shared" si="136"/>
        <v>Credit Card</v>
      </c>
      <c r="T841" s="6" t="str">
        <f t="shared" si="137"/>
        <v>Male</v>
      </c>
      <c r="U841" s="6" t="str">
        <f t="shared" si="130"/>
        <v>General</v>
      </c>
      <c r="V841" s="6" t="str" cm="1">
        <f t="array" ref="V841">IF(TRIM(S841)="",INDEX($S$2:$S$1500,MATCH(MAX(COUNTIF($S$2:$S$1500,S841)),COUNTIF($S$2:$S$1500,$S$2:$S$1500),0)),S841)</f>
        <v>Credit Card</v>
      </c>
      <c r="W841" s="7" cm="1">
        <f t="array" ref="W841">IF(OR(TRIM(K841)="",TRIM(K841)="-"), MEDIAN(IF($E$2:$E$1500=E841,$K$2:$K$1500)),  VALUE(SUBSTITUTE(SUBSTITUTE(SUBSTITUTE(K841,"Rs. ",""),"₹",""),",","")))</f>
        <v>13451</v>
      </c>
      <c r="X841" s="8">
        <f t="shared" si="138"/>
        <v>0</v>
      </c>
      <c r="Y841" s="7">
        <f t="shared" si="139"/>
        <v>13451</v>
      </c>
      <c r="Z841" s="9" t="str">
        <f t="shared" si="131"/>
        <v>SENIOR</v>
      </c>
    </row>
    <row r="842" spans="1:26" x14ac:dyDescent="0.3">
      <c r="A842" s="5" t="s">
        <v>1789</v>
      </c>
      <c r="B842" s="5" t="s">
        <v>117</v>
      </c>
      <c r="C842" s="5" t="s">
        <v>118</v>
      </c>
      <c r="D842" s="5" t="s">
        <v>27</v>
      </c>
      <c r="E842" s="5" t="s">
        <v>164</v>
      </c>
      <c r="F842" s="5" t="s">
        <v>219</v>
      </c>
      <c r="G842" s="5" t="s">
        <v>19</v>
      </c>
      <c r="H842" s="5">
        <v>21</v>
      </c>
      <c r="I842" s="5" t="s">
        <v>70</v>
      </c>
      <c r="J842" s="34" t="s">
        <v>541</v>
      </c>
      <c r="K842" s="31" t="s">
        <v>1790</v>
      </c>
      <c r="L842" s="5" t="s">
        <v>311</v>
      </c>
      <c r="M842" s="32" t="s">
        <v>140</v>
      </c>
      <c r="N842" s="6" t="str">
        <f t="shared" si="132"/>
        <v>-</v>
      </c>
      <c r="O842" s="4" t="s">
        <v>219</v>
      </c>
      <c r="P842" s="5" t="str">
        <f t="shared" si="133"/>
        <v>Mumbai</v>
      </c>
      <c r="Q842" s="5" t="str">
        <f t="shared" si="134"/>
        <v>Cardiology</v>
      </c>
      <c r="R842" s="6" t="str">
        <f t="shared" si="135"/>
        <v>Manipal</v>
      </c>
      <c r="S842" s="6" t="str">
        <f t="shared" si="136"/>
        <v>UPI</v>
      </c>
      <c r="T842" s="6" t="str">
        <f t="shared" si="137"/>
        <v>Female</v>
      </c>
      <c r="U842" s="6" t="str">
        <f t="shared" si="130"/>
        <v>General</v>
      </c>
      <c r="V842" s="6" t="str" cm="1">
        <f t="array" ref="V842">IF(TRIM(S842)="",INDEX($S$2:$S$1500,MATCH(MAX(COUNTIF($S$2:$S$1500,S842)),COUNTIF($S$2:$S$1500,$S$2:$S$1500),0)),S842)</f>
        <v>UPI</v>
      </c>
      <c r="W842" s="7" cm="1">
        <f t="array" ref="W842">IF(OR(TRIM(K842)="",TRIM(K842)="-"), MEDIAN(IF($E$2:$E$1500=E842,$K$2:$K$1500)),  VALUE(SUBSTITUTE(SUBSTITUTE(SUBSTITUTE(K842,"Rs. ",""),"₹",""),",","")))</f>
        <v>4502</v>
      </c>
      <c r="X842" s="8">
        <f t="shared" si="138"/>
        <v>3</v>
      </c>
      <c r="Y842" s="7">
        <f t="shared" si="139"/>
        <v>4367</v>
      </c>
      <c r="Z842" s="9" t="str">
        <f t="shared" si="131"/>
        <v>ADULT</v>
      </c>
    </row>
    <row r="843" spans="1:26" x14ac:dyDescent="0.3">
      <c r="A843" s="5" t="s">
        <v>1791</v>
      </c>
      <c r="B843" s="5" t="s">
        <v>78</v>
      </c>
      <c r="C843" s="5" t="s">
        <v>203</v>
      </c>
      <c r="D843" s="5" t="s">
        <v>55</v>
      </c>
      <c r="E843" s="5" t="s">
        <v>28</v>
      </c>
      <c r="F843" s="5" t="s">
        <v>259</v>
      </c>
      <c r="G843" s="5" t="s">
        <v>49</v>
      </c>
      <c r="H843" s="5">
        <v>89</v>
      </c>
      <c r="I843" s="5" t="s">
        <v>70</v>
      </c>
      <c r="J843" s="34" t="s">
        <v>547</v>
      </c>
      <c r="K843" s="31" t="s">
        <v>1792</v>
      </c>
      <c r="L843" s="5" t="s">
        <v>34</v>
      </c>
      <c r="M843" s="32" t="s">
        <v>64</v>
      </c>
      <c r="N843" s="6" t="str">
        <f t="shared" si="132"/>
        <v>NA</v>
      </c>
      <c r="O843" s="4" t="s">
        <v>259</v>
      </c>
      <c r="P843" s="5" t="str">
        <f t="shared" si="133"/>
        <v>Hyderabad</v>
      </c>
      <c r="Q843" s="5" t="str">
        <f t="shared" si="134"/>
        <v>Oncology</v>
      </c>
      <c r="R843" s="6" t="str">
        <f t="shared" si="135"/>
        <v>Apollo</v>
      </c>
      <c r="S843" s="6" t="str">
        <f t="shared" si="136"/>
        <v>Cash</v>
      </c>
      <c r="T843" s="6" t="str">
        <f t="shared" si="137"/>
        <v>Female</v>
      </c>
      <c r="U843" s="6" t="str">
        <f t="shared" si="130"/>
        <v>General</v>
      </c>
      <c r="V843" s="6" t="str" cm="1">
        <f t="array" ref="V843">IF(TRIM(S843)="",INDEX($S$2:$S$1500,MATCH(MAX(COUNTIF($S$2:$S$1500,S843)),COUNTIF($S$2:$S$1500,$S$2:$S$1500),0)),S843)</f>
        <v>Cash</v>
      </c>
      <c r="W843" s="7" cm="1">
        <f t="array" ref="W843">IF(OR(TRIM(K843)="",TRIM(K843)="-"), MEDIAN(IF($E$2:$E$1500=E843,$K$2:$K$1500)),  VALUE(SUBSTITUTE(SUBSTITUTE(SUBSTITUTE(K843,"Rs. ",""),"₹",""),",","")))</f>
        <v>9470</v>
      </c>
      <c r="X843" s="8">
        <f t="shared" si="138"/>
        <v>3</v>
      </c>
      <c r="Y843" s="7">
        <f t="shared" si="139"/>
        <v>9186</v>
      </c>
      <c r="Z843" s="9" t="str">
        <f t="shared" si="131"/>
        <v>SENIOR</v>
      </c>
    </row>
    <row r="844" spans="1:26" x14ac:dyDescent="0.3">
      <c r="A844" s="5" t="s">
        <v>1793</v>
      </c>
      <c r="B844" s="5" t="s">
        <v>106</v>
      </c>
      <c r="C844" s="5" t="s">
        <v>107</v>
      </c>
      <c r="D844" s="5" t="s">
        <v>61</v>
      </c>
      <c r="E844" s="5" t="s">
        <v>17</v>
      </c>
      <c r="F844" s="5" t="s">
        <v>135</v>
      </c>
      <c r="G844" s="5" t="s">
        <v>49</v>
      </c>
      <c r="H844" s="5">
        <v>70</v>
      </c>
      <c r="I844" s="5" t="s">
        <v>40</v>
      </c>
      <c r="J844" s="34" t="s">
        <v>1062</v>
      </c>
      <c r="K844" s="31">
        <v>9048</v>
      </c>
      <c r="L844" s="5" t="s">
        <v>58</v>
      </c>
      <c r="M844" s="32" t="s">
        <v>130</v>
      </c>
      <c r="N844" s="6">
        <f t="shared" si="132"/>
        <v>0</v>
      </c>
      <c r="O844" s="4" t="s">
        <v>135</v>
      </c>
      <c r="P844" s="5" t="str">
        <f t="shared" si="133"/>
        <v>Pune</v>
      </c>
      <c r="Q844" s="5" t="str">
        <f t="shared" si="134"/>
        <v>Gynecology</v>
      </c>
      <c r="R844" s="6" t="str">
        <f t="shared" si="135"/>
        <v>Aiims</v>
      </c>
      <c r="S844" s="6" t="str">
        <f t="shared" si="136"/>
        <v>UPI</v>
      </c>
      <c r="T844" s="6" t="str">
        <f t="shared" si="137"/>
        <v>Female</v>
      </c>
      <c r="U844" s="6" t="str">
        <f t="shared" si="130"/>
        <v>General</v>
      </c>
      <c r="V844" s="6" t="str" cm="1">
        <f t="array" ref="V844">IF(TRIM(S844)="",INDEX($S$2:$S$1500,MATCH(MAX(COUNTIF($S$2:$S$1500,S844)),COUNTIF($S$2:$S$1500,$S$2:$S$1500),0)),S844)</f>
        <v>UPI</v>
      </c>
      <c r="W844" s="7" cm="1">
        <f t="array" ref="W844">IF(OR(TRIM(K844)="",TRIM(K844)="-"), MEDIAN(IF($E$2:$E$1500=E844,$K$2:$K$1500)),  VALUE(SUBSTITUTE(SUBSTITUTE(SUBSTITUTE(K844,"Rs. ",""),"₹",""),",","")))</f>
        <v>9048</v>
      </c>
      <c r="X844" s="8">
        <f t="shared" si="138"/>
        <v>0</v>
      </c>
      <c r="Y844" s="7">
        <f t="shared" si="139"/>
        <v>9048</v>
      </c>
      <c r="Z844" s="9" t="str">
        <f t="shared" si="131"/>
        <v>SENIOR</v>
      </c>
    </row>
    <row r="845" spans="1:26" x14ac:dyDescent="0.3">
      <c r="A845" s="5" t="s">
        <v>1794</v>
      </c>
      <c r="B845" s="5" t="s">
        <v>14</v>
      </c>
      <c r="C845" s="5" t="s">
        <v>15</v>
      </c>
      <c r="D845" s="5" t="s">
        <v>16</v>
      </c>
      <c r="E845" s="5" t="s">
        <v>74</v>
      </c>
      <c r="F845" s="5" t="s">
        <v>172</v>
      </c>
      <c r="G845" s="5" t="s">
        <v>39</v>
      </c>
      <c r="H845" s="5">
        <v>33</v>
      </c>
      <c r="I845" s="5" t="s">
        <v>40</v>
      </c>
      <c r="J845" s="34" t="s">
        <v>1795</v>
      </c>
      <c r="K845" s="31">
        <v>15100</v>
      </c>
      <c r="L845" s="5" t="s">
        <v>58</v>
      </c>
      <c r="M845" s="32" t="s">
        <v>140</v>
      </c>
      <c r="N845" s="6" t="str">
        <f t="shared" si="132"/>
        <v>-</v>
      </c>
      <c r="O845" s="4" t="s">
        <v>172</v>
      </c>
      <c r="P845" s="5" t="str">
        <f t="shared" si="133"/>
        <v>Bangalore</v>
      </c>
      <c r="Q845" s="5" t="str">
        <f t="shared" si="134"/>
        <v>General Medicine</v>
      </c>
      <c r="R845" s="6" t="str">
        <f t="shared" si="135"/>
        <v>Max_Healthcare</v>
      </c>
      <c r="S845" s="6" t="str">
        <f t="shared" si="136"/>
        <v>UPI</v>
      </c>
      <c r="T845" s="6" t="str">
        <f t="shared" si="137"/>
        <v>Female</v>
      </c>
      <c r="U845" s="6" t="str">
        <f t="shared" si="130"/>
        <v>General</v>
      </c>
      <c r="V845" s="6" t="str" cm="1">
        <f t="array" ref="V845">IF(TRIM(S845)="",INDEX($S$2:$S$1500,MATCH(MAX(COUNTIF($S$2:$S$1500,S845)),COUNTIF($S$2:$S$1500,$S$2:$S$1500),0)),S845)</f>
        <v>UPI</v>
      </c>
      <c r="W845" s="7" cm="1">
        <f t="array" ref="W845">IF(OR(TRIM(K845)="",TRIM(K845)="-"), MEDIAN(IF($E$2:$E$1500=E845,$K$2:$K$1500)),  VALUE(SUBSTITUTE(SUBSTITUTE(SUBSTITUTE(K845,"Rs. ",""),"₹",""),",","")))</f>
        <v>15100</v>
      </c>
      <c r="X845" s="8">
        <f t="shared" si="138"/>
        <v>3</v>
      </c>
      <c r="Y845" s="7">
        <f t="shared" si="139"/>
        <v>14647</v>
      </c>
      <c r="Z845" s="9" t="str">
        <f t="shared" si="131"/>
        <v>ADULT</v>
      </c>
    </row>
    <row r="846" spans="1:26" x14ac:dyDescent="0.3">
      <c r="A846" s="5" t="s">
        <v>1796</v>
      </c>
      <c r="B846" s="5" t="s">
        <v>25</v>
      </c>
      <c r="C846" s="5" t="s">
        <v>26</v>
      </c>
      <c r="D846" s="5" t="s">
        <v>66</v>
      </c>
      <c r="E846" s="5" t="s">
        <v>28</v>
      </c>
      <c r="F846" s="5" t="s">
        <v>290</v>
      </c>
      <c r="G846" s="5" t="s">
        <v>101</v>
      </c>
      <c r="H846" s="5">
        <v>72</v>
      </c>
      <c r="I846" s="5" t="s">
        <v>40</v>
      </c>
      <c r="J846" s="34" t="s">
        <v>675</v>
      </c>
      <c r="K846" s="31">
        <v>78948</v>
      </c>
      <c r="L846" s="5" t="s">
        <v>91</v>
      </c>
      <c r="M846" s="32">
        <v>0</v>
      </c>
      <c r="N846" s="6">
        <f t="shared" si="132"/>
        <v>0</v>
      </c>
      <c r="O846" s="4" t="s">
        <v>290</v>
      </c>
      <c r="P846" s="5" t="str">
        <f t="shared" si="133"/>
        <v>Kolkata</v>
      </c>
      <c r="Q846" s="5" t="str">
        <f t="shared" si="134"/>
        <v>Oncology</v>
      </c>
      <c r="R846" s="6" t="str">
        <f t="shared" si="135"/>
        <v>Narayana</v>
      </c>
      <c r="S846" s="6" t="str">
        <f t="shared" si="136"/>
        <v>Debit Card</v>
      </c>
      <c r="T846" s="6" t="str">
        <f t="shared" si="137"/>
        <v>Female</v>
      </c>
      <c r="U846" s="6" t="str">
        <f t="shared" ref="U846:U909" si="140">IF(OR(UPPER(TRIM(G846))="GENERAL",UPPER(TRIM(G846))="GENRAL"),"General",IF(UPPER(TRIM(G846))="ICU","ICU","Unknown"))</f>
        <v>ICU</v>
      </c>
      <c r="V846" s="6" t="str" cm="1">
        <f t="array" ref="V846">IF(TRIM(S846)="",INDEX($S$2:$S$1500,MATCH(MAX(COUNTIF($S$2:$S$1500,S846)),COUNTIF($S$2:$S$1500,$S$2:$S$1500),0)),S846)</f>
        <v>Debit Card</v>
      </c>
      <c r="W846" s="7" cm="1">
        <f t="array" ref="W846">IF(OR(TRIM(K846)="",TRIM(K846)="-"), MEDIAN(IF($E$2:$E$1500=E846,$K$2:$K$1500)),  VALUE(SUBSTITUTE(SUBSTITUTE(SUBSTITUTE(K846,"Rs. ",""),"₹",""),",","")))</f>
        <v>78948</v>
      </c>
      <c r="X846" s="8">
        <f t="shared" si="138"/>
        <v>0</v>
      </c>
      <c r="Y846" s="7">
        <f t="shared" si="139"/>
        <v>78948</v>
      </c>
      <c r="Z846" s="9" t="str">
        <f t="shared" si="131"/>
        <v>SENIOR</v>
      </c>
    </row>
    <row r="847" spans="1:26" x14ac:dyDescent="0.3">
      <c r="A847" s="5" t="s">
        <v>1797</v>
      </c>
      <c r="B847" s="5" t="s">
        <v>78</v>
      </c>
      <c r="C847" s="5" t="s">
        <v>203</v>
      </c>
      <c r="D847" s="5" t="s">
        <v>16</v>
      </c>
      <c r="E847" s="5" t="s">
        <v>99</v>
      </c>
      <c r="F847" s="5" t="s">
        <v>151</v>
      </c>
      <c r="G847" s="5" t="s">
        <v>19</v>
      </c>
      <c r="H847" s="5">
        <v>4</v>
      </c>
      <c r="I847" s="5" t="s">
        <v>40</v>
      </c>
      <c r="J847" s="34" t="s">
        <v>590</v>
      </c>
      <c r="K847" s="31">
        <v>12903</v>
      </c>
      <c r="L847" s="5" t="s">
        <v>23</v>
      </c>
      <c r="M847" s="32" t="s">
        <v>130</v>
      </c>
      <c r="N847" s="6">
        <f t="shared" si="132"/>
        <v>0</v>
      </c>
      <c r="O847" s="4" t="s">
        <v>151</v>
      </c>
      <c r="P847" s="5" t="str">
        <f t="shared" si="133"/>
        <v>Bangalore</v>
      </c>
      <c r="Q847" s="5" t="str">
        <f t="shared" si="134"/>
        <v>Ent</v>
      </c>
      <c r="R847" s="6" t="str">
        <f t="shared" si="135"/>
        <v>Apollo</v>
      </c>
      <c r="S847" s="6" t="str">
        <f t="shared" si="136"/>
        <v>Credit Card</v>
      </c>
      <c r="T847" s="6" t="str">
        <f t="shared" si="137"/>
        <v>Female</v>
      </c>
      <c r="U847" s="6" t="str">
        <f t="shared" si="140"/>
        <v>General</v>
      </c>
      <c r="V847" s="6" t="str" cm="1">
        <f t="array" ref="V847">IF(TRIM(S847)="",INDEX($S$2:$S$1500,MATCH(MAX(COUNTIF($S$2:$S$1500,S847)),COUNTIF($S$2:$S$1500,$S$2:$S$1500),0)),S847)</f>
        <v>Credit Card</v>
      </c>
      <c r="W847" s="7" cm="1">
        <f t="array" ref="W847">IF(OR(TRIM(K847)="",TRIM(K847)="-"), MEDIAN(IF($E$2:$E$1500=E847,$K$2:$K$1500)),  VALUE(SUBSTITUTE(SUBSTITUTE(SUBSTITUTE(K847,"Rs. ",""),"₹",""),",","")))</f>
        <v>12903</v>
      </c>
      <c r="X847" s="8">
        <f t="shared" si="138"/>
        <v>0</v>
      </c>
      <c r="Y847" s="7">
        <f t="shared" si="139"/>
        <v>12903</v>
      </c>
      <c r="Z847" s="9" t="str">
        <f t="shared" si="131"/>
        <v>CHILD</v>
      </c>
    </row>
    <row r="848" spans="1:26" x14ac:dyDescent="0.3">
      <c r="A848" s="5" t="s">
        <v>1798</v>
      </c>
      <c r="B848" s="5" t="s">
        <v>78</v>
      </c>
      <c r="C848" s="5" t="s">
        <v>203</v>
      </c>
      <c r="D848" s="5" t="s">
        <v>66</v>
      </c>
      <c r="E848" s="5" t="s">
        <v>37</v>
      </c>
      <c r="F848" s="5" t="s">
        <v>132</v>
      </c>
      <c r="G848" s="5" t="s">
        <v>30</v>
      </c>
      <c r="H848" s="5">
        <v>50</v>
      </c>
      <c r="I848" s="5" t="s">
        <v>31</v>
      </c>
      <c r="J848" s="34" t="s">
        <v>1131</v>
      </c>
      <c r="K848" s="31" t="s">
        <v>1799</v>
      </c>
      <c r="L848" s="5" t="s">
        <v>91</v>
      </c>
      <c r="M848" s="32" t="s">
        <v>198</v>
      </c>
      <c r="N848" s="6">
        <f t="shared" si="132"/>
        <v>5</v>
      </c>
      <c r="O848" s="4" t="s">
        <v>132</v>
      </c>
      <c r="P848" s="5" t="str">
        <f t="shared" si="133"/>
        <v>Kolkata</v>
      </c>
      <c r="Q848" s="5" t="str">
        <f t="shared" si="134"/>
        <v>Pediatrics</v>
      </c>
      <c r="R848" s="6" t="str">
        <f t="shared" si="135"/>
        <v>Apollo</v>
      </c>
      <c r="S848" s="6" t="str">
        <f t="shared" si="136"/>
        <v>Debit Card</v>
      </c>
      <c r="T848" s="6" t="str">
        <f t="shared" si="137"/>
        <v>Male</v>
      </c>
      <c r="U848" s="6" t="str">
        <f t="shared" si="140"/>
        <v>General</v>
      </c>
      <c r="V848" s="6" t="str" cm="1">
        <f t="array" ref="V848">IF(TRIM(S848)="",INDEX($S$2:$S$1500,MATCH(MAX(COUNTIF($S$2:$S$1500,S848)),COUNTIF($S$2:$S$1500,$S$2:$S$1500),0)),S848)</f>
        <v>Debit Card</v>
      </c>
      <c r="W848" s="7" cm="1">
        <f t="array" ref="W848">IF(OR(TRIM(K848)="",TRIM(K848)="-"), MEDIAN(IF($E$2:$E$1500=E848,$K$2:$K$1500)),  VALUE(SUBSTITUTE(SUBSTITUTE(SUBSTITUTE(K848,"Rs. ",""),"₹",""),",","")))</f>
        <v>4863</v>
      </c>
      <c r="X848" s="8">
        <f t="shared" si="138"/>
        <v>5</v>
      </c>
      <c r="Y848" s="7">
        <f t="shared" si="139"/>
        <v>4620</v>
      </c>
      <c r="Z848" s="9" t="str">
        <f t="shared" si="131"/>
        <v>ADULT</v>
      </c>
    </row>
    <row r="849" spans="1:26" x14ac:dyDescent="0.3">
      <c r="A849" s="5" t="s">
        <v>1800</v>
      </c>
      <c r="B849" s="5" t="s">
        <v>78</v>
      </c>
      <c r="C849" s="5" t="s">
        <v>79</v>
      </c>
      <c r="D849" s="5" t="s">
        <v>66</v>
      </c>
      <c r="E849" s="5" t="s">
        <v>28</v>
      </c>
      <c r="F849" s="5" t="s">
        <v>268</v>
      </c>
      <c r="G849" s="5" t="s">
        <v>19</v>
      </c>
      <c r="H849" s="5">
        <v>53</v>
      </c>
      <c r="I849" s="5" t="s">
        <v>40</v>
      </c>
      <c r="J849" s="34" t="s">
        <v>1597</v>
      </c>
      <c r="K849" s="31" t="s">
        <v>1801</v>
      </c>
      <c r="L849" s="5" t="s">
        <v>72</v>
      </c>
      <c r="M849" s="32" t="s">
        <v>130</v>
      </c>
      <c r="N849" s="6">
        <f t="shared" si="132"/>
        <v>0</v>
      </c>
      <c r="O849" s="4" t="s">
        <v>268</v>
      </c>
      <c r="P849" s="5" t="str">
        <f t="shared" si="133"/>
        <v>Kolkata</v>
      </c>
      <c r="Q849" s="5" t="str">
        <f t="shared" si="134"/>
        <v>Oncology</v>
      </c>
      <c r="R849" s="6" t="str">
        <f t="shared" si="135"/>
        <v>Apollo</v>
      </c>
      <c r="S849" s="6" t="str">
        <f t="shared" si="136"/>
        <v>Cash</v>
      </c>
      <c r="T849" s="6" t="str">
        <f t="shared" si="137"/>
        <v>Female</v>
      </c>
      <c r="U849" s="6" t="str">
        <f t="shared" si="140"/>
        <v>General</v>
      </c>
      <c r="V849" s="6" t="str" cm="1">
        <f t="array" ref="V849">IF(TRIM(S849)="",INDEX($S$2:$S$1500,MATCH(MAX(COUNTIF($S$2:$S$1500,S849)),COUNTIF($S$2:$S$1500,$S$2:$S$1500),0)),S849)</f>
        <v>Cash</v>
      </c>
      <c r="W849" s="7" cm="1">
        <f t="array" ref="W849">IF(OR(TRIM(K849)="",TRIM(K849)="-"), MEDIAN(IF($E$2:$E$1500=E849,$K$2:$K$1500)),  VALUE(SUBSTITUTE(SUBSTITUTE(SUBSTITUTE(K849,"Rs. ",""),"₹",""),",","")))</f>
        <v>12432</v>
      </c>
      <c r="X849" s="8">
        <f t="shared" si="138"/>
        <v>0</v>
      </c>
      <c r="Y849" s="7">
        <f t="shared" si="139"/>
        <v>12432</v>
      </c>
      <c r="Z849" s="9" t="str">
        <f t="shared" si="131"/>
        <v>ADULT</v>
      </c>
    </row>
    <row r="850" spans="1:26" x14ac:dyDescent="0.3">
      <c r="A850" s="5" t="s">
        <v>1802</v>
      </c>
      <c r="B850" s="5" t="s">
        <v>117</v>
      </c>
      <c r="C850" s="5" t="s">
        <v>182</v>
      </c>
      <c r="D850" s="5" t="s">
        <v>66</v>
      </c>
      <c r="E850" s="5" t="s">
        <v>17</v>
      </c>
      <c r="F850" s="5" t="s">
        <v>169</v>
      </c>
      <c r="G850" s="5" t="s">
        <v>19</v>
      </c>
      <c r="H850" s="5">
        <v>12</v>
      </c>
      <c r="I850" s="5" t="s">
        <v>20</v>
      </c>
      <c r="J850" s="34" t="s">
        <v>1353</v>
      </c>
      <c r="K850" s="31" t="s">
        <v>1803</v>
      </c>
      <c r="L850" s="5" t="s">
        <v>72</v>
      </c>
      <c r="M850" s="32">
        <v>0</v>
      </c>
      <c r="N850" s="6">
        <f t="shared" si="132"/>
        <v>0</v>
      </c>
      <c r="O850" s="4" t="s">
        <v>169</v>
      </c>
      <c r="P850" s="5" t="str">
        <f t="shared" si="133"/>
        <v>Kolkata</v>
      </c>
      <c r="Q850" s="5" t="str">
        <f t="shared" si="134"/>
        <v>Gynecology</v>
      </c>
      <c r="R850" s="6" t="str">
        <f t="shared" si="135"/>
        <v>Manipal</v>
      </c>
      <c r="S850" s="6" t="str">
        <f t="shared" si="136"/>
        <v>Cash</v>
      </c>
      <c r="T850" s="6" t="str">
        <f t="shared" si="137"/>
        <v>Male</v>
      </c>
      <c r="U850" s="6" t="str">
        <f t="shared" si="140"/>
        <v>General</v>
      </c>
      <c r="V850" s="6" t="str" cm="1">
        <f t="array" ref="V850">IF(TRIM(S850)="",INDEX($S$2:$S$1500,MATCH(MAX(COUNTIF($S$2:$S$1500,S850)),COUNTIF($S$2:$S$1500,$S$2:$S$1500),0)),S850)</f>
        <v>Cash</v>
      </c>
      <c r="W850" s="7" cm="1">
        <f t="array" ref="W850">IF(OR(TRIM(K850)="",TRIM(K850)="-"), MEDIAN(IF($E$2:$E$1500=E850,$K$2:$K$1500)),  VALUE(SUBSTITUTE(SUBSTITUTE(SUBSTITUTE(K850,"Rs. ",""),"₹",""),",","")))</f>
        <v>4200</v>
      </c>
      <c r="X850" s="8">
        <f t="shared" si="138"/>
        <v>0</v>
      </c>
      <c r="Y850" s="7">
        <f t="shared" si="139"/>
        <v>4200</v>
      </c>
      <c r="Z850" s="9" t="str">
        <f t="shared" si="131"/>
        <v>CHILD</v>
      </c>
    </row>
    <row r="851" spans="1:26" x14ac:dyDescent="0.3">
      <c r="A851" s="5" t="s">
        <v>1804</v>
      </c>
      <c r="B851" s="5" t="s">
        <v>14</v>
      </c>
      <c r="C851" s="5" t="s">
        <v>15</v>
      </c>
      <c r="D851" s="5" t="s">
        <v>189</v>
      </c>
      <c r="E851" s="5" t="s">
        <v>28</v>
      </c>
      <c r="F851" s="5" t="s">
        <v>268</v>
      </c>
      <c r="G851" s="5" t="s">
        <v>19</v>
      </c>
      <c r="H851" s="5">
        <v>77</v>
      </c>
      <c r="I851" s="5" t="s">
        <v>40</v>
      </c>
      <c r="J851" s="34" t="s">
        <v>723</v>
      </c>
      <c r="K851" s="31" t="s">
        <v>1805</v>
      </c>
      <c r="L851" s="5" t="s">
        <v>52</v>
      </c>
      <c r="M851" s="32">
        <v>0</v>
      </c>
      <c r="N851" s="6">
        <f t="shared" si="132"/>
        <v>0</v>
      </c>
      <c r="O851" s="4" t="s">
        <v>268</v>
      </c>
      <c r="P851" s="5" t="str">
        <f t="shared" si="133"/>
        <v>Delhi</v>
      </c>
      <c r="Q851" s="5" t="str">
        <f t="shared" si="134"/>
        <v>Oncology</v>
      </c>
      <c r="R851" s="6" t="str">
        <f t="shared" si="135"/>
        <v>Max_Healthcare</v>
      </c>
      <c r="S851" s="6" t="str">
        <f t="shared" si="136"/>
        <v>Credit Card</v>
      </c>
      <c r="T851" s="6" t="str">
        <f t="shared" si="137"/>
        <v>Female</v>
      </c>
      <c r="U851" s="6" t="str">
        <f t="shared" si="140"/>
        <v>General</v>
      </c>
      <c r="V851" s="6" t="str" cm="1">
        <f t="array" ref="V851">IF(TRIM(S851)="",INDEX($S$2:$S$1500,MATCH(MAX(COUNTIF($S$2:$S$1500,S851)),COUNTIF($S$2:$S$1500,$S$2:$S$1500),0)),S851)</f>
        <v>Credit Card</v>
      </c>
      <c r="W851" s="7" cm="1">
        <f t="array" ref="W851">IF(OR(TRIM(K851)="",TRIM(K851)="-"), MEDIAN(IF($E$2:$E$1500=E851,$K$2:$K$1500)),  VALUE(SUBSTITUTE(SUBSTITUTE(SUBSTITUTE(K851,"Rs. ",""),"₹",""),",","")))</f>
        <v>10134</v>
      </c>
      <c r="X851" s="8">
        <f t="shared" si="138"/>
        <v>0</v>
      </c>
      <c r="Y851" s="7">
        <f t="shared" si="139"/>
        <v>10134</v>
      </c>
      <c r="Z851" s="9" t="str">
        <f t="shared" si="131"/>
        <v>SENIOR</v>
      </c>
    </row>
    <row r="852" spans="1:26" x14ac:dyDescent="0.3">
      <c r="A852" s="5" t="s">
        <v>1806</v>
      </c>
      <c r="B852" s="5" t="s">
        <v>14</v>
      </c>
      <c r="C852" s="5" t="s">
        <v>60</v>
      </c>
      <c r="D852" s="5" t="s">
        <v>61</v>
      </c>
      <c r="E852" s="5" t="s">
        <v>37</v>
      </c>
      <c r="F852" s="5" t="s">
        <v>132</v>
      </c>
      <c r="G852" s="5" t="s">
        <v>69</v>
      </c>
      <c r="H852" s="5">
        <v>55</v>
      </c>
      <c r="I852" s="5" t="s">
        <v>40</v>
      </c>
      <c r="J852" s="34" t="s">
        <v>977</v>
      </c>
      <c r="K852" s="31">
        <v>69089</v>
      </c>
      <c r="L852" s="5" t="s">
        <v>72</v>
      </c>
      <c r="M852" s="32">
        <v>0.05</v>
      </c>
      <c r="N852" s="6">
        <f t="shared" si="132"/>
        <v>5</v>
      </c>
      <c r="O852" s="4" t="s">
        <v>132</v>
      </c>
      <c r="P852" s="5" t="str">
        <f t="shared" si="133"/>
        <v>Pune</v>
      </c>
      <c r="Q852" s="5" t="str">
        <f t="shared" si="134"/>
        <v>Pediatrics</v>
      </c>
      <c r="R852" s="6" t="str">
        <f t="shared" si="135"/>
        <v>Max_Healthcare</v>
      </c>
      <c r="S852" s="6" t="str">
        <f t="shared" si="136"/>
        <v>Cash</v>
      </c>
      <c r="T852" s="6" t="str">
        <f t="shared" si="137"/>
        <v>Female</v>
      </c>
      <c r="U852" s="6" t="str">
        <f t="shared" si="140"/>
        <v>ICU</v>
      </c>
      <c r="V852" s="6" t="str" cm="1">
        <f t="array" ref="V852">IF(TRIM(S852)="",INDEX($S$2:$S$1500,MATCH(MAX(COUNTIF($S$2:$S$1500,S852)),COUNTIF($S$2:$S$1500,$S$2:$S$1500),0)),S852)</f>
        <v>Cash</v>
      </c>
      <c r="W852" s="7" cm="1">
        <f t="array" ref="W852">IF(OR(TRIM(K852)="",TRIM(K852)="-"), MEDIAN(IF($E$2:$E$1500=E852,$K$2:$K$1500)),  VALUE(SUBSTITUTE(SUBSTITUTE(SUBSTITUTE(K852,"Rs. ",""),"₹",""),",","")))</f>
        <v>69089</v>
      </c>
      <c r="X852" s="8">
        <f t="shared" si="138"/>
        <v>5</v>
      </c>
      <c r="Y852" s="7">
        <f t="shared" si="139"/>
        <v>65635</v>
      </c>
      <c r="Z852" s="9" t="str">
        <f t="shared" si="131"/>
        <v>ADULT</v>
      </c>
    </row>
    <row r="853" spans="1:26" x14ac:dyDescent="0.3">
      <c r="A853" s="5" t="s">
        <v>1807</v>
      </c>
      <c r="B853" s="5" t="s">
        <v>106</v>
      </c>
      <c r="C853" s="5" t="s">
        <v>307</v>
      </c>
      <c r="D853" s="5" t="s">
        <v>66</v>
      </c>
      <c r="E853" s="5" t="s">
        <v>74</v>
      </c>
      <c r="F853" s="5" t="s">
        <v>172</v>
      </c>
      <c r="G853" s="5" t="s">
        <v>39</v>
      </c>
      <c r="H853" s="5">
        <v>77</v>
      </c>
      <c r="I853" s="5" t="s">
        <v>40</v>
      </c>
      <c r="J853" s="34" t="s">
        <v>635</v>
      </c>
      <c r="K853" s="31" t="s">
        <v>1808</v>
      </c>
      <c r="L853" s="5" t="s">
        <v>87</v>
      </c>
      <c r="M853" s="32" t="s">
        <v>140</v>
      </c>
      <c r="N853" s="6" t="str">
        <f t="shared" si="132"/>
        <v>-</v>
      </c>
      <c r="O853" s="4" t="s">
        <v>172</v>
      </c>
      <c r="P853" s="5" t="str">
        <f t="shared" si="133"/>
        <v>Kolkata</v>
      </c>
      <c r="Q853" s="5" t="str">
        <f t="shared" si="134"/>
        <v>General Medicine</v>
      </c>
      <c r="R853" s="6" t="str">
        <f t="shared" si="135"/>
        <v>Aiims</v>
      </c>
      <c r="S853" s="6" t="str">
        <f t="shared" si="136"/>
        <v>Credit Card</v>
      </c>
      <c r="T853" s="6" t="str">
        <f t="shared" si="137"/>
        <v>Female</v>
      </c>
      <c r="U853" s="6" t="str">
        <f t="shared" si="140"/>
        <v>General</v>
      </c>
      <c r="V853" s="6" t="str" cm="1">
        <f t="array" ref="V853">IF(TRIM(S853)="",INDEX($S$2:$S$1500,MATCH(MAX(COUNTIF($S$2:$S$1500,S853)),COUNTIF($S$2:$S$1500,$S$2:$S$1500),0)),S853)</f>
        <v>Credit Card</v>
      </c>
      <c r="W853" s="7" cm="1">
        <f t="array" ref="W853">IF(OR(TRIM(K853)="",TRIM(K853)="-"), MEDIAN(IF($E$2:$E$1500=E853,$K$2:$K$1500)),  VALUE(SUBSTITUTE(SUBSTITUTE(SUBSTITUTE(K853,"Rs. ",""),"₹",""),",","")))</f>
        <v>18729</v>
      </c>
      <c r="X853" s="8">
        <f t="shared" si="138"/>
        <v>3</v>
      </c>
      <c r="Y853" s="7">
        <f t="shared" si="139"/>
        <v>18167</v>
      </c>
      <c r="Z853" s="9" t="str">
        <f t="shared" si="131"/>
        <v>SENIOR</v>
      </c>
    </row>
    <row r="854" spans="1:26" x14ac:dyDescent="0.3">
      <c r="A854" s="5" t="s">
        <v>1809</v>
      </c>
      <c r="B854" s="5" t="s">
        <v>25</v>
      </c>
      <c r="C854" s="5" t="s">
        <v>26</v>
      </c>
      <c r="D854" s="5" t="s">
        <v>61</v>
      </c>
      <c r="E854" s="5" t="s">
        <v>67</v>
      </c>
      <c r="F854" s="5" t="s">
        <v>68</v>
      </c>
      <c r="G854" s="5"/>
      <c r="H854" s="5">
        <v>11</v>
      </c>
      <c r="I854" s="5" t="s">
        <v>70</v>
      </c>
      <c r="J854" s="34" t="s">
        <v>1399</v>
      </c>
      <c r="K854" s="31" t="s">
        <v>1810</v>
      </c>
      <c r="L854" s="5" t="s">
        <v>97</v>
      </c>
      <c r="M854" s="32">
        <v>0</v>
      </c>
      <c r="N854" s="6">
        <f t="shared" si="132"/>
        <v>0</v>
      </c>
      <c r="O854" s="4" t="s">
        <v>68</v>
      </c>
      <c r="P854" s="5" t="str">
        <f t="shared" si="133"/>
        <v>Pune</v>
      </c>
      <c r="Q854" s="5" t="str">
        <f t="shared" si="134"/>
        <v>Neurology</v>
      </c>
      <c r="R854" s="6" t="str">
        <f t="shared" si="135"/>
        <v>Narayana</v>
      </c>
      <c r="S854" s="6" t="str">
        <f t="shared" si="136"/>
        <v>UPI</v>
      </c>
      <c r="T854" s="6" t="str">
        <f t="shared" si="137"/>
        <v>Female</v>
      </c>
      <c r="U854" s="6" t="str">
        <f t="shared" si="140"/>
        <v>Unknown</v>
      </c>
      <c r="V854" s="6" t="str" cm="1">
        <f t="array" ref="V854">IF(TRIM(S854)="",INDEX($S$2:$S$1500,MATCH(MAX(COUNTIF($S$2:$S$1500,S854)),COUNTIF($S$2:$S$1500,$S$2:$S$1500),0)),S854)</f>
        <v>UPI</v>
      </c>
      <c r="W854" s="7" cm="1">
        <f t="array" ref="W854">IF(OR(TRIM(K854)="",TRIM(K854)="-"), MEDIAN(IF($E$2:$E$1500=E854,$K$2:$K$1500)),  VALUE(SUBSTITUTE(SUBSTITUTE(SUBSTITUTE(K854,"Rs. ",""),"₹",""),",","")))</f>
        <v>4079</v>
      </c>
      <c r="X854" s="8">
        <f t="shared" si="138"/>
        <v>0</v>
      </c>
      <c r="Y854" s="7">
        <f t="shared" si="139"/>
        <v>4079</v>
      </c>
      <c r="Z854" s="9" t="str">
        <f t="shared" si="131"/>
        <v>CHILD</v>
      </c>
    </row>
    <row r="855" spans="1:26" x14ac:dyDescent="0.3">
      <c r="A855" s="5" t="s">
        <v>1811</v>
      </c>
      <c r="B855" s="5" t="s">
        <v>14</v>
      </c>
      <c r="C855" s="5" t="s">
        <v>60</v>
      </c>
      <c r="D855" s="5" t="s">
        <v>27</v>
      </c>
      <c r="E855" s="5" t="s">
        <v>67</v>
      </c>
      <c r="F855" s="5" t="s">
        <v>85</v>
      </c>
      <c r="G855" s="5" t="s">
        <v>69</v>
      </c>
      <c r="H855" s="5">
        <v>70</v>
      </c>
      <c r="I855" s="5" t="s">
        <v>20</v>
      </c>
      <c r="J855" s="34" t="s">
        <v>1812</v>
      </c>
      <c r="K855" s="31" t="s">
        <v>1813</v>
      </c>
      <c r="L855" s="5" t="s">
        <v>42</v>
      </c>
      <c r="M855" s="32" t="s">
        <v>64</v>
      </c>
      <c r="N855" s="6" t="str">
        <f t="shared" si="132"/>
        <v>NA</v>
      </c>
      <c r="O855" s="4" t="s">
        <v>85</v>
      </c>
      <c r="P855" s="5" t="str">
        <f t="shared" si="133"/>
        <v>Mumbai</v>
      </c>
      <c r="Q855" s="5" t="str">
        <f t="shared" si="134"/>
        <v>Neurology</v>
      </c>
      <c r="R855" s="6" t="str">
        <f t="shared" si="135"/>
        <v>Max_Healthcare</v>
      </c>
      <c r="S855" s="6" t="str">
        <f t="shared" si="136"/>
        <v>Insurance</v>
      </c>
      <c r="T855" s="6" t="str">
        <f t="shared" si="137"/>
        <v>Male</v>
      </c>
      <c r="U855" s="6" t="str">
        <f t="shared" si="140"/>
        <v>ICU</v>
      </c>
      <c r="V855" s="6" t="str" cm="1">
        <f t="array" ref="V855">IF(TRIM(S855)="",INDEX($S$2:$S$1500,MATCH(MAX(COUNTIF($S$2:$S$1500,S855)),COUNTIF($S$2:$S$1500,$S$2:$S$1500),0)),S855)</f>
        <v>Insurance</v>
      </c>
      <c r="W855" s="7" cm="1">
        <f t="array" ref="W855">IF(OR(TRIM(K855)="",TRIM(K855)="-"), MEDIAN(IF($E$2:$E$1500=E855,$K$2:$K$1500)),  VALUE(SUBSTITUTE(SUBSTITUTE(SUBSTITUTE(K855,"Rs. ",""),"₹",""),",","")))</f>
        <v>36249</v>
      </c>
      <c r="X855" s="8">
        <f t="shared" si="138"/>
        <v>19</v>
      </c>
      <c r="Y855" s="7">
        <f t="shared" si="139"/>
        <v>29362</v>
      </c>
      <c r="Z855" s="9" t="str">
        <f t="shared" si="131"/>
        <v>SENIOR</v>
      </c>
    </row>
    <row r="856" spans="1:26" x14ac:dyDescent="0.3">
      <c r="A856" s="5" t="s">
        <v>1814</v>
      </c>
      <c r="B856" s="5" t="s">
        <v>45</v>
      </c>
      <c r="C856" s="5" t="s">
        <v>46</v>
      </c>
      <c r="D856" s="5" t="s">
        <v>189</v>
      </c>
      <c r="E856" s="5" t="s">
        <v>93</v>
      </c>
      <c r="F856" s="5" t="s">
        <v>207</v>
      </c>
      <c r="G856" s="5" t="s">
        <v>30</v>
      </c>
      <c r="H856" s="5">
        <v>5</v>
      </c>
      <c r="I856" s="5" t="s">
        <v>40</v>
      </c>
      <c r="J856" s="34" t="s">
        <v>1815</v>
      </c>
      <c r="K856" s="31" t="s">
        <v>1816</v>
      </c>
      <c r="L856" s="5" t="s">
        <v>104</v>
      </c>
      <c r="M856" s="32">
        <v>18</v>
      </c>
      <c r="N856" s="6">
        <f t="shared" si="132"/>
        <v>18</v>
      </c>
      <c r="O856" s="4" t="s">
        <v>207</v>
      </c>
      <c r="P856" s="5" t="str">
        <f t="shared" si="133"/>
        <v>Delhi</v>
      </c>
      <c r="Q856" s="5" t="str">
        <f t="shared" si="134"/>
        <v>Nephrology</v>
      </c>
      <c r="R856" s="6" t="str">
        <f t="shared" si="135"/>
        <v>Fortis</v>
      </c>
      <c r="S856" s="6" t="str">
        <f t="shared" si="136"/>
        <v>Insurance</v>
      </c>
      <c r="T856" s="6" t="str">
        <f t="shared" si="137"/>
        <v>Female</v>
      </c>
      <c r="U856" s="6" t="str">
        <f t="shared" si="140"/>
        <v>General</v>
      </c>
      <c r="V856" s="6" t="str" cm="1">
        <f t="array" ref="V856">IF(TRIM(S856)="",INDEX($S$2:$S$1500,MATCH(MAX(COUNTIF($S$2:$S$1500,S856)),COUNTIF($S$2:$S$1500,$S$2:$S$1500),0)),S856)</f>
        <v>Insurance</v>
      </c>
      <c r="W856" s="7" cm="1">
        <f t="array" ref="W856">IF(OR(TRIM(K856)="",TRIM(K856)="-"), MEDIAN(IF($E$2:$E$1500=E856,$K$2:$K$1500)),  VALUE(SUBSTITUTE(SUBSTITUTE(SUBSTITUTE(K856,"Rs. ",""),"₹",""),",","")))</f>
        <v>9813</v>
      </c>
      <c r="X856" s="8">
        <f t="shared" si="138"/>
        <v>18</v>
      </c>
      <c r="Y856" s="7">
        <f t="shared" si="139"/>
        <v>8047</v>
      </c>
      <c r="Z856" s="9" t="str">
        <f t="shared" si="131"/>
        <v>CHILD</v>
      </c>
    </row>
    <row r="857" spans="1:26" x14ac:dyDescent="0.3">
      <c r="A857" s="5" t="s">
        <v>1817</v>
      </c>
      <c r="B857" s="5" t="s">
        <v>14</v>
      </c>
      <c r="C857" s="5" t="s">
        <v>60</v>
      </c>
      <c r="D857" s="5" t="s">
        <v>55</v>
      </c>
      <c r="E857" s="5" t="s">
        <v>164</v>
      </c>
      <c r="F857" s="5" t="s">
        <v>233</v>
      </c>
      <c r="G857" s="5" t="s">
        <v>39</v>
      </c>
      <c r="H857" s="5">
        <v>20</v>
      </c>
      <c r="I857" s="5" t="s">
        <v>40</v>
      </c>
      <c r="J857" s="34" t="s">
        <v>1818</v>
      </c>
      <c r="K857" s="31" t="s">
        <v>1819</v>
      </c>
      <c r="L857" s="5" t="s">
        <v>83</v>
      </c>
      <c r="M857" s="32" t="s">
        <v>198</v>
      </c>
      <c r="N857" s="6">
        <f t="shared" si="132"/>
        <v>5</v>
      </c>
      <c r="O857" s="4" t="s">
        <v>233</v>
      </c>
      <c r="P857" s="5" t="str">
        <f t="shared" si="133"/>
        <v>Hyderabad</v>
      </c>
      <c r="Q857" s="5" t="str">
        <f t="shared" si="134"/>
        <v>Cardiology</v>
      </c>
      <c r="R857" s="6" t="str">
        <f t="shared" si="135"/>
        <v>Max_Healthcare</v>
      </c>
      <c r="S857" s="6" t="str">
        <f t="shared" si="136"/>
        <v>Debit Card</v>
      </c>
      <c r="T857" s="6" t="str">
        <f t="shared" si="137"/>
        <v>Female</v>
      </c>
      <c r="U857" s="6" t="str">
        <f t="shared" si="140"/>
        <v>General</v>
      </c>
      <c r="V857" s="6" t="str" cm="1">
        <f t="array" ref="V857">IF(TRIM(S857)="",INDEX($S$2:$S$1500,MATCH(MAX(COUNTIF($S$2:$S$1500,S857)),COUNTIF($S$2:$S$1500,$S$2:$S$1500),0)),S857)</f>
        <v>Debit Card</v>
      </c>
      <c r="W857" s="7" cm="1">
        <f t="array" ref="W857">IF(OR(TRIM(K857)="",TRIM(K857)="-"), MEDIAN(IF($E$2:$E$1500=E857,$K$2:$K$1500)),  VALUE(SUBSTITUTE(SUBSTITUTE(SUBSTITUTE(K857,"Rs. ",""),"₹",""),",","")))</f>
        <v>6969</v>
      </c>
      <c r="X857" s="8">
        <f t="shared" si="138"/>
        <v>5</v>
      </c>
      <c r="Y857" s="7">
        <f t="shared" si="139"/>
        <v>6621</v>
      </c>
      <c r="Z857" s="9" t="str">
        <f t="shared" si="131"/>
        <v>ADULT</v>
      </c>
    </row>
    <row r="858" spans="1:26" x14ac:dyDescent="0.3">
      <c r="A858" s="5" t="s">
        <v>1820</v>
      </c>
      <c r="B858" s="5" t="s">
        <v>117</v>
      </c>
      <c r="C858" s="5" t="s">
        <v>118</v>
      </c>
      <c r="D858" s="5" t="s">
        <v>189</v>
      </c>
      <c r="E858" s="5" t="s">
        <v>47</v>
      </c>
      <c r="F858" s="5" t="s">
        <v>461</v>
      </c>
      <c r="G858" s="5" t="s">
        <v>101</v>
      </c>
      <c r="H858" s="5">
        <v>20</v>
      </c>
      <c r="I858" s="5" t="s">
        <v>70</v>
      </c>
      <c r="J858" s="34" t="s">
        <v>1488</v>
      </c>
      <c r="K858" s="31" t="s">
        <v>1821</v>
      </c>
      <c r="L858" s="5" t="s">
        <v>87</v>
      </c>
      <c r="M858" s="32">
        <v>0</v>
      </c>
      <c r="N858" s="6">
        <f t="shared" si="132"/>
        <v>0</v>
      </c>
      <c r="O858" s="4" t="s">
        <v>461</v>
      </c>
      <c r="P858" s="5" t="str">
        <f t="shared" si="133"/>
        <v>Delhi</v>
      </c>
      <c r="Q858" s="5" t="str">
        <f t="shared" si="134"/>
        <v>Gastroenterology</v>
      </c>
      <c r="R858" s="6" t="str">
        <f t="shared" si="135"/>
        <v>Manipal</v>
      </c>
      <c r="S858" s="6" t="str">
        <f t="shared" si="136"/>
        <v>Credit Card</v>
      </c>
      <c r="T858" s="6" t="str">
        <f t="shared" si="137"/>
        <v>Female</v>
      </c>
      <c r="U858" s="6" t="str">
        <f t="shared" si="140"/>
        <v>ICU</v>
      </c>
      <c r="V858" s="6" t="str" cm="1">
        <f t="array" ref="V858">IF(TRIM(S858)="",INDEX($S$2:$S$1500,MATCH(MAX(COUNTIF($S$2:$S$1500,S858)),COUNTIF($S$2:$S$1500,$S$2:$S$1500),0)),S858)</f>
        <v>Credit Card</v>
      </c>
      <c r="W858" s="7" cm="1">
        <f t="array" ref="W858">IF(OR(TRIM(K858)="",TRIM(K858)="-"), MEDIAN(IF($E$2:$E$1500=E858,$K$2:$K$1500)),  VALUE(SUBSTITUTE(SUBSTITUTE(SUBSTITUTE(K858,"Rs. ",""),"₹",""),",","")))</f>
        <v>69828</v>
      </c>
      <c r="X858" s="8">
        <f t="shared" si="138"/>
        <v>0</v>
      </c>
      <c r="Y858" s="7">
        <f t="shared" si="139"/>
        <v>69828</v>
      </c>
      <c r="Z858" s="9" t="str">
        <f t="shared" si="131"/>
        <v>ADULT</v>
      </c>
    </row>
    <row r="859" spans="1:26" x14ac:dyDescent="0.3">
      <c r="A859" s="5" t="s">
        <v>1822</v>
      </c>
      <c r="B859" s="5" t="s">
        <v>106</v>
      </c>
      <c r="C859" s="5" t="s">
        <v>107</v>
      </c>
      <c r="D859" s="5" t="s">
        <v>80</v>
      </c>
      <c r="E859" s="5" t="s">
        <v>108</v>
      </c>
      <c r="F859" s="5" t="s">
        <v>308</v>
      </c>
      <c r="G859" s="5" t="s">
        <v>101</v>
      </c>
      <c r="H859" s="5">
        <v>11</v>
      </c>
      <c r="I859" s="5" t="s">
        <v>40</v>
      </c>
      <c r="J859" s="34" t="s">
        <v>361</v>
      </c>
      <c r="K859" s="31">
        <v>39057</v>
      </c>
      <c r="L859" s="5" t="s">
        <v>34</v>
      </c>
      <c r="M859" s="32" t="s">
        <v>64</v>
      </c>
      <c r="N859" s="6" t="str">
        <f t="shared" si="132"/>
        <v>NA</v>
      </c>
      <c r="O859" s="4" t="s">
        <v>308</v>
      </c>
      <c r="P859" s="5" t="str">
        <f t="shared" si="133"/>
        <v>Ahmedabad</v>
      </c>
      <c r="Q859" s="5" t="str">
        <f t="shared" si="134"/>
        <v>Orthopedics</v>
      </c>
      <c r="R859" s="6" t="str">
        <f t="shared" si="135"/>
        <v>Aiims</v>
      </c>
      <c r="S859" s="6" t="str">
        <f t="shared" si="136"/>
        <v>Cash</v>
      </c>
      <c r="T859" s="6" t="str">
        <f t="shared" si="137"/>
        <v>Female</v>
      </c>
      <c r="U859" s="6" t="str">
        <f t="shared" si="140"/>
        <v>ICU</v>
      </c>
      <c r="V859" s="6" t="str" cm="1">
        <f t="array" ref="V859">IF(TRIM(S859)="",INDEX($S$2:$S$1500,MATCH(MAX(COUNTIF($S$2:$S$1500,S859)),COUNTIF($S$2:$S$1500,$S$2:$S$1500),0)),S859)</f>
        <v>Cash</v>
      </c>
      <c r="W859" s="7" cm="1">
        <f t="array" ref="W859">IF(OR(TRIM(K859)="",TRIM(K859)="-"), MEDIAN(IF($E$2:$E$1500=E859,$K$2:$K$1500)),  VALUE(SUBSTITUTE(SUBSTITUTE(SUBSTITUTE(K859,"Rs. ",""),"₹",""),",","")))</f>
        <v>39057</v>
      </c>
      <c r="X859" s="8">
        <f t="shared" si="138"/>
        <v>3</v>
      </c>
      <c r="Y859" s="7">
        <f t="shared" si="139"/>
        <v>37885</v>
      </c>
      <c r="Z859" s="9" t="str">
        <f t="shared" si="131"/>
        <v>CHILD</v>
      </c>
    </row>
    <row r="860" spans="1:26" x14ac:dyDescent="0.3">
      <c r="A860" s="5" t="s">
        <v>1823</v>
      </c>
      <c r="B860" s="5" t="s">
        <v>14</v>
      </c>
      <c r="C860" s="5" t="s">
        <v>60</v>
      </c>
      <c r="D860" s="5" t="s">
        <v>61</v>
      </c>
      <c r="E860" s="5" t="s">
        <v>99</v>
      </c>
      <c r="F860" s="5" t="s">
        <v>151</v>
      </c>
      <c r="G860" s="5" t="s">
        <v>30</v>
      </c>
      <c r="H860" s="5">
        <v>54</v>
      </c>
      <c r="I860" s="5" t="s">
        <v>31</v>
      </c>
      <c r="J860" s="34" t="s">
        <v>1824</v>
      </c>
      <c r="K860" s="31" t="s">
        <v>1825</v>
      </c>
      <c r="L860" s="5" t="s">
        <v>115</v>
      </c>
      <c r="M860" s="32">
        <v>0.1</v>
      </c>
      <c r="N860" s="6">
        <f t="shared" si="132"/>
        <v>10</v>
      </c>
      <c r="O860" s="4" t="s">
        <v>151</v>
      </c>
      <c r="P860" s="5" t="str">
        <f t="shared" si="133"/>
        <v>Pune</v>
      </c>
      <c r="Q860" s="5" t="str">
        <f t="shared" si="134"/>
        <v>Ent</v>
      </c>
      <c r="R860" s="6" t="str">
        <f t="shared" si="135"/>
        <v>Max_Healthcare</v>
      </c>
      <c r="S860" s="6" t="str">
        <f t="shared" si="136"/>
        <v>Cash</v>
      </c>
      <c r="T860" s="6" t="str">
        <f t="shared" si="137"/>
        <v>Male</v>
      </c>
      <c r="U860" s="6" t="str">
        <f t="shared" si="140"/>
        <v>General</v>
      </c>
      <c r="V860" s="6" t="str" cm="1">
        <f t="array" ref="V860">IF(TRIM(S860)="",INDEX($S$2:$S$1500,MATCH(MAX(COUNTIF($S$2:$S$1500,S860)),COUNTIF($S$2:$S$1500,$S$2:$S$1500),0)),S860)</f>
        <v>Cash</v>
      </c>
      <c r="W860" s="7" cm="1">
        <f t="array" ref="W860">IF(OR(TRIM(K860)="",TRIM(K860)="-"), MEDIAN(IF($E$2:$E$1500=E860,$K$2:$K$1500)),  VALUE(SUBSTITUTE(SUBSTITUTE(SUBSTITUTE(K860,"Rs. ",""),"₹",""),",","")))</f>
        <v>18618</v>
      </c>
      <c r="X860" s="8">
        <f t="shared" si="138"/>
        <v>10</v>
      </c>
      <c r="Y860" s="7">
        <f t="shared" si="139"/>
        <v>16756</v>
      </c>
      <c r="Z860" s="9" t="str">
        <f t="shared" si="131"/>
        <v>ADULT</v>
      </c>
    </row>
    <row r="861" spans="1:26" x14ac:dyDescent="0.3">
      <c r="A861" s="5" t="s">
        <v>1826</v>
      </c>
      <c r="B861" s="5" t="s">
        <v>25</v>
      </c>
      <c r="C861" s="5" t="s">
        <v>54</v>
      </c>
      <c r="D861" s="5" t="s">
        <v>16</v>
      </c>
      <c r="E861" s="5" t="s">
        <v>37</v>
      </c>
      <c r="F861" s="5" t="s">
        <v>38</v>
      </c>
      <c r="G861" s="5" t="s">
        <v>19</v>
      </c>
      <c r="H861" s="5">
        <v>50</v>
      </c>
      <c r="I861" s="5" t="s">
        <v>31</v>
      </c>
      <c r="J861" s="34" t="s">
        <v>262</v>
      </c>
      <c r="K861" s="31">
        <v>9629</v>
      </c>
      <c r="L861" s="5" t="s">
        <v>311</v>
      </c>
      <c r="M861" s="32" t="s">
        <v>64</v>
      </c>
      <c r="N861" s="6" t="str">
        <f t="shared" si="132"/>
        <v>NA</v>
      </c>
      <c r="O861" s="4" t="s">
        <v>38</v>
      </c>
      <c r="P861" s="5" t="str">
        <f t="shared" si="133"/>
        <v>Bangalore</v>
      </c>
      <c r="Q861" s="5" t="str">
        <f t="shared" si="134"/>
        <v>Pediatrics</v>
      </c>
      <c r="R861" s="6" t="str">
        <f t="shared" si="135"/>
        <v>Narayana</v>
      </c>
      <c r="S861" s="6" t="str">
        <f t="shared" si="136"/>
        <v>UPI</v>
      </c>
      <c r="T861" s="6" t="str">
        <f t="shared" si="137"/>
        <v>Male</v>
      </c>
      <c r="U861" s="6" t="str">
        <f t="shared" si="140"/>
        <v>General</v>
      </c>
      <c r="V861" s="6" t="str" cm="1">
        <f t="array" ref="V861">IF(TRIM(S861)="",INDEX($S$2:$S$1500,MATCH(MAX(COUNTIF($S$2:$S$1500,S861)),COUNTIF($S$2:$S$1500,$S$2:$S$1500),0)),S861)</f>
        <v>UPI</v>
      </c>
      <c r="W861" s="7" cm="1">
        <f t="array" ref="W861">IF(OR(TRIM(K861)="",TRIM(K861)="-"), MEDIAN(IF($E$2:$E$1500=E861,$K$2:$K$1500)),  VALUE(SUBSTITUTE(SUBSTITUTE(SUBSTITUTE(K861,"Rs. ",""),"₹",""),",","")))</f>
        <v>9629</v>
      </c>
      <c r="X861" s="8">
        <f t="shared" si="138"/>
        <v>3</v>
      </c>
      <c r="Y861" s="7">
        <f t="shared" si="139"/>
        <v>9340</v>
      </c>
      <c r="Z861" s="9" t="str">
        <f t="shared" si="131"/>
        <v>ADULT</v>
      </c>
    </row>
    <row r="862" spans="1:26" x14ac:dyDescent="0.3">
      <c r="A862" s="5" t="s">
        <v>1827</v>
      </c>
      <c r="B862" s="5" t="s">
        <v>78</v>
      </c>
      <c r="C862" s="5" t="s">
        <v>79</v>
      </c>
      <c r="D862" s="5" t="s">
        <v>27</v>
      </c>
      <c r="E862" s="5" t="s">
        <v>47</v>
      </c>
      <c r="F862" s="5" t="s">
        <v>461</v>
      </c>
      <c r="G862" s="5" t="s">
        <v>49</v>
      </c>
      <c r="H862" s="5">
        <v>5</v>
      </c>
      <c r="I862" s="5" t="s">
        <v>20</v>
      </c>
      <c r="J862" s="34" t="s">
        <v>179</v>
      </c>
      <c r="K862" s="31">
        <v>17803</v>
      </c>
      <c r="L862" s="5" t="s">
        <v>87</v>
      </c>
      <c r="M862" s="32">
        <v>5</v>
      </c>
      <c r="N862" s="6">
        <f t="shared" si="132"/>
        <v>5</v>
      </c>
      <c r="O862" s="4" t="s">
        <v>461</v>
      </c>
      <c r="P862" s="5" t="str">
        <f t="shared" si="133"/>
        <v>Mumbai</v>
      </c>
      <c r="Q862" s="5" t="str">
        <f t="shared" si="134"/>
        <v>Gastroenterology</v>
      </c>
      <c r="R862" s="6" t="str">
        <f t="shared" si="135"/>
        <v>Apollo</v>
      </c>
      <c r="S862" s="6" t="str">
        <f t="shared" si="136"/>
        <v>Credit Card</v>
      </c>
      <c r="T862" s="6" t="str">
        <f t="shared" si="137"/>
        <v>Male</v>
      </c>
      <c r="U862" s="6" t="str">
        <f t="shared" si="140"/>
        <v>General</v>
      </c>
      <c r="V862" s="6" t="str" cm="1">
        <f t="array" ref="V862">IF(TRIM(S862)="",INDEX($S$2:$S$1500,MATCH(MAX(COUNTIF($S$2:$S$1500,S862)),COUNTIF($S$2:$S$1500,$S$2:$S$1500),0)),S862)</f>
        <v>Credit Card</v>
      </c>
      <c r="W862" s="7" cm="1">
        <f t="array" ref="W862">IF(OR(TRIM(K862)="",TRIM(K862)="-"), MEDIAN(IF($E$2:$E$1500=E862,$K$2:$K$1500)),  VALUE(SUBSTITUTE(SUBSTITUTE(SUBSTITUTE(K862,"Rs. ",""),"₹",""),",","")))</f>
        <v>17803</v>
      </c>
      <c r="X862" s="8">
        <f t="shared" si="138"/>
        <v>5</v>
      </c>
      <c r="Y862" s="7">
        <f t="shared" si="139"/>
        <v>16913</v>
      </c>
      <c r="Z862" s="9" t="str">
        <f t="shared" si="131"/>
        <v>CHILD</v>
      </c>
    </row>
    <row r="863" spans="1:26" x14ac:dyDescent="0.3">
      <c r="A863" s="5" t="s">
        <v>1828</v>
      </c>
      <c r="B863" s="5" t="s">
        <v>14</v>
      </c>
      <c r="C863" s="5" t="s">
        <v>15</v>
      </c>
      <c r="D863" s="5" t="s">
        <v>189</v>
      </c>
      <c r="E863" s="5" t="s">
        <v>164</v>
      </c>
      <c r="F863" s="5" t="s">
        <v>233</v>
      </c>
      <c r="G863" s="5" t="s">
        <v>49</v>
      </c>
      <c r="H863" s="5">
        <v>53</v>
      </c>
      <c r="I863" s="5" t="s">
        <v>31</v>
      </c>
      <c r="J863" s="34" t="s">
        <v>1829</v>
      </c>
      <c r="K863" s="31">
        <v>4169</v>
      </c>
      <c r="L863" s="5"/>
      <c r="M863" s="32"/>
      <c r="N863" s="6">
        <f t="shared" si="132"/>
        <v>0</v>
      </c>
      <c r="O863" s="4" t="s">
        <v>233</v>
      </c>
      <c r="P863" s="5" t="str">
        <f t="shared" si="133"/>
        <v>Delhi</v>
      </c>
      <c r="Q863" s="5" t="str">
        <f t="shared" si="134"/>
        <v>Cardiology</v>
      </c>
      <c r="R863" s="6" t="str">
        <f t="shared" si="135"/>
        <v>Max_Healthcare</v>
      </c>
      <c r="S863" s="6" t="str">
        <f t="shared" si="136"/>
        <v>Unknown</v>
      </c>
      <c r="T863" s="6" t="str">
        <f t="shared" si="137"/>
        <v>Male</v>
      </c>
      <c r="U863" s="6" t="str">
        <f t="shared" si="140"/>
        <v>General</v>
      </c>
      <c r="V863" s="6" t="str" cm="1">
        <f t="array" ref="V863">IF(TRIM(S863)="",INDEX($S$2:$S$1500,MATCH(MAX(COUNTIF($S$2:$S$1500,S863)),COUNTIF($S$2:$S$1500,$S$2:$S$1500),0)),S863)</f>
        <v>Unknown</v>
      </c>
      <c r="W863" s="7" cm="1">
        <f t="array" ref="W863">IF(OR(TRIM(K863)="",TRIM(K863)="-"), MEDIAN(IF($E$2:$E$1500=E863,$K$2:$K$1500)),  VALUE(SUBSTITUTE(SUBSTITUTE(SUBSTITUTE(K863,"Rs. ",""),"₹",""),",","")))</f>
        <v>4169</v>
      </c>
      <c r="X863" s="8">
        <f t="shared" si="138"/>
        <v>0</v>
      </c>
      <c r="Y863" s="7">
        <f t="shared" si="139"/>
        <v>4169</v>
      </c>
      <c r="Z863" s="9" t="str">
        <f t="shared" si="131"/>
        <v>ADULT</v>
      </c>
    </row>
    <row r="864" spans="1:26" x14ac:dyDescent="0.3">
      <c r="A864" s="5" t="s">
        <v>1830</v>
      </c>
      <c r="B864" s="5" t="s">
        <v>14</v>
      </c>
      <c r="C864" s="5" t="s">
        <v>60</v>
      </c>
      <c r="D864" s="5" t="s">
        <v>16</v>
      </c>
      <c r="E864" s="5" t="s">
        <v>108</v>
      </c>
      <c r="F864" s="5" t="s">
        <v>124</v>
      </c>
      <c r="G864" s="5" t="s">
        <v>101</v>
      </c>
      <c r="H864" s="5">
        <v>26</v>
      </c>
      <c r="I864" s="5" t="s">
        <v>70</v>
      </c>
      <c r="J864" s="34" t="s">
        <v>1745</v>
      </c>
      <c r="K864" s="31" t="s">
        <v>1831</v>
      </c>
      <c r="L864" s="5" t="s">
        <v>149</v>
      </c>
      <c r="M864" s="32">
        <v>18</v>
      </c>
      <c r="N864" s="6">
        <f t="shared" si="132"/>
        <v>18</v>
      </c>
      <c r="O864" s="4" t="s">
        <v>124</v>
      </c>
      <c r="P864" s="5" t="str">
        <f t="shared" si="133"/>
        <v>Bangalore</v>
      </c>
      <c r="Q864" s="5" t="str">
        <f t="shared" si="134"/>
        <v>Orthopedics</v>
      </c>
      <c r="R864" s="6" t="str">
        <f t="shared" si="135"/>
        <v>Max_Healthcare</v>
      </c>
      <c r="S864" s="6" t="str">
        <f t="shared" si="136"/>
        <v>Insurance</v>
      </c>
      <c r="T864" s="6" t="str">
        <f t="shared" si="137"/>
        <v>Female</v>
      </c>
      <c r="U864" s="6" t="str">
        <f t="shared" si="140"/>
        <v>ICU</v>
      </c>
      <c r="V864" s="6" t="str" cm="1">
        <f t="array" ref="V864">IF(TRIM(S864)="",INDEX($S$2:$S$1500,MATCH(MAX(COUNTIF($S$2:$S$1500,S864)),COUNTIF($S$2:$S$1500,$S$2:$S$1500),0)),S864)</f>
        <v>Insurance</v>
      </c>
      <c r="W864" s="7" cm="1">
        <f t="array" ref="W864">IF(OR(TRIM(K864)="",TRIM(K864)="-"), MEDIAN(IF($E$2:$E$1500=E864,$K$2:$K$1500)),  VALUE(SUBSTITUTE(SUBSTITUTE(SUBSTITUTE(K864,"Rs. ",""),"₹",""),",","")))</f>
        <v>81465</v>
      </c>
      <c r="X864" s="8">
        <f t="shared" si="138"/>
        <v>18</v>
      </c>
      <c r="Y864" s="7">
        <f t="shared" si="139"/>
        <v>66801</v>
      </c>
      <c r="Z864" s="9" t="str">
        <f t="shared" si="131"/>
        <v>ADULT</v>
      </c>
    </row>
    <row r="865" spans="1:26" x14ac:dyDescent="0.3">
      <c r="A865" s="5" t="s">
        <v>1832</v>
      </c>
      <c r="B865" s="5" t="s">
        <v>117</v>
      </c>
      <c r="C865" s="5" t="s">
        <v>182</v>
      </c>
      <c r="D865" s="5" t="s">
        <v>61</v>
      </c>
      <c r="E865" s="5" t="s">
        <v>108</v>
      </c>
      <c r="F865" s="5" t="s">
        <v>124</v>
      </c>
      <c r="G865" s="5" t="s">
        <v>101</v>
      </c>
      <c r="H865" s="5">
        <v>46</v>
      </c>
      <c r="I865" s="5" t="s">
        <v>40</v>
      </c>
      <c r="J865" s="34" t="s">
        <v>651</v>
      </c>
      <c r="K865" s="31">
        <v>69794</v>
      </c>
      <c r="L865" s="5" t="s">
        <v>211</v>
      </c>
      <c r="M865" s="32">
        <v>5</v>
      </c>
      <c r="N865" s="6">
        <f t="shared" si="132"/>
        <v>5</v>
      </c>
      <c r="O865" s="4" t="s">
        <v>124</v>
      </c>
      <c r="P865" s="5" t="str">
        <f t="shared" si="133"/>
        <v>Pune</v>
      </c>
      <c r="Q865" s="5" t="str">
        <f t="shared" si="134"/>
        <v>Orthopedics</v>
      </c>
      <c r="R865" s="6" t="str">
        <f t="shared" si="135"/>
        <v>Manipal</v>
      </c>
      <c r="S865" s="6" t="str">
        <f t="shared" si="136"/>
        <v>Credit Card</v>
      </c>
      <c r="T865" s="6" t="str">
        <f t="shared" si="137"/>
        <v>Female</v>
      </c>
      <c r="U865" s="6" t="str">
        <f t="shared" si="140"/>
        <v>ICU</v>
      </c>
      <c r="V865" s="6" t="str" cm="1">
        <f t="array" ref="V865">IF(TRIM(S865)="",INDEX($S$2:$S$1500,MATCH(MAX(COUNTIF($S$2:$S$1500,S865)),COUNTIF($S$2:$S$1500,$S$2:$S$1500),0)),S865)</f>
        <v>Credit Card</v>
      </c>
      <c r="W865" s="7" cm="1">
        <f t="array" ref="W865">IF(OR(TRIM(K865)="",TRIM(K865)="-"), MEDIAN(IF($E$2:$E$1500=E865,$K$2:$K$1500)),  VALUE(SUBSTITUTE(SUBSTITUTE(SUBSTITUTE(K865,"Rs. ",""),"₹",""),",","")))</f>
        <v>69794</v>
      </c>
      <c r="X865" s="8">
        <f t="shared" si="138"/>
        <v>5</v>
      </c>
      <c r="Y865" s="7">
        <f t="shared" si="139"/>
        <v>66304</v>
      </c>
      <c r="Z865" s="9" t="str">
        <f t="shared" si="131"/>
        <v>ADULT</v>
      </c>
    </row>
    <row r="866" spans="1:26" x14ac:dyDescent="0.3">
      <c r="A866" s="5" t="s">
        <v>1833</v>
      </c>
      <c r="B866" s="5" t="s">
        <v>117</v>
      </c>
      <c r="C866" s="5" t="s">
        <v>182</v>
      </c>
      <c r="D866" s="5" t="s">
        <v>66</v>
      </c>
      <c r="E866" s="5" t="s">
        <v>67</v>
      </c>
      <c r="F866" s="5" t="s">
        <v>68</v>
      </c>
      <c r="G866" s="5" t="s">
        <v>39</v>
      </c>
      <c r="H866" s="5">
        <v>73</v>
      </c>
      <c r="I866" s="5" t="s">
        <v>20</v>
      </c>
      <c r="J866" s="34" t="s">
        <v>1834</v>
      </c>
      <c r="K866" s="31" t="s">
        <v>1835</v>
      </c>
      <c r="L866" s="5" t="s">
        <v>23</v>
      </c>
      <c r="M866" s="32">
        <v>10</v>
      </c>
      <c r="N866" s="6">
        <f t="shared" si="132"/>
        <v>10</v>
      </c>
      <c r="O866" s="4" t="s">
        <v>68</v>
      </c>
      <c r="P866" s="5" t="str">
        <f t="shared" si="133"/>
        <v>Kolkata</v>
      </c>
      <c r="Q866" s="5" t="str">
        <f t="shared" si="134"/>
        <v>Neurology</v>
      </c>
      <c r="R866" s="6" t="str">
        <f t="shared" si="135"/>
        <v>Manipal</v>
      </c>
      <c r="S866" s="6" t="str">
        <f t="shared" si="136"/>
        <v>Credit Card</v>
      </c>
      <c r="T866" s="6" t="str">
        <f t="shared" si="137"/>
        <v>Male</v>
      </c>
      <c r="U866" s="6" t="str">
        <f t="shared" si="140"/>
        <v>General</v>
      </c>
      <c r="V866" s="6" t="str" cm="1">
        <f t="array" ref="V866">IF(TRIM(S866)="",INDEX($S$2:$S$1500,MATCH(MAX(COUNTIF($S$2:$S$1500,S866)),COUNTIF($S$2:$S$1500,$S$2:$S$1500),0)),S866)</f>
        <v>Credit Card</v>
      </c>
      <c r="W866" s="7" cm="1">
        <f t="array" ref="W866">IF(OR(TRIM(K866)="",TRIM(K866)="-"), MEDIAN(IF($E$2:$E$1500=E866,$K$2:$K$1500)),  VALUE(SUBSTITUTE(SUBSTITUTE(SUBSTITUTE(K866,"Rs. ",""),"₹",""),",","")))</f>
        <v>8779</v>
      </c>
      <c r="X866" s="8">
        <f t="shared" si="138"/>
        <v>10</v>
      </c>
      <c r="Y866" s="7">
        <f t="shared" si="139"/>
        <v>7901</v>
      </c>
      <c r="Z866" s="9" t="str">
        <f t="shared" si="131"/>
        <v>SENIOR</v>
      </c>
    </row>
    <row r="867" spans="1:26" x14ac:dyDescent="0.3">
      <c r="A867" s="5" t="s">
        <v>1836</v>
      </c>
      <c r="B867" s="5" t="s">
        <v>14</v>
      </c>
      <c r="C867" s="5" t="s">
        <v>60</v>
      </c>
      <c r="D867" s="5" t="s">
        <v>80</v>
      </c>
      <c r="E867" s="5" t="s">
        <v>99</v>
      </c>
      <c r="F867" s="5" t="s">
        <v>100</v>
      </c>
      <c r="G867" s="5" t="s">
        <v>49</v>
      </c>
      <c r="H867" s="5">
        <v>13</v>
      </c>
      <c r="I867" s="5" t="s">
        <v>20</v>
      </c>
      <c r="J867" s="34" t="s">
        <v>1057</v>
      </c>
      <c r="K867" s="31" t="s">
        <v>1837</v>
      </c>
      <c r="L867" s="5" t="s">
        <v>311</v>
      </c>
      <c r="M867" s="32"/>
      <c r="N867" s="6">
        <f t="shared" si="132"/>
        <v>0</v>
      </c>
      <c r="O867" s="4" t="s">
        <v>100</v>
      </c>
      <c r="P867" s="5" t="str">
        <f t="shared" si="133"/>
        <v>Ahmedabad</v>
      </c>
      <c r="Q867" s="5" t="str">
        <f t="shared" si="134"/>
        <v>Ent</v>
      </c>
      <c r="R867" s="6" t="str">
        <f t="shared" si="135"/>
        <v>Max_Healthcare</v>
      </c>
      <c r="S867" s="6" t="str">
        <f t="shared" si="136"/>
        <v>UPI</v>
      </c>
      <c r="T867" s="6" t="str">
        <f t="shared" si="137"/>
        <v>Male</v>
      </c>
      <c r="U867" s="6" t="str">
        <f t="shared" si="140"/>
        <v>General</v>
      </c>
      <c r="V867" s="6" t="str" cm="1">
        <f t="array" ref="V867">IF(TRIM(S867)="",INDEX($S$2:$S$1500,MATCH(MAX(COUNTIF($S$2:$S$1500,S867)),COUNTIF($S$2:$S$1500,$S$2:$S$1500),0)),S867)</f>
        <v>UPI</v>
      </c>
      <c r="W867" s="7" cm="1">
        <f t="array" ref="W867">IF(OR(TRIM(K867)="",TRIM(K867)="-"), MEDIAN(IF($E$2:$E$1500=E867,$K$2:$K$1500)),  VALUE(SUBSTITUTE(SUBSTITUTE(SUBSTITUTE(K867,"Rs. ",""),"₹",""),",","")))</f>
        <v>19276</v>
      </c>
      <c r="X867" s="8">
        <f t="shared" si="138"/>
        <v>0</v>
      </c>
      <c r="Y867" s="7">
        <f t="shared" si="139"/>
        <v>19276</v>
      </c>
      <c r="Z867" s="9" t="str">
        <f t="shared" si="131"/>
        <v>TEEN</v>
      </c>
    </row>
    <row r="868" spans="1:26" x14ac:dyDescent="0.3">
      <c r="A868" s="5" t="s">
        <v>1838</v>
      </c>
      <c r="B868" s="5" t="s">
        <v>45</v>
      </c>
      <c r="C868" s="5" t="s">
        <v>46</v>
      </c>
      <c r="D868" s="5" t="s">
        <v>16</v>
      </c>
      <c r="E868" s="5" t="s">
        <v>67</v>
      </c>
      <c r="F868" s="5" t="s">
        <v>89</v>
      </c>
      <c r="G868" s="5" t="s">
        <v>19</v>
      </c>
      <c r="H868" s="5">
        <v>32</v>
      </c>
      <c r="I868" s="5" t="s">
        <v>20</v>
      </c>
      <c r="J868" s="34" t="s">
        <v>1839</v>
      </c>
      <c r="K868" s="31" t="s">
        <v>1840</v>
      </c>
      <c r="L868" s="5" t="s">
        <v>167</v>
      </c>
      <c r="M868" s="32" t="s">
        <v>886</v>
      </c>
      <c r="N868" s="6">
        <f t="shared" si="132"/>
        <v>15</v>
      </c>
      <c r="O868" s="4" t="s">
        <v>89</v>
      </c>
      <c r="P868" s="5" t="str">
        <f t="shared" si="133"/>
        <v>Bangalore</v>
      </c>
      <c r="Q868" s="5" t="str">
        <f t="shared" si="134"/>
        <v>Neurology</v>
      </c>
      <c r="R868" s="6" t="str">
        <f t="shared" si="135"/>
        <v>Fortis</v>
      </c>
      <c r="S868" s="6" t="str">
        <f t="shared" si="136"/>
        <v>Insurance</v>
      </c>
      <c r="T868" s="6" t="str">
        <f t="shared" si="137"/>
        <v>Male</v>
      </c>
      <c r="U868" s="6" t="str">
        <f t="shared" si="140"/>
        <v>General</v>
      </c>
      <c r="V868" s="6" t="str" cm="1">
        <f t="array" ref="V868">IF(TRIM(S868)="",INDEX($S$2:$S$1500,MATCH(MAX(COUNTIF($S$2:$S$1500,S868)),COUNTIF($S$2:$S$1500,$S$2:$S$1500),0)),S868)</f>
        <v>Insurance</v>
      </c>
      <c r="W868" s="7" cm="1">
        <f t="array" ref="W868">IF(OR(TRIM(K868)="",TRIM(K868)="-"), MEDIAN(IF($E$2:$E$1500=E868,$K$2:$K$1500)),  VALUE(SUBSTITUTE(SUBSTITUTE(SUBSTITUTE(K868,"Rs. ",""),"₹",""),",","")))</f>
        <v>16545</v>
      </c>
      <c r="X868" s="8">
        <f t="shared" si="138"/>
        <v>15</v>
      </c>
      <c r="Y868" s="7">
        <f t="shared" si="139"/>
        <v>14063</v>
      </c>
      <c r="Z868" s="9" t="str">
        <f t="shared" si="131"/>
        <v>ADULT</v>
      </c>
    </row>
    <row r="869" spans="1:26" x14ac:dyDescent="0.3">
      <c r="A869" s="5" t="s">
        <v>1841</v>
      </c>
      <c r="B869" s="5" t="s">
        <v>14</v>
      </c>
      <c r="C869" s="5" t="s">
        <v>15</v>
      </c>
      <c r="D869" s="5" t="s">
        <v>61</v>
      </c>
      <c r="E869" s="5" t="s">
        <v>28</v>
      </c>
      <c r="F869" s="5" t="s">
        <v>290</v>
      </c>
      <c r="G869" s="5" t="s">
        <v>49</v>
      </c>
      <c r="H869" s="5">
        <v>61</v>
      </c>
      <c r="I869" s="5" t="s">
        <v>20</v>
      </c>
      <c r="J869" s="34" t="s">
        <v>1293</v>
      </c>
      <c r="K869" s="31">
        <v>10627</v>
      </c>
      <c r="L869" s="5" t="s">
        <v>34</v>
      </c>
      <c r="M869" s="32" t="s">
        <v>130</v>
      </c>
      <c r="N869" s="6">
        <f t="shared" si="132"/>
        <v>0</v>
      </c>
      <c r="O869" s="4" t="s">
        <v>290</v>
      </c>
      <c r="P869" s="5" t="str">
        <f t="shared" si="133"/>
        <v>Pune</v>
      </c>
      <c r="Q869" s="5" t="str">
        <f t="shared" si="134"/>
        <v>Oncology</v>
      </c>
      <c r="R869" s="6" t="str">
        <f t="shared" si="135"/>
        <v>Max_Healthcare</v>
      </c>
      <c r="S869" s="6" t="str">
        <f t="shared" si="136"/>
        <v>Cash</v>
      </c>
      <c r="T869" s="6" t="str">
        <f t="shared" si="137"/>
        <v>Male</v>
      </c>
      <c r="U869" s="6" t="str">
        <f t="shared" si="140"/>
        <v>General</v>
      </c>
      <c r="V869" s="6" t="str" cm="1">
        <f t="array" ref="V869">IF(TRIM(S869)="",INDEX($S$2:$S$1500,MATCH(MAX(COUNTIF($S$2:$S$1500,S869)),COUNTIF($S$2:$S$1500,$S$2:$S$1500),0)),S869)</f>
        <v>Cash</v>
      </c>
      <c r="W869" s="7" cm="1">
        <f t="array" ref="W869">IF(OR(TRIM(K869)="",TRIM(K869)="-"), MEDIAN(IF($E$2:$E$1500=E869,$K$2:$K$1500)),  VALUE(SUBSTITUTE(SUBSTITUTE(SUBSTITUTE(K869,"Rs. ",""),"₹",""),",","")))</f>
        <v>10627</v>
      </c>
      <c r="X869" s="8">
        <f t="shared" si="138"/>
        <v>0</v>
      </c>
      <c r="Y869" s="7">
        <f t="shared" si="139"/>
        <v>10627</v>
      </c>
      <c r="Z869" s="9" t="str">
        <f t="shared" si="131"/>
        <v>SENIOR</v>
      </c>
    </row>
    <row r="870" spans="1:26" x14ac:dyDescent="0.3">
      <c r="A870" s="5" t="s">
        <v>1842</v>
      </c>
      <c r="B870" s="5" t="s">
        <v>78</v>
      </c>
      <c r="C870" s="5" t="s">
        <v>161</v>
      </c>
      <c r="D870" s="5" t="s">
        <v>27</v>
      </c>
      <c r="E870" s="5" t="s">
        <v>74</v>
      </c>
      <c r="F870" s="5" t="s">
        <v>172</v>
      </c>
      <c r="G870" s="5" t="s">
        <v>101</v>
      </c>
      <c r="H870" s="5">
        <v>73</v>
      </c>
      <c r="I870" s="5" t="s">
        <v>40</v>
      </c>
      <c r="J870" s="34" t="s">
        <v>1495</v>
      </c>
      <c r="K870" s="31">
        <v>72211</v>
      </c>
      <c r="L870" s="5" t="s">
        <v>34</v>
      </c>
      <c r="M870" s="32">
        <v>10</v>
      </c>
      <c r="N870" s="6">
        <f t="shared" si="132"/>
        <v>10</v>
      </c>
      <c r="O870" s="4" t="s">
        <v>172</v>
      </c>
      <c r="P870" s="5" t="str">
        <f t="shared" si="133"/>
        <v>Mumbai</v>
      </c>
      <c r="Q870" s="5" t="str">
        <f t="shared" si="134"/>
        <v>General Medicine</v>
      </c>
      <c r="R870" s="6" t="str">
        <f t="shared" si="135"/>
        <v>Apollo</v>
      </c>
      <c r="S870" s="6" t="str">
        <f t="shared" si="136"/>
        <v>Cash</v>
      </c>
      <c r="T870" s="6" t="str">
        <f t="shared" si="137"/>
        <v>Female</v>
      </c>
      <c r="U870" s="6" t="str">
        <f t="shared" si="140"/>
        <v>ICU</v>
      </c>
      <c r="V870" s="6" t="str" cm="1">
        <f t="array" ref="V870">IF(TRIM(S870)="",INDEX($S$2:$S$1500,MATCH(MAX(COUNTIF($S$2:$S$1500,S870)),COUNTIF($S$2:$S$1500,$S$2:$S$1500),0)),S870)</f>
        <v>Cash</v>
      </c>
      <c r="W870" s="7" cm="1">
        <f t="array" ref="W870">IF(OR(TRIM(K870)="",TRIM(K870)="-"), MEDIAN(IF($E$2:$E$1500=E870,$K$2:$K$1500)),  VALUE(SUBSTITUTE(SUBSTITUTE(SUBSTITUTE(K870,"Rs. ",""),"₹",""),",","")))</f>
        <v>72211</v>
      </c>
      <c r="X870" s="8">
        <f t="shared" si="138"/>
        <v>10</v>
      </c>
      <c r="Y870" s="7">
        <f t="shared" si="139"/>
        <v>64990</v>
      </c>
      <c r="Z870" s="9" t="str">
        <f t="shared" si="131"/>
        <v>SENIOR</v>
      </c>
    </row>
    <row r="871" spans="1:26" x14ac:dyDescent="0.3">
      <c r="A871" s="5" t="s">
        <v>1843</v>
      </c>
      <c r="B871" s="5" t="s">
        <v>25</v>
      </c>
      <c r="C871" s="5" t="s">
        <v>54</v>
      </c>
      <c r="D871" s="5" t="s">
        <v>36</v>
      </c>
      <c r="E871" s="5" t="s">
        <v>108</v>
      </c>
      <c r="F871" s="5" t="s">
        <v>272</v>
      </c>
      <c r="G871" s="5" t="s">
        <v>19</v>
      </c>
      <c r="H871" s="5">
        <v>60</v>
      </c>
      <c r="I871" s="5" t="s">
        <v>20</v>
      </c>
      <c r="J871" s="34" t="s">
        <v>216</v>
      </c>
      <c r="K871" s="31">
        <v>13715</v>
      </c>
      <c r="L871" s="5" t="s">
        <v>23</v>
      </c>
      <c r="M871" s="32">
        <v>0</v>
      </c>
      <c r="N871" s="6">
        <f t="shared" si="132"/>
        <v>0</v>
      </c>
      <c r="O871" s="4" t="s">
        <v>272</v>
      </c>
      <c r="P871" s="5" t="str">
        <f t="shared" si="133"/>
        <v>Chennai</v>
      </c>
      <c r="Q871" s="5" t="str">
        <f t="shared" si="134"/>
        <v>Orthopedics</v>
      </c>
      <c r="R871" s="6" t="str">
        <f t="shared" si="135"/>
        <v>Narayana</v>
      </c>
      <c r="S871" s="6" t="str">
        <f t="shared" si="136"/>
        <v>Credit Card</v>
      </c>
      <c r="T871" s="6" t="str">
        <f t="shared" si="137"/>
        <v>Male</v>
      </c>
      <c r="U871" s="6" t="str">
        <f t="shared" si="140"/>
        <v>General</v>
      </c>
      <c r="V871" s="6" t="str" cm="1">
        <f t="array" ref="V871">IF(TRIM(S871)="",INDEX($S$2:$S$1500,MATCH(MAX(COUNTIF($S$2:$S$1500,S871)),COUNTIF($S$2:$S$1500,$S$2:$S$1500),0)),S871)</f>
        <v>Credit Card</v>
      </c>
      <c r="W871" s="7" cm="1">
        <f t="array" ref="W871">IF(OR(TRIM(K871)="",TRIM(K871)="-"), MEDIAN(IF($E$2:$E$1500=E871,$K$2:$K$1500)),  VALUE(SUBSTITUTE(SUBSTITUTE(SUBSTITUTE(K871,"Rs. ",""),"₹",""),",","")))</f>
        <v>13715</v>
      </c>
      <c r="X871" s="8">
        <f t="shared" si="138"/>
        <v>0</v>
      </c>
      <c r="Y871" s="7">
        <f t="shared" si="139"/>
        <v>13715</v>
      </c>
      <c r="Z871" s="9" t="str">
        <f t="shared" si="131"/>
        <v>SENIOR</v>
      </c>
    </row>
    <row r="872" spans="1:26" x14ac:dyDescent="0.3">
      <c r="A872" s="5" t="s">
        <v>1844</v>
      </c>
      <c r="B872" s="5" t="s">
        <v>117</v>
      </c>
      <c r="C872" s="5" t="s">
        <v>127</v>
      </c>
      <c r="D872" s="5" t="s">
        <v>61</v>
      </c>
      <c r="E872" s="5" t="s">
        <v>108</v>
      </c>
      <c r="F872" s="5" t="s">
        <v>308</v>
      </c>
      <c r="G872" s="5" t="s">
        <v>30</v>
      </c>
      <c r="H872" s="5">
        <v>11</v>
      </c>
      <c r="I872" s="5" t="s">
        <v>20</v>
      </c>
      <c r="J872" s="34" t="s">
        <v>288</v>
      </c>
      <c r="K872" s="31" t="s">
        <v>1845</v>
      </c>
      <c r="L872" s="5" t="s">
        <v>23</v>
      </c>
      <c r="M872" s="32" t="s">
        <v>130</v>
      </c>
      <c r="N872" s="6">
        <f t="shared" si="132"/>
        <v>0</v>
      </c>
      <c r="O872" s="4" t="s">
        <v>308</v>
      </c>
      <c r="P872" s="5" t="str">
        <f t="shared" si="133"/>
        <v>Pune</v>
      </c>
      <c r="Q872" s="5" t="str">
        <f t="shared" si="134"/>
        <v>Orthopedics</v>
      </c>
      <c r="R872" s="6" t="str">
        <f t="shared" si="135"/>
        <v>Manipal</v>
      </c>
      <c r="S872" s="6" t="str">
        <f t="shared" si="136"/>
        <v>Credit Card</v>
      </c>
      <c r="T872" s="6" t="str">
        <f t="shared" si="137"/>
        <v>Male</v>
      </c>
      <c r="U872" s="6" t="str">
        <f t="shared" si="140"/>
        <v>General</v>
      </c>
      <c r="V872" s="6" t="str" cm="1">
        <f t="array" ref="V872">IF(TRIM(S872)="",INDEX($S$2:$S$1500,MATCH(MAX(COUNTIF($S$2:$S$1500,S872)),COUNTIF($S$2:$S$1500,$S$2:$S$1500),0)),S872)</f>
        <v>Credit Card</v>
      </c>
      <c r="W872" s="7" cm="1">
        <f t="array" ref="W872">IF(OR(TRIM(K872)="",TRIM(K872)="-"), MEDIAN(IF($E$2:$E$1500=E872,$K$2:$K$1500)),  VALUE(SUBSTITUTE(SUBSTITUTE(SUBSTITUTE(K872,"Rs. ",""),"₹",""),",","")))</f>
        <v>17344</v>
      </c>
      <c r="X872" s="8">
        <f t="shared" si="138"/>
        <v>0</v>
      </c>
      <c r="Y872" s="7">
        <f t="shared" si="139"/>
        <v>17344</v>
      </c>
      <c r="Z872" s="9" t="str">
        <f t="shared" si="131"/>
        <v>CHILD</v>
      </c>
    </row>
    <row r="873" spans="1:26" x14ac:dyDescent="0.3">
      <c r="A873" s="5" t="s">
        <v>1846</v>
      </c>
      <c r="B873" s="5" t="s">
        <v>106</v>
      </c>
      <c r="C873" s="5" t="s">
        <v>107</v>
      </c>
      <c r="D873" s="5" t="s">
        <v>36</v>
      </c>
      <c r="E873" s="5" t="s">
        <v>37</v>
      </c>
      <c r="F873" s="5" t="s">
        <v>38</v>
      </c>
      <c r="G873" s="5" t="s">
        <v>39</v>
      </c>
      <c r="H873" s="5">
        <v>69</v>
      </c>
      <c r="I873" s="5" t="s">
        <v>20</v>
      </c>
      <c r="J873" s="34" t="s">
        <v>335</v>
      </c>
      <c r="K873" s="31" t="s">
        <v>1847</v>
      </c>
      <c r="L873" s="5" t="s">
        <v>115</v>
      </c>
      <c r="M873" s="32">
        <v>0</v>
      </c>
      <c r="N873" s="6">
        <f t="shared" si="132"/>
        <v>0</v>
      </c>
      <c r="O873" s="4" t="s">
        <v>38</v>
      </c>
      <c r="P873" s="5" t="str">
        <f t="shared" si="133"/>
        <v>Chennai</v>
      </c>
      <c r="Q873" s="5" t="str">
        <f t="shared" si="134"/>
        <v>Pediatrics</v>
      </c>
      <c r="R873" s="6" t="str">
        <f t="shared" si="135"/>
        <v>Aiims</v>
      </c>
      <c r="S873" s="6" t="str">
        <f t="shared" si="136"/>
        <v>Cash</v>
      </c>
      <c r="T873" s="6" t="str">
        <f t="shared" si="137"/>
        <v>Male</v>
      </c>
      <c r="U873" s="6" t="str">
        <f t="shared" si="140"/>
        <v>General</v>
      </c>
      <c r="V873" s="6" t="str" cm="1">
        <f t="array" ref="V873">IF(TRIM(S873)="",INDEX($S$2:$S$1500,MATCH(MAX(COUNTIF($S$2:$S$1500,S873)),COUNTIF($S$2:$S$1500,$S$2:$S$1500),0)),S873)</f>
        <v>Cash</v>
      </c>
      <c r="W873" s="7" cm="1">
        <f t="array" ref="W873">IF(OR(TRIM(K873)="",TRIM(K873)="-"), MEDIAN(IF($E$2:$E$1500=E873,$K$2:$K$1500)),  VALUE(SUBSTITUTE(SUBSTITUTE(SUBSTITUTE(K873,"Rs. ",""),"₹",""),",","")))</f>
        <v>19350</v>
      </c>
      <c r="X873" s="8">
        <f t="shared" si="138"/>
        <v>0</v>
      </c>
      <c r="Y873" s="7">
        <f t="shared" si="139"/>
        <v>19350</v>
      </c>
      <c r="Z873" s="9" t="str">
        <f t="shared" si="131"/>
        <v>SENIOR</v>
      </c>
    </row>
    <row r="874" spans="1:26" x14ac:dyDescent="0.3">
      <c r="A874" s="5" t="s">
        <v>1848</v>
      </c>
      <c r="B874" s="5" t="s">
        <v>14</v>
      </c>
      <c r="C874" s="5" t="s">
        <v>60</v>
      </c>
      <c r="D874" s="5" t="s">
        <v>61</v>
      </c>
      <c r="E874" s="5" t="s">
        <v>17</v>
      </c>
      <c r="F874" s="5" t="s">
        <v>213</v>
      </c>
      <c r="G874" s="5" t="s">
        <v>39</v>
      </c>
      <c r="H874" s="5">
        <v>55</v>
      </c>
      <c r="I874" s="5" t="s">
        <v>70</v>
      </c>
      <c r="J874" s="34" t="s">
        <v>1849</v>
      </c>
      <c r="K874" s="31" t="s">
        <v>1850</v>
      </c>
      <c r="L874" s="5" t="s">
        <v>72</v>
      </c>
      <c r="M874" s="32"/>
      <c r="N874" s="6">
        <f t="shared" si="132"/>
        <v>0</v>
      </c>
      <c r="O874" s="4" t="s">
        <v>213</v>
      </c>
      <c r="P874" s="5" t="str">
        <f t="shared" si="133"/>
        <v>Pune</v>
      </c>
      <c r="Q874" s="5" t="str">
        <f t="shared" si="134"/>
        <v>Gynecology</v>
      </c>
      <c r="R874" s="6" t="str">
        <f t="shared" si="135"/>
        <v>Max_Healthcare</v>
      </c>
      <c r="S874" s="6" t="str">
        <f t="shared" si="136"/>
        <v>Cash</v>
      </c>
      <c r="T874" s="6" t="str">
        <f t="shared" si="137"/>
        <v>Female</v>
      </c>
      <c r="U874" s="6" t="str">
        <f t="shared" si="140"/>
        <v>General</v>
      </c>
      <c r="V874" s="6" t="str" cm="1">
        <f t="array" ref="V874">IF(TRIM(S874)="",INDEX($S$2:$S$1500,MATCH(MAX(COUNTIF($S$2:$S$1500,S874)),COUNTIF($S$2:$S$1500,$S$2:$S$1500),0)),S874)</f>
        <v>Cash</v>
      </c>
      <c r="W874" s="7" cm="1">
        <f t="array" ref="W874">IF(OR(TRIM(K874)="",TRIM(K874)="-"), MEDIAN(IF($E$2:$E$1500=E874,$K$2:$K$1500)),  VALUE(SUBSTITUTE(SUBSTITUTE(SUBSTITUTE(K874,"Rs. ",""),"₹",""),",","")))</f>
        <v>9030</v>
      </c>
      <c r="X874" s="8">
        <f t="shared" si="138"/>
        <v>0</v>
      </c>
      <c r="Y874" s="7">
        <f t="shared" si="139"/>
        <v>9030</v>
      </c>
      <c r="Z874" s="9" t="str">
        <f t="shared" si="131"/>
        <v>ADULT</v>
      </c>
    </row>
    <row r="875" spans="1:26" x14ac:dyDescent="0.3">
      <c r="A875" s="5" t="s">
        <v>1851</v>
      </c>
      <c r="B875" s="5" t="s">
        <v>25</v>
      </c>
      <c r="C875" s="5" t="s">
        <v>54</v>
      </c>
      <c r="D875" s="5" t="s">
        <v>16</v>
      </c>
      <c r="E875" s="5" t="s">
        <v>28</v>
      </c>
      <c r="F875" s="5" t="s">
        <v>268</v>
      </c>
      <c r="G875" s="5" t="s">
        <v>101</v>
      </c>
      <c r="H875" s="5">
        <v>58</v>
      </c>
      <c r="I875" s="5" t="s">
        <v>31</v>
      </c>
      <c r="J875" s="34" t="s">
        <v>937</v>
      </c>
      <c r="K875" s="31" t="s">
        <v>1852</v>
      </c>
      <c r="L875" s="5" t="s">
        <v>97</v>
      </c>
      <c r="M875" s="32">
        <v>5</v>
      </c>
      <c r="N875" s="6">
        <f t="shared" si="132"/>
        <v>5</v>
      </c>
      <c r="O875" s="4" t="s">
        <v>268</v>
      </c>
      <c r="P875" s="5" t="str">
        <f t="shared" si="133"/>
        <v>Bangalore</v>
      </c>
      <c r="Q875" s="5" t="str">
        <f t="shared" si="134"/>
        <v>Oncology</v>
      </c>
      <c r="R875" s="6" t="str">
        <f t="shared" si="135"/>
        <v>Narayana</v>
      </c>
      <c r="S875" s="6" t="str">
        <f t="shared" si="136"/>
        <v>UPI</v>
      </c>
      <c r="T875" s="6" t="str">
        <f t="shared" si="137"/>
        <v>Male</v>
      </c>
      <c r="U875" s="6" t="str">
        <f t="shared" si="140"/>
        <v>ICU</v>
      </c>
      <c r="V875" s="6" t="str" cm="1">
        <f t="array" ref="V875">IF(TRIM(S875)="",INDEX($S$2:$S$1500,MATCH(MAX(COUNTIF($S$2:$S$1500,S875)),COUNTIF($S$2:$S$1500,$S$2:$S$1500),0)),S875)</f>
        <v>UPI</v>
      </c>
      <c r="W875" s="7" cm="1">
        <f t="array" ref="W875">IF(OR(TRIM(K875)="",TRIM(K875)="-"), MEDIAN(IF($E$2:$E$1500=E875,$K$2:$K$1500)),  VALUE(SUBSTITUTE(SUBSTITUTE(SUBSTITUTE(K875,"Rs. ",""),"₹",""),",","")))</f>
        <v>89673</v>
      </c>
      <c r="X875" s="8">
        <f t="shared" si="138"/>
        <v>5</v>
      </c>
      <c r="Y875" s="7">
        <f t="shared" si="139"/>
        <v>85189</v>
      </c>
      <c r="Z875" s="9" t="str">
        <f t="shared" si="131"/>
        <v>ADULT</v>
      </c>
    </row>
    <row r="876" spans="1:26" x14ac:dyDescent="0.3">
      <c r="A876" s="5" t="s">
        <v>1853</v>
      </c>
      <c r="B876" s="5" t="s">
        <v>45</v>
      </c>
      <c r="C876" s="5" t="s">
        <v>46</v>
      </c>
      <c r="D876" s="5" t="s">
        <v>66</v>
      </c>
      <c r="E876" s="5" t="s">
        <v>99</v>
      </c>
      <c r="F876" s="5" t="s">
        <v>256</v>
      </c>
      <c r="G876" s="5" t="s">
        <v>30</v>
      </c>
      <c r="H876" s="5">
        <v>66</v>
      </c>
      <c r="I876" s="5" t="s">
        <v>20</v>
      </c>
      <c r="J876" s="34" t="s">
        <v>1854</v>
      </c>
      <c r="K876" s="31">
        <v>14343</v>
      </c>
      <c r="L876" s="5" t="s">
        <v>115</v>
      </c>
      <c r="M876" s="32">
        <v>0</v>
      </c>
      <c r="N876" s="6">
        <f t="shared" si="132"/>
        <v>0</v>
      </c>
      <c r="O876" s="4" t="s">
        <v>256</v>
      </c>
      <c r="P876" s="5" t="str">
        <f t="shared" si="133"/>
        <v>Kolkata</v>
      </c>
      <c r="Q876" s="5" t="str">
        <f t="shared" si="134"/>
        <v>Ent</v>
      </c>
      <c r="R876" s="6" t="str">
        <f t="shared" si="135"/>
        <v>Fortis</v>
      </c>
      <c r="S876" s="6" t="str">
        <f t="shared" si="136"/>
        <v>Cash</v>
      </c>
      <c r="T876" s="6" t="str">
        <f t="shared" si="137"/>
        <v>Male</v>
      </c>
      <c r="U876" s="6" t="str">
        <f t="shared" si="140"/>
        <v>General</v>
      </c>
      <c r="V876" s="6" t="str" cm="1">
        <f t="array" ref="V876">IF(TRIM(S876)="",INDEX($S$2:$S$1500,MATCH(MAX(COUNTIF($S$2:$S$1500,S876)),COUNTIF($S$2:$S$1500,$S$2:$S$1500),0)),S876)</f>
        <v>Cash</v>
      </c>
      <c r="W876" s="7" cm="1">
        <f t="array" ref="W876">IF(OR(TRIM(K876)="",TRIM(K876)="-"), MEDIAN(IF($E$2:$E$1500=E876,$K$2:$K$1500)),  VALUE(SUBSTITUTE(SUBSTITUTE(SUBSTITUTE(K876,"Rs. ",""),"₹",""),",","")))</f>
        <v>14343</v>
      </c>
      <c r="X876" s="8">
        <f t="shared" si="138"/>
        <v>0</v>
      </c>
      <c r="Y876" s="7">
        <f t="shared" si="139"/>
        <v>14343</v>
      </c>
      <c r="Z876" s="9" t="str">
        <f t="shared" si="131"/>
        <v>SENIOR</v>
      </c>
    </row>
    <row r="877" spans="1:26" x14ac:dyDescent="0.3">
      <c r="A877" s="5" t="s">
        <v>1855</v>
      </c>
      <c r="B877" s="5" t="s">
        <v>117</v>
      </c>
      <c r="C877" s="5" t="s">
        <v>127</v>
      </c>
      <c r="D877" s="5" t="s">
        <v>189</v>
      </c>
      <c r="E877" s="5" t="s">
        <v>74</v>
      </c>
      <c r="F877" s="5" t="s">
        <v>192</v>
      </c>
      <c r="G877" s="5" t="s">
        <v>49</v>
      </c>
      <c r="H877" s="5">
        <v>38</v>
      </c>
      <c r="I877" s="5" t="s">
        <v>20</v>
      </c>
      <c r="J877" s="34" t="s">
        <v>1856</v>
      </c>
      <c r="K877" s="31" t="s">
        <v>1857</v>
      </c>
      <c r="L877" s="5" t="s">
        <v>87</v>
      </c>
      <c r="M877" s="32" t="s">
        <v>64</v>
      </c>
      <c r="N877" s="6" t="str">
        <f t="shared" si="132"/>
        <v>NA</v>
      </c>
      <c r="O877" s="4" t="s">
        <v>192</v>
      </c>
      <c r="P877" s="5" t="str">
        <f t="shared" si="133"/>
        <v>Delhi</v>
      </c>
      <c r="Q877" s="5" t="str">
        <f t="shared" si="134"/>
        <v>General Medicine</v>
      </c>
      <c r="R877" s="6" t="str">
        <f t="shared" si="135"/>
        <v>Manipal</v>
      </c>
      <c r="S877" s="6" t="str">
        <f t="shared" si="136"/>
        <v>Credit Card</v>
      </c>
      <c r="T877" s="6" t="str">
        <f t="shared" si="137"/>
        <v>Male</v>
      </c>
      <c r="U877" s="6" t="str">
        <f t="shared" si="140"/>
        <v>General</v>
      </c>
      <c r="V877" s="6" t="str" cm="1">
        <f t="array" ref="V877">IF(TRIM(S877)="",INDEX($S$2:$S$1500,MATCH(MAX(COUNTIF($S$2:$S$1500,S877)),COUNTIF($S$2:$S$1500,$S$2:$S$1500),0)),S877)</f>
        <v>Credit Card</v>
      </c>
      <c r="W877" s="7" cm="1">
        <f t="array" ref="W877">IF(OR(TRIM(K877)="",TRIM(K877)="-"), MEDIAN(IF($E$2:$E$1500=E877,$K$2:$K$1500)),  VALUE(SUBSTITUTE(SUBSTITUTE(SUBSTITUTE(K877,"Rs. ",""),"₹",""),",","")))</f>
        <v>9563</v>
      </c>
      <c r="X877" s="8">
        <f t="shared" si="138"/>
        <v>3</v>
      </c>
      <c r="Y877" s="7">
        <f t="shared" si="139"/>
        <v>9276</v>
      </c>
      <c r="Z877" s="9" t="str">
        <f t="shared" si="131"/>
        <v>ADULT</v>
      </c>
    </row>
    <row r="878" spans="1:26" x14ac:dyDescent="0.3">
      <c r="A878" s="5" t="s">
        <v>1858</v>
      </c>
      <c r="B878" s="5" t="s">
        <v>78</v>
      </c>
      <c r="C878" s="5" t="s">
        <v>203</v>
      </c>
      <c r="D878" s="5" t="s">
        <v>27</v>
      </c>
      <c r="E878" s="5" t="s">
        <v>17</v>
      </c>
      <c r="F878" s="5" t="s">
        <v>135</v>
      </c>
      <c r="G878" s="5" t="s">
        <v>39</v>
      </c>
      <c r="H878" s="5">
        <v>87</v>
      </c>
      <c r="I878" s="5" t="s">
        <v>40</v>
      </c>
      <c r="J878" s="34" t="s">
        <v>603</v>
      </c>
      <c r="K878" s="31">
        <v>9448</v>
      </c>
      <c r="L878" s="5" t="s">
        <v>211</v>
      </c>
      <c r="M878" s="32">
        <v>10</v>
      </c>
      <c r="N878" s="6">
        <f t="shared" si="132"/>
        <v>10</v>
      </c>
      <c r="O878" s="4" t="s">
        <v>135</v>
      </c>
      <c r="P878" s="5" t="str">
        <f t="shared" si="133"/>
        <v>Mumbai</v>
      </c>
      <c r="Q878" s="5" t="str">
        <f t="shared" si="134"/>
        <v>Gynecology</v>
      </c>
      <c r="R878" s="6" t="str">
        <f t="shared" si="135"/>
        <v>Apollo</v>
      </c>
      <c r="S878" s="6" t="str">
        <f t="shared" si="136"/>
        <v>Credit Card</v>
      </c>
      <c r="T878" s="6" t="str">
        <f t="shared" si="137"/>
        <v>Female</v>
      </c>
      <c r="U878" s="6" t="str">
        <f t="shared" si="140"/>
        <v>General</v>
      </c>
      <c r="V878" s="6" t="str" cm="1">
        <f t="array" ref="V878">IF(TRIM(S878)="",INDEX($S$2:$S$1500,MATCH(MAX(COUNTIF($S$2:$S$1500,S878)),COUNTIF($S$2:$S$1500,$S$2:$S$1500),0)),S878)</f>
        <v>Credit Card</v>
      </c>
      <c r="W878" s="7" cm="1">
        <f t="array" ref="W878">IF(OR(TRIM(K878)="",TRIM(K878)="-"), MEDIAN(IF($E$2:$E$1500=E878,$K$2:$K$1500)),  VALUE(SUBSTITUTE(SUBSTITUTE(SUBSTITUTE(K878,"Rs. ",""),"₹",""),",","")))</f>
        <v>9448</v>
      </c>
      <c r="X878" s="8">
        <f t="shared" si="138"/>
        <v>10</v>
      </c>
      <c r="Y878" s="7">
        <f t="shared" si="139"/>
        <v>8503</v>
      </c>
      <c r="Z878" s="9" t="str">
        <f t="shared" si="131"/>
        <v>SENIOR</v>
      </c>
    </row>
    <row r="879" spans="1:26" x14ac:dyDescent="0.3">
      <c r="A879" s="5" t="s">
        <v>1859</v>
      </c>
      <c r="B879" s="5" t="s">
        <v>14</v>
      </c>
      <c r="C879" s="5" t="s">
        <v>15</v>
      </c>
      <c r="D879" s="5" t="s">
        <v>80</v>
      </c>
      <c r="E879" s="5" t="s">
        <v>28</v>
      </c>
      <c r="F879" s="5" t="s">
        <v>290</v>
      </c>
      <c r="G879" s="5" t="s">
        <v>19</v>
      </c>
      <c r="H879" s="5">
        <v>28</v>
      </c>
      <c r="I879" s="5" t="s">
        <v>20</v>
      </c>
      <c r="J879" s="34" t="s">
        <v>368</v>
      </c>
      <c r="K879" s="31">
        <v>4950</v>
      </c>
      <c r="L879" s="5" t="s">
        <v>23</v>
      </c>
      <c r="M879" s="32" t="s">
        <v>130</v>
      </c>
      <c r="N879" s="6">
        <f t="shared" si="132"/>
        <v>0</v>
      </c>
      <c r="O879" s="4" t="s">
        <v>290</v>
      </c>
      <c r="P879" s="5" t="str">
        <f t="shared" si="133"/>
        <v>Ahmedabad</v>
      </c>
      <c r="Q879" s="5" t="str">
        <f t="shared" si="134"/>
        <v>Oncology</v>
      </c>
      <c r="R879" s="6" t="str">
        <f t="shared" si="135"/>
        <v>Max_Healthcare</v>
      </c>
      <c r="S879" s="6" t="str">
        <f t="shared" si="136"/>
        <v>Credit Card</v>
      </c>
      <c r="T879" s="6" t="str">
        <f t="shared" si="137"/>
        <v>Male</v>
      </c>
      <c r="U879" s="6" t="str">
        <f t="shared" si="140"/>
        <v>General</v>
      </c>
      <c r="V879" s="6" t="str" cm="1">
        <f t="array" ref="V879">IF(TRIM(S879)="",INDEX($S$2:$S$1500,MATCH(MAX(COUNTIF($S$2:$S$1500,S879)),COUNTIF($S$2:$S$1500,$S$2:$S$1500),0)),S879)</f>
        <v>Credit Card</v>
      </c>
      <c r="W879" s="7" cm="1">
        <f t="array" ref="W879">IF(OR(TRIM(K879)="",TRIM(K879)="-"), MEDIAN(IF($E$2:$E$1500=E879,$K$2:$K$1500)),  VALUE(SUBSTITUTE(SUBSTITUTE(SUBSTITUTE(K879,"Rs. ",""),"₹",""),",","")))</f>
        <v>4950</v>
      </c>
      <c r="X879" s="8">
        <f t="shared" si="138"/>
        <v>0</v>
      </c>
      <c r="Y879" s="7">
        <f t="shared" si="139"/>
        <v>4950</v>
      </c>
      <c r="Z879" s="9" t="str">
        <f t="shared" si="131"/>
        <v>ADULT</v>
      </c>
    </row>
    <row r="880" spans="1:26" x14ac:dyDescent="0.3">
      <c r="A880" s="5" t="s">
        <v>1860</v>
      </c>
      <c r="B880" s="5" t="s">
        <v>117</v>
      </c>
      <c r="C880" s="5" t="s">
        <v>118</v>
      </c>
      <c r="D880" s="5" t="s">
        <v>66</v>
      </c>
      <c r="E880" s="5" t="s">
        <v>37</v>
      </c>
      <c r="F880" s="5" t="s">
        <v>56</v>
      </c>
      <c r="G880" s="5" t="s">
        <v>62</v>
      </c>
      <c r="H880" s="5">
        <v>60</v>
      </c>
      <c r="I880" s="5" t="s">
        <v>31</v>
      </c>
      <c r="J880" s="34" t="s">
        <v>262</v>
      </c>
      <c r="K880" s="31" t="s">
        <v>1861</v>
      </c>
      <c r="L880" s="5" t="s">
        <v>149</v>
      </c>
      <c r="M880" s="32">
        <v>0.25</v>
      </c>
      <c r="N880" s="6">
        <f t="shared" si="132"/>
        <v>25</v>
      </c>
      <c r="O880" s="4" t="s">
        <v>56</v>
      </c>
      <c r="P880" s="5" t="str">
        <f t="shared" si="133"/>
        <v>Kolkata</v>
      </c>
      <c r="Q880" s="5" t="str">
        <f t="shared" si="134"/>
        <v>Pediatrics</v>
      </c>
      <c r="R880" s="6" t="str">
        <f t="shared" si="135"/>
        <v>Manipal</v>
      </c>
      <c r="S880" s="6" t="str">
        <f t="shared" si="136"/>
        <v>Insurance</v>
      </c>
      <c r="T880" s="6" t="str">
        <f t="shared" si="137"/>
        <v>Male</v>
      </c>
      <c r="U880" s="6" t="str">
        <f t="shared" si="140"/>
        <v>ICU</v>
      </c>
      <c r="V880" s="6" t="str" cm="1">
        <f t="array" ref="V880">IF(TRIM(S880)="",INDEX($S$2:$S$1500,MATCH(MAX(COUNTIF($S$2:$S$1500,S880)),COUNTIF($S$2:$S$1500,$S$2:$S$1500),0)),S880)</f>
        <v>Insurance</v>
      </c>
      <c r="W880" s="7" cm="1">
        <f t="array" ref="W880">IF(OR(TRIM(K880)="",TRIM(K880)="-"), MEDIAN(IF($E$2:$E$1500=E880,$K$2:$K$1500)),  VALUE(SUBSTITUTE(SUBSTITUTE(SUBSTITUTE(K880,"Rs. ",""),"₹",""),",","")))</f>
        <v>63986</v>
      </c>
      <c r="X880" s="8">
        <f t="shared" si="138"/>
        <v>25</v>
      </c>
      <c r="Y880" s="7">
        <f t="shared" si="139"/>
        <v>47990</v>
      </c>
      <c r="Z880" s="9" t="str">
        <f t="shared" si="131"/>
        <v>SENIOR</v>
      </c>
    </row>
    <row r="881" spans="1:26" x14ac:dyDescent="0.3">
      <c r="A881" s="5" t="s">
        <v>1862</v>
      </c>
      <c r="B881" s="5" t="s">
        <v>45</v>
      </c>
      <c r="C881" s="5" t="s">
        <v>46</v>
      </c>
      <c r="D881" s="5" t="s">
        <v>27</v>
      </c>
      <c r="E881" s="5" t="s">
        <v>47</v>
      </c>
      <c r="F881" s="5" t="s">
        <v>364</v>
      </c>
      <c r="G881" s="5" t="s">
        <v>30</v>
      </c>
      <c r="H881" s="5">
        <v>83</v>
      </c>
      <c r="I881" s="5" t="s">
        <v>40</v>
      </c>
      <c r="J881" s="34" t="s">
        <v>1863</v>
      </c>
      <c r="K881" s="31" t="s">
        <v>1864</v>
      </c>
      <c r="L881" s="5" t="s">
        <v>52</v>
      </c>
      <c r="M881" s="32"/>
      <c r="N881" s="6">
        <f t="shared" si="132"/>
        <v>0</v>
      </c>
      <c r="O881" s="4" t="s">
        <v>364</v>
      </c>
      <c r="P881" s="5" t="str">
        <f t="shared" si="133"/>
        <v>Mumbai</v>
      </c>
      <c r="Q881" s="5" t="str">
        <f t="shared" si="134"/>
        <v>Gastroenterology</v>
      </c>
      <c r="R881" s="6" t="str">
        <f t="shared" si="135"/>
        <v>Fortis</v>
      </c>
      <c r="S881" s="6" t="str">
        <f t="shared" si="136"/>
        <v>Credit Card</v>
      </c>
      <c r="T881" s="6" t="str">
        <f t="shared" si="137"/>
        <v>Female</v>
      </c>
      <c r="U881" s="6" t="str">
        <f t="shared" si="140"/>
        <v>General</v>
      </c>
      <c r="V881" s="6" t="str" cm="1">
        <f t="array" ref="V881">IF(TRIM(S881)="",INDEX($S$2:$S$1500,MATCH(MAX(COUNTIF($S$2:$S$1500,S881)),COUNTIF($S$2:$S$1500,$S$2:$S$1500),0)),S881)</f>
        <v>Credit Card</v>
      </c>
      <c r="W881" s="7" cm="1">
        <f t="array" ref="W881">IF(OR(TRIM(K881)="",TRIM(K881)="-"), MEDIAN(IF($E$2:$E$1500=E881,$K$2:$K$1500)),  VALUE(SUBSTITUTE(SUBSTITUTE(SUBSTITUTE(K881,"Rs. ",""),"₹",""),",","")))</f>
        <v>17638</v>
      </c>
      <c r="X881" s="8">
        <f t="shared" si="138"/>
        <v>0</v>
      </c>
      <c r="Y881" s="7">
        <f t="shared" si="139"/>
        <v>17638</v>
      </c>
      <c r="Z881" s="9" t="str">
        <f t="shared" si="131"/>
        <v>SENIOR</v>
      </c>
    </row>
    <row r="882" spans="1:26" x14ac:dyDescent="0.3">
      <c r="A882" s="5" t="s">
        <v>1865</v>
      </c>
      <c r="B882" s="5" t="s">
        <v>14</v>
      </c>
      <c r="C882" s="5" t="s">
        <v>60</v>
      </c>
      <c r="D882" s="5" t="s">
        <v>36</v>
      </c>
      <c r="E882" s="5" t="s">
        <v>37</v>
      </c>
      <c r="F882" s="5" t="s">
        <v>56</v>
      </c>
      <c r="G882" s="5" t="s">
        <v>30</v>
      </c>
      <c r="H882" s="5">
        <v>85</v>
      </c>
      <c r="I882" s="5" t="s">
        <v>20</v>
      </c>
      <c r="J882" s="34" t="s">
        <v>966</v>
      </c>
      <c r="K882" s="31" t="s">
        <v>1866</v>
      </c>
      <c r="L882" s="5" t="s">
        <v>34</v>
      </c>
      <c r="M882" s="32">
        <v>0</v>
      </c>
      <c r="N882" s="6">
        <f t="shared" si="132"/>
        <v>0</v>
      </c>
      <c r="O882" s="4" t="s">
        <v>56</v>
      </c>
      <c r="P882" s="5" t="str">
        <f t="shared" si="133"/>
        <v>Chennai</v>
      </c>
      <c r="Q882" s="5" t="str">
        <f t="shared" si="134"/>
        <v>Pediatrics</v>
      </c>
      <c r="R882" s="6" t="str">
        <f t="shared" si="135"/>
        <v>Max_Healthcare</v>
      </c>
      <c r="S882" s="6" t="str">
        <f t="shared" si="136"/>
        <v>Cash</v>
      </c>
      <c r="T882" s="6" t="str">
        <f t="shared" si="137"/>
        <v>Male</v>
      </c>
      <c r="U882" s="6" t="str">
        <f t="shared" si="140"/>
        <v>General</v>
      </c>
      <c r="V882" s="6" t="str" cm="1">
        <f t="array" ref="V882">IF(TRIM(S882)="",INDEX($S$2:$S$1500,MATCH(MAX(COUNTIF($S$2:$S$1500,S882)),COUNTIF($S$2:$S$1500,$S$2:$S$1500),0)),S882)</f>
        <v>Cash</v>
      </c>
      <c r="W882" s="7" cm="1">
        <f t="array" ref="W882">IF(OR(TRIM(K882)="",TRIM(K882)="-"), MEDIAN(IF($E$2:$E$1500=E882,$K$2:$K$1500)),  VALUE(SUBSTITUTE(SUBSTITUTE(SUBSTITUTE(K882,"Rs. ",""),"₹",""),",","")))</f>
        <v>4473</v>
      </c>
      <c r="X882" s="8">
        <f t="shared" si="138"/>
        <v>0</v>
      </c>
      <c r="Y882" s="7">
        <f t="shared" si="139"/>
        <v>4473</v>
      </c>
      <c r="Z882" s="9" t="str">
        <f t="shared" si="131"/>
        <v>SENIOR</v>
      </c>
    </row>
    <row r="883" spans="1:26" x14ac:dyDescent="0.3">
      <c r="A883" s="5" t="s">
        <v>1867</v>
      </c>
      <c r="B883" s="5" t="s">
        <v>78</v>
      </c>
      <c r="C883" s="5" t="s">
        <v>79</v>
      </c>
      <c r="D883" s="5" t="s">
        <v>16</v>
      </c>
      <c r="E883" s="5" t="s">
        <v>17</v>
      </c>
      <c r="F883" s="5" t="s">
        <v>213</v>
      </c>
      <c r="G883" s="5" t="s">
        <v>30</v>
      </c>
      <c r="H883" s="5">
        <v>88</v>
      </c>
      <c r="I883" s="5" t="s">
        <v>40</v>
      </c>
      <c r="J883" s="34" t="s">
        <v>1288</v>
      </c>
      <c r="K883" s="31">
        <v>18423</v>
      </c>
      <c r="L883" s="5" t="s">
        <v>91</v>
      </c>
      <c r="M883" s="32">
        <v>5</v>
      </c>
      <c r="N883" s="6">
        <f t="shared" si="132"/>
        <v>5</v>
      </c>
      <c r="O883" s="4" t="s">
        <v>213</v>
      </c>
      <c r="P883" s="5" t="str">
        <f t="shared" si="133"/>
        <v>Bangalore</v>
      </c>
      <c r="Q883" s="5" t="str">
        <f t="shared" si="134"/>
        <v>Gynecology</v>
      </c>
      <c r="R883" s="6" t="str">
        <f t="shared" si="135"/>
        <v>Apollo</v>
      </c>
      <c r="S883" s="6" t="str">
        <f t="shared" si="136"/>
        <v>Debit Card</v>
      </c>
      <c r="T883" s="6" t="str">
        <f t="shared" si="137"/>
        <v>Female</v>
      </c>
      <c r="U883" s="6" t="str">
        <f t="shared" si="140"/>
        <v>General</v>
      </c>
      <c r="V883" s="6" t="str" cm="1">
        <f t="array" ref="V883">IF(TRIM(S883)="",INDEX($S$2:$S$1500,MATCH(MAX(COUNTIF($S$2:$S$1500,S883)),COUNTIF($S$2:$S$1500,$S$2:$S$1500),0)),S883)</f>
        <v>Debit Card</v>
      </c>
      <c r="W883" s="7" cm="1">
        <f t="array" ref="W883">IF(OR(TRIM(K883)="",TRIM(K883)="-"), MEDIAN(IF($E$2:$E$1500=E883,$K$2:$K$1500)),  VALUE(SUBSTITUTE(SUBSTITUTE(SUBSTITUTE(K883,"Rs. ",""),"₹",""),",","")))</f>
        <v>18423</v>
      </c>
      <c r="X883" s="8">
        <f t="shared" si="138"/>
        <v>5</v>
      </c>
      <c r="Y883" s="7">
        <f t="shared" si="139"/>
        <v>17502</v>
      </c>
      <c r="Z883" s="9" t="str">
        <f t="shared" si="131"/>
        <v>SENIOR</v>
      </c>
    </row>
    <row r="884" spans="1:26" x14ac:dyDescent="0.3">
      <c r="A884" s="5" t="s">
        <v>1868</v>
      </c>
      <c r="B884" s="5" t="s">
        <v>117</v>
      </c>
      <c r="C884" s="5" t="s">
        <v>127</v>
      </c>
      <c r="D884" s="5" t="s">
        <v>66</v>
      </c>
      <c r="E884" s="5" t="s">
        <v>37</v>
      </c>
      <c r="F884" s="5" t="s">
        <v>132</v>
      </c>
      <c r="G884" s="5" t="s">
        <v>69</v>
      </c>
      <c r="H884" s="5">
        <v>54</v>
      </c>
      <c r="I884" s="5" t="s">
        <v>40</v>
      </c>
      <c r="J884" s="34" t="s">
        <v>1856</v>
      </c>
      <c r="K884" s="31">
        <v>67435</v>
      </c>
      <c r="L884" s="5" t="s">
        <v>52</v>
      </c>
      <c r="M884" s="32">
        <v>5</v>
      </c>
      <c r="N884" s="6">
        <f t="shared" si="132"/>
        <v>5</v>
      </c>
      <c r="O884" s="4" t="s">
        <v>132</v>
      </c>
      <c r="P884" s="5" t="str">
        <f t="shared" si="133"/>
        <v>Kolkata</v>
      </c>
      <c r="Q884" s="5" t="str">
        <f t="shared" si="134"/>
        <v>Pediatrics</v>
      </c>
      <c r="R884" s="6" t="str">
        <f t="shared" si="135"/>
        <v>Manipal</v>
      </c>
      <c r="S884" s="6" t="str">
        <f t="shared" si="136"/>
        <v>Credit Card</v>
      </c>
      <c r="T884" s="6" t="str">
        <f t="shared" si="137"/>
        <v>Female</v>
      </c>
      <c r="U884" s="6" t="str">
        <f t="shared" si="140"/>
        <v>ICU</v>
      </c>
      <c r="V884" s="6" t="str" cm="1">
        <f t="array" ref="V884">IF(TRIM(S884)="",INDEX($S$2:$S$1500,MATCH(MAX(COUNTIF($S$2:$S$1500,S884)),COUNTIF($S$2:$S$1500,$S$2:$S$1500),0)),S884)</f>
        <v>Credit Card</v>
      </c>
      <c r="W884" s="7" cm="1">
        <f t="array" ref="W884">IF(OR(TRIM(K884)="",TRIM(K884)="-"), MEDIAN(IF($E$2:$E$1500=E884,$K$2:$K$1500)),  VALUE(SUBSTITUTE(SUBSTITUTE(SUBSTITUTE(K884,"Rs. ",""),"₹",""),",","")))</f>
        <v>67435</v>
      </c>
      <c r="X884" s="8">
        <f t="shared" si="138"/>
        <v>5</v>
      </c>
      <c r="Y884" s="7">
        <f t="shared" si="139"/>
        <v>64063</v>
      </c>
      <c r="Z884" s="9" t="str">
        <f t="shared" si="131"/>
        <v>ADULT</v>
      </c>
    </row>
    <row r="885" spans="1:26" x14ac:dyDescent="0.3">
      <c r="A885" s="5" t="s">
        <v>1869</v>
      </c>
      <c r="B885" s="5" t="s">
        <v>106</v>
      </c>
      <c r="C885" s="5" t="s">
        <v>107</v>
      </c>
      <c r="D885" s="5" t="s">
        <v>80</v>
      </c>
      <c r="E885" s="5" t="s">
        <v>74</v>
      </c>
      <c r="F885" s="5" t="s">
        <v>75</v>
      </c>
      <c r="G885" s="5" t="s">
        <v>101</v>
      </c>
      <c r="H885" s="5">
        <v>83</v>
      </c>
      <c r="I885" s="5" t="s">
        <v>20</v>
      </c>
      <c r="J885" s="34" t="s">
        <v>1244</v>
      </c>
      <c r="K885" s="31" t="s">
        <v>1870</v>
      </c>
      <c r="L885" s="5" t="s">
        <v>211</v>
      </c>
      <c r="M885" s="32" t="s">
        <v>64</v>
      </c>
      <c r="N885" s="6" t="str">
        <f t="shared" si="132"/>
        <v>NA</v>
      </c>
      <c r="O885" s="4" t="s">
        <v>75</v>
      </c>
      <c r="P885" s="5" t="str">
        <f t="shared" si="133"/>
        <v>Ahmedabad</v>
      </c>
      <c r="Q885" s="5" t="str">
        <f t="shared" si="134"/>
        <v>General Medicine</v>
      </c>
      <c r="R885" s="6" t="str">
        <f t="shared" si="135"/>
        <v>Aiims</v>
      </c>
      <c r="S885" s="6" t="str">
        <f t="shared" si="136"/>
        <v>Credit Card</v>
      </c>
      <c r="T885" s="6" t="str">
        <f t="shared" si="137"/>
        <v>Male</v>
      </c>
      <c r="U885" s="6" t="str">
        <f t="shared" si="140"/>
        <v>ICU</v>
      </c>
      <c r="V885" s="6" t="str" cm="1">
        <f t="array" ref="V885">IF(TRIM(S885)="",INDEX($S$2:$S$1500,MATCH(MAX(COUNTIF($S$2:$S$1500,S885)),COUNTIF($S$2:$S$1500,$S$2:$S$1500),0)),S885)</f>
        <v>Credit Card</v>
      </c>
      <c r="W885" s="7" cm="1">
        <f t="array" ref="W885">IF(OR(TRIM(K885)="",TRIM(K885)="-"), MEDIAN(IF($E$2:$E$1500=E885,$K$2:$K$1500)),  VALUE(SUBSTITUTE(SUBSTITUTE(SUBSTITUTE(K885,"Rs. ",""),"₹",""),",","")))</f>
        <v>57110</v>
      </c>
      <c r="X885" s="8">
        <f t="shared" si="138"/>
        <v>3</v>
      </c>
      <c r="Y885" s="7">
        <f t="shared" si="139"/>
        <v>55397</v>
      </c>
      <c r="Z885" s="9" t="str">
        <f t="shared" si="131"/>
        <v>SENIOR</v>
      </c>
    </row>
    <row r="886" spans="1:26" x14ac:dyDescent="0.3">
      <c r="A886" s="5" t="s">
        <v>1871</v>
      </c>
      <c r="B886" s="5" t="s">
        <v>117</v>
      </c>
      <c r="C886" s="5" t="s">
        <v>127</v>
      </c>
      <c r="D886" s="5" t="s">
        <v>27</v>
      </c>
      <c r="E886" s="5" t="s">
        <v>164</v>
      </c>
      <c r="F886" s="5" t="s">
        <v>165</v>
      </c>
      <c r="G886" s="5" t="s">
        <v>19</v>
      </c>
      <c r="H886" s="5">
        <v>41</v>
      </c>
      <c r="I886" s="5" t="s">
        <v>31</v>
      </c>
      <c r="J886" s="34" t="s">
        <v>1222</v>
      </c>
      <c r="K886" s="31" t="s">
        <v>1872</v>
      </c>
      <c r="L886" s="5" t="s">
        <v>52</v>
      </c>
      <c r="M886" s="32"/>
      <c r="N886" s="6">
        <f t="shared" si="132"/>
        <v>0</v>
      </c>
      <c r="O886" s="4" t="s">
        <v>165</v>
      </c>
      <c r="P886" s="5" t="str">
        <f t="shared" si="133"/>
        <v>Mumbai</v>
      </c>
      <c r="Q886" s="5" t="str">
        <f t="shared" si="134"/>
        <v>Cardiology</v>
      </c>
      <c r="R886" s="6" t="str">
        <f t="shared" si="135"/>
        <v>Manipal</v>
      </c>
      <c r="S886" s="6" t="str">
        <f t="shared" si="136"/>
        <v>Credit Card</v>
      </c>
      <c r="T886" s="6" t="str">
        <f t="shared" si="137"/>
        <v>Male</v>
      </c>
      <c r="U886" s="6" t="str">
        <f t="shared" si="140"/>
        <v>General</v>
      </c>
      <c r="V886" s="6" t="str" cm="1">
        <f t="array" ref="V886">IF(TRIM(S886)="",INDEX($S$2:$S$1500,MATCH(MAX(COUNTIF($S$2:$S$1500,S886)),COUNTIF($S$2:$S$1500,$S$2:$S$1500),0)),S886)</f>
        <v>Credit Card</v>
      </c>
      <c r="W886" s="7" cm="1">
        <f t="array" ref="W886">IF(OR(TRIM(K886)="",TRIM(K886)="-"), MEDIAN(IF($E$2:$E$1500=E886,$K$2:$K$1500)),  VALUE(SUBSTITUTE(SUBSTITUTE(SUBSTITUTE(K886,"Rs. ",""),"₹",""),",","")))</f>
        <v>17094</v>
      </c>
      <c r="X886" s="8">
        <f t="shared" si="138"/>
        <v>0</v>
      </c>
      <c r="Y886" s="7">
        <f t="shared" si="139"/>
        <v>17094</v>
      </c>
      <c r="Z886" s="9" t="str">
        <f t="shared" si="131"/>
        <v>ADULT</v>
      </c>
    </row>
    <row r="887" spans="1:26" x14ac:dyDescent="0.3">
      <c r="A887" s="5" t="s">
        <v>1873</v>
      </c>
      <c r="B887" s="5" t="s">
        <v>78</v>
      </c>
      <c r="C887" s="5" t="s">
        <v>203</v>
      </c>
      <c r="D887" s="5" t="s">
        <v>189</v>
      </c>
      <c r="E887" s="5" t="s">
        <v>67</v>
      </c>
      <c r="F887" s="5" t="s">
        <v>85</v>
      </c>
      <c r="G887" s="5" t="s">
        <v>30</v>
      </c>
      <c r="H887" s="5">
        <v>62</v>
      </c>
      <c r="I887" s="5" t="s">
        <v>20</v>
      </c>
      <c r="J887" s="34" t="s">
        <v>547</v>
      </c>
      <c r="K887" s="31">
        <v>17380</v>
      </c>
      <c r="L887" s="5" t="s">
        <v>87</v>
      </c>
      <c r="M887" s="32" t="s">
        <v>76</v>
      </c>
      <c r="N887" s="6">
        <f t="shared" si="132"/>
        <v>10</v>
      </c>
      <c r="O887" s="4" t="s">
        <v>85</v>
      </c>
      <c r="P887" s="5" t="str">
        <f t="shared" si="133"/>
        <v>Delhi</v>
      </c>
      <c r="Q887" s="5" t="str">
        <f t="shared" si="134"/>
        <v>Neurology</v>
      </c>
      <c r="R887" s="6" t="str">
        <f t="shared" si="135"/>
        <v>Apollo</v>
      </c>
      <c r="S887" s="6" t="str">
        <f t="shared" si="136"/>
        <v>Credit Card</v>
      </c>
      <c r="T887" s="6" t="str">
        <f t="shared" si="137"/>
        <v>Male</v>
      </c>
      <c r="U887" s="6" t="str">
        <f t="shared" si="140"/>
        <v>General</v>
      </c>
      <c r="V887" s="6" t="str" cm="1">
        <f t="array" ref="V887">IF(TRIM(S887)="",INDEX($S$2:$S$1500,MATCH(MAX(COUNTIF($S$2:$S$1500,S887)),COUNTIF($S$2:$S$1500,$S$2:$S$1500),0)),S887)</f>
        <v>Credit Card</v>
      </c>
      <c r="W887" s="7" cm="1">
        <f t="array" ref="W887">IF(OR(TRIM(K887)="",TRIM(K887)="-"), MEDIAN(IF($E$2:$E$1500=E887,$K$2:$K$1500)),  VALUE(SUBSTITUTE(SUBSTITUTE(SUBSTITUTE(K887,"Rs. ",""),"₹",""),",","")))</f>
        <v>17380</v>
      </c>
      <c r="X887" s="8">
        <f t="shared" si="138"/>
        <v>10</v>
      </c>
      <c r="Y887" s="7">
        <f t="shared" si="139"/>
        <v>15642</v>
      </c>
      <c r="Z887" s="9" t="str">
        <f t="shared" si="131"/>
        <v>SENIOR</v>
      </c>
    </row>
    <row r="888" spans="1:26" x14ac:dyDescent="0.3">
      <c r="A888" s="5" t="s">
        <v>1874</v>
      </c>
      <c r="B888" s="5" t="s">
        <v>25</v>
      </c>
      <c r="C888" s="5" t="s">
        <v>54</v>
      </c>
      <c r="D888" s="5" t="s">
        <v>55</v>
      </c>
      <c r="E888" s="5" t="s">
        <v>164</v>
      </c>
      <c r="F888" s="5" t="s">
        <v>282</v>
      </c>
      <c r="G888" s="5" t="s">
        <v>49</v>
      </c>
      <c r="H888" s="5">
        <v>59</v>
      </c>
      <c r="I888" s="5" t="s">
        <v>70</v>
      </c>
      <c r="J888" s="34" t="s">
        <v>1435</v>
      </c>
      <c r="K888" s="31" t="s">
        <v>1875</v>
      </c>
      <c r="L888" s="5" t="s">
        <v>72</v>
      </c>
      <c r="M888" s="32">
        <v>10</v>
      </c>
      <c r="N888" s="6">
        <f t="shared" si="132"/>
        <v>10</v>
      </c>
      <c r="O888" s="4" t="s">
        <v>282</v>
      </c>
      <c r="P888" s="5" t="str">
        <f t="shared" si="133"/>
        <v>Hyderabad</v>
      </c>
      <c r="Q888" s="5" t="str">
        <f t="shared" si="134"/>
        <v>Cardiology</v>
      </c>
      <c r="R888" s="6" t="str">
        <f t="shared" si="135"/>
        <v>Narayana</v>
      </c>
      <c r="S888" s="6" t="str">
        <f t="shared" si="136"/>
        <v>Cash</v>
      </c>
      <c r="T888" s="6" t="str">
        <f t="shared" si="137"/>
        <v>Female</v>
      </c>
      <c r="U888" s="6" t="str">
        <f t="shared" si="140"/>
        <v>General</v>
      </c>
      <c r="V888" s="6" t="str" cm="1">
        <f t="array" ref="V888">IF(TRIM(S888)="",INDEX($S$2:$S$1500,MATCH(MAX(COUNTIF($S$2:$S$1500,S888)),COUNTIF($S$2:$S$1500,$S$2:$S$1500),0)),S888)</f>
        <v>Cash</v>
      </c>
      <c r="W888" s="7" cm="1">
        <f t="array" ref="W888">IF(OR(TRIM(K888)="",TRIM(K888)="-"), MEDIAN(IF($E$2:$E$1500=E888,$K$2:$K$1500)),  VALUE(SUBSTITUTE(SUBSTITUTE(SUBSTITUTE(K888,"Rs. ",""),"₹",""),",","")))</f>
        <v>18369</v>
      </c>
      <c r="X888" s="8">
        <f t="shared" si="138"/>
        <v>10</v>
      </c>
      <c r="Y888" s="7">
        <f t="shared" si="139"/>
        <v>16532</v>
      </c>
      <c r="Z888" s="9" t="str">
        <f t="shared" si="131"/>
        <v>ADULT</v>
      </c>
    </row>
    <row r="889" spans="1:26" x14ac:dyDescent="0.3">
      <c r="A889" s="5" t="s">
        <v>1876</v>
      </c>
      <c r="B889" s="5" t="s">
        <v>25</v>
      </c>
      <c r="C889" s="5" t="s">
        <v>54</v>
      </c>
      <c r="D889" s="5" t="s">
        <v>66</v>
      </c>
      <c r="E889" s="5" t="s">
        <v>17</v>
      </c>
      <c r="F889" s="5" t="s">
        <v>18</v>
      </c>
      <c r="G889" s="5" t="s">
        <v>30</v>
      </c>
      <c r="H889" s="5">
        <v>68</v>
      </c>
      <c r="I889" s="5" t="s">
        <v>20</v>
      </c>
      <c r="J889" s="34" t="s">
        <v>1313</v>
      </c>
      <c r="K889" s="31">
        <v>19709</v>
      </c>
      <c r="L889" s="5" t="s">
        <v>311</v>
      </c>
      <c r="M889" s="32" t="s">
        <v>76</v>
      </c>
      <c r="N889" s="6">
        <f t="shared" si="132"/>
        <v>10</v>
      </c>
      <c r="O889" s="4" t="s">
        <v>18</v>
      </c>
      <c r="P889" s="5" t="str">
        <f t="shared" si="133"/>
        <v>Kolkata</v>
      </c>
      <c r="Q889" s="5" t="str">
        <f t="shared" si="134"/>
        <v>Gynecology</v>
      </c>
      <c r="R889" s="6" t="str">
        <f t="shared" si="135"/>
        <v>Narayana</v>
      </c>
      <c r="S889" s="6" t="str">
        <f t="shared" si="136"/>
        <v>UPI</v>
      </c>
      <c r="T889" s="6" t="str">
        <f t="shared" si="137"/>
        <v>Male</v>
      </c>
      <c r="U889" s="6" t="str">
        <f t="shared" si="140"/>
        <v>General</v>
      </c>
      <c r="V889" s="6" t="str" cm="1">
        <f t="array" ref="V889">IF(TRIM(S889)="",INDEX($S$2:$S$1500,MATCH(MAX(COUNTIF($S$2:$S$1500,S889)),COUNTIF($S$2:$S$1500,$S$2:$S$1500),0)),S889)</f>
        <v>UPI</v>
      </c>
      <c r="W889" s="7" cm="1">
        <f t="array" ref="W889">IF(OR(TRIM(K889)="",TRIM(K889)="-"), MEDIAN(IF($E$2:$E$1500=E889,$K$2:$K$1500)),  VALUE(SUBSTITUTE(SUBSTITUTE(SUBSTITUTE(K889,"Rs. ",""),"₹",""),",","")))</f>
        <v>19709</v>
      </c>
      <c r="X889" s="8">
        <f t="shared" si="138"/>
        <v>10</v>
      </c>
      <c r="Y889" s="7">
        <f t="shared" si="139"/>
        <v>17738</v>
      </c>
      <c r="Z889" s="9" t="str">
        <f t="shared" si="131"/>
        <v>SENIOR</v>
      </c>
    </row>
    <row r="890" spans="1:26" x14ac:dyDescent="0.3">
      <c r="A890" s="5" t="s">
        <v>1877</v>
      </c>
      <c r="B890" s="5" t="s">
        <v>117</v>
      </c>
      <c r="C890" s="5" t="s">
        <v>118</v>
      </c>
      <c r="D890" s="5" t="s">
        <v>27</v>
      </c>
      <c r="E890" s="5" t="s">
        <v>37</v>
      </c>
      <c r="F890" s="5" t="s">
        <v>56</v>
      </c>
      <c r="G890" s="5" t="s">
        <v>39</v>
      </c>
      <c r="H890" s="5">
        <v>4</v>
      </c>
      <c r="I890" s="5" t="s">
        <v>31</v>
      </c>
      <c r="J890" s="34" t="s">
        <v>304</v>
      </c>
      <c r="K890" s="31">
        <v>4364</v>
      </c>
      <c r="L890" s="5" t="s">
        <v>72</v>
      </c>
      <c r="M890" s="32">
        <v>0</v>
      </c>
      <c r="N890" s="6">
        <f t="shared" si="132"/>
        <v>0</v>
      </c>
      <c r="O890" s="4" t="s">
        <v>56</v>
      </c>
      <c r="P890" s="5" t="str">
        <f t="shared" si="133"/>
        <v>Mumbai</v>
      </c>
      <c r="Q890" s="5" t="str">
        <f t="shared" si="134"/>
        <v>Pediatrics</v>
      </c>
      <c r="R890" s="6" t="str">
        <f t="shared" si="135"/>
        <v>Manipal</v>
      </c>
      <c r="S890" s="6" t="str">
        <f t="shared" si="136"/>
        <v>Cash</v>
      </c>
      <c r="T890" s="6" t="str">
        <f t="shared" si="137"/>
        <v>Male</v>
      </c>
      <c r="U890" s="6" t="str">
        <f t="shared" si="140"/>
        <v>General</v>
      </c>
      <c r="V890" s="6" t="str" cm="1">
        <f t="array" ref="V890">IF(TRIM(S890)="",INDEX($S$2:$S$1500,MATCH(MAX(COUNTIF($S$2:$S$1500,S890)),COUNTIF($S$2:$S$1500,$S$2:$S$1500),0)),S890)</f>
        <v>Cash</v>
      </c>
      <c r="W890" s="7" cm="1">
        <f t="array" ref="W890">IF(OR(TRIM(K890)="",TRIM(K890)="-"), MEDIAN(IF($E$2:$E$1500=E890,$K$2:$K$1500)),  VALUE(SUBSTITUTE(SUBSTITUTE(SUBSTITUTE(K890,"Rs. ",""),"₹",""),",","")))</f>
        <v>4364</v>
      </c>
      <c r="X890" s="8">
        <f t="shared" si="138"/>
        <v>0</v>
      </c>
      <c r="Y890" s="7">
        <f t="shared" si="139"/>
        <v>4364</v>
      </c>
      <c r="Z890" s="9" t="str">
        <f t="shared" si="131"/>
        <v>CHILD</v>
      </c>
    </row>
    <row r="891" spans="1:26" x14ac:dyDescent="0.3">
      <c r="A891" s="5" t="s">
        <v>1878</v>
      </c>
      <c r="B891" s="5" t="s">
        <v>106</v>
      </c>
      <c r="C891" s="5" t="s">
        <v>307</v>
      </c>
      <c r="D891" s="5" t="s">
        <v>55</v>
      </c>
      <c r="E891" s="5" t="s">
        <v>37</v>
      </c>
      <c r="F891" s="5" t="s">
        <v>38</v>
      </c>
      <c r="G891" s="5" t="s">
        <v>30</v>
      </c>
      <c r="H891" s="5">
        <v>70</v>
      </c>
      <c r="I891" s="5" t="s">
        <v>40</v>
      </c>
      <c r="J891" s="34" t="s">
        <v>580</v>
      </c>
      <c r="K891" s="31">
        <v>12298</v>
      </c>
      <c r="L891" s="5" t="s">
        <v>52</v>
      </c>
      <c r="M891" s="32">
        <v>10</v>
      </c>
      <c r="N891" s="6">
        <f t="shared" si="132"/>
        <v>10</v>
      </c>
      <c r="O891" s="4" t="s">
        <v>38</v>
      </c>
      <c r="P891" s="5" t="str">
        <f t="shared" si="133"/>
        <v>Hyderabad</v>
      </c>
      <c r="Q891" s="5" t="str">
        <f t="shared" si="134"/>
        <v>Pediatrics</v>
      </c>
      <c r="R891" s="6" t="str">
        <f t="shared" si="135"/>
        <v>Aiims</v>
      </c>
      <c r="S891" s="6" t="str">
        <f t="shared" si="136"/>
        <v>Credit Card</v>
      </c>
      <c r="T891" s="6" t="str">
        <f t="shared" si="137"/>
        <v>Female</v>
      </c>
      <c r="U891" s="6" t="str">
        <f t="shared" si="140"/>
        <v>General</v>
      </c>
      <c r="V891" s="6" t="str" cm="1">
        <f t="array" ref="V891">IF(TRIM(S891)="",INDEX($S$2:$S$1500,MATCH(MAX(COUNTIF($S$2:$S$1500,S891)),COUNTIF($S$2:$S$1500,$S$2:$S$1500),0)),S891)</f>
        <v>Credit Card</v>
      </c>
      <c r="W891" s="7" cm="1">
        <f t="array" ref="W891">IF(OR(TRIM(K891)="",TRIM(K891)="-"), MEDIAN(IF($E$2:$E$1500=E891,$K$2:$K$1500)),  VALUE(SUBSTITUTE(SUBSTITUTE(SUBSTITUTE(K891,"Rs. ",""),"₹",""),",","")))</f>
        <v>12298</v>
      </c>
      <c r="X891" s="8">
        <f t="shared" si="138"/>
        <v>10</v>
      </c>
      <c r="Y891" s="7">
        <f t="shared" si="139"/>
        <v>11068</v>
      </c>
      <c r="Z891" s="9" t="str">
        <f t="shared" si="131"/>
        <v>SENIOR</v>
      </c>
    </row>
    <row r="892" spans="1:26" x14ac:dyDescent="0.3">
      <c r="A892" s="5" t="s">
        <v>1879</v>
      </c>
      <c r="B892" s="5" t="s">
        <v>117</v>
      </c>
      <c r="C892" s="5" t="s">
        <v>118</v>
      </c>
      <c r="D892" s="5" t="s">
        <v>16</v>
      </c>
      <c r="E892" s="5" t="s">
        <v>37</v>
      </c>
      <c r="F892" s="5" t="s">
        <v>38</v>
      </c>
      <c r="G892" s="5" t="s">
        <v>49</v>
      </c>
      <c r="H892" s="5">
        <v>65</v>
      </c>
      <c r="I892" s="5" t="s">
        <v>40</v>
      </c>
      <c r="J892" s="34" t="s">
        <v>1205</v>
      </c>
      <c r="K892" s="31" t="s">
        <v>1880</v>
      </c>
      <c r="L892" s="5" t="s">
        <v>72</v>
      </c>
      <c r="M892" s="32" t="s">
        <v>130</v>
      </c>
      <c r="N892" s="6">
        <f t="shared" si="132"/>
        <v>0</v>
      </c>
      <c r="O892" s="4" t="s">
        <v>38</v>
      </c>
      <c r="P892" s="5" t="str">
        <f t="shared" si="133"/>
        <v>Bangalore</v>
      </c>
      <c r="Q892" s="5" t="str">
        <f t="shared" si="134"/>
        <v>Pediatrics</v>
      </c>
      <c r="R892" s="6" t="str">
        <f t="shared" si="135"/>
        <v>Manipal</v>
      </c>
      <c r="S892" s="6" t="str">
        <f t="shared" si="136"/>
        <v>Cash</v>
      </c>
      <c r="T892" s="6" t="str">
        <f t="shared" si="137"/>
        <v>Female</v>
      </c>
      <c r="U892" s="6" t="str">
        <f t="shared" si="140"/>
        <v>General</v>
      </c>
      <c r="V892" s="6" t="str" cm="1">
        <f t="array" ref="V892">IF(TRIM(S892)="",INDEX($S$2:$S$1500,MATCH(MAX(COUNTIF($S$2:$S$1500,S892)),COUNTIF($S$2:$S$1500,$S$2:$S$1500),0)),S892)</f>
        <v>Cash</v>
      </c>
      <c r="W892" s="7" cm="1">
        <f t="array" ref="W892">IF(OR(TRIM(K892)="",TRIM(K892)="-"), MEDIAN(IF($E$2:$E$1500=E892,$K$2:$K$1500)),  VALUE(SUBSTITUTE(SUBSTITUTE(SUBSTITUTE(K892,"Rs. ",""),"₹",""),",","")))</f>
        <v>8140</v>
      </c>
      <c r="X892" s="8">
        <f t="shared" si="138"/>
        <v>0</v>
      </c>
      <c r="Y892" s="7">
        <f t="shared" si="139"/>
        <v>8140</v>
      </c>
      <c r="Z892" s="9" t="str">
        <f t="shared" si="131"/>
        <v>SENIOR</v>
      </c>
    </row>
    <row r="893" spans="1:26" x14ac:dyDescent="0.3">
      <c r="A893" s="5" t="s">
        <v>1881</v>
      </c>
      <c r="B893" s="5" t="s">
        <v>25</v>
      </c>
      <c r="C893" s="5" t="s">
        <v>54</v>
      </c>
      <c r="D893" s="5" t="s">
        <v>16</v>
      </c>
      <c r="E893" s="5" t="s">
        <v>74</v>
      </c>
      <c r="F893" s="5" t="s">
        <v>172</v>
      </c>
      <c r="G893" s="5" t="s">
        <v>19</v>
      </c>
      <c r="H893" s="5">
        <v>67</v>
      </c>
      <c r="I893" s="5" t="s">
        <v>20</v>
      </c>
      <c r="J893" s="34" t="s">
        <v>337</v>
      </c>
      <c r="K893" s="31" t="s">
        <v>1882</v>
      </c>
      <c r="L893" s="5" t="s">
        <v>91</v>
      </c>
      <c r="M893" s="32" t="s">
        <v>130</v>
      </c>
      <c r="N893" s="6">
        <f t="shared" si="132"/>
        <v>0</v>
      </c>
      <c r="O893" s="4" t="s">
        <v>172</v>
      </c>
      <c r="P893" s="5" t="str">
        <f t="shared" si="133"/>
        <v>Bangalore</v>
      </c>
      <c r="Q893" s="5" t="str">
        <f t="shared" si="134"/>
        <v>General Medicine</v>
      </c>
      <c r="R893" s="6" t="str">
        <f t="shared" si="135"/>
        <v>Narayana</v>
      </c>
      <c r="S893" s="6" t="str">
        <f t="shared" si="136"/>
        <v>Debit Card</v>
      </c>
      <c r="T893" s="6" t="str">
        <f t="shared" si="137"/>
        <v>Male</v>
      </c>
      <c r="U893" s="6" t="str">
        <f t="shared" si="140"/>
        <v>General</v>
      </c>
      <c r="V893" s="6" t="str" cm="1">
        <f t="array" ref="V893">IF(TRIM(S893)="",INDEX($S$2:$S$1500,MATCH(MAX(COUNTIF($S$2:$S$1500,S893)),COUNTIF($S$2:$S$1500,$S$2:$S$1500),0)),S893)</f>
        <v>Debit Card</v>
      </c>
      <c r="W893" s="7" cm="1">
        <f t="array" ref="W893">IF(OR(TRIM(K893)="",TRIM(K893)="-"), MEDIAN(IF($E$2:$E$1500=E893,$K$2:$K$1500)),  VALUE(SUBSTITUTE(SUBSTITUTE(SUBSTITUTE(K893,"Rs. ",""),"₹",""),",","")))</f>
        <v>16182</v>
      </c>
      <c r="X893" s="8">
        <f t="shared" si="138"/>
        <v>0</v>
      </c>
      <c r="Y893" s="7">
        <f t="shared" si="139"/>
        <v>16182</v>
      </c>
      <c r="Z893" s="9" t="str">
        <f t="shared" si="131"/>
        <v>SENIOR</v>
      </c>
    </row>
    <row r="894" spans="1:26" x14ac:dyDescent="0.3">
      <c r="A894" s="5" t="s">
        <v>1883</v>
      </c>
      <c r="B894" s="5" t="s">
        <v>78</v>
      </c>
      <c r="C894" s="5" t="s">
        <v>203</v>
      </c>
      <c r="D894" s="5" t="s">
        <v>66</v>
      </c>
      <c r="E894" s="5" t="s">
        <v>17</v>
      </c>
      <c r="F894" s="5" t="s">
        <v>213</v>
      </c>
      <c r="G894" s="5" t="s">
        <v>19</v>
      </c>
      <c r="H894" s="5">
        <v>50</v>
      </c>
      <c r="I894" s="5" t="s">
        <v>40</v>
      </c>
      <c r="J894" s="34" t="s">
        <v>1731</v>
      </c>
      <c r="K894" s="31" t="s">
        <v>1884</v>
      </c>
      <c r="L894" s="5" t="s">
        <v>236</v>
      </c>
      <c r="M894" s="32">
        <v>0</v>
      </c>
      <c r="N894" s="6">
        <f t="shared" si="132"/>
        <v>0</v>
      </c>
      <c r="O894" s="4" t="s">
        <v>213</v>
      </c>
      <c r="P894" s="5" t="str">
        <f t="shared" si="133"/>
        <v>Kolkata</v>
      </c>
      <c r="Q894" s="5" t="str">
        <f t="shared" si="134"/>
        <v>Gynecology</v>
      </c>
      <c r="R894" s="6" t="str">
        <f t="shared" si="135"/>
        <v>Apollo</v>
      </c>
      <c r="S894" s="6" t="str">
        <f t="shared" si="136"/>
        <v>Debit Card</v>
      </c>
      <c r="T894" s="6" t="str">
        <f t="shared" si="137"/>
        <v>Female</v>
      </c>
      <c r="U894" s="6" t="str">
        <f t="shared" si="140"/>
        <v>General</v>
      </c>
      <c r="V894" s="6" t="str" cm="1">
        <f t="array" ref="V894">IF(TRIM(S894)="",INDEX($S$2:$S$1500,MATCH(MAX(COUNTIF($S$2:$S$1500,S894)),COUNTIF($S$2:$S$1500,$S$2:$S$1500),0)),S894)</f>
        <v>Debit Card</v>
      </c>
      <c r="W894" s="7" cm="1">
        <f t="array" ref="W894">IF(OR(TRIM(K894)="",TRIM(K894)="-"), MEDIAN(IF($E$2:$E$1500=E894,$K$2:$K$1500)),  VALUE(SUBSTITUTE(SUBSTITUTE(SUBSTITUTE(K894,"Rs. ",""),"₹",""),",","")))</f>
        <v>16243</v>
      </c>
      <c r="X894" s="8">
        <f t="shared" si="138"/>
        <v>0</v>
      </c>
      <c r="Y894" s="7">
        <f t="shared" si="139"/>
        <v>16243</v>
      </c>
      <c r="Z894" s="9" t="str">
        <f t="shared" si="131"/>
        <v>ADULT</v>
      </c>
    </row>
    <row r="895" spans="1:26" x14ac:dyDescent="0.3">
      <c r="A895" s="5" t="s">
        <v>1885</v>
      </c>
      <c r="B895" s="5" t="s">
        <v>117</v>
      </c>
      <c r="C895" s="5" t="s">
        <v>127</v>
      </c>
      <c r="D895" s="5" t="s">
        <v>189</v>
      </c>
      <c r="E895" s="5" t="s">
        <v>164</v>
      </c>
      <c r="F895" s="5" t="s">
        <v>219</v>
      </c>
      <c r="G895" s="5" t="s">
        <v>49</v>
      </c>
      <c r="H895" s="5">
        <v>1</v>
      </c>
      <c r="I895" s="5" t="s">
        <v>31</v>
      </c>
      <c r="J895" s="34" t="s">
        <v>509</v>
      </c>
      <c r="K895" s="31">
        <v>6736</v>
      </c>
      <c r="L895" s="5" t="s">
        <v>236</v>
      </c>
      <c r="M895" s="32"/>
      <c r="N895" s="6">
        <f t="shared" si="132"/>
        <v>0</v>
      </c>
      <c r="O895" s="4" t="s">
        <v>219</v>
      </c>
      <c r="P895" s="5" t="str">
        <f t="shared" si="133"/>
        <v>Delhi</v>
      </c>
      <c r="Q895" s="5" t="str">
        <f t="shared" si="134"/>
        <v>Cardiology</v>
      </c>
      <c r="R895" s="6" t="str">
        <f t="shared" si="135"/>
        <v>Manipal</v>
      </c>
      <c r="S895" s="6" t="str">
        <f t="shared" si="136"/>
        <v>Debit Card</v>
      </c>
      <c r="T895" s="6" t="str">
        <f t="shared" si="137"/>
        <v>Male</v>
      </c>
      <c r="U895" s="6" t="str">
        <f t="shared" si="140"/>
        <v>General</v>
      </c>
      <c r="V895" s="6" t="str" cm="1">
        <f t="array" ref="V895">IF(TRIM(S895)="",INDEX($S$2:$S$1500,MATCH(MAX(COUNTIF($S$2:$S$1500,S895)),COUNTIF($S$2:$S$1500,$S$2:$S$1500),0)),S895)</f>
        <v>Debit Card</v>
      </c>
      <c r="W895" s="7" cm="1">
        <f t="array" ref="W895">IF(OR(TRIM(K895)="",TRIM(K895)="-"), MEDIAN(IF($E$2:$E$1500=E895,$K$2:$K$1500)),  VALUE(SUBSTITUTE(SUBSTITUTE(SUBSTITUTE(K895,"Rs. ",""),"₹",""),",","")))</f>
        <v>6736</v>
      </c>
      <c r="X895" s="8">
        <f t="shared" si="138"/>
        <v>0</v>
      </c>
      <c r="Y895" s="7">
        <f t="shared" si="139"/>
        <v>6736</v>
      </c>
      <c r="Z895" s="9" t="str">
        <f t="shared" si="131"/>
        <v>CHILD</v>
      </c>
    </row>
    <row r="896" spans="1:26" x14ac:dyDescent="0.3">
      <c r="A896" s="5" t="s">
        <v>1886</v>
      </c>
      <c r="B896" s="5" t="s">
        <v>78</v>
      </c>
      <c r="C896" s="5" t="s">
        <v>79</v>
      </c>
      <c r="D896" s="5" t="s">
        <v>16</v>
      </c>
      <c r="E896" s="5" t="s">
        <v>28</v>
      </c>
      <c r="F896" s="5" t="s">
        <v>268</v>
      </c>
      <c r="G896" s="5" t="s">
        <v>39</v>
      </c>
      <c r="H896" s="5">
        <v>27</v>
      </c>
      <c r="I896" s="5" t="s">
        <v>70</v>
      </c>
      <c r="J896" s="34" t="s">
        <v>1887</v>
      </c>
      <c r="K896" s="31">
        <v>5209</v>
      </c>
      <c r="L896" s="5" t="s">
        <v>115</v>
      </c>
      <c r="M896" s="32" t="s">
        <v>130</v>
      </c>
      <c r="N896" s="6">
        <f t="shared" si="132"/>
        <v>0</v>
      </c>
      <c r="O896" s="4" t="s">
        <v>268</v>
      </c>
      <c r="P896" s="5" t="str">
        <f t="shared" si="133"/>
        <v>Bangalore</v>
      </c>
      <c r="Q896" s="5" t="str">
        <f t="shared" si="134"/>
        <v>Oncology</v>
      </c>
      <c r="R896" s="6" t="str">
        <f t="shared" si="135"/>
        <v>Apollo</v>
      </c>
      <c r="S896" s="6" t="str">
        <f t="shared" si="136"/>
        <v>Cash</v>
      </c>
      <c r="T896" s="6" t="str">
        <f t="shared" si="137"/>
        <v>Female</v>
      </c>
      <c r="U896" s="6" t="str">
        <f t="shared" si="140"/>
        <v>General</v>
      </c>
      <c r="V896" s="6" t="str" cm="1">
        <f t="array" ref="V896">IF(TRIM(S896)="",INDEX($S$2:$S$1500,MATCH(MAX(COUNTIF($S$2:$S$1500,S896)),COUNTIF($S$2:$S$1500,$S$2:$S$1500),0)),S896)</f>
        <v>Cash</v>
      </c>
      <c r="W896" s="7" cm="1">
        <f t="array" ref="W896">IF(OR(TRIM(K896)="",TRIM(K896)="-"), MEDIAN(IF($E$2:$E$1500=E896,$K$2:$K$1500)),  VALUE(SUBSTITUTE(SUBSTITUTE(SUBSTITUTE(K896,"Rs. ",""),"₹",""),",","")))</f>
        <v>5209</v>
      </c>
      <c r="X896" s="8">
        <f t="shared" si="138"/>
        <v>0</v>
      </c>
      <c r="Y896" s="7">
        <f t="shared" si="139"/>
        <v>5209</v>
      </c>
      <c r="Z896" s="9" t="str">
        <f t="shared" si="131"/>
        <v>ADULT</v>
      </c>
    </row>
    <row r="897" spans="1:26" x14ac:dyDescent="0.3">
      <c r="A897" s="5" t="s">
        <v>1888</v>
      </c>
      <c r="B897" s="5" t="s">
        <v>106</v>
      </c>
      <c r="C897" s="5" t="s">
        <v>307</v>
      </c>
      <c r="D897" s="5" t="s">
        <v>189</v>
      </c>
      <c r="E897" s="5" t="s">
        <v>37</v>
      </c>
      <c r="F897" s="5" t="s">
        <v>56</v>
      </c>
      <c r="G897" s="5" t="s">
        <v>39</v>
      </c>
      <c r="H897" s="5">
        <v>54</v>
      </c>
      <c r="I897" s="5" t="s">
        <v>40</v>
      </c>
      <c r="J897" s="34" t="s">
        <v>663</v>
      </c>
      <c r="K897" s="31">
        <v>15545</v>
      </c>
      <c r="L897" s="5" t="s">
        <v>23</v>
      </c>
      <c r="M897" s="32" t="s">
        <v>64</v>
      </c>
      <c r="N897" s="6" t="str">
        <f t="shared" si="132"/>
        <v>NA</v>
      </c>
      <c r="O897" s="4" t="s">
        <v>56</v>
      </c>
      <c r="P897" s="5" t="str">
        <f t="shared" si="133"/>
        <v>Delhi</v>
      </c>
      <c r="Q897" s="5" t="str">
        <f t="shared" si="134"/>
        <v>Pediatrics</v>
      </c>
      <c r="R897" s="6" t="str">
        <f t="shared" si="135"/>
        <v>Aiims</v>
      </c>
      <c r="S897" s="6" t="str">
        <f t="shared" si="136"/>
        <v>Credit Card</v>
      </c>
      <c r="T897" s="6" t="str">
        <f t="shared" si="137"/>
        <v>Female</v>
      </c>
      <c r="U897" s="6" t="str">
        <f t="shared" si="140"/>
        <v>General</v>
      </c>
      <c r="V897" s="6" t="str" cm="1">
        <f t="array" ref="V897">IF(TRIM(S897)="",INDEX($S$2:$S$1500,MATCH(MAX(COUNTIF($S$2:$S$1500,S897)),COUNTIF($S$2:$S$1500,$S$2:$S$1500),0)),S897)</f>
        <v>Credit Card</v>
      </c>
      <c r="W897" s="7" cm="1">
        <f t="array" ref="W897">IF(OR(TRIM(K897)="",TRIM(K897)="-"), MEDIAN(IF($E$2:$E$1500=E897,$K$2:$K$1500)),  VALUE(SUBSTITUTE(SUBSTITUTE(SUBSTITUTE(K897,"Rs. ",""),"₹",""),",","")))</f>
        <v>15545</v>
      </c>
      <c r="X897" s="8">
        <f t="shared" si="138"/>
        <v>3</v>
      </c>
      <c r="Y897" s="7">
        <f t="shared" si="139"/>
        <v>15079</v>
      </c>
      <c r="Z897" s="9" t="str">
        <f t="shared" si="131"/>
        <v>ADULT</v>
      </c>
    </row>
    <row r="898" spans="1:26" x14ac:dyDescent="0.3">
      <c r="A898" s="5" t="s">
        <v>1889</v>
      </c>
      <c r="B898" s="5" t="s">
        <v>78</v>
      </c>
      <c r="C898" s="5" t="s">
        <v>161</v>
      </c>
      <c r="D898" s="5" t="s">
        <v>61</v>
      </c>
      <c r="E898" s="5" t="s">
        <v>164</v>
      </c>
      <c r="F898" s="5" t="s">
        <v>219</v>
      </c>
      <c r="G898" s="5" t="s">
        <v>49</v>
      </c>
      <c r="H898" s="5">
        <v>68</v>
      </c>
      <c r="I898" s="5" t="s">
        <v>40</v>
      </c>
      <c r="J898" s="34" t="s">
        <v>1201</v>
      </c>
      <c r="K898" s="31" t="s">
        <v>1890</v>
      </c>
      <c r="L898" s="5" t="s">
        <v>34</v>
      </c>
      <c r="M898" s="32" t="s">
        <v>130</v>
      </c>
      <c r="N898" s="6">
        <f t="shared" si="132"/>
        <v>0</v>
      </c>
      <c r="O898" s="4" t="s">
        <v>219</v>
      </c>
      <c r="P898" s="5" t="str">
        <f t="shared" si="133"/>
        <v>Pune</v>
      </c>
      <c r="Q898" s="5" t="str">
        <f t="shared" si="134"/>
        <v>Cardiology</v>
      </c>
      <c r="R898" s="6" t="str">
        <f t="shared" si="135"/>
        <v>Apollo</v>
      </c>
      <c r="S898" s="6" t="str">
        <f t="shared" si="136"/>
        <v>Cash</v>
      </c>
      <c r="T898" s="6" t="str">
        <f t="shared" si="137"/>
        <v>Female</v>
      </c>
      <c r="U898" s="6" t="str">
        <f t="shared" si="140"/>
        <v>General</v>
      </c>
      <c r="V898" s="6" t="str" cm="1">
        <f t="array" ref="V898">IF(TRIM(S898)="",INDEX($S$2:$S$1500,MATCH(MAX(COUNTIF($S$2:$S$1500,S898)),COUNTIF($S$2:$S$1500,$S$2:$S$1500),0)),S898)</f>
        <v>Cash</v>
      </c>
      <c r="W898" s="7" cm="1">
        <f t="array" ref="W898">IF(OR(TRIM(K898)="",TRIM(K898)="-"), MEDIAN(IF($E$2:$E$1500=E898,$K$2:$K$1500)),  VALUE(SUBSTITUTE(SUBSTITUTE(SUBSTITUTE(K898,"Rs. ",""),"₹",""),",","")))</f>
        <v>3035</v>
      </c>
      <c r="X898" s="8">
        <f t="shared" si="138"/>
        <v>0</v>
      </c>
      <c r="Y898" s="7">
        <f t="shared" si="139"/>
        <v>3035</v>
      </c>
      <c r="Z898" s="9" t="str">
        <f t="shared" ref="Z898:Z961" si="141">IF(H898&lt;13,"CHILD",IF(H898&lt;20,"TEEN",IF(H898&lt;60,"ADULT","SENIOR")))</f>
        <v>SENIOR</v>
      </c>
    </row>
    <row r="899" spans="1:26" x14ac:dyDescent="0.3">
      <c r="A899" s="5" t="s">
        <v>1891</v>
      </c>
      <c r="B899" s="5" t="s">
        <v>14</v>
      </c>
      <c r="C899" s="5" t="s">
        <v>60</v>
      </c>
      <c r="D899" s="5" t="s">
        <v>16</v>
      </c>
      <c r="E899" s="5" t="s">
        <v>47</v>
      </c>
      <c r="F899" s="5" t="s">
        <v>364</v>
      </c>
      <c r="G899" s="5" t="s">
        <v>49</v>
      </c>
      <c r="H899" s="5">
        <v>86</v>
      </c>
      <c r="I899" s="5" t="s">
        <v>31</v>
      </c>
      <c r="J899" s="34" t="s">
        <v>200</v>
      </c>
      <c r="K899" s="31">
        <v>17590</v>
      </c>
      <c r="L899" s="5"/>
      <c r="M899" s="32" t="s">
        <v>130</v>
      </c>
      <c r="N899" s="6">
        <f t="shared" ref="N899:N962" si="142">IF(RIGHT(TRIM(M899),1)="%",VALUE(LEFT(TRIM(M899),LEN(TRIM(M899))-1)),  IF(AND(ISNUMBER(M899),M899&lt;=1,M899&gt;0),M899*100,M899))</f>
        <v>0</v>
      </c>
      <c r="O899" s="4" t="s">
        <v>364</v>
      </c>
      <c r="P899" s="5" t="str">
        <f t="shared" ref="P899:P962" si="143">PROPER(D899)</f>
        <v>Bangalore</v>
      </c>
      <c r="Q899" s="5" t="str">
        <f t="shared" ref="Q899:Q962" si="144">PROPER(E899)</f>
        <v>Gastroenterology</v>
      </c>
      <c r="R899" s="6" t="str">
        <f t="shared" ref="R899:R962" si="145">PROPER(C899)</f>
        <v>Max_Healthcare</v>
      </c>
      <c r="S899" s="6" t="str">
        <f t="shared" ref="S899:S962" si="146">IF(OR(UPPER(TRIM(L899))="CREDIT_CARD",UPPER(TRIM(L899))="CREDIT CARD",UPPER(TRIM(L899))="CC"),"Credit Card", IF(OR(UPPER(TRIM(L899))="DEBIT_CARD",UPPER(TRIM(L899))="DEBIT CARD",UPPER(TRIM(L899))="DC"),"Debit Card", IF(UPPER(TRIM(L899))="CASH","Cash", IF(UPPER(TRIM(L899))="UPI","UPI", IF(OR(UPPER(TRIM(L899))="INSURANCE",UPPER(TRIM(L899))="INS"),"Insurance", IF(TRIM(L899)="","Unknown","Unknown"))))))</f>
        <v>Unknown</v>
      </c>
      <c r="T899" s="6" t="str">
        <f t="shared" ref="T899:T962" si="147">IF(OR(UPPER(TRIM(I899))="M",UPPER(TRIM(I899))="MALE"),"Male",IF(OR(UPPER(TRIM(I899))="F",UPPER(TRIM(I899))="FEMALE"),"Female","Unknown"))</f>
        <v>Male</v>
      </c>
      <c r="U899" s="6" t="str">
        <f t="shared" si="140"/>
        <v>General</v>
      </c>
      <c r="V899" s="6" t="str" cm="1">
        <f t="array" ref="V899">IF(TRIM(S899)="",INDEX($S$2:$S$1500,MATCH(MAX(COUNTIF($S$2:$S$1500,S899)),COUNTIF($S$2:$S$1500,$S$2:$S$1500),0)),S899)</f>
        <v>Unknown</v>
      </c>
      <c r="W899" s="7" cm="1">
        <f t="array" ref="W899">IF(OR(TRIM(K899)="",TRIM(K899)="-"), MEDIAN(IF($E$2:$E$1500=E899,$K$2:$K$1500)),  VALUE(SUBSTITUTE(SUBSTITUTE(SUBSTITUTE(K899,"Rs. ",""),"₹",""),",","")))</f>
        <v>17590</v>
      </c>
      <c r="X899" s="8">
        <f t="shared" ref="X899:X962" si="148">ROUND(IF(OR(TRIM(N899)="-",UPPER(TRIM(N899))="N/A",UPPER(TRIM(N899))="NA"), IFERROR(AVERAGEIF($V$2:$V$1500,V899,$N$2:$N$1500),AVERAGE($N$2:$N$1500)), N899),0)</f>
        <v>0</v>
      </c>
      <c r="Y899" s="7">
        <f t="shared" ref="Y899:Y962" si="149">ROUND(W899*(1-X899/100),0)</f>
        <v>17590</v>
      </c>
      <c r="Z899" s="9" t="str">
        <f t="shared" si="141"/>
        <v>SENIOR</v>
      </c>
    </row>
    <row r="900" spans="1:26" x14ac:dyDescent="0.3">
      <c r="A900" s="5" t="s">
        <v>1892</v>
      </c>
      <c r="B900" s="5" t="s">
        <v>14</v>
      </c>
      <c r="C900" s="5" t="s">
        <v>60</v>
      </c>
      <c r="D900" s="5" t="s">
        <v>66</v>
      </c>
      <c r="E900" s="5" t="s">
        <v>47</v>
      </c>
      <c r="F900" s="5" t="s">
        <v>175</v>
      </c>
      <c r="G900" s="5" t="s">
        <v>30</v>
      </c>
      <c r="H900" s="5">
        <v>83</v>
      </c>
      <c r="I900" s="5" t="s">
        <v>20</v>
      </c>
      <c r="J900" s="34" t="s">
        <v>342</v>
      </c>
      <c r="K900" s="31">
        <v>7824</v>
      </c>
      <c r="L900" s="5" t="s">
        <v>91</v>
      </c>
      <c r="M900" s="32">
        <v>0</v>
      </c>
      <c r="N900" s="6">
        <f t="shared" si="142"/>
        <v>0</v>
      </c>
      <c r="O900" s="4" t="s">
        <v>175</v>
      </c>
      <c r="P900" s="5" t="str">
        <f t="shared" si="143"/>
        <v>Kolkata</v>
      </c>
      <c r="Q900" s="5" t="str">
        <f t="shared" si="144"/>
        <v>Gastroenterology</v>
      </c>
      <c r="R900" s="6" t="str">
        <f t="shared" si="145"/>
        <v>Max_Healthcare</v>
      </c>
      <c r="S900" s="6" t="str">
        <f t="shared" si="146"/>
        <v>Debit Card</v>
      </c>
      <c r="T900" s="6" t="str">
        <f t="shared" si="147"/>
        <v>Male</v>
      </c>
      <c r="U900" s="6" t="str">
        <f t="shared" si="140"/>
        <v>General</v>
      </c>
      <c r="V900" s="6" t="str" cm="1">
        <f t="array" ref="V900">IF(TRIM(S900)="",INDEX($S$2:$S$1500,MATCH(MAX(COUNTIF($S$2:$S$1500,S900)),COUNTIF($S$2:$S$1500,$S$2:$S$1500),0)),S900)</f>
        <v>Debit Card</v>
      </c>
      <c r="W900" s="7" cm="1">
        <f t="array" ref="W900">IF(OR(TRIM(K900)="",TRIM(K900)="-"), MEDIAN(IF($E$2:$E$1500=E900,$K$2:$K$1500)),  VALUE(SUBSTITUTE(SUBSTITUTE(SUBSTITUTE(K900,"Rs. ",""),"₹",""),",","")))</f>
        <v>7824</v>
      </c>
      <c r="X900" s="8">
        <f t="shared" si="148"/>
        <v>0</v>
      </c>
      <c r="Y900" s="7">
        <f t="shared" si="149"/>
        <v>7824</v>
      </c>
      <c r="Z900" s="9" t="str">
        <f t="shared" si="141"/>
        <v>SENIOR</v>
      </c>
    </row>
    <row r="901" spans="1:26" x14ac:dyDescent="0.3">
      <c r="A901" s="5" t="s">
        <v>1893</v>
      </c>
      <c r="B901" s="5" t="s">
        <v>45</v>
      </c>
      <c r="C901" s="5" t="s">
        <v>334</v>
      </c>
      <c r="D901" s="5" t="s">
        <v>36</v>
      </c>
      <c r="E901" s="5" t="s">
        <v>28</v>
      </c>
      <c r="F901" s="5" t="s">
        <v>29</v>
      </c>
      <c r="G901" s="5" t="s">
        <v>30</v>
      </c>
      <c r="H901" s="5">
        <v>47</v>
      </c>
      <c r="I901" s="5" t="s">
        <v>70</v>
      </c>
      <c r="J901" s="34" t="s">
        <v>1042</v>
      </c>
      <c r="K901" s="31" t="s">
        <v>1894</v>
      </c>
      <c r="L901" s="5" t="s">
        <v>72</v>
      </c>
      <c r="M901" s="32" t="s">
        <v>130</v>
      </c>
      <c r="N901" s="6">
        <f t="shared" si="142"/>
        <v>0</v>
      </c>
      <c r="O901" s="4" t="s">
        <v>29</v>
      </c>
      <c r="P901" s="5" t="str">
        <f t="shared" si="143"/>
        <v>Chennai</v>
      </c>
      <c r="Q901" s="5" t="str">
        <f t="shared" si="144"/>
        <v>Oncology</v>
      </c>
      <c r="R901" s="6" t="str">
        <f t="shared" si="145"/>
        <v>Fortis</v>
      </c>
      <c r="S901" s="6" t="str">
        <f t="shared" si="146"/>
        <v>Cash</v>
      </c>
      <c r="T901" s="6" t="str">
        <f t="shared" si="147"/>
        <v>Female</v>
      </c>
      <c r="U901" s="6" t="str">
        <f t="shared" si="140"/>
        <v>General</v>
      </c>
      <c r="V901" s="6" t="str" cm="1">
        <f t="array" ref="V901">IF(TRIM(S901)="",INDEX($S$2:$S$1500,MATCH(MAX(COUNTIF($S$2:$S$1500,S901)),COUNTIF($S$2:$S$1500,$S$2:$S$1500),0)),S901)</f>
        <v>Cash</v>
      </c>
      <c r="W901" s="7" cm="1">
        <f t="array" ref="W901">IF(OR(TRIM(K901)="",TRIM(K901)="-"), MEDIAN(IF($E$2:$E$1500=E901,$K$2:$K$1500)),  VALUE(SUBSTITUTE(SUBSTITUTE(SUBSTITUTE(K901,"Rs. ",""),"₹",""),",","")))</f>
        <v>19766</v>
      </c>
      <c r="X901" s="8">
        <f t="shared" si="148"/>
        <v>0</v>
      </c>
      <c r="Y901" s="7">
        <f t="shared" si="149"/>
        <v>19766</v>
      </c>
      <c r="Z901" s="9" t="str">
        <f t="shared" si="141"/>
        <v>ADULT</v>
      </c>
    </row>
    <row r="902" spans="1:26" x14ac:dyDescent="0.3">
      <c r="A902" s="5" t="s">
        <v>1895</v>
      </c>
      <c r="B902" s="5" t="s">
        <v>14</v>
      </c>
      <c r="C902" s="5" t="s">
        <v>60</v>
      </c>
      <c r="D902" s="5" t="s">
        <v>66</v>
      </c>
      <c r="E902" s="5" t="s">
        <v>28</v>
      </c>
      <c r="F902" s="5" t="s">
        <v>259</v>
      </c>
      <c r="G902" s="5" t="s">
        <v>19</v>
      </c>
      <c r="H902" s="5">
        <v>36</v>
      </c>
      <c r="I902" s="5" t="s">
        <v>20</v>
      </c>
      <c r="J902" s="34" t="s">
        <v>1327</v>
      </c>
      <c r="K902" s="31" t="s">
        <v>1896</v>
      </c>
      <c r="L902" s="5" t="s">
        <v>104</v>
      </c>
      <c r="M902" s="32">
        <v>0.35</v>
      </c>
      <c r="N902" s="6">
        <f t="shared" si="142"/>
        <v>35</v>
      </c>
      <c r="O902" s="4" t="s">
        <v>259</v>
      </c>
      <c r="P902" s="5" t="str">
        <f t="shared" si="143"/>
        <v>Kolkata</v>
      </c>
      <c r="Q902" s="5" t="str">
        <f t="shared" si="144"/>
        <v>Oncology</v>
      </c>
      <c r="R902" s="6" t="str">
        <f t="shared" si="145"/>
        <v>Max_Healthcare</v>
      </c>
      <c r="S902" s="6" t="str">
        <f t="shared" si="146"/>
        <v>Insurance</v>
      </c>
      <c r="T902" s="6" t="str">
        <f t="shared" si="147"/>
        <v>Male</v>
      </c>
      <c r="U902" s="6" t="str">
        <f t="shared" si="140"/>
        <v>General</v>
      </c>
      <c r="V902" s="6" t="str" cm="1">
        <f t="array" ref="V902">IF(TRIM(S902)="",INDEX($S$2:$S$1500,MATCH(MAX(COUNTIF($S$2:$S$1500,S902)),COUNTIF($S$2:$S$1500,$S$2:$S$1500),0)),S902)</f>
        <v>Insurance</v>
      </c>
      <c r="W902" s="7" cm="1">
        <f t="array" ref="W902">IF(OR(TRIM(K902)="",TRIM(K902)="-"), MEDIAN(IF($E$2:$E$1500=E902,$K$2:$K$1500)),  VALUE(SUBSTITUTE(SUBSTITUTE(SUBSTITUTE(K902,"Rs. ",""),"₹",""),",","")))</f>
        <v>13251</v>
      </c>
      <c r="X902" s="8">
        <f t="shared" si="148"/>
        <v>35</v>
      </c>
      <c r="Y902" s="7">
        <f t="shared" si="149"/>
        <v>8613</v>
      </c>
      <c r="Z902" s="9" t="str">
        <f t="shared" si="141"/>
        <v>ADULT</v>
      </c>
    </row>
    <row r="903" spans="1:26" x14ac:dyDescent="0.3">
      <c r="A903" s="5" t="s">
        <v>1897</v>
      </c>
      <c r="B903" s="5" t="s">
        <v>117</v>
      </c>
      <c r="C903" s="5" t="s">
        <v>118</v>
      </c>
      <c r="D903" s="5" t="s">
        <v>189</v>
      </c>
      <c r="E903" s="5" t="s">
        <v>164</v>
      </c>
      <c r="F903" s="5" t="s">
        <v>282</v>
      </c>
      <c r="G903" s="5" t="s">
        <v>62</v>
      </c>
      <c r="H903" s="5">
        <v>49</v>
      </c>
      <c r="I903" s="5" t="s">
        <v>70</v>
      </c>
      <c r="J903" s="34" t="s">
        <v>507</v>
      </c>
      <c r="K903" s="31" t="s">
        <v>1898</v>
      </c>
      <c r="L903" s="5" t="s">
        <v>72</v>
      </c>
      <c r="M903" s="32">
        <v>0</v>
      </c>
      <c r="N903" s="6">
        <f t="shared" si="142"/>
        <v>0</v>
      </c>
      <c r="O903" s="4" t="s">
        <v>282</v>
      </c>
      <c r="P903" s="5" t="str">
        <f t="shared" si="143"/>
        <v>Delhi</v>
      </c>
      <c r="Q903" s="5" t="str">
        <f t="shared" si="144"/>
        <v>Cardiology</v>
      </c>
      <c r="R903" s="6" t="str">
        <f t="shared" si="145"/>
        <v>Manipal</v>
      </c>
      <c r="S903" s="6" t="str">
        <f t="shared" si="146"/>
        <v>Cash</v>
      </c>
      <c r="T903" s="6" t="str">
        <f t="shared" si="147"/>
        <v>Female</v>
      </c>
      <c r="U903" s="6" t="str">
        <f t="shared" si="140"/>
        <v>ICU</v>
      </c>
      <c r="V903" s="6" t="str" cm="1">
        <f t="array" ref="V903">IF(TRIM(S903)="",INDEX($S$2:$S$1500,MATCH(MAX(COUNTIF($S$2:$S$1500,S903)),COUNTIF($S$2:$S$1500,$S$2:$S$1500),0)),S903)</f>
        <v>Cash</v>
      </c>
      <c r="W903" s="7" cm="1">
        <f t="array" ref="W903">IF(OR(TRIM(K903)="",TRIM(K903)="-"), MEDIAN(IF($E$2:$E$1500=E903,$K$2:$K$1500)),  VALUE(SUBSTITUTE(SUBSTITUTE(SUBSTITUTE(K903,"Rs. ",""),"₹",""),",","")))</f>
        <v>30879</v>
      </c>
      <c r="X903" s="8">
        <f t="shared" si="148"/>
        <v>0</v>
      </c>
      <c r="Y903" s="7">
        <f t="shared" si="149"/>
        <v>30879</v>
      </c>
      <c r="Z903" s="9" t="str">
        <f t="shared" si="141"/>
        <v>ADULT</v>
      </c>
    </row>
    <row r="904" spans="1:26" x14ac:dyDescent="0.3">
      <c r="A904" s="5" t="s">
        <v>1899</v>
      </c>
      <c r="B904" s="5" t="s">
        <v>25</v>
      </c>
      <c r="C904" s="5" t="s">
        <v>54</v>
      </c>
      <c r="D904" s="5" t="s">
        <v>61</v>
      </c>
      <c r="E904" s="5" t="s">
        <v>108</v>
      </c>
      <c r="F904" s="5" t="s">
        <v>272</v>
      </c>
      <c r="G904" s="5" t="s">
        <v>19</v>
      </c>
      <c r="H904" s="5">
        <v>12</v>
      </c>
      <c r="I904" s="5" t="s">
        <v>31</v>
      </c>
      <c r="J904" s="34" t="s">
        <v>551</v>
      </c>
      <c r="K904" s="31">
        <v>13082</v>
      </c>
      <c r="L904" s="5" t="s">
        <v>167</v>
      </c>
      <c r="M904" s="32">
        <v>0.12</v>
      </c>
      <c r="N904" s="6">
        <f t="shared" si="142"/>
        <v>12</v>
      </c>
      <c r="O904" s="4" t="s">
        <v>272</v>
      </c>
      <c r="P904" s="5" t="str">
        <f t="shared" si="143"/>
        <v>Pune</v>
      </c>
      <c r="Q904" s="5" t="str">
        <f t="shared" si="144"/>
        <v>Orthopedics</v>
      </c>
      <c r="R904" s="6" t="str">
        <f t="shared" si="145"/>
        <v>Narayana</v>
      </c>
      <c r="S904" s="6" t="str">
        <f t="shared" si="146"/>
        <v>Insurance</v>
      </c>
      <c r="T904" s="6" t="str">
        <f t="shared" si="147"/>
        <v>Male</v>
      </c>
      <c r="U904" s="6" t="str">
        <f t="shared" si="140"/>
        <v>General</v>
      </c>
      <c r="V904" s="6" t="str" cm="1">
        <f t="array" ref="V904">IF(TRIM(S904)="",INDEX($S$2:$S$1500,MATCH(MAX(COUNTIF($S$2:$S$1500,S904)),COUNTIF($S$2:$S$1500,$S$2:$S$1500),0)),S904)</f>
        <v>Insurance</v>
      </c>
      <c r="W904" s="7" cm="1">
        <f t="array" ref="W904">IF(OR(TRIM(K904)="",TRIM(K904)="-"), MEDIAN(IF($E$2:$E$1500=E904,$K$2:$K$1500)),  VALUE(SUBSTITUTE(SUBSTITUTE(SUBSTITUTE(K904,"Rs. ",""),"₹",""),",","")))</f>
        <v>13082</v>
      </c>
      <c r="X904" s="8">
        <f t="shared" si="148"/>
        <v>12</v>
      </c>
      <c r="Y904" s="7">
        <f t="shared" si="149"/>
        <v>11512</v>
      </c>
      <c r="Z904" s="9" t="str">
        <f t="shared" si="141"/>
        <v>CHILD</v>
      </c>
    </row>
    <row r="905" spans="1:26" x14ac:dyDescent="0.3">
      <c r="A905" s="5" t="s">
        <v>1900</v>
      </c>
      <c r="B905" s="5" t="s">
        <v>14</v>
      </c>
      <c r="C905" s="5" t="s">
        <v>60</v>
      </c>
      <c r="D905" s="5" t="s">
        <v>55</v>
      </c>
      <c r="E905" s="5" t="s">
        <v>28</v>
      </c>
      <c r="F905" s="5" t="s">
        <v>259</v>
      </c>
      <c r="G905" s="5" t="s">
        <v>49</v>
      </c>
      <c r="H905" s="5">
        <v>14</v>
      </c>
      <c r="I905" s="5" t="s">
        <v>20</v>
      </c>
      <c r="J905" s="34" t="s">
        <v>1901</v>
      </c>
      <c r="K905" s="31" t="s">
        <v>1902</v>
      </c>
      <c r="L905" s="5" t="s">
        <v>58</v>
      </c>
      <c r="M905" s="32" t="s">
        <v>140</v>
      </c>
      <c r="N905" s="6" t="str">
        <f t="shared" si="142"/>
        <v>-</v>
      </c>
      <c r="O905" s="4" t="s">
        <v>259</v>
      </c>
      <c r="P905" s="5" t="str">
        <f t="shared" si="143"/>
        <v>Hyderabad</v>
      </c>
      <c r="Q905" s="5" t="str">
        <f t="shared" si="144"/>
        <v>Oncology</v>
      </c>
      <c r="R905" s="6" t="str">
        <f t="shared" si="145"/>
        <v>Max_Healthcare</v>
      </c>
      <c r="S905" s="6" t="str">
        <f t="shared" si="146"/>
        <v>UPI</v>
      </c>
      <c r="T905" s="6" t="str">
        <f t="shared" si="147"/>
        <v>Male</v>
      </c>
      <c r="U905" s="6" t="str">
        <f t="shared" si="140"/>
        <v>General</v>
      </c>
      <c r="V905" s="6" t="str" cm="1">
        <f t="array" ref="V905">IF(TRIM(S905)="",INDEX($S$2:$S$1500,MATCH(MAX(COUNTIF($S$2:$S$1500,S905)),COUNTIF($S$2:$S$1500,$S$2:$S$1500),0)),S905)</f>
        <v>UPI</v>
      </c>
      <c r="W905" s="7" cm="1">
        <f t="array" ref="W905">IF(OR(TRIM(K905)="",TRIM(K905)="-"), MEDIAN(IF($E$2:$E$1500=E905,$K$2:$K$1500)),  VALUE(SUBSTITUTE(SUBSTITUTE(SUBSTITUTE(K905,"Rs. ",""),"₹",""),",","")))</f>
        <v>10309</v>
      </c>
      <c r="X905" s="8">
        <f t="shared" si="148"/>
        <v>3</v>
      </c>
      <c r="Y905" s="7">
        <f t="shared" si="149"/>
        <v>10000</v>
      </c>
      <c r="Z905" s="9" t="str">
        <f t="shared" si="141"/>
        <v>TEEN</v>
      </c>
    </row>
    <row r="906" spans="1:26" x14ac:dyDescent="0.3">
      <c r="A906" s="5" t="s">
        <v>1903</v>
      </c>
      <c r="B906" s="5" t="s">
        <v>78</v>
      </c>
      <c r="C906" s="5" t="s">
        <v>79</v>
      </c>
      <c r="D906" s="5" t="s">
        <v>16</v>
      </c>
      <c r="E906" s="5" t="s">
        <v>93</v>
      </c>
      <c r="F906" s="5" t="s">
        <v>121</v>
      </c>
      <c r="G906" s="5" t="s">
        <v>19</v>
      </c>
      <c r="H906" s="5">
        <v>34</v>
      </c>
      <c r="I906" s="5" t="s">
        <v>40</v>
      </c>
      <c r="J906" s="34" t="s">
        <v>438</v>
      </c>
      <c r="K906" s="31">
        <v>9989</v>
      </c>
      <c r="L906" s="5" t="s">
        <v>72</v>
      </c>
      <c r="M906" s="32">
        <v>0.1</v>
      </c>
      <c r="N906" s="6">
        <f t="shared" si="142"/>
        <v>10</v>
      </c>
      <c r="O906" s="4" t="s">
        <v>121</v>
      </c>
      <c r="P906" s="5" t="str">
        <f t="shared" si="143"/>
        <v>Bangalore</v>
      </c>
      <c r="Q906" s="5" t="str">
        <f t="shared" si="144"/>
        <v>Nephrology</v>
      </c>
      <c r="R906" s="6" t="str">
        <f t="shared" si="145"/>
        <v>Apollo</v>
      </c>
      <c r="S906" s="6" t="str">
        <f t="shared" si="146"/>
        <v>Cash</v>
      </c>
      <c r="T906" s="6" t="str">
        <f t="shared" si="147"/>
        <v>Female</v>
      </c>
      <c r="U906" s="6" t="str">
        <f t="shared" si="140"/>
        <v>General</v>
      </c>
      <c r="V906" s="6" t="str" cm="1">
        <f t="array" ref="V906">IF(TRIM(S906)="",INDEX($S$2:$S$1500,MATCH(MAX(COUNTIF($S$2:$S$1500,S906)),COUNTIF($S$2:$S$1500,$S$2:$S$1500),0)),S906)</f>
        <v>Cash</v>
      </c>
      <c r="W906" s="7" cm="1">
        <f t="array" ref="W906">IF(OR(TRIM(K906)="",TRIM(K906)="-"), MEDIAN(IF($E$2:$E$1500=E906,$K$2:$K$1500)),  VALUE(SUBSTITUTE(SUBSTITUTE(SUBSTITUTE(K906,"Rs. ",""),"₹",""),",","")))</f>
        <v>9989</v>
      </c>
      <c r="X906" s="8">
        <f t="shared" si="148"/>
        <v>10</v>
      </c>
      <c r="Y906" s="7">
        <f t="shared" si="149"/>
        <v>8990</v>
      </c>
      <c r="Z906" s="9" t="str">
        <f t="shared" si="141"/>
        <v>ADULT</v>
      </c>
    </row>
    <row r="907" spans="1:26" x14ac:dyDescent="0.3">
      <c r="A907" s="5" t="s">
        <v>1904</v>
      </c>
      <c r="B907" s="5" t="s">
        <v>45</v>
      </c>
      <c r="C907" s="5" t="s">
        <v>46</v>
      </c>
      <c r="D907" s="5" t="s">
        <v>80</v>
      </c>
      <c r="E907" s="5" t="s">
        <v>164</v>
      </c>
      <c r="F907" s="5" t="s">
        <v>219</v>
      </c>
      <c r="G907" s="5" t="s">
        <v>30</v>
      </c>
      <c r="H907" s="5">
        <v>61</v>
      </c>
      <c r="I907" s="5" t="s">
        <v>31</v>
      </c>
      <c r="J907" s="34" t="s">
        <v>1162</v>
      </c>
      <c r="K907" s="31">
        <v>14197</v>
      </c>
      <c r="L907" s="5" t="s">
        <v>42</v>
      </c>
      <c r="M907" s="32"/>
      <c r="N907" s="6">
        <f t="shared" si="142"/>
        <v>0</v>
      </c>
      <c r="O907" s="4" t="s">
        <v>219</v>
      </c>
      <c r="P907" s="5" t="str">
        <f t="shared" si="143"/>
        <v>Ahmedabad</v>
      </c>
      <c r="Q907" s="5" t="str">
        <f t="shared" si="144"/>
        <v>Cardiology</v>
      </c>
      <c r="R907" s="6" t="str">
        <f t="shared" si="145"/>
        <v>Fortis</v>
      </c>
      <c r="S907" s="6" t="str">
        <f t="shared" si="146"/>
        <v>Insurance</v>
      </c>
      <c r="T907" s="6" t="str">
        <f t="shared" si="147"/>
        <v>Male</v>
      </c>
      <c r="U907" s="6" t="str">
        <f t="shared" si="140"/>
        <v>General</v>
      </c>
      <c r="V907" s="6" t="str" cm="1">
        <f t="array" ref="V907">IF(TRIM(S907)="",INDEX($S$2:$S$1500,MATCH(MAX(COUNTIF($S$2:$S$1500,S907)),COUNTIF($S$2:$S$1500,$S$2:$S$1500),0)),S907)</f>
        <v>Insurance</v>
      </c>
      <c r="W907" s="7" cm="1">
        <f t="array" ref="W907">IF(OR(TRIM(K907)="",TRIM(K907)="-"), MEDIAN(IF($E$2:$E$1500=E907,$K$2:$K$1500)),  VALUE(SUBSTITUTE(SUBSTITUTE(SUBSTITUTE(K907,"Rs. ",""),"₹",""),",","")))</f>
        <v>14197</v>
      </c>
      <c r="X907" s="8">
        <f t="shared" si="148"/>
        <v>0</v>
      </c>
      <c r="Y907" s="7">
        <f t="shared" si="149"/>
        <v>14197</v>
      </c>
      <c r="Z907" s="9" t="str">
        <f t="shared" si="141"/>
        <v>SENIOR</v>
      </c>
    </row>
    <row r="908" spans="1:26" x14ac:dyDescent="0.3">
      <c r="A908" s="5" t="s">
        <v>1905</v>
      </c>
      <c r="B908" s="5" t="s">
        <v>14</v>
      </c>
      <c r="C908" s="5" t="s">
        <v>60</v>
      </c>
      <c r="D908" s="5" t="s">
        <v>36</v>
      </c>
      <c r="E908" s="5" t="s">
        <v>108</v>
      </c>
      <c r="F908" s="5" t="s">
        <v>308</v>
      </c>
      <c r="G908" s="5" t="s">
        <v>62</v>
      </c>
      <c r="H908" s="5">
        <v>27</v>
      </c>
      <c r="I908" s="5" t="s">
        <v>40</v>
      </c>
      <c r="J908" s="34" t="s">
        <v>1906</v>
      </c>
      <c r="K908" s="31">
        <v>78828</v>
      </c>
      <c r="L908" s="5" t="s">
        <v>34</v>
      </c>
      <c r="M908" s="32" t="s">
        <v>140</v>
      </c>
      <c r="N908" s="6" t="str">
        <f t="shared" si="142"/>
        <v>-</v>
      </c>
      <c r="O908" s="4" t="s">
        <v>308</v>
      </c>
      <c r="P908" s="5" t="str">
        <f t="shared" si="143"/>
        <v>Chennai</v>
      </c>
      <c r="Q908" s="5" t="str">
        <f t="shared" si="144"/>
        <v>Orthopedics</v>
      </c>
      <c r="R908" s="6" t="str">
        <f t="shared" si="145"/>
        <v>Max_Healthcare</v>
      </c>
      <c r="S908" s="6" t="str">
        <f t="shared" si="146"/>
        <v>Cash</v>
      </c>
      <c r="T908" s="6" t="str">
        <f t="shared" si="147"/>
        <v>Female</v>
      </c>
      <c r="U908" s="6" t="str">
        <f t="shared" si="140"/>
        <v>ICU</v>
      </c>
      <c r="V908" s="6" t="str" cm="1">
        <f t="array" ref="V908">IF(TRIM(S908)="",INDEX($S$2:$S$1500,MATCH(MAX(COUNTIF($S$2:$S$1500,S908)),COUNTIF($S$2:$S$1500,$S$2:$S$1500),0)),S908)</f>
        <v>Cash</v>
      </c>
      <c r="W908" s="7" cm="1">
        <f t="array" ref="W908">IF(OR(TRIM(K908)="",TRIM(K908)="-"), MEDIAN(IF($E$2:$E$1500=E908,$K$2:$K$1500)),  VALUE(SUBSTITUTE(SUBSTITUTE(SUBSTITUTE(K908,"Rs. ",""),"₹",""),",","")))</f>
        <v>78828</v>
      </c>
      <c r="X908" s="8">
        <f t="shared" si="148"/>
        <v>3</v>
      </c>
      <c r="Y908" s="7">
        <f t="shared" si="149"/>
        <v>76463</v>
      </c>
      <c r="Z908" s="9" t="str">
        <f t="shared" si="141"/>
        <v>ADULT</v>
      </c>
    </row>
    <row r="909" spans="1:26" x14ac:dyDescent="0.3">
      <c r="A909" s="5" t="s">
        <v>1907</v>
      </c>
      <c r="B909" s="5" t="s">
        <v>106</v>
      </c>
      <c r="C909" s="5" t="s">
        <v>107</v>
      </c>
      <c r="D909" s="5" t="s">
        <v>66</v>
      </c>
      <c r="E909" s="5" t="s">
        <v>108</v>
      </c>
      <c r="F909" s="5" t="s">
        <v>109</v>
      </c>
      <c r="G909" s="5" t="s">
        <v>19</v>
      </c>
      <c r="H909" s="5">
        <v>78</v>
      </c>
      <c r="I909" s="5" t="s">
        <v>20</v>
      </c>
      <c r="J909" s="34" t="s">
        <v>1001</v>
      </c>
      <c r="K909" s="31" t="s">
        <v>1908</v>
      </c>
      <c r="L909" s="5" t="s">
        <v>236</v>
      </c>
      <c r="M909" s="32" t="s">
        <v>64</v>
      </c>
      <c r="N909" s="6" t="str">
        <f t="shared" si="142"/>
        <v>NA</v>
      </c>
      <c r="O909" s="4" t="s">
        <v>109</v>
      </c>
      <c r="P909" s="5" t="str">
        <f t="shared" si="143"/>
        <v>Kolkata</v>
      </c>
      <c r="Q909" s="5" t="str">
        <f t="shared" si="144"/>
        <v>Orthopedics</v>
      </c>
      <c r="R909" s="6" t="str">
        <f t="shared" si="145"/>
        <v>Aiims</v>
      </c>
      <c r="S909" s="6" t="str">
        <f t="shared" si="146"/>
        <v>Debit Card</v>
      </c>
      <c r="T909" s="6" t="str">
        <f t="shared" si="147"/>
        <v>Male</v>
      </c>
      <c r="U909" s="6" t="str">
        <f t="shared" si="140"/>
        <v>General</v>
      </c>
      <c r="V909" s="6" t="str" cm="1">
        <f t="array" ref="V909">IF(TRIM(S909)="",INDEX($S$2:$S$1500,MATCH(MAX(COUNTIF($S$2:$S$1500,S909)),COUNTIF($S$2:$S$1500,$S$2:$S$1500),0)),S909)</f>
        <v>Debit Card</v>
      </c>
      <c r="W909" s="7" cm="1">
        <f t="array" ref="W909">IF(OR(TRIM(K909)="",TRIM(K909)="-"), MEDIAN(IF($E$2:$E$1500=E909,$K$2:$K$1500)),  VALUE(SUBSTITUTE(SUBSTITUTE(SUBSTITUTE(K909,"Rs. ",""),"₹",""),",","")))</f>
        <v>16440</v>
      </c>
      <c r="X909" s="8">
        <f t="shared" si="148"/>
        <v>3</v>
      </c>
      <c r="Y909" s="7">
        <f t="shared" si="149"/>
        <v>15947</v>
      </c>
      <c r="Z909" s="9" t="str">
        <f t="shared" si="141"/>
        <v>SENIOR</v>
      </c>
    </row>
    <row r="910" spans="1:26" x14ac:dyDescent="0.3">
      <c r="A910" s="5" t="s">
        <v>1909</v>
      </c>
      <c r="B910" s="5" t="s">
        <v>117</v>
      </c>
      <c r="C910" s="5" t="s">
        <v>127</v>
      </c>
      <c r="D910" s="5" t="s">
        <v>36</v>
      </c>
      <c r="E910" s="5" t="s">
        <v>37</v>
      </c>
      <c r="F910" s="5" t="s">
        <v>132</v>
      </c>
      <c r="G910" s="5" t="s">
        <v>101</v>
      </c>
      <c r="H910" s="5">
        <v>51</v>
      </c>
      <c r="I910" s="5" t="s">
        <v>20</v>
      </c>
      <c r="J910" s="34" t="s">
        <v>1488</v>
      </c>
      <c r="K910" s="31">
        <v>46057</v>
      </c>
      <c r="L910" s="5" t="s">
        <v>149</v>
      </c>
      <c r="M910" s="32">
        <v>10</v>
      </c>
      <c r="N910" s="6">
        <f t="shared" si="142"/>
        <v>10</v>
      </c>
      <c r="O910" s="4" t="s">
        <v>132</v>
      </c>
      <c r="P910" s="5" t="str">
        <f t="shared" si="143"/>
        <v>Chennai</v>
      </c>
      <c r="Q910" s="5" t="str">
        <f t="shared" si="144"/>
        <v>Pediatrics</v>
      </c>
      <c r="R910" s="6" t="str">
        <f t="shared" si="145"/>
        <v>Manipal</v>
      </c>
      <c r="S910" s="6" t="str">
        <f t="shared" si="146"/>
        <v>Insurance</v>
      </c>
      <c r="T910" s="6" t="str">
        <f t="shared" si="147"/>
        <v>Male</v>
      </c>
      <c r="U910" s="6" t="str">
        <f t="shared" ref="U910:U973" si="150">IF(OR(UPPER(TRIM(G910))="GENERAL",UPPER(TRIM(G910))="GENRAL"),"General",IF(UPPER(TRIM(G910))="ICU","ICU","Unknown"))</f>
        <v>ICU</v>
      </c>
      <c r="V910" s="6" t="str" cm="1">
        <f t="array" ref="V910">IF(TRIM(S910)="",INDEX($S$2:$S$1500,MATCH(MAX(COUNTIF($S$2:$S$1500,S910)),COUNTIF($S$2:$S$1500,$S$2:$S$1500),0)),S910)</f>
        <v>Insurance</v>
      </c>
      <c r="W910" s="7" cm="1">
        <f t="array" ref="W910">IF(OR(TRIM(K910)="",TRIM(K910)="-"), MEDIAN(IF($E$2:$E$1500=E910,$K$2:$K$1500)),  VALUE(SUBSTITUTE(SUBSTITUTE(SUBSTITUTE(K910,"Rs. ",""),"₹",""),",","")))</f>
        <v>46057</v>
      </c>
      <c r="X910" s="8">
        <f t="shared" si="148"/>
        <v>10</v>
      </c>
      <c r="Y910" s="7">
        <f t="shared" si="149"/>
        <v>41451</v>
      </c>
      <c r="Z910" s="9" t="str">
        <f t="shared" si="141"/>
        <v>ADULT</v>
      </c>
    </row>
    <row r="911" spans="1:26" x14ac:dyDescent="0.3">
      <c r="A911" s="5" t="s">
        <v>1910</v>
      </c>
      <c r="B911" s="5" t="s">
        <v>78</v>
      </c>
      <c r="C911" s="5" t="s">
        <v>79</v>
      </c>
      <c r="D911" s="5" t="s">
        <v>27</v>
      </c>
      <c r="E911" s="5" t="s">
        <v>164</v>
      </c>
      <c r="F911" s="5" t="s">
        <v>282</v>
      </c>
      <c r="G911" s="5" t="s">
        <v>39</v>
      </c>
      <c r="H911" s="5">
        <v>33</v>
      </c>
      <c r="I911" s="5" t="s">
        <v>31</v>
      </c>
      <c r="J911" s="34" t="s">
        <v>1692</v>
      </c>
      <c r="K911" s="31">
        <v>7633</v>
      </c>
      <c r="L911" s="5"/>
      <c r="M911" s="32">
        <v>0</v>
      </c>
      <c r="N911" s="6">
        <f t="shared" si="142"/>
        <v>0</v>
      </c>
      <c r="O911" s="4" t="s">
        <v>282</v>
      </c>
      <c r="P911" s="5" t="str">
        <f t="shared" si="143"/>
        <v>Mumbai</v>
      </c>
      <c r="Q911" s="5" t="str">
        <f t="shared" si="144"/>
        <v>Cardiology</v>
      </c>
      <c r="R911" s="6" t="str">
        <f t="shared" si="145"/>
        <v>Apollo</v>
      </c>
      <c r="S911" s="6" t="str">
        <f t="shared" si="146"/>
        <v>Unknown</v>
      </c>
      <c r="T911" s="6" t="str">
        <f t="shared" si="147"/>
        <v>Male</v>
      </c>
      <c r="U911" s="6" t="str">
        <f t="shared" si="150"/>
        <v>General</v>
      </c>
      <c r="V911" s="6" t="str" cm="1">
        <f t="array" ref="V911">IF(TRIM(S911)="",INDEX($S$2:$S$1500,MATCH(MAX(COUNTIF($S$2:$S$1500,S911)),COUNTIF($S$2:$S$1500,$S$2:$S$1500),0)),S911)</f>
        <v>Unknown</v>
      </c>
      <c r="W911" s="7" cm="1">
        <f t="array" ref="W911">IF(OR(TRIM(K911)="",TRIM(K911)="-"), MEDIAN(IF($E$2:$E$1500=E911,$K$2:$K$1500)),  VALUE(SUBSTITUTE(SUBSTITUTE(SUBSTITUTE(K911,"Rs. ",""),"₹",""),",","")))</f>
        <v>7633</v>
      </c>
      <c r="X911" s="8">
        <f t="shared" si="148"/>
        <v>0</v>
      </c>
      <c r="Y911" s="7">
        <f t="shared" si="149"/>
        <v>7633</v>
      </c>
      <c r="Z911" s="9" t="str">
        <f t="shared" si="141"/>
        <v>ADULT</v>
      </c>
    </row>
    <row r="912" spans="1:26" x14ac:dyDescent="0.3">
      <c r="A912" s="5" t="s">
        <v>1911</v>
      </c>
      <c r="B912" s="5" t="s">
        <v>45</v>
      </c>
      <c r="C912" s="5" t="s">
        <v>46</v>
      </c>
      <c r="D912" s="5" t="s">
        <v>55</v>
      </c>
      <c r="E912" s="5" t="s">
        <v>93</v>
      </c>
      <c r="F912" s="5" t="s">
        <v>94</v>
      </c>
      <c r="G912" s="5" t="s">
        <v>19</v>
      </c>
      <c r="H912" s="5">
        <v>26</v>
      </c>
      <c r="I912" s="5" t="s">
        <v>31</v>
      </c>
      <c r="J912" s="34" t="s">
        <v>1437</v>
      </c>
      <c r="K912" s="31" t="s">
        <v>1912</v>
      </c>
      <c r="L912" s="5" t="s">
        <v>115</v>
      </c>
      <c r="M912" s="32">
        <v>0</v>
      </c>
      <c r="N912" s="6">
        <f t="shared" si="142"/>
        <v>0</v>
      </c>
      <c r="O912" s="4" t="s">
        <v>94</v>
      </c>
      <c r="P912" s="5" t="str">
        <f t="shared" si="143"/>
        <v>Hyderabad</v>
      </c>
      <c r="Q912" s="5" t="str">
        <f t="shared" si="144"/>
        <v>Nephrology</v>
      </c>
      <c r="R912" s="6" t="str">
        <f t="shared" si="145"/>
        <v>Fortis</v>
      </c>
      <c r="S912" s="6" t="str">
        <f t="shared" si="146"/>
        <v>Cash</v>
      </c>
      <c r="T912" s="6" t="str">
        <f t="shared" si="147"/>
        <v>Male</v>
      </c>
      <c r="U912" s="6" t="str">
        <f t="shared" si="150"/>
        <v>General</v>
      </c>
      <c r="V912" s="6" t="str" cm="1">
        <f t="array" ref="V912">IF(TRIM(S912)="",INDEX($S$2:$S$1500,MATCH(MAX(COUNTIF($S$2:$S$1500,S912)),COUNTIF($S$2:$S$1500,$S$2:$S$1500),0)),S912)</f>
        <v>Cash</v>
      </c>
      <c r="W912" s="7" cm="1">
        <f t="array" ref="W912">IF(OR(TRIM(K912)="",TRIM(K912)="-"), MEDIAN(IF($E$2:$E$1500=E912,$K$2:$K$1500)),  VALUE(SUBSTITUTE(SUBSTITUTE(SUBSTITUTE(K912,"Rs. ",""),"₹",""),",","")))</f>
        <v>7500</v>
      </c>
      <c r="X912" s="8">
        <f t="shared" si="148"/>
        <v>0</v>
      </c>
      <c r="Y912" s="7">
        <f t="shared" si="149"/>
        <v>7500</v>
      </c>
      <c r="Z912" s="9" t="str">
        <f t="shared" si="141"/>
        <v>ADULT</v>
      </c>
    </row>
    <row r="913" spans="1:26" x14ac:dyDescent="0.3">
      <c r="A913" s="5" t="s">
        <v>1913</v>
      </c>
      <c r="B913" s="5" t="s">
        <v>45</v>
      </c>
      <c r="C913" s="5" t="s">
        <v>334</v>
      </c>
      <c r="D913" s="5" t="s">
        <v>27</v>
      </c>
      <c r="E913" s="5" t="s">
        <v>74</v>
      </c>
      <c r="F913" s="5" t="s">
        <v>147</v>
      </c>
      <c r="G913" s="5" t="s">
        <v>49</v>
      </c>
      <c r="H913" s="5">
        <v>76</v>
      </c>
      <c r="I913" s="5" t="s">
        <v>40</v>
      </c>
      <c r="J913" s="34" t="s">
        <v>352</v>
      </c>
      <c r="K913" s="31">
        <v>18096</v>
      </c>
      <c r="L913" s="5" t="s">
        <v>115</v>
      </c>
      <c r="M913" s="32" t="s">
        <v>130</v>
      </c>
      <c r="N913" s="6">
        <f t="shared" si="142"/>
        <v>0</v>
      </c>
      <c r="O913" s="4" t="s">
        <v>147</v>
      </c>
      <c r="P913" s="5" t="str">
        <f t="shared" si="143"/>
        <v>Mumbai</v>
      </c>
      <c r="Q913" s="5" t="str">
        <f t="shared" si="144"/>
        <v>General Medicine</v>
      </c>
      <c r="R913" s="6" t="str">
        <f t="shared" si="145"/>
        <v>Fortis</v>
      </c>
      <c r="S913" s="6" t="str">
        <f t="shared" si="146"/>
        <v>Cash</v>
      </c>
      <c r="T913" s="6" t="str">
        <f t="shared" si="147"/>
        <v>Female</v>
      </c>
      <c r="U913" s="6" t="str">
        <f t="shared" si="150"/>
        <v>General</v>
      </c>
      <c r="V913" s="6" t="str" cm="1">
        <f t="array" ref="V913">IF(TRIM(S913)="",INDEX($S$2:$S$1500,MATCH(MAX(COUNTIF($S$2:$S$1500,S913)),COUNTIF($S$2:$S$1500,$S$2:$S$1500),0)),S913)</f>
        <v>Cash</v>
      </c>
      <c r="W913" s="7" cm="1">
        <f t="array" ref="W913">IF(OR(TRIM(K913)="",TRIM(K913)="-"), MEDIAN(IF($E$2:$E$1500=E913,$K$2:$K$1500)),  VALUE(SUBSTITUTE(SUBSTITUTE(SUBSTITUTE(K913,"Rs. ",""),"₹",""),",","")))</f>
        <v>18096</v>
      </c>
      <c r="X913" s="8">
        <f t="shared" si="148"/>
        <v>0</v>
      </c>
      <c r="Y913" s="7">
        <f t="shared" si="149"/>
        <v>18096</v>
      </c>
      <c r="Z913" s="9" t="str">
        <f t="shared" si="141"/>
        <v>SENIOR</v>
      </c>
    </row>
    <row r="914" spans="1:26" x14ac:dyDescent="0.3">
      <c r="A914" s="5" t="s">
        <v>1914</v>
      </c>
      <c r="B914" s="5" t="s">
        <v>45</v>
      </c>
      <c r="C914" s="5" t="s">
        <v>46</v>
      </c>
      <c r="D914" s="5" t="s">
        <v>189</v>
      </c>
      <c r="E914" s="5" t="s">
        <v>164</v>
      </c>
      <c r="F914" s="5" t="s">
        <v>165</v>
      </c>
      <c r="G914" s="5" t="s">
        <v>49</v>
      </c>
      <c r="H914" s="5">
        <v>40</v>
      </c>
      <c r="I914" s="5" t="s">
        <v>31</v>
      </c>
      <c r="J914" s="34" t="s">
        <v>242</v>
      </c>
      <c r="K914" s="31">
        <v>19959</v>
      </c>
      <c r="L914" s="5" t="s">
        <v>23</v>
      </c>
      <c r="M914" s="32" t="s">
        <v>140</v>
      </c>
      <c r="N914" s="6" t="str">
        <f t="shared" si="142"/>
        <v>-</v>
      </c>
      <c r="O914" s="4" t="s">
        <v>165</v>
      </c>
      <c r="P914" s="5" t="str">
        <f t="shared" si="143"/>
        <v>Delhi</v>
      </c>
      <c r="Q914" s="5" t="str">
        <f t="shared" si="144"/>
        <v>Cardiology</v>
      </c>
      <c r="R914" s="6" t="str">
        <f t="shared" si="145"/>
        <v>Fortis</v>
      </c>
      <c r="S914" s="6" t="str">
        <f t="shared" si="146"/>
        <v>Credit Card</v>
      </c>
      <c r="T914" s="6" t="str">
        <f t="shared" si="147"/>
        <v>Male</v>
      </c>
      <c r="U914" s="6" t="str">
        <f t="shared" si="150"/>
        <v>General</v>
      </c>
      <c r="V914" s="6" t="str" cm="1">
        <f t="array" ref="V914">IF(TRIM(S914)="",INDEX($S$2:$S$1500,MATCH(MAX(COUNTIF($S$2:$S$1500,S914)),COUNTIF($S$2:$S$1500,$S$2:$S$1500),0)),S914)</f>
        <v>Credit Card</v>
      </c>
      <c r="W914" s="7" cm="1">
        <f t="array" ref="W914">IF(OR(TRIM(K914)="",TRIM(K914)="-"), MEDIAN(IF($E$2:$E$1500=E914,$K$2:$K$1500)),  VALUE(SUBSTITUTE(SUBSTITUTE(SUBSTITUTE(K914,"Rs. ",""),"₹",""),",","")))</f>
        <v>19959</v>
      </c>
      <c r="X914" s="8">
        <f t="shared" si="148"/>
        <v>3</v>
      </c>
      <c r="Y914" s="7">
        <f t="shared" si="149"/>
        <v>19360</v>
      </c>
      <c r="Z914" s="9" t="str">
        <f t="shared" si="141"/>
        <v>ADULT</v>
      </c>
    </row>
    <row r="915" spans="1:26" x14ac:dyDescent="0.3">
      <c r="A915" s="5" t="s">
        <v>1915</v>
      </c>
      <c r="B915" s="5" t="s">
        <v>78</v>
      </c>
      <c r="C915" s="5" t="s">
        <v>79</v>
      </c>
      <c r="D915" s="5" t="s">
        <v>66</v>
      </c>
      <c r="E915" s="5" t="s">
        <v>47</v>
      </c>
      <c r="F915" s="5" t="s">
        <v>364</v>
      </c>
      <c r="G915" s="5" t="s">
        <v>30</v>
      </c>
      <c r="H915" s="5">
        <v>20</v>
      </c>
      <c r="I915" s="5" t="s">
        <v>40</v>
      </c>
      <c r="J915" s="34" t="s">
        <v>1638</v>
      </c>
      <c r="K915" s="31">
        <v>13620</v>
      </c>
      <c r="L915" s="5" t="s">
        <v>42</v>
      </c>
      <c r="M915" s="32">
        <v>10</v>
      </c>
      <c r="N915" s="6">
        <f t="shared" si="142"/>
        <v>10</v>
      </c>
      <c r="O915" s="4" t="s">
        <v>364</v>
      </c>
      <c r="P915" s="5" t="str">
        <f t="shared" si="143"/>
        <v>Kolkata</v>
      </c>
      <c r="Q915" s="5" t="str">
        <f t="shared" si="144"/>
        <v>Gastroenterology</v>
      </c>
      <c r="R915" s="6" t="str">
        <f t="shared" si="145"/>
        <v>Apollo</v>
      </c>
      <c r="S915" s="6" t="str">
        <f t="shared" si="146"/>
        <v>Insurance</v>
      </c>
      <c r="T915" s="6" t="str">
        <f t="shared" si="147"/>
        <v>Female</v>
      </c>
      <c r="U915" s="6" t="str">
        <f t="shared" si="150"/>
        <v>General</v>
      </c>
      <c r="V915" s="6" t="str" cm="1">
        <f t="array" ref="V915">IF(TRIM(S915)="",INDEX($S$2:$S$1500,MATCH(MAX(COUNTIF($S$2:$S$1500,S915)),COUNTIF($S$2:$S$1500,$S$2:$S$1500),0)),S915)</f>
        <v>Insurance</v>
      </c>
      <c r="W915" s="7" cm="1">
        <f t="array" ref="W915">IF(OR(TRIM(K915)="",TRIM(K915)="-"), MEDIAN(IF($E$2:$E$1500=E915,$K$2:$K$1500)),  VALUE(SUBSTITUTE(SUBSTITUTE(SUBSTITUTE(K915,"Rs. ",""),"₹",""),",","")))</f>
        <v>13620</v>
      </c>
      <c r="X915" s="8">
        <f t="shared" si="148"/>
        <v>10</v>
      </c>
      <c r="Y915" s="7">
        <f t="shared" si="149"/>
        <v>12258</v>
      </c>
      <c r="Z915" s="9" t="str">
        <f t="shared" si="141"/>
        <v>ADULT</v>
      </c>
    </row>
    <row r="916" spans="1:26" x14ac:dyDescent="0.3">
      <c r="A916" s="5" t="s">
        <v>1916</v>
      </c>
      <c r="B916" s="5" t="s">
        <v>106</v>
      </c>
      <c r="C916" s="5" t="s">
        <v>107</v>
      </c>
      <c r="D916" s="5" t="s">
        <v>36</v>
      </c>
      <c r="E916" s="5" t="s">
        <v>164</v>
      </c>
      <c r="F916" s="5" t="s">
        <v>233</v>
      </c>
      <c r="G916" s="5" t="s">
        <v>39</v>
      </c>
      <c r="H916" s="5">
        <v>74</v>
      </c>
      <c r="I916" s="5" t="s">
        <v>31</v>
      </c>
      <c r="J916" s="34" t="s">
        <v>1630</v>
      </c>
      <c r="K916" s="31" t="s">
        <v>1917</v>
      </c>
      <c r="L916" s="5" t="s">
        <v>58</v>
      </c>
      <c r="M916" s="32" t="s">
        <v>140</v>
      </c>
      <c r="N916" s="6" t="str">
        <f t="shared" si="142"/>
        <v>-</v>
      </c>
      <c r="O916" s="4" t="s">
        <v>233</v>
      </c>
      <c r="P916" s="5" t="str">
        <f t="shared" si="143"/>
        <v>Chennai</v>
      </c>
      <c r="Q916" s="5" t="str">
        <f t="shared" si="144"/>
        <v>Cardiology</v>
      </c>
      <c r="R916" s="6" t="str">
        <f t="shared" si="145"/>
        <v>Aiims</v>
      </c>
      <c r="S916" s="6" t="str">
        <f t="shared" si="146"/>
        <v>UPI</v>
      </c>
      <c r="T916" s="6" t="str">
        <f t="shared" si="147"/>
        <v>Male</v>
      </c>
      <c r="U916" s="6" t="str">
        <f t="shared" si="150"/>
        <v>General</v>
      </c>
      <c r="V916" s="6" t="str" cm="1">
        <f t="array" ref="V916">IF(TRIM(S916)="",INDEX($S$2:$S$1500,MATCH(MAX(COUNTIF($S$2:$S$1500,S916)),COUNTIF($S$2:$S$1500,$S$2:$S$1500),0)),S916)</f>
        <v>UPI</v>
      </c>
      <c r="W916" s="7" cm="1">
        <f t="array" ref="W916">IF(OR(TRIM(K916)="",TRIM(K916)="-"), MEDIAN(IF($E$2:$E$1500=E916,$K$2:$K$1500)),  VALUE(SUBSTITUTE(SUBSTITUTE(SUBSTITUTE(K916,"Rs. ",""),"₹",""),",","")))</f>
        <v>10266</v>
      </c>
      <c r="X916" s="8">
        <f t="shared" si="148"/>
        <v>3</v>
      </c>
      <c r="Y916" s="7">
        <f t="shared" si="149"/>
        <v>9958</v>
      </c>
      <c r="Z916" s="9" t="str">
        <f t="shared" si="141"/>
        <v>SENIOR</v>
      </c>
    </row>
    <row r="917" spans="1:26" x14ac:dyDescent="0.3">
      <c r="A917" s="5" t="s">
        <v>1918</v>
      </c>
      <c r="B917" s="5" t="s">
        <v>106</v>
      </c>
      <c r="C917" s="5" t="s">
        <v>107</v>
      </c>
      <c r="D917" s="5" t="s">
        <v>36</v>
      </c>
      <c r="E917" s="5" t="s">
        <v>17</v>
      </c>
      <c r="F917" s="5" t="s">
        <v>135</v>
      </c>
      <c r="G917" s="5" t="s">
        <v>30</v>
      </c>
      <c r="H917" s="5">
        <v>25</v>
      </c>
      <c r="I917" s="5" t="s">
        <v>70</v>
      </c>
      <c r="J917" s="34" t="s">
        <v>1086</v>
      </c>
      <c r="K917" s="31" t="s">
        <v>1919</v>
      </c>
      <c r="L917" s="5" t="s">
        <v>83</v>
      </c>
      <c r="M917" s="32">
        <v>0</v>
      </c>
      <c r="N917" s="6">
        <f t="shared" si="142"/>
        <v>0</v>
      </c>
      <c r="O917" s="4" t="s">
        <v>135</v>
      </c>
      <c r="P917" s="5" t="str">
        <f t="shared" si="143"/>
        <v>Chennai</v>
      </c>
      <c r="Q917" s="5" t="str">
        <f t="shared" si="144"/>
        <v>Gynecology</v>
      </c>
      <c r="R917" s="6" t="str">
        <f t="shared" si="145"/>
        <v>Aiims</v>
      </c>
      <c r="S917" s="6" t="str">
        <f t="shared" si="146"/>
        <v>Debit Card</v>
      </c>
      <c r="T917" s="6" t="str">
        <f t="shared" si="147"/>
        <v>Female</v>
      </c>
      <c r="U917" s="6" t="str">
        <f t="shared" si="150"/>
        <v>General</v>
      </c>
      <c r="V917" s="6" t="str" cm="1">
        <f t="array" ref="V917">IF(TRIM(S917)="",INDEX($S$2:$S$1500,MATCH(MAX(COUNTIF($S$2:$S$1500,S917)),COUNTIF($S$2:$S$1500,$S$2:$S$1500),0)),S917)</f>
        <v>Debit Card</v>
      </c>
      <c r="W917" s="7" cm="1">
        <f t="array" ref="W917">IF(OR(TRIM(K917)="",TRIM(K917)="-"), MEDIAN(IF($E$2:$E$1500=E917,$K$2:$K$1500)),  VALUE(SUBSTITUTE(SUBSTITUTE(SUBSTITUTE(K917,"Rs. ",""),"₹",""),",","")))</f>
        <v>14474</v>
      </c>
      <c r="X917" s="8">
        <f t="shared" si="148"/>
        <v>0</v>
      </c>
      <c r="Y917" s="7">
        <f t="shared" si="149"/>
        <v>14474</v>
      </c>
      <c r="Z917" s="9" t="str">
        <f t="shared" si="141"/>
        <v>ADULT</v>
      </c>
    </row>
    <row r="918" spans="1:26" x14ac:dyDescent="0.3">
      <c r="A918" s="5" t="s">
        <v>1920</v>
      </c>
      <c r="B918" s="5" t="s">
        <v>117</v>
      </c>
      <c r="C918" s="5" t="s">
        <v>118</v>
      </c>
      <c r="D918" s="5" t="s">
        <v>36</v>
      </c>
      <c r="E918" s="5" t="s">
        <v>67</v>
      </c>
      <c r="F918" s="5" t="s">
        <v>68</v>
      </c>
      <c r="G918" s="5" t="s">
        <v>39</v>
      </c>
      <c r="H918" s="5">
        <v>40</v>
      </c>
      <c r="I918" s="5" t="s">
        <v>40</v>
      </c>
      <c r="J918" s="34" t="s">
        <v>1921</v>
      </c>
      <c r="K918" s="31">
        <v>9585</v>
      </c>
      <c r="L918" s="5" t="s">
        <v>23</v>
      </c>
      <c r="M918" s="32" t="s">
        <v>130</v>
      </c>
      <c r="N918" s="6">
        <f t="shared" si="142"/>
        <v>0</v>
      </c>
      <c r="O918" s="4" t="s">
        <v>68</v>
      </c>
      <c r="P918" s="5" t="str">
        <f t="shared" si="143"/>
        <v>Chennai</v>
      </c>
      <c r="Q918" s="5" t="str">
        <f t="shared" si="144"/>
        <v>Neurology</v>
      </c>
      <c r="R918" s="6" t="str">
        <f t="shared" si="145"/>
        <v>Manipal</v>
      </c>
      <c r="S918" s="6" t="str">
        <f t="shared" si="146"/>
        <v>Credit Card</v>
      </c>
      <c r="T918" s="6" t="str">
        <f t="shared" si="147"/>
        <v>Female</v>
      </c>
      <c r="U918" s="6" t="str">
        <f t="shared" si="150"/>
        <v>General</v>
      </c>
      <c r="V918" s="6" t="str" cm="1">
        <f t="array" ref="V918">IF(TRIM(S918)="",INDEX($S$2:$S$1500,MATCH(MAX(COUNTIF($S$2:$S$1500,S918)),COUNTIF($S$2:$S$1500,$S$2:$S$1500),0)),S918)</f>
        <v>Credit Card</v>
      </c>
      <c r="W918" s="7" cm="1">
        <f t="array" ref="W918">IF(OR(TRIM(K918)="",TRIM(K918)="-"), MEDIAN(IF($E$2:$E$1500=E918,$K$2:$K$1500)),  VALUE(SUBSTITUTE(SUBSTITUTE(SUBSTITUTE(K918,"Rs. ",""),"₹",""),",","")))</f>
        <v>9585</v>
      </c>
      <c r="X918" s="8">
        <f t="shared" si="148"/>
        <v>0</v>
      </c>
      <c r="Y918" s="7">
        <f t="shared" si="149"/>
        <v>9585</v>
      </c>
      <c r="Z918" s="9" t="str">
        <f t="shared" si="141"/>
        <v>ADULT</v>
      </c>
    </row>
    <row r="919" spans="1:26" x14ac:dyDescent="0.3">
      <c r="A919" s="5" t="s">
        <v>1922</v>
      </c>
      <c r="B919" s="5" t="s">
        <v>25</v>
      </c>
      <c r="C919" s="5" t="s">
        <v>54</v>
      </c>
      <c r="D919" s="5" t="s">
        <v>55</v>
      </c>
      <c r="E919" s="5" t="s">
        <v>74</v>
      </c>
      <c r="F919" s="5" t="s">
        <v>172</v>
      </c>
      <c r="G919" s="5" t="s">
        <v>39</v>
      </c>
      <c r="H919" s="5">
        <v>30</v>
      </c>
      <c r="I919" s="5" t="s">
        <v>40</v>
      </c>
      <c r="J919" s="34" t="s">
        <v>1630</v>
      </c>
      <c r="K919" s="31">
        <v>4289</v>
      </c>
      <c r="L919" s="5" t="s">
        <v>72</v>
      </c>
      <c r="M919" s="32" t="s">
        <v>130</v>
      </c>
      <c r="N919" s="6">
        <f t="shared" si="142"/>
        <v>0</v>
      </c>
      <c r="O919" s="4" t="s">
        <v>172</v>
      </c>
      <c r="P919" s="5" t="str">
        <f t="shared" si="143"/>
        <v>Hyderabad</v>
      </c>
      <c r="Q919" s="5" t="str">
        <f t="shared" si="144"/>
        <v>General Medicine</v>
      </c>
      <c r="R919" s="6" t="str">
        <f t="shared" si="145"/>
        <v>Narayana</v>
      </c>
      <c r="S919" s="6" t="str">
        <f t="shared" si="146"/>
        <v>Cash</v>
      </c>
      <c r="T919" s="6" t="str">
        <f t="shared" si="147"/>
        <v>Female</v>
      </c>
      <c r="U919" s="6" t="str">
        <f t="shared" si="150"/>
        <v>General</v>
      </c>
      <c r="V919" s="6" t="str" cm="1">
        <f t="array" ref="V919">IF(TRIM(S919)="",INDEX($S$2:$S$1500,MATCH(MAX(COUNTIF($S$2:$S$1500,S919)),COUNTIF($S$2:$S$1500,$S$2:$S$1500),0)),S919)</f>
        <v>Cash</v>
      </c>
      <c r="W919" s="7" cm="1">
        <f t="array" ref="W919">IF(OR(TRIM(K919)="",TRIM(K919)="-"), MEDIAN(IF($E$2:$E$1500=E919,$K$2:$K$1500)),  VALUE(SUBSTITUTE(SUBSTITUTE(SUBSTITUTE(K919,"Rs. ",""),"₹",""),",","")))</f>
        <v>4289</v>
      </c>
      <c r="X919" s="8">
        <f t="shared" si="148"/>
        <v>0</v>
      </c>
      <c r="Y919" s="7">
        <f t="shared" si="149"/>
        <v>4289</v>
      </c>
      <c r="Z919" s="9" t="str">
        <f t="shared" si="141"/>
        <v>ADULT</v>
      </c>
    </row>
    <row r="920" spans="1:26" x14ac:dyDescent="0.3">
      <c r="A920" s="5" t="s">
        <v>1923</v>
      </c>
      <c r="B920" s="5" t="s">
        <v>25</v>
      </c>
      <c r="C920" s="5" t="s">
        <v>26</v>
      </c>
      <c r="D920" s="5" t="s">
        <v>189</v>
      </c>
      <c r="E920" s="5" t="s">
        <v>74</v>
      </c>
      <c r="F920" s="5" t="s">
        <v>192</v>
      </c>
      <c r="G920" s="5" t="s">
        <v>30</v>
      </c>
      <c r="H920" s="5">
        <v>66</v>
      </c>
      <c r="I920" s="5" t="s">
        <v>20</v>
      </c>
      <c r="J920" s="34" t="s">
        <v>1863</v>
      </c>
      <c r="K920" s="31" t="s">
        <v>1924</v>
      </c>
      <c r="L920" s="5" t="s">
        <v>72</v>
      </c>
      <c r="M920" s="32">
        <v>10</v>
      </c>
      <c r="N920" s="6">
        <f t="shared" si="142"/>
        <v>10</v>
      </c>
      <c r="O920" s="4" t="s">
        <v>192</v>
      </c>
      <c r="P920" s="5" t="str">
        <f t="shared" si="143"/>
        <v>Delhi</v>
      </c>
      <c r="Q920" s="5" t="str">
        <f t="shared" si="144"/>
        <v>General Medicine</v>
      </c>
      <c r="R920" s="6" t="str">
        <f t="shared" si="145"/>
        <v>Narayana</v>
      </c>
      <c r="S920" s="6" t="str">
        <f t="shared" si="146"/>
        <v>Cash</v>
      </c>
      <c r="T920" s="6" t="str">
        <f t="shared" si="147"/>
        <v>Male</v>
      </c>
      <c r="U920" s="6" t="str">
        <f t="shared" si="150"/>
        <v>General</v>
      </c>
      <c r="V920" s="6" t="str" cm="1">
        <f t="array" ref="V920">IF(TRIM(S920)="",INDEX($S$2:$S$1500,MATCH(MAX(COUNTIF($S$2:$S$1500,S920)),COUNTIF($S$2:$S$1500,$S$2:$S$1500),0)),S920)</f>
        <v>Cash</v>
      </c>
      <c r="W920" s="7" cm="1">
        <f t="array" ref="W920">IF(OR(TRIM(K920)="",TRIM(K920)="-"), MEDIAN(IF($E$2:$E$1500=E920,$K$2:$K$1500)),  VALUE(SUBSTITUTE(SUBSTITUTE(SUBSTITUTE(K920,"Rs. ",""),"₹",""),",","")))</f>
        <v>7104</v>
      </c>
      <c r="X920" s="8">
        <f t="shared" si="148"/>
        <v>10</v>
      </c>
      <c r="Y920" s="7">
        <f t="shared" si="149"/>
        <v>6394</v>
      </c>
      <c r="Z920" s="9" t="str">
        <f t="shared" si="141"/>
        <v>SENIOR</v>
      </c>
    </row>
    <row r="921" spans="1:26" x14ac:dyDescent="0.3">
      <c r="A921" s="5" t="s">
        <v>1925</v>
      </c>
      <c r="B921" s="5" t="s">
        <v>45</v>
      </c>
      <c r="C921" s="5" t="s">
        <v>46</v>
      </c>
      <c r="D921" s="5" t="s">
        <v>61</v>
      </c>
      <c r="E921" s="5" t="s">
        <v>99</v>
      </c>
      <c r="F921" s="5" t="s">
        <v>151</v>
      </c>
      <c r="G921" s="5" t="s">
        <v>30</v>
      </c>
      <c r="H921" s="5">
        <v>6</v>
      </c>
      <c r="I921" s="5" t="s">
        <v>20</v>
      </c>
      <c r="J921" s="34" t="s">
        <v>1435</v>
      </c>
      <c r="K921" s="31">
        <v>7405</v>
      </c>
      <c r="L921" s="5" t="s">
        <v>167</v>
      </c>
      <c r="M921" s="32">
        <v>0.2</v>
      </c>
      <c r="N921" s="6">
        <f t="shared" si="142"/>
        <v>20</v>
      </c>
      <c r="O921" s="4" t="s">
        <v>151</v>
      </c>
      <c r="P921" s="5" t="str">
        <f t="shared" si="143"/>
        <v>Pune</v>
      </c>
      <c r="Q921" s="5" t="str">
        <f t="shared" si="144"/>
        <v>Ent</v>
      </c>
      <c r="R921" s="6" t="str">
        <f t="shared" si="145"/>
        <v>Fortis</v>
      </c>
      <c r="S921" s="6" t="str">
        <f t="shared" si="146"/>
        <v>Insurance</v>
      </c>
      <c r="T921" s="6" t="str">
        <f t="shared" si="147"/>
        <v>Male</v>
      </c>
      <c r="U921" s="6" t="str">
        <f t="shared" si="150"/>
        <v>General</v>
      </c>
      <c r="V921" s="6" t="str" cm="1">
        <f t="array" ref="V921">IF(TRIM(S921)="",INDEX($S$2:$S$1500,MATCH(MAX(COUNTIF($S$2:$S$1500,S921)),COUNTIF($S$2:$S$1500,$S$2:$S$1500),0)),S921)</f>
        <v>Insurance</v>
      </c>
      <c r="W921" s="7" cm="1">
        <f t="array" ref="W921">IF(OR(TRIM(K921)="",TRIM(K921)="-"), MEDIAN(IF($E$2:$E$1500=E921,$K$2:$K$1500)),  VALUE(SUBSTITUTE(SUBSTITUTE(SUBSTITUTE(K921,"Rs. ",""),"₹",""),",","")))</f>
        <v>7405</v>
      </c>
      <c r="X921" s="8">
        <f t="shared" si="148"/>
        <v>20</v>
      </c>
      <c r="Y921" s="7">
        <f t="shared" si="149"/>
        <v>5924</v>
      </c>
      <c r="Z921" s="9" t="str">
        <f t="shared" si="141"/>
        <v>CHILD</v>
      </c>
    </row>
    <row r="922" spans="1:26" x14ac:dyDescent="0.3">
      <c r="A922" s="5" t="s">
        <v>1926</v>
      </c>
      <c r="B922" s="5" t="s">
        <v>14</v>
      </c>
      <c r="C922" s="5" t="s">
        <v>60</v>
      </c>
      <c r="D922" s="5" t="s">
        <v>61</v>
      </c>
      <c r="E922" s="5" t="s">
        <v>164</v>
      </c>
      <c r="F922" s="5" t="s">
        <v>282</v>
      </c>
      <c r="G922" s="5" t="s">
        <v>49</v>
      </c>
      <c r="H922" s="5">
        <v>45</v>
      </c>
      <c r="I922" s="5" t="s">
        <v>40</v>
      </c>
      <c r="J922" s="34" t="s">
        <v>1172</v>
      </c>
      <c r="K922" s="31">
        <v>14612</v>
      </c>
      <c r="L922" s="5" t="s">
        <v>83</v>
      </c>
      <c r="M922" s="32"/>
      <c r="N922" s="6">
        <f t="shared" si="142"/>
        <v>0</v>
      </c>
      <c r="O922" s="4" t="s">
        <v>282</v>
      </c>
      <c r="P922" s="5" t="str">
        <f t="shared" si="143"/>
        <v>Pune</v>
      </c>
      <c r="Q922" s="5" t="str">
        <f t="shared" si="144"/>
        <v>Cardiology</v>
      </c>
      <c r="R922" s="6" t="str">
        <f t="shared" si="145"/>
        <v>Max_Healthcare</v>
      </c>
      <c r="S922" s="6" t="str">
        <f t="shared" si="146"/>
        <v>Debit Card</v>
      </c>
      <c r="T922" s="6" t="str">
        <f t="shared" si="147"/>
        <v>Female</v>
      </c>
      <c r="U922" s="6" t="str">
        <f t="shared" si="150"/>
        <v>General</v>
      </c>
      <c r="V922" s="6" t="str" cm="1">
        <f t="array" ref="V922">IF(TRIM(S922)="",INDEX($S$2:$S$1500,MATCH(MAX(COUNTIF($S$2:$S$1500,S922)),COUNTIF($S$2:$S$1500,$S$2:$S$1500),0)),S922)</f>
        <v>Debit Card</v>
      </c>
      <c r="W922" s="7" cm="1">
        <f t="array" ref="W922">IF(OR(TRIM(K922)="",TRIM(K922)="-"), MEDIAN(IF($E$2:$E$1500=E922,$K$2:$K$1500)),  VALUE(SUBSTITUTE(SUBSTITUTE(SUBSTITUTE(K922,"Rs. ",""),"₹",""),",","")))</f>
        <v>14612</v>
      </c>
      <c r="X922" s="8">
        <f t="shared" si="148"/>
        <v>0</v>
      </c>
      <c r="Y922" s="7">
        <f t="shared" si="149"/>
        <v>14612</v>
      </c>
      <c r="Z922" s="9" t="str">
        <f t="shared" si="141"/>
        <v>ADULT</v>
      </c>
    </row>
    <row r="923" spans="1:26" x14ac:dyDescent="0.3">
      <c r="A923" s="5" t="s">
        <v>1927</v>
      </c>
      <c r="B923" s="5" t="s">
        <v>14</v>
      </c>
      <c r="C923" s="5" t="s">
        <v>60</v>
      </c>
      <c r="D923" s="5" t="s">
        <v>55</v>
      </c>
      <c r="E923" s="5" t="s">
        <v>74</v>
      </c>
      <c r="F923" s="5" t="s">
        <v>75</v>
      </c>
      <c r="G923" s="5" t="s">
        <v>49</v>
      </c>
      <c r="H923" s="5">
        <v>64</v>
      </c>
      <c r="I923" s="5" t="s">
        <v>40</v>
      </c>
      <c r="J923" s="34" t="s">
        <v>576</v>
      </c>
      <c r="K923" s="31">
        <v>8832</v>
      </c>
      <c r="L923" s="5" t="s">
        <v>149</v>
      </c>
      <c r="M923" s="32" t="s">
        <v>227</v>
      </c>
      <c r="N923" s="6">
        <f t="shared" si="142"/>
        <v>25</v>
      </c>
      <c r="O923" s="4" t="s">
        <v>75</v>
      </c>
      <c r="P923" s="5" t="str">
        <f t="shared" si="143"/>
        <v>Hyderabad</v>
      </c>
      <c r="Q923" s="5" t="str">
        <f t="shared" si="144"/>
        <v>General Medicine</v>
      </c>
      <c r="R923" s="6" t="str">
        <f t="shared" si="145"/>
        <v>Max_Healthcare</v>
      </c>
      <c r="S923" s="6" t="str">
        <f t="shared" si="146"/>
        <v>Insurance</v>
      </c>
      <c r="T923" s="6" t="str">
        <f t="shared" si="147"/>
        <v>Female</v>
      </c>
      <c r="U923" s="6" t="str">
        <f t="shared" si="150"/>
        <v>General</v>
      </c>
      <c r="V923" s="6" t="str" cm="1">
        <f t="array" ref="V923">IF(TRIM(S923)="",INDEX($S$2:$S$1500,MATCH(MAX(COUNTIF($S$2:$S$1500,S923)),COUNTIF($S$2:$S$1500,$S$2:$S$1500),0)),S923)</f>
        <v>Insurance</v>
      </c>
      <c r="W923" s="7" cm="1">
        <f t="array" ref="W923">IF(OR(TRIM(K923)="",TRIM(K923)="-"), MEDIAN(IF($E$2:$E$1500=E923,$K$2:$K$1500)),  VALUE(SUBSTITUTE(SUBSTITUTE(SUBSTITUTE(K923,"Rs. ",""),"₹",""),",","")))</f>
        <v>8832</v>
      </c>
      <c r="X923" s="8">
        <f t="shared" si="148"/>
        <v>25</v>
      </c>
      <c r="Y923" s="7">
        <f t="shared" si="149"/>
        <v>6624</v>
      </c>
      <c r="Z923" s="9" t="str">
        <f t="shared" si="141"/>
        <v>SENIOR</v>
      </c>
    </row>
    <row r="924" spans="1:26" x14ac:dyDescent="0.3">
      <c r="A924" s="5" t="s">
        <v>1928</v>
      </c>
      <c r="B924" s="5" t="s">
        <v>45</v>
      </c>
      <c r="C924" s="5" t="s">
        <v>46</v>
      </c>
      <c r="D924" s="5" t="s">
        <v>16</v>
      </c>
      <c r="E924" s="5" t="s">
        <v>108</v>
      </c>
      <c r="F924" s="5" t="s">
        <v>308</v>
      </c>
      <c r="G924" s="5" t="s">
        <v>101</v>
      </c>
      <c r="H924" s="5">
        <v>56</v>
      </c>
      <c r="I924" s="5" t="s">
        <v>40</v>
      </c>
      <c r="J924" s="34" t="s">
        <v>825</v>
      </c>
      <c r="K924" s="31" t="s">
        <v>1929</v>
      </c>
      <c r="L924" s="5" t="s">
        <v>115</v>
      </c>
      <c r="M924" s="32">
        <v>0</v>
      </c>
      <c r="N924" s="6">
        <f t="shared" si="142"/>
        <v>0</v>
      </c>
      <c r="O924" s="4" t="s">
        <v>308</v>
      </c>
      <c r="P924" s="5" t="str">
        <f t="shared" si="143"/>
        <v>Bangalore</v>
      </c>
      <c r="Q924" s="5" t="str">
        <f t="shared" si="144"/>
        <v>Orthopedics</v>
      </c>
      <c r="R924" s="6" t="str">
        <f t="shared" si="145"/>
        <v>Fortis</v>
      </c>
      <c r="S924" s="6" t="str">
        <f t="shared" si="146"/>
        <v>Cash</v>
      </c>
      <c r="T924" s="6" t="str">
        <f t="shared" si="147"/>
        <v>Female</v>
      </c>
      <c r="U924" s="6" t="str">
        <f t="shared" si="150"/>
        <v>ICU</v>
      </c>
      <c r="V924" s="6" t="str" cm="1">
        <f t="array" ref="V924">IF(TRIM(S924)="",INDEX($S$2:$S$1500,MATCH(MAX(COUNTIF($S$2:$S$1500,S924)),COUNTIF($S$2:$S$1500,$S$2:$S$1500),0)),S924)</f>
        <v>Cash</v>
      </c>
      <c r="W924" s="7" cm="1">
        <f t="array" ref="W924">IF(OR(TRIM(K924)="",TRIM(K924)="-"), MEDIAN(IF($E$2:$E$1500=E924,$K$2:$K$1500)),  VALUE(SUBSTITUTE(SUBSTITUTE(SUBSTITUTE(K924,"Rs. ",""),"₹",""),",","")))</f>
        <v>46075</v>
      </c>
      <c r="X924" s="8">
        <f t="shared" si="148"/>
        <v>0</v>
      </c>
      <c r="Y924" s="7">
        <f t="shared" si="149"/>
        <v>46075</v>
      </c>
      <c r="Z924" s="9" t="str">
        <f t="shared" si="141"/>
        <v>ADULT</v>
      </c>
    </row>
    <row r="925" spans="1:26" x14ac:dyDescent="0.3">
      <c r="A925" s="5" t="s">
        <v>1930</v>
      </c>
      <c r="B925" s="5" t="s">
        <v>14</v>
      </c>
      <c r="C925" s="5" t="s">
        <v>15</v>
      </c>
      <c r="D925" s="5" t="s">
        <v>189</v>
      </c>
      <c r="E925" s="5" t="s">
        <v>37</v>
      </c>
      <c r="F925" s="5" t="s">
        <v>185</v>
      </c>
      <c r="G925" s="5" t="s">
        <v>19</v>
      </c>
      <c r="H925" s="5">
        <v>2</v>
      </c>
      <c r="I925" s="5" t="s">
        <v>20</v>
      </c>
      <c r="J925" s="34" t="s">
        <v>1251</v>
      </c>
      <c r="K925" s="31">
        <v>19838</v>
      </c>
      <c r="L925" s="5" t="s">
        <v>34</v>
      </c>
      <c r="M925" s="32">
        <v>10</v>
      </c>
      <c r="N925" s="6">
        <f t="shared" si="142"/>
        <v>10</v>
      </c>
      <c r="O925" s="4" t="s">
        <v>185</v>
      </c>
      <c r="P925" s="5" t="str">
        <f t="shared" si="143"/>
        <v>Delhi</v>
      </c>
      <c r="Q925" s="5" t="str">
        <f t="shared" si="144"/>
        <v>Pediatrics</v>
      </c>
      <c r="R925" s="6" t="str">
        <f t="shared" si="145"/>
        <v>Max_Healthcare</v>
      </c>
      <c r="S925" s="6" t="str">
        <f t="shared" si="146"/>
        <v>Cash</v>
      </c>
      <c r="T925" s="6" t="str">
        <f t="shared" si="147"/>
        <v>Male</v>
      </c>
      <c r="U925" s="6" t="str">
        <f t="shared" si="150"/>
        <v>General</v>
      </c>
      <c r="V925" s="6" t="str" cm="1">
        <f t="array" ref="V925">IF(TRIM(S925)="",INDEX($S$2:$S$1500,MATCH(MAX(COUNTIF($S$2:$S$1500,S925)),COUNTIF($S$2:$S$1500,$S$2:$S$1500),0)),S925)</f>
        <v>Cash</v>
      </c>
      <c r="W925" s="7" cm="1">
        <f t="array" ref="W925">IF(OR(TRIM(K925)="",TRIM(K925)="-"), MEDIAN(IF($E$2:$E$1500=E925,$K$2:$K$1500)),  VALUE(SUBSTITUTE(SUBSTITUTE(SUBSTITUTE(K925,"Rs. ",""),"₹",""),",","")))</f>
        <v>19838</v>
      </c>
      <c r="X925" s="8">
        <f t="shared" si="148"/>
        <v>10</v>
      </c>
      <c r="Y925" s="7">
        <f t="shared" si="149"/>
        <v>17854</v>
      </c>
      <c r="Z925" s="9" t="str">
        <f t="shared" si="141"/>
        <v>CHILD</v>
      </c>
    </row>
    <row r="926" spans="1:26" x14ac:dyDescent="0.3">
      <c r="A926" s="5" t="s">
        <v>1931</v>
      </c>
      <c r="B926" s="5" t="s">
        <v>25</v>
      </c>
      <c r="C926" s="5" t="s">
        <v>54</v>
      </c>
      <c r="D926" s="5" t="s">
        <v>16</v>
      </c>
      <c r="E926" s="5" t="s">
        <v>108</v>
      </c>
      <c r="F926" s="5" t="s">
        <v>109</v>
      </c>
      <c r="G926" s="5" t="s">
        <v>39</v>
      </c>
      <c r="H926" s="5">
        <v>86</v>
      </c>
      <c r="I926" s="5" t="s">
        <v>31</v>
      </c>
      <c r="J926" s="34" t="s">
        <v>543</v>
      </c>
      <c r="K926" s="31" t="s">
        <v>1932</v>
      </c>
      <c r="L926" s="5" t="s">
        <v>83</v>
      </c>
      <c r="M926" s="32">
        <v>0</v>
      </c>
      <c r="N926" s="6">
        <f t="shared" si="142"/>
        <v>0</v>
      </c>
      <c r="O926" s="4" t="s">
        <v>109</v>
      </c>
      <c r="P926" s="5" t="str">
        <f t="shared" si="143"/>
        <v>Bangalore</v>
      </c>
      <c r="Q926" s="5" t="str">
        <f t="shared" si="144"/>
        <v>Orthopedics</v>
      </c>
      <c r="R926" s="6" t="str">
        <f t="shared" si="145"/>
        <v>Narayana</v>
      </c>
      <c r="S926" s="6" t="str">
        <f t="shared" si="146"/>
        <v>Debit Card</v>
      </c>
      <c r="T926" s="6" t="str">
        <f t="shared" si="147"/>
        <v>Male</v>
      </c>
      <c r="U926" s="6" t="str">
        <f t="shared" si="150"/>
        <v>General</v>
      </c>
      <c r="V926" s="6" t="str" cm="1">
        <f t="array" ref="V926">IF(TRIM(S926)="",INDEX($S$2:$S$1500,MATCH(MAX(COUNTIF($S$2:$S$1500,S926)),COUNTIF($S$2:$S$1500,$S$2:$S$1500),0)),S926)</f>
        <v>Debit Card</v>
      </c>
      <c r="W926" s="7" cm="1">
        <f t="array" ref="W926">IF(OR(TRIM(K926)="",TRIM(K926)="-"), MEDIAN(IF($E$2:$E$1500=E926,$K$2:$K$1500)),  VALUE(SUBSTITUTE(SUBSTITUTE(SUBSTITUTE(K926,"Rs. ",""),"₹",""),",","")))</f>
        <v>15513</v>
      </c>
      <c r="X926" s="8">
        <f t="shared" si="148"/>
        <v>0</v>
      </c>
      <c r="Y926" s="7">
        <f t="shared" si="149"/>
        <v>15513</v>
      </c>
      <c r="Z926" s="9" t="str">
        <f t="shared" si="141"/>
        <v>SENIOR</v>
      </c>
    </row>
    <row r="927" spans="1:26" x14ac:dyDescent="0.3">
      <c r="A927" s="5" t="s">
        <v>1933</v>
      </c>
      <c r="B927" s="5" t="s">
        <v>78</v>
      </c>
      <c r="C927" s="5" t="s">
        <v>203</v>
      </c>
      <c r="D927" s="5" t="s">
        <v>80</v>
      </c>
      <c r="E927" s="5" t="s">
        <v>37</v>
      </c>
      <c r="F927" s="5" t="s">
        <v>56</v>
      </c>
      <c r="G927" s="5" t="s">
        <v>101</v>
      </c>
      <c r="H927" s="5">
        <v>27</v>
      </c>
      <c r="I927" s="5" t="s">
        <v>20</v>
      </c>
      <c r="J927" s="34" t="s">
        <v>301</v>
      </c>
      <c r="K927" s="31">
        <v>43978</v>
      </c>
      <c r="L927" s="5" t="s">
        <v>34</v>
      </c>
      <c r="M927" s="32" t="s">
        <v>198</v>
      </c>
      <c r="N927" s="6">
        <f t="shared" si="142"/>
        <v>5</v>
      </c>
      <c r="O927" s="4" t="s">
        <v>56</v>
      </c>
      <c r="P927" s="5" t="str">
        <f t="shared" si="143"/>
        <v>Ahmedabad</v>
      </c>
      <c r="Q927" s="5" t="str">
        <f t="shared" si="144"/>
        <v>Pediatrics</v>
      </c>
      <c r="R927" s="6" t="str">
        <f t="shared" si="145"/>
        <v>Apollo</v>
      </c>
      <c r="S927" s="6" t="str">
        <f t="shared" si="146"/>
        <v>Cash</v>
      </c>
      <c r="T927" s="6" t="str">
        <f t="shared" si="147"/>
        <v>Male</v>
      </c>
      <c r="U927" s="6" t="str">
        <f t="shared" si="150"/>
        <v>ICU</v>
      </c>
      <c r="V927" s="6" t="str" cm="1">
        <f t="array" ref="V927">IF(TRIM(S927)="",INDEX($S$2:$S$1500,MATCH(MAX(COUNTIF($S$2:$S$1500,S927)),COUNTIF($S$2:$S$1500,$S$2:$S$1500),0)),S927)</f>
        <v>Cash</v>
      </c>
      <c r="W927" s="7" cm="1">
        <f t="array" ref="W927">IF(OR(TRIM(K927)="",TRIM(K927)="-"), MEDIAN(IF($E$2:$E$1500=E927,$K$2:$K$1500)),  VALUE(SUBSTITUTE(SUBSTITUTE(SUBSTITUTE(K927,"Rs. ",""),"₹",""),",","")))</f>
        <v>43978</v>
      </c>
      <c r="X927" s="8">
        <f t="shared" si="148"/>
        <v>5</v>
      </c>
      <c r="Y927" s="7">
        <f t="shared" si="149"/>
        <v>41779</v>
      </c>
      <c r="Z927" s="9" t="str">
        <f t="shared" si="141"/>
        <v>ADULT</v>
      </c>
    </row>
    <row r="928" spans="1:26" x14ac:dyDescent="0.3">
      <c r="A928" s="5" t="s">
        <v>1934</v>
      </c>
      <c r="B928" s="5" t="s">
        <v>78</v>
      </c>
      <c r="C928" s="5" t="s">
        <v>203</v>
      </c>
      <c r="D928" s="5" t="s">
        <v>36</v>
      </c>
      <c r="E928" s="5" t="s">
        <v>108</v>
      </c>
      <c r="F928" s="5" t="s">
        <v>272</v>
      </c>
      <c r="G928" s="5" t="s">
        <v>49</v>
      </c>
      <c r="H928" s="5">
        <v>51</v>
      </c>
      <c r="I928" s="5" t="s">
        <v>40</v>
      </c>
      <c r="J928" s="34" t="s">
        <v>1638</v>
      </c>
      <c r="K928" s="31">
        <v>13608</v>
      </c>
      <c r="L928" s="5" t="s">
        <v>115</v>
      </c>
      <c r="M928" s="32" t="s">
        <v>130</v>
      </c>
      <c r="N928" s="6">
        <f t="shared" si="142"/>
        <v>0</v>
      </c>
      <c r="O928" s="4" t="s">
        <v>272</v>
      </c>
      <c r="P928" s="5" t="str">
        <f t="shared" si="143"/>
        <v>Chennai</v>
      </c>
      <c r="Q928" s="5" t="str">
        <f t="shared" si="144"/>
        <v>Orthopedics</v>
      </c>
      <c r="R928" s="6" t="str">
        <f t="shared" si="145"/>
        <v>Apollo</v>
      </c>
      <c r="S928" s="6" t="str">
        <f t="shared" si="146"/>
        <v>Cash</v>
      </c>
      <c r="T928" s="6" t="str">
        <f t="shared" si="147"/>
        <v>Female</v>
      </c>
      <c r="U928" s="6" t="str">
        <f t="shared" si="150"/>
        <v>General</v>
      </c>
      <c r="V928" s="6" t="str" cm="1">
        <f t="array" ref="V928">IF(TRIM(S928)="",INDEX($S$2:$S$1500,MATCH(MAX(COUNTIF($S$2:$S$1500,S928)),COUNTIF($S$2:$S$1500,$S$2:$S$1500),0)),S928)</f>
        <v>Cash</v>
      </c>
      <c r="W928" s="7" cm="1">
        <f t="array" ref="W928">IF(OR(TRIM(K928)="",TRIM(K928)="-"), MEDIAN(IF($E$2:$E$1500=E928,$K$2:$K$1500)),  VALUE(SUBSTITUTE(SUBSTITUTE(SUBSTITUTE(K928,"Rs. ",""),"₹",""),",","")))</f>
        <v>13608</v>
      </c>
      <c r="X928" s="8">
        <f t="shared" si="148"/>
        <v>0</v>
      </c>
      <c r="Y928" s="7">
        <f t="shared" si="149"/>
        <v>13608</v>
      </c>
      <c r="Z928" s="9" t="str">
        <f t="shared" si="141"/>
        <v>ADULT</v>
      </c>
    </row>
    <row r="929" spans="1:26" x14ac:dyDescent="0.3">
      <c r="A929" s="5" t="s">
        <v>1935</v>
      </c>
      <c r="B929" s="5" t="s">
        <v>106</v>
      </c>
      <c r="C929" s="5" t="s">
        <v>107</v>
      </c>
      <c r="D929" s="5" t="s">
        <v>189</v>
      </c>
      <c r="E929" s="5" t="s">
        <v>37</v>
      </c>
      <c r="F929" s="5" t="s">
        <v>132</v>
      </c>
      <c r="G929" s="5" t="s">
        <v>19</v>
      </c>
      <c r="H929" s="5">
        <v>31</v>
      </c>
      <c r="I929" s="5" t="s">
        <v>31</v>
      </c>
      <c r="J929" s="34" t="s">
        <v>197</v>
      </c>
      <c r="K929" s="31" t="s">
        <v>1936</v>
      </c>
      <c r="L929" s="5" t="s">
        <v>34</v>
      </c>
      <c r="M929" s="32">
        <v>0</v>
      </c>
      <c r="N929" s="6">
        <f t="shared" si="142"/>
        <v>0</v>
      </c>
      <c r="O929" s="4" t="s">
        <v>132</v>
      </c>
      <c r="P929" s="5" t="str">
        <f t="shared" si="143"/>
        <v>Delhi</v>
      </c>
      <c r="Q929" s="5" t="str">
        <f t="shared" si="144"/>
        <v>Pediatrics</v>
      </c>
      <c r="R929" s="6" t="str">
        <f t="shared" si="145"/>
        <v>Aiims</v>
      </c>
      <c r="S929" s="6" t="str">
        <f t="shared" si="146"/>
        <v>Cash</v>
      </c>
      <c r="T929" s="6" t="str">
        <f t="shared" si="147"/>
        <v>Male</v>
      </c>
      <c r="U929" s="6" t="str">
        <f t="shared" si="150"/>
        <v>General</v>
      </c>
      <c r="V929" s="6" t="str" cm="1">
        <f t="array" ref="V929">IF(TRIM(S929)="",INDEX($S$2:$S$1500,MATCH(MAX(COUNTIF($S$2:$S$1500,S929)),COUNTIF($S$2:$S$1500,$S$2:$S$1500),0)),S929)</f>
        <v>Cash</v>
      </c>
      <c r="W929" s="7" cm="1">
        <f t="array" ref="W929">IF(OR(TRIM(K929)="",TRIM(K929)="-"), MEDIAN(IF($E$2:$E$1500=E929,$K$2:$K$1500)),  VALUE(SUBSTITUTE(SUBSTITUTE(SUBSTITUTE(K929,"Rs. ",""),"₹",""),",","")))</f>
        <v>9134</v>
      </c>
      <c r="X929" s="8">
        <f t="shared" si="148"/>
        <v>0</v>
      </c>
      <c r="Y929" s="7">
        <f t="shared" si="149"/>
        <v>9134</v>
      </c>
      <c r="Z929" s="9" t="str">
        <f t="shared" si="141"/>
        <v>ADULT</v>
      </c>
    </row>
    <row r="930" spans="1:26" x14ac:dyDescent="0.3">
      <c r="A930" s="5" t="s">
        <v>1937</v>
      </c>
      <c r="B930" s="5" t="s">
        <v>45</v>
      </c>
      <c r="C930" s="5" t="s">
        <v>334</v>
      </c>
      <c r="D930" s="5" t="s">
        <v>189</v>
      </c>
      <c r="E930" s="5" t="s">
        <v>37</v>
      </c>
      <c r="F930" s="5" t="s">
        <v>56</v>
      </c>
      <c r="G930" s="5" t="s">
        <v>69</v>
      </c>
      <c r="H930" s="5">
        <v>42</v>
      </c>
      <c r="I930" s="5" t="s">
        <v>70</v>
      </c>
      <c r="J930" s="34" t="s">
        <v>1938</v>
      </c>
      <c r="K930" s="31">
        <v>32008</v>
      </c>
      <c r="L930" s="5" t="s">
        <v>236</v>
      </c>
      <c r="M930" s="32" t="s">
        <v>198</v>
      </c>
      <c r="N930" s="6">
        <f t="shared" si="142"/>
        <v>5</v>
      </c>
      <c r="O930" s="4" t="s">
        <v>56</v>
      </c>
      <c r="P930" s="5" t="str">
        <f t="shared" si="143"/>
        <v>Delhi</v>
      </c>
      <c r="Q930" s="5" t="str">
        <f t="shared" si="144"/>
        <v>Pediatrics</v>
      </c>
      <c r="R930" s="6" t="str">
        <f t="shared" si="145"/>
        <v>Fortis</v>
      </c>
      <c r="S930" s="6" t="str">
        <f t="shared" si="146"/>
        <v>Debit Card</v>
      </c>
      <c r="T930" s="6" t="str">
        <f t="shared" si="147"/>
        <v>Female</v>
      </c>
      <c r="U930" s="6" t="str">
        <f t="shared" si="150"/>
        <v>ICU</v>
      </c>
      <c r="V930" s="6" t="str" cm="1">
        <f t="array" ref="V930">IF(TRIM(S930)="",INDEX($S$2:$S$1500,MATCH(MAX(COUNTIF($S$2:$S$1500,S930)),COUNTIF($S$2:$S$1500,$S$2:$S$1500),0)),S930)</f>
        <v>Debit Card</v>
      </c>
      <c r="W930" s="7" cm="1">
        <f t="array" ref="W930">IF(OR(TRIM(K930)="",TRIM(K930)="-"), MEDIAN(IF($E$2:$E$1500=E930,$K$2:$K$1500)),  VALUE(SUBSTITUTE(SUBSTITUTE(SUBSTITUTE(K930,"Rs. ",""),"₹",""),",","")))</f>
        <v>32008</v>
      </c>
      <c r="X930" s="8">
        <f t="shared" si="148"/>
        <v>5</v>
      </c>
      <c r="Y930" s="7">
        <f t="shared" si="149"/>
        <v>30408</v>
      </c>
      <c r="Z930" s="9" t="str">
        <f t="shared" si="141"/>
        <v>ADULT</v>
      </c>
    </row>
    <row r="931" spans="1:26" x14ac:dyDescent="0.3">
      <c r="A931" s="5" t="s">
        <v>1939</v>
      </c>
      <c r="B931" s="5" t="s">
        <v>45</v>
      </c>
      <c r="C931" s="5" t="s">
        <v>46</v>
      </c>
      <c r="D931" s="5" t="s">
        <v>80</v>
      </c>
      <c r="E931" s="5" t="s">
        <v>17</v>
      </c>
      <c r="F931" s="5" t="s">
        <v>213</v>
      </c>
      <c r="G931" s="5"/>
      <c r="H931" s="5">
        <v>40</v>
      </c>
      <c r="I931" s="5" t="s">
        <v>20</v>
      </c>
      <c r="J931" s="34" t="s">
        <v>265</v>
      </c>
      <c r="K931" s="31" t="s">
        <v>1940</v>
      </c>
      <c r="L931" s="5" t="s">
        <v>236</v>
      </c>
      <c r="M931" s="32" t="s">
        <v>140</v>
      </c>
      <c r="N931" s="6" t="str">
        <f t="shared" si="142"/>
        <v>-</v>
      </c>
      <c r="O931" s="4" t="s">
        <v>213</v>
      </c>
      <c r="P931" s="5" t="str">
        <f t="shared" si="143"/>
        <v>Ahmedabad</v>
      </c>
      <c r="Q931" s="5" t="str">
        <f t="shared" si="144"/>
        <v>Gynecology</v>
      </c>
      <c r="R931" s="6" t="str">
        <f t="shared" si="145"/>
        <v>Fortis</v>
      </c>
      <c r="S931" s="6" t="str">
        <f t="shared" si="146"/>
        <v>Debit Card</v>
      </c>
      <c r="T931" s="6" t="str">
        <f t="shared" si="147"/>
        <v>Male</v>
      </c>
      <c r="U931" s="6" t="str">
        <f t="shared" si="150"/>
        <v>Unknown</v>
      </c>
      <c r="V931" s="6" t="str" cm="1">
        <f t="array" ref="V931">IF(TRIM(S931)="",INDEX($S$2:$S$1500,MATCH(MAX(COUNTIF($S$2:$S$1500,S931)),COUNTIF($S$2:$S$1500,$S$2:$S$1500),0)),S931)</f>
        <v>Debit Card</v>
      </c>
      <c r="W931" s="7" cm="1">
        <f t="array" ref="W931">IF(OR(TRIM(K931)="",TRIM(K931)="-"), MEDIAN(IF($E$2:$E$1500=E931,$K$2:$K$1500)),  VALUE(SUBSTITUTE(SUBSTITUTE(SUBSTITUTE(K931,"Rs. ",""),"₹",""),",","")))</f>
        <v>9529</v>
      </c>
      <c r="X931" s="8">
        <f t="shared" si="148"/>
        <v>3</v>
      </c>
      <c r="Y931" s="7">
        <f t="shared" si="149"/>
        <v>9243</v>
      </c>
      <c r="Z931" s="9" t="str">
        <f t="shared" si="141"/>
        <v>ADULT</v>
      </c>
    </row>
    <row r="932" spans="1:26" x14ac:dyDescent="0.3">
      <c r="A932" s="5" t="s">
        <v>1941</v>
      </c>
      <c r="B932" s="5" t="s">
        <v>14</v>
      </c>
      <c r="C932" s="5" t="s">
        <v>60</v>
      </c>
      <c r="D932" s="5" t="s">
        <v>189</v>
      </c>
      <c r="E932" s="5" t="s">
        <v>17</v>
      </c>
      <c r="F932" s="5" t="s">
        <v>169</v>
      </c>
      <c r="G932" s="5" t="s">
        <v>39</v>
      </c>
      <c r="H932" s="5">
        <v>55</v>
      </c>
      <c r="I932" s="5" t="s">
        <v>40</v>
      </c>
      <c r="J932" s="34" t="s">
        <v>1109</v>
      </c>
      <c r="K932" s="31" t="s">
        <v>1942</v>
      </c>
      <c r="L932" s="5" t="s">
        <v>115</v>
      </c>
      <c r="M932" s="32">
        <v>0</v>
      </c>
      <c r="N932" s="6">
        <f t="shared" si="142"/>
        <v>0</v>
      </c>
      <c r="O932" s="4" t="s">
        <v>169</v>
      </c>
      <c r="P932" s="5" t="str">
        <f t="shared" si="143"/>
        <v>Delhi</v>
      </c>
      <c r="Q932" s="5" t="str">
        <f t="shared" si="144"/>
        <v>Gynecology</v>
      </c>
      <c r="R932" s="6" t="str">
        <f t="shared" si="145"/>
        <v>Max_Healthcare</v>
      </c>
      <c r="S932" s="6" t="str">
        <f t="shared" si="146"/>
        <v>Cash</v>
      </c>
      <c r="T932" s="6" t="str">
        <f t="shared" si="147"/>
        <v>Female</v>
      </c>
      <c r="U932" s="6" t="str">
        <f t="shared" si="150"/>
        <v>General</v>
      </c>
      <c r="V932" s="6" t="str" cm="1">
        <f t="array" ref="V932">IF(TRIM(S932)="",INDEX($S$2:$S$1500,MATCH(MAX(COUNTIF($S$2:$S$1500,S932)),COUNTIF($S$2:$S$1500,$S$2:$S$1500),0)),S932)</f>
        <v>Cash</v>
      </c>
      <c r="W932" s="7" cm="1">
        <f t="array" ref="W932">IF(OR(TRIM(K932)="",TRIM(K932)="-"), MEDIAN(IF($E$2:$E$1500=E932,$K$2:$K$1500)),  VALUE(SUBSTITUTE(SUBSTITUTE(SUBSTITUTE(K932,"Rs. ",""),"₹",""),",","")))</f>
        <v>13804</v>
      </c>
      <c r="X932" s="8">
        <f t="shared" si="148"/>
        <v>0</v>
      </c>
      <c r="Y932" s="7">
        <f t="shared" si="149"/>
        <v>13804</v>
      </c>
      <c r="Z932" s="9" t="str">
        <f t="shared" si="141"/>
        <v>ADULT</v>
      </c>
    </row>
    <row r="933" spans="1:26" x14ac:dyDescent="0.3">
      <c r="A933" s="5" t="s">
        <v>1943</v>
      </c>
      <c r="B933" s="5" t="s">
        <v>106</v>
      </c>
      <c r="C933" s="5" t="s">
        <v>107</v>
      </c>
      <c r="D933" s="5" t="s">
        <v>61</v>
      </c>
      <c r="E933" s="5" t="s">
        <v>93</v>
      </c>
      <c r="F933" s="5" t="s">
        <v>144</v>
      </c>
      <c r="G933" s="5" t="s">
        <v>19</v>
      </c>
      <c r="H933" s="5">
        <v>66</v>
      </c>
      <c r="I933" s="5" t="s">
        <v>40</v>
      </c>
      <c r="J933" s="34" t="s">
        <v>1812</v>
      </c>
      <c r="K933" s="31">
        <v>10658</v>
      </c>
      <c r="L933" s="5" t="s">
        <v>311</v>
      </c>
      <c r="M933" s="32">
        <v>10</v>
      </c>
      <c r="N933" s="6">
        <f t="shared" si="142"/>
        <v>10</v>
      </c>
      <c r="O933" s="4" t="s">
        <v>144</v>
      </c>
      <c r="P933" s="5" t="str">
        <f t="shared" si="143"/>
        <v>Pune</v>
      </c>
      <c r="Q933" s="5" t="str">
        <f t="shared" si="144"/>
        <v>Nephrology</v>
      </c>
      <c r="R933" s="6" t="str">
        <f t="shared" si="145"/>
        <v>Aiims</v>
      </c>
      <c r="S933" s="6" t="str">
        <f t="shared" si="146"/>
        <v>UPI</v>
      </c>
      <c r="T933" s="6" t="str">
        <f t="shared" si="147"/>
        <v>Female</v>
      </c>
      <c r="U933" s="6" t="str">
        <f t="shared" si="150"/>
        <v>General</v>
      </c>
      <c r="V933" s="6" t="str" cm="1">
        <f t="array" ref="V933">IF(TRIM(S933)="",INDEX($S$2:$S$1500,MATCH(MAX(COUNTIF($S$2:$S$1500,S933)),COUNTIF($S$2:$S$1500,$S$2:$S$1500),0)),S933)</f>
        <v>UPI</v>
      </c>
      <c r="W933" s="7" cm="1">
        <f t="array" ref="W933">IF(OR(TRIM(K933)="",TRIM(K933)="-"), MEDIAN(IF($E$2:$E$1500=E933,$K$2:$K$1500)),  VALUE(SUBSTITUTE(SUBSTITUTE(SUBSTITUTE(K933,"Rs. ",""),"₹",""),",","")))</f>
        <v>10658</v>
      </c>
      <c r="X933" s="8">
        <f t="shared" si="148"/>
        <v>10</v>
      </c>
      <c r="Y933" s="7">
        <f t="shared" si="149"/>
        <v>9592</v>
      </c>
      <c r="Z933" s="9" t="str">
        <f t="shared" si="141"/>
        <v>SENIOR</v>
      </c>
    </row>
    <row r="934" spans="1:26" x14ac:dyDescent="0.3">
      <c r="A934" s="5" t="s">
        <v>1944</v>
      </c>
      <c r="B934" s="5" t="s">
        <v>25</v>
      </c>
      <c r="C934" s="5" t="s">
        <v>54</v>
      </c>
      <c r="D934" s="5" t="s">
        <v>55</v>
      </c>
      <c r="E934" s="5" t="s">
        <v>74</v>
      </c>
      <c r="F934" s="5" t="s">
        <v>192</v>
      </c>
      <c r="G934" s="5" t="s">
        <v>62</v>
      </c>
      <c r="H934" s="5">
        <v>71</v>
      </c>
      <c r="I934" s="5" t="s">
        <v>31</v>
      </c>
      <c r="J934" s="34" t="s">
        <v>441</v>
      </c>
      <c r="K934" s="31" t="s">
        <v>1945</v>
      </c>
      <c r="L934" s="5" t="s">
        <v>34</v>
      </c>
      <c r="M934" s="32">
        <v>0</v>
      </c>
      <c r="N934" s="6">
        <f t="shared" si="142"/>
        <v>0</v>
      </c>
      <c r="O934" s="4" t="s">
        <v>192</v>
      </c>
      <c r="P934" s="5" t="str">
        <f t="shared" si="143"/>
        <v>Hyderabad</v>
      </c>
      <c r="Q934" s="5" t="str">
        <f t="shared" si="144"/>
        <v>General Medicine</v>
      </c>
      <c r="R934" s="6" t="str">
        <f t="shared" si="145"/>
        <v>Narayana</v>
      </c>
      <c r="S934" s="6" t="str">
        <f t="shared" si="146"/>
        <v>Cash</v>
      </c>
      <c r="T934" s="6" t="str">
        <f t="shared" si="147"/>
        <v>Male</v>
      </c>
      <c r="U934" s="6" t="str">
        <f t="shared" si="150"/>
        <v>ICU</v>
      </c>
      <c r="V934" s="6" t="str" cm="1">
        <f t="array" ref="V934">IF(TRIM(S934)="",INDEX($S$2:$S$1500,MATCH(MAX(COUNTIF($S$2:$S$1500,S934)),COUNTIF($S$2:$S$1500,$S$2:$S$1500),0)),S934)</f>
        <v>Cash</v>
      </c>
      <c r="W934" s="7" cm="1">
        <f t="array" ref="W934">IF(OR(TRIM(K934)="",TRIM(K934)="-"), MEDIAN(IF($E$2:$E$1500=E934,$K$2:$K$1500)),  VALUE(SUBSTITUTE(SUBSTITUTE(SUBSTITUTE(K934,"Rs. ",""),"₹",""),",","")))</f>
        <v>61505</v>
      </c>
      <c r="X934" s="8">
        <f t="shared" si="148"/>
        <v>0</v>
      </c>
      <c r="Y934" s="7">
        <f t="shared" si="149"/>
        <v>61505</v>
      </c>
      <c r="Z934" s="9" t="str">
        <f t="shared" si="141"/>
        <v>SENIOR</v>
      </c>
    </row>
    <row r="935" spans="1:26" x14ac:dyDescent="0.3">
      <c r="A935" s="5" t="s">
        <v>1946</v>
      </c>
      <c r="B935" s="5" t="s">
        <v>117</v>
      </c>
      <c r="C935" s="5" t="s">
        <v>118</v>
      </c>
      <c r="D935" s="5" t="s">
        <v>80</v>
      </c>
      <c r="E935" s="5" t="s">
        <v>37</v>
      </c>
      <c r="F935" s="5" t="s">
        <v>185</v>
      </c>
      <c r="G935" s="5" t="s">
        <v>19</v>
      </c>
      <c r="H935" s="5">
        <v>62</v>
      </c>
      <c r="I935" s="5" t="s">
        <v>31</v>
      </c>
      <c r="J935" s="34" t="s">
        <v>1162</v>
      </c>
      <c r="K935" s="31" t="s">
        <v>1947</v>
      </c>
      <c r="L935" s="5" t="s">
        <v>83</v>
      </c>
      <c r="M935" s="32">
        <v>0</v>
      </c>
      <c r="N935" s="6">
        <f t="shared" si="142"/>
        <v>0</v>
      </c>
      <c r="O935" s="4" t="s">
        <v>185</v>
      </c>
      <c r="P935" s="5" t="str">
        <f t="shared" si="143"/>
        <v>Ahmedabad</v>
      </c>
      <c r="Q935" s="5" t="str">
        <f t="shared" si="144"/>
        <v>Pediatrics</v>
      </c>
      <c r="R935" s="6" t="str">
        <f t="shared" si="145"/>
        <v>Manipal</v>
      </c>
      <c r="S935" s="6" t="str">
        <f t="shared" si="146"/>
        <v>Debit Card</v>
      </c>
      <c r="T935" s="6" t="str">
        <f t="shared" si="147"/>
        <v>Male</v>
      </c>
      <c r="U935" s="6" t="str">
        <f t="shared" si="150"/>
        <v>General</v>
      </c>
      <c r="V935" s="6" t="str" cm="1">
        <f t="array" ref="V935">IF(TRIM(S935)="",INDEX($S$2:$S$1500,MATCH(MAX(COUNTIF($S$2:$S$1500,S935)),COUNTIF($S$2:$S$1500,$S$2:$S$1500),0)),S935)</f>
        <v>Debit Card</v>
      </c>
      <c r="W935" s="7" cm="1">
        <f t="array" ref="W935">IF(OR(TRIM(K935)="",TRIM(K935)="-"), MEDIAN(IF($E$2:$E$1500=E935,$K$2:$K$1500)),  VALUE(SUBSTITUTE(SUBSTITUTE(SUBSTITUTE(K935,"Rs. ",""),"₹",""),",","")))</f>
        <v>16626</v>
      </c>
      <c r="X935" s="8">
        <f t="shared" si="148"/>
        <v>0</v>
      </c>
      <c r="Y935" s="7">
        <f t="shared" si="149"/>
        <v>16626</v>
      </c>
      <c r="Z935" s="9" t="str">
        <f t="shared" si="141"/>
        <v>SENIOR</v>
      </c>
    </row>
    <row r="936" spans="1:26" x14ac:dyDescent="0.3">
      <c r="A936" s="5" t="s">
        <v>1948</v>
      </c>
      <c r="B936" s="5" t="s">
        <v>78</v>
      </c>
      <c r="C936" s="5" t="s">
        <v>203</v>
      </c>
      <c r="D936" s="5" t="s">
        <v>27</v>
      </c>
      <c r="E936" s="5" t="s">
        <v>93</v>
      </c>
      <c r="F936" s="5" t="s">
        <v>94</v>
      </c>
      <c r="G936" s="5" t="s">
        <v>39</v>
      </c>
      <c r="H936" s="5">
        <v>87</v>
      </c>
      <c r="I936" s="5" t="s">
        <v>40</v>
      </c>
      <c r="J936" s="34" t="s">
        <v>1036</v>
      </c>
      <c r="K936" s="31" t="s">
        <v>1949</v>
      </c>
      <c r="L936" s="5" t="s">
        <v>149</v>
      </c>
      <c r="M936" s="32">
        <v>10</v>
      </c>
      <c r="N936" s="6">
        <f t="shared" si="142"/>
        <v>10</v>
      </c>
      <c r="O936" s="4" t="s">
        <v>94</v>
      </c>
      <c r="P936" s="5" t="str">
        <f t="shared" si="143"/>
        <v>Mumbai</v>
      </c>
      <c r="Q936" s="5" t="str">
        <f t="shared" si="144"/>
        <v>Nephrology</v>
      </c>
      <c r="R936" s="6" t="str">
        <f t="shared" si="145"/>
        <v>Apollo</v>
      </c>
      <c r="S936" s="6" t="str">
        <f t="shared" si="146"/>
        <v>Insurance</v>
      </c>
      <c r="T936" s="6" t="str">
        <f t="shared" si="147"/>
        <v>Female</v>
      </c>
      <c r="U936" s="6" t="str">
        <f t="shared" si="150"/>
        <v>General</v>
      </c>
      <c r="V936" s="6" t="str" cm="1">
        <f t="array" ref="V936">IF(TRIM(S936)="",INDEX($S$2:$S$1500,MATCH(MAX(COUNTIF($S$2:$S$1500,S936)),COUNTIF($S$2:$S$1500,$S$2:$S$1500),0)),S936)</f>
        <v>Insurance</v>
      </c>
      <c r="W936" s="7" cm="1">
        <f t="array" ref="W936">IF(OR(TRIM(K936)="",TRIM(K936)="-"), MEDIAN(IF($E$2:$E$1500=E936,$K$2:$K$1500)),  VALUE(SUBSTITUTE(SUBSTITUTE(SUBSTITUTE(K936,"Rs. ",""),"₹",""),",","")))</f>
        <v>13852</v>
      </c>
      <c r="X936" s="8">
        <f t="shared" si="148"/>
        <v>10</v>
      </c>
      <c r="Y936" s="7">
        <f t="shared" si="149"/>
        <v>12467</v>
      </c>
      <c r="Z936" s="9" t="str">
        <f t="shared" si="141"/>
        <v>SENIOR</v>
      </c>
    </row>
    <row r="937" spans="1:26" x14ac:dyDescent="0.3">
      <c r="A937" s="5" t="s">
        <v>1950</v>
      </c>
      <c r="B937" s="5" t="s">
        <v>106</v>
      </c>
      <c r="C937" s="5" t="s">
        <v>107</v>
      </c>
      <c r="D937" s="5" t="s">
        <v>55</v>
      </c>
      <c r="E937" s="5" t="s">
        <v>67</v>
      </c>
      <c r="F937" s="5" t="s">
        <v>196</v>
      </c>
      <c r="G937" s="5" t="s">
        <v>49</v>
      </c>
      <c r="H937" s="5">
        <v>87</v>
      </c>
      <c r="I937" s="5" t="s">
        <v>20</v>
      </c>
      <c r="J937" s="34" t="s">
        <v>197</v>
      </c>
      <c r="K937" s="31" t="s">
        <v>1951</v>
      </c>
      <c r="L937" s="5" t="s">
        <v>58</v>
      </c>
      <c r="M937" s="32" t="s">
        <v>130</v>
      </c>
      <c r="N937" s="6">
        <f t="shared" si="142"/>
        <v>0</v>
      </c>
      <c r="O937" s="4" t="s">
        <v>196</v>
      </c>
      <c r="P937" s="5" t="str">
        <f t="shared" si="143"/>
        <v>Hyderabad</v>
      </c>
      <c r="Q937" s="5" t="str">
        <f t="shared" si="144"/>
        <v>Neurology</v>
      </c>
      <c r="R937" s="6" t="str">
        <f t="shared" si="145"/>
        <v>Aiims</v>
      </c>
      <c r="S937" s="6" t="str">
        <f t="shared" si="146"/>
        <v>UPI</v>
      </c>
      <c r="T937" s="6" t="str">
        <f t="shared" si="147"/>
        <v>Male</v>
      </c>
      <c r="U937" s="6" t="str">
        <f t="shared" si="150"/>
        <v>General</v>
      </c>
      <c r="V937" s="6" t="str" cm="1">
        <f t="array" ref="V937">IF(TRIM(S937)="",INDEX($S$2:$S$1500,MATCH(MAX(COUNTIF($S$2:$S$1500,S937)),COUNTIF($S$2:$S$1500,$S$2:$S$1500),0)),S937)</f>
        <v>UPI</v>
      </c>
      <c r="W937" s="7" cm="1">
        <f t="array" ref="W937">IF(OR(TRIM(K937)="",TRIM(K937)="-"), MEDIAN(IF($E$2:$E$1500=E937,$K$2:$K$1500)),  VALUE(SUBSTITUTE(SUBSTITUTE(SUBSTITUTE(K937,"Rs. ",""),"₹",""),",","")))</f>
        <v>7950</v>
      </c>
      <c r="X937" s="8">
        <f t="shared" si="148"/>
        <v>0</v>
      </c>
      <c r="Y937" s="7">
        <f t="shared" si="149"/>
        <v>7950</v>
      </c>
      <c r="Z937" s="9" t="str">
        <f t="shared" si="141"/>
        <v>SENIOR</v>
      </c>
    </row>
    <row r="938" spans="1:26" x14ac:dyDescent="0.3">
      <c r="A938" s="5" t="s">
        <v>1952</v>
      </c>
      <c r="B938" s="5" t="s">
        <v>14</v>
      </c>
      <c r="C938" s="5" t="s">
        <v>60</v>
      </c>
      <c r="D938" s="5" t="s">
        <v>80</v>
      </c>
      <c r="E938" s="5" t="s">
        <v>93</v>
      </c>
      <c r="F938" s="5" t="s">
        <v>94</v>
      </c>
      <c r="G938" s="5" t="s">
        <v>49</v>
      </c>
      <c r="H938" s="5">
        <v>35</v>
      </c>
      <c r="I938" s="5" t="s">
        <v>70</v>
      </c>
      <c r="J938" s="34" t="s">
        <v>63</v>
      </c>
      <c r="K938" s="31" t="s">
        <v>1953</v>
      </c>
      <c r="L938" s="5" t="s">
        <v>23</v>
      </c>
      <c r="M938" s="32" t="s">
        <v>64</v>
      </c>
      <c r="N938" s="6" t="str">
        <f t="shared" si="142"/>
        <v>NA</v>
      </c>
      <c r="O938" s="4" t="s">
        <v>94</v>
      </c>
      <c r="P938" s="5" t="str">
        <f t="shared" si="143"/>
        <v>Ahmedabad</v>
      </c>
      <c r="Q938" s="5" t="str">
        <f t="shared" si="144"/>
        <v>Nephrology</v>
      </c>
      <c r="R938" s="6" t="str">
        <f t="shared" si="145"/>
        <v>Max_Healthcare</v>
      </c>
      <c r="S938" s="6" t="str">
        <f t="shared" si="146"/>
        <v>Credit Card</v>
      </c>
      <c r="T938" s="6" t="str">
        <f t="shared" si="147"/>
        <v>Female</v>
      </c>
      <c r="U938" s="6" t="str">
        <f t="shared" si="150"/>
        <v>General</v>
      </c>
      <c r="V938" s="6" t="str" cm="1">
        <f t="array" ref="V938">IF(TRIM(S938)="",INDEX($S$2:$S$1500,MATCH(MAX(COUNTIF($S$2:$S$1500,S938)),COUNTIF($S$2:$S$1500,$S$2:$S$1500),0)),S938)</f>
        <v>Credit Card</v>
      </c>
      <c r="W938" s="7" cm="1">
        <f t="array" ref="W938">IF(OR(TRIM(K938)="",TRIM(K938)="-"), MEDIAN(IF($E$2:$E$1500=E938,$K$2:$K$1500)),  VALUE(SUBSTITUTE(SUBSTITUTE(SUBSTITUTE(K938,"Rs. ",""),"₹",""),",","")))</f>
        <v>8680</v>
      </c>
      <c r="X938" s="8">
        <f t="shared" si="148"/>
        <v>3</v>
      </c>
      <c r="Y938" s="7">
        <f t="shared" si="149"/>
        <v>8420</v>
      </c>
      <c r="Z938" s="9" t="str">
        <f t="shared" si="141"/>
        <v>ADULT</v>
      </c>
    </row>
    <row r="939" spans="1:26" x14ac:dyDescent="0.3">
      <c r="A939" s="5" t="s">
        <v>1954</v>
      </c>
      <c r="B939" s="5" t="s">
        <v>45</v>
      </c>
      <c r="C939" s="5" t="s">
        <v>334</v>
      </c>
      <c r="D939" s="5" t="s">
        <v>55</v>
      </c>
      <c r="E939" s="5" t="s">
        <v>93</v>
      </c>
      <c r="F939" s="5" t="s">
        <v>94</v>
      </c>
      <c r="G939" s="5" t="s">
        <v>69</v>
      </c>
      <c r="H939" s="5">
        <v>57</v>
      </c>
      <c r="I939" s="5" t="s">
        <v>20</v>
      </c>
      <c r="J939" s="34" t="s">
        <v>497</v>
      </c>
      <c r="K939" s="31">
        <v>76616</v>
      </c>
      <c r="L939" s="5" t="s">
        <v>83</v>
      </c>
      <c r="M939" s="32">
        <v>0</v>
      </c>
      <c r="N939" s="6">
        <f t="shared" si="142"/>
        <v>0</v>
      </c>
      <c r="O939" s="4" t="s">
        <v>94</v>
      </c>
      <c r="P939" s="5" t="str">
        <f t="shared" si="143"/>
        <v>Hyderabad</v>
      </c>
      <c r="Q939" s="5" t="str">
        <f t="shared" si="144"/>
        <v>Nephrology</v>
      </c>
      <c r="R939" s="6" t="str">
        <f t="shared" si="145"/>
        <v>Fortis</v>
      </c>
      <c r="S939" s="6" t="str">
        <f t="shared" si="146"/>
        <v>Debit Card</v>
      </c>
      <c r="T939" s="6" t="str">
        <f t="shared" si="147"/>
        <v>Male</v>
      </c>
      <c r="U939" s="6" t="str">
        <f t="shared" si="150"/>
        <v>ICU</v>
      </c>
      <c r="V939" s="6" t="str" cm="1">
        <f t="array" ref="V939">IF(TRIM(S939)="",INDEX($S$2:$S$1500,MATCH(MAX(COUNTIF($S$2:$S$1500,S939)),COUNTIF($S$2:$S$1500,$S$2:$S$1500),0)),S939)</f>
        <v>Debit Card</v>
      </c>
      <c r="W939" s="7" cm="1">
        <f t="array" ref="W939">IF(OR(TRIM(K939)="",TRIM(K939)="-"), MEDIAN(IF($E$2:$E$1500=E939,$K$2:$K$1500)),  VALUE(SUBSTITUTE(SUBSTITUTE(SUBSTITUTE(K939,"Rs. ",""),"₹",""),",","")))</f>
        <v>76616</v>
      </c>
      <c r="X939" s="8">
        <f t="shared" si="148"/>
        <v>0</v>
      </c>
      <c r="Y939" s="7">
        <f t="shared" si="149"/>
        <v>76616</v>
      </c>
      <c r="Z939" s="9" t="str">
        <f t="shared" si="141"/>
        <v>ADULT</v>
      </c>
    </row>
    <row r="940" spans="1:26" x14ac:dyDescent="0.3">
      <c r="A940" s="5" t="s">
        <v>1955</v>
      </c>
      <c r="B940" s="5" t="s">
        <v>106</v>
      </c>
      <c r="C940" s="5" t="s">
        <v>107</v>
      </c>
      <c r="D940" s="5" t="s">
        <v>36</v>
      </c>
      <c r="E940" s="5" t="s">
        <v>99</v>
      </c>
      <c r="F940" s="5" t="s">
        <v>151</v>
      </c>
      <c r="G940" s="5" t="s">
        <v>49</v>
      </c>
      <c r="H940" s="5">
        <v>36</v>
      </c>
      <c r="I940" s="5" t="s">
        <v>40</v>
      </c>
      <c r="J940" s="34" t="s">
        <v>851</v>
      </c>
      <c r="K940" s="31">
        <v>18974</v>
      </c>
      <c r="L940" s="5" t="s">
        <v>311</v>
      </c>
      <c r="M940" s="32" t="s">
        <v>130</v>
      </c>
      <c r="N940" s="6">
        <f t="shared" si="142"/>
        <v>0</v>
      </c>
      <c r="O940" s="4" t="s">
        <v>151</v>
      </c>
      <c r="P940" s="5" t="str">
        <f t="shared" si="143"/>
        <v>Chennai</v>
      </c>
      <c r="Q940" s="5" t="str">
        <f t="shared" si="144"/>
        <v>Ent</v>
      </c>
      <c r="R940" s="6" t="str">
        <f t="shared" si="145"/>
        <v>Aiims</v>
      </c>
      <c r="S940" s="6" t="str">
        <f t="shared" si="146"/>
        <v>UPI</v>
      </c>
      <c r="T940" s="6" t="str">
        <f t="shared" si="147"/>
        <v>Female</v>
      </c>
      <c r="U940" s="6" t="str">
        <f t="shared" si="150"/>
        <v>General</v>
      </c>
      <c r="V940" s="6" t="str" cm="1">
        <f t="array" ref="V940">IF(TRIM(S940)="",INDEX($S$2:$S$1500,MATCH(MAX(COUNTIF($S$2:$S$1500,S940)),COUNTIF($S$2:$S$1500,$S$2:$S$1500),0)),S940)</f>
        <v>UPI</v>
      </c>
      <c r="W940" s="7" cm="1">
        <f t="array" ref="W940">IF(OR(TRIM(K940)="",TRIM(K940)="-"), MEDIAN(IF($E$2:$E$1500=E940,$K$2:$K$1500)),  VALUE(SUBSTITUTE(SUBSTITUTE(SUBSTITUTE(K940,"Rs. ",""),"₹",""),",","")))</f>
        <v>18974</v>
      </c>
      <c r="X940" s="8">
        <f t="shared" si="148"/>
        <v>0</v>
      </c>
      <c r="Y940" s="7">
        <f t="shared" si="149"/>
        <v>18974</v>
      </c>
      <c r="Z940" s="9" t="str">
        <f t="shared" si="141"/>
        <v>ADULT</v>
      </c>
    </row>
    <row r="941" spans="1:26" x14ac:dyDescent="0.3">
      <c r="A941" s="5" t="s">
        <v>1956</v>
      </c>
      <c r="B941" s="5" t="s">
        <v>78</v>
      </c>
      <c r="C941" s="5" t="s">
        <v>161</v>
      </c>
      <c r="D941" s="5" t="s">
        <v>189</v>
      </c>
      <c r="E941" s="5" t="s">
        <v>67</v>
      </c>
      <c r="F941" s="5" t="s">
        <v>196</v>
      </c>
      <c r="G941" s="5" t="s">
        <v>101</v>
      </c>
      <c r="H941" s="5">
        <v>57</v>
      </c>
      <c r="I941" s="5" t="s">
        <v>70</v>
      </c>
      <c r="J941" s="34" t="s">
        <v>1021</v>
      </c>
      <c r="K941" s="31">
        <v>54005</v>
      </c>
      <c r="L941" s="5" t="s">
        <v>52</v>
      </c>
      <c r="M941" s="32" t="s">
        <v>198</v>
      </c>
      <c r="N941" s="6">
        <f t="shared" si="142"/>
        <v>5</v>
      </c>
      <c r="O941" s="4" t="s">
        <v>196</v>
      </c>
      <c r="P941" s="5" t="str">
        <f t="shared" si="143"/>
        <v>Delhi</v>
      </c>
      <c r="Q941" s="5" t="str">
        <f t="shared" si="144"/>
        <v>Neurology</v>
      </c>
      <c r="R941" s="6" t="str">
        <f t="shared" si="145"/>
        <v>Apollo</v>
      </c>
      <c r="S941" s="6" t="str">
        <f t="shared" si="146"/>
        <v>Credit Card</v>
      </c>
      <c r="T941" s="6" t="str">
        <f t="shared" si="147"/>
        <v>Female</v>
      </c>
      <c r="U941" s="6" t="str">
        <f t="shared" si="150"/>
        <v>ICU</v>
      </c>
      <c r="V941" s="6" t="str" cm="1">
        <f t="array" ref="V941">IF(TRIM(S941)="",INDEX($S$2:$S$1500,MATCH(MAX(COUNTIF($S$2:$S$1500,S941)),COUNTIF($S$2:$S$1500,$S$2:$S$1500),0)),S941)</f>
        <v>Credit Card</v>
      </c>
      <c r="W941" s="7" cm="1">
        <f t="array" ref="W941">IF(OR(TRIM(K941)="",TRIM(K941)="-"), MEDIAN(IF($E$2:$E$1500=E941,$K$2:$K$1500)),  VALUE(SUBSTITUTE(SUBSTITUTE(SUBSTITUTE(K941,"Rs. ",""),"₹",""),",","")))</f>
        <v>54005</v>
      </c>
      <c r="X941" s="8">
        <f t="shared" si="148"/>
        <v>5</v>
      </c>
      <c r="Y941" s="7">
        <f t="shared" si="149"/>
        <v>51305</v>
      </c>
      <c r="Z941" s="9" t="str">
        <f t="shared" si="141"/>
        <v>ADULT</v>
      </c>
    </row>
    <row r="942" spans="1:26" x14ac:dyDescent="0.3">
      <c r="A942" s="5" t="s">
        <v>1957</v>
      </c>
      <c r="B942" s="5" t="s">
        <v>106</v>
      </c>
      <c r="C942" s="5" t="s">
        <v>107</v>
      </c>
      <c r="D942" s="5" t="s">
        <v>27</v>
      </c>
      <c r="E942" s="5" t="s">
        <v>17</v>
      </c>
      <c r="F942" s="5" t="s">
        <v>18</v>
      </c>
      <c r="G942" s="5" t="s">
        <v>49</v>
      </c>
      <c r="H942" s="5">
        <v>10</v>
      </c>
      <c r="I942" s="5" t="s">
        <v>40</v>
      </c>
      <c r="J942" s="34" t="s">
        <v>1104</v>
      </c>
      <c r="K942" s="31">
        <v>13582</v>
      </c>
      <c r="L942" s="5" t="s">
        <v>97</v>
      </c>
      <c r="M942" s="32"/>
      <c r="N942" s="6">
        <f t="shared" si="142"/>
        <v>0</v>
      </c>
      <c r="O942" s="4" t="s">
        <v>18</v>
      </c>
      <c r="P942" s="5" t="str">
        <f t="shared" si="143"/>
        <v>Mumbai</v>
      </c>
      <c r="Q942" s="5" t="str">
        <f t="shared" si="144"/>
        <v>Gynecology</v>
      </c>
      <c r="R942" s="6" t="str">
        <f t="shared" si="145"/>
        <v>Aiims</v>
      </c>
      <c r="S942" s="6" t="str">
        <f t="shared" si="146"/>
        <v>UPI</v>
      </c>
      <c r="T942" s="6" t="str">
        <f t="shared" si="147"/>
        <v>Female</v>
      </c>
      <c r="U942" s="6" t="str">
        <f t="shared" si="150"/>
        <v>General</v>
      </c>
      <c r="V942" s="6" t="str" cm="1">
        <f t="array" ref="V942">IF(TRIM(S942)="",INDEX($S$2:$S$1500,MATCH(MAX(COUNTIF($S$2:$S$1500,S942)),COUNTIF($S$2:$S$1500,$S$2:$S$1500),0)),S942)</f>
        <v>UPI</v>
      </c>
      <c r="W942" s="7" cm="1">
        <f t="array" ref="W942">IF(OR(TRIM(K942)="",TRIM(K942)="-"), MEDIAN(IF($E$2:$E$1500=E942,$K$2:$K$1500)),  VALUE(SUBSTITUTE(SUBSTITUTE(SUBSTITUTE(K942,"Rs. ",""),"₹",""),",","")))</f>
        <v>13582</v>
      </c>
      <c r="X942" s="8">
        <f t="shared" si="148"/>
        <v>0</v>
      </c>
      <c r="Y942" s="7">
        <f t="shared" si="149"/>
        <v>13582</v>
      </c>
      <c r="Z942" s="9" t="str">
        <f t="shared" si="141"/>
        <v>CHILD</v>
      </c>
    </row>
    <row r="943" spans="1:26" x14ac:dyDescent="0.3">
      <c r="A943" s="5" t="s">
        <v>1958</v>
      </c>
      <c r="B943" s="5" t="s">
        <v>25</v>
      </c>
      <c r="C943" s="5" t="s">
        <v>54</v>
      </c>
      <c r="D943" s="5" t="s">
        <v>189</v>
      </c>
      <c r="E943" s="5" t="s">
        <v>28</v>
      </c>
      <c r="F943" s="5" t="s">
        <v>29</v>
      </c>
      <c r="G943" s="5" t="s">
        <v>49</v>
      </c>
      <c r="H943" s="5">
        <v>91</v>
      </c>
      <c r="I943" s="5" t="s">
        <v>40</v>
      </c>
      <c r="J943" s="34" t="s">
        <v>735</v>
      </c>
      <c r="K943" s="31" t="s">
        <v>1959</v>
      </c>
      <c r="L943" s="5" t="s">
        <v>72</v>
      </c>
      <c r="M943" s="32" t="s">
        <v>140</v>
      </c>
      <c r="N943" s="6" t="str">
        <f t="shared" si="142"/>
        <v>-</v>
      </c>
      <c r="O943" s="4" t="s">
        <v>29</v>
      </c>
      <c r="P943" s="5" t="str">
        <f t="shared" si="143"/>
        <v>Delhi</v>
      </c>
      <c r="Q943" s="5" t="str">
        <f t="shared" si="144"/>
        <v>Oncology</v>
      </c>
      <c r="R943" s="6" t="str">
        <f t="shared" si="145"/>
        <v>Narayana</v>
      </c>
      <c r="S943" s="6" t="str">
        <f t="shared" si="146"/>
        <v>Cash</v>
      </c>
      <c r="T943" s="6" t="str">
        <f t="shared" si="147"/>
        <v>Female</v>
      </c>
      <c r="U943" s="6" t="str">
        <f t="shared" si="150"/>
        <v>General</v>
      </c>
      <c r="V943" s="6" t="str" cm="1">
        <f t="array" ref="V943">IF(TRIM(S943)="",INDEX($S$2:$S$1500,MATCH(MAX(COUNTIF($S$2:$S$1500,S943)),COUNTIF($S$2:$S$1500,$S$2:$S$1500),0)),S943)</f>
        <v>Cash</v>
      </c>
      <c r="W943" s="7" cm="1">
        <f t="array" ref="W943">IF(OR(TRIM(K943)="",TRIM(K943)="-"), MEDIAN(IF($E$2:$E$1500=E943,$K$2:$K$1500)),  VALUE(SUBSTITUTE(SUBSTITUTE(SUBSTITUTE(K943,"Rs. ",""),"₹",""),",","")))</f>
        <v>11495</v>
      </c>
      <c r="X943" s="8">
        <f t="shared" si="148"/>
        <v>3</v>
      </c>
      <c r="Y943" s="7">
        <f t="shared" si="149"/>
        <v>11150</v>
      </c>
      <c r="Z943" s="9" t="str">
        <f t="shared" si="141"/>
        <v>SENIOR</v>
      </c>
    </row>
    <row r="944" spans="1:26" x14ac:dyDescent="0.3">
      <c r="A944" s="5" t="s">
        <v>1960</v>
      </c>
      <c r="B944" s="5" t="s">
        <v>117</v>
      </c>
      <c r="C944" s="5" t="s">
        <v>182</v>
      </c>
      <c r="D944" s="5" t="s">
        <v>27</v>
      </c>
      <c r="E944" s="5" t="s">
        <v>28</v>
      </c>
      <c r="F944" s="5" t="s">
        <v>259</v>
      </c>
      <c r="G944" s="5" t="s">
        <v>69</v>
      </c>
      <c r="H944" s="5">
        <v>55</v>
      </c>
      <c r="I944" s="5" t="s">
        <v>40</v>
      </c>
      <c r="J944" s="34" t="s">
        <v>200</v>
      </c>
      <c r="K944" s="31">
        <v>72316</v>
      </c>
      <c r="L944" s="5" t="s">
        <v>104</v>
      </c>
      <c r="M944" s="32">
        <v>10</v>
      </c>
      <c r="N944" s="6">
        <f t="shared" si="142"/>
        <v>10</v>
      </c>
      <c r="O944" s="4" t="s">
        <v>259</v>
      </c>
      <c r="P944" s="5" t="str">
        <f t="shared" si="143"/>
        <v>Mumbai</v>
      </c>
      <c r="Q944" s="5" t="str">
        <f t="shared" si="144"/>
        <v>Oncology</v>
      </c>
      <c r="R944" s="6" t="str">
        <f t="shared" si="145"/>
        <v>Manipal</v>
      </c>
      <c r="S944" s="6" t="str">
        <f t="shared" si="146"/>
        <v>Insurance</v>
      </c>
      <c r="T944" s="6" t="str">
        <f t="shared" si="147"/>
        <v>Female</v>
      </c>
      <c r="U944" s="6" t="str">
        <f t="shared" si="150"/>
        <v>ICU</v>
      </c>
      <c r="V944" s="6" t="str" cm="1">
        <f t="array" ref="V944">IF(TRIM(S944)="",INDEX($S$2:$S$1500,MATCH(MAX(COUNTIF($S$2:$S$1500,S944)),COUNTIF($S$2:$S$1500,$S$2:$S$1500),0)),S944)</f>
        <v>Insurance</v>
      </c>
      <c r="W944" s="7" cm="1">
        <f t="array" ref="W944">IF(OR(TRIM(K944)="",TRIM(K944)="-"), MEDIAN(IF($E$2:$E$1500=E944,$K$2:$K$1500)),  VALUE(SUBSTITUTE(SUBSTITUTE(SUBSTITUTE(K944,"Rs. ",""),"₹",""),",","")))</f>
        <v>72316</v>
      </c>
      <c r="X944" s="8">
        <f t="shared" si="148"/>
        <v>10</v>
      </c>
      <c r="Y944" s="7">
        <f t="shared" si="149"/>
        <v>65084</v>
      </c>
      <c r="Z944" s="9" t="str">
        <f t="shared" si="141"/>
        <v>ADULT</v>
      </c>
    </row>
    <row r="945" spans="1:26" x14ac:dyDescent="0.3">
      <c r="A945" s="5" t="s">
        <v>1961</v>
      </c>
      <c r="B945" s="5" t="s">
        <v>25</v>
      </c>
      <c r="C945" s="5" t="s">
        <v>54</v>
      </c>
      <c r="D945" s="5" t="s">
        <v>80</v>
      </c>
      <c r="E945" s="5" t="s">
        <v>37</v>
      </c>
      <c r="F945" s="5" t="s">
        <v>38</v>
      </c>
      <c r="G945" s="5" t="s">
        <v>30</v>
      </c>
      <c r="H945" s="5">
        <v>1</v>
      </c>
      <c r="I945" s="5" t="s">
        <v>20</v>
      </c>
      <c r="J945" s="34" t="s">
        <v>186</v>
      </c>
      <c r="K945" s="31">
        <v>3724</v>
      </c>
      <c r="L945" s="5" t="s">
        <v>52</v>
      </c>
      <c r="M945" s="32" t="s">
        <v>130</v>
      </c>
      <c r="N945" s="6">
        <f t="shared" si="142"/>
        <v>0</v>
      </c>
      <c r="O945" s="4" t="s">
        <v>38</v>
      </c>
      <c r="P945" s="5" t="str">
        <f t="shared" si="143"/>
        <v>Ahmedabad</v>
      </c>
      <c r="Q945" s="5" t="str">
        <f t="shared" si="144"/>
        <v>Pediatrics</v>
      </c>
      <c r="R945" s="6" t="str">
        <f t="shared" si="145"/>
        <v>Narayana</v>
      </c>
      <c r="S945" s="6" t="str">
        <f t="shared" si="146"/>
        <v>Credit Card</v>
      </c>
      <c r="T945" s="6" t="str">
        <f t="shared" si="147"/>
        <v>Male</v>
      </c>
      <c r="U945" s="6" t="str">
        <f t="shared" si="150"/>
        <v>General</v>
      </c>
      <c r="V945" s="6" t="str" cm="1">
        <f t="array" ref="V945">IF(TRIM(S945)="",INDEX($S$2:$S$1500,MATCH(MAX(COUNTIF($S$2:$S$1500,S945)),COUNTIF($S$2:$S$1500,$S$2:$S$1500),0)),S945)</f>
        <v>Credit Card</v>
      </c>
      <c r="W945" s="7" cm="1">
        <f t="array" ref="W945">IF(OR(TRIM(K945)="",TRIM(K945)="-"), MEDIAN(IF($E$2:$E$1500=E945,$K$2:$K$1500)),  VALUE(SUBSTITUTE(SUBSTITUTE(SUBSTITUTE(K945,"Rs. ",""),"₹",""),",","")))</f>
        <v>3724</v>
      </c>
      <c r="X945" s="8">
        <f t="shared" si="148"/>
        <v>0</v>
      </c>
      <c r="Y945" s="7">
        <f t="shared" si="149"/>
        <v>3724</v>
      </c>
      <c r="Z945" s="9" t="str">
        <f t="shared" si="141"/>
        <v>CHILD</v>
      </c>
    </row>
    <row r="946" spans="1:26" x14ac:dyDescent="0.3">
      <c r="A946" s="5" t="s">
        <v>1962</v>
      </c>
      <c r="B946" s="5" t="s">
        <v>25</v>
      </c>
      <c r="C946" s="5" t="s">
        <v>54</v>
      </c>
      <c r="D946" s="5" t="s">
        <v>55</v>
      </c>
      <c r="E946" s="5" t="s">
        <v>164</v>
      </c>
      <c r="F946" s="5" t="s">
        <v>219</v>
      </c>
      <c r="G946" s="5" t="s">
        <v>62</v>
      </c>
      <c r="H946" s="5">
        <v>49</v>
      </c>
      <c r="I946" s="5" t="s">
        <v>20</v>
      </c>
      <c r="J946" s="34" t="s">
        <v>1313</v>
      </c>
      <c r="K946" s="31"/>
      <c r="L946" s="5" t="s">
        <v>83</v>
      </c>
      <c r="M946" s="32" t="s">
        <v>64</v>
      </c>
      <c r="N946" s="6" t="str">
        <f t="shared" si="142"/>
        <v>NA</v>
      </c>
      <c r="O946" s="4" t="s">
        <v>219</v>
      </c>
      <c r="P946" s="5" t="str">
        <f t="shared" si="143"/>
        <v>Hyderabad</v>
      </c>
      <c r="Q946" s="5" t="str">
        <f t="shared" si="144"/>
        <v>Cardiology</v>
      </c>
      <c r="R946" s="6" t="str">
        <f t="shared" si="145"/>
        <v>Narayana</v>
      </c>
      <c r="S946" s="6" t="str">
        <f t="shared" si="146"/>
        <v>Debit Card</v>
      </c>
      <c r="T946" s="6" t="str">
        <f t="shared" si="147"/>
        <v>Male</v>
      </c>
      <c r="U946" s="6" t="str">
        <f t="shared" si="150"/>
        <v>ICU</v>
      </c>
      <c r="V946" s="6" t="str" cm="1">
        <f t="array" ref="V946">IF(TRIM(S946)="",INDEX($S$2:$S$1500,MATCH(MAX(COUNTIF($S$2:$S$1500,S946)),COUNTIF($S$2:$S$1500,$S$2:$S$1500),0)),S946)</f>
        <v>Debit Card</v>
      </c>
      <c r="W946" s="7" cm="1">
        <f t="array" ref="W946">IF(OR(TRIM(K946)="",TRIM(K946)="-"), MEDIAN(IF($E$2:$E$1500=E946,$K$2:$K$1500)),  VALUE(SUBSTITUTE(SUBSTITUTE(SUBSTITUTE(K946,"Rs. ",""),"₹",""),",","")))</f>
        <v>13785</v>
      </c>
      <c r="X946" s="8">
        <f t="shared" si="148"/>
        <v>3</v>
      </c>
      <c r="Y946" s="7">
        <f t="shared" si="149"/>
        <v>13371</v>
      </c>
      <c r="Z946" s="9" t="str">
        <f t="shared" si="141"/>
        <v>ADULT</v>
      </c>
    </row>
    <row r="947" spans="1:26" x14ac:dyDescent="0.3">
      <c r="A947" s="5" t="s">
        <v>1963</v>
      </c>
      <c r="B947" s="5" t="s">
        <v>14</v>
      </c>
      <c r="C947" s="5" t="s">
        <v>60</v>
      </c>
      <c r="D947" s="5" t="s">
        <v>189</v>
      </c>
      <c r="E947" s="5" t="s">
        <v>28</v>
      </c>
      <c r="F947" s="5" t="s">
        <v>268</v>
      </c>
      <c r="G947" s="5" t="s">
        <v>39</v>
      </c>
      <c r="H947" s="5">
        <v>32</v>
      </c>
      <c r="I947" s="5" t="s">
        <v>31</v>
      </c>
      <c r="J947" s="34" t="s">
        <v>251</v>
      </c>
      <c r="K947" s="31">
        <v>6547</v>
      </c>
      <c r="L947" s="5" t="s">
        <v>87</v>
      </c>
      <c r="M947" s="32">
        <v>0</v>
      </c>
      <c r="N947" s="6">
        <f t="shared" si="142"/>
        <v>0</v>
      </c>
      <c r="O947" s="4" t="s">
        <v>268</v>
      </c>
      <c r="P947" s="5" t="str">
        <f t="shared" si="143"/>
        <v>Delhi</v>
      </c>
      <c r="Q947" s="5" t="str">
        <f t="shared" si="144"/>
        <v>Oncology</v>
      </c>
      <c r="R947" s="6" t="str">
        <f t="shared" si="145"/>
        <v>Max_Healthcare</v>
      </c>
      <c r="S947" s="6" t="str">
        <f t="shared" si="146"/>
        <v>Credit Card</v>
      </c>
      <c r="T947" s="6" t="str">
        <f t="shared" si="147"/>
        <v>Male</v>
      </c>
      <c r="U947" s="6" t="str">
        <f t="shared" si="150"/>
        <v>General</v>
      </c>
      <c r="V947" s="6" t="str" cm="1">
        <f t="array" ref="V947">IF(TRIM(S947)="",INDEX($S$2:$S$1500,MATCH(MAX(COUNTIF($S$2:$S$1500,S947)),COUNTIF($S$2:$S$1500,$S$2:$S$1500),0)),S947)</f>
        <v>Credit Card</v>
      </c>
      <c r="W947" s="7" cm="1">
        <f t="array" ref="W947">IF(OR(TRIM(K947)="",TRIM(K947)="-"), MEDIAN(IF($E$2:$E$1500=E947,$K$2:$K$1500)),  VALUE(SUBSTITUTE(SUBSTITUTE(SUBSTITUTE(K947,"Rs. ",""),"₹",""),",","")))</f>
        <v>6547</v>
      </c>
      <c r="X947" s="8">
        <f t="shared" si="148"/>
        <v>0</v>
      </c>
      <c r="Y947" s="7">
        <f t="shared" si="149"/>
        <v>6547</v>
      </c>
      <c r="Z947" s="9" t="str">
        <f t="shared" si="141"/>
        <v>ADULT</v>
      </c>
    </row>
    <row r="948" spans="1:26" x14ac:dyDescent="0.3">
      <c r="A948" s="5" t="s">
        <v>1964</v>
      </c>
      <c r="B948" s="5" t="s">
        <v>117</v>
      </c>
      <c r="C948" s="5" t="s">
        <v>118</v>
      </c>
      <c r="D948" s="5" t="s">
        <v>16</v>
      </c>
      <c r="E948" s="5" t="s">
        <v>74</v>
      </c>
      <c r="F948" s="5" t="s">
        <v>192</v>
      </c>
      <c r="G948" s="5" t="s">
        <v>30</v>
      </c>
      <c r="H948" s="5">
        <v>39</v>
      </c>
      <c r="I948" s="5" t="s">
        <v>31</v>
      </c>
      <c r="J948" s="34" t="s">
        <v>350</v>
      </c>
      <c r="K948" s="31">
        <v>12012</v>
      </c>
      <c r="L948" s="5" t="s">
        <v>87</v>
      </c>
      <c r="M948" s="32" t="s">
        <v>130</v>
      </c>
      <c r="N948" s="6">
        <f t="shared" si="142"/>
        <v>0</v>
      </c>
      <c r="O948" s="4" t="s">
        <v>192</v>
      </c>
      <c r="P948" s="5" t="str">
        <f t="shared" si="143"/>
        <v>Bangalore</v>
      </c>
      <c r="Q948" s="5" t="str">
        <f t="shared" si="144"/>
        <v>General Medicine</v>
      </c>
      <c r="R948" s="6" t="str">
        <f t="shared" si="145"/>
        <v>Manipal</v>
      </c>
      <c r="S948" s="6" t="str">
        <f t="shared" si="146"/>
        <v>Credit Card</v>
      </c>
      <c r="T948" s="6" t="str">
        <f t="shared" si="147"/>
        <v>Male</v>
      </c>
      <c r="U948" s="6" t="str">
        <f t="shared" si="150"/>
        <v>General</v>
      </c>
      <c r="V948" s="6" t="str" cm="1">
        <f t="array" ref="V948">IF(TRIM(S948)="",INDEX($S$2:$S$1500,MATCH(MAX(COUNTIF($S$2:$S$1500,S948)),COUNTIF($S$2:$S$1500,$S$2:$S$1500),0)),S948)</f>
        <v>Credit Card</v>
      </c>
      <c r="W948" s="7" cm="1">
        <f t="array" ref="W948">IF(OR(TRIM(K948)="",TRIM(K948)="-"), MEDIAN(IF($E$2:$E$1500=E948,$K$2:$K$1500)),  VALUE(SUBSTITUTE(SUBSTITUTE(SUBSTITUTE(K948,"Rs. ",""),"₹",""),",","")))</f>
        <v>12012</v>
      </c>
      <c r="X948" s="8">
        <f t="shared" si="148"/>
        <v>0</v>
      </c>
      <c r="Y948" s="7">
        <f t="shared" si="149"/>
        <v>12012</v>
      </c>
      <c r="Z948" s="9" t="str">
        <f t="shared" si="141"/>
        <v>ADULT</v>
      </c>
    </row>
    <row r="949" spans="1:26" x14ac:dyDescent="0.3">
      <c r="A949" s="5" t="s">
        <v>1965</v>
      </c>
      <c r="B949" s="5" t="s">
        <v>25</v>
      </c>
      <c r="C949" s="5" t="s">
        <v>54</v>
      </c>
      <c r="D949" s="5" t="s">
        <v>66</v>
      </c>
      <c r="E949" s="5" t="s">
        <v>74</v>
      </c>
      <c r="F949" s="5" t="s">
        <v>172</v>
      </c>
      <c r="G949" s="5" t="s">
        <v>19</v>
      </c>
      <c r="H949" s="5">
        <v>76</v>
      </c>
      <c r="I949" s="5" t="s">
        <v>31</v>
      </c>
      <c r="J949" s="34" t="s">
        <v>927</v>
      </c>
      <c r="K949" s="31">
        <v>7912</v>
      </c>
      <c r="L949" s="5" t="s">
        <v>58</v>
      </c>
      <c r="M949" s="32">
        <v>0</v>
      </c>
      <c r="N949" s="6">
        <f t="shared" si="142"/>
        <v>0</v>
      </c>
      <c r="O949" s="4" t="s">
        <v>172</v>
      </c>
      <c r="P949" s="5" t="str">
        <f t="shared" si="143"/>
        <v>Kolkata</v>
      </c>
      <c r="Q949" s="5" t="str">
        <f t="shared" si="144"/>
        <v>General Medicine</v>
      </c>
      <c r="R949" s="6" t="str">
        <f t="shared" si="145"/>
        <v>Narayana</v>
      </c>
      <c r="S949" s="6" t="str">
        <f t="shared" si="146"/>
        <v>UPI</v>
      </c>
      <c r="T949" s="6" t="str">
        <f t="shared" si="147"/>
        <v>Male</v>
      </c>
      <c r="U949" s="6" t="str">
        <f t="shared" si="150"/>
        <v>General</v>
      </c>
      <c r="V949" s="6" t="str" cm="1">
        <f t="array" ref="V949">IF(TRIM(S949)="",INDEX($S$2:$S$1500,MATCH(MAX(COUNTIF($S$2:$S$1500,S949)),COUNTIF($S$2:$S$1500,$S$2:$S$1500),0)),S949)</f>
        <v>UPI</v>
      </c>
      <c r="W949" s="7" cm="1">
        <f t="array" ref="W949">IF(OR(TRIM(K949)="",TRIM(K949)="-"), MEDIAN(IF($E$2:$E$1500=E949,$K$2:$K$1500)),  VALUE(SUBSTITUTE(SUBSTITUTE(SUBSTITUTE(K949,"Rs. ",""),"₹",""),",","")))</f>
        <v>7912</v>
      </c>
      <c r="X949" s="8">
        <f t="shared" si="148"/>
        <v>0</v>
      </c>
      <c r="Y949" s="7">
        <f t="shared" si="149"/>
        <v>7912</v>
      </c>
      <c r="Z949" s="9" t="str">
        <f t="shared" si="141"/>
        <v>SENIOR</v>
      </c>
    </row>
    <row r="950" spans="1:26" x14ac:dyDescent="0.3">
      <c r="A950" s="5" t="s">
        <v>1966</v>
      </c>
      <c r="B950" s="5" t="s">
        <v>117</v>
      </c>
      <c r="C950" s="5" t="s">
        <v>118</v>
      </c>
      <c r="D950" s="5" t="s">
        <v>36</v>
      </c>
      <c r="E950" s="5" t="s">
        <v>67</v>
      </c>
      <c r="F950" s="5" t="s">
        <v>196</v>
      </c>
      <c r="G950" s="5" t="s">
        <v>39</v>
      </c>
      <c r="H950" s="5">
        <v>71</v>
      </c>
      <c r="I950" s="5" t="s">
        <v>31</v>
      </c>
      <c r="J950" s="34" t="s">
        <v>294</v>
      </c>
      <c r="K950" s="31">
        <v>6031</v>
      </c>
      <c r="L950" s="5" t="s">
        <v>58</v>
      </c>
      <c r="M950" s="32" t="s">
        <v>198</v>
      </c>
      <c r="N950" s="6">
        <f t="shared" si="142"/>
        <v>5</v>
      </c>
      <c r="O950" s="4" t="s">
        <v>196</v>
      </c>
      <c r="P950" s="5" t="str">
        <f t="shared" si="143"/>
        <v>Chennai</v>
      </c>
      <c r="Q950" s="5" t="str">
        <f t="shared" si="144"/>
        <v>Neurology</v>
      </c>
      <c r="R950" s="6" t="str">
        <f t="shared" si="145"/>
        <v>Manipal</v>
      </c>
      <c r="S950" s="6" t="str">
        <f t="shared" si="146"/>
        <v>UPI</v>
      </c>
      <c r="T950" s="6" t="str">
        <f t="shared" si="147"/>
        <v>Male</v>
      </c>
      <c r="U950" s="6" t="str">
        <f t="shared" si="150"/>
        <v>General</v>
      </c>
      <c r="V950" s="6" t="str" cm="1">
        <f t="array" ref="V950">IF(TRIM(S950)="",INDEX($S$2:$S$1500,MATCH(MAX(COUNTIF($S$2:$S$1500,S950)),COUNTIF($S$2:$S$1500,$S$2:$S$1500),0)),S950)</f>
        <v>UPI</v>
      </c>
      <c r="W950" s="7" cm="1">
        <f t="array" ref="W950">IF(OR(TRIM(K950)="",TRIM(K950)="-"), MEDIAN(IF($E$2:$E$1500=E950,$K$2:$K$1500)),  VALUE(SUBSTITUTE(SUBSTITUTE(SUBSTITUTE(K950,"Rs. ",""),"₹",""),",","")))</f>
        <v>6031</v>
      </c>
      <c r="X950" s="8">
        <f t="shared" si="148"/>
        <v>5</v>
      </c>
      <c r="Y950" s="7">
        <f t="shared" si="149"/>
        <v>5729</v>
      </c>
      <c r="Z950" s="9" t="str">
        <f t="shared" si="141"/>
        <v>SENIOR</v>
      </c>
    </row>
    <row r="951" spans="1:26" x14ac:dyDescent="0.3">
      <c r="A951" s="5" t="s">
        <v>1967</v>
      </c>
      <c r="B951" s="5" t="s">
        <v>45</v>
      </c>
      <c r="C951" s="5" t="s">
        <v>334</v>
      </c>
      <c r="D951" s="5" t="s">
        <v>80</v>
      </c>
      <c r="E951" s="5" t="s">
        <v>37</v>
      </c>
      <c r="F951" s="5" t="s">
        <v>185</v>
      </c>
      <c r="G951" s="5" t="s">
        <v>30</v>
      </c>
      <c r="H951" s="5">
        <v>76</v>
      </c>
      <c r="I951" s="5" t="s">
        <v>70</v>
      </c>
      <c r="J951" s="34" t="s">
        <v>1092</v>
      </c>
      <c r="K951" s="31">
        <v>10643</v>
      </c>
      <c r="L951" s="5" t="s">
        <v>211</v>
      </c>
      <c r="M951" s="32" t="s">
        <v>140</v>
      </c>
      <c r="N951" s="6" t="str">
        <f t="shared" si="142"/>
        <v>-</v>
      </c>
      <c r="O951" s="4" t="s">
        <v>185</v>
      </c>
      <c r="P951" s="5" t="str">
        <f t="shared" si="143"/>
        <v>Ahmedabad</v>
      </c>
      <c r="Q951" s="5" t="str">
        <f t="shared" si="144"/>
        <v>Pediatrics</v>
      </c>
      <c r="R951" s="6" t="str">
        <f t="shared" si="145"/>
        <v>Fortis</v>
      </c>
      <c r="S951" s="6" t="str">
        <f t="shared" si="146"/>
        <v>Credit Card</v>
      </c>
      <c r="T951" s="6" t="str">
        <f t="shared" si="147"/>
        <v>Female</v>
      </c>
      <c r="U951" s="6" t="str">
        <f t="shared" si="150"/>
        <v>General</v>
      </c>
      <c r="V951" s="6" t="str" cm="1">
        <f t="array" ref="V951">IF(TRIM(S951)="",INDEX($S$2:$S$1500,MATCH(MAX(COUNTIF($S$2:$S$1500,S951)),COUNTIF($S$2:$S$1500,$S$2:$S$1500),0)),S951)</f>
        <v>Credit Card</v>
      </c>
      <c r="W951" s="7" cm="1">
        <f t="array" ref="W951">IF(OR(TRIM(K951)="",TRIM(K951)="-"), MEDIAN(IF($E$2:$E$1500=E951,$K$2:$K$1500)),  VALUE(SUBSTITUTE(SUBSTITUTE(SUBSTITUTE(K951,"Rs. ",""),"₹",""),",","")))</f>
        <v>10643</v>
      </c>
      <c r="X951" s="8">
        <f t="shared" si="148"/>
        <v>3</v>
      </c>
      <c r="Y951" s="7">
        <f t="shared" si="149"/>
        <v>10324</v>
      </c>
      <c r="Z951" s="9" t="str">
        <f t="shared" si="141"/>
        <v>SENIOR</v>
      </c>
    </row>
    <row r="952" spans="1:26" x14ac:dyDescent="0.3">
      <c r="A952" s="5" t="s">
        <v>1968</v>
      </c>
      <c r="B952" s="5" t="s">
        <v>117</v>
      </c>
      <c r="C952" s="5" t="s">
        <v>118</v>
      </c>
      <c r="D952" s="5" t="s">
        <v>27</v>
      </c>
      <c r="E952" s="5" t="s">
        <v>93</v>
      </c>
      <c r="F952" s="5" t="s">
        <v>207</v>
      </c>
      <c r="G952" s="5" t="s">
        <v>101</v>
      </c>
      <c r="H952" s="5">
        <v>16</v>
      </c>
      <c r="I952" s="5" t="s">
        <v>70</v>
      </c>
      <c r="J952" s="34" t="s">
        <v>1484</v>
      </c>
      <c r="K952" s="31" t="s">
        <v>1969</v>
      </c>
      <c r="L952" s="5" t="s">
        <v>115</v>
      </c>
      <c r="M952" s="32">
        <v>5</v>
      </c>
      <c r="N952" s="6">
        <f t="shared" si="142"/>
        <v>5</v>
      </c>
      <c r="O952" s="4" t="s">
        <v>207</v>
      </c>
      <c r="P952" s="5" t="str">
        <f t="shared" si="143"/>
        <v>Mumbai</v>
      </c>
      <c r="Q952" s="5" t="str">
        <f t="shared" si="144"/>
        <v>Nephrology</v>
      </c>
      <c r="R952" s="6" t="str">
        <f t="shared" si="145"/>
        <v>Manipal</v>
      </c>
      <c r="S952" s="6" t="str">
        <f t="shared" si="146"/>
        <v>Cash</v>
      </c>
      <c r="T952" s="6" t="str">
        <f t="shared" si="147"/>
        <v>Female</v>
      </c>
      <c r="U952" s="6" t="str">
        <f t="shared" si="150"/>
        <v>ICU</v>
      </c>
      <c r="V952" s="6" t="str" cm="1">
        <f t="array" ref="V952">IF(TRIM(S952)="",INDEX($S$2:$S$1500,MATCH(MAX(COUNTIF($S$2:$S$1500,S952)),COUNTIF($S$2:$S$1500,$S$2:$S$1500),0)),S952)</f>
        <v>Cash</v>
      </c>
      <c r="W952" s="7" cm="1">
        <f t="array" ref="W952">IF(OR(TRIM(K952)="",TRIM(K952)="-"), MEDIAN(IF($E$2:$E$1500=E952,$K$2:$K$1500)),  VALUE(SUBSTITUTE(SUBSTITUTE(SUBSTITUTE(K952,"Rs. ",""),"₹",""),",","")))</f>
        <v>66787</v>
      </c>
      <c r="X952" s="8">
        <f t="shared" si="148"/>
        <v>5</v>
      </c>
      <c r="Y952" s="7">
        <f t="shared" si="149"/>
        <v>63448</v>
      </c>
      <c r="Z952" s="9" t="str">
        <f t="shared" si="141"/>
        <v>TEEN</v>
      </c>
    </row>
    <row r="953" spans="1:26" x14ac:dyDescent="0.3">
      <c r="A953" s="5" t="s">
        <v>1970</v>
      </c>
      <c r="B953" s="5" t="s">
        <v>45</v>
      </c>
      <c r="C953" s="5" t="s">
        <v>46</v>
      </c>
      <c r="D953" s="5" t="s">
        <v>80</v>
      </c>
      <c r="E953" s="5" t="s">
        <v>99</v>
      </c>
      <c r="F953" s="5" t="s">
        <v>100</v>
      </c>
      <c r="G953" s="5" t="s">
        <v>30</v>
      </c>
      <c r="H953" s="5">
        <v>34</v>
      </c>
      <c r="I953" s="5" t="s">
        <v>40</v>
      </c>
      <c r="J953" s="34" t="s">
        <v>505</v>
      </c>
      <c r="K953" s="31">
        <v>19333</v>
      </c>
      <c r="L953" s="5" t="s">
        <v>87</v>
      </c>
      <c r="M953" s="32">
        <v>0</v>
      </c>
      <c r="N953" s="6">
        <f t="shared" si="142"/>
        <v>0</v>
      </c>
      <c r="O953" s="4" t="s">
        <v>100</v>
      </c>
      <c r="P953" s="5" t="str">
        <f t="shared" si="143"/>
        <v>Ahmedabad</v>
      </c>
      <c r="Q953" s="5" t="str">
        <f t="shared" si="144"/>
        <v>Ent</v>
      </c>
      <c r="R953" s="6" t="str">
        <f t="shared" si="145"/>
        <v>Fortis</v>
      </c>
      <c r="S953" s="6" t="str">
        <f t="shared" si="146"/>
        <v>Credit Card</v>
      </c>
      <c r="T953" s="6" t="str">
        <f t="shared" si="147"/>
        <v>Female</v>
      </c>
      <c r="U953" s="6" t="str">
        <f t="shared" si="150"/>
        <v>General</v>
      </c>
      <c r="V953" s="6" t="str" cm="1">
        <f t="array" ref="V953">IF(TRIM(S953)="",INDEX($S$2:$S$1500,MATCH(MAX(COUNTIF($S$2:$S$1500,S953)),COUNTIF($S$2:$S$1500,$S$2:$S$1500),0)),S953)</f>
        <v>Credit Card</v>
      </c>
      <c r="W953" s="7" cm="1">
        <f t="array" ref="W953">IF(OR(TRIM(K953)="",TRIM(K953)="-"), MEDIAN(IF($E$2:$E$1500=E953,$K$2:$K$1500)),  VALUE(SUBSTITUTE(SUBSTITUTE(SUBSTITUTE(K953,"Rs. ",""),"₹",""),",","")))</f>
        <v>19333</v>
      </c>
      <c r="X953" s="8">
        <f t="shared" si="148"/>
        <v>0</v>
      </c>
      <c r="Y953" s="7">
        <f t="shared" si="149"/>
        <v>19333</v>
      </c>
      <c r="Z953" s="9" t="str">
        <f t="shared" si="141"/>
        <v>ADULT</v>
      </c>
    </row>
    <row r="954" spans="1:26" x14ac:dyDescent="0.3">
      <c r="A954" s="5" t="s">
        <v>1971</v>
      </c>
      <c r="B954" s="5" t="s">
        <v>78</v>
      </c>
      <c r="C954" s="5" t="s">
        <v>161</v>
      </c>
      <c r="D954" s="5" t="s">
        <v>189</v>
      </c>
      <c r="E954" s="5" t="s">
        <v>108</v>
      </c>
      <c r="F954" s="5" t="s">
        <v>109</v>
      </c>
      <c r="G954" s="5" t="s">
        <v>30</v>
      </c>
      <c r="H954" s="5">
        <v>43</v>
      </c>
      <c r="I954" s="5" t="s">
        <v>40</v>
      </c>
      <c r="J954" s="34" t="s">
        <v>576</v>
      </c>
      <c r="K954" s="31" t="s">
        <v>1972</v>
      </c>
      <c r="L954" s="5" t="s">
        <v>34</v>
      </c>
      <c r="M954" s="32">
        <v>0.05</v>
      </c>
      <c r="N954" s="6">
        <f t="shared" si="142"/>
        <v>5</v>
      </c>
      <c r="O954" s="4" t="s">
        <v>109</v>
      </c>
      <c r="P954" s="5" t="str">
        <f t="shared" si="143"/>
        <v>Delhi</v>
      </c>
      <c r="Q954" s="5" t="str">
        <f t="shared" si="144"/>
        <v>Orthopedics</v>
      </c>
      <c r="R954" s="6" t="str">
        <f t="shared" si="145"/>
        <v>Apollo</v>
      </c>
      <c r="S954" s="6" t="str">
        <f t="shared" si="146"/>
        <v>Cash</v>
      </c>
      <c r="T954" s="6" t="str">
        <f t="shared" si="147"/>
        <v>Female</v>
      </c>
      <c r="U954" s="6" t="str">
        <f t="shared" si="150"/>
        <v>General</v>
      </c>
      <c r="V954" s="6" t="str" cm="1">
        <f t="array" ref="V954">IF(TRIM(S954)="",INDEX($S$2:$S$1500,MATCH(MAX(COUNTIF($S$2:$S$1500,S954)),COUNTIF($S$2:$S$1500,$S$2:$S$1500),0)),S954)</f>
        <v>Cash</v>
      </c>
      <c r="W954" s="7" cm="1">
        <f t="array" ref="W954">IF(OR(TRIM(K954)="",TRIM(K954)="-"), MEDIAN(IF($E$2:$E$1500=E954,$K$2:$K$1500)),  VALUE(SUBSTITUTE(SUBSTITUTE(SUBSTITUTE(K954,"Rs. ",""),"₹",""),",","")))</f>
        <v>16959</v>
      </c>
      <c r="X954" s="8">
        <f t="shared" si="148"/>
        <v>5</v>
      </c>
      <c r="Y954" s="7">
        <f t="shared" si="149"/>
        <v>16111</v>
      </c>
      <c r="Z954" s="9" t="str">
        <f t="shared" si="141"/>
        <v>ADULT</v>
      </c>
    </row>
    <row r="955" spans="1:26" x14ac:dyDescent="0.3">
      <c r="A955" s="5" t="s">
        <v>1973</v>
      </c>
      <c r="B955" s="5" t="s">
        <v>117</v>
      </c>
      <c r="C955" s="5" t="s">
        <v>182</v>
      </c>
      <c r="D955" s="5" t="s">
        <v>16</v>
      </c>
      <c r="E955" s="5" t="s">
        <v>93</v>
      </c>
      <c r="F955" s="5" t="s">
        <v>94</v>
      </c>
      <c r="G955" s="5" t="s">
        <v>19</v>
      </c>
      <c r="H955" s="5">
        <v>28</v>
      </c>
      <c r="I955" s="5" t="s">
        <v>40</v>
      </c>
      <c r="J955" s="34" t="s">
        <v>809</v>
      </c>
      <c r="K955" s="31">
        <v>8813</v>
      </c>
      <c r="L955" s="5" t="s">
        <v>91</v>
      </c>
      <c r="M955" s="32">
        <v>0</v>
      </c>
      <c r="N955" s="6">
        <f t="shared" si="142"/>
        <v>0</v>
      </c>
      <c r="O955" s="4" t="s">
        <v>94</v>
      </c>
      <c r="P955" s="5" t="str">
        <f t="shared" si="143"/>
        <v>Bangalore</v>
      </c>
      <c r="Q955" s="5" t="str">
        <f t="shared" si="144"/>
        <v>Nephrology</v>
      </c>
      <c r="R955" s="6" t="str">
        <f t="shared" si="145"/>
        <v>Manipal</v>
      </c>
      <c r="S955" s="6" t="str">
        <f t="shared" si="146"/>
        <v>Debit Card</v>
      </c>
      <c r="T955" s="6" t="str">
        <f t="shared" si="147"/>
        <v>Female</v>
      </c>
      <c r="U955" s="6" t="str">
        <f t="shared" si="150"/>
        <v>General</v>
      </c>
      <c r="V955" s="6" t="str" cm="1">
        <f t="array" ref="V955">IF(TRIM(S955)="",INDEX($S$2:$S$1500,MATCH(MAX(COUNTIF($S$2:$S$1500,S955)),COUNTIF($S$2:$S$1500,$S$2:$S$1500),0)),S955)</f>
        <v>Debit Card</v>
      </c>
      <c r="W955" s="7" cm="1">
        <f t="array" ref="W955">IF(OR(TRIM(K955)="",TRIM(K955)="-"), MEDIAN(IF($E$2:$E$1500=E955,$K$2:$K$1500)),  VALUE(SUBSTITUTE(SUBSTITUTE(SUBSTITUTE(K955,"Rs. ",""),"₹",""),",","")))</f>
        <v>8813</v>
      </c>
      <c r="X955" s="8">
        <f t="shared" si="148"/>
        <v>0</v>
      </c>
      <c r="Y955" s="7">
        <f t="shared" si="149"/>
        <v>8813</v>
      </c>
      <c r="Z955" s="9" t="str">
        <f t="shared" si="141"/>
        <v>ADULT</v>
      </c>
    </row>
    <row r="956" spans="1:26" x14ac:dyDescent="0.3">
      <c r="A956" s="5" t="s">
        <v>1974</v>
      </c>
      <c r="B956" s="5" t="s">
        <v>78</v>
      </c>
      <c r="C956" s="5" t="s">
        <v>161</v>
      </c>
      <c r="D956" s="5" t="s">
        <v>189</v>
      </c>
      <c r="E956" s="5" t="s">
        <v>93</v>
      </c>
      <c r="F956" s="5" t="s">
        <v>94</v>
      </c>
      <c r="G956" s="5" t="s">
        <v>62</v>
      </c>
      <c r="H956" s="5">
        <v>20</v>
      </c>
      <c r="I956" s="5" t="s">
        <v>40</v>
      </c>
      <c r="J956" s="34" t="s">
        <v>1253</v>
      </c>
      <c r="K956" s="31">
        <v>85540</v>
      </c>
      <c r="L956" s="5" t="s">
        <v>104</v>
      </c>
      <c r="M956" s="32">
        <v>18</v>
      </c>
      <c r="N956" s="6">
        <f t="shared" si="142"/>
        <v>18</v>
      </c>
      <c r="O956" s="4" t="s">
        <v>94</v>
      </c>
      <c r="P956" s="5" t="str">
        <f t="shared" si="143"/>
        <v>Delhi</v>
      </c>
      <c r="Q956" s="5" t="str">
        <f t="shared" si="144"/>
        <v>Nephrology</v>
      </c>
      <c r="R956" s="6" t="str">
        <f t="shared" si="145"/>
        <v>Apollo</v>
      </c>
      <c r="S956" s="6" t="str">
        <f t="shared" si="146"/>
        <v>Insurance</v>
      </c>
      <c r="T956" s="6" t="str">
        <f t="shared" si="147"/>
        <v>Female</v>
      </c>
      <c r="U956" s="6" t="str">
        <f t="shared" si="150"/>
        <v>ICU</v>
      </c>
      <c r="V956" s="6" t="str" cm="1">
        <f t="array" ref="V956">IF(TRIM(S956)="",INDEX($S$2:$S$1500,MATCH(MAX(COUNTIF($S$2:$S$1500,S956)),COUNTIF($S$2:$S$1500,$S$2:$S$1500),0)),S956)</f>
        <v>Insurance</v>
      </c>
      <c r="W956" s="7" cm="1">
        <f t="array" ref="W956">IF(OR(TRIM(K956)="",TRIM(K956)="-"), MEDIAN(IF($E$2:$E$1500=E956,$K$2:$K$1500)),  VALUE(SUBSTITUTE(SUBSTITUTE(SUBSTITUTE(K956,"Rs. ",""),"₹",""),",","")))</f>
        <v>85540</v>
      </c>
      <c r="X956" s="8">
        <f t="shared" si="148"/>
        <v>18</v>
      </c>
      <c r="Y956" s="7">
        <f t="shared" si="149"/>
        <v>70143</v>
      </c>
      <c r="Z956" s="9" t="str">
        <f t="shared" si="141"/>
        <v>ADULT</v>
      </c>
    </row>
    <row r="957" spans="1:26" x14ac:dyDescent="0.3">
      <c r="A957" s="5" t="s">
        <v>1975</v>
      </c>
      <c r="B957" s="5" t="s">
        <v>78</v>
      </c>
      <c r="C957" s="5" t="s">
        <v>161</v>
      </c>
      <c r="D957" s="5" t="s">
        <v>66</v>
      </c>
      <c r="E957" s="5" t="s">
        <v>28</v>
      </c>
      <c r="F957" s="5" t="s">
        <v>259</v>
      </c>
      <c r="G957" s="5" t="s">
        <v>49</v>
      </c>
      <c r="H957" s="5">
        <v>70</v>
      </c>
      <c r="I957" s="5" t="s">
        <v>31</v>
      </c>
      <c r="J957" s="34" t="s">
        <v>663</v>
      </c>
      <c r="K957" s="31" t="s">
        <v>1976</v>
      </c>
      <c r="L957" s="5" t="s">
        <v>167</v>
      </c>
      <c r="M957" s="32">
        <v>40</v>
      </c>
      <c r="N957" s="6">
        <f t="shared" si="142"/>
        <v>40</v>
      </c>
      <c r="O957" s="4" t="s">
        <v>259</v>
      </c>
      <c r="P957" s="5" t="str">
        <f t="shared" si="143"/>
        <v>Kolkata</v>
      </c>
      <c r="Q957" s="5" t="str">
        <f t="shared" si="144"/>
        <v>Oncology</v>
      </c>
      <c r="R957" s="6" t="str">
        <f t="shared" si="145"/>
        <v>Apollo</v>
      </c>
      <c r="S957" s="6" t="str">
        <f t="shared" si="146"/>
        <v>Insurance</v>
      </c>
      <c r="T957" s="6" t="str">
        <f t="shared" si="147"/>
        <v>Male</v>
      </c>
      <c r="U957" s="6" t="str">
        <f t="shared" si="150"/>
        <v>General</v>
      </c>
      <c r="V957" s="6" t="str" cm="1">
        <f t="array" ref="V957">IF(TRIM(S957)="",INDEX($S$2:$S$1500,MATCH(MAX(COUNTIF($S$2:$S$1500,S957)),COUNTIF($S$2:$S$1500,$S$2:$S$1500),0)),S957)</f>
        <v>Insurance</v>
      </c>
      <c r="W957" s="7" cm="1">
        <f t="array" ref="W957">IF(OR(TRIM(K957)="",TRIM(K957)="-"), MEDIAN(IF($E$2:$E$1500=E957,$K$2:$K$1500)),  VALUE(SUBSTITUTE(SUBSTITUTE(SUBSTITUTE(K957,"Rs. ",""),"₹",""),",","")))</f>
        <v>13461</v>
      </c>
      <c r="X957" s="8">
        <f t="shared" si="148"/>
        <v>40</v>
      </c>
      <c r="Y957" s="7">
        <f t="shared" si="149"/>
        <v>8077</v>
      </c>
      <c r="Z957" s="9" t="str">
        <f t="shared" si="141"/>
        <v>SENIOR</v>
      </c>
    </row>
    <row r="958" spans="1:26" x14ac:dyDescent="0.3">
      <c r="A958" s="5" t="s">
        <v>1977</v>
      </c>
      <c r="B958" s="5" t="s">
        <v>45</v>
      </c>
      <c r="C958" s="5" t="s">
        <v>46</v>
      </c>
      <c r="D958" s="5" t="s">
        <v>189</v>
      </c>
      <c r="E958" s="5" t="s">
        <v>108</v>
      </c>
      <c r="F958" s="5" t="s">
        <v>124</v>
      </c>
      <c r="G958" s="5" t="s">
        <v>19</v>
      </c>
      <c r="H958" s="5">
        <v>6</v>
      </c>
      <c r="I958" s="5" t="s">
        <v>31</v>
      </c>
      <c r="J958" s="34" t="s">
        <v>1107</v>
      </c>
      <c r="K958" s="31" t="s">
        <v>1978</v>
      </c>
      <c r="L958" s="5" t="s">
        <v>311</v>
      </c>
      <c r="M958" s="32">
        <v>10</v>
      </c>
      <c r="N958" s="6">
        <f t="shared" si="142"/>
        <v>10</v>
      </c>
      <c r="O958" s="4" t="s">
        <v>124</v>
      </c>
      <c r="P958" s="5" t="str">
        <f t="shared" si="143"/>
        <v>Delhi</v>
      </c>
      <c r="Q958" s="5" t="str">
        <f t="shared" si="144"/>
        <v>Orthopedics</v>
      </c>
      <c r="R958" s="6" t="str">
        <f t="shared" si="145"/>
        <v>Fortis</v>
      </c>
      <c r="S958" s="6" t="str">
        <f t="shared" si="146"/>
        <v>UPI</v>
      </c>
      <c r="T958" s="6" t="str">
        <f t="shared" si="147"/>
        <v>Male</v>
      </c>
      <c r="U958" s="6" t="str">
        <f t="shared" si="150"/>
        <v>General</v>
      </c>
      <c r="V958" s="6" t="str" cm="1">
        <f t="array" ref="V958">IF(TRIM(S958)="",INDEX($S$2:$S$1500,MATCH(MAX(COUNTIF($S$2:$S$1500,S958)),COUNTIF($S$2:$S$1500,$S$2:$S$1500),0)),S958)</f>
        <v>UPI</v>
      </c>
      <c r="W958" s="7" cm="1">
        <f t="array" ref="W958">IF(OR(TRIM(K958)="",TRIM(K958)="-"), MEDIAN(IF($E$2:$E$1500=E958,$K$2:$K$1500)),  VALUE(SUBSTITUTE(SUBSTITUTE(SUBSTITUTE(K958,"Rs. ",""),"₹",""),",","")))</f>
        <v>9472</v>
      </c>
      <c r="X958" s="8">
        <f t="shared" si="148"/>
        <v>10</v>
      </c>
      <c r="Y958" s="7">
        <f t="shared" si="149"/>
        <v>8525</v>
      </c>
      <c r="Z958" s="9" t="str">
        <f t="shared" si="141"/>
        <v>CHILD</v>
      </c>
    </row>
    <row r="959" spans="1:26" x14ac:dyDescent="0.3">
      <c r="A959" s="5" t="s">
        <v>1979</v>
      </c>
      <c r="B959" s="5" t="s">
        <v>14</v>
      </c>
      <c r="C959" s="5" t="s">
        <v>60</v>
      </c>
      <c r="D959" s="5" t="s">
        <v>189</v>
      </c>
      <c r="E959" s="5" t="s">
        <v>17</v>
      </c>
      <c r="F959" s="5" t="s">
        <v>169</v>
      </c>
      <c r="G959" s="5" t="s">
        <v>49</v>
      </c>
      <c r="H959" s="5">
        <v>6</v>
      </c>
      <c r="I959" s="5" t="s">
        <v>20</v>
      </c>
      <c r="J959" s="34" t="s">
        <v>1353</v>
      </c>
      <c r="K959" s="31" t="s">
        <v>1980</v>
      </c>
      <c r="L959" s="5" t="s">
        <v>115</v>
      </c>
      <c r="M959" s="32" t="s">
        <v>130</v>
      </c>
      <c r="N959" s="6">
        <f t="shared" si="142"/>
        <v>0</v>
      </c>
      <c r="O959" s="4" t="s">
        <v>169</v>
      </c>
      <c r="P959" s="5" t="str">
        <f t="shared" si="143"/>
        <v>Delhi</v>
      </c>
      <c r="Q959" s="5" t="str">
        <f t="shared" si="144"/>
        <v>Gynecology</v>
      </c>
      <c r="R959" s="6" t="str">
        <f t="shared" si="145"/>
        <v>Max_Healthcare</v>
      </c>
      <c r="S959" s="6" t="str">
        <f t="shared" si="146"/>
        <v>Cash</v>
      </c>
      <c r="T959" s="6" t="str">
        <f t="shared" si="147"/>
        <v>Male</v>
      </c>
      <c r="U959" s="6" t="str">
        <f t="shared" si="150"/>
        <v>General</v>
      </c>
      <c r="V959" s="6" t="str" cm="1">
        <f t="array" ref="V959">IF(TRIM(S959)="",INDEX($S$2:$S$1500,MATCH(MAX(COUNTIF($S$2:$S$1500,S959)),COUNTIF($S$2:$S$1500,$S$2:$S$1500),0)),S959)</f>
        <v>Cash</v>
      </c>
      <c r="W959" s="7" cm="1">
        <f t="array" ref="W959">IF(OR(TRIM(K959)="",TRIM(K959)="-"), MEDIAN(IF($E$2:$E$1500=E959,$K$2:$K$1500)),  VALUE(SUBSTITUTE(SUBSTITUTE(SUBSTITUTE(K959,"Rs. ",""),"₹",""),",","")))</f>
        <v>17448</v>
      </c>
      <c r="X959" s="8">
        <f t="shared" si="148"/>
        <v>0</v>
      </c>
      <c r="Y959" s="7">
        <f t="shared" si="149"/>
        <v>17448</v>
      </c>
      <c r="Z959" s="9" t="str">
        <f t="shared" si="141"/>
        <v>CHILD</v>
      </c>
    </row>
    <row r="960" spans="1:26" x14ac:dyDescent="0.3">
      <c r="A960" s="5" t="s">
        <v>1981</v>
      </c>
      <c r="B960" s="5" t="s">
        <v>117</v>
      </c>
      <c r="C960" s="5" t="s">
        <v>118</v>
      </c>
      <c r="D960" s="5" t="s">
        <v>55</v>
      </c>
      <c r="E960" s="5" t="s">
        <v>74</v>
      </c>
      <c r="F960" s="5" t="s">
        <v>147</v>
      </c>
      <c r="G960" s="5" t="s">
        <v>30</v>
      </c>
      <c r="H960" s="5">
        <v>67</v>
      </c>
      <c r="I960" s="5" t="s">
        <v>70</v>
      </c>
      <c r="J960" s="34" t="s">
        <v>1982</v>
      </c>
      <c r="K960" s="31">
        <v>9013</v>
      </c>
      <c r="L960" s="5" t="s">
        <v>58</v>
      </c>
      <c r="M960" s="32">
        <v>10</v>
      </c>
      <c r="N960" s="6">
        <f t="shared" si="142"/>
        <v>10</v>
      </c>
      <c r="O960" s="4" t="s">
        <v>147</v>
      </c>
      <c r="P960" s="5" t="str">
        <f t="shared" si="143"/>
        <v>Hyderabad</v>
      </c>
      <c r="Q960" s="5" t="str">
        <f t="shared" si="144"/>
        <v>General Medicine</v>
      </c>
      <c r="R960" s="6" t="str">
        <f t="shared" si="145"/>
        <v>Manipal</v>
      </c>
      <c r="S960" s="6" t="str">
        <f t="shared" si="146"/>
        <v>UPI</v>
      </c>
      <c r="T960" s="6" t="str">
        <f t="shared" si="147"/>
        <v>Female</v>
      </c>
      <c r="U960" s="6" t="str">
        <f t="shared" si="150"/>
        <v>General</v>
      </c>
      <c r="V960" s="6" t="str" cm="1">
        <f t="array" ref="V960">IF(TRIM(S960)="",INDEX($S$2:$S$1500,MATCH(MAX(COUNTIF($S$2:$S$1500,S960)),COUNTIF($S$2:$S$1500,$S$2:$S$1500),0)),S960)</f>
        <v>UPI</v>
      </c>
      <c r="W960" s="7" cm="1">
        <f t="array" ref="W960">IF(OR(TRIM(K960)="",TRIM(K960)="-"), MEDIAN(IF($E$2:$E$1500=E960,$K$2:$K$1500)),  VALUE(SUBSTITUTE(SUBSTITUTE(SUBSTITUTE(K960,"Rs. ",""),"₹",""),",","")))</f>
        <v>9013</v>
      </c>
      <c r="X960" s="8">
        <f t="shared" si="148"/>
        <v>10</v>
      </c>
      <c r="Y960" s="7">
        <f t="shared" si="149"/>
        <v>8112</v>
      </c>
      <c r="Z960" s="9" t="str">
        <f t="shared" si="141"/>
        <v>SENIOR</v>
      </c>
    </row>
    <row r="961" spans="1:26" x14ac:dyDescent="0.3">
      <c r="A961" s="5" t="s">
        <v>1983</v>
      </c>
      <c r="B961" s="5" t="s">
        <v>106</v>
      </c>
      <c r="C961" s="5" t="s">
        <v>107</v>
      </c>
      <c r="D961" s="5" t="s">
        <v>61</v>
      </c>
      <c r="E961" s="5" t="s">
        <v>93</v>
      </c>
      <c r="F961" s="5" t="s">
        <v>94</v>
      </c>
      <c r="G961" s="5"/>
      <c r="H961" s="5">
        <v>21</v>
      </c>
      <c r="I961" s="5" t="s">
        <v>40</v>
      </c>
      <c r="J961" s="34" t="s">
        <v>21</v>
      </c>
      <c r="K961" s="31">
        <v>4591</v>
      </c>
      <c r="L961" s="5" t="s">
        <v>211</v>
      </c>
      <c r="M961" s="32" t="s">
        <v>198</v>
      </c>
      <c r="N961" s="6">
        <f t="shared" si="142"/>
        <v>5</v>
      </c>
      <c r="O961" s="4" t="s">
        <v>94</v>
      </c>
      <c r="P961" s="5" t="str">
        <f t="shared" si="143"/>
        <v>Pune</v>
      </c>
      <c r="Q961" s="5" t="str">
        <f t="shared" si="144"/>
        <v>Nephrology</v>
      </c>
      <c r="R961" s="6" t="str">
        <f t="shared" si="145"/>
        <v>Aiims</v>
      </c>
      <c r="S961" s="6" t="str">
        <f t="shared" si="146"/>
        <v>Credit Card</v>
      </c>
      <c r="T961" s="6" t="str">
        <f t="shared" si="147"/>
        <v>Female</v>
      </c>
      <c r="U961" s="6" t="str">
        <f t="shared" si="150"/>
        <v>Unknown</v>
      </c>
      <c r="V961" s="6" t="str" cm="1">
        <f t="array" ref="V961">IF(TRIM(S961)="",INDEX($S$2:$S$1500,MATCH(MAX(COUNTIF($S$2:$S$1500,S961)),COUNTIF($S$2:$S$1500,$S$2:$S$1500),0)),S961)</f>
        <v>Credit Card</v>
      </c>
      <c r="W961" s="7" cm="1">
        <f t="array" ref="W961">IF(OR(TRIM(K961)="",TRIM(K961)="-"), MEDIAN(IF($E$2:$E$1500=E961,$K$2:$K$1500)),  VALUE(SUBSTITUTE(SUBSTITUTE(SUBSTITUTE(K961,"Rs. ",""),"₹",""),",","")))</f>
        <v>4591</v>
      </c>
      <c r="X961" s="8">
        <f t="shared" si="148"/>
        <v>5</v>
      </c>
      <c r="Y961" s="7">
        <f t="shared" si="149"/>
        <v>4361</v>
      </c>
      <c r="Z961" s="9" t="str">
        <f t="shared" si="141"/>
        <v>ADULT</v>
      </c>
    </row>
    <row r="962" spans="1:26" x14ac:dyDescent="0.3">
      <c r="A962" s="5" t="s">
        <v>1984</v>
      </c>
      <c r="B962" s="5" t="s">
        <v>117</v>
      </c>
      <c r="C962" s="5" t="s">
        <v>118</v>
      </c>
      <c r="D962" s="5" t="s">
        <v>66</v>
      </c>
      <c r="E962" s="5" t="s">
        <v>28</v>
      </c>
      <c r="F962" s="5" t="s">
        <v>268</v>
      </c>
      <c r="G962" s="5" t="s">
        <v>30</v>
      </c>
      <c r="H962" s="5">
        <v>10</v>
      </c>
      <c r="I962" s="5" t="s">
        <v>40</v>
      </c>
      <c r="J962" s="34" t="s">
        <v>779</v>
      </c>
      <c r="K962" s="31" t="s">
        <v>140</v>
      </c>
      <c r="L962" s="5" t="s">
        <v>42</v>
      </c>
      <c r="M962" s="32">
        <v>35</v>
      </c>
      <c r="N962" s="6">
        <f t="shared" si="142"/>
        <v>35</v>
      </c>
      <c r="O962" s="4" t="s">
        <v>268</v>
      </c>
      <c r="P962" s="5" t="str">
        <f t="shared" si="143"/>
        <v>Kolkata</v>
      </c>
      <c r="Q962" s="5" t="str">
        <f t="shared" si="144"/>
        <v>Oncology</v>
      </c>
      <c r="R962" s="6" t="str">
        <f t="shared" si="145"/>
        <v>Manipal</v>
      </c>
      <c r="S962" s="6" t="str">
        <f t="shared" si="146"/>
        <v>Insurance</v>
      </c>
      <c r="T962" s="6" t="str">
        <f t="shared" si="147"/>
        <v>Female</v>
      </c>
      <c r="U962" s="6" t="str">
        <f t="shared" si="150"/>
        <v>General</v>
      </c>
      <c r="V962" s="6" t="str" cm="1">
        <f t="array" ref="V962">IF(TRIM(S962)="",INDEX($S$2:$S$1500,MATCH(MAX(COUNTIF($S$2:$S$1500,S962)),COUNTIF($S$2:$S$1500,$S$2:$S$1500),0)),S962)</f>
        <v>Insurance</v>
      </c>
      <c r="W962" s="7" cm="1">
        <f t="array" ref="W962">IF(OR(TRIM(K962)="",TRIM(K962)="-"), MEDIAN(IF($E$2:$E$1500=E962,$K$2:$K$1500)),  VALUE(SUBSTITUTE(SUBSTITUTE(SUBSTITUTE(K962,"Rs. ",""),"₹",""),",","")))</f>
        <v>14747</v>
      </c>
      <c r="X962" s="8">
        <f t="shared" si="148"/>
        <v>35</v>
      </c>
      <c r="Y962" s="7">
        <f t="shared" si="149"/>
        <v>9586</v>
      </c>
      <c r="Z962" s="9" t="str">
        <f t="shared" ref="Z962:Z1025" si="151">IF(H962&lt;13,"CHILD",IF(H962&lt;20,"TEEN",IF(H962&lt;60,"ADULT","SENIOR")))</f>
        <v>CHILD</v>
      </c>
    </row>
    <row r="963" spans="1:26" x14ac:dyDescent="0.3">
      <c r="A963" s="5" t="s">
        <v>1985</v>
      </c>
      <c r="B963" s="5" t="s">
        <v>78</v>
      </c>
      <c r="C963" s="5" t="s">
        <v>161</v>
      </c>
      <c r="D963" s="5" t="s">
        <v>189</v>
      </c>
      <c r="E963" s="5" t="s">
        <v>108</v>
      </c>
      <c r="F963" s="5" t="s">
        <v>308</v>
      </c>
      <c r="G963" s="5" t="s">
        <v>30</v>
      </c>
      <c r="H963" s="5">
        <v>81</v>
      </c>
      <c r="I963" s="5" t="s">
        <v>40</v>
      </c>
      <c r="J963" s="34" t="s">
        <v>505</v>
      </c>
      <c r="K963" s="31" t="s">
        <v>140</v>
      </c>
      <c r="L963" s="5" t="s">
        <v>167</v>
      </c>
      <c r="M963" s="32">
        <v>0.25</v>
      </c>
      <c r="N963" s="6">
        <f t="shared" ref="N963:N1026" si="152">IF(RIGHT(TRIM(M963),1)="%",VALUE(LEFT(TRIM(M963),LEN(TRIM(M963))-1)),  IF(AND(ISNUMBER(M963),M963&lt;=1,M963&gt;0),M963*100,M963))</f>
        <v>25</v>
      </c>
      <c r="O963" s="4" t="s">
        <v>308</v>
      </c>
      <c r="P963" s="5" t="str">
        <f t="shared" ref="P963:P1026" si="153">PROPER(D963)</f>
        <v>Delhi</v>
      </c>
      <c r="Q963" s="5" t="str">
        <f t="shared" ref="Q963:Q1026" si="154">PROPER(E963)</f>
        <v>Orthopedics</v>
      </c>
      <c r="R963" s="6" t="str">
        <f t="shared" ref="R963:R1026" si="155">PROPER(C963)</f>
        <v>Apollo</v>
      </c>
      <c r="S963" s="6" t="str">
        <f t="shared" ref="S963:S1026" si="156">IF(OR(UPPER(TRIM(L963))="CREDIT_CARD",UPPER(TRIM(L963))="CREDIT CARD",UPPER(TRIM(L963))="CC"),"Credit Card", IF(OR(UPPER(TRIM(L963))="DEBIT_CARD",UPPER(TRIM(L963))="DEBIT CARD",UPPER(TRIM(L963))="DC"),"Debit Card", IF(UPPER(TRIM(L963))="CASH","Cash", IF(UPPER(TRIM(L963))="UPI","UPI", IF(OR(UPPER(TRIM(L963))="INSURANCE",UPPER(TRIM(L963))="INS"),"Insurance", IF(TRIM(L963)="","Unknown","Unknown"))))))</f>
        <v>Insurance</v>
      </c>
      <c r="T963" s="6" t="str">
        <f t="shared" ref="T963:T1026" si="157">IF(OR(UPPER(TRIM(I963))="M",UPPER(TRIM(I963))="MALE"),"Male",IF(OR(UPPER(TRIM(I963))="F",UPPER(TRIM(I963))="FEMALE"),"Female","Unknown"))</f>
        <v>Female</v>
      </c>
      <c r="U963" s="6" t="str">
        <f t="shared" si="150"/>
        <v>General</v>
      </c>
      <c r="V963" s="6" t="str" cm="1">
        <f t="array" ref="V963">IF(TRIM(S963)="",INDEX($S$2:$S$1500,MATCH(MAX(COUNTIF($S$2:$S$1500,S963)),COUNTIF($S$2:$S$1500,$S$2:$S$1500),0)),S963)</f>
        <v>Insurance</v>
      </c>
      <c r="W963" s="7" cm="1">
        <f t="array" ref="W963">IF(OR(TRIM(K963)="",TRIM(K963)="-"), MEDIAN(IF($E$2:$E$1500=E963,$K$2:$K$1500)),  VALUE(SUBSTITUTE(SUBSTITUTE(SUBSTITUTE(K963,"Rs. ",""),"₹",""),",","")))</f>
        <v>13871</v>
      </c>
      <c r="X963" s="8">
        <f t="shared" ref="X963:X1026" si="158">ROUND(IF(OR(TRIM(N963)="-",UPPER(TRIM(N963))="N/A",UPPER(TRIM(N963))="NA"), IFERROR(AVERAGEIF($V$2:$V$1500,V963,$N$2:$N$1500),AVERAGE($N$2:$N$1500)), N963),0)</f>
        <v>25</v>
      </c>
      <c r="Y963" s="7">
        <f t="shared" ref="Y963:Y1026" si="159">ROUND(W963*(1-X963/100),0)</f>
        <v>10403</v>
      </c>
      <c r="Z963" s="9" t="str">
        <f t="shared" si="151"/>
        <v>SENIOR</v>
      </c>
    </row>
    <row r="964" spans="1:26" x14ac:dyDescent="0.3">
      <c r="A964" s="5" t="s">
        <v>1986</v>
      </c>
      <c r="B964" s="5" t="s">
        <v>45</v>
      </c>
      <c r="C964" s="5" t="s">
        <v>46</v>
      </c>
      <c r="D964" s="5" t="s">
        <v>61</v>
      </c>
      <c r="E964" s="5" t="s">
        <v>164</v>
      </c>
      <c r="F964" s="5" t="s">
        <v>233</v>
      </c>
      <c r="G964" s="5" t="s">
        <v>62</v>
      </c>
      <c r="H964" s="5">
        <v>52</v>
      </c>
      <c r="I964" s="5" t="s">
        <v>20</v>
      </c>
      <c r="J964" s="34" t="s">
        <v>365</v>
      </c>
      <c r="K964" s="31" t="s">
        <v>1987</v>
      </c>
      <c r="L964" s="5"/>
      <c r="M964" s="32">
        <v>0</v>
      </c>
      <c r="N964" s="6">
        <f t="shared" si="152"/>
        <v>0</v>
      </c>
      <c r="O964" s="4" t="s">
        <v>233</v>
      </c>
      <c r="P964" s="5" t="str">
        <f t="shared" si="153"/>
        <v>Pune</v>
      </c>
      <c r="Q964" s="5" t="str">
        <f t="shared" si="154"/>
        <v>Cardiology</v>
      </c>
      <c r="R964" s="6" t="str">
        <f t="shared" si="155"/>
        <v>Fortis</v>
      </c>
      <c r="S964" s="6" t="str">
        <f t="shared" si="156"/>
        <v>Unknown</v>
      </c>
      <c r="T964" s="6" t="str">
        <f t="shared" si="157"/>
        <v>Male</v>
      </c>
      <c r="U964" s="6" t="str">
        <f t="shared" si="150"/>
        <v>ICU</v>
      </c>
      <c r="V964" s="6" t="str" cm="1">
        <f t="array" ref="V964">IF(TRIM(S964)="",INDEX($S$2:$S$1500,MATCH(MAX(COUNTIF($S$2:$S$1500,S964)),COUNTIF($S$2:$S$1500,$S$2:$S$1500),0)),S964)</f>
        <v>Unknown</v>
      </c>
      <c r="W964" s="7" cm="1">
        <f t="array" ref="W964">IF(OR(TRIM(K964)="",TRIM(K964)="-"), MEDIAN(IF($E$2:$E$1500=E964,$K$2:$K$1500)),  VALUE(SUBSTITUTE(SUBSTITUTE(SUBSTITUTE(K964,"Rs. ",""),"₹",""),",","")))</f>
        <v>74248</v>
      </c>
      <c r="X964" s="8">
        <f t="shared" si="158"/>
        <v>0</v>
      </c>
      <c r="Y964" s="7">
        <f t="shared" si="159"/>
        <v>74248</v>
      </c>
      <c r="Z964" s="9" t="str">
        <f t="shared" si="151"/>
        <v>ADULT</v>
      </c>
    </row>
    <row r="965" spans="1:26" x14ac:dyDescent="0.3">
      <c r="A965" s="5" t="s">
        <v>1988</v>
      </c>
      <c r="B965" s="5" t="s">
        <v>45</v>
      </c>
      <c r="C965" s="5" t="s">
        <v>334</v>
      </c>
      <c r="D965" s="5" t="s">
        <v>66</v>
      </c>
      <c r="E965" s="5" t="s">
        <v>67</v>
      </c>
      <c r="F965" s="5" t="s">
        <v>89</v>
      </c>
      <c r="G965" s="5" t="s">
        <v>49</v>
      </c>
      <c r="H965" s="5">
        <v>28</v>
      </c>
      <c r="I965" s="5" t="s">
        <v>70</v>
      </c>
      <c r="J965" s="34" t="s">
        <v>368</v>
      </c>
      <c r="K965" s="31">
        <v>5270</v>
      </c>
      <c r="L965" s="5" t="s">
        <v>167</v>
      </c>
      <c r="M965" s="32">
        <v>15</v>
      </c>
      <c r="N965" s="6">
        <f t="shared" si="152"/>
        <v>15</v>
      </c>
      <c r="O965" s="4" t="s">
        <v>89</v>
      </c>
      <c r="P965" s="5" t="str">
        <f t="shared" si="153"/>
        <v>Kolkata</v>
      </c>
      <c r="Q965" s="5" t="str">
        <f t="shared" si="154"/>
        <v>Neurology</v>
      </c>
      <c r="R965" s="6" t="str">
        <f t="shared" si="155"/>
        <v>Fortis</v>
      </c>
      <c r="S965" s="6" t="str">
        <f t="shared" si="156"/>
        <v>Insurance</v>
      </c>
      <c r="T965" s="6" t="str">
        <f t="shared" si="157"/>
        <v>Female</v>
      </c>
      <c r="U965" s="6" t="str">
        <f t="shared" si="150"/>
        <v>General</v>
      </c>
      <c r="V965" s="6" t="str" cm="1">
        <f t="array" ref="V965">IF(TRIM(S965)="",INDEX($S$2:$S$1500,MATCH(MAX(COUNTIF($S$2:$S$1500,S965)),COUNTIF($S$2:$S$1500,$S$2:$S$1500),0)),S965)</f>
        <v>Insurance</v>
      </c>
      <c r="W965" s="7" cm="1">
        <f t="array" ref="W965">IF(OR(TRIM(K965)="",TRIM(K965)="-"), MEDIAN(IF($E$2:$E$1500=E965,$K$2:$K$1500)),  VALUE(SUBSTITUTE(SUBSTITUTE(SUBSTITUTE(K965,"Rs. ",""),"₹",""),",","")))</f>
        <v>5270</v>
      </c>
      <c r="X965" s="8">
        <f t="shared" si="158"/>
        <v>15</v>
      </c>
      <c r="Y965" s="7">
        <f t="shared" si="159"/>
        <v>4480</v>
      </c>
      <c r="Z965" s="9" t="str">
        <f t="shared" si="151"/>
        <v>ADULT</v>
      </c>
    </row>
    <row r="966" spans="1:26" x14ac:dyDescent="0.3">
      <c r="A966" s="5" t="s">
        <v>1989</v>
      </c>
      <c r="B966" s="5" t="s">
        <v>14</v>
      </c>
      <c r="C966" s="5" t="s">
        <v>60</v>
      </c>
      <c r="D966" s="5" t="s">
        <v>61</v>
      </c>
      <c r="E966" s="5" t="s">
        <v>93</v>
      </c>
      <c r="F966" s="5" t="s">
        <v>207</v>
      </c>
      <c r="G966" s="5" t="s">
        <v>19</v>
      </c>
      <c r="H966" s="5">
        <v>24</v>
      </c>
      <c r="I966" s="5" t="s">
        <v>70</v>
      </c>
      <c r="J966" s="34" t="s">
        <v>833</v>
      </c>
      <c r="K966" s="31"/>
      <c r="L966" s="5" t="s">
        <v>23</v>
      </c>
      <c r="M966" s="32" t="s">
        <v>130</v>
      </c>
      <c r="N966" s="6">
        <f t="shared" si="152"/>
        <v>0</v>
      </c>
      <c r="O966" s="4" t="s">
        <v>207</v>
      </c>
      <c r="P966" s="5" t="str">
        <f t="shared" si="153"/>
        <v>Pune</v>
      </c>
      <c r="Q966" s="5" t="str">
        <f t="shared" si="154"/>
        <v>Nephrology</v>
      </c>
      <c r="R966" s="6" t="str">
        <f t="shared" si="155"/>
        <v>Max_Healthcare</v>
      </c>
      <c r="S966" s="6" t="str">
        <f t="shared" si="156"/>
        <v>Credit Card</v>
      </c>
      <c r="T966" s="6" t="str">
        <f t="shared" si="157"/>
        <v>Female</v>
      </c>
      <c r="U966" s="6" t="str">
        <f t="shared" si="150"/>
        <v>General</v>
      </c>
      <c r="V966" s="6" t="str" cm="1">
        <f t="array" ref="V966">IF(TRIM(S966)="",INDEX($S$2:$S$1500,MATCH(MAX(COUNTIF($S$2:$S$1500,S966)),COUNTIF($S$2:$S$1500,$S$2:$S$1500),0)),S966)</f>
        <v>Credit Card</v>
      </c>
      <c r="W966" s="7" cm="1">
        <f t="array" ref="W966">IF(OR(TRIM(K966)="",TRIM(K966)="-"), MEDIAN(IF($E$2:$E$1500=E966,$K$2:$K$1500)),  VALUE(SUBSTITUTE(SUBSTITUTE(SUBSTITUTE(K966,"Rs. ",""),"₹",""),",","")))</f>
        <v>12783</v>
      </c>
      <c r="X966" s="8">
        <f t="shared" si="158"/>
        <v>0</v>
      </c>
      <c r="Y966" s="7">
        <f t="shared" si="159"/>
        <v>12783</v>
      </c>
      <c r="Z966" s="9" t="str">
        <f t="shared" si="151"/>
        <v>ADULT</v>
      </c>
    </row>
    <row r="967" spans="1:26" x14ac:dyDescent="0.3">
      <c r="A967" s="5" t="s">
        <v>1990</v>
      </c>
      <c r="B967" s="5" t="s">
        <v>14</v>
      </c>
      <c r="C967" s="5" t="s">
        <v>60</v>
      </c>
      <c r="D967" s="5" t="s">
        <v>27</v>
      </c>
      <c r="E967" s="5" t="s">
        <v>28</v>
      </c>
      <c r="F967" s="5" t="s">
        <v>29</v>
      </c>
      <c r="G967" s="5" t="s">
        <v>19</v>
      </c>
      <c r="H967" s="5">
        <v>17</v>
      </c>
      <c r="I967" s="5" t="s">
        <v>20</v>
      </c>
      <c r="J967" s="34" t="s">
        <v>1991</v>
      </c>
      <c r="K967" s="31" t="s">
        <v>1992</v>
      </c>
      <c r="L967" s="5" t="s">
        <v>87</v>
      </c>
      <c r="M967" s="32" t="s">
        <v>64</v>
      </c>
      <c r="N967" s="6" t="str">
        <f t="shared" si="152"/>
        <v>NA</v>
      </c>
      <c r="O967" s="4" t="s">
        <v>29</v>
      </c>
      <c r="P967" s="5" t="str">
        <f t="shared" si="153"/>
        <v>Mumbai</v>
      </c>
      <c r="Q967" s="5" t="str">
        <f t="shared" si="154"/>
        <v>Oncology</v>
      </c>
      <c r="R967" s="6" t="str">
        <f t="shared" si="155"/>
        <v>Max_Healthcare</v>
      </c>
      <c r="S967" s="6" t="str">
        <f t="shared" si="156"/>
        <v>Credit Card</v>
      </c>
      <c r="T967" s="6" t="str">
        <f t="shared" si="157"/>
        <v>Male</v>
      </c>
      <c r="U967" s="6" t="str">
        <f t="shared" si="150"/>
        <v>General</v>
      </c>
      <c r="V967" s="6" t="str" cm="1">
        <f t="array" ref="V967">IF(TRIM(S967)="",INDEX($S$2:$S$1500,MATCH(MAX(COUNTIF($S$2:$S$1500,S967)),COUNTIF($S$2:$S$1500,$S$2:$S$1500),0)),S967)</f>
        <v>Credit Card</v>
      </c>
      <c r="W967" s="7" cm="1">
        <f t="array" ref="W967">IF(OR(TRIM(K967)="",TRIM(K967)="-"), MEDIAN(IF($E$2:$E$1500=E967,$K$2:$K$1500)),  VALUE(SUBSTITUTE(SUBSTITUTE(SUBSTITUTE(K967,"Rs. ",""),"₹",""),",","")))</f>
        <v>5926</v>
      </c>
      <c r="X967" s="8">
        <f t="shared" si="158"/>
        <v>3</v>
      </c>
      <c r="Y967" s="7">
        <f t="shared" si="159"/>
        <v>5748</v>
      </c>
      <c r="Z967" s="9" t="str">
        <f t="shared" si="151"/>
        <v>TEEN</v>
      </c>
    </row>
    <row r="968" spans="1:26" x14ac:dyDescent="0.3">
      <c r="A968" s="5" t="s">
        <v>1993</v>
      </c>
      <c r="B968" s="5" t="s">
        <v>25</v>
      </c>
      <c r="C968" s="5" t="s">
        <v>54</v>
      </c>
      <c r="D968" s="5" t="s">
        <v>80</v>
      </c>
      <c r="E968" s="5" t="s">
        <v>164</v>
      </c>
      <c r="F968" s="5" t="s">
        <v>219</v>
      </c>
      <c r="G968" s="5" t="s">
        <v>62</v>
      </c>
      <c r="H968" s="5">
        <v>85</v>
      </c>
      <c r="I968" s="5" t="s">
        <v>20</v>
      </c>
      <c r="J968" s="34" t="s">
        <v>1685</v>
      </c>
      <c r="K968" s="31">
        <v>70824</v>
      </c>
      <c r="L968" s="5" t="s">
        <v>236</v>
      </c>
      <c r="M968" s="32" t="s">
        <v>130</v>
      </c>
      <c r="N968" s="6">
        <f t="shared" si="152"/>
        <v>0</v>
      </c>
      <c r="O968" s="4" t="s">
        <v>219</v>
      </c>
      <c r="P968" s="5" t="str">
        <f t="shared" si="153"/>
        <v>Ahmedabad</v>
      </c>
      <c r="Q968" s="5" t="str">
        <f t="shared" si="154"/>
        <v>Cardiology</v>
      </c>
      <c r="R968" s="6" t="str">
        <f t="shared" si="155"/>
        <v>Narayana</v>
      </c>
      <c r="S968" s="6" t="str">
        <f t="shared" si="156"/>
        <v>Debit Card</v>
      </c>
      <c r="T968" s="6" t="str">
        <f t="shared" si="157"/>
        <v>Male</v>
      </c>
      <c r="U968" s="6" t="str">
        <f t="shared" si="150"/>
        <v>ICU</v>
      </c>
      <c r="V968" s="6" t="str" cm="1">
        <f t="array" ref="V968">IF(TRIM(S968)="",INDEX($S$2:$S$1500,MATCH(MAX(COUNTIF($S$2:$S$1500,S968)),COUNTIF($S$2:$S$1500,$S$2:$S$1500),0)),S968)</f>
        <v>Debit Card</v>
      </c>
      <c r="W968" s="7" cm="1">
        <f t="array" ref="W968">IF(OR(TRIM(K968)="",TRIM(K968)="-"), MEDIAN(IF($E$2:$E$1500=E968,$K$2:$K$1500)),  VALUE(SUBSTITUTE(SUBSTITUTE(SUBSTITUTE(K968,"Rs. ",""),"₹",""),",","")))</f>
        <v>70824</v>
      </c>
      <c r="X968" s="8">
        <f t="shared" si="158"/>
        <v>0</v>
      </c>
      <c r="Y968" s="7">
        <f t="shared" si="159"/>
        <v>70824</v>
      </c>
      <c r="Z968" s="9" t="str">
        <f t="shared" si="151"/>
        <v>SENIOR</v>
      </c>
    </row>
    <row r="969" spans="1:26" x14ac:dyDescent="0.3">
      <c r="A969" s="5" t="s">
        <v>1994</v>
      </c>
      <c r="B969" s="5" t="s">
        <v>106</v>
      </c>
      <c r="C969" s="5" t="s">
        <v>107</v>
      </c>
      <c r="D969" s="5" t="s">
        <v>36</v>
      </c>
      <c r="E969" s="5" t="s">
        <v>164</v>
      </c>
      <c r="F969" s="5" t="s">
        <v>233</v>
      </c>
      <c r="G969" s="5" t="s">
        <v>49</v>
      </c>
      <c r="H969" s="5">
        <v>11</v>
      </c>
      <c r="I969" s="5" t="s">
        <v>70</v>
      </c>
      <c r="J969" s="34" t="s">
        <v>257</v>
      </c>
      <c r="K969" s="31" t="s">
        <v>1995</v>
      </c>
      <c r="L969" s="5" t="s">
        <v>211</v>
      </c>
      <c r="M969" s="32"/>
      <c r="N969" s="6">
        <f t="shared" si="152"/>
        <v>0</v>
      </c>
      <c r="O969" s="4" t="s">
        <v>233</v>
      </c>
      <c r="P969" s="5" t="str">
        <f t="shared" si="153"/>
        <v>Chennai</v>
      </c>
      <c r="Q969" s="5" t="str">
        <f t="shared" si="154"/>
        <v>Cardiology</v>
      </c>
      <c r="R969" s="6" t="str">
        <f t="shared" si="155"/>
        <v>Aiims</v>
      </c>
      <c r="S969" s="6" t="str">
        <f t="shared" si="156"/>
        <v>Credit Card</v>
      </c>
      <c r="T969" s="6" t="str">
        <f t="shared" si="157"/>
        <v>Female</v>
      </c>
      <c r="U969" s="6" t="str">
        <f t="shared" si="150"/>
        <v>General</v>
      </c>
      <c r="V969" s="6" t="str" cm="1">
        <f t="array" ref="V969">IF(TRIM(S969)="",INDEX($S$2:$S$1500,MATCH(MAX(COUNTIF($S$2:$S$1500,S969)),COUNTIF($S$2:$S$1500,$S$2:$S$1500),0)),S969)</f>
        <v>Credit Card</v>
      </c>
      <c r="W969" s="7" cm="1">
        <f t="array" ref="W969">IF(OR(TRIM(K969)="",TRIM(K969)="-"), MEDIAN(IF($E$2:$E$1500=E969,$K$2:$K$1500)),  VALUE(SUBSTITUTE(SUBSTITUTE(SUBSTITUTE(K969,"Rs. ",""),"₹",""),",","")))</f>
        <v>19298</v>
      </c>
      <c r="X969" s="8">
        <f t="shared" si="158"/>
        <v>0</v>
      </c>
      <c r="Y969" s="7">
        <f t="shared" si="159"/>
        <v>19298</v>
      </c>
      <c r="Z969" s="9" t="str">
        <f t="shared" si="151"/>
        <v>CHILD</v>
      </c>
    </row>
    <row r="970" spans="1:26" x14ac:dyDescent="0.3">
      <c r="A970" s="5" t="s">
        <v>1996</v>
      </c>
      <c r="B970" s="5" t="s">
        <v>45</v>
      </c>
      <c r="C970" s="5" t="s">
        <v>334</v>
      </c>
      <c r="D970" s="5" t="s">
        <v>36</v>
      </c>
      <c r="E970" s="5" t="s">
        <v>74</v>
      </c>
      <c r="F970" s="5" t="s">
        <v>147</v>
      </c>
      <c r="G970" s="5" t="s">
        <v>30</v>
      </c>
      <c r="H970" s="5">
        <v>23</v>
      </c>
      <c r="I970" s="5" t="s">
        <v>20</v>
      </c>
      <c r="J970" s="34" t="s">
        <v>1280</v>
      </c>
      <c r="K970" s="31">
        <v>12767</v>
      </c>
      <c r="L970" s="5" t="s">
        <v>211</v>
      </c>
      <c r="M970" s="32">
        <v>5</v>
      </c>
      <c r="N970" s="6">
        <f t="shared" si="152"/>
        <v>5</v>
      </c>
      <c r="O970" s="4" t="s">
        <v>147</v>
      </c>
      <c r="P970" s="5" t="str">
        <f t="shared" si="153"/>
        <v>Chennai</v>
      </c>
      <c r="Q970" s="5" t="str">
        <f t="shared" si="154"/>
        <v>General Medicine</v>
      </c>
      <c r="R970" s="6" t="str">
        <f t="shared" si="155"/>
        <v>Fortis</v>
      </c>
      <c r="S970" s="6" t="str">
        <f t="shared" si="156"/>
        <v>Credit Card</v>
      </c>
      <c r="T970" s="6" t="str">
        <f t="shared" si="157"/>
        <v>Male</v>
      </c>
      <c r="U970" s="6" t="str">
        <f t="shared" si="150"/>
        <v>General</v>
      </c>
      <c r="V970" s="6" t="str" cm="1">
        <f t="array" ref="V970">IF(TRIM(S970)="",INDEX($S$2:$S$1500,MATCH(MAX(COUNTIF($S$2:$S$1500,S970)),COUNTIF($S$2:$S$1500,$S$2:$S$1500),0)),S970)</f>
        <v>Credit Card</v>
      </c>
      <c r="W970" s="7" cm="1">
        <f t="array" ref="W970">IF(OR(TRIM(K970)="",TRIM(K970)="-"), MEDIAN(IF($E$2:$E$1500=E970,$K$2:$K$1500)),  VALUE(SUBSTITUTE(SUBSTITUTE(SUBSTITUTE(K970,"Rs. ",""),"₹",""),",","")))</f>
        <v>12767</v>
      </c>
      <c r="X970" s="8">
        <f t="shared" si="158"/>
        <v>5</v>
      </c>
      <c r="Y970" s="7">
        <f t="shared" si="159"/>
        <v>12129</v>
      </c>
      <c r="Z970" s="9" t="str">
        <f t="shared" si="151"/>
        <v>ADULT</v>
      </c>
    </row>
    <row r="971" spans="1:26" x14ac:dyDescent="0.3">
      <c r="A971" s="5" t="s">
        <v>1997</v>
      </c>
      <c r="B971" s="5" t="s">
        <v>25</v>
      </c>
      <c r="C971" s="5" t="s">
        <v>54</v>
      </c>
      <c r="D971" s="5" t="s">
        <v>189</v>
      </c>
      <c r="E971" s="5" t="s">
        <v>74</v>
      </c>
      <c r="F971" s="5" t="s">
        <v>75</v>
      </c>
      <c r="G971" s="5" t="s">
        <v>62</v>
      </c>
      <c r="H971" s="5">
        <v>57</v>
      </c>
      <c r="I971" s="5" t="s">
        <v>20</v>
      </c>
      <c r="J971" s="34" t="s">
        <v>257</v>
      </c>
      <c r="K971" s="31">
        <v>23282</v>
      </c>
      <c r="L971" s="5" t="s">
        <v>58</v>
      </c>
      <c r="M971" s="32" t="s">
        <v>64</v>
      </c>
      <c r="N971" s="6" t="str">
        <f t="shared" si="152"/>
        <v>NA</v>
      </c>
      <c r="O971" s="4" t="s">
        <v>75</v>
      </c>
      <c r="P971" s="5" t="str">
        <f t="shared" si="153"/>
        <v>Delhi</v>
      </c>
      <c r="Q971" s="5" t="str">
        <f t="shared" si="154"/>
        <v>General Medicine</v>
      </c>
      <c r="R971" s="6" t="str">
        <f t="shared" si="155"/>
        <v>Narayana</v>
      </c>
      <c r="S971" s="6" t="str">
        <f t="shared" si="156"/>
        <v>UPI</v>
      </c>
      <c r="T971" s="6" t="str">
        <f t="shared" si="157"/>
        <v>Male</v>
      </c>
      <c r="U971" s="6" t="str">
        <f t="shared" si="150"/>
        <v>ICU</v>
      </c>
      <c r="V971" s="6" t="str" cm="1">
        <f t="array" ref="V971">IF(TRIM(S971)="",INDEX($S$2:$S$1500,MATCH(MAX(COUNTIF($S$2:$S$1500,S971)),COUNTIF($S$2:$S$1500,$S$2:$S$1500),0)),S971)</f>
        <v>UPI</v>
      </c>
      <c r="W971" s="7" cm="1">
        <f t="array" ref="W971">IF(OR(TRIM(K971)="",TRIM(K971)="-"), MEDIAN(IF($E$2:$E$1500=E971,$K$2:$K$1500)),  VALUE(SUBSTITUTE(SUBSTITUTE(SUBSTITUTE(K971,"Rs. ",""),"₹",""),",","")))</f>
        <v>23282</v>
      </c>
      <c r="X971" s="8">
        <f t="shared" si="158"/>
        <v>3</v>
      </c>
      <c r="Y971" s="7">
        <f t="shared" si="159"/>
        <v>22584</v>
      </c>
      <c r="Z971" s="9" t="str">
        <f t="shared" si="151"/>
        <v>ADULT</v>
      </c>
    </row>
    <row r="972" spans="1:26" x14ac:dyDescent="0.3">
      <c r="A972" s="5" t="s">
        <v>1998</v>
      </c>
      <c r="B972" s="5" t="s">
        <v>25</v>
      </c>
      <c r="C972" s="5" t="s">
        <v>26</v>
      </c>
      <c r="D972" s="5" t="s">
        <v>61</v>
      </c>
      <c r="E972" s="5" t="s">
        <v>93</v>
      </c>
      <c r="F972" s="5" t="s">
        <v>121</v>
      </c>
      <c r="G972" s="5" t="s">
        <v>39</v>
      </c>
      <c r="H972" s="5">
        <v>11</v>
      </c>
      <c r="I972" s="5" t="s">
        <v>40</v>
      </c>
      <c r="J972" s="34" t="s">
        <v>63</v>
      </c>
      <c r="K972" s="31" t="s">
        <v>1999</v>
      </c>
      <c r="L972" s="5" t="s">
        <v>115</v>
      </c>
      <c r="M972" s="32">
        <v>5</v>
      </c>
      <c r="N972" s="6">
        <f t="shared" si="152"/>
        <v>5</v>
      </c>
      <c r="O972" s="4" t="s">
        <v>121</v>
      </c>
      <c r="P972" s="5" t="str">
        <f t="shared" si="153"/>
        <v>Pune</v>
      </c>
      <c r="Q972" s="5" t="str">
        <f t="shared" si="154"/>
        <v>Nephrology</v>
      </c>
      <c r="R972" s="6" t="str">
        <f t="shared" si="155"/>
        <v>Narayana</v>
      </c>
      <c r="S972" s="6" t="str">
        <f t="shared" si="156"/>
        <v>Cash</v>
      </c>
      <c r="T972" s="6" t="str">
        <f t="shared" si="157"/>
        <v>Female</v>
      </c>
      <c r="U972" s="6" t="str">
        <f t="shared" si="150"/>
        <v>General</v>
      </c>
      <c r="V972" s="6" t="str" cm="1">
        <f t="array" ref="V972">IF(TRIM(S972)="",INDEX($S$2:$S$1500,MATCH(MAX(COUNTIF($S$2:$S$1500,S972)),COUNTIF($S$2:$S$1500,$S$2:$S$1500),0)),S972)</f>
        <v>Cash</v>
      </c>
      <c r="W972" s="7" cm="1">
        <f t="array" ref="W972">IF(OR(TRIM(K972)="",TRIM(K972)="-"), MEDIAN(IF($E$2:$E$1500=E972,$K$2:$K$1500)),  VALUE(SUBSTITUTE(SUBSTITUTE(SUBSTITUTE(K972,"Rs. ",""),"₹",""),",","")))</f>
        <v>5222</v>
      </c>
      <c r="X972" s="8">
        <f t="shared" si="158"/>
        <v>5</v>
      </c>
      <c r="Y972" s="7">
        <f t="shared" si="159"/>
        <v>4961</v>
      </c>
      <c r="Z972" s="9" t="str">
        <f t="shared" si="151"/>
        <v>CHILD</v>
      </c>
    </row>
    <row r="973" spans="1:26" x14ac:dyDescent="0.3">
      <c r="A973" s="5" t="s">
        <v>2000</v>
      </c>
      <c r="B973" s="5" t="s">
        <v>25</v>
      </c>
      <c r="C973" s="5" t="s">
        <v>54</v>
      </c>
      <c r="D973" s="5" t="s">
        <v>80</v>
      </c>
      <c r="E973" s="5" t="s">
        <v>74</v>
      </c>
      <c r="F973" s="5" t="s">
        <v>147</v>
      </c>
      <c r="G973" s="5" t="s">
        <v>30</v>
      </c>
      <c r="H973" s="5">
        <v>77</v>
      </c>
      <c r="I973" s="5" t="s">
        <v>20</v>
      </c>
      <c r="J973" s="34" t="s">
        <v>2001</v>
      </c>
      <c r="K973" s="31" t="s">
        <v>2002</v>
      </c>
      <c r="L973" s="5" t="s">
        <v>115</v>
      </c>
      <c r="M973" s="32">
        <v>5</v>
      </c>
      <c r="N973" s="6">
        <f t="shared" si="152"/>
        <v>5</v>
      </c>
      <c r="O973" s="4" t="s">
        <v>147</v>
      </c>
      <c r="P973" s="5" t="str">
        <f t="shared" si="153"/>
        <v>Ahmedabad</v>
      </c>
      <c r="Q973" s="5" t="str">
        <f t="shared" si="154"/>
        <v>General Medicine</v>
      </c>
      <c r="R973" s="6" t="str">
        <f t="shared" si="155"/>
        <v>Narayana</v>
      </c>
      <c r="S973" s="6" t="str">
        <f t="shared" si="156"/>
        <v>Cash</v>
      </c>
      <c r="T973" s="6" t="str">
        <f t="shared" si="157"/>
        <v>Male</v>
      </c>
      <c r="U973" s="6" t="str">
        <f t="shared" si="150"/>
        <v>General</v>
      </c>
      <c r="V973" s="6" t="str" cm="1">
        <f t="array" ref="V973">IF(TRIM(S973)="",INDEX($S$2:$S$1500,MATCH(MAX(COUNTIF($S$2:$S$1500,S973)),COUNTIF($S$2:$S$1500,$S$2:$S$1500),0)),S973)</f>
        <v>Cash</v>
      </c>
      <c r="W973" s="7" cm="1">
        <f t="array" ref="W973">IF(OR(TRIM(K973)="",TRIM(K973)="-"), MEDIAN(IF($E$2:$E$1500=E973,$K$2:$K$1500)),  VALUE(SUBSTITUTE(SUBSTITUTE(SUBSTITUTE(K973,"Rs. ",""),"₹",""),",","")))</f>
        <v>18424</v>
      </c>
      <c r="X973" s="8">
        <f t="shared" si="158"/>
        <v>5</v>
      </c>
      <c r="Y973" s="7">
        <f t="shared" si="159"/>
        <v>17503</v>
      </c>
      <c r="Z973" s="9" t="str">
        <f t="shared" si="151"/>
        <v>SENIOR</v>
      </c>
    </row>
    <row r="974" spans="1:26" x14ac:dyDescent="0.3">
      <c r="A974" s="5" t="s">
        <v>2003</v>
      </c>
      <c r="B974" s="5" t="s">
        <v>45</v>
      </c>
      <c r="C974" s="5" t="s">
        <v>46</v>
      </c>
      <c r="D974" s="5" t="s">
        <v>36</v>
      </c>
      <c r="E974" s="5" t="s">
        <v>67</v>
      </c>
      <c r="F974" s="5" t="s">
        <v>85</v>
      </c>
      <c r="G974" s="5" t="s">
        <v>30</v>
      </c>
      <c r="H974" s="5">
        <v>37</v>
      </c>
      <c r="I974" s="5" t="s">
        <v>40</v>
      </c>
      <c r="J974" s="34" t="s">
        <v>2004</v>
      </c>
      <c r="K974" s="31" t="s">
        <v>2005</v>
      </c>
      <c r="L974" s="5" t="s">
        <v>311</v>
      </c>
      <c r="M974" s="32">
        <v>0</v>
      </c>
      <c r="N974" s="6">
        <f t="shared" si="152"/>
        <v>0</v>
      </c>
      <c r="O974" s="4" t="s">
        <v>85</v>
      </c>
      <c r="P974" s="5" t="str">
        <f t="shared" si="153"/>
        <v>Chennai</v>
      </c>
      <c r="Q974" s="5" t="str">
        <f t="shared" si="154"/>
        <v>Neurology</v>
      </c>
      <c r="R974" s="6" t="str">
        <f t="shared" si="155"/>
        <v>Fortis</v>
      </c>
      <c r="S974" s="6" t="str">
        <f t="shared" si="156"/>
        <v>UPI</v>
      </c>
      <c r="T974" s="6" t="str">
        <f t="shared" si="157"/>
        <v>Female</v>
      </c>
      <c r="U974" s="6" t="str">
        <f t="shared" ref="U974:U1037" si="160">IF(OR(UPPER(TRIM(G974))="GENERAL",UPPER(TRIM(G974))="GENRAL"),"General",IF(UPPER(TRIM(G974))="ICU","ICU","Unknown"))</f>
        <v>General</v>
      </c>
      <c r="V974" s="6" t="str" cm="1">
        <f t="array" ref="V974">IF(TRIM(S974)="",INDEX($S$2:$S$1500,MATCH(MAX(COUNTIF($S$2:$S$1500,S974)),COUNTIF($S$2:$S$1500,$S$2:$S$1500),0)),S974)</f>
        <v>UPI</v>
      </c>
      <c r="W974" s="7" cm="1">
        <f t="array" ref="W974">IF(OR(TRIM(K974)="",TRIM(K974)="-"), MEDIAN(IF($E$2:$E$1500=E974,$K$2:$K$1500)),  VALUE(SUBSTITUTE(SUBSTITUTE(SUBSTITUTE(K974,"Rs. ",""),"₹",""),",","")))</f>
        <v>5486</v>
      </c>
      <c r="X974" s="8">
        <f t="shared" si="158"/>
        <v>0</v>
      </c>
      <c r="Y974" s="7">
        <f t="shared" si="159"/>
        <v>5486</v>
      </c>
      <c r="Z974" s="9" t="str">
        <f t="shared" si="151"/>
        <v>ADULT</v>
      </c>
    </row>
    <row r="975" spans="1:26" x14ac:dyDescent="0.3">
      <c r="A975" s="5" t="s">
        <v>2006</v>
      </c>
      <c r="B975" s="5" t="s">
        <v>106</v>
      </c>
      <c r="C975" s="5" t="s">
        <v>107</v>
      </c>
      <c r="D975" s="5" t="s">
        <v>61</v>
      </c>
      <c r="E975" s="5" t="s">
        <v>47</v>
      </c>
      <c r="F975" s="5" t="s">
        <v>364</v>
      </c>
      <c r="G975" s="5" t="s">
        <v>69</v>
      </c>
      <c r="H975" s="5">
        <v>78</v>
      </c>
      <c r="I975" s="5" t="s">
        <v>31</v>
      </c>
      <c r="J975" s="34" t="s">
        <v>426</v>
      </c>
      <c r="K975" s="31" t="s">
        <v>2007</v>
      </c>
      <c r="L975" s="5" t="s">
        <v>23</v>
      </c>
      <c r="M975" s="32">
        <v>10</v>
      </c>
      <c r="N975" s="6">
        <f t="shared" si="152"/>
        <v>10</v>
      </c>
      <c r="O975" s="4" t="s">
        <v>364</v>
      </c>
      <c r="P975" s="5" t="str">
        <f t="shared" si="153"/>
        <v>Pune</v>
      </c>
      <c r="Q975" s="5" t="str">
        <f t="shared" si="154"/>
        <v>Gastroenterology</v>
      </c>
      <c r="R975" s="6" t="str">
        <f t="shared" si="155"/>
        <v>Aiims</v>
      </c>
      <c r="S975" s="6" t="str">
        <f t="shared" si="156"/>
        <v>Credit Card</v>
      </c>
      <c r="T975" s="6" t="str">
        <f t="shared" si="157"/>
        <v>Male</v>
      </c>
      <c r="U975" s="6" t="str">
        <f t="shared" si="160"/>
        <v>ICU</v>
      </c>
      <c r="V975" s="6" t="str" cm="1">
        <f t="array" ref="V975">IF(TRIM(S975)="",INDEX($S$2:$S$1500,MATCH(MAX(COUNTIF($S$2:$S$1500,S975)),COUNTIF($S$2:$S$1500,$S$2:$S$1500),0)),S975)</f>
        <v>Credit Card</v>
      </c>
      <c r="W975" s="7" cm="1">
        <f t="array" ref="W975">IF(OR(TRIM(K975)="",TRIM(K975)="-"), MEDIAN(IF($E$2:$E$1500=E975,$K$2:$K$1500)),  VALUE(SUBSTITUTE(SUBSTITUTE(SUBSTITUTE(K975,"Rs. ",""),"₹",""),",","")))</f>
        <v>68710</v>
      </c>
      <c r="X975" s="8">
        <f t="shared" si="158"/>
        <v>10</v>
      </c>
      <c r="Y975" s="7">
        <f t="shared" si="159"/>
        <v>61839</v>
      </c>
      <c r="Z975" s="9" t="str">
        <f t="shared" si="151"/>
        <v>SENIOR</v>
      </c>
    </row>
    <row r="976" spans="1:26" x14ac:dyDescent="0.3">
      <c r="A976" s="5" t="s">
        <v>2008</v>
      </c>
      <c r="B976" s="5" t="s">
        <v>25</v>
      </c>
      <c r="C976" s="5" t="s">
        <v>26</v>
      </c>
      <c r="D976" s="5" t="s">
        <v>189</v>
      </c>
      <c r="E976" s="5" t="s">
        <v>67</v>
      </c>
      <c r="F976" s="5" t="s">
        <v>68</v>
      </c>
      <c r="G976" s="5" t="s">
        <v>19</v>
      </c>
      <c r="H976" s="5">
        <v>83</v>
      </c>
      <c r="I976" s="5" t="s">
        <v>31</v>
      </c>
      <c r="J976" s="34" t="s">
        <v>814</v>
      </c>
      <c r="K976" s="31">
        <v>3162</v>
      </c>
      <c r="L976" s="5" t="s">
        <v>115</v>
      </c>
      <c r="M976" s="32">
        <v>5</v>
      </c>
      <c r="N976" s="6">
        <f t="shared" si="152"/>
        <v>5</v>
      </c>
      <c r="O976" s="4" t="s">
        <v>68</v>
      </c>
      <c r="P976" s="5" t="str">
        <f t="shared" si="153"/>
        <v>Delhi</v>
      </c>
      <c r="Q976" s="5" t="str">
        <f t="shared" si="154"/>
        <v>Neurology</v>
      </c>
      <c r="R976" s="6" t="str">
        <f t="shared" si="155"/>
        <v>Narayana</v>
      </c>
      <c r="S976" s="6" t="str">
        <f t="shared" si="156"/>
        <v>Cash</v>
      </c>
      <c r="T976" s="6" t="str">
        <f t="shared" si="157"/>
        <v>Male</v>
      </c>
      <c r="U976" s="6" t="str">
        <f t="shared" si="160"/>
        <v>General</v>
      </c>
      <c r="V976" s="6" t="str" cm="1">
        <f t="array" ref="V976">IF(TRIM(S976)="",INDEX($S$2:$S$1500,MATCH(MAX(COUNTIF($S$2:$S$1500,S976)),COUNTIF($S$2:$S$1500,$S$2:$S$1500),0)),S976)</f>
        <v>Cash</v>
      </c>
      <c r="W976" s="7" cm="1">
        <f t="array" ref="W976">IF(OR(TRIM(K976)="",TRIM(K976)="-"), MEDIAN(IF($E$2:$E$1500=E976,$K$2:$K$1500)),  VALUE(SUBSTITUTE(SUBSTITUTE(SUBSTITUTE(K976,"Rs. ",""),"₹",""),",","")))</f>
        <v>3162</v>
      </c>
      <c r="X976" s="8">
        <f t="shared" si="158"/>
        <v>5</v>
      </c>
      <c r="Y976" s="7">
        <f t="shared" si="159"/>
        <v>3004</v>
      </c>
      <c r="Z976" s="9" t="str">
        <f t="shared" si="151"/>
        <v>SENIOR</v>
      </c>
    </row>
    <row r="977" spans="1:26" x14ac:dyDescent="0.3">
      <c r="A977" s="5" t="s">
        <v>2009</v>
      </c>
      <c r="B977" s="5" t="s">
        <v>25</v>
      </c>
      <c r="C977" s="5" t="s">
        <v>54</v>
      </c>
      <c r="D977" s="5" t="s">
        <v>66</v>
      </c>
      <c r="E977" s="5" t="s">
        <v>164</v>
      </c>
      <c r="F977" s="5" t="s">
        <v>219</v>
      </c>
      <c r="G977" s="5" t="s">
        <v>62</v>
      </c>
      <c r="H977" s="5">
        <v>72</v>
      </c>
      <c r="I977" s="5" t="s">
        <v>20</v>
      </c>
      <c r="J977" s="34" t="s">
        <v>1856</v>
      </c>
      <c r="K977" s="31">
        <v>72053</v>
      </c>
      <c r="L977" s="5" t="s">
        <v>23</v>
      </c>
      <c r="M977" s="32" t="s">
        <v>76</v>
      </c>
      <c r="N977" s="6">
        <f t="shared" si="152"/>
        <v>10</v>
      </c>
      <c r="O977" s="4" t="s">
        <v>219</v>
      </c>
      <c r="P977" s="5" t="str">
        <f t="shared" si="153"/>
        <v>Kolkata</v>
      </c>
      <c r="Q977" s="5" t="str">
        <f t="shared" si="154"/>
        <v>Cardiology</v>
      </c>
      <c r="R977" s="6" t="str">
        <f t="shared" si="155"/>
        <v>Narayana</v>
      </c>
      <c r="S977" s="6" t="str">
        <f t="shared" si="156"/>
        <v>Credit Card</v>
      </c>
      <c r="T977" s="6" t="str">
        <f t="shared" si="157"/>
        <v>Male</v>
      </c>
      <c r="U977" s="6" t="str">
        <f t="shared" si="160"/>
        <v>ICU</v>
      </c>
      <c r="V977" s="6" t="str" cm="1">
        <f t="array" ref="V977">IF(TRIM(S977)="",INDEX($S$2:$S$1500,MATCH(MAX(COUNTIF($S$2:$S$1500,S977)),COUNTIF($S$2:$S$1500,$S$2:$S$1500),0)),S977)</f>
        <v>Credit Card</v>
      </c>
      <c r="W977" s="7" cm="1">
        <f t="array" ref="W977">IF(OR(TRIM(K977)="",TRIM(K977)="-"), MEDIAN(IF($E$2:$E$1500=E977,$K$2:$K$1500)),  VALUE(SUBSTITUTE(SUBSTITUTE(SUBSTITUTE(K977,"Rs. ",""),"₹",""),",","")))</f>
        <v>72053</v>
      </c>
      <c r="X977" s="8">
        <f t="shared" si="158"/>
        <v>10</v>
      </c>
      <c r="Y977" s="7">
        <f t="shared" si="159"/>
        <v>64848</v>
      </c>
      <c r="Z977" s="9" t="str">
        <f t="shared" si="151"/>
        <v>SENIOR</v>
      </c>
    </row>
    <row r="978" spans="1:26" x14ac:dyDescent="0.3">
      <c r="A978" s="5" t="s">
        <v>2010</v>
      </c>
      <c r="B978" s="5" t="s">
        <v>14</v>
      </c>
      <c r="C978" s="5" t="s">
        <v>60</v>
      </c>
      <c r="D978" s="5" t="s">
        <v>27</v>
      </c>
      <c r="E978" s="5" t="s">
        <v>74</v>
      </c>
      <c r="F978" s="5" t="s">
        <v>147</v>
      </c>
      <c r="G978" s="5" t="s">
        <v>69</v>
      </c>
      <c r="H978" s="5">
        <v>25</v>
      </c>
      <c r="I978" s="5" t="s">
        <v>40</v>
      </c>
      <c r="J978" s="34" t="s">
        <v>556</v>
      </c>
      <c r="K978" s="31" t="s">
        <v>2011</v>
      </c>
      <c r="L978" s="5" t="s">
        <v>91</v>
      </c>
      <c r="M978" s="32">
        <v>0</v>
      </c>
      <c r="N978" s="6">
        <f t="shared" si="152"/>
        <v>0</v>
      </c>
      <c r="O978" s="4" t="s">
        <v>147</v>
      </c>
      <c r="P978" s="5" t="str">
        <f t="shared" si="153"/>
        <v>Mumbai</v>
      </c>
      <c r="Q978" s="5" t="str">
        <f t="shared" si="154"/>
        <v>General Medicine</v>
      </c>
      <c r="R978" s="6" t="str">
        <f t="shared" si="155"/>
        <v>Max_Healthcare</v>
      </c>
      <c r="S978" s="6" t="str">
        <f t="shared" si="156"/>
        <v>Debit Card</v>
      </c>
      <c r="T978" s="6" t="str">
        <f t="shared" si="157"/>
        <v>Female</v>
      </c>
      <c r="U978" s="6" t="str">
        <f t="shared" si="160"/>
        <v>ICU</v>
      </c>
      <c r="V978" s="6" t="str" cm="1">
        <f t="array" ref="V978">IF(TRIM(S978)="",INDEX($S$2:$S$1500,MATCH(MAX(COUNTIF($S$2:$S$1500,S978)),COUNTIF($S$2:$S$1500,$S$2:$S$1500),0)),S978)</f>
        <v>Debit Card</v>
      </c>
      <c r="W978" s="7" cm="1">
        <f t="array" ref="W978">IF(OR(TRIM(K978)="",TRIM(K978)="-"), MEDIAN(IF($E$2:$E$1500=E978,$K$2:$K$1500)),  VALUE(SUBSTITUTE(SUBSTITUTE(SUBSTITUTE(K978,"Rs. ",""),"₹",""),",","")))</f>
        <v>60155</v>
      </c>
      <c r="X978" s="8">
        <f t="shared" si="158"/>
        <v>0</v>
      </c>
      <c r="Y978" s="7">
        <f t="shared" si="159"/>
        <v>60155</v>
      </c>
      <c r="Z978" s="9" t="str">
        <f t="shared" si="151"/>
        <v>ADULT</v>
      </c>
    </row>
    <row r="979" spans="1:26" x14ac:dyDescent="0.3">
      <c r="A979" s="5" t="s">
        <v>2012</v>
      </c>
      <c r="B979" s="5" t="s">
        <v>106</v>
      </c>
      <c r="C979" s="5" t="s">
        <v>307</v>
      </c>
      <c r="D979" s="5" t="s">
        <v>66</v>
      </c>
      <c r="E979" s="5" t="s">
        <v>93</v>
      </c>
      <c r="F979" s="5" t="s">
        <v>94</v>
      </c>
      <c r="G979" s="5" t="s">
        <v>39</v>
      </c>
      <c r="H979" s="5">
        <v>76</v>
      </c>
      <c r="I979" s="5" t="s">
        <v>40</v>
      </c>
      <c r="J979" s="34" t="s">
        <v>635</v>
      </c>
      <c r="K979" s="31">
        <v>9823</v>
      </c>
      <c r="L979" s="5" t="s">
        <v>72</v>
      </c>
      <c r="M979" s="32">
        <v>0.1</v>
      </c>
      <c r="N979" s="6">
        <f t="shared" si="152"/>
        <v>10</v>
      </c>
      <c r="O979" s="4" t="s">
        <v>94</v>
      </c>
      <c r="P979" s="5" t="str">
        <f t="shared" si="153"/>
        <v>Kolkata</v>
      </c>
      <c r="Q979" s="5" t="str">
        <f t="shared" si="154"/>
        <v>Nephrology</v>
      </c>
      <c r="R979" s="6" t="str">
        <f t="shared" si="155"/>
        <v>Aiims</v>
      </c>
      <c r="S979" s="6" t="str">
        <f t="shared" si="156"/>
        <v>Cash</v>
      </c>
      <c r="T979" s="6" t="str">
        <f t="shared" si="157"/>
        <v>Female</v>
      </c>
      <c r="U979" s="6" t="str">
        <f t="shared" si="160"/>
        <v>General</v>
      </c>
      <c r="V979" s="6" t="str" cm="1">
        <f t="array" ref="V979">IF(TRIM(S979)="",INDEX($S$2:$S$1500,MATCH(MAX(COUNTIF($S$2:$S$1500,S979)),COUNTIF($S$2:$S$1500,$S$2:$S$1500),0)),S979)</f>
        <v>Cash</v>
      </c>
      <c r="W979" s="7" cm="1">
        <f t="array" ref="W979">IF(OR(TRIM(K979)="",TRIM(K979)="-"), MEDIAN(IF($E$2:$E$1500=E979,$K$2:$K$1500)),  VALUE(SUBSTITUTE(SUBSTITUTE(SUBSTITUTE(K979,"Rs. ",""),"₹",""),",","")))</f>
        <v>9823</v>
      </c>
      <c r="X979" s="8">
        <f t="shared" si="158"/>
        <v>10</v>
      </c>
      <c r="Y979" s="7">
        <f t="shared" si="159"/>
        <v>8841</v>
      </c>
      <c r="Z979" s="9" t="str">
        <f t="shared" si="151"/>
        <v>SENIOR</v>
      </c>
    </row>
    <row r="980" spans="1:26" x14ac:dyDescent="0.3">
      <c r="A980" s="5" t="s">
        <v>2013</v>
      </c>
      <c r="B980" s="5" t="s">
        <v>14</v>
      </c>
      <c r="C980" s="5" t="s">
        <v>60</v>
      </c>
      <c r="D980" s="5" t="s">
        <v>36</v>
      </c>
      <c r="E980" s="5" t="s">
        <v>74</v>
      </c>
      <c r="F980" s="5" t="s">
        <v>75</v>
      </c>
      <c r="G980" s="5" t="s">
        <v>30</v>
      </c>
      <c r="H980" s="5">
        <v>17</v>
      </c>
      <c r="I980" s="5" t="s">
        <v>40</v>
      </c>
      <c r="J980" s="34" t="s">
        <v>1609</v>
      </c>
      <c r="K980" s="31">
        <v>18992</v>
      </c>
      <c r="L980" s="5" t="s">
        <v>115</v>
      </c>
      <c r="M980" s="32">
        <v>0.1</v>
      </c>
      <c r="N980" s="6">
        <f t="shared" si="152"/>
        <v>10</v>
      </c>
      <c r="O980" s="4" t="s">
        <v>75</v>
      </c>
      <c r="P980" s="5" t="str">
        <f t="shared" si="153"/>
        <v>Chennai</v>
      </c>
      <c r="Q980" s="5" t="str">
        <f t="shared" si="154"/>
        <v>General Medicine</v>
      </c>
      <c r="R980" s="6" t="str">
        <f t="shared" si="155"/>
        <v>Max_Healthcare</v>
      </c>
      <c r="S980" s="6" t="str">
        <f t="shared" si="156"/>
        <v>Cash</v>
      </c>
      <c r="T980" s="6" t="str">
        <f t="shared" si="157"/>
        <v>Female</v>
      </c>
      <c r="U980" s="6" t="str">
        <f t="shared" si="160"/>
        <v>General</v>
      </c>
      <c r="V980" s="6" t="str" cm="1">
        <f t="array" ref="V980">IF(TRIM(S980)="",INDEX($S$2:$S$1500,MATCH(MAX(COUNTIF($S$2:$S$1500,S980)),COUNTIF($S$2:$S$1500,$S$2:$S$1500),0)),S980)</f>
        <v>Cash</v>
      </c>
      <c r="W980" s="7" cm="1">
        <f t="array" ref="W980">IF(OR(TRIM(K980)="",TRIM(K980)="-"), MEDIAN(IF($E$2:$E$1500=E980,$K$2:$K$1500)),  VALUE(SUBSTITUTE(SUBSTITUTE(SUBSTITUTE(K980,"Rs. ",""),"₹",""),",","")))</f>
        <v>18992</v>
      </c>
      <c r="X980" s="8">
        <f t="shared" si="158"/>
        <v>10</v>
      </c>
      <c r="Y980" s="7">
        <f t="shared" si="159"/>
        <v>17093</v>
      </c>
      <c r="Z980" s="9" t="str">
        <f t="shared" si="151"/>
        <v>TEEN</v>
      </c>
    </row>
    <row r="981" spans="1:26" x14ac:dyDescent="0.3">
      <c r="A981" s="5" t="s">
        <v>2014</v>
      </c>
      <c r="B981" s="5" t="s">
        <v>106</v>
      </c>
      <c r="C981" s="5" t="s">
        <v>107</v>
      </c>
      <c r="D981" s="5" t="s">
        <v>36</v>
      </c>
      <c r="E981" s="5" t="s">
        <v>67</v>
      </c>
      <c r="F981" s="5" t="s">
        <v>68</v>
      </c>
      <c r="G981" s="5" t="s">
        <v>49</v>
      </c>
      <c r="H981" s="5">
        <v>91</v>
      </c>
      <c r="I981" s="5" t="s">
        <v>20</v>
      </c>
      <c r="J981" s="34" t="s">
        <v>2015</v>
      </c>
      <c r="K981" s="31">
        <v>9873</v>
      </c>
      <c r="L981" s="5" t="s">
        <v>104</v>
      </c>
      <c r="M981" s="32">
        <v>15</v>
      </c>
      <c r="N981" s="6">
        <f t="shared" si="152"/>
        <v>15</v>
      </c>
      <c r="O981" s="4" t="s">
        <v>68</v>
      </c>
      <c r="P981" s="5" t="str">
        <f t="shared" si="153"/>
        <v>Chennai</v>
      </c>
      <c r="Q981" s="5" t="str">
        <f t="shared" si="154"/>
        <v>Neurology</v>
      </c>
      <c r="R981" s="6" t="str">
        <f t="shared" si="155"/>
        <v>Aiims</v>
      </c>
      <c r="S981" s="6" t="str">
        <f t="shared" si="156"/>
        <v>Insurance</v>
      </c>
      <c r="T981" s="6" t="str">
        <f t="shared" si="157"/>
        <v>Male</v>
      </c>
      <c r="U981" s="6" t="str">
        <f t="shared" si="160"/>
        <v>General</v>
      </c>
      <c r="V981" s="6" t="str" cm="1">
        <f t="array" ref="V981">IF(TRIM(S981)="",INDEX($S$2:$S$1500,MATCH(MAX(COUNTIF($S$2:$S$1500,S981)),COUNTIF($S$2:$S$1500,$S$2:$S$1500),0)),S981)</f>
        <v>Insurance</v>
      </c>
      <c r="W981" s="7" cm="1">
        <f t="array" ref="W981">IF(OR(TRIM(K981)="",TRIM(K981)="-"), MEDIAN(IF($E$2:$E$1500=E981,$K$2:$K$1500)),  VALUE(SUBSTITUTE(SUBSTITUTE(SUBSTITUTE(K981,"Rs. ",""),"₹",""),",","")))</f>
        <v>9873</v>
      </c>
      <c r="X981" s="8">
        <f t="shared" si="158"/>
        <v>15</v>
      </c>
      <c r="Y981" s="7">
        <f t="shared" si="159"/>
        <v>8392</v>
      </c>
      <c r="Z981" s="9" t="str">
        <f t="shared" si="151"/>
        <v>SENIOR</v>
      </c>
    </row>
    <row r="982" spans="1:26" x14ac:dyDescent="0.3">
      <c r="A982" s="5" t="s">
        <v>2016</v>
      </c>
      <c r="B982" s="5" t="s">
        <v>45</v>
      </c>
      <c r="C982" s="5" t="s">
        <v>46</v>
      </c>
      <c r="D982" s="5" t="s">
        <v>36</v>
      </c>
      <c r="E982" s="5" t="s">
        <v>67</v>
      </c>
      <c r="F982" s="5" t="s">
        <v>89</v>
      </c>
      <c r="G982" s="5" t="s">
        <v>39</v>
      </c>
      <c r="H982" s="5">
        <v>74</v>
      </c>
      <c r="I982" s="5" t="s">
        <v>20</v>
      </c>
      <c r="J982" s="34" t="s">
        <v>1017</v>
      </c>
      <c r="K982" s="31">
        <v>18905</v>
      </c>
      <c r="L982" s="5" t="s">
        <v>211</v>
      </c>
      <c r="M982" s="32">
        <v>0</v>
      </c>
      <c r="N982" s="6">
        <f t="shared" si="152"/>
        <v>0</v>
      </c>
      <c r="O982" s="4" t="s">
        <v>89</v>
      </c>
      <c r="P982" s="5" t="str">
        <f t="shared" si="153"/>
        <v>Chennai</v>
      </c>
      <c r="Q982" s="5" t="str">
        <f t="shared" si="154"/>
        <v>Neurology</v>
      </c>
      <c r="R982" s="6" t="str">
        <f t="shared" si="155"/>
        <v>Fortis</v>
      </c>
      <c r="S982" s="6" t="str">
        <f t="shared" si="156"/>
        <v>Credit Card</v>
      </c>
      <c r="T982" s="6" t="str">
        <f t="shared" si="157"/>
        <v>Male</v>
      </c>
      <c r="U982" s="6" t="str">
        <f t="shared" si="160"/>
        <v>General</v>
      </c>
      <c r="V982" s="6" t="str" cm="1">
        <f t="array" ref="V982">IF(TRIM(S982)="",INDEX($S$2:$S$1500,MATCH(MAX(COUNTIF($S$2:$S$1500,S982)),COUNTIF($S$2:$S$1500,$S$2:$S$1500),0)),S982)</f>
        <v>Credit Card</v>
      </c>
      <c r="W982" s="7" cm="1">
        <f t="array" ref="W982">IF(OR(TRIM(K982)="",TRIM(K982)="-"), MEDIAN(IF($E$2:$E$1500=E982,$K$2:$K$1500)),  VALUE(SUBSTITUTE(SUBSTITUTE(SUBSTITUTE(K982,"Rs. ",""),"₹",""),",","")))</f>
        <v>18905</v>
      </c>
      <c r="X982" s="8">
        <f t="shared" si="158"/>
        <v>0</v>
      </c>
      <c r="Y982" s="7">
        <f t="shared" si="159"/>
        <v>18905</v>
      </c>
      <c r="Z982" s="9" t="str">
        <f t="shared" si="151"/>
        <v>SENIOR</v>
      </c>
    </row>
    <row r="983" spans="1:26" x14ac:dyDescent="0.3">
      <c r="A983" s="5" t="s">
        <v>2017</v>
      </c>
      <c r="B983" s="5" t="s">
        <v>25</v>
      </c>
      <c r="C983" s="5" t="s">
        <v>54</v>
      </c>
      <c r="D983" s="5" t="s">
        <v>80</v>
      </c>
      <c r="E983" s="5" t="s">
        <v>164</v>
      </c>
      <c r="F983" s="5" t="s">
        <v>233</v>
      </c>
      <c r="G983" s="5" t="s">
        <v>19</v>
      </c>
      <c r="H983" s="5">
        <v>72</v>
      </c>
      <c r="I983" s="5" t="s">
        <v>40</v>
      </c>
      <c r="J983" s="34" t="s">
        <v>1466</v>
      </c>
      <c r="K983" s="31" t="s">
        <v>2018</v>
      </c>
      <c r="L983" s="5" t="s">
        <v>311</v>
      </c>
      <c r="M983" s="32">
        <v>0.05</v>
      </c>
      <c r="N983" s="6">
        <f t="shared" si="152"/>
        <v>5</v>
      </c>
      <c r="O983" s="4" t="s">
        <v>233</v>
      </c>
      <c r="P983" s="5" t="str">
        <f t="shared" si="153"/>
        <v>Ahmedabad</v>
      </c>
      <c r="Q983" s="5" t="str">
        <f t="shared" si="154"/>
        <v>Cardiology</v>
      </c>
      <c r="R983" s="6" t="str">
        <f t="shared" si="155"/>
        <v>Narayana</v>
      </c>
      <c r="S983" s="6" t="str">
        <f t="shared" si="156"/>
        <v>UPI</v>
      </c>
      <c r="T983" s="6" t="str">
        <f t="shared" si="157"/>
        <v>Female</v>
      </c>
      <c r="U983" s="6" t="str">
        <f t="shared" si="160"/>
        <v>General</v>
      </c>
      <c r="V983" s="6" t="str" cm="1">
        <f t="array" ref="V983">IF(TRIM(S983)="",INDEX($S$2:$S$1500,MATCH(MAX(COUNTIF($S$2:$S$1500,S983)),COUNTIF($S$2:$S$1500,$S$2:$S$1500),0)),S983)</f>
        <v>UPI</v>
      </c>
      <c r="W983" s="7" cm="1">
        <f t="array" ref="W983">IF(OR(TRIM(K983)="",TRIM(K983)="-"), MEDIAN(IF($E$2:$E$1500=E983,$K$2:$K$1500)),  VALUE(SUBSTITUTE(SUBSTITUTE(SUBSTITUTE(K983,"Rs. ",""),"₹",""),",","")))</f>
        <v>6862</v>
      </c>
      <c r="X983" s="8">
        <f t="shared" si="158"/>
        <v>5</v>
      </c>
      <c r="Y983" s="7">
        <f t="shared" si="159"/>
        <v>6519</v>
      </c>
      <c r="Z983" s="9" t="str">
        <f t="shared" si="151"/>
        <v>SENIOR</v>
      </c>
    </row>
    <row r="984" spans="1:26" x14ac:dyDescent="0.3">
      <c r="A984" s="5" t="s">
        <v>2019</v>
      </c>
      <c r="B984" s="5" t="s">
        <v>14</v>
      </c>
      <c r="C984" s="5" t="s">
        <v>15</v>
      </c>
      <c r="D984" s="5" t="s">
        <v>189</v>
      </c>
      <c r="E984" s="5" t="s">
        <v>164</v>
      </c>
      <c r="F984" s="5" t="s">
        <v>165</v>
      </c>
      <c r="G984" s="5"/>
      <c r="H984" s="5">
        <v>2</v>
      </c>
      <c r="I984" s="5" t="s">
        <v>70</v>
      </c>
      <c r="J984" s="34" t="s">
        <v>970</v>
      </c>
      <c r="K984" s="31" t="s">
        <v>2020</v>
      </c>
      <c r="L984" s="5" t="s">
        <v>34</v>
      </c>
      <c r="M984" s="32" t="s">
        <v>140</v>
      </c>
      <c r="N984" s="6" t="str">
        <f t="shared" si="152"/>
        <v>-</v>
      </c>
      <c r="O984" s="4" t="s">
        <v>165</v>
      </c>
      <c r="P984" s="5" t="str">
        <f t="shared" si="153"/>
        <v>Delhi</v>
      </c>
      <c r="Q984" s="5" t="str">
        <f t="shared" si="154"/>
        <v>Cardiology</v>
      </c>
      <c r="R984" s="6" t="str">
        <f t="shared" si="155"/>
        <v>Max_Healthcare</v>
      </c>
      <c r="S984" s="6" t="str">
        <f t="shared" si="156"/>
        <v>Cash</v>
      </c>
      <c r="T984" s="6" t="str">
        <f t="shared" si="157"/>
        <v>Female</v>
      </c>
      <c r="U984" s="6" t="str">
        <f t="shared" si="160"/>
        <v>Unknown</v>
      </c>
      <c r="V984" s="6" t="str" cm="1">
        <f t="array" ref="V984">IF(TRIM(S984)="",INDEX($S$2:$S$1500,MATCH(MAX(COUNTIF($S$2:$S$1500,S984)),COUNTIF($S$2:$S$1500,$S$2:$S$1500),0)),S984)</f>
        <v>Cash</v>
      </c>
      <c r="W984" s="7" cm="1">
        <f t="array" ref="W984">IF(OR(TRIM(K984)="",TRIM(K984)="-"), MEDIAN(IF($E$2:$E$1500=E984,$K$2:$K$1500)),  VALUE(SUBSTITUTE(SUBSTITUTE(SUBSTITUTE(K984,"Rs. ",""),"₹",""),",","")))</f>
        <v>3090</v>
      </c>
      <c r="X984" s="8">
        <f t="shared" si="158"/>
        <v>3</v>
      </c>
      <c r="Y984" s="7">
        <f t="shared" si="159"/>
        <v>2997</v>
      </c>
      <c r="Z984" s="9" t="str">
        <f t="shared" si="151"/>
        <v>CHILD</v>
      </c>
    </row>
    <row r="985" spans="1:26" x14ac:dyDescent="0.3">
      <c r="A985" s="5" t="s">
        <v>2021</v>
      </c>
      <c r="B985" s="5" t="s">
        <v>117</v>
      </c>
      <c r="C985" s="5" t="s">
        <v>118</v>
      </c>
      <c r="D985" s="5" t="s">
        <v>61</v>
      </c>
      <c r="E985" s="5" t="s">
        <v>28</v>
      </c>
      <c r="F985" s="5" t="s">
        <v>29</v>
      </c>
      <c r="G985" s="5" t="s">
        <v>101</v>
      </c>
      <c r="H985" s="5">
        <v>12</v>
      </c>
      <c r="I985" s="5" t="s">
        <v>40</v>
      </c>
      <c r="J985" s="34" t="s">
        <v>318</v>
      </c>
      <c r="K985" s="31" t="s">
        <v>2022</v>
      </c>
      <c r="L985" s="5" t="s">
        <v>34</v>
      </c>
      <c r="M985" s="32" t="s">
        <v>130</v>
      </c>
      <c r="N985" s="6">
        <f t="shared" si="152"/>
        <v>0</v>
      </c>
      <c r="O985" s="4" t="s">
        <v>29</v>
      </c>
      <c r="P985" s="5" t="str">
        <f t="shared" si="153"/>
        <v>Pune</v>
      </c>
      <c r="Q985" s="5" t="str">
        <f t="shared" si="154"/>
        <v>Oncology</v>
      </c>
      <c r="R985" s="6" t="str">
        <f t="shared" si="155"/>
        <v>Manipal</v>
      </c>
      <c r="S985" s="6" t="str">
        <f t="shared" si="156"/>
        <v>Cash</v>
      </c>
      <c r="T985" s="6" t="str">
        <f t="shared" si="157"/>
        <v>Female</v>
      </c>
      <c r="U985" s="6" t="str">
        <f t="shared" si="160"/>
        <v>ICU</v>
      </c>
      <c r="V985" s="6" t="str" cm="1">
        <f t="array" ref="V985">IF(TRIM(S985)="",INDEX($S$2:$S$1500,MATCH(MAX(COUNTIF($S$2:$S$1500,S985)),COUNTIF($S$2:$S$1500,$S$2:$S$1500),0)),S985)</f>
        <v>Cash</v>
      </c>
      <c r="W985" s="7" cm="1">
        <f t="array" ref="W985">IF(OR(TRIM(K985)="",TRIM(K985)="-"), MEDIAN(IF($E$2:$E$1500=E985,$K$2:$K$1500)),  VALUE(SUBSTITUTE(SUBSTITUTE(SUBSTITUTE(K985,"Rs. ",""),"₹",""),",","")))</f>
        <v>67263</v>
      </c>
      <c r="X985" s="8">
        <f t="shared" si="158"/>
        <v>0</v>
      </c>
      <c r="Y985" s="7">
        <f t="shared" si="159"/>
        <v>67263</v>
      </c>
      <c r="Z985" s="9" t="str">
        <f t="shared" si="151"/>
        <v>CHILD</v>
      </c>
    </row>
    <row r="986" spans="1:26" x14ac:dyDescent="0.3">
      <c r="A986" s="5" t="s">
        <v>2023</v>
      </c>
      <c r="B986" s="5" t="s">
        <v>78</v>
      </c>
      <c r="C986" s="5" t="s">
        <v>79</v>
      </c>
      <c r="D986" s="5" t="s">
        <v>36</v>
      </c>
      <c r="E986" s="5" t="s">
        <v>164</v>
      </c>
      <c r="F986" s="5" t="s">
        <v>233</v>
      </c>
      <c r="G986" s="5" t="s">
        <v>49</v>
      </c>
      <c r="H986" s="5">
        <v>70</v>
      </c>
      <c r="I986" s="5" t="s">
        <v>70</v>
      </c>
      <c r="J986" s="34" t="s">
        <v>1759</v>
      </c>
      <c r="K986" s="31">
        <v>10220</v>
      </c>
      <c r="L986" s="5" t="s">
        <v>104</v>
      </c>
      <c r="M986" s="32"/>
      <c r="N986" s="6">
        <f t="shared" si="152"/>
        <v>0</v>
      </c>
      <c r="O986" s="4" t="s">
        <v>233</v>
      </c>
      <c r="P986" s="5" t="str">
        <f t="shared" si="153"/>
        <v>Chennai</v>
      </c>
      <c r="Q986" s="5" t="str">
        <f t="shared" si="154"/>
        <v>Cardiology</v>
      </c>
      <c r="R986" s="6" t="str">
        <f t="shared" si="155"/>
        <v>Apollo</v>
      </c>
      <c r="S986" s="6" t="str">
        <f t="shared" si="156"/>
        <v>Insurance</v>
      </c>
      <c r="T986" s="6" t="str">
        <f t="shared" si="157"/>
        <v>Female</v>
      </c>
      <c r="U986" s="6" t="str">
        <f t="shared" si="160"/>
        <v>General</v>
      </c>
      <c r="V986" s="6" t="str" cm="1">
        <f t="array" ref="V986">IF(TRIM(S986)="",INDEX($S$2:$S$1500,MATCH(MAX(COUNTIF($S$2:$S$1500,S986)),COUNTIF($S$2:$S$1500,$S$2:$S$1500),0)),S986)</f>
        <v>Insurance</v>
      </c>
      <c r="W986" s="7" cm="1">
        <f t="array" ref="W986">IF(OR(TRIM(K986)="",TRIM(K986)="-"), MEDIAN(IF($E$2:$E$1500=E986,$K$2:$K$1500)),  VALUE(SUBSTITUTE(SUBSTITUTE(SUBSTITUTE(K986,"Rs. ",""),"₹",""),",","")))</f>
        <v>10220</v>
      </c>
      <c r="X986" s="8">
        <f t="shared" si="158"/>
        <v>0</v>
      </c>
      <c r="Y986" s="7">
        <f t="shared" si="159"/>
        <v>10220</v>
      </c>
      <c r="Z986" s="9" t="str">
        <f t="shared" si="151"/>
        <v>SENIOR</v>
      </c>
    </row>
    <row r="987" spans="1:26" x14ac:dyDescent="0.3">
      <c r="A987" s="5" t="s">
        <v>2024</v>
      </c>
      <c r="B987" s="5" t="s">
        <v>117</v>
      </c>
      <c r="C987" s="5" t="s">
        <v>118</v>
      </c>
      <c r="D987" s="5" t="s">
        <v>36</v>
      </c>
      <c r="E987" s="5" t="s">
        <v>67</v>
      </c>
      <c r="F987" s="5" t="s">
        <v>89</v>
      </c>
      <c r="G987" s="5" t="s">
        <v>49</v>
      </c>
      <c r="H987" s="5">
        <v>39</v>
      </c>
      <c r="I987" s="5" t="s">
        <v>40</v>
      </c>
      <c r="J987" s="34" t="s">
        <v>1300</v>
      </c>
      <c r="K987" s="31" t="s">
        <v>2025</v>
      </c>
      <c r="L987" s="5" t="s">
        <v>97</v>
      </c>
      <c r="M987" s="32" t="s">
        <v>130</v>
      </c>
      <c r="N987" s="6">
        <f t="shared" si="152"/>
        <v>0</v>
      </c>
      <c r="O987" s="4" t="s">
        <v>89</v>
      </c>
      <c r="P987" s="5" t="str">
        <f t="shared" si="153"/>
        <v>Chennai</v>
      </c>
      <c r="Q987" s="5" t="str">
        <f t="shared" si="154"/>
        <v>Neurology</v>
      </c>
      <c r="R987" s="6" t="str">
        <f t="shared" si="155"/>
        <v>Manipal</v>
      </c>
      <c r="S987" s="6" t="str">
        <f t="shared" si="156"/>
        <v>UPI</v>
      </c>
      <c r="T987" s="6" t="str">
        <f t="shared" si="157"/>
        <v>Female</v>
      </c>
      <c r="U987" s="6" t="str">
        <f t="shared" si="160"/>
        <v>General</v>
      </c>
      <c r="V987" s="6" t="str" cm="1">
        <f t="array" ref="V987">IF(TRIM(S987)="",INDEX($S$2:$S$1500,MATCH(MAX(COUNTIF($S$2:$S$1500,S987)),COUNTIF($S$2:$S$1500,$S$2:$S$1500),0)),S987)</f>
        <v>UPI</v>
      </c>
      <c r="W987" s="7" cm="1">
        <f t="array" ref="W987">IF(OR(TRIM(K987)="",TRIM(K987)="-"), MEDIAN(IF($E$2:$E$1500=E987,$K$2:$K$1500)),  VALUE(SUBSTITUTE(SUBSTITUTE(SUBSTITUTE(K987,"Rs. ",""),"₹",""),",","")))</f>
        <v>17300</v>
      </c>
      <c r="X987" s="8">
        <f t="shared" si="158"/>
        <v>0</v>
      </c>
      <c r="Y987" s="7">
        <f t="shared" si="159"/>
        <v>17300</v>
      </c>
      <c r="Z987" s="9" t="str">
        <f t="shared" si="151"/>
        <v>ADULT</v>
      </c>
    </row>
    <row r="988" spans="1:26" x14ac:dyDescent="0.3">
      <c r="A988" s="5" t="s">
        <v>2026</v>
      </c>
      <c r="B988" s="5" t="s">
        <v>25</v>
      </c>
      <c r="C988" s="5" t="s">
        <v>54</v>
      </c>
      <c r="D988" s="5" t="s">
        <v>55</v>
      </c>
      <c r="E988" s="5" t="s">
        <v>164</v>
      </c>
      <c r="F988" s="5" t="s">
        <v>219</v>
      </c>
      <c r="G988" s="5" t="s">
        <v>19</v>
      </c>
      <c r="H988" s="5">
        <v>40</v>
      </c>
      <c r="I988" s="5" t="s">
        <v>20</v>
      </c>
      <c r="J988" s="34" t="s">
        <v>405</v>
      </c>
      <c r="K988" s="31" t="s">
        <v>2027</v>
      </c>
      <c r="L988" s="5" t="s">
        <v>97</v>
      </c>
      <c r="M988" s="32"/>
      <c r="N988" s="6">
        <f t="shared" si="152"/>
        <v>0</v>
      </c>
      <c r="O988" s="4" t="s">
        <v>219</v>
      </c>
      <c r="P988" s="5" t="str">
        <f t="shared" si="153"/>
        <v>Hyderabad</v>
      </c>
      <c r="Q988" s="5" t="str">
        <f t="shared" si="154"/>
        <v>Cardiology</v>
      </c>
      <c r="R988" s="6" t="str">
        <f t="shared" si="155"/>
        <v>Narayana</v>
      </c>
      <c r="S988" s="6" t="str">
        <f t="shared" si="156"/>
        <v>UPI</v>
      </c>
      <c r="T988" s="6" t="str">
        <f t="shared" si="157"/>
        <v>Male</v>
      </c>
      <c r="U988" s="6" t="str">
        <f t="shared" si="160"/>
        <v>General</v>
      </c>
      <c r="V988" s="6" t="str" cm="1">
        <f t="array" ref="V988">IF(TRIM(S988)="",INDEX($S$2:$S$1500,MATCH(MAX(COUNTIF($S$2:$S$1500,S988)),COUNTIF($S$2:$S$1500,$S$2:$S$1500),0)),S988)</f>
        <v>UPI</v>
      </c>
      <c r="W988" s="7" cm="1">
        <f t="array" ref="W988">IF(OR(TRIM(K988)="",TRIM(K988)="-"), MEDIAN(IF($E$2:$E$1500=E988,$K$2:$K$1500)),  VALUE(SUBSTITUTE(SUBSTITUTE(SUBSTITUTE(K988,"Rs. ",""),"₹",""),",","")))</f>
        <v>17317</v>
      </c>
      <c r="X988" s="8">
        <f t="shared" si="158"/>
        <v>0</v>
      </c>
      <c r="Y988" s="7">
        <f t="shared" si="159"/>
        <v>17317</v>
      </c>
      <c r="Z988" s="9" t="str">
        <f t="shared" si="151"/>
        <v>ADULT</v>
      </c>
    </row>
    <row r="989" spans="1:26" x14ac:dyDescent="0.3">
      <c r="A989" s="5" t="s">
        <v>2028</v>
      </c>
      <c r="B989" s="5" t="s">
        <v>14</v>
      </c>
      <c r="C989" s="5" t="s">
        <v>60</v>
      </c>
      <c r="D989" s="5" t="s">
        <v>80</v>
      </c>
      <c r="E989" s="5" t="s">
        <v>108</v>
      </c>
      <c r="F989" s="5" t="s">
        <v>109</v>
      </c>
      <c r="G989" s="5" t="s">
        <v>49</v>
      </c>
      <c r="H989" s="5">
        <v>51</v>
      </c>
      <c r="I989" s="5" t="s">
        <v>70</v>
      </c>
      <c r="J989" s="34" t="s">
        <v>513</v>
      </c>
      <c r="K989" s="31" t="s">
        <v>2029</v>
      </c>
      <c r="L989" s="5" t="s">
        <v>149</v>
      </c>
      <c r="M989" s="32">
        <v>15</v>
      </c>
      <c r="N989" s="6">
        <f t="shared" si="152"/>
        <v>15</v>
      </c>
      <c r="O989" s="4" t="s">
        <v>109</v>
      </c>
      <c r="P989" s="5" t="str">
        <f t="shared" si="153"/>
        <v>Ahmedabad</v>
      </c>
      <c r="Q989" s="5" t="str">
        <f t="shared" si="154"/>
        <v>Orthopedics</v>
      </c>
      <c r="R989" s="6" t="str">
        <f t="shared" si="155"/>
        <v>Max_Healthcare</v>
      </c>
      <c r="S989" s="6" t="str">
        <f t="shared" si="156"/>
        <v>Insurance</v>
      </c>
      <c r="T989" s="6" t="str">
        <f t="shared" si="157"/>
        <v>Female</v>
      </c>
      <c r="U989" s="6" t="str">
        <f t="shared" si="160"/>
        <v>General</v>
      </c>
      <c r="V989" s="6" t="str" cm="1">
        <f t="array" ref="V989">IF(TRIM(S989)="",INDEX($S$2:$S$1500,MATCH(MAX(COUNTIF($S$2:$S$1500,S989)),COUNTIF($S$2:$S$1500,$S$2:$S$1500),0)),S989)</f>
        <v>Insurance</v>
      </c>
      <c r="W989" s="7" cm="1">
        <f t="array" ref="W989">IF(OR(TRIM(K989)="",TRIM(K989)="-"), MEDIAN(IF($E$2:$E$1500=E989,$K$2:$K$1500)),  VALUE(SUBSTITUTE(SUBSTITUTE(SUBSTITUTE(K989,"Rs. ",""),"₹",""),",","")))</f>
        <v>16632</v>
      </c>
      <c r="X989" s="8">
        <f t="shared" si="158"/>
        <v>15</v>
      </c>
      <c r="Y989" s="7">
        <f t="shared" si="159"/>
        <v>14137</v>
      </c>
      <c r="Z989" s="9" t="str">
        <f t="shared" si="151"/>
        <v>ADULT</v>
      </c>
    </row>
    <row r="990" spans="1:26" x14ac:dyDescent="0.3">
      <c r="A990" s="5" t="s">
        <v>2030</v>
      </c>
      <c r="B990" s="5" t="s">
        <v>14</v>
      </c>
      <c r="C990" s="5" t="s">
        <v>60</v>
      </c>
      <c r="D990" s="5" t="s">
        <v>66</v>
      </c>
      <c r="E990" s="5" t="s">
        <v>99</v>
      </c>
      <c r="F990" s="5" t="s">
        <v>151</v>
      </c>
      <c r="G990" s="5" t="s">
        <v>39</v>
      </c>
      <c r="H990" s="5">
        <v>14</v>
      </c>
      <c r="I990" s="5" t="s">
        <v>31</v>
      </c>
      <c r="J990" s="34" t="s">
        <v>995</v>
      </c>
      <c r="K990" s="31" t="s">
        <v>2031</v>
      </c>
      <c r="L990" s="5" t="s">
        <v>104</v>
      </c>
      <c r="M990" s="32">
        <v>35</v>
      </c>
      <c r="N990" s="6">
        <f t="shared" si="152"/>
        <v>35</v>
      </c>
      <c r="O990" s="4" t="s">
        <v>151</v>
      </c>
      <c r="P990" s="5" t="str">
        <f t="shared" si="153"/>
        <v>Kolkata</v>
      </c>
      <c r="Q990" s="5" t="str">
        <f t="shared" si="154"/>
        <v>Ent</v>
      </c>
      <c r="R990" s="6" t="str">
        <f t="shared" si="155"/>
        <v>Max_Healthcare</v>
      </c>
      <c r="S990" s="6" t="str">
        <f t="shared" si="156"/>
        <v>Insurance</v>
      </c>
      <c r="T990" s="6" t="str">
        <f t="shared" si="157"/>
        <v>Male</v>
      </c>
      <c r="U990" s="6" t="str">
        <f t="shared" si="160"/>
        <v>General</v>
      </c>
      <c r="V990" s="6" t="str" cm="1">
        <f t="array" ref="V990">IF(TRIM(S990)="",INDEX($S$2:$S$1500,MATCH(MAX(COUNTIF($S$2:$S$1500,S990)),COUNTIF($S$2:$S$1500,$S$2:$S$1500),0)),S990)</f>
        <v>Insurance</v>
      </c>
      <c r="W990" s="7" cm="1">
        <f t="array" ref="W990">IF(OR(TRIM(K990)="",TRIM(K990)="-"), MEDIAN(IF($E$2:$E$1500=E990,$K$2:$K$1500)),  VALUE(SUBSTITUTE(SUBSTITUTE(SUBSTITUTE(K990,"Rs. ",""),"₹",""),",","")))</f>
        <v>11244</v>
      </c>
      <c r="X990" s="8">
        <f t="shared" si="158"/>
        <v>35</v>
      </c>
      <c r="Y990" s="7">
        <f t="shared" si="159"/>
        <v>7309</v>
      </c>
      <c r="Z990" s="9" t="str">
        <f t="shared" si="151"/>
        <v>TEEN</v>
      </c>
    </row>
    <row r="991" spans="1:26" x14ac:dyDescent="0.3">
      <c r="A991" s="5" t="s">
        <v>2032</v>
      </c>
      <c r="B991" s="5" t="s">
        <v>14</v>
      </c>
      <c r="C991" s="5" t="s">
        <v>60</v>
      </c>
      <c r="D991" s="5" t="s">
        <v>36</v>
      </c>
      <c r="E991" s="5" t="s">
        <v>67</v>
      </c>
      <c r="F991" s="5" t="s">
        <v>196</v>
      </c>
      <c r="G991" s="5" t="s">
        <v>19</v>
      </c>
      <c r="H991" s="5">
        <v>77</v>
      </c>
      <c r="I991" s="5" t="s">
        <v>20</v>
      </c>
      <c r="J991" s="34" t="s">
        <v>1532</v>
      </c>
      <c r="K991" s="31">
        <v>13353</v>
      </c>
      <c r="L991" s="5" t="s">
        <v>236</v>
      </c>
      <c r="M991" s="32">
        <v>5</v>
      </c>
      <c r="N991" s="6">
        <f t="shared" si="152"/>
        <v>5</v>
      </c>
      <c r="O991" s="4" t="s">
        <v>196</v>
      </c>
      <c r="P991" s="5" t="str">
        <f t="shared" si="153"/>
        <v>Chennai</v>
      </c>
      <c r="Q991" s="5" t="str">
        <f t="shared" si="154"/>
        <v>Neurology</v>
      </c>
      <c r="R991" s="6" t="str">
        <f t="shared" si="155"/>
        <v>Max_Healthcare</v>
      </c>
      <c r="S991" s="6" t="str">
        <f t="shared" si="156"/>
        <v>Debit Card</v>
      </c>
      <c r="T991" s="6" t="str">
        <f t="shared" si="157"/>
        <v>Male</v>
      </c>
      <c r="U991" s="6" t="str">
        <f t="shared" si="160"/>
        <v>General</v>
      </c>
      <c r="V991" s="6" t="str" cm="1">
        <f t="array" ref="V991">IF(TRIM(S991)="",INDEX($S$2:$S$1500,MATCH(MAX(COUNTIF($S$2:$S$1500,S991)),COUNTIF($S$2:$S$1500,$S$2:$S$1500),0)),S991)</f>
        <v>Debit Card</v>
      </c>
      <c r="W991" s="7" cm="1">
        <f t="array" ref="W991">IF(OR(TRIM(K991)="",TRIM(K991)="-"), MEDIAN(IF($E$2:$E$1500=E991,$K$2:$K$1500)),  VALUE(SUBSTITUTE(SUBSTITUTE(SUBSTITUTE(K991,"Rs. ",""),"₹",""),",","")))</f>
        <v>13353</v>
      </c>
      <c r="X991" s="8">
        <f t="shared" si="158"/>
        <v>5</v>
      </c>
      <c r="Y991" s="7">
        <f t="shared" si="159"/>
        <v>12685</v>
      </c>
      <c r="Z991" s="9" t="str">
        <f t="shared" si="151"/>
        <v>SENIOR</v>
      </c>
    </row>
    <row r="992" spans="1:26" x14ac:dyDescent="0.3">
      <c r="A992" s="5" t="s">
        <v>2033</v>
      </c>
      <c r="B992" s="5" t="s">
        <v>78</v>
      </c>
      <c r="C992" s="5" t="s">
        <v>79</v>
      </c>
      <c r="D992" s="5" t="s">
        <v>36</v>
      </c>
      <c r="E992" s="5" t="s">
        <v>108</v>
      </c>
      <c r="F992" s="5" t="s">
        <v>109</v>
      </c>
      <c r="G992" s="5" t="s">
        <v>19</v>
      </c>
      <c r="H992" s="5">
        <v>21</v>
      </c>
      <c r="I992" s="5" t="s">
        <v>31</v>
      </c>
      <c r="J992" s="34" t="s">
        <v>381</v>
      </c>
      <c r="K992" s="31" t="s">
        <v>140</v>
      </c>
      <c r="L992" s="5" t="s">
        <v>34</v>
      </c>
      <c r="M992" s="32"/>
      <c r="N992" s="6">
        <f t="shared" si="152"/>
        <v>0</v>
      </c>
      <c r="O992" s="4" t="s">
        <v>109</v>
      </c>
      <c r="P992" s="5" t="str">
        <f t="shared" si="153"/>
        <v>Chennai</v>
      </c>
      <c r="Q992" s="5" t="str">
        <f t="shared" si="154"/>
        <v>Orthopedics</v>
      </c>
      <c r="R992" s="6" t="str">
        <f t="shared" si="155"/>
        <v>Apollo</v>
      </c>
      <c r="S992" s="6" t="str">
        <f t="shared" si="156"/>
        <v>Cash</v>
      </c>
      <c r="T992" s="6" t="str">
        <f t="shared" si="157"/>
        <v>Male</v>
      </c>
      <c r="U992" s="6" t="str">
        <f t="shared" si="160"/>
        <v>General</v>
      </c>
      <c r="V992" s="6" t="str" cm="1">
        <f t="array" ref="V992">IF(TRIM(S992)="",INDEX($S$2:$S$1500,MATCH(MAX(COUNTIF($S$2:$S$1500,S992)),COUNTIF($S$2:$S$1500,$S$2:$S$1500),0)),S992)</f>
        <v>Cash</v>
      </c>
      <c r="W992" s="7" cm="1">
        <f t="array" ref="W992">IF(OR(TRIM(K992)="",TRIM(K992)="-"), MEDIAN(IF($E$2:$E$1500=E992,$K$2:$K$1500)),  VALUE(SUBSTITUTE(SUBSTITUTE(SUBSTITUTE(K992,"Rs. ",""),"₹",""),",","")))</f>
        <v>13871</v>
      </c>
      <c r="X992" s="8">
        <f t="shared" si="158"/>
        <v>0</v>
      </c>
      <c r="Y992" s="7">
        <f t="shared" si="159"/>
        <v>13871</v>
      </c>
      <c r="Z992" s="9" t="str">
        <f t="shared" si="151"/>
        <v>ADULT</v>
      </c>
    </row>
    <row r="993" spans="1:26" x14ac:dyDescent="0.3">
      <c r="A993" s="5" t="s">
        <v>2034</v>
      </c>
      <c r="B993" s="5" t="s">
        <v>106</v>
      </c>
      <c r="C993" s="5" t="s">
        <v>107</v>
      </c>
      <c r="D993" s="5" t="s">
        <v>55</v>
      </c>
      <c r="E993" s="5" t="s">
        <v>93</v>
      </c>
      <c r="F993" s="5" t="s">
        <v>121</v>
      </c>
      <c r="G993" s="5" t="s">
        <v>30</v>
      </c>
      <c r="H993" s="5">
        <v>38</v>
      </c>
      <c r="I993" s="5" t="s">
        <v>20</v>
      </c>
      <c r="J993" s="34" t="s">
        <v>1472</v>
      </c>
      <c r="K993" s="31" t="s">
        <v>2035</v>
      </c>
      <c r="L993" s="5" t="s">
        <v>58</v>
      </c>
      <c r="M993" s="32">
        <v>0</v>
      </c>
      <c r="N993" s="6">
        <f t="shared" si="152"/>
        <v>0</v>
      </c>
      <c r="O993" s="4" t="s">
        <v>121</v>
      </c>
      <c r="P993" s="5" t="str">
        <f t="shared" si="153"/>
        <v>Hyderabad</v>
      </c>
      <c r="Q993" s="5" t="str">
        <f t="shared" si="154"/>
        <v>Nephrology</v>
      </c>
      <c r="R993" s="6" t="str">
        <f t="shared" si="155"/>
        <v>Aiims</v>
      </c>
      <c r="S993" s="6" t="str">
        <f t="shared" si="156"/>
        <v>UPI</v>
      </c>
      <c r="T993" s="6" t="str">
        <f t="shared" si="157"/>
        <v>Male</v>
      </c>
      <c r="U993" s="6" t="str">
        <f t="shared" si="160"/>
        <v>General</v>
      </c>
      <c r="V993" s="6" t="str" cm="1">
        <f t="array" ref="V993">IF(TRIM(S993)="",INDEX($S$2:$S$1500,MATCH(MAX(COUNTIF($S$2:$S$1500,S993)),COUNTIF($S$2:$S$1500,$S$2:$S$1500),0)),S993)</f>
        <v>UPI</v>
      </c>
      <c r="W993" s="7" cm="1">
        <f t="array" ref="W993">IF(OR(TRIM(K993)="",TRIM(K993)="-"), MEDIAN(IF($E$2:$E$1500=E993,$K$2:$K$1500)),  VALUE(SUBSTITUTE(SUBSTITUTE(SUBSTITUTE(K993,"Rs. ",""),"₹",""),",","")))</f>
        <v>14430</v>
      </c>
      <c r="X993" s="8">
        <f t="shared" si="158"/>
        <v>0</v>
      </c>
      <c r="Y993" s="7">
        <f t="shared" si="159"/>
        <v>14430</v>
      </c>
      <c r="Z993" s="9" t="str">
        <f t="shared" si="151"/>
        <v>ADULT</v>
      </c>
    </row>
    <row r="994" spans="1:26" x14ac:dyDescent="0.3">
      <c r="A994" s="5" t="s">
        <v>2036</v>
      </c>
      <c r="B994" s="5" t="s">
        <v>45</v>
      </c>
      <c r="C994" s="5" t="s">
        <v>46</v>
      </c>
      <c r="D994" s="5" t="s">
        <v>55</v>
      </c>
      <c r="E994" s="5" t="s">
        <v>47</v>
      </c>
      <c r="F994" s="5" t="s">
        <v>48</v>
      </c>
      <c r="G994" s="5" t="s">
        <v>101</v>
      </c>
      <c r="H994" s="5">
        <v>9</v>
      </c>
      <c r="I994" s="5" t="s">
        <v>20</v>
      </c>
      <c r="J994" s="34" t="s">
        <v>485</v>
      </c>
      <c r="K994" s="31">
        <v>89333</v>
      </c>
      <c r="L994" s="5" t="s">
        <v>91</v>
      </c>
      <c r="M994" s="32" t="s">
        <v>140</v>
      </c>
      <c r="N994" s="6" t="str">
        <f t="shared" si="152"/>
        <v>-</v>
      </c>
      <c r="O994" s="4" t="s">
        <v>48</v>
      </c>
      <c r="P994" s="5" t="str">
        <f t="shared" si="153"/>
        <v>Hyderabad</v>
      </c>
      <c r="Q994" s="5" t="str">
        <f t="shared" si="154"/>
        <v>Gastroenterology</v>
      </c>
      <c r="R994" s="6" t="str">
        <f t="shared" si="155"/>
        <v>Fortis</v>
      </c>
      <c r="S994" s="6" t="str">
        <f t="shared" si="156"/>
        <v>Debit Card</v>
      </c>
      <c r="T994" s="6" t="str">
        <f t="shared" si="157"/>
        <v>Male</v>
      </c>
      <c r="U994" s="6" t="str">
        <f t="shared" si="160"/>
        <v>ICU</v>
      </c>
      <c r="V994" s="6" t="str" cm="1">
        <f t="array" ref="V994">IF(TRIM(S994)="",INDEX($S$2:$S$1500,MATCH(MAX(COUNTIF($S$2:$S$1500,S994)),COUNTIF($S$2:$S$1500,$S$2:$S$1500),0)),S994)</f>
        <v>Debit Card</v>
      </c>
      <c r="W994" s="7" cm="1">
        <f t="array" ref="W994">IF(OR(TRIM(K994)="",TRIM(K994)="-"), MEDIAN(IF($E$2:$E$1500=E994,$K$2:$K$1500)),  VALUE(SUBSTITUTE(SUBSTITUTE(SUBSTITUTE(K994,"Rs. ",""),"₹",""),",","")))</f>
        <v>89333</v>
      </c>
      <c r="X994" s="8">
        <f t="shared" si="158"/>
        <v>3</v>
      </c>
      <c r="Y994" s="7">
        <f t="shared" si="159"/>
        <v>86653</v>
      </c>
      <c r="Z994" s="9" t="str">
        <f t="shared" si="151"/>
        <v>CHILD</v>
      </c>
    </row>
    <row r="995" spans="1:26" x14ac:dyDescent="0.3">
      <c r="A995" s="5" t="s">
        <v>2037</v>
      </c>
      <c r="B995" s="5" t="s">
        <v>14</v>
      </c>
      <c r="C995" s="5" t="s">
        <v>15</v>
      </c>
      <c r="D995" s="5" t="s">
        <v>27</v>
      </c>
      <c r="E995" s="5" t="s">
        <v>37</v>
      </c>
      <c r="F995" s="5" t="s">
        <v>185</v>
      </c>
      <c r="G995" s="5" t="s">
        <v>30</v>
      </c>
      <c r="H995" s="5">
        <v>63</v>
      </c>
      <c r="I995" s="5" t="s">
        <v>20</v>
      </c>
      <c r="J995" s="34" t="s">
        <v>2038</v>
      </c>
      <c r="K995" s="31" t="s">
        <v>2039</v>
      </c>
      <c r="L995" s="5" t="s">
        <v>311</v>
      </c>
      <c r="M995" s="32"/>
      <c r="N995" s="6">
        <f t="shared" si="152"/>
        <v>0</v>
      </c>
      <c r="O995" s="4" t="s">
        <v>185</v>
      </c>
      <c r="P995" s="5" t="str">
        <f t="shared" si="153"/>
        <v>Mumbai</v>
      </c>
      <c r="Q995" s="5" t="str">
        <f t="shared" si="154"/>
        <v>Pediatrics</v>
      </c>
      <c r="R995" s="6" t="str">
        <f t="shared" si="155"/>
        <v>Max_Healthcare</v>
      </c>
      <c r="S995" s="6" t="str">
        <f t="shared" si="156"/>
        <v>UPI</v>
      </c>
      <c r="T995" s="6" t="str">
        <f t="shared" si="157"/>
        <v>Male</v>
      </c>
      <c r="U995" s="6" t="str">
        <f t="shared" si="160"/>
        <v>General</v>
      </c>
      <c r="V995" s="6" t="str" cm="1">
        <f t="array" ref="V995">IF(TRIM(S995)="",INDEX($S$2:$S$1500,MATCH(MAX(COUNTIF($S$2:$S$1500,S995)),COUNTIF($S$2:$S$1500,$S$2:$S$1500),0)),S995)</f>
        <v>UPI</v>
      </c>
      <c r="W995" s="7" cm="1">
        <f t="array" ref="W995">IF(OR(TRIM(K995)="",TRIM(K995)="-"), MEDIAN(IF($E$2:$E$1500=E995,$K$2:$K$1500)),  VALUE(SUBSTITUTE(SUBSTITUTE(SUBSTITUTE(K995,"Rs. ",""),"₹",""),",","")))</f>
        <v>4360</v>
      </c>
      <c r="X995" s="8">
        <f t="shared" si="158"/>
        <v>0</v>
      </c>
      <c r="Y995" s="7">
        <f t="shared" si="159"/>
        <v>4360</v>
      </c>
      <c r="Z995" s="9" t="str">
        <f t="shared" si="151"/>
        <v>SENIOR</v>
      </c>
    </row>
    <row r="996" spans="1:26" x14ac:dyDescent="0.3">
      <c r="A996" s="5" t="s">
        <v>2040</v>
      </c>
      <c r="B996" s="5" t="s">
        <v>117</v>
      </c>
      <c r="C996" s="5" t="s">
        <v>118</v>
      </c>
      <c r="D996" s="5" t="s">
        <v>66</v>
      </c>
      <c r="E996" s="5" t="s">
        <v>47</v>
      </c>
      <c r="F996" s="5" t="s">
        <v>461</v>
      </c>
      <c r="G996" s="5" t="s">
        <v>39</v>
      </c>
      <c r="H996" s="5">
        <v>2</v>
      </c>
      <c r="I996" s="5" t="s">
        <v>40</v>
      </c>
      <c r="J996" s="34" t="s">
        <v>1429</v>
      </c>
      <c r="K996" s="31" t="s">
        <v>2041</v>
      </c>
      <c r="L996" s="5" t="s">
        <v>23</v>
      </c>
      <c r="M996" s="32">
        <v>0.05</v>
      </c>
      <c r="N996" s="6">
        <f t="shared" si="152"/>
        <v>5</v>
      </c>
      <c r="O996" s="4" t="s">
        <v>461</v>
      </c>
      <c r="P996" s="5" t="str">
        <f t="shared" si="153"/>
        <v>Kolkata</v>
      </c>
      <c r="Q996" s="5" t="str">
        <f t="shared" si="154"/>
        <v>Gastroenterology</v>
      </c>
      <c r="R996" s="6" t="str">
        <f t="shared" si="155"/>
        <v>Manipal</v>
      </c>
      <c r="S996" s="6" t="str">
        <f t="shared" si="156"/>
        <v>Credit Card</v>
      </c>
      <c r="T996" s="6" t="str">
        <f t="shared" si="157"/>
        <v>Female</v>
      </c>
      <c r="U996" s="6" t="str">
        <f t="shared" si="160"/>
        <v>General</v>
      </c>
      <c r="V996" s="6" t="str" cm="1">
        <f t="array" ref="V996">IF(TRIM(S996)="",INDEX($S$2:$S$1500,MATCH(MAX(COUNTIF($S$2:$S$1500,S996)),COUNTIF($S$2:$S$1500,$S$2:$S$1500),0)),S996)</f>
        <v>Credit Card</v>
      </c>
      <c r="W996" s="7" cm="1">
        <f t="array" ref="W996">IF(OR(TRIM(K996)="",TRIM(K996)="-"), MEDIAN(IF($E$2:$E$1500=E996,$K$2:$K$1500)),  VALUE(SUBSTITUTE(SUBSTITUTE(SUBSTITUTE(K996,"Rs. ",""),"₹",""),",","")))</f>
        <v>7717</v>
      </c>
      <c r="X996" s="8">
        <f t="shared" si="158"/>
        <v>5</v>
      </c>
      <c r="Y996" s="7">
        <f t="shared" si="159"/>
        <v>7331</v>
      </c>
      <c r="Z996" s="9" t="str">
        <f t="shared" si="151"/>
        <v>CHILD</v>
      </c>
    </row>
    <row r="997" spans="1:26" x14ac:dyDescent="0.3">
      <c r="A997" s="5" t="s">
        <v>2042</v>
      </c>
      <c r="B997" s="5" t="s">
        <v>45</v>
      </c>
      <c r="C997" s="5" t="s">
        <v>46</v>
      </c>
      <c r="D997" s="5" t="s">
        <v>189</v>
      </c>
      <c r="E997" s="5" t="s">
        <v>28</v>
      </c>
      <c r="F997" s="5" t="s">
        <v>290</v>
      </c>
      <c r="G997" s="5" t="s">
        <v>30</v>
      </c>
      <c r="H997" s="5">
        <v>50</v>
      </c>
      <c r="I997" s="5" t="s">
        <v>70</v>
      </c>
      <c r="J997" s="34" t="s">
        <v>933</v>
      </c>
      <c r="K997" s="31">
        <v>7029</v>
      </c>
      <c r="L997" s="5" t="s">
        <v>34</v>
      </c>
      <c r="M997" s="32" t="s">
        <v>64</v>
      </c>
      <c r="N997" s="6" t="str">
        <f t="shared" si="152"/>
        <v>NA</v>
      </c>
      <c r="O997" s="4" t="s">
        <v>290</v>
      </c>
      <c r="P997" s="5" t="str">
        <f t="shared" si="153"/>
        <v>Delhi</v>
      </c>
      <c r="Q997" s="5" t="str">
        <f t="shared" si="154"/>
        <v>Oncology</v>
      </c>
      <c r="R997" s="6" t="str">
        <f t="shared" si="155"/>
        <v>Fortis</v>
      </c>
      <c r="S997" s="6" t="str">
        <f t="shared" si="156"/>
        <v>Cash</v>
      </c>
      <c r="T997" s="6" t="str">
        <f t="shared" si="157"/>
        <v>Female</v>
      </c>
      <c r="U997" s="6" t="str">
        <f t="shared" si="160"/>
        <v>General</v>
      </c>
      <c r="V997" s="6" t="str" cm="1">
        <f t="array" ref="V997">IF(TRIM(S997)="",INDEX($S$2:$S$1500,MATCH(MAX(COUNTIF($S$2:$S$1500,S997)),COUNTIF($S$2:$S$1500,$S$2:$S$1500),0)),S997)</f>
        <v>Cash</v>
      </c>
      <c r="W997" s="7" cm="1">
        <f t="array" ref="W997">IF(OR(TRIM(K997)="",TRIM(K997)="-"), MEDIAN(IF($E$2:$E$1500=E997,$K$2:$K$1500)),  VALUE(SUBSTITUTE(SUBSTITUTE(SUBSTITUTE(K997,"Rs. ",""),"₹",""),",","")))</f>
        <v>7029</v>
      </c>
      <c r="X997" s="8">
        <f t="shared" si="158"/>
        <v>3</v>
      </c>
      <c r="Y997" s="7">
        <f t="shared" si="159"/>
        <v>6818</v>
      </c>
      <c r="Z997" s="9" t="str">
        <f t="shared" si="151"/>
        <v>ADULT</v>
      </c>
    </row>
    <row r="998" spans="1:26" x14ac:dyDescent="0.3">
      <c r="A998" s="5" t="s">
        <v>2043</v>
      </c>
      <c r="B998" s="5" t="s">
        <v>14</v>
      </c>
      <c r="C998" s="5" t="s">
        <v>60</v>
      </c>
      <c r="D998" s="5" t="s">
        <v>55</v>
      </c>
      <c r="E998" s="5" t="s">
        <v>17</v>
      </c>
      <c r="F998" s="5" t="s">
        <v>135</v>
      </c>
      <c r="G998" s="5" t="s">
        <v>69</v>
      </c>
      <c r="H998" s="5">
        <v>18</v>
      </c>
      <c r="I998" s="5" t="s">
        <v>40</v>
      </c>
      <c r="J998" s="34" t="s">
        <v>242</v>
      </c>
      <c r="K998" s="31" t="s">
        <v>2044</v>
      </c>
      <c r="L998" s="5" t="s">
        <v>42</v>
      </c>
      <c r="M998" s="32">
        <v>5</v>
      </c>
      <c r="N998" s="6">
        <f t="shared" si="152"/>
        <v>5</v>
      </c>
      <c r="O998" s="4" t="s">
        <v>135</v>
      </c>
      <c r="P998" s="5" t="str">
        <f t="shared" si="153"/>
        <v>Hyderabad</v>
      </c>
      <c r="Q998" s="5" t="str">
        <f t="shared" si="154"/>
        <v>Gynecology</v>
      </c>
      <c r="R998" s="6" t="str">
        <f t="shared" si="155"/>
        <v>Max_Healthcare</v>
      </c>
      <c r="S998" s="6" t="str">
        <f t="shared" si="156"/>
        <v>Insurance</v>
      </c>
      <c r="T998" s="6" t="str">
        <f t="shared" si="157"/>
        <v>Female</v>
      </c>
      <c r="U998" s="6" t="str">
        <f t="shared" si="160"/>
        <v>ICU</v>
      </c>
      <c r="V998" s="6" t="str" cm="1">
        <f t="array" ref="V998">IF(TRIM(S998)="",INDEX($S$2:$S$1500,MATCH(MAX(COUNTIF($S$2:$S$1500,S998)),COUNTIF($S$2:$S$1500,$S$2:$S$1500),0)),S998)</f>
        <v>Insurance</v>
      </c>
      <c r="W998" s="7" cm="1">
        <f t="array" ref="W998">IF(OR(TRIM(K998)="",TRIM(K998)="-"), MEDIAN(IF($E$2:$E$1500=E998,$K$2:$K$1500)),  VALUE(SUBSTITUTE(SUBSTITUTE(SUBSTITUTE(K998,"Rs. ",""),"₹",""),",","")))</f>
        <v>61602</v>
      </c>
      <c r="X998" s="8">
        <f t="shared" si="158"/>
        <v>5</v>
      </c>
      <c r="Y998" s="7">
        <f t="shared" si="159"/>
        <v>58522</v>
      </c>
      <c r="Z998" s="9" t="str">
        <f t="shared" si="151"/>
        <v>TEEN</v>
      </c>
    </row>
    <row r="999" spans="1:26" x14ac:dyDescent="0.3">
      <c r="A999" s="5" t="s">
        <v>2045</v>
      </c>
      <c r="B999" s="5" t="s">
        <v>14</v>
      </c>
      <c r="C999" s="5" t="s">
        <v>60</v>
      </c>
      <c r="D999" s="5" t="s">
        <v>55</v>
      </c>
      <c r="E999" s="5" t="s">
        <v>93</v>
      </c>
      <c r="F999" s="5" t="s">
        <v>94</v>
      </c>
      <c r="G999" s="5"/>
      <c r="H999" s="5">
        <v>26</v>
      </c>
      <c r="I999" s="5" t="s">
        <v>40</v>
      </c>
      <c r="J999" s="34" t="s">
        <v>2046</v>
      </c>
      <c r="K999" s="31">
        <v>51541</v>
      </c>
      <c r="L999" s="5" t="s">
        <v>72</v>
      </c>
      <c r="M999" s="32" t="s">
        <v>76</v>
      </c>
      <c r="N999" s="6">
        <f t="shared" si="152"/>
        <v>10</v>
      </c>
      <c r="O999" s="4" t="s">
        <v>94</v>
      </c>
      <c r="P999" s="5" t="str">
        <f t="shared" si="153"/>
        <v>Hyderabad</v>
      </c>
      <c r="Q999" s="5" t="str">
        <f t="shared" si="154"/>
        <v>Nephrology</v>
      </c>
      <c r="R999" s="6" t="str">
        <f t="shared" si="155"/>
        <v>Max_Healthcare</v>
      </c>
      <c r="S999" s="6" t="str">
        <f t="shared" si="156"/>
        <v>Cash</v>
      </c>
      <c r="T999" s="6" t="str">
        <f t="shared" si="157"/>
        <v>Female</v>
      </c>
      <c r="U999" s="6" t="str">
        <f t="shared" si="160"/>
        <v>Unknown</v>
      </c>
      <c r="V999" s="6" t="str" cm="1">
        <f t="array" ref="V999">IF(TRIM(S999)="",INDEX($S$2:$S$1500,MATCH(MAX(COUNTIF($S$2:$S$1500,S999)),COUNTIF($S$2:$S$1500,$S$2:$S$1500),0)),S999)</f>
        <v>Cash</v>
      </c>
      <c r="W999" s="7" cm="1">
        <f t="array" ref="W999">IF(OR(TRIM(K999)="",TRIM(K999)="-"), MEDIAN(IF($E$2:$E$1500=E999,$K$2:$K$1500)),  VALUE(SUBSTITUTE(SUBSTITUTE(SUBSTITUTE(K999,"Rs. ",""),"₹",""),",","")))</f>
        <v>51541</v>
      </c>
      <c r="X999" s="8">
        <f t="shared" si="158"/>
        <v>10</v>
      </c>
      <c r="Y999" s="7">
        <f t="shared" si="159"/>
        <v>46387</v>
      </c>
      <c r="Z999" s="9" t="str">
        <f t="shared" si="151"/>
        <v>ADULT</v>
      </c>
    </row>
    <row r="1000" spans="1:26" x14ac:dyDescent="0.3">
      <c r="A1000" s="5" t="s">
        <v>2047</v>
      </c>
      <c r="B1000" s="5" t="s">
        <v>25</v>
      </c>
      <c r="C1000" s="5" t="s">
        <v>54</v>
      </c>
      <c r="D1000" s="5" t="s">
        <v>66</v>
      </c>
      <c r="E1000" s="5" t="s">
        <v>93</v>
      </c>
      <c r="F1000" s="5" t="s">
        <v>121</v>
      </c>
      <c r="G1000" s="5" t="s">
        <v>30</v>
      </c>
      <c r="H1000" s="5">
        <v>18</v>
      </c>
      <c r="I1000" s="5" t="s">
        <v>40</v>
      </c>
      <c r="J1000" s="34" t="s">
        <v>863</v>
      </c>
      <c r="K1000" s="31">
        <v>12783</v>
      </c>
      <c r="L1000" s="5" t="s">
        <v>58</v>
      </c>
      <c r="M1000" s="32">
        <v>0</v>
      </c>
      <c r="N1000" s="6">
        <f t="shared" si="152"/>
        <v>0</v>
      </c>
      <c r="O1000" s="4" t="s">
        <v>121</v>
      </c>
      <c r="P1000" s="5" t="str">
        <f t="shared" si="153"/>
        <v>Kolkata</v>
      </c>
      <c r="Q1000" s="5" t="str">
        <f t="shared" si="154"/>
        <v>Nephrology</v>
      </c>
      <c r="R1000" s="6" t="str">
        <f t="shared" si="155"/>
        <v>Narayana</v>
      </c>
      <c r="S1000" s="6" t="str">
        <f t="shared" si="156"/>
        <v>UPI</v>
      </c>
      <c r="T1000" s="6" t="str">
        <f t="shared" si="157"/>
        <v>Female</v>
      </c>
      <c r="U1000" s="6" t="str">
        <f t="shared" si="160"/>
        <v>General</v>
      </c>
      <c r="V1000" s="6" t="str" cm="1">
        <f t="array" ref="V1000">IF(TRIM(S1000)="",INDEX($S$2:$S$1500,MATCH(MAX(COUNTIF($S$2:$S$1500,S1000)),COUNTIF($S$2:$S$1500,$S$2:$S$1500),0)),S1000)</f>
        <v>UPI</v>
      </c>
      <c r="W1000" s="7" cm="1">
        <f t="array" ref="W1000">IF(OR(TRIM(K1000)="",TRIM(K1000)="-"), MEDIAN(IF($E$2:$E$1500=E1000,$K$2:$K$1500)),  VALUE(SUBSTITUTE(SUBSTITUTE(SUBSTITUTE(K1000,"Rs. ",""),"₹",""),",","")))</f>
        <v>12783</v>
      </c>
      <c r="X1000" s="8">
        <f t="shared" si="158"/>
        <v>0</v>
      </c>
      <c r="Y1000" s="7">
        <f t="shared" si="159"/>
        <v>12783</v>
      </c>
      <c r="Z1000" s="9" t="str">
        <f t="shared" si="151"/>
        <v>TEEN</v>
      </c>
    </row>
    <row r="1001" spans="1:26" x14ac:dyDescent="0.3">
      <c r="A1001" s="5" t="s">
        <v>2048</v>
      </c>
      <c r="B1001" s="5" t="s">
        <v>117</v>
      </c>
      <c r="C1001" s="5" t="s">
        <v>118</v>
      </c>
      <c r="D1001" s="5" t="s">
        <v>16</v>
      </c>
      <c r="E1001" s="5" t="s">
        <v>164</v>
      </c>
      <c r="F1001" s="5" t="s">
        <v>165</v>
      </c>
      <c r="G1001" s="5" t="s">
        <v>49</v>
      </c>
      <c r="H1001" s="5">
        <v>26</v>
      </c>
      <c r="I1001" s="5" t="s">
        <v>40</v>
      </c>
      <c r="J1001" s="34" t="s">
        <v>888</v>
      </c>
      <c r="K1001" s="31" t="s">
        <v>2049</v>
      </c>
      <c r="L1001" s="5" t="s">
        <v>58</v>
      </c>
      <c r="M1001" s="32" t="s">
        <v>64</v>
      </c>
      <c r="N1001" s="6" t="str">
        <f t="shared" si="152"/>
        <v>NA</v>
      </c>
      <c r="O1001" s="4" t="s">
        <v>165</v>
      </c>
      <c r="P1001" s="5" t="str">
        <f t="shared" si="153"/>
        <v>Bangalore</v>
      </c>
      <c r="Q1001" s="5" t="str">
        <f t="shared" si="154"/>
        <v>Cardiology</v>
      </c>
      <c r="R1001" s="6" t="str">
        <f t="shared" si="155"/>
        <v>Manipal</v>
      </c>
      <c r="S1001" s="6" t="str">
        <f t="shared" si="156"/>
        <v>UPI</v>
      </c>
      <c r="T1001" s="6" t="str">
        <f t="shared" si="157"/>
        <v>Female</v>
      </c>
      <c r="U1001" s="6" t="str">
        <f t="shared" si="160"/>
        <v>General</v>
      </c>
      <c r="V1001" s="6" t="str" cm="1">
        <f t="array" ref="V1001">IF(TRIM(S1001)="",INDEX($S$2:$S$1500,MATCH(MAX(COUNTIF($S$2:$S$1500,S1001)),COUNTIF($S$2:$S$1500,$S$2:$S$1500),0)),S1001)</f>
        <v>UPI</v>
      </c>
      <c r="W1001" s="7" cm="1">
        <f t="array" ref="W1001">IF(OR(TRIM(K1001)="",TRIM(K1001)="-"), MEDIAN(IF($E$2:$E$1500=E1001,$K$2:$K$1500)),  VALUE(SUBSTITUTE(SUBSTITUTE(SUBSTITUTE(K1001,"Rs. ",""),"₹",""),",","")))</f>
        <v>8674</v>
      </c>
      <c r="X1001" s="8">
        <f t="shared" si="158"/>
        <v>3</v>
      </c>
      <c r="Y1001" s="7">
        <f t="shared" si="159"/>
        <v>8414</v>
      </c>
      <c r="Z1001" s="9" t="str">
        <f t="shared" si="151"/>
        <v>ADULT</v>
      </c>
    </row>
    <row r="1002" spans="1:26" x14ac:dyDescent="0.3">
      <c r="A1002" s="5" t="s">
        <v>2050</v>
      </c>
      <c r="B1002" s="5" t="s">
        <v>45</v>
      </c>
      <c r="C1002" s="5" t="s">
        <v>46</v>
      </c>
      <c r="D1002" s="5" t="s">
        <v>189</v>
      </c>
      <c r="E1002" s="5" t="s">
        <v>93</v>
      </c>
      <c r="F1002" s="5" t="s">
        <v>94</v>
      </c>
      <c r="G1002" s="5" t="s">
        <v>49</v>
      </c>
      <c r="H1002" s="5">
        <v>5</v>
      </c>
      <c r="I1002" s="5" t="s">
        <v>31</v>
      </c>
      <c r="J1002" s="34" t="s">
        <v>397</v>
      </c>
      <c r="K1002" s="31">
        <v>15196</v>
      </c>
      <c r="L1002" s="5" t="s">
        <v>23</v>
      </c>
      <c r="M1002" s="32">
        <v>0.05</v>
      </c>
      <c r="N1002" s="6">
        <f t="shared" si="152"/>
        <v>5</v>
      </c>
      <c r="O1002" s="4" t="s">
        <v>94</v>
      </c>
      <c r="P1002" s="5" t="str">
        <f t="shared" si="153"/>
        <v>Delhi</v>
      </c>
      <c r="Q1002" s="5" t="str">
        <f t="shared" si="154"/>
        <v>Nephrology</v>
      </c>
      <c r="R1002" s="6" t="str">
        <f t="shared" si="155"/>
        <v>Fortis</v>
      </c>
      <c r="S1002" s="6" t="str">
        <f t="shared" si="156"/>
        <v>Credit Card</v>
      </c>
      <c r="T1002" s="6" t="str">
        <f t="shared" si="157"/>
        <v>Male</v>
      </c>
      <c r="U1002" s="6" t="str">
        <f t="shared" si="160"/>
        <v>General</v>
      </c>
      <c r="V1002" s="6" t="str" cm="1">
        <f t="array" ref="V1002">IF(TRIM(S1002)="",INDEX($S$2:$S$1500,MATCH(MAX(COUNTIF($S$2:$S$1500,S1002)),COUNTIF($S$2:$S$1500,$S$2:$S$1500),0)),S1002)</f>
        <v>Credit Card</v>
      </c>
      <c r="W1002" s="7" cm="1">
        <f t="array" ref="W1002">IF(OR(TRIM(K1002)="",TRIM(K1002)="-"), MEDIAN(IF($E$2:$E$1500=E1002,$K$2:$K$1500)),  VALUE(SUBSTITUTE(SUBSTITUTE(SUBSTITUTE(K1002,"Rs. ",""),"₹",""),",","")))</f>
        <v>15196</v>
      </c>
      <c r="X1002" s="8">
        <f t="shared" si="158"/>
        <v>5</v>
      </c>
      <c r="Y1002" s="7">
        <f t="shared" si="159"/>
        <v>14436</v>
      </c>
      <c r="Z1002" s="9" t="str">
        <f t="shared" si="151"/>
        <v>CHILD</v>
      </c>
    </row>
    <row r="1003" spans="1:26" x14ac:dyDescent="0.3">
      <c r="A1003" s="5" t="s">
        <v>2051</v>
      </c>
      <c r="B1003" s="5" t="s">
        <v>117</v>
      </c>
      <c r="C1003" s="5" t="s">
        <v>127</v>
      </c>
      <c r="D1003" s="5" t="s">
        <v>189</v>
      </c>
      <c r="E1003" s="5" t="s">
        <v>99</v>
      </c>
      <c r="F1003" s="5" t="s">
        <v>151</v>
      </c>
      <c r="G1003" s="5" t="s">
        <v>19</v>
      </c>
      <c r="H1003" s="5">
        <v>74</v>
      </c>
      <c r="I1003" s="5" t="s">
        <v>20</v>
      </c>
      <c r="J1003" s="34" t="s">
        <v>626</v>
      </c>
      <c r="K1003" s="31" t="s">
        <v>2052</v>
      </c>
      <c r="L1003" s="5" t="s">
        <v>97</v>
      </c>
      <c r="M1003" s="32" t="s">
        <v>130</v>
      </c>
      <c r="N1003" s="6">
        <f t="shared" si="152"/>
        <v>0</v>
      </c>
      <c r="O1003" s="4" t="s">
        <v>151</v>
      </c>
      <c r="P1003" s="5" t="str">
        <f t="shared" si="153"/>
        <v>Delhi</v>
      </c>
      <c r="Q1003" s="5" t="str">
        <f t="shared" si="154"/>
        <v>Ent</v>
      </c>
      <c r="R1003" s="6" t="str">
        <f t="shared" si="155"/>
        <v>Manipal</v>
      </c>
      <c r="S1003" s="6" t="str">
        <f t="shared" si="156"/>
        <v>UPI</v>
      </c>
      <c r="T1003" s="6" t="str">
        <f t="shared" si="157"/>
        <v>Male</v>
      </c>
      <c r="U1003" s="6" t="str">
        <f t="shared" si="160"/>
        <v>General</v>
      </c>
      <c r="V1003" s="6" t="str" cm="1">
        <f t="array" ref="V1003">IF(TRIM(S1003)="",INDEX($S$2:$S$1500,MATCH(MAX(COUNTIF($S$2:$S$1500,S1003)),COUNTIF($S$2:$S$1500,$S$2:$S$1500),0)),S1003)</f>
        <v>UPI</v>
      </c>
      <c r="W1003" s="7" cm="1">
        <f t="array" ref="W1003">IF(OR(TRIM(K1003)="",TRIM(K1003)="-"), MEDIAN(IF($E$2:$E$1500=E1003,$K$2:$K$1500)),  VALUE(SUBSTITUTE(SUBSTITUTE(SUBSTITUTE(K1003,"Rs. ",""),"₹",""),",","")))</f>
        <v>13777</v>
      </c>
      <c r="X1003" s="8">
        <f t="shared" si="158"/>
        <v>0</v>
      </c>
      <c r="Y1003" s="7">
        <f t="shared" si="159"/>
        <v>13777</v>
      </c>
      <c r="Z1003" s="9" t="str">
        <f t="shared" si="151"/>
        <v>SENIOR</v>
      </c>
    </row>
    <row r="1004" spans="1:26" x14ac:dyDescent="0.3">
      <c r="A1004" s="5" t="s">
        <v>2053</v>
      </c>
      <c r="B1004" s="5" t="s">
        <v>14</v>
      </c>
      <c r="C1004" s="5" t="s">
        <v>60</v>
      </c>
      <c r="D1004" s="5" t="s">
        <v>80</v>
      </c>
      <c r="E1004" s="5" t="s">
        <v>93</v>
      </c>
      <c r="F1004" s="5" t="s">
        <v>121</v>
      </c>
      <c r="G1004" s="5" t="s">
        <v>39</v>
      </c>
      <c r="H1004" s="5">
        <v>36</v>
      </c>
      <c r="I1004" s="5" t="s">
        <v>20</v>
      </c>
      <c r="J1004" s="34" t="s">
        <v>2054</v>
      </c>
      <c r="K1004" s="31">
        <v>3635</v>
      </c>
      <c r="L1004" s="5" t="s">
        <v>83</v>
      </c>
      <c r="M1004" s="32">
        <v>10</v>
      </c>
      <c r="N1004" s="6">
        <f t="shared" si="152"/>
        <v>10</v>
      </c>
      <c r="O1004" s="4" t="s">
        <v>121</v>
      </c>
      <c r="P1004" s="5" t="str">
        <f t="shared" si="153"/>
        <v>Ahmedabad</v>
      </c>
      <c r="Q1004" s="5" t="str">
        <f t="shared" si="154"/>
        <v>Nephrology</v>
      </c>
      <c r="R1004" s="6" t="str">
        <f t="shared" si="155"/>
        <v>Max_Healthcare</v>
      </c>
      <c r="S1004" s="6" t="str">
        <f t="shared" si="156"/>
        <v>Debit Card</v>
      </c>
      <c r="T1004" s="6" t="str">
        <f t="shared" si="157"/>
        <v>Male</v>
      </c>
      <c r="U1004" s="6" t="str">
        <f t="shared" si="160"/>
        <v>General</v>
      </c>
      <c r="V1004" s="6" t="str" cm="1">
        <f t="array" ref="V1004">IF(TRIM(S1004)="",INDEX($S$2:$S$1500,MATCH(MAX(COUNTIF($S$2:$S$1500,S1004)),COUNTIF($S$2:$S$1500,$S$2:$S$1500),0)),S1004)</f>
        <v>Debit Card</v>
      </c>
      <c r="W1004" s="7" cm="1">
        <f t="array" ref="W1004">IF(OR(TRIM(K1004)="",TRIM(K1004)="-"), MEDIAN(IF($E$2:$E$1500=E1004,$K$2:$K$1500)),  VALUE(SUBSTITUTE(SUBSTITUTE(SUBSTITUTE(K1004,"Rs. ",""),"₹",""),",","")))</f>
        <v>3635</v>
      </c>
      <c r="X1004" s="8">
        <f t="shared" si="158"/>
        <v>10</v>
      </c>
      <c r="Y1004" s="7">
        <f t="shared" si="159"/>
        <v>3272</v>
      </c>
      <c r="Z1004" s="9" t="str">
        <f t="shared" si="151"/>
        <v>ADULT</v>
      </c>
    </row>
    <row r="1005" spans="1:26" x14ac:dyDescent="0.3">
      <c r="A1005" s="5" t="s">
        <v>2055</v>
      </c>
      <c r="B1005" s="5" t="s">
        <v>25</v>
      </c>
      <c r="C1005" s="5" t="s">
        <v>26</v>
      </c>
      <c r="D1005" s="5" t="s">
        <v>189</v>
      </c>
      <c r="E1005" s="5" t="s">
        <v>47</v>
      </c>
      <c r="F1005" s="5" t="s">
        <v>48</v>
      </c>
      <c r="G1005" s="5" t="s">
        <v>49</v>
      </c>
      <c r="H1005" s="5">
        <v>2</v>
      </c>
      <c r="I1005" s="5" t="s">
        <v>40</v>
      </c>
      <c r="J1005" s="34" t="s">
        <v>708</v>
      </c>
      <c r="K1005" s="31" t="s">
        <v>2056</v>
      </c>
      <c r="L1005" s="5" t="s">
        <v>58</v>
      </c>
      <c r="M1005" s="32" t="s">
        <v>198</v>
      </c>
      <c r="N1005" s="6">
        <f t="shared" si="152"/>
        <v>5</v>
      </c>
      <c r="O1005" s="4" t="s">
        <v>48</v>
      </c>
      <c r="P1005" s="5" t="str">
        <f t="shared" si="153"/>
        <v>Delhi</v>
      </c>
      <c r="Q1005" s="5" t="str">
        <f t="shared" si="154"/>
        <v>Gastroenterology</v>
      </c>
      <c r="R1005" s="6" t="str">
        <f t="shared" si="155"/>
        <v>Narayana</v>
      </c>
      <c r="S1005" s="6" t="str">
        <f t="shared" si="156"/>
        <v>UPI</v>
      </c>
      <c r="T1005" s="6" t="str">
        <f t="shared" si="157"/>
        <v>Female</v>
      </c>
      <c r="U1005" s="6" t="str">
        <f t="shared" si="160"/>
        <v>General</v>
      </c>
      <c r="V1005" s="6" t="str" cm="1">
        <f t="array" ref="V1005">IF(TRIM(S1005)="",INDEX($S$2:$S$1500,MATCH(MAX(COUNTIF($S$2:$S$1500,S1005)),COUNTIF($S$2:$S$1500,$S$2:$S$1500),0)),S1005)</f>
        <v>UPI</v>
      </c>
      <c r="W1005" s="7" cm="1">
        <f t="array" ref="W1005">IF(OR(TRIM(K1005)="",TRIM(K1005)="-"), MEDIAN(IF($E$2:$E$1500=E1005,$K$2:$K$1500)),  VALUE(SUBSTITUTE(SUBSTITUTE(SUBSTITUTE(K1005,"Rs. ",""),"₹",""),",","")))</f>
        <v>9681</v>
      </c>
      <c r="X1005" s="8">
        <f t="shared" si="158"/>
        <v>5</v>
      </c>
      <c r="Y1005" s="7">
        <f t="shared" si="159"/>
        <v>9197</v>
      </c>
      <c r="Z1005" s="9" t="str">
        <f t="shared" si="151"/>
        <v>CHILD</v>
      </c>
    </row>
    <row r="1006" spans="1:26" x14ac:dyDescent="0.3">
      <c r="A1006" s="5" t="s">
        <v>2057</v>
      </c>
      <c r="B1006" s="5" t="s">
        <v>117</v>
      </c>
      <c r="C1006" s="5" t="s">
        <v>182</v>
      </c>
      <c r="D1006" s="5" t="s">
        <v>36</v>
      </c>
      <c r="E1006" s="5" t="s">
        <v>164</v>
      </c>
      <c r="F1006" s="5" t="s">
        <v>282</v>
      </c>
      <c r="G1006" s="5"/>
      <c r="H1006" s="5">
        <v>9</v>
      </c>
      <c r="I1006" s="5" t="s">
        <v>31</v>
      </c>
      <c r="J1006" s="34" t="s">
        <v>119</v>
      </c>
      <c r="K1006" s="31">
        <v>17480</v>
      </c>
      <c r="L1006" s="5"/>
      <c r="M1006" s="32">
        <v>0</v>
      </c>
      <c r="N1006" s="6">
        <f t="shared" si="152"/>
        <v>0</v>
      </c>
      <c r="O1006" s="4" t="s">
        <v>282</v>
      </c>
      <c r="P1006" s="5" t="str">
        <f t="shared" si="153"/>
        <v>Chennai</v>
      </c>
      <c r="Q1006" s="5" t="str">
        <f t="shared" si="154"/>
        <v>Cardiology</v>
      </c>
      <c r="R1006" s="6" t="str">
        <f t="shared" si="155"/>
        <v>Manipal</v>
      </c>
      <c r="S1006" s="6" t="str">
        <f t="shared" si="156"/>
        <v>Unknown</v>
      </c>
      <c r="T1006" s="6" t="str">
        <f t="shared" si="157"/>
        <v>Male</v>
      </c>
      <c r="U1006" s="6" t="str">
        <f t="shared" si="160"/>
        <v>Unknown</v>
      </c>
      <c r="V1006" s="6" t="str" cm="1">
        <f t="array" ref="V1006">IF(TRIM(S1006)="",INDEX($S$2:$S$1500,MATCH(MAX(COUNTIF($S$2:$S$1500,S1006)),COUNTIF($S$2:$S$1500,$S$2:$S$1500),0)),S1006)</f>
        <v>Unknown</v>
      </c>
      <c r="W1006" s="7" cm="1">
        <f t="array" ref="W1006">IF(OR(TRIM(K1006)="",TRIM(K1006)="-"), MEDIAN(IF($E$2:$E$1500=E1006,$K$2:$K$1500)),  VALUE(SUBSTITUTE(SUBSTITUTE(SUBSTITUTE(K1006,"Rs. ",""),"₹",""),",","")))</f>
        <v>17480</v>
      </c>
      <c r="X1006" s="8">
        <f t="shared" si="158"/>
        <v>0</v>
      </c>
      <c r="Y1006" s="7">
        <f t="shared" si="159"/>
        <v>17480</v>
      </c>
      <c r="Z1006" s="9" t="str">
        <f t="shared" si="151"/>
        <v>CHILD</v>
      </c>
    </row>
    <row r="1007" spans="1:26" x14ac:dyDescent="0.3">
      <c r="A1007" s="5" t="s">
        <v>2058</v>
      </c>
      <c r="B1007" s="5" t="s">
        <v>117</v>
      </c>
      <c r="C1007" s="5" t="s">
        <v>127</v>
      </c>
      <c r="D1007" s="5" t="s">
        <v>80</v>
      </c>
      <c r="E1007" s="5" t="s">
        <v>67</v>
      </c>
      <c r="F1007" s="5" t="s">
        <v>196</v>
      </c>
      <c r="G1007" s="5" t="s">
        <v>101</v>
      </c>
      <c r="H1007" s="5">
        <v>19</v>
      </c>
      <c r="I1007" s="5" t="s">
        <v>20</v>
      </c>
      <c r="J1007" s="34" t="s">
        <v>2059</v>
      </c>
      <c r="K1007" s="31" t="s">
        <v>140</v>
      </c>
      <c r="L1007" s="5" t="s">
        <v>34</v>
      </c>
      <c r="M1007" s="32">
        <v>0</v>
      </c>
      <c r="N1007" s="6">
        <f t="shared" si="152"/>
        <v>0</v>
      </c>
      <c r="O1007" s="4" t="s">
        <v>196</v>
      </c>
      <c r="P1007" s="5" t="str">
        <f t="shared" si="153"/>
        <v>Ahmedabad</v>
      </c>
      <c r="Q1007" s="5" t="str">
        <f t="shared" si="154"/>
        <v>Neurology</v>
      </c>
      <c r="R1007" s="6" t="str">
        <f t="shared" si="155"/>
        <v>Manipal</v>
      </c>
      <c r="S1007" s="6" t="str">
        <f t="shared" si="156"/>
        <v>Cash</v>
      </c>
      <c r="T1007" s="6" t="str">
        <f t="shared" si="157"/>
        <v>Male</v>
      </c>
      <c r="U1007" s="6" t="str">
        <f t="shared" si="160"/>
        <v>ICU</v>
      </c>
      <c r="V1007" s="6" t="str" cm="1">
        <f t="array" ref="V1007">IF(TRIM(S1007)="",INDEX($S$2:$S$1500,MATCH(MAX(COUNTIF($S$2:$S$1500,S1007)),COUNTIF($S$2:$S$1500,$S$2:$S$1500),0)),S1007)</f>
        <v>Cash</v>
      </c>
      <c r="W1007" s="7" cm="1">
        <f t="array" ref="W1007">IF(OR(TRIM(K1007)="",TRIM(K1007)="-"), MEDIAN(IF($E$2:$E$1500=E1007,$K$2:$K$1500)),  VALUE(SUBSTITUTE(SUBSTITUTE(SUBSTITUTE(K1007,"Rs. ",""),"₹",""),",","")))</f>
        <v>13353</v>
      </c>
      <c r="X1007" s="8">
        <f t="shared" si="158"/>
        <v>0</v>
      </c>
      <c r="Y1007" s="7">
        <f t="shared" si="159"/>
        <v>13353</v>
      </c>
      <c r="Z1007" s="9" t="str">
        <f t="shared" si="151"/>
        <v>TEEN</v>
      </c>
    </row>
    <row r="1008" spans="1:26" x14ac:dyDescent="0.3">
      <c r="A1008" s="5" t="s">
        <v>2060</v>
      </c>
      <c r="B1008" s="5" t="s">
        <v>106</v>
      </c>
      <c r="C1008" s="5" t="s">
        <v>307</v>
      </c>
      <c r="D1008" s="5" t="s">
        <v>80</v>
      </c>
      <c r="E1008" s="5" t="s">
        <v>108</v>
      </c>
      <c r="F1008" s="5" t="s">
        <v>124</v>
      </c>
      <c r="G1008" s="5" t="s">
        <v>101</v>
      </c>
      <c r="H1008" s="5">
        <v>66</v>
      </c>
      <c r="I1008" s="5" t="s">
        <v>70</v>
      </c>
      <c r="J1008" s="34" t="s">
        <v>1306</v>
      </c>
      <c r="K1008" s="31">
        <v>87826</v>
      </c>
      <c r="L1008" s="5" t="s">
        <v>72</v>
      </c>
      <c r="M1008" s="32" t="s">
        <v>64</v>
      </c>
      <c r="N1008" s="6" t="str">
        <f t="shared" si="152"/>
        <v>NA</v>
      </c>
      <c r="O1008" s="4" t="s">
        <v>124</v>
      </c>
      <c r="P1008" s="5" t="str">
        <f t="shared" si="153"/>
        <v>Ahmedabad</v>
      </c>
      <c r="Q1008" s="5" t="str">
        <f t="shared" si="154"/>
        <v>Orthopedics</v>
      </c>
      <c r="R1008" s="6" t="str">
        <f t="shared" si="155"/>
        <v>Aiims</v>
      </c>
      <c r="S1008" s="6" t="str">
        <f t="shared" si="156"/>
        <v>Cash</v>
      </c>
      <c r="T1008" s="6" t="str">
        <f t="shared" si="157"/>
        <v>Female</v>
      </c>
      <c r="U1008" s="6" t="str">
        <f t="shared" si="160"/>
        <v>ICU</v>
      </c>
      <c r="V1008" s="6" t="str" cm="1">
        <f t="array" ref="V1008">IF(TRIM(S1008)="",INDEX($S$2:$S$1500,MATCH(MAX(COUNTIF($S$2:$S$1500,S1008)),COUNTIF($S$2:$S$1500,$S$2:$S$1500),0)),S1008)</f>
        <v>Cash</v>
      </c>
      <c r="W1008" s="7" cm="1">
        <f t="array" ref="W1008">IF(OR(TRIM(K1008)="",TRIM(K1008)="-"), MEDIAN(IF($E$2:$E$1500=E1008,$K$2:$K$1500)),  VALUE(SUBSTITUTE(SUBSTITUTE(SUBSTITUTE(K1008,"Rs. ",""),"₹",""),",","")))</f>
        <v>87826</v>
      </c>
      <c r="X1008" s="8">
        <f t="shared" si="158"/>
        <v>3</v>
      </c>
      <c r="Y1008" s="7">
        <f t="shared" si="159"/>
        <v>85191</v>
      </c>
      <c r="Z1008" s="9" t="str">
        <f t="shared" si="151"/>
        <v>SENIOR</v>
      </c>
    </row>
    <row r="1009" spans="1:26" x14ac:dyDescent="0.3">
      <c r="A1009" s="5" t="s">
        <v>2061</v>
      </c>
      <c r="B1009" s="5" t="s">
        <v>25</v>
      </c>
      <c r="C1009" s="5" t="s">
        <v>54</v>
      </c>
      <c r="D1009" s="5" t="s">
        <v>189</v>
      </c>
      <c r="E1009" s="5" t="s">
        <v>37</v>
      </c>
      <c r="F1009" s="5" t="s">
        <v>185</v>
      </c>
      <c r="G1009" s="5" t="s">
        <v>19</v>
      </c>
      <c r="H1009" s="5">
        <v>40</v>
      </c>
      <c r="I1009" s="5" t="s">
        <v>40</v>
      </c>
      <c r="J1009" s="34" t="s">
        <v>2062</v>
      </c>
      <c r="K1009" s="31">
        <v>10058</v>
      </c>
      <c r="L1009" s="5" t="s">
        <v>34</v>
      </c>
      <c r="M1009" s="32"/>
      <c r="N1009" s="6">
        <f t="shared" si="152"/>
        <v>0</v>
      </c>
      <c r="O1009" s="4" t="s">
        <v>185</v>
      </c>
      <c r="P1009" s="5" t="str">
        <f t="shared" si="153"/>
        <v>Delhi</v>
      </c>
      <c r="Q1009" s="5" t="str">
        <f t="shared" si="154"/>
        <v>Pediatrics</v>
      </c>
      <c r="R1009" s="6" t="str">
        <f t="shared" si="155"/>
        <v>Narayana</v>
      </c>
      <c r="S1009" s="6" t="str">
        <f t="shared" si="156"/>
        <v>Cash</v>
      </c>
      <c r="T1009" s="6" t="str">
        <f t="shared" si="157"/>
        <v>Female</v>
      </c>
      <c r="U1009" s="6" t="str">
        <f t="shared" si="160"/>
        <v>General</v>
      </c>
      <c r="V1009" s="6" t="str" cm="1">
        <f t="array" ref="V1009">IF(TRIM(S1009)="",INDEX($S$2:$S$1500,MATCH(MAX(COUNTIF($S$2:$S$1500,S1009)),COUNTIF($S$2:$S$1500,$S$2:$S$1500),0)),S1009)</f>
        <v>Cash</v>
      </c>
      <c r="W1009" s="7" cm="1">
        <f t="array" ref="W1009">IF(OR(TRIM(K1009)="",TRIM(K1009)="-"), MEDIAN(IF($E$2:$E$1500=E1009,$K$2:$K$1500)),  VALUE(SUBSTITUTE(SUBSTITUTE(SUBSTITUTE(K1009,"Rs. ",""),"₹",""),",","")))</f>
        <v>10058</v>
      </c>
      <c r="X1009" s="8">
        <f t="shared" si="158"/>
        <v>0</v>
      </c>
      <c r="Y1009" s="7">
        <f t="shared" si="159"/>
        <v>10058</v>
      </c>
      <c r="Z1009" s="9" t="str">
        <f t="shared" si="151"/>
        <v>ADULT</v>
      </c>
    </row>
    <row r="1010" spans="1:26" x14ac:dyDescent="0.3">
      <c r="A1010" s="5" t="s">
        <v>2063</v>
      </c>
      <c r="B1010" s="5" t="s">
        <v>14</v>
      </c>
      <c r="C1010" s="5" t="s">
        <v>60</v>
      </c>
      <c r="D1010" s="5" t="s">
        <v>16</v>
      </c>
      <c r="E1010" s="5" t="s">
        <v>74</v>
      </c>
      <c r="F1010" s="5" t="s">
        <v>192</v>
      </c>
      <c r="G1010" s="5" t="s">
        <v>19</v>
      </c>
      <c r="H1010" s="5">
        <v>54</v>
      </c>
      <c r="I1010" s="5" t="s">
        <v>40</v>
      </c>
      <c r="J1010" s="34" t="s">
        <v>995</v>
      </c>
      <c r="K1010" s="31">
        <v>15681</v>
      </c>
      <c r="L1010" s="5" t="s">
        <v>42</v>
      </c>
      <c r="M1010" s="32" t="s">
        <v>1385</v>
      </c>
      <c r="N1010" s="6">
        <f t="shared" si="152"/>
        <v>20</v>
      </c>
      <c r="O1010" s="4" t="s">
        <v>192</v>
      </c>
      <c r="P1010" s="5" t="str">
        <f t="shared" si="153"/>
        <v>Bangalore</v>
      </c>
      <c r="Q1010" s="5" t="str">
        <f t="shared" si="154"/>
        <v>General Medicine</v>
      </c>
      <c r="R1010" s="6" t="str">
        <f t="shared" si="155"/>
        <v>Max_Healthcare</v>
      </c>
      <c r="S1010" s="6" t="str">
        <f t="shared" si="156"/>
        <v>Insurance</v>
      </c>
      <c r="T1010" s="6" t="str">
        <f t="shared" si="157"/>
        <v>Female</v>
      </c>
      <c r="U1010" s="6" t="str">
        <f t="shared" si="160"/>
        <v>General</v>
      </c>
      <c r="V1010" s="6" t="str" cm="1">
        <f t="array" ref="V1010">IF(TRIM(S1010)="",INDEX($S$2:$S$1500,MATCH(MAX(COUNTIF($S$2:$S$1500,S1010)),COUNTIF($S$2:$S$1500,$S$2:$S$1500),0)),S1010)</f>
        <v>Insurance</v>
      </c>
      <c r="W1010" s="7" cm="1">
        <f t="array" ref="W1010">IF(OR(TRIM(K1010)="",TRIM(K1010)="-"), MEDIAN(IF($E$2:$E$1500=E1010,$K$2:$K$1500)),  VALUE(SUBSTITUTE(SUBSTITUTE(SUBSTITUTE(K1010,"Rs. ",""),"₹",""),",","")))</f>
        <v>15681</v>
      </c>
      <c r="X1010" s="8">
        <f t="shared" si="158"/>
        <v>20</v>
      </c>
      <c r="Y1010" s="7">
        <f t="shared" si="159"/>
        <v>12545</v>
      </c>
      <c r="Z1010" s="9" t="str">
        <f t="shared" si="151"/>
        <v>ADULT</v>
      </c>
    </row>
    <row r="1011" spans="1:26" x14ac:dyDescent="0.3">
      <c r="A1011" s="5" t="s">
        <v>2064</v>
      </c>
      <c r="B1011" s="5" t="s">
        <v>45</v>
      </c>
      <c r="C1011" s="5" t="s">
        <v>46</v>
      </c>
      <c r="D1011" s="5" t="s">
        <v>189</v>
      </c>
      <c r="E1011" s="5" t="s">
        <v>17</v>
      </c>
      <c r="F1011" s="5" t="s">
        <v>18</v>
      </c>
      <c r="G1011" s="5" t="s">
        <v>69</v>
      </c>
      <c r="H1011" s="5">
        <v>41</v>
      </c>
      <c r="I1011" s="5" t="s">
        <v>20</v>
      </c>
      <c r="J1011" s="34" t="s">
        <v>2065</v>
      </c>
      <c r="K1011" s="31">
        <v>85893</v>
      </c>
      <c r="L1011" s="5" t="s">
        <v>91</v>
      </c>
      <c r="M1011" s="32">
        <v>10</v>
      </c>
      <c r="N1011" s="6">
        <f t="shared" si="152"/>
        <v>10</v>
      </c>
      <c r="O1011" s="4" t="s">
        <v>18</v>
      </c>
      <c r="P1011" s="5" t="str">
        <f t="shared" si="153"/>
        <v>Delhi</v>
      </c>
      <c r="Q1011" s="5" t="str">
        <f t="shared" si="154"/>
        <v>Gynecology</v>
      </c>
      <c r="R1011" s="6" t="str">
        <f t="shared" si="155"/>
        <v>Fortis</v>
      </c>
      <c r="S1011" s="6" t="str">
        <f t="shared" si="156"/>
        <v>Debit Card</v>
      </c>
      <c r="T1011" s="6" t="str">
        <f t="shared" si="157"/>
        <v>Male</v>
      </c>
      <c r="U1011" s="6" t="str">
        <f t="shared" si="160"/>
        <v>ICU</v>
      </c>
      <c r="V1011" s="6" t="str" cm="1">
        <f t="array" ref="V1011">IF(TRIM(S1011)="",INDEX($S$2:$S$1500,MATCH(MAX(COUNTIF($S$2:$S$1500,S1011)),COUNTIF($S$2:$S$1500,$S$2:$S$1500),0)),S1011)</f>
        <v>Debit Card</v>
      </c>
      <c r="W1011" s="7" cm="1">
        <f t="array" ref="W1011">IF(OR(TRIM(K1011)="",TRIM(K1011)="-"), MEDIAN(IF($E$2:$E$1500=E1011,$K$2:$K$1500)),  VALUE(SUBSTITUTE(SUBSTITUTE(SUBSTITUTE(K1011,"Rs. ",""),"₹",""),",","")))</f>
        <v>85893</v>
      </c>
      <c r="X1011" s="8">
        <f t="shared" si="158"/>
        <v>10</v>
      </c>
      <c r="Y1011" s="7">
        <f t="shared" si="159"/>
        <v>77304</v>
      </c>
      <c r="Z1011" s="9" t="str">
        <f t="shared" si="151"/>
        <v>ADULT</v>
      </c>
    </row>
    <row r="1012" spans="1:26" x14ac:dyDescent="0.3">
      <c r="A1012" s="5" t="s">
        <v>2066</v>
      </c>
      <c r="B1012" s="5" t="s">
        <v>78</v>
      </c>
      <c r="C1012" s="5" t="s">
        <v>79</v>
      </c>
      <c r="D1012" s="5" t="s">
        <v>66</v>
      </c>
      <c r="E1012" s="5" t="s">
        <v>37</v>
      </c>
      <c r="F1012" s="5" t="s">
        <v>185</v>
      </c>
      <c r="G1012" s="5"/>
      <c r="H1012" s="5">
        <v>88</v>
      </c>
      <c r="I1012" s="5" t="s">
        <v>20</v>
      </c>
      <c r="J1012" s="34" t="s">
        <v>1006</v>
      </c>
      <c r="K1012" s="31">
        <v>16425</v>
      </c>
      <c r="L1012" s="5" t="s">
        <v>149</v>
      </c>
      <c r="M1012" s="32" t="s">
        <v>227</v>
      </c>
      <c r="N1012" s="6">
        <f t="shared" si="152"/>
        <v>25</v>
      </c>
      <c r="O1012" s="4" t="s">
        <v>185</v>
      </c>
      <c r="P1012" s="5" t="str">
        <f t="shared" si="153"/>
        <v>Kolkata</v>
      </c>
      <c r="Q1012" s="5" t="str">
        <f t="shared" si="154"/>
        <v>Pediatrics</v>
      </c>
      <c r="R1012" s="6" t="str">
        <f t="shared" si="155"/>
        <v>Apollo</v>
      </c>
      <c r="S1012" s="6" t="str">
        <f t="shared" si="156"/>
        <v>Insurance</v>
      </c>
      <c r="T1012" s="6" t="str">
        <f t="shared" si="157"/>
        <v>Male</v>
      </c>
      <c r="U1012" s="6" t="str">
        <f t="shared" si="160"/>
        <v>Unknown</v>
      </c>
      <c r="V1012" s="6" t="str" cm="1">
        <f t="array" ref="V1012">IF(TRIM(S1012)="",INDEX($S$2:$S$1500,MATCH(MAX(COUNTIF($S$2:$S$1500,S1012)),COUNTIF($S$2:$S$1500,$S$2:$S$1500),0)),S1012)</f>
        <v>Insurance</v>
      </c>
      <c r="W1012" s="7" cm="1">
        <f t="array" ref="W1012">IF(OR(TRIM(K1012)="",TRIM(K1012)="-"), MEDIAN(IF($E$2:$E$1500=E1012,$K$2:$K$1500)),  VALUE(SUBSTITUTE(SUBSTITUTE(SUBSTITUTE(K1012,"Rs. ",""),"₹",""),",","")))</f>
        <v>16425</v>
      </c>
      <c r="X1012" s="8">
        <f t="shared" si="158"/>
        <v>25</v>
      </c>
      <c r="Y1012" s="7">
        <f t="shared" si="159"/>
        <v>12319</v>
      </c>
      <c r="Z1012" s="9" t="str">
        <f t="shared" si="151"/>
        <v>SENIOR</v>
      </c>
    </row>
    <row r="1013" spans="1:26" x14ac:dyDescent="0.3">
      <c r="A1013" s="5" t="s">
        <v>2067</v>
      </c>
      <c r="B1013" s="5" t="s">
        <v>106</v>
      </c>
      <c r="C1013" s="5" t="s">
        <v>107</v>
      </c>
      <c r="D1013" s="5" t="s">
        <v>80</v>
      </c>
      <c r="E1013" s="5" t="s">
        <v>37</v>
      </c>
      <c r="F1013" s="5" t="s">
        <v>56</v>
      </c>
      <c r="G1013" s="5" t="s">
        <v>19</v>
      </c>
      <c r="H1013" s="5">
        <v>34</v>
      </c>
      <c r="I1013" s="5" t="s">
        <v>70</v>
      </c>
      <c r="J1013" s="34" t="s">
        <v>1714</v>
      </c>
      <c r="K1013" s="31">
        <v>10053</v>
      </c>
      <c r="L1013" s="5" t="s">
        <v>83</v>
      </c>
      <c r="M1013" s="32" t="s">
        <v>64</v>
      </c>
      <c r="N1013" s="6" t="str">
        <f t="shared" si="152"/>
        <v>NA</v>
      </c>
      <c r="O1013" s="4" t="s">
        <v>56</v>
      </c>
      <c r="P1013" s="5" t="str">
        <f t="shared" si="153"/>
        <v>Ahmedabad</v>
      </c>
      <c r="Q1013" s="5" t="str">
        <f t="shared" si="154"/>
        <v>Pediatrics</v>
      </c>
      <c r="R1013" s="6" t="str">
        <f t="shared" si="155"/>
        <v>Aiims</v>
      </c>
      <c r="S1013" s="6" t="str">
        <f t="shared" si="156"/>
        <v>Debit Card</v>
      </c>
      <c r="T1013" s="6" t="str">
        <f t="shared" si="157"/>
        <v>Female</v>
      </c>
      <c r="U1013" s="6" t="str">
        <f t="shared" si="160"/>
        <v>General</v>
      </c>
      <c r="V1013" s="6" t="str" cm="1">
        <f t="array" ref="V1013">IF(TRIM(S1013)="",INDEX($S$2:$S$1500,MATCH(MAX(COUNTIF($S$2:$S$1500,S1013)),COUNTIF($S$2:$S$1500,$S$2:$S$1500),0)),S1013)</f>
        <v>Debit Card</v>
      </c>
      <c r="W1013" s="7" cm="1">
        <f t="array" ref="W1013">IF(OR(TRIM(K1013)="",TRIM(K1013)="-"), MEDIAN(IF($E$2:$E$1500=E1013,$K$2:$K$1500)),  VALUE(SUBSTITUTE(SUBSTITUTE(SUBSTITUTE(K1013,"Rs. ",""),"₹",""),",","")))</f>
        <v>10053</v>
      </c>
      <c r="X1013" s="8">
        <f t="shared" si="158"/>
        <v>3</v>
      </c>
      <c r="Y1013" s="7">
        <f t="shared" si="159"/>
        <v>9751</v>
      </c>
      <c r="Z1013" s="9" t="str">
        <f t="shared" si="151"/>
        <v>ADULT</v>
      </c>
    </row>
    <row r="1014" spans="1:26" x14ac:dyDescent="0.3">
      <c r="A1014" s="5" t="s">
        <v>2068</v>
      </c>
      <c r="B1014" s="5" t="s">
        <v>25</v>
      </c>
      <c r="C1014" s="5" t="s">
        <v>54</v>
      </c>
      <c r="D1014" s="5" t="s">
        <v>189</v>
      </c>
      <c r="E1014" s="5" t="s">
        <v>74</v>
      </c>
      <c r="F1014" s="5" t="s">
        <v>75</v>
      </c>
      <c r="G1014" s="5" t="s">
        <v>101</v>
      </c>
      <c r="H1014" s="5">
        <v>36</v>
      </c>
      <c r="I1014" s="5" t="s">
        <v>40</v>
      </c>
      <c r="J1014" s="34" t="s">
        <v>1036</v>
      </c>
      <c r="K1014" s="31" t="s">
        <v>2069</v>
      </c>
      <c r="L1014" s="5" t="s">
        <v>34</v>
      </c>
      <c r="M1014" s="32"/>
      <c r="N1014" s="6">
        <f t="shared" si="152"/>
        <v>0</v>
      </c>
      <c r="O1014" s="4" t="s">
        <v>75</v>
      </c>
      <c r="P1014" s="5" t="str">
        <f t="shared" si="153"/>
        <v>Delhi</v>
      </c>
      <c r="Q1014" s="5" t="str">
        <f t="shared" si="154"/>
        <v>General Medicine</v>
      </c>
      <c r="R1014" s="6" t="str">
        <f t="shared" si="155"/>
        <v>Narayana</v>
      </c>
      <c r="S1014" s="6" t="str">
        <f t="shared" si="156"/>
        <v>Cash</v>
      </c>
      <c r="T1014" s="6" t="str">
        <f t="shared" si="157"/>
        <v>Female</v>
      </c>
      <c r="U1014" s="6" t="str">
        <f t="shared" si="160"/>
        <v>ICU</v>
      </c>
      <c r="V1014" s="6" t="str" cm="1">
        <f t="array" ref="V1014">IF(TRIM(S1014)="",INDEX($S$2:$S$1500,MATCH(MAX(COUNTIF($S$2:$S$1500,S1014)),COUNTIF($S$2:$S$1500,$S$2:$S$1500),0)),S1014)</f>
        <v>Cash</v>
      </c>
      <c r="W1014" s="7" cm="1">
        <f t="array" ref="W1014">IF(OR(TRIM(K1014)="",TRIM(K1014)="-"), MEDIAN(IF($E$2:$E$1500=E1014,$K$2:$K$1500)),  VALUE(SUBSTITUTE(SUBSTITUTE(SUBSTITUTE(K1014,"Rs. ",""),"₹",""),",","")))</f>
        <v>31314</v>
      </c>
      <c r="X1014" s="8">
        <f t="shared" si="158"/>
        <v>0</v>
      </c>
      <c r="Y1014" s="7">
        <f t="shared" si="159"/>
        <v>31314</v>
      </c>
      <c r="Z1014" s="9" t="str">
        <f t="shared" si="151"/>
        <v>ADULT</v>
      </c>
    </row>
    <row r="1015" spans="1:26" x14ac:dyDescent="0.3">
      <c r="A1015" s="5" t="s">
        <v>2070</v>
      </c>
      <c r="B1015" s="5" t="s">
        <v>25</v>
      </c>
      <c r="C1015" s="5" t="s">
        <v>26</v>
      </c>
      <c r="D1015" s="5" t="s">
        <v>61</v>
      </c>
      <c r="E1015" s="5" t="s">
        <v>37</v>
      </c>
      <c r="F1015" s="5" t="s">
        <v>132</v>
      </c>
      <c r="G1015" s="5" t="s">
        <v>62</v>
      </c>
      <c r="H1015" s="5">
        <v>10</v>
      </c>
      <c r="I1015" s="5" t="s">
        <v>20</v>
      </c>
      <c r="J1015" s="34" t="s">
        <v>214</v>
      </c>
      <c r="K1015" s="31" t="s">
        <v>2071</v>
      </c>
      <c r="L1015" s="5" t="s">
        <v>115</v>
      </c>
      <c r="M1015" s="32" t="s">
        <v>198</v>
      </c>
      <c r="N1015" s="6">
        <f t="shared" si="152"/>
        <v>5</v>
      </c>
      <c r="O1015" s="4" t="s">
        <v>132</v>
      </c>
      <c r="P1015" s="5" t="str">
        <f t="shared" si="153"/>
        <v>Pune</v>
      </c>
      <c r="Q1015" s="5" t="str">
        <f t="shared" si="154"/>
        <v>Pediatrics</v>
      </c>
      <c r="R1015" s="6" t="str">
        <f t="shared" si="155"/>
        <v>Narayana</v>
      </c>
      <c r="S1015" s="6" t="str">
        <f t="shared" si="156"/>
        <v>Cash</v>
      </c>
      <c r="T1015" s="6" t="str">
        <f t="shared" si="157"/>
        <v>Male</v>
      </c>
      <c r="U1015" s="6" t="str">
        <f t="shared" si="160"/>
        <v>ICU</v>
      </c>
      <c r="V1015" s="6" t="str" cm="1">
        <f t="array" ref="V1015">IF(TRIM(S1015)="",INDEX($S$2:$S$1500,MATCH(MAX(COUNTIF($S$2:$S$1500,S1015)),COUNTIF($S$2:$S$1500,$S$2:$S$1500),0)),S1015)</f>
        <v>Cash</v>
      </c>
      <c r="W1015" s="7" cm="1">
        <f t="array" ref="W1015">IF(OR(TRIM(K1015)="",TRIM(K1015)="-"), MEDIAN(IF($E$2:$E$1500=E1015,$K$2:$K$1500)),  VALUE(SUBSTITUTE(SUBSTITUTE(SUBSTITUTE(K1015,"Rs. ",""),"₹",""),",","")))</f>
        <v>59077</v>
      </c>
      <c r="X1015" s="8">
        <f t="shared" si="158"/>
        <v>5</v>
      </c>
      <c r="Y1015" s="7">
        <f t="shared" si="159"/>
        <v>56123</v>
      </c>
      <c r="Z1015" s="9" t="str">
        <f t="shared" si="151"/>
        <v>CHILD</v>
      </c>
    </row>
    <row r="1016" spans="1:26" x14ac:dyDescent="0.3">
      <c r="A1016" s="5" t="s">
        <v>2072</v>
      </c>
      <c r="B1016" s="5" t="s">
        <v>25</v>
      </c>
      <c r="C1016" s="5" t="s">
        <v>54</v>
      </c>
      <c r="D1016" s="5" t="s">
        <v>36</v>
      </c>
      <c r="E1016" s="5" t="s">
        <v>28</v>
      </c>
      <c r="F1016" s="5" t="s">
        <v>29</v>
      </c>
      <c r="G1016" s="5" t="s">
        <v>19</v>
      </c>
      <c r="H1016" s="5">
        <v>67</v>
      </c>
      <c r="I1016" s="5" t="s">
        <v>31</v>
      </c>
      <c r="J1016" s="34" t="s">
        <v>2073</v>
      </c>
      <c r="K1016" s="31" t="s">
        <v>2074</v>
      </c>
      <c r="L1016" s="5" t="s">
        <v>211</v>
      </c>
      <c r="M1016" s="32"/>
      <c r="N1016" s="6">
        <f t="shared" si="152"/>
        <v>0</v>
      </c>
      <c r="O1016" s="4" t="s">
        <v>29</v>
      </c>
      <c r="P1016" s="5" t="str">
        <f t="shared" si="153"/>
        <v>Chennai</v>
      </c>
      <c r="Q1016" s="5" t="str">
        <f t="shared" si="154"/>
        <v>Oncology</v>
      </c>
      <c r="R1016" s="6" t="str">
        <f t="shared" si="155"/>
        <v>Narayana</v>
      </c>
      <c r="S1016" s="6" t="str">
        <f t="shared" si="156"/>
        <v>Credit Card</v>
      </c>
      <c r="T1016" s="6" t="str">
        <f t="shared" si="157"/>
        <v>Male</v>
      </c>
      <c r="U1016" s="6" t="str">
        <f t="shared" si="160"/>
        <v>General</v>
      </c>
      <c r="V1016" s="6" t="str" cm="1">
        <f t="array" ref="V1016">IF(TRIM(S1016)="",INDEX($S$2:$S$1500,MATCH(MAX(COUNTIF($S$2:$S$1500,S1016)),COUNTIF($S$2:$S$1500,$S$2:$S$1500),0)),S1016)</f>
        <v>Credit Card</v>
      </c>
      <c r="W1016" s="7" cm="1">
        <f t="array" ref="W1016">IF(OR(TRIM(K1016)="",TRIM(K1016)="-"), MEDIAN(IF($E$2:$E$1500=E1016,$K$2:$K$1500)),  VALUE(SUBSTITUTE(SUBSTITUTE(SUBSTITUTE(K1016,"Rs. ",""),"₹",""),",","")))</f>
        <v>11073</v>
      </c>
      <c r="X1016" s="8">
        <f t="shared" si="158"/>
        <v>0</v>
      </c>
      <c r="Y1016" s="7">
        <f t="shared" si="159"/>
        <v>11073</v>
      </c>
      <c r="Z1016" s="9" t="str">
        <f t="shared" si="151"/>
        <v>SENIOR</v>
      </c>
    </row>
    <row r="1017" spans="1:26" x14ac:dyDescent="0.3">
      <c r="A1017" s="5" t="s">
        <v>2075</v>
      </c>
      <c r="B1017" s="5" t="s">
        <v>14</v>
      </c>
      <c r="C1017" s="5" t="s">
        <v>60</v>
      </c>
      <c r="D1017" s="5" t="s">
        <v>66</v>
      </c>
      <c r="E1017" s="5" t="s">
        <v>28</v>
      </c>
      <c r="F1017" s="5" t="s">
        <v>268</v>
      </c>
      <c r="G1017" s="5" t="s">
        <v>19</v>
      </c>
      <c r="H1017" s="5">
        <v>14</v>
      </c>
      <c r="I1017" s="5" t="s">
        <v>20</v>
      </c>
      <c r="J1017" s="34" t="s">
        <v>723</v>
      </c>
      <c r="K1017" s="31" t="s">
        <v>2076</v>
      </c>
      <c r="L1017" s="5" t="s">
        <v>167</v>
      </c>
      <c r="M1017" s="32" t="s">
        <v>187</v>
      </c>
      <c r="N1017" s="6">
        <f t="shared" si="152"/>
        <v>35</v>
      </c>
      <c r="O1017" s="4" t="s">
        <v>268</v>
      </c>
      <c r="P1017" s="5" t="str">
        <f t="shared" si="153"/>
        <v>Kolkata</v>
      </c>
      <c r="Q1017" s="5" t="str">
        <f t="shared" si="154"/>
        <v>Oncology</v>
      </c>
      <c r="R1017" s="6" t="str">
        <f t="shared" si="155"/>
        <v>Max_Healthcare</v>
      </c>
      <c r="S1017" s="6" t="str">
        <f t="shared" si="156"/>
        <v>Insurance</v>
      </c>
      <c r="T1017" s="6" t="str">
        <f t="shared" si="157"/>
        <v>Male</v>
      </c>
      <c r="U1017" s="6" t="str">
        <f t="shared" si="160"/>
        <v>General</v>
      </c>
      <c r="V1017" s="6" t="str" cm="1">
        <f t="array" ref="V1017">IF(TRIM(S1017)="",INDEX($S$2:$S$1500,MATCH(MAX(COUNTIF($S$2:$S$1500,S1017)),COUNTIF($S$2:$S$1500,$S$2:$S$1500),0)),S1017)</f>
        <v>Insurance</v>
      </c>
      <c r="W1017" s="7" cm="1">
        <f t="array" ref="W1017">IF(OR(TRIM(K1017)="",TRIM(K1017)="-"), MEDIAN(IF($E$2:$E$1500=E1017,$K$2:$K$1500)),  VALUE(SUBSTITUTE(SUBSTITUTE(SUBSTITUTE(K1017,"Rs. ",""),"₹",""),",","")))</f>
        <v>17885</v>
      </c>
      <c r="X1017" s="8">
        <f t="shared" si="158"/>
        <v>35</v>
      </c>
      <c r="Y1017" s="7">
        <f t="shared" si="159"/>
        <v>11625</v>
      </c>
      <c r="Z1017" s="9" t="str">
        <f t="shared" si="151"/>
        <v>TEEN</v>
      </c>
    </row>
    <row r="1018" spans="1:26" x14ac:dyDescent="0.3">
      <c r="A1018" s="5" t="s">
        <v>2077</v>
      </c>
      <c r="B1018" s="5" t="s">
        <v>14</v>
      </c>
      <c r="C1018" s="5" t="s">
        <v>60</v>
      </c>
      <c r="D1018" s="5" t="s">
        <v>16</v>
      </c>
      <c r="E1018" s="5" t="s">
        <v>28</v>
      </c>
      <c r="F1018" s="5" t="s">
        <v>29</v>
      </c>
      <c r="G1018" s="5" t="s">
        <v>62</v>
      </c>
      <c r="H1018" s="5">
        <v>39</v>
      </c>
      <c r="I1018" s="5" t="s">
        <v>70</v>
      </c>
      <c r="J1018" s="34" t="s">
        <v>86</v>
      </c>
      <c r="K1018" s="31" t="s">
        <v>2078</v>
      </c>
      <c r="L1018" s="5" t="s">
        <v>72</v>
      </c>
      <c r="M1018" s="32">
        <v>0</v>
      </c>
      <c r="N1018" s="6">
        <f t="shared" si="152"/>
        <v>0</v>
      </c>
      <c r="O1018" s="4" t="s">
        <v>29</v>
      </c>
      <c r="P1018" s="5" t="str">
        <f t="shared" si="153"/>
        <v>Bangalore</v>
      </c>
      <c r="Q1018" s="5" t="str">
        <f t="shared" si="154"/>
        <v>Oncology</v>
      </c>
      <c r="R1018" s="6" t="str">
        <f t="shared" si="155"/>
        <v>Max_Healthcare</v>
      </c>
      <c r="S1018" s="6" t="str">
        <f t="shared" si="156"/>
        <v>Cash</v>
      </c>
      <c r="T1018" s="6" t="str">
        <f t="shared" si="157"/>
        <v>Female</v>
      </c>
      <c r="U1018" s="6" t="str">
        <f t="shared" si="160"/>
        <v>ICU</v>
      </c>
      <c r="V1018" s="6" t="str" cm="1">
        <f t="array" ref="V1018">IF(TRIM(S1018)="",INDEX($S$2:$S$1500,MATCH(MAX(COUNTIF($S$2:$S$1500,S1018)),COUNTIF($S$2:$S$1500,$S$2:$S$1500),0)),S1018)</f>
        <v>Cash</v>
      </c>
      <c r="W1018" s="7" cm="1">
        <f t="array" ref="W1018">IF(OR(TRIM(K1018)="",TRIM(K1018)="-"), MEDIAN(IF($E$2:$E$1500=E1018,$K$2:$K$1500)),  VALUE(SUBSTITUTE(SUBSTITUTE(SUBSTITUTE(K1018,"Rs. ",""),"₹",""),",","")))</f>
        <v>50217</v>
      </c>
      <c r="X1018" s="8">
        <f t="shared" si="158"/>
        <v>0</v>
      </c>
      <c r="Y1018" s="7">
        <f t="shared" si="159"/>
        <v>50217</v>
      </c>
      <c r="Z1018" s="9" t="str">
        <f t="shared" si="151"/>
        <v>ADULT</v>
      </c>
    </row>
    <row r="1019" spans="1:26" x14ac:dyDescent="0.3">
      <c r="A1019" s="5" t="s">
        <v>2079</v>
      </c>
      <c r="B1019" s="5" t="s">
        <v>106</v>
      </c>
      <c r="C1019" s="5" t="s">
        <v>107</v>
      </c>
      <c r="D1019" s="5" t="s">
        <v>66</v>
      </c>
      <c r="E1019" s="5" t="s">
        <v>37</v>
      </c>
      <c r="F1019" s="5" t="s">
        <v>56</v>
      </c>
      <c r="G1019" s="5" t="s">
        <v>30</v>
      </c>
      <c r="H1019" s="5">
        <v>8</v>
      </c>
      <c r="I1019" s="5" t="s">
        <v>70</v>
      </c>
      <c r="J1019" s="34" t="s">
        <v>587</v>
      </c>
      <c r="K1019" s="31" t="s">
        <v>2080</v>
      </c>
      <c r="L1019" s="5" t="s">
        <v>311</v>
      </c>
      <c r="M1019" s="32" t="s">
        <v>140</v>
      </c>
      <c r="N1019" s="6" t="str">
        <f t="shared" si="152"/>
        <v>-</v>
      </c>
      <c r="O1019" s="4" t="s">
        <v>56</v>
      </c>
      <c r="P1019" s="5" t="str">
        <f t="shared" si="153"/>
        <v>Kolkata</v>
      </c>
      <c r="Q1019" s="5" t="str">
        <f t="shared" si="154"/>
        <v>Pediatrics</v>
      </c>
      <c r="R1019" s="6" t="str">
        <f t="shared" si="155"/>
        <v>Aiims</v>
      </c>
      <c r="S1019" s="6" t="str">
        <f t="shared" si="156"/>
        <v>UPI</v>
      </c>
      <c r="T1019" s="6" t="str">
        <f t="shared" si="157"/>
        <v>Female</v>
      </c>
      <c r="U1019" s="6" t="str">
        <f t="shared" si="160"/>
        <v>General</v>
      </c>
      <c r="V1019" s="6" t="str" cm="1">
        <f t="array" ref="V1019">IF(TRIM(S1019)="",INDEX($S$2:$S$1500,MATCH(MAX(COUNTIF($S$2:$S$1500,S1019)),COUNTIF($S$2:$S$1500,$S$2:$S$1500),0)),S1019)</f>
        <v>UPI</v>
      </c>
      <c r="W1019" s="7" cm="1">
        <f t="array" ref="W1019">IF(OR(TRIM(K1019)="",TRIM(K1019)="-"), MEDIAN(IF($E$2:$E$1500=E1019,$K$2:$K$1500)),  VALUE(SUBSTITUTE(SUBSTITUTE(SUBSTITUTE(K1019,"Rs. ",""),"₹",""),",","")))</f>
        <v>14580</v>
      </c>
      <c r="X1019" s="8">
        <f t="shared" si="158"/>
        <v>3</v>
      </c>
      <c r="Y1019" s="7">
        <f t="shared" si="159"/>
        <v>14143</v>
      </c>
      <c r="Z1019" s="9" t="str">
        <f t="shared" si="151"/>
        <v>CHILD</v>
      </c>
    </row>
    <row r="1020" spans="1:26" x14ac:dyDescent="0.3">
      <c r="A1020" s="5" t="s">
        <v>2081</v>
      </c>
      <c r="B1020" s="5" t="s">
        <v>117</v>
      </c>
      <c r="C1020" s="5" t="s">
        <v>118</v>
      </c>
      <c r="D1020" s="5" t="s">
        <v>16</v>
      </c>
      <c r="E1020" s="5" t="s">
        <v>28</v>
      </c>
      <c r="F1020" s="5" t="s">
        <v>29</v>
      </c>
      <c r="G1020" s="5" t="s">
        <v>49</v>
      </c>
      <c r="H1020" s="5">
        <v>59</v>
      </c>
      <c r="I1020" s="5" t="s">
        <v>40</v>
      </c>
      <c r="J1020" s="34" t="s">
        <v>1938</v>
      </c>
      <c r="K1020" s="31" t="s">
        <v>2082</v>
      </c>
      <c r="L1020" s="5" t="s">
        <v>91</v>
      </c>
      <c r="M1020" s="32">
        <v>0</v>
      </c>
      <c r="N1020" s="6">
        <f t="shared" si="152"/>
        <v>0</v>
      </c>
      <c r="O1020" s="4" t="s">
        <v>29</v>
      </c>
      <c r="P1020" s="5" t="str">
        <f t="shared" si="153"/>
        <v>Bangalore</v>
      </c>
      <c r="Q1020" s="5" t="str">
        <f t="shared" si="154"/>
        <v>Oncology</v>
      </c>
      <c r="R1020" s="6" t="str">
        <f t="shared" si="155"/>
        <v>Manipal</v>
      </c>
      <c r="S1020" s="6" t="str">
        <f t="shared" si="156"/>
        <v>Debit Card</v>
      </c>
      <c r="T1020" s="6" t="str">
        <f t="shared" si="157"/>
        <v>Female</v>
      </c>
      <c r="U1020" s="6" t="str">
        <f t="shared" si="160"/>
        <v>General</v>
      </c>
      <c r="V1020" s="6" t="str" cm="1">
        <f t="array" ref="V1020">IF(TRIM(S1020)="",INDEX($S$2:$S$1500,MATCH(MAX(COUNTIF($S$2:$S$1500,S1020)),COUNTIF($S$2:$S$1500,$S$2:$S$1500),0)),S1020)</f>
        <v>Debit Card</v>
      </c>
      <c r="W1020" s="7" cm="1">
        <f t="array" ref="W1020">IF(OR(TRIM(K1020)="",TRIM(K1020)="-"), MEDIAN(IF($E$2:$E$1500=E1020,$K$2:$K$1500)),  VALUE(SUBSTITUTE(SUBSTITUTE(SUBSTITUTE(K1020,"Rs. ",""),"₹",""),",","")))</f>
        <v>7737</v>
      </c>
      <c r="X1020" s="8">
        <f t="shared" si="158"/>
        <v>0</v>
      </c>
      <c r="Y1020" s="7">
        <f t="shared" si="159"/>
        <v>7737</v>
      </c>
      <c r="Z1020" s="9" t="str">
        <f t="shared" si="151"/>
        <v>ADULT</v>
      </c>
    </row>
    <row r="1021" spans="1:26" x14ac:dyDescent="0.3">
      <c r="A1021" s="5" t="s">
        <v>2083</v>
      </c>
      <c r="B1021" s="5" t="s">
        <v>14</v>
      </c>
      <c r="C1021" s="5" t="s">
        <v>60</v>
      </c>
      <c r="D1021" s="5" t="s">
        <v>55</v>
      </c>
      <c r="E1021" s="5" t="s">
        <v>164</v>
      </c>
      <c r="F1021" s="5" t="s">
        <v>282</v>
      </c>
      <c r="G1021" s="5" t="s">
        <v>30</v>
      </c>
      <c r="H1021" s="5">
        <v>15</v>
      </c>
      <c r="I1021" s="5" t="s">
        <v>20</v>
      </c>
      <c r="J1021" s="34" t="s">
        <v>803</v>
      </c>
      <c r="K1021" s="31">
        <v>19212</v>
      </c>
      <c r="L1021" s="5" t="s">
        <v>115</v>
      </c>
      <c r="M1021" s="32">
        <v>10</v>
      </c>
      <c r="N1021" s="6">
        <f t="shared" si="152"/>
        <v>10</v>
      </c>
      <c r="O1021" s="4" t="s">
        <v>282</v>
      </c>
      <c r="P1021" s="5" t="str">
        <f t="shared" si="153"/>
        <v>Hyderabad</v>
      </c>
      <c r="Q1021" s="5" t="str">
        <f t="shared" si="154"/>
        <v>Cardiology</v>
      </c>
      <c r="R1021" s="6" t="str">
        <f t="shared" si="155"/>
        <v>Max_Healthcare</v>
      </c>
      <c r="S1021" s="6" t="str">
        <f t="shared" si="156"/>
        <v>Cash</v>
      </c>
      <c r="T1021" s="6" t="str">
        <f t="shared" si="157"/>
        <v>Male</v>
      </c>
      <c r="U1021" s="6" t="str">
        <f t="shared" si="160"/>
        <v>General</v>
      </c>
      <c r="V1021" s="6" t="str" cm="1">
        <f t="array" ref="V1021">IF(TRIM(S1021)="",INDEX($S$2:$S$1500,MATCH(MAX(COUNTIF($S$2:$S$1500,S1021)),COUNTIF($S$2:$S$1500,$S$2:$S$1500),0)),S1021)</f>
        <v>Cash</v>
      </c>
      <c r="W1021" s="7" cm="1">
        <f t="array" ref="W1021">IF(OR(TRIM(K1021)="",TRIM(K1021)="-"), MEDIAN(IF($E$2:$E$1500=E1021,$K$2:$K$1500)),  VALUE(SUBSTITUTE(SUBSTITUTE(SUBSTITUTE(K1021,"Rs. ",""),"₹",""),",","")))</f>
        <v>19212</v>
      </c>
      <c r="X1021" s="8">
        <f t="shared" si="158"/>
        <v>10</v>
      </c>
      <c r="Y1021" s="7">
        <f t="shared" si="159"/>
        <v>17291</v>
      </c>
      <c r="Z1021" s="9" t="str">
        <f t="shared" si="151"/>
        <v>TEEN</v>
      </c>
    </row>
    <row r="1022" spans="1:26" x14ac:dyDescent="0.3">
      <c r="A1022" s="5" t="s">
        <v>2084</v>
      </c>
      <c r="B1022" s="5" t="s">
        <v>117</v>
      </c>
      <c r="C1022" s="5" t="s">
        <v>118</v>
      </c>
      <c r="D1022" s="5" t="s">
        <v>55</v>
      </c>
      <c r="E1022" s="5" t="s">
        <v>28</v>
      </c>
      <c r="F1022" s="5" t="s">
        <v>290</v>
      </c>
      <c r="G1022" s="5" t="s">
        <v>62</v>
      </c>
      <c r="H1022" s="5">
        <v>50</v>
      </c>
      <c r="I1022" s="5" t="s">
        <v>70</v>
      </c>
      <c r="J1022" s="34" t="s">
        <v>200</v>
      </c>
      <c r="K1022" s="31">
        <v>88285</v>
      </c>
      <c r="L1022" s="5" t="s">
        <v>34</v>
      </c>
      <c r="M1022" s="32">
        <v>0</v>
      </c>
      <c r="N1022" s="6">
        <f t="shared" si="152"/>
        <v>0</v>
      </c>
      <c r="O1022" s="4" t="s">
        <v>290</v>
      </c>
      <c r="P1022" s="5" t="str">
        <f t="shared" si="153"/>
        <v>Hyderabad</v>
      </c>
      <c r="Q1022" s="5" t="str">
        <f t="shared" si="154"/>
        <v>Oncology</v>
      </c>
      <c r="R1022" s="6" t="str">
        <f t="shared" si="155"/>
        <v>Manipal</v>
      </c>
      <c r="S1022" s="6" t="str">
        <f t="shared" si="156"/>
        <v>Cash</v>
      </c>
      <c r="T1022" s="6" t="str">
        <f t="shared" si="157"/>
        <v>Female</v>
      </c>
      <c r="U1022" s="6" t="str">
        <f t="shared" si="160"/>
        <v>ICU</v>
      </c>
      <c r="V1022" s="6" t="str" cm="1">
        <f t="array" ref="V1022">IF(TRIM(S1022)="",INDEX($S$2:$S$1500,MATCH(MAX(COUNTIF($S$2:$S$1500,S1022)),COUNTIF($S$2:$S$1500,$S$2:$S$1500),0)),S1022)</f>
        <v>Cash</v>
      </c>
      <c r="W1022" s="7" cm="1">
        <f t="array" ref="W1022">IF(OR(TRIM(K1022)="",TRIM(K1022)="-"), MEDIAN(IF($E$2:$E$1500=E1022,$K$2:$K$1500)),  VALUE(SUBSTITUTE(SUBSTITUTE(SUBSTITUTE(K1022,"Rs. ",""),"₹",""),",","")))</f>
        <v>88285</v>
      </c>
      <c r="X1022" s="8">
        <f t="shared" si="158"/>
        <v>0</v>
      </c>
      <c r="Y1022" s="7">
        <f t="shared" si="159"/>
        <v>88285</v>
      </c>
      <c r="Z1022" s="9" t="str">
        <f t="shared" si="151"/>
        <v>ADULT</v>
      </c>
    </row>
    <row r="1023" spans="1:26" x14ac:dyDescent="0.3">
      <c r="A1023" s="5" t="s">
        <v>2085</v>
      </c>
      <c r="B1023" s="5" t="s">
        <v>117</v>
      </c>
      <c r="C1023" s="5" t="s">
        <v>118</v>
      </c>
      <c r="D1023" s="5" t="s">
        <v>61</v>
      </c>
      <c r="E1023" s="5" t="s">
        <v>74</v>
      </c>
      <c r="F1023" s="5" t="s">
        <v>172</v>
      </c>
      <c r="G1023" s="5" t="s">
        <v>49</v>
      </c>
      <c r="H1023" s="5">
        <v>37</v>
      </c>
      <c r="I1023" s="5" t="s">
        <v>40</v>
      </c>
      <c r="J1023" s="34" t="s">
        <v>582</v>
      </c>
      <c r="K1023" s="31">
        <v>9194</v>
      </c>
      <c r="L1023" s="5" t="s">
        <v>211</v>
      </c>
      <c r="M1023" s="32" t="s">
        <v>64</v>
      </c>
      <c r="N1023" s="6" t="str">
        <f t="shared" si="152"/>
        <v>NA</v>
      </c>
      <c r="O1023" s="4" t="s">
        <v>172</v>
      </c>
      <c r="P1023" s="5" t="str">
        <f t="shared" si="153"/>
        <v>Pune</v>
      </c>
      <c r="Q1023" s="5" t="str">
        <f t="shared" si="154"/>
        <v>General Medicine</v>
      </c>
      <c r="R1023" s="6" t="str">
        <f t="shared" si="155"/>
        <v>Manipal</v>
      </c>
      <c r="S1023" s="6" t="str">
        <f t="shared" si="156"/>
        <v>Credit Card</v>
      </c>
      <c r="T1023" s="6" t="str">
        <f t="shared" si="157"/>
        <v>Female</v>
      </c>
      <c r="U1023" s="6" t="str">
        <f t="shared" si="160"/>
        <v>General</v>
      </c>
      <c r="V1023" s="6" t="str" cm="1">
        <f t="array" ref="V1023">IF(TRIM(S1023)="",INDEX($S$2:$S$1500,MATCH(MAX(COUNTIF($S$2:$S$1500,S1023)),COUNTIF($S$2:$S$1500,$S$2:$S$1500),0)),S1023)</f>
        <v>Credit Card</v>
      </c>
      <c r="W1023" s="7" cm="1">
        <f t="array" ref="W1023">IF(OR(TRIM(K1023)="",TRIM(K1023)="-"), MEDIAN(IF($E$2:$E$1500=E1023,$K$2:$K$1500)),  VALUE(SUBSTITUTE(SUBSTITUTE(SUBSTITUTE(K1023,"Rs. ",""),"₹",""),",","")))</f>
        <v>9194</v>
      </c>
      <c r="X1023" s="8">
        <f t="shared" si="158"/>
        <v>3</v>
      </c>
      <c r="Y1023" s="7">
        <f t="shared" si="159"/>
        <v>8918</v>
      </c>
      <c r="Z1023" s="9" t="str">
        <f t="shared" si="151"/>
        <v>ADULT</v>
      </c>
    </row>
    <row r="1024" spans="1:26" x14ac:dyDescent="0.3">
      <c r="A1024" s="5" t="s">
        <v>2086</v>
      </c>
      <c r="B1024" s="5" t="s">
        <v>45</v>
      </c>
      <c r="C1024" s="5" t="s">
        <v>46</v>
      </c>
      <c r="D1024" s="5" t="s">
        <v>36</v>
      </c>
      <c r="E1024" s="5" t="s">
        <v>37</v>
      </c>
      <c r="F1024" s="5" t="s">
        <v>56</v>
      </c>
      <c r="G1024" s="5" t="s">
        <v>39</v>
      </c>
      <c r="H1024" s="5">
        <v>5</v>
      </c>
      <c r="I1024" s="5" t="s">
        <v>70</v>
      </c>
      <c r="J1024" s="34" t="s">
        <v>210</v>
      </c>
      <c r="K1024" s="31">
        <v>4397</v>
      </c>
      <c r="L1024" s="5" t="s">
        <v>58</v>
      </c>
      <c r="M1024" s="32">
        <v>0.1</v>
      </c>
      <c r="N1024" s="6">
        <f t="shared" si="152"/>
        <v>10</v>
      </c>
      <c r="O1024" s="4" t="s">
        <v>56</v>
      </c>
      <c r="P1024" s="5" t="str">
        <f t="shared" si="153"/>
        <v>Chennai</v>
      </c>
      <c r="Q1024" s="5" t="str">
        <f t="shared" si="154"/>
        <v>Pediatrics</v>
      </c>
      <c r="R1024" s="6" t="str">
        <f t="shared" si="155"/>
        <v>Fortis</v>
      </c>
      <c r="S1024" s="6" t="str">
        <f t="shared" si="156"/>
        <v>UPI</v>
      </c>
      <c r="T1024" s="6" t="str">
        <f t="shared" si="157"/>
        <v>Female</v>
      </c>
      <c r="U1024" s="6" t="str">
        <f t="shared" si="160"/>
        <v>General</v>
      </c>
      <c r="V1024" s="6" t="str" cm="1">
        <f t="array" ref="V1024">IF(TRIM(S1024)="",INDEX($S$2:$S$1500,MATCH(MAX(COUNTIF($S$2:$S$1500,S1024)),COUNTIF($S$2:$S$1500,$S$2:$S$1500),0)),S1024)</f>
        <v>UPI</v>
      </c>
      <c r="W1024" s="7" cm="1">
        <f t="array" ref="W1024">IF(OR(TRIM(K1024)="",TRIM(K1024)="-"), MEDIAN(IF($E$2:$E$1500=E1024,$K$2:$K$1500)),  VALUE(SUBSTITUTE(SUBSTITUTE(SUBSTITUTE(K1024,"Rs. ",""),"₹",""),",","")))</f>
        <v>4397</v>
      </c>
      <c r="X1024" s="8">
        <f t="shared" si="158"/>
        <v>10</v>
      </c>
      <c r="Y1024" s="7">
        <f t="shared" si="159"/>
        <v>3957</v>
      </c>
      <c r="Z1024" s="9" t="str">
        <f t="shared" si="151"/>
        <v>CHILD</v>
      </c>
    </row>
    <row r="1025" spans="1:26" x14ac:dyDescent="0.3">
      <c r="A1025" s="5" t="s">
        <v>2087</v>
      </c>
      <c r="B1025" s="5" t="s">
        <v>45</v>
      </c>
      <c r="C1025" s="5" t="s">
        <v>46</v>
      </c>
      <c r="D1025" s="5" t="s">
        <v>16</v>
      </c>
      <c r="E1025" s="5" t="s">
        <v>164</v>
      </c>
      <c r="F1025" s="5" t="s">
        <v>219</v>
      </c>
      <c r="G1025" s="5" t="s">
        <v>49</v>
      </c>
      <c r="H1025" s="5">
        <v>59</v>
      </c>
      <c r="I1025" s="5" t="s">
        <v>70</v>
      </c>
      <c r="J1025" s="34" t="s">
        <v>328</v>
      </c>
      <c r="K1025" s="31" t="s">
        <v>2088</v>
      </c>
      <c r="L1025" s="5" t="s">
        <v>104</v>
      </c>
      <c r="M1025" s="32">
        <v>20</v>
      </c>
      <c r="N1025" s="6">
        <f t="shared" si="152"/>
        <v>20</v>
      </c>
      <c r="O1025" s="4" t="s">
        <v>219</v>
      </c>
      <c r="P1025" s="5" t="str">
        <f t="shared" si="153"/>
        <v>Bangalore</v>
      </c>
      <c r="Q1025" s="5" t="str">
        <f t="shared" si="154"/>
        <v>Cardiology</v>
      </c>
      <c r="R1025" s="6" t="str">
        <f t="shared" si="155"/>
        <v>Fortis</v>
      </c>
      <c r="S1025" s="6" t="str">
        <f t="shared" si="156"/>
        <v>Insurance</v>
      </c>
      <c r="T1025" s="6" t="str">
        <f t="shared" si="157"/>
        <v>Female</v>
      </c>
      <c r="U1025" s="6" t="str">
        <f t="shared" si="160"/>
        <v>General</v>
      </c>
      <c r="V1025" s="6" t="str" cm="1">
        <f t="array" ref="V1025">IF(TRIM(S1025)="",INDEX($S$2:$S$1500,MATCH(MAX(COUNTIF($S$2:$S$1500,S1025)),COUNTIF($S$2:$S$1500,$S$2:$S$1500),0)),S1025)</f>
        <v>Insurance</v>
      </c>
      <c r="W1025" s="7" cm="1">
        <f t="array" ref="W1025">IF(OR(TRIM(K1025)="",TRIM(K1025)="-"), MEDIAN(IF($E$2:$E$1500=E1025,$K$2:$K$1500)),  VALUE(SUBSTITUTE(SUBSTITUTE(SUBSTITUTE(K1025,"Rs. ",""),"₹",""),",","")))</f>
        <v>7426</v>
      </c>
      <c r="X1025" s="8">
        <f t="shared" si="158"/>
        <v>20</v>
      </c>
      <c r="Y1025" s="7">
        <f t="shared" si="159"/>
        <v>5941</v>
      </c>
      <c r="Z1025" s="9" t="str">
        <f t="shared" si="151"/>
        <v>ADULT</v>
      </c>
    </row>
    <row r="1026" spans="1:26" x14ac:dyDescent="0.3">
      <c r="A1026" s="5" t="s">
        <v>2089</v>
      </c>
      <c r="B1026" s="5" t="s">
        <v>25</v>
      </c>
      <c r="C1026" s="5" t="s">
        <v>54</v>
      </c>
      <c r="D1026" s="5" t="s">
        <v>66</v>
      </c>
      <c r="E1026" s="5" t="s">
        <v>28</v>
      </c>
      <c r="F1026" s="5" t="s">
        <v>268</v>
      </c>
      <c r="G1026" s="5" t="s">
        <v>39</v>
      </c>
      <c r="H1026" s="5">
        <v>78</v>
      </c>
      <c r="I1026" s="5" t="s">
        <v>40</v>
      </c>
      <c r="J1026" s="34" t="s">
        <v>549</v>
      </c>
      <c r="K1026" s="31" t="s">
        <v>2090</v>
      </c>
      <c r="L1026" s="5" t="s">
        <v>211</v>
      </c>
      <c r="M1026" s="32">
        <v>0</v>
      </c>
      <c r="N1026" s="6">
        <f t="shared" si="152"/>
        <v>0</v>
      </c>
      <c r="O1026" s="4" t="s">
        <v>268</v>
      </c>
      <c r="P1026" s="5" t="str">
        <f t="shared" si="153"/>
        <v>Kolkata</v>
      </c>
      <c r="Q1026" s="5" t="str">
        <f t="shared" si="154"/>
        <v>Oncology</v>
      </c>
      <c r="R1026" s="6" t="str">
        <f t="shared" si="155"/>
        <v>Narayana</v>
      </c>
      <c r="S1026" s="6" t="str">
        <f t="shared" si="156"/>
        <v>Credit Card</v>
      </c>
      <c r="T1026" s="6" t="str">
        <f t="shared" si="157"/>
        <v>Female</v>
      </c>
      <c r="U1026" s="6" t="str">
        <f t="shared" si="160"/>
        <v>General</v>
      </c>
      <c r="V1026" s="6" t="str" cm="1">
        <f t="array" ref="V1026">IF(TRIM(S1026)="",INDEX($S$2:$S$1500,MATCH(MAX(COUNTIF($S$2:$S$1500,S1026)),COUNTIF($S$2:$S$1500,$S$2:$S$1500),0)),S1026)</f>
        <v>Credit Card</v>
      </c>
      <c r="W1026" s="7" cm="1">
        <f t="array" ref="W1026">IF(OR(TRIM(K1026)="",TRIM(K1026)="-"), MEDIAN(IF($E$2:$E$1500=E1026,$K$2:$K$1500)),  VALUE(SUBSTITUTE(SUBSTITUTE(SUBSTITUTE(K1026,"Rs. ",""),"₹",""),",","")))</f>
        <v>3669</v>
      </c>
      <c r="X1026" s="8">
        <f t="shared" si="158"/>
        <v>0</v>
      </c>
      <c r="Y1026" s="7">
        <f t="shared" si="159"/>
        <v>3669</v>
      </c>
      <c r="Z1026" s="9" t="str">
        <f t="shared" ref="Z1026:Z1089" si="161">IF(H1026&lt;13,"CHILD",IF(H1026&lt;20,"TEEN",IF(H1026&lt;60,"ADULT","SENIOR")))</f>
        <v>SENIOR</v>
      </c>
    </row>
    <row r="1027" spans="1:26" x14ac:dyDescent="0.3">
      <c r="A1027" s="5" t="s">
        <v>2091</v>
      </c>
      <c r="B1027" s="5" t="s">
        <v>45</v>
      </c>
      <c r="C1027" s="5" t="s">
        <v>46</v>
      </c>
      <c r="D1027" s="5" t="s">
        <v>189</v>
      </c>
      <c r="E1027" s="5" t="s">
        <v>28</v>
      </c>
      <c r="F1027" s="5" t="s">
        <v>290</v>
      </c>
      <c r="G1027" s="5" t="s">
        <v>101</v>
      </c>
      <c r="H1027" s="5">
        <v>79</v>
      </c>
      <c r="I1027" s="5" t="s">
        <v>31</v>
      </c>
      <c r="J1027" s="34" t="s">
        <v>426</v>
      </c>
      <c r="K1027" s="31" t="s">
        <v>2092</v>
      </c>
      <c r="L1027" s="5" t="s">
        <v>211</v>
      </c>
      <c r="M1027" s="32" t="s">
        <v>140</v>
      </c>
      <c r="N1027" s="6" t="str">
        <f t="shared" ref="N1027:N1090" si="162">IF(RIGHT(TRIM(M1027),1)="%",VALUE(LEFT(TRIM(M1027),LEN(TRIM(M1027))-1)),  IF(AND(ISNUMBER(M1027),M1027&lt;=1,M1027&gt;0),M1027*100,M1027))</f>
        <v>-</v>
      </c>
      <c r="O1027" s="4" t="s">
        <v>290</v>
      </c>
      <c r="P1027" s="5" t="str">
        <f t="shared" ref="P1027:P1090" si="163">PROPER(D1027)</f>
        <v>Delhi</v>
      </c>
      <c r="Q1027" s="5" t="str">
        <f t="shared" ref="Q1027:Q1090" si="164">PROPER(E1027)</f>
        <v>Oncology</v>
      </c>
      <c r="R1027" s="6" t="str">
        <f t="shared" ref="R1027:R1090" si="165">PROPER(C1027)</f>
        <v>Fortis</v>
      </c>
      <c r="S1027" s="6" t="str">
        <f t="shared" ref="S1027:S1090" si="166">IF(OR(UPPER(TRIM(L1027))="CREDIT_CARD",UPPER(TRIM(L1027))="CREDIT CARD",UPPER(TRIM(L1027))="CC"),"Credit Card", IF(OR(UPPER(TRIM(L1027))="DEBIT_CARD",UPPER(TRIM(L1027))="DEBIT CARD",UPPER(TRIM(L1027))="DC"),"Debit Card", IF(UPPER(TRIM(L1027))="CASH","Cash", IF(UPPER(TRIM(L1027))="UPI","UPI", IF(OR(UPPER(TRIM(L1027))="INSURANCE",UPPER(TRIM(L1027))="INS"),"Insurance", IF(TRIM(L1027)="","Unknown","Unknown"))))))</f>
        <v>Credit Card</v>
      </c>
      <c r="T1027" s="6" t="str">
        <f t="shared" ref="T1027:T1090" si="167">IF(OR(UPPER(TRIM(I1027))="M",UPPER(TRIM(I1027))="MALE"),"Male",IF(OR(UPPER(TRIM(I1027))="F",UPPER(TRIM(I1027))="FEMALE"),"Female","Unknown"))</f>
        <v>Male</v>
      </c>
      <c r="U1027" s="6" t="str">
        <f t="shared" si="160"/>
        <v>ICU</v>
      </c>
      <c r="V1027" s="6" t="str" cm="1">
        <f t="array" ref="V1027">IF(TRIM(S1027)="",INDEX($S$2:$S$1500,MATCH(MAX(COUNTIF($S$2:$S$1500,S1027)),COUNTIF($S$2:$S$1500,$S$2:$S$1500),0)),S1027)</f>
        <v>Credit Card</v>
      </c>
      <c r="W1027" s="7" cm="1">
        <f t="array" ref="W1027">IF(OR(TRIM(K1027)="",TRIM(K1027)="-"), MEDIAN(IF($E$2:$E$1500=E1027,$K$2:$K$1500)),  VALUE(SUBSTITUTE(SUBSTITUTE(SUBSTITUTE(K1027,"Rs. ",""),"₹",""),",","")))</f>
        <v>64351</v>
      </c>
      <c r="X1027" s="8">
        <f t="shared" ref="X1027:X1090" si="168">ROUND(IF(OR(TRIM(N1027)="-",UPPER(TRIM(N1027))="N/A",UPPER(TRIM(N1027))="NA"), IFERROR(AVERAGEIF($V$2:$V$1500,V1027,$N$2:$N$1500),AVERAGE($N$2:$N$1500)), N1027),0)</f>
        <v>3</v>
      </c>
      <c r="Y1027" s="7">
        <f t="shared" ref="Y1027:Y1090" si="169">ROUND(W1027*(1-X1027/100),0)</f>
        <v>62420</v>
      </c>
      <c r="Z1027" s="9" t="str">
        <f t="shared" si="161"/>
        <v>SENIOR</v>
      </c>
    </row>
    <row r="1028" spans="1:26" x14ac:dyDescent="0.3">
      <c r="A1028" s="5" t="s">
        <v>2093</v>
      </c>
      <c r="B1028" s="5" t="s">
        <v>78</v>
      </c>
      <c r="C1028" s="5" t="s">
        <v>161</v>
      </c>
      <c r="D1028" s="5" t="s">
        <v>36</v>
      </c>
      <c r="E1028" s="5" t="s">
        <v>37</v>
      </c>
      <c r="F1028" s="5" t="s">
        <v>132</v>
      </c>
      <c r="G1028" s="5" t="s">
        <v>30</v>
      </c>
      <c r="H1028" s="5">
        <v>64</v>
      </c>
      <c r="I1028" s="5" t="s">
        <v>31</v>
      </c>
      <c r="J1028" s="34" t="s">
        <v>571</v>
      </c>
      <c r="K1028" s="31" t="s">
        <v>2094</v>
      </c>
      <c r="L1028" s="5" t="s">
        <v>23</v>
      </c>
      <c r="M1028" s="32">
        <v>0.05</v>
      </c>
      <c r="N1028" s="6">
        <f t="shared" si="162"/>
        <v>5</v>
      </c>
      <c r="O1028" s="4" t="s">
        <v>132</v>
      </c>
      <c r="P1028" s="5" t="str">
        <f t="shared" si="163"/>
        <v>Chennai</v>
      </c>
      <c r="Q1028" s="5" t="str">
        <f t="shared" si="164"/>
        <v>Pediatrics</v>
      </c>
      <c r="R1028" s="6" t="str">
        <f t="shared" si="165"/>
        <v>Apollo</v>
      </c>
      <c r="S1028" s="6" t="str">
        <f t="shared" si="166"/>
        <v>Credit Card</v>
      </c>
      <c r="T1028" s="6" t="str">
        <f t="shared" si="167"/>
        <v>Male</v>
      </c>
      <c r="U1028" s="6" t="str">
        <f t="shared" si="160"/>
        <v>General</v>
      </c>
      <c r="V1028" s="6" t="str" cm="1">
        <f t="array" ref="V1028">IF(TRIM(S1028)="",INDEX($S$2:$S$1500,MATCH(MAX(COUNTIF($S$2:$S$1500,S1028)),COUNTIF($S$2:$S$1500,$S$2:$S$1500),0)),S1028)</f>
        <v>Credit Card</v>
      </c>
      <c r="W1028" s="7" cm="1">
        <f t="array" ref="W1028">IF(OR(TRIM(K1028)="",TRIM(K1028)="-"), MEDIAN(IF($E$2:$E$1500=E1028,$K$2:$K$1500)),  VALUE(SUBSTITUTE(SUBSTITUTE(SUBSTITUTE(K1028,"Rs. ",""),"₹",""),",","")))</f>
        <v>19553</v>
      </c>
      <c r="X1028" s="8">
        <f t="shared" si="168"/>
        <v>5</v>
      </c>
      <c r="Y1028" s="7">
        <f t="shared" si="169"/>
        <v>18575</v>
      </c>
      <c r="Z1028" s="9" t="str">
        <f t="shared" si="161"/>
        <v>SENIOR</v>
      </c>
    </row>
    <row r="1029" spans="1:26" x14ac:dyDescent="0.3">
      <c r="A1029" s="5" t="s">
        <v>2095</v>
      </c>
      <c r="B1029" s="5" t="s">
        <v>25</v>
      </c>
      <c r="C1029" s="5" t="s">
        <v>54</v>
      </c>
      <c r="D1029" s="5" t="s">
        <v>27</v>
      </c>
      <c r="E1029" s="5" t="s">
        <v>108</v>
      </c>
      <c r="F1029" s="5" t="s">
        <v>124</v>
      </c>
      <c r="G1029" s="5" t="s">
        <v>19</v>
      </c>
      <c r="H1029" s="5">
        <v>47</v>
      </c>
      <c r="I1029" s="5" t="s">
        <v>20</v>
      </c>
      <c r="J1029" s="34" t="s">
        <v>505</v>
      </c>
      <c r="K1029" s="31" t="s">
        <v>2096</v>
      </c>
      <c r="L1029" s="5" t="s">
        <v>311</v>
      </c>
      <c r="M1029" s="32">
        <v>5</v>
      </c>
      <c r="N1029" s="6">
        <f t="shared" si="162"/>
        <v>5</v>
      </c>
      <c r="O1029" s="4" t="s">
        <v>124</v>
      </c>
      <c r="P1029" s="5" t="str">
        <f t="shared" si="163"/>
        <v>Mumbai</v>
      </c>
      <c r="Q1029" s="5" t="str">
        <f t="shared" si="164"/>
        <v>Orthopedics</v>
      </c>
      <c r="R1029" s="6" t="str">
        <f t="shared" si="165"/>
        <v>Narayana</v>
      </c>
      <c r="S1029" s="6" t="str">
        <f t="shared" si="166"/>
        <v>UPI</v>
      </c>
      <c r="T1029" s="6" t="str">
        <f t="shared" si="167"/>
        <v>Male</v>
      </c>
      <c r="U1029" s="6" t="str">
        <f t="shared" si="160"/>
        <v>General</v>
      </c>
      <c r="V1029" s="6" t="str" cm="1">
        <f t="array" ref="V1029">IF(TRIM(S1029)="",INDEX($S$2:$S$1500,MATCH(MAX(COUNTIF($S$2:$S$1500,S1029)),COUNTIF($S$2:$S$1500,$S$2:$S$1500),0)),S1029)</f>
        <v>UPI</v>
      </c>
      <c r="W1029" s="7" cm="1">
        <f t="array" ref="W1029">IF(OR(TRIM(K1029)="",TRIM(K1029)="-"), MEDIAN(IF($E$2:$E$1500=E1029,$K$2:$K$1500)),  VALUE(SUBSTITUTE(SUBSTITUTE(SUBSTITUTE(K1029,"Rs. ",""),"₹",""),",","")))</f>
        <v>12500</v>
      </c>
      <c r="X1029" s="8">
        <f t="shared" si="168"/>
        <v>5</v>
      </c>
      <c r="Y1029" s="7">
        <f t="shared" si="169"/>
        <v>11875</v>
      </c>
      <c r="Z1029" s="9" t="str">
        <f t="shared" si="161"/>
        <v>ADULT</v>
      </c>
    </row>
    <row r="1030" spans="1:26" x14ac:dyDescent="0.3">
      <c r="A1030" s="5" t="s">
        <v>2097</v>
      </c>
      <c r="B1030" s="5" t="s">
        <v>78</v>
      </c>
      <c r="C1030" s="5" t="s">
        <v>79</v>
      </c>
      <c r="D1030" s="5" t="s">
        <v>61</v>
      </c>
      <c r="E1030" s="5" t="s">
        <v>37</v>
      </c>
      <c r="F1030" s="5" t="s">
        <v>56</v>
      </c>
      <c r="G1030" s="5" t="s">
        <v>39</v>
      </c>
      <c r="H1030" s="5">
        <v>7</v>
      </c>
      <c r="I1030" s="5" t="s">
        <v>31</v>
      </c>
      <c r="J1030" s="34" t="s">
        <v>854</v>
      </c>
      <c r="K1030" s="31" t="s">
        <v>2098</v>
      </c>
      <c r="L1030" s="5" t="s">
        <v>52</v>
      </c>
      <c r="M1030" s="32">
        <v>5</v>
      </c>
      <c r="N1030" s="6">
        <f t="shared" si="162"/>
        <v>5</v>
      </c>
      <c r="O1030" s="4" t="s">
        <v>56</v>
      </c>
      <c r="P1030" s="5" t="str">
        <f t="shared" si="163"/>
        <v>Pune</v>
      </c>
      <c r="Q1030" s="5" t="str">
        <f t="shared" si="164"/>
        <v>Pediatrics</v>
      </c>
      <c r="R1030" s="6" t="str">
        <f t="shared" si="165"/>
        <v>Apollo</v>
      </c>
      <c r="S1030" s="6" t="str">
        <f t="shared" si="166"/>
        <v>Credit Card</v>
      </c>
      <c r="T1030" s="6" t="str">
        <f t="shared" si="167"/>
        <v>Male</v>
      </c>
      <c r="U1030" s="6" t="str">
        <f t="shared" si="160"/>
        <v>General</v>
      </c>
      <c r="V1030" s="6" t="str" cm="1">
        <f t="array" ref="V1030">IF(TRIM(S1030)="",INDEX($S$2:$S$1500,MATCH(MAX(COUNTIF($S$2:$S$1500,S1030)),COUNTIF($S$2:$S$1500,$S$2:$S$1500),0)),S1030)</f>
        <v>Credit Card</v>
      </c>
      <c r="W1030" s="7" cm="1">
        <f t="array" ref="W1030">IF(OR(TRIM(K1030)="",TRIM(K1030)="-"), MEDIAN(IF($E$2:$E$1500=E1030,$K$2:$K$1500)),  VALUE(SUBSTITUTE(SUBSTITUTE(SUBSTITUTE(K1030,"Rs. ",""),"₹",""),",","")))</f>
        <v>16101</v>
      </c>
      <c r="X1030" s="8">
        <f t="shared" si="168"/>
        <v>5</v>
      </c>
      <c r="Y1030" s="7">
        <f t="shared" si="169"/>
        <v>15296</v>
      </c>
      <c r="Z1030" s="9" t="str">
        <f t="shared" si="161"/>
        <v>CHILD</v>
      </c>
    </row>
    <row r="1031" spans="1:26" x14ac:dyDescent="0.3">
      <c r="A1031" s="5" t="s">
        <v>2099</v>
      </c>
      <c r="B1031" s="5" t="s">
        <v>78</v>
      </c>
      <c r="C1031" s="5" t="s">
        <v>79</v>
      </c>
      <c r="D1031" s="5" t="s">
        <v>16</v>
      </c>
      <c r="E1031" s="5" t="s">
        <v>37</v>
      </c>
      <c r="F1031" s="5" t="s">
        <v>56</v>
      </c>
      <c r="G1031" s="5" t="s">
        <v>62</v>
      </c>
      <c r="H1031" s="5">
        <v>72</v>
      </c>
      <c r="I1031" s="5" t="s">
        <v>70</v>
      </c>
      <c r="J1031" s="34" t="s">
        <v>2100</v>
      </c>
      <c r="K1031" s="31" t="s">
        <v>2101</v>
      </c>
      <c r="L1031" s="5" t="s">
        <v>72</v>
      </c>
      <c r="M1031" s="32" t="s">
        <v>140</v>
      </c>
      <c r="N1031" s="6" t="str">
        <f t="shared" si="162"/>
        <v>-</v>
      </c>
      <c r="O1031" s="4" t="s">
        <v>56</v>
      </c>
      <c r="P1031" s="5" t="str">
        <f t="shared" si="163"/>
        <v>Bangalore</v>
      </c>
      <c r="Q1031" s="5" t="str">
        <f t="shared" si="164"/>
        <v>Pediatrics</v>
      </c>
      <c r="R1031" s="6" t="str">
        <f t="shared" si="165"/>
        <v>Apollo</v>
      </c>
      <c r="S1031" s="6" t="str">
        <f t="shared" si="166"/>
        <v>Cash</v>
      </c>
      <c r="T1031" s="6" t="str">
        <f t="shared" si="167"/>
        <v>Female</v>
      </c>
      <c r="U1031" s="6" t="str">
        <f t="shared" si="160"/>
        <v>ICU</v>
      </c>
      <c r="V1031" s="6" t="str" cm="1">
        <f t="array" ref="V1031">IF(TRIM(S1031)="",INDEX($S$2:$S$1500,MATCH(MAX(COUNTIF($S$2:$S$1500,S1031)),COUNTIF($S$2:$S$1500,$S$2:$S$1500),0)),S1031)</f>
        <v>Cash</v>
      </c>
      <c r="W1031" s="7" cm="1">
        <f t="array" ref="W1031">IF(OR(TRIM(K1031)="",TRIM(K1031)="-"), MEDIAN(IF($E$2:$E$1500=E1031,$K$2:$K$1500)),  VALUE(SUBSTITUTE(SUBSTITUTE(SUBSTITUTE(K1031,"Rs. ",""),"₹",""),",","")))</f>
        <v>69320</v>
      </c>
      <c r="X1031" s="8">
        <f t="shared" si="168"/>
        <v>3</v>
      </c>
      <c r="Y1031" s="7">
        <f t="shared" si="169"/>
        <v>67240</v>
      </c>
      <c r="Z1031" s="9" t="str">
        <f t="shared" si="161"/>
        <v>SENIOR</v>
      </c>
    </row>
    <row r="1032" spans="1:26" x14ac:dyDescent="0.3">
      <c r="A1032" s="5" t="s">
        <v>2102</v>
      </c>
      <c r="B1032" s="5" t="s">
        <v>106</v>
      </c>
      <c r="C1032" s="5" t="s">
        <v>307</v>
      </c>
      <c r="D1032" s="5" t="s">
        <v>80</v>
      </c>
      <c r="E1032" s="5" t="s">
        <v>164</v>
      </c>
      <c r="F1032" s="5" t="s">
        <v>219</v>
      </c>
      <c r="G1032" s="5"/>
      <c r="H1032" s="5">
        <v>25</v>
      </c>
      <c r="I1032" s="5" t="s">
        <v>70</v>
      </c>
      <c r="J1032" s="34" t="s">
        <v>963</v>
      </c>
      <c r="K1032" s="31">
        <v>70837</v>
      </c>
      <c r="L1032" s="5" t="s">
        <v>34</v>
      </c>
      <c r="M1032" s="32" t="s">
        <v>140</v>
      </c>
      <c r="N1032" s="6" t="str">
        <f t="shared" si="162"/>
        <v>-</v>
      </c>
      <c r="O1032" s="4" t="s">
        <v>219</v>
      </c>
      <c r="P1032" s="5" t="str">
        <f t="shared" si="163"/>
        <v>Ahmedabad</v>
      </c>
      <c r="Q1032" s="5" t="str">
        <f t="shared" si="164"/>
        <v>Cardiology</v>
      </c>
      <c r="R1032" s="6" t="str">
        <f t="shared" si="165"/>
        <v>Aiims</v>
      </c>
      <c r="S1032" s="6" t="str">
        <f t="shared" si="166"/>
        <v>Cash</v>
      </c>
      <c r="T1032" s="6" t="str">
        <f t="shared" si="167"/>
        <v>Female</v>
      </c>
      <c r="U1032" s="6" t="str">
        <f t="shared" si="160"/>
        <v>Unknown</v>
      </c>
      <c r="V1032" s="6" t="str" cm="1">
        <f t="array" ref="V1032">IF(TRIM(S1032)="",INDEX($S$2:$S$1500,MATCH(MAX(COUNTIF($S$2:$S$1500,S1032)),COUNTIF($S$2:$S$1500,$S$2:$S$1500),0)),S1032)</f>
        <v>Cash</v>
      </c>
      <c r="W1032" s="7" cm="1">
        <f t="array" ref="W1032">IF(OR(TRIM(K1032)="",TRIM(K1032)="-"), MEDIAN(IF($E$2:$E$1500=E1032,$K$2:$K$1500)),  VALUE(SUBSTITUTE(SUBSTITUTE(SUBSTITUTE(K1032,"Rs. ",""),"₹",""),",","")))</f>
        <v>70837</v>
      </c>
      <c r="X1032" s="8">
        <f t="shared" si="168"/>
        <v>3</v>
      </c>
      <c r="Y1032" s="7">
        <f t="shared" si="169"/>
        <v>68712</v>
      </c>
      <c r="Z1032" s="9" t="str">
        <f t="shared" si="161"/>
        <v>ADULT</v>
      </c>
    </row>
    <row r="1033" spans="1:26" x14ac:dyDescent="0.3">
      <c r="A1033" s="5" t="s">
        <v>2103</v>
      </c>
      <c r="B1033" s="5" t="s">
        <v>117</v>
      </c>
      <c r="C1033" s="5" t="s">
        <v>118</v>
      </c>
      <c r="D1033" s="5" t="s">
        <v>27</v>
      </c>
      <c r="E1033" s="5" t="s">
        <v>164</v>
      </c>
      <c r="F1033" s="5" t="s">
        <v>233</v>
      </c>
      <c r="G1033" s="5" t="s">
        <v>101</v>
      </c>
      <c r="H1033" s="5">
        <v>40</v>
      </c>
      <c r="I1033" s="5" t="s">
        <v>40</v>
      </c>
      <c r="J1033" s="34" t="s">
        <v>1155</v>
      </c>
      <c r="K1033" s="31" t="s">
        <v>2104</v>
      </c>
      <c r="L1033" s="5" t="s">
        <v>34</v>
      </c>
      <c r="M1033" s="32" t="s">
        <v>76</v>
      </c>
      <c r="N1033" s="6">
        <f t="shared" si="162"/>
        <v>10</v>
      </c>
      <c r="O1033" s="4" t="s">
        <v>233</v>
      </c>
      <c r="P1033" s="5" t="str">
        <f t="shared" si="163"/>
        <v>Mumbai</v>
      </c>
      <c r="Q1033" s="5" t="str">
        <f t="shared" si="164"/>
        <v>Cardiology</v>
      </c>
      <c r="R1033" s="6" t="str">
        <f t="shared" si="165"/>
        <v>Manipal</v>
      </c>
      <c r="S1033" s="6" t="str">
        <f t="shared" si="166"/>
        <v>Cash</v>
      </c>
      <c r="T1033" s="6" t="str">
        <f t="shared" si="167"/>
        <v>Female</v>
      </c>
      <c r="U1033" s="6" t="str">
        <f t="shared" si="160"/>
        <v>ICU</v>
      </c>
      <c r="V1033" s="6" t="str" cm="1">
        <f t="array" ref="V1033">IF(TRIM(S1033)="",INDEX($S$2:$S$1500,MATCH(MAX(COUNTIF($S$2:$S$1500,S1033)),COUNTIF($S$2:$S$1500,$S$2:$S$1500),0)),S1033)</f>
        <v>Cash</v>
      </c>
      <c r="W1033" s="7" cm="1">
        <f t="array" ref="W1033">IF(OR(TRIM(K1033)="",TRIM(K1033)="-"), MEDIAN(IF($E$2:$E$1500=E1033,$K$2:$K$1500)),  VALUE(SUBSTITUTE(SUBSTITUTE(SUBSTITUTE(K1033,"Rs. ",""),"₹",""),",","")))</f>
        <v>54418</v>
      </c>
      <c r="X1033" s="8">
        <f t="shared" si="168"/>
        <v>10</v>
      </c>
      <c r="Y1033" s="7">
        <f t="shared" si="169"/>
        <v>48976</v>
      </c>
      <c r="Z1033" s="9" t="str">
        <f t="shared" si="161"/>
        <v>ADULT</v>
      </c>
    </row>
    <row r="1034" spans="1:26" x14ac:dyDescent="0.3">
      <c r="A1034" s="5" t="s">
        <v>2105</v>
      </c>
      <c r="B1034" s="5" t="s">
        <v>117</v>
      </c>
      <c r="C1034" s="5" t="s">
        <v>118</v>
      </c>
      <c r="D1034" s="5" t="s">
        <v>36</v>
      </c>
      <c r="E1034" s="5" t="s">
        <v>164</v>
      </c>
      <c r="F1034" s="5" t="s">
        <v>165</v>
      </c>
      <c r="G1034" s="5" t="s">
        <v>39</v>
      </c>
      <c r="H1034" s="5">
        <v>67</v>
      </c>
      <c r="I1034" s="5" t="s">
        <v>20</v>
      </c>
      <c r="J1034" s="34" t="s">
        <v>1604</v>
      </c>
      <c r="K1034" s="31" t="s">
        <v>2106</v>
      </c>
      <c r="L1034" s="5" t="s">
        <v>236</v>
      </c>
      <c r="M1034" s="32"/>
      <c r="N1034" s="6">
        <f t="shared" si="162"/>
        <v>0</v>
      </c>
      <c r="O1034" s="4" t="s">
        <v>165</v>
      </c>
      <c r="P1034" s="5" t="str">
        <f t="shared" si="163"/>
        <v>Chennai</v>
      </c>
      <c r="Q1034" s="5" t="str">
        <f t="shared" si="164"/>
        <v>Cardiology</v>
      </c>
      <c r="R1034" s="6" t="str">
        <f t="shared" si="165"/>
        <v>Manipal</v>
      </c>
      <c r="S1034" s="6" t="str">
        <f t="shared" si="166"/>
        <v>Debit Card</v>
      </c>
      <c r="T1034" s="6" t="str">
        <f t="shared" si="167"/>
        <v>Male</v>
      </c>
      <c r="U1034" s="6" t="str">
        <f t="shared" si="160"/>
        <v>General</v>
      </c>
      <c r="V1034" s="6" t="str" cm="1">
        <f t="array" ref="V1034">IF(TRIM(S1034)="",INDEX($S$2:$S$1500,MATCH(MAX(COUNTIF($S$2:$S$1500,S1034)),COUNTIF($S$2:$S$1500,$S$2:$S$1500),0)),S1034)</f>
        <v>Debit Card</v>
      </c>
      <c r="W1034" s="7" cm="1">
        <f t="array" ref="W1034">IF(OR(TRIM(K1034)="",TRIM(K1034)="-"), MEDIAN(IF($E$2:$E$1500=E1034,$K$2:$K$1500)),  VALUE(SUBSTITUTE(SUBSTITUTE(SUBSTITUTE(K1034,"Rs. ",""),"₹",""),",","")))</f>
        <v>11448</v>
      </c>
      <c r="X1034" s="8">
        <f t="shared" si="168"/>
        <v>0</v>
      </c>
      <c r="Y1034" s="7">
        <f t="shared" si="169"/>
        <v>11448</v>
      </c>
      <c r="Z1034" s="9" t="str">
        <f t="shared" si="161"/>
        <v>SENIOR</v>
      </c>
    </row>
    <row r="1035" spans="1:26" x14ac:dyDescent="0.3">
      <c r="A1035" s="5" t="s">
        <v>2107</v>
      </c>
      <c r="B1035" s="5" t="s">
        <v>14</v>
      </c>
      <c r="C1035" s="5" t="s">
        <v>60</v>
      </c>
      <c r="D1035" s="5" t="s">
        <v>27</v>
      </c>
      <c r="E1035" s="5" t="s">
        <v>93</v>
      </c>
      <c r="F1035" s="5" t="s">
        <v>121</v>
      </c>
      <c r="G1035" s="5" t="s">
        <v>69</v>
      </c>
      <c r="H1035" s="5">
        <v>11</v>
      </c>
      <c r="I1035" s="5" t="s">
        <v>31</v>
      </c>
      <c r="J1035" s="34" t="s">
        <v>1162</v>
      </c>
      <c r="K1035" s="31" t="s">
        <v>2108</v>
      </c>
      <c r="L1035" s="5" t="s">
        <v>72</v>
      </c>
      <c r="M1035" s="32">
        <v>0</v>
      </c>
      <c r="N1035" s="6">
        <f t="shared" si="162"/>
        <v>0</v>
      </c>
      <c r="O1035" s="4" t="s">
        <v>121</v>
      </c>
      <c r="P1035" s="5" t="str">
        <f t="shared" si="163"/>
        <v>Mumbai</v>
      </c>
      <c r="Q1035" s="5" t="str">
        <f t="shared" si="164"/>
        <v>Nephrology</v>
      </c>
      <c r="R1035" s="6" t="str">
        <f t="shared" si="165"/>
        <v>Max_Healthcare</v>
      </c>
      <c r="S1035" s="6" t="str">
        <f t="shared" si="166"/>
        <v>Cash</v>
      </c>
      <c r="T1035" s="6" t="str">
        <f t="shared" si="167"/>
        <v>Male</v>
      </c>
      <c r="U1035" s="6" t="str">
        <f t="shared" si="160"/>
        <v>ICU</v>
      </c>
      <c r="V1035" s="6" t="str" cm="1">
        <f t="array" ref="V1035">IF(TRIM(S1035)="",INDEX($S$2:$S$1500,MATCH(MAX(COUNTIF($S$2:$S$1500,S1035)),COUNTIF($S$2:$S$1500,$S$2:$S$1500),0)),S1035)</f>
        <v>Cash</v>
      </c>
      <c r="W1035" s="7" cm="1">
        <f t="array" ref="W1035">IF(OR(TRIM(K1035)="",TRIM(K1035)="-"), MEDIAN(IF($E$2:$E$1500=E1035,$K$2:$K$1500)),  VALUE(SUBSTITUTE(SUBSTITUTE(SUBSTITUTE(K1035,"Rs. ",""),"₹",""),",","")))</f>
        <v>81644</v>
      </c>
      <c r="X1035" s="8">
        <f t="shared" si="168"/>
        <v>0</v>
      </c>
      <c r="Y1035" s="7">
        <f t="shared" si="169"/>
        <v>81644</v>
      </c>
      <c r="Z1035" s="9" t="str">
        <f t="shared" si="161"/>
        <v>CHILD</v>
      </c>
    </row>
    <row r="1036" spans="1:26" x14ac:dyDescent="0.3">
      <c r="A1036" s="5" t="s">
        <v>2109</v>
      </c>
      <c r="B1036" s="5" t="s">
        <v>106</v>
      </c>
      <c r="C1036" s="5" t="s">
        <v>107</v>
      </c>
      <c r="D1036" s="5" t="s">
        <v>80</v>
      </c>
      <c r="E1036" s="5" t="s">
        <v>93</v>
      </c>
      <c r="F1036" s="5" t="s">
        <v>144</v>
      </c>
      <c r="G1036" s="5" t="s">
        <v>39</v>
      </c>
      <c r="H1036" s="5">
        <v>14</v>
      </c>
      <c r="I1036" s="5" t="s">
        <v>20</v>
      </c>
      <c r="J1036" s="34" t="s">
        <v>222</v>
      </c>
      <c r="K1036" s="31">
        <v>3775</v>
      </c>
      <c r="L1036" s="5" t="s">
        <v>83</v>
      </c>
      <c r="M1036" s="32" t="s">
        <v>64</v>
      </c>
      <c r="N1036" s="6" t="str">
        <f t="shared" si="162"/>
        <v>NA</v>
      </c>
      <c r="O1036" s="4" t="s">
        <v>144</v>
      </c>
      <c r="P1036" s="5" t="str">
        <f t="shared" si="163"/>
        <v>Ahmedabad</v>
      </c>
      <c r="Q1036" s="5" t="str">
        <f t="shared" si="164"/>
        <v>Nephrology</v>
      </c>
      <c r="R1036" s="6" t="str">
        <f t="shared" si="165"/>
        <v>Aiims</v>
      </c>
      <c r="S1036" s="6" t="str">
        <f t="shared" si="166"/>
        <v>Debit Card</v>
      </c>
      <c r="T1036" s="6" t="str">
        <f t="shared" si="167"/>
        <v>Male</v>
      </c>
      <c r="U1036" s="6" t="str">
        <f t="shared" si="160"/>
        <v>General</v>
      </c>
      <c r="V1036" s="6" t="str" cm="1">
        <f t="array" ref="V1036">IF(TRIM(S1036)="",INDEX($S$2:$S$1500,MATCH(MAX(COUNTIF($S$2:$S$1500,S1036)),COUNTIF($S$2:$S$1500,$S$2:$S$1500),0)),S1036)</f>
        <v>Debit Card</v>
      </c>
      <c r="W1036" s="7" cm="1">
        <f t="array" ref="W1036">IF(OR(TRIM(K1036)="",TRIM(K1036)="-"), MEDIAN(IF($E$2:$E$1500=E1036,$K$2:$K$1500)),  VALUE(SUBSTITUTE(SUBSTITUTE(SUBSTITUTE(K1036,"Rs. ",""),"₹",""),",","")))</f>
        <v>3775</v>
      </c>
      <c r="X1036" s="8">
        <f t="shared" si="168"/>
        <v>3</v>
      </c>
      <c r="Y1036" s="7">
        <f t="shared" si="169"/>
        <v>3662</v>
      </c>
      <c r="Z1036" s="9" t="str">
        <f t="shared" si="161"/>
        <v>TEEN</v>
      </c>
    </row>
    <row r="1037" spans="1:26" x14ac:dyDescent="0.3">
      <c r="A1037" s="5" t="s">
        <v>2110</v>
      </c>
      <c r="B1037" s="5" t="s">
        <v>25</v>
      </c>
      <c r="C1037" s="5" t="s">
        <v>26</v>
      </c>
      <c r="D1037" s="5" t="s">
        <v>16</v>
      </c>
      <c r="E1037" s="5" t="s">
        <v>17</v>
      </c>
      <c r="F1037" s="5" t="s">
        <v>135</v>
      </c>
      <c r="G1037" s="5" t="s">
        <v>49</v>
      </c>
      <c r="H1037" s="5">
        <v>16</v>
      </c>
      <c r="I1037" s="5" t="s">
        <v>20</v>
      </c>
      <c r="J1037" s="34" t="s">
        <v>513</v>
      </c>
      <c r="K1037" s="31">
        <v>4638</v>
      </c>
      <c r="L1037" s="5" t="s">
        <v>72</v>
      </c>
      <c r="M1037" s="32" t="s">
        <v>130</v>
      </c>
      <c r="N1037" s="6">
        <f t="shared" si="162"/>
        <v>0</v>
      </c>
      <c r="O1037" s="4" t="s">
        <v>135</v>
      </c>
      <c r="P1037" s="5" t="str">
        <f t="shared" si="163"/>
        <v>Bangalore</v>
      </c>
      <c r="Q1037" s="5" t="str">
        <f t="shared" si="164"/>
        <v>Gynecology</v>
      </c>
      <c r="R1037" s="6" t="str">
        <f t="shared" si="165"/>
        <v>Narayana</v>
      </c>
      <c r="S1037" s="6" t="str">
        <f t="shared" si="166"/>
        <v>Cash</v>
      </c>
      <c r="T1037" s="6" t="str">
        <f t="shared" si="167"/>
        <v>Male</v>
      </c>
      <c r="U1037" s="6" t="str">
        <f t="shared" si="160"/>
        <v>General</v>
      </c>
      <c r="V1037" s="6" t="str" cm="1">
        <f t="array" ref="V1037">IF(TRIM(S1037)="",INDEX($S$2:$S$1500,MATCH(MAX(COUNTIF($S$2:$S$1500,S1037)),COUNTIF($S$2:$S$1500,$S$2:$S$1500),0)),S1037)</f>
        <v>Cash</v>
      </c>
      <c r="W1037" s="7" cm="1">
        <f t="array" ref="W1037">IF(OR(TRIM(K1037)="",TRIM(K1037)="-"), MEDIAN(IF($E$2:$E$1500=E1037,$K$2:$K$1500)),  VALUE(SUBSTITUTE(SUBSTITUTE(SUBSTITUTE(K1037,"Rs. ",""),"₹",""),",","")))</f>
        <v>4638</v>
      </c>
      <c r="X1037" s="8">
        <f t="shared" si="168"/>
        <v>0</v>
      </c>
      <c r="Y1037" s="7">
        <f t="shared" si="169"/>
        <v>4638</v>
      </c>
      <c r="Z1037" s="9" t="str">
        <f t="shared" si="161"/>
        <v>TEEN</v>
      </c>
    </row>
    <row r="1038" spans="1:26" x14ac:dyDescent="0.3">
      <c r="A1038" s="5" t="s">
        <v>2111</v>
      </c>
      <c r="B1038" s="5" t="s">
        <v>45</v>
      </c>
      <c r="C1038" s="5" t="s">
        <v>334</v>
      </c>
      <c r="D1038" s="5" t="s">
        <v>55</v>
      </c>
      <c r="E1038" s="5" t="s">
        <v>28</v>
      </c>
      <c r="F1038" s="5" t="s">
        <v>268</v>
      </c>
      <c r="G1038" s="5" t="s">
        <v>30</v>
      </c>
      <c r="H1038" s="5">
        <v>25</v>
      </c>
      <c r="I1038" s="5" t="s">
        <v>70</v>
      </c>
      <c r="J1038" s="34" t="s">
        <v>2112</v>
      </c>
      <c r="K1038" s="31">
        <v>8973</v>
      </c>
      <c r="L1038" s="5" t="s">
        <v>34</v>
      </c>
      <c r="M1038" s="32" t="s">
        <v>64</v>
      </c>
      <c r="N1038" s="6" t="str">
        <f t="shared" si="162"/>
        <v>NA</v>
      </c>
      <c r="O1038" s="4" t="s">
        <v>268</v>
      </c>
      <c r="P1038" s="5" t="str">
        <f t="shared" si="163"/>
        <v>Hyderabad</v>
      </c>
      <c r="Q1038" s="5" t="str">
        <f t="shared" si="164"/>
        <v>Oncology</v>
      </c>
      <c r="R1038" s="6" t="str">
        <f t="shared" si="165"/>
        <v>Fortis</v>
      </c>
      <c r="S1038" s="6" t="str">
        <f t="shared" si="166"/>
        <v>Cash</v>
      </c>
      <c r="T1038" s="6" t="str">
        <f t="shared" si="167"/>
        <v>Female</v>
      </c>
      <c r="U1038" s="6" t="str">
        <f t="shared" ref="U1038:U1101" si="170">IF(OR(UPPER(TRIM(G1038))="GENERAL",UPPER(TRIM(G1038))="GENRAL"),"General",IF(UPPER(TRIM(G1038))="ICU","ICU","Unknown"))</f>
        <v>General</v>
      </c>
      <c r="V1038" s="6" t="str" cm="1">
        <f t="array" ref="V1038">IF(TRIM(S1038)="",INDEX($S$2:$S$1500,MATCH(MAX(COUNTIF($S$2:$S$1500,S1038)),COUNTIF($S$2:$S$1500,$S$2:$S$1500),0)),S1038)</f>
        <v>Cash</v>
      </c>
      <c r="W1038" s="7" cm="1">
        <f t="array" ref="W1038">IF(OR(TRIM(K1038)="",TRIM(K1038)="-"), MEDIAN(IF($E$2:$E$1500=E1038,$K$2:$K$1500)),  VALUE(SUBSTITUTE(SUBSTITUTE(SUBSTITUTE(K1038,"Rs. ",""),"₹",""),",","")))</f>
        <v>8973</v>
      </c>
      <c r="X1038" s="8">
        <f t="shared" si="168"/>
        <v>3</v>
      </c>
      <c r="Y1038" s="7">
        <f t="shared" si="169"/>
        <v>8704</v>
      </c>
      <c r="Z1038" s="9" t="str">
        <f t="shared" si="161"/>
        <v>ADULT</v>
      </c>
    </row>
    <row r="1039" spans="1:26" x14ac:dyDescent="0.3">
      <c r="A1039" s="5" t="s">
        <v>2113</v>
      </c>
      <c r="B1039" s="5" t="s">
        <v>106</v>
      </c>
      <c r="C1039" s="5" t="s">
        <v>107</v>
      </c>
      <c r="D1039" s="5" t="s">
        <v>55</v>
      </c>
      <c r="E1039" s="5" t="s">
        <v>47</v>
      </c>
      <c r="F1039" s="5" t="s">
        <v>175</v>
      </c>
      <c r="G1039" s="5" t="s">
        <v>30</v>
      </c>
      <c r="H1039" s="5">
        <v>26</v>
      </c>
      <c r="I1039" s="5" t="s">
        <v>40</v>
      </c>
      <c r="J1039" s="34" t="s">
        <v>1557</v>
      </c>
      <c r="K1039" s="31" t="s">
        <v>2114</v>
      </c>
      <c r="L1039" s="5" t="s">
        <v>115</v>
      </c>
      <c r="M1039" s="32">
        <v>0.05</v>
      </c>
      <c r="N1039" s="6">
        <f t="shared" si="162"/>
        <v>5</v>
      </c>
      <c r="O1039" s="4" t="s">
        <v>175</v>
      </c>
      <c r="P1039" s="5" t="str">
        <f t="shared" si="163"/>
        <v>Hyderabad</v>
      </c>
      <c r="Q1039" s="5" t="str">
        <f t="shared" si="164"/>
        <v>Gastroenterology</v>
      </c>
      <c r="R1039" s="6" t="str">
        <f t="shared" si="165"/>
        <v>Aiims</v>
      </c>
      <c r="S1039" s="6" t="str">
        <f t="shared" si="166"/>
        <v>Cash</v>
      </c>
      <c r="T1039" s="6" t="str">
        <f t="shared" si="167"/>
        <v>Female</v>
      </c>
      <c r="U1039" s="6" t="str">
        <f t="shared" si="170"/>
        <v>General</v>
      </c>
      <c r="V1039" s="6" t="str" cm="1">
        <f t="array" ref="V1039">IF(TRIM(S1039)="",INDEX($S$2:$S$1500,MATCH(MAX(COUNTIF($S$2:$S$1500,S1039)),COUNTIF($S$2:$S$1500,$S$2:$S$1500),0)),S1039)</f>
        <v>Cash</v>
      </c>
      <c r="W1039" s="7" cm="1">
        <f t="array" ref="W1039">IF(OR(TRIM(K1039)="",TRIM(K1039)="-"), MEDIAN(IF($E$2:$E$1500=E1039,$K$2:$K$1500)),  VALUE(SUBSTITUTE(SUBSTITUTE(SUBSTITUTE(K1039,"Rs. ",""),"₹",""),",","")))</f>
        <v>12559</v>
      </c>
      <c r="X1039" s="8">
        <f t="shared" si="168"/>
        <v>5</v>
      </c>
      <c r="Y1039" s="7">
        <f t="shared" si="169"/>
        <v>11931</v>
      </c>
      <c r="Z1039" s="9" t="str">
        <f t="shared" si="161"/>
        <v>ADULT</v>
      </c>
    </row>
    <row r="1040" spans="1:26" x14ac:dyDescent="0.3">
      <c r="A1040" s="5" t="s">
        <v>2115</v>
      </c>
      <c r="B1040" s="5" t="s">
        <v>106</v>
      </c>
      <c r="C1040" s="5" t="s">
        <v>307</v>
      </c>
      <c r="D1040" s="5" t="s">
        <v>36</v>
      </c>
      <c r="E1040" s="5" t="s">
        <v>28</v>
      </c>
      <c r="F1040" s="5" t="s">
        <v>268</v>
      </c>
      <c r="G1040" s="5" t="s">
        <v>30</v>
      </c>
      <c r="H1040" s="5">
        <v>27</v>
      </c>
      <c r="I1040" s="5" t="s">
        <v>70</v>
      </c>
      <c r="J1040" s="34" t="s">
        <v>1226</v>
      </c>
      <c r="K1040" s="31" t="s">
        <v>2116</v>
      </c>
      <c r="L1040" s="5" t="s">
        <v>87</v>
      </c>
      <c r="M1040" s="32">
        <v>5</v>
      </c>
      <c r="N1040" s="6">
        <f t="shared" si="162"/>
        <v>5</v>
      </c>
      <c r="O1040" s="4" t="s">
        <v>268</v>
      </c>
      <c r="P1040" s="5" t="str">
        <f t="shared" si="163"/>
        <v>Chennai</v>
      </c>
      <c r="Q1040" s="5" t="str">
        <f t="shared" si="164"/>
        <v>Oncology</v>
      </c>
      <c r="R1040" s="6" t="str">
        <f t="shared" si="165"/>
        <v>Aiims</v>
      </c>
      <c r="S1040" s="6" t="str">
        <f t="shared" si="166"/>
        <v>Credit Card</v>
      </c>
      <c r="T1040" s="6" t="str">
        <f t="shared" si="167"/>
        <v>Female</v>
      </c>
      <c r="U1040" s="6" t="str">
        <f t="shared" si="170"/>
        <v>General</v>
      </c>
      <c r="V1040" s="6" t="str" cm="1">
        <f t="array" ref="V1040">IF(TRIM(S1040)="",INDEX($S$2:$S$1500,MATCH(MAX(COUNTIF($S$2:$S$1500,S1040)),COUNTIF($S$2:$S$1500,$S$2:$S$1500),0)),S1040)</f>
        <v>Credit Card</v>
      </c>
      <c r="W1040" s="7" cm="1">
        <f t="array" ref="W1040">IF(OR(TRIM(K1040)="",TRIM(K1040)="-"), MEDIAN(IF($E$2:$E$1500=E1040,$K$2:$K$1500)),  VALUE(SUBSTITUTE(SUBSTITUTE(SUBSTITUTE(K1040,"Rs. ",""),"₹",""),",","")))</f>
        <v>9944</v>
      </c>
      <c r="X1040" s="8">
        <f t="shared" si="168"/>
        <v>5</v>
      </c>
      <c r="Y1040" s="7">
        <f t="shared" si="169"/>
        <v>9447</v>
      </c>
      <c r="Z1040" s="9" t="str">
        <f t="shared" si="161"/>
        <v>ADULT</v>
      </c>
    </row>
    <row r="1041" spans="1:26" x14ac:dyDescent="0.3">
      <c r="A1041" s="5" t="s">
        <v>2117</v>
      </c>
      <c r="B1041" s="5" t="s">
        <v>14</v>
      </c>
      <c r="C1041" s="5" t="s">
        <v>60</v>
      </c>
      <c r="D1041" s="5" t="s">
        <v>55</v>
      </c>
      <c r="E1041" s="5" t="s">
        <v>93</v>
      </c>
      <c r="F1041" s="5" t="s">
        <v>94</v>
      </c>
      <c r="G1041" s="5" t="s">
        <v>39</v>
      </c>
      <c r="H1041" s="5">
        <v>48</v>
      </c>
      <c r="I1041" s="5" t="s">
        <v>31</v>
      </c>
      <c r="J1041" s="34" t="s">
        <v>1685</v>
      </c>
      <c r="K1041" s="31" t="s">
        <v>2118</v>
      </c>
      <c r="L1041" s="5" t="s">
        <v>72</v>
      </c>
      <c r="M1041" s="32">
        <v>0</v>
      </c>
      <c r="N1041" s="6">
        <f t="shared" si="162"/>
        <v>0</v>
      </c>
      <c r="O1041" s="4" t="s">
        <v>94</v>
      </c>
      <c r="P1041" s="5" t="str">
        <f t="shared" si="163"/>
        <v>Hyderabad</v>
      </c>
      <c r="Q1041" s="5" t="str">
        <f t="shared" si="164"/>
        <v>Nephrology</v>
      </c>
      <c r="R1041" s="6" t="str">
        <f t="shared" si="165"/>
        <v>Max_Healthcare</v>
      </c>
      <c r="S1041" s="6" t="str">
        <f t="shared" si="166"/>
        <v>Cash</v>
      </c>
      <c r="T1041" s="6" t="str">
        <f t="shared" si="167"/>
        <v>Male</v>
      </c>
      <c r="U1041" s="6" t="str">
        <f t="shared" si="170"/>
        <v>General</v>
      </c>
      <c r="V1041" s="6" t="str" cm="1">
        <f t="array" ref="V1041">IF(TRIM(S1041)="",INDEX($S$2:$S$1500,MATCH(MAX(COUNTIF($S$2:$S$1500,S1041)),COUNTIF($S$2:$S$1500,$S$2:$S$1500),0)),S1041)</f>
        <v>Cash</v>
      </c>
      <c r="W1041" s="7" cm="1">
        <f t="array" ref="W1041">IF(OR(TRIM(K1041)="",TRIM(K1041)="-"), MEDIAN(IF($E$2:$E$1500=E1041,$K$2:$K$1500)),  VALUE(SUBSTITUTE(SUBSTITUTE(SUBSTITUTE(K1041,"Rs. ",""),"₹",""),",","")))</f>
        <v>14307</v>
      </c>
      <c r="X1041" s="8">
        <f t="shared" si="168"/>
        <v>0</v>
      </c>
      <c r="Y1041" s="7">
        <f t="shared" si="169"/>
        <v>14307</v>
      </c>
      <c r="Z1041" s="9" t="str">
        <f t="shared" si="161"/>
        <v>ADULT</v>
      </c>
    </row>
    <row r="1042" spans="1:26" x14ac:dyDescent="0.3">
      <c r="A1042" s="5" t="s">
        <v>2119</v>
      </c>
      <c r="B1042" s="5" t="s">
        <v>117</v>
      </c>
      <c r="C1042" s="5" t="s">
        <v>118</v>
      </c>
      <c r="D1042" s="5" t="s">
        <v>27</v>
      </c>
      <c r="E1042" s="5" t="s">
        <v>108</v>
      </c>
      <c r="F1042" s="5" t="s">
        <v>109</v>
      </c>
      <c r="G1042" s="5" t="s">
        <v>30</v>
      </c>
      <c r="H1042" s="5">
        <v>54</v>
      </c>
      <c r="I1042" s="5" t="s">
        <v>31</v>
      </c>
      <c r="J1042" s="34" t="s">
        <v>2120</v>
      </c>
      <c r="K1042" s="31">
        <v>13311</v>
      </c>
      <c r="L1042" s="5" t="s">
        <v>87</v>
      </c>
      <c r="M1042" s="32">
        <v>0</v>
      </c>
      <c r="N1042" s="6">
        <f t="shared" si="162"/>
        <v>0</v>
      </c>
      <c r="O1042" s="4" t="s">
        <v>109</v>
      </c>
      <c r="P1042" s="5" t="str">
        <f t="shared" si="163"/>
        <v>Mumbai</v>
      </c>
      <c r="Q1042" s="5" t="str">
        <f t="shared" si="164"/>
        <v>Orthopedics</v>
      </c>
      <c r="R1042" s="6" t="str">
        <f t="shared" si="165"/>
        <v>Manipal</v>
      </c>
      <c r="S1042" s="6" t="str">
        <f t="shared" si="166"/>
        <v>Credit Card</v>
      </c>
      <c r="T1042" s="6" t="str">
        <f t="shared" si="167"/>
        <v>Male</v>
      </c>
      <c r="U1042" s="6" t="str">
        <f t="shared" si="170"/>
        <v>General</v>
      </c>
      <c r="V1042" s="6" t="str" cm="1">
        <f t="array" ref="V1042">IF(TRIM(S1042)="",INDEX($S$2:$S$1500,MATCH(MAX(COUNTIF($S$2:$S$1500,S1042)),COUNTIF($S$2:$S$1500,$S$2:$S$1500),0)),S1042)</f>
        <v>Credit Card</v>
      </c>
      <c r="W1042" s="7" cm="1">
        <f t="array" ref="W1042">IF(OR(TRIM(K1042)="",TRIM(K1042)="-"), MEDIAN(IF($E$2:$E$1500=E1042,$K$2:$K$1500)),  VALUE(SUBSTITUTE(SUBSTITUTE(SUBSTITUTE(K1042,"Rs. ",""),"₹",""),",","")))</f>
        <v>13311</v>
      </c>
      <c r="X1042" s="8">
        <f t="shared" si="168"/>
        <v>0</v>
      </c>
      <c r="Y1042" s="7">
        <f t="shared" si="169"/>
        <v>13311</v>
      </c>
      <c r="Z1042" s="9" t="str">
        <f t="shared" si="161"/>
        <v>ADULT</v>
      </c>
    </row>
    <row r="1043" spans="1:26" x14ac:dyDescent="0.3">
      <c r="A1043" s="5" t="s">
        <v>2121</v>
      </c>
      <c r="B1043" s="5" t="s">
        <v>25</v>
      </c>
      <c r="C1043" s="5" t="s">
        <v>54</v>
      </c>
      <c r="D1043" s="5" t="s">
        <v>66</v>
      </c>
      <c r="E1043" s="5" t="s">
        <v>93</v>
      </c>
      <c r="F1043" s="5" t="s">
        <v>94</v>
      </c>
      <c r="G1043" s="5" t="s">
        <v>30</v>
      </c>
      <c r="H1043" s="5">
        <v>36</v>
      </c>
      <c r="I1043" s="5" t="s">
        <v>31</v>
      </c>
      <c r="J1043" s="34" t="s">
        <v>359</v>
      </c>
      <c r="K1043" s="31" t="s">
        <v>2122</v>
      </c>
      <c r="L1043" s="5" t="s">
        <v>149</v>
      </c>
      <c r="M1043" s="32">
        <v>18</v>
      </c>
      <c r="N1043" s="6">
        <f t="shared" si="162"/>
        <v>18</v>
      </c>
      <c r="O1043" s="4" t="s">
        <v>94</v>
      </c>
      <c r="P1043" s="5" t="str">
        <f t="shared" si="163"/>
        <v>Kolkata</v>
      </c>
      <c r="Q1043" s="5" t="str">
        <f t="shared" si="164"/>
        <v>Nephrology</v>
      </c>
      <c r="R1043" s="6" t="str">
        <f t="shared" si="165"/>
        <v>Narayana</v>
      </c>
      <c r="S1043" s="6" t="str">
        <f t="shared" si="166"/>
        <v>Insurance</v>
      </c>
      <c r="T1043" s="6" t="str">
        <f t="shared" si="167"/>
        <v>Male</v>
      </c>
      <c r="U1043" s="6" t="str">
        <f t="shared" si="170"/>
        <v>General</v>
      </c>
      <c r="V1043" s="6" t="str" cm="1">
        <f t="array" ref="V1043">IF(TRIM(S1043)="",INDEX($S$2:$S$1500,MATCH(MAX(COUNTIF($S$2:$S$1500,S1043)),COUNTIF($S$2:$S$1500,$S$2:$S$1500),0)),S1043)</f>
        <v>Insurance</v>
      </c>
      <c r="W1043" s="7" cm="1">
        <f t="array" ref="W1043">IF(OR(TRIM(K1043)="",TRIM(K1043)="-"), MEDIAN(IF($E$2:$E$1500=E1043,$K$2:$K$1500)),  VALUE(SUBSTITUTE(SUBSTITUTE(SUBSTITUTE(K1043,"Rs. ",""),"₹",""),",","")))</f>
        <v>12731</v>
      </c>
      <c r="X1043" s="8">
        <f t="shared" si="168"/>
        <v>18</v>
      </c>
      <c r="Y1043" s="7">
        <f t="shared" si="169"/>
        <v>10439</v>
      </c>
      <c r="Z1043" s="9" t="str">
        <f t="shared" si="161"/>
        <v>ADULT</v>
      </c>
    </row>
    <row r="1044" spans="1:26" x14ac:dyDescent="0.3">
      <c r="A1044" s="5" t="s">
        <v>2123</v>
      </c>
      <c r="B1044" s="5" t="s">
        <v>45</v>
      </c>
      <c r="C1044" s="5" t="s">
        <v>46</v>
      </c>
      <c r="D1044" s="5" t="s">
        <v>36</v>
      </c>
      <c r="E1044" s="5" t="s">
        <v>164</v>
      </c>
      <c r="F1044" s="5" t="s">
        <v>219</v>
      </c>
      <c r="G1044" s="5" t="s">
        <v>69</v>
      </c>
      <c r="H1044" s="5">
        <v>60</v>
      </c>
      <c r="I1044" s="5" t="s">
        <v>20</v>
      </c>
      <c r="J1044" s="34" t="s">
        <v>648</v>
      </c>
      <c r="K1044" s="31">
        <v>31262</v>
      </c>
      <c r="L1044" s="5"/>
      <c r="M1044" s="32" t="s">
        <v>130</v>
      </c>
      <c r="N1044" s="6">
        <f t="shared" si="162"/>
        <v>0</v>
      </c>
      <c r="O1044" s="4" t="s">
        <v>219</v>
      </c>
      <c r="P1044" s="5" t="str">
        <f t="shared" si="163"/>
        <v>Chennai</v>
      </c>
      <c r="Q1044" s="5" t="str">
        <f t="shared" si="164"/>
        <v>Cardiology</v>
      </c>
      <c r="R1044" s="6" t="str">
        <f t="shared" si="165"/>
        <v>Fortis</v>
      </c>
      <c r="S1044" s="6" t="str">
        <f t="shared" si="166"/>
        <v>Unknown</v>
      </c>
      <c r="T1044" s="6" t="str">
        <f t="shared" si="167"/>
        <v>Male</v>
      </c>
      <c r="U1044" s="6" t="str">
        <f t="shared" si="170"/>
        <v>ICU</v>
      </c>
      <c r="V1044" s="6" t="str" cm="1">
        <f t="array" ref="V1044">IF(TRIM(S1044)="",INDEX($S$2:$S$1500,MATCH(MAX(COUNTIF($S$2:$S$1500,S1044)),COUNTIF($S$2:$S$1500,$S$2:$S$1500),0)),S1044)</f>
        <v>Unknown</v>
      </c>
      <c r="W1044" s="7" cm="1">
        <f t="array" ref="W1044">IF(OR(TRIM(K1044)="",TRIM(K1044)="-"), MEDIAN(IF($E$2:$E$1500=E1044,$K$2:$K$1500)),  VALUE(SUBSTITUTE(SUBSTITUTE(SUBSTITUTE(K1044,"Rs. ",""),"₹",""),",","")))</f>
        <v>31262</v>
      </c>
      <c r="X1044" s="8">
        <f t="shared" si="168"/>
        <v>0</v>
      </c>
      <c r="Y1044" s="7">
        <f t="shared" si="169"/>
        <v>31262</v>
      </c>
      <c r="Z1044" s="9" t="str">
        <f t="shared" si="161"/>
        <v>SENIOR</v>
      </c>
    </row>
    <row r="1045" spans="1:26" x14ac:dyDescent="0.3">
      <c r="A1045" s="5" t="s">
        <v>2124</v>
      </c>
      <c r="B1045" s="5" t="s">
        <v>45</v>
      </c>
      <c r="C1045" s="5" t="s">
        <v>46</v>
      </c>
      <c r="D1045" s="5" t="s">
        <v>27</v>
      </c>
      <c r="E1045" s="5" t="s">
        <v>74</v>
      </c>
      <c r="F1045" s="5" t="s">
        <v>172</v>
      </c>
      <c r="G1045" s="5" t="s">
        <v>30</v>
      </c>
      <c r="H1045" s="5">
        <v>45</v>
      </c>
      <c r="I1045" s="5" t="s">
        <v>40</v>
      </c>
      <c r="J1045" s="34" t="s">
        <v>2125</v>
      </c>
      <c r="K1045" s="31">
        <v>8766</v>
      </c>
      <c r="L1045" s="5" t="s">
        <v>311</v>
      </c>
      <c r="M1045" s="32">
        <v>10</v>
      </c>
      <c r="N1045" s="6">
        <f t="shared" si="162"/>
        <v>10</v>
      </c>
      <c r="O1045" s="4" t="s">
        <v>172</v>
      </c>
      <c r="P1045" s="5" t="str">
        <f t="shared" si="163"/>
        <v>Mumbai</v>
      </c>
      <c r="Q1045" s="5" t="str">
        <f t="shared" si="164"/>
        <v>General Medicine</v>
      </c>
      <c r="R1045" s="6" t="str">
        <f t="shared" si="165"/>
        <v>Fortis</v>
      </c>
      <c r="S1045" s="6" t="str">
        <f t="shared" si="166"/>
        <v>UPI</v>
      </c>
      <c r="T1045" s="6" t="str">
        <f t="shared" si="167"/>
        <v>Female</v>
      </c>
      <c r="U1045" s="6" t="str">
        <f t="shared" si="170"/>
        <v>General</v>
      </c>
      <c r="V1045" s="6" t="str" cm="1">
        <f t="array" ref="V1045">IF(TRIM(S1045)="",INDEX($S$2:$S$1500,MATCH(MAX(COUNTIF($S$2:$S$1500,S1045)),COUNTIF($S$2:$S$1500,$S$2:$S$1500),0)),S1045)</f>
        <v>UPI</v>
      </c>
      <c r="W1045" s="7" cm="1">
        <f t="array" ref="W1045">IF(OR(TRIM(K1045)="",TRIM(K1045)="-"), MEDIAN(IF($E$2:$E$1500=E1045,$K$2:$K$1500)),  VALUE(SUBSTITUTE(SUBSTITUTE(SUBSTITUTE(K1045,"Rs. ",""),"₹",""),",","")))</f>
        <v>8766</v>
      </c>
      <c r="X1045" s="8">
        <f t="shared" si="168"/>
        <v>10</v>
      </c>
      <c r="Y1045" s="7">
        <f t="shared" si="169"/>
        <v>7889</v>
      </c>
      <c r="Z1045" s="9" t="str">
        <f t="shared" si="161"/>
        <v>ADULT</v>
      </c>
    </row>
    <row r="1046" spans="1:26" x14ac:dyDescent="0.3">
      <c r="A1046" s="5" t="s">
        <v>2126</v>
      </c>
      <c r="B1046" s="5" t="s">
        <v>45</v>
      </c>
      <c r="C1046" s="5" t="s">
        <v>46</v>
      </c>
      <c r="D1046" s="5" t="s">
        <v>189</v>
      </c>
      <c r="E1046" s="5" t="s">
        <v>17</v>
      </c>
      <c r="F1046" s="5" t="s">
        <v>169</v>
      </c>
      <c r="G1046" s="5" t="s">
        <v>30</v>
      </c>
      <c r="H1046" s="5">
        <v>45</v>
      </c>
      <c r="I1046" s="5" t="s">
        <v>20</v>
      </c>
      <c r="J1046" s="34" t="s">
        <v>262</v>
      </c>
      <c r="K1046" s="31">
        <v>19768</v>
      </c>
      <c r="L1046" s="5" t="s">
        <v>23</v>
      </c>
      <c r="M1046" s="32" t="s">
        <v>130</v>
      </c>
      <c r="N1046" s="6">
        <f t="shared" si="162"/>
        <v>0</v>
      </c>
      <c r="O1046" s="4" t="s">
        <v>169</v>
      </c>
      <c r="P1046" s="5" t="str">
        <f t="shared" si="163"/>
        <v>Delhi</v>
      </c>
      <c r="Q1046" s="5" t="str">
        <f t="shared" si="164"/>
        <v>Gynecology</v>
      </c>
      <c r="R1046" s="6" t="str">
        <f t="shared" si="165"/>
        <v>Fortis</v>
      </c>
      <c r="S1046" s="6" t="str">
        <f t="shared" si="166"/>
        <v>Credit Card</v>
      </c>
      <c r="T1046" s="6" t="str">
        <f t="shared" si="167"/>
        <v>Male</v>
      </c>
      <c r="U1046" s="6" t="str">
        <f t="shared" si="170"/>
        <v>General</v>
      </c>
      <c r="V1046" s="6" t="str" cm="1">
        <f t="array" ref="V1046">IF(TRIM(S1046)="",INDEX($S$2:$S$1500,MATCH(MAX(COUNTIF($S$2:$S$1500,S1046)),COUNTIF($S$2:$S$1500,$S$2:$S$1500),0)),S1046)</f>
        <v>Credit Card</v>
      </c>
      <c r="W1046" s="7" cm="1">
        <f t="array" ref="W1046">IF(OR(TRIM(K1046)="",TRIM(K1046)="-"), MEDIAN(IF($E$2:$E$1500=E1046,$K$2:$K$1500)),  VALUE(SUBSTITUTE(SUBSTITUTE(SUBSTITUTE(K1046,"Rs. ",""),"₹",""),",","")))</f>
        <v>19768</v>
      </c>
      <c r="X1046" s="8">
        <f t="shared" si="168"/>
        <v>0</v>
      </c>
      <c r="Y1046" s="7">
        <f t="shared" si="169"/>
        <v>19768</v>
      </c>
      <c r="Z1046" s="9" t="str">
        <f t="shared" si="161"/>
        <v>ADULT</v>
      </c>
    </row>
    <row r="1047" spans="1:26" x14ac:dyDescent="0.3">
      <c r="A1047" s="5" t="s">
        <v>2127</v>
      </c>
      <c r="B1047" s="5" t="s">
        <v>117</v>
      </c>
      <c r="C1047" s="5" t="s">
        <v>118</v>
      </c>
      <c r="D1047" s="5" t="s">
        <v>27</v>
      </c>
      <c r="E1047" s="5" t="s">
        <v>28</v>
      </c>
      <c r="F1047" s="5" t="s">
        <v>29</v>
      </c>
      <c r="G1047" s="5" t="s">
        <v>62</v>
      </c>
      <c r="H1047" s="5">
        <v>55</v>
      </c>
      <c r="I1047" s="5" t="s">
        <v>40</v>
      </c>
      <c r="J1047" s="34" t="s">
        <v>746</v>
      </c>
      <c r="K1047" s="31" t="s">
        <v>2128</v>
      </c>
      <c r="L1047" s="5" t="s">
        <v>91</v>
      </c>
      <c r="M1047" s="32">
        <v>5</v>
      </c>
      <c r="N1047" s="6">
        <f t="shared" si="162"/>
        <v>5</v>
      </c>
      <c r="O1047" s="4" t="s">
        <v>29</v>
      </c>
      <c r="P1047" s="5" t="str">
        <f t="shared" si="163"/>
        <v>Mumbai</v>
      </c>
      <c r="Q1047" s="5" t="str">
        <f t="shared" si="164"/>
        <v>Oncology</v>
      </c>
      <c r="R1047" s="6" t="str">
        <f t="shared" si="165"/>
        <v>Manipal</v>
      </c>
      <c r="S1047" s="6" t="str">
        <f t="shared" si="166"/>
        <v>Debit Card</v>
      </c>
      <c r="T1047" s="6" t="str">
        <f t="shared" si="167"/>
        <v>Female</v>
      </c>
      <c r="U1047" s="6" t="str">
        <f t="shared" si="170"/>
        <v>ICU</v>
      </c>
      <c r="V1047" s="6" t="str" cm="1">
        <f t="array" ref="V1047">IF(TRIM(S1047)="",INDEX($S$2:$S$1500,MATCH(MAX(COUNTIF($S$2:$S$1500,S1047)),COUNTIF($S$2:$S$1500,$S$2:$S$1500),0)),S1047)</f>
        <v>Debit Card</v>
      </c>
      <c r="W1047" s="7" cm="1">
        <f t="array" ref="W1047">IF(OR(TRIM(K1047)="",TRIM(K1047)="-"), MEDIAN(IF($E$2:$E$1500=E1047,$K$2:$K$1500)),  VALUE(SUBSTITUTE(SUBSTITUTE(SUBSTITUTE(K1047,"Rs. ",""),"₹",""),",","")))</f>
        <v>65471</v>
      </c>
      <c r="X1047" s="8">
        <f t="shared" si="168"/>
        <v>5</v>
      </c>
      <c r="Y1047" s="7">
        <f t="shared" si="169"/>
        <v>62197</v>
      </c>
      <c r="Z1047" s="9" t="str">
        <f t="shared" si="161"/>
        <v>ADULT</v>
      </c>
    </row>
    <row r="1048" spans="1:26" x14ac:dyDescent="0.3">
      <c r="A1048" s="5" t="s">
        <v>2129</v>
      </c>
      <c r="B1048" s="5" t="s">
        <v>25</v>
      </c>
      <c r="C1048" s="5" t="s">
        <v>54</v>
      </c>
      <c r="D1048" s="5" t="s">
        <v>189</v>
      </c>
      <c r="E1048" s="5" t="s">
        <v>164</v>
      </c>
      <c r="F1048" s="5" t="s">
        <v>219</v>
      </c>
      <c r="G1048" s="5" t="s">
        <v>39</v>
      </c>
      <c r="H1048" s="5">
        <v>34</v>
      </c>
      <c r="I1048" s="5" t="s">
        <v>40</v>
      </c>
      <c r="J1048" s="34" t="s">
        <v>2130</v>
      </c>
      <c r="K1048" s="31"/>
      <c r="L1048" s="5" t="s">
        <v>236</v>
      </c>
      <c r="M1048" s="32" t="s">
        <v>76</v>
      </c>
      <c r="N1048" s="6">
        <f t="shared" si="162"/>
        <v>10</v>
      </c>
      <c r="O1048" s="4" t="s">
        <v>219</v>
      </c>
      <c r="P1048" s="5" t="str">
        <f t="shared" si="163"/>
        <v>Delhi</v>
      </c>
      <c r="Q1048" s="5" t="str">
        <f t="shared" si="164"/>
        <v>Cardiology</v>
      </c>
      <c r="R1048" s="6" t="str">
        <f t="shared" si="165"/>
        <v>Narayana</v>
      </c>
      <c r="S1048" s="6" t="str">
        <f t="shared" si="166"/>
        <v>Debit Card</v>
      </c>
      <c r="T1048" s="6" t="str">
        <f t="shared" si="167"/>
        <v>Female</v>
      </c>
      <c r="U1048" s="6" t="str">
        <f t="shared" si="170"/>
        <v>General</v>
      </c>
      <c r="V1048" s="6" t="str" cm="1">
        <f t="array" ref="V1048">IF(TRIM(S1048)="",INDEX($S$2:$S$1500,MATCH(MAX(COUNTIF($S$2:$S$1500,S1048)),COUNTIF($S$2:$S$1500,$S$2:$S$1500),0)),S1048)</f>
        <v>Debit Card</v>
      </c>
      <c r="W1048" s="7" cm="1">
        <f t="array" ref="W1048">IF(OR(TRIM(K1048)="",TRIM(K1048)="-"), MEDIAN(IF($E$2:$E$1500=E1048,$K$2:$K$1500)),  VALUE(SUBSTITUTE(SUBSTITUTE(SUBSTITUTE(K1048,"Rs. ",""),"₹",""),",","")))</f>
        <v>13785</v>
      </c>
      <c r="X1048" s="8">
        <f t="shared" si="168"/>
        <v>10</v>
      </c>
      <c r="Y1048" s="7">
        <f t="shared" si="169"/>
        <v>12407</v>
      </c>
      <c r="Z1048" s="9" t="str">
        <f t="shared" si="161"/>
        <v>ADULT</v>
      </c>
    </row>
    <row r="1049" spans="1:26" x14ac:dyDescent="0.3">
      <c r="A1049" s="5" t="s">
        <v>2131</v>
      </c>
      <c r="B1049" s="5" t="s">
        <v>117</v>
      </c>
      <c r="C1049" s="5" t="s">
        <v>182</v>
      </c>
      <c r="D1049" s="5" t="s">
        <v>55</v>
      </c>
      <c r="E1049" s="5" t="s">
        <v>99</v>
      </c>
      <c r="F1049" s="5" t="s">
        <v>100</v>
      </c>
      <c r="G1049" s="5" t="s">
        <v>19</v>
      </c>
      <c r="H1049" s="5">
        <v>92</v>
      </c>
      <c r="I1049" s="5" t="s">
        <v>40</v>
      </c>
      <c r="J1049" s="34" t="s">
        <v>279</v>
      </c>
      <c r="K1049" s="31">
        <v>16364</v>
      </c>
      <c r="L1049" s="5" t="s">
        <v>97</v>
      </c>
      <c r="M1049" s="32">
        <v>0</v>
      </c>
      <c r="N1049" s="6">
        <f t="shared" si="162"/>
        <v>0</v>
      </c>
      <c r="O1049" s="4" t="s">
        <v>100</v>
      </c>
      <c r="P1049" s="5" t="str">
        <f t="shared" si="163"/>
        <v>Hyderabad</v>
      </c>
      <c r="Q1049" s="5" t="str">
        <f t="shared" si="164"/>
        <v>Ent</v>
      </c>
      <c r="R1049" s="6" t="str">
        <f t="shared" si="165"/>
        <v>Manipal</v>
      </c>
      <c r="S1049" s="6" t="str">
        <f t="shared" si="166"/>
        <v>UPI</v>
      </c>
      <c r="T1049" s="6" t="str">
        <f t="shared" si="167"/>
        <v>Female</v>
      </c>
      <c r="U1049" s="6" t="str">
        <f t="shared" si="170"/>
        <v>General</v>
      </c>
      <c r="V1049" s="6" t="str" cm="1">
        <f t="array" ref="V1049">IF(TRIM(S1049)="",INDEX($S$2:$S$1500,MATCH(MAX(COUNTIF($S$2:$S$1500,S1049)),COUNTIF($S$2:$S$1500,$S$2:$S$1500),0)),S1049)</f>
        <v>UPI</v>
      </c>
      <c r="W1049" s="7" cm="1">
        <f t="array" ref="W1049">IF(OR(TRIM(K1049)="",TRIM(K1049)="-"), MEDIAN(IF($E$2:$E$1500=E1049,$K$2:$K$1500)),  VALUE(SUBSTITUTE(SUBSTITUTE(SUBSTITUTE(K1049,"Rs. ",""),"₹",""),",","")))</f>
        <v>16364</v>
      </c>
      <c r="X1049" s="8">
        <f t="shared" si="168"/>
        <v>0</v>
      </c>
      <c r="Y1049" s="7">
        <f t="shared" si="169"/>
        <v>16364</v>
      </c>
      <c r="Z1049" s="9" t="str">
        <f t="shared" si="161"/>
        <v>SENIOR</v>
      </c>
    </row>
    <row r="1050" spans="1:26" x14ac:dyDescent="0.3">
      <c r="A1050" s="5" t="s">
        <v>2132</v>
      </c>
      <c r="B1050" s="5" t="s">
        <v>45</v>
      </c>
      <c r="C1050" s="5" t="s">
        <v>46</v>
      </c>
      <c r="D1050" s="5" t="s">
        <v>66</v>
      </c>
      <c r="E1050" s="5" t="s">
        <v>108</v>
      </c>
      <c r="F1050" s="5" t="s">
        <v>308</v>
      </c>
      <c r="G1050" s="5" t="s">
        <v>69</v>
      </c>
      <c r="H1050" s="5">
        <v>68</v>
      </c>
      <c r="I1050" s="5" t="s">
        <v>20</v>
      </c>
      <c r="J1050" s="34" t="s">
        <v>323</v>
      </c>
      <c r="K1050" s="31">
        <v>21384</v>
      </c>
      <c r="L1050" s="5" t="s">
        <v>83</v>
      </c>
      <c r="M1050" s="32">
        <v>0</v>
      </c>
      <c r="N1050" s="6">
        <f t="shared" si="162"/>
        <v>0</v>
      </c>
      <c r="O1050" s="4" t="s">
        <v>308</v>
      </c>
      <c r="P1050" s="5" t="str">
        <f t="shared" si="163"/>
        <v>Kolkata</v>
      </c>
      <c r="Q1050" s="5" t="str">
        <f t="shared" si="164"/>
        <v>Orthopedics</v>
      </c>
      <c r="R1050" s="6" t="str">
        <f t="shared" si="165"/>
        <v>Fortis</v>
      </c>
      <c r="S1050" s="6" t="str">
        <f t="shared" si="166"/>
        <v>Debit Card</v>
      </c>
      <c r="T1050" s="6" t="str">
        <f t="shared" si="167"/>
        <v>Male</v>
      </c>
      <c r="U1050" s="6" t="str">
        <f t="shared" si="170"/>
        <v>ICU</v>
      </c>
      <c r="V1050" s="6" t="str" cm="1">
        <f t="array" ref="V1050">IF(TRIM(S1050)="",INDEX($S$2:$S$1500,MATCH(MAX(COUNTIF($S$2:$S$1500,S1050)),COUNTIF($S$2:$S$1500,$S$2:$S$1500),0)),S1050)</f>
        <v>Debit Card</v>
      </c>
      <c r="W1050" s="7" cm="1">
        <f t="array" ref="W1050">IF(OR(TRIM(K1050)="",TRIM(K1050)="-"), MEDIAN(IF($E$2:$E$1500=E1050,$K$2:$K$1500)),  VALUE(SUBSTITUTE(SUBSTITUTE(SUBSTITUTE(K1050,"Rs. ",""),"₹",""),",","")))</f>
        <v>21384</v>
      </c>
      <c r="X1050" s="8">
        <f t="shared" si="168"/>
        <v>0</v>
      </c>
      <c r="Y1050" s="7">
        <f t="shared" si="169"/>
        <v>21384</v>
      </c>
      <c r="Z1050" s="9" t="str">
        <f t="shared" si="161"/>
        <v>SENIOR</v>
      </c>
    </row>
    <row r="1051" spans="1:26" x14ac:dyDescent="0.3">
      <c r="A1051" s="5" t="s">
        <v>2133</v>
      </c>
      <c r="B1051" s="5" t="s">
        <v>106</v>
      </c>
      <c r="C1051" s="5" t="s">
        <v>307</v>
      </c>
      <c r="D1051" s="5" t="s">
        <v>80</v>
      </c>
      <c r="E1051" s="5" t="s">
        <v>17</v>
      </c>
      <c r="F1051" s="5" t="s">
        <v>213</v>
      </c>
      <c r="G1051" s="5" t="s">
        <v>101</v>
      </c>
      <c r="H1051" s="5">
        <v>85</v>
      </c>
      <c r="I1051" s="5" t="s">
        <v>31</v>
      </c>
      <c r="J1051" s="34" t="s">
        <v>216</v>
      </c>
      <c r="K1051" s="31" t="s">
        <v>2134</v>
      </c>
      <c r="L1051" s="5" t="s">
        <v>115</v>
      </c>
      <c r="M1051" s="32">
        <v>0</v>
      </c>
      <c r="N1051" s="6">
        <f t="shared" si="162"/>
        <v>0</v>
      </c>
      <c r="O1051" s="4" t="s">
        <v>213</v>
      </c>
      <c r="P1051" s="5" t="str">
        <f t="shared" si="163"/>
        <v>Ahmedabad</v>
      </c>
      <c r="Q1051" s="5" t="str">
        <f t="shared" si="164"/>
        <v>Gynecology</v>
      </c>
      <c r="R1051" s="6" t="str">
        <f t="shared" si="165"/>
        <v>Aiims</v>
      </c>
      <c r="S1051" s="6" t="str">
        <f t="shared" si="166"/>
        <v>Cash</v>
      </c>
      <c r="T1051" s="6" t="str">
        <f t="shared" si="167"/>
        <v>Male</v>
      </c>
      <c r="U1051" s="6" t="str">
        <f t="shared" si="170"/>
        <v>ICU</v>
      </c>
      <c r="V1051" s="6" t="str" cm="1">
        <f t="array" ref="V1051">IF(TRIM(S1051)="",INDEX($S$2:$S$1500,MATCH(MAX(COUNTIF($S$2:$S$1500,S1051)),COUNTIF($S$2:$S$1500,$S$2:$S$1500),0)),S1051)</f>
        <v>Cash</v>
      </c>
      <c r="W1051" s="7" cm="1">
        <f t="array" ref="W1051">IF(OR(TRIM(K1051)="",TRIM(K1051)="-"), MEDIAN(IF($E$2:$E$1500=E1051,$K$2:$K$1500)),  VALUE(SUBSTITUTE(SUBSTITUTE(SUBSTITUTE(K1051,"Rs. ",""),"₹",""),",","")))</f>
        <v>77386</v>
      </c>
      <c r="X1051" s="8">
        <f t="shared" si="168"/>
        <v>0</v>
      </c>
      <c r="Y1051" s="7">
        <f t="shared" si="169"/>
        <v>77386</v>
      </c>
      <c r="Z1051" s="9" t="str">
        <f t="shared" si="161"/>
        <v>SENIOR</v>
      </c>
    </row>
    <row r="1052" spans="1:26" x14ac:dyDescent="0.3">
      <c r="A1052" s="5" t="s">
        <v>2135</v>
      </c>
      <c r="B1052" s="5" t="s">
        <v>117</v>
      </c>
      <c r="C1052" s="5" t="s">
        <v>118</v>
      </c>
      <c r="D1052" s="5" t="s">
        <v>189</v>
      </c>
      <c r="E1052" s="5" t="s">
        <v>99</v>
      </c>
      <c r="F1052" s="5" t="s">
        <v>100</v>
      </c>
      <c r="G1052" s="5" t="s">
        <v>30</v>
      </c>
      <c r="H1052" s="5">
        <v>55</v>
      </c>
      <c r="I1052" s="5" t="s">
        <v>40</v>
      </c>
      <c r="J1052" s="34" t="s">
        <v>1982</v>
      </c>
      <c r="K1052" s="31" t="s">
        <v>2136</v>
      </c>
      <c r="L1052" s="5" t="s">
        <v>236</v>
      </c>
      <c r="M1052" s="32">
        <v>0</v>
      </c>
      <c r="N1052" s="6">
        <f t="shared" si="162"/>
        <v>0</v>
      </c>
      <c r="O1052" s="4" t="s">
        <v>100</v>
      </c>
      <c r="P1052" s="5" t="str">
        <f t="shared" si="163"/>
        <v>Delhi</v>
      </c>
      <c r="Q1052" s="5" t="str">
        <f t="shared" si="164"/>
        <v>Ent</v>
      </c>
      <c r="R1052" s="6" t="str">
        <f t="shared" si="165"/>
        <v>Manipal</v>
      </c>
      <c r="S1052" s="6" t="str">
        <f t="shared" si="166"/>
        <v>Debit Card</v>
      </c>
      <c r="T1052" s="6" t="str">
        <f t="shared" si="167"/>
        <v>Female</v>
      </c>
      <c r="U1052" s="6" t="str">
        <f t="shared" si="170"/>
        <v>General</v>
      </c>
      <c r="V1052" s="6" t="str" cm="1">
        <f t="array" ref="V1052">IF(TRIM(S1052)="",INDEX($S$2:$S$1500,MATCH(MAX(COUNTIF($S$2:$S$1500,S1052)),COUNTIF($S$2:$S$1500,$S$2:$S$1500),0)),S1052)</f>
        <v>Debit Card</v>
      </c>
      <c r="W1052" s="7" cm="1">
        <f t="array" ref="W1052">IF(OR(TRIM(K1052)="",TRIM(K1052)="-"), MEDIAN(IF($E$2:$E$1500=E1052,$K$2:$K$1500)),  VALUE(SUBSTITUTE(SUBSTITUTE(SUBSTITUTE(K1052,"Rs. ",""),"₹",""),",","")))</f>
        <v>5065</v>
      </c>
      <c r="X1052" s="8">
        <f t="shared" si="168"/>
        <v>0</v>
      </c>
      <c r="Y1052" s="7">
        <f t="shared" si="169"/>
        <v>5065</v>
      </c>
      <c r="Z1052" s="9" t="str">
        <f t="shared" si="161"/>
        <v>ADULT</v>
      </c>
    </row>
    <row r="1053" spans="1:26" x14ac:dyDescent="0.3">
      <c r="A1053" s="5" t="s">
        <v>2137</v>
      </c>
      <c r="B1053" s="5" t="s">
        <v>25</v>
      </c>
      <c r="C1053" s="5" t="s">
        <v>54</v>
      </c>
      <c r="D1053" s="5" t="s">
        <v>61</v>
      </c>
      <c r="E1053" s="5" t="s">
        <v>74</v>
      </c>
      <c r="F1053" s="5" t="s">
        <v>75</v>
      </c>
      <c r="G1053" s="5"/>
      <c r="H1053" s="5">
        <v>91</v>
      </c>
      <c r="I1053" s="5" t="s">
        <v>31</v>
      </c>
      <c r="J1053" s="34" t="s">
        <v>438</v>
      </c>
      <c r="K1053" s="31">
        <v>17159</v>
      </c>
      <c r="L1053" s="5" t="s">
        <v>58</v>
      </c>
      <c r="M1053" s="32">
        <v>0</v>
      </c>
      <c r="N1053" s="6">
        <f t="shared" si="162"/>
        <v>0</v>
      </c>
      <c r="O1053" s="4" t="s">
        <v>75</v>
      </c>
      <c r="P1053" s="5" t="str">
        <f t="shared" si="163"/>
        <v>Pune</v>
      </c>
      <c r="Q1053" s="5" t="str">
        <f t="shared" si="164"/>
        <v>General Medicine</v>
      </c>
      <c r="R1053" s="6" t="str">
        <f t="shared" si="165"/>
        <v>Narayana</v>
      </c>
      <c r="S1053" s="6" t="str">
        <f t="shared" si="166"/>
        <v>UPI</v>
      </c>
      <c r="T1053" s="6" t="str">
        <f t="shared" si="167"/>
        <v>Male</v>
      </c>
      <c r="U1053" s="6" t="str">
        <f t="shared" si="170"/>
        <v>Unknown</v>
      </c>
      <c r="V1053" s="6" t="str" cm="1">
        <f t="array" ref="V1053">IF(TRIM(S1053)="",INDEX($S$2:$S$1500,MATCH(MAX(COUNTIF($S$2:$S$1500,S1053)),COUNTIF($S$2:$S$1500,$S$2:$S$1500),0)),S1053)</f>
        <v>UPI</v>
      </c>
      <c r="W1053" s="7" cm="1">
        <f t="array" ref="W1053">IF(OR(TRIM(K1053)="",TRIM(K1053)="-"), MEDIAN(IF($E$2:$E$1500=E1053,$K$2:$K$1500)),  VALUE(SUBSTITUTE(SUBSTITUTE(SUBSTITUTE(K1053,"Rs. ",""),"₹",""),",","")))</f>
        <v>17159</v>
      </c>
      <c r="X1053" s="8">
        <f t="shared" si="168"/>
        <v>0</v>
      </c>
      <c r="Y1053" s="7">
        <f t="shared" si="169"/>
        <v>17159</v>
      </c>
      <c r="Z1053" s="9" t="str">
        <f t="shared" si="161"/>
        <v>SENIOR</v>
      </c>
    </row>
    <row r="1054" spans="1:26" x14ac:dyDescent="0.3">
      <c r="A1054" s="5" t="s">
        <v>2138</v>
      </c>
      <c r="B1054" s="5" t="s">
        <v>25</v>
      </c>
      <c r="C1054" s="5" t="s">
        <v>54</v>
      </c>
      <c r="D1054" s="5" t="s">
        <v>16</v>
      </c>
      <c r="E1054" s="5" t="s">
        <v>164</v>
      </c>
      <c r="F1054" s="5" t="s">
        <v>165</v>
      </c>
      <c r="G1054" s="5" t="s">
        <v>69</v>
      </c>
      <c r="H1054" s="5">
        <v>72</v>
      </c>
      <c r="I1054" s="5" t="s">
        <v>20</v>
      </c>
      <c r="J1054" s="34" t="s">
        <v>1109</v>
      </c>
      <c r="K1054" s="31" t="s">
        <v>2139</v>
      </c>
      <c r="L1054" s="5" t="s">
        <v>52</v>
      </c>
      <c r="M1054" s="32" t="s">
        <v>130</v>
      </c>
      <c r="N1054" s="6">
        <f t="shared" si="162"/>
        <v>0</v>
      </c>
      <c r="O1054" s="4" t="s">
        <v>165</v>
      </c>
      <c r="P1054" s="5" t="str">
        <f t="shared" si="163"/>
        <v>Bangalore</v>
      </c>
      <c r="Q1054" s="5" t="str">
        <f t="shared" si="164"/>
        <v>Cardiology</v>
      </c>
      <c r="R1054" s="6" t="str">
        <f t="shared" si="165"/>
        <v>Narayana</v>
      </c>
      <c r="S1054" s="6" t="str">
        <f t="shared" si="166"/>
        <v>Credit Card</v>
      </c>
      <c r="T1054" s="6" t="str">
        <f t="shared" si="167"/>
        <v>Male</v>
      </c>
      <c r="U1054" s="6" t="str">
        <f t="shared" si="170"/>
        <v>ICU</v>
      </c>
      <c r="V1054" s="6" t="str" cm="1">
        <f t="array" ref="V1054">IF(TRIM(S1054)="",INDEX($S$2:$S$1500,MATCH(MAX(COUNTIF($S$2:$S$1500,S1054)),COUNTIF($S$2:$S$1500,$S$2:$S$1500),0)),S1054)</f>
        <v>Credit Card</v>
      </c>
      <c r="W1054" s="7" cm="1">
        <f t="array" ref="W1054">IF(OR(TRIM(K1054)="",TRIM(K1054)="-"), MEDIAN(IF($E$2:$E$1500=E1054,$K$2:$K$1500)),  VALUE(SUBSTITUTE(SUBSTITUTE(SUBSTITUTE(K1054,"Rs. ",""),"₹",""),",","")))</f>
        <v>72300</v>
      </c>
      <c r="X1054" s="8">
        <f t="shared" si="168"/>
        <v>0</v>
      </c>
      <c r="Y1054" s="7">
        <f t="shared" si="169"/>
        <v>72300</v>
      </c>
      <c r="Z1054" s="9" t="str">
        <f t="shared" si="161"/>
        <v>SENIOR</v>
      </c>
    </row>
    <row r="1055" spans="1:26" x14ac:dyDescent="0.3">
      <c r="A1055" s="5" t="s">
        <v>2140</v>
      </c>
      <c r="B1055" s="5" t="s">
        <v>45</v>
      </c>
      <c r="C1055" s="5" t="s">
        <v>334</v>
      </c>
      <c r="D1055" s="5" t="s">
        <v>61</v>
      </c>
      <c r="E1055" s="5" t="s">
        <v>108</v>
      </c>
      <c r="F1055" s="5" t="s">
        <v>272</v>
      </c>
      <c r="G1055" s="5" t="s">
        <v>30</v>
      </c>
      <c r="H1055" s="5">
        <v>22</v>
      </c>
      <c r="I1055" s="5" t="s">
        <v>40</v>
      </c>
      <c r="J1055" s="34" t="s">
        <v>1714</v>
      </c>
      <c r="K1055" s="31">
        <v>11708</v>
      </c>
      <c r="L1055" s="5" t="s">
        <v>115</v>
      </c>
      <c r="M1055" s="32">
        <v>10</v>
      </c>
      <c r="N1055" s="6">
        <f t="shared" si="162"/>
        <v>10</v>
      </c>
      <c r="O1055" s="4" t="s">
        <v>272</v>
      </c>
      <c r="P1055" s="5" t="str">
        <f t="shared" si="163"/>
        <v>Pune</v>
      </c>
      <c r="Q1055" s="5" t="str">
        <f t="shared" si="164"/>
        <v>Orthopedics</v>
      </c>
      <c r="R1055" s="6" t="str">
        <f t="shared" si="165"/>
        <v>Fortis</v>
      </c>
      <c r="S1055" s="6" t="str">
        <f t="shared" si="166"/>
        <v>Cash</v>
      </c>
      <c r="T1055" s="6" t="str">
        <f t="shared" si="167"/>
        <v>Female</v>
      </c>
      <c r="U1055" s="6" t="str">
        <f t="shared" si="170"/>
        <v>General</v>
      </c>
      <c r="V1055" s="6" t="str" cm="1">
        <f t="array" ref="V1055">IF(TRIM(S1055)="",INDEX($S$2:$S$1500,MATCH(MAX(COUNTIF($S$2:$S$1500,S1055)),COUNTIF($S$2:$S$1500,$S$2:$S$1500),0)),S1055)</f>
        <v>Cash</v>
      </c>
      <c r="W1055" s="7" cm="1">
        <f t="array" ref="W1055">IF(OR(TRIM(K1055)="",TRIM(K1055)="-"), MEDIAN(IF($E$2:$E$1500=E1055,$K$2:$K$1500)),  VALUE(SUBSTITUTE(SUBSTITUTE(SUBSTITUTE(K1055,"Rs. ",""),"₹",""),",","")))</f>
        <v>11708</v>
      </c>
      <c r="X1055" s="8">
        <f t="shared" si="168"/>
        <v>10</v>
      </c>
      <c r="Y1055" s="7">
        <f t="shared" si="169"/>
        <v>10537</v>
      </c>
      <c r="Z1055" s="9" t="str">
        <f t="shared" si="161"/>
        <v>ADULT</v>
      </c>
    </row>
    <row r="1056" spans="1:26" x14ac:dyDescent="0.3">
      <c r="A1056" s="5" t="s">
        <v>2141</v>
      </c>
      <c r="B1056" s="5" t="s">
        <v>14</v>
      </c>
      <c r="C1056" s="5" t="s">
        <v>60</v>
      </c>
      <c r="D1056" s="5" t="s">
        <v>80</v>
      </c>
      <c r="E1056" s="5" t="s">
        <v>99</v>
      </c>
      <c r="F1056" s="5" t="s">
        <v>151</v>
      </c>
      <c r="G1056" s="5" t="s">
        <v>69</v>
      </c>
      <c r="H1056" s="5">
        <v>45</v>
      </c>
      <c r="I1056" s="5" t="s">
        <v>20</v>
      </c>
      <c r="J1056" s="34" t="s">
        <v>2142</v>
      </c>
      <c r="K1056" s="31" t="s">
        <v>2143</v>
      </c>
      <c r="L1056" s="5" t="s">
        <v>23</v>
      </c>
      <c r="M1056" s="32">
        <v>0</v>
      </c>
      <c r="N1056" s="6">
        <f t="shared" si="162"/>
        <v>0</v>
      </c>
      <c r="O1056" s="4" t="s">
        <v>151</v>
      </c>
      <c r="P1056" s="5" t="str">
        <f t="shared" si="163"/>
        <v>Ahmedabad</v>
      </c>
      <c r="Q1056" s="5" t="str">
        <f t="shared" si="164"/>
        <v>Ent</v>
      </c>
      <c r="R1056" s="6" t="str">
        <f t="shared" si="165"/>
        <v>Max_Healthcare</v>
      </c>
      <c r="S1056" s="6" t="str">
        <f t="shared" si="166"/>
        <v>Credit Card</v>
      </c>
      <c r="T1056" s="6" t="str">
        <f t="shared" si="167"/>
        <v>Male</v>
      </c>
      <c r="U1056" s="6" t="str">
        <f t="shared" si="170"/>
        <v>ICU</v>
      </c>
      <c r="V1056" s="6" t="str" cm="1">
        <f t="array" ref="V1056">IF(TRIM(S1056)="",INDEX($S$2:$S$1500,MATCH(MAX(COUNTIF($S$2:$S$1500,S1056)),COUNTIF($S$2:$S$1500,$S$2:$S$1500),0)),S1056)</f>
        <v>Credit Card</v>
      </c>
      <c r="W1056" s="7" cm="1">
        <f t="array" ref="W1056">IF(OR(TRIM(K1056)="",TRIM(K1056)="-"), MEDIAN(IF($E$2:$E$1500=E1056,$K$2:$K$1500)),  VALUE(SUBSTITUTE(SUBSTITUTE(SUBSTITUTE(K1056,"Rs. ",""),"₹",""),",","")))</f>
        <v>80232</v>
      </c>
      <c r="X1056" s="8">
        <f t="shared" si="168"/>
        <v>0</v>
      </c>
      <c r="Y1056" s="7">
        <f t="shared" si="169"/>
        <v>80232</v>
      </c>
      <c r="Z1056" s="9" t="str">
        <f t="shared" si="161"/>
        <v>ADULT</v>
      </c>
    </row>
    <row r="1057" spans="1:26" x14ac:dyDescent="0.3">
      <c r="A1057" s="5" t="s">
        <v>2144</v>
      </c>
      <c r="B1057" s="5" t="s">
        <v>14</v>
      </c>
      <c r="C1057" s="5" t="s">
        <v>60</v>
      </c>
      <c r="D1057" s="5" t="s">
        <v>66</v>
      </c>
      <c r="E1057" s="5" t="s">
        <v>37</v>
      </c>
      <c r="F1057" s="5" t="s">
        <v>132</v>
      </c>
      <c r="G1057" s="5" t="s">
        <v>39</v>
      </c>
      <c r="H1057" s="5">
        <v>30</v>
      </c>
      <c r="I1057" s="5" t="s">
        <v>40</v>
      </c>
      <c r="J1057" s="34" t="s">
        <v>197</v>
      </c>
      <c r="K1057" s="31">
        <v>5559</v>
      </c>
      <c r="L1057" s="5" t="s">
        <v>211</v>
      </c>
      <c r="M1057" s="32" t="s">
        <v>76</v>
      </c>
      <c r="N1057" s="6">
        <f t="shared" si="162"/>
        <v>10</v>
      </c>
      <c r="O1057" s="4" t="s">
        <v>132</v>
      </c>
      <c r="P1057" s="5" t="str">
        <f t="shared" si="163"/>
        <v>Kolkata</v>
      </c>
      <c r="Q1057" s="5" t="str">
        <f t="shared" si="164"/>
        <v>Pediatrics</v>
      </c>
      <c r="R1057" s="6" t="str">
        <f t="shared" si="165"/>
        <v>Max_Healthcare</v>
      </c>
      <c r="S1057" s="6" t="str">
        <f t="shared" si="166"/>
        <v>Credit Card</v>
      </c>
      <c r="T1057" s="6" t="str">
        <f t="shared" si="167"/>
        <v>Female</v>
      </c>
      <c r="U1057" s="6" t="str">
        <f t="shared" si="170"/>
        <v>General</v>
      </c>
      <c r="V1057" s="6" t="str" cm="1">
        <f t="array" ref="V1057">IF(TRIM(S1057)="",INDEX($S$2:$S$1500,MATCH(MAX(COUNTIF($S$2:$S$1500,S1057)),COUNTIF($S$2:$S$1500,$S$2:$S$1500),0)),S1057)</f>
        <v>Credit Card</v>
      </c>
      <c r="W1057" s="7" cm="1">
        <f t="array" ref="W1057">IF(OR(TRIM(K1057)="",TRIM(K1057)="-"), MEDIAN(IF($E$2:$E$1500=E1057,$K$2:$K$1500)),  VALUE(SUBSTITUTE(SUBSTITUTE(SUBSTITUTE(K1057,"Rs. ",""),"₹",""),",","")))</f>
        <v>5559</v>
      </c>
      <c r="X1057" s="8">
        <f t="shared" si="168"/>
        <v>10</v>
      </c>
      <c r="Y1057" s="7">
        <f t="shared" si="169"/>
        <v>5003</v>
      </c>
      <c r="Z1057" s="9" t="str">
        <f t="shared" si="161"/>
        <v>ADULT</v>
      </c>
    </row>
    <row r="1058" spans="1:26" x14ac:dyDescent="0.3">
      <c r="A1058" s="5" t="s">
        <v>2145</v>
      </c>
      <c r="B1058" s="5" t="s">
        <v>117</v>
      </c>
      <c r="C1058" s="5" t="s">
        <v>118</v>
      </c>
      <c r="D1058" s="5" t="s">
        <v>36</v>
      </c>
      <c r="E1058" s="5" t="s">
        <v>67</v>
      </c>
      <c r="F1058" s="5" t="s">
        <v>196</v>
      </c>
      <c r="G1058" s="5" t="s">
        <v>39</v>
      </c>
      <c r="H1058" s="5">
        <v>10</v>
      </c>
      <c r="I1058" s="5" t="s">
        <v>20</v>
      </c>
      <c r="J1058" s="34" t="s">
        <v>866</v>
      </c>
      <c r="K1058" s="31"/>
      <c r="L1058" s="5" t="s">
        <v>104</v>
      </c>
      <c r="M1058" s="32">
        <v>0.18</v>
      </c>
      <c r="N1058" s="6">
        <f t="shared" si="162"/>
        <v>18</v>
      </c>
      <c r="O1058" s="4" t="s">
        <v>196</v>
      </c>
      <c r="P1058" s="5" t="str">
        <f t="shared" si="163"/>
        <v>Chennai</v>
      </c>
      <c r="Q1058" s="5" t="str">
        <f t="shared" si="164"/>
        <v>Neurology</v>
      </c>
      <c r="R1058" s="6" t="str">
        <f t="shared" si="165"/>
        <v>Manipal</v>
      </c>
      <c r="S1058" s="6" t="str">
        <f t="shared" si="166"/>
        <v>Insurance</v>
      </c>
      <c r="T1058" s="6" t="str">
        <f t="shared" si="167"/>
        <v>Male</v>
      </c>
      <c r="U1058" s="6" t="str">
        <f t="shared" si="170"/>
        <v>General</v>
      </c>
      <c r="V1058" s="6" t="str" cm="1">
        <f t="array" ref="V1058">IF(TRIM(S1058)="",INDEX($S$2:$S$1500,MATCH(MAX(COUNTIF($S$2:$S$1500,S1058)),COUNTIF($S$2:$S$1500,$S$2:$S$1500),0)),S1058)</f>
        <v>Insurance</v>
      </c>
      <c r="W1058" s="7" cm="1">
        <f t="array" ref="W1058">IF(OR(TRIM(K1058)="",TRIM(K1058)="-"), MEDIAN(IF($E$2:$E$1500=E1058,$K$2:$K$1500)),  VALUE(SUBSTITUTE(SUBSTITUTE(SUBSTITUTE(K1058,"Rs. ",""),"₹",""),",","")))</f>
        <v>13353</v>
      </c>
      <c r="X1058" s="8">
        <f t="shared" si="168"/>
        <v>18</v>
      </c>
      <c r="Y1058" s="7">
        <f t="shared" si="169"/>
        <v>10949</v>
      </c>
      <c r="Z1058" s="9" t="str">
        <f t="shared" si="161"/>
        <v>CHILD</v>
      </c>
    </row>
    <row r="1059" spans="1:26" x14ac:dyDescent="0.3">
      <c r="A1059" s="5" t="s">
        <v>2146</v>
      </c>
      <c r="B1059" s="5" t="s">
        <v>78</v>
      </c>
      <c r="C1059" s="5" t="s">
        <v>79</v>
      </c>
      <c r="D1059" s="5" t="s">
        <v>36</v>
      </c>
      <c r="E1059" s="5" t="s">
        <v>108</v>
      </c>
      <c r="F1059" s="5" t="s">
        <v>124</v>
      </c>
      <c r="G1059" s="5" t="s">
        <v>19</v>
      </c>
      <c r="H1059" s="5">
        <v>36</v>
      </c>
      <c r="I1059" s="5" t="s">
        <v>20</v>
      </c>
      <c r="J1059" s="34" t="s">
        <v>304</v>
      </c>
      <c r="K1059" s="31" t="s">
        <v>2147</v>
      </c>
      <c r="L1059" s="5" t="s">
        <v>211</v>
      </c>
      <c r="M1059" s="32" t="s">
        <v>64</v>
      </c>
      <c r="N1059" s="6" t="str">
        <f t="shared" si="162"/>
        <v>NA</v>
      </c>
      <c r="O1059" s="4" t="s">
        <v>124</v>
      </c>
      <c r="P1059" s="5" t="str">
        <f t="shared" si="163"/>
        <v>Chennai</v>
      </c>
      <c r="Q1059" s="5" t="str">
        <f t="shared" si="164"/>
        <v>Orthopedics</v>
      </c>
      <c r="R1059" s="6" t="str">
        <f t="shared" si="165"/>
        <v>Apollo</v>
      </c>
      <c r="S1059" s="6" t="str">
        <f t="shared" si="166"/>
        <v>Credit Card</v>
      </c>
      <c r="T1059" s="6" t="str">
        <f t="shared" si="167"/>
        <v>Male</v>
      </c>
      <c r="U1059" s="6" t="str">
        <f t="shared" si="170"/>
        <v>General</v>
      </c>
      <c r="V1059" s="6" t="str" cm="1">
        <f t="array" ref="V1059">IF(TRIM(S1059)="",INDEX($S$2:$S$1500,MATCH(MAX(COUNTIF($S$2:$S$1500,S1059)),COUNTIF($S$2:$S$1500,$S$2:$S$1500),0)),S1059)</f>
        <v>Credit Card</v>
      </c>
      <c r="W1059" s="7" cm="1">
        <f t="array" ref="W1059">IF(OR(TRIM(K1059)="",TRIM(K1059)="-"), MEDIAN(IF($E$2:$E$1500=E1059,$K$2:$K$1500)),  VALUE(SUBSTITUTE(SUBSTITUTE(SUBSTITUTE(K1059,"Rs. ",""),"₹",""),",","")))</f>
        <v>8898</v>
      </c>
      <c r="X1059" s="8">
        <f t="shared" si="168"/>
        <v>3</v>
      </c>
      <c r="Y1059" s="7">
        <f t="shared" si="169"/>
        <v>8631</v>
      </c>
      <c r="Z1059" s="9" t="str">
        <f t="shared" si="161"/>
        <v>ADULT</v>
      </c>
    </row>
    <row r="1060" spans="1:26" x14ac:dyDescent="0.3">
      <c r="A1060" s="5" t="s">
        <v>2148</v>
      </c>
      <c r="B1060" s="5" t="s">
        <v>45</v>
      </c>
      <c r="C1060" s="5" t="s">
        <v>334</v>
      </c>
      <c r="D1060" s="5" t="s">
        <v>80</v>
      </c>
      <c r="E1060" s="5" t="s">
        <v>37</v>
      </c>
      <c r="F1060" s="5" t="s">
        <v>132</v>
      </c>
      <c r="G1060" s="5" t="s">
        <v>69</v>
      </c>
      <c r="H1060" s="5">
        <v>92</v>
      </c>
      <c r="I1060" s="5" t="s">
        <v>20</v>
      </c>
      <c r="J1060" s="34" t="s">
        <v>1815</v>
      </c>
      <c r="K1060" s="31" t="s">
        <v>2149</v>
      </c>
      <c r="L1060" s="5" t="s">
        <v>236</v>
      </c>
      <c r="M1060" s="32" t="s">
        <v>198</v>
      </c>
      <c r="N1060" s="6">
        <f t="shared" si="162"/>
        <v>5</v>
      </c>
      <c r="O1060" s="4" t="s">
        <v>132</v>
      </c>
      <c r="P1060" s="5" t="str">
        <f t="shared" si="163"/>
        <v>Ahmedabad</v>
      </c>
      <c r="Q1060" s="5" t="str">
        <f t="shared" si="164"/>
        <v>Pediatrics</v>
      </c>
      <c r="R1060" s="6" t="str">
        <f t="shared" si="165"/>
        <v>Fortis</v>
      </c>
      <c r="S1060" s="6" t="str">
        <f t="shared" si="166"/>
        <v>Debit Card</v>
      </c>
      <c r="T1060" s="6" t="str">
        <f t="shared" si="167"/>
        <v>Male</v>
      </c>
      <c r="U1060" s="6" t="str">
        <f t="shared" si="170"/>
        <v>ICU</v>
      </c>
      <c r="V1060" s="6" t="str" cm="1">
        <f t="array" ref="V1060">IF(TRIM(S1060)="",INDEX($S$2:$S$1500,MATCH(MAX(COUNTIF($S$2:$S$1500,S1060)),COUNTIF($S$2:$S$1500,$S$2:$S$1500),0)),S1060)</f>
        <v>Debit Card</v>
      </c>
      <c r="W1060" s="7" cm="1">
        <f t="array" ref="W1060">IF(OR(TRIM(K1060)="",TRIM(K1060)="-"), MEDIAN(IF($E$2:$E$1500=E1060,$K$2:$K$1500)),  VALUE(SUBSTITUTE(SUBSTITUTE(SUBSTITUTE(K1060,"Rs. ",""),"₹",""),",","")))</f>
        <v>48989</v>
      </c>
      <c r="X1060" s="8">
        <f t="shared" si="168"/>
        <v>5</v>
      </c>
      <c r="Y1060" s="7">
        <f t="shared" si="169"/>
        <v>46540</v>
      </c>
      <c r="Z1060" s="9" t="str">
        <f t="shared" si="161"/>
        <v>SENIOR</v>
      </c>
    </row>
    <row r="1061" spans="1:26" x14ac:dyDescent="0.3">
      <c r="A1061" s="5" t="s">
        <v>2150</v>
      </c>
      <c r="B1061" s="5" t="s">
        <v>14</v>
      </c>
      <c r="C1061" s="5" t="s">
        <v>15</v>
      </c>
      <c r="D1061" s="5" t="s">
        <v>16</v>
      </c>
      <c r="E1061" s="5" t="s">
        <v>67</v>
      </c>
      <c r="F1061" s="5" t="s">
        <v>85</v>
      </c>
      <c r="G1061" s="5" t="s">
        <v>19</v>
      </c>
      <c r="H1061" s="5">
        <v>34</v>
      </c>
      <c r="I1061" s="5" t="s">
        <v>40</v>
      </c>
      <c r="J1061" s="34" t="s">
        <v>680</v>
      </c>
      <c r="K1061" s="31" t="s">
        <v>2151</v>
      </c>
      <c r="L1061" s="5" t="s">
        <v>115</v>
      </c>
      <c r="M1061" s="32">
        <v>0</v>
      </c>
      <c r="N1061" s="6">
        <f t="shared" si="162"/>
        <v>0</v>
      </c>
      <c r="O1061" s="4" t="s">
        <v>85</v>
      </c>
      <c r="P1061" s="5" t="str">
        <f t="shared" si="163"/>
        <v>Bangalore</v>
      </c>
      <c r="Q1061" s="5" t="str">
        <f t="shared" si="164"/>
        <v>Neurology</v>
      </c>
      <c r="R1061" s="6" t="str">
        <f t="shared" si="165"/>
        <v>Max_Healthcare</v>
      </c>
      <c r="S1061" s="6" t="str">
        <f t="shared" si="166"/>
        <v>Cash</v>
      </c>
      <c r="T1061" s="6" t="str">
        <f t="shared" si="167"/>
        <v>Female</v>
      </c>
      <c r="U1061" s="6" t="str">
        <f t="shared" si="170"/>
        <v>General</v>
      </c>
      <c r="V1061" s="6" t="str" cm="1">
        <f t="array" ref="V1061">IF(TRIM(S1061)="",INDEX($S$2:$S$1500,MATCH(MAX(COUNTIF($S$2:$S$1500,S1061)),COUNTIF($S$2:$S$1500,$S$2:$S$1500),0)),S1061)</f>
        <v>Cash</v>
      </c>
      <c r="W1061" s="7" cm="1">
        <f t="array" ref="W1061">IF(OR(TRIM(K1061)="",TRIM(K1061)="-"), MEDIAN(IF($E$2:$E$1500=E1061,$K$2:$K$1500)),  VALUE(SUBSTITUTE(SUBSTITUTE(SUBSTITUTE(K1061,"Rs. ",""),"₹",""),",","")))</f>
        <v>4896</v>
      </c>
      <c r="X1061" s="8">
        <f t="shared" si="168"/>
        <v>0</v>
      </c>
      <c r="Y1061" s="7">
        <f t="shared" si="169"/>
        <v>4896</v>
      </c>
      <c r="Z1061" s="9" t="str">
        <f t="shared" si="161"/>
        <v>ADULT</v>
      </c>
    </row>
    <row r="1062" spans="1:26" x14ac:dyDescent="0.3">
      <c r="A1062" s="5" t="s">
        <v>2152</v>
      </c>
      <c r="B1062" s="5" t="s">
        <v>106</v>
      </c>
      <c r="C1062" s="5" t="s">
        <v>107</v>
      </c>
      <c r="D1062" s="5" t="s">
        <v>16</v>
      </c>
      <c r="E1062" s="5" t="s">
        <v>17</v>
      </c>
      <c r="F1062" s="5" t="s">
        <v>213</v>
      </c>
      <c r="G1062" s="5" t="s">
        <v>19</v>
      </c>
      <c r="H1062" s="5">
        <v>52</v>
      </c>
      <c r="I1062" s="5" t="s">
        <v>20</v>
      </c>
      <c r="J1062" s="34" t="s">
        <v>530</v>
      </c>
      <c r="K1062" s="31">
        <v>7279</v>
      </c>
      <c r="L1062" s="5" t="s">
        <v>52</v>
      </c>
      <c r="M1062" s="32">
        <v>0</v>
      </c>
      <c r="N1062" s="6">
        <f t="shared" si="162"/>
        <v>0</v>
      </c>
      <c r="O1062" s="4" t="s">
        <v>213</v>
      </c>
      <c r="P1062" s="5" t="str">
        <f t="shared" si="163"/>
        <v>Bangalore</v>
      </c>
      <c r="Q1062" s="5" t="str">
        <f t="shared" si="164"/>
        <v>Gynecology</v>
      </c>
      <c r="R1062" s="6" t="str">
        <f t="shared" si="165"/>
        <v>Aiims</v>
      </c>
      <c r="S1062" s="6" t="str">
        <f t="shared" si="166"/>
        <v>Credit Card</v>
      </c>
      <c r="T1062" s="6" t="str">
        <f t="shared" si="167"/>
        <v>Male</v>
      </c>
      <c r="U1062" s="6" t="str">
        <f t="shared" si="170"/>
        <v>General</v>
      </c>
      <c r="V1062" s="6" t="str" cm="1">
        <f t="array" ref="V1062">IF(TRIM(S1062)="",INDEX($S$2:$S$1500,MATCH(MAX(COUNTIF($S$2:$S$1500,S1062)),COUNTIF($S$2:$S$1500,$S$2:$S$1500),0)),S1062)</f>
        <v>Credit Card</v>
      </c>
      <c r="W1062" s="7" cm="1">
        <f t="array" ref="W1062">IF(OR(TRIM(K1062)="",TRIM(K1062)="-"), MEDIAN(IF($E$2:$E$1500=E1062,$K$2:$K$1500)),  VALUE(SUBSTITUTE(SUBSTITUTE(SUBSTITUTE(K1062,"Rs. ",""),"₹",""),",","")))</f>
        <v>7279</v>
      </c>
      <c r="X1062" s="8">
        <f t="shared" si="168"/>
        <v>0</v>
      </c>
      <c r="Y1062" s="7">
        <f t="shared" si="169"/>
        <v>7279</v>
      </c>
      <c r="Z1062" s="9" t="str">
        <f t="shared" si="161"/>
        <v>ADULT</v>
      </c>
    </row>
    <row r="1063" spans="1:26" x14ac:dyDescent="0.3">
      <c r="A1063" s="5" t="s">
        <v>2153</v>
      </c>
      <c r="B1063" s="5" t="s">
        <v>117</v>
      </c>
      <c r="C1063" s="5" t="s">
        <v>118</v>
      </c>
      <c r="D1063" s="5" t="s">
        <v>16</v>
      </c>
      <c r="E1063" s="5" t="s">
        <v>74</v>
      </c>
      <c r="F1063" s="5" t="s">
        <v>192</v>
      </c>
      <c r="G1063" s="5" t="s">
        <v>69</v>
      </c>
      <c r="H1063" s="5">
        <v>16</v>
      </c>
      <c r="I1063" s="5" t="s">
        <v>20</v>
      </c>
      <c r="J1063" s="34" t="s">
        <v>122</v>
      </c>
      <c r="K1063" s="31">
        <v>35218</v>
      </c>
      <c r="L1063" s="5" t="s">
        <v>87</v>
      </c>
      <c r="M1063" s="32">
        <v>0</v>
      </c>
      <c r="N1063" s="6">
        <f t="shared" si="162"/>
        <v>0</v>
      </c>
      <c r="O1063" s="4" t="s">
        <v>192</v>
      </c>
      <c r="P1063" s="5" t="str">
        <f t="shared" si="163"/>
        <v>Bangalore</v>
      </c>
      <c r="Q1063" s="5" t="str">
        <f t="shared" si="164"/>
        <v>General Medicine</v>
      </c>
      <c r="R1063" s="6" t="str">
        <f t="shared" si="165"/>
        <v>Manipal</v>
      </c>
      <c r="S1063" s="6" t="str">
        <f t="shared" si="166"/>
        <v>Credit Card</v>
      </c>
      <c r="T1063" s="6" t="str">
        <f t="shared" si="167"/>
        <v>Male</v>
      </c>
      <c r="U1063" s="6" t="str">
        <f t="shared" si="170"/>
        <v>ICU</v>
      </c>
      <c r="V1063" s="6" t="str" cm="1">
        <f t="array" ref="V1063">IF(TRIM(S1063)="",INDEX($S$2:$S$1500,MATCH(MAX(COUNTIF($S$2:$S$1500,S1063)),COUNTIF($S$2:$S$1500,$S$2:$S$1500),0)),S1063)</f>
        <v>Credit Card</v>
      </c>
      <c r="W1063" s="7" cm="1">
        <f t="array" ref="W1063">IF(OR(TRIM(K1063)="",TRIM(K1063)="-"), MEDIAN(IF($E$2:$E$1500=E1063,$K$2:$K$1500)),  VALUE(SUBSTITUTE(SUBSTITUTE(SUBSTITUTE(K1063,"Rs. ",""),"₹",""),",","")))</f>
        <v>35218</v>
      </c>
      <c r="X1063" s="8">
        <f t="shared" si="168"/>
        <v>0</v>
      </c>
      <c r="Y1063" s="7">
        <f t="shared" si="169"/>
        <v>35218</v>
      </c>
      <c r="Z1063" s="9" t="str">
        <f t="shared" si="161"/>
        <v>TEEN</v>
      </c>
    </row>
    <row r="1064" spans="1:26" x14ac:dyDescent="0.3">
      <c r="A1064" s="5" t="s">
        <v>2154</v>
      </c>
      <c r="B1064" s="5" t="s">
        <v>106</v>
      </c>
      <c r="C1064" s="5" t="s">
        <v>107</v>
      </c>
      <c r="D1064" s="5" t="s">
        <v>16</v>
      </c>
      <c r="E1064" s="5" t="s">
        <v>108</v>
      </c>
      <c r="F1064" s="5" t="s">
        <v>308</v>
      </c>
      <c r="G1064" s="5" t="s">
        <v>39</v>
      </c>
      <c r="H1064" s="5">
        <v>62</v>
      </c>
      <c r="I1064" s="5" t="s">
        <v>40</v>
      </c>
      <c r="J1064" s="34" t="s">
        <v>1685</v>
      </c>
      <c r="K1064" s="31">
        <v>19345</v>
      </c>
      <c r="L1064" s="5" t="s">
        <v>91</v>
      </c>
      <c r="M1064" s="32" t="s">
        <v>76</v>
      </c>
      <c r="N1064" s="6">
        <f t="shared" si="162"/>
        <v>10</v>
      </c>
      <c r="O1064" s="4" t="s">
        <v>308</v>
      </c>
      <c r="P1064" s="5" t="str">
        <f t="shared" si="163"/>
        <v>Bangalore</v>
      </c>
      <c r="Q1064" s="5" t="str">
        <f t="shared" si="164"/>
        <v>Orthopedics</v>
      </c>
      <c r="R1064" s="6" t="str">
        <f t="shared" si="165"/>
        <v>Aiims</v>
      </c>
      <c r="S1064" s="6" t="str">
        <f t="shared" si="166"/>
        <v>Debit Card</v>
      </c>
      <c r="T1064" s="6" t="str">
        <f t="shared" si="167"/>
        <v>Female</v>
      </c>
      <c r="U1064" s="6" t="str">
        <f t="shared" si="170"/>
        <v>General</v>
      </c>
      <c r="V1064" s="6" t="str" cm="1">
        <f t="array" ref="V1064">IF(TRIM(S1064)="",INDEX($S$2:$S$1500,MATCH(MAX(COUNTIF($S$2:$S$1500,S1064)),COUNTIF($S$2:$S$1500,$S$2:$S$1500),0)),S1064)</f>
        <v>Debit Card</v>
      </c>
      <c r="W1064" s="7" cm="1">
        <f t="array" ref="W1064">IF(OR(TRIM(K1064)="",TRIM(K1064)="-"), MEDIAN(IF($E$2:$E$1500=E1064,$K$2:$K$1500)),  VALUE(SUBSTITUTE(SUBSTITUTE(SUBSTITUTE(K1064,"Rs. ",""),"₹",""),",","")))</f>
        <v>19345</v>
      </c>
      <c r="X1064" s="8">
        <f t="shared" si="168"/>
        <v>10</v>
      </c>
      <c r="Y1064" s="7">
        <f t="shared" si="169"/>
        <v>17411</v>
      </c>
      <c r="Z1064" s="9" t="str">
        <f t="shared" si="161"/>
        <v>SENIOR</v>
      </c>
    </row>
    <row r="1065" spans="1:26" x14ac:dyDescent="0.3">
      <c r="A1065" s="5" t="s">
        <v>2155</v>
      </c>
      <c r="B1065" s="5" t="s">
        <v>25</v>
      </c>
      <c r="C1065" s="5" t="s">
        <v>26</v>
      </c>
      <c r="D1065" s="5" t="s">
        <v>36</v>
      </c>
      <c r="E1065" s="5" t="s">
        <v>67</v>
      </c>
      <c r="F1065" s="5" t="s">
        <v>85</v>
      </c>
      <c r="G1065" s="5" t="s">
        <v>19</v>
      </c>
      <c r="H1065" s="5">
        <v>37</v>
      </c>
      <c r="I1065" s="5" t="s">
        <v>20</v>
      </c>
      <c r="J1065" s="34" t="s">
        <v>1078</v>
      </c>
      <c r="K1065" s="31">
        <v>3934</v>
      </c>
      <c r="L1065" s="5" t="s">
        <v>236</v>
      </c>
      <c r="M1065" s="32">
        <v>0</v>
      </c>
      <c r="N1065" s="6">
        <f t="shared" si="162"/>
        <v>0</v>
      </c>
      <c r="O1065" s="4" t="s">
        <v>85</v>
      </c>
      <c r="P1065" s="5" t="str">
        <f t="shared" si="163"/>
        <v>Chennai</v>
      </c>
      <c r="Q1065" s="5" t="str">
        <f t="shared" si="164"/>
        <v>Neurology</v>
      </c>
      <c r="R1065" s="6" t="str">
        <f t="shared" si="165"/>
        <v>Narayana</v>
      </c>
      <c r="S1065" s="6" t="str">
        <f t="shared" si="166"/>
        <v>Debit Card</v>
      </c>
      <c r="T1065" s="6" t="str">
        <f t="shared" si="167"/>
        <v>Male</v>
      </c>
      <c r="U1065" s="6" t="str">
        <f t="shared" si="170"/>
        <v>General</v>
      </c>
      <c r="V1065" s="6" t="str" cm="1">
        <f t="array" ref="V1065">IF(TRIM(S1065)="",INDEX($S$2:$S$1500,MATCH(MAX(COUNTIF($S$2:$S$1500,S1065)),COUNTIF($S$2:$S$1500,$S$2:$S$1500),0)),S1065)</f>
        <v>Debit Card</v>
      </c>
      <c r="W1065" s="7" cm="1">
        <f t="array" ref="W1065">IF(OR(TRIM(K1065)="",TRIM(K1065)="-"), MEDIAN(IF($E$2:$E$1500=E1065,$K$2:$K$1500)),  VALUE(SUBSTITUTE(SUBSTITUTE(SUBSTITUTE(K1065,"Rs. ",""),"₹",""),",","")))</f>
        <v>3934</v>
      </c>
      <c r="X1065" s="8">
        <f t="shared" si="168"/>
        <v>0</v>
      </c>
      <c r="Y1065" s="7">
        <f t="shared" si="169"/>
        <v>3934</v>
      </c>
      <c r="Z1065" s="9" t="str">
        <f t="shared" si="161"/>
        <v>ADULT</v>
      </c>
    </row>
    <row r="1066" spans="1:26" x14ac:dyDescent="0.3">
      <c r="A1066" s="5" t="s">
        <v>2156</v>
      </c>
      <c r="B1066" s="5" t="s">
        <v>117</v>
      </c>
      <c r="C1066" s="5" t="s">
        <v>118</v>
      </c>
      <c r="D1066" s="5" t="s">
        <v>80</v>
      </c>
      <c r="E1066" s="5" t="s">
        <v>37</v>
      </c>
      <c r="F1066" s="5" t="s">
        <v>132</v>
      </c>
      <c r="G1066" s="5" t="s">
        <v>39</v>
      </c>
      <c r="H1066" s="5">
        <v>27</v>
      </c>
      <c r="I1066" s="5" t="s">
        <v>20</v>
      </c>
      <c r="J1066" s="34" t="s">
        <v>1057</v>
      </c>
      <c r="K1066" s="31" t="s">
        <v>2157</v>
      </c>
      <c r="L1066" s="5" t="s">
        <v>42</v>
      </c>
      <c r="M1066" s="32"/>
      <c r="N1066" s="6">
        <f t="shared" si="162"/>
        <v>0</v>
      </c>
      <c r="O1066" s="4" t="s">
        <v>132</v>
      </c>
      <c r="P1066" s="5" t="str">
        <f t="shared" si="163"/>
        <v>Ahmedabad</v>
      </c>
      <c r="Q1066" s="5" t="str">
        <f t="shared" si="164"/>
        <v>Pediatrics</v>
      </c>
      <c r="R1066" s="6" t="str">
        <f t="shared" si="165"/>
        <v>Manipal</v>
      </c>
      <c r="S1066" s="6" t="str">
        <f t="shared" si="166"/>
        <v>Insurance</v>
      </c>
      <c r="T1066" s="6" t="str">
        <f t="shared" si="167"/>
        <v>Male</v>
      </c>
      <c r="U1066" s="6" t="str">
        <f t="shared" si="170"/>
        <v>General</v>
      </c>
      <c r="V1066" s="6" t="str" cm="1">
        <f t="array" ref="V1066">IF(TRIM(S1066)="",INDEX($S$2:$S$1500,MATCH(MAX(COUNTIF($S$2:$S$1500,S1066)),COUNTIF($S$2:$S$1500,$S$2:$S$1500),0)),S1066)</f>
        <v>Insurance</v>
      </c>
      <c r="W1066" s="7" cm="1">
        <f t="array" ref="W1066">IF(OR(TRIM(K1066)="",TRIM(K1066)="-"), MEDIAN(IF($E$2:$E$1500=E1066,$K$2:$K$1500)),  VALUE(SUBSTITUTE(SUBSTITUTE(SUBSTITUTE(K1066,"Rs. ",""),"₹",""),",","")))</f>
        <v>8456</v>
      </c>
      <c r="X1066" s="8">
        <f t="shared" si="168"/>
        <v>0</v>
      </c>
      <c r="Y1066" s="7">
        <f t="shared" si="169"/>
        <v>8456</v>
      </c>
      <c r="Z1066" s="9" t="str">
        <f t="shared" si="161"/>
        <v>ADULT</v>
      </c>
    </row>
    <row r="1067" spans="1:26" x14ac:dyDescent="0.3">
      <c r="A1067" s="5" t="s">
        <v>2158</v>
      </c>
      <c r="B1067" s="5" t="s">
        <v>14</v>
      </c>
      <c r="C1067" s="5" t="s">
        <v>60</v>
      </c>
      <c r="D1067" s="5" t="s">
        <v>66</v>
      </c>
      <c r="E1067" s="5" t="s">
        <v>74</v>
      </c>
      <c r="F1067" s="5" t="s">
        <v>147</v>
      </c>
      <c r="G1067" s="5" t="s">
        <v>49</v>
      </c>
      <c r="H1067" s="5">
        <v>5</v>
      </c>
      <c r="I1067" s="5" t="s">
        <v>20</v>
      </c>
      <c r="J1067" s="34" t="s">
        <v>430</v>
      </c>
      <c r="K1067" s="31">
        <v>16058</v>
      </c>
      <c r="L1067" s="5" t="s">
        <v>211</v>
      </c>
      <c r="M1067" s="32" t="s">
        <v>64</v>
      </c>
      <c r="N1067" s="6" t="str">
        <f t="shared" si="162"/>
        <v>NA</v>
      </c>
      <c r="O1067" s="4" t="s">
        <v>147</v>
      </c>
      <c r="P1067" s="5" t="str">
        <f t="shared" si="163"/>
        <v>Kolkata</v>
      </c>
      <c r="Q1067" s="5" t="str">
        <f t="shared" si="164"/>
        <v>General Medicine</v>
      </c>
      <c r="R1067" s="6" t="str">
        <f t="shared" si="165"/>
        <v>Max_Healthcare</v>
      </c>
      <c r="S1067" s="6" t="str">
        <f t="shared" si="166"/>
        <v>Credit Card</v>
      </c>
      <c r="T1067" s="6" t="str">
        <f t="shared" si="167"/>
        <v>Male</v>
      </c>
      <c r="U1067" s="6" t="str">
        <f t="shared" si="170"/>
        <v>General</v>
      </c>
      <c r="V1067" s="6" t="str" cm="1">
        <f t="array" ref="V1067">IF(TRIM(S1067)="",INDEX($S$2:$S$1500,MATCH(MAX(COUNTIF($S$2:$S$1500,S1067)),COUNTIF($S$2:$S$1500,$S$2:$S$1500),0)),S1067)</f>
        <v>Credit Card</v>
      </c>
      <c r="W1067" s="7" cm="1">
        <f t="array" ref="W1067">IF(OR(TRIM(K1067)="",TRIM(K1067)="-"), MEDIAN(IF($E$2:$E$1500=E1067,$K$2:$K$1500)),  VALUE(SUBSTITUTE(SUBSTITUTE(SUBSTITUTE(K1067,"Rs. ",""),"₹",""),",","")))</f>
        <v>16058</v>
      </c>
      <c r="X1067" s="8">
        <f t="shared" si="168"/>
        <v>3</v>
      </c>
      <c r="Y1067" s="7">
        <f t="shared" si="169"/>
        <v>15576</v>
      </c>
      <c r="Z1067" s="9" t="str">
        <f t="shared" si="161"/>
        <v>CHILD</v>
      </c>
    </row>
    <row r="1068" spans="1:26" x14ac:dyDescent="0.3">
      <c r="A1068" s="5" t="s">
        <v>2159</v>
      </c>
      <c r="B1068" s="5" t="s">
        <v>117</v>
      </c>
      <c r="C1068" s="5" t="s">
        <v>127</v>
      </c>
      <c r="D1068" s="5" t="s">
        <v>61</v>
      </c>
      <c r="E1068" s="5" t="s">
        <v>37</v>
      </c>
      <c r="F1068" s="5" t="s">
        <v>56</v>
      </c>
      <c r="G1068" s="5" t="s">
        <v>19</v>
      </c>
      <c r="H1068" s="5">
        <v>28</v>
      </c>
      <c r="I1068" s="5" t="s">
        <v>31</v>
      </c>
      <c r="J1068" s="34" t="s">
        <v>2160</v>
      </c>
      <c r="K1068" s="31">
        <v>12129</v>
      </c>
      <c r="L1068" s="5" t="s">
        <v>97</v>
      </c>
      <c r="M1068" s="32" t="s">
        <v>140</v>
      </c>
      <c r="N1068" s="6" t="str">
        <f t="shared" si="162"/>
        <v>-</v>
      </c>
      <c r="O1068" s="4" t="s">
        <v>56</v>
      </c>
      <c r="P1068" s="5" t="str">
        <f t="shared" si="163"/>
        <v>Pune</v>
      </c>
      <c r="Q1068" s="5" t="str">
        <f t="shared" si="164"/>
        <v>Pediatrics</v>
      </c>
      <c r="R1068" s="6" t="str">
        <f t="shared" si="165"/>
        <v>Manipal</v>
      </c>
      <c r="S1068" s="6" t="str">
        <f t="shared" si="166"/>
        <v>UPI</v>
      </c>
      <c r="T1068" s="6" t="str">
        <f t="shared" si="167"/>
        <v>Male</v>
      </c>
      <c r="U1068" s="6" t="str">
        <f t="shared" si="170"/>
        <v>General</v>
      </c>
      <c r="V1068" s="6" t="str" cm="1">
        <f t="array" ref="V1068">IF(TRIM(S1068)="",INDEX($S$2:$S$1500,MATCH(MAX(COUNTIF($S$2:$S$1500,S1068)),COUNTIF($S$2:$S$1500,$S$2:$S$1500),0)),S1068)</f>
        <v>UPI</v>
      </c>
      <c r="W1068" s="7" cm="1">
        <f t="array" ref="W1068">IF(OR(TRIM(K1068)="",TRIM(K1068)="-"), MEDIAN(IF($E$2:$E$1500=E1068,$K$2:$K$1500)),  VALUE(SUBSTITUTE(SUBSTITUTE(SUBSTITUTE(K1068,"Rs. ",""),"₹",""),",","")))</f>
        <v>12129</v>
      </c>
      <c r="X1068" s="8">
        <f t="shared" si="168"/>
        <v>3</v>
      </c>
      <c r="Y1068" s="7">
        <f t="shared" si="169"/>
        <v>11765</v>
      </c>
      <c r="Z1068" s="9" t="str">
        <f t="shared" si="161"/>
        <v>ADULT</v>
      </c>
    </row>
    <row r="1069" spans="1:26" x14ac:dyDescent="0.3">
      <c r="A1069" s="5" t="s">
        <v>2161</v>
      </c>
      <c r="B1069" s="5" t="s">
        <v>25</v>
      </c>
      <c r="C1069" s="5" t="s">
        <v>54</v>
      </c>
      <c r="D1069" s="5" t="s">
        <v>36</v>
      </c>
      <c r="E1069" s="5" t="s">
        <v>108</v>
      </c>
      <c r="F1069" s="5" t="s">
        <v>308</v>
      </c>
      <c r="G1069" s="5" t="s">
        <v>39</v>
      </c>
      <c r="H1069" s="5">
        <v>75</v>
      </c>
      <c r="I1069" s="5" t="s">
        <v>20</v>
      </c>
      <c r="J1069" s="34" t="s">
        <v>1432</v>
      </c>
      <c r="K1069" s="31">
        <v>11620</v>
      </c>
      <c r="L1069" s="5" t="s">
        <v>83</v>
      </c>
      <c r="M1069" s="32">
        <v>0</v>
      </c>
      <c r="N1069" s="6">
        <f t="shared" si="162"/>
        <v>0</v>
      </c>
      <c r="O1069" s="4" t="s">
        <v>308</v>
      </c>
      <c r="P1069" s="5" t="str">
        <f t="shared" si="163"/>
        <v>Chennai</v>
      </c>
      <c r="Q1069" s="5" t="str">
        <f t="shared" si="164"/>
        <v>Orthopedics</v>
      </c>
      <c r="R1069" s="6" t="str">
        <f t="shared" si="165"/>
        <v>Narayana</v>
      </c>
      <c r="S1069" s="6" t="str">
        <f t="shared" si="166"/>
        <v>Debit Card</v>
      </c>
      <c r="T1069" s="6" t="str">
        <f t="shared" si="167"/>
        <v>Male</v>
      </c>
      <c r="U1069" s="6" t="str">
        <f t="shared" si="170"/>
        <v>General</v>
      </c>
      <c r="V1069" s="6" t="str" cm="1">
        <f t="array" ref="V1069">IF(TRIM(S1069)="",INDEX($S$2:$S$1500,MATCH(MAX(COUNTIF($S$2:$S$1500,S1069)),COUNTIF($S$2:$S$1500,$S$2:$S$1500),0)),S1069)</f>
        <v>Debit Card</v>
      </c>
      <c r="W1069" s="7" cm="1">
        <f t="array" ref="W1069">IF(OR(TRIM(K1069)="",TRIM(K1069)="-"), MEDIAN(IF($E$2:$E$1500=E1069,$K$2:$K$1500)),  VALUE(SUBSTITUTE(SUBSTITUTE(SUBSTITUTE(K1069,"Rs. ",""),"₹",""),",","")))</f>
        <v>11620</v>
      </c>
      <c r="X1069" s="8">
        <f t="shared" si="168"/>
        <v>0</v>
      </c>
      <c r="Y1069" s="7">
        <f t="shared" si="169"/>
        <v>11620</v>
      </c>
      <c r="Z1069" s="9" t="str">
        <f t="shared" si="161"/>
        <v>SENIOR</v>
      </c>
    </row>
    <row r="1070" spans="1:26" x14ac:dyDescent="0.3">
      <c r="A1070" s="5" t="s">
        <v>2162</v>
      </c>
      <c r="B1070" s="5" t="s">
        <v>117</v>
      </c>
      <c r="C1070" s="5" t="s">
        <v>182</v>
      </c>
      <c r="D1070" s="5" t="s">
        <v>66</v>
      </c>
      <c r="E1070" s="5" t="s">
        <v>108</v>
      </c>
      <c r="F1070" s="5" t="s">
        <v>109</v>
      </c>
      <c r="G1070" s="5" t="s">
        <v>19</v>
      </c>
      <c r="H1070" s="5">
        <v>6</v>
      </c>
      <c r="I1070" s="5" t="s">
        <v>40</v>
      </c>
      <c r="J1070" s="34" t="s">
        <v>1849</v>
      </c>
      <c r="K1070" s="31" t="s">
        <v>2163</v>
      </c>
      <c r="L1070" s="5" t="s">
        <v>236</v>
      </c>
      <c r="M1070" s="32">
        <v>0</v>
      </c>
      <c r="N1070" s="6">
        <f t="shared" si="162"/>
        <v>0</v>
      </c>
      <c r="O1070" s="4" t="s">
        <v>109</v>
      </c>
      <c r="P1070" s="5" t="str">
        <f t="shared" si="163"/>
        <v>Kolkata</v>
      </c>
      <c r="Q1070" s="5" t="str">
        <f t="shared" si="164"/>
        <v>Orthopedics</v>
      </c>
      <c r="R1070" s="6" t="str">
        <f t="shared" si="165"/>
        <v>Manipal</v>
      </c>
      <c r="S1070" s="6" t="str">
        <f t="shared" si="166"/>
        <v>Debit Card</v>
      </c>
      <c r="T1070" s="6" t="str">
        <f t="shared" si="167"/>
        <v>Female</v>
      </c>
      <c r="U1070" s="6" t="str">
        <f t="shared" si="170"/>
        <v>General</v>
      </c>
      <c r="V1070" s="6" t="str" cm="1">
        <f t="array" ref="V1070">IF(TRIM(S1070)="",INDEX($S$2:$S$1500,MATCH(MAX(COUNTIF($S$2:$S$1500,S1070)),COUNTIF($S$2:$S$1500,$S$2:$S$1500),0)),S1070)</f>
        <v>Debit Card</v>
      </c>
      <c r="W1070" s="7" cm="1">
        <f t="array" ref="W1070">IF(OR(TRIM(K1070)="",TRIM(K1070)="-"), MEDIAN(IF($E$2:$E$1500=E1070,$K$2:$K$1500)),  VALUE(SUBSTITUTE(SUBSTITUTE(SUBSTITUTE(K1070,"Rs. ",""),"₹",""),",","")))</f>
        <v>18796</v>
      </c>
      <c r="X1070" s="8">
        <f t="shared" si="168"/>
        <v>0</v>
      </c>
      <c r="Y1070" s="7">
        <f t="shared" si="169"/>
        <v>18796</v>
      </c>
      <c r="Z1070" s="9" t="str">
        <f t="shared" si="161"/>
        <v>CHILD</v>
      </c>
    </row>
    <row r="1071" spans="1:26" x14ac:dyDescent="0.3">
      <c r="A1071" s="5" t="s">
        <v>2164</v>
      </c>
      <c r="B1071" s="5" t="s">
        <v>25</v>
      </c>
      <c r="C1071" s="5" t="s">
        <v>54</v>
      </c>
      <c r="D1071" s="5" t="s">
        <v>27</v>
      </c>
      <c r="E1071" s="5" t="s">
        <v>17</v>
      </c>
      <c r="F1071" s="5" t="s">
        <v>135</v>
      </c>
      <c r="G1071" s="5" t="s">
        <v>62</v>
      </c>
      <c r="H1071" s="5">
        <v>87</v>
      </c>
      <c r="I1071" s="5" t="s">
        <v>31</v>
      </c>
      <c r="J1071" s="34" t="s">
        <v>1104</v>
      </c>
      <c r="K1071" s="31">
        <v>31490</v>
      </c>
      <c r="L1071" s="5" t="s">
        <v>42</v>
      </c>
      <c r="M1071" s="32" t="s">
        <v>198</v>
      </c>
      <c r="N1071" s="6">
        <f t="shared" si="162"/>
        <v>5</v>
      </c>
      <c r="O1071" s="4" t="s">
        <v>135</v>
      </c>
      <c r="P1071" s="5" t="str">
        <f t="shared" si="163"/>
        <v>Mumbai</v>
      </c>
      <c r="Q1071" s="5" t="str">
        <f t="shared" si="164"/>
        <v>Gynecology</v>
      </c>
      <c r="R1071" s="6" t="str">
        <f t="shared" si="165"/>
        <v>Narayana</v>
      </c>
      <c r="S1071" s="6" t="str">
        <f t="shared" si="166"/>
        <v>Insurance</v>
      </c>
      <c r="T1071" s="6" t="str">
        <f t="shared" si="167"/>
        <v>Male</v>
      </c>
      <c r="U1071" s="6" t="str">
        <f t="shared" si="170"/>
        <v>ICU</v>
      </c>
      <c r="V1071" s="6" t="str" cm="1">
        <f t="array" ref="V1071">IF(TRIM(S1071)="",INDEX($S$2:$S$1500,MATCH(MAX(COUNTIF($S$2:$S$1500,S1071)),COUNTIF($S$2:$S$1500,$S$2:$S$1500),0)),S1071)</f>
        <v>Insurance</v>
      </c>
      <c r="W1071" s="7" cm="1">
        <f t="array" ref="W1071">IF(OR(TRIM(K1071)="",TRIM(K1071)="-"), MEDIAN(IF($E$2:$E$1500=E1071,$K$2:$K$1500)),  VALUE(SUBSTITUTE(SUBSTITUTE(SUBSTITUTE(K1071,"Rs. ",""),"₹",""),",","")))</f>
        <v>31490</v>
      </c>
      <c r="X1071" s="8">
        <f t="shared" si="168"/>
        <v>5</v>
      </c>
      <c r="Y1071" s="7">
        <f t="shared" si="169"/>
        <v>29916</v>
      </c>
      <c r="Z1071" s="9" t="str">
        <f t="shared" si="161"/>
        <v>SENIOR</v>
      </c>
    </row>
    <row r="1072" spans="1:26" x14ac:dyDescent="0.3">
      <c r="A1072" s="5" t="s">
        <v>2165</v>
      </c>
      <c r="B1072" s="5" t="s">
        <v>14</v>
      </c>
      <c r="C1072" s="5" t="s">
        <v>15</v>
      </c>
      <c r="D1072" s="5" t="s">
        <v>66</v>
      </c>
      <c r="E1072" s="5" t="s">
        <v>108</v>
      </c>
      <c r="F1072" s="5" t="s">
        <v>109</v>
      </c>
      <c r="G1072" s="5" t="s">
        <v>49</v>
      </c>
      <c r="H1072" s="5">
        <v>2</v>
      </c>
      <c r="I1072" s="5" t="s">
        <v>40</v>
      </c>
      <c r="J1072" s="34" t="s">
        <v>764</v>
      </c>
      <c r="K1072" s="31" t="s">
        <v>2166</v>
      </c>
      <c r="L1072" s="5" t="s">
        <v>91</v>
      </c>
      <c r="M1072" s="32">
        <v>0</v>
      </c>
      <c r="N1072" s="6">
        <f t="shared" si="162"/>
        <v>0</v>
      </c>
      <c r="O1072" s="4" t="s">
        <v>109</v>
      </c>
      <c r="P1072" s="5" t="str">
        <f t="shared" si="163"/>
        <v>Kolkata</v>
      </c>
      <c r="Q1072" s="5" t="str">
        <f t="shared" si="164"/>
        <v>Orthopedics</v>
      </c>
      <c r="R1072" s="6" t="str">
        <f t="shared" si="165"/>
        <v>Max_Healthcare</v>
      </c>
      <c r="S1072" s="6" t="str">
        <f t="shared" si="166"/>
        <v>Debit Card</v>
      </c>
      <c r="T1072" s="6" t="str">
        <f t="shared" si="167"/>
        <v>Female</v>
      </c>
      <c r="U1072" s="6" t="str">
        <f t="shared" si="170"/>
        <v>General</v>
      </c>
      <c r="V1072" s="6" t="str" cm="1">
        <f t="array" ref="V1072">IF(TRIM(S1072)="",INDEX($S$2:$S$1500,MATCH(MAX(COUNTIF($S$2:$S$1500,S1072)),COUNTIF($S$2:$S$1500,$S$2:$S$1500),0)),S1072)</f>
        <v>Debit Card</v>
      </c>
      <c r="W1072" s="7" cm="1">
        <f t="array" ref="W1072">IF(OR(TRIM(K1072)="",TRIM(K1072)="-"), MEDIAN(IF($E$2:$E$1500=E1072,$K$2:$K$1500)),  VALUE(SUBSTITUTE(SUBSTITUTE(SUBSTITUTE(K1072,"Rs. ",""),"₹",""),",","")))</f>
        <v>17560</v>
      </c>
      <c r="X1072" s="8">
        <f t="shared" si="168"/>
        <v>0</v>
      </c>
      <c r="Y1072" s="7">
        <f t="shared" si="169"/>
        <v>17560</v>
      </c>
      <c r="Z1072" s="9" t="str">
        <f t="shared" si="161"/>
        <v>CHILD</v>
      </c>
    </row>
    <row r="1073" spans="1:26" x14ac:dyDescent="0.3">
      <c r="A1073" s="5" t="s">
        <v>2167</v>
      </c>
      <c r="B1073" s="5" t="s">
        <v>78</v>
      </c>
      <c r="C1073" s="5" t="s">
        <v>79</v>
      </c>
      <c r="D1073" s="5" t="s">
        <v>66</v>
      </c>
      <c r="E1073" s="5" t="s">
        <v>74</v>
      </c>
      <c r="F1073" s="5" t="s">
        <v>147</v>
      </c>
      <c r="G1073" s="5" t="s">
        <v>30</v>
      </c>
      <c r="H1073" s="5">
        <v>88</v>
      </c>
      <c r="I1073" s="5" t="s">
        <v>20</v>
      </c>
      <c r="J1073" s="34" t="s">
        <v>1714</v>
      </c>
      <c r="K1073" s="31">
        <v>9941</v>
      </c>
      <c r="L1073" s="5" t="s">
        <v>236</v>
      </c>
      <c r="M1073" s="32">
        <v>0</v>
      </c>
      <c r="N1073" s="6">
        <f t="shared" si="162"/>
        <v>0</v>
      </c>
      <c r="O1073" s="4" t="s">
        <v>147</v>
      </c>
      <c r="P1073" s="5" t="str">
        <f t="shared" si="163"/>
        <v>Kolkata</v>
      </c>
      <c r="Q1073" s="5" t="str">
        <f t="shared" si="164"/>
        <v>General Medicine</v>
      </c>
      <c r="R1073" s="6" t="str">
        <f t="shared" si="165"/>
        <v>Apollo</v>
      </c>
      <c r="S1073" s="6" t="str">
        <f t="shared" si="166"/>
        <v>Debit Card</v>
      </c>
      <c r="T1073" s="6" t="str">
        <f t="shared" si="167"/>
        <v>Male</v>
      </c>
      <c r="U1073" s="6" t="str">
        <f t="shared" si="170"/>
        <v>General</v>
      </c>
      <c r="V1073" s="6" t="str" cm="1">
        <f t="array" ref="V1073">IF(TRIM(S1073)="",INDEX($S$2:$S$1500,MATCH(MAX(COUNTIF($S$2:$S$1500,S1073)),COUNTIF($S$2:$S$1500,$S$2:$S$1500),0)),S1073)</f>
        <v>Debit Card</v>
      </c>
      <c r="W1073" s="7" cm="1">
        <f t="array" ref="W1073">IF(OR(TRIM(K1073)="",TRIM(K1073)="-"), MEDIAN(IF($E$2:$E$1500=E1073,$K$2:$K$1500)),  VALUE(SUBSTITUTE(SUBSTITUTE(SUBSTITUTE(K1073,"Rs. ",""),"₹",""),",","")))</f>
        <v>9941</v>
      </c>
      <c r="X1073" s="8">
        <f t="shared" si="168"/>
        <v>0</v>
      </c>
      <c r="Y1073" s="7">
        <f t="shared" si="169"/>
        <v>9941</v>
      </c>
      <c r="Z1073" s="9" t="str">
        <f t="shared" si="161"/>
        <v>SENIOR</v>
      </c>
    </row>
    <row r="1074" spans="1:26" x14ac:dyDescent="0.3">
      <c r="A1074" s="5" t="s">
        <v>2168</v>
      </c>
      <c r="B1074" s="5" t="s">
        <v>106</v>
      </c>
      <c r="C1074" s="5" t="s">
        <v>307</v>
      </c>
      <c r="D1074" s="5" t="s">
        <v>36</v>
      </c>
      <c r="E1074" s="5" t="s">
        <v>37</v>
      </c>
      <c r="F1074" s="5" t="s">
        <v>56</v>
      </c>
      <c r="G1074" s="5" t="s">
        <v>30</v>
      </c>
      <c r="H1074" s="5">
        <v>74</v>
      </c>
      <c r="I1074" s="5" t="s">
        <v>20</v>
      </c>
      <c r="J1074" s="34" t="s">
        <v>325</v>
      </c>
      <c r="K1074" s="31" t="s">
        <v>2169</v>
      </c>
      <c r="L1074" s="5" t="s">
        <v>34</v>
      </c>
      <c r="M1074" s="32">
        <v>0</v>
      </c>
      <c r="N1074" s="6">
        <f t="shared" si="162"/>
        <v>0</v>
      </c>
      <c r="O1074" s="4" t="s">
        <v>56</v>
      </c>
      <c r="P1074" s="5" t="str">
        <f t="shared" si="163"/>
        <v>Chennai</v>
      </c>
      <c r="Q1074" s="5" t="str">
        <f t="shared" si="164"/>
        <v>Pediatrics</v>
      </c>
      <c r="R1074" s="6" t="str">
        <f t="shared" si="165"/>
        <v>Aiims</v>
      </c>
      <c r="S1074" s="6" t="str">
        <f t="shared" si="166"/>
        <v>Cash</v>
      </c>
      <c r="T1074" s="6" t="str">
        <f t="shared" si="167"/>
        <v>Male</v>
      </c>
      <c r="U1074" s="6" t="str">
        <f t="shared" si="170"/>
        <v>General</v>
      </c>
      <c r="V1074" s="6" t="str" cm="1">
        <f t="array" ref="V1074">IF(TRIM(S1074)="",INDEX($S$2:$S$1500,MATCH(MAX(COUNTIF($S$2:$S$1500,S1074)),COUNTIF($S$2:$S$1500,$S$2:$S$1500),0)),S1074)</f>
        <v>Cash</v>
      </c>
      <c r="W1074" s="7" cm="1">
        <f t="array" ref="W1074">IF(OR(TRIM(K1074)="",TRIM(K1074)="-"), MEDIAN(IF($E$2:$E$1500=E1074,$K$2:$K$1500)),  VALUE(SUBSTITUTE(SUBSTITUTE(SUBSTITUTE(K1074,"Rs. ",""),"₹",""),",","")))</f>
        <v>4530</v>
      </c>
      <c r="X1074" s="8">
        <f t="shared" si="168"/>
        <v>0</v>
      </c>
      <c r="Y1074" s="7">
        <f t="shared" si="169"/>
        <v>4530</v>
      </c>
      <c r="Z1074" s="9" t="str">
        <f t="shared" si="161"/>
        <v>SENIOR</v>
      </c>
    </row>
    <row r="1075" spans="1:26" x14ac:dyDescent="0.3">
      <c r="A1075" s="5" t="s">
        <v>2170</v>
      </c>
      <c r="B1075" s="5" t="s">
        <v>117</v>
      </c>
      <c r="C1075" s="5" t="s">
        <v>118</v>
      </c>
      <c r="D1075" s="5" t="s">
        <v>66</v>
      </c>
      <c r="E1075" s="5" t="s">
        <v>47</v>
      </c>
      <c r="F1075" s="5" t="s">
        <v>175</v>
      </c>
      <c r="G1075" s="5" t="s">
        <v>19</v>
      </c>
      <c r="H1075" s="5">
        <v>37</v>
      </c>
      <c r="I1075" s="5" t="s">
        <v>20</v>
      </c>
      <c r="J1075" s="34" t="s">
        <v>1261</v>
      </c>
      <c r="K1075" s="31" t="s">
        <v>2171</v>
      </c>
      <c r="L1075" s="5" t="s">
        <v>115</v>
      </c>
      <c r="M1075" s="32">
        <v>0</v>
      </c>
      <c r="N1075" s="6">
        <f t="shared" si="162"/>
        <v>0</v>
      </c>
      <c r="O1075" s="4" t="s">
        <v>175</v>
      </c>
      <c r="P1075" s="5" t="str">
        <f t="shared" si="163"/>
        <v>Kolkata</v>
      </c>
      <c r="Q1075" s="5" t="str">
        <f t="shared" si="164"/>
        <v>Gastroenterology</v>
      </c>
      <c r="R1075" s="6" t="str">
        <f t="shared" si="165"/>
        <v>Manipal</v>
      </c>
      <c r="S1075" s="6" t="str">
        <f t="shared" si="166"/>
        <v>Cash</v>
      </c>
      <c r="T1075" s="6" t="str">
        <f t="shared" si="167"/>
        <v>Male</v>
      </c>
      <c r="U1075" s="6" t="str">
        <f t="shared" si="170"/>
        <v>General</v>
      </c>
      <c r="V1075" s="6" t="str" cm="1">
        <f t="array" ref="V1075">IF(TRIM(S1075)="",INDEX($S$2:$S$1500,MATCH(MAX(COUNTIF($S$2:$S$1500,S1075)),COUNTIF($S$2:$S$1500,$S$2:$S$1500),0)),S1075)</f>
        <v>Cash</v>
      </c>
      <c r="W1075" s="7" cm="1">
        <f t="array" ref="W1075">IF(OR(TRIM(K1075)="",TRIM(K1075)="-"), MEDIAN(IF($E$2:$E$1500=E1075,$K$2:$K$1500)),  VALUE(SUBSTITUTE(SUBSTITUTE(SUBSTITUTE(K1075,"Rs. ",""),"₹",""),",","")))</f>
        <v>8726</v>
      </c>
      <c r="X1075" s="8">
        <f t="shared" si="168"/>
        <v>0</v>
      </c>
      <c r="Y1075" s="7">
        <f t="shared" si="169"/>
        <v>8726</v>
      </c>
      <c r="Z1075" s="9" t="str">
        <f t="shared" si="161"/>
        <v>ADULT</v>
      </c>
    </row>
    <row r="1076" spans="1:26" x14ac:dyDescent="0.3">
      <c r="A1076" s="5" t="s">
        <v>2172</v>
      </c>
      <c r="B1076" s="5" t="s">
        <v>117</v>
      </c>
      <c r="C1076" s="5" t="s">
        <v>118</v>
      </c>
      <c r="D1076" s="5" t="s">
        <v>36</v>
      </c>
      <c r="E1076" s="5" t="s">
        <v>17</v>
      </c>
      <c r="F1076" s="5" t="s">
        <v>169</v>
      </c>
      <c r="G1076" s="5" t="s">
        <v>49</v>
      </c>
      <c r="H1076" s="5">
        <v>84</v>
      </c>
      <c r="I1076" s="5" t="s">
        <v>70</v>
      </c>
      <c r="J1076" s="34" t="s">
        <v>449</v>
      </c>
      <c r="K1076" s="31">
        <v>14008</v>
      </c>
      <c r="L1076" s="5" t="s">
        <v>58</v>
      </c>
      <c r="M1076" s="32">
        <v>0</v>
      </c>
      <c r="N1076" s="6">
        <f t="shared" si="162"/>
        <v>0</v>
      </c>
      <c r="O1076" s="4" t="s">
        <v>169</v>
      </c>
      <c r="P1076" s="5" t="str">
        <f t="shared" si="163"/>
        <v>Chennai</v>
      </c>
      <c r="Q1076" s="5" t="str">
        <f t="shared" si="164"/>
        <v>Gynecology</v>
      </c>
      <c r="R1076" s="6" t="str">
        <f t="shared" si="165"/>
        <v>Manipal</v>
      </c>
      <c r="S1076" s="6" t="str">
        <f t="shared" si="166"/>
        <v>UPI</v>
      </c>
      <c r="T1076" s="6" t="str">
        <f t="shared" si="167"/>
        <v>Female</v>
      </c>
      <c r="U1076" s="6" t="str">
        <f t="shared" si="170"/>
        <v>General</v>
      </c>
      <c r="V1076" s="6" t="str" cm="1">
        <f t="array" ref="V1076">IF(TRIM(S1076)="",INDEX($S$2:$S$1500,MATCH(MAX(COUNTIF($S$2:$S$1500,S1076)),COUNTIF($S$2:$S$1500,$S$2:$S$1500),0)),S1076)</f>
        <v>UPI</v>
      </c>
      <c r="W1076" s="7" cm="1">
        <f t="array" ref="W1076">IF(OR(TRIM(K1076)="",TRIM(K1076)="-"), MEDIAN(IF($E$2:$E$1500=E1076,$K$2:$K$1500)),  VALUE(SUBSTITUTE(SUBSTITUTE(SUBSTITUTE(K1076,"Rs. ",""),"₹",""),",","")))</f>
        <v>14008</v>
      </c>
      <c r="X1076" s="8">
        <f t="shared" si="168"/>
        <v>0</v>
      </c>
      <c r="Y1076" s="7">
        <f t="shared" si="169"/>
        <v>14008</v>
      </c>
      <c r="Z1076" s="9" t="str">
        <f t="shared" si="161"/>
        <v>SENIOR</v>
      </c>
    </row>
    <row r="1077" spans="1:26" x14ac:dyDescent="0.3">
      <c r="A1077" s="5" t="s">
        <v>2173</v>
      </c>
      <c r="B1077" s="5" t="s">
        <v>106</v>
      </c>
      <c r="C1077" s="5" t="s">
        <v>307</v>
      </c>
      <c r="D1077" s="5" t="s">
        <v>36</v>
      </c>
      <c r="E1077" s="5" t="s">
        <v>17</v>
      </c>
      <c r="F1077" s="5" t="s">
        <v>169</v>
      </c>
      <c r="G1077" s="5" t="s">
        <v>19</v>
      </c>
      <c r="H1077" s="5">
        <v>91</v>
      </c>
      <c r="I1077" s="5" t="s">
        <v>20</v>
      </c>
      <c r="J1077" s="34" t="s">
        <v>1330</v>
      </c>
      <c r="K1077" s="31" t="s">
        <v>2174</v>
      </c>
      <c r="L1077" s="5" t="s">
        <v>87</v>
      </c>
      <c r="M1077" s="32">
        <v>0</v>
      </c>
      <c r="N1077" s="6">
        <f t="shared" si="162"/>
        <v>0</v>
      </c>
      <c r="O1077" s="4" t="s">
        <v>169</v>
      </c>
      <c r="P1077" s="5" t="str">
        <f t="shared" si="163"/>
        <v>Chennai</v>
      </c>
      <c r="Q1077" s="5" t="str">
        <f t="shared" si="164"/>
        <v>Gynecology</v>
      </c>
      <c r="R1077" s="6" t="str">
        <f t="shared" si="165"/>
        <v>Aiims</v>
      </c>
      <c r="S1077" s="6" t="str">
        <f t="shared" si="166"/>
        <v>Credit Card</v>
      </c>
      <c r="T1077" s="6" t="str">
        <f t="shared" si="167"/>
        <v>Male</v>
      </c>
      <c r="U1077" s="6" t="str">
        <f t="shared" si="170"/>
        <v>General</v>
      </c>
      <c r="V1077" s="6" t="str" cm="1">
        <f t="array" ref="V1077">IF(TRIM(S1077)="",INDEX($S$2:$S$1500,MATCH(MAX(COUNTIF($S$2:$S$1500,S1077)),COUNTIF($S$2:$S$1500,$S$2:$S$1500),0)),S1077)</f>
        <v>Credit Card</v>
      </c>
      <c r="W1077" s="7" cm="1">
        <f t="array" ref="W1077">IF(OR(TRIM(K1077)="",TRIM(K1077)="-"), MEDIAN(IF($E$2:$E$1500=E1077,$K$2:$K$1500)),  VALUE(SUBSTITUTE(SUBSTITUTE(SUBSTITUTE(K1077,"Rs. ",""),"₹",""),",","")))</f>
        <v>9381</v>
      </c>
      <c r="X1077" s="8">
        <f t="shared" si="168"/>
        <v>0</v>
      </c>
      <c r="Y1077" s="7">
        <f t="shared" si="169"/>
        <v>9381</v>
      </c>
      <c r="Z1077" s="9" t="str">
        <f t="shared" si="161"/>
        <v>SENIOR</v>
      </c>
    </row>
    <row r="1078" spans="1:26" x14ac:dyDescent="0.3">
      <c r="A1078" s="5" t="s">
        <v>2175</v>
      </c>
      <c r="B1078" s="5" t="s">
        <v>117</v>
      </c>
      <c r="C1078" s="5" t="s">
        <v>182</v>
      </c>
      <c r="D1078" s="5" t="s">
        <v>36</v>
      </c>
      <c r="E1078" s="5" t="s">
        <v>17</v>
      </c>
      <c r="F1078" s="5" t="s">
        <v>213</v>
      </c>
      <c r="G1078" s="5" t="s">
        <v>19</v>
      </c>
      <c r="H1078" s="5">
        <v>90</v>
      </c>
      <c r="I1078" s="5" t="s">
        <v>70</v>
      </c>
      <c r="J1078" s="34" t="s">
        <v>825</v>
      </c>
      <c r="K1078" s="31">
        <v>5495</v>
      </c>
      <c r="L1078" s="5" t="s">
        <v>311</v>
      </c>
      <c r="M1078" s="32"/>
      <c r="N1078" s="6">
        <f t="shared" si="162"/>
        <v>0</v>
      </c>
      <c r="O1078" s="4" t="s">
        <v>213</v>
      </c>
      <c r="P1078" s="5" t="str">
        <f t="shared" si="163"/>
        <v>Chennai</v>
      </c>
      <c r="Q1078" s="5" t="str">
        <f t="shared" si="164"/>
        <v>Gynecology</v>
      </c>
      <c r="R1078" s="6" t="str">
        <f t="shared" si="165"/>
        <v>Manipal</v>
      </c>
      <c r="S1078" s="6" t="str">
        <f t="shared" si="166"/>
        <v>UPI</v>
      </c>
      <c r="T1078" s="6" t="str">
        <f t="shared" si="167"/>
        <v>Female</v>
      </c>
      <c r="U1078" s="6" t="str">
        <f t="shared" si="170"/>
        <v>General</v>
      </c>
      <c r="V1078" s="6" t="str" cm="1">
        <f t="array" ref="V1078">IF(TRIM(S1078)="",INDEX($S$2:$S$1500,MATCH(MAX(COUNTIF($S$2:$S$1500,S1078)),COUNTIF($S$2:$S$1500,$S$2:$S$1500),0)),S1078)</f>
        <v>UPI</v>
      </c>
      <c r="W1078" s="7" cm="1">
        <f t="array" ref="W1078">IF(OR(TRIM(K1078)="",TRIM(K1078)="-"), MEDIAN(IF($E$2:$E$1500=E1078,$K$2:$K$1500)),  VALUE(SUBSTITUTE(SUBSTITUTE(SUBSTITUTE(K1078,"Rs. ",""),"₹",""),",","")))</f>
        <v>5495</v>
      </c>
      <c r="X1078" s="8">
        <f t="shared" si="168"/>
        <v>0</v>
      </c>
      <c r="Y1078" s="7">
        <f t="shared" si="169"/>
        <v>5495</v>
      </c>
      <c r="Z1078" s="9" t="str">
        <f t="shared" si="161"/>
        <v>SENIOR</v>
      </c>
    </row>
    <row r="1079" spans="1:26" x14ac:dyDescent="0.3">
      <c r="A1079" s="5" t="s">
        <v>2176</v>
      </c>
      <c r="B1079" s="5" t="s">
        <v>106</v>
      </c>
      <c r="C1079" s="5" t="s">
        <v>307</v>
      </c>
      <c r="D1079" s="5" t="s">
        <v>36</v>
      </c>
      <c r="E1079" s="5" t="s">
        <v>67</v>
      </c>
      <c r="F1079" s="5" t="s">
        <v>68</v>
      </c>
      <c r="G1079" s="5" t="s">
        <v>69</v>
      </c>
      <c r="H1079" s="5">
        <v>28</v>
      </c>
      <c r="I1079" s="5" t="s">
        <v>70</v>
      </c>
      <c r="J1079" s="34" t="s">
        <v>897</v>
      </c>
      <c r="K1079" s="31" t="s">
        <v>2177</v>
      </c>
      <c r="L1079" s="5" t="s">
        <v>311</v>
      </c>
      <c r="M1079" s="32">
        <v>0</v>
      </c>
      <c r="N1079" s="6">
        <f t="shared" si="162"/>
        <v>0</v>
      </c>
      <c r="O1079" s="4" t="s">
        <v>68</v>
      </c>
      <c r="P1079" s="5" t="str">
        <f t="shared" si="163"/>
        <v>Chennai</v>
      </c>
      <c r="Q1079" s="5" t="str">
        <f t="shared" si="164"/>
        <v>Neurology</v>
      </c>
      <c r="R1079" s="6" t="str">
        <f t="shared" si="165"/>
        <v>Aiims</v>
      </c>
      <c r="S1079" s="6" t="str">
        <f t="shared" si="166"/>
        <v>UPI</v>
      </c>
      <c r="T1079" s="6" t="str">
        <f t="shared" si="167"/>
        <v>Female</v>
      </c>
      <c r="U1079" s="6" t="str">
        <f t="shared" si="170"/>
        <v>ICU</v>
      </c>
      <c r="V1079" s="6" t="str" cm="1">
        <f t="array" ref="V1079">IF(TRIM(S1079)="",INDEX($S$2:$S$1500,MATCH(MAX(COUNTIF($S$2:$S$1500,S1079)),COUNTIF($S$2:$S$1500,$S$2:$S$1500),0)),S1079)</f>
        <v>UPI</v>
      </c>
      <c r="W1079" s="7" cm="1">
        <f t="array" ref="W1079">IF(OR(TRIM(K1079)="",TRIM(K1079)="-"), MEDIAN(IF($E$2:$E$1500=E1079,$K$2:$K$1500)),  VALUE(SUBSTITUTE(SUBSTITUTE(SUBSTITUTE(K1079,"Rs. ",""),"₹",""),",","")))</f>
        <v>26536</v>
      </c>
      <c r="X1079" s="8">
        <f t="shared" si="168"/>
        <v>0</v>
      </c>
      <c r="Y1079" s="7">
        <f t="shared" si="169"/>
        <v>26536</v>
      </c>
      <c r="Z1079" s="9" t="str">
        <f t="shared" si="161"/>
        <v>ADULT</v>
      </c>
    </row>
    <row r="1080" spans="1:26" x14ac:dyDescent="0.3">
      <c r="A1080" s="5" t="s">
        <v>2178</v>
      </c>
      <c r="B1080" s="5" t="s">
        <v>106</v>
      </c>
      <c r="C1080" s="5" t="s">
        <v>107</v>
      </c>
      <c r="D1080" s="5" t="s">
        <v>16</v>
      </c>
      <c r="E1080" s="5" t="s">
        <v>28</v>
      </c>
      <c r="F1080" s="5" t="s">
        <v>268</v>
      </c>
      <c r="G1080" s="5" t="s">
        <v>30</v>
      </c>
      <c r="H1080" s="5">
        <v>68</v>
      </c>
      <c r="I1080" s="5" t="s">
        <v>20</v>
      </c>
      <c r="J1080" s="34" t="s">
        <v>298</v>
      </c>
      <c r="K1080" s="31" t="s">
        <v>2179</v>
      </c>
      <c r="L1080" s="5" t="s">
        <v>211</v>
      </c>
      <c r="M1080" s="32">
        <v>5</v>
      </c>
      <c r="N1080" s="6">
        <f t="shared" si="162"/>
        <v>5</v>
      </c>
      <c r="O1080" s="4" t="s">
        <v>268</v>
      </c>
      <c r="P1080" s="5" t="str">
        <f t="shared" si="163"/>
        <v>Bangalore</v>
      </c>
      <c r="Q1080" s="5" t="str">
        <f t="shared" si="164"/>
        <v>Oncology</v>
      </c>
      <c r="R1080" s="6" t="str">
        <f t="shared" si="165"/>
        <v>Aiims</v>
      </c>
      <c r="S1080" s="6" t="str">
        <f t="shared" si="166"/>
        <v>Credit Card</v>
      </c>
      <c r="T1080" s="6" t="str">
        <f t="shared" si="167"/>
        <v>Male</v>
      </c>
      <c r="U1080" s="6" t="str">
        <f t="shared" si="170"/>
        <v>General</v>
      </c>
      <c r="V1080" s="6" t="str" cm="1">
        <f t="array" ref="V1080">IF(TRIM(S1080)="",INDEX($S$2:$S$1500,MATCH(MAX(COUNTIF($S$2:$S$1500,S1080)),COUNTIF($S$2:$S$1500,$S$2:$S$1500),0)),S1080)</f>
        <v>Credit Card</v>
      </c>
      <c r="W1080" s="7" cm="1">
        <f t="array" ref="W1080">IF(OR(TRIM(K1080)="",TRIM(K1080)="-"), MEDIAN(IF($E$2:$E$1500=E1080,$K$2:$K$1500)),  VALUE(SUBSTITUTE(SUBSTITUTE(SUBSTITUTE(K1080,"Rs. ",""),"₹",""),",","")))</f>
        <v>18967</v>
      </c>
      <c r="X1080" s="8">
        <f t="shared" si="168"/>
        <v>5</v>
      </c>
      <c r="Y1080" s="7">
        <f t="shared" si="169"/>
        <v>18019</v>
      </c>
      <c r="Z1080" s="9" t="str">
        <f t="shared" si="161"/>
        <v>SENIOR</v>
      </c>
    </row>
    <row r="1081" spans="1:26" x14ac:dyDescent="0.3">
      <c r="A1081" s="5" t="s">
        <v>2180</v>
      </c>
      <c r="B1081" s="5" t="s">
        <v>117</v>
      </c>
      <c r="C1081" s="5" t="s">
        <v>127</v>
      </c>
      <c r="D1081" s="5" t="s">
        <v>16</v>
      </c>
      <c r="E1081" s="5" t="s">
        <v>17</v>
      </c>
      <c r="F1081" s="5" t="s">
        <v>18</v>
      </c>
      <c r="G1081" s="5" t="s">
        <v>49</v>
      </c>
      <c r="H1081" s="5">
        <v>46</v>
      </c>
      <c r="I1081" s="5" t="s">
        <v>70</v>
      </c>
      <c r="J1081" s="34" t="s">
        <v>574</v>
      </c>
      <c r="K1081" s="31" t="s">
        <v>478</v>
      </c>
      <c r="L1081" s="5" t="s">
        <v>23</v>
      </c>
      <c r="M1081" s="32" t="s">
        <v>198</v>
      </c>
      <c r="N1081" s="6">
        <f t="shared" si="162"/>
        <v>5</v>
      </c>
      <c r="O1081" s="4" t="s">
        <v>18</v>
      </c>
      <c r="P1081" s="5" t="str">
        <f t="shared" si="163"/>
        <v>Bangalore</v>
      </c>
      <c r="Q1081" s="5" t="str">
        <f t="shared" si="164"/>
        <v>Gynecology</v>
      </c>
      <c r="R1081" s="6" t="str">
        <f t="shared" si="165"/>
        <v>Manipal</v>
      </c>
      <c r="S1081" s="6" t="str">
        <f t="shared" si="166"/>
        <v>Credit Card</v>
      </c>
      <c r="T1081" s="6" t="str">
        <f t="shared" si="167"/>
        <v>Female</v>
      </c>
      <c r="U1081" s="6" t="str">
        <f t="shared" si="170"/>
        <v>General</v>
      </c>
      <c r="V1081" s="6" t="str" cm="1">
        <f t="array" ref="V1081">IF(TRIM(S1081)="",INDEX($S$2:$S$1500,MATCH(MAX(COUNTIF($S$2:$S$1500,S1081)),COUNTIF($S$2:$S$1500,$S$2:$S$1500),0)),S1081)</f>
        <v>Credit Card</v>
      </c>
      <c r="W1081" s="7" cm="1">
        <f t="array" ref="W1081">IF(OR(TRIM(K1081)="",TRIM(K1081)="-"), MEDIAN(IF($E$2:$E$1500=E1081,$K$2:$K$1500)),  VALUE(SUBSTITUTE(SUBSTITUTE(SUBSTITUTE(K1081,"Rs. ",""),"₹",""),",","")))</f>
        <v>15058</v>
      </c>
      <c r="X1081" s="8">
        <f t="shared" si="168"/>
        <v>5</v>
      </c>
      <c r="Y1081" s="7">
        <f t="shared" si="169"/>
        <v>14305</v>
      </c>
      <c r="Z1081" s="9" t="str">
        <f t="shared" si="161"/>
        <v>ADULT</v>
      </c>
    </row>
    <row r="1082" spans="1:26" x14ac:dyDescent="0.3">
      <c r="A1082" s="5" t="s">
        <v>2181</v>
      </c>
      <c r="B1082" s="5" t="s">
        <v>117</v>
      </c>
      <c r="C1082" s="5" t="s">
        <v>118</v>
      </c>
      <c r="D1082" s="5" t="s">
        <v>27</v>
      </c>
      <c r="E1082" s="5" t="s">
        <v>47</v>
      </c>
      <c r="F1082" s="5" t="s">
        <v>175</v>
      </c>
      <c r="G1082" s="5" t="s">
        <v>19</v>
      </c>
      <c r="H1082" s="5">
        <v>86</v>
      </c>
      <c r="I1082" s="5" t="s">
        <v>20</v>
      </c>
      <c r="J1082" s="34" t="s">
        <v>186</v>
      </c>
      <c r="K1082" s="31" t="s">
        <v>2182</v>
      </c>
      <c r="L1082" s="5" t="s">
        <v>34</v>
      </c>
      <c r="M1082" s="32" t="s">
        <v>140</v>
      </c>
      <c r="N1082" s="6" t="str">
        <f t="shared" si="162"/>
        <v>-</v>
      </c>
      <c r="O1082" s="4" t="s">
        <v>175</v>
      </c>
      <c r="P1082" s="5" t="str">
        <f t="shared" si="163"/>
        <v>Mumbai</v>
      </c>
      <c r="Q1082" s="5" t="str">
        <f t="shared" si="164"/>
        <v>Gastroenterology</v>
      </c>
      <c r="R1082" s="6" t="str">
        <f t="shared" si="165"/>
        <v>Manipal</v>
      </c>
      <c r="S1082" s="6" t="str">
        <f t="shared" si="166"/>
        <v>Cash</v>
      </c>
      <c r="T1082" s="6" t="str">
        <f t="shared" si="167"/>
        <v>Male</v>
      </c>
      <c r="U1082" s="6" t="str">
        <f t="shared" si="170"/>
        <v>General</v>
      </c>
      <c r="V1082" s="6" t="str" cm="1">
        <f t="array" ref="V1082">IF(TRIM(S1082)="",INDEX($S$2:$S$1500,MATCH(MAX(COUNTIF($S$2:$S$1500,S1082)),COUNTIF($S$2:$S$1500,$S$2:$S$1500),0)),S1082)</f>
        <v>Cash</v>
      </c>
      <c r="W1082" s="7" cm="1">
        <f t="array" ref="W1082">IF(OR(TRIM(K1082)="",TRIM(K1082)="-"), MEDIAN(IF($E$2:$E$1500=E1082,$K$2:$K$1500)),  VALUE(SUBSTITUTE(SUBSTITUTE(SUBSTITUTE(K1082,"Rs. ",""),"₹",""),",","")))</f>
        <v>15498</v>
      </c>
      <c r="X1082" s="8">
        <f t="shared" si="168"/>
        <v>3</v>
      </c>
      <c r="Y1082" s="7">
        <f t="shared" si="169"/>
        <v>15033</v>
      </c>
      <c r="Z1082" s="9" t="str">
        <f t="shared" si="161"/>
        <v>SENIOR</v>
      </c>
    </row>
    <row r="1083" spans="1:26" x14ac:dyDescent="0.3">
      <c r="A1083" s="5" t="s">
        <v>2183</v>
      </c>
      <c r="B1083" s="5" t="s">
        <v>117</v>
      </c>
      <c r="C1083" s="5" t="s">
        <v>182</v>
      </c>
      <c r="D1083" s="5" t="s">
        <v>80</v>
      </c>
      <c r="E1083" s="5" t="s">
        <v>99</v>
      </c>
      <c r="F1083" s="5" t="s">
        <v>100</v>
      </c>
      <c r="G1083" s="5" t="s">
        <v>49</v>
      </c>
      <c r="H1083" s="5">
        <v>18</v>
      </c>
      <c r="I1083" s="5" t="s">
        <v>20</v>
      </c>
      <c r="J1083" s="34" t="s">
        <v>472</v>
      </c>
      <c r="K1083" s="31" t="s">
        <v>2184</v>
      </c>
      <c r="L1083" s="5" t="s">
        <v>34</v>
      </c>
      <c r="M1083" s="32">
        <v>10</v>
      </c>
      <c r="N1083" s="6">
        <f t="shared" si="162"/>
        <v>10</v>
      </c>
      <c r="O1083" s="4" t="s">
        <v>100</v>
      </c>
      <c r="P1083" s="5" t="str">
        <f t="shared" si="163"/>
        <v>Ahmedabad</v>
      </c>
      <c r="Q1083" s="5" t="str">
        <f t="shared" si="164"/>
        <v>Ent</v>
      </c>
      <c r="R1083" s="6" t="str">
        <f t="shared" si="165"/>
        <v>Manipal</v>
      </c>
      <c r="S1083" s="6" t="str">
        <f t="shared" si="166"/>
        <v>Cash</v>
      </c>
      <c r="T1083" s="6" t="str">
        <f t="shared" si="167"/>
        <v>Male</v>
      </c>
      <c r="U1083" s="6" t="str">
        <f t="shared" si="170"/>
        <v>General</v>
      </c>
      <c r="V1083" s="6" t="str" cm="1">
        <f t="array" ref="V1083">IF(TRIM(S1083)="",INDEX($S$2:$S$1500,MATCH(MAX(COUNTIF($S$2:$S$1500,S1083)),COUNTIF($S$2:$S$1500,$S$2:$S$1500),0)),S1083)</f>
        <v>Cash</v>
      </c>
      <c r="W1083" s="7" cm="1">
        <f t="array" ref="W1083">IF(OR(TRIM(K1083)="",TRIM(K1083)="-"), MEDIAN(IF($E$2:$E$1500=E1083,$K$2:$K$1500)),  VALUE(SUBSTITUTE(SUBSTITUTE(SUBSTITUTE(K1083,"Rs. ",""),"₹",""),",","")))</f>
        <v>10875</v>
      </c>
      <c r="X1083" s="8">
        <f t="shared" si="168"/>
        <v>10</v>
      </c>
      <c r="Y1083" s="7">
        <f t="shared" si="169"/>
        <v>9788</v>
      </c>
      <c r="Z1083" s="9" t="str">
        <f t="shared" si="161"/>
        <v>TEEN</v>
      </c>
    </row>
    <row r="1084" spans="1:26" x14ac:dyDescent="0.3">
      <c r="A1084" s="5" t="s">
        <v>2185</v>
      </c>
      <c r="B1084" s="5" t="s">
        <v>78</v>
      </c>
      <c r="C1084" s="5" t="s">
        <v>203</v>
      </c>
      <c r="D1084" s="5" t="s">
        <v>61</v>
      </c>
      <c r="E1084" s="5" t="s">
        <v>67</v>
      </c>
      <c r="F1084" s="5" t="s">
        <v>68</v>
      </c>
      <c r="G1084" s="5" t="s">
        <v>19</v>
      </c>
      <c r="H1084" s="5">
        <v>76</v>
      </c>
      <c r="I1084" s="5" t="s">
        <v>40</v>
      </c>
      <c r="J1084" s="34" t="s">
        <v>545</v>
      </c>
      <c r="K1084" s="31">
        <v>4782</v>
      </c>
      <c r="L1084" s="5" t="s">
        <v>87</v>
      </c>
      <c r="M1084" s="32"/>
      <c r="N1084" s="6">
        <f t="shared" si="162"/>
        <v>0</v>
      </c>
      <c r="O1084" s="4" t="s">
        <v>68</v>
      </c>
      <c r="P1084" s="5" t="str">
        <f t="shared" si="163"/>
        <v>Pune</v>
      </c>
      <c r="Q1084" s="5" t="str">
        <f t="shared" si="164"/>
        <v>Neurology</v>
      </c>
      <c r="R1084" s="6" t="str">
        <f t="shared" si="165"/>
        <v>Apollo</v>
      </c>
      <c r="S1084" s="6" t="str">
        <f t="shared" si="166"/>
        <v>Credit Card</v>
      </c>
      <c r="T1084" s="6" t="str">
        <f t="shared" si="167"/>
        <v>Female</v>
      </c>
      <c r="U1084" s="6" t="str">
        <f t="shared" si="170"/>
        <v>General</v>
      </c>
      <c r="V1084" s="6" t="str" cm="1">
        <f t="array" ref="V1084">IF(TRIM(S1084)="",INDEX($S$2:$S$1500,MATCH(MAX(COUNTIF($S$2:$S$1500,S1084)),COUNTIF($S$2:$S$1500,$S$2:$S$1500),0)),S1084)</f>
        <v>Credit Card</v>
      </c>
      <c r="W1084" s="7" cm="1">
        <f t="array" ref="W1084">IF(OR(TRIM(K1084)="",TRIM(K1084)="-"), MEDIAN(IF($E$2:$E$1500=E1084,$K$2:$K$1500)),  VALUE(SUBSTITUTE(SUBSTITUTE(SUBSTITUTE(K1084,"Rs. ",""),"₹",""),",","")))</f>
        <v>4782</v>
      </c>
      <c r="X1084" s="8">
        <f t="shared" si="168"/>
        <v>0</v>
      </c>
      <c r="Y1084" s="7">
        <f t="shared" si="169"/>
        <v>4782</v>
      </c>
      <c r="Z1084" s="9" t="str">
        <f t="shared" si="161"/>
        <v>SENIOR</v>
      </c>
    </row>
    <row r="1085" spans="1:26" x14ac:dyDescent="0.3">
      <c r="A1085" s="5" t="s">
        <v>2186</v>
      </c>
      <c r="B1085" s="5" t="s">
        <v>14</v>
      </c>
      <c r="C1085" s="5" t="s">
        <v>60</v>
      </c>
      <c r="D1085" s="5" t="s">
        <v>61</v>
      </c>
      <c r="E1085" s="5" t="s">
        <v>164</v>
      </c>
      <c r="F1085" s="5" t="s">
        <v>233</v>
      </c>
      <c r="G1085" s="5" t="s">
        <v>62</v>
      </c>
      <c r="H1085" s="5">
        <v>84</v>
      </c>
      <c r="I1085" s="5" t="s">
        <v>31</v>
      </c>
      <c r="J1085" s="34" t="s">
        <v>352</v>
      </c>
      <c r="K1085" s="31">
        <v>35913</v>
      </c>
      <c r="L1085" s="5" t="s">
        <v>104</v>
      </c>
      <c r="M1085" s="32">
        <v>15</v>
      </c>
      <c r="N1085" s="6">
        <f t="shared" si="162"/>
        <v>15</v>
      </c>
      <c r="O1085" s="4" t="s">
        <v>233</v>
      </c>
      <c r="P1085" s="5" t="str">
        <f t="shared" si="163"/>
        <v>Pune</v>
      </c>
      <c r="Q1085" s="5" t="str">
        <f t="shared" si="164"/>
        <v>Cardiology</v>
      </c>
      <c r="R1085" s="6" t="str">
        <f t="shared" si="165"/>
        <v>Max_Healthcare</v>
      </c>
      <c r="S1085" s="6" t="str">
        <f t="shared" si="166"/>
        <v>Insurance</v>
      </c>
      <c r="T1085" s="6" t="str">
        <f t="shared" si="167"/>
        <v>Male</v>
      </c>
      <c r="U1085" s="6" t="str">
        <f t="shared" si="170"/>
        <v>ICU</v>
      </c>
      <c r="V1085" s="6" t="str" cm="1">
        <f t="array" ref="V1085">IF(TRIM(S1085)="",INDEX($S$2:$S$1500,MATCH(MAX(COUNTIF($S$2:$S$1500,S1085)),COUNTIF($S$2:$S$1500,$S$2:$S$1500),0)),S1085)</f>
        <v>Insurance</v>
      </c>
      <c r="W1085" s="7" cm="1">
        <f t="array" ref="W1085">IF(OR(TRIM(K1085)="",TRIM(K1085)="-"), MEDIAN(IF($E$2:$E$1500=E1085,$K$2:$K$1500)),  VALUE(SUBSTITUTE(SUBSTITUTE(SUBSTITUTE(K1085,"Rs. ",""),"₹",""),",","")))</f>
        <v>35913</v>
      </c>
      <c r="X1085" s="8">
        <f t="shared" si="168"/>
        <v>15</v>
      </c>
      <c r="Y1085" s="7">
        <f t="shared" si="169"/>
        <v>30526</v>
      </c>
      <c r="Z1085" s="9" t="str">
        <f t="shared" si="161"/>
        <v>SENIOR</v>
      </c>
    </row>
    <row r="1086" spans="1:26" x14ac:dyDescent="0.3">
      <c r="A1086" s="5" t="s">
        <v>2187</v>
      </c>
      <c r="B1086" s="5" t="s">
        <v>25</v>
      </c>
      <c r="C1086" s="5" t="s">
        <v>54</v>
      </c>
      <c r="D1086" s="5" t="s">
        <v>36</v>
      </c>
      <c r="E1086" s="5" t="s">
        <v>28</v>
      </c>
      <c r="F1086" s="5" t="s">
        <v>259</v>
      </c>
      <c r="G1086" s="5" t="s">
        <v>39</v>
      </c>
      <c r="H1086" s="5">
        <v>78</v>
      </c>
      <c r="I1086" s="5" t="s">
        <v>70</v>
      </c>
      <c r="J1086" s="34" t="s">
        <v>803</v>
      </c>
      <c r="K1086" s="31" t="s">
        <v>2188</v>
      </c>
      <c r="L1086" s="5" t="s">
        <v>23</v>
      </c>
      <c r="M1086" s="32" t="s">
        <v>140</v>
      </c>
      <c r="N1086" s="6" t="str">
        <f t="shared" si="162"/>
        <v>-</v>
      </c>
      <c r="O1086" s="4" t="s">
        <v>259</v>
      </c>
      <c r="P1086" s="5" t="str">
        <f t="shared" si="163"/>
        <v>Chennai</v>
      </c>
      <c r="Q1086" s="5" t="str">
        <f t="shared" si="164"/>
        <v>Oncology</v>
      </c>
      <c r="R1086" s="6" t="str">
        <f t="shared" si="165"/>
        <v>Narayana</v>
      </c>
      <c r="S1086" s="6" t="str">
        <f t="shared" si="166"/>
        <v>Credit Card</v>
      </c>
      <c r="T1086" s="6" t="str">
        <f t="shared" si="167"/>
        <v>Female</v>
      </c>
      <c r="U1086" s="6" t="str">
        <f t="shared" si="170"/>
        <v>General</v>
      </c>
      <c r="V1086" s="6" t="str" cm="1">
        <f t="array" ref="V1086">IF(TRIM(S1086)="",INDEX($S$2:$S$1500,MATCH(MAX(COUNTIF($S$2:$S$1500,S1086)),COUNTIF($S$2:$S$1500,$S$2:$S$1500),0)),S1086)</f>
        <v>Credit Card</v>
      </c>
      <c r="W1086" s="7" cm="1">
        <f t="array" ref="W1086">IF(OR(TRIM(K1086)="",TRIM(K1086)="-"), MEDIAN(IF($E$2:$E$1500=E1086,$K$2:$K$1500)),  VALUE(SUBSTITUTE(SUBSTITUTE(SUBSTITUTE(K1086,"Rs. ",""),"₹",""),",","")))</f>
        <v>6899</v>
      </c>
      <c r="X1086" s="8">
        <f t="shared" si="168"/>
        <v>3</v>
      </c>
      <c r="Y1086" s="7">
        <f t="shared" si="169"/>
        <v>6692</v>
      </c>
      <c r="Z1086" s="9" t="str">
        <f t="shared" si="161"/>
        <v>SENIOR</v>
      </c>
    </row>
    <row r="1087" spans="1:26" x14ac:dyDescent="0.3">
      <c r="A1087" s="5" t="s">
        <v>2189</v>
      </c>
      <c r="B1087" s="5" t="s">
        <v>78</v>
      </c>
      <c r="C1087" s="5" t="s">
        <v>161</v>
      </c>
      <c r="D1087" s="5" t="s">
        <v>55</v>
      </c>
      <c r="E1087" s="5" t="s">
        <v>164</v>
      </c>
      <c r="F1087" s="5" t="s">
        <v>165</v>
      </c>
      <c r="G1087" s="5"/>
      <c r="H1087" s="5">
        <v>92</v>
      </c>
      <c r="I1087" s="5" t="s">
        <v>20</v>
      </c>
      <c r="J1087" s="34" t="s">
        <v>1374</v>
      </c>
      <c r="K1087" s="31">
        <v>10077</v>
      </c>
      <c r="L1087" s="5" t="s">
        <v>87</v>
      </c>
      <c r="M1087" s="32">
        <v>0</v>
      </c>
      <c r="N1087" s="6">
        <f t="shared" si="162"/>
        <v>0</v>
      </c>
      <c r="O1087" s="4" t="s">
        <v>165</v>
      </c>
      <c r="P1087" s="5" t="str">
        <f t="shared" si="163"/>
        <v>Hyderabad</v>
      </c>
      <c r="Q1087" s="5" t="str">
        <f t="shared" si="164"/>
        <v>Cardiology</v>
      </c>
      <c r="R1087" s="6" t="str">
        <f t="shared" si="165"/>
        <v>Apollo</v>
      </c>
      <c r="S1087" s="6" t="str">
        <f t="shared" si="166"/>
        <v>Credit Card</v>
      </c>
      <c r="T1087" s="6" t="str">
        <f t="shared" si="167"/>
        <v>Male</v>
      </c>
      <c r="U1087" s="6" t="str">
        <f t="shared" si="170"/>
        <v>Unknown</v>
      </c>
      <c r="V1087" s="6" t="str" cm="1">
        <f t="array" ref="V1087">IF(TRIM(S1087)="",INDEX($S$2:$S$1500,MATCH(MAX(COUNTIF($S$2:$S$1500,S1087)),COUNTIF($S$2:$S$1500,$S$2:$S$1500),0)),S1087)</f>
        <v>Credit Card</v>
      </c>
      <c r="W1087" s="7" cm="1">
        <f t="array" ref="W1087">IF(OR(TRIM(K1087)="",TRIM(K1087)="-"), MEDIAN(IF($E$2:$E$1500=E1087,$K$2:$K$1500)),  VALUE(SUBSTITUTE(SUBSTITUTE(SUBSTITUTE(K1087,"Rs. ",""),"₹",""),",","")))</f>
        <v>10077</v>
      </c>
      <c r="X1087" s="8">
        <f t="shared" si="168"/>
        <v>0</v>
      </c>
      <c r="Y1087" s="7">
        <f t="shared" si="169"/>
        <v>10077</v>
      </c>
      <c r="Z1087" s="9" t="str">
        <f t="shared" si="161"/>
        <v>SENIOR</v>
      </c>
    </row>
    <row r="1088" spans="1:26" x14ac:dyDescent="0.3">
      <c r="A1088" s="5" t="s">
        <v>2190</v>
      </c>
      <c r="B1088" s="5" t="s">
        <v>14</v>
      </c>
      <c r="C1088" s="5" t="s">
        <v>15</v>
      </c>
      <c r="D1088" s="5" t="s">
        <v>189</v>
      </c>
      <c r="E1088" s="5" t="s">
        <v>74</v>
      </c>
      <c r="F1088" s="5" t="s">
        <v>75</v>
      </c>
      <c r="G1088" s="5"/>
      <c r="H1088" s="5">
        <v>70</v>
      </c>
      <c r="I1088" s="5" t="s">
        <v>31</v>
      </c>
      <c r="J1088" s="34" t="s">
        <v>697</v>
      </c>
      <c r="K1088" s="31" t="s">
        <v>2191</v>
      </c>
      <c r="L1088" s="5" t="s">
        <v>83</v>
      </c>
      <c r="M1088" s="32" t="s">
        <v>140</v>
      </c>
      <c r="N1088" s="6" t="str">
        <f t="shared" si="162"/>
        <v>-</v>
      </c>
      <c r="O1088" s="4" t="s">
        <v>75</v>
      </c>
      <c r="P1088" s="5" t="str">
        <f t="shared" si="163"/>
        <v>Delhi</v>
      </c>
      <c r="Q1088" s="5" t="str">
        <f t="shared" si="164"/>
        <v>General Medicine</v>
      </c>
      <c r="R1088" s="6" t="str">
        <f t="shared" si="165"/>
        <v>Max_Healthcare</v>
      </c>
      <c r="S1088" s="6" t="str">
        <f t="shared" si="166"/>
        <v>Debit Card</v>
      </c>
      <c r="T1088" s="6" t="str">
        <f t="shared" si="167"/>
        <v>Male</v>
      </c>
      <c r="U1088" s="6" t="str">
        <f t="shared" si="170"/>
        <v>Unknown</v>
      </c>
      <c r="V1088" s="6" t="str" cm="1">
        <f t="array" ref="V1088">IF(TRIM(S1088)="",INDEX($S$2:$S$1500,MATCH(MAX(COUNTIF($S$2:$S$1500,S1088)),COUNTIF($S$2:$S$1500,$S$2:$S$1500),0)),S1088)</f>
        <v>Debit Card</v>
      </c>
      <c r="W1088" s="7" cm="1">
        <f t="array" ref="W1088">IF(OR(TRIM(K1088)="",TRIM(K1088)="-"), MEDIAN(IF($E$2:$E$1500=E1088,$K$2:$K$1500)),  VALUE(SUBSTITUTE(SUBSTITUTE(SUBSTITUTE(K1088,"Rs. ",""),"₹",""),",","")))</f>
        <v>12405</v>
      </c>
      <c r="X1088" s="8">
        <f t="shared" si="168"/>
        <v>3</v>
      </c>
      <c r="Y1088" s="7">
        <f t="shared" si="169"/>
        <v>12033</v>
      </c>
      <c r="Z1088" s="9" t="str">
        <f t="shared" si="161"/>
        <v>SENIOR</v>
      </c>
    </row>
    <row r="1089" spans="1:26" x14ac:dyDescent="0.3">
      <c r="A1089" s="5" t="s">
        <v>2192</v>
      </c>
      <c r="B1089" s="5" t="s">
        <v>78</v>
      </c>
      <c r="C1089" s="5" t="s">
        <v>161</v>
      </c>
      <c r="D1089" s="5" t="s">
        <v>16</v>
      </c>
      <c r="E1089" s="5" t="s">
        <v>164</v>
      </c>
      <c r="F1089" s="5" t="s">
        <v>165</v>
      </c>
      <c r="G1089" s="5" t="s">
        <v>39</v>
      </c>
      <c r="H1089" s="5">
        <v>29</v>
      </c>
      <c r="I1089" s="5" t="s">
        <v>20</v>
      </c>
      <c r="J1089" s="34" t="s">
        <v>1542</v>
      </c>
      <c r="K1089" s="31">
        <v>18394</v>
      </c>
      <c r="L1089" s="5" t="s">
        <v>115</v>
      </c>
      <c r="M1089" s="32">
        <v>5</v>
      </c>
      <c r="N1089" s="6">
        <f t="shared" si="162"/>
        <v>5</v>
      </c>
      <c r="O1089" s="4" t="s">
        <v>165</v>
      </c>
      <c r="P1089" s="5" t="str">
        <f t="shared" si="163"/>
        <v>Bangalore</v>
      </c>
      <c r="Q1089" s="5" t="str">
        <f t="shared" si="164"/>
        <v>Cardiology</v>
      </c>
      <c r="R1089" s="6" t="str">
        <f t="shared" si="165"/>
        <v>Apollo</v>
      </c>
      <c r="S1089" s="6" t="str">
        <f t="shared" si="166"/>
        <v>Cash</v>
      </c>
      <c r="T1089" s="6" t="str">
        <f t="shared" si="167"/>
        <v>Male</v>
      </c>
      <c r="U1089" s="6" t="str">
        <f t="shared" si="170"/>
        <v>General</v>
      </c>
      <c r="V1089" s="6" t="str" cm="1">
        <f t="array" ref="V1089">IF(TRIM(S1089)="",INDEX($S$2:$S$1500,MATCH(MAX(COUNTIF($S$2:$S$1500,S1089)),COUNTIF($S$2:$S$1500,$S$2:$S$1500),0)),S1089)</f>
        <v>Cash</v>
      </c>
      <c r="W1089" s="7" cm="1">
        <f t="array" ref="W1089">IF(OR(TRIM(K1089)="",TRIM(K1089)="-"), MEDIAN(IF($E$2:$E$1500=E1089,$K$2:$K$1500)),  VALUE(SUBSTITUTE(SUBSTITUTE(SUBSTITUTE(K1089,"Rs. ",""),"₹",""),",","")))</f>
        <v>18394</v>
      </c>
      <c r="X1089" s="8">
        <f t="shared" si="168"/>
        <v>5</v>
      </c>
      <c r="Y1089" s="7">
        <f t="shared" si="169"/>
        <v>17474</v>
      </c>
      <c r="Z1089" s="9" t="str">
        <f t="shared" si="161"/>
        <v>ADULT</v>
      </c>
    </row>
    <row r="1090" spans="1:26" x14ac:dyDescent="0.3">
      <c r="A1090" s="5" t="s">
        <v>2193</v>
      </c>
      <c r="B1090" s="5" t="s">
        <v>106</v>
      </c>
      <c r="C1090" s="5" t="s">
        <v>307</v>
      </c>
      <c r="D1090" s="5" t="s">
        <v>27</v>
      </c>
      <c r="E1090" s="5" t="s">
        <v>108</v>
      </c>
      <c r="F1090" s="5" t="s">
        <v>272</v>
      </c>
      <c r="G1090" s="5" t="s">
        <v>39</v>
      </c>
      <c r="H1090" s="5">
        <v>11</v>
      </c>
      <c r="I1090" s="5" t="s">
        <v>31</v>
      </c>
      <c r="J1090" s="34" t="s">
        <v>726</v>
      </c>
      <c r="K1090" s="31">
        <v>10751</v>
      </c>
      <c r="L1090" s="5" t="s">
        <v>83</v>
      </c>
      <c r="M1090" s="32">
        <v>0</v>
      </c>
      <c r="N1090" s="6">
        <f t="shared" si="162"/>
        <v>0</v>
      </c>
      <c r="O1090" s="4" t="s">
        <v>272</v>
      </c>
      <c r="P1090" s="5" t="str">
        <f t="shared" si="163"/>
        <v>Mumbai</v>
      </c>
      <c r="Q1090" s="5" t="str">
        <f t="shared" si="164"/>
        <v>Orthopedics</v>
      </c>
      <c r="R1090" s="6" t="str">
        <f t="shared" si="165"/>
        <v>Aiims</v>
      </c>
      <c r="S1090" s="6" t="str">
        <f t="shared" si="166"/>
        <v>Debit Card</v>
      </c>
      <c r="T1090" s="6" t="str">
        <f t="shared" si="167"/>
        <v>Male</v>
      </c>
      <c r="U1090" s="6" t="str">
        <f t="shared" si="170"/>
        <v>General</v>
      </c>
      <c r="V1090" s="6" t="str" cm="1">
        <f t="array" ref="V1090">IF(TRIM(S1090)="",INDEX($S$2:$S$1500,MATCH(MAX(COUNTIF($S$2:$S$1500,S1090)),COUNTIF($S$2:$S$1500,$S$2:$S$1500),0)),S1090)</f>
        <v>Debit Card</v>
      </c>
      <c r="W1090" s="7" cm="1">
        <f t="array" ref="W1090">IF(OR(TRIM(K1090)="",TRIM(K1090)="-"), MEDIAN(IF($E$2:$E$1500=E1090,$K$2:$K$1500)),  VALUE(SUBSTITUTE(SUBSTITUTE(SUBSTITUTE(K1090,"Rs. ",""),"₹",""),",","")))</f>
        <v>10751</v>
      </c>
      <c r="X1090" s="8">
        <f t="shared" si="168"/>
        <v>0</v>
      </c>
      <c r="Y1090" s="7">
        <f t="shared" si="169"/>
        <v>10751</v>
      </c>
      <c r="Z1090" s="9" t="str">
        <f t="shared" ref="Z1090:Z1153" si="171">IF(H1090&lt;13,"CHILD",IF(H1090&lt;20,"TEEN",IF(H1090&lt;60,"ADULT","SENIOR")))</f>
        <v>CHILD</v>
      </c>
    </row>
    <row r="1091" spans="1:26" x14ac:dyDescent="0.3">
      <c r="A1091" s="5" t="s">
        <v>2194</v>
      </c>
      <c r="B1091" s="5" t="s">
        <v>14</v>
      </c>
      <c r="C1091" s="5" t="s">
        <v>60</v>
      </c>
      <c r="D1091" s="5" t="s">
        <v>36</v>
      </c>
      <c r="E1091" s="5" t="s">
        <v>164</v>
      </c>
      <c r="F1091" s="5" t="s">
        <v>165</v>
      </c>
      <c r="G1091" s="5" t="s">
        <v>39</v>
      </c>
      <c r="H1091" s="5">
        <v>47</v>
      </c>
      <c r="I1091" s="5" t="s">
        <v>31</v>
      </c>
      <c r="J1091" s="34" t="s">
        <v>702</v>
      </c>
      <c r="K1091" s="31">
        <v>19650</v>
      </c>
      <c r="L1091" s="5" t="s">
        <v>72</v>
      </c>
      <c r="M1091" s="32" t="s">
        <v>140</v>
      </c>
      <c r="N1091" s="6" t="str">
        <f t="shared" ref="N1091:N1154" si="172">IF(RIGHT(TRIM(M1091),1)="%",VALUE(LEFT(TRIM(M1091),LEN(TRIM(M1091))-1)),  IF(AND(ISNUMBER(M1091),M1091&lt;=1,M1091&gt;0),M1091*100,M1091))</f>
        <v>-</v>
      </c>
      <c r="O1091" s="4" t="s">
        <v>165</v>
      </c>
      <c r="P1091" s="5" t="str">
        <f t="shared" ref="P1091:P1154" si="173">PROPER(D1091)</f>
        <v>Chennai</v>
      </c>
      <c r="Q1091" s="5" t="str">
        <f t="shared" ref="Q1091:Q1154" si="174">PROPER(E1091)</f>
        <v>Cardiology</v>
      </c>
      <c r="R1091" s="6" t="str">
        <f t="shared" ref="R1091:R1154" si="175">PROPER(C1091)</f>
        <v>Max_Healthcare</v>
      </c>
      <c r="S1091" s="6" t="str">
        <f t="shared" ref="S1091:S1154" si="176">IF(OR(UPPER(TRIM(L1091))="CREDIT_CARD",UPPER(TRIM(L1091))="CREDIT CARD",UPPER(TRIM(L1091))="CC"),"Credit Card", IF(OR(UPPER(TRIM(L1091))="DEBIT_CARD",UPPER(TRIM(L1091))="DEBIT CARD",UPPER(TRIM(L1091))="DC"),"Debit Card", IF(UPPER(TRIM(L1091))="CASH","Cash", IF(UPPER(TRIM(L1091))="UPI","UPI", IF(OR(UPPER(TRIM(L1091))="INSURANCE",UPPER(TRIM(L1091))="INS"),"Insurance", IF(TRIM(L1091)="","Unknown","Unknown"))))))</f>
        <v>Cash</v>
      </c>
      <c r="T1091" s="6" t="str">
        <f t="shared" ref="T1091:T1154" si="177">IF(OR(UPPER(TRIM(I1091))="M",UPPER(TRIM(I1091))="MALE"),"Male",IF(OR(UPPER(TRIM(I1091))="F",UPPER(TRIM(I1091))="FEMALE"),"Female","Unknown"))</f>
        <v>Male</v>
      </c>
      <c r="U1091" s="6" t="str">
        <f t="shared" si="170"/>
        <v>General</v>
      </c>
      <c r="V1091" s="6" t="str" cm="1">
        <f t="array" ref="V1091">IF(TRIM(S1091)="",INDEX($S$2:$S$1500,MATCH(MAX(COUNTIF($S$2:$S$1500,S1091)),COUNTIF($S$2:$S$1500,$S$2:$S$1500),0)),S1091)</f>
        <v>Cash</v>
      </c>
      <c r="W1091" s="7" cm="1">
        <f t="array" ref="W1091">IF(OR(TRIM(K1091)="",TRIM(K1091)="-"), MEDIAN(IF($E$2:$E$1500=E1091,$K$2:$K$1500)),  VALUE(SUBSTITUTE(SUBSTITUTE(SUBSTITUTE(K1091,"Rs. ",""),"₹",""),",","")))</f>
        <v>19650</v>
      </c>
      <c r="X1091" s="8">
        <f t="shared" ref="X1091:X1154" si="178">ROUND(IF(OR(TRIM(N1091)="-",UPPER(TRIM(N1091))="N/A",UPPER(TRIM(N1091))="NA"), IFERROR(AVERAGEIF($V$2:$V$1500,V1091,$N$2:$N$1500),AVERAGE($N$2:$N$1500)), N1091),0)</f>
        <v>3</v>
      </c>
      <c r="Y1091" s="7">
        <f t="shared" ref="Y1091:Y1154" si="179">ROUND(W1091*(1-X1091/100),0)</f>
        <v>19061</v>
      </c>
      <c r="Z1091" s="9" t="str">
        <f t="shared" si="171"/>
        <v>ADULT</v>
      </c>
    </row>
    <row r="1092" spans="1:26" x14ac:dyDescent="0.3">
      <c r="A1092" s="5" t="s">
        <v>2195</v>
      </c>
      <c r="B1092" s="5" t="s">
        <v>25</v>
      </c>
      <c r="C1092" s="5" t="s">
        <v>54</v>
      </c>
      <c r="D1092" s="5" t="s">
        <v>36</v>
      </c>
      <c r="E1092" s="5" t="s">
        <v>67</v>
      </c>
      <c r="F1092" s="5" t="s">
        <v>68</v>
      </c>
      <c r="G1092" s="5" t="s">
        <v>39</v>
      </c>
      <c r="H1092" s="5">
        <v>44</v>
      </c>
      <c r="I1092" s="5" t="s">
        <v>20</v>
      </c>
      <c r="J1092" s="34" t="s">
        <v>424</v>
      </c>
      <c r="K1092" s="31">
        <v>15392</v>
      </c>
      <c r="L1092" s="5" t="s">
        <v>58</v>
      </c>
      <c r="M1092" s="32" t="s">
        <v>198</v>
      </c>
      <c r="N1092" s="6">
        <f t="shared" si="172"/>
        <v>5</v>
      </c>
      <c r="O1092" s="4" t="s">
        <v>68</v>
      </c>
      <c r="P1092" s="5" t="str">
        <f t="shared" si="173"/>
        <v>Chennai</v>
      </c>
      <c r="Q1092" s="5" t="str">
        <f t="shared" si="174"/>
        <v>Neurology</v>
      </c>
      <c r="R1092" s="6" t="str">
        <f t="shared" si="175"/>
        <v>Narayana</v>
      </c>
      <c r="S1092" s="6" t="str">
        <f t="shared" si="176"/>
        <v>UPI</v>
      </c>
      <c r="T1092" s="6" t="str">
        <f t="shared" si="177"/>
        <v>Male</v>
      </c>
      <c r="U1092" s="6" t="str">
        <f t="shared" si="170"/>
        <v>General</v>
      </c>
      <c r="V1092" s="6" t="str" cm="1">
        <f t="array" ref="V1092">IF(TRIM(S1092)="",INDEX($S$2:$S$1500,MATCH(MAX(COUNTIF($S$2:$S$1500,S1092)),COUNTIF($S$2:$S$1500,$S$2:$S$1500),0)),S1092)</f>
        <v>UPI</v>
      </c>
      <c r="W1092" s="7" cm="1">
        <f t="array" ref="W1092">IF(OR(TRIM(K1092)="",TRIM(K1092)="-"), MEDIAN(IF($E$2:$E$1500=E1092,$K$2:$K$1500)),  VALUE(SUBSTITUTE(SUBSTITUTE(SUBSTITUTE(K1092,"Rs. ",""),"₹",""),",","")))</f>
        <v>15392</v>
      </c>
      <c r="X1092" s="8">
        <f t="shared" si="178"/>
        <v>5</v>
      </c>
      <c r="Y1092" s="7">
        <f t="shared" si="179"/>
        <v>14622</v>
      </c>
      <c r="Z1092" s="9" t="str">
        <f t="shared" si="171"/>
        <v>ADULT</v>
      </c>
    </row>
    <row r="1093" spans="1:26" x14ac:dyDescent="0.3">
      <c r="A1093" s="5" t="s">
        <v>2196</v>
      </c>
      <c r="B1093" s="5" t="s">
        <v>106</v>
      </c>
      <c r="C1093" s="5" t="s">
        <v>107</v>
      </c>
      <c r="D1093" s="5" t="s">
        <v>61</v>
      </c>
      <c r="E1093" s="5" t="s">
        <v>67</v>
      </c>
      <c r="F1093" s="5" t="s">
        <v>85</v>
      </c>
      <c r="G1093" s="5" t="s">
        <v>30</v>
      </c>
      <c r="H1093" s="5">
        <v>52</v>
      </c>
      <c r="I1093" s="5" t="s">
        <v>31</v>
      </c>
      <c r="J1093" s="34" t="s">
        <v>1069</v>
      </c>
      <c r="K1093" s="31">
        <v>13734</v>
      </c>
      <c r="L1093" s="5" t="s">
        <v>115</v>
      </c>
      <c r="M1093" s="32" t="s">
        <v>130</v>
      </c>
      <c r="N1093" s="6">
        <f t="shared" si="172"/>
        <v>0</v>
      </c>
      <c r="O1093" s="4" t="s">
        <v>85</v>
      </c>
      <c r="P1093" s="5" t="str">
        <f t="shared" si="173"/>
        <v>Pune</v>
      </c>
      <c r="Q1093" s="5" t="str">
        <f t="shared" si="174"/>
        <v>Neurology</v>
      </c>
      <c r="R1093" s="6" t="str">
        <f t="shared" si="175"/>
        <v>Aiims</v>
      </c>
      <c r="S1093" s="6" t="str">
        <f t="shared" si="176"/>
        <v>Cash</v>
      </c>
      <c r="T1093" s="6" t="str">
        <f t="shared" si="177"/>
        <v>Male</v>
      </c>
      <c r="U1093" s="6" t="str">
        <f t="shared" si="170"/>
        <v>General</v>
      </c>
      <c r="V1093" s="6" t="str" cm="1">
        <f t="array" ref="V1093">IF(TRIM(S1093)="",INDEX($S$2:$S$1500,MATCH(MAX(COUNTIF($S$2:$S$1500,S1093)),COUNTIF($S$2:$S$1500,$S$2:$S$1500),0)),S1093)</f>
        <v>Cash</v>
      </c>
      <c r="W1093" s="7" cm="1">
        <f t="array" ref="W1093">IF(OR(TRIM(K1093)="",TRIM(K1093)="-"), MEDIAN(IF($E$2:$E$1500=E1093,$K$2:$K$1500)),  VALUE(SUBSTITUTE(SUBSTITUTE(SUBSTITUTE(K1093,"Rs. ",""),"₹",""),",","")))</f>
        <v>13734</v>
      </c>
      <c r="X1093" s="8">
        <f t="shared" si="178"/>
        <v>0</v>
      </c>
      <c r="Y1093" s="7">
        <f t="shared" si="179"/>
        <v>13734</v>
      </c>
      <c r="Z1093" s="9" t="str">
        <f t="shared" si="171"/>
        <v>ADULT</v>
      </c>
    </row>
    <row r="1094" spans="1:26" x14ac:dyDescent="0.3">
      <c r="A1094" s="5" t="s">
        <v>2197</v>
      </c>
      <c r="B1094" s="5" t="s">
        <v>25</v>
      </c>
      <c r="C1094" s="5" t="s">
        <v>26</v>
      </c>
      <c r="D1094" s="5" t="s">
        <v>27</v>
      </c>
      <c r="E1094" s="5" t="s">
        <v>67</v>
      </c>
      <c r="F1094" s="5" t="s">
        <v>85</v>
      </c>
      <c r="G1094" s="5" t="s">
        <v>49</v>
      </c>
      <c r="H1094" s="5">
        <v>21</v>
      </c>
      <c r="I1094" s="5" t="s">
        <v>20</v>
      </c>
      <c r="J1094" s="34" t="s">
        <v>110</v>
      </c>
      <c r="K1094" s="31" t="s">
        <v>2198</v>
      </c>
      <c r="L1094" s="5" t="s">
        <v>72</v>
      </c>
      <c r="M1094" s="32">
        <v>5</v>
      </c>
      <c r="N1094" s="6">
        <f t="shared" si="172"/>
        <v>5</v>
      </c>
      <c r="O1094" s="4" t="s">
        <v>85</v>
      </c>
      <c r="P1094" s="5" t="str">
        <f t="shared" si="173"/>
        <v>Mumbai</v>
      </c>
      <c r="Q1094" s="5" t="str">
        <f t="shared" si="174"/>
        <v>Neurology</v>
      </c>
      <c r="R1094" s="6" t="str">
        <f t="shared" si="175"/>
        <v>Narayana</v>
      </c>
      <c r="S1094" s="6" t="str">
        <f t="shared" si="176"/>
        <v>Cash</v>
      </c>
      <c r="T1094" s="6" t="str">
        <f t="shared" si="177"/>
        <v>Male</v>
      </c>
      <c r="U1094" s="6" t="str">
        <f t="shared" si="170"/>
        <v>General</v>
      </c>
      <c r="V1094" s="6" t="str" cm="1">
        <f t="array" ref="V1094">IF(TRIM(S1094)="",INDEX($S$2:$S$1500,MATCH(MAX(COUNTIF($S$2:$S$1500,S1094)),COUNTIF($S$2:$S$1500,$S$2:$S$1500),0)),S1094)</f>
        <v>Cash</v>
      </c>
      <c r="W1094" s="7" cm="1">
        <f t="array" ref="W1094">IF(OR(TRIM(K1094)="",TRIM(K1094)="-"), MEDIAN(IF($E$2:$E$1500=E1094,$K$2:$K$1500)),  VALUE(SUBSTITUTE(SUBSTITUTE(SUBSTITUTE(K1094,"Rs. ",""),"₹",""),",","")))</f>
        <v>11245</v>
      </c>
      <c r="X1094" s="8">
        <f t="shared" si="178"/>
        <v>5</v>
      </c>
      <c r="Y1094" s="7">
        <f t="shared" si="179"/>
        <v>10683</v>
      </c>
      <c r="Z1094" s="9" t="str">
        <f t="shared" si="171"/>
        <v>ADULT</v>
      </c>
    </row>
    <row r="1095" spans="1:26" x14ac:dyDescent="0.3">
      <c r="A1095" s="5" t="s">
        <v>2199</v>
      </c>
      <c r="B1095" s="5" t="s">
        <v>25</v>
      </c>
      <c r="C1095" s="5" t="s">
        <v>26</v>
      </c>
      <c r="D1095" s="5" t="s">
        <v>27</v>
      </c>
      <c r="E1095" s="5" t="s">
        <v>17</v>
      </c>
      <c r="F1095" s="5" t="s">
        <v>135</v>
      </c>
      <c r="G1095" s="5" t="s">
        <v>19</v>
      </c>
      <c r="H1095" s="5">
        <v>30</v>
      </c>
      <c r="I1095" s="5" t="s">
        <v>31</v>
      </c>
      <c r="J1095" s="34" t="s">
        <v>708</v>
      </c>
      <c r="K1095" s="31" t="s">
        <v>2200</v>
      </c>
      <c r="L1095" s="5" t="s">
        <v>87</v>
      </c>
      <c r="M1095" s="32">
        <v>0</v>
      </c>
      <c r="N1095" s="6">
        <f t="shared" si="172"/>
        <v>0</v>
      </c>
      <c r="O1095" s="4" t="s">
        <v>135</v>
      </c>
      <c r="P1095" s="5" t="str">
        <f t="shared" si="173"/>
        <v>Mumbai</v>
      </c>
      <c r="Q1095" s="5" t="str">
        <f t="shared" si="174"/>
        <v>Gynecology</v>
      </c>
      <c r="R1095" s="6" t="str">
        <f t="shared" si="175"/>
        <v>Narayana</v>
      </c>
      <c r="S1095" s="6" t="str">
        <f t="shared" si="176"/>
        <v>Credit Card</v>
      </c>
      <c r="T1095" s="6" t="str">
        <f t="shared" si="177"/>
        <v>Male</v>
      </c>
      <c r="U1095" s="6" t="str">
        <f t="shared" si="170"/>
        <v>General</v>
      </c>
      <c r="V1095" s="6" t="str" cm="1">
        <f t="array" ref="V1095">IF(TRIM(S1095)="",INDEX($S$2:$S$1500,MATCH(MAX(COUNTIF($S$2:$S$1500,S1095)),COUNTIF($S$2:$S$1500,$S$2:$S$1500),0)),S1095)</f>
        <v>Credit Card</v>
      </c>
      <c r="W1095" s="7" cm="1">
        <f t="array" ref="W1095">IF(OR(TRIM(K1095)="",TRIM(K1095)="-"), MEDIAN(IF($E$2:$E$1500=E1095,$K$2:$K$1500)),  VALUE(SUBSTITUTE(SUBSTITUTE(SUBSTITUTE(K1095,"Rs. ",""),"₹",""),",","")))</f>
        <v>14501</v>
      </c>
      <c r="X1095" s="8">
        <f t="shared" si="178"/>
        <v>0</v>
      </c>
      <c r="Y1095" s="7">
        <f t="shared" si="179"/>
        <v>14501</v>
      </c>
      <c r="Z1095" s="9" t="str">
        <f t="shared" si="171"/>
        <v>ADULT</v>
      </c>
    </row>
    <row r="1096" spans="1:26" x14ac:dyDescent="0.3">
      <c r="A1096" s="5" t="s">
        <v>2201</v>
      </c>
      <c r="B1096" s="5" t="s">
        <v>117</v>
      </c>
      <c r="C1096" s="5" t="s">
        <v>127</v>
      </c>
      <c r="D1096" s="5" t="s">
        <v>61</v>
      </c>
      <c r="E1096" s="5" t="s">
        <v>47</v>
      </c>
      <c r="F1096" s="5" t="s">
        <v>48</v>
      </c>
      <c r="G1096" s="5" t="s">
        <v>101</v>
      </c>
      <c r="H1096" s="5">
        <v>75</v>
      </c>
      <c r="I1096" s="5" t="s">
        <v>31</v>
      </c>
      <c r="J1096" s="34" t="s">
        <v>949</v>
      </c>
      <c r="K1096" s="31" t="s">
        <v>2202</v>
      </c>
      <c r="L1096" s="5" t="s">
        <v>236</v>
      </c>
      <c r="M1096" s="32">
        <v>0</v>
      </c>
      <c r="N1096" s="6">
        <f t="shared" si="172"/>
        <v>0</v>
      </c>
      <c r="O1096" s="4" t="s">
        <v>48</v>
      </c>
      <c r="P1096" s="5" t="str">
        <f t="shared" si="173"/>
        <v>Pune</v>
      </c>
      <c r="Q1096" s="5" t="str">
        <f t="shared" si="174"/>
        <v>Gastroenterology</v>
      </c>
      <c r="R1096" s="6" t="str">
        <f t="shared" si="175"/>
        <v>Manipal</v>
      </c>
      <c r="S1096" s="6" t="str">
        <f t="shared" si="176"/>
        <v>Debit Card</v>
      </c>
      <c r="T1096" s="6" t="str">
        <f t="shared" si="177"/>
        <v>Male</v>
      </c>
      <c r="U1096" s="6" t="str">
        <f t="shared" si="170"/>
        <v>ICU</v>
      </c>
      <c r="V1096" s="6" t="str" cm="1">
        <f t="array" ref="V1096">IF(TRIM(S1096)="",INDEX($S$2:$S$1500,MATCH(MAX(COUNTIF($S$2:$S$1500,S1096)),COUNTIF($S$2:$S$1500,$S$2:$S$1500),0)),S1096)</f>
        <v>Debit Card</v>
      </c>
      <c r="W1096" s="7" cm="1">
        <f t="array" ref="W1096">IF(OR(TRIM(K1096)="",TRIM(K1096)="-"), MEDIAN(IF($E$2:$E$1500=E1096,$K$2:$K$1500)),  VALUE(SUBSTITUTE(SUBSTITUTE(SUBSTITUTE(K1096,"Rs. ",""),"₹",""),",","")))</f>
        <v>61599</v>
      </c>
      <c r="X1096" s="8">
        <f t="shared" si="178"/>
        <v>0</v>
      </c>
      <c r="Y1096" s="7">
        <f t="shared" si="179"/>
        <v>61599</v>
      </c>
      <c r="Z1096" s="9" t="str">
        <f t="shared" si="171"/>
        <v>SENIOR</v>
      </c>
    </row>
    <row r="1097" spans="1:26" x14ac:dyDescent="0.3">
      <c r="A1097" s="5" t="s">
        <v>2203</v>
      </c>
      <c r="B1097" s="5" t="s">
        <v>106</v>
      </c>
      <c r="C1097" s="5" t="s">
        <v>107</v>
      </c>
      <c r="D1097" s="5" t="s">
        <v>61</v>
      </c>
      <c r="E1097" s="5" t="s">
        <v>67</v>
      </c>
      <c r="F1097" s="5" t="s">
        <v>196</v>
      </c>
      <c r="G1097" s="5" t="s">
        <v>30</v>
      </c>
      <c r="H1097" s="5">
        <v>8</v>
      </c>
      <c r="I1097" s="5" t="s">
        <v>31</v>
      </c>
      <c r="J1097" s="34" t="s">
        <v>1396</v>
      </c>
      <c r="K1097" s="31" t="s">
        <v>385</v>
      </c>
      <c r="L1097" s="5" t="s">
        <v>72</v>
      </c>
      <c r="M1097" s="32" t="s">
        <v>140</v>
      </c>
      <c r="N1097" s="6" t="str">
        <f t="shared" si="172"/>
        <v>-</v>
      </c>
      <c r="O1097" s="4" t="s">
        <v>196</v>
      </c>
      <c r="P1097" s="5" t="str">
        <f t="shared" si="173"/>
        <v>Pune</v>
      </c>
      <c r="Q1097" s="5" t="str">
        <f t="shared" si="174"/>
        <v>Neurology</v>
      </c>
      <c r="R1097" s="6" t="str">
        <f t="shared" si="175"/>
        <v>Aiims</v>
      </c>
      <c r="S1097" s="6" t="str">
        <f t="shared" si="176"/>
        <v>Cash</v>
      </c>
      <c r="T1097" s="6" t="str">
        <f t="shared" si="177"/>
        <v>Male</v>
      </c>
      <c r="U1097" s="6" t="str">
        <f t="shared" si="170"/>
        <v>General</v>
      </c>
      <c r="V1097" s="6" t="str" cm="1">
        <f t="array" ref="V1097">IF(TRIM(S1097)="",INDEX($S$2:$S$1500,MATCH(MAX(COUNTIF($S$2:$S$1500,S1097)),COUNTIF($S$2:$S$1500,$S$2:$S$1500),0)),S1097)</f>
        <v>Cash</v>
      </c>
      <c r="W1097" s="7" cm="1">
        <f t="array" ref="W1097">IF(OR(TRIM(K1097)="",TRIM(K1097)="-"), MEDIAN(IF($E$2:$E$1500=E1097,$K$2:$K$1500)),  VALUE(SUBSTITUTE(SUBSTITUTE(SUBSTITUTE(K1097,"Rs. ",""),"₹",""),",","")))</f>
        <v>19163</v>
      </c>
      <c r="X1097" s="8">
        <f t="shared" si="178"/>
        <v>3</v>
      </c>
      <c r="Y1097" s="7">
        <f t="shared" si="179"/>
        <v>18588</v>
      </c>
      <c r="Z1097" s="9" t="str">
        <f t="shared" si="171"/>
        <v>CHILD</v>
      </c>
    </row>
    <row r="1098" spans="1:26" x14ac:dyDescent="0.3">
      <c r="A1098" s="5" t="s">
        <v>2204</v>
      </c>
      <c r="B1098" s="5" t="s">
        <v>78</v>
      </c>
      <c r="C1098" s="5" t="s">
        <v>79</v>
      </c>
      <c r="D1098" s="5" t="s">
        <v>16</v>
      </c>
      <c r="E1098" s="5" t="s">
        <v>17</v>
      </c>
      <c r="F1098" s="5" t="s">
        <v>18</v>
      </c>
      <c r="G1098" s="5" t="s">
        <v>39</v>
      </c>
      <c r="H1098" s="5">
        <v>92</v>
      </c>
      <c r="I1098" s="5" t="s">
        <v>31</v>
      </c>
      <c r="J1098" s="34" t="s">
        <v>751</v>
      </c>
      <c r="K1098" s="31" t="s">
        <v>2205</v>
      </c>
      <c r="L1098" s="5" t="s">
        <v>58</v>
      </c>
      <c r="M1098" s="32">
        <v>10</v>
      </c>
      <c r="N1098" s="6">
        <f t="shared" si="172"/>
        <v>10</v>
      </c>
      <c r="O1098" s="4" t="s">
        <v>18</v>
      </c>
      <c r="P1098" s="5" t="str">
        <f t="shared" si="173"/>
        <v>Bangalore</v>
      </c>
      <c r="Q1098" s="5" t="str">
        <f t="shared" si="174"/>
        <v>Gynecology</v>
      </c>
      <c r="R1098" s="6" t="str">
        <f t="shared" si="175"/>
        <v>Apollo</v>
      </c>
      <c r="S1098" s="6" t="str">
        <f t="shared" si="176"/>
        <v>UPI</v>
      </c>
      <c r="T1098" s="6" t="str">
        <f t="shared" si="177"/>
        <v>Male</v>
      </c>
      <c r="U1098" s="6" t="str">
        <f t="shared" si="170"/>
        <v>General</v>
      </c>
      <c r="V1098" s="6" t="str" cm="1">
        <f t="array" ref="V1098">IF(TRIM(S1098)="",INDEX($S$2:$S$1500,MATCH(MAX(COUNTIF($S$2:$S$1500,S1098)),COUNTIF($S$2:$S$1500,$S$2:$S$1500),0)),S1098)</f>
        <v>UPI</v>
      </c>
      <c r="W1098" s="7" cm="1">
        <f t="array" ref="W1098">IF(OR(TRIM(K1098)="",TRIM(K1098)="-"), MEDIAN(IF($E$2:$E$1500=E1098,$K$2:$K$1500)),  VALUE(SUBSTITUTE(SUBSTITUTE(SUBSTITUTE(K1098,"Rs. ",""),"₹",""),",","")))</f>
        <v>17595</v>
      </c>
      <c r="X1098" s="8">
        <f t="shared" si="178"/>
        <v>10</v>
      </c>
      <c r="Y1098" s="7">
        <f t="shared" si="179"/>
        <v>15836</v>
      </c>
      <c r="Z1098" s="9" t="str">
        <f t="shared" si="171"/>
        <v>SENIOR</v>
      </c>
    </row>
    <row r="1099" spans="1:26" x14ac:dyDescent="0.3">
      <c r="A1099" s="5" t="s">
        <v>2206</v>
      </c>
      <c r="B1099" s="5" t="s">
        <v>117</v>
      </c>
      <c r="C1099" s="5" t="s">
        <v>182</v>
      </c>
      <c r="D1099" s="5" t="s">
        <v>80</v>
      </c>
      <c r="E1099" s="5" t="s">
        <v>17</v>
      </c>
      <c r="F1099" s="5" t="s">
        <v>18</v>
      </c>
      <c r="G1099" s="5" t="s">
        <v>69</v>
      </c>
      <c r="H1099" s="5">
        <v>48</v>
      </c>
      <c r="I1099" s="5" t="s">
        <v>70</v>
      </c>
      <c r="J1099" s="34" t="s">
        <v>462</v>
      </c>
      <c r="K1099" s="31">
        <v>65090</v>
      </c>
      <c r="L1099" s="5" t="s">
        <v>87</v>
      </c>
      <c r="M1099" s="32">
        <v>0</v>
      </c>
      <c r="N1099" s="6">
        <f t="shared" si="172"/>
        <v>0</v>
      </c>
      <c r="O1099" s="4" t="s">
        <v>18</v>
      </c>
      <c r="P1099" s="5" t="str">
        <f t="shared" si="173"/>
        <v>Ahmedabad</v>
      </c>
      <c r="Q1099" s="5" t="str">
        <f t="shared" si="174"/>
        <v>Gynecology</v>
      </c>
      <c r="R1099" s="6" t="str">
        <f t="shared" si="175"/>
        <v>Manipal</v>
      </c>
      <c r="S1099" s="6" t="str">
        <f t="shared" si="176"/>
        <v>Credit Card</v>
      </c>
      <c r="T1099" s="6" t="str">
        <f t="shared" si="177"/>
        <v>Female</v>
      </c>
      <c r="U1099" s="6" t="str">
        <f t="shared" si="170"/>
        <v>ICU</v>
      </c>
      <c r="V1099" s="6" t="str" cm="1">
        <f t="array" ref="V1099">IF(TRIM(S1099)="",INDEX($S$2:$S$1500,MATCH(MAX(COUNTIF($S$2:$S$1500,S1099)),COUNTIF($S$2:$S$1500,$S$2:$S$1500),0)),S1099)</f>
        <v>Credit Card</v>
      </c>
      <c r="W1099" s="7" cm="1">
        <f t="array" ref="W1099">IF(OR(TRIM(K1099)="",TRIM(K1099)="-"), MEDIAN(IF($E$2:$E$1500=E1099,$K$2:$K$1500)),  VALUE(SUBSTITUTE(SUBSTITUTE(SUBSTITUTE(K1099,"Rs. ",""),"₹",""),",","")))</f>
        <v>65090</v>
      </c>
      <c r="X1099" s="8">
        <f t="shared" si="178"/>
        <v>0</v>
      </c>
      <c r="Y1099" s="7">
        <f t="shared" si="179"/>
        <v>65090</v>
      </c>
      <c r="Z1099" s="9" t="str">
        <f t="shared" si="171"/>
        <v>ADULT</v>
      </c>
    </row>
    <row r="1100" spans="1:26" x14ac:dyDescent="0.3">
      <c r="A1100" s="5" t="s">
        <v>2207</v>
      </c>
      <c r="B1100" s="5" t="s">
        <v>25</v>
      </c>
      <c r="C1100" s="5" t="s">
        <v>54</v>
      </c>
      <c r="D1100" s="5" t="s">
        <v>16</v>
      </c>
      <c r="E1100" s="5" t="s">
        <v>93</v>
      </c>
      <c r="F1100" s="5" t="s">
        <v>94</v>
      </c>
      <c r="G1100" s="5" t="s">
        <v>49</v>
      </c>
      <c r="H1100" s="5">
        <v>19</v>
      </c>
      <c r="I1100" s="5" t="s">
        <v>20</v>
      </c>
      <c r="J1100" s="34" t="s">
        <v>561</v>
      </c>
      <c r="K1100" s="31">
        <v>18882</v>
      </c>
      <c r="L1100" s="5" t="s">
        <v>236</v>
      </c>
      <c r="M1100" s="32" t="s">
        <v>76</v>
      </c>
      <c r="N1100" s="6">
        <f t="shared" si="172"/>
        <v>10</v>
      </c>
      <c r="O1100" s="4" t="s">
        <v>94</v>
      </c>
      <c r="P1100" s="5" t="str">
        <f t="shared" si="173"/>
        <v>Bangalore</v>
      </c>
      <c r="Q1100" s="5" t="str">
        <f t="shared" si="174"/>
        <v>Nephrology</v>
      </c>
      <c r="R1100" s="6" t="str">
        <f t="shared" si="175"/>
        <v>Narayana</v>
      </c>
      <c r="S1100" s="6" t="str">
        <f t="shared" si="176"/>
        <v>Debit Card</v>
      </c>
      <c r="T1100" s="6" t="str">
        <f t="shared" si="177"/>
        <v>Male</v>
      </c>
      <c r="U1100" s="6" t="str">
        <f t="shared" si="170"/>
        <v>General</v>
      </c>
      <c r="V1100" s="6" t="str" cm="1">
        <f t="array" ref="V1100">IF(TRIM(S1100)="",INDEX($S$2:$S$1500,MATCH(MAX(COUNTIF($S$2:$S$1500,S1100)),COUNTIF($S$2:$S$1500,$S$2:$S$1500),0)),S1100)</f>
        <v>Debit Card</v>
      </c>
      <c r="W1100" s="7" cm="1">
        <f t="array" ref="W1100">IF(OR(TRIM(K1100)="",TRIM(K1100)="-"), MEDIAN(IF($E$2:$E$1500=E1100,$K$2:$K$1500)),  VALUE(SUBSTITUTE(SUBSTITUTE(SUBSTITUTE(K1100,"Rs. ",""),"₹",""),",","")))</f>
        <v>18882</v>
      </c>
      <c r="X1100" s="8">
        <f t="shared" si="178"/>
        <v>10</v>
      </c>
      <c r="Y1100" s="7">
        <f t="shared" si="179"/>
        <v>16994</v>
      </c>
      <c r="Z1100" s="9" t="str">
        <f t="shared" si="171"/>
        <v>TEEN</v>
      </c>
    </row>
    <row r="1101" spans="1:26" x14ac:dyDescent="0.3">
      <c r="A1101" s="5" t="s">
        <v>2208</v>
      </c>
      <c r="B1101" s="5" t="s">
        <v>25</v>
      </c>
      <c r="C1101" s="5" t="s">
        <v>54</v>
      </c>
      <c r="D1101" s="5" t="s">
        <v>189</v>
      </c>
      <c r="E1101" s="5" t="s">
        <v>74</v>
      </c>
      <c r="F1101" s="5" t="s">
        <v>147</v>
      </c>
      <c r="G1101" s="5" t="s">
        <v>49</v>
      </c>
      <c r="H1101" s="5">
        <v>66</v>
      </c>
      <c r="I1101" s="5" t="s">
        <v>20</v>
      </c>
      <c r="J1101" s="34" t="s">
        <v>342</v>
      </c>
      <c r="K1101" s="31" t="s">
        <v>2209</v>
      </c>
      <c r="L1101" s="5"/>
      <c r="M1101" s="32" t="s">
        <v>886</v>
      </c>
      <c r="N1101" s="6">
        <f t="shared" si="172"/>
        <v>15</v>
      </c>
      <c r="O1101" s="4" t="s">
        <v>147</v>
      </c>
      <c r="P1101" s="5" t="str">
        <f t="shared" si="173"/>
        <v>Delhi</v>
      </c>
      <c r="Q1101" s="5" t="str">
        <f t="shared" si="174"/>
        <v>General Medicine</v>
      </c>
      <c r="R1101" s="6" t="str">
        <f t="shared" si="175"/>
        <v>Narayana</v>
      </c>
      <c r="S1101" s="6" t="str">
        <f t="shared" si="176"/>
        <v>Unknown</v>
      </c>
      <c r="T1101" s="6" t="str">
        <f t="shared" si="177"/>
        <v>Male</v>
      </c>
      <c r="U1101" s="6" t="str">
        <f t="shared" si="170"/>
        <v>General</v>
      </c>
      <c r="V1101" s="6" t="str" cm="1">
        <f t="array" ref="V1101">IF(TRIM(S1101)="",INDEX($S$2:$S$1500,MATCH(MAX(COUNTIF($S$2:$S$1500,S1101)),COUNTIF($S$2:$S$1500,$S$2:$S$1500),0)),S1101)</f>
        <v>Unknown</v>
      </c>
      <c r="W1101" s="7" cm="1">
        <f t="array" ref="W1101">IF(OR(TRIM(K1101)="",TRIM(K1101)="-"), MEDIAN(IF($E$2:$E$1500=E1101,$K$2:$K$1500)),  VALUE(SUBSTITUTE(SUBSTITUTE(SUBSTITUTE(K1101,"Rs. ",""),"₹",""),",","")))</f>
        <v>13082</v>
      </c>
      <c r="X1101" s="8">
        <f t="shared" si="178"/>
        <v>15</v>
      </c>
      <c r="Y1101" s="7">
        <f t="shared" si="179"/>
        <v>11120</v>
      </c>
      <c r="Z1101" s="9" t="str">
        <f t="shared" si="171"/>
        <v>SENIOR</v>
      </c>
    </row>
    <row r="1102" spans="1:26" x14ac:dyDescent="0.3">
      <c r="A1102" s="5" t="s">
        <v>2210</v>
      </c>
      <c r="B1102" s="5" t="s">
        <v>106</v>
      </c>
      <c r="C1102" s="5" t="s">
        <v>307</v>
      </c>
      <c r="D1102" s="5" t="s">
        <v>80</v>
      </c>
      <c r="E1102" s="5" t="s">
        <v>93</v>
      </c>
      <c r="F1102" s="5" t="s">
        <v>121</v>
      </c>
      <c r="G1102" s="5" t="s">
        <v>62</v>
      </c>
      <c r="H1102" s="5">
        <v>40</v>
      </c>
      <c r="I1102" s="5" t="s">
        <v>31</v>
      </c>
      <c r="J1102" s="34" t="s">
        <v>561</v>
      </c>
      <c r="K1102" s="31" t="s">
        <v>2211</v>
      </c>
      <c r="L1102" s="5" t="s">
        <v>42</v>
      </c>
      <c r="M1102" s="32" t="s">
        <v>76</v>
      </c>
      <c r="N1102" s="6">
        <f t="shared" si="172"/>
        <v>10</v>
      </c>
      <c r="O1102" s="4" t="s">
        <v>121</v>
      </c>
      <c r="P1102" s="5" t="str">
        <f t="shared" si="173"/>
        <v>Ahmedabad</v>
      </c>
      <c r="Q1102" s="5" t="str">
        <f t="shared" si="174"/>
        <v>Nephrology</v>
      </c>
      <c r="R1102" s="6" t="str">
        <f t="shared" si="175"/>
        <v>Aiims</v>
      </c>
      <c r="S1102" s="6" t="str">
        <f t="shared" si="176"/>
        <v>Insurance</v>
      </c>
      <c r="T1102" s="6" t="str">
        <f t="shared" si="177"/>
        <v>Male</v>
      </c>
      <c r="U1102" s="6" t="str">
        <f t="shared" ref="U1102:U1165" si="180">IF(OR(UPPER(TRIM(G1102))="GENERAL",UPPER(TRIM(G1102))="GENRAL"),"General",IF(UPPER(TRIM(G1102))="ICU","ICU","Unknown"))</f>
        <v>ICU</v>
      </c>
      <c r="V1102" s="6" t="str" cm="1">
        <f t="array" ref="V1102">IF(TRIM(S1102)="",INDEX($S$2:$S$1500,MATCH(MAX(COUNTIF($S$2:$S$1500,S1102)),COUNTIF($S$2:$S$1500,$S$2:$S$1500),0)),S1102)</f>
        <v>Insurance</v>
      </c>
      <c r="W1102" s="7" cm="1">
        <f t="array" ref="W1102">IF(OR(TRIM(K1102)="",TRIM(K1102)="-"), MEDIAN(IF($E$2:$E$1500=E1102,$K$2:$K$1500)),  VALUE(SUBSTITUTE(SUBSTITUTE(SUBSTITUTE(K1102,"Rs. ",""),"₹",""),",","")))</f>
        <v>62662</v>
      </c>
      <c r="X1102" s="8">
        <f t="shared" si="178"/>
        <v>10</v>
      </c>
      <c r="Y1102" s="7">
        <f t="shared" si="179"/>
        <v>56396</v>
      </c>
      <c r="Z1102" s="9" t="str">
        <f t="shared" si="171"/>
        <v>ADULT</v>
      </c>
    </row>
    <row r="1103" spans="1:26" x14ac:dyDescent="0.3">
      <c r="A1103" s="5" t="s">
        <v>2212</v>
      </c>
      <c r="B1103" s="5" t="s">
        <v>117</v>
      </c>
      <c r="C1103" s="5" t="s">
        <v>118</v>
      </c>
      <c r="D1103" s="5" t="s">
        <v>80</v>
      </c>
      <c r="E1103" s="5" t="s">
        <v>108</v>
      </c>
      <c r="F1103" s="5" t="s">
        <v>308</v>
      </c>
      <c r="G1103" s="5" t="s">
        <v>39</v>
      </c>
      <c r="H1103" s="5">
        <v>73</v>
      </c>
      <c r="I1103" s="5" t="s">
        <v>70</v>
      </c>
      <c r="J1103" s="34" t="s">
        <v>1062</v>
      </c>
      <c r="K1103" s="31" t="s">
        <v>2213</v>
      </c>
      <c r="L1103" s="5" t="s">
        <v>104</v>
      </c>
      <c r="M1103" s="32" t="s">
        <v>1626</v>
      </c>
      <c r="N1103" s="6">
        <f t="shared" si="172"/>
        <v>40</v>
      </c>
      <c r="O1103" s="4" t="s">
        <v>308</v>
      </c>
      <c r="P1103" s="5" t="str">
        <f t="shared" si="173"/>
        <v>Ahmedabad</v>
      </c>
      <c r="Q1103" s="5" t="str">
        <f t="shared" si="174"/>
        <v>Orthopedics</v>
      </c>
      <c r="R1103" s="6" t="str">
        <f t="shared" si="175"/>
        <v>Manipal</v>
      </c>
      <c r="S1103" s="6" t="str">
        <f t="shared" si="176"/>
        <v>Insurance</v>
      </c>
      <c r="T1103" s="6" t="str">
        <f t="shared" si="177"/>
        <v>Female</v>
      </c>
      <c r="U1103" s="6" t="str">
        <f t="shared" si="180"/>
        <v>General</v>
      </c>
      <c r="V1103" s="6" t="str" cm="1">
        <f t="array" ref="V1103">IF(TRIM(S1103)="",INDEX($S$2:$S$1500,MATCH(MAX(COUNTIF($S$2:$S$1500,S1103)),COUNTIF($S$2:$S$1500,$S$2:$S$1500),0)),S1103)</f>
        <v>Insurance</v>
      </c>
      <c r="W1103" s="7" cm="1">
        <f t="array" ref="W1103">IF(OR(TRIM(K1103)="",TRIM(K1103)="-"), MEDIAN(IF($E$2:$E$1500=E1103,$K$2:$K$1500)),  VALUE(SUBSTITUTE(SUBSTITUTE(SUBSTITUTE(K1103,"Rs. ",""),"₹",""),",","")))</f>
        <v>5218</v>
      </c>
      <c r="X1103" s="8">
        <f t="shared" si="178"/>
        <v>40</v>
      </c>
      <c r="Y1103" s="7">
        <f t="shared" si="179"/>
        <v>3131</v>
      </c>
      <c r="Z1103" s="9" t="str">
        <f t="shared" si="171"/>
        <v>SENIOR</v>
      </c>
    </row>
    <row r="1104" spans="1:26" x14ac:dyDescent="0.3">
      <c r="A1104" s="5" t="s">
        <v>2214</v>
      </c>
      <c r="B1104" s="5" t="s">
        <v>106</v>
      </c>
      <c r="C1104" s="5" t="s">
        <v>307</v>
      </c>
      <c r="D1104" s="5" t="s">
        <v>36</v>
      </c>
      <c r="E1104" s="5" t="s">
        <v>67</v>
      </c>
      <c r="F1104" s="5" t="s">
        <v>85</v>
      </c>
      <c r="G1104" s="5" t="s">
        <v>39</v>
      </c>
      <c r="H1104" s="5">
        <v>7</v>
      </c>
      <c r="I1104" s="5" t="s">
        <v>31</v>
      </c>
      <c r="J1104" s="34" t="s">
        <v>405</v>
      </c>
      <c r="K1104" s="31">
        <v>8404</v>
      </c>
      <c r="L1104" s="5" t="s">
        <v>149</v>
      </c>
      <c r="M1104" s="32">
        <v>12</v>
      </c>
      <c r="N1104" s="6">
        <f t="shared" si="172"/>
        <v>12</v>
      </c>
      <c r="O1104" s="4" t="s">
        <v>85</v>
      </c>
      <c r="P1104" s="5" t="str">
        <f t="shared" si="173"/>
        <v>Chennai</v>
      </c>
      <c r="Q1104" s="5" t="str">
        <f t="shared" si="174"/>
        <v>Neurology</v>
      </c>
      <c r="R1104" s="6" t="str">
        <f t="shared" si="175"/>
        <v>Aiims</v>
      </c>
      <c r="S1104" s="6" t="str">
        <f t="shared" si="176"/>
        <v>Insurance</v>
      </c>
      <c r="T1104" s="6" t="str">
        <f t="shared" si="177"/>
        <v>Male</v>
      </c>
      <c r="U1104" s="6" t="str">
        <f t="shared" si="180"/>
        <v>General</v>
      </c>
      <c r="V1104" s="6" t="str" cm="1">
        <f t="array" ref="V1104">IF(TRIM(S1104)="",INDEX($S$2:$S$1500,MATCH(MAX(COUNTIF($S$2:$S$1500,S1104)),COUNTIF($S$2:$S$1500,$S$2:$S$1500),0)),S1104)</f>
        <v>Insurance</v>
      </c>
      <c r="W1104" s="7" cm="1">
        <f t="array" ref="W1104">IF(OR(TRIM(K1104)="",TRIM(K1104)="-"), MEDIAN(IF($E$2:$E$1500=E1104,$K$2:$K$1500)),  VALUE(SUBSTITUTE(SUBSTITUTE(SUBSTITUTE(K1104,"Rs. ",""),"₹",""),",","")))</f>
        <v>8404</v>
      </c>
      <c r="X1104" s="8">
        <f t="shared" si="178"/>
        <v>12</v>
      </c>
      <c r="Y1104" s="7">
        <f t="shared" si="179"/>
        <v>7396</v>
      </c>
      <c r="Z1104" s="9" t="str">
        <f t="shared" si="171"/>
        <v>CHILD</v>
      </c>
    </row>
    <row r="1105" spans="1:26" x14ac:dyDescent="0.3">
      <c r="A1105" s="5" t="s">
        <v>2215</v>
      </c>
      <c r="B1105" s="5" t="s">
        <v>78</v>
      </c>
      <c r="C1105" s="5" t="s">
        <v>161</v>
      </c>
      <c r="D1105" s="5" t="s">
        <v>80</v>
      </c>
      <c r="E1105" s="5" t="s">
        <v>47</v>
      </c>
      <c r="F1105" s="5" t="s">
        <v>364</v>
      </c>
      <c r="G1105" s="5" t="s">
        <v>19</v>
      </c>
      <c r="H1105" s="5">
        <v>15</v>
      </c>
      <c r="I1105" s="5" t="s">
        <v>40</v>
      </c>
      <c r="J1105" s="34" t="s">
        <v>800</v>
      </c>
      <c r="K1105" s="31" t="s">
        <v>2216</v>
      </c>
      <c r="L1105" s="5" t="s">
        <v>91</v>
      </c>
      <c r="M1105" s="32">
        <v>10</v>
      </c>
      <c r="N1105" s="6">
        <f t="shared" si="172"/>
        <v>10</v>
      </c>
      <c r="O1105" s="4" t="s">
        <v>364</v>
      </c>
      <c r="P1105" s="5" t="str">
        <f t="shared" si="173"/>
        <v>Ahmedabad</v>
      </c>
      <c r="Q1105" s="5" t="str">
        <f t="shared" si="174"/>
        <v>Gastroenterology</v>
      </c>
      <c r="R1105" s="6" t="str">
        <f t="shared" si="175"/>
        <v>Apollo</v>
      </c>
      <c r="S1105" s="6" t="str">
        <f t="shared" si="176"/>
        <v>Debit Card</v>
      </c>
      <c r="T1105" s="6" t="str">
        <f t="shared" si="177"/>
        <v>Female</v>
      </c>
      <c r="U1105" s="6" t="str">
        <f t="shared" si="180"/>
        <v>General</v>
      </c>
      <c r="V1105" s="6" t="str" cm="1">
        <f t="array" ref="V1105">IF(TRIM(S1105)="",INDEX($S$2:$S$1500,MATCH(MAX(COUNTIF($S$2:$S$1500,S1105)),COUNTIF($S$2:$S$1500,$S$2:$S$1500),0)),S1105)</f>
        <v>Debit Card</v>
      </c>
      <c r="W1105" s="7" cm="1">
        <f t="array" ref="W1105">IF(OR(TRIM(K1105)="",TRIM(K1105)="-"), MEDIAN(IF($E$2:$E$1500=E1105,$K$2:$K$1500)),  VALUE(SUBSTITUTE(SUBSTITUTE(SUBSTITUTE(K1105,"Rs. ",""),"₹",""),",","")))</f>
        <v>16421</v>
      </c>
      <c r="X1105" s="8">
        <f t="shared" si="178"/>
        <v>10</v>
      </c>
      <c r="Y1105" s="7">
        <f t="shared" si="179"/>
        <v>14779</v>
      </c>
      <c r="Z1105" s="9" t="str">
        <f t="shared" si="171"/>
        <v>TEEN</v>
      </c>
    </row>
    <row r="1106" spans="1:26" x14ac:dyDescent="0.3">
      <c r="A1106" s="5" t="s">
        <v>2217</v>
      </c>
      <c r="B1106" s="5" t="s">
        <v>78</v>
      </c>
      <c r="C1106" s="5" t="s">
        <v>79</v>
      </c>
      <c r="D1106" s="5" t="s">
        <v>55</v>
      </c>
      <c r="E1106" s="5" t="s">
        <v>17</v>
      </c>
      <c r="F1106" s="5" t="s">
        <v>18</v>
      </c>
      <c r="G1106" s="5" t="s">
        <v>62</v>
      </c>
      <c r="H1106" s="5">
        <v>19</v>
      </c>
      <c r="I1106" s="5" t="s">
        <v>40</v>
      </c>
      <c r="J1106" s="34" t="s">
        <v>556</v>
      </c>
      <c r="K1106" s="31" t="s">
        <v>2218</v>
      </c>
      <c r="L1106" s="5" t="s">
        <v>72</v>
      </c>
      <c r="M1106" s="32" t="s">
        <v>198</v>
      </c>
      <c r="N1106" s="6">
        <f t="shared" si="172"/>
        <v>5</v>
      </c>
      <c r="O1106" s="4" t="s">
        <v>18</v>
      </c>
      <c r="P1106" s="5" t="str">
        <f t="shared" si="173"/>
        <v>Hyderabad</v>
      </c>
      <c r="Q1106" s="5" t="str">
        <f t="shared" si="174"/>
        <v>Gynecology</v>
      </c>
      <c r="R1106" s="6" t="str">
        <f t="shared" si="175"/>
        <v>Apollo</v>
      </c>
      <c r="S1106" s="6" t="str">
        <f t="shared" si="176"/>
        <v>Cash</v>
      </c>
      <c r="T1106" s="6" t="str">
        <f t="shared" si="177"/>
        <v>Female</v>
      </c>
      <c r="U1106" s="6" t="str">
        <f t="shared" si="180"/>
        <v>ICU</v>
      </c>
      <c r="V1106" s="6" t="str" cm="1">
        <f t="array" ref="V1106">IF(TRIM(S1106)="",INDEX($S$2:$S$1500,MATCH(MAX(COUNTIF($S$2:$S$1500,S1106)),COUNTIF($S$2:$S$1500,$S$2:$S$1500),0)),S1106)</f>
        <v>Cash</v>
      </c>
      <c r="W1106" s="7" cm="1">
        <f t="array" ref="W1106">IF(OR(TRIM(K1106)="",TRIM(K1106)="-"), MEDIAN(IF($E$2:$E$1500=E1106,$K$2:$K$1500)),  VALUE(SUBSTITUTE(SUBSTITUTE(SUBSTITUTE(K1106,"Rs. ",""),"₹",""),",","")))</f>
        <v>40589</v>
      </c>
      <c r="X1106" s="8">
        <f t="shared" si="178"/>
        <v>5</v>
      </c>
      <c r="Y1106" s="7">
        <f t="shared" si="179"/>
        <v>38560</v>
      </c>
      <c r="Z1106" s="9" t="str">
        <f t="shared" si="171"/>
        <v>TEEN</v>
      </c>
    </row>
    <row r="1107" spans="1:26" x14ac:dyDescent="0.3">
      <c r="A1107" s="5" t="s">
        <v>2219</v>
      </c>
      <c r="B1107" s="5" t="s">
        <v>25</v>
      </c>
      <c r="C1107" s="5" t="s">
        <v>54</v>
      </c>
      <c r="D1107" s="5" t="s">
        <v>80</v>
      </c>
      <c r="E1107" s="5" t="s">
        <v>164</v>
      </c>
      <c r="F1107" s="5" t="s">
        <v>233</v>
      </c>
      <c r="G1107" s="5" t="s">
        <v>62</v>
      </c>
      <c r="H1107" s="5">
        <v>53</v>
      </c>
      <c r="I1107" s="5" t="s">
        <v>31</v>
      </c>
      <c r="J1107" s="34" t="s">
        <v>1488</v>
      </c>
      <c r="K1107" s="31" t="s">
        <v>2220</v>
      </c>
      <c r="L1107" s="5"/>
      <c r="M1107" s="32" t="s">
        <v>140</v>
      </c>
      <c r="N1107" s="6" t="str">
        <f t="shared" si="172"/>
        <v>-</v>
      </c>
      <c r="O1107" s="4" t="s">
        <v>233</v>
      </c>
      <c r="P1107" s="5" t="str">
        <f t="shared" si="173"/>
        <v>Ahmedabad</v>
      </c>
      <c r="Q1107" s="5" t="str">
        <f t="shared" si="174"/>
        <v>Cardiology</v>
      </c>
      <c r="R1107" s="6" t="str">
        <f t="shared" si="175"/>
        <v>Narayana</v>
      </c>
      <c r="S1107" s="6" t="str">
        <f t="shared" si="176"/>
        <v>Unknown</v>
      </c>
      <c r="T1107" s="6" t="str">
        <f t="shared" si="177"/>
        <v>Male</v>
      </c>
      <c r="U1107" s="6" t="str">
        <f t="shared" si="180"/>
        <v>ICU</v>
      </c>
      <c r="V1107" s="6" t="str" cm="1">
        <f t="array" ref="V1107">IF(TRIM(S1107)="",INDEX($S$2:$S$1500,MATCH(MAX(COUNTIF($S$2:$S$1500,S1107)),COUNTIF($S$2:$S$1500,$S$2:$S$1500),0)),S1107)</f>
        <v>Unknown</v>
      </c>
      <c r="W1107" s="7" cm="1">
        <f t="array" ref="W1107">IF(OR(TRIM(K1107)="",TRIM(K1107)="-"), MEDIAN(IF($E$2:$E$1500=E1107,$K$2:$K$1500)),  VALUE(SUBSTITUTE(SUBSTITUTE(SUBSTITUTE(K1107,"Rs. ",""),"₹",""),",","")))</f>
        <v>40251</v>
      </c>
      <c r="X1107" s="8">
        <f t="shared" si="178"/>
        <v>4</v>
      </c>
      <c r="Y1107" s="7">
        <f t="shared" si="179"/>
        <v>38641</v>
      </c>
      <c r="Z1107" s="9" t="str">
        <f t="shared" si="171"/>
        <v>ADULT</v>
      </c>
    </row>
    <row r="1108" spans="1:26" x14ac:dyDescent="0.3">
      <c r="A1108" s="5" t="s">
        <v>2221</v>
      </c>
      <c r="B1108" s="5" t="s">
        <v>78</v>
      </c>
      <c r="C1108" s="5" t="s">
        <v>203</v>
      </c>
      <c r="D1108" s="5" t="s">
        <v>27</v>
      </c>
      <c r="E1108" s="5" t="s">
        <v>164</v>
      </c>
      <c r="F1108" s="5" t="s">
        <v>233</v>
      </c>
      <c r="G1108" s="5" t="s">
        <v>19</v>
      </c>
      <c r="H1108" s="5">
        <v>47</v>
      </c>
      <c r="I1108" s="5" t="s">
        <v>70</v>
      </c>
      <c r="J1108" s="34" t="s">
        <v>2222</v>
      </c>
      <c r="K1108" s="31" t="s">
        <v>2223</v>
      </c>
      <c r="L1108" s="5" t="s">
        <v>236</v>
      </c>
      <c r="M1108" s="32"/>
      <c r="N1108" s="6">
        <f t="shared" si="172"/>
        <v>0</v>
      </c>
      <c r="O1108" s="4" t="s">
        <v>233</v>
      </c>
      <c r="P1108" s="5" t="str">
        <f t="shared" si="173"/>
        <v>Mumbai</v>
      </c>
      <c r="Q1108" s="5" t="str">
        <f t="shared" si="174"/>
        <v>Cardiology</v>
      </c>
      <c r="R1108" s="6" t="str">
        <f t="shared" si="175"/>
        <v>Apollo</v>
      </c>
      <c r="S1108" s="6" t="str">
        <f t="shared" si="176"/>
        <v>Debit Card</v>
      </c>
      <c r="T1108" s="6" t="str">
        <f t="shared" si="177"/>
        <v>Female</v>
      </c>
      <c r="U1108" s="6" t="str">
        <f t="shared" si="180"/>
        <v>General</v>
      </c>
      <c r="V1108" s="6" t="str" cm="1">
        <f t="array" ref="V1108">IF(TRIM(S1108)="",INDEX($S$2:$S$1500,MATCH(MAX(COUNTIF($S$2:$S$1500,S1108)),COUNTIF($S$2:$S$1500,$S$2:$S$1500),0)),S1108)</f>
        <v>Debit Card</v>
      </c>
      <c r="W1108" s="7" cm="1">
        <f t="array" ref="W1108">IF(OR(TRIM(K1108)="",TRIM(K1108)="-"), MEDIAN(IF($E$2:$E$1500=E1108,$K$2:$K$1500)),  VALUE(SUBSTITUTE(SUBSTITUTE(SUBSTITUTE(K1108,"Rs. ",""),"₹",""),",","")))</f>
        <v>7285</v>
      </c>
      <c r="X1108" s="8">
        <f t="shared" si="178"/>
        <v>0</v>
      </c>
      <c r="Y1108" s="7">
        <f t="shared" si="179"/>
        <v>7285</v>
      </c>
      <c r="Z1108" s="9" t="str">
        <f t="shared" si="171"/>
        <v>ADULT</v>
      </c>
    </row>
    <row r="1109" spans="1:26" x14ac:dyDescent="0.3">
      <c r="A1109" s="5" t="s">
        <v>2224</v>
      </c>
      <c r="B1109" s="5" t="s">
        <v>14</v>
      </c>
      <c r="C1109" s="5" t="s">
        <v>60</v>
      </c>
      <c r="D1109" s="5" t="s">
        <v>66</v>
      </c>
      <c r="E1109" s="5" t="s">
        <v>17</v>
      </c>
      <c r="F1109" s="5" t="s">
        <v>169</v>
      </c>
      <c r="G1109" s="5" t="s">
        <v>101</v>
      </c>
      <c r="H1109" s="5">
        <v>45</v>
      </c>
      <c r="I1109" s="5" t="s">
        <v>40</v>
      </c>
      <c r="J1109" s="34" t="s">
        <v>539</v>
      </c>
      <c r="K1109" s="31">
        <v>28435</v>
      </c>
      <c r="L1109" s="5" t="s">
        <v>34</v>
      </c>
      <c r="M1109" s="32">
        <v>0</v>
      </c>
      <c r="N1109" s="6">
        <f t="shared" si="172"/>
        <v>0</v>
      </c>
      <c r="O1109" s="4" t="s">
        <v>169</v>
      </c>
      <c r="P1109" s="5" t="str">
        <f t="shared" si="173"/>
        <v>Kolkata</v>
      </c>
      <c r="Q1109" s="5" t="str">
        <f t="shared" si="174"/>
        <v>Gynecology</v>
      </c>
      <c r="R1109" s="6" t="str">
        <f t="shared" si="175"/>
        <v>Max_Healthcare</v>
      </c>
      <c r="S1109" s="6" t="str">
        <f t="shared" si="176"/>
        <v>Cash</v>
      </c>
      <c r="T1109" s="6" t="str">
        <f t="shared" si="177"/>
        <v>Female</v>
      </c>
      <c r="U1109" s="6" t="str">
        <f t="shared" si="180"/>
        <v>ICU</v>
      </c>
      <c r="V1109" s="6" t="str" cm="1">
        <f t="array" ref="V1109">IF(TRIM(S1109)="",INDEX($S$2:$S$1500,MATCH(MAX(COUNTIF($S$2:$S$1500,S1109)),COUNTIF($S$2:$S$1500,$S$2:$S$1500),0)),S1109)</f>
        <v>Cash</v>
      </c>
      <c r="W1109" s="7" cm="1">
        <f t="array" ref="W1109">IF(OR(TRIM(K1109)="",TRIM(K1109)="-"), MEDIAN(IF($E$2:$E$1500=E1109,$K$2:$K$1500)),  VALUE(SUBSTITUTE(SUBSTITUTE(SUBSTITUTE(K1109,"Rs. ",""),"₹",""),",","")))</f>
        <v>28435</v>
      </c>
      <c r="X1109" s="8">
        <f t="shared" si="178"/>
        <v>0</v>
      </c>
      <c r="Y1109" s="7">
        <f t="shared" si="179"/>
        <v>28435</v>
      </c>
      <c r="Z1109" s="9" t="str">
        <f t="shared" si="171"/>
        <v>ADULT</v>
      </c>
    </row>
    <row r="1110" spans="1:26" x14ac:dyDescent="0.3">
      <c r="A1110" s="5" t="s">
        <v>2225</v>
      </c>
      <c r="B1110" s="5" t="s">
        <v>106</v>
      </c>
      <c r="C1110" s="5" t="s">
        <v>107</v>
      </c>
      <c r="D1110" s="5" t="s">
        <v>66</v>
      </c>
      <c r="E1110" s="5" t="s">
        <v>37</v>
      </c>
      <c r="F1110" s="5" t="s">
        <v>56</v>
      </c>
      <c r="G1110" s="5" t="s">
        <v>49</v>
      </c>
      <c r="H1110" s="5">
        <v>40</v>
      </c>
      <c r="I1110" s="5" t="s">
        <v>31</v>
      </c>
      <c r="J1110" s="34" t="s">
        <v>430</v>
      </c>
      <c r="K1110" s="31">
        <v>5225</v>
      </c>
      <c r="L1110" s="5" t="s">
        <v>23</v>
      </c>
      <c r="M1110" s="32">
        <v>0</v>
      </c>
      <c r="N1110" s="6">
        <f t="shared" si="172"/>
        <v>0</v>
      </c>
      <c r="O1110" s="4" t="s">
        <v>56</v>
      </c>
      <c r="P1110" s="5" t="str">
        <f t="shared" si="173"/>
        <v>Kolkata</v>
      </c>
      <c r="Q1110" s="5" t="str">
        <f t="shared" si="174"/>
        <v>Pediatrics</v>
      </c>
      <c r="R1110" s="6" t="str">
        <f t="shared" si="175"/>
        <v>Aiims</v>
      </c>
      <c r="S1110" s="6" t="str">
        <f t="shared" si="176"/>
        <v>Credit Card</v>
      </c>
      <c r="T1110" s="6" t="str">
        <f t="shared" si="177"/>
        <v>Male</v>
      </c>
      <c r="U1110" s="6" t="str">
        <f t="shared" si="180"/>
        <v>General</v>
      </c>
      <c r="V1110" s="6" t="str" cm="1">
        <f t="array" ref="V1110">IF(TRIM(S1110)="",INDEX($S$2:$S$1500,MATCH(MAX(COUNTIF($S$2:$S$1500,S1110)),COUNTIF($S$2:$S$1500,$S$2:$S$1500),0)),S1110)</f>
        <v>Credit Card</v>
      </c>
      <c r="W1110" s="7" cm="1">
        <f t="array" ref="W1110">IF(OR(TRIM(K1110)="",TRIM(K1110)="-"), MEDIAN(IF($E$2:$E$1500=E1110,$K$2:$K$1500)),  VALUE(SUBSTITUTE(SUBSTITUTE(SUBSTITUTE(K1110,"Rs. ",""),"₹",""),",","")))</f>
        <v>5225</v>
      </c>
      <c r="X1110" s="8">
        <f t="shared" si="178"/>
        <v>0</v>
      </c>
      <c r="Y1110" s="7">
        <f t="shared" si="179"/>
        <v>5225</v>
      </c>
      <c r="Z1110" s="9" t="str">
        <f t="shared" si="171"/>
        <v>ADULT</v>
      </c>
    </row>
    <row r="1111" spans="1:26" x14ac:dyDescent="0.3">
      <c r="A1111" s="5" t="s">
        <v>2226</v>
      </c>
      <c r="B1111" s="5" t="s">
        <v>25</v>
      </c>
      <c r="C1111" s="5" t="s">
        <v>26</v>
      </c>
      <c r="D1111" s="5" t="s">
        <v>80</v>
      </c>
      <c r="E1111" s="5" t="s">
        <v>74</v>
      </c>
      <c r="F1111" s="5" t="s">
        <v>147</v>
      </c>
      <c r="G1111" s="5" t="s">
        <v>49</v>
      </c>
      <c r="H1111" s="5">
        <v>78</v>
      </c>
      <c r="I1111" s="5" t="s">
        <v>40</v>
      </c>
      <c r="J1111" s="34" t="s">
        <v>435</v>
      </c>
      <c r="K1111" s="31">
        <v>12952</v>
      </c>
      <c r="L1111" s="5" t="s">
        <v>34</v>
      </c>
      <c r="M1111" s="32">
        <v>0</v>
      </c>
      <c r="N1111" s="6">
        <f t="shared" si="172"/>
        <v>0</v>
      </c>
      <c r="O1111" s="4" t="s">
        <v>147</v>
      </c>
      <c r="P1111" s="5" t="str">
        <f t="shared" si="173"/>
        <v>Ahmedabad</v>
      </c>
      <c r="Q1111" s="5" t="str">
        <f t="shared" si="174"/>
        <v>General Medicine</v>
      </c>
      <c r="R1111" s="6" t="str">
        <f t="shared" si="175"/>
        <v>Narayana</v>
      </c>
      <c r="S1111" s="6" t="str">
        <f t="shared" si="176"/>
        <v>Cash</v>
      </c>
      <c r="T1111" s="6" t="str">
        <f t="shared" si="177"/>
        <v>Female</v>
      </c>
      <c r="U1111" s="6" t="str">
        <f t="shared" si="180"/>
        <v>General</v>
      </c>
      <c r="V1111" s="6" t="str" cm="1">
        <f t="array" ref="V1111">IF(TRIM(S1111)="",INDEX($S$2:$S$1500,MATCH(MAX(COUNTIF($S$2:$S$1500,S1111)),COUNTIF($S$2:$S$1500,$S$2:$S$1500),0)),S1111)</f>
        <v>Cash</v>
      </c>
      <c r="W1111" s="7" cm="1">
        <f t="array" ref="W1111">IF(OR(TRIM(K1111)="",TRIM(K1111)="-"), MEDIAN(IF($E$2:$E$1500=E1111,$K$2:$K$1500)),  VALUE(SUBSTITUTE(SUBSTITUTE(SUBSTITUTE(K1111,"Rs. ",""),"₹",""),",","")))</f>
        <v>12952</v>
      </c>
      <c r="X1111" s="8">
        <f t="shared" si="178"/>
        <v>0</v>
      </c>
      <c r="Y1111" s="7">
        <f t="shared" si="179"/>
        <v>12952</v>
      </c>
      <c r="Z1111" s="9" t="str">
        <f t="shared" si="171"/>
        <v>SENIOR</v>
      </c>
    </row>
    <row r="1112" spans="1:26" x14ac:dyDescent="0.3">
      <c r="A1112" s="5" t="s">
        <v>2227</v>
      </c>
      <c r="B1112" s="5" t="s">
        <v>117</v>
      </c>
      <c r="C1112" s="5" t="s">
        <v>118</v>
      </c>
      <c r="D1112" s="5" t="s">
        <v>55</v>
      </c>
      <c r="E1112" s="5" t="s">
        <v>93</v>
      </c>
      <c r="F1112" s="5" t="s">
        <v>144</v>
      </c>
      <c r="G1112" s="5" t="s">
        <v>69</v>
      </c>
      <c r="H1112" s="5">
        <v>56</v>
      </c>
      <c r="I1112" s="5" t="s">
        <v>31</v>
      </c>
      <c r="J1112" s="34" t="s">
        <v>413</v>
      </c>
      <c r="K1112" s="31" t="s">
        <v>2228</v>
      </c>
      <c r="L1112" s="5" t="s">
        <v>167</v>
      </c>
      <c r="M1112" s="32"/>
      <c r="N1112" s="6">
        <f t="shared" si="172"/>
        <v>0</v>
      </c>
      <c r="O1112" s="4" t="s">
        <v>144</v>
      </c>
      <c r="P1112" s="5" t="str">
        <f t="shared" si="173"/>
        <v>Hyderabad</v>
      </c>
      <c r="Q1112" s="5" t="str">
        <f t="shared" si="174"/>
        <v>Nephrology</v>
      </c>
      <c r="R1112" s="6" t="str">
        <f t="shared" si="175"/>
        <v>Manipal</v>
      </c>
      <c r="S1112" s="6" t="str">
        <f t="shared" si="176"/>
        <v>Insurance</v>
      </c>
      <c r="T1112" s="6" t="str">
        <f t="shared" si="177"/>
        <v>Male</v>
      </c>
      <c r="U1112" s="6" t="str">
        <f t="shared" si="180"/>
        <v>ICU</v>
      </c>
      <c r="V1112" s="6" t="str" cm="1">
        <f t="array" ref="V1112">IF(TRIM(S1112)="",INDEX($S$2:$S$1500,MATCH(MAX(COUNTIF($S$2:$S$1500,S1112)),COUNTIF($S$2:$S$1500,$S$2:$S$1500),0)),S1112)</f>
        <v>Insurance</v>
      </c>
      <c r="W1112" s="7" cm="1">
        <f t="array" ref="W1112">IF(OR(TRIM(K1112)="",TRIM(K1112)="-"), MEDIAN(IF($E$2:$E$1500=E1112,$K$2:$K$1500)),  VALUE(SUBSTITUTE(SUBSTITUTE(SUBSTITUTE(K1112,"Rs. ",""),"₹",""),",","")))</f>
        <v>48401</v>
      </c>
      <c r="X1112" s="8">
        <f t="shared" si="178"/>
        <v>0</v>
      </c>
      <c r="Y1112" s="7">
        <f t="shared" si="179"/>
        <v>48401</v>
      </c>
      <c r="Z1112" s="9" t="str">
        <f t="shared" si="171"/>
        <v>ADULT</v>
      </c>
    </row>
    <row r="1113" spans="1:26" x14ac:dyDescent="0.3">
      <c r="A1113" s="5" t="s">
        <v>2229</v>
      </c>
      <c r="B1113" s="5" t="s">
        <v>78</v>
      </c>
      <c r="C1113" s="5" t="s">
        <v>203</v>
      </c>
      <c r="D1113" s="5" t="s">
        <v>61</v>
      </c>
      <c r="E1113" s="5" t="s">
        <v>99</v>
      </c>
      <c r="F1113" s="5" t="s">
        <v>372</v>
      </c>
      <c r="G1113" s="5" t="s">
        <v>30</v>
      </c>
      <c r="H1113" s="5">
        <v>22</v>
      </c>
      <c r="I1113" s="5" t="s">
        <v>40</v>
      </c>
      <c r="J1113" s="34" t="s">
        <v>2125</v>
      </c>
      <c r="K1113" s="31" t="s">
        <v>2230</v>
      </c>
      <c r="L1113" s="5" t="s">
        <v>72</v>
      </c>
      <c r="M1113" s="32">
        <v>0.05</v>
      </c>
      <c r="N1113" s="6">
        <f t="shared" si="172"/>
        <v>5</v>
      </c>
      <c r="O1113" s="4" t="s">
        <v>372</v>
      </c>
      <c r="P1113" s="5" t="str">
        <f t="shared" si="173"/>
        <v>Pune</v>
      </c>
      <c r="Q1113" s="5" t="str">
        <f t="shared" si="174"/>
        <v>Ent</v>
      </c>
      <c r="R1113" s="6" t="str">
        <f t="shared" si="175"/>
        <v>Apollo</v>
      </c>
      <c r="S1113" s="6" t="str">
        <f t="shared" si="176"/>
        <v>Cash</v>
      </c>
      <c r="T1113" s="6" t="str">
        <f t="shared" si="177"/>
        <v>Female</v>
      </c>
      <c r="U1113" s="6" t="str">
        <f t="shared" si="180"/>
        <v>General</v>
      </c>
      <c r="V1113" s="6" t="str" cm="1">
        <f t="array" ref="V1113">IF(TRIM(S1113)="",INDEX($S$2:$S$1500,MATCH(MAX(COUNTIF($S$2:$S$1500,S1113)),COUNTIF($S$2:$S$1500,$S$2:$S$1500),0)),S1113)</f>
        <v>Cash</v>
      </c>
      <c r="W1113" s="7" cm="1">
        <f t="array" ref="W1113">IF(OR(TRIM(K1113)="",TRIM(K1113)="-"), MEDIAN(IF($E$2:$E$1500=E1113,$K$2:$K$1500)),  VALUE(SUBSTITUTE(SUBSTITUTE(SUBSTITUTE(K1113,"Rs. ",""),"₹",""),",","")))</f>
        <v>18399</v>
      </c>
      <c r="X1113" s="8">
        <f t="shared" si="178"/>
        <v>5</v>
      </c>
      <c r="Y1113" s="7">
        <f t="shared" si="179"/>
        <v>17479</v>
      </c>
      <c r="Z1113" s="9" t="str">
        <f t="shared" si="171"/>
        <v>ADULT</v>
      </c>
    </row>
    <row r="1114" spans="1:26" x14ac:dyDescent="0.3">
      <c r="A1114" s="5" t="s">
        <v>2231</v>
      </c>
      <c r="B1114" s="5" t="s">
        <v>25</v>
      </c>
      <c r="C1114" s="5" t="s">
        <v>54</v>
      </c>
      <c r="D1114" s="5" t="s">
        <v>80</v>
      </c>
      <c r="E1114" s="5" t="s">
        <v>17</v>
      </c>
      <c r="F1114" s="5" t="s">
        <v>135</v>
      </c>
      <c r="G1114" s="5" t="s">
        <v>19</v>
      </c>
      <c r="H1114" s="5">
        <v>16</v>
      </c>
      <c r="I1114" s="5" t="s">
        <v>40</v>
      </c>
      <c r="J1114" s="34" t="s">
        <v>1938</v>
      </c>
      <c r="K1114" s="31">
        <v>7439</v>
      </c>
      <c r="L1114" s="5" t="s">
        <v>311</v>
      </c>
      <c r="M1114" s="32">
        <v>0</v>
      </c>
      <c r="N1114" s="6">
        <f t="shared" si="172"/>
        <v>0</v>
      </c>
      <c r="O1114" s="4" t="s">
        <v>135</v>
      </c>
      <c r="P1114" s="5" t="str">
        <f t="shared" si="173"/>
        <v>Ahmedabad</v>
      </c>
      <c r="Q1114" s="5" t="str">
        <f t="shared" si="174"/>
        <v>Gynecology</v>
      </c>
      <c r="R1114" s="6" t="str">
        <f t="shared" si="175"/>
        <v>Narayana</v>
      </c>
      <c r="S1114" s="6" t="str">
        <f t="shared" si="176"/>
        <v>UPI</v>
      </c>
      <c r="T1114" s="6" t="str">
        <f t="shared" si="177"/>
        <v>Female</v>
      </c>
      <c r="U1114" s="6" t="str">
        <f t="shared" si="180"/>
        <v>General</v>
      </c>
      <c r="V1114" s="6" t="str" cm="1">
        <f t="array" ref="V1114">IF(TRIM(S1114)="",INDEX($S$2:$S$1500,MATCH(MAX(COUNTIF($S$2:$S$1500,S1114)),COUNTIF($S$2:$S$1500,$S$2:$S$1500),0)),S1114)</f>
        <v>UPI</v>
      </c>
      <c r="W1114" s="7" cm="1">
        <f t="array" ref="W1114">IF(OR(TRIM(K1114)="",TRIM(K1114)="-"), MEDIAN(IF($E$2:$E$1500=E1114,$K$2:$K$1500)),  VALUE(SUBSTITUTE(SUBSTITUTE(SUBSTITUTE(K1114,"Rs. ",""),"₹",""),",","")))</f>
        <v>7439</v>
      </c>
      <c r="X1114" s="8">
        <f t="shared" si="178"/>
        <v>0</v>
      </c>
      <c r="Y1114" s="7">
        <f t="shared" si="179"/>
        <v>7439</v>
      </c>
      <c r="Z1114" s="9" t="str">
        <f t="shared" si="171"/>
        <v>TEEN</v>
      </c>
    </row>
    <row r="1115" spans="1:26" x14ac:dyDescent="0.3">
      <c r="A1115" s="5" t="s">
        <v>2232</v>
      </c>
      <c r="B1115" s="5" t="s">
        <v>117</v>
      </c>
      <c r="C1115" s="5" t="s">
        <v>118</v>
      </c>
      <c r="D1115" s="5" t="s">
        <v>66</v>
      </c>
      <c r="E1115" s="5" t="s">
        <v>74</v>
      </c>
      <c r="F1115" s="5" t="s">
        <v>172</v>
      </c>
      <c r="G1115" s="5" t="s">
        <v>49</v>
      </c>
      <c r="H1115" s="5">
        <v>83</v>
      </c>
      <c r="I1115" s="5" t="s">
        <v>40</v>
      </c>
      <c r="J1115" s="34" t="s">
        <v>556</v>
      </c>
      <c r="K1115" s="31">
        <v>12905</v>
      </c>
      <c r="L1115" s="5" t="s">
        <v>23</v>
      </c>
      <c r="M1115" s="32" t="s">
        <v>64</v>
      </c>
      <c r="N1115" s="6" t="str">
        <f t="shared" si="172"/>
        <v>NA</v>
      </c>
      <c r="O1115" s="4" t="s">
        <v>172</v>
      </c>
      <c r="P1115" s="5" t="str">
        <f t="shared" si="173"/>
        <v>Kolkata</v>
      </c>
      <c r="Q1115" s="5" t="str">
        <f t="shared" si="174"/>
        <v>General Medicine</v>
      </c>
      <c r="R1115" s="6" t="str">
        <f t="shared" si="175"/>
        <v>Manipal</v>
      </c>
      <c r="S1115" s="6" t="str">
        <f t="shared" si="176"/>
        <v>Credit Card</v>
      </c>
      <c r="T1115" s="6" t="str">
        <f t="shared" si="177"/>
        <v>Female</v>
      </c>
      <c r="U1115" s="6" t="str">
        <f t="shared" si="180"/>
        <v>General</v>
      </c>
      <c r="V1115" s="6" t="str" cm="1">
        <f t="array" ref="V1115">IF(TRIM(S1115)="",INDEX($S$2:$S$1500,MATCH(MAX(COUNTIF($S$2:$S$1500,S1115)),COUNTIF($S$2:$S$1500,$S$2:$S$1500),0)),S1115)</f>
        <v>Credit Card</v>
      </c>
      <c r="W1115" s="7" cm="1">
        <f t="array" ref="W1115">IF(OR(TRIM(K1115)="",TRIM(K1115)="-"), MEDIAN(IF($E$2:$E$1500=E1115,$K$2:$K$1500)),  VALUE(SUBSTITUTE(SUBSTITUTE(SUBSTITUTE(K1115,"Rs. ",""),"₹",""),",","")))</f>
        <v>12905</v>
      </c>
      <c r="X1115" s="8">
        <f t="shared" si="178"/>
        <v>3</v>
      </c>
      <c r="Y1115" s="7">
        <f t="shared" si="179"/>
        <v>12518</v>
      </c>
      <c r="Z1115" s="9" t="str">
        <f t="shared" si="171"/>
        <v>SENIOR</v>
      </c>
    </row>
    <row r="1116" spans="1:26" x14ac:dyDescent="0.3">
      <c r="A1116" s="5" t="s">
        <v>2233</v>
      </c>
      <c r="B1116" s="5" t="s">
        <v>106</v>
      </c>
      <c r="C1116" s="5" t="s">
        <v>107</v>
      </c>
      <c r="D1116" s="5" t="s">
        <v>16</v>
      </c>
      <c r="E1116" s="5" t="s">
        <v>47</v>
      </c>
      <c r="F1116" s="5" t="s">
        <v>175</v>
      </c>
      <c r="G1116" s="5" t="s">
        <v>19</v>
      </c>
      <c r="H1116" s="5">
        <v>77</v>
      </c>
      <c r="I1116" s="5" t="s">
        <v>20</v>
      </c>
      <c r="J1116" s="34" t="s">
        <v>819</v>
      </c>
      <c r="K1116" s="31">
        <v>3593</v>
      </c>
      <c r="L1116" s="5" t="s">
        <v>72</v>
      </c>
      <c r="M1116" s="32">
        <v>0</v>
      </c>
      <c r="N1116" s="6">
        <f t="shared" si="172"/>
        <v>0</v>
      </c>
      <c r="O1116" s="4" t="s">
        <v>175</v>
      </c>
      <c r="P1116" s="5" t="str">
        <f t="shared" si="173"/>
        <v>Bangalore</v>
      </c>
      <c r="Q1116" s="5" t="str">
        <f t="shared" si="174"/>
        <v>Gastroenterology</v>
      </c>
      <c r="R1116" s="6" t="str">
        <f t="shared" si="175"/>
        <v>Aiims</v>
      </c>
      <c r="S1116" s="6" t="str">
        <f t="shared" si="176"/>
        <v>Cash</v>
      </c>
      <c r="T1116" s="6" t="str">
        <f t="shared" si="177"/>
        <v>Male</v>
      </c>
      <c r="U1116" s="6" t="str">
        <f t="shared" si="180"/>
        <v>General</v>
      </c>
      <c r="V1116" s="6" t="str" cm="1">
        <f t="array" ref="V1116">IF(TRIM(S1116)="",INDEX($S$2:$S$1500,MATCH(MAX(COUNTIF($S$2:$S$1500,S1116)),COUNTIF($S$2:$S$1500,$S$2:$S$1500),0)),S1116)</f>
        <v>Cash</v>
      </c>
      <c r="W1116" s="7" cm="1">
        <f t="array" ref="W1116">IF(OR(TRIM(K1116)="",TRIM(K1116)="-"), MEDIAN(IF($E$2:$E$1500=E1116,$K$2:$K$1500)),  VALUE(SUBSTITUTE(SUBSTITUTE(SUBSTITUTE(K1116,"Rs. ",""),"₹",""),",","")))</f>
        <v>3593</v>
      </c>
      <c r="X1116" s="8">
        <f t="shared" si="178"/>
        <v>0</v>
      </c>
      <c r="Y1116" s="7">
        <f t="shared" si="179"/>
        <v>3593</v>
      </c>
      <c r="Z1116" s="9" t="str">
        <f t="shared" si="171"/>
        <v>SENIOR</v>
      </c>
    </row>
    <row r="1117" spans="1:26" x14ac:dyDescent="0.3">
      <c r="A1117" s="5" t="s">
        <v>2234</v>
      </c>
      <c r="B1117" s="5" t="s">
        <v>14</v>
      </c>
      <c r="C1117" s="5" t="s">
        <v>15</v>
      </c>
      <c r="D1117" s="5" t="s">
        <v>61</v>
      </c>
      <c r="E1117" s="5" t="s">
        <v>17</v>
      </c>
      <c r="F1117" s="5" t="s">
        <v>135</v>
      </c>
      <c r="G1117" s="5" t="s">
        <v>39</v>
      </c>
      <c r="H1117" s="5">
        <v>33</v>
      </c>
      <c r="I1117" s="5" t="s">
        <v>70</v>
      </c>
      <c r="J1117" s="34" t="s">
        <v>2235</v>
      </c>
      <c r="K1117" s="31" t="s">
        <v>2236</v>
      </c>
      <c r="L1117" s="5" t="s">
        <v>34</v>
      </c>
      <c r="M1117" s="32">
        <v>0</v>
      </c>
      <c r="N1117" s="6">
        <f t="shared" si="172"/>
        <v>0</v>
      </c>
      <c r="O1117" s="4" t="s">
        <v>135</v>
      </c>
      <c r="P1117" s="5" t="str">
        <f t="shared" si="173"/>
        <v>Pune</v>
      </c>
      <c r="Q1117" s="5" t="str">
        <f t="shared" si="174"/>
        <v>Gynecology</v>
      </c>
      <c r="R1117" s="6" t="str">
        <f t="shared" si="175"/>
        <v>Max_Healthcare</v>
      </c>
      <c r="S1117" s="6" t="str">
        <f t="shared" si="176"/>
        <v>Cash</v>
      </c>
      <c r="T1117" s="6" t="str">
        <f t="shared" si="177"/>
        <v>Female</v>
      </c>
      <c r="U1117" s="6" t="str">
        <f t="shared" si="180"/>
        <v>General</v>
      </c>
      <c r="V1117" s="6" t="str" cm="1">
        <f t="array" ref="V1117">IF(TRIM(S1117)="",INDEX($S$2:$S$1500,MATCH(MAX(COUNTIF($S$2:$S$1500,S1117)),COUNTIF($S$2:$S$1500,$S$2:$S$1500),0)),S1117)</f>
        <v>Cash</v>
      </c>
      <c r="W1117" s="7" cm="1">
        <f t="array" ref="W1117">IF(OR(TRIM(K1117)="",TRIM(K1117)="-"), MEDIAN(IF($E$2:$E$1500=E1117,$K$2:$K$1500)),  VALUE(SUBSTITUTE(SUBSTITUTE(SUBSTITUTE(K1117,"Rs. ",""),"₹",""),",","")))</f>
        <v>17877</v>
      </c>
      <c r="X1117" s="8">
        <f t="shared" si="178"/>
        <v>0</v>
      </c>
      <c r="Y1117" s="7">
        <f t="shared" si="179"/>
        <v>17877</v>
      </c>
      <c r="Z1117" s="9" t="str">
        <f t="shared" si="171"/>
        <v>ADULT</v>
      </c>
    </row>
    <row r="1118" spans="1:26" x14ac:dyDescent="0.3">
      <c r="A1118" s="5" t="s">
        <v>2237</v>
      </c>
      <c r="B1118" s="5" t="s">
        <v>25</v>
      </c>
      <c r="C1118" s="5" t="s">
        <v>54</v>
      </c>
      <c r="D1118" s="5" t="s">
        <v>80</v>
      </c>
      <c r="E1118" s="5" t="s">
        <v>28</v>
      </c>
      <c r="F1118" s="5" t="s">
        <v>29</v>
      </c>
      <c r="G1118" s="5" t="s">
        <v>49</v>
      </c>
      <c r="H1118" s="5">
        <v>24</v>
      </c>
      <c r="I1118" s="5" t="s">
        <v>40</v>
      </c>
      <c r="J1118" s="34" t="s">
        <v>576</v>
      </c>
      <c r="K1118" s="31" t="s">
        <v>2238</v>
      </c>
      <c r="L1118" s="5" t="s">
        <v>34</v>
      </c>
      <c r="M1118" s="32" t="s">
        <v>140</v>
      </c>
      <c r="N1118" s="6" t="str">
        <f t="shared" si="172"/>
        <v>-</v>
      </c>
      <c r="O1118" s="4" t="s">
        <v>29</v>
      </c>
      <c r="P1118" s="5" t="str">
        <f t="shared" si="173"/>
        <v>Ahmedabad</v>
      </c>
      <c r="Q1118" s="5" t="str">
        <f t="shared" si="174"/>
        <v>Oncology</v>
      </c>
      <c r="R1118" s="6" t="str">
        <f t="shared" si="175"/>
        <v>Narayana</v>
      </c>
      <c r="S1118" s="6" t="str">
        <f t="shared" si="176"/>
        <v>Cash</v>
      </c>
      <c r="T1118" s="6" t="str">
        <f t="shared" si="177"/>
        <v>Female</v>
      </c>
      <c r="U1118" s="6" t="str">
        <f t="shared" si="180"/>
        <v>General</v>
      </c>
      <c r="V1118" s="6" t="str" cm="1">
        <f t="array" ref="V1118">IF(TRIM(S1118)="",INDEX($S$2:$S$1500,MATCH(MAX(COUNTIF($S$2:$S$1500,S1118)),COUNTIF($S$2:$S$1500,$S$2:$S$1500),0)),S1118)</f>
        <v>Cash</v>
      </c>
      <c r="W1118" s="7" cm="1">
        <f t="array" ref="W1118">IF(OR(TRIM(K1118)="",TRIM(K1118)="-"), MEDIAN(IF($E$2:$E$1500=E1118,$K$2:$K$1500)),  VALUE(SUBSTITUTE(SUBSTITUTE(SUBSTITUTE(K1118,"Rs. ",""),"₹",""),",","")))</f>
        <v>17072</v>
      </c>
      <c r="X1118" s="8">
        <f t="shared" si="178"/>
        <v>3</v>
      </c>
      <c r="Y1118" s="7">
        <f t="shared" si="179"/>
        <v>16560</v>
      </c>
      <c r="Z1118" s="9" t="str">
        <f t="shared" si="171"/>
        <v>ADULT</v>
      </c>
    </row>
    <row r="1119" spans="1:26" x14ac:dyDescent="0.3">
      <c r="A1119" s="5" t="s">
        <v>2239</v>
      </c>
      <c r="B1119" s="5" t="s">
        <v>14</v>
      </c>
      <c r="C1119" s="5" t="s">
        <v>60</v>
      </c>
      <c r="D1119" s="5" t="s">
        <v>61</v>
      </c>
      <c r="E1119" s="5" t="s">
        <v>17</v>
      </c>
      <c r="F1119" s="5" t="s">
        <v>213</v>
      </c>
      <c r="G1119" s="5" t="s">
        <v>49</v>
      </c>
      <c r="H1119" s="5">
        <v>58</v>
      </c>
      <c r="I1119" s="5" t="s">
        <v>31</v>
      </c>
      <c r="J1119" s="34" t="s">
        <v>71</v>
      </c>
      <c r="K1119" s="31" t="s">
        <v>2240</v>
      </c>
      <c r="L1119" s="5" t="s">
        <v>72</v>
      </c>
      <c r="M1119" s="32"/>
      <c r="N1119" s="6">
        <f t="shared" si="172"/>
        <v>0</v>
      </c>
      <c r="O1119" s="4" t="s">
        <v>213</v>
      </c>
      <c r="P1119" s="5" t="str">
        <f t="shared" si="173"/>
        <v>Pune</v>
      </c>
      <c r="Q1119" s="5" t="str">
        <f t="shared" si="174"/>
        <v>Gynecology</v>
      </c>
      <c r="R1119" s="6" t="str">
        <f t="shared" si="175"/>
        <v>Max_Healthcare</v>
      </c>
      <c r="S1119" s="6" t="str">
        <f t="shared" si="176"/>
        <v>Cash</v>
      </c>
      <c r="T1119" s="6" t="str">
        <f t="shared" si="177"/>
        <v>Male</v>
      </c>
      <c r="U1119" s="6" t="str">
        <f t="shared" si="180"/>
        <v>General</v>
      </c>
      <c r="V1119" s="6" t="str" cm="1">
        <f t="array" ref="V1119">IF(TRIM(S1119)="",INDEX($S$2:$S$1500,MATCH(MAX(COUNTIF($S$2:$S$1500,S1119)),COUNTIF($S$2:$S$1500,$S$2:$S$1500),0)),S1119)</f>
        <v>Cash</v>
      </c>
      <c r="W1119" s="7" cm="1">
        <f t="array" ref="W1119">IF(OR(TRIM(K1119)="",TRIM(K1119)="-"), MEDIAN(IF($E$2:$E$1500=E1119,$K$2:$K$1500)),  VALUE(SUBSTITUTE(SUBSTITUTE(SUBSTITUTE(K1119,"Rs. ",""),"₹",""),",","")))</f>
        <v>12314</v>
      </c>
      <c r="X1119" s="8">
        <f t="shared" si="178"/>
        <v>0</v>
      </c>
      <c r="Y1119" s="7">
        <f t="shared" si="179"/>
        <v>12314</v>
      </c>
      <c r="Z1119" s="9" t="str">
        <f t="shared" si="171"/>
        <v>ADULT</v>
      </c>
    </row>
    <row r="1120" spans="1:26" x14ac:dyDescent="0.3">
      <c r="A1120" s="5" t="s">
        <v>2241</v>
      </c>
      <c r="B1120" s="5" t="s">
        <v>45</v>
      </c>
      <c r="C1120" s="5" t="s">
        <v>46</v>
      </c>
      <c r="D1120" s="5" t="s">
        <v>27</v>
      </c>
      <c r="E1120" s="5" t="s">
        <v>74</v>
      </c>
      <c r="F1120" s="5" t="s">
        <v>147</v>
      </c>
      <c r="G1120" s="5" t="s">
        <v>19</v>
      </c>
      <c r="H1120" s="5">
        <v>27</v>
      </c>
      <c r="I1120" s="5" t="s">
        <v>20</v>
      </c>
      <c r="J1120" s="34" t="s">
        <v>418</v>
      </c>
      <c r="K1120" s="31">
        <v>5057</v>
      </c>
      <c r="L1120" s="5" t="s">
        <v>236</v>
      </c>
      <c r="M1120" s="32" t="s">
        <v>140</v>
      </c>
      <c r="N1120" s="6" t="str">
        <f t="shared" si="172"/>
        <v>-</v>
      </c>
      <c r="O1120" s="4" t="s">
        <v>147</v>
      </c>
      <c r="P1120" s="5" t="str">
        <f t="shared" si="173"/>
        <v>Mumbai</v>
      </c>
      <c r="Q1120" s="5" t="str">
        <f t="shared" si="174"/>
        <v>General Medicine</v>
      </c>
      <c r="R1120" s="6" t="str">
        <f t="shared" si="175"/>
        <v>Fortis</v>
      </c>
      <c r="S1120" s="6" t="str">
        <f t="shared" si="176"/>
        <v>Debit Card</v>
      </c>
      <c r="T1120" s="6" t="str">
        <f t="shared" si="177"/>
        <v>Male</v>
      </c>
      <c r="U1120" s="6" t="str">
        <f t="shared" si="180"/>
        <v>General</v>
      </c>
      <c r="V1120" s="6" t="str" cm="1">
        <f t="array" ref="V1120">IF(TRIM(S1120)="",INDEX($S$2:$S$1500,MATCH(MAX(COUNTIF($S$2:$S$1500,S1120)),COUNTIF($S$2:$S$1500,$S$2:$S$1500),0)),S1120)</f>
        <v>Debit Card</v>
      </c>
      <c r="W1120" s="7" cm="1">
        <f t="array" ref="W1120">IF(OR(TRIM(K1120)="",TRIM(K1120)="-"), MEDIAN(IF($E$2:$E$1500=E1120,$K$2:$K$1500)),  VALUE(SUBSTITUTE(SUBSTITUTE(SUBSTITUTE(K1120,"Rs. ",""),"₹",""),",","")))</f>
        <v>5057</v>
      </c>
      <c r="X1120" s="8">
        <f t="shared" si="178"/>
        <v>3</v>
      </c>
      <c r="Y1120" s="7">
        <f t="shared" si="179"/>
        <v>4905</v>
      </c>
      <c r="Z1120" s="9" t="str">
        <f t="shared" si="171"/>
        <v>ADULT</v>
      </c>
    </row>
    <row r="1121" spans="1:26" x14ac:dyDescent="0.3">
      <c r="A1121" s="5" t="s">
        <v>2242</v>
      </c>
      <c r="B1121" s="5" t="s">
        <v>117</v>
      </c>
      <c r="C1121" s="5" t="s">
        <v>118</v>
      </c>
      <c r="D1121" s="5" t="s">
        <v>55</v>
      </c>
      <c r="E1121" s="5" t="s">
        <v>74</v>
      </c>
      <c r="F1121" s="5" t="s">
        <v>147</v>
      </c>
      <c r="G1121" s="5" t="s">
        <v>30</v>
      </c>
      <c r="H1121" s="5">
        <v>60</v>
      </c>
      <c r="I1121" s="5" t="s">
        <v>40</v>
      </c>
      <c r="J1121" s="34" t="s">
        <v>2243</v>
      </c>
      <c r="K1121" s="31" t="s">
        <v>2244</v>
      </c>
      <c r="L1121" s="5" t="s">
        <v>167</v>
      </c>
      <c r="M1121" s="32">
        <v>18</v>
      </c>
      <c r="N1121" s="6">
        <f t="shared" si="172"/>
        <v>18</v>
      </c>
      <c r="O1121" s="4" t="s">
        <v>147</v>
      </c>
      <c r="P1121" s="5" t="str">
        <f t="shared" si="173"/>
        <v>Hyderabad</v>
      </c>
      <c r="Q1121" s="5" t="str">
        <f t="shared" si="174"/>
        <v>General Medicine</v>
      </c>
      <c r="R1121" s="6" t="str">
        <f t="shared" si="175"/>
        <v>Manipal</v>
      </c>
      <c r="S1121" s="6" t="str">
        <f t="shared" si="176"/>
        <v>Insurance</v>
      </c>
      <c r="T1121" s="6" t="str">
        <f t="shared" si="177"/>
        <v>Female</v>
      </c>
      <c r="U1121" s="6" t="str">
        <f t="shared" si="180"/>
        <v>General</v>
      </c>
      <c r="V1121" s="6" t="str" cm="1">
        <f t="array" ref="V1121">IF(TRIM(S1121)="",INDEX($S$2:$S$1500,MATCH(MAX(COUNTIF($S$2:$S$1500,S1121)),COUNTIF($S$2:$S$1500,$S$2:$S$1500),0)),S1121)</f>
        <v>Insurance</v>
      </c>
      <c r="W1121" s="7" cm="1">
        <f t="array" ref="W1121">IF(OR(TRIM(K1121)="",TRIM(K1121)="-"), MEDIAN(IF($E$2:$E$1500=E1121,$K$2:$K$1500)),  VALUE(SUBSTITUTE(SUBSTITUTE(SUBSTITUTE(K1121,"Rs. ",""),"₹",""),",","")))</f>
        <v>16112</v>
      </c>
      <c r="X1121" s="8">
        <f t="shared" si="178"/>
        <v>18</v>
      </c>
      <c r="Y1121" s="7">
        <f t="shared" si="179"/>
        <v>13212</v>
      </c>
      <c r="Z1121" s="9" t="str">
        <f t="shared" si="171"/>
        <v>SENIOR</v>
      </c>
    </row>
    <row r="1122" spans="1:26" x14ac:dyDescent="0.3">
      <c r="A1122" s="5" t="s">
        <v>2245</v>
      </c>
      <c r="B1122" s="5" t="s">
        <v>14</v>
      </c>
      <c r="C1122" s="5" t="s">
        <v>60</v>
      </c>
      <c r="D1122" s="5" t="s">
        <v>189</v>
      </c>
      <c r="E1122" s="5" t="s">
        <v>99</v>
      </c>
      <c r="F1122" s="5" t="s">
        <v>151</v>
      </c>
      <c r="G1122" s="5" t="s">
        <v>101</v>
      </c>
      <c r="H1122" s="5">
        <v>9</v>
      </c>
      <c r="I1122" s="5" t="s">
        <v>20</v>
      </c>
      <c r="J1122" s="34" t="s">
        <v>1429</v>
      </c>
      <c r="K1122" s="31">
        <v>28522</v>
      </c>
      <c r="L1122" s="5" t="s">
        <v>42</v>
      </c>
      <c r="M1122" s="32" t="s">
        <v>64</v>
      </c>
      <c r="N1122" s="6" t="str">
        <f t="shared" si="172"/>
        <v>NA</v>
      </c>
      <c r="O1122" s="4" t="s">
        <v>151</v>
      </c>
      <c r="P1122" s="5" t="str">
        <f t="shared" si="173"/>
        <v>Delhi</v>
      </c>
      <c r="Q1122" s="5" t="str">
        <f t="shared" si="174"/>
        <v>Ent</v>
      </c>
      <c r="R1122" s="6" t="str">
        <f t="shared" si="175"/>
        <v>Max_Healthcare</v>
      </c>
      <c r="S1122" s="6" t="str">
        <f t="shared" si="176"/>
        <v>Insurance</v>
      </c>
      <c r="T1122" s="6" t="str">
        <f t="shared" si="177"/>
        <v>Male</v>
      </c>
      <c r="U1122" s="6" t="str">
        <f t="shared" si="180"/>
        <v>ICU</v>
      </c>
      <c r="V1122" s="6" t="str" cm="1">
        <f t="array" ref="V1122">IF(TRIM(S1122)="",INDEX($S$2:$S$1500,MATCH(MAX(COUNTIF($S$2:$S$1500,S1122)),COUNTIF($S$2:$S$1500,$S$2:$S$1500),0)),S1122)</f>
        <v>Insurance</v>
      </c>
      <c r="W1122" s="7" cm="1">
        <f t="array" ref="W1122">IF(OR(TRIM(K1122)="",TRIM(K1122)="-"), MEDIAN(IF($E$2:$E$1500=E1122,$K$2:$K$1500)),  VALUE(SUBSTITUTE(SUBSTITUTE(SUBSTITUTE(K1122,"Rs. ",""),"₹",""),",","")))</f>
        <v>28522</v>
      </c>
      <c r="X1122" s="8">
        <f t="shared" si="178"/>
        <v>19</v>
      </c>
      <c r="Y1122" s="7">
        <f t="shared" si="179"/>
        <v>23103</v>
      </c>
      <c r="Z1122" s="9" t="str">
        <f t="shared" si="171"/>
        <v>CHILD</v>
      </c>
    </row>
    <row r="1123" spans="1:26" x14ac:dyDescent="0.3">
      <c r="A1123" s="5" t="s">
        <v>2246</v>
      </c>
      <c r="B1123" s="5" t="s">
        <v>78</v>
      </c>
      <c r="C1123" s="5" t="s">
        <v>203</v>
      </c>
      <c r="D1123" s="5" t="s">
        <v>16</v>
      </c>
      <c r="E1123" s="5" t="s">
        <v>108</v>
      </c>
      <c r="F1123" s="5" t="s">
        <v>308</v>
      </c>
      <c r="G1123" s="5" t="s">
        <v>30</v>
      </c>
      <c r="H1123" s="5">
        <v>74</v>
      </c>
      <c r="I1123" s="5" t="s">
        <v>20</v>
      </c>
      <c r="J1123" s="34" t="s">
        <v>1938</v>
      </c>
      <c r="K1123" s="31">
        <v>11812</v>
      </c>
      <c r="L1123" s="5" t="s">
        <v>23</v>
      </c>
      <c r="M1123" s="32" t="s">
        <v>140</v>
      </c>
      <c r="N1123" s="6" t="str">
        <f t="shared" si="172"/>
        <v>-</v>
      </c>
      <c r="O1123" s="4" t="s">
        <v>308</v>
      </c>
      <c r="P1123" s="5" t="str">
        <f t="shared" si="173"/>
        <v>Bangalore</v>
      </c>
      <c r="Q1123" s="5" t="str">
        <f t="shared" si="174"/>
        <v>Orthopedics</v>
      </c>
      <c r="R1123" s="6" t="str">
        <f t="shared" si="175"/>
        <v>Apollo</v>
      </c>
      <c r="S1123" s="6" t="str">
        <f t="shared" si="176"/>
        <v>Credit Card</v>
      </c>
      <c r="T1123" s="6" t="str">
        <f t="shared" si="177"/>
        <v>Male</v>
      </c>
      <c r="U1123" s="6" t="str">
        <f t="shared" si="180"/>
        <v>General</v>
      </c>
      <c r="V1123" s="6" t="str" cm="1">
        <f t="array" ref="V1123">IF(TRIM(S1123)="",INDEX($S$2:$S$1500,MATCH(MAX(COUNTIF($S$2:$S$1500,S1123)),COUNTIF($S$2:$S$1500,$S$2:$S$1500),0)),S1123)</f>
        <v>Credit Card</v>
      </c>
      <c r="W1123" s="7" cm="1">
        <f t="array" ref="W1123">IF(OR(TRIM(K1123)="",TRIM(K1123)="-"), MEDIAN(IF($E$2:$E$1500=E1123,$K$2:$K$1500)),  VALUE(SUBSTITUTE(SUBSTITUTE(SUBSTITUTE(K1123,"Rs. ",""),"₹",""),",","")))</f>
        <v>11812</v>
      </c>
      <c r="X1123" s="8">
        <f t="shared" si="178"/>
        <v>3</v>
      </c>
      <c r="Y1123" s="7">
        <f t="shared" si="179"/>
        <v>11458</v>
      </c>
      <c r="Z1123" s="9" t="str">
        <f t="shared" si="171"/>
        <v>SENIOR</v>
      </c>
    </row>
    <row r="1124" spans="1:26" x14ac:dyDescent="0.3">
      <c r="A1124" s="5" t="s">
        <v>2247</v>
      </c>
      <c r="B1124" s="5" t="s">
        <v>78</v>
      </c>
      <c r="C1124" s="5" t="s">
        <v>79</v>
      </c>
      <c r="D1124" s="5" t="s">
        <v>55</v>
      </c>
      <c r="E1124" s="5" t="s">
        <v>74</v>
      </c>
      <c r="F1124" s="5" t="s">
        <v>75</v>
      </c>
      <c r="G1124" s="5" t="s">
        <v>69</v>
      </c>
      <c r="H1124" s="5">
        <v>38</v>
      </c>
      <c r="I1124" s="5" t="s">
        <v>20</v>
      </c>
      <c r="J1124" s="34" t="s">
        <v>418</v>
      </c>
      <c r="K1124" s="31" t="s">
        <v>2248</v>
      </c>
      <c r="L1124" s="5" t="s">
        <v>34</v>
      </c>
      <c r="M1124" s="32" t="s">
        <v>140</v>
      </c>
      <c r="N1124" s="6" t="str">
        <f t="shared" si="172"/>
        <v>-</v>
      </c>
      <c r="O1124" s="4" t="s">
        <v>75</v>
      </c>
      <c r="P1124" s="5" t="str">
        <f t="shared" si="173"/>
        <v>Hyderabad</v>
      </c>
      <c r="Q1124" s="5" t="str">
        <f t="shared" si="174"/>
        <v>General Medicine</v>
      </c>
      <c r="R1124" s="6" t="str">
        <f t="shared" si="175"/>
        <v>Apollo</v>
      </c>
      <c r="S1124" s="6" t="str">
        <f t="shared" si="176"/>
        <v>Cash</v>
      </c>
      <c r="T1124" s="6" t="str">
        <f t="shared" si="177"/>
        <v>Male</v>
      </c>
      <c r="U1124" s="6" t="str">
        <f t="shared" si="180"/>
        <v>ICU</v>
      </c>
      <c r="V1124" s="6" t="str" cm="1">
        <f t="array" ref="V1124">IF(TRIM(S1124)="",INDEX($S$2:$S$1500,MATCH(MAX(COUNTIF($S$2:$S$1500,S1124)),COUNTIF($S$2:$S$1500,$S$2:$S$1500),0)),S1124)</f>
        <v>Cash</v>
      </c>
      <c r="W1124" s="7" cm="1">
        <f t="array" ref="W1124">IF(OR(TRIM(K1124)="",TRIM(K1124)="-"), MEDIAN(IF($E$2:$E$1500=E1124,$K$2:$K$1500)),  VALUE(SUBSTITUTE(SUBSTITUTE(SUBSTITUTE(K1124,"Rs. ",""),"₹",""),",","")))</f>
        <v>72861</v>
      </c>
      <c r="X1124" s="8">
        <f t="shared" si="178"/>
        <v>3</v>
      </c>
      <c r="Y1124" s="7">
        <f t="shared" si="179"/>
        <v>70675</v>
      </c>
      <c r="Z1124" s="9" t="str">
        <f t="shared" si="171"/>
        <v>ADULT</v>
      </c>
    </row>
    <row r="1125" spans="1:26" x14ac:dyDescent="0.3">
      <c r="A1125" s="5" t="s">
        <v>2249</v>
      </c>
      <c r="B1125" s="5" t="s">
        <v>78</v>
      </c>
      <c r="C1125" s="5" t="s">
        <v>161</v>
      </c>
      <c r="D1125" s="5" t="s">
        <v>16</v>
      </c>
      <c r="E1125" s="5" t="s">
        <v>99</v>
      </c>
      <c r="F1125" s="5" t="s">
        <v>100</v>
      </c>
      <c r="G1125" s="5"/>
      <c r="H1125" s="5">
        <v>39</v>
      </c>
      <c r="I1125" s="5" t="s">
        <v>31</v>
      </c>
      <c r="J1125" s="34" t="s">
        <v>1488</v>
      </c>
      <c r="K1125" s="31">
        <v>19403</v>
      </c>
      <c r="L1125" s="5" t="s">
        <v>91</v>
      </c>
      <c r="M1125" s="32">
        <v>0</v>
      </c>
      <c r="N1125" s="6">
        <f t="shared" si="172"/>
        <v>0</v>
      </c>
      <c r="O1125" s="4" t="s">
        <v>100</v>
      </c>
      <c r="P1125" s="5" t="str">
        <f t="shared" si="173"/>
        <v>Bangalore</v>
      </c>
      <c r="Q1125" s="5" t="str">
        <f t="shared" si="174"/>
        <v>Ent</v>
      </c>
      <c r="R1125" s="6" t="str">
        <f t="shared" si="175"/>
        <v>Apollo</v>
      </c>
      <c r="S1125" s="6" t="str">
        <f t="shared" si="176"/>
        <v>Debit Card</v>
      </c>
      <c r="T1125" s="6" t="str">
        <f t="shared" si="177"/>
        <v>Male</v>
      </c>
      <c r="U1125" s="6" t="str">
        <f t="shared" si="180"/>
        <v>Unknown</v>
      </c>
      <c r="V1125" s="6" t="str" cm="1">
        <f t="array" ref="V1125">IF(TRIM(S1125)="",INDEX($S$2:$S$1500,MATCH(MAX(COUNTIF($S$2:$S$1500,S1125)),COUNTIF($S$2:$S$1500,$S$2:$S$1500),0)),S1125)</f>
        <v>Debit Card</v>
      </c>
      <c r="W1125" s="7" cm="1">
        <f t="array" ref="W1125">IF(OR(TRIM(K1125)="",TRIM(K1125)="-"), MEDIAN(IF($E$2:$E$1500=E1125,$K$2:$K$1500)),  VALUE(SUBSTITUTE(SUBSTITUTE(SUBSTITUTE(K1125,"Rs. ",""),"₹",""),",","")))</f>
        <v>19403</v>
      </c>
      <c r="X1125" s="8">
        <f t="shared" si="178"/>
        <v>0</v>
      </c>
      <c r="Y1125" s="7">
        <f t="shared" si="179"/>
        <v>19403</v>
      </c>
      <c r="Z1125" s="9" t="str">
        <f t="shared" si="171"/>
        <v>ADULT</v>
      </c>
    </row>
    <row r="1126" spans="1:26" x14ac:dyDescent="0.3">
      <c r="A1126" s="5" t="s">
        <v>2250</v>
      </c>
      <c r="B1126" s="5" t="s">
        <v>78</v>
      </c>
      <c r="C1126" s="5" t="s">
        <v>79</v>
      </c>
      <c r="D1126" s="5" t="s">
        <v>66</v>
      </c>
      <c r="E1126" s="5" t="s">
        <v>47</v>
      </c>
      <c r="F1126" s="5" t="s">
        <v>364</v>
      </c>
      <c r="G1126" s="5" t="s">
        <v>69</v>
      </c>
      <c r="H1126" s="5">
        <v>62</v>
      </c>
      <c r="I1126" s="5" t="s">
        <v>31</v>
      </c>
      <c r="J1126" s="34" t="s">
        <v>1921</v>
      </c>
      <c r="K1126" s="31">
        <v>35387</v>
      </c>
      <c r="L1126" s="5" t="s">
        <v>167</v>
      </c>
      <c r="M1126" s="32">
        <v>18</v>
      </c>
      <c r="N1126" s="6">
        <f t="shared" si="172"/>
        <v>18</v>
      </c>
      <c r="O1126" s="4" t="s">
        <v>364</v>
      </c>
      <c r="P1126" s="5" t="str">
        <f t="shared" si="173"/>
        <v>Kolkata</v>
      </c>
      <c r="Q1126" s="5" t="str">
        <f t="shared" si="174"/>
        <v>Gastroenterology</v>
      </c>
      <c r="R1126" s="6" t="str">
        <f t="shared" si="175"/>
        <v>Apollo</v>
      </c>
      <c r="S1126" s="6" t="str">
        <f t="shared" si="176"/>
        <v>Insurance</v>
      </c>
      <c r="T1126" s="6" t="str">
        <f t="shared" si="177"/>
        <v>Male</v>
      </c>
      <c r="U1126" s="6" t="str">
        <f t="shared" si="180"/>
        <v>ICU</v>
      </c>
      <c r="V1126" s="6" t="str" cm="1">
        <f t="array" ref="V1126">IF(TRIM(S1126)="",INDEX($S$2:$S$1500,MATCH(MAX(COUNTIF($S$2:$S$1500,S1126)),COUNTIF($S$2:$S$1500,$S$2:$S$1500),0)),S1126)</f>
        <v>Insurance</v>
      </c>
      <c r="W1126" s="7" cm="1">
        <f t="array" ref="W1126">IF(OR(TRIM(K1126)="",TRIM(K1126)="-"), MEDIAN(IF($E$2:$E$1500=E1126,$K$2:$K$1500)),  VALUE(SUBSTITUTE(SUBSTITUTE(SUBSTITUTE(K1126,"Rs. ",""),"₹",""),",","")))</f>
        <v>35387</v>
      </c>
      <c r="X1126" s="8">
        <f t="shared" si="178"/>
        <v>18</v>
      </c>
      <c r="Y1126" s="7">
        <f t="shared" si="179"/>
        <v>29017</v>
      </c>
      <c r="Z1126" s="9" t="str">
        <f t="shared" si="171"/>
        <v>SENIOR</v>
      </c>
    </row>
    <row r="1127" spans="1:26" x14ac:dyDescent="0.3">
      <c r="A1127" s="5" t="s">
        <v>2251</v>
      </c>
      <c r="B1127" s="5" t="s">
        <v>45</v>
      </c>
      <c r="C1127" s="5" t="s">
        <v>46</v>
      </c>
      <c r="D1127" s="5" t="s">
        <v>16</v>
      </c>
      <c r="E1127" s="5" t="s">
        <v>93</v>
      </c>
      <c r="F1127" s="5" t="s">
        <v>144</v>
      </c>
      <c r="G1127" s="5" t="s">
        <v>30</v>
      </c>
      <c r="H1127" s="5">
        <v>17</v>
      </c>
      <c r="I1127" s="5" t="s">
        <v>70</v>
      </c>
      <c r="J1127" s="34" t="s">
        <v>1590</v>
      </c>
      <c r="K1127" s="31" t="s">
        <v>2252</v>
      </c>
      <c r="L1127" s="5" t="s">
        <v>311</v>
      </c>
      <c r="M1127" s="32" t="s">
        <v>198</v>
      </c>
      <c r="N1127" s="6">
        <f t="shared" si="172"/>
        <v>5</v>
      </c>
      <c r="O1127" s="4" t="s">
        <v>144</v>
      </c>
      <c r="P1127" s="5" t="str">
        <f t="shared" si="173"/>
        <v>Bangalore</v>
      </c>
      <c r="Q1127" s="5" t="str">
        <f t="shared" si="174"/>
        <v>Nephrology</v>
      </c>
      <c r="R1127" s="6" t="str">
        <f t="shared" si="175"/>
        <v>Fortis</v>
      </c>
      <c r="S1127" s="6" t="str">
        <f t="shared" si="176"/>
        <v>UPI</v>
      </c>
      <c r="T1127" s="6" t="str">
        <f t="shared" si="177"/>
        <v>Female</v>
      </c>
      <c r="U1127" s="6" t="str">
        <f t="shared" si="180"/>
        <v>General</v>
      </c>
      <c r="V1127" s="6" t="str" cm="1">
        <f t="array" ref="V1127">IF(TRIM(S1127)="",INDEX($S$2:$S$1500,MATCH(MAX(COUNTIF($S$2:$S$1500,S1127)),COUNTIF($S$2:$S$1500,$S$2:$S$1500),0)),S1127)</f>
        <v>UPI</v>
      </c>
      <c r="W1127" s="7" cm="1">
        <f t="array" ref="W1127">IF(OR(TRIM(K1127)="",TRIM(K1127)="-"), MEDIAN(IF($E$2:$E$1500=E1127,$K$2:$K$1500)),  VALUE(SUBSTITUTE(SUBSTITUTE(SUBSTITUTE(K1127,"Rs. ",""),"₹",""),",","")))</f>
        <v>18487</v>
      </c>
      <c r="X1127" s="8">
        <f t="shared" si="178"/>
        <v>5</v>
      </c>
      <c r="Y1127" s="7">
        <f t="shared" si="179"/>
        <v>17563</v>
      </c>
      <c r="Z1127" s="9" t="str">
        <f t="shared" si="171"/>
        <v>TEEN</v>
      </c>
    </row>
    <row r="1128" spans="1:26" x14ac:dyDescent="0.3">
      <c r="A1128" s="5" t="s">
        <v>2253</v>
      </c>
      <c r="B1128" s="5" t="s">
        <v>14</v>
      </c>
      <c r="C1128" s="5" t="s">
        <v>15</v>
      </c>
      <c r="D1128" s="5" t="s">
        <v>55</v>
      </c>
      <c r="E1128" s="5" t="s">
        <v>108</v>
      </c>
      <c r="F1128" s="5" t="s">
        <v>124</v>
      </c>
      <c r="G1128" s="5" t="s">
        <v>19</v>
      </c>
      <c r="H1128" s="5">
        <v>5</v>
      </c>
      <c r="I1128" s="5" t="s">
        <v>40</v>
      </c>
      <c r="J1128" s="34" t="s">
        <v>730</v>
      </c>
      <c r="K1128" s="31">
        <v>9840</v>
      </c>
      <c r="L1128" s="5"/>
      <c r="M1128" s="32">
        <v>0</v>
      </c>
      <c r="N1128" s="6">
        <f t="shared" si="172"/>
        <v>0</v>
      </c>
      <c r="O1128" s="4" t="s">
        <v>124</v>
      </c>
      <c r="P1128" s="5" t="str">
        <f t="shared" si="173"/>
        <v>Hyderabad</v>
      </c>
      <c r="Q1128" s="5" t="str">
        <f t="shared" si="174"/>
        <v>Orthopedics</v>
      </c>
      <c r="R1128" s="6" t="str">
        <f t="shared" si="175"/>
        <v>Max_Healthcare</v>
      </c>
      <c r="S1128" s="6" t="str">
        <f t="shared" si="176"/>
        <v>Unknown</v>
      </c>
      <c r="T1128" s="6" t="str">
        <f t="shared" si="177"/>
        <v>Female</v>
      </c>
      <c r="U1128" s="6" t="str">
        <f t="shared" si="180"/>
        <v>General</v>
      </c>
      <c r="V1128" s="6" t="str" cm="1">
        <f t="array" ref="V1128">IF(TRIM(S1128)="",INDEX($S$2:$S$1500,MATCH(MAX(COUNTIF($S$2:$S$1500,S1128)),COUNTIF($S$2:$S$1500,$S$2:$S$1500),0)),S1128)</f>
        <v>Unknown</v>
      </c>
      <c r="W1128" s="7" cm="1">
        <f t="array" ref="W1128">IF(OR(TRIM(K1128)="",TRIM(K1128)="-"), MEDIAN(IF($E$2:$E$1500=E1128,$K$2:$K$1500)),  VALUE(SUBSTITUTE(SUBSTITUTE(SUBSTITUTE(K1128,"Rs. ",""),"₹",""),",","")))</f>
        <v>9840</v>
      </c>
      <c r="X1128" s="8">
        <f t="shared" si="178"/>
        <v>0</v>
      </c>
      <c r="Y1128" s="7">
        <f t="shared" si="179"/>
        <v>9840</v>
      </c>
      <c r="Z1128" s="9" t="str">
        <f t="shared" si="171"/>
        <v>CHILD</v>
      </c>
    </row>
    <row r="1129" spans="1:26" x14ac:dyDescent="0.3">
      <c r="A1129" s="5" t="s">
        <v>2254</v>
      </c>
      <c r="B1129" s="5" t="s">
        <v>78</v>
      </c>
      <c r="C1129" s="5" t="s">
        <v>79</v>
      </c>
      <c r="D1129" s="5" t="s">
        <v>27</v>
      </c>
      <c r="E1129" s="5" t="s">
        <v>164</v>
      </c>
      <c r="F1129" s="5" t="s">
        <v>165</v>
      </c>
      <c r="G1129" s="5" t="s">
        <v>62</v>
      </c>
      <c r="H1129" s="5">
        <v>44</v>
      </c>
      <c r="I1129" s="5" t="s">
        <v>20</v>
      </c>
      <c r="J1129" s="34" t="s">
        <v>1396</v>
      </c>
      <c r="K1129" s="31">
        <v>25905</v>
      </c>
      <c r="L1129" s="5" t="s">
        <v>23</v>
      </c>
      <c r="M1129" s="32"/>
      <c r="N1129" s="6">
        <f t="shared" si="172"/>
        <v>0</v>
      </c>
      <c r="O1129" s="4" t="s">
        <v>165</v>
      </c>
      <c r="P1129" s="5" t="str">
        <f t="shared" si="173"/>
        <v>Mumbai</v>
      </c>
      <c r="Q1129" s="5" t="str">
        <f t="shared" si="174"/>
        <v>Cardiology</v>
      </c>
      <c r="R1129" s="6" t="str">
        <f t="shared" si="175"/>
        <v>Apollo</v>
      </c>
      <c r="S1129" s="6" t="str">
        <f t="shared" si="176"/>
        <v>Credit Card</v>
      </c>
      <c r="T1129" s="6" t="str">
        <f t="shared" si="177"/>
        <v>Male</v>
      </c>
      <c r="U1129" s="6" t="str">
        <f t="shared" si="180"/>
        <v>ICU</v>
      </c>
      <c r="V1129" s="6" t="str" cm="1">
        <f t="array" ref="V1129">IF(TRIM(S1129)="",INDEX($S$2:$S$1500,MATCH(MAX(COUNTIF($S$2:$S$1500,S1129)),COUNTIF($S$2:$S$1500,$S$2:$S$1500),0)),S1129)</f>
        <v>Credit Card</v>
      </c>
      <c r="W1129" s="7" cm="1">
        <f t="array" ref="W1129">IF(OR(TRIM(K1129)="",TRIM(K1129)="-"), MEDIAN(IF($E$2:$E$1500=E1129,$K$2:$K$1500)),  VALUE(SUBSTITUTE(SUBSTITUTE(SUBSTITUTE(K1129,"Rs. ",""),"₹",""),",","")))</f>
        <v>25905</v>
      </c>
      <c r="X1129" s="8">
        <f t="shared" si="178"/>
        <v>0</v>
      </c>
      <c r="Y1129" s="7">
        <f t="shared" si="179"/>
        <v>25905</v>
      </c>
      <c r="Z1129" s="9" t="str">
        <f t="shared" si="171"/>
        <v>ADULT</v>
      </c>
    </row>
    <row r="1130" spans="1:26" x14ac:dyDescent="0.3">
      <c r="A1130" s="5" t="s">
        <v>2255</v>
      </c>
      <c r="B1130" s="5" t="s">
        <v>25</v>
      </c>
      <c r="C1130" s="5" t="s">
        <v>54</v>
      </c>
      <c r="D1130" s="5" t="s">
        <v>36</v>
      </c>
      <c r="E1130" s="5" t="s">
        <v>47</v>
      </c>
      <c r="F1130" s="5" t="s">
        <v>364</v>
      </c>
      <c r="G1130" s="5" t="s">
        <v>101</v>
      </c>
      <c r="H1130" s="5">
        <v>15</v>
      </c>
      <c r="I1130" s="5" t="s">
        <v>40</v>
      </c>
      <c r="J1130" s="34" t="s">
        <v>2256</v>
      </c>
      <c r="K1130" s="31">
        <v>87544</v>
      </c>
      <c r="L1130" s="5" t="s">
        <v>97</v>
      </c>
      <c r="M1130" s="32" t="s">
        <v>130</v>
      </c>
      <c r="N1130" s="6">
        <f t="shared" si="172"/>
        <v>0</v>
      </c>
      <c r="O1130" s="4" t="s">
        <v>364</v>
      </c>
      <c r="P1130" s="5" t="str">
        <f t="shared" si="173"/>
        <v>Chennai</v>
      </c>
      <c r="Q1130" s="5" t="str">
        <f t="shared" si="174"/>
        <v>Gastroenterology</v>
      </c>
      <c r="R1130" s="6" t="str">
        <f t="shared" si="175"/>
        <v>Narayana</v>
      </c>
      <c r="S1130" s="6" t="str">
        <f t="shared" si="176"/>
        <v>UPI</v>
      </c>
      <c r="T1130" s="6" t="str">
        <f t="shared" si="177"/>
        <v>Female</v>
      </c>
      <c r="U1130" s="6" t="str">
        <f t="shared" si="180"/>
        <v>ICU</v>
      </c>
      <c r="V1130" s="6" t="str" cm="1">
        <f t="array" ref="V1130">IF(TRIM(S1130)="",INDEX($S$2:$S$1500,MATCH(MAX(COUNTIF($S$2:$S$1500,S1130)),COUNTIF($S$2:$S$1500,$S$2:$S$1500),0)),S1130)</f>
        <v>UPI</v>
      </c>
      <c r="W1130" s="7" cm="1">
        <f t="array" ref="W1130">IF(OR(TRIM(K1130)="",TRIM(K1130)="-"), MEDIAN(IF($E$2:$E$1500=E1130,$K$2:$K$1500)),  VALUE(SUBSTITUTE(SUBSTITUTE(SUBSTITUTE(K1130,"Rs. ",""),"₹",""),",","")))</f>
        <v>87544</v>
      </c>
      <c r="X1130" s="8">
        <f t="shared" si="178"/>
        <v>0</v>
      </c>
      <c r="Y1130" s="7">
        <f t="shared" si="179"/>
        <v>87544</v>
      </c>
      <c r="Z1130" s="9" t="str">
        <f t="shared" si="171"/>
        <v>TEEN</v>
      </c>
    </row>
    <row r="1131" spans="1:26" x14ac:dyDescent="0.3">
      <c r="A1131" s="5" t="s">
        <v>2257</v>
      </c>
      <c r="B1131" s="5" t="s">
        <v>117</v>
      </c>
      <c r="C1131" s="5" t="s">
        <v>127</v>
      </c>
      <c r="D1131" s="5" t="s">
        <v>36</v>
      </c>
      <c r="E1131" s="5" t="s">
        <v>108</v>
      </c>
      <c r="F1131" s="5" t="s">
        <v>109</v>
      </c>
      <c r="G1131" s="5" t="s">
        <v>39</v>
      </c>
      <c r="H1131" s="5">
        <v>59</v>
      </c>
      <c r="I1131" s="5" t="s">
        <v>20</v>
      </c>
      <c r="J1131" s="34" t="s">
        <v>1548</v>
      </c>
      <c r="K1131" s="31" t="s">
        <v>2258</v>
      </c>
      <c r="L1131" s="5" t="s">
        <v>236</v>
      </c>
      <c r="M1131" s="32" t="s">
        <v>198</v>
      </c>
      <c r="N1131" s="6">
        <f t="shared" si="172"/>
        <v>5</v>
      </c>
      <c r="O1131" s="4" t="s">
        <v>109</v>
      </c>
      <c r="P1131" s="5" t="str">
        <f t="shared" si="173"/>
        <v>Chennai</v>
      </c>
      <c r="Q1131" s="5" t="str">
        <f t="shared" si="174"/>
        <v>Orthopedics</v>
      </c>
      <c r="R1131" s="6" t="str">
        <f t="shared" si="175"/>
        <v>Manipal</v>
      </c>
      <c r="S1131" s="6" t="str">
        <f t="shared" si="176"/>
        <v>Debit Card</v>
      </c>
      <c r="T1131" s="6" t="str">
        <f t="shared" si="177"/>
        <v>Male</v>
      </c>
      <c r="U1131" s="6" t="str">
        <f t="shared" si="180"/>
        <v>General</v>
      </c>
      <c r="V1131" s="6" t="str" cm="1">
        <f t="array" ref="V1131">IF(TRIM(S1131)="",INDEX($S$2:$S$1500,MATCH(MAX(COUNTIF($S$2:$S$1500,S1131)),COUNTIF($S$2:$S$1500,$S$2:$S$1500),0)),S1131)</f>
        <v>Debit Card</v>
      </c>
      <c r="W1131" s="7" cm="1">
        <f t="array" ref="W1131">IF(OR(TRIM(K1131)="",TRIM(K1131)="-"), MEDIAN(IF($E$2:$E$1500=E1131,$K$2:$K$1500)),  VALUE(SUBSTITUTE(SUBSTITUTE(SUBSTITUTE(K1131,"Rs. ",""),"₹",""),",","")))</f>
        <v>16123</v>
      </c>
      <c r="X1131" s="8">
        <f t="shared" si="178"/>
        <v>5</v>
      </c>
      <c r="Y1131" s="7">
        <f t="shared" si="179"/>
        <v>15317</v>
      </c>
      <c r="Z1131" s="9" t="str">
        <f t="shared" si="171"/>
        <v>ADULT</v>
      </c>
    </row>
    <row r="1132" spans="1:26" x14ac:dyDescent="0.3">
      <c r="A1132" s="5" t="s">
        <v>2259</v>
      </c>
      <c r="B1132" s="5" t="s">
        <v>78</v>
      </c>
      <c r="C1132" s="5" t="s">
        <v>161</v>
      </c>
      <c r="D1132" s="5" t="s">
        <v>55</v>
      </c>
      <c r="E1132" s="5" t="s">
        <v>99</v>
      </c>
      <c r="F1132" s="5" t="s">
        <v>151</v>
      </c>
      <c r="G1132" s="5" t="s">
        <v>30</v>
      </c>
      <c r="H1132" s="5">
        <v>74</v>
      </c>
      <c r="I1132" s="5" t="s">
        <v>70</v>
      </c>
      <c r="J1132" s="34" t="s">
        <v>276</v>
      </c>
      <c r="K1132" s="31" t="s">
        <v>2260</v>
      </c>
      <c r="L1132" s="5" t="s">
        <v>52</v>
      </c>
      <c r="M1132" s="32" t="s">
        <v>130</v>
      </c>
      <c r="N1132" s="6">
        <f t="shared" si="172"/>
        <v>0</v>
      </c>
      <c r="O1132" s="4" t="s">
        <v>151</v>
      </c>
      <c r="P1132" s="5" t="str">
        <f t="shared" si="173"/>
        <v>Hyderabad</v>
      </c>
      <c r="Q1132" s="5" t="str">
        <f t="shared" si="174"/>
        <v>Ent</v>
      </c>
      <c r="R1132" s="6" t="str">
        <f t="shared" si="175"/>
        <v>Apollo</v>
      </c>
      <c r="S1132" s="6" t="str">
        <f t="shared" si="176"/>
        <v>Credit Card</v>
      </c>
      <c r="T1132" s="6" t="str">
        <f t="shared" si="177"/>
        <v>Female</v>
      </c>
      <c r="U1132" s="6" t="str">
        <f t="shared" si="180"/>
        <v>General</v>
      </c>
      <c r="V1132" s="6" t="str" cm="1">
        <f t="array" ref="V1132">IF(TRIM(S1132)="",INDEX($S$2:$S$1500,MATCH(MAX(COUNTIF($S$2:$S$1500,S1132)),COUNTIF($S$2:$S$1500,$S$2:$S$1500),0)),S1132)</f>
        <v>Credit Card</v>
      </c>
      <c r="W1132" s="7" cm="1">
        <f t="array" ref="W1132">IF(OR(TRIM(K1132)="",TRIM(K1132)="-"), MEDIAN(IF($E$2:$E$1500=E1132,$K$2:$K$1500)),  VALUE(SUBSTITUTE(SUBSTITUTE(SUBSTITUTE(K1132,"Rs. ",""),"₹",""),",","")))</f>
        <v>4989</v>
      </c>
      <c r="X1132" s="8">
        <f t="shared" si="178"/>
        <v>0</v>
      </c>
      <c r="Y1132" s="7">
        <f t="shared" si="179"/>
        <v>4989</v>
      </c>
      <c r="Z1132" s="9" t="str">
        <f t="shared" si="171"/>
        <v>SENIOR</v>
      </c>
    </row>
    <row r="1133" spans="1:26" x14ac:dyDescent="0.3">
      <c r="A1133" s="5" t="s">
        <v>2261</v>
      </c>
      <c r="B1133" s="5" t="s">
        <v>25</v>
      </c>
      <c r="C1133" s="5" t="s">
        <v>54</v>
      </c>
      <c r="D1133" s="5" t="s">
        <v>16</v>
      </c>
      <c r="E1133" s="5" t="s">
        <v>74</v>
      </c>
      <c r="F1133" s="5" t="s">
        <v>147</v>
      </c>
      <c r="G1133" s="5" t="s">
        <v>69</v>
      </c>
      <c r="H1133" s="5">
        <v>59</v>
      </c>
      <c r="I1133" s="5" t="s">
        <v>31</v>
      </c>
      <c r="J1133" s="34" t="s">
        <v>1092</v>
      </c>
      <c r="K1133" s="31" t="s">
        <v>2262</v>
      </c>
      <c r="L1133" s="5" t="s">
        <v>311</v>
      </c>
      <c r="M1133" s="32">
        <v>0</v>
      </c>
      <c r="N1133" s="6">
        <f t="shared" si="172"/>
        <v>0</v>
      </c>
      <c r="O1133" s="4" t="s">
        <v>147</v>
      </c>
      <c r="P1133" s="5" t="str">
        <f t="shared" si="173"/>
        <v>Bangalore</v>
      </c>
      <c r="Q1133" s="5" t="str">
        <f t="shared" si="174"/>
        <v>General Medicine</v>
      </c>
      <c r="R1133" s="6" t="str">
        <f t="shared" si="175"/>
        <v>Narayana</v>
      </c>
      <c r="S1133" s="6" t="str">
        <f t="shared" si="176"/>
        <v>UPI</v>
      </c>
      <c r="T1133" s="6" t="str">
        <f t="shared" si="177"/>
        <v>Male</v>
      </c>
      <c r="U1133" s="6" t="str">
        <f t="shared" si="180"/>
        <v>ICU</v>
      </c>
      <c r="V1133" s="6" t="str" cm="1">
        <f t="array" ref="V1133">IF(TRIM(S1133)="",INDEX($S$2:$S$1500,MATCH(MAX(COUNTIF($S$2:$S$1500,S1133)),COUNTIF($S$2:$S$1500,$S$2:$S$1500),0)),S1133)</f>
        <v>UPI</v>
      </c>
      <c r="W1133" s="7" cm="1">
        <f t="array" ref="W1133">IF(OR(TRIM(K1133)="",TRIM(K1133)="-"), MEDIAN(IF($E$2:$E$1500=E1133,$K$2:$K$1500)),  VALUE(SUBSTITUTE(SUBSTITUTE(SUBSTITUTE(K1133,"Rs. ",""),"₹",""),",","")))</f>
        <v>26636</v>
      </c>
      <c r="X1133" s="8">
        <f t="shared" si="178"/>
        <v>0</v>
      </c>
      <c r="Y1133" s="7">
        <f t="shared" si="179"/>
        <v>26636</v>
      </c>
      <c r="Z1133" s="9" t="str">
        <f t="shared" si="171"/>
        <v>ADULT</v>
      </c>
    </row>
    <row r="1134" spans="1:26" x14ac:dyDescent="0.3">
      <c r="A1134" s="5" t="s">
        <v>2263</v>
      </c>
      <c r="B1134" s="5" t="s">
        <v>25</v>
      </c>
      <c r="C1134" s="5" t="s">
        <v>26</v>
      </c>
      <c r="D1134" s="5" t="s">
        <v>16</v>
      </c>
      <c r="E1134" s="5" t="s">
        <v>37</v>
      </c>
      <c r="F1134" s="5" t="s">
        <v>56</v>
      </c>
      <c r="G1134" s="5" t="s">
        <v>62</v>
      </c>
      <c r="H1134" s="5">
        <v>66</v>
      </c>
      <c r="I1134" s="5" t="s">
        <v>70</v>
      </c>
      <c r="J1134" s="34" t="s">
        <v>712</v>
      </c>
      <c r="K1134" s="31">
        <v>47742</v>
      </c>
      <c r="L1134" s="5" t="s">
        <v>58</v>
      </c>
      <c r="M1134" s="32" t="s">
        <v>76</v>
      </c>
      <c r="N1134" s="6">
        <f t="shared" si="172"/>
        <v>10</v>
      </c>
      <c r="O1134" s="4" t="s">
        <v>56</v>
      </c>
      <c r="P1134" s="5" t="str">
        <f t="shared" si="173"/>
        <v>Bangalore</v>
      </c>
      <c r="Q1134" s="5" t="str">
        <f t="shared" si="174"/>
        <v>Pediatrics</v>
      </c>
      <c r="R1134" s="6" t="str">
        <f t="shared" si="175"/>
        <v>Narayana</v>
      </c>
      <c r="S1134" s="6" t="str">
        <f t="shared" si="176"/>
        <v>UPI</v>
      </c>
      <c r="T1134" s="6" t="str">
        <f t="shared" si="177"/>
        <v>Female</v>
      </c>
      <c r="U1134" s="6" t="str">
        <f t="shared" si="180"/>
        <v>ICU</v>
      </c>
      <c r="V1134" s="6" t="str" cm="1">
        <f t="array" ref="V1134">IF(TRIM(S1134)="",INDEX($S$2:$S$1500,MATCH(MAX(COUNTIF($S$2:$S$1500,S1134)),COUNTIF($S$2:$S$1500,$S$2:$S$1500),0)),S1134)</f>
        <v>UPI</v>
      </c>
      <c r="W1134" s="7" cm="1">
        <f t="array" ref="W1134">IF(OR(TRIM(K1134)="",TRIM(K1134)="-"), MEDIAN(IF($E$2:$E$1500=E1134,$K$2:$K$1500)),  VALUE(SUBSTITUTE(SUBSTITUTE(SUBSTITUTE(K1134,"Rs. ",""),"₹",""),",","")))</f>
        <v>47742</v>
      </c>
      <c r="X1134" s="8">
        <f t="shared" si="178"/>
        <v>10</v>
      </c>
      <c r="Y1134" s="7">
        <f t="shared" si="179"/>
        <v>42968</v>
      </c>
      <c r="Z1134" s="9" t="str">
        <f t="shared" si="171"/>
        <v>SENIOR</v>
      </c>
    </row>
    <row r="1135" spans="1:26" x14ac:dyDescent="0.3">
      <c r="A1135" s="5" t="s">
        <v>2264</v>
      </c>
      <c r="B1135" s="5" t="s">
        <v>106</v>
      </c>
      <c r="C1135" s="5" t="s">
        <v>307</v>
      </c>
      <c r="D1135" s="5" t="s">
        <v>61</v>
      </c>
      <c r="E1135" s="5" t="s">
        <v>164</v>
      </c>
      <c r="F1135" s="5" t="s">
        <v>219</v>
      </c>
      <c r="G1135" s="5" t="s">
        <v>30</v>
      </c>
      <c r="H1135" s="5">
        <v>92</v>
      </c>
      <c r="I1135" s="5" t="s">
        <v>20</v>
      </c>
      <c r="J1135" s="34" t="s">
        <v>387</v>
      </c>
      <c r="K1135" s="31" t="s">
        <v>2265</v>
      </c>
      <c r="L1135" s="5" t="s">
        <v>52</v>
      </c>
      <c r="M1135" s="32" t="s">
        <v>76</v>
      </c>
      <c r="N1135" s="6">
        <f t="shared" si="172"/>
        <v>10</v>
      </c>
      <c r="O1135" s="4" t="s">
        <v>219</v>
      </c>
      <c r="P1135" s="5" t="str">
        <f t="shared" si="173"/>
        <v>Pune</v>
      </c>
      <c r="Q1135" s="5" t="str">
        <f t="shared" si="174"/>
        <v>Cardiology</v>
      </c>
      <c r="R1135" s="6" t="str">
        <f t="shared" si="175"/>
        <v>Aiims</v>
      </c>
      <c r="S1135" s="6" t="str">
        <f t="shared" si="176"/>
        <v>Credit Card</v>
      </c>
      <c r="T1135" s="6" t="str">
        <f t="shared" si="177"/>
        <v>Male</v>
      </c>
      <c r="U1135" s="6" t="str">
        <f t="shared" si="180"/>
        <v>General</v>
      </c>
      <c r="V1135" s="6" t="str" cm="1">
        <f t="array" ref="V1135">IF(TRIM(S1135)="",INDEX($S$2:$S$1500,MATCH(MAX(COUNTIF($S$2:$S$1500,S1135)),COUNTIF($S$2:$S$1500,$S$2:$S$1500),0)),S1135)</f>
        <v>Credit Card</v>
      </c>
      <c r="W1135" s="7" cm="1">
        <f t="array" ref="W1135">IF(OR(TRIM(K1135)="",TRIM(K1135)="-"), MEDIAN(IF($E$2:$E$1500=E1135,$K$2:$K$1500)),  VALUE(SUBSTITUTE(SUBSTITUTE(SUBSTITUTE(K1135,"Rs. ",""),"₹",""),",","")))</f>
        <v>10138</v>
      </c>
      <c r="X1135" s="8">
        <f t="shared" si="178"/>
        <v>10</v>
      </c>
      <c r="Y1135" s="7">
        <f t="shared" si="179"/>
        <v>9124</v>
      </c>
      <c r="Z1135" s="9" t="str">
        <f t="shared" si="171"/>
        <v>SENIOR</v>
      </c>
    </row>
    <row r="1136" spans="1:26" x14ac:dyDescent="0.3">
      <c r="A1136" s="5" t="s">
        <v>2266</v>
      </c>
      <c r="B1136" s="5" t="s">
        <v>45</v>
      </c>
      <c r="C1136" s="5" t="s">
        <v>46</v>
      </c>
      <c r="D1136" s="5" t="s">
        <v>61</v>
      </c>
      <c r="E1136" s="5" t="s">
        <v>99</v>
      </c>
      <c r="F1136" s="5" t="s">
        <v>100</v>
      </c>
      <c r="G1136" s="5" t="s">
        <v>39</v>
      </c>
      <c r="H1136" s="5">
        <v>92</v>
      </c>
      <c r="I1136" s="5" t="s">
        <v>40</v>
      </c>
      <c r="J1136" s="34" t="s">
        <v>2267</v>
      </c>
      <c r="K1136" s="31">
        <v>16652</v>
      </c>
      <c r="L1136" s="5" t="s">
        <v>311</v>
      </c>
      <c r="M1136" s="32" t="s">
        <v>140</v>
      </c>
      <c r="N1136" s="6" t="str">
        <f t="shared" si="172"/>
        <v>-</v>
      </c>
      <c r="O1136" s="4" t="s">
        <v>100</v>
      </c>
      <c r="P1136" s="5" t="str">
        <f t="shared" si="173"/>
        <v>Pune</v>
      </c>
      <c r="Q1136" s="5" t="str">
        <f t="shared" si="174"/>
        <v>Ent</v>
      </c>
      <c r="R1136" s="6" t="str">
        <f t="shared" si="175"/>
        <v>Fortis</v>
      </c>
      <c r="S1136" s="6" t="str">
        <f t="shared" si="176"/>
        <v>UPI</v>
      </c>
      <c r="T1136" s="6" t="str">
        <f t="shared" si="177"/>
        <v>Female</v>
      </c>
      <c r="U1136" s="6" t="str">
        <f t="shared" si="180"/>
        <v>General</v>
      </c>
      <c r="V1136" s="6" t="str" cm="1">
        <f t="array" ref="V1136">IF(TRIM(S1136)="",INDEX($S$2:$S$1500,MATCH(MAX(COUNTIF($S$2:$S$1500,S1136)),COUNTIF($S$2:$S$1500,$S$2:$S$1500),0)),S1136)</f>
        <v>UPI</v>
      </c>
      <c r="W1136" s="7" cm="1">
        <f t="array" ref="W1136">IF(OR(TRIM(K1136)="",TRIM(K1136)="-"), MEDIAN(IF($E$2:$E$1500=E1136,$K$2:$K$1500)),  VALUE(SUBSTITUTE(SUBSTITUTE(SUBSTITUTE(K1136,"Rs. ",""),"₹",""),",","")))</f>
        <v>16652</v>
      </c>
      <c r="X1136" s="8">
        <f t="shared" si="178"/>
        <v>3</v>
      </c>
      <c r="Y1136" s="7">
        <f t="shared" si="179"/>
        <v>16152</v>
      </c>
      <c r="Z1136" s="9" t="str">
        <f t="shared" si="171"/>
        <v>SENIOR</v>
      </c>
    </row>
    <row r="1137" spans="1:26" x14ac:dyDescent="0.3">
      <c r="A1137" s="5" t="s">
        <v>2268</v>
      </c>
      <c r="B1137" s="5" t="s">
        <v>45</v>
      </c>
      <c r="C1137" s="5" t="s">
        <v>334</v>
      </c>
      <c r="D1137" s="5" t="s">
        <v>189</v>
      </c>
      <c r="E1137" s="5" t="s">
        <v>37</v>
      </c>
      <c r="F1137" s="5" t="s">
        <v>132</v>
      </c>
      <c r="G1137" s="5" t="s">
        <v>49</v>
      </c>
      <c r="H1137" s="5">
        <v>9</v>
      </c>
      <c r="I1137" s="5" t="s">
        <v>40</v>
      </c>
      <c r="J1137" s="34" t="s">
        <v>1205</v>
      </c>
      <c r="K1137" s="31"/>
      <c r="L1137" s="5"/>
      <c r="M1137" s="32">
        <v>0</v>
      </c>
      <c r="N1137" s="6">
        <f t="shared" si="172"/>
        <v>0</v>
      </c>
      <c r="O1137" s="4" t="s">
        <v>132</v>
      </c>
      <c r="P1137" s="5" t="str">
        <f t="shared" si="173"/>
        <v>Delhi</v>
      </c>
      <c r="Q1137" s="5" t="str">
        <f t="shared" si="174"/>
        <v>Pediatrics</v>
      </c>
      <c r="R1137" s="6" t="str">
        <f t="shared" si="175"/>
        <v>Fortis</v>
      </c>
      <c r="S1137" s="6" t="str">
        <f t="shared" si="176"/>
        <v>Unknown</v>
      </c>
      <c r="T1137" s="6" t="str">
        <f t="shared" si="177"/>
        <v>Female</v>
      </c>
      <c r="U1137" s="6" t="str">
        <f t="shared" si="180"/>
        <v>General</v>
      </c>
      <c r="V1137" s="6" t="str" cm="1">
        <f t="array" ref="V1137">IF(TRIM(S1137)="",INDEX($S$2:$S$1500,MATCH(MAX(COUNTIF($S$2:$S$1500,S1137)),COUNTIF($S$2:$S$1500,$S$2:$S$1500),0)),S1137)</f>
        <v>Unknown</v>
      </c>
      <c r="W1137" s="7" cm="1">
        <f t="array" ref="W1137">IF(OR(TRIM(K1137)="",TRIM(K1137)="-"), MEDIAN(IF($E$2:$E$1500=E1137,$K$2:$K$1500)),  VALUE(SUBSTITUTE(SUBSTITUTE(SUBSTITUTE(K1137,"Rs. ",""),"₹",""),",","")))</f>
        <v>16050</v>
      </c>
      <c r="X1137" s="8">
        <f t="shared" si="178"/>
        <v>0</v>
      </c>
      <c r="Y1137" s="7">
        <f t="shared" si="179"/>
        <v>16050</v>
      </c>
      <c r="Z1137" s="9" t="str">
        <f t="shared" si="171"/>
        <v>CHILD</v>
      </c>
    </row>
    <row r="1138" spans="1:26" x14ac:dyDescent="0.3">
      <c r="A1138" s="5" t="s">
        <v>2269</v>
      </c>
      <c r="B1138" s="5" t="s">
        <v>106</v>
      </c>
      <c r="C1138" s="5" t="s">
        <v>107</v>
      </c>
      <c r="D1138" s="5" t="s">
        <v>36</v>
      </c>
      <c r="E1138" s="5" t="s">
        <v>37</v>
      </c>
      <c r="F1138" s="5" t="s">
        <v>56</v>
      </c>
      <c r="G1138" s="5" t="s">
        <v>39</v>
      </c>
      <c r="H1138" s="5">
        <v>61</v>
      </c>
      <c r="I1138" s="5" t="s">
        <v>70</v>
      </c>
      <c r="J1138" s="34" t="s">
        <v>500</v>
      </c>
      <c r="K1138" s="31" t="s">
        <v>2270</v>
      </c>
      <c r="L1138" s="5" t="s">
        <v>311</v>
      </c>
      <c r="M1138" s="32" t="s">
        <v>76</v>
      </c>
      <c r="N1138" s="6">
        <f t="shared" si="172"/>
        <v>10</v>
      </c>
      <c r="O1138" s="4" t="s">
        <v>56</v>
      </c>
      <c r="P1138" s="5" t="str">
        <f t="shared" si="173"/>
        <v>Chennai</v>
      </c>
      <c r="Q1138" s="5" t="str">
        <f t="shared" si="174"/>
        <v>Pediatrics</v>
      </c>
      <c r="R1138" s="6" t="str">
        <f t="shared" si="175"/>
        <v>Aiims</v>
      </c>
      <c r="S1138" s="6" t="str">
        <f t="shared" si="176"/>
        <v>UPI</v>
      </c>
      <c r="T1138" s="6" t="str">
        <f t="shared" si="177"/>
        <v>Female</v>
      </c>
      <c r="U1138" s="6" t="str">
        <f t="shared" si="180"/>
        <v>General</v>
      </c>
      <c r="V1138" s="6" t="str" cm="1">
        <f t="array" ref="V1138">IF(TRIM(S1138)="",INDEX($S$2:$S$1500,MATCH(MAX(COUNTIF($S$2:$S$1500,S1138)),COUNTIF($S$2:$S$1500,$S$2:$S$1500),0)),S1138)</f>
        <v>UPI</v>
      </c>
      <c r="W1138" s="7" cm="1">
        <f t="array" ref="W1138">IF(OR(TRIM(K1138)="",TRIM(K1138)="-"), MEDIAN(IF($E$2:$E$1500=E1138,$K$2:$K$1500)),  VALUE(SUBSTITUTE(SUBSTITUTE(SUBSTITUTE(K1138,"Rs. ",""),"₹",""),",","")))</f>
        <v>5082</v>
      </c>
      <c r="X1138" s="8">
        <f t="shared" si="178"/>
        <v>10</v>
      </c>
      <c r="Y1138" s="7">
        <f t="shared" si="179"/>
        <v>4574</v>
      </c>
      <c r="Z1138" s="9" t="str">
        <f t="shared" si="171"/>
        <v>SENIOR</v>
      </c>
    </row>
    <row r="1139" spans="1:26" x14ac:dyDescent="0.3">
      <c r="A1139" s="5" t="s">
        <v>2271</v>
      </c>
      <c r="B1139" s="5" t="s">
        <v>106</v>
      </c>
      <c r="C1139" s="5" t="s">
        <v>107</v>
      </c>
      <c r="D1139" s="5" t="s">
        <v>189</v>
      </c>
      <c r="E1139" s="5" t="s">
        <v>93</v>
      </c>
      <c r="F1139" s="5" t="s">
        <v>207</v>
      </c>
      <c r="G1139" s="5" t="s">
        <v>49</v>
      </c>
      <c r="H1139" s="5">
        <v>79</v>
      </c>
      <c r="I1139" s="5" t="s">
        <v>20</v>
      </c>
      <c r="J1139" s="34" t="s">
        <v>1849</v>
      </c>
      <c r="K1139" s="31" t="s">
        <v>2272</v>
      </c>
      <c r="L1139" s="5" t="s">
        <v>91</v>
      </c>
      <c r="M1139" s="32">
        <v>0</v>
      </c>
      <c r="N1139" s="6">
        <f t="shared" si="172"/>
        <v>0</v>
      </c>
      <c r="O1139" s="4" t="s">
        <v>207</v>
      </c>
      <c r="P1139" s="5" t="str">
        <f t="shared" si="173"/>
        <v>Delhi</v>
      </c>
      <c r="Q1139" s="5" t="str">
        <f t="shared" si="174"/>
        <v>Nephrology</v>
      </c>
      <c r="R1139" s="6" t="str">
        <f t="shared" si="175"/>
        <v>Aiims</v>
      </c>
      <c r="S1139" s="6" t="str">
        <f t="shared" si="176"/>
        <v>Debit Card</v>
      </c>
      <c r="T1139" s="6" t="str">
        <f t="shared" si="177"/>
        <v>Male</v>
      </c>
      <c r="U1139" s="6" t="str">
        <f t="shared" si="180"/>
        <v>General</v>
      </c>
      <c r="V1139" s="6" t="str" cm="1">
        <f t="array" ref="V1139">IF(TRIM(S1139)="",INDEX($S$2:$S$1500,MATCH(MAX(COUNTIF($S$2:$S$1500,S1139)),COUNTIF($S$2:$S$1500,$S$2:$S$1500),0)),S1139)</f>
        <v>Debit Card</v>
      </c>
      <c r="W1139" s="7" cm="1">
        <f t="array" ref="W1139">IF(OR(TRIM(K1139)="",TRIM(K1139)="-"), MEDIAN(IF($E$2:$E$1500=E1139,$K$2:$K$1500)),  VALUE(SUBSTITUTE(SUBSTITUTE(SUBSTITUTE(K1139,"Rs. ",""),"₹",""),",","")))</f>
        <v>14076</v>
      </c>
      <c r="X1139" s="8">
        <f t="shared" si="178"/>
        <v>0</v>
      </c>
      <c r="Y1139" s="7">
        <f t="shared" si="179"/>
        <v>14076</v>
      </c>
      <c r="Z1139" s="9" t="str">
        <f t="shared" si="171"/>
        <v>SENIOR</v>
      </c>
    </row>
    <row r="1140" spans="1:26" x14ac:dyDescent="0.3">
      <c r="A1140" s="5" t="s">
        <v>2273</v>
      </c>
      <c r="B1140" s="5" t="s">
        <v>45</v>
      </c>
      <c r="C1140" s="5" t="s">
        <v>46</v>
      </c>
      <c r="D1140" s="5" t="s">
        <v>36</v>
      </c>
      <c r="E1140" s="5" t="s">
        <v>37</v>
      </c>
      <c r="F1140" s="5" t="s">
        <v>38</v>
      </c>
      <c r="G1140" s="5" t="s">
        <v>62</v>
      </c>
      <c r="H1140" s="5">
        <v>56</v>
      </c>
      <c r="I1140" s="5" t="s">
        <v>20</v>
      </c>
      <c r="J1140" s="34" t="s">
        <v>1854</v>
      </c>
      <c r="K1140" s="31">
        <v>36087</v>
      </c>
      <c r="L1140" s="5" t="s">
        <v>58</v>
      </c>
      <c r="M1140" s="32">
        <v>0</v>
      </c>
      <c r="N1140" s="6">
        <f t="shared" si="172"/>
        <v>0</v>
      </c>
      <c r="O1140" s="4" t="s">
        <v>38</v>
      </c>
      <c r="P1140" s="5" t="str">
        <f t="shared" si="173"/>
        <v>Chennai</v>
      </c>
      <c r="Q1140" s="5" t="str">
        <f t="shared" si="174"/>
        <v>Pediatrics</v>
      </c>
      <c r="R1140" s="6" t="str">
        <f t="shared" si="175"/>
        <v>Fortis</v>
      </c>
      <c r="S1140" s="6" t="str">
        <f t="shared" si="176"/>
        <v>UPI</v>
      </c>
      <c r="T1140" s="6" t="str">
        <f t="shared" si="177"/>
        <v>Male</v>
      </c>
      <c r="U1140" s="6" t="str">
        <f t="shared" si="180"/>
        <v>ICU</v>
      </c>
      <c r="V1140" s="6" t="str" cm="1">
        <f t="array" ref="V1140">IF(TRIM(S1140)="",INDEX($S$2:$S$1500,MATCH(MAX(COUNTIF($S$2:$S$1500,S1140)),COUNTIF($S$2:$S$1500,$S$2:$S$1500),0)),S1140)</f>
        <v>UPI</v>
      </c>
      <c r="W1140" s="7" cm="1">
        <f t="array" ref="W1140">IF(OR(TRIM(K1140)="",TRIM(K1140)="-"), MEDIAN(IF($E$2:$E$1500=E1140,$K$2:$K$1500)),  VALUE(SUBSTITUTE(SUBSTITUTE(SUBSTITUTE(K1140,"Rs. ",""),"₹",""),",","")))</f>
        <v>36087</v>
      </c>
      <c r="X1140" s="8">
        <f t="shared" si="178"/>
        <v>0</v>
      </c>
      <c r="Y1140" s="7">
        <f t="shared" si="179"/>
        <v>36087</v>
      </c>
      <c r="Z1140" s="9" t="str">
        <f t="shared" si="171"/>
        <v>ADULT</v>
      </c>
    </row>
    <row r="1141" spans="1:26" x14ac:dyDescent="0.3">
      <c r="A1141" s="5" t="s">
        <v>2274</v>
      </c>
      <c r="B1141" s="5" t="s">
        <v>14</v>
      </c>
      <c r="C1141" s="5" t="s">
        <v>60</v>
      </c>
      <c r="D1141" s="5" t="s">
        <v>27</v>
      </c>
      <c r="E1141" s="5" t="s">
        <v>108</v>
      </c>
      <c r="F1141" s="5" t="s">
        <v>272</v>
      </c>
      <c r="G1141" s="5" t="s">
        <v>30</v>
      </c>
      <c r="H1141" s="5">
        <v>17</v>
      </c>
      <c r="I1141" s="5" t="s">
        <v>70</v>
      </c>
      <c r="J1141" s="34" t="s">
        <v>2275</v>
      </c>
      <c r="K1141" s="31">
        <v>6823</v>
      </c>
      <c r="L1141" s="5" t="s">
        <v>236</v>
      </c>
      <c r="M1141" s="32">
        <v>0.1</v>
      </c>
      <c r="N1141" s="6">
        <f t="shared" si="172"/>
        <v>10</v>
      </c>
      <c r="O1141" s="4" t="s">
        <v>272</v>
      </c>
      <c r="P1141" s="5" t="str">
        <f t="shared" si="173"/>
        <v>Mumbai</v>
      </c>
      <c r="Q1141" s="5" t="str">
        <f t="shared" si="174"/>
        <v>Orthopedics</v>
      </c>
      <c r="R1141" s="6" t="str">
        <f t="shared" si="175"/>
        <v>Max_Healthcare</v>
      </c>
      <c r="S1141" s="6" t="str">
        <f t="shared" si="176"/>
        <v>Debit Card</v>
      </c>
      <c r="T1141" s="6" t="str">
        <f t="shared" si="177"/>
        <v>Female</v>
      </c>
      <c r="U1141" s="6" t="str">
        <f t="shared" si="180"/>
        <v>General</v>
      </c>
      <c r="V1141" s="6" t="str" cm="1">
        <f t="array" ref="V1141">IF(TRIM(S1141)="",INDEX($S$2:$S$1500,MATCH(MAX(COUNTIF($S$2:$S$1500,S1141)),COUNTIF($S$2:$S$1500,$S$2:$S$1500),0)),S1141)</f>
        <v>Debit Card</v>
      </c>
      <c r="W1141" s="7" cm="1">
        <f t="array" ref="W1141">IF(OR(TRIM(K1141)="",TRIM(K1141)="-"), MEDIAN(IF($E$2:$E$1500=E1141,$K$2:$K$1500)),  VALUE(SUBSTITUTE(SUBSTITUTE(SUBSTITUTE(K1141,"Rs. ",""),"₹",""),",","")))</f>
        <v>6823</v>
      </c>
      <c r="X1141" s="8">
        <f t="shared" si="178"/>
        <v>10</v>
      </c>
      <c r="Y1141" s="7">
        <f t="shared" si="179"/>
        <v>6141</v>
      </c>
      <c r="Z1141" s="9" t="str">
        <f t="shared" si="171"/>
        <v>TEEN</v>
      </c>
    </row>
    <row r="1142" spans="1:26" x14ac:dyDescent="0.3">
      <c r="A1142" s="5" t="s">
        <v>2276</v>
      </c>
      <c r="B1142" s="5" t="s">
        <v>25</v>
      </c>
      <c r="C1142" s="5" t="s">
        <v>54</v>
      </c>
      <c r="D1142" s="5" t="s">
        <v>27</v>
      </c>
      <c r="E1142" s="5" t="s">
        <v>17</v>
      </c>
      <c r="F1142" s="5" t="s">
        <v>169</v>
      </c>
      <c r="G1142" s="5" t="s">
        <v>49</v>
      </c>
      <c r="H1142" s="5">
        <v>91</v>
      </c>
      <c r="I1142" s="5" t="s">
        <v>20</v>
      </c>
      <c r="J1142" s="34" t="s">
        <v>50</v>
      </c>
      <c r="K1142" s="31" t="s">
        <v>2277</v>
      </c>
      <c r="L1142" s="5" t="s">
        <v>72</v>
      </c>
      <c r="M1142" s="32">
        <v>5</v>
      </c>
      <c r="N1142" s="6">
        <f t="shared" si="172"/>
        <v>5</v>
      </c>
      <c r="O1142" s="4" t="s">
        <v>169</v>
      </c>
      <c r="P1142" s="5" t="str">
        <f t="shared" si="173"/>
        <v>Mumbai</v>
      </c>
      <c r="Q1142" s="5" t="str">
        <f t="shared" si="174"/>
        <v>Gynecology</v>
      </c>
      <c r="R1142" s="6" t="str">
        <f t="shared" si="175"/>
        <v>Narayana</v>
      </c>
      <c r="S1142" s="6" t="str">
        <f t="shared" si="176"/>
        <v>Cash</v>
      </c>
      <c r="T1142" s="6" t="str">
        <f t="shared" si="177"/>
        <v>Male</v>
      </c>
      <c r="U1142" s="6" t="str">
        <f t="shared" si="180"/>
        <v>General</v>
      </c>
      <c r="V1142" s="6" t="str" cm="1">
        <f t="array" ref="V1142">IF(TRIM(S1142)="",INDEX($S$2:$S$1500,MATCH(MAX(COUNTIF($S$2:$S$1500,S1142)),COUNTIF($S$2:$S$1500,$S$2:$S$1500),0)),S1142)</f>
        <v>Cash</v>
      </c>
      <c r="W1142" s="7" cm="1">
        <f t="array" ref="W1142">IF(OR(TRIM(K1142)="",TRIM(K1142)="-"), MEDIAN(IF($E$2:$E$1500=E1142,$K$2:$K$1500)),  VALUE(SUBSTITUTE(SUBSTITUTE(SUBSTITUTE(K1142,"Rs. ",""),"₹",""),",","")))</f>
        <v>18495</v>
      </c>
      <c r="X1142" s="8">
        <f t="shared" si="178"/>
        <v>5</v>
      </c>
      <c r="Y1142" s="7">
        <f t="shared" si="179"/>
        <v>17570</v>
      </c>
      <c r="Z1142" s="9" t="str">
        <f t="shared" si="171"/>
        <v>SENIOR</v>
      </c>
    </row>
    <row r="1143" spans="1:26" x14ac:dyDescent="0.3">
      <c r="A1143" s="5" t="s">
        <v>2278</v>
      </c>
      <c r="B1143" s="5" t="s">
        <v>117</v>
      </c>
      <c r="C1143" s="5" t="s">
        <v>118</v>
      </c>
      <c r="D1143" s="5" t="s">
        <v>27</v>
      </c>
      <c r="E1143" s="5" t="s">
        <v>74</v>
      </c>
      <c r="F1143" s="5" t="s">
        <v>192</v>
      </c>
      <c r="G1143" s="5" t="s">
        <v>30</v>
      </c>
      <c r="H1143" s="5">
        <v>6</v>
      </c>
      <c r="I1143" s="5" t="s">
        <v>70</v>
      </c>
      <c r="J1143" s="34" t="s">
        <v>795</v>
      </c>
      <c r="K1143" s="31">
        <v>4727</v>
      </c>
      <c r="L1143" s="5" t="s">
        <v>236</v>
      </c>
      <c r="M1143" s="32"/>
      <c r="N1143" s="6">
        <f t="shared" si="172"/>
        <v>0</v>
      </c>
      <c r="O1143" s="4" t="s">
        <v>192</v>
      </c>
      <c r="P1143" s="5" t="str">
        <f t="shared" si="173"/>
        <v>Mumbai</v>
      </c>
      <c r="Q1143" s="5" t="str">
        <f t="shared" si="174"/>
        <v>General Medicine</v>
      </c>
      <c r="R1143" s="6" t="str">
        <f t="shared" si="175"/>
        <v>Manipal</v>
      </c>
      <c r="S1143" s="6" t="str">
        <f t="shared" si="176"/>
        <v>Debit Card</v>
      </c>
      <c r="T1143" s="6" t="str">
        <f t="shared" si="177"/>
        <v>Female</v>
      </c>
      <c r="U1143" s="6" t="str">
        <f t="shared" si="180"/>
        <v>General</v>
      </c>
      <c r="V1143" s="6" t="str" cm="1">
        <f t="array" ref="V1143">IF(TRIM(S1143)="",INDEX($S$2:$S$1500,MATCH(MAX(COUNTIF($S$2:$S$1500,S1143)),COUNTIF($S$2:$S$1500,$S$2:$S$1500),0)),S1143)</f>
        <v>Debit Card</v>
      </c>
      <c r="W1143" s="7" cm="1">
        <f t="array" ref="W1143">IF(OR(TRIM(K1143)="",TRIM(K1143)="-"), MEDIAN(IF($E$2:$E$1500=E1143,$K$2:$K$1500)),  VALUE(SUBSTITUTE(SUBSTITUTE(SUBSTITUTE(K1143,"Rs. ",""),"₹",""),",","")))</f>
        <v>4727</v>
      </c>
      <c r="X1143" s="8">
        <f t="shared" si="178"/>
        <v>0</v>
      </c>
      <c r="Y1143" s="7">
        <f t="shared" si="179"/>
        <v>4727</v>
      </c>
      <c r="Z1143" s="9" t="str">
        <f t="shared" si="171"/>
        <v>CHILD</v>
      </c>
    </row>
    <row r="1144" spans="1:26" x14ac:dyDescent="0.3">
      <c r="A1144" s="5" t="s">
        <v>2279</v>
      </c>
      <c r="B1144" s="5" t="s">
        <v>106</v>
      </c>
      <c r="C1144" s="5" t="s">
        <v>107</v>
      </c>
      <c r="D1144" s="5" t="s">
        <v>27</v>
      </c>
      <c r="E1144" s="5" t="s">
        <v>93</v>
      </c>
      <c r="F1144" s="5" t="s">
        <v>94</v>
      </c>
      <c r="G1144" s="5" t="s">
        <v>69</v>
      </c>
      <c r="H1144" s="5">
        <v>1</v>
      </c>
      <c r="I1144" s="5" t="s">
        <v>31</v>
      </c>
      <c r="J1144" s="34" t="s">
        <v>2054</v>
      </c>
      <c r="K1144" s="31" t="s">
        <v>2280</v>
      </c>
      <c r="L1144" s="5" t="s">
        <v>97</v>
      </c>
      <c r="M1144" s="32" t="s">
        <v>198</v>
      </c>
      <c r="N1144" s="6">
        <f t="shared" si="172"/>
        <v>5</v>
      </c>
      <c r="O1144" s="4" t="s">
        <v>94</v>
      </c>
      <c r="P1144" s="5" t="str">
        <f t="shared" si="173"/>
        <v>Mumbai</v>
      </c>
      <c r="Q1144" s="5" t="str">
        <f t="shared" si="174"/>
        <v>Nephrology</v>
      </c>
      <c r="R1144" s="6" t="str">
        <f t="shared" si="175"/>
        <v>Aiims</v>
      </c>
      <c r="S1144" s="6" t="str">
        <f t="shared" si="176"/>
        <v>UPI</v>
      </c>
      <c r="T1144" s="6" t="str">
        <f t="shared" si="177"/>
        <v>Male</v>
      </c>
      <c r="U1144" s="6" t="str">
        <f t="shared" si="180"/>
        <v>ICU</v>
      </c>
      <c r="V1144" s="6" t="str" cm="1">
        <f t="array" ref="V1144">IF(TRIM(S1144)="",INDEX($S$2:$S$1500,MATCH(MAX(COUNTIF($S$2:$S$1500,S1144)),COUNTIF($S$2:$S$1500,$S$2:$S$1500),0)),S1144)</f>
        <v>UPI</v>
      </c>
      <c r="W1144" s="7" cm="1">
        <f t="array" ref="W1144">IF(OR(TRIM(K1144)="",TRIM(K1144)="-"), MEDIAN(IF($E$2:$E$1500=E1144,$K$2:$K$1500)),  VALUE(SUBSTITUTE(SUBSTITUTE(SUBSTITUTE(K1144,"Rs. ",""),"₹",""),",","")))</f>
        <v>27061</v>
      </c>
      <c r="X1144" s="8">
        <f t="shared" si="178"/>
        <v>5</v>
      </c>
      <c r="Y1144" s="7">
        <f t="shared" si="179"/>
        <v>25708</v>
      </c>
      <c r="Z1144" s="9" t="str">
        <f t="shared" si="171"/>
        <v>CHILD</v>
      </c>
    </row>
    <row r="1145" spans="1:26" x14ac:dyDescent="0.3">
      <c r="A1145" s="5" t="s">
        <v>2281</v>
      </c>
      <c r="B1145" s="5" t="s">
        <v>25</v>
      </c>
      <c r="C1145" s="5" t="s">
        <v>54</v>
      </c>
      <c r="D1145" s="5" t="s">
        <v>16</v>
      </c>
      <c r="E1145" s="5" t="s">
        <v>17</v>
      </c>
      <c r="F1145" s="5" t="s">
        <v>18</v>
      </c>
      <c r="G1145" s="5"/>
      <c r="H1145" s="5">
        <v>51</v>
      </c>
      <c r="I1145" s="5" t="s">
        <v>70</v>
      </c>
      <c r="J1145" s="34" t="s">
        <v>2282</v>
      </c>
      <c r="K1145" s="31">
        <v>5788</v>
      </c>
      <c r="L1145" s="5" t="s">
        <v>115</v>
      </c>
      <c r="M1145" s="32">
        <v>0</v>
      </c>
      <c r="N1145" s="6">
        <f t="shared" si="172"/>
        <v>0</v>
      </c>
      <c r="O1145" s="4" t="s">
        <v>18</v>
      </c>
      <c r="P1145" s="5" t="str">
        <f t="shared" si="173"/>
        <v>Bangalore</v>
      </c>
      <c r="Q1145" s="5" t="str">
        <f t="shared" si="174"/>
        <v>Gynecology</v>
      </c>
      <c r="R1145" s="6" t="str">
        <f t="shared" si="175"/>
        <v>Narayana</v>
      </c>
      <c r="S1145" s="6" t="str">
        <f t="shared" si="176"/>
        <v>Cash</v>
      </c>
      <c r="T1145" s="6" t="str">
        <f t="shared" si="177"/>
        <v>Female</v>
      </c>
      <c r="U1145" s="6" t="str">
        <f t="shared" si="180"/>
        <v>Unknown</v>
      </c>
      <c r="V1145" s="6" t="str" cm="1">
        <f t="array" ref="V1145">IF(TRIM(S1145)="",INDEX($S$2:$S$1500,MATCH(MAX(COUNTIF($S$2:$S$1500,S1145)),COUNTIF($S$2:$S$1500,$S$2:$S$1500),0)),S1145)</f>
        <v>Cash</v>
      </c>
      <c r="W1145" s="7" cm="1">
        <f t="array" ref="W1145">IF(OR(TRIM(K1145)="",TRIM(K1145)="-"), MEDIAN(IF($E$2:$E$1500=E1145,$K$2:$K$1500)),  VALUE(SUBSTITUTE(SUBSTITUTE(SUBSTITUTE(K1145,"Rs. ",""),"₹",""),",","")))</f>
        <v>5788</v>
      </c>
      <c r="X1145" s="8">
        <f t="shared" si="178"/>
        <v>0</v>
      </c>
      <c r="Y1145" s="7">
        <f t="shared" si="179"/>
        <v>5788</v>
      </c>
      <c r="Z1145" s="9" t="str">
        <f t="shared" si="171"/>
        <v>ADULT</v>
      </c>
    </row>
    <row r="1146" spans="1:26" x14ac:dyDescent="0.3">
      <c r="A1146" s="5" t="s">
        <v>2283</v>
      </c>
      <c r="B1146" s="5" t="s">
        <v>117</v>
      </c>
      <c r="C1146" s="5" t="s">
        <v>118</v>
      </c>
      <c r="D1146" s="5" t="s">
        <v>27</v>
      </c>
      <c r="E1146" s="5" t="s">
        <v>67</v>
      </c>
      <c r="F1146" s="5" t="s">
        <v>68</v>
      </c>
      <c r="G1146" s="5" t="s">
        <v>39</v>
      </c>
      <c r="H1146" s="5">
        <v>20</v>
      </c>
      <c r="I1146" s="5" t="s">
        <v>20</v>
      </c>
      <c r="J1146" s="34" t="s">
        <v>1253</v>
      </c>
      <c r="K1146" s="31">
        <v>9067</v>
      </c>
      <c r="L1146" s="5"/>
      <c r="M1146" s="32" t="s">
        <v>76</v>
      </c>
      <c r="N1146" s="6">
        <f t="shared" si="172"/>
        <v>10</v>
      </c>
      <c r="O1146" s="4" t="s">
        <v>68</v>
      </c>
      <c r="P1146" s="5" t="str">
        <f t="shared" si="173"/>
        <v>Mumbai</v>
      </c>
      <c r="Q1146" s="5" t="str">
        <f t="shared" si="174"/>
        <v>Neurology</v>
      </c>
      <c r="R1146" s="6" t="str">
        <f t="shared" si="175"/>
        <v>Manipal</v>
      </c>
      <c r="S1146" s="6" t="str">
        <f t="shared" si="176"/>
        <v>Unknown</v>
      </c>
      <c r="T1146" s="6" t="str">
        <f t="shared" si="177"/>
        <v>Male</v>
      </c>
      <c r="U1146" s="6" t="str">
        <f t="shared" si="180"/>
        <v>General</v>
      </c>
      <c r="V1146" s="6" t="str" cm="1">
        <f t="array" ref="V1146">IF(TRIM(S1146)="",INDEX($S$2:$S$1500,MATCH(MAX(COUNTIF($S$2:$S$1500,S1146)),COUNTIF($S$2:$S$1500,$S$2:$S$1500),0)),S1146)</f>
        <v>Unknown</v>
      </c>
      <c r="W1146" s="7" cm="1">
        <f t="array" ref="W1146">IF(OR(TRIM(K1146)="",TRIM(K1146)="-"), MEDIAN(IF($E$2:$E$1500=E1146,$K$2:$K$1500)),  VALUE(SUBSTITUTE(SUBSTITUTE(SUBSTITUTE(K1146,"Rs. ",""),"₹",""),",","")))</f>
        <v>9067</v>
      </c>
      <c r="X1146" s="8">
        <f t="shared" si="178"/>
        <v>10</v>
      </c>
      <c r="Y1146" s="7">
        <f t="shared" si="179"/>
        <v>8160</v>
      </c>
      <c r="Z1146" s="9" t="str">
        <f t="shared" si="171"/>
        <v>ADULT</v>
      </c>
    </row>
    <row r="1147" spans="1:26" x14ac:dyDescent="0.3">
      <c r="A1147" s="5" t="s">
        <v>2284</v>
      </c>
      <c r="B1147" s="5" t="s">
        <v>106</v>
      </c>
      <c r="C1147" s="5" t="s">
        <v>107</v>
      </c>
      <c r="D1147" s="5" t="s">
        <v>27</v>
      </c>
      <c r="E1147" s="5" t="s">
        <v>67</v>
      </c>
      <c r="F1147" s="5" t="s">
        <v>68</v>
      </c>
      <c r="G1147" s="5" t="s">
        <v>30</v>
      </c>
      <c r="H1147" s="5">
        <v>72</v>
      </c>
      <c r="I1147" s="5" t="s">
        <v>20</v>
      </c>
      <c r="J1147" s="34" t="s">
        <v>488</v>
      </c>
      <c r="K1147" s="31" t="s">
        <v>2285</v>
      </c>
      <c r="L1147" s="5" t="s">
        <v>115</v>
      </c>
      <c r="M1147" s="32" t="s">
        <v>130</v>
      </c>
      <c r="N1147" s="6">
        <f t="shared" si="172"/>
        <v>0</v>
      </c>
      <c r="O1147" s="4" t="s">
        <v>68</v>
      </c>
      <c r="P1147" s="5" t="str">
        <f t="shared" si="173"/>
        <v>Mumbai</v>
      </c>
      <c r="Q1147" s="5" t="str">
        <f t="shared" si="174"/>
        <v>Neurology</v>
      </c>
      <c r="R1147" s="6" t="str">
        <f t="shared" si="175"/>
        <v>Aiims</v>
      </c>
      <c r="S1147" s="6" t="str">
        <f t="shared" si="176"/>
        <v>Cash</v>
      </c>
      <c r="T1147" s="6" t="str">
        <f t="shared" si="177"/>
        <v>Male</v>
      </c>
      <c r="U1147" s="6" t="str">
        <f t="shared" si="180"/>
        <v>General</v>
      </c>
      <c r="V1147" s="6" t="str" cm="1">
        <f t="array" ref="V1147">IF(TRIM(S1147)="",INDEX($S$2:$S$1500,MATCH(MAX(COUNTIF($S$2:$S$1500,S1147)),COUNTIF($S$2:$S$1500,$S$2:$S$1500),0)),S1147)</f>
        <v>Cash</v>
      </c>
      <c r="W1147" s="7" cm="1">
        <f t="array" ref="W1147">IF(OR(TRIM(K1147)="",TRIM(K1147)="-"), MEDIAN(IF($E$2:$E$1500=E1147,$K$2:$K$1500)),  VALUE(SUBSTITUTE(SUBSTITUTE(SUBSTITUTE(K1147,"Rs. ",""),"₹",""),",","")))</f>
        <v>14222</v>
      </c>
      <c r="X1147" s="8">
        <f t="shared" si="178"/>
        <v>0</v>
      </c>
      <c r="Y1147" s="7">
        <f t="shared" si="179"/>
        <v>14222</v>
      </c>
      <c r="Z1147" s="9" t="str">
        <f t="shared" si="171"/>
        <v>SENIOR</v>
      </c>
    </row>
    <row r="1148" spans="1:26" x14ac:dyDescent="0.3">
      <c r="A1148" s="5" t="s">
        <v>2286</v>
      </c>
      <c r="B1148" s="5" t="s">
        <v>45</v>
      </c>
      <c r="C1148" s="5" t="s">
        <v>46</v>
      </c>
      <c r="D1148" s="5" t="s">
        <v>61</v>
      </c>
      <c r="E1148" s="5" t="s">
        <v>164</v>
      </c>
      <c r="F1148" s="5" t="s">
        <v>233</v>
      </c>
      <c r="G1148" s="5" t="s">
        <v>69</v>
      </c>
      <c r="H1148" s="5">
        <v>43</v>
      </c>
      <c r="I1148" s="5" t="s">
        <v>40</v>
      </c>
      <c r="J1148" s="34" t="s">
        <v>426</v>
      </c>
      <c r="K1148" s="31" t="s">
        <v>2287</v>
      </c>
      <c r="L1148" s="5" t="s">
        <v>104</v>
      </c>
      <c r="M1148" s="32" t="s">
        <v>198</v>
      </c>
      <c r="N1148" s="6">
        <f t="shared" si="172"/>
        <v>5</v>
      </c>
      <c r="O1148" s="4" t="s">
        <v>233</v>
      </c>
      <c r="P1148" s="5" t="str">
        <f t="shared" si="173"/>
        <v>Pune</v>
      </c>
      <c r="Q1148" s="5" t="str">
        <f t="shared" si="174"/>
        <v>Cardiology</v>
      </c>
      <c r="R1148" s="6" t="str">
        <f t="shared" si="175"/>
        <v>Fortis</v>
      </c>
      <c r="S1148" s="6" t="str">
        <f t="shared" si="176"/>
        <v>Insurance</v>
      </c>
      <c r="T1148" s="6" t="str">
        <f t="shared" si="177"/>
        <v>Female</v>
      </c>
      <c r="U1148" s="6" t="str">
        <f t="shared" si="180"/>
        <v>ICU</v>
      </c>
      <c r="V1148" s="6" t="str" cm="1">
        <f t="array" ref="V1148">IF(TRIM(S1148)="",INDEX($S$2:$S$1500,MATCH(MAX(COUNTIF($S$2:$S$1500,S1148)),COUNTIF($S$2:$S$1500,$S$2:$S$1500),0)),S1148)</f>
        <v>Insurance</v>
      </c>
      <c r="W1148" s="7" cm="1">
        <f t="array" ref="W1148">IF(OR(TRIM(K1148)="",TRIM(K1148)="-"), MEDIAN(IF($E$2:$E$1500=E1148,$K$2:$K$1500)),  VALUE(SUBSTITUTE(SUBSTITUTE(SUBSTITUTE(K1148,"Rs. ",""),"₹",""),",","")))</f>
        <v>83565</v>
      </c>
      <c r="X1148" s="8">
        <f t="shared" si="178"/>
        <v>5</v>
      </c>
      <c r="Y1148" s="7">
        <f t="shared" si="179"/>
        <v>79387</v>
      </c>
      <c r="Z1148" s="9" t="str">
        <f t="shared" si="171"/>
        <v>ADULT</v>
      </c>
    </row>
    <row r="1149" spans="1:26" x14ac:dyDescent="0.3">
      <c r="A1149" s="5" t="s">
        <v>2288</v>
      </c>
      <c r="B1149" s="5" t="s">
        <v>45</v>
      </c>
      <c r="C1149" s="5" t="s">
        <v>46</v>
      </c>
      <c r="D1149" s="5" t="s">
        <v>16</v>
      </c>
      <c r="E1149" s="5" t="s">
        <v>28</v>
      </c>
      <c r="F1149" s="5" t="s">
        <v>29</v>
      </c>
      <c r="G1149" s="5" t="s">
        <v>62</v>
      </c>
      <c r="H1149" s="5">
        <v>21</v>
      </c>
      <c r="I1149" s="5" t="s">
        <v>31</v>
      </c>
      <c r="J1149" s="34" t="s">
        <v>1021</v>
      </c>
      <c r="K1149" s="31">
        <v>87239</v>
      </c>
      <c r="L1149" s="5" t="s">
        <v>42</v>
      </c>
      <c r="M1149" s="32" t="s">
        <v>64</v>
      </c>
      <c r="N1149" s="6" t="str">
        <f t="shared" si="172"/>
        <v>NA</v>
      </c>
      <c r="O1149" s="4" t="s">
        <v>29</v>
      </c>
      <c r="P1149" s="5" t="str">
        <f t="shared" si="173"/>
        <v>Bangalore</v>
      </c>
      <c r="Q1149" s="5" t="str">
        <f t="shared" si="174"/>
        <v>Oncology</v>
      </c>
      <c r="R1149" s="6" t="str">
        <f t="shared" si="175"/>
        <v>Fortis</v>
      </c>
      <c r="S1149" s="6" t="str">
        <f t="shared" si="176"/>
        <v>Insurance</v>
      </c>
      <c r="T1149" s="6" t="str">
        <f t="shared" si="177"/>
        <v>Male</v>
      </c>
      <c r="U1149" s="6" t="str">
        <f t="shared" si="180"/>
        <v>ICU</v>
      </c>
      <c r="V1149" s="6" t="str" cm="1">
        <f t="array" ref="V1149">IF(TRIM(S1149)="",INDEX($S$2:$S$1500,MATCH(MAX(COUNTIF($S$2:$S$1500,S1149)),COUNTIF($S$2:$S$1500,$S$2:$S$1500),0)),S1149)</f>
        <v>Insurance</v>
      </c>
      <c r="W1149" s="7" cm="1">
        <f t="array" ref="W1149">IF(OR(TRIM(K1149)="",TRIM(K1149)="-"), MEDIAN(IF($E$2:$E$1500=E1149,$K$2:$K$1500)),  VALUE(SUBSTITUTE(SUBSTITUTE(SUBSTITUTE(K1149,"Rs. ",""),"₹",""),",","")))</f>
        <v>87239</v>
      </c>
      <c r="X1149" s="8">
        <f t="shared" si="178"/>
        <v>19</v>
      </c>
      <c r="Y1149" s="7">
        <f t="shared" si="179"/>
        <v>70664</v>
      </c>
      <c r="Z1149" s="9" t="str">
        <f t="shared" si="171"/>
        <v>ADULT</v>
      </c>
    </row>
    <row r="1150" spans="1:26" x14ac:dyDescent="0.3">
      <c r="A1150" s="5" t="s">
        <v>2289</v>
      </c>
      <c r="B1150" s="5" t="s">
        <v>14</v>
      </c>
      <c r="C1150" s="5" t="s">
        <v>60</v>
      </c>
      <c r="D1150" s="5" t="s">
        <v>55</v>
      </c>
      <c r="E1150" s="5" t="s">
        <v>37</v>
      </c>
      <c r="F1150" s="5" t="s">
        <v>56</v>
      </c>
      <c r="G1150" s="5" t="s">
        <v>69</v>
      </c>
      <c r="H1150" s="5">
        <v>64</v>
      </c>
      <c r="I1150" s="5" t="s">
        <v>20</v>
      </c>
      <c r="J1150" s="34" t="s">
        <v>2290</v>
      </c>
      <c r="K1150" s="31" t="s">
        <v>2291</v>
      </c>
      <c r="L1150" s="5" t="s">
        <v>211</v>
      </c>
      <c r="M1150" s="32">
        <v>0</v>
      </c>
      <c r="N1150" s="6">
        <f t="shared" si="172"/>
        <v>0</v>
      </c>
      <c r="O1150" s="4" t="s">
        <v>56</v>
      </c>
      <c r="P1150" s="5" t="str">
        <f t="shared" si="173"/>
        <v>Hyderabad</v>
      </c>
      <c r="Q1150" s="5" t="str">
        <f t="shared" si="174"/>
        <v>Pediatrics</v>
      </c>
      <c r="R1150" s="6" t="str">
        <f t="shared" si="175"/>
        <v>Max_Healthcare</v>
      </c>
      <c r="S1150" s="6" t="str">
        <f t="shared" si="176"/>
        <v>Credit Card</v>
      </c>
      <c r="T1150" s="6" t="str">
        <f t="shared" si="177"/>
        <v>Male</v>
      </c>
      <c r="U1150" s="6" t="str">
        <f t="shared" si="180"/>
        <v>ICU</v>
      </c>
      <c r="V1150" s="6" t="str" cm="1">
        <f t="array" ref="V1150">IF(TRIM(S1150)="",INDEX($S$2:$S$1500,MATCH(MAX(COUNTIF($S$2:$S$1500,S1150)),COUNTIF($S$2:$S$1500,$S$2:$S$1500),0)),S1150)</f>
        <v>Credit Card</v>
      </c>
      <c r="W1150" s="7" cm="1">
        <f t="array" ref="W1150">IF(OR(TRIM(K1150)="",TRIM(K1150)="-"), MEDIAN(IF($E$2:$E$1500=E1150,$K$2:$K$1500)),  VALUE(SUBSTITUTE(SUBSTITUTE(SUBSTITUTE(K1150,"Rs. ",""),"₹",""),",","")))</f>
        <v>80266</v>
      </c>
      <c r="X1150" s="8">
        <f t="shared" si="178"/>
        <v>0</v>
      </c>
      <c r="Y1150" s="7">
        <f t="shared" si="179"/>
        <v>80266</v>
      </c>
      <c r="Z1150" s="9" t="str">
        <f t="shared" si="171"/>
        <v>SENIOR</v>
      </c>
    </row>
    <row r="1151" spans="1:26" x14ac:dyDescent="0.3">
      <c r="A1151" s="5" t="s">
        <v>2292</v>
      </c>
      <c r="B1151" s="5" t="s">
        <v>78</v>
      </c>
      <c r="C1151" s="5" t="s">
        <v>161</v>
      </c>
      <c r="D1151" s="5" t="s">
        <v>61</v>
      </c>
      <c r="E1151" s="5" t="s">
        <v>74</v>
      </c>
      <c r="F1151" s="5" t="s">
        <v>147</v>
      </c>
      <c r="G1151" s="5" t="s">
        <v>62</v>
      </c>
      <c r="H1151" s="5">
        <v>82</v>
      </c>
      <c r="I1151" s="5" t="s">
        <v>70</v>
      </c>
      <c r="J1151" s="34" t="s">
        <v>1829</v>
      </c>
      <c r="K1151" s="31">
        <v>22297</v>
      </c>
      <c r="L1151" s="5" t="s">
        <v>97</v>
      </c>
      <c r="M1151" s="32" t="s">
        <v>76</v>
      </c>
      <c r="N1151" s="6">
        <f t="shared" si="172"/>
        <v>10</v>
      </c>
      <c r="O1151" s="4" t="s">
        <v>147</v>
      </c>
      <c r="P1151" s="5" t="str">
        <f t="shared" si="173"/>
        <v>Pune</v>
      </c>
      <c r="Q1151" s="5" t="str">
        <f t="shared" si="174"/>
        <v>General Medicine</v>
      </c>
      <c r="R1151" s="6" t="str">
        <f t="shared" si="175"/>
        <v>Apollo</v>
      </c>
      <c r="S1151" s="6" t="str">
        <f t="shared" si="176"/>
        <v>UPI</v>
      </c>
      <c r="T1151" s="6" t="str">
        <f t="shared" si="177"/>
        <v>Female</v>
      </c>
      <c r="U1151" s="6" t="str">
        <f t="shared" si="180"/>
        <v>ICU</v>
      </c>
      <c r="V1151" s="6" t="str" cm="1">
        <f t="array" ref="V1151">IF(TRIM(S1151)="",INDEX($S$2:$S$1500,MATCH(MAX(COUNTIF($S$2:$S$1500,S1151)),COUNTIF($S$2:$S$1500,$S$2:$S$1500),0)),S1151)</f>
        <v>UPI</v>
      </c>
      <c r="W1151" s="7" cm="1">
        <f t="array" ref="W1151">IF(OR(TRIM(K1151)="",TRIM(K1151)="-"), MEDIAN(IF($E$2:$E$1500=E1151,$K$2:$K$1500)),  VALUE(SUBSTITUTE(SUBSTITUTE(SUBSTITUTE(K1151,"Rs. ",""),"₹",""),",","")))</f>
        <v>22297</v>
      </c>
      <c r="X1151" s="8">
        <f t="shared" si="178"/>
        <v>10</v>
      </c>
      <c r="Y1151" s="7">
        <f t="shared" si="179"/>
        <v>20067</v>
      </c>
      <c r="Z1151" s="9" t="str">
        <f t="shared" si="171"/>
        <v>SENIOR</v>
      </c>
    </row>
    <row r="1152" spans="1:26" x14ac:dyDescent="0.3">
      <c r="A1152" s="5" t="s">
        <v>2293</v>
      </c>
      <c r="B1152" s="5" t="s">
        <v>117</v>
      </c>
      <c r="C1152" s="5" t="s">
        <v>118</v>
      </c>
      <c r="D1152" s="5" t="s">
        <v>189</v>
      </c>
      <c r="E1152" s="5" t="s">
        <v>108</v>
      </c>
      <c r="F1152" s="5" t="s">
        <v>308</v>
      </c>
      <c r="G1152" s="5" t="s">
        <v>30</v>
      </c>
      <c r="H1152" s="5">
        <v>33</v>
      </c>
      <c r="I1152" s="5" t="s">
        <v>20</v>
      </c>
      <c r="J1152" s="34" t="s">
        <v>435</v>
      </c>
      <c r="K1152" s="31" t="s">
        <v>2294</v>
      </c>
      <c r="L1152" s="5" t="s">
        <v>42</v>
      </c>
      <c r="M1152" s="32">
        <v>10</v>
      </c>
      <c r="N1152" s="6">
        <f t="shared" si="172"/>
        <v>10</v>
      </c>
      <c r="O1152" s="4" t="s">
        <v>308</v>
      </c>
      <c r="P1152" s="5" t="str">
        <f t="shared" si="173"/>
        <v>Delhi</v>
      </c>
      <c r="Q1152" s="5" t="str">
        <f t="shared" si="174"/>
        <v>Orthopedics</v>
      </c>
      <c r="R1152" s="6" t="str">
        <f t="shared" si="175"/>
        <v>Manipal</v>
      </c>
      <c r="S1152" s="6" t="str">
        <f t="shared" si="176"/>
        <v>Insurance</v>
      </c>
      <c r="T1152" s="6" t="str">
        <f t="shared" si="177"/>
        <v>Male</v>
      </c>
      <c r="U1152" s="6" t="str">
        <f t="shared" si="180"/>
        <v>General</v>
      </c>
      <c r="V1152" s="6" t="str" cm="1">
        <f t="array" ref="V1152">IF(TRIM(S1152)="",INDEX($S$2:$S$1500,MATCH(MAX(COUNTIF($S$2:$S$1500,S1152)),COUNTIF($S$2:$S$1500,$S$2:$S$1500),0)),S1152)</f>
        <v>Insurance</v>
      </c>
      <c r="W1152" s="7" cm="1">
        <f t="array" ref="W1152">IF(OR(TRIM(K1152)="",TRIM(K1152)="-"), MEDIAN(IF($E$2:$E$1500=E1152,$K$2:$K$1500)),  VALUE(SUBSTITUTE(SUBSTITUTE(SUBSTITUTE(K1152,"Rs. ",""),"₹",""),",","")))</f>
        <v>16974</v>
      </c>
      <c r="X1152" s="8">
        <f t="shared" si="178"/>
        <v>10</v>
      </c>
      <c r="Y1152" s="7">
        <f t="shared" si="179"/>
        <v>15277</v>
      </c>
      <c r="Z1152" s="9" t="str">
        <f t="shared" si="171"/>
        <v>ADULT</v>
      </c>
    </row>
    <row r="1153" spans="1:26" x14ac:dyDescent="0.3">
      <c r="A1153" s="5" t="s">
        <v>2295</v>
      </c>
      <c r="B1153" s="5" t="s">
        <v>78</v>
      </c>
      <c r="C1153" s="5" t="s">
        <v>79</v>
      </c>
      <c r="D1153" s="5" t="s">
        <v>27</v>
      </c>
      <c r="E1153" s="5" t="s">
        <v>74</v>
      </c>
      <c r="F1153" s="5" t="s">
        <v>172</v>
      </c>
      <c r="G1153" s="5" t="s">
        <v>49</v>
      </c>
      <c r="H1153" s="5">
        <v>17</v>
      </c>
      <c r="I1153" s="5" t="s">
        <v>40</v>
      </c>
      <c r="J1153" s="34" t="s">
        <v>1205</v>
      </c>
      <c r="K1153" s="31">
        <v>19156</v>
      </c>
      <c r="L1153" s="5" t="s">
        <v>58</v>
      </c>
      <c r="M1153" s="32" t="s">
        <v>140</v>
      </c>
      <c r="N1153" s="6" t="str">
        <f t="shared" si="172"/>
        <v>-</v>
      </c>
      <c r="O1153" s="4" t="s">
        <v>172</v>
      </c>
      <c r="P1153" s="5" t="str">
        <f t="shared" si="173"/>
        <v>Mumbai</v>
      </c>
      <c r="Q1153" s="5" t="str">
        <f t="shared" si="174"/>
        <v>General Medicine</v>
      </c>
      <c r="R1153" s="6" t="str">
        <f t="shared" si="175"/>
        <v>Apollo</v>
      </c>
      <c r="S1153" s="6" t="str">
        <f t="shared" si="176"/>
        <v>UPI</v>
      </c>
      <c r="T1153" s="6" t="str">
        <f t="shared" si="177"/>
        <v>Female</v>
      </c>
      <c r="U1153" s="6" t="str">
        <f t="shared" si="180"/>
        <v>General</v>
      </c>
      <c r="V1153" s="6" t="str" cm="1">
        <f t="array" ref="V1153">IF(TRIM(S1153)="",INDEX($S$2:$S$1500,MATCH(MAX(COUNTIF($S$2:$S$1500,S1153)),COUNTIF($S$2:$S$1500,$S$2:$S$1500),0)),S1153)</f>
        <v>UPI</v>
      </c>
      <c r="W1153" s="7" cm="1">
        <f t="array" ref="W1153">IF(OR(TRIM(K1153)="",TRIM(K1153)="-"), MEDIAN(IF($E$2:$E$1500=E1153,$K$2:$K$1500)),  VALUE(SUBSTITUTE(SUBSTITUTE(SUBSTITUTE(K1153,"Rs. ",""),"₹",""),",","")))</f>
        <v>19156</v>
      </c>
      <c r="X1153" s="8">
        <f t="shared" si="178"/>
        <v>3</v>
      </c>
      <c r="Y1153" s="7">
        <f t="shared" si="179"/>
        <v>18581</v>
      </c>
      <c r="Z1153" s="9" t="str">
        <f t="shared" si="171"/>
        <v>TEEN</v>
      </c>
    </row>
    <row r="1154" spans="1:26" x14ac:dyDescent="0.3">
      <c r="A1154" s="5" t="s">
        <v>2296</v>
      </c>
      <c r="B1154" s="5" t="s">
        <v>78</v>
      </c>
      <c r="C1154" s="5" t="s">
        <v>79</v>
      </c>
      <c r="D1154" s="5" t="s">
        <v>80</v>
      </c>
      <c r="E1154" s="5" t="s">
        <v>47</v>
      </c>
      <c r="F1154" s="5" t="s">
        <v>364</v>
      </c>
      <c r="G1154" s="5" t="s">
        <v>39</v>
      </c>
      <c r="H1154" s="5">
        <v>72</v>
      </c>
      <c r="I1154" s="5" t="s">
        <v>40</v>
      </c>
      <c r="J1154" s="34" t="s">
        <v>2297</v>
      </c>
      <c r="K1154" s="31">
        <v>12401</v>
      </c>
      <c r="L1154" s="5" t="s">
        <v>236</v>
      </c>
      <c r="M1154" s="32">
        <v>0</v>
      </c>
      <c r="N1154" s="6">
        <f t="shared" si="172"/>
        <v>0</v>
      </c>
      <c r="O1154" s="4" t="s">
        <v>364</v>
      </c>
      <c r="P1154" s="5" t="str">
        <f t="shared" si="173"/>
        <v>Ahmedabad</v>
      </c>
      <c r="Q1154" s="5" t="str">
        <f t="shared" si="174"/>
        <v>Gastroenterology</v>
      </c>
      <c r="R1154" s="6" t="str">
        <f t="shared" si="175"/>
        <v>Apollo</v>
      </c>
      <c r="S1154" s="6" t="str">
        <f t="shared" si="176"/>
        <v>Debit Card</v>
      </c>
      <c r="T1154" s="6" t="str">
        <f t="shared" si="177"/>
        <v>Female</v>
      </c>
      <c r="U1154" s="6" t="str">
        <f t="shared" si="180"/>
        <v>General</v>
      </c>
      <c r="V1154" s="6" t="str" cm="1">
        <f t="array" ref="V1154">IF(TRIM(S1154)="",INDEX($S$2:$S$1500,MATCH(MAX(COUNTIF($S$2:$S$1500,S1154)),COUNTIF($S$2:$S$1500,$S$2:$S$1500),0)),S1154)</f>
        <v>Debit Card</v>
      </c>
      <c r="W1154" s="7" cm="1">
        <f t="array" ref="W1154">IF(OR(TRIM(K1154)="",TRIM(K1154)="-"), MEDIAN(IF($E$2:$E$1500=E1154,$K$2:$K$1500)),  VALUE(SUBSTITUTE(SUBSTITUTE(SUBSTITUTE(K1154,"Rs. ",""),"₹",""),",","")))</f>
        <v>12401</v>
      </c>
      <c r="X1154" s="8">
        <f t="shared" si="178"/>
        <v>0</v>
      </c>
      <c r="Y1154" s="7">
        <f t="shared" si="179"/>
        <v>12401</v>
      </c>
      <c r="Z1154" s="9" t="str">
        <f t="shared" ref="Z1154:Z1218" si="181">IF(H1154&lt;13,"CHILD",IF(H1154&lt;20,"TEEN",IF(H1154&lt;60,"ADULT","SENIOR")))</f>
        <v>SENIOR</v>
      </c>
    </row>
    <row r="1155" spans="1:26" x14ac:dyDescent="0.3">
      <c r="A1155" s="5" t="s">
        <v>2298</v>
      </c>
      <c r="B1155" s="5" t="s">
        <v>106</v>
      </c>
      <c r="C1155" s="5" t="s">
        <v>307</v>
      </c>
      <c r="D1155" s="5" t="s">
        <v>189</v>
      </c>
      <c r="E1155" s="5" t="s">
        <v>28</v>
      </c>
      <c r="F1155" s="5" t="s">
        <v>268</v>
      </c>
      <c r="G1155" s="5" t="s">
        <v>39</v>
      </c>
      <c r="H1155" s="5">
        <v>35</v>
      </c>
      <c r="I1155" s="5" t="s">
        <v>40</v>
      </c>
      <c r="J1155" s="34" t="s">
        <v>1267</v>
      </c>
      <c r="K1155" s="31" t="s">
        <v>140</v>
      </c>
      <c r="L1155" s="5" t="s">
        <v>34</v>
      </c>
      <c r="M1155" s="32">
        <v>0</v>
      </c>
      <c r="N1155" s="6">
        <f t="shared" ref="N1155:N1218" si="182">IF(RIGHT(TRIM(M1155),1)="%",VALUE(LEFT(TRIM(M1155),LEN(TRIM(M1155))-1)),  IF(AND(ISNUMBER(M1155),M1155&lt;=1,M1155&gt;0),M1155*100,M1155))</f>
        <v>0</v>
      </c>
      <c r="O1155" s="4" t="s">
        <v>268</v>
      </c>
      <c r="P1155" s="5" t="str">
        <f t="shared" ref="P1155:P1218" si="183">PROPER(D1155)</f>
        <v>Delhi</v>
      </c>
      <c r="Q1155" s="5" t="str">
        <f t="shared" ref="Q1155:Q1218" si="184">PROPER(E1155)</f>
        <v>Oncology</v>
      </c>
      <c r="R1155" s="6" t="str">
        <f t="shared" ref="R1155:R1218" si="185">PROPER(C1155)</f>
        <v>Aiims</v>
      </c>
      <c r="S1155" s="6" t="str">
        <f t="shared" ref="S1155:S1218" si="186">IF(OR(UPPER(TRIM(L1155))="CREDIT_CARD",UPPER(TRIM(L1155))="CREDIT CARD",UPPER(TRIM(L1155))="CC"),"Credit Card", IF(OR(UPPER(TRIM(L1155))="DEBIT_CARD",UPPER(TRIM(L1155))="DEBIT CARD",UPPER(TRIM(L1155))="DC"),"Debit Card", IF(UPPER(TRIM(L1155))="CASH","Cash", IF(UPPER(TRIM(L1155))="UPI","UPI", IF(OR(UPPER(TRIM(L1155))="INSURANCE",UPPER(TRIM(L1155))="INS"),"Insurance", IF(TRIM(L1155)="","Unknown","Unknown"))))))</f>
        <v>Cash</v>
      </c>
      <c r="T1155" s="6" t="str">
        <f t="shared" ref="T1155:T1218" si="187">IF(OR(UPPER(TRIM(I1155))="M",UPPER(TRIM(I1155))="MALE"),"Male",IF(OR(UPPER(TRIM(I1155))="F",UPPER(TRIM(I1155))="FEMALE"),"Female","Unknown"))</f>
        <v>Female</v>
      </c>
      <c r="U1155" s="6" t="str">
        <f t="shared" si="180"/>
        <v>General</v>
      </c>
      <c r="V1155" s="6" t="str" cm="1">
        <f t="array" ref="V1155">IF(TRIM(S1155)="",INDEX($S$2:$S$1500,MATCH(MAX(COUNTIF($S$2:$S$1500,S1155)),COUNTIF($S$2:$S$1500,$S$2:$S$1500),0)),S1155)</f>
        <v>Cash</v>
      </c>
      <c r="W1155" s="7" cm="1">
        <f t="array" ref="W1155">IF(OR(TRIM(K1155)="",TRIM(K1155)="-"), MEDIAN(IF($E$2:$E$1500=E1155,$K$2:$K$1500)),  VALUE(SUBSTITUTE(SUBSTITUTE(SUBSTITUTE(K1155,"Rs. ",""),"₹",""),",","")))</f>
        <v>14747</v>
      </c>
      <c r="X1155" s="8">
        <f t="shared" ref="X1155:X1218" si="188">ROUND(IF(OR(TRIM(N1155)="-",UPPER(TRIM(N1155))="N/A",UPPER(TRIM(N1155))="NA"), IFERROR(AVERAGEIF($V$2:$V$1500,V1155,$N$2:$N$1500),AVERAGE($N$2:$N$1500)), N1155),0)</f>
        <v>0</v>
      </c>
      <c r="Y1155" s="7">
        <f t="shared" ref="Y1155:Y1218" si="189">ROUND(W1155*(1-X1155/100),0)</f>
        <v>14747</v>
      </c>
      <c r="Z1155" s="9" t="str">
        <f t="shared" si="181"/>
        <v>ADULT</v>
      </c>
    </row>
    <row r="1156" spans="1:26" x14ac:dyDescent="0.3">
      <c r="A1156" s="5" t="s">
        <v>2299</v>
      </c>
      <c r="B1156" s="5" t="s">
        <v>14</v>
      </c>
      <c r="C1156" s="5" t="s">
        <v>60</v>
      </c>
      <c r="D1156" s="5" t="s">
        <v>27</v>
      </c>
      <c r="E1156" s="5" t="s">
        <v>47</v>
      </c>
      <c r="F1156" s="5" t="s">
        <v>175</v>
      </c>
      <c r="G1156" s="5" t="s">
        <v>30</v>
      </c>
      <c r="H1156" s="5">
        <v>26</v>
      </c>
      <c r="I1156" s="5" t="s">
        <v>31</v>
      </c>
      <c r="J1156" s="34" t="s">
        <v>2300</v>
      </c>
      <c r="K1156" s="31">
        <v>11689</v>
      </c>
      <c r="L1156" s="5" t="s">
        <v>23</v>
      </c>
      <c r="M1156" s="32" t="s">
        <v>64</v>
      </c>
      <c r="N1156" s="6" t="str">
        <f t="shared" si="182"/>
        <v>NA</v>
      </c>
      <c r="O1156" s="4" t="s">
        <v>175</v>
      </c>
      <c r="P1156" s="5" t="str">
        <f t="shared" si="183"/>
        <v>Mumbai</v>
      </c>
      <c r="Q1156" s="5" t="str">
        <f t="shared" si="184"/>
        <v>Gastroenterology</v>
      </c>
      <c r="R1156" s="6" t="str">
        <f t="shared" si="185"/>
        <v>Max_Healthcare</v>
      </c>
      <c r="S1156" s="6" t="str">
        <f t="shared" si="186"/>
        <v>Credit Card</v>
      </c>
      <c r="T1156" s="6" t="str">
        <f t="shared" si="187"/>
        <v>Male</v>
      </c>
      <c r="U1156" s="6" t="str">
        <f t="shared" si="180"/>
        <v>General</v>
      </c>
      <c r="V1156" s="6" t="str" cm="1">
        <f t="array" ref="V1156">IF(TRIM(S1156)="",INDEX($S$2:$S$1500,MATCH(MAX(COUNTIF($S$2:$S$1500,S1156)),COUNTIF($S$2:$S$1500,$S$2:$S$1500),0)),S1156)</f>
        <v>Credit Card</v>
      </c>
      <c r="W1156" s="7" cm="1">
        <f t="array" ref="W1156">IF(OR(TRIM(K1156)="",TRIM(K1156)="-"), MEDIAN(IF($E$2:$E$1500=E1156,$K$2:$K$1500)),  VALUE(SUBSTITUTE(SUBSTITUTE(SUBSTITUTE(K1156,"Rs. ",""),"₹",""),",","")))</f>
        <v>11689</v>
      </c>
      <c r="X1156" s="8">
        <f t="shared" si="188"/>
        <v>3</v>
      </c>
      <c r="Y1156" s="7">
        <f t="shared" si="189"/>
        <v>11338</v>
      </c>
      <c r="Z1156" s="9" t="str">
        <f t="shared" si="181"/>
        <v>ADULT</v>
      </c>
    </row>
    <row r="1157" spans="1:26" x14ac:dyDescent="0.3">
      <c r="A1157" s="5" t="s">
        <v>2301</v>
      </c>
      <c r="B1157" s="5" t="s">
        <v>106</v>
      </c>
      <c r="C1157" s="5" t="s">
        <v>107</v>
      </c>
      <c r="D1157" s="5" t="s">
        <v>55</v>
      </c>
      <c r="E1157" s="5" t="s">
        <v>37</v>
      </c>
      <c r="F1157" s="5" t="s">
        <v>38</v>
      </c>
      <c r="G1157" s="5" t="s">
        <v>19</v>
      </c>
      <c r="H1157" s="5">
        <v>79</v>
      </c>
      <c r="I1157" s="5" t="s">
        <v>20</v>
      </c>
      <c r="J1157" s="34" t="s">
        <v>500</v>
      </c>
      <c r="K1157" s="31">
        <v>13213</v>
      </c>
      <c r="L1157" s="5" t="s">
        <v>311</v>
      </c>
      <c r="M1157" s="32">
        <v>0</v>
      </c>
      <c r="N1157" s="6">
        <f t="shared" si="182"/>
        <v>0</v>
      </c>
      <c r="O1157" s="4" t="s">
        <v>38</v>
      </c>
      <c r="P1157" s="5" t="str">
        <f t="shared" si="183"/>
        <v>Hyderabad</v>
      </c>
      <c r="Q1157" s="5" t="str">
        <f t="shared" si="184"/>
        <v>Pediatrics</v>
      </c>
      <c r="R1157" s="6" t="str">
        <f t="shared" si="185"/>
        <v>Aiims</v>
      </c>
      <c r="S1157" s="6" t="str">
        <f t="shared" si="186"/>
        <v>UPI</v>
      </c>
      <c r="T1157" s="6" t="str">
        <f t="shared" si="187"/>
        <v>Male</v>
      </c>
      <c r="U1157" s="6" t="str">
        <f t="shared" si="180"/>
        <v>General</v>
      </c>
      <c r="V1157" s="6" t="str" cm="1">
        <f t="array" ref="V1157">IF(TRIM(S1157)="",INDEX($S$2:$S$1500,MATCH(MAX(COUNTIF($S$2:$S$1500,S1157)),COUNTIF($S$2:$S$1500,$S$2:$S$1500),0)),S1157)</f>
        <v>UPI</v>
      </c>
      <c r="W1157" s="7" cm="1">
        <f t="array" ref="W1157">IF(OR(TRIM(K1157)="",TRIM(K1157)="-"), MEDIAN(IF($E$2:$E$1500=E1157,$K$2:$K$1500)),  VALUE(SUBSTITUTE(SUBSTITUTE(SUBSTITUTE(K1157,"Rs. ",""),"₹",""),",","")))</f>
        <v>13213</v>
      </c>
      <c r="X1157" s="8">
        <f t="shared" si="188"/>
        <v>0</v>
      </c>
      <c r="Y1157" s="7">
        <f t="shared" si="189"/>
        <v>13213</v>
      </c>
      <c r="Z1157" s="9" t="str">
        <f t="shared" si="181"/>
        <v>SENIOR</v>
      </c>
    </row>
    <row r="1158" spans="1:26" x14ac:dyDescent="0.3">
      <c r="A1158" s="5" t="s">
        <v>2302</v>
      </c>
      <c r="B1158" s="5" t="s">
        <v>78</v>
      </c>
      <c r="C1158" s="5" t="s">
        <v>161</v>
      </c>
      <c r="D1158" s="5" t="s">
        <v>55</v>
      </c>
      <c r="E1158" s="5" t="s">
        <v>93</v>
      </c>
      <c r="F1158" s="5" t="s">
        <v>207</v>
      </c>
      <c r="G1158" s="5" t="s">
        <v>19</v>
      </c>
      <c r="H1158" s="5">
        <v>3</v>
      </c>
      <c r="I1158" s="5" t="s">
        <v>20</v>
      </c>
      <c r="J1158" s="34" t="s">
        <v>977</v>
      </c>
      <c r="K1158" s="31">
        <v>16385</v>
      </c>
      <c r="L1158" s="5" t="s">
        <v>83</v>
      </c>
      <c r="M1158" s="32">
        <v>0.05</v>
      </c>
      <c r="N1158" s="6">
        <f t="shared" si="182"/>
        <v>5</v>
      </c>
      <c r="O1158" s="4" t="s">
        <v>207</v>
      </c>
      <c r="P1158" s="5" t="str">
        <f t="shared" si="183"/>
        <v>Hyderabad</v>
      </c>
      <c r="Q1158" s="5" t="str">
        <f t="shared" si="184"/>
        <v>Nephrology</v>
      </c>
      <c r="R1158" s="6" t="str">
        <f t="shared" si="185"/>
        <v>Apollo</v>
      </c>
      <c r="S1158" s="6" t="str">
        <f t="shared" si="186"/>
        <v>Debit Card</v>
      </c>
      <c r="T1158" s="6" t="str">
        <f t="shared" si="187"/>
        <v>Male</v>
      </c>
      <c r="U1158" s="6" t="str">
        <f t="shared" si="180"/>
        <v>General</v>
      </c>
      <c r="V1158" s="6" t="str" cm="1">
        <f t="array" ref="V1158">IF(TRIM(S1158)="",INDEX($S$2:$S$1500,MATCH(MAX(COUNTIF($S$2:$S$1500,S1158)),COUNTIF($S$2:$S$1500,$S$2:$S$1500),0)),S1158)</f>
        <v>Debit Card</v>
      </c>
      <c r="W1158" s="7" cm="1">
        <f t="array" ref="W1158">IF(OR(TRIM(K1158)="",TRIM(K1158)="-"), MEDIAN(IF($E$2:$E$1500=E1158,$K$2:$K$1500)),  VALUE(SUBSTITUTE(SUBSTITUTE(SUBSTITUTE(K1158,"Rs. ",""),"₹",""),",","")))</f>
        <v>16385</v>
      </c>
      <c r="X1158" s="8">
        <f t="shared" si="188"/>
        <v>5</v>
      </c>
      <c r="Y1158" s="7">
        <f t="shared" si="189"/>
        <v>15566</v>
      </c>
      <c r="Z1158" s="9" t="str">
        <f t="shared" si="181"/>
        <v>CHILD</v>
      </c>
    </row>
    <row r="1159" spans="1:26" x14ac:dyDescent="0.3">
      <c r="A1159" s="5" t="s">
        <v>2303</v>
      </c>
      <c r="B1159" s="5" t="s">
        <v>106</v>
      </c>
      <c r="C1159" s="5" t="s">
        <v>107</v>
      </c>
      <c r="D1159" s="5" t="s">
        <v>16</v>
      </c>
      <c r="E1159" s="5" t="s">
        <v>37</v>
      </c>
      <c r="F1159" s="5" t="s">
        <v>185</v>
      </c>
      <c r="G1159" s="5" t="s">
        <v>101</v>
      </c>
      <c r="H1159" s="5">
        <v>70</v>
      </c>
      <c r="I1159" s="5" t="s">
        <v>40</v>
      </c>
      <c r="J1159" s="34" t="s">
        <v>991</v>
      </c>
      <c r="K1159" s="31">
        <v>22180</v>
      </c>
      <c r="L1159" s="5" t="s">
        <v>167</v>
      </c>
      <c r="M1159" s="32" t="s">
        <v>64</v>
      </c>
      <c r="N1159" s="6" t="str">
        <f t="shared" si="182"/>
        <v>NA</v>
      </c>
      <c r="O1159" s="4" t="s">
        <v>185</v>
      </c>
      <c r="P1159" s="5" t="str">
        <f t="shared" si="183"/>
        <v>Bangalore</v>
      </c>
      <c r="Q1159" s="5" t="str">
        <f t="shared" si="184"/>
        <v>Pediatrics</v>
      </c>
      <c r="R1159" s="6" t="str">
        <f t="shared" si="185"/>
        <v>Aiims</v>
      </c>
      <c r="S1159" s="6" t="str">
        <f t="shared" si="186"/>
        <v>Insurance</v>
      </c>
      <c r="T1159" s="6" t="str">
        <f t="shared" si="187"/>
        <v>Female</v>
      </c>
      <c r="U1159" s="6" t="str">
        <f t="shared" si="180"/>
        <v>ICU</v>
      </c>
      <c r="V1159" s="6" t="str" cm="1">
        <f t="array" ref="V1159">IF(TRIM(S1159)="",INDEX($S$2:$S$1500,MATCH(MAX(COUNTIF($S$2:$S$1500,S1159)),COUNTIF($S$2:$S$1500,$S$2:$S$1500),0)),S1159)</f>
        <v>Insurance</v>
      </c>
      <c r="W1159" s="7" cm="1">
        <f t="array" ref="W1159">IF(OR(TRIM(K1159)="",TRIM(K1159)="-"), MEDIAN(IF($E$2:$E$1500=E1159,$K$2:$K$1500)),  VALUE(SUBSTITUTE(SUBSTITUTE(SUBSTITUTE(K1159,"Rs. ",""),"₹",""),",","")))</f>
        <v>22180</v>
      </c>
      <c r="X1159" s="8">
        <f t="shared" si="188"/>
        <v>19</v>
      </c>
      <c r="Y1159" s="7">
        <f t="shared" si="189"/>
        <v>17966</v>
      </c>
      <c r="Z1159" s="9" t="str">
        <f t="shared" si="181"/>
        <v>SENIOR</v>
      </c>
    </row>
    <row r="1160" spans="1:26" x14ac:dyDescent="0.3">
      <c r="A1160" s="5" t="s">
        <v>2304</v>
      </c>
      <c r="B1160" s="5" t="s">
        <v>78</v>
      </c>
      <c r="C1160" s="5" t="s">
        <v>161</v>
      </c>
      <c r="D1160" s="5" t="s">
        <v>189</v>
      </c>
      <c r="E1160" s="5" t="s">
        <v>37</v>
      </c>
      <c r="F1160" s="5" t="s">
        <v>56</v>
      </c>
      <c r="G1160" s="5" t="s">
        <v>69</v>
      </c>
      <c r="H1160" s="5">
        <v>27</v>
      </c>
      <c r="I1160" s="5" t="s">
        <v>20</v>
      </c>
      <c r="J1160" s="34" t="s">
        <v>859</v>
      </c>
      <c r="K1160" s="31">
        <v>28895</v>
      </c>
      <c r="L1160" s="5" t="s">
        <v>72</v>
      </c>
      <c r="M1160" s="32" t="s">
        <v>76</v>
      </c>
      <c r="N1160" s="6">
        <f t="shared" si="182"/>
        <v>10</v>
      </c>
      <c r="O1160" s="4" t="s">
        <v>56</v>
      </c>
      <c r="P1160" s="5" t="str">
        <f t="shared" si="183"/>
        <v>Delhi</v>
      </c>
      <c r="Q1160" s="5" t="str">
        <f t="shared" si="184"/>
        <v>Pediatrics</v>
      </c>
      <c r="R1160" s="6" t="str">
        <f t="shared" si="185"/>
        <v>Apollo</v>
      </c>
      <c r="S1160" s="6" t="str">
        <f t="shared" si="186"/>
        <v>Cash</v>
      </c>
      <c r="T1160" s="6" t="str">
        <f t="shared" si="187"/>
        <v>Male</v>
      </c>
      <c r="U1160" s="6" t="str">
        <f t="shared" si="180"/>
        <v>ICU</v>
      </c>
      <c r="V1160" s="6" t="str" cm="1">
        <f t="array" ref="V1160">IF(TRIM(S1160)="",INDEX($S$2:$S$1500,MATCH(MAX(COUNTIF($S$2:$S$1500,S1160)),COUNTIF($S$2:$S$1500,$S$2:$S$1500),0)),S1160)</f>
        <v>Cash</v>
      </c>
      <c r="W1160" s="7" cm="1">
        <f t="array" ref="W1160">IF(OR(TRIM(K1160)="",TRIM(K1160)="-"), MEDIAN(IF($E$2:$E$1500=E1160,$K$2:$K$1500)),  VALUE(SUBSTITUTE(SUBSTITUTE(SUBSTITUTE(K1160,"Rs. ",""),"₹",""),",","")))</f>
        <v>28895</v>
      </c>
      <c r="X1160" s="8">
        <f t="shared" si="188"/>
        <v>10</v>
      </c>
      <c r="Y1160" s="7">
        <f t="shared" si="189"/>
        <v>26006</v>
      </c>
      <c r="Z1160" s="9" t="str">
        <f t="shared" si="181"/>
        <v>ADULT</v>
      </c>
    </row>
    <row r="1161" spans="1:26" x14ac:dyDescent="0.3">
      <c r="A1161" s="5" t="s">
        <v>2305</v>
      </c>
      <c r="B1161" s="5" t="s">
        <v>106</v>
      </c>
      <c r="C1161" s="5" t="s">
        <v>307</v>
      </c>
      <c r="D1161" s="5" t="s">
        <v>16</v>
      </c>
      <c r="E1161" s="5" t="s">
        <v>164</v>
      </c>
      <c r="F1161" s="5" t="s">
        <v>282</v>
      </c>
      <c r="G1161" s="5" t="s">
        <v>30</v>
      </c>
      <c r="H1161" s="5">
        <v>84</v>
      </c>
      <c r="I1161" s="5" t="s">
        <v>40</v>
      </c>
      <c r="J1161" s="34" t="s">
        <v>318</v>
      </c>
      <c r="K1161" s="31" t="s">
        <v>2306</v>
      </c>
      <c r="L1161" s="5" t="s">
        <v>115</v>
      </c>
      <c r="M1161" s="32">
        <v>10</v>
      </c>
      <c r="N1161" s="6">
        <f t="shared" si="182"/>
        <v>10</v>
      </c>
      <c r="O1161" s="4" t="s">
        <v>282</v>
      </c>
      <c r="P1161" s="5" t="str">
        <f t="shared" si="183"/>
        <v>Bangalore</v>
      </c>
      <c r="Q1161" s="5" t="str">
        <f t="shared" si="184"/>
        <v>Cardiology</v>
      </c>
      <c r="R1161" s="6" t="str">
        <f t="shared" si="185"/>
        <v>Aiims</v>
      </c>
      <c r="S1161" s="6" t="str">
        <f t="shared" si="186"/>
        <v>Cash</v>
      </c>
      <c r="T1161" s="6" t="str">
        <f t="shared" si="187"/>
        <v>Female</v>
      </c>
      <c r="U1161" s="6" t="str">
        <f t="shared" si="180"/>
        <v>General</v>
      </c>
      <c r="V1161" s="6" t="str" cm="1">
        <f t="array" ref="V1161">IF(TRIM(S1161)="",INDEX($S$2:$S$1500,MATCH(MAX(COUNTIF($S$2:$S$1500,S1161)),COUNTIF($S$2:$S$1500,$S$2:$S$1500),0)),S1161)</f>
        <v>Cash</v>
      </c>
      <c r="W1161" s="7" cm="1">
        <f t="array" ref="W1161">IF(OR(TRIM(K1161)="",TRIM(K1161)="-"), MEDIAN(IF($E$2:$E$1500=E1161,$K$2:$K$1500)),  VALUE(SUBSTITUTE(SUBSTITUTE(SUBSTITUTE(K1161,"Rs. ",""),"₹",""),",","")))</f>
        <v>7214</v>
      </c>
      <c r="X1161" s="8">
        <f t="shared" si="188"/>
        <v>10</v>
      </c>
      <c r="Y1161" s="7">
        <f t="shared" si="189"/>
        <v>6493</v>
      </c>
      <c r="Z1161" s="9" t="str">
        <f t="shared" si="181"/>
        <v>SENIOR</v>
      </c>
    </row>
    <row r="1162" spans="1:26" x14ac:dyDescent="0.3">
      <c r="A1162" s="5" t="s">
        <v>2307</v>
      </c>
      <c r="B1162" s="5" t="s">
        <v>25</v>
      </c>
      <c r="C1162" s="5" t="s">
        <v>54</v>
      </c>
      <c r="D1162" s="5" t="s">
        <v>189</v>
      </c>
      <c r="E1162" s="5" t="s">
        <v>108</v>
      </c>
      <c r="F1162" s="5" t="s">
        <v>272</v>
      </c>
      <c r="G1162" s="5" t="s">
        <v>19</v>
      </c>
      <c r="H1162" s="5">
        <v>53</v>
      </c>
      <c r="I1162" s="5" t="s">
        <v>31</v>
      </c>
      <c r="J1162" s="34" t="s">
        <v>2059</v>
      </c>
      <c r="K1162" s="31" t="s">
        <v>2308</v>
      </c>
      <c r="L1162" s="5" t="s">
        <v>23</v>
      </c>
      <c r="M1162" s="32">
        <v>5</v>
      </c>
      <c r="N1162" s="6">
        <f t="shared" si="182"/>
        <v>5</v>
      </c>
      <c r="O1162" s="4" t="s">
        <v>272</v>
      </c>
      <c r="P1162" s="5" t="str">
        <f t="shared" si="183"/>
        <v>Delhi</v>
      </c>
      <c r="Q1162" s="5" t="str">
        <f t="shared" si="184"/>
        <v>Orthopedics</v>
      </c>
      <c r="R1162" s="6" t="str">
        <f t="shared" si="185"/>
        <v>Narayana</v>
      </c>
      <c r="S1162" s="6" t="str">
        <f t="shared" si="186"/>
        <v>Credit Card</v>
      </c>
      <c r="T1162" s="6" t="str">
        <f t="shared" si="187"/>
        <v>Male</v>
      </c>
      <c r="U1162" s="6" t="str">
        <f t="shared" si="180"/>
        <v>General</v>
      </c>
      <c r="V1162" s="6" t="str" cm="1">
        <f t="array" ref="V1162">IF(TRIM(S1162)="",INDEX($S$2:$S$1500,MATCH(MAX(COUNTIF($S$2:$S$1500,S1162)),COUNTIF($S$2:$S$1500,$S$2:$S$1500),0)),S1162)</f>
        <v>Credit Card</v>
      </c>
      <c r="W1162" s="7" cm="1">
        <f t="array" ref="W1162">IF(OR(TRIM(K1162)="",TRIM(K1162)="-"), MEDIAN(IF($E$2:$E$1500=E1162,$K$2:$K$1500)),  VALUE(SUBSTITUTE(SUBSTITUTE(SUBSTITUTE(K1162,"Rs. ",""),"₹",""),",","")))</f>
        <v>4696</v>
      </c>
      <c r="X1162" s="8">
        <f t="shared" si="188"/>
        <v>5</v>
      </c>
      <c r="Y1162" s="7">
        <f t="shared" si="189"/>
        <v>4461</v>
      </c>
      <c r="Z1162" s="9" t="str">
        <f t="shared" si="181"/>
        <v>ADULT</v>
      </c>
    </row>
    <row r="1163" spans="1:26" x14ac:dyDescent="0.3">
      <c r="A1163" s="5" t="s">
        <v>2309</v>
      </c>
      <c r="B1163" s="5" t="s">
        <v>78</v>
      </c>
      <c r="C1163" s="5" t="s">
        <v>79</v>
      </c>
      <c r="D1163" s="5" t="s">
        <v>80</v>
      </c>
      <c r="E1163" s="5" t="s">
        <v>108</v>
      </c>
      <c r="F1163" s="5" t="s">
        <v>109</v>
      </c>
      <c r="G1163" s="5" t="s">
        <v>39</v>
      </c>
      <c r="H1163" s="5">
        <v>21</v>
      </c>
      <c r="I1163" s="5" t="s">
        <v>40</v>
      </c>
      <c r="J1163" s="34" t="s">
        <v>1205</v>
      </c>
      <c r="K1163" s="31" t="s">
        <v>2310</v>
      </c>
      <c r="L1163" s="5" t="s">
        <v>58</v>
      </c>
      <c r="M1163" s="32">
        <v>5</v>
      </c>
      <c r="N1163" s="6">
        <f t="shared" si="182"/>
        <v>5</v>
      </c>
      <c r="O1163" s="4" t="s">
        <v>109</v>
      </c>
      <c r="P1163" s="5" t="str">
        <f t="shared" si="183"/>
        <v>Ahmedabad</v>
      </c>
      <c r="Q1163" s="5" t="str">
        <f t="shared" si="184"/>
        <v>Orthopedics</v>
      </c>
      <c r="R1163" s="6" t="str">
        <f t="shared" si="185"/>
        <v>Apollo</v>
      </c>
      <c r="S1163" s="6" t="str">
        <f t="shared" si="186"/>
        <v>UPI</v>
      </c>
      <c r="T1163" s="6" t="str">
        <f t="shared" si="187"/>
        <v>Female</v>
      </c>
      <c r="U1163" s="6" t="str">
        <f t="shared" si="180"/>
        <v>General</v>
      </c>
      <c r="V1163" s="6" t="str" cm="1">
        <f t="array" ref="V1163">IF(TRIM(S1163)="",INDEX($S$2:$S$1500,MATCH(MAX(COUNTIF($S$2:$S$1500,S1163)),COUNTIF($S$2:$S$1500,$S$2:$S$1500),0)),S1163)</f>
        <v>UPI</v>
      </c>
      <c r="W1163" s="7" cm="1">
        <f t="array" ref="W1163">IF(OR(TRIM(K1163)="",TRIM(K1163)="-"), MEDIAN(IF($E$2:$E$1500=E1163,$K$2:$K$1500)),  VALUE(SUBSTITUTE(SUBSTITUTE(SUBSTITUTE(K1163,"Rs. ",""),"₹",""),",","")))</f>
        <v>3984</v>
      </c>
      <c r="X1163" s="8">
        <f t="shared" si="188"/>
        <v>5</v>
      </c>
      <c r="Y1163" s="7">
        <f t="shared" si="189"/>
        <v>3785</v>
      </c>
      <c r="Z1163" s="9" t="str">
        <f t="shared" si="181"/>
        <v>ADULT</v>
      </c>
    </row>
    <row r="1164" spans="1:26" x14ac:dyDescent="0.3">
      <c r="A1164" s="5" t="s">
        <v>2311</v>
      </c>
      <c r="B1164" s="5" t="s">
        <v>25</v>
      </c>
      <c r="C1164" s="5" t="s">
        <v>54</v>
      </c>
      <c r="D1164" s="5" t="s">
        <v>55</v>
      </c>
      <c r="E1164" s="5" t="s">
        <v>28</v>
      </c>
      <c r="F1164" s="5" t="s">
        <v>259</v>
      </c>
      <c r="G1164" s="5" t="s">
        <v>19</v>
      </c>
      <c r="H1164" s="5">
        <v>61</v>
      </c>
      <c r="I1164" s="5" t="s">
        <v>40</v>
      </c>
      <c r="J1164" s="34" t="s">
        <v>530</v>
      </c>
      <c r="K1164" s="31" t="s">
        <v>2312</v>
      </c>
      <c r="L1164" s="5" t="s">
        <v>52</v>
      </c>
      <c r="M1164" s="32"/>
      <c r="N1164" s="6">
        <f t="shared" si="182"/>
        <v>0</v>
      </c>
      <c r="O1164" s="4" t="s">
        <v>259</v>
      </c>
      <c r="P1164" s="5" t="str">
        <f t="shared" si="183"/>
        <v>Hyderabad</v>
      </c>
      <c r="Q1164" s="5" t="str">
        <f t="shared" si="184"/>
        <v>Oncology</v>
      </c>
      <c r="R1164" s="6" t="str">
        <f t="shared" si="185"/>
        <v>Narayana</v>
      </c>
      <c r="S1164" s="6" t="str">
        <f t="shared" si="186"/>
        <v>Credit Card</v>
      </c>
      <c r="T1164" s="6" t="str">
        <f t="shared" si="187"/>
        <v>Female</v>
      </c>
      <c r="U1164" s="6" t="str">
        <f t="shared" si="180"/>
        <v>General</v>
      </c>
      <c r="V1164" s="6" t="str" cm="1">
        <f t="array" ref="V1164">IF(TRIM(S1164)="",INDEX($S$2:$S$1500,MATCH(MAX(COUNTIF($S$2:$S$1500,S1164)),COUNTIF($S$2:$S$1500,$S$2:$S$1500),0)),S1164)</f>
        <v>Credit Card</v>
      </c>
      <c r="W1164" s="7" cm="1">
        <f t="array" ref="W1164">IF(OR(TRIM(K1164)="",TRIM(K1164)="-"), MEDIAN(IF($E$2:$E$1500=E1164,$K$2:$K$1500)),  VALUE(SUBSTITUTE(SUBSTITUTE(SUBSTITUTE(K1164,"Rs. ",""),"₹",""),",","")))</f>
        <v>12448</v>
      </c>
      <c r="X1164" s="8">
        <f t="shared" si="188"/>
        <v>0</v>
      </c>
      <c r="Y1164" s="7">
        <f t="shared" si="189"/>
        <v>12448</v>
      </c>
      <c r="Z1164" s="9" t="str">
        <f t="shared" si="181"/>
        <v>SENIOR</v>
      </c>
    </row>
    <row r="1165" spans="1:26" x14ac:dyDescent="0.3">
      <c r="A1165" s="5" t="s">
        <v>2313</v>
      </c>
      <c r="B1165" s="5" t="s">
        <v>45</v>
      </c>
      <c r="C1165" s="5" t="s">
        <v>334</v>
      </c>
      <c r="D1165" s="5" t="s">
        <v>61</v>
      </c>
      <c r="E1165" s="5" t="s">
        <v>164</v>
      </c>
      <c r="F1165" s="5" t="s">
        <v>233</v>
      </c>
      <c r="G1165" s="5" t="s">
        <v>101</v>
      </c>
      <c r="H1165" s="5">
        <v>22</v>
      </c>
      <c r="I1165" s="5" t="s">
        <v>40</v>
      </c>
      <c r="J1165" s="34" t="s">
        <v>1155</v>
      </c>
      <c r="K1165" s="31">
        <v>21230</v>
      </c>
      <c r="L1165" s="5"/>
      <c r="M1165" s="32" t="s">
        <v>140</v>
      </c>
      <c r="N1165" s="6" t="str">
        <f t="shared" si="182"/>
        <v>-</v>
      </c>
      <c r="O1165" s="4" t="s">
        <v>233</v>
      </c>
      <c r="P1165" s="5" t="str">
        <f t="shared" si="183"/>
        <v>Pune</v>
      </c>
      <c r="Q1165" s="5" t="str">
        <f t="shared" si="184"/>
        <v>Cardiology</v>
      </c>
      <c r="R1165" s="6" t="str">
        <f t="shared" si="185"/>
        <v>Fortis</v>
      </c>
      <c r="S1165" s="6" t="str">
        <f t="shared" si="186"/>
        <v>Unknown</v>
      </c>
      <c r="T1165" s="6" t="str">
        <f t="shared" si="187"/>
        <v>Female</v>
      </c>
      <c r="U1165" s="6" t="str">
        <f t="shared" si="180"/>
        <v>ICU</v>
      </c>
      <c r="V1165" s="6" t="str" cm="1">
        <f t="array" ref="V1165">IF(TRIM(S1165)="",INDEX($S$2:$S$1500,MATCH(MAX(COUNTIF($S$2:$S$1500,S1165)),COUNTIF($S$2:$S$1500,$S$2:$S$1500),0)),S1165)</f>
        <v>Unknown</v>
      </c>
      <c r="W1165" s="7" cm="1">
        <f t="array" ref="W1165">IF(OR(TRIM(K1165)="",TRIM(K1165)="-"), MEDIAN(IF($E$2:$E$1500=E1165,$K$2:$K$1500)),  VALUE(SUBSTITUTE(SUBSTITUTE(SUBSTITUTE(K1165,"Rs. ",""),"₹",""),",","")))</f>
        <v>21230</v>
      </c>
      <c r="X1165" s="8">
        <f t="shared" si="188"/>
        <v>4</v>
      </c>
      <c r="Y1165" s="7">
        <f t="shared" si="189"/>
        <v>20381</v>
      </c>
      <c r="Z1165" s="9" t="str">
        <f t="shared" si="181"/>
        <v>ADULT</v>
      </c>
    </row>
    <row r="1166" spans="1:26" x14ac:dyDescent="0.3">
      <c r="A1166" s="5" t="s">
        <v>2314</v>
      </c>
      <c r="B1166" s="5" t="s">
        <v>14</v>
      </c>
      <c r="C1166" s="5" t="s">
        <v>60</v>
      </c>
      <c r="D1166" s="5" t="s">
        <v>61</v>
      </c>
      <c r="E1166" s="5" t="s">
        <v>99</v>
      </c>
      <c r="F1166" s="5" t="s">
        <v>372</v>
      </c>
      <c r="G1166" s="5" t="s">
        <v>39</v>
      </c>
      <c r="H1166" s="5">
        <v>37</v>
      </c>
      <c r="I1166" s="5" t="s">
        <v>20</v>
      </c>
      <c r="J1166" s="34" t="s">
        <v>812</v>
      </c>
      <c r="K1166" s="31" t="s">
        <v>2315</v>
      </c>
      <c r="L1166" s="5" t="s">
        <v>72</v>
      </c>
      <c r="M1166" s="32"/>
      <c r="N1166" s="6">
        <f t="shared" si="182"/>
        <v>0</v>
      </c>
      <c r="O1166" s="4" t="s">
        <v>372</v>
      </c>
      <c r="P1166" s="5" t="str">
        <f t="shared" si="183"/>
        <v>Pune</v>
      </c>
      <c r="Q1166" s="5" t="str">
        <f t="shared" si="184"/>
        <v>Ent</v>
      </c>
      <c r="R1166" s="6" t="str">
        <f t="shared" si="185"/>
        <v>Max_Healthcare</v>
      </c>
      <c r="S1166" s="6" t="str">
        <f t="shared" si="186"/>
        <v>Cash</v>
      </c>
      <c r="T1166" s="6" t="str">
        <f t="shared" si="187"/>
        <v>Male</v>
      </c>
      <c r="U1166" s="6" t="str">
        <f t="shared" ref="U1166:U1218" si="190">IF(OR(UPPER(TRIM(G1166))="GENERAL",UPPER(TRIM(G1166))="GENRAL"),"General",IF(UPPER(TRIM(G1166))="ICU","ICU","Unknown"))</f>
        <v>General</v>
      </c>
      <c r="V1166" s="6" t="str" cm="1">
        <f t="array" ref="V1166">IF(TRIM(S1166)="",INDEX($S$2:$S$1500,MATCH(MAX(COUNTIF($S$2:$S$1500,S1166)),COUNTIF($S$2:$S$1500,$S$2:$S$1500),0)),S1166)</f>
        <v>Cash</v>
      </c>
      <c r="W1166" s="7" cm="1">
        <f t="array" ref="W1166">IF(OR(TRIM(K1166)="",TRIM(K1166)="-"), MEDIAN(IF($E$2:$E$1500=E1166,$K$2:$K$1500)),  VALUE(SUBSTITUTE(SUBSTITUTE(SUBSTITUTE(K1166,"Rs. ",""),"₹",""),",","")))</f>
        <v>12398</v>
      </c>
      <c r="X1166" s="8">
        <f t="shared" si="188"/>
        <v>0</v>
      </c>
      <c r="Y1166" s="7">
        <f t="shared" si="189"/>
        <v>12398</v>
      </c>
      <c r="Z1166" s="9" t="str">
        <f t="shared" si="181"/>
        <v>ADULT</v>
      </c>
    </row>
    <row r="1167" spans="1:26" x14ac:dyDescent="0.3">
      <c r="A1167" s="5" t="s">
        <v>2316</v>
      </c>
      <c r="B1167" s="5" t="s">
        <v>45</v>
      </c>
      <c r="C1167" s="5" t="s">
        <v>334</v>
      </c>
      <c r="D1167" s="5" t="s">
        <v>80</v>
      </c>
      <c r="E1167" s="5" t="s">
        <v>99</v>
      </c>
      <c r="F1167" s="5" t="s">
        <v>256</v>
      </c>
      <c r="G1167" s="5" t="s">
        <v>62</v>
      </c>
      <c r="H1167" s="5">
        <v>28</v>
      </c>
      <c r="I1167" s="5" t="s">
        <v>40</v>
      </c>
      <c r="J1167" s="34" t="s">
        <v>265</v>
      </c>
      <c r="K1167" s="31" t="s">
        <v>2317</v>
      </c>
      <c r="L1167" s="5" t="s">
        <v>149</v>
      </c>
      <c r="M1167" s="32">
        <v>35</v>
      </c>
      <c r="N1167" s="6">
        <f t="shared" si="182"/>
        <v>35</v>
      </c>
      <c r="O1167" s="4" t="s">
        <v>256</v>
      </c>
      <c r="P1167" s="5" t="str">
        <f t="shared" si="183"/>
        <v>Ahmedabad</v>
      </c>
      <c r="Q1167" s="5" t="str">
        <f t="shared" si="184"/>
        <v>Ent</v>
      </c>
      <c r="R1167" s="6" t="str">
        <f t="shared" si="185"/>
        <v>Fortis</v>
      </c>
      <c r="S1167" s="6" t="str">
        <f t="shared" si="186"/>
        <v>Insurance</v>
      </c>
      <c r="T1167" s="6" t="str">
        <f t="shared" si="187"/>
        <v>Female</v>
      </c>
      <c r="U1167" s="6" t="str">
        <f t="shared" si="190"/>
        <v>ICU</v>
      </c>
      <c r="V1167" s="6" t="str" cm="1">
        <f t="array" ref="V1167">IF(TRIM(S1167)="",INDEX($S$2:$S$1500,MATCH(MAX(COUNTIF($S$2:$S$1500,S1167)),COUNTIF($S$2:$S$1500,$S$2:$S$1500),0)),S1167)</f>
        <v>Insurance</v>
      </c>
      <c r="W1167" s="7" cm="1">
        <f t="array" ref="W1167">IF(OR(TRIM(K1167)="",TRIM(K1167)="-"), MEDIAN(IF($E$2:$E$1500=E1167,$K$2:$K$1500)),  VALUE(SUBSTITUTE(SUBSTITUTE(SUBSTITUTE(K1167,"Rs. ",""),"₹",""),",","")))</f>
        <v>31050</v>
      </c>
      <c r="X1167" s="8">
        <f t="shared" si="188"/>
        <v>35</v>
      </c>
      <c r="Y1167" s="7">
        <f t="shared" si="189"/>
        <v>20183</v>
      </c>
      <c r="Z1167" s="9" t="str">
        <f t="shared" si="181"/>
        <v>ADULT</v>
      </c>
    </row>
    <row r="1168" spans="1:26" x14ac:dyDescent="0.3">
      <c r="A1168" s="5" t="s">
        <v>2318</v>
      </c>
      <c r="B1168" s="5" t="s">
        <v>14</v>
      </c>
      <c r="C1168" s="5" t="s">
        <v>60</v>
      </c>
      <c r="D1168" s="5" t="s">
        <v>27</v>
      </c>
      <c r="E1168" s="5" t="s">
        <v>37</v>
      </c>
      <c r="F1168" s="5" t="s">
        <v>38</v>
      </c>
      <c r="G1168" s="5" t="s">
        <v>49</v>
      </c>
      <c r="H1168" s="5">
        <v>65</v>
      </c>
      <c r="I1168" s="5" t="s">
        <v>70</v>
      </c>
      <c r="J1168" s="34" t="s">
        <v>746</v>
      </c>
      <c r="K1168" s="31">
        <v>15928</v>
      </c>
      <c r="L1168" s="5" t="s">
        <v>72</v>
      </c>
      <c r="M1168" s="32">
        <v>5</v>
      </c>
      <c r="N1168" s="6">
        <f t="shared" si="182"/>
        <v>5</v>
      </c>
      <c r="O1168" s="4" t="s">
        <v>38</v>
      </c>
      <c r="P1168" s="5" t="str">
        <f t="shared" si="183"/>
        <v>Mumbai</v>
      </c>
      <c r="Q1168" s="5" t="str">
        <f t="shared" si="184"/>
        <v>Pediatrics</v>
      </c>
      <c r="R1168" s="6" t="str">
        <f t="shared" si="185"/>
        <v>Max_Healthcare</v>
      </c>
      <c r="S1168" s="6" t="str">
        <f t="shared" si="186"/>
        <v>Cash</v>
      </c>
      <c r="T1168" s="6" t="str">
        <f t="shared" si="187"/>
        <v>Female</v>
      </c>
      <c r="U1168" s="6" t="str">
        <f t="shared" si="190"/>
        <v>General</v>
      </c>
      <c r="V1168" s="6" t="str" cm="1">
        <f t="array" ref="V1168">IF(TRIM(S1168)="",INDEX($S$2:$S$1500,MATCH(MAX(COUNTIF($S$2:$S$1500,S1168)),COUNTIF($S$2:$S$1500,$S$2:$S$1500),0)),S1168)</f>
        <v>Cash</v>
      </c>
      <c r="W1168" s="7" cm="1">
        <f t="array" ref="W1168">IF(OR(TRIM(K1168)="",TRIM(K1168)="-"), MEDIAN(IF($E$2:$E$1500=E1168,$K$2:$K$1500)),  VALUE(SUBSTITUTE(SUBSTITUTE(SUBSTITUTE(K1168,"Rs. ",""),"₹",""),",","")))</f>
        <v>15928</v>
      </c>
      <c r="X1168" s="8">
        <f t="shared" si="188"/>
        <v>5</v>
      </c>
      <c r="Y1168" s="7">
        <f t="shared" si="189"/>
        <v>15132</v>
      </c>
      <c r="Z1168" s="9" t="str">
        <f t="shared" si="181"/>
        <v>SENIOR</v>
      </c>
    </row>
    <row r="1169" spans="1:26" x14ac:dyDescent="0.3">
      <c r="A1169" s="5" t="s">
        <v>2319</v>
      </c>
      <c r="B1169" s="5" t="s">
        <v>45</v>
      </c>
      <c r="C1169" s="5" t="s">
        <v>46</v>
      </c>
      <c r="D1169" s="5" t="s">
        <v>80</v>
      </c>
      <c r="E1169" s="5" t="s">
        <v>67</v>
      </c>
      <c r="F1169" s="5" t="s">
        <v>85</v>
      </c>
      <c r="G1169" s="5" t="s">
        <v>39</v>
      </c>
      <c r="H1169" s="5">
        <v>67</v>
      </c>
      <c r="I1169" s="5" t="s">
        <v>40</v>
      </c>
      <c r="J1169" s="34" t="s">
        <v>1143</v>
      </c>
      <c r="K1169" s="31" t="s">
        <v>2320</v>
      </c>
      <c r="L1169" s="5" t="s">
        <v>83</v>
      </c>
      <c r="M1169" s="32">
        <v>5</v>
      </c>
      <c r="N1169" s="6">
        <f t="shared" si="182"/>
        <v>5</v>
      </c>
      <c r="O1169" s="4" t="s">
        <v>85</v>
      </c>
      <c r="P1169" s="5" t="str">
        <f t="shared" si="183"/>
        <v>Ahmedabad</v>
      </c>
      <c r="Q1169" s="5" t="str">
        <f t="shared" si="184"/>
        <v>Neurology</v>
      </c>
      <c r="R1169" s="6" t="str">
        <f t="shared" si="185"/>
        <v>Fortis</v>
      </c>
      <c r="S1169" s="6" t="str">
        <f t="shared" si="186"/>
        <v>Debit Card</v>
      </c>
      <c r="T1169" s="6" t="str">
        <f t="shared" si="187"/>
        <v>Female</v>
      </c>
      <c r="U1169" s="6" t="str">
        <f t="shared" si="190"/>
        <v>General</v>
      </c>
      <c r="V1169" s="6" t="str" cm="1">
        <f t="array" ref="V1169">IF(TRIM(S1169)="",INDEX($S$2:$S$1500,MATCH(MAX(COUNTIF($S$2:$S$1500,S1169)),COUNTIF($S$2:$S$1500,$S$2:$S$1500),0)),S1169)</f>
        <v>Debit Card</v>
      </c>
      <c r="W1169" s="7" cm="1">
        <f t="array" ref="W1169">IF(OR(TRIM(K1169)="",TRIM(K1169)="-"), MEDIAN(IF($E$2:$E$1500=E1169,$K$2:$K$1500)),  VALUE(SUBSTITUTE(SUBSTITUTE(SUBSTITUTE(K1169,"Rs. ",""),"₹",""),",","")))</f>
        <v>15706</v>
      </c>
      <c r="X1169" s="8">
        <f t="shared" si="188"/>
        <v>5</v>
      </c>
      <c r="Y1169" s="7">
        <f t="shared" si="189"/>
        <v>14921</v>
      </c>
      <c r="Z1169" s="9" t="str">
        <f t="shared" si="181"/>
        <v>SENIOR</v>
      </c>
    </row>
    <row r="1170" spans="1:26" x14ac:dyDescent="0.3">
      <c r="A1170" s="5" t="s">
        <v>2321</v>
      </c>
      <c r="B1170" s="5" t="s">
        <v>14</v>
      </c>
      <c r="C1170" s="5" t="s">
        <v>60</v>
      </c>
      <c r="D1170" s="5" t="s">
        <v>36</v>
      </c>
      <c r="E1170" s="5" t="s">
        <v>164</v>
      </c>
      <c r="F1170" s="5" t="s">
        <v>219</v>
      </c>
      <c r="G1170" s="5" t="s">
        <v>39</v>
      </c>
      <c r="H1170" s="5">
        <v>54</v>
      </c>
      <c r="I1170" s="5" t="s">
        <v>20</v>
      </c>
      <c r="J1170" s="34" t="s">
        <v>873</v>
      </c>
      <c r="K1170" s="31">
        <v>18507</v>
      </c>
      <c r="L1170" s="5" t="s">
        <v>311</v>
      </c>
      <c r="M1170" s="32">
        <v>0</v>
      </c>
      <c r="N1170" s="6">
        <f t="shared" si="182"/>
        <v>0</v>
      </c>
      <c r="O1170" s="4" t="s">
        <v>219</v>
      </c>
      <c r="P1170" s="5" t="str">
        <f t="shared" si="183"/>
        <v>Chennai</v>
      </c>
      <c r="Q1170" s="5" t="str">
        <f t="shared" si="184"/>
        <v>Cardiology</v>
      </c>
      <c r="R1170" s="6" t="str">
        <f t="shared" si="185"/>
        <v>Max_Healthcare</v>
      </c>
      <c r="S1170" s="6" t="str">
        <f t="shared" si="186"/>
        <v>UPI</v>
      </c>
      <c r="T1170" s="6" t="str">
        <f t="shared" si="187"/>
        <v>Male</v>
      </c>
      <c r="U1170" s="6" t="str">
        <f t="shared" si="190"/>
        <v>General</v>
      </c>
      <c r="V1170" s="6" t="str" cm="1">
        <f t="array" ref="V1170">IF(TRIM(S1170)="",INDEX($S$2:$S$1500,MATCH(MAX(COUNTIF($S$2:$S$1500,S1170)),COUNTIF($S$2:$S$1500,$S$2:$S$1500),0)),S1170)</f>
        <v>UPI</v>
      </c>
      <c r="W1170" s="7" cm="1">
        <f t="array" ref="W1170">IF(OR(TRIM(K1170)="",TRIM(K1170)="-"), MEDIAN(IF($E$2:$E$1500=E1170,$K$2:$K$1500)),  VALUE(SUBSTITUTE(SUBSTITUTE(SUBSTITUTE(K1170,"Rs. ",""),"₹",""),",","")))</f>
        <v>18507</v>
      </c>
      <c r="X1170" s="8">
        <f t="shared" si="188"/>
        <v>0</v>
      </c>
      <c r="Y1170" s="7">
        <f t="shared" si="189"/>
        <v>18507</v>
      </c>
      <c r="Z1170" s="9" t="str">
        <f t="shared" si="181"/>
        <v>ADULT</v>
      </c>
    </row>
    <row r="1171" spans="1:26" x14ac:dyDescent="0.3">
      <c r="A1171" s="5" t="s">
        <v>2322</v>
      </c>
      <c r="B1171" s="5" t="s">
        <v>78</v>
      </c>
      <c r="C1171" s="5" t="s">
        <v>79</v>
      </c>
      <c r="D1171" s="5" t="s">
        <v>27</v>
      </c>
      <c r="E1171" s="5" t="s">
        <v>28</v>
      </c>
      <c r="F1171" s="5" t="s">
        <v>259</v>
      </c>
      <c r="G1171" s="5" t="s">
        <v>69</v>
      </c>
      <c r="H1171" s="5">
        <v>26</v>
      </c>
      <c r="I1171" s="5" t="s">
        <v>70</v>
      </c>
      <c r="J1171" s="34" t="s">
        <v>32</v>
      </c>
      <c r="K1171" s="31" t="s">
        <v>2323</v>
      </c>
      <c r="L1171" s="5" t="s">
        <v>87</v>
      </c>
      <c r="M1171" s="32" t="s">
        <v>64</v>
      </c>
      <c r="N1171" s="6" t="str">
        <f t="shared" si="182"/>
        <v>NA</v>
      </c>
      <c r="O1171" s="4" t="s">
        <v>259</v>
      </c>
      <c r="P1171" s="5" t="str">
        <f t="shared" si="183"/>
        <v>Mumbai</v>
      </c>
      <c r="Q1171" s="5" t="str">
        <f t="shared" si="184"/>
        <v>Oncology</v>
      </c>
      <c r="R1171" s="6" t="str">
        <f t="shared" si="185"/>
        <v>Apollo</v>
      </c>
      <c r="S1171" s="6" t="str">
        <f t="shared" si="186"/>
        <v>Credit Card</v>
      </c>
      <c r="T1171" s="6" t="str">
        <f t="shared" si="187"/>
        <v>Female</v>
      </c>
      <c r="U1171" s="6" t="str">
        <f t="shared" si="190"/>
        <v>ICU</v>
      </c>
      <c r="V1171" s="6" t="str" cm="1">
        <f t="array" ref="V1171">IF(TRIM(S1171)="",INDEX($S$2:$S$1500,MATCH(MAX(COUNTIF($S$2:$S$1500,S1171)),COUNTIF($S$2:$S$1500,$S$2:$S$1500),0)),S1171)</f>
        <v>Credit Card</v>
      </c>
      <c r="W1171" s="7" cm="1">
        <f t="array" ref="W1171">IF(OR(TRIM(K1171)="",TRIM(K1171)="-"), MEDIAN(IF($E$2:$E$1500=E1171,$K$2:$K$1500)),  VALUE(SUBSTITUTE(SUBSTITUTE(SUBSTITUTE(K1171,"Rs. ",""),"₹",""),",","")))</f>
        <v>55417</v>
      </c>
      <c r="X1171" s="8">
        <f t="shared" si="188"/>
        <v>3</v>
      </c>
      <c r="Y1171" s="7">
        <f t="shared" si="189"/>
        <v>53754</v>
      </c>
      <c r="Z1171" s="9" t="str">
        <f t="shared" si="181"/>
        <v>ADULT</v>
      </c>
    </row>
    <row r="1172" spans="1:26" x14ac:dyDescent="0.3">
      <c r="A1172" s="5" t="s">
        <v>2324</v>
      </c>
      <c r="B1172" s="5" t="s">
        <v>45</v>
      </c>
      <c r="C1172" s="5" t="s">
        <v>334</v>
      </c>
      <c r="D1172" s="5" t="s">
        <v>27</v>
      </c>
      <c r="E1172" s="5" t="s">
        <v>28</v>
      </c>
      <c r="F1172" s="5" t="s">
        <v>29</v>
      </c>
      <c r="G1172" s="5" t="s">
        <v>39</v>
      </c>
      <c r="H1172" s="5">
        <v>41</v>
      </c>
      <c r="I1172" s="5" t="s">
        <v>40</v>
      </c>
      <c r="J1172" s="34" t="s">
        <v>991</v>
      </c>
      <c r="K1172" s="31">
        <v>18655</v>
      </c>
      <c r="L1172" s="5" t="s">
        <v>97</v>
      </c>
      <c r="M1172" s="32">
        <v>10</v>
      </c>
      <c r="N1172" s="6">
        <f t="shared" si="182"/>
        <v>10</v>
      </c>
      <c r="O1172" s="4" t="s">
        <v>29</v>
      </c>
      <c r="P1172" s="5" t="str">
        <f t="shared" si="183"/>
        <v>Mumbai</v>
      </c>
      <c r="Q1172" s="5" t="str">
        <f t="shared" si="184"/>
        <v>Oncology</v>
      </c>
      <c r="R1172" s="6" t="str">
        <f t="shared" si="185"/>
        <v>Fortis</v>
      </c>
      <c r="S1172" s="6" t="str">
        <f t="shared" si="186"/>
        <v>UPI</v>
      </c>
      <c r="T1172" s="6" t="str">
        <f t="shared" si="187"/>
        <v>Female</v>
      </c>
      <c r="U1172" s="6" t="str">
        <f t="shared" si="190"/>
        <v>General</v>
      </c>
      <c r="V1172" s="6" t="str" cm="1">
        <f t="array" ref="V1172">IF(TRIM(S1172)="",INDEX($S$2:$S$1500,MATCH(MAX(COUNTIF($S$2:$S$1500,S1172)),COUNTIF($S$2:$S$1500,$S$2:$S$1500),0)),S1172)</f>
        <v>UPI</v>
      </c>
      <c r="W1172" s="7" cm="1">
        <f t="array" ref="W1172">IF(OR(TRIM(K1172)="",TRIM(K1172)="-"), MEDIAN(IF($E$2:$E$1500=E1172,$K$2:$K$1500)),  VALUE(SUBSTITUTE(SUBSTITUTE(SUBSTITUTE(K1172,"Rs. ",""),"₹",""),",","")))</f>
        <v>18655</v>
      </c>
      <c r="X1172" s="8">
        <f t="shared" si="188"/>
        <v>10</v>
      </c>
      <c r="Y1172" s="7">
        <f t="shared" si="189"/>
        <v>16790</v>
      </c>
      <c r="Z1172" s="9" t="str">
        <f t="shared" si="181"/>
        <v>ADULT</v>
      </c>
    </row>
    <row r="1173" spans="1:26" x14ac:dyDescent="0.3">
      <c r="A1173" s="5" t="s">
        <v>2325</v>
      </c>
      <c r="B1173" s="5" t="s">
        <v>25</v>
      </c>
      <c r="C1173" s="5" t="s">
        <v>54</v>
      </c>
      <c r="D1173" s="5" t="s">
        <v>55</v>
      </c>
      <c r="E1173" s="5" t="s">
        <v>99</v>
      </c>
      <c r="F1173" s="5" t="s">
        <v>151</v>
      </c>
      <c r="G1173" s="5" t="s">
        <v>49</v>
      </c>
      <c r="H1173" s="5">
        <v>87</v>
      </c>
      <c r="I1173" s="5" t="s">
        <v>20</v>
      </c>
      <c r="J1173" s="34" t="s">
        <v>977</v>
      </c>
      <c r="K1173" s="31">
        <v>13644</v>
      </c>
      <c r="L1173" s="5" t="s">
        <v>52</v>
      </c>
      <c r="M1173" s="32">
        <v>0</v>
      </c>
      <c r="N1173" s="6">
        <f t="shared" si="182"/>
        <v>0</v>
      </c>
      <c r="O1173" s="4" t="s">
        <v>151</v>
      </c>
      <c r="P1173" s="5" t="str">
        <f t="shared" si="183"/>
        <v>Hyderabad</v>
      </c>
      <c r="Q1173" s="5" t="str">
        <f t="shared" si="184"/>
        <v>Ent</v>
      </c>
      <c r="R1173" s="6" t="str">
        <f t="shared" si="185"/>
        <v>Narayana</v>
      </c>
      <c r="S1173" s="6" t="str">
        <f t="shared" si="186"/>
        <v>Credit Card</v>
      </c>
      <c r="T1173" s="6" t="str">
        <f t="shared" si="187"/>
        <v>Male</v>
      </c>
      <c r="U1173" s="6" t="str">
        <f t="shared" si="190"/>
        <v>General</v>
      </c>
      <c r="V1173" s="6" t="str" cm="1">
        <f t="array" ref="V1173">IF(TRIM(S1173)="",INDEX($S$2:$S$1500,MATCH(MAX(COUNTIF($S$2:$S$1500,S1173)),COUNTIF($S$2:$S$1500,$S$2:$S$1500),0)),S1173)</f>
        <v>Credit Card</v>
      </c>
      <c r="W1173" s="7" cm="1">
        <f t="array" ref="W1173">IF(OR(TRIM(K1173)="",TRIM(K1173)="-"), MEDIAN(IF($E$2:$E$1500=E1173,$K$2:$K$1500)),  VALUE(SUBSTITUTE(SUBSTITUTE(SUBSTITUTE(K1173,"Rs. ",""),"₹",""),",","")))</f>
        <v>13644</v>
      </c>
      <c r="X1173" s="8">
        <f t="shared" si="188"/>
        <v>0</v>
      </c>
      <c r="Y1173" s="7">
        <f t="shared" si="189"/>
        <v>13644</v>
      </c>
      <c r="Z1173" s="9" t="str">
        <f t="shared" si="181"/>
        <v>SENIOR</v>
      </c>
    </row>
    <row r="1174" spans="1:26" x14ac:dyDescent="0.3">
      <c r="A1174" s="5" t="s">
        <v>2326</v>
      </c>
      <c r="B1174" s="5" t="s">
        <v>106</v>
      </c>
      <c r="C1174" s="5" t="s">
        <v>107</v>
      </c>
      <c r="D1174" s="5" t="s">
        <v>16</v>
      </c>
      <c r="E1174" s="5" t="s">
        <v>37</v>
      </c>
      <c r="F1174" s="5" t="s">
        <v>38</v>
      </c>
      <c r="G1174" s="5" t="s">
        <v>19</v>
      </c>
      <c r="H1174" s="5">
        <v>24</v>
      </c>
      <c r="I1174" s="5" t="s">
        <v>70</v>
      </c>
      <c r="J1174" s="34" t="s">
        <v>136</v>
      </c>
      <c r="K1174" s="31">
        <v>3517</v>
      </c>
      <c r="L1174" s="5" t="s">
        <v>58</v>
      </c>
      <c r="M1174" s="32" t="s">
        <v>64</v>
      </c>
      <c r="N1174" s="6" t="str">
        <f t="shared" si="182"/>
        <v>NA</v>
      </c>
      <c r="O1174" s="4" t="s">
        <v>38</v>
      </c>
      <c r="P1174" s="5" t="str">
        <f t="shared" si="183"/>
        <v>Bangalore</v>
      </c>
      <c r="Q1174" s="5" t="str">
        <f t="shared" si="184"/>
        <v>Pediatrics</v>
      </c>
      <c r="R1174" s="6" t="str">
        <f t="shared" si="185"/>
        <v>Aiims</v>
      </c>
      <c r="S1174" s="6" t="str">
        <f t="shared" si="186"/>
        <v>UPI</v>
      </c>
      <c r="T1174" s="6" t="str">
        <f t="shared" si="187"/>
        <v>Female</v>
      </c>
      <c r="U1174" s="6" t="str">
        <f t="shared" si="190"/>
        <v>General</v>
      </c>
      <c r="V1174" s="6" t="str" cm="1">
        <f t="array" ref="V1174">IF(TRIM(S1174)="",INDEX($S$2:$S$1500,MATCH(MAX(COUNTIF($S$2:$S$1500,S1174)),COUNTIF($S$2:$S$1500,$S$2:$S$1500),0)),S1174)</f>
        <v>UPI</v>
      </c>
      <c r="W1174" s="7" cm="1">
        <f t="array" ref="W1174">IF(OR(TRIM(K1174)="",TRIM(K1174)="-"), MEDIAN(IF($E$2:$E$1500=E1174,$K$2:$K$1500)),  VALUE(SUBSTITUTE(SUBSTITUTE(SUBSTITUTE(K1174,"Rs. ",""),"₹",""),",","")))</f>
        <v>3517</v>
      </c>
      <c r="X1174" s="8">
        <f t="shared" si="188"/>
        <v>3</v>
      </c>
      <c r="Y1174" s="7">
        <f t="shared" si="189"/>
        <v>3411</v>
      </c>
      <c r="Z1174" s="9" t="str">
        <f t="shared" si="181"/>
        <v>ADULT</v>
      </c>
    </row>
    <row r="1175" spans="1:26" x14ac:dyDescent="0.3">
      <c r="A1175" s="5" t="s">
        <v>2327</v>
      </c>
      <c r="B1175" s="5" t="s">
        <v>45</v>
      </c>
      <c r="C1175" s="5" t="s">
        <v>46</v>
      </c>
      <c r="D1175" s="5" t="s">
        <v>55</v>
      </c>
      <c r="E1175" s="5" t="s">
        <v>47</v>
      </c>
      <c r="F1175" s="5" t="s">
        <v>175</v>
      </c>
      <c r="G1175" s="5"/>
      <c r="H1175" s="5">
        <v>13</v>
      </c>
      <c r="I1175" s="5" t="s">
        <v>20</v>
      </c>
      <c r="J1175" s="34" t="s">
        <v>1242</v>
      </c>
      <c r="K1175" s="31" t="s">
        <v>2328</v>
      </c>
      <c r="L1175" s="5" t="s">
        <v>211</v>
      </c>
      <c r="M1175" s="32">
        <v>10</v>
      </c>
      <c r="N1175" s="6">
        <f t="shared" si="182"/>
        <v>10</v>
      </c>
      <c r="O1175" s="4" t="s">
        <v>175</v>
      </c>
      <c r="P1175" s="5" t="str">
        <f t="shared" si="183"/>
        <v>Hyderabad</v>
      </c>
      <c r="Q1175" s="5" t="str">
        <f t="shared" si="184"/>
        <v>Gastroenterology</v>
      </c>
      <c r="R1175" s="6" t="str">
        <f t="shared" si="185"/>
        <v>Fortis</v>
      </c>
      <c r="S1175" s="6" t="str">
        <f t="shared" si="186"/>
        <v>Credit Card</v>
      </c>
      <c r="T1175" s="6" t="str">
        <f t="shared" si="187"/>
        <v>Male</v>
      </c>
      <c r="U1175" s="6" t="str">
        <f t="shared" si="190"/>
        <v>Unknown</v>
      </c>
      <c r="V1175" s="6" t="str" cm="1">
        <f t="array" ref="V1175">IF(TRIM(S1175)="",INDEX($S$2:$S$1500,MATCH(MAX(COUNTIF($S$2:$S$1500,S1175)),COUNTIF($S$2:$S$1500,$S$2:$S$1500),0)),S1175)</f>
        <v>Credit Card</v>
      </c>
      <c r="W1175" s="7" cm="1">
        <f t="array" ref="W1175">IF(OR(TRIM(K1175)="",TRIM(K1175)="-"), MEDIAN(IF($E$2:$E$1500=E1175,$K$2:$K$1500)),  VALUE(SUBSTITUTE(SUBSTITUTE(SUBSTITUTE(K1175,"Rs. ",""),"₹",""),",","")))</f>
        <v>14167</v>
      </c>
      <c r="X1175" s="8">
        <f t="shared" si="188"/>
        <v>10</v>
      </c>
      <c r="Y1175" s="7">
        <f t="shared" si="189"/>
        <v>12750</v>
      </c>
      <c r="Z1175" s="9" t="str">
        <f t="shared" si="181"/>
        <v>TEEN</v>
      </c>
    </row>
    <row r="1176" spans="1:26" x14ac:dyDescent="0.3">
      <c r="A1176" s="5" t="s">
        <v>2329</v>
      </c>
      <c r="B1176" s="5" t="s">
        <v>45</v>
      </c>
      <c r="C1176" s="5" t="s">
        <v>334</v>
      </c>
      <c r="D1176" s="5" t="s">
        <v>16</v>
      </c>
      <c r="E1176" s="5" t="s">
        <v>74</v>
      </c>
      <c r="F1176" s="5" t="s">
        <v>75</v>
      </c>
      <c r="G1176" s="5" t="s">
        <v>30</v>
      </c>
      <c r="H1176" s="5">
        <v>81</v>
      </c>
      <c r="I1176" s="5" t="s">
        <v>20</v>
      </c>
      <c r="J1176" s="34" t="s">
        <v>370</v>
      </c>
      <c r="K1176" s="31">
        <v>17725</v>
      </c>
      <c r="L1176" s="5" t="s">
        <v>87</v>
      </c>
      <c r="M1176" s="32">
        <v>5</v>
      </c>
      <c r="N1176" s="6">
        <f t="shared" si="182"/>
        <v>5</v>
      </c>
      <c r="O1176" s="4" t="s">
        <v>75</v>
      </c>
      <c r="P1176" s="5" t="str">
        <f t="shared" si="183"/>
        <v>Bangalore</v>
      </c>
      <c r="Q1176" s="5" t="str">
        <f t="shared" si="184"/>
        <v>General Medicine</v>
      </c>
      <c r="R1176" s="6" t="str">
        <f t="shared" si="185"/>
        <v>Fortis</v>
      </c>
      <c r="S1176" s="6" t="str">
        <f t="shared" si="186"/>
        <v>Credit Card</v>
      </c>
      <c r="T1176" s="6" t="str">
        <f t="shared" si="187"/>
        <v>Male</v>
      </c>
      <c r="U1176" s="6" t="str">
        <f t="shared" si="190"/>
        <v>General</v>
      </c>
      <c r="V1176" s="6" t="str" cm="1">
        <f t="array" ref="V1176">IF(TRIM(S1176)="",INDEX($S$2:$S$1500,MATCH(MAX(COUNTIF($S$2:$S$1500,S1176)),COUNTIF($S$2:$S$1500,$S$2:$S$1500),0)),S1176)</f>
        <v>Credit Card</v>
      </c>
      <c r="W1176" s="7" cm="1">
        <f t="array" ref="W1176">IF(OR(TRIM(K1176)="",TRIM(K1176)="-"), MEDIAN(IF($E$2:$E$1500=E1176,$K$2:$K$1500)),  VALUE(SUBSTITUTE(SUBSTITUTE(SUBSTITUTE(K1176,"Rs. ",""),"₹",""),",","")))</f>
        <v>17725</v>
      </c>
      <c r="X1176" s="8">
        <f t="shared" si="188"/>
        <v>5</v>
      </c>
      <c r="Y1176" s="7">
        <f t="shared" si="189"/>
        <v>16839</v>
      </c>
      <c r="Z1176" s="9" t="str">
        <f t="shared" si="181"/>
        <v>SENIOR</v>
      </c>
    </row>
    <row r="1177" spans="1:26" x14ac:dyDescent="0.3">
      <c r="A1177" s="5" t="s">
        <v>2330</v>
      </c>
      <c r="B1177" s="5" t="s">
        <v>14</v>
      </c>
      <c r="C1177" s="5" t="s">
        <v>60</v>
      </c>
      <c r="D1177" s="5" t="s">
        <v>27</v>
      </c>
      <c r="E1177" s="5" t="s">
        <v>74</v>
      </c>
      <c r="F1177" s="5" t="s">
        <v>172</v>
      </c>
      <c r="G1177" s="5" t="s">
        <v>39</v>
      </c>
      <c r="H1177" s="5">
        <v>78</v>
      </c>
      <c r="I1177" s="5" t="s">
        <v>20</v>
      </c>
      <c r="J1177" s="34" t="s">
        <v>866</v>
      </c>
      <c r="K1177" s="31">
        <v>13768</v>
      </c>
      <c r="L1177" s="5" t="s">
        <v>34</v>
      </c>
      <c r="M1177" s="32" t="s">
        <v>130</v>
      </c>
      <c r="N1177" s="6">
        <f t="shared" si="182"/>
        <v>0</v>
      </c>
      <c r="O1177" s="4" t="s">
        <v>172</v>
      </c>
      <c r="P1177" s="5" t="str">
        <f t="shared" si="183"/>
        <v>Mumbai</v>
      </c>
      <c r="Q1177" s="5" t="str">
        <f t="shared" si="184"/>
        <v>General Medicine</v>
      </c>
      <c r="R1177" s="6" t="str">
        <f t="shared" si="185"/>
        <v>Max_Healthcare</v>
      </c>
      <c r="S1177" s="6" t="str">
        <f t="shared" si="186"/>
        <v>Cash</v>
      </c>
      <c r="T1177" s="6" t="str">
        <f t="shared" si="187"/>
        <v>Male</v>
      </c>
      <c r="U1177" s="6" t="str">
        <f t="shared" si="190"/>
        <v>General</v>
      </c>
      <c r="V1177" s="6" t="str" cm="1">
        <f t="array" ref="V1177">IF(TRIM(S1177)="",INDEX($S$2:$S$1500,MATCH(MAX(COUNTIF($S$2:$S$1500,S1177)),COUNTIF($S$2:$S$1500,$S$2:$S$1500),0)),S1177)</f>
        <v>Cash</v>
      </c>
      <c r="W1177" s="7" cm="1">
        <f t="array" ref="W1177">IF(OR(TRIM(K1177)="",TRIM(K1177)="-"), MEDIAN(IF($E$2:$E$1500=E1177,$K$2:$K$1500)),  VALUE(SUBSTITUTE(SUBSTITUTE(SUBSTITUTE(K1177,"Rs. ",""),"₹",""),",","")))</f>
        <v>13768</v>
      </c>
      <c r="X1177" s="8">
        <f t="shared" si="188"/>
        <v>0</v>
      </c>
      <c r="Y1177" s="7">
        <f t="shared" si="189"/>
        <v>13768</v>
      </c>
      <c r="Z1177" s="9" t="str">
        <f t="shared" si="181"/>
        <v>SENIOR</v>
      </c>
    </row>
    <row r="1178" spans="1:26" x14ac:dyDescent="0.3">
      <c r="A1178" s="5" t="s">
        <v>2331</v>
      </c>
      <c r="B1178" s="5" t="s">
        <v>14</v>
      </c>
      <c r="C1178" s="5" t="s">
        <v>60</v>
      </c>
      <c r="D1178" s="5" t="s">
        <v>27</v>
      </c>
      <c r="E1178" s="5" t="s">
        <v>108</v>
      </c>
      <c r="F1178" s="5" t="s">
        <v>272</v>
      </c>
      <c r="G1178" s="5" t="s">
        <v>62</v>
      </c>
      <c r="H1178" s="5">
        <v>19</v>
      </c>
      <c r="I1178" s="5" t="s">
        <v>31</v>
      </c>
      <c r="J1178" s="34" t="s">
        <v>1710</v>
      </c>
      <c r="K1178" s="31" t="s">
        <v>2332</v>
      </c>
      <c r="L1178" s="5" t="s">
        <v>87</v>
      </c>
      <c r="M1178" s="32">
        <v>0</v>
      </c>
      <c r="N1178" s="6">
        <f t="shared" si="182"/>
        <v>0</v>
      </c>
      <c r="O1178" s="4" t="s">
        <v>272</v>
      </c>
      <c r="P1178" s="5" t="str">
        <f t="shared" si="183"/>
        <v>Mumbai</v>
      </c>
      <c r="Q1178" s="5" t="str">
        <f t="shared" si="184"/>
        <v>Orthopedics</v>
      </c>
      <c r="R1178" s="6" t="str">
        <f t="shared" si="185"/>
        <v>Max_Healthcare</v>
      </c>
      <c r="S1178" s="6" t="str">
        <f t="shared" si="186"/>
        <v>Credit Card</v>
      </c>
      <c r="T1178" s="6" t="str">
        <f t="shared" si="187"/>
        <v>Male</v>
      </c>
      <c r="U1178" s="6" t="str">
        <f t="shared" si="190"/>
        <v>ICU</v>
      </c>
      <c r="V1178" s="6" t="str" cm="1">
        <f t="array" ref="V1178">IF(TRIM(S1178)="",INDEX($S$2:$S$1500,MATCH(MAX(COUNTIF($S$2:$S$1500,S1178)),COUNTIF($S$2:$S$1500,$S$2:$S$1500),0)),S1178)</f>
        <v>Credit Card</v>
      </c>
      <c r="W1178" s="7" cm="1">
        <f t="array" ref="W1178">IF(OR(TRIM(K1178)="",TRIM(K1178)="-"), MEDIAN(IF($E$2:$E$1500=E1178,$K$2:$K$1500)),  VALUE(SUBSTITUTE(SUBSTITUTE(SUBSTITUTE(K1178,"Rs. ",""),"₹",""),",","")))</f>
        <v>53992</v>
      </c>
      <c r="X1178" s="8">
        <f t="shared" si="188"/>
        <v>0</v>
      </c>
      <c r="Y1178" s="7">
        <f t="shared" si="189"/>
        <v>53992</v>
      </c>
      <c r="Z1178" s="9" t="str">
        <f t="shared" si="181"/>
        <v>TEEN</v>
      </c>
    </row>
    <row r="1179" spans="1:26" x14ac:dyDescent="0.3">
      <c r="A1179" s="5" t="s">
        <v>2333</v>
      </c>
      <c r="B1179" s="5" t="s">
        <v>14</v>
      </c>
      <c r="C1179" s="5" t="s">
        <v>60</v>
      </c>
      <c r="D1179" s="5" t="s">
        <v>27</v>
      </c>
      <c r="E1179" s="5" t="s">
        <v>99</v>
      </c>
      <c r="F1179" s="5" t="s">
        <v>372</v>
      </c>
      <c r="G1179" s="5" t="s">
        <v>101</v>
      </c>
      <c r="H1179" s="5">
        <v>89</v>
      </c>
      <c r="I1179" s="5" t="s">
        <v>20</v>
      </c>
      <c r="J1179" s="34" t="s">
        <v>1128</v>
      </c>
      <c r="K1179" s="31" t="s">
        <v>2334</v>
      </c>
      <c r="L1179" s="5" t="s">
        <v>42</v>
      </c>
      <c r="M1179" s="32" t="s">
        <v>43</v>
      </c>
      <c r="N1179" s="6">
        <f t="shared" si="182"/>
        <v>18</v>
      </c>
      <c r="O1179" s="4" t="s">
        <v>372</v>
      </c>
      <c r="P1179" s="5" t="str">
        <f t="shared" si="183"/>
        <v>Mumbai</v>
      </c>
      <c r="Q1179" s="5" t="str">
        <f t="shared" si="184"/>
        <v>Ent</v>
      </c>
      <c r="R1179" s="6" t="str">
        <f t="shared" si="185"/>
        <v>Max_Healthcare</v>
      </c>
      <c r="S1179" s="6" t="str">
        <f t="shared" si="186"/>
        <v>Insurance</v>
      </c>
      <c r="T1179" s="6" t="str">
        <f t="shared" si="187"/>
        <v>Male</v>
      </c>
      <c r="U1179" s="6" t="str">
        <f t="shared" si="190"/>
        <v>ICU</v>
      </c>
      <c r="V1179" s="6" t="str" cm="1">
        <f t="array" ref="V1179">IF(TRIM(S1179)="",INDEX($S$2:$S$1500,MATCH(MAX(COUNTIF($S$2:$S$1500,S1179)),COUNTIF($S$2:$S$1500,$S$2:$S$1500),0)),S1179)</f>
        <v>Insurance</v>
      </c>
      <c r="W1179" s="7" cm="1">
        <f t="array" ref="W1179">IF(OR(TRIM(K1179)="",TRIM(K1179)="-"), MEDIAN(IF($E$2:$E$1500=E1179,$K$2:$K$1500)),  VALUE(SUBSTITUTE(SUBSTITUTE(SUBSTITUTE(K1179,"Rs. ",""),"₹",""),",","")))</f>
        <v>70607</v>
      </c>
      <c r="X1179" s="8">
        <f t="shared" si="188"/>
        <v>18</v>
      </c>
      <c r="Y1179" s="7">
        <f t="shared" si="189"/>
        <v>57898</v>
      </c>
      <c r="Z1179" s="9" t="str">
        <f t="shared" si="181"/>
        <v>SENIOR</v>
      </c>
    </row>
    <row r="1180" spans="1:26" x14ac:dyDescent="0.3">
      <c r="A1180" s="5" t="s">
        <v>2335</v>
      </c>
      <c r="B1180" s="5" t="s">
        <v>14</v>
      </c>
      <c r="C1180" s="5" t="s">
        <v>15</v>
      </c>
      <c r="D1180" s="5" t="s">
        <v>66</v>
      </c>
      <c r="E1180" s="5" t="s">
        <v>17</v>
      </c>
      <c r="F1180" s="5" t="s">
        <v>18</v>
      </c>
      <c r="G1180" s="5" t="s">
        <v>19</v>
      </c>
      <c r="H1180" s="5">
        <v>39</v>
      </c>
      <c r="I1180" s="5" t="s">
        <v>20</v>
      </c>
      <c r="J1180" s="34" t="s">
        <v>2300</v>
      </c>
      <c r="K1180" s="31">
        <v>18445</v>
      </c>
      <c r="L1180" s="5" t="s">
        <v>52</v>
      </c>
      <c r="M1180" s="32"/>
      <c r="N1180" s="6">
        <f t="shared" si="182"/>
        <v>0</v>
      </c>
      <c r="O1180" s="4" t="s">
        <v>18</v>
      </c>
      <c r="P1180" s="5" t="str">
        <f t="shared" si="183"/>
        <v>Kolkata</v>
      </c>
      <c r="Q1180" s="5" t="str">
        <f t="shared" si="184"/>
        <v>Gynecology</v>
      </c>
      <c r="R1180" s="6" t="str">
        <f t="shared" si="185"/>
        <v>Max_Healthcare</v>
      </c>
      <c r="S1180" s="6" t="str">
        <f t="shared" si="186"/>
        <v>Credit Card</v>
      </c>
      <c r="T1180" s="6" t="str">
        <f t="shared" si="187"/>
        <v>Male</v>
      </c>
      <c r="U1180" s="6" t="str">
        <f t="shared" si="190"/>
        <v>General</v>
      </c>
      <c r="V1180" s="6" t="str" cm="1">
        <f t="array" ref="V1180">IF(TRIM(S1180)="",INDEX($S$2:$S$1500,MATCH(MAX(COUNTIF($S$2:$S$1500,S1180)),COUNTIF($S$2:$S$1500,$S$2:$S$1500),0)),S1180)</f>
        <v>Credit Card</v>
      </c>
      <c r="W1180" s="7" cm="1">
        <f t="array" ref="W1180">IF(OR(TRIM(K1180)="",TRIM(K1180)="-"), MEDIAN(IF($E$2:$E$1500=E1180,$K$2:$K$1500)),  VALUE(SUBSTITUTE(SUBSTITUTE(SUBSTITUTE(K1180,"Rs. ",""),"₹",""),",","")))</f>
        <v>18445</v>
      </c>
      <c r="X1180" s="8">
        <f t="shared" si="188"/>
        <v>0</v>
      </c>
      <c r="Y1180" s="7">
        <f t="shared" si="189"/>
        <v>18445</v>
      </c>
      <c r="Z1180" s="9" t="str">
        <f t="shared" si="181"/>
        <v>ADULT</v>
      </c>
    </row>
    <row r="1181" spans="1:26" x14ac:dyDescent="0.3">
      <c r="A1181" s="5" t="s">
        <v>2336</v>
      </c>
      <c r="B1181" s="5" t="s">
        <v>106</v>
      </c>
      <c r="C1181" s="5" t="s">
        <v>307</v>
      </c>
      <c r="D1181" s="5" t="s">
        <v>36</v>
      </c>
      <c r="E1181" s="5" t="s">
        <v>37</v>
      </c>
      <c r="F1181" s="5" t="s">
        <v>38</v>
      </c>
      <c r="G1181" s="5" t="s">
        <v>49</v>
      </c>
      <c r="H1181" s="5">
        <v>88</v>
      </c>
      <c r="I1181" s="5" t="s">
        <v>70</v>
      </c>
      <c r="J1181" s="34" t="s">
        <v>1495</v>
      </c>
      <c r="K1181" s="31" t="s">
        <v>2337</v>
      </c>
      <c r="L1181" s="5" t="s">
        <v>83</v>
      </c>
      <c r="M1181" s="32">
        <v>0</v>
      </c>
      <c r="N1181" s="6">
        <f t="shared" si="182"/>
        <v>0</v>
      </c>
      <c r="O1181" s="4" t="s">
        <v>38</v>
      </c>
      <c r="P1181" s="5" t="str">
        <f t="shared" si="183"/>
        <v>Chennai</v>
      </c>
      <c r="Q1181" s="5" t="str">
        <f t="shared" si="184"/>
        <v>Pediatrics</v>
      </c>
      <c r="R1181" s="6" t="str">
        <f t="shared" si="185"/>
        <v>Aiims</v>
      </c>
      <c r="S1181" s="6" t="str">
        <f t="shared" si="186"/>
        <v>Debit Card</v>
      </c>
      <c r="T1181" s="6" t="str">
        <f t="shared" si="187"/>
        <v>Female</v>
      </c>
      <c r="U1181" s="6" t="str">
        <f t="shared" si="190"/>
        <v>General</v>
      </c>
      <c r="V1181" s="6" t="str" cm="1">
        <f t="array" ref="V1181">IF(TRIM(S1181)="",INDEX($S$2:$S$1500,MATCH(MAX(COUNTIF($S$2:$S$1500,S1181)),COUNTIF($S$2:$S$1500,$S$2:$S$1500),0)),S1181)</f>
        <v>Debit Card</v>
      </c>
      <c r="W1181" s="7" cm="1">
        <f t="array" ref="W1181">IF(OR(TRIM(K1181)="",TRIM(K1181)="-"), MEDIAN(IF($E$2:$E$1500=E1181,$K$2:$K$1500)),  VALUE(SUBSTITUTE(SUBSTITUTE(SUBSTITUTE(K1181,"Rs. ",""),"₹",""),",","")))</f>
        <v>3082</v>
      </c>
      <c r="X1181" s="8">
        <f t="shared" si="188"/>
        <v>0</v>
      </c>
      <c r="Y1181" s="7">
        <f t="shared" si="189"/>
        <v>3082</v>
      </c>
      <c r="Z1181" s="9" t="str">
        <f t="shared" si="181"/>
        <v>SENIOR</v>
      </c>
    </row>
    <row r="1182" spans="1:26" x14ac:dyDescent="0.3">
      <c r="A1182" s="5" t="s">
        <v>2338</v>
      </c>
      <c r="B1182" s="5" t="s">
        <v>106</v>
      </c>
      <c r="C1182" s="5" t="s">
        <v>107</v>
      </c>
      <c r="D1182" s="5" t="s">
        <v>66</v>
      </c>
      <c r="E1182" s="5" t="s">
        <v>108</v>
      </c>
      <c r="F1182" s="5" t="s">
        <v>272</v>
      </c>
      <c r="G1182" s="5" t="s">
        <v>30</v>
      </c>
      <c r="H1182" s="5">
        <v>75</v>
      </c>
      <c r="I1182" s="5" t="s">
        <v>40</v>
      </c>
      <c r="J1182" s="34" t="s">
        <v>777</v>
      </c>
      <c r="K1182" s="31" t="s">
        <v>2339</v>
      </c>
      <c r="L1182" s="5" t="s">
        <v>87</v>
      </c>
      <c r="M1182" s="32" t="s">
        <v>198</v>
      </c>
      <c r="N1182" s="6">
        <f t="shared" si="182"/>
        <v>5</v>
      </c>
      <c r="O1182" s="4" t="s">
        <v>272</v>
      </c>
      <c r="P1182" s="5" t="str">
        <f t="shared" si="183"/>
        <v>Kolkata</v>
      </c>
      <c r="Q1182" s="5" t="str">
        <f t="shared" si="184"/>
        <v>Orthopedics</v>
      </c>
      <c r="R1182" s="6" t="str">
        <f t="shared" si="185"/>
        <v>Aiims</v>
      </c>
      <c r="S1182" s="6" t="str">
        <f t="shared" si="186"/>
        <v>Credit Card</v>
      </c>
      <c r="T1182" s="6" t="str">
        <f t="shared" si="187"/>
        <v>Female</v>
      </c>
      <c r="U1182" s="6" t="str">
        <f t="shared" si="190"/>
        <v>General</v>
      </c>
      <c r="V1182" s="6" t="str" cm="1">
        <f t="array" ref="V1182">IF(TRIM(S1182)="",INDEX($S$2:$S$1500,MATCH(MAX(COUNTIF($S$2:$S$1500,S1182)),COUNTIF($S$2:$S$1500,$S$2:$S$1500),0)),S1182)</f>
        <v>Credit Card</v>
      </c>
      <c r="W1182" s="7" cm="1">
        <f t="array" ref="W1182">IF(OR(TRIM(K1182)="",TRIM(K1182)="-"), MEDIAN(IF($E$2:$E$1500=E1182,$K$2:$K$1500)),  VALUE(SUBSTITUTE(SUBSTITUTE(SUBSTITUTE(K1182,"Rs. ",""),"₹",""),",","")))</f>
        <v>13705</v>
      </c>
      <c r="X1182" s="8">
        <f t="shared" si="188"/>
        <v>5</v>
      </c>
      <c r="Y1182" s="7">
        <f t="shared" si="189"/>
        <v>13020</v>
      </c>
      <c r="Z1182" s="9" t="str">
        <f t="shared" si="181"/>
        <v>SENIOR</v>
      </c>
    </row>
    <row r="1183" spans="1:26" x14ac:dyDescent="0.3">
      <c r="A1183" s="5" t="s">
        <v>2340</v>
      </c>
      <c r="B1183" s="5" t="s">
        <v>117</v>
      </c>
      <c r="C1183" s="5" t="s">
        <v>182</v>
      </c>
      <c r="D1183" s="5" t="s">
        <v>16</v>
      </c>
      <c r="E1183" s="5" t="s">
        <v>17</v>
      </c>
      <c r="F1183" s="5" t="s">
        <v>169</v>
      </c>
      <c r="G1183" s="5" t="s">
        <v>19</v>
      </c>
      <c r="H1183" s="5">
        <v>7</v>
      </c>
      <c r="I1183" s="5" t="s">
        <v>20</v>
      </c>
      <c r="J1183" s="34" t="s">
        <v>2120</v>
      </c>
      <c r="K1183" s="31">
        <v>19890</v>
      </c>
      <c r="L1183" s="5" t="s">
        <v>167</v>
      </c>
      <c r="M1183" s="32">
        <v>35</v>
      </c>
      <c r="N1183" s="6">
        <f t="shared" si="182"/>
        <v>35</v>
      </c>
      <c r="O1183" s="4" t="s">
        <v>169</v>
      </c>
      <c r="P1183" s="5" t="str">
        <f t="shared" si="183"/>
        <v>Bangalore</v>
      </c>
      <c r="Q1183" s="5" t="str">
        <f t="shared" si="184"/>
        <v>Gynecology</v>
      </c>
      <c r="R1183" s="6" t="str">
        <f t="shared" si="185"/>
        <v>Manipal</v>
      </c>
      <c r="S1183" s="6" t="str">
        <f t="shared" si="186"/>
        <v>Insurance</v>
      </c>
      <c r="T1183" s="6" t="str">
        <f t="shared" si="187"/>
        <v>Male</v>
      </c>
      <c r="U1183" s="6" t="str">
        <f t="shared" si="190"/>
        <v>General</v>
      </c>
      <c r="V1183" s="6" t="str" cm="1">
        <f t="array" ref="V1183">IF(TRIM(S1183)="",INDEX($S$2:$S$1500,MATCH(MAX(COUNTIF($S$2:$S$1500,S1183)),COUNTIF($S$2:$S$1500,$S$2:$S$1500),0)),S1183)</f>
        <v>Insurance</v>
      </c>
      <c r="W1183" s="7" cm="1">
        <f t="array" ref="W1183">IF(OR(TRIM(K1183)="",TRIM(K1183)="-"), MEDIAN(IF($E$2:$E$1500=E1183,$K$2:$K$1500)),  VALUE(SUBSTITUTE(SUBSTITUTE(SUBSTITUTE(K1183,"Rs. ",""),"₹",""),",","")))</f>
        <v>19890</v>
      </c>
      <c r="X1183" s="8">
        <f t="shared" si="188"/>
        <v>35</v>
      </c>
      <c r="Y1183" s="7">
        <f t="shared" si="189"/>
        <v>12929</v>
      </c>
      <c r="Z1183" s="9" t="str">
        <f t="shared" si="181"/>
        <v>CHILD</v>
      </c>
    </row>
    <row r="1184" spans="1:26" x14ac:dyDescent="0.3">
      <c r="A1184" s="5" t="s">
        <v>2341</v>
      </c>
      <c r="B1184" s="5" t="s">
        <v>78</v>
      </c>
      <c r="C1184" s="5" t="s">
        <v>79</v>
      </c>
      <c r="D1184" s="5" t="s">
        <v>80</v>
      </c>
      <c r="E1184" s="5" t="s">
        <v>93</v>
      </c>
      <c r="F1184" s="5" t="s">
        <v>144</v>
      </c>
      <c r="G1184" s="5" t="s">
        <v>30</v>
      </c>
      <c r="H1184" s="5">
        <v>68</v>
      </c>
      <c r="I1184" s="5" t="s">
        <v>40</v>
      </c>
      <c r="J1184" s="34" t="s">
        <v>1201</v>
      </c>
      <c r="K1184" s="31" t="s">
        <v>2342</v>
      </c>
      <c r="L1184" s="5" t="s">
        <v>83</v>
      </c>
      <c r="M1184" s="32" t="s">
        <v>140</v>
      </c>
      <c r="N1184" s="6" t="str">
        <f t="shared" si="182"/>
        <v>-</v>
      </c>
      <c r="O1184" s="4" t="s">
        <v>144</v>
      </c>
      <c r="P1184" s="5" t="str">
        <f t="shared" si="183"/>
        <v>Ahmedabad</v>
      </c>
      <c r="Q1184" s="5" t="str">
        <f t="shared" si="184"/>
        <v>Nephrology</v>
      </c>
      <c r="R1184" s="6" t="str">
        <f t="shared" si="185"/>
        <v>Apollo</v>
      </c>
      <c r="S1184" s="6" t="str">
        <f t="shared" si="186"/>
        <v>Debit Card</v>
      </c>
      <c r="T1184" s="6" t="str">
        <f t="shared" si="187"/>
        <v>Female</v>
      </c>
      <c r="U1184" s="6" t="str">
        <f t="shared" si="190"/>
        <v>General</v>
      </c>
      <c r="V1184" s="6" t="str" cm="1">
        <f t="array" ref="V1184">IF(TRIM(S1184)="",INDEX($S$2:$S$1500,MATCH(MAX(COUNTIF($S$2:$S$1500,S1184)),COUNTIF($S$2:$S$1500,$S$2:$S$1500),0)),S1184)</f>
        <v>Debit Card</v>
      </c>
      <c r="W1184" s="7" cm="1">
        <f t="array" ref="W1184">IF(OR(TRIM(K1184)="",TRIM(K1184)="-"), MEDIAN(IF($E$2:$E$1500=E1184,$K$2:$K$1500)),  VALUE(SUBSTITUTE(SUBSTITUTE(SUBSTITUTE(K1184,"Rs. ",""),"₹",""),",","")))</f>
        <v>7412</v>
      </c>
      <c r="X1184" s="8">
        <f t="shared" si="188"/>
        <v>3</v>
      </c>
      <c r="Y1184" s="7">
        <f t="shared" si="189"/>
        <v>7190</v>
      </c>
      <c r="Z1184" s="9" t="str">
        <f t="shared" si="181"/>
        <v>SENIOR</v>
      </c>
    </row>
    <row r="1185" spans="1:26" x14ac:dyDescent="0.3">
      <c r="A1185" s="5" t="s">
        <v>2343</v>
      </c>
      <c r="B1185" s="5" t="s">
        <v>14</v>
      </c>
      <c r="C1185" s="5" t="s">
        <v>60</v>
      </c>
      <c r="D1185" s="5" t="s">
        <v>66</v>
      </c>
      <c r="E1185" s="5" t="s">
        <v>47</v>
      </c>
      <c r="F1185" s="5" t="s">
        <v>364</v>
      </c>
      <c r="G1185" s="5" t="s">
        <v>30</v>
      </c>
      <c r="H1185" s="5">
        <v>9</v>
      </c>
      <c r="I1185" s="5" t="s">
        <v>20</v>
      </c>
      <c r="J1185" s="34" t="s">
        <v>1762</v>
      </c>
      <c r="K1185" s="31">
        <v>3055</v>
      </c>
      <c r="L1185" s="5" t="s">
        <v>83</v>
      </c>
      <c r="M1185" s="32">
        <v>0</v>
      </c>
      <c r="N1185" s="6">
        <f t="shared" si="182"/>
        <v>0</v>
      </c>
      <c r="O1185" s="4" t="s">
        <v>364</v>
      </c>
      <c r="P1185" s="5" t="str">
        <f t="shared" si="183"/>
        <v>Kolkata</v>
      </c>
      <c r="Q1185" s="5" t="str">
        <f t="shared" si="184"/>
        <v>Gastroenterology</v>
      </c>
      <c r="R1185" s="6" t="str">
        <f t="shared" si="185"/>
        <v>Max_Healthcare</v>
      </c>
      <c r="S1185" s="6" t="str">
        <f t="shared" si="186"/>
        <v>Debit Card</v>
      </c>
      <c r="T1185" s="6" t="str">
        <f t="shared" si="187"/>
        <v>Male</v>
      </c>
      <c r="U1185" s="6" t="str">
        <f t="shared" si="190"/>
        <v>General</v>
      </c>
      <c r="V1185" s="6" t="str" cm="1">
        <f t="array" ref="V1185">IF(TRIM(S1185)="",INDEX($S$2:$S$1500,MATCH(MAX(COUNTIF($S$2:$S$1500,S1185)),COUNTIF($S$2:$S$1500,$S$2:$S$1500),0)),S1185)</f>
        <v>Debit Card</v>
      </c>
      <c r="W1185" s="7" cm="1">
        <f t="array" ref="W1185">IF(OR(TRIM(K1185)="",TRIM(K1185)="-"), MEDIAN(IF($E$2:$E$1500=E1185,$K$2:$K$1500)),  VALUE(SUBSTITUTE(SUBSTITUTE(SUBSTITUTE(K1185,"Rs. ",""),"₹",""),",","")))</f>
        <v>3055</v>
      </c>
      <c r="X1185" s="8">
        <f t="shared" si="188"/>
        <v>0</v>
      </c>
      <c r="Y1185" s="7">
        <f t="shared" si="189"/>
        <v>3055</v>
      </c>
      <c r="Z1185" s="9" t="str">
        <f t="shared" si="181"/>
        <v>CHILD</v>
      </c>
    </row>
    <row r="1186" spans="1:26" x14ac:dyDescent="0.3">
      <c r="A1186" s="5" t="s">
        <v>2344</v>
      </c>
      <c r="B1186" s="5" t="s">
        <v>14</v>
      </c>
      <c r="C1186" s="5" t="s">
        <v>60</v>
      </c>
      <c r="D1186" s="5" t="s">
        <v>61</v>
      </c>
      <c r="E1186" s="5" t="s">
        <v>108</v>
      </c>
      <c r="F1186" s="5" t="s">
        <v>272</v>
      </c>
      <c r="G1186" s="5" t="s">
        <v>19</v>
      </c>
      <c r="H1186" s="5">
        <v>70</v>
      </c>
      <c r="I1186" s="5" t="s">
        <v>40</v>
      </c>
      <c r="J1186" s="34" t="s">
        <v>902</v>
      </c>
      <c r="K1186" s="31" t="s">
        <v>2345</v>
      </c>
      <c r="L1186" s="5" t="s">
        <v>91</v>
      </c>
      <c r="M1186" s="32">
        <v>0</v>
      </c>
      <c r="N1186" s="6">
        <f t="shared" si="182"/>
        <v>0</v>
      </c>
      <c r="O1186" s="4" t="s">
        <v>272</v>
      </c>
      <c r="P1186" s="5" t="str">
        <f t="shared" si="183"/>
        <v>Pune</v>
      </c>
      <c r="Q1186" s="5" t="str">
        <f t="shared" si="184"/>
        <v>Orthopedics</v>
      </c>
      <c r="R1186" s="6" t="str">
        <f t="shared" si="185"/>
        <v>Max_Healthcare</v>
      </c>
      <c r="S1186" s="6" t="str">
        <f t="shared" si="186"/>
        <v>Debit Card</v>
      </c>
      <c r="T1186" s="6" t="str">
        <f t="shared" si="187"/>
        <v>Female</v>
      </c>
      <c r="U1186" s="6" t="str">
        <f t="shared" si="190"/>
        <v>General</v>
      </c>
      <c r="V1186" s="6" t="str" cm="1">
        <f t="array" ref="V1186">IF(TRIM(S1186)="",INDEX($S$2:$S$1500,MATCH(MAX(COUNTIF($S$2:$S$1500,S1186)),COUNTIF($S$2:$S$1500,$S$2:$S$1500),0)),S1186)</f>
        <v>Debit Card</v>
      </c>
      <c r="W1186" s="7" cm="1">
        <f t="array" ref="W1186">IF(OR(TRIM(K1186)="",TRIM(K1186)="-"), MEDIAN(IF($E$2:$E$1500=E1186,$K$2:$K$1500)),  VALUE(SUBSTITUTE(SUBSTITUTE(SUBSTITUTE(K1186,"Rs. ",""),"₹",""),",","")))</f>
        <v>14212</v>
      </c>
      <c r="X1186" s="8">
        <f t="shared" si="188"/>
        <v>0</v>
      </c>
      <c r="Y1186" s="7">
        <f t="shared" si="189"/>
        <v>14212</v>
      </c>
      <c r="Z1186" s="9" t="str">
        <f t="shared" si="181"/>
        <v>SENIOR</v>
      </c>
    </row>
    <row r="1187" spans="1:26" x14ac:dyDescent="0.3">
      <c r="A1187" s="5" t="s">
        <v>2346</v>
      </c>
      <c r="B1187" s="5" t="s">
        <v>117</v>
      </c>
      <c r="C1187" s="5" t="s">
        <v>127</v>
      </c>
      <c r="D1187" s="5" t="s">
        <v>27</v>
      </c>
      <c r="E1187" s="5" t="s">
        <v>17</v>
      </c>
      <c r="F1187" s="5" t="s">
        <v>18</v>
      </c>
      <c r="G1187" s="5" t="s">
        <v>30</v>
      </c>
      <c r="H1187" s="5">
        <v>2</v>
      </c>
      <c r="I1187" s="5" t="s">
        <v>40</v>
      </c>
      <c r="J1187" s="34" t="s">
        <v>2347</v>
      </c>
      <c r="K1187" s="31">
        <v>12429</v>
      </c>
      <c r="L1187" s="5" t="s">
        <v>83</v>
      </c>
      <c r="M1187" s="32" t="s">
        <v>130</v>
      </c>
      <c r="N1187" s="6">
        <f t="shared" si="182"/>
        <v>0</v>
      </c>
      <c r="O1187" s="4" t="s">
        <v>18</v>
      </c>
      <c r="P1187" s="5" t="str">
        <f t="shared" si="183"/>
        <v>Mumbai</v>
      </c>
      <c r="Q1187" s="5" t="str">
        <f t="shared" si="184"/>
        <v>Gynecology</v>
      </c>
      <c r="R1187" s="6" t="str">
        <f t="shared" si="185"/>
        <v>Manipal</v>
      </c>
      <c r="S1187" s="6" t="str">
        <f t="shared" si="186"/>
        <v>Debit Card</v>
      </c>
      <c r="T1187" s="6" t="str">
        <f t="shared" si="187"/>
        <v>Female</v>
      </c>
      <c r="U1187" s="6" t="str">
        <f t="shared" si="190"/>
        <v>General</v>
      </c>
      <c r="V1187" s="6" t="str" cm="1">
        <f t="array" ref="V1187">IF(TRIM(S1187)="",INDEX($S$2:$S$1500,MATCH(MAX(COUNTIF($S$2:$S$1500,S1187)),COUNTIF($S$2:$S$1500,$S$2:$S$1500),0)),S1187)</f>
        <v>Debit Card</v>
      </c>
      <c r="W1187" s="7" cm="1">
        <f t="array" ref="W1187">IF(OR(TRIM(K1187)="",TRIM(K1187)="-"), MEDIAN(IF($E$2:$E$1500=E1187,$K$2:$K$1500)),  VALUE(SUBSTITUTE(SUBSTITUTE(SUBSTITUTE(K1187,"Rs. ",""),"₹",""),",","")))</f>
        <v>12429</v>
      </c>
      <c r="X1187" s="8">
        <f t="shared" si="188"/>
        <v>0</v>
      </c>
      <c r="Y1187" s="7">
        <f t="shared" si="189"/>
        <v>12429</v>
      </c>
      <c r="Z1187" s="9" t="str">
        <f t="shared" si="181"/>
        <v>CHILD</v>
      </c>
    </row>
    <row r="1188" spans="1:26" x14ac:dyDescent="0.3">
      <c r="A1188" s="5" t="s">
        <v>2348</v>
      </c>
      <c r="B1188" s="5" t="s">
        <v>78</v>
      </c>
      <c r="C1188" s="5" t="s">
        <v>79</v>
      </c>
      <c r="D1188" s="5" t="s">
        <v>80</v>
      </c>
      <c r="E1188" s="5" t="s">
        <v>17</v>
      </c>
      <c r="F1188" s="5" t="s">
        <v>213</v>
      </c>
      <c r="G1188" s="5" t="s">
        <v>39</v>
      </c>
      <c r="H1188" s="5">
        <v>60</v>
      </c>
      <c r="I1188" s="5" t="s">
        <v>40</v>
      </c>
      <c r="J1188" s="34" t="s">
        <v>1205</v>
      </c>
      <c r="K1188" s="31">
        <v>16709</v>
      </c>
      <c r="L1188" s="5" t="s">
        <v>97</v>
      </c>
      <c r="M1188" s="32"/>
      <c r="N1188" s="6">
        <f t="shared" si="182"/>
        <v>0</v>
      </c>
      <c r="O1188" s="4" t="s">
        <v>213</v>
      </c>
      <c r="P1188" s="5" t="str">
        <f t="shared" si="183"/>
        <v>Ahmedabad</v>
      </c>
      <c r="Q1188" s="5" t="str">
        <f t="shared" si="184"/>
        <v>Gynecology</v>
      </c>
      <c r="R1188" s="6" t="str">
        <f t="shared" si="185"/>
        <v>Apollo</v>
      </c>
      <c r="S1188" s="6" t="str">
        <f t="shared" si="186"/>
        <v>UPI</v>
      </c>
      <c r="T1188" s="6" t="str">
        <f t="shared" si="187"/>
        <v>Female</v>
      </c>
      <c r="U1188" s="6" t="str">
        <f t="shared" si="190"/>
        <v>General</v>
      </c>
      <c r="V1188" s="6" t="str" cm="1">
        <f t="array" ref="V1188">IF(TRIM(S1188)="",INDEX($S$2:$S$1500,MATCH(MAX(COUNTIF($S$2:$S$1500,S1188)),COUNTIF($S$2:$S$1500,$S$2:$S$1500),0)),S1188)</f>
        <v>UPI</v>
      </c>
      <c r="W1188" s="7" cm="1">
        <f t="array" ref="W1188">IF(OR(TRIM(K1188)="",TRIM(K1188)="-"), MEDIAN(IF($E$2:$E$1500=E1188,$K$2:$K$1500)),  VALUE(SUBSTITUTE(SUBSTITUTE(SUBSTITUTE(K1188,"Rs. ",""),"₹",""),",","")))</f>
        <v>16709</v>
      </c>
      <c r="X1188" s="8">
        <f t="shared" si="188"/>
        <v>0</v>
      </c>
      <c r="Y1188" s="7">
        <f t="shared" si="189"/>
        <v>16709</v>
      </c>
      <c r="Z1188" s="9" t="str">
        <f t="shared" si="181"/>
        <v>SENIOR</v>
      </c>
    </row>
    <row r="1189" spans="1:26" x14ac:dyDescent="0.3">
      <c r="A1189" s="5" t="s">
        <v>2349</v>
      </c>
      <c r="B1189" s="5" t="s">
        <v>78</v>
      </c>
      <c r="C1189" s="5" t="s">
        <v>161</v>
      </c>
      <c r="D1189" s="5" t="s">
        <v>16</v>
      </c>
      <c r="E1189" s="5" t="s">
        <v>74</v>
      </c>
      <c r="F1189" s="5" t="s">
        <v>172</v>
      </c>
      <c r="G1189" s="5" t="s">
        <v>62</v>
      </c>
      <c r="H1189" s="5">
        <v>29</v>
      </c>
      <c r="I1189" s="5" t="s">
        <v>31</v>
      </c>
      <c r="J1189" s="34" t="s">
        <v>517</v>
      </c>
      <c r="K1189" s="31">
        <v>23040</v>
      </c>
      <c r="L1189" s="5" t="s">
        <v>23</v>
      </c>
      <c r="M1189" s="32">
        <v>0</v>
      </c>
      <c r="N1189" s="6">
        <f t="shared" si="182"/>
        <v>0</v>
      </c>
      <c r="O1189" s="4" t="s">
        <v>172</v>
      </c>
      <c r="P1189" s="5" t="str">
        <f t="shared" si="183"/>
        <v>Bangalore</v>
      </c>
      <c r="Q1189" s="5" t="str">
        <f t="shared" si="184"/>
        <v>General Medicine</v>
      </c>
      <c r="R1189" s="6" t="str">
        <f t="shared" si="185"/>
        <v>Apollo</v>
      </c>
      <c r="S1189" s="6" t="str">
        <f t="shared" si="186"/>
        <v>Credit Card</v>
      </c>
      <c r="T1189" s="6" t="str">
        <f t="shared" si="187"/>
        <v>Male</v>
      </c>
      <c r="U1189" s="6" t="str">
        <f t="shared" si="190"/>
        <v>ICU</v>
      </c>
      <c r="V1189" s="6" t="str" cm="1">
        <f t="array" ref="V1189">IF(TRIM(S1189)="",INDEX($S$2:$S$1500,MATCH(MAX(COUNTIF($S$2:$S$1500,S1189)),COUNTIF($S$2:$S$1500,$S$2:$S$1500),0)),S1189)</f>
        <v>Credit Card</v>
      </c>
      <c r="W1189" s="7" cm="1">
        <f t="array" ref="W1189">IF(OR(TRIM(K1189)="",TRIM(K1189)="-"), MEDIAN(IF($E$2:$E$1500=E1189,$K$2:$K$1500)),  VALUE(SUBSTITUTE(SUBSTITUTE(SUBSTITUTE(K1189,"Rs. ",""),"₹",""),",","")))</f>
        <v>23040</v>
      </c>
      <c r="X1189" s="8">
        <f t="shared" si="188"/>
        <v>0</v>
      </c>
      <c r="Y1189" s="7">
        <f t="shared" si="189"/>
        <v>23040</v>
      </c>
      <c r="Z1189" s="9" t="str">
        <f t="shared" si="181"/>
        <v>ADULT</v>
      </c>
    </row>
    <row r="1190" spans="1:26" x14ac:dyDescent="0.3">
      <c r="A1190" s="5" t="s">
        <v>2350</v>
      </c>
      <c r="B1190" s="5" t="s">
        <v>25</v>
      </c>
      <c r="C1190" s="5" t="s">
        <v>54</v>
      </c>
      <c r="D1190" s="5" t="s">
        <v>27</v>
      </c>
      <c r="E1190" s="5" t="s">
        <v>74</v>
      </c>
      <c r="F1190" s="5" t="s">
        <v>192</v>
      </c>
      <c r="G1190" s="5" t="s">
        <v>30</v>
      </c>
      <c r="H1190" s="5">
        <v>74</v>
      </c>
      <c r="I1190" s="5" t="s">
        <v>20</v>
      </c>
      <c r="J1190" s="34" t="s">
        <v>1222</v>
      </c>
      <c r="K1190" s="31" t="s">
        <v>2351</v>
      </c>
      <c r="L1190" s="5" t="s">
        <v>115</v>
      </c>
      <c r="M1190" s="32" t="s">
        <v>130</v>
      </c>
      <c r="N1190" s="6">
        <f t="shared" si="182"/>
        <v>0</v>
      </c>
      <c r="O1190" s="4" t="s">
        <v>192</v>
      </c>
      <c r="P1190" s="5" t="str">
        <f t="shared" si="183"/>
        <v>Mumbai</v>
      </c>
      <c r="Q1190" s="5" t="str">
        <f t="shared" si="184"/>
        <v>General Medicine</v>
      </c>
      <c r="R1190" s="6" t="str">
        <f t="shared" si="185"/>
        <v>Narayana</v>
      </c>
      <c r="S1190" s="6" t="str">
        <f t="shared" si="186"/>
        <v>Cash</v>
      </c>
      <c r="T1190" s="6" t="str">
        <f t="shared" si="187"/>
        <v>Male</v>
      </c>
      <c r="U1190" s="6" t="str">
        <f t="shared" si="190"/>
        <v>General</v>
      </c>
      <c r="V1190" s="6" t="str" cm="1">
        <f t="array" ref="V1190">IF(TRIM(S1190)="",INDEX($S$2:$S$1500,MATCH(MAX(COUNTIF($S$2:$S$1500,S1190)),COUNTIF($S$2:$S$1500,$S$2:$S$1500),0)),S1190)</f>
        <v>Cash</v>
      </c>
      <c r="W1190" s="7" cm="1">
        <f t="array" ref="W1190">IF(OR(TRIM(K1190)="",TRIM(K1190)="-"), MEDIAN(IF($E$2:$E$1500=E1190,$K$2:$K$1500)),  VALUE(SUBSTITUTE(SUBSTITUTE(SUBSTITUTE(K1190,"Rs. ",""),"₹",""),",","")))</f>
        <v>6498</v>
      </c>
      <c r="X1190" s="8">
        <f t="shared" si="188"/>
        <v>0</v>
      </c>
      <c r="Y1190" s="7">
        <f t="shared" si="189"/>
        <v>6498</v>
      </c>
      <c r="Z1190" s="9" t="str">
        <f t="shared" si="181"/>
        <v>SENIOR</v>
      </c>
    </row>
    <row r="1191" spans="1:26" x14ac:dyDescent="0.3">
      <c r="A1191" s="5" t="s">
        <v>2352</v>
      </c>
      <c r="B1191" s="5" t="s">
        <v>45</v>
      </c>
      <c r="C1191" s="5" t="s">
        <v>334</v>
      </c>
      <c r="D1191" s="5" t="s">
        <v>36</v>
      </c>
      <c r="E1191" s="5" t="s">
        <v>37</v>
      </c>
      <c r="F1191" s="5" t="s">
        <v>132</v>
      </c>
      <c r="G1191" s="5" t="s">
        <v>39</v>
      </c>
      <c r="H1191" s="5">
        <v>92</v>
      </c>
      <c r="I1191" s="5" t="s">
        <v>40</v>
      </c>
      <c r="J1191" s="34" t="s">
        <v>155</v>
      </c>
      <c r="K1191" s="31" t="s">
        <v>2353</v>
      </c>
      <c r="L1191" s="5" t="s">
        <v>72</v>
      </c>
      <c r="M1191" s="32">
        <v>0</v>
      </c>
      <c r="N1191" s="6">
        <f t="shared" si="182"/>
        <v>0</v>
      </c>
      <c r="O1191" s="4" t="s">
        <v>132</v>
      </c>
      <c r="P1191" s="5" t="str">
        <f t="shared" si="183"/>
        <v>Chennai</v>
      </c>
      <c r="Q1191" s="5" t="str">
        <f t="shared" si="184"/>
        <v>Pediatrics</v>
      </c>
      <c r="R1191" s="6" t="str">
        <f t="shared" si="185"/>
        <v>Fortis</v>
      </c>
      <c r="S1191" s="6" t="str">
        <f t="shared" si="186"/>
        <v>Cash</v>
      </c>
      <c r="T1191" s="6" t="str">
        <f t="shared" si="187"/>
        <v>Female</v>
      </c>
      <c r="U1191" s="6" t="str">
        <f t="shared" si="190"/>
        <v>General</v>
      </c>
      <c r="V1191" s="6" t="str" cm="1">
        <f t="array" ref="V1191">IF(TRIM(S1191)="",INDEX($S$2:$S$1500,MATCH(MAX(COUNTIF($S$2:$S$1500,S1191)),COUNTIF($S$2:$S$1500,$S$2:$S$1500),0)),S1191)</f>
        <v>Cash</v>
      </c>
      <c r="W1191" s="7" cm="1">
        <f t="array" ref="W1191">IF(OR(TRIM(K1191)="",TRIM(K1191)="-"), MEDIAN(IF($E$2:$E$1500=E1191,$K$2:$K$1500)),  VALUE(SUBSTITUTE(SUBSTITUTE(SUBSTITUTE(K1191,"Rs. ",""),"₹",""),",","")))</f>
        <v>4688</v>
      </c>
      <c r="X1191" s="8">
        <f t="shared" si="188"/>
        <v>0</v>
      </c>
      <c r="Y1191" s="7">
        <f t="shared" si="189"/>
        <v>4688</v>
      </c>
      <c r="Z1191" s="9" t="str">
        <f t="shared" si="181"/>
        <v>SENIOR</v>
      </c>
    </row>
    <row r="1192" spans="1:26" x14ac:dyDescent="0.3">
      <c r="A1192" s="5" t="s">
        <v>2354</v>
      </c>
      <c r="B1192" s="5" t="s">
        <v>14</v>
      </c>
      <c r="C1192" s="5" t="s">
        <v>60</v>
      </c>
      <c r="D1192" s="5" t="s">
        <v>189</v>
      </c>
      <c r="E1192" s="5" t="s">
        <v>17</v>
      </c>
      <c r="F1192" s="5" t="s">
        <v>169</v>
      </c>
      <c r="G1192" s="5" t="s">
        <v>62</v>
      </c>
      <c r="H1192" s="5">
        <v>8</v>
      </c>
      <c r="I1192" s="5" t="s">
        <v>31</v>
      </c>
      <c r="J1192" s="34" t="s">
        <v>158</v>
      </c>
      <c r="K1192" s="31">
        <v>40785</v>
      </c>
      <c r="L1192" s="5" t="s">
        <v>115</v>
      </c>
      <c r="M1192" s="32" t="s">
        <v>64</v>
      </c>
      <c r="N1192" s="6" t="str">
        <f t="shared" si="182"/>
        <v>NA</v>
      </c>
      <c r="O1192" s="4" t="s">
        <v>169</v>
      </c>
      <c r="P1192" s="5" t="str">
        <f t="shared" si="183"/>
        <v>Delhi</v>
      </c>
      <c r="Q1192" s="5" t="str">
        <f t="shared" si="184"/>
        <v>Gynecology</v>
      </c>
      <c r="R1192" s="6" t="str">
        <f t="shared" si="185"/>
        <v>Max_Healthcare</v>
      </c>
      <c r="S1192" s="6" t="str">
        <f t="shared" si="186"/>
        <v>Cash</v>
      </c>
      <c r="T1192" s="6" t="str">
        <f t="shared" si="187"/>
        <v>Male</v>
      </c>
      <c r="U1192" s="6" t="str">
        <f t="shared" si="190"/>
        <v>ICU</v>
      </c>
      <c r="V1192" s="6" t="str" cm="1">
        <f t="array" ref="V1192">IF(TRIM(S1192)="",INDEX($S$2:$S$1500,MATCH(MAX(COUNTIF($S$2:$S$1500,S1192)),COUNTIF($S$2:$S$1500,$S$2:$S$1500),0)),S1192)</f>
        <v>Cash</v>
      </c>
      <c r="W1192" s="7" cm="1">
        <f t="array" ref="W1192">IF(OR(TRIM(K1192)="",TRIM(K1192)="-"), MEDIAN(IF($E$2:$E$1500=E1192,$K$2:$K$1500)),  VALUE(SUBSTITUTE(SUBSTITUTE(SUBSTITUTE(K1192,"Rs. ",""),"₹",""),",","")))</f>
        <v>40785</v>
      </c>
      <c r="X1192" s="8">
        <f t="shared" si="188"/>
        <v>3</v>
      </c>
      <c r="Y1192" s="7">
        <f t="shared" si="189"/>
        <v>39561</v>
      </c>
      <c r="Z1192" s="9" t="str">
        <f t="shared" si="181"/>
        <v>CHILD</v>
      </c>
    </row>
    <row r="1193" spans="1:26" x14ac:dyDescent="0.3">
      <c r="A1193" s="5" t="s">
        <v>2355</v>
      </c>
      <c r="B1193" s="5" t="s">
        <v>117</v>
      </c>
      <c r="C1193" s="5" t="s">
        <v>118</v>
      </c>
      <c r="D1193" s="5" t="s">
        <v>61</v>
      </c>
      <c r="E1193" s="5" t="s">
        <v>37</v>
      </c>
      <c r="F1193" s="5" t="s">
        <v>185</v>
      </c>
      <c r="G1193" s="5" t="s">
        <v>62</v>
      </c>
      <c r="H1193" s="5">
        <v>67</v>
      </c>
      <c r="I1193" s="5" t="s">
        <v>20</v>
      </c>
      <c r="J1193" s="34" t="s">
        <v>1219</v>
      </c>
      <c r="K1193" s="31">
        <v>77551</v>
      </c>
      <c r="L1193" s="5" t="s">
        <v>34</v>
      </c>
      <c r="M1193" s="32">
        <v>5</v>
      </c>
      <c r="N1193" s="6">
        <f t="shared" si="182"/>
        <v>5</v>
      </c>
      <c r="O1193" s="4" t="s">
        <v>185</v>
      </c>
      <c r="P1193" s="5" t="str">
        <f t="shared" si="183"/>
        <v>Pune</v>
      </c>
      <c r="Q1193" s="5" t="str">
        <f t="shared" si="184"/>
        <v>Pediatrics</v>
      </c>
      <c r="R1193" s="6" t="str">
        <f t="shared" si="185"/>
        <v>Manipal</v>
      </c>
      <c r="S1193" s="6" t="str">
        <f t="shared" si="186"/>
        <v>Cash</v>
      </c>
      <c r="T1193" s="6" t="str">
        <f t="shared" si="187"/>
        <v>Male</v>
      </c>
      <c r="U1193" s="6" t="str">
        <f t="shared" si="190"/>
        <v>ICU</v>
      </c>
      <c r="V1193" s="6" t="str" cm="1">
        <f t="array" ref="V1193">IF(TRIM(S1193)="",INDEX($S$2:$S$1500,MATCH(MAX(COUNTIF($S$2:$S$1500,S1193)),COUNTIF($S$2:$S$1500,$S$2:$S$1500),0)),S1193)</f>
        <v>Cash</v>
      </c>
      <c r="W1193" s="7" cm="1">
        <f t="array" ref="W1193">IF(OR(TRIM(K1193)="",TRIM(K1193)="-"), MEDIAN(IF($E$2:$E$1500=E1193,$K$2:$K$1500)),  VALUE(SUBSTITUTE(SUBSTITUTE(SUBSTITUTE(K1193,"Rs. ",""),"₹",""),",","")))</f>
        <v>77551</v>
      </c>
      <c r="X1193" s="8">
        <f t="shared" si="188"/>
        <v>5</v>
      </c>
      <c r="Y1193" s="7">
        <f t="shared" si="189"/>
        <v>73673</v>
      </c>
      <c r="Z1193" s="9" t="str">
        <f t="shared" si="181"/>
        <v>SENIOR</v>
      </c>
    </row>
    <row r="1194" spans="1:26" x14ac:dyDescent="0.3">
      <c r="A1194" s="5" t="s">
        <v>2356</v>
      </c>
      <c r="B1194" s="5" t="s">
        <v>14</v>
      </c>
      <c r="C1194" s="5" t="s">
        <v>15</v>
      </c>
      <c r="D1194" s="5" t="s">
        <v>27</v>
      </c>
      <c r="E1194" s="5" t="s">
        <v>17</v>
      </c>
      <c r="F1194" s="5" t="s">
        <v>213</v>
      </c>
      <c r="G1194" s="5" t="s">
        <v>39</v>
      </c>
      <c r="H1194" s="5">
        <v>66</v>
      </c>
      <c r="I1194" s="5" t="s">
        <v>31</v>
      </c>
      <c r="J1194" s="34" t="s">
        <v>764</v>
      </c>
      <c r="K1194" s="31" t="s">
        <v>2357</v>
      </c>
      <c r="L1194" s="5" t="s">
        <v>72</v>
      </c>
      <c r="M1194" s="32" t="s">
        <v>64</v>
      </c>
      <c r="N1194" s="6" t="str">
        <f t="shared" si="182"/>
        <v>NA</v>
      </c>
      <c r="O1194" s="4" t="s">
        <v>213</v>
      </c>
      <c r="P1194" s="5" t="str">
        <f t="shared" si="183"/>
        <v>Mumbai</v>
      </c>
      <c r="Q1194" s="5" t="str">
        <f t="shared" si="184"/>
        <v>Gynecology</v>
      </c>
      <c r="R1194" s="6" t="str">
        <f t="shared" si="185"/>
        <v>Max_Healthcare</v>
      </c>
      <c r="S1194" s="6" t="str">
        <f t="shared" si="186"/>
        <v>Cash</v>
      </c>
      <c r="T1194" s="6" t="str">
        <f t="shared" si="187"/>
        <v>Male</v>
      </c>
      <c r="U1194" s="6" t="str">
        <f t="shared" si="190"/>
        <v>General</v>
      </c>
      <c r="V1194" s="6" t="str" cm="1">
        <f t="array" ref="V1194">IF(TRIM(S1194)="",INDEX($S$2:$S$1500,MATCH(MAX(COUNTIF($S$2:$S$1500,S1194)),COUNTIF($S$2:$S$1500,$S$2:$S$1500),0)),S1194)</f>
        <v>Cash</v>
      </c>
      <c r="W1194" s="7" cm="1">
        <f t="array" ref="W1194">IF(OR(TRIM(K1194)="",TRIM(K1194)="-"), MEDIAN(IF($E$2:$E$1500=E1194,$K$2:$K$1500)),  VALUE(SUBSTITUTE(SUBSTITUTE(SUBSTITUTE(K1194,"Rs. ",""),"₹",""),",","")))</f>
        <v>5165</v>
      </c>
      <c r="X1194" s="8">
        <f t="shared" si="188"/>
        <v>3</v>
      </c>
      <c r="Y1194" s="7">
        <f t="shared" si="189"/>
        <v>5010</v>
      </c>
      <c r="Z1194" s="9" t="str">
        <f t="shared" si="181"/>
        <v>SENIOR</v>
      </c>
    </row>
    <row r="1195" spans="1:26" x14ac:dyDescent="0.3">
      <c r="A1195" s="5" t="s">
        <v>2358</v>
      </c>
      <c r="B1195" s="5" t="s">
        <v>106</v>
      </c>
      <c r="C1195" s="5" t="s">
        <v>107</v>
      </c>
      <c r="D1195" s="5" t="s">
        <v>16</v>
      </c>
      <c r="E1195" s="5" t="s">
        <v>108</v>
      </c>
      <c r="F1195" s="5" t="s">
        <v>109</v>
      </c>
      <c r="G1195" s="5"/>
      <c r="H1195" s="5">
        <v>13</v>
      </c>
      <c r="I1195" s="5" t="s">
        <v>40</v>
      </c>
      <c r="J1195" s="34" t="s">
        <v>578</v>
      </c>
      <c r="K1195" s="31" t="s">
        <v>2359</v>
      </c>
      <c r="L1195" s="5" t="s">
        <v>97</v>
      </c>
      <c r="M1195" s="32">
        <v>0.1</v>
      </c>
      <c r="N1195" s="6">
        <f t="shared" si="182"/>
        <v>10</v>
      </c>
      <c r="O1195" s="4" t="s">
        <v>109</v>
      </c>
      <c r="P1195" s="5" t="str">
        <f t="shared" si="183"/>
        <v>Bangalore</v>
      </c>
      <c r="Q1195" s="5" t="str">
        <f t="shared" si="184"/>
        <v>Orthopedics</v>
      </c>
      <c r="R1195" s="6" t="str">
        <f t="shared" si="185"/>
        <v>Aiims</v>
      </c>
      <c r="S1195" s="6" t="str">
        <f t="shared" si="186"/>
        <v>UPI</v>
      </c>
      <c r="T1195" s="6" t="str">
        <f t="shared" si="187"/>
        <v>Female</v>
      </c>
      <c r="U1195" s="6" t="str">
        <f t="shared" si="190"/>
        <v>Unknown</v>
      </c>
      <c r="V1195" s="6" t="str" cm="1">
        <f t="array" ref="V1195">IF(TRIM(S1195)="",INDEX($S$2:$S$1500,MATCH(MAX(COUNTIF($S$2:$S$1500,S1195)),COUNTIF($S$2:$S$1500,$S$2:$S$1500),0)),S1195)</f>
        <v>UPI</v>
      </c>
      <c r="W1195" s="7" cm="1">
        <f t="array" ref="W1195">IF(OR(TRIM(K1195)="",TRIM(K1195)="-"), MEDIAN(IF($E$2:$E$1500=E1195,$K$2:$K$1500)),  VALUE(SUBSTITUTE(SUBSTITUTE(SUBSTITUTE(K1195,"Rs. ",""),"₹",""),",","")))</f>
        <v>16119</v>
      </c>
      <c r="X1195" s="8">
        <f t="shared" si="188"/>
        <v>10</v>
      </c>
      <c r="Y1195" s="7">
        <f t="shared" si="189"/>
        <v>14507</v>
      </c>
      <c r="Z1195" s="9" t="str">
        <f t="shared" si="181"/>
        <v>TEEN</v>
      </c>
    </row>
    <row r="1196" spans="1:26" x14ac:dyDescent="0.3">
      <c r="A1196" s="5" t="s">
        <v>2360</v>
      </c>
      <c r="B1196" s="5" t="s">
        <v>78</v>
      </c>
      <c r="C1196" s="5" t="s">
        <v>79</v>
      </c>
      <c r="D1196" s="5" t="s">
        <v>61</v>
      </c>
      <c r="E1196" s="5" t="s">
        <v>37</v>
      </c>
      <c r="F1196" s="5" t="s">
        <v>38</v>
      </c>
      <c r="G1196" s="5" t="s">
        <v>49</v>
      </c>
      <c r="H1196" s="5">
        <v>5</v>
      </c>
      <c r="I1196" s="5" t="s">
        <v>70</v>
      </c>
      <c r="J1196" s="34" t="s">
        <v>477</v>
      </c>
      <c r="K1196" s="31" t="s">
        <v>2361</v>
      </c>
      <c r="L1196" s="5" t="s">
        <v>23</v>
      </c>
      <c r="M1196" s="32" t="s">
        <v>130</v>
      </c>
      <c r="N1196" s="6">
        <f t="shared" si="182"/>
        <v>0</v>
      </c>
      <c r="O1196" s="4" t="s">
        <v>38</v>
      </c>
      <c r="P1196" s="5" t="str">
        <f t="shared" si="183"/>
        <v>Pune</v>
      </c>
      <c r="Q1196" s="5" t="str">
        <f t="shared" si="184"/>
        <v>Pediatrics</v>
      </c>
      <c r="R1196" s="6" t="str">
        <f t="shared" si="185"/>
        <v>Apollo</v>
      </c>
      <c r="S1196" s="6" t="str">
        <f t="shared" si="186"/>
        <v>Credit Card</v>
      </c>
      <c r="T1196" s="6" t="str">
        <f t="shared" si="187"/>
        <v>Female</v>
      </c>
      <c r="U1196" s="6" t="str">
        <f t="shared" si="190"/>
        <v>General</v>
      </c>
      <c r="V1196" s="6" t="str" cm="1">
        <f t="array" ref="V1196">IF(TRIM(S1196)="",INDEX($S$2:$S$1500,MATCH(MAX(COUNTIF($S$2:$S$1500,S1196)),COUNTIF($S$2:$S$1500,$S$2:$S$1500),0)),S1196)</f>
        <v>Credit Card</v>
      </c>
      <c r="W1196" s="7" cm="1">
        <f t="array" ref="W1196">IF(OR(TRIM(K1196)="",TRIM(K1196)="-"), MEDIAN(IF($E$2:$E$1500=E1196,$K$2:$K$1500)),  VALUE(SUBSTITUTE(SUBSTITUTE(SUBSTITUTE(K1196,"Rs. ",""),"₹",""),",","")))</f>
        <v>17742</v>
      </c>
      <c r="X1196" s="8">
        <f t="shared" si="188"/>
        <v>0</v>
      </c>
      <c r="Y1196" s="7">
        <f t="shared" si="189"/>
        <v>17742</v>
      </c>
      <c r="Z1196" s="9" t="str">
        <f t="shared" si="181"/>
        <v>CHILD</v>
      </c>
    </row>
    <row r="1197" spans="1:26" x14ac:dyDescent="0.3">
      <c r="A1197" s="5" t="s">
        <v>2362</v>
      </c>
      <c r="B1197" s="5" t="s">
        <v>117</v>
      </c>
      <c r="C1197" s="5" t="s">
        <v>182</v>
      </c>
      <c r="D1197" s="5" t="s">
        <v>80</v>
      </c>
      <c r="E1197" s="5" t="s">
        <v>28</v>
      </c>
      <c r="F1197" s="5" t="s">
        <v>29</v>
      </c>
      <c r="G1197" s="5" t="s">
        <v>30</v>
      </c>
      <c r="H1197" s="5">
        <v>26</v>
      </c>
      <c r="I1197" s="5" t="s">
        <v>40</v>
      </c>
      <c r="J1197" s="34" t="s">
        <v>1186</v>
      </c>
      <c r="K1197" s="31" t="s">
        <v>2363</v>
      </c>
      <c r="L1197" s="5" t="s">
        <v>23</v>
      </c>
      <c r="M1197" s="32">
        <v>0</v>
      </c>
      <c r="N1197" s="6">
        <f t="shared" si="182"/>
        <v>0</v>
      </c>
      <c r="O1197" s="4" t="s">
        <v>29</v>
      </c>
      <c r="P1197" s="5" t="str">
        <f t="shared" si="183"/>
        <v>Ahmedabad</v>
      </c>
      <c r="Q1197" s="5" t="str">
        <f t="shared" si="184"/>
        <v>Oncology</v>
      </c>
      <c r="R1197" s="6" t="str">
        <f t="shared" si="185"/>
        <v>Manipal</v>
      </c>
      <c r="S1197" s="6" t="str">
        <f t="shared" si="186"/>
        <v>Credit Card</v>
      </c>
      <c r="T1197" s="6" t="str">
        <f t="shared" si="187"/>
        <v>Female</v>
      </c>
      <c r="U1197" s="6" t="str">
        <f t="shared" si="190"/>
        <v>General</v>
      </c>
      <c r="V1197" s="6" t="str" cm="1">
        <f t="array" ref="V1197">IF(TRIM(S1197)="",INDEX($S$2:$S$1500,MATCH(MAX(COUNTIF($S$2:$S$1500,S1197)),COUNTIF($S$2:$S$1500,$S$2:$S$1500),0)),S1197)</f>
        <v>Credit Card</v>
      </c>
      <c r="W1197" s="7" cm="1">
        <f t="array" ref="W1197">IF(OR(TRIM(K1197)="",TRIM(K1197)="-"), MEDIAN(IF($E$2:$E$1500=E1197,$K$2:$K$1500)),  VALUE(SUBSTITUTE(SUBSTITUTE(SUBSTITUTE(K1197,"Rs. ",""),"₹",""),",","")))</f>
        <v>9623</v>
      </c>
      <c r="X1197" s="8">
        <f t="shared" si="188"/>
        <v>0</v>
      </c>
      <c r="Y1197" s="7">
        <f t="shared" si="189"/>
        <v>9623</v>
      </c>
      <c r="Z1197" s="9" t="str">
        <f t="shared" si="181"/>
        <v>ADULT</v>
      </c>
    </row>
    <row r="1198" spans="1:26" x14ac:dyDescent="0.3">
      <c r="A1198" s="5" t="s">
        <v>2364</v>
      </c>
      <c r="B1198" s="5" t="s">
        <v>25</v>
      </c>
      <c r="C1198" s="5" t="s">
        <v>54</v>
      </c>
      <c r="D1198" s="5" t="s">
        <v>61</v>
      </c>
      <c r="E1198" s="5" t="s">
        <v>37</v>
      </c>
      <c r="F1198" s="5" t="s">
        <v>185</v>
      </c>
      <c r="G1198" s="5" t="s">
        <v>39</v>
      </c>
      <c r="H1198" s="5">
        <v>1</v>
      </c>
      <c r="I1198" s="5" t="s">
        <v>20</v>
      </c>
      <c r="J1198" s="34" t="s">
        <v>2160</v>
      </c>
      <c r="K1198" s="31" t="s">
        <v>2365</v>
      </c>
      <c r="L1198" s="5" t="s">
        <v>97</v>
      </c>
      <c r="M1198" s="32">
        <v>10</v>
      </c>
      <c r="N1198" s="6">
        <f t="shared" si="182"/>
        <v>10</v>
      </c>
      <c r="O1198" s="4" t="s">
        <v>185</v>
      </c>
      <c r="P1198" s="5" t="str">
        <f t="shared" si="183"/>
        <v>Pune</v>
      </c>
      <c r="Q1198" s="5" t="str">
        <f t="shared" si="184"/>
        <v>Pediatrics</v>
      </c>
      <c r="R1198" s="6" t="str">
        <f t="shared" si="185"/>
        <v>Narayana</v>
      </c>
      <c r="S1198" s="6" t="str">
        <f t="shared" si="186"/>
        <v>UPI</v>
      </c>
      <c r="T1198" s="6" t="str">
        <f t="shared" si="187"/>
        <v>Male</v>
      </c>
      <c r="U1198" s="6" t="str">
        <f t="shared" si="190"/>
        <v>General</v>
      </c>
      <c r="V1198" s="6" t="str" cm="1">
        <f t="array" ref="V1198">IF(TRIM(S1198)="",INDEX($S$2:$S$1500,MATCH(MAX(COUNTIF($S$2:$S$1500,S1198)),COUNTIF($S$2:$S$1500,$S$2:$S$1500),0)),S1198)</f>
        <v>UPI</v>
      </c>
      <c r="W1198" s="7" cm="1">
        <f t="array" ref="W1198">IF(OR(TRIM(K1198)="",TRIM(K1198)="-"), MEDIAN(IF($E$2:$E$1500=E1198,$K$2:$K$1500)),  VALUE(SUBSTITUTE(SUBSTITUTE(SUBSTITUTE(K1198,"Rs. ",""),"₹",""),",","")))</f>
        <v>10287</v>
      </c>
      <c r="X1198" s="8">
        <f t="shared" si="188"/>
        <v>10</v>
      </c>
      <c r="Y1198" s="7">
        <f t="shared" si="189"/>
        <v>9258</v>
      </c>
      <c r="Z1198" s="9" t="str">
        <f t="shared" si="181"/>
        <v>CHILD</v>
      </c>
    </row>
    <row r="1199" spans="1:26" x14ac:dyDescent="0.3">
      <c r="A1199" s="5" t="s">
        <v>2366</v>
      </c>
      <c r="B1199" s="5" t="s">
        <v>45</v>
      </c>
      <c r="C1199" s="5" t="s">
        <v>46</v>
      </c>
      <c r="D1199" s="5" t="s">
        <v>80</v>
      </c>
      <c r="E1199" s="5" t="s">
        <v>17</v>
      </c>
      <c r="F1199" s="5" t="s">
        <v>18</v>
      </c>
      <c r="G1199" s="5" t="s">
        <v>19</v>
      </c>
      <c r="H1199" s="5">
        <v>38</v>
      </c>
      <c r="I1199" s="5" t="s">
        <v>70</v>
      </c>
      <c r="J1199" s="34" t="s">
        <v>1057</v>
      </c>
      <c r="K1199" s="31">
        <v>10234</v>
      </c>
      <c r="L1199" s="5" t="s">
        <v>311</v>
      </c>
      <c r="M1199" s="32">
        <v>5</v>
      </c>
      <c r="N1199" s="6">
        <f t="shared" si="182"/>
        <v>5</v>
      </c>
      <c r="O1199" s="4" t="s">
        <v>18</v>
      </c>
      <c r="P1199" s="5" t="str">
        <f t="shared" si="183"/>
        <v>Ahmedabad</v>
      </c>
      <c r="Q1199" s="5" t="str">
        <f t="shared" si="184"/>
        <v>Gynecology</v>
      </c>
      <c r="R1199" s="6" t="str">
        <f t="shared" si="185"/>
        <v>Fortis</v>
      </c>
      <c r="S1199" s="6" t="str">
        <f t="shared" si="186"/>
        <v>UPI</v>
      </c>
      <c r="T1199" s="6" t="str">
        <f t="shared" si="187"/>
        <v>Female</v>
      </c>
      <c r="U1199" s="6" t="str">
        <f t="shared" si="190"/>
        <v>General</v>
      </c>
      <c r="V1199" s="6" t="str" cm="1">
        <f t="array" ref="V1199">IF(TRIM(S1199)="",INDEX($S$2:$S$1500,MATCH(MAX(COUNTIF($S$2:$S$1500,S1199)),COUNTIF($S$2:$S$1500,$S$2:$S$1500),0)),S1199)</f>
        <v>UPI</v>
      </c>
      <c r="W1199" s="7" cm="1">
        <f t="array" ref="W1199">IF(OR(TRIM(K1199)="",TRIM(K1199)="-"), MEDIAN(IF($E$2:$E$1500=E1199,$K$2:$K$1500)),  VALUE(SUBSTITUTE(SUBSTITUTE(SUBSTITUTE(K1199,"Rs. ",""),"₹",""),",","")))</f>
        <v>10234</v>
      </c>
      <c r="X1199" s="8">
        <f t="shared" si="188"/>
        <v>5</v>
      </c>
      <c r="Y1199" s="7">
        <f t="shared" si="189"/>
        <v>9722</v>
      </c>
      <c r="Z1199" s="9" t="str">
        <f t="shared" si="181"/>
        <v>ADULT</v>
      </c>
    </row>
    <row r="1200" spans="1:26" x14ac:dyDescent="0.3">
      <c r="A1200" s="5" t="s">
        <v>2367</v>
      </c>
      <c r="B1200" s="5" t="s">
        <v>117</v>
      </c>
      <c r="C1200" s="5" t="s">
        <v>118</v>
      </c>
      <c r="D1200" s="5" t="s">
        <v>61</v>
      </c>
      <c r="E1200" s="5" t="s">
        <v>99</v>
      </c>
      <c r="F1200" s="5" t="s">
        <v>100</v>
      </c>
      <c r="G1200" s="5" t="s">
        <v>49</v>
      </c>
      <c r="H1200" s="5">
        <v>42</v>
      </c>
      <c r="I1200" s="5" t="s">
        <v>40</v>
      </c>
      <c r="J1200" s="34" t="s">
        <v>2368</v>
      </c>
      <c r="K1200" s="31" t="s">
        <v>2369</v>
      </c>
      <c r="L1200" s="5" t="s">
        <v>34</v>
      </c>
      <c r="M1200" s="32" t="s">
        <v>130</v>
      </c>
      <c r="N1200" s="6">
        <f t="shared" si="182"/>
        <v>0</v>
      </c>
      <c r="O1200" s="4" t="s">
        <v>100</v>
      </c>
      <c r="P1200" s="5" t="str">
        <f t="shared" si="183"/>
        <v>Pune</v>
      </c>
      <c r="Q1200" s="5" t="str">
        <f t="shared" si="184"/>
        <v>Ent</v>
      </c>
      <c r="R1200" s="6" t="str">
        <f t="shared" si="185"/>
        <v>Manipal</v>
      </c>
      <c r="S1200" s="6" t="str">
        <f t="shared" si="186"/>
        <v>Cash</v>
      </c>
      <c r="T1200" s="6" t="str">
        <f t="shared" si="187"/>
        <v>Female</v>
      </c>
      <c r="U1200" s="6" t="str">
        <f t="shared" si="190"/>
        <v>General</v>
      </c>
      <c r="V1200" s="6" t="str" cm="1">
        <f t="array" ref="V1200">IF(TRIM(S1200)="",INDEX($S$2:$S$1500,MATCH(MAX(COUNTIF($S$2:$S$1500,S1200)),COUNTIF($S$2:$S$1500,$S$2:$S$1500),0)),S1200)</f>
        <v>Cash</v>
      </c>
      <c r="W1200" s="7" cm="1">
        <f t="array" ref="W1200">IF(OR(TRIM(K1200)="",TRIM(K1200)="-"), MEDIAN(IF($E$2:$E$1500=E1200,$K$2:$K$1500)),  VALUE(SUBSTITUTE(SUBSTITUTE(SUBSTITUTE(K1200,"Rs. ",""),"₹",""),",","")))</f>
        <v>9084</v>
      </c>
      <c r="X1200" s="8">
        <f t="shared" si="188"/>
        <v>0</v>
      </c>
      <c r="Y1200" s="7">
        <f t="shared" si="189"/>
        <v>9084</v>
      </c>
      <c r="Z1200" s="9" t="str">
        <f t="shared" si="181"/>
        <v>ADULT</v>
      </c>
    </row>
    <row r="1201" spans="1:26" x14ac:dyDescent="0.3">
      <c r="A1201" s="5" t="s">
        <v>2370</v>
      </c>
      <c r="B1201" s="5" t="s">
        <v>25</v>
      </c>
      <c r="C1201" s="5" t="s">
        <v>54</v>
      </c>
      <c r="D1201" s="5" t="s">
        <v>80</v>
      </c>
      <c r="E1201" s="5" t="s">
        <v>99</v>
      </c>
      <c r="F1201" s="5" t="s">
        <v>151</v>
      </c>
      <c r="G1201" s="5" t="s">
        <v>30</v>
      </c>
      <c r="H1201" s="5">
        <v>11</v>
      </c>
      <c r="I1201" s="5" t="s">
        <v>31</v>
      </c>
      <c r="J1201" s="34" t="s">
        <v>1274</v>
      </c>
      <c r="K1201" s="31" t="s">
        <v>2371</v>
      </c>
      <c r="L1201" s="5" t="s">
        <v>34</v>
      </c>
      <c r="M1201" s="32" t="s">
        <v>140</v>
      </c>
      <c r="N1201" s="6" t="str">
        <f t="shared" si="182"/>
        <v>-</v>
      </c>
      <c r="O1201" s="4" t="s">
        <v>151</v>
      </c>
      <c r="P1201" s="5" t="str">
        <f t="shared" si="183"/>
        <v>Ahmedabad</v>
      </c>
      <c r="Q1201" s="5" t="str">
        <f t="shared" si="184"/>
        <v>Ent</v>
      </c>
      <c r="R1201" s="6" t="str">
        <f t="shared" si="185"/>
        <v>Narayana</v>
      </c>
      <c r="S1201" s="6" t="str">
        <f t="shared" si="186"/>
        <v>Cash</v>
      </c>
      <c r="T1201" s="6" t="str">
        <f t="shared" si="187"/>
        <v>Male</v>
      </c>
      <c r="U1201" s="6" t="str">
        <f t="shared" si="190"/>
        <v>General</v>
      </c>
      <c r="V1201" s="6" t="str" cm="1">
        <f t="array" ref="V1201">IF(TRIM(S1201)="",INDEX($S$2:$S$1500,MATCH(MAX(COUNTIF($S$2:$S$1500,S1201)),COUNTIF($S$2:$S$1500,$S$2:$S$1500),0)),S1201)</f>
        <v>Cash</v>
      </c>
      <c r="W1201" s="7" cm="1">
        <f t="array" ref="W1201">IF(OR(TRIM(K1201)="",TRIM(K1201)="-"), MEDIAN(IF($E$2:$E$1500=E1201,$K$2:$K$1500)),  VALUE(SUBSTITUTE(SUBSTITUTE(SUBSTITUTE(K1201,"Rs. ",""),"₹",""),",","")))</f>
        <v>16931</v>
      </c>
      <c r="X1201" s="8">
        <f t="shared" si="188"/>
        <v>3</v>
      </c>
      <c r="Y1201" s="7">
        <f t="shared" si="189"/>
        <v>16423</v>
      </c>
      <c r="Z1201" s="9" t="str">
        <f t="shared" si="181"/>
        <v>CHILD</v>
      </c>
    </row>
    <row r="1202" spans="1:26" x14ac:dyDescent="0.3">
      <c r="A1202" s="5" t="s">
        <v>2372</v>
      </c>
      <c r="B1202" s="5" t="s">
        <v>117</v>
      </c>
      <c r="C1202" s="5" t="s">
        <v>118</v>
      </c>
      <c r="D1202" s="5" t="s">
        <v>80</v>
      </c>
      <c r="E1202" s="5" t="s">
        <v>67</v>
      </c>
      <c r="F1202" s="5" t="s">
        <v>89</v>
      </c>
      <c r="G1202" s="5" t="s">
        <v>30</v>
      </c>
      <c r="H1202" s="5">
        <v>40</v>
      </c>
      <c r="I1202" s="5" t="s">
        <v>40</v>
      </c>
      <c r="J1202" s="34" t="s">
        <v>2275</v>
      </c>
      <c r="K1202" s="31">
        <v>18412</v>
      </c>
      <c r="L1202" s="5" t="s">
        <v>87</v>
      </c>
      <c r="M1202" s="32">
        <v>0</v>
      </c>
      <c r="N1202" s="6">
        <f t="shared" si="182"/>
        <v>0</v>
      </c>
      <c r="O1202" s="4" t="s">
        <v>89</v>
      </c>
      <c r="P1202" s="5" t="str">
        <f t="shared" si="183"/>
        <v>Ahmedabad</v>
      </c>
      <c r="Q1202" s="5" t="str">
        <f t="shared" si="184"/>
        <v>Neurology</v>
      </c>
      <c r="R1202" s="6" t="str">
        <f t="shared" si="185"/>
        <v>Manipal</v>
      </c>
      <c r="S1202" s="6" t="str">
        <f t="shared" si="186"/>
        <v>Credit Card</v>
      </c>
      <c r="T1202" s="6" t="str">
        <f t="shared" si="187"/>
        <v>Female</v>
      </c>
      <c r="U1202" s="6" t="str">
        <f t="shared" si="190"/>
        <v>General</v>
      </c>
      <c r="V1202" s="6" t="str" cm="1">
        <f t="array" ref="V1202">IF(TRIM(S1202)="",INDEX($S$2:$S$1500,MATCH(MAX(COUNTIF($S$2:$S$1500,S1202)),COUNTIF($S$2:$S$1500,$S$2:$S$1500),0)),S1202)</f>
        <v>Credit Card</v>
      </c>
      <c r="W1202" s="7" cm="1">
        <f t="array" ref="W1202">IF(OR(TRIM(K1202)="",TRIM(K1202)="-"), MEDIAN(IF($E$2:$E$1500=E1202,$K$2:$K$1500)),  VALUE(SUBSTITUTE(SUBSTITUTE(SUBSTITUTE(K1202,"Rs. ",""),"₹",""),",","")))</f>
        <v>18412</v>
      </c>
      <c r="X1202" s="8">
        <f t="shared" si="188"/>
        <v>0</v>
      </c>
      <c r="Y1202" s="7">
        <f t="shared" si="189"/>
        <v>18412</v>
      </c>
      <c r="Z1202" s="9" t="str">
        <f t="shared" si="181"/>
        <v>ADULT</v>
      </c>
    </row>
    <row r="1203" spans="1:26" x14ac:dyDescent="0.3">
      <c r="A1203" s="5" t="s">
        <v>2373</v>
      </c>
      <c r="B1203" s="5" t="s">
        <v>78</v>
      </c>
      <c r="C1203" s="5" t="s">
        <v>79</v>
      </c>
      <c r="D1203" s="5" t="s">
        <v>36</v>
      </c>
      <c r="E1203" s="5" t="s">
        <v>17</v>
      </c>
      <c r="F1203" s="5" t="s">
        <v>213</v>
      </c>
      <c r="G1203" s="5" t="s">
        <v>30</v>
      </c>
      <c r="H1203" s="5">
        <v>48</v>
      </c>
      <c r="I1203" s="5" t="s">
        <v>40</v>
      </c>
      <c r="J1203" s="34" t="s">
        <v>2374</v>
      </c>
      <c r="K1203" s="31">
        <v>4981</v>
      </c>
      <c r="L1203" s="5" t="s">
        <v>34</v>
      </c>
      <c r="M1203" s="32">
        <v>0</v>
      </c>
      <c r="N1203" s="6">
        <f t="shared" si="182"/>
        <v>0</v>
      </c>
      <c r="O1203" s="4" t="s">
        <v>213</v>
      </c>
      <c r="P1203" s="5" t="str">
        <f t="shared" si="183"/>
        <v>Chennai</v>
      </c>
      <c r="Q1203" s="5" t="str">
        <f t="shared" si="184"/>
        <v>Gynecology</v>
      </c>
      <c r="R1203" s="6" t="str">
        <f t="shared" si="185"/>
        <v>Apollo</v>
      </c>
      <c r="S1203" s="6" t="str">
        <f t="shared" si="186"/>
        <v>Cash</v>
      </c>
      <c r="T1203" s="6" t="str">
        <f t="shared" si="187"/>
        <v>Female</v>
      </c>
      <c r="U1203" s="6" t="str">
        <f t="shared" si="190"/>
        <v>General</v>
      </c>
      <c r="V1203" s="6" t="str" cm="1">
        <f t="array" ref="V1203">IF(TRIM(S1203)="",INDEX($S$2:$S$1500,MATCH(MAX(COUNTIF($S$2:$S$1500,S1203)),COUNTIF($S$2:$S$1500,$S$2:$S$1500),0)),S1203)</f>
        <v>Cash</v>
      </c>
      <c r="W1203" s="7" cm="1">
        <f t="array" ref="W1203">IF(OR(TRIM(K1203)="",TRIM(K1203)="-"), MEDIAN(IF($E$2:$E$1500=E1203,$K$2:$K$1500)),  VALUE(SUBSTITUTE(SUBSTITUTE(SUBSTITUTE(K1203,"Rs. ",""),"₹",""),",","")))</f>
        <v>4981</v>
      </c>
      <c r="X1203" s="8">
        <f t="shared" si="188"/>
        <v>0</v>
      </c>
      <c r="Y1203" s="7">
        <f t="shared" si="189"/>
        <v>4981</v>
      </c>
      <c r="Z1203" s="9" t="str">
        <f t="shared" si="181"/>
        <v>ADULT</v>
      </c>
    </row>
    <row r="1204" spans="1:26" x14ac:dyDescent="0.3">
      <c r="A1204" s="5" t="s">
        <v>2375</v>
      </c>
      <c r="B1204" s="5" t="s">
        <v>117</v>
      </c>
      <c r="C1204" s="5" t="s">
        <v>127</v>
      </c>
      <c r="D1204" s="5" t="s">
        <v>16</v>
      </c>
      <c r="E1204" s="5" t="s">
        <v>17</v>
      </c>
      <c r="F1204" s="5" t="s">
        <v>169</v>
      </c>
      <c r="G1204" s="5" t="s">
        <v>19</v>
      </c>
      <c r="H1204" s="5">
        <v>88</v>
      </c>
      <c r="I1204" s="5" t="s">
        <v>40</v>
      </c>
      <c r="J1204" s="34" t="s">
        <v>995</v>
      </c>
      <c r="K1204" s="31">
        <v>6840</v>
      </c>
      <c r="L1204" s="5" t="s">
        <v>72</v>
      </c>
      <c r="M1204" s="32">
        <v>0.05</v>
      </c>
      <c r="N1204" s="6">
        <f t="shared" si="182"/>
        <v>5</v>
      </c>
      <c r="O1204" s="4" t="s">
        <v>169</v>
      </c>
      <c r="P1204" s="5" t="str">
        <f t="shared" si="183"/>
        <v>Bangalore</v>
      </c>
      <c r="Q1204" s="5" t="str">
        <f t="shared" si="184"/>
        <v>Gynecology</v>
      </c>
      <c r="R1204" s="6" t="str">
        <f t="shared" si="185"/>
        <v>Manipal</v>
      </c>
      <c r="S1204" s="6" t="str">
        <f t="shared" si="186"/>
        <v>Cash</v>
      </c>
      <c r="T1204" s="6" t="str">
        <f t="shared" si="187"/>
        <v>Female</v>
      </c>
      <c r="U1204" s="6" t="str">
        <f t="shared" si="190"/>
        <v>General</v>
      </c>
      <c r="V1204" s="6" t="str" cm="1">
        <f t="array" ref="V1204">IF(TRIM(S1204)="",INDEX($S$2:$S$1500,MATCH(MAX(COUNTIF($S$2:$S$1500,S1204)),COUNTIF($S$2:$S$1500,$S$2:$S$1500),0)),S1204)</f>
        <v>Cash</v>
      </c>
      <c r="W1204" s="7" cm="1">
        <f t="array" ref="W1204">IF(OR(TRIM(K1204)="",TRIM(K1204)="-"), MEDIAN(IF($E$2:$E$1500=E1204,$K$2:$K$1500)),  VALUE(SUBSTITUTE(SUBSTITUTE(SUBSTITUTE(K1204,"Rs. ",""),"₹",""),",","")))</f>
        <v>6840</v>
      </c>
      <c r="X1204" s="8">
        <f t="shared" si="188"/>
        <v>5</v>
      </c>
      <c r="Y1204" s="7">
        <f t="shared" si="189"/>
        <v>6498</v>
      </c>
      <c r="Z1204" s="9" t="str">
        <f t="shared" si="181"/>
        <v>SENIOR</v>
      </c>
    </row>
    <row r="1205" spans="1:26" x14ac:dyDescent="0.3">
      <c r="A1205" s="5" t="s">
        <v>2376</v>
      </c>
      <c r="B1205" s="5" t="s">
        <v>106</v>
      </c>
      <c r="C1205" s="5" t="s">
        <v>107</v>
      </c>
      <c r="D1205" s="5" t="s">
        <v>80</v>
      </c>
      <c r="E1205" s="5" t="s">
        <v>28</v>
      </c>
      <c r="F1205" s="5" t="s">
        <v>29</v>
      </c>
      <c r="G1205" s="5" t="s">
        <v>49</v>
      </c>
      <c r="H1205" s="5">
        <v>88</v>
      </c>
      <c r="I1205" s="5" t="s">
        <v>40</v>
      </c>
      <c r="J1205" s="34" t="s">
        <v>2267</v>
      </c>
      <c r="K1205" s="31" t="s">
        <v>2377</v>
      </c>
      <c r="L1205" s="5" t="s">
        <v>42</v>
      </c>
      <c r="M1205" s="32">
        <v>12</v>
      </c>
      <c r="N1205" s="6">
        <f t="shared" si="182"/>
        <v>12</v>
      </c>
      <c r="O1205" s="4" t="s">
        <v>29</v>
      </c>
      <c r="P1205" s="5" t="str">
        <f t="shared" si="183"/>
        <v>Ahmedabad</v>
      </c>
      <c r="Q1205" s="5" t="str">
        <f t="shared" si="184"/>
        <v>Oncology</v>
      </c>
      <c r="R1205" s="6" t="str">
        <f t="shared" si="185"/>
        <v>Aiims</v>
      </c>
      <c r="S1205" s="6" t="str">
        <f t="shared" si="186"/>
        <v>Insurance</v>
      </c>
      <c r="T1205" s="6" t="str">
        <f t="shared" si="187"/>
        <v>Female</v>
      </c>
      <c r="U1205" s="6" t="str">
        <f t="shared" si="190"/>
        <v>General</v>
      </c>
      <c r="V1205" s="6" t="str" cm="1">
        <f t="array" ref="V1205">IF(TRIM(S1205)="",INDEX($S$2:$S$1500,MATCH(MAX(COUNTIF($S$2:$S$1500,S1205)),COUNTIF($S$2:$S$1500,$S$2:$S$1500),0)),S1205)</f>
        <v>Insurance</v>
      </c>
      <c r="W1205" s="7" cm="1">
        <f t="array" ref="W1205">IF(OR(TRIM(K1205)="",TRIM(K1205)="-"), MEDIAN(IF($E$2:$E$1500=E1205,$K$2:$K$1500)),  VALUE(SUBSTITUTE(SUBSTITUTE(SUBSTITUTE(K1205,"Rs. ",""),"₹",""),",","")))</f>
        <v>7675</v>
      </c>
      <c r="X1205" s="8">
        <f t="shared" si="188"/>
        <v>12</v>
      </c>
      <c r="Y1205" s="7">
        <f t="shared" si="189"/>
        <v>6754</v>
      </c>
      <c r="Z1205" s="9" t="str">
        <f t="shared" si="181"/>
        <v>SENIOR</v>
      </c>
    </row>
    <row r="1206" spans="1:26" x14ac:dyDescent="0.3">
      <c r="A1206" s="5" t="s">
        <v>2378</v>
      </c>
      <c r="B1206" s="5" t="s">
        <v>14</v>
      </c>
      <c r="C1206" s="5" t="s">
        <v>60</v>
      </c>
      <c r="D1206" s="5" t="s">
        <v>189</v>
      </c>
      <c r="E1206" s="5" t="s">
        <v>67</v>
      </c>
      <c r="F1206" s="5" t="s">
        <v>89</v>
      </c>
      <c r="G1206" s="5" t="s">
        <v>62</v>
      </c>
      <c r="H1206" s="5">
        <v>54</v>
      </c>
      <c r="I1206" s="5" t="s">
        <v>20</v>
      </c>
      <c r="J1206" s="34" t="s">
        <v>166</v>
      </c>
      <c r="K1206" s="31">
        <v>20008</v>
      </c>
      <c r="L1206" s="5" t="s">
        <v>115</v>
      </c>
      <c r="M1206" s="32">
        <v>0</v>
      </c>
      <c r="N1206" s="6">
        <f t="shared" si="182"/>
        <v>0</v>
      </c>
      <c r="O1206" s="4" t="s">
        <v>89</v>
      </c>
      <c r="P1206" s="5" t="str">
        <f t="shared" si="183"/>
        <v>Delhi</v>
      </c>
      <c r="Q1206" s="5" t="str">
        <f t="shared" si="184"/>
        <v>Neurology</v>
      </c>
      <c r="R1206" s="6" t="str">
        <f t="shared" si="185"/>
        <v>Max_Healthcare</v>
      </c>
      <c r="S1206" s="6" t="str">
        <f t="shared" si="186"/>
        <v>Cash</v>
      </c>
      <c r="T1206" s="6" t="str">
        <f t="shared" si="187"/>
        <v>Male</v>
      </c>
      <c r="U1206" s="6" t="str">
        <f t="shared" si="190"/>
        <v>ICU</v>
      </c>
      <c r="V1206" s="6" t="str" cm="1">
        <f t="array" ref="V1206">IF(TRIM(S1206)="",INDEX($S$2:$S$1500,MATCH(MAX(COUNTIF($S$2:$S$1500,S1206)),COUNTIF($S$2:$S$1500,$S$2:$S$1500),0)),S1206)</f>
        <v>Cash</v>
      </c>
      <c r="W1206" s="7" cm="1">
        <f t="array" ref="W1206">IF(OR(TRIM(K1206)="",TRIM(K1206)="-"), MEDIAN(IF($E$2:$E$1500=E1206,$K$2:$K$1500)),  VALUE(SUBSTITUTE(SUBSTITUTE(SUBSTITUTE(K1206,"Rs. ",""),"₹",""),",","")))</f>
        <v>20008</v>
      </c>
      <c r="X1206" s="8">
        <f t="shared" si="188"/>
        <v>0</v>
      </c>
      <c r="Y1206" s="7">
        <f t="shared" si="189"/>
        <v>20008</v>
      </c>
      <c r="Z1206" s="9" t="str">
        <f t="shared" si="181"/>
        <v>ADULT</v>
      </c>
    </row>
    <row r="1207" spans="1:26" x14ac:dyDescent="0.3">
      <c r="A1207" s="5" t="s">
        <v>2379</v>
      </c>
      <c r="B1207" s="5" t="s">
        <v>25</v>
      </c>
      <c r="C1207" s="5" t="s">
        <v>26</v>
      </c>
      <c r="D1207" s="5" t="s">
        <v>27</v>
      </c>
      <c r="E1207" s="5" t="s">
        <v>28</v>
      </c>
      <c r="F1207" s="5" t="s">
        <v>259</v>
      </c>
      <c r="G1207" s="5" t="s">
        <v>49</v>
      </c>
      <c r="H1207" s="5">
        <v>30</v>
      </c>
      <c r="I1207" s="5" t="s">
        <v>20</v>
      </c>
      <c r="J1207" s="34" t="s">
        <v>2380</v>
      </c>
      <c r="K1207" s="31" t="s">
        <v>2381</v>
      </c>
      <c r="L1207" s="5" t="s">
        <v>23</v>
      </c>
      <c r="M1207" s="32"/>
      <c r="N1207" s="6">
        <f t="shared" si="182"/>
        <v>0</v>
      </c>
      <c r="O1207" s="4" t="s">
        <v>259</v>
      </c>
      <c r="P1207" s="5" t="str">
        <f t="shared" si="183"/>
        <v>Mumbai</v>
      </c>
      <c r="Q1207" s="5" t="str">
        <f t="shared" si="184"/>
        <v>Oncology</v>
      </c>
      <c r="R1207" s="6" t="str">
        <f t="shared" si="185"/>
        <v>Narayana</v>
      </c>
      <c r="S1207" s="6" t="str">
        <f t="shared" si="186"/>
        <v>Credit Card</v>
      </c>
      <c r="T1207" s="6" t="str">
        <f t="shared" si="187"/>
        <v>Male</v>
      </c>
      <c r="U1207" s="6" t="str">
        <f t="shared" si="190"/>
        <v>General</v>
      </c>
      <c r="V1207" s="6" t="str" cm="1">
        <f t="array" ref="V1207">IF(TRIM(S1207)="",INDEX($S$2:$S$1500,MATCH(MAX(COUNTIF($S$2:$S$1500,S1207)),COUNTIF($S$2:$S$1500,$S$2:$S$1500),0)),S1207)</f>
        <v>Credit Card</v>
      </c>
      <c r="W1207" s="7" cm="1">
        <f t="array" ref="W1207">IF(OR(TRIM(K1207)="",TRIM(K1207)="-"), MEDIAN(IF($E$2:$E$1500=E1207,$K$2:$K$1500)),  VALUE(SUBSTITUTE(SUBSTITUTE(SUBSTITUTE(K1207,"Rs. ",""),"₹",""),",","")))</f>
        <v>14292</v>
      </c>
      <c r="X1207" s="8">
        <f t="shared" si="188"/>
        <v>0</v>
      </c>
      <c r="Y1207" s="7">
        <f t="shared" si="189"/>
        <v>14292</v>
      </c>
      <c r="Z1207" s="9" t="str">
        <f t="shared" si="181"/>
        <v>ADULT</v>
      </c>
    </row>
    <row r="1208" spans="1:26" x14ac:dyDescent="0.3">
      <c r="A1208" s="5" t="s">
        <v>2382</v>
      </c>
      <c r="B1208" s="5" t="s">
        <v>14</v>
      </c>
      <c r="C1208" s="5" t="s">
        <v>15</v>
      </c>
      <c r="D1208" s="5" t="s">
        <v>80</v>
      </c>
      <c r="E1208" s="5" t="s">
        <v>74</v>
      </c>
      <c r="F1208" s="5" t="s">
        <v>192</v>
      </c>
      <c r="G1208" s="5" t="s">
        <v>49</v>
      </c>
      <c r="H1208" s="5">
        <v>54</v>
      </c>
      <c r="I1208" s="5" t="s">
        <v>20</v>
      </c>
      <c r="J1208" s="34" t="s">
        <v>551</v>
      </c>
      <c r="K1208" s="31" t="s">
        <v>2383</v>
      </c>
      <c r="L1208" s="5" t="s">
        <v>23</v>
      </c>
      <c r="M1208" s="32">
        <v>10</v>
      </c>
      <c r="N1208" s="6">
        <f t="shared" si="182"/>
        <v>10</v>
      </c>
      <c r="O1208" s="4" t="s">
        <v>192</v>
      </c>
      <c r="P1208" s="5" t="str">
        <f t="shared" si="183"/>
        <v>Ahmedabad</v>
      </c>
      <c r="Q1208" s="5" t="str">
        <f t="shared" si="184"/>
        <v>General Medicine</v>
      </c>
      <c r="R1208" s="6" t="str">
        <f t="shared" si="185"/>
        <v>Max_Healthcare</v>
      </c>
      <c r="S1208" s="6" t="str">
        <f t="shared" si="186"/>
        <v>Credit Card</v>
      </c>
      <c r="T1208" s="6" t="str">
        <f t="shared" si="187"/>
        <v>Male</v>
      </c>
      <c r="U1208" s="6" t="str">
        <f t="shared" si="190"/>
        <v>General</v>
      </c>
      <c r="V1208" s="6" t="str" cm="1">
        <f t="array" ref="V1208">IF(TRIM(S1208)="",INDEX($S$2:$S$1500,MATCH(MAX(COUNTIF($S$2:$S$1500,S1208)),COUNTIF($S$2:$S$1500,$S$2:$S$1500),0)),S1208)</f>
        <v>Credit Card</v>
      </c>
      <c r="W1208" s="7" cm="1">
        <f t="array" ref="W1208">IF(OR(TRIM(K1208)="",TRIM(K1208)="-"), MEDIAN(IF($E$2:$E$1500=E1208,$K$2:$K$1500)),  VALUE(SUBSTITUTE(SUBSTITUTE(SUBSTITUTE(K1208,"Rs. ",""),"₹",""),",","")))</f>
        <v>19700</v>
      </c>
      <c r="X1208" s="8">
        <f t="shared" si="188"/>
        <v>10</v>
      </c>
      <c r="Y1208" s="7">
        <f t="shared" si="189"/>
        <v>17730</v>
      </c>
      <c r="Z1208" s="9" t="str">
        <f t="shared" si="181"/>
        <v>ADULT</v>
      </c>
    </row>
    <row r="1209" spans="1:26" x14ac:dyDescent="0.3">
      <c r="A1209" s="5" t="s">
        <v>2384</v>
      </c>
      <c r="B1209" s="5" t="s">
        <v>78</v>
      </c>
      <c r="C1209" s="5" t="s">
        <v>79</v>
      </c>
      <c r="D1209" s="5" t="s">
        <v>80</v>
      </c>
      <c r="E1209" s="5" t="s">
        <v>47</v>
      </c>
      <c r="F1209" s="5" t="s">
        <v>48</v>
      </c>
      <c r="G1209" s="5" t="s">
        <v>62</v>
      </c>
      <c r="H1209" s="5">
        <v>19</v>
      </c>
      <c r="I1209" s="5" t="s">
        <v>20</v>
      </c>
      <c r="J1209" s="34" t="s">
        <v>2004</v>
      </c>
      <c r="K1209" s="31" t="s">
        <v>2385</v>
      </c>
      <c r="L1209" s="5" t="s">
        <v>97</v>
      </c>
      <c r="M1209" s="32" t="s">
        <v>76</v>
      </c>
      <c r="N1209" s="6">
        <f t="shared" si="182"/>
        <v>10</v>
      </c>
      <c r="O1209" s="4" t="s">
        <v>48</v>
      </c>
      <c r="P1209" s="5" t="str">
        <f t="shared" si="183"/>
        <v>Ahmedabad</v>
      </c>
      <c r="Q1209" s="5" t="str">
        <f t="shared" si="184"/>
        <v>Gastroenterology</v>
      </c>
      <c r="R1209" s="6" t="str">
        <f t="shared" si="185"/>
        <v>Apollo</v>
      </c>
      <c r="S1209" s="6" t="str">
        <f t="shared" si="186"/>
        <v>UPI</v>
      </c>
      <c r="T1209" s="6" t="str">
        <f t="shared" si="187"/>
        <v>Male</v>
      </c>
      <c r="U1209" s="6" t="str">
        <f t="shared" si="190"/>
        <v>ICU</v>
      </c>
      <c r="V1209" s="6" t="str" cm="1">
        <f t="array" ref="V1209">IF(TRIM(S1209)="",INDEX($S$2:$S$1500,MATCH(MAX(COUNTIF($S$2:$S$1500,S1209)),COUNTIF($S$2:$S$1500,$S$2:$S$1500),0)),S1209)</f>
        <v>UPI</v>
      </c>
      <c r="W1209" s="7" cm="1">
        <f t="array" ref="W1209">IF(OR(TRIM(K1209)="",TRIM(K1209)="-"), MEDIAN(IF($E$2:$E$1500=E1209,$K$2:$K$1500)),  VALUE(SUBSTITUTE(SUBSTITUTE(SUBSTITUTE(K1209,"Rs. ",""),"₹",""),",","")))</f>
        <v>54848</v>
      </c>
      <c r="X1209" s="8">
        <f t="shared" si="188"/>
        <v>10</v>
      </c>
      <c r="Y1209" s="7">
        <f t="shared" si="189"/>
        <v>49363</v>
      </c>
      <c r="Z1209" s="9" t="str">
        <f t="shared" si="181"/>
        <v>TEEN</v>
      </c>
    </row>
    <row r="1210" spans="1:26" x14ac:dyDescent="0.3">
      <c r="A1210" s="5" t="s">
        <v>2386</v>
      </c>
      <c r="B1210" s="5" t="s">
        <v>78</v>
      </c>
      <c r="C1210" s="5" t="s">
        <v>79</v>
      </c>
      <c r="D1210" s="5" t="s">
        <v>66</v>
      </c>
      <c r="E1210" s="5" t="s">
        <v>17</v>
      </c>
      <c r="F1210" s="5" t="s">
        <v>135</v>
      </c>
      <c r="G1210" s="5" t="s">
        <v>62</v>
      </c>
      <c r="H1210" s="5">
        <v>80</v>
      </c>
      <c r="I1210" s="5" t="s">
        <v>20</v>
      </c>
      <c r="J1210" s="34" t="s">
        <v>933</v>
      </c>
      <c r="K1210" s="31" t="s">
        <v>140</v>
      </c>
      <c r="L1210" s="5" t="s">
        <v>72</v>
      </c>
      <c r="M1210" s="32">
        <v>0.1</v>
      </c>
      <c r="N1210" s="6">
        <f t="shared" si="182"/>
        <v>10</v>
      </c>
      <c r="O1210" s="4" t="s">
        <v>135</v>
      </c>
      <c r="P1210" s="5" t="str">
        <f t="shared" si="183"/>
        <v>Kolkata</v>
      </c>
      <c r="Q1210" s="5" t="str">
        <f t="shared" si="184"/>
        <v>Gynecology</v>
      </c>
      <c r="R1210" s="6" t="str">
        <f t="shared" si="185"/>
        <v>Apollo</v>
      </c>
      <c r="S1210" s="6" t="str">
        <f t="shared" si="186"/>
        <v>Cash</v>
      </c>
      <c r="T1210" s="6" t="str">
        <f t="shared" si="187"/>
        <v>Male</v>
      </c>
      <c r="U1210" s="6" t="str">
        <f t="shared" si="190"/>
        <v>ICU</v>
      </c>
      <c r="V1210" s="6" t="str" cm="1">
        <f t="array" ref="V1210">IF(TRIM(S1210)="",INDEX($S$2:$S$1500,MATCH(MAX(COUNTIF($S$2:$S$1500,S1210)),COUNTIF($S$2:$S$1500,$S$2:$S$1500),0)),S1210)</f>
        <v>Cash</v>
      </c>
      <c r="W1210" s="7" cm="1">
        <f t="array" ref="W1210">IF(OR(TRIM(K1210)="",TRIM(K1210)="-"), MEDIAN(IF($E$2:$E$1500=E1210,$K$2:$K$1500)),  VALUE(SUBSTITUTE(SUBSTITUTE(SUBSTITUTE(K1210,"Rs. ",""),"₹",""),",","")))</f>
        <v>16493.5</v>
      </c>
      <c r="X1210" s="8">
        <f t="shared" si="188"/>
        <v>10</v>
      </c>
      <c r="Y1210" s="7">
        <f t="shared" si="189"/>
        <v>14844</v>
      </c>
      <c r="Z1210" s="9" t="str">
        <f t="shared" si="181"/>
        <v>SENIOR</v>
      </c>
    </row>
    <row r="1211" spans="1:26" x14ac:dyDescent="0.3">
      <c r="A1211" s="5" t="s">
        <v>2387</v>
      </c>
      <c r="B1211" s="5" t="s">
        <v>117</v>
      </c>
      <c r="C1211" s="5" t="s">
        <v>118</v>
      </c>
      <c r="D1211" s="5" t="s">
        <v>27</v>
      </c>
      <c r="E1211" s="5" t="s">
        <v>67</v>
      </c>
      <c r="F1211" s="5" t="s">
        <v>68</v>
      </c>
      <c r="G1211" s="5" t="s">
        <v>49</v>
      </c>
      <c r="H1211" s="5">
        <v>7</v>
      </c>
      <c r="I1211" s="5" t="s">
        <v>40</v>
      </c>
      <c r="J1211" s="34" t="s">
        <v>2388</v>
      </c>
      <c r="K1211" s="31" t="s">
        <v>2389</v>
      </c>
      <c r="L1211" s="5" t="s">
        <v>72</v>
      </c>
      <c r="M1211" s="32">
        <v>10</v>
      </c>
      <c r="N1211" s="6">
        <f t="shared" si="182"/>
        <v>10</v>
      </c>
      <c r="O1211" s="4" t="s">
        <v>68</v>
      </c>
      <c r="P1211" s="5" t="str">
        <f t="shared" si="183"/>
        <v>Mumbai</v>
      </c>
      <c r="Q1211" s="5" t="str">
        <f t="shared" si="184"/>
        <v>Neurology</v>
      </c>
      <c r="R1211" s="6" t="str">
        <f t="shared" si="185"/>
        <v>Manipal</v>
      </c>
      <c r="S1211" s="6" t="str">
        <f t="shared" si="186"/>
        <v>Cash</v>
      </c>
      <c r="T1211" s="6" t="str">
        <f t="shared" si="187"/>
        <v>Female</v>
      </c>
      <c r="U1211" s="6" t="str">
        <f t="shared" si="190"/>
        <v>General</v>
      </c>
      <c r="V1211" s="6" t="str" cm="1">
        <f t="array" ref="V1211">IF(TRIM(S1211)="",INDEX($S$2:$S$1500,MATCH(MAX(COUNTIF($S$2:$S$1500,S1211)),COUNTIF($S$2:$S$1500,$S$2:$S$1500),0)),S1211)</f>
        <v>Cash</v>
      </c>
      <c r="W1211" s="7" cm="1">
        <f t="array" ref="W1211">IF(OR(TRIM(K1211)="",TRIM(K1211)="-"), MEDIAN(IF($E$2:$E$1500=E1211,$K$2:$K$1500)),  VALUE(SUBSTITUTE(SUBSTITUTE(SUBSTITUTE(K1211,"Rs. ",""),"₹",""),",","")))</f>
        <v>18294</v>
      </c>
      <c r="X1211" s="8">
        <f t="shared" si="188"/>
        <v>10</v>
      </c>
      <c r="Y1211" s="7">
        <f t="shared" si="189"/>
        <v>16465</v>
      </c>
      <c r="Z1211" s="9" t="str">
        <f t="shared" si="181"/>
        <v>CHILD</v>
      </c>
    </row>
    <row r="1212" spans="1:26" x14ac:dyDescent="0.3">
      <c r="A1212" s="5" t="s">
        <v>2390</v>
      </c>
      <c r="B1212" s="5" t="s">
        <v>117</v>
      </c>
      <c r="C1212" s="5" t="s">
        <v>118</v>
      </c>
      <c r="D1212" s="5" t="s">
        <v>80</v>
      </c>
      <c r="E1212" s="5" t="s">
        <v>164</v>
      </c>
      <c r="F1212" s="5" t="s">
        <v>165</v>
      </c>
      <c r="G1212" s="5" t="s">
        <v>30</v>
      </c>
      <c r="H1212" s="5">
        <v>12</v>
      </c>
      <c r="I1212" s="5" t="s">
        <v>31</v>
      </c>
      <c r="J1212" s="34" t="s">
        <v>1219</v>
      </c>
      <c r="K1212" s="31">
        <v>18853</v>
      </c>
      <c r="L1212" s="5" t="s">
        <v>72</v>
      </c>
      <c r="M1212" s="32" t="s">
        <v>76</v>
      </c>
      <c r="N1212" s="6">
        <f t="shared" si="182"/>
        <v>10</v>
      </c>
      <c r="O1212" s="4" t="s">
        <v>165</v>
      </c>
      <c r="P1212" s="5" t="str">
        <f t="shared" si="183"/>
        <v>Ahmedabad</v>
      </c>
      <c r="Q1212" s="5" t="str">
        <f t="shared" si="184"/>
        <v>Cardiology</v>
      </c>
      <c r="R1212" s="6" t="str">
        <f t="shared" si="185"/>
        <v>Manipal</v>
      </c>
      <c r="S1212" s="6" t="str">
        <f t="shared" si="186"/>
        <v>Cash</v>
      </c>
      <c r="T1212" s="6" t="str">
        <f t="shared" si="187"/>
        <v>Male</v>
      </c>
      <c r="U1212" s="6" t="str">
        <f t="shared" si="190"/>
        <v>General</v>
      </c>
      <c r="V1212" s="6" t="str" cm="1">
        <f t="array" ref="V1212">IF(TRIM(S1212)="",INDEX($S$2:$S$1500,MATCH(MAX(COUNTIF($S$2:$S$1500,S1212)),COUNTIF($S$2:$S$1500,$S$2:$S$1500),0)),S1212)</f>
        <v>Cash</v>
      </c>
      <c r="W1212" s="7" cm="1">
        <f t="array" ref="W1212">IF(OR(TRIM(K1212)="",TRIM(K1212)="-"), MEDIAN(IF($E$2:$E$1500=E1212,$K$2:$K$1500)),  VALUE(SUBSTITUTE(SUBSTITUTE(SUBSTITUTE(K1212,"Rs. ",""),"₹",""),",","")))</f>
        <v>18853</v>
      </c>
      <c r="X1212" s="8">
        <f t="shared" si="188"/>
        <v>10</v>
      </c>
      <c r="Y1212" s="7">
        <f t="shared" si="189"/>
        <v>16968</v>
      </c>
      <c r="Z1212" s="9" t="str">
        <f t="shared" si="181"/>
        <v>CHILD</v>
      </c>
    </row>
    <row r="1213" spans="1:26" x14ac:dyDescent="0.3">
      <c r="A1213" s="5" t="s">
        <v>2391</v>
      </c>
      <c r="B1213" s="5" t="s">
        <v>25</v>
      </c>
      <c r="C1213" s="5" t="s">
        <v>54</v>
      </c>
      <c r="D1213" s="5" t="s">
        <v>27</v>
      </c>
      <c r="E1213" s="5" t="s">
        <v>47</v>
      </c>
      <c r="F1213" s="5" t="s">
        <v>48</v>
      </c>
      <c r="G1213" s="5" t="s">
        <v>19</v>
      </c>
      <c r="H1213" s="5">
        <v>85</v>
      </c>
      <c r="I1213" s="5" t="s">
        <v>40</v>
      </c>
      <c r="J1213" s="34" t="s">
        <v>375</v>
      </c>
      <c r="K1213" s="31">
        <v>11251</v>
      </c>
      <c r="L1213" s="5" t="s">
        <v>52</v>
      </c>
      <c r="M1213" s="32">
        <v>0</v>
      </c>
      <c r="N1213" s="6">
        <f t="shared" si="182"/>
        <v>0</v>
      </c>
      <c r="O1213" s="4" t="s">
        <v>48</v>
      </c>
      <c r="P1213" s="5" t="str">
        <f t="shared" si="183"/>
        <v>Mumbai</v>
      </c>
      <c r="Q1213" s="5" t="str">
        <f t="shared" si="184"/>
        <v>Gastroenterology</v>
      </c>
      <c r="R1213" s="6" t="str">
        <f t="shared" si="185"/>
        <v>Narayana</v>
      </c>
      <c r="S1213" s="6" t="str">
        <f t="shared" si="186"/>
        <v>Credit Card</v>
      </c>
      <c r="T1213" s="6" t="str">
        <f t="shared" si="187"/>
        <v>Female</v>
      </c>
      <c r="U1213" s="6" t="str">
        <f t="shared" si="190"/>
        <v>General</v>
      </c>
      <c r="V1213" s="6" t="str" cm="1">
        <f t="array" ref="V1213">IF(TRIM(S1213)="",INDEX($S$2:$S$1500,MATCH(MAX(COUNTIF($S$2:$S$1500,S1213)),COUNTIF($S$2:$S$1500,$S$2:$S$1500),0)),S1213)</f>
        <v>Credit Card</v>
      </c>
      <c r="W1213" s="7" cm="1">
        <f t="array" ref="W1213">IF(OR(TRIM(K1213)="",TRIM(K1213)="-"), MEDIAN(IF($E$2:$E$1500=E1213,$K$2:$K$1500)),  VALUE(SUBSTITUTE(SUBSTITUTE(SUBSTITUTE(K1213,"Rs. ",""),"₹",""),",","")))</f>
        <v>11251</v>
      </c>
      <c r="X1213" s="8">
        <f t="shared" si="188"/>
        <v>0</v>
      </c>
      <c r="Y1213" s="7">
        <f t="shared" si="189"/>
        <v>11251</v>
      </c>
      <c r="Z1213" s="9" t="str">
        <f t="shared" si="181"/>
        <v>SENIOR</v>
      </c>
    </row>
    <row r="1214" spans="1:26" x14ac:dyDescent="0.3">
      <c r="A1214" s="5" t="s">
        <v>2392</v>
      </c>
      <c r="B1214" s="5" t="s">
        <v>117</v>
      </c>
      <c r="C1214" s="5" t="s">
        <v>182</v>
      </c>
      <c r="D1214" s="5" t="s">
        <v>16</v>
      </c>
      <c r="E1214" s="5" t="s">
        <v>67</v>
      </c>
      <c r="F1214" s="5" t="s">
        <v>196</v>
      </c>
      <c r="G1214" s="5" t="s">
        <v>19</v>
      </c>
      <c r="H1214" s="5">
        <v>89</v>
      </c>
      <c r="I1214" s="5" t="s">
        <v>20</v>
      </c>
      <c r="J1214" s="34" t="s">
        <v>656</v>
      </c>
      <c r="K1214" s="31" t="s">
        <v>2393</v>
      </c>
      <c r="L1214" s="5" t="s">
        <v>91</v>
      </c>
      <c r="M1214" s="32" t="s">
        <v>64</v>
      </c>
      <c r="N1214" s="6" t="str">
        <f t="shared" si="182"/>
        <v>NA</v>
      </c>
      <c r="O1214" s="4" t="s">
        <v>196</v>
      </c>
      <c r="P1214" s="5" t="str">
        <f t="shared" si="183"/>
        <v>Bangalore</v>
      </c>
      <c r="Q1214" s="5" t="str">
        <f t="shared" si="184"/>
        <v>Neurology</v>
      </c>
      <c r="R1214" s="6" t="str">
        <f t="shared" si="185"/>
        <v>Manipal</v>
      </c>
      <c r="S1214" s="6" t="str">
        <f t="shared" si="186"/>
        <v>Debit Card</v>
      </c>
      <c r="T1214" s="6" t="str">
        <f t="shared" si="187"/>
        <v>Male</v>
      </c>
      <c r="U1214" s="6" t="str">
        <f t="shared" si="190"/>
        <v>General</v>
      </c>
      <c r="V1214" s="6" t="str" cm="1">
        <f t="array" ref="V1214">IF(TRIM(S1214)="",INDEX($S$2:$S$1500,MATCH(MAX(COUNTIF($S$2:$S$1500,S1214)),COUNTIF($S$2:$S$1500,$S$2:$S$1500),0)),S1214)</f>
        <v>Debit Card</v>
      </c>
      <c r="W1214" s="7" cm="1">
        <f t="array" ref="W1214">IF(OR(TRIM(K1214)="",TRIM(K1214)="-"), MEDIAN(IF($E$2:$E$1500=E1214,$K$2:$K$1500)),  VALUE(SUBSTITUTE(SUBSTITUTE(SUBSTITUTE(K1214,"Rs. ",""),"₹",""),",","")))</f>
        <v>9940</v>
      </c>
      <c r="X1214" s="8">
        <f t="shared" si="188"/>
        <v>3</v>
      </c>
      <c r="Y1214" s="7">
        <f t="shared" si="189"/>
        <v>9642</v>
      </c>
      <c r="Z1214" s="9" t="str">
        <f t="shared" si="181"/>
        <v>SENIOR</v>
      </c>
    </row>
    <row r="1215" spans="1:26" x14ac:dyDescent="0.3">
      <c r="A1215" s="5" t="s">
        <v>2394</v>
      </c>
      <c r="B1215" s="5" t="s">
        <v>14</v>
      </c>
      <c r="C1215" s="5" t="s">
        <v>60</v>
      </c>
      <c r="D1215" s="5" t="s">
        <v>16</v>
      </c>
      <c r="E1215" s="5" t="s">
        <v>37</v>
      </c>
      <c r="F1215" s="5" t="s">
        <v>185</v>
      </c>
      <c r="G1215" s="5" t="s">
        <v>69</v>
      </c>
      <c r="H1215" s="5">
        <v>38</v>
      </c>
      <c r="I1215" s="5" t="s">
        <v>70</v>
      </c>
      <c r="J1215" s="34" t="s">
        <v>1327</v>
      </c>
      <c r="K1215" s="31" t="s">
        <v>2395</v>
      </c>
      <c r="L1215" s="5" t="s">
        <v>34</v>
      </c>
      <c r="M1215" s="32">
        <v>0</v>
      </c>
      <c r="N1215" s="6">
        <f t="shared" si="182"/>
        <v>0</v>
      </c>
      <c r="O1215" s="4" t="s">
        <v>185</v>
      </c>
      <c r="P1215" s="5" t="str">
        <f t="shared" si="183"/>
        <v>Bangalore</v>
      </c>
      <c r="Q1215" s="5" t="str">
        <f t="shared" si="184"/>
        <v>Pediatrics</v>
      </c>
      <c r="R1215" s="6" t="str">
        <f t="shared" si="185"/>
        <v>Max_Healthcare</v>
      </c>
      <c r="S1215" s="6" t="str">
        <f t="shared" si="186"/>
        <v>Cash</v>
      </c>
      <c r="T1215" s="6" t="str">
        <f t="shared" si="187"/>
        <v>Female</v>
      </c>
      <c r="U1215" s="6" t="str">
        <f t="shared" si="190"/>
        <v>ICU</v>
      </c>
      <c r="V1215" s="6" t="str" cm="1">
        <f t="array" ref="V1215">IF(TRIM(S1215)="",INDEX($S$2:$S$1500,MATCH(MAX(COUNTIF($S$2:$S$1500,S1215)),COUNTIF($S$2:$S$1500,$S$2:$S$1500),0)),S1215)</f>
        <v>Cash</v>
      </c>
      <c r="W1215" s="7" cm="1">
        <f t="array" ref="W1215">IF(OR(TRIM(K1215)="",TRIM(K1215)="-"), MEDIAN(IF($E$2:$E$1500=E1215,$K$2:$K$1500)),  VALUE(SUBSTITUTE(SUBSTITUTE(SUBSTITUTE(K1215,"Rs. ",""),"₹",""),",","")))</f>
        <v>86836</v>
      </c>
      <c r="X1215" s="8">
        <f t="shared" si="188"/>
        <v>0</v>
      </c>
      <c r="Y1215" s="7">
        <f t="shared" si="189"/>
        <v>86836</v>
      </c>
      <c r="Z1215" s="9" t="str">
        <f t="shared" si="181"/>
        <v>ADULT</v>
      </c>
    </row>
    <row r="1216" spans="1:26" x14ac:dyDescent="0.3">
      <c r="A1216" s="5" t="s">
        <v>2396</v>
      </c>
      <c r="B1216" s="5" t="s">
        <v>25</v>
      </c>
      <c r="C1216" s="5" t="s">
        <v>26</v>
      </c>
      <c r="D1216" s="5" t="s">
        <v>80</v>
      </c>
      <c r="E1216" s="5" t="s">
        <v>108</v>
      </c>
      <c r="F1216" s="5" t="s">
        <v>272</v>
      </c>
      <c r="G1216" s="5" t="s">
        <v>62</v>
      </c>
      <c r="H1216" s="5">
        <v>8</v>
      </c>
      <c r="I1216" s="5" t="s">
        <v>40</v>
      </c>
      <c r="J1216" s="34" t="s">
        <v>635</v>
      </c>
      <c r="K1216" s="31">
        <v>80387</v>
      </c>
      <c r="L1216" s="5" t="s">
        <v>87</v>
      </c>
      <c r="M1216" s="32" t="s">
        <v>140</v>
      </c>
      <c r="N1216" s="6" t="str">
        <f t="shared" si="182"/>
        <v>-</v>
      </c>
      <c r="O1216" s="4" t="s">
        <v>272</v>
      </c>
      <c r="P1216" s="5" t="str">
        <f t="shared" si="183"/>
        <v>Ahmedabad</v>
      </c>
      <c r="Q1216" s="5" t="str">
        <f t="shared" si="184"/>
        <v>Orthopedics</v>
      </c>
      <c r="R1216" s="6" t="str">
        <f t="shared" si="185"/>
        <v>Narayana</v>
      </c>
      <c r="S1216" s="6" t="str">
        <f t="shared" si="186"/>
        <v>Credit Card</v>
      </c>
      <c r="T1216" s="6" t="str">
        <f t="shared" si="187"/>
        <v>Female</v>
      </c>
      <c r="U1216" s="6" t="str">
        <f t="shared" si="190"/>
        <v>ICU</v>
      </c>
      <c r="V1216" s="6" t="str" cm="1">
        <f t="array" ref="V1216">IF(TRIM(S1216)="",INDEX($S$2:$S$1500,MATCH(MAX(COUNTIF($S$2:$S$1500,S1216)),COUNTIF($S$2:$S$1500,$S$2:$S$1500),0)),S1216)</f>
        <v>Credit Card</v>
      </c>
      <c r="W1216" s="7" cm="1">
        <f t="array" ref="W1216">IF(OR(TRIM(K1216)="",TRIM(K1216)="-"), MEDIAN(IF($E$2:$E$1500=E1216,$K$2:$K$1500)),  VALUE(SUBSTITUTE(SUBSTITUTE(SUBSTITUTE(K1216,"Rs. ",""),"₹",""),",","")))</f>
        <v>80387</v>
      </c>
      <c r="X1216" s="8">
        <f t="shared" si="188"/>
        <v>3</v>
      </c>
      <c r="Y1216" s="7">
        <f t="shared" si="189"/>
        <v>77975</v>
      </c>
      <c r="Z1216" s="9" t="str">
        <f t="shared" si="181"/>
        <v>CHILD</v>
      </c>
    </row>
    <row r="1217" spans="1:26" x14ac:dyDescent="0.3">
      <c r="A1217" s="5" t="s">
        <v>2397</v>
      </c>
      <c r="B1217" s="5" t="s">
        <v>106</v>
      </c>
      <c r="C1217" s="5" t="s">
        <v>307</v>
      </c>
      <c r="D1217" s="5" t="s">
        <v>66</v>
      </c>
      <c r="E1217" s="5" t="s">
        <v>108</v>
      </c>
      <c r="F1217" s="5" t="s">
        <v>109</v>
      </c>
      <c r="G1217" s="5" t="s">
        <v>101</v>
      </c>
      <c r="H1217" s="5">
        <v>62</v>
      </c>
      <c r="I1217" s="5" t="s">
        <v>20</v>
      </c>
      <c r="J1217" s="34" t="s">
        <v>587</v>
      </c>
      <c r="K1217" s="31">
        <v>61044</v>
      </c>
      <c r="L1217" s="5" t="s">
        <v>83</v>
      </c>
      <c r="M1217" s="32">
        <v>0</v>
      </c>
      <c r="N1217" s="6">
        <f t="shared" si="182"/>
        <v>0</v>
      </c>
      <c r="O1217" s="4" t="s">
        <v>109</v>
      </c>
      <c r="P1217" s="5" t="str">
        <f t="shared" si="183"/>
        <v>Kolkata</v>
      </c>
      <c r="Q1217" s="5" t="str">
        <f t="shared" si="184"/>
        <v>Orthopedics</v>
      </c>
      <c r="R1217" s="6" t="str">
        <f t="shared" si="185"/>
        <v>Aiims</v>
      </c>
      <c r="S1217" s="6" t="str">
        <f t="shared" si="186"/>
        <v>Debit Card</v>
      </c>
      <c r="T1217" s="6" t="str">
        <f t="shared" si="187"/>
        <v>Male</v>
      </c>
      <c r="U1217" s="6" t="str">
        <f t="shared" si="190"/>
        <v>ICU</v>
      </c>
      <c r="V1217" s="6" t="str" cm="1">
        <f t="array" ref="V1217">IF(TRIM(S1217)="",INDEX($S$2:$S$1500,MATCH(MAX(COUNTIF($S$2:$S$1500,S1217)),COUNTIF($S$2:$S$1500,$S$2:$S$1500),0)),S1217)</f>
        <v>Debit Card</v>
      </c>
      <c r="W1217" s="7" cm="1">
        <f t="array" ref="W1217">IF(OR(TRIM(K1217)="",TRIM(K1217)="-"), MEDIAN(IF($E$2:$E$1500=E1217,$K$2:$K$1500)),  VALUE(SUBSTITUTE(SUBSTITUTE(SUBSTITUTE(K1217,"Rs. ",""),"₹",""),",","")))</f>
        <v>61044</v>
      </c>
      <c r="X1217" s="8">
        <f t="shared" si="188"/>
        <v>0</v>
      </c>
      <c r="Y1217" s="7">
        <f t="shared" si="189"/>
        <v>61044</v>
      </c>
      <c r="Z1217" s="9" t="str">
        <f t="shared" si="181"/>
        <v>SENIOR</v>
      </c>
    </row>
    <row r="1218" spans="1:26" x14ac:dyDescent="0.3">
      <c r="A1218" s="5" t="s">
        <v>2398</v>
      </c>
      <c r="B1218" s="5" t="s">
        <v>78</v>
      </c>
      <c r="C1218" s="5" t="s">
        <v>203</v>
      </c>
      <c r="D1218" s="5" t="s">
        <v>80</v>
      </c>
      <c r="E1218" s="5" t="s">
        <v>28</v>
      </c>
      <c r="F1218" s="5" t="s">
        <v>29</v>
      </c>
      <c r="G1218" s="5" t="s">
        <v>49</v>
      </c>
      <c r="H1218" s="5">
        <v>46</v>
      </c>
      <c r="I1218" s="5" t="s">
        <v>40</v>
      </c>
      <c r="J1218" s="34" t="s">
        <v>597</v>
      </c>
      <c r="K1218" s="31">
        <v>10974</v>
      </c>
      <c r="L1218" s="5" t="s">
        <v>236</v>
      </c>
      <c r="M1218" s="32">
        <v>0</v>
      </c>
      <c r="N1218" s="6">
        <f t="shared" si="182"/>
        <v>0</v>
      </c>
      <c r="O1218" s="10" t="s">
        <v>29</v>
      </c>
      <c r="P1218" s="5" t="str">
        <f t="shared" si="183"/>
        <v>Ahmedabad</v>
      </c>
      <c r="Q1218" s="5" t="str">
        <f t="shared" si="184"/>
        <v>Oncology</v>
      </c>
      <c r="R1218" s="11" t="str">
        <f t="shared" si="185"/>
        <v>Apollo</v>
      </c>
      <c r="S1218" s="11" t="str">
        <f t="shared" si="186"/>
        <v>Debit Card</v>
      </c>
      <c r="T1218" s="11" t="str">
        <f t="shared" si="187"/>
        <v>Female</v>
      </c>
      <c r="U1218" s="11" t="str">
        <f t="shared" si="190"/>
        <v>General</v>
      </c>
      <c r="V1218" s="11" t="str" cm="1">
        <f t="array" ref="V1218">IF(TRIM(S1218)="",INDEX($S$2:$S$1500,MATCH(MAX(COUNTIF($S$2:$S$1500,S1218)),COUNTIF($S$2:$S$1500,$S$2:$S$1500),0)),S1218)</f>
        <v>Debit Card</v>
      </c>
      <c r="W1218" s="12" cm="1">
        <f t="array" ref="W1218">IF(OR(TRIM(K1218)="",TRIM(K1218)="-"), MEDIAN(IF($E$2:$E$1500=E1218,$K$2:$K$1500)),  VALUE(SUBSTITUTE(SUBSTITUTE(SUBSTITUTE(K1218,"Rs. ",""),"₹",""),",","")))</f>
        <v>10974</v>
      </c>
      <c r="X1218" s="8">
        <f t="shared" si="188"/>
        <v>0</v>
      </c>
      <c r="Y1218" s="12">
        <f t="shared" si="189"/>
        <v>10974</v>
      </c>
      <c r="Z1218" s="13" t="str">
        <f t="shared" si="181"/>
        <v>ADULT</v>
      </c>
    </row>
  </sheetData>
  <conditionalFormatting sqref="U2:V1218">
    <cfRule type="containsText" dxfId="2" priority="2" operator="containsText" text="UNKNOWN">
      <formula>NOT(ISERROR(SEARCH("UNKNOWN",U2)))</formula>
    </cfRule>
    <cfRule type="containsText" dxfId="1" priority="3" operator="containsText" text="GENERAL">
      <formula>NOT(ISERROR(SEARCH("GENERAL",U2)))</formula>
    </cfRule>
    <cfRule type="containsText" dxfId="0" priority="4" operator="containsText" text="ICU">
      <formula>NOT(ISERROR(SEARCH("ICU",U2)))</formula>
    </cfRule>
  </conditionalFormatting>
  <conditionalFormatting sqref="Y2:Y12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{00F35884-114D-4554-BB7B-D2257878923C}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F35884-114D-4554-BB7B-D22578789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Y2:Y1218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16"/>
  <sheetViews>
    <sheetView zoomScale="50" zoomScaleNormal="50" workbookViewId="0">
      <pane ySplit="1" topLeftCell="A1162" activePane="bottomLeft" state="frozen"/>
      <selection pane="bottomLeft" activeCell="Q1" sqref="Q1"/>
    </sheetView>
  </sheetViews>
  <sheetFormatPr defaultRowHeight="14.4" x14ac:dyDescent="0.3"/>
  <cols>
    <col min="1" max="1" width="14" customWidth="1"/>
    <col min="2" max="2" width="10" customWidth="1"/>
    <col min="3" max="3" width="15" customWidth="1"/>
    <col min="4" max="4" width="13" customWidth="1"/>
    <col min="5" max="5" width="16" customWidth="1"/>
    <col min="6" max="6" width="12" customWidth="1"/>
    <col min="7" max="7" width="18" customWidth="1"/>
    <col min="8" max="8" width="20" customWidth="1"/>
    <col min="9" max="9" width="22" customWidth="1"/>
    <col min="10" max="10" width="13" customWidth="1"/>
    <col min="11" max="11" width="16" customWidth="1"/>
    <col min="12" max="14" width="20" customWidth="1"/>
    <col min="15" max="15" width="23.21875" customWidth="1"/>
    <col min="16" max="17" width="23.21875" style="22" customWidth="1"/>
    <col min="18" max="18" width="16.21875" style="2" customWidth="1"/>
    <col min="19" max="19" width="16.21875" customWidth="1"/>
    <col min="20" max="20" width="17.77734375" style="1" customWidth="1"/>
    <col min="21" max="21" width="22.6640625" style="3" customWidth="1"/>
  </cols>
  <sheetData>
    <row r="1" spans="1:21" ht="17.399999999999999" x14ac:dyDescent="0.45">
      <c r="A1" s="36" t="s">
        <v>2399</v>
      </c>
      <c r="B1" s="36" t="s">
        <v>2400</v>
      </c>
      <c r="C1" s="36" t="s">
        <v>2401</v>
      </c>
      <c r="D1" s="36" t="s">
        <v>1</v>
      </c>
      <c r="E1" s="36" t="s">
        <v>2</v>
      </c>
      <c r="F1" s="36" t="s">
        <v>6</v>
      </c>
      <c r="G1" s="36" t="s">
        <v>2402</v>
      </c>
      <c r="H1" s="36" t="s">
        <v>2403</v>
      </c>
      <c r="I1" s="36" t="s">
        <v>2404</v>
      </c>
      <c r="J1" s="36" t="s">
        <v>10</v>
      </c>
      <c r="K1" s="36" t="s">
        <v>11</v>
      </c>
      <c r="L1" s="36" t="s">
        <v>12</v>
      </c>
      <c r="M1" s="36" t="s">
        <v>6610</v>
      </c>
      <c r="N1" s="36"/>
      <c r="O1" s="43" t="s">
        <v>6620</v>
      </c>
      <c r="P1" s="24" t="s">
        <v>6622</v>
      </c>
      <c r="Q1" s="24" t="s">
        <v>6623</v>
      </c>
      <c r="R1" s="25" t="s">
        <v>6611</v>
      </c>
      <c r="S1" s="36" t="s">
        <v>6612</v>
      </c>
      <c r="T1" s="26" t="s">
        <v>6613</v>
      </c>
      <c r="U1" s="27" t="s">
        <v>6621</v>
      </c>
    </row>
    <row r="2" spans="1:21" x14ac:dyDescent="0.3">
      <c r="A2" s="37" t="s">
        <v>2405</v>
      </c>
      <c r="B2" s="37" t="s">
        <v>2406</v>
      </c>
      <c r="C2" s="37" t="s">
        <v>2407</v>
      </c>
      <c r="D2" s="37" t="s">
        <v>45</v>
      </c>
      <c r="E2" s="37" t="s">
        <v>46</v>
      </c>
      <c r="F2" s="37" t="s">
        <v>30</v>
      </c>
      <c r="G2" s="37" t="s">
        <v>2408</v>
      </c>
      <c r="H2" s="37">
        <v>21.65</v>
      </c>
      <c r="I2" s="37">
        <v>47</v>
      </c>
      <c r="J2" s="37">
        <v>17443</v>
      </c>
      <c r="K2" s="37" t="s">
        <v>23</v>
      </c>
      <c r="L2" s="37" t="s">
        <v>130</v>
      </c>
      <c r="M2" s="37" t="str">
        <f>IF(OR(UPPER(TRIM(F2))="GENERAL",UPPER(TRIM(F2))="GENRAL"),"General",IF(UPPER(TRIM(F2))="ICU","ICU","Unknown"))</f>
        <v>General</v>
      </c>
      <c r="N2" s="37" t="str">
        <f t="shared" ref="N2:N65" si="0">IF(OR(UPPER(TRIM(K2))="CREDIT_CARD",UPPER(TRIM(K2))="CREDIT CARD",UPPER(TRIM(K2))="CC"),"Credit Card", IF(OR(UPPER(TRIM(K2))="DEBIT_CARD",UPPER(TRIM(K2))="DEBIT CARD",UPPER(TRIM(K2))="DC"),"Debit Card", IF(UPPER(TRIM(K2))="CASH","Cash", IF(UPPER(TRIM(K2))="UPI","UPI", IF(OR(UPPER(TRIM(K2))="INSURANCE",UPPER(TRIM(K2))="INS"),"Insurance", IF(TRIM(K2)="","Unknown","Unknown"))))))</f>
        <v>Credit Card</v>
      </c>
      <c r="O2" s="37" t="str" cm="1">
        <f t="array" ref="O2">IF(TRIM(N2)="",INDEX($N$2:$N$1500,MATCH(MAX(COUNTIF($N$2:$N$1500,$N$2:$N$1500)),COUNTIF($N$2:$N$1500,$N$2:$N$1500),0)),N2)</f>
        <v>Credit Card</v>
      </c>
      <c r="P2" s="38" cm="1">
        <f t="array" ref="P2">ROUND(IF(TRIM(H2)="",IFERROR(MEDIAN(IF($M$2:$M$1500=M2,$H$2:$H$1500)),MEDIAN($H$2:$H$1500)),H2),2)</f>
        <v>21.65</v>
      </c>
      <c r="Q2" s="38" t="str">
        <f>IF(OR(LOWER(TRIM(G2))="0",LOWER(TRIM(G2))="zero"),"0", IF(OR(LOWER(TRIM(G2))="1",LOWER(TRIM(G2))="one"),"1", IF(OR(LOWER(TRIM(G2))="2",LOWER(TRIM(G2))="two"),"2", IF(OR(LOWER(TRIM(G2))="2+",LOWER(TRIM(G2))="two_or_more",LOWER(TRIM(G2))="multiple"),"2+", "Unknown"))))</f>
        <v>0</v>
      </c>
      <c r="R2" s="39" cm="1">
        <f t="array" ref="R2">IF(OR(TRIM(J2)="",TRIM(J2)="-"),MEDIAN(IF($C$2:$C$1218=C2,$J$2:$J$1218)),VALUE(SUBSTITUTE(SUBSTITUTE(SUBSTITUTE(J2,"Rs. ",""),"₹",""),",","")))</f>
        <v>17443</v>
      </c>
      <c r="S2" s="40">
        <f t="shared" ref="S2:S65" si="1">IF(RIGHT(TRIM(L2),1)="%",VALUE(LEFT(TRIM(L2),LEN(TRIM(L2))-1)),IF(AND(ISNUMBER(L2),L2&lt;=1,,L2&gt;0),L2*100,L2))</f>
        <v>0</v>
      </c>
      <c r="T2" s="41">
        <f>ROUND(IF(OR(TRIM(S2)="-",UPPER(TRIM(S2))="N/A",UPPER(TRIM(S2))="NA"),IFERROR(AVERAGEIF($O$2:$O$1500,O2,$S$2:$S$1500),AVERAGE($S$2:$S$1500)),S2),0)</f>
        <v>0</v>
      </c>
      <c r="U2" s="42">
        <f>ROUND(R2*(1-T2/100),0)</f>
        <v>17443</v>
      </c>
    </row>
    <row r="3" spans="1:21" x14ac:dyDescent="0.3">
      <c r="A3" s="37" t="s">
        <v>2409</v>
      </c>
      <c r="B3" s="37" t="s">
        <v>2410</v>
      </c>
      <c r="C3" s="37" t="s">
        <v>2411</v>
      </c>
      <c r="D3" s="37" t="s">
        <v>78</v>
      </c>
      <c r="E3" s="37" t="s">
        <v>161</v>
      </c>
      <c r="F3" s="37" t="s">
        <v>39</v>
      </c>
      <c r="G3" s="37" t="s">
        <v>2412</v>
      </c>
      <c r="H3" s="37">
        <v>11.51</v>
      </c>
      <c r="I3" s="37">
        <v>12</v>
      </c>
      <c r="J3" s="37">
        <v>19354</v>
      </c>
      <c r="K3" s="37" t="s">
        <v>97</v>
      </c>
      <c r="L3" s="37">
        <v>10</v>
      </c>
      <c r="M3" s="37" t="str">
        <f t="shared" ref="M3:M66" si="2">IF(OR(UPPER(TRIM(F3))="GENERAL",UPPER(TRIM(F3))="GENRAL"),"General",IF(UPPER(TRIM(F3))="ICU","ICU","Unknown"))</f>
        <v>General</v>
      </c>
      <c r="N3" s="37" t="str">
        <f t="shared" si="0"/>
        <v>UPI</v>
      </c>
      <c r="O3" s="37" t="str" cm="1">
        <f t="array" ref="O3">IF(TRIM(N3)="",INDEX($N$2:$N$1500,MATCH(MAX(COUNTIF($N$2:$N$1500,$N$2:$N$1500)),COUNTIF($N$2:$N$1500,$N$2:$N$1500),0)),N3)</f>
        <v>UPI</v>
      </c>
      <c r="P3" s="38" cm="1">
        <f t="array" ref="P3">ROUND(IF(TRIM(H3)="",IFERROR(MEDIAN(IF($M$2:$M$1500=M3,$H$2:$H$1500)),MEDIAN($H$2:$H$1500)),H3),2)</f>
        <v>11.51</v>
      </c>
      <c r="Q3" s="38" t="str">
        <f t="shared" ref="Q3:Q66" si="3">IF(OR(LOWER(TRIM(G3))="0",LOWER(TRIM(G3))="zero"),"0", IF(OR(LOWER(TRIM(G3))="1",LOWER(TRIM(G3))="one"),"1", IF(OR(LOWER(TRIM(G3))="2",LOWER(TRIM(G3))="two"),"2", IF(OR(LOWER(TRIM(G3))="2+",LOWER(TRIM(G3))="two_or_more",LOWER(TRIM(G3))="multiple"),"2+", "Unknown"))))</f>
        <v>1</v>
      </c>
      <c r="R3" s="39" cm="1">
        <f t="array" ref="R3">IF(OR(TRIM(J3)="",TRIM(J3)="-"),MEDIAN(IF($C$2:$C$1218=C3,$J$2:$J$1218)),VALUE(SUBSTITUTE(SUBSTITUTE(SUBSTITUTE(J3,"Rs. ",""),"₹",""),",","")))</f>
        <v>19354</v>
      </c>
      <c r="S3" s="40">
        <f t="shared" si="1"/>
        <v>10</v>
      </c>
      <c r="T3" s="41">
        <f t="shared" ref="T3:T66" si="4">ROUND(IF(OR(TRIM(S3)="-",UPPER(TRIM(S3))="N/A",UPPER(TRIM(S3))="NA"),IFERROR(AVERAGEIF($O$2:$O$1500,O3,$S$2:$S$1500),AVERAGE($S$2:$S$1500)),S3),0)</f>
        <v>10</v>
      </c>
      <c r="U3" s="42">
        <f t="shared" ref="U3:U66" si="5">ROUND(R3*(1-T3/100),0)</f>
        <v>17419</v>
      </c>
    </row>
    <row r="4" spans="1:21" x14ac:dyDescent="0.3">
      <c r="A4" s="37" t="s">
        <v>2413</v>
      </c>
      <c r="B4" s="37" t="s">
        <v>2414</v>
      </c>
      <c r="C4" s="37" t="s">
        <v>2415</v>
      </c>
      <c r="D4" s="37" t="s">
        <v>14</v>
      </c>
      <c r="E4" s="37" t="s">
        <v>60</v>
      </c>
      <c r="F4" s="37" t="s">
        <v>49</v>
      </c>
      <c r="G4" s="37" t="s">
        <v>2408</v>
      </c>
      <c r="H4" s="37">
        <v>4.8899999999999997</v>
      </c>
      <c r="I4" s="37">
        <v>25</v>
      </c>
      <c r="J4" s="37">
        <v>15536</v>
      </c>
      <c r="K4" s="37" t="s">
        <v>58</v>
      </c>
      <c r="L4" s="37">
        <v>5</v>
      </c>
      <c r="M4" s="37" t="str">
        <f t="shared" si="2"/>
        <v>General</v>
      </c>
      <c r="N4" s="37" t="str">
        <f t="shared" si="0"/>
        <v>UPI</v>
      </c>
      <c r="O4" s="37" t="str" cm="1">
        <f t="array" ref="O4">IF(TRIM(N4)="",INDEX($N$2:$N$1500,MATCH(MAX(COUNTIF($N$2:$N$1500,$N$2:$N$1500)),COUNTIF($N$2:$N$1500,$N$2:$N$1500),0)),N4)</f>
        <v>UPI</v>
      </c>
      <c r="P4" s="38" cm="1">
        <f t="array" ref="P4">ROUND(IF(TRIM(H4)="",IFERROR(MEDIAN(IF($M$2:$M$1500=M4,$H$2:$H$1500)),MEDIAN($H$2:$H$1500)),H4),2)</f>
        <v>4.8899999999999997</v>
      </c>
      <c r="Q4" s="38" t="str">
        <f t="shared" si="3"/>
        <v>0</v>
      </c>
      <c r="R4" s="39" cm="1">
        <f t="array" ref="R4">IF(OR(TRIM(J4)="",TRIM(J4)="-"),MEDIAN(IF($C$2:$C$1218=C4,$J$2:$J$1218)),VALUE(SUBSTITUTE(SUBSTITUTE(SUBSTITUTE(J4,"Rs. ",""),"₹",""),",","")))</f>
        <v>15536</v>
      </c>
      <c r="S4" s="40">
        <f t="shared" si="1"/>
        <v>5</v>
      </c>
      <c r="T4" s="41">
        <f t="shared" si="4"/>
        <v>5</v>
      </c>
      <c r="U4" s="42">
        <f t="shared" si="5"/>
        <v>14759</v>
      </c>
    </row>
    <row r="5" spans="1:21" x14ac:dyDescent="0.3">
      <c r="A5" s="37" t="s">
        <v>2416</v>
      </c>
      <c r="B5" s="37" t="s">
        <v>2417</v>
      </c>
      <c r="C5" s="37" t="s">
        <v>2415</v>
      </c>
      <c r="D5" s="37" t="s">
        <v>117</v>
      </c>
      <c r="E5" s="37" t="s">
        <v>182</v>
      </c>
      <c r="F5" s="37" t="s">
        <v>49</v>
      </c>
      <c r="G5" s="37" t="s">
        <v>2418</v>
      </c>
      <c r="H5" s="37">
        <v>23.45</v>
      </c>
      <c r="I5" s="37">
        <v>34</v>
      </c>
      <c r="J5" s="37" t="s">
        <v>2419</v>
      </c>
      <c r="K5" s="37" t="s">
        <v>104</v>
      </c>
      <c r="L5" s="37" t="s">
        <v>76</v>
      </c>
      <c r="M5" s="37" t="str">
        <f t="shared" si="2"/>
        <v>General</v>
      </c>
      <c r="N5" s="37" t="str">
        <f t="shared" si="0"/>
        <v>Insurance</v>
      </c>
      <c r="O5" s="37" t="str" cm="1">
        <f t="array" ref="O5">IF(TRIM(N5)="",INDEX($N$2:$N$1500,MATCH(MAX(COUNTIF($N$2:$N$1500,$N$2:$N$1500)),COUNTIF($N$2:$N$1500,$N$2:$N$1500),0)),N5)</f>
        <v>Insurance</v>
      </c>
      <c r="P5" s="38" cm="1">
        <f t="array" ref="P5">ROUND(IF(TRIM(H5)="",IFERROR(MEDIAN(IF($M$2:$M$1500=M5,$H$2:$H$1500)),MEDIAN($H$2:$H$1500)),H5),2)</f>
        <v>23.45</v>
      </c>
      <c r="Q5" s="38" t="str">
        <f t="shared" si="3"/>
        <v>1</v>
      </c>
      <c r="R5" s="39" cm="1">
        <f t="array" ref="R5">IF(OR(TRIM(J5)="",TRIM(J5)="-"),MEDIAN(IF($C$2:$C$1218=C5,$J$2:$J$1218)),VALUE(SUBSTITUTE(SUBSTITUTE(SUBSTITUTE(J5,"Rs. ",""),"₹",""),",","")))</f>
        <v>13558</v>
      </c>
      <c r="S5" s="40">
        <f t="shared" si="1"/>
        <v>10</v>
      </c>
      <c r="T5" s="41">
        <f t="shared" si="4"/>
        <v>10</v>
      </c>
      <c r="U5" s="42">
        <f t="shared" si="5"/>
        <v>12202</v>
      </c>
    </row>
    <row r="6" spans="1:21" x14ac:dyDescent="0.3">
      <c r="A6" s="37" t="s">
        <v>2420</v>
      </c>
      <c r="B6" s="37" t="s">
        <v>2421</v>
      </c>
      <c r="C6" s="37" t="s">
        <v>2422</v>
      </c>
      <c r="D6" s="37" t="s">
        <v>14</v>
      </c>
      <c r="E6" s="37" t="s">
        <v>60</v>
      </c>
      <c r="F6" s="37" t="s">
        <v>30</v>
      </c>
      <c r="G6" s="37" t="s">
        <v>2423</v>
      </c>
      <c r="H6" s="37">
        <v>22.66</v>
      </c>
      <c r="I6" s="37">
        <v>60</v>
      </c>
      <c r="J6" s="37" t="s">
        <v>2424</v>
      </c>
      <c r="K6" s="37" t="s">
        <v>72</v>
      </c>
      <c r="L6" s="37" t="s">
        <v>130</v>
      </c>
      <c r="M6" s="37" t="str">
        <f t="shared" si="2"/>
        <v>General</v>
      </c>
      <c r="N6" s="37" t="str">
        <f t="shared" si="0"/>
        <v>Cash</v>
      </c>
      <c r="O6" s="37" t="str" cm="1">
        <f t="array" ref="O6">IF(TRIM(N6)="",INDEX($N$2:$N$1500,MATCH(MAX(COUNTIF($N$2:$N$1500,$N$2:$N$1500)),COUNTIF($N$2:$N$1500,$N$2:$N$1500),0)),N6)</f>
        <v>Cash</v>
      </c>
      <c r="P6" s="38" cm="1">
        <f t="array" ref="P6">ROUND(IF(TRIM(H6)="",IFERROR(MEDIAN(IF($M$2:$M$1500=M6,$H$2:$H$1500)),MEDIAN($H$2:$H$1500)),H6),2)</f>
        <v>22.66</v>
      </c>
      <c r="Q6" s="38" t="str">
        <f t="shared" si="3"/>
        <v>0</v>
      </c>
      <c r="R6" s="39" cm="1">
        <f t="array" ref="R6">IF(OR(TRIM(J6)="",TRIM(J6)="-"),MEDIAN(IF($C$2:$C$1218=C6,$J$2:$J$1218)),VALUE(SUBSTITUTE(SUBSTITUTE(SUBSTITUTE(J6,"Rs. ",""),"₹",""),",","")))</f>
        <v>19415</v>
      </c>
      <c r="S6" s="40">
        <f t="shared" si="1"/>
        <v>0</v>
      </c>
      <c r="T6" s="41">
        <f t="shared" si="4"/>
        <v>0</v>
      </c>
      <c r="U6" s="42">
        <f t="shared" si="5"/>
        <v>19415</v>
      </c>
    </row>
    <row r="7" spans="1:21" x14ac:dyDescent="0.3">
      <c r="A7" s="37" t="s">
        <v>2425</v>
      </c>
      <c r="B7" s="37" t="s">
        <v>2426</v>
      </c>
      <c r="C7" s="37" t="s">
        <v>2427</v>
      </c>
      <c r="D7" s="37" t="s">
        <v>25</v>
      </c>
      <c r="E7" s="37" t="s">
        <v>54</v>
      </c>
      <c r="F7" s="37" t="s">
        <v>49</v>
      </c>
      <c r="G7" s="37" t="s">
        <v>2428</v>
      </c>
      <c r="H7" s="37">
        <v>2.33</v>
      </c>
      <c r="I7" s="37">
        <v>46</v>
      </c>
      <c r="J7" s="37">
        <v>17661</v>
      </c>
      <c r="K7" s="37" t="s">
        <v>91</v>
      </c>
      <c r="L7" s="37">
        <v>5</v>
      </c>
      <c r="M7" s="37" t="str">
        <f t="shared" si="2"/>
        <v>General</v>
      </c>
      <c r="N7" s="37" t="str">
        <f t="shared" si="0"/>
        <v>Debit Card</v>
      </c>
      <c r="O7" s="37" t="str" cm="1">
        <f t="array" ref="O7">IF(TRIM(N7)="",INDEX($N$2:$N$1500,MATCH(MAX(COUNTIF($N$2:$N$1500,$N$2:$N$1500)),COUNTIF($N$2:$N$1500,$N$2:$N$1500),0)),N7)</f>
        <v>Debit Card</v>
      </c>
      <c r="P7" s="38" cm="1">
        <f t="array" ref="P7">ROUND(IF(TRIM(H7)="",IFERROR(MEDIAN(IF($M$2:$M$1500=M7,$H$2:$H$1500)),MEDIAN($H$2:$H$1500)),H7),2)</f>
        <v>2.33</v>
      </c>
      <c r="Q7" s="38" t="str">
        <f t="shared" si="3"/>
        <v>2</v>
      </c>
      <c r="R7" s="39" cm="1">
        <f t="array" ref="R7">IF(OR(TRIM(J7)="",TRIM(J7)="-"),MEDIAN(IF($C$2:$C$1218=C7,$J$2:$J$1218)),VALUE(SUBSTITUTE(SUBSTITUTE(SUBSTITUTE(J7,"Rs. ",""),"₹",""),",","")))</f>
        <v>17661</v>
      </c>
      <c r="S7" s="40">
        <f t="shared" si="1"/>
        <v>5</v>
      </c>
      <c r="T7" s="41">
        <f t="shared" si="4"/>
        <v>5</v>
      </c>
      <c r="U7" s="42">
        <f t="shared" si="5"/>
        <v>16778</v>
      </c>
    </row>
    <row r="8" spans="1:21" x14ac:dyDescent="0.3">
      <c r="A8" s="37" t="s">
        <v>2429</v>
      </c>
      <c r="B8" s="37" t="s">
        <v>2430</v>
      </c>
      <c r="C8" s="37" t="s">
        <v>2431</v>
      </c>
      <c r="D8" s="37" t="s">
        <v>106</v>
      </c>
      <c r="E8" s="37" t="s">
        <v>107</v>
      </c>
      <c r="F8" s="37" t="s">
        <v>62</v>
      </c>
      <c r="G8" s="37" t="s">
        <v>2423</v>
      </c>
      <c r="H8" s="37">
        <v>17.02</v>
      </c>
      <c r="I8" s="37">
        <v>10</v>
      </c>
      <c r="J8" s="37">
        <v>49048</v>
      </c>
      <c r="K8" s="37" t="s">
        <v>83</v>
      </c>
      <c r="L8" s="37" t="s">
        <v>64</v>
      </c>
      <c r="M8" s="37" t="str">
        <f t="shared" si="2"/>
        <v>ICU</v>
      </c>
      <c r="N8" s="37" t="str">
        <f t="shared" si="0"/>
        <v>Debit Card</v>
      </c>
      <c r="O8" s="37" t="str" cm="1">
        <f t="array" ref="O8">IF(TRIM(N8)="",INDEX($N$2:$N$1500,MATCH(MAX(COUNTIF($N$2:$N$1500,$N$2:$N$1500)),COUNTIF($N$2:$N$1500,$N$2:$N$1500),0)),N8)</f>
        <v>Debit Card</v>
      </c>
      <c r="P8" s="38" cm="1">
        <f t="array" ref="P8">ROUND(IF(TRIM(H8)="",IFERROR(MEDIAN(IF($M$2:$M$1500=M8,$H$2:$H$1500)),MEDIAN($H$2:$H$1500)),H8),2)</f>
        <v>17.02</v>
      </c>
      <c r="Q8" s="38" t="str">
        <f t="shared" si="3"/>
        <v>0</v>
      </c>
      <c r="R8" s="39" cm="1">
        <f t="array" ref="R8">IF(OR(TRIM(J8)="",TRIM(J8)="-"),MEDIAN(IF($C$2:$C$1218=C8,$J$2:$J$1218)),VALUE(SUBSTITUTE(SUBSTITUTE(SUBSTITUTE(J8,"Rs. ",""),"₹",""),",","")))</f>
        <v>49048</v>
      </c>
      <c r="S8" s="40" t="str">
        <f t="shared" si="1"/>
        <v>NA</v>
      </c>
      <c r="T8" s="41">
        <f t="shared" si="4"/>
        <v>3</v>
      </c>
      <c r="U8" s="42">
        <f t="shared" si="5"/>
        <v>47577</v>
      </c>
    </row>
    <row r="9" spans="1:21" x14ac:dyDescent="0.3">
      <c r="A9" s="37" t="s">
        <v>2432</v>
      </c>
      <c r="B9" s="37" t="s">
        <v>2433</v>
      </c>
      <c r="C9" s="37" t="s">
        <v>2434</v>
      </c>
      <c r="D9" s="37" t="s">
        <v>117</v>
      </c>
      <c r="E9" s="37" t="s">
        <v>182</v>
      </c>
      <c r="F9" s="37" t="s">
        <v>30</v>
      </c>
      <c r="G9" s="37" t="s">
        <v>2435</v>
      </c>
      <c r="H9" s="37">
        <v>17.55</v>
      </c>
      <c r="I9" s="37">
        <v>33</v>
      </c>
      <c r="J9" s="37">
        <v>19600</v>
      </c>
      <c r="K9" s="37"/>
      <c r="L9" s="37" t="s">
        <v>130</v>
      </c>
      <c r="M9" s="37" t="str">
        <f t="shared" si="2"/>
        <v>General</v>
      </c>
      <c r="N9" s="37" t="str">
        <f t="shared" si="0"/>
        <v>Unknown</v>
      </c>
      <c r="O9" s="37" t="str" cm="1">
        <f t="array" ref="O9">IF(TRIM(N9)="",INDEX($N$2:$N$1500,MATCH(MAX(COUNTIF($N$2:$N$1500,$N$2:$N$1500)),COUNTIF($N$2:$N$1500,$N$2:$N$1500),0)),N9)</f>
        <v>Unknown</v>
      </c>
      <c r="P9" s="38" cm="1">
        <f t="array" ref="P9">ROUND(IF(TRIM(H9)="",IFERROR(MEDIAN(IF($M$2:$M$1500=M9,$H$2:$H$1500)),MEDIAN($H$2:$H$1500)),H9),2)</f>
        <v>17.55</v>
      </c>
      <c r="Q9" s="38" t="str">
        <f t="shared" si="3"/>
        <v>0</v>
      </c>
      <c r="R9" s="39" cm="1">
        <f t="array" ref="R9">IF(OR(TRIM(J9)="",TRIM(J9)="-"),MEDIAN(IF($C$2:$C$1218=C9,$J$2:$J$1218)),VALUE(SUBSTITUTE(SUBSTITUTE(SUBSTITUTE(J9,"Rs. ",""),"₹",""),",","")))</f>
        <v>19600</v>
      </c>
      <c r="S9" s="40">
        <f t="shared" si="1"/>
        <v>0</v>
      </c>
      <c r="T9" s="41">
        <f t="shared" si="4"/>
        <v>0</v>
      </c>
      <c r="U9" s="42">
        <f t="shared" si="5"/>
        <v>19600</v>
      </c>
    </row>
    <row r="10" spans="1:21" x14ac:dyDescent="0.3">
      <c r="A10" s="37" t="s">
        <v>2436</v>
      </c>
      <c r="B10" s="37" t="s">
        <v>2437</v>
      </c>
      <c r="C10" s="37" t="s">
        <v>2438</v>
      </c>
      <c r="D10" s="37" t="s">
        <v>78</v>
      </c>
      <c r="E10" s="37" t="s">
        <v>161</v>
      </c>
      <c r="F10" s="37" t="s">
        <v>30</v>
      </c>
      <c r="G10" s="37" t="s">
        <v>2439</v>
      </c>
      <c r="H10" s="37"/>
      <c r="I10" s="37">
        <v>59</v>
      </c>
      <c r="J10" s="37">
        <v>6154</v>
      </c>
      <c r="K10" s="37" t="s">
        <v>34</v>
      </c>
      <c r="L10" s="37">
        <v>0.1</v>
      </c>
      <c r="M10" s="37" t="str">
        <f t="shared" si="2"/>
        <v>General</v>
      </c>
      <c r="N10" s="37" t="str">
        <f t="shared" si="0"/>
        <v>Cash</v>
      </c>
      <c r="O10" s="37" t="str" cm="1">
        <f t="array" ref="O10">IF(TRIM(N10)="",INDEX($N$2:$N$1500,MATCH(MAX(COUNTIF($N$2:$N$1500,$N$2:$N$1500)),COUNTIF($N$2:$N$1500,$N$2:$N$1500),0)),N10)</f>
        <v>Cash</v>
      </c>
      <c r="P10" s="38" cm="1">
        <f t="array" ref="P10">ROUND(IF(TRIM(H10)="",IFERROR(MEDIAN(IF($M$2:$M$1500=M10,$H$2:$H$1500)),MEDIAN($H$2:$H$1500)),H10),2)</f>
        <v>12.02</v>
      </c>
      <c r="Q10" s="38" t="str">
        <f t="shared" si="3"/>
        <v>2</v>
      </c>
      <c r="R10" s="39" cm="1">
        <f t="array" ref="R10">IF(OR(TRIM(J10)="",TRIM(J10)="-"),MEDIAN(IF($C$2:$C$1218=C10,$J$2:$J$1218)),VALUE(SUBSTITUTE(SUBSTITUTE(SUBSTITUTE(J10,"Rs. ",""),"₹",""),",","")))</f>
        <v>6154</v>
      </c>
      <c r="S10" s="40">
        <f t="shared" si="1"/>
        <v>0.1</v>
      </c>
      <c r="T10" s="41">
        <f t="shared" si="4"/>
        <v>0</v>
      </c>
      <c r="U10" s="42">
        <f t="shared" si="5"/>
        <v>6154</v>
      </c>
    </row>
    <row r="11" spans="1:21" x14ac:dyDescent="0.3">
      <c r="A11" s="37" t="s">
        <v>2440</v>
      </c>
      <c r="B11" s="37" t="s">
        <v>2441</v>
      </c>
      <c r="C11" s="37" t="s">
        <v>2411</v>
      </c>
      <c r="D11" s="37" t="s">
        <v>78</v>
      </c>
      <c r="E11" s="37" t="s">
        <v>79</v>
      </c>
      <c r="F11" s="37" t="s">
        <v>30</v>
      </c>
      <c r="G11" s="37" t="s">
        <v>2435</v>
      </c>
      <c r="H11" s="37">
        <v>24.23</v>
      </c>
      <c r="I11" s="37">
        <v>20</v>
      </c>
      <c r="J11" s="37" t="s">
        <v>2442</v>
      </c>
      <c r="K11" s="37" t="s">
        <v>311</v>
      </c>
      <c r="L11" s="37">
        <v>0</v>
      </c>
      <c r="M11" s="37" t="str">
        <f t="shared" si="2"/>
        <v>General</v>
      </c>
      <c r="N11" s="37" t="str">
        <f t="shared" si="0"/>
        <v>UPI</v>
      </c>
      <c r="O11" s="37" t="str" cm="1">
        <f t="array" ref="O11">IF(TRIM(N11)="",INDEX($N$2:$N$1500,MATCH(MAX(COUNTIF($N$2:$N$1500,$N$2:$N$1500)),COUNTIF($N$2:$N$1500,$N$2:$N$1500),0)),N11)</f>
        <v>UPI</v>
      </c>
      <c r="P11" s="38" cm="1">
        <f t="array" ref="P11">ROUND(IF(TRIM(H11)="",IFERROR(MEDIAN(IF($M$2:$M$1500=M11,$H$2:$H$1500)),MEDIAN($H$2:$H$1500)),H11),2)</f>
        <v>24.23</v>
      </c>
      <c r="Q11" s="38" t="str">
        <f t="shared" si="3"/>
        <v>0</v>
      </c>
      <c r="R11" s="39" cm="1">
        <f t="array" ref="R11">IF(OR(TRIM(J11)="",TRIM(J11)="-"),MEDIAN(IF($C$2:$C$1218=C11,$J$2:$J$1218)),VALUE(SUBSTITUTE(SUBSTITUTE(SUBSTITUTE(J11,"Rs. ",""),"₹",""),",","")))</f>
        <v>9653</v>
      </c>
      <c r="S11" s="40">
        <f t="shared" si="1"/>
        <v>0</v>
      </c>
      <c r="T11" s="41">
        <f t="shared" si="4"/>
        <v>0</v>
      </c>
      <c r="U11" s="42">
        <f t="shared" si="5"/>
        <v>9653</v>
      </c>
    </row>
    <row r="12" spans="1:21" x14ac:dyDescent="0.3">
      <c r="A12" s="37" t="s">
        <v>2443</v>
      </c>
      <c r="B12" s="37" t="s">
        <v>2444</v>
      </c>
      <c r="C12" s="37" t="s">
        <v>2445</v>
      </c>
      <c r="D12" s="37" t="s">
        <v>78</v>
      </c>
      <c r="E12" s="37" t="s">
        <v>203</v>
      </c>
      <c r="F12" s="37" t="s">
        <v>39</v>
      </c>
      <c r="G12" s="37" t="s">
        <v>2435</v>
      </c>
      <c r="H12" s="37">
        <v>14.58</v>
      </c>
      <c r="I12" s="37">
        <v>34</v>
      </c>
      <c r="J12" s="37" t="s">
        <v>2446</v>
      </c>
      <c r="K12" s="37" t="s">
        <v>34</v>
      </c>
      <c r="L12" s="37">
        <v>0.05</v>
      </c>
      <c r="M12" s="37" t="str">
        <f t="shared" si="2"/>
        <v>General</v>
      </c>
      <c r="N12" s="37" t="str">
        <f t="shared" si="0"/>
        <v>Cash</v>
      </c>
      <c r="O12" s="37" t="str" cm="1">
        <f t="array" ref="O12">IF(TRIM(N12)="",INDEX($N$2:$N$1500,MATCH(MAX(COUNTIF($N$2:$N$1500,$N$2:$N$1500)),COUNTIF($N$2:$N$1500,$N$2:$N$1500),0)),N12)</f>
        <v>Cash</v>
      </c>
      <c r="P12" s="38" cm="1">
        <f t="array" ref="P12">ROUND(IF(TRIM(H12)="",IFERROR(MEDIAN(IF($M$2:$M$1500=M12,$H$2:$H$1500)),MEDIAN($H$2:$H$1500)),H12),2)</f>
        <v>14.58</v>
      </c>
      <c r="Q12" s="38" t="str">
        <f t="shared" si="3"/>
        <v>0</v>
      </c>
      <c r="R12" s="39" cm="1">
        <f t="array" ref="R12">IF(OR(TRIM(J12)="",TRIM(J12)="-"),MEDIAN(IF($C$2:$C$1218=C12,$J$2:$J$1218)),VALUE(SUBSTITUTE(SUBSTITUTE(SUBSTITUTE(J12,"Rs. ",""),"₹",""),",","")))</f>
        <v>15387</v>
      </c>
      <c r="S12" s="40">
        <f t="shared" si="1"/>
        <v>0.05</v>
      </c>
      <c r="T12" s="41">
        <f t="shared" si="4"/>
        <v>0</v>
      </c>
      <c r="U12" s="42">
        <f t="shared" si="5"/>
        <v>15387</v>
      </c>
    </row>
    <row r="13" spans="1:21" x14ac:dyDescent="0.3">
      <c r="A13" s="37" t="s">
        <v>2447</v>
      </c>
      <c r="B13" s="37" t="s">
        <v>2448</v>
      </c>
      <c r="C13" s="37" t="s">
        <v>2449</v>
      </c>
      <c r="D13" s="37" t="s">
        <v>78</v>
      </c>
      <c r="E13" s="37" t="s">
        <v>203</v>
      </c>
      <c r="F13" s="37" t="s">
        <v>30</v>
      </c>
      <c r="G13" s="37" t="s">
        <v>2450</v>
      </c>
      <c r="H13" s="37">
        <v>19.45</v>
      </c>
      <c r="I13" s="37">
        <v>6</v>
      </c>
      <c r="J13" s="37" t="s">
        <v>2451</v>
      </c>
      <c r="K13" s="37" t="s">
        <v>104</v>
      </c>
      <c r="L13" s="37">
        <v>0.2</v>
      </c>
      <c r="M13" s="37" t="str">
        <f t="shared" si="2"/>
        <v>General</v>
      </c>
      <c r="N13" s="37" t="str">
        <f t="shared" si="0"/>
        <v>Insurance</v>
      </c>
      <c r="O13" s="37" t="str" cm="1">
        <f t="array" ref="O13">IF(TRIM(N13)="",INDEX($N$2:$N$1500,MATCH(MAX(COUNTIF($N$2:$N$1500,$N$2:$N$1500)),COUNTIF($N$2:$N$1500,$N$2:$N$1500),0)),N13)</f>
        <v>Insurance</v>
      </c>
      <c r="P13" s="38" cm="1">
        <f t="array" ref="P13">ROUND(IF(TRIM(H13)="",IFERROR(MEDIAN(IF($M$2:$M$1500=M13,$H$2:$H$1500)),MEDIAN($H$2:$H$1500)),H13),2)</f>
        <v>19.45</v>
      </c>
      <c r="Q13" s="38" t="str">
        <f t="shared" si="3"/>
        <v>1</v>
      </c>
      <c r="R13" s="39" cm="1">
        <f t="array" ref="R13">IF(OR(TRIM(J13)="",TRIM(J13)="-"),MEDIAN(IF($C$2:$C$1218=C13,$J$2:$J$1218)),VALUE(SUBSTITUTE(SUBSTITUTE(SUBSTITUTE(J13,"Rs. ",""),"₹",""),",","")))</f>
        <v>17332</v>
      </c>
      <c r="S13" s="40">
        <f t="shared" si="1"/>
        <v>0.2</v>
      </c>
      <c r="T13" s="41">
        <f t="shared" si="4"/>
        <v>0</v>
      </c>
      <c r="U13" s="42">
        <f t="shared" si="5"/>
        <v>17332</v>
      </c>
    </row>
    <row r="14" spans="1:21" x14ac:dyDescent="0.3">
      <c r="A14" s="37" t="s">
        <v>2452</v>
      </c>
      <c r="B14" s="37" t="s">
        <v>2453</v>
      </c>
      <c r="C14" s="37" t="s">
        <v>2454</v>
      </c>
      <c r="D14" s="37" t="s">
        <v>14</v>
      </c>
      <c r="E14" s="37" t="s">
        <v>60</v>
      </c>
      <c r="F14" s="37" t="s">
        <v>62</v>
      </c>
      <c r="G14" s="37" t="s">
        <v>2455</v>
      </c>
      <c r="H14" s="37">
        <v>16.96</v>
      </c>
      <c r="I14" s="37">
        <v>36</v>
      </c>
      <c r="J14" s="37" t="s">
        <v>2456</v>
      </c>
      <c r="K14" s="37" t="s">
        <v>52</v>
      </c>
      <c r="L14" s="37">
        <v>0</v>
      </c>
      <c r="M14" s="37" t="str">
        <f t="shared" si="2"/>
        <v>ICU</v>
      </c>
      <c r="N14" s="37" t="str">
        <f t="shared" si="0"/>
        <v>Credit Card</v>
      </c>
      <c r="O14" s="37" t="str" cm="1">
        <f t="array" ref="O14">IF(TRIM(N14)="",INDEX($N$2:$N$1500,MATCH(MAX(COUNTIF($N$2:$N$1500,$N$2:$N$1500)),COUNTIF($N$2:$N$1500,$N$2:$N$1500),0)),N14)</f>
        <v>Credit Card</v>
      </c>
      <c r="P14" s="38" cm="1">
        <f t="array" ref="P14">ROUND(IF(TRIM(H14)="",IFERROR(MEDIAN(IF($M$2:$M$1500=M14,$H$2:$H$1500)),MEDIAN($H$2:$H$1500)),H14),2)</f>
        <v>16.96</v>
      </c>
      <c r="Q14" s="38" t="str">
        <f t="shared" si="3"/>
        <v>1</v>
      </c>
      <c r="R14" s="39" cm="1">
        <f t="array" ref="R14">IF(OR(TRIM(J14)="",TRIM(J14)="-"),MEDIAN(IF($C$2:$C$1218=C14,$J$2:$J$1218)),VALUE(SUBSTITUTE(SUBSTITUTE(SUBSTITUTE(J14,"Rs. ",""),"₹",""),",","")))</f>
        <v>44968</v>
      </c>
      <c r="S14" s="40">
        <f t="shared" si="1"/>
        <v>0</v>
      </c>
      <c r="T14" s="41">
        <f t="shared" si="4"/>
        <v>0</v>
      </c>
      <c r="U14" s="42">
        <f t="shared" si="5"/>
        <v>44968</v>
      </c>
    </row>
    <row r="15" spans="1:21" x14ac:dyDescent="0.3">
      <c r="A15" s="37" t="s">
        <v>2457</v>
      </c>
      <c r="B15" s="37" t="s">
        <v>2458</v>
      </c>
      <c r="C15" s="37" t="s">
        <v>2459</v>
      </c>
      <c r="D15" s="37" t="s">
        <v>106</v>
      </c>
      <c r="E15" s="37" t="s">
        <v>107</v>
      </c>
      <c r="F15" s="37" t="s">
        <v>101</v>
      </c>
      <c r="G15" s="37" t="s">
        <v>2423</v>
      </c>
      <c r="H15" s="37">
        <v>0.77</v>
      </c>
      <c r="I15" s="37" t="s">
        <v>140</v>
      </c>
      <c r="J15" s="37" t="s">
        <v>2460</v>
      </c>
      <c r="K15" s="37" t="s">
        <v>34</v>
      </c>
      <c r="L15" s="37">
        <v>0</v>
      </c>
      <c r="M15" s="37" t="str">
        <f t="shared" si="2"/>
        <v>ICU</v>
      </c>
      <c r="N15" s="37" t="str">
        <f t="shared" si="0"/>
        <v>Cash</v>
      </c>
      <c r="O15" s="37" t="str" cm="1">
        <f t="array" ref="O15">IF(TRIM(N15)="",INDEX($N$2:$N$1500,MATCH(MAX(COUNTIF($N$2:$N$1500,$N$2:$N$1500)),COUNTIF($N$2:$N$1500,$N$2:$N$1500),0)),N15)</f>
        <v>Cash</v>
      </c>
      <c r="P15" s="38" cm="1">
        <f t="array" ref="P15">ROUND(IF(TRIM(H15)="",IFERROR(MEDIAN(IF($M$2:$M$1500=M15,$H$2:$H$1500)),MEDIAN($H$2:$H$1500)),H15),2)</f>
        <v>0.77</v>
      </c>
      <c r="Q15" s="38" t="str">
        <f t="shared" si="3"/>
        <v>0</v>
      </c>
      <c r="R15" s="39" cm="1">
        <f t="array" ref="R15">IF(OR(TRIM(J15)="",TRIM(J15)="-"),MEDIAN(IF($C$2:$C$1218=C15,$J$2:$J$1218)),VALUE(SUBSTITUTE(SUBSTITUTE(SUBSTITUTE(J15,"Rs. ",""),"₹",""),",","")))</f>
        <v>86232</v>
      </c>
      <c r="S15" s="40">
        <f t="shared" si="1"/>
        <v>0</v>
      </c>
      <c r="T15" s="41">
        <f t="shared" si="4"/>
        <v>0</v>
      </c>
      <c r="U15" s="42">
        <f t="shared" si="5"/>
        <v>86232</v>
      </c>
    </row>
    <row r="16" spans="1:21" x14ac:dyDescent="0.3">
      <c r="A16" s="37" t="s">
        <v>2461</v>
      </c>
      <c r="B16" s="37" t="s">
        <v>2462</v>
      </c>
      <c r="C16" s="37" t="s">
        <v>2463</v>
      </c>
      <c r="D16" s="37" t="s">
        <v>117</v>
      </c>
      <c r="E16" s="37" t="s">
        <v>127</v>
      </c>
      <c r="F16" s="37" t="s">
        <v>19</v>
      </c>
      <c r="G16" s="37" t="s">
        <v>2418</v>
      </c>
      <c r="H16" s="37">
        <v>5.24</v>
      </c>
      <c r="I16" s="37"/>
      <c r="J16" s="37">
        <v>8728</v>
      </c>
      <c r="K16" s="37" t="s">
        <v>23</v>
      </c>
      <c r="L16" s="37" t="s">
        <v>130</v>
      </c>
      <c r="M16" s="37" t="str">
        <f t="shared" si="2"/>
        <v>General</v>
      </c>
      <c r="N16" s="37" t="str">
        <f t="shared" si="0"/>
        <v>Credit Card</v>
      </c>
      <c r="O16" s="37" t="str" cm="1">
        <f t="array" ref="O16">IF(TRIM(N16)="",INDEX($N$2:$N$1500,MATCH(MAX(COUNTIF($N$2:$N$1500,$N$2:$N$1500)),COUNTIF($N$2:$N$1500,$N$2:$N$1500),0)),N16)</f>
        <v>Credit Card</v>
      </c>
      <c r="P16" s="38" cm="1">
        <f t="array" ref="P16">ROUND(IF(TRIM(H16)="",IFERROR(MEDIAN(IF($M$2:$M$1500=M16,$H$2:$H$1500)),MEDIAN($H$2:$H$1500)),H16),2)</f>
        <v>5.24</v>
      </c>
      <c r="Q16" s="38" t="str">
        <f t="shared" si="3"/>
        <v>1</v>
      </c>
      <c r="R16" s="39" cm="1">
        <f t="array" ref="R16">IF(OR(TRIM(J16)="",TRIM(J16)="-"),MEDIAN(IF($C$2:$C$1218=C16,$J$2:$J$1218)),VALUE(SUBSTITUTE(SUBSTITUTE(SUBSTITUTE(J16,"Rs. ",""),"₹",""),",","")))</f>
        <v>8728</v>
      </c>
      <c r="S16" s="40">
        <f t="shared" si="1"/>
        <v>0</v>
      </c>
      <c r="T16" s="41">
        <f t="shared" si="4"/>
        <v>0</v>
      </c>
      <c r="U16" s="42">
        <f t="shared" si="5"/>
        <v>8728</v>
      </c>
    </row>
    <row r="17" spans="1:21" x14ac:dyDescent="0.3">
      <c r="A17" s="37" t="s">
        <v>2464</v>
      </c>
      <c r="B17" s="37" t="s">
        <v>2465</v>
      </c>
      <c r="C17" s="37" t="s">
        <v>2466</v>
      </c>
      <c r="D17" s="37" t="s">
        <v>45</v>
      </c>
      <c r="E17" s="37" t="s">
        <v>46</v>
      </c>
      <c r="F17" s="37" t="s">
        <v>39</v>
      </c>
      <c r="G17" s="37" t="s">
        <v>2435</v>
      </c>
      <c r="H17" s="37"/>
      <c r="I17" s="37">
        <v>32</v>
      </c>
      <c r="J17" s="37">
        <v>17550</v>
      </c>
      <c r="K17" s="37" t="s">
        <v>236</v>
      </c>
      <c r="L17" s="37" t="s">
        <v>140</v>
      </c>
      <c r="M17" s="37" t="str">
        <f t="shared" si="2"/>
        <v>General</v>
      </c>
      <c r="N17" s="37" t="str">
        <f t="shared" si="0"/>
        <v>Debit Card</v>
      </c>
      <c r="O17" s="37" t="str" cm="1">
        <f t="array" ref="O17">IF(TRIM(N17)="",INDEX($N$2:$N$1500,MATCH(MAX(COUNTIF($N$2:$N$1500,$N$2:$N$1500)),COUNTIF($N$2:$N$1500,$N$2:$N$1500),0)),N17)</f>
        <v>Debit Card</v>
      </c>
      <c r="P17" s="38" cm="1">
        <f t="array" ref="P17">ROUND(IF(TRIM(H17)="",IFERROR(MEDIAN(IF($M$2:$M$1500=M17,$H$2:$H$1500)),MEDIAN($H$2:$H$1500)),H17),2)</f>
        <v>12.02</v>
      </c>
      <c r="Q17" s="38" t="str">
        <f t="shared" si="3"/>
        <v>0</v>
      </c>
      <c r="R17" s="39" cm="1">
        <f t="array" ref="R17">IF(OR(TRIM(J17)="",TRIM(J17)="-"),MEDIAN(IF($C$2:$C$1218=C17,$J$2:$J$1218)),VALUE(SUBSTITUTE(SUBSTITUTE(SUBSTITUTE(J17,"Rs. ",""),"₹",""),",","")))</f>
        <v>17550</v>
      </c>
      <c r="S17" s="40" t="str">
        <f t="shared" si="1"/>
        <v>-</v>
      </c>
      <c r="T17" s="41">
        <f t="shared" si="4"/>
        <v>3</v>
      </c>
      <c r="U17" s="42">
        <f t="shared" si="5"/>
        <v>17024</v>
      </c>
    </row>
    <row r="18" spans="1:21" x14ac:dyDescent="0.3">
      <c r="A18" s="37" t="s">
        <v>2467</v>
      </c>
      <c r="B18" s="37" t="s">
        <v>2468</v>
      </c>
      <c r="C18" s="37" t="s">
        <v>2469</v>
      </c>
      <c r="D18" s="37" t="s">
        <v>106</v>
      </c>
      <c r="E18" s="37" t="s">
        <v>307</v>
      </c>
      <c r="F18" s="37" t="s">
        <v>39</v>
      </c>
      <c r="G18" s="37" t="s">
        <v>2435</v>
      </c>
      <c r="H18" s="37">
        <v>2.88</v>
      </c>
      <c r="I18" s="37">
        <v>1</v>
      </c>
      <c r="J18" s="37" t="s">
        <v>2470</v>
      </c>
      <c r="K18" s="37" t="s">
        <v>58</v>
      </c>
      <c r="L18" s="37" t="s">
        <v>64</v>
      </c>
      <c r="M18" s="37" t="str">
        <f t="shared" si="2"/>
        <v>General</v>
      </c>
      <c r="N18" s="37" t="str">
        <f t="shared" si="0"/>
        <v>UPI</v>
      </c>
      <c r="O18" s="37" t="str" cm="1">
        <f t="array" ref="O18">IF(TRIM(N18)="",INDEX($N$2:$N$1500,MATCH(MAX(COUNTIF($N$2:$N$1500,$N$2:$N$1500)),COUNTIF($N$2:$N$1500,$N$2:$N$1500),0)),N18)</f>
        <v>UPI</v>
      </c>
      <c r="P18" s="38" cm="1">
        <f t="array" ref="P18">ROUND(IF(TRIM(H18)="",IFERROR(MEDIAN(IF($M$2:$M$1500=M18,$H$2:$H$1500)),MEDIAN($H$2:$H$1500)),H18),2)</f>
        <v>2.88</v>
      </c>
      <c r="Q18" s="38" t="str">
        <f t="shared" si="3"/>
        <v>0</v>
      </c>
      <c r="R18" s="39" cm="1">
        <f t="array" ref="R18">IF(OR(TRIM(J18)="",TRIM(J18)="-"),MEDIAN(IF($C$2:$C$1218=C18,$J$2:$J$1218)),VALUE(SUBSTITUTE(SUBSTITUTE(SUBSTITUTE(J18,"Rs. ",""),"₹",""),",","")))</f>
        <v>8110</v>
      </c>
      <c r="S18" s="40" t="str">
        <f t="shared" si="1"/>
        <v>NA</v>
      </c>
      <c r="T18" s="41">
        <f t="shared" si="4"/>
        <v>2</v>
      </c>
      <c r="U18" s="42">
        <f t="shared" si="5"/>
        <v>7948</v>
      </c>
    </row>
    <row r="19" spans="1:21" x14ac:dyDescent="0.3">
      <c r="A19" s="37" t="s">
        <v>2471</v>
      </c>
      <c r="B19" s="37" t="s">
        <v>2472</v>
      </c>
      <c r="C19" s="37" t="s">
        <v>2473</v>
      </c>
      <c r="D19" s="37" t="s">
        <v>25</v>
      </c>
      <c r="E19" s="37" t="s">
        <v>54</v>
      </c>
      <c r="F19" s="37" t="s">
        <v>49</v>
      </c>
      <c r="G19" s="37" t="s">
        <v>2423</v>
      </c>
      <c r="H19" s="37">
        <v>16.64</v>
      </c>
      <c r="I19" s="37">
        <v>19</v>
      </c>
      <c r="J19" s="37" t="s">
        <v>2474</v>
      </c>
      <c r="K19" s="37" t="s">
        <v>211</v>
      </c>
      <c r="L19" s="37" t="s">
        <v>130</v>
      </c>
      <c r="M19" s="37" t="str">
        <f t="shared" si="2"/>
        <v>General</v>
      </c>
      <c r="N19" s="37" t="str">
        <f t="shared" si="0"/>
        <v>Credit Card</v>
      </c>
      <c r="O19" s="37" t="str" cm="1">
        <f t="array" ref="O19">IF(TRIM(N19)="",INDEX($N$2:$N$1500,MATCH(MAX(COUNTIF($N$2:$N$1500,$N$2:$N$1500)),COUNTIF($N$2:$N$1500,$N$2:$N$1500),0)),N19)</f>
        <v>Credit Card</v>
      </c>
      <c r="P19" s="38" cm="1">
        <f t="array" ref="P19">ROUND(IF(TRIM(H19)="",IFERROR(MEDIAN(IF($M$2:$M$1500=M19,$H$2:$H$1500)),MEDIAN($H$2:$H$1500)),H19),2)</f>
        <v>16.64</v>
      </c>
      <c r="Q19" s="38" t="str">
        <f t="shared" si="3"/>
        <v>0</v>
      </c>
      <c r="R19" s="39" cm="1">
        <f t="array" ref="R19">IF(OR(TRIM(J19)="",TRIM(J19)="-"),MEDIAN(IF($C$2:$C$1218=C19,$J$2:$J$1218)),VALUE(SUBSTITUTE(SUBSTITUTE(SUBSTITUTE(J19,"Rs. ",""),"₹",""),",","")))</f>
        <v>4830</v>
      </c>
      <c r="S19" s="40">
        <f t="shared" si="1"/>
        <v>0</v>
      </c>
      <c r="T19" s="41">
        <f t="shared" si="4"/>
        <v>0</v>
      </c>
      <c r="U19" s="42">
        <f t="shared" si="5"/>
        <v>4830</v>
      </c>
    </row>
    <row r="20" spans="1:21" x14ac:dyDescent="0.3">
      <c r="A20" s="37" t="s">
        <v>2475</v>
      </c>
      <c r="B20" s="37" t="s">
        <v>2476</v>
      </c>
      <c r="C20" s="37" t="s">
        <v>2415</v>
      </c>
      <c r="D20" s="37" t="s">
        <v>14</v>
      </c>
      <c r="E20" s="37" t="s">
        <v>60</v>
      </c>
      <c r="F20" s="37" t="s">
        <v>101</v>
      </c>
      <c r="G20" s="37" t="s">
        <v>2477</v>
      </c>
      <c r="H20" s="37">
        <v>13.65</v>
      </c>
      <c r="I20" s="37">
        <v>4</v>
      </c>
      <c r="J20" s="37" t="s">
        <v>2478</v>
      </c>
      <c r="K20" s="37" t="s">
        <v>115</v>
      </c>
      <c r="L20" s="37">
        <v>5</v>
      </c>
      <c r="M20" s="37" t="str">
        <f t="shared" si="2"/>
        <v>ICU</v>
      </c>
      <c r="N20" s="37" t="str">
        <f t="shared" si="0"/>
        <v>Cash</v>
      </c>
      <c r="O20" s="37" t="str" cm="1">
        <f t="array" ref="O20">IF(TRIM(N20)="",INDEX($N$2:$N$1500,MATCH(MAX(COUNTIF($N$2:$N$1500,$N$2:$N$1500)),COUNTIF($N$2:$N$1500,$N$2:$N$1500),0)),N20)</f>
        <v>Cash</v>
      </c>
      <c r="P20" s="38" cm="1">
        <f t="array" ref="P20">ROUND(IF(TRIM(H20)="",IFERROR(MEDIAN(IF($M$2:$M$1500=M20,$H$2:$H$1500)),MEDIAN($H$2:$H$1500)),H20),2)</f>
        <v>13.65</v>
      </c>
      <c r="Q20" s="38" t="str">
        <f t="shared" si="3"/>
        <v>0</v>
      </c>
      <c r="R20" s="39" cm="1">
        <f t="array" ref="R20">IF(OR(TRIM(J20)="",TRIM(J20)="-"),MEDIAN(IF($C$2:$C$1218=C20,$J$2:$J$1218)),VALUE(SUBSTITUTE(SUBSTITUTE(SUBSTITUTE(J20,"Rs. ",""),"₹",""),",","")))</f>
        <v>35417</v>
      </c>
      <c r="S20" s="40">
        <f t="shared" si="1"/>
        <v>5</v>
      </c>
      <c r="T20" s="41">
        <f t="shared" si="4"/>
        <v>5</v>
      </c>
      <c r="U20" s="42">
        <f t="shared" si="5"/>
        <v>33646</v>
      </c>
    </row>
    <row r="21" spans="1:21" x14ac:dyDescent="0.3">
      <c r="A21" s="37" t="s">
        <v>2479</v>
      </c>
      <c r="B21" s="37" t="s">
        <v>2480</v>
      </c>
      <c r="C21" s="37" t="s">
        <v>2481</v>
      </c>
      <c r="D21" s="37" t="s">
        <v>117</v>
      </c>
      <c r="E21" s="37" t="s">
        <v>127</v>
      </c>
      <c r="F21" s="37" t="s">
        <v>62</v>
      </c>
      <c r="G21" s="37" t="s">
        <v>2477</v>
      </c>
      <c r="H21" s="37">
        <v>16.54</v>
      </c>
      <c r="I21" s="37">
        <v>53</v>
      </c>
      <c r="J21" s="37" t="s">
        <v>2482</v>
      </c>
      <c r="K21" s="37" t="s">
        <v>91</v>
      </c>
      <c r="L21" s="37">
        <v>5</v>
      </c>
      <c r="M21" s="37" t="str">
        <f t="shared" si="2"/>
        <v>ICU</v>
      </c>
      <c r="N21" s="37" t="str">
        <f t="shared" si="0"/>
        <v>Debit Card</v>
      </c>
      <c r="O21" s="37" t="str" cm="1">
        <f t="array" ref="O21">IF(TRIM(N21)="",INDEX($N$2:$N$1500,MATCH(MAX(COUNTIF($N$2:$N$1500,$N$2:$N$1500)),COUNTIF($N$2:$N$1500,$N$2:$N$1500),0)),N21)</f>
        <v>Debit Card</v>
      </c>
      <c r="P21" s="38" cm="1">
        <f t="array" ref="P21">ROUND(IF(TRIM(H21)="",IFERROR(MEDIAN(IF($M$2:$M$1500=M21,$H$2:$H$1500)),MEDIAN($H$2:$H$1500)),H21),2)</f>
        <v>16.54</v>
      </c>
      <c r="Q21" s="38" t="str">
        <f t="shared" si="3"/>
        <v>0</v>
      </c>
      <c r="R21" s="39" cm="1">
        <f t="array" ref="R21">IF(OR(TRIM(J21)="",TRIM(J21)="-"),MEDIAN(IF($C$2:$C$1218=C21,$J$2:$J$1218)),VALUE(SUBSTITUTE(SUBSTITUTE(SUBSTITUTE(J21,"Rs. ",""),"₹",""),",","")))</f>
        <v>87242</v>
      </c>
      <c r="S21" s="40">
        <f t="shared" si="1"/>
        <v>5</v>
      </c>
      <c r="T21" s="41">
        <f t="shared" si="4"/>
        <v>5</v>
      </c>
      <c r="U21" s="42">
        <f t="shared" si="5"/>
        <v>82880</v>
      </c>
    </row>
    <row r="22" spans="1:21" x14ac:dyDescent="0.3">
      <c r="A22" s="37" t="s">
        <v>2483</v>
      </c>
      <c r="B22" s="37" t="s">
        <v>2484</v>
      </c>
      <c r="C22" s="37" t="s">
        <v>2485</v>
      </c>
      <c r="D22" s="37" t="s">
        <v>106</v>
      </c>
      <c r="E22" s="37" t="s">
        <v>107</v>
      </c>
      <c r="F22" s="37" t="s">
        <v>30</v>
      </c>
      <c r="G22" s="37" t="s">
        <v>2486</v>
      </c>
      <c r="H22" s="37">
        <v>23.9</v>
      </c>
      <c r="I22" s="37" t="s">
        <v>140</v>
      </c>
      <c r="J22" s="37" t="s">
        <v>2487</v>
      </c>
      <c r="K22" s="37" t="s">
        <v>236</v>
      </c>
      <c r="L22" s="37">
        <v>0</v>
      </c>
      <c r="M22" s="37" t="str">
        <f t="shared" si="2"/>
        <v>General</v>
      </c>
      <c r="N22" s="37" t="str">
        <f t="shared" si="0"/>
        <v>Debit Card</v>
      </c>
      <c r="O22" s="37" t="str" cm="1">
        <f t="array" ref="O22">IF(TRIM(N22)="",INDEX($N$2:$N$1500,MATCH(MAX(COUNTIF($N$2:$N$1500,$N$2:$N$1500)),COUNTIF($N$2:$N$1500,$N$2:$N$1500),0)),N22)</f>
        <v>Debit Card</v>
      </c>
      <c r="P22" s="38" cm="1">
        <f t="array" ref="P22">ROUND(IF(TRIM(H22)="",IFERROR(MEDIAN(IF($M$2:$M$1500=M22,$H$2:$H$1500)),MEDIAN($H$2:$H$1500)),H22),2)</f>
        <v>23.9</v>
      </c>
      <c r="Q22" s="38" t="str">
        <f t="shared" si="3"/>
        <v>2+</v>
      </c>
      <c r="R22" s="39" cm="1">
        <f t="array" ref="R22">IF(OR(TRIM(J22)="",TRIM(J22)="-"),MEDIAN(IF($C$2:$C$1218=C22,$J$2:$J$1218)),VALUE(SUBSTITUTE(SUBSTITUTE(SUBSTITUTE(J22,"Rs. ",""),"₹",""),",","")))</f>
        <v>4498</v>
      </c>
      <c r="S22" s="40">
        <f t="shared" si="1"/>
        <v>0</v>
      </c>
      <c r="T22" s="41">
        <f t="shared" si="4"/>
        <v>0</v>
      </c>
      <c r="U22" s="42">
        <f t="shared" si="5"/>
        <v>4498</v>
      </c>
    </row>
    <row r="23" spans="1:21" x14ac:dyDescent="0.3">
      <c r="A23" s="37" t="s">
        <v>2488</v>
      </c>
      <c r="B23" s="37" t="s">
        <v>2489</v>
      </c>
      <c r="C23" s="37" t="s">
        <v>2490</v>
      </c>
      <c r="D23" s="37" t="s">
        <v>14</v>
      </c>
      <c r="E23" s="37" t="s">
        <v>15</v>
      </c>
      <c r="F23" s="37" t="s">
        <v>19</v>
      </c>
      <c r="G23" s="37" t="s">
        <v>2455</v>
      </c>
      <c r="H23" s="37">
        <v>6.77</v>
      </c>
      <c r="I23" s="37">
        <v>54</v>
      </c>
      <c r="J23" s="37">
        <v>16106</v>
      </c>
      <c r="K23" s="37" t="s">
        <v>83</v>
      </c>
      <c r="L23" s="37" t="s">
        <v>130</v>
      </c>
      <c r="M23" s="37" t="str">
        <f t="shared" si="2"/>
        <v>General</v>
      </c>
      <c r="N23" s="37" t="str">
        <f t="shared" si="0"/>
        <v>Debit Card</v>
      </c>
      <c r="O23" s="37" t="str" cm="1">
        <f t="array" ref="O23">IF(TRIM(N23)="",INDEX($N$2:$N$1500,MATCH(MAX(COUNTIF($N$2:$N$1500,$N$2:$N$1500)),COUNTIF($N$2:$N$1500,$N$2:$N$1500),0)),N23)</f>
        <v>Debit Card</v>
      </c>
      <c r="P23" s="38" cm="1">
        <f t="array" ref="P23">ROUND(IF(TRIM(H23)="",IFERROR(MEDIAN(IF($M$2:$M$1500=M23,$H$2:$H$1500)),MEDIAN($H$2:$H$1500)),H23),2)</f>
        <v>6.77</v>
      </c>
      <c r="Q23" s="38" t="str">
        <f t="shared" si="3"/>
        <v>1</v>
      </c>
      <c r="R23" s="39" cm="1">
        <f t="array" ref="R23">IF(OR(TRIM(J23)="",TRIM(J23)="-"),MEDIAN(IF($C$2:$C$1218=C23,$J$2:$J$1218)),VALUE(SUBSTITUTE(SUBSTITUTE(SUBSTITUTE(J23,"Rs. ",""),"₹",""),",","")))</f>
        <v>16106</v>
      </c>
      <c r="S23" s="40">
        <f t="shared" si="1"/>
        <v>0</v>
      </c>
      <c r="T23" s="41">
        <f t="shared" si="4"/>
        <v>0</v>
      </c>
      <c r="U23" s="42">
        <f t="shared" si="5"/>
        <v>16106</v>
      </c>
    </row>
    <row r="24" spans="1:21" x14ac:dyDescent="0.3">
      <c r="A24" s="37" t="s">
        <v>2491</v>
      </c>
      <c r="B24" s="37" t="s">
        <v>2453</v>
      </c>
      <c r="C24" s="37" t="s">
        <v>2454</v>
      </c>
      <c r="D24" s="37" t="s">
        <v>14</v>
      </c>
      <c r="E24" s="37" t="s">
        <v>60</v>
      </c>
      <c r="F24" s="37" t="s">
        <v>69</v>
      </c>
      <c r="G24" s="37" t="s">
        <v>2435</v>
      </c>
      <c r="H24" s="37">
        <v>7.8</v>
      </c>
      <c r="I24" s="37">
        <v>43</v>
      </c>
      <c r="J24" s="37">
        <v>65141</v>
      </c>
      <c r="K24" s="37" t="s">
        <v>91</v>
      </c>
      <c r="L24" s="37">
        <v>0</v>
      </c>
      <c r="M24" s="37" t="str">
        <f t="shared" si="2"/>
        <v>ICU</v>
      </c>
      <c r="N24" s="37" t="str">
        <f t="shared" si="0"/>
        <v>Debit Card</v>
      </c>
      <c r="O24" s="37" t="str" cm="1">
        <f t="array" ref="O24">IF(TRIM(N24)="",INDEX($N$2:$N$1500,MATCH(MAX(COUNTIF($N$2:$N$1500,$N$2:$N$1500)),COUNTIF($N$2:$N$1500,$N$2:$N$1500),0)),N24)</f>
        <v>Debit Card</v>
      </c>
      <c r="P24" s="38" cm="1">
        <f t="array" ref="P24">ROUND(IF(TRIM(H24)="",IFERROR(MEDIAN(IF($M$2:$M$1500=M24,$H$2:$H$1500)),MEDIAN($H$2:$H$1500)),H24),2)</f>
        <v>7.8</v>
      </c>
      <c r="Q24" s="38" t="str">
        <f t="shared" si="3"/>
        <v>0</v>
      </c>
      <c r="R24" s="39" cm="1">
        <f t="array" ref="R24">IF(OR(TRIM(J24)="",TRIM(J24)="-"),MEDIAN(IF($C$2:$C$1218=C24,$J$2:$J$1218)),VALUE(SUBSTITUTE(SUBSTITUTE(SUBSTITUTE(J24,"Rs. ",""),"₹",""),",","")))</f>
        <v>65141</v>
      </c>
      <c r="S24" s="40">
        <f t="shared" si="1"/>
        <v>0</v>
      </c>
      <c r="T24" s="41">
        <f t="shared" si="4"/>
        <v>0</v>
      </c>
      <c r="U24" s="42">
        <f t="shared" si="5"/>
        <v>65141</v>
      </c>
    </row>
    <row r="25" spans="1:21" x14ac:dyDescent="0.3">
      <c r="A25" s="37" t="s">
        <v>2492</v>
      </c>
      <c r="B25" s="37" t="s">
        <v>2493</v>
      </c>
      <c r="C25" s="37" t="s">
        <v>2494</v>
      </c>
      <c r="D25" s="37" t="s">
        <v>106</v>
      </c>
      <c r="E25" s="37" t="s">
        <v>107</v>
      </c>
      <c r="F25" s="37" t="s">
        <v>62</v>
      </c>
      <c r="G25" s="37" t="s">
        <v>2477</v>
      </c>
      <c r="H25" s="37">
        <v>3.14</v>
      </c>
      <c r="I25" s="37">
        <v>11</v>
      </c>
      <c r="J25" s="37">
        <v>54360</v>
      </c>
      <c r="K25" s="37" t="s">
        <v>97</v>
      </c>
      <c r="L25" s="37" t="s">
        <v>130</v>
      </c>
      <c r="M25" s="37" t="str">
        <f t="shared" si="2"/>
        <v>ICU</v>
      </c>
      <c r="N25" s="37" t="str">
        <f t="shared" si="0"/>
        <v>UPI</v>
      </c>
      <c r="O25" s="37" t="str" cm="1">
        <f t="array" ref="O25">IF(TRIM(N25)="",INDEX($N$2:$N$1500,MATCH(MAX(COUNTIF($N$2:$N$1500,$N$2:$N$1500)),COUNTIF($N$2:$N$1500,$N$2:$N$1500),0)),N25)</f>
        <v>UPI</v>
      </c>
      <c r="P25" s="38" cm="1">
        <f t="array" ref="P25">ROUND(IF(TRIM(H25)="",IFERROR(MEDIAN(IF($M$2:$M$1500=M25,$H$2:$H$1500)),MEDIAN($H$2:$H$1500)),H25),2)</f>
        <v>3.14</v>
      </c>
      <c r="Q25" s="38" t="str">
        <f t="shared" si="3"/>
        <v>0</v>
      </c>
      <c r="R25" s="39" cm="1">
        <f t="array" ref="R25">IF(OR(TRIM(J25)="",TRIM(J25)="-"),MEDIAN(IF($C$2:$C$1218=C25,$J$2:$J$1218)),VALUE(SUBSTITUTE(SUBSTITUTE(SUBSTITUTE(J25,"Rs. ",""),"₹",""),",","")))</f>
        <v>54360</v>
      </c>
      <c r="S25" s="40">
        <f t="shared" si="1"/>
        <v>0</v>
      </c>
      <c r="T25" s="41">
        <f t="shared" si="4"/>
        <v>0</v>
      </c>
      <c r="U25" s="42">
        <f t="shared" si="5"/>
        <v>54360</v>
      </c>
    </row>
    <row r="26" spans="1:21" x14ac:dyDescent="0.3">
      <c r="A26" s="37" t="s">
        <v>2495</v>
      </c>
      <c r="B26" s="37" t="s">
        <v>2496</v>
      </c>
      <c r="C26" s="37" t="s">
        <v>2463</v>
      </c>
      <c r="D26" s="37" t="s">
        <v>78</v>
      </c>
      <c r="E26" s="37" t="s">
        <v>161</v>
      </c>
      <c r="F26" s="37" t="s">
        <v>39</v>
      </c>
      <c r="G26" s="37" t="s">
        <v>2408</v>
      </c>
      <c r="H26" s="37">
        <v>7.7</v>
      </c>
      <c r="I26" s="37">
        <v>10</v>
      </c>
      <c r="J26" s="37">
        <v>19580</v>
      </c>
      <c r="K26" s="37" t="s">
        <v>23</v>
      </c>
      <c r="L26" s="37" t="s">
        <v>76</v>
      </c>
      <c r="M26" s="37" t="str">
        <f t="shared" si="2"/>
        <v>General</v>
      </c>
      <c r="N26" s="37" t="str">
        <f t="shared" si="0"/>
        <v>Credit Card</v>
      </c>
      <c r="O26" s="37" t="str" cm="1">
        <f t="array" ref="O26">IF(TRIM(N26)="",INDEX($N$2:$N$1500,MATCH(MAX(COUNTIF($N$2:$N$1500,$N$2:$N$1500)),COUNTIF($N$2:$N$1500,$N$2:$N$1500),0)),N26)</f>
        <v>Credit Card</v>
      </c>
      <c r="P26" s="38" cm="1">
        <f t="array" ref="P26">ROUND(IF(TRIM(H26)="",IFERROR(MEDIAN(IF($M$2:$M$1500=M26,$H$2:$H$1500)),MEDIAN($H$2:$H$1500)),H26),2)</f>
        <v>7.7</v>
      </c>
      <c r="Q26" s="38" t="str">
        <f t="shared" si="3"/>
        <v>0</v>
      </c>
      <c r="R26" s="39" cm="1">
        <f t="array" ref="R26">IF(OR(TRIM(J26)="",TRIM(J26)="-"),MEDIAN(IF($C$2:$C$1218=C26,$J$2:$J$1218)),VALUE(SUBSTITUTE(SUBSTITUTE(SUBSTITUTE(J26,"Rs. ",""),"₹",""),",","")))</f>
        <v>19580</v>
      </c>
      <c r="S26" s="40">
        <f t="shared" si="1"/>
        <v>10</v>
      </c>
      <c r="T26" s="41">
        <f t="shared" si="4"/>
        <v>10</v>
      </c>
      <c r="U26" s="42">
        <f t="shared" si="5"/>
        <v>17622</v>
      </c>
    </row>
    <row r="27" spans="1:21" x14ac:dyDescent="0.3">
      <c r="A27" s="37" t="s">
        <v>2497</v>
      </c>
      <c r="B27" s="37" t="s">
        <v>2498</v>
      </c>
      <c r="C27" s="37" t="s">
        <v>2494</v>
      </c>
      <c r="D27" s="37" t="s">
        <v>25</v>
      </c>
      <c r="E27" s="37" t="s">
        <v>54</v>
      </c>
      <c r="F27" s="37"/>
      <c r="G27" s="37" t="s">
        <v>2423</v>
      </c>
      <c r="H27" s="37">
        <v>23.24</v>
      </c>
      <c r="I27" s="37">
        <v>25</v>
      </c>
      <c r="J27" s="37" t="s">
        <v>2499</v>
      </c>
      <c r="K27" s="37" t="s">
        <v>72</v>
      </c>
      <c r="L27" s="37">
        <v>0.05</v>
      </c>
      <c r="M27" s="37" t="str">
        <f t="shared" si="2"/>
        <v>Unknown</v>
      </c>
      <c r="N27" s="37" t="str">
        <f t="shared" si="0"/>
        <v>Cash</v>
      </c>
      <c r="O27" s="37" t="str" cm="1">
        <f t="array" ref="O27">IF(TRIM(N27)="",INDEX($N$2:$N$1500,MATCH(MAX(COUNTIF($N$2:$N$1500,$N$2:$N$1500)),COUNTIF($N$2:$N$1500,$N$2:$N$1500),0)),N27)</f>
        <v>Cash</v>
      </c>
      <c r="P27" s="38" cm="1">
        <f t="array" ref="P27">ROUND(IF(TRIM(H27)="",IFERROR(MEDIAN(IF($M$2:$M$1500=M27,$H$2:$H$1500)),MEDIAN($H$2:$H$1500)),H27),2)</f>
        <v>23.24</v>
      </c>
      <c r="Q27" s="38" t="str">
        <f t="shared" si="3"/>
        <v>0</v>
      </c>
      <c r="R27" s="39" cm="1">
        <f t="array" ref="R27">IF(OR(TRIM(J27)="",TRIM(J27)="-"),MEDIAN(IF($C$2:$C$1218=C27,$J$2:$J$1218)),VALUE(SUBSTITUTE(SUBSTITUTE(SUBSTITUTE(J27,"Rs. ",""),"₹",""),",","")))</f>
        <v>13922</v>
      </c>
      <c r="S27" s="40">
        <f t="shared" si="1"/>
        <v>0.05</v>
      </c>
      <c r="T27" s="41">
        <f t="shared" si="4"/>
        <v>0</v>
      </c>
      <c r="U27" s="42">
        <f t="shared" si="5"/>
        <v>13922</v>
      </c>
    </row>
    <row r="28" spans="1:21" x14ac:dyDescent="0.3">
      <c r="A28" s="37" t="s">
        <v>2500</v>
      </c>
      <c r="B28" s="37" t="s">
        <v>2501</v>
      </c>
      <c r="C28" s="37" t="s">
        <v>2481</v>
      </c>
      <c r="D28" s="37" t="s">
        <v>106</v>
      </c>
      <c r="E28" s="37" t="s">
        <v>107</v>
      </c>
      <c r="F28" s="37" t="s">
        <v>49</v>
      </c>
      <c r="G28" s="37" t="s">
        <v>2423</v>
      </c>
      <c r="H28" s="37">
        <v>4.0999999999999996</v>
      </c>
      <c r="I28" s="37">
        <v>47</v>
      </c>
      <c r="J28" s="37">
        <v>17219</v>
      </c>
      <c r="K28" s="37" t="s">
        <v>87</v>
      </c>
      <c r="L28" s="37" t="s">
        <v>130</v>
      </c>
      <c r="M28" s="37" t="str">
        <f t="shared" si="2"/>
        <v>General</v>
      </c>
      <c r="N28" s="37" t="str">
        <f t="shared" si="0"/>
        <v>Credit Card</v>
      </c>
      <c r="O28" s="37" t="str" cm="1">
        <f t="array" ref="O28">IF(TRIM(N28)="",INDEX($N$2:$N$1500,MATCH(MAX(COUNTIF($N$2:$N$1500,$N$2:$N$1500)),COUNTIF($N$2:$N$1500,$N$2:$N$1500),0)),N28)</f>
        <v>Credit Card</v>
      </c>
      <c r="P28" s="38" cm="1">
        <f t="array" ref="P28">ROUND(IF(TRIM(H28)="",IFERROR(MEDIAN(IF($M$2:$M$1500=M28,$H$2:$H$1500)),MEDIAN($H$2:$H$1500)),H28),2)</f>
        <v>4.0999999999999996</v>
      </c>
      <c r="Q28" s="38" t="str">
        <f t="shared" si="3"/>
        <v>0</v>
      </c>
      <c r="R28" s="39" cm="1">
        <f t="array" ref="R28">IF(OR(TRIM(J28)="",TRIM(J28)="-"),MEDIAN(IF($C$2:$C$1218=C28,$J$2:$J$1218)),VALUE(SUBSTITUTE(SUBSTITUTE(SUBSTITUTE(J28,"Rs. ",""),"₹",""),",","")))</f>
        <v>17219</v>
      </c>
      <c r="S28" s="40">
        <f t="shared" si="1"/>
        <v>0</v>
      </c>
      <c r="T28" s="41">
        <f t="shared" si="4"/>
        <v>0</v>
      </c>
      <c r="U28" s="42">
        <f t="shared" si="5"/>
        <v>17219</v>
      </c>
    </row>
    <row r="29" spans="1:21" x14ac:dyDescent="0.3">
      <c r="A29" s="37" t="s">
        <v>2502</v>
      </c>
      <c r="B29" s="37" t="s">
        <v>2503</v>
      </c>
      <c r="C29" s="37" t="s">
        <v>2504</v>
      </c>
      <c r="D29" s="37" t="s">
        <v>117</v>
      </c>
      <c r="E29" s="37" t="s">
        <v>118</v>
      </c>
      <c r="F29" s="37" t="s">
        <v>39</v>
      </c>
      <c r="G29" s="37" t="s">
        <v>2505</v>
      </c>
      <c r="H29" s="37">
        <v>4.2300000000000004</v>
      </c>
      <c r="I29" s="37">
        <v>39</v>
      </c>
      <c r="J29" s="37" t="s">
        <v>2506</v>
      </c>
      <c r="K29" s="37" t="s">
        <v>72</v>
      </c>
      <c r="L29" s="37">
        <v>0</v>
      </c>
      <c r="M29" s="37" t="str">
        <f t="shared" si="2"/>
        <v>General</v>
      </c>
      <c r="N29" s="37" t="str">
        <f t="shared" si="0"/>
        <v>Cash</v>
      </c>
      <c r="O29" s="37" t="str" cm="1">
        <f t="array" ref="O29">IF(TRIM(N29)="",INDEX($N$2:$N$1500,MATCH(MAX(COUNTIF($N$2:$N$1500,$N$2:$N$1500)),COUNTIF($N$2:$N$1500,$N$2:$N$1500),0)),N29)</f>
        <v>Cash</v>
      </c>
      <c r="P29" s="38" cm="1">
        <f t="array" ref="P29">ROUND(IF(TRIM(H29)="",IFERROR(MEDIAN(IF($M$2:$M$1500=M29,$H$2:$H$1500)),MEDIAN($H$2:$H$1500)),H29),2)</f>
        <v>4.2300000000000004</v>
      </c>
      <c r="Q29" s="38" t="str">
        <f t="shared" si="3"/>
        <v>2+</v>
      </c>
      <c r="R29" s="39" cm="1">
        <f t="array" ref="R29">IF(OR(TRIM(J29)="",TRIM(J29)="-"),MEDIAN(IF($C$2:$C$1218=C29,$J$2:$J$1218)),VALUE(SUBSTITUTE(SUBSTITUTE(SUBSTITUTE(J29,"Rs. ",""),"₹",""),",","")))</f>
        <v>18789</v>
      </c>
      <c r="S29" s="40">
        <f t="shared" si="1"/>
        <v>0</v>
      </c>
      <c r="T29" s="41">
        <f t="shared" si="4"/>
        <v>0</v>
      </c>
      <c r="U29" s="42">
        <f t="shared" si="5"/>
        <v>18789</v>
      </c>
    </row>
    <row r="30" spans="1:21" x14ac:dyDescent="0.3">
      <c r="A30" s="37" t="s">
        <v>2507</v>
      </c>
      <c r="B30" s="37" t="s">
        <v>2508</v>
      </c>
      <c r="C30" s="37" t="s">
        <v>2431</v>
      </c>
      <c r="D30" s="37" t="s">
        <v>117</v>
      </c>
      <c r="E30" s="37" t="s">
        <v>118</v>
      </c>
      <c r="F30" s="37" t="s">
        <v>69</v>
      </c>
      <c r="G30" s="37" t="s">
        <v>2408</v>
      </c>
      <c r="H30" s="37">
        <v>18.309999999999999</v>
      </c>
      <c r="I30" s="37">
        <v>11</v>
      </c>
      <c r="J30" s="37">
        <v>54674</v>
      </c>
      <c r="K30" s="37" t="s">
        <v>34</v>
      </c>
      <c r="L30" s="37">
        <v>0</v>
      </c>
      <c r="M30" s="37" t="str">
        <f t="shared" si="2"/>
        <v>ICU</v>
      </c>
      <c r="N30" s="37" t="str">
        <f t="shared" si="0"/>
        <v>Cash</v>
      </c>
      <c r="O30" s="37" t="str" cm="1">
        <f t="array" ref="O30">IF(TRIM(N30)="",INDEX($N$2:$N$1500,MATCH(MAX(COUNTIF($N$2:$N$1500,$N$2:$N$1500)),COUNTIF($N$2:$N$1500,$N$2:$N$1500),0)),N30)</f>
        <v>Cash</v>
      </c>
      <c r="P30" s="38" cm="1">
        <f t="array" ref="P30">ROUND(IF(TRIM(H30)="",IFERROR(MEDIAN(IF($M$2:$M$1500=M30,$H$2:$H$1500)),MEDIAN($H$2:$H$1500)),H30),2)</f>
        <v>18.309999999999999</v>
      </c>
      <c r="Q30" s="38" t="str">
        <f t="shared" si="3"/>
        <v>0</v>
      </c>
      <c r="R30" s="39" cm="1">
        <f t="array" ref="R30">IF(OR(TRIM(J30)="",TRIM(J30)="-"),MEDIAN(IF($C$2:$C$1218=C30,$J$2:$J$1218)),VALUE(SUBSTITUTE(SUBSTITUTE(SUBSTITUTE(J30,"Rs. ",""),"₹",""),",","")))</f>
        <v>54674</v>
      </c>
      <c r="S30" s="40">
        <f t="shared" si="1"/>
        <v>0</v>
      </c>
      <c r="T30" s="41">
        <f t="shared" si="4"/>
        <v>0</v>
      </c>
      <c r="U30" s="42">
        <f t="shared" si="5"/>
        <v>54674</v>
      </c>
    </row>
    <row r="31" spans="1:21" x14ac:dyDescent="0.3">
      <c r="A31" s="37" t="s">
        <v>2509</v>
      </c>
      <c r="B31" s="37" t="s">
        <v>2510</v>
      </c>
      <c r="C31" s="37" t="s">
        <v>2490</v>
      </c>
      <c r="D31" s="37" t="s">
        <v>25</v>
      </c>
      <c r="E31" s="37" t="s">
        <v>54</v>
      </c>
      <c r="F31" s="37" t="s">
        <v>19</v>
      </c>
      <c r="G31" s="37" t="s">
        <v>2423</v>
      </c>
      <c r="H31" s="37">
        <v>12.82</v>
      </c>
      <c r="I31" s="37">
        <v>46</v>
      </c>
      <c r="J31" s="37" t="s">
        <v>2511</v>
      </c>
      <c r="K31" s="37" t="s">
        <v>97</v>
      </c>
      <c r="L31" s="37">
        <v>0</v>
      </c>
      <c r="M31" s="37" t="str">
        <f t="shared" si="2"/>
        <v>General</v>
      </c>
      <c r="N31" s="37" t="str">
        <f t="shared" si="0"/>
        <v>UPI</v>
      </c>
      <c r="O31" s="37" t="str" cm="1">
        <f t="array" ref="O31">IF(TRIM(N31)="",INDEX($N$2:$N$1500,MATCH(MAX(COUNTIF($N$2:$N$1500,$N$2:$N$1500)),COUNTIF($N$2:$N$1500,$N$2:$N$1500),0)),N31)</f>
        <v>UPI</v>
      </c>
      <c r="P31" s="38" cm="1">
        <f t="array" ref="P31">ROUND(IF(TRIM(H31)="",IFERROR(MEDIAN(IF($M$2:$M$1500=M31,$H$2:$H$1500)),MEDIAN($H$2:$H$1500)),H31),2)</f>
        <v>12.82</v>
      </c>
      <c r="Q31" s="38" t="str">
        <f t="shared" si="3"/>
        <v>0</v>
      </c>
      <c r="R31" s="39" cm="1">
        <f t="array" ref="R31">IF(OR(TRIM(J31)="",TRIM(J31)="-"),MEDIAN(IF($C$2:$C$1218=C31,$J$2:$J$1218)),VALUE(SUBSTITUTE(SUBSTITUTE(SUBSTITUTE(J31,"Rs. ",""),"₹",""),",","")))</f>
        <v>6177</v>
      </c>
      <c r="S31" s="40">
        <f t="shared" si="1"/>
        <v>0</v>
      </c>
      <c r="T31" s="41">
        <f t="shared" si="4"/>
        <v>0</v>
      </c>
      <c r="U31" s="42">
        <f t="shared" si="5"/>
        <v>6177</v>
      </c>
    </row>
    <row r="32" spans="1:21" x14ac:dyDescent="0.3">
      <c r="A32" s="37" t="s">
        <v>2512</v>
      </c>
      <c r="B32" s="37" t="s">
        <v>2513</v>
      </c>
      <c r="C32" s="37" t="s">
        <v>2514</v>
      </c>
      <c r="D32" s="37" t="s">
        <v>14</v>
      </c>
      <c r="E32" s="37" t="s">
        <v>60</v>
      </c>
      <c r="F32" s="37" t="s">
        <v>49</v>
      </c>
      <c r="G32" s="37" t="s">
        <v>2455</v>
      </c>
      <c r="H32" s="37">
        <v>16.78</v>
      </c>
      <c r="I32" s="37">
        <v>3</v>
      </c>
      <c r="J32" s="37" t="s">
        <v>2515</v>
      </c>
      <c r="K32" s="37" t="s">
        <v>104</v>
      </c>
      <c r="L32" s="37" t="s">
        <v>227</v>
      </c>
      <c r="M32" s="37" t="str">
        <f t="shared" si="2"/>
        <v>General</v>
      </c>
      <c r="N32" s="37" t="str">
        <f t="shared" si="0"/>
        <v>Insurance</v>
      </c>
      <c r="O32" s="37" t="str" cm="1">
        <f t="array" ref="O32">IF(TRIM(N32)="",INDEX($N$2:$N$1500,MATCH(MAX(COUNTIF($N$2:$N$1500,$N$2:$N$1500)),COUNTIF($N$2:$N$1500,$N$2:$N$1500),0)),N32)</f>
        <v>Insurance</v>
      </c>
      <c r="P32" s="38" cm="1">
        <f t="array" ref="P32">ROUND(IF(TRIM(H32)="",IFERROR(MEDIAN(IF($M$2:$M$1500=M32,$H$2:$H$1500)),MEDIAN($H$2:$H$1500)),H32),2)</f>
        <v>16.78</v>
      </c>
      <c r="Q32" s="38" t="str">
        <f t="shared" si="3"/>
        <v>1</v>
      </c>
      <c r="R32" s="39" cm="1">
        <f t="array" ref="R32">IF(OR(TRIM(J32)="",TRIM(J32)="-"),MEDIAN(IF($C$2:$C$1218=C32,$J$2:$J$1218)),VALUE(SUBSTITUTE(SUBSTITUTE(SUBSTITUTE(J32,"Rs. ",""),"₹",""),",","")))</f>
        <v>12297</v>
      </c>
      <c r="S32" s="40">
        <f t="shared" si="1"/>
        <v>25</v>
      </c>
      <c r="T32" s="41">
        <f t="shared" si="4"/>
        <v>25</v>
      </c>
      <c r="U32" s="42">
        <f t="shared" si="5"/>
        <v>9223</v>
      </c>
    </row>
    <row r="33" spans="1:21" x14ac:dyDescent="0.3">
      <c r="A33" s="37" t="s">
        <v>2516</v>
      </c>
      <c r="B33" s="37" t="s">
        <v>2517</v>
      </c>
      <c r="C33" s="37" t="s">
        <v>2518</v>
      </c>
      <c r="D33" s="37" t="s">
        <v>106</v>
      </c>
      <c r="E33" s="37" t="s">
        <v>107</v>
      </c>
      <c r="F33" s="37" t="s">
        <v>39</v>
      </c>
      <c r="G33" s="37" t="s">
        <v>2408</v>
      </c>
      <c r="H33" s="37">
        <v>4.7699999999999996</v>
      </c>
      <c r="I33" s="37">
        <v>39</v>
      </c>
      <c r="J33" s="37">
        <v>12672</v>
      </c>
      <c r="K33" s="37" t="s">
        <v>97</v>
      </c>
      <c r="L33" s="37" t="s">
        <v>76</v>
      </c>
      <c r="M33" s="37" t="str">
        <f t="shared" si="2"/>
        <v>General</v>
      </c>
      <c r="N33" s="37" t="str">
        <f t="shared" si="0"/>
        <v>UPI</v>
      </c>
      <c r="O33" s="37" t="str" cm="1">
        <f t="array" ref="O33">IF(TRIM(N33)="",INDEX($N$2:$N$1500,MATCH(MAX(COUNTIF($N$2:$N$1500,$N$2:$N$1500)),COUNTIF($N$2:$N$1500,$N$2:$N$1500),0)),N33)</f>
        <v>UPI</v>
      </c>
      <c r="P33" s="38" cm="1">
        <f t="array" ref="P33">ROUND(IF(TRIM(H33)="",IFERROR(MEDIAN(IF($M$2:$M$1500=M33,$H$2:$H$1500)),MEDIAN($H$2:$H$1500)),H33),2)</f>
        <v>4.7699999999999996</v>
      </c>
      <c r="Q33" s="38" t="str">
        <f t="shared" si="3"/>
        <v>0</v>
      </c>
      <c r="R33" s="39" cm="1">
        <f t="array" ref="R33">IF(OR(TRIM(J33)="",TRIM(J33)="-"),MEDIAN(IF($C$2:$C$1218=C33,$J$2:$J$1218)),VALUE(SUBSTITUTE(SUBSTITUTE(SUBSTITUTE(J33,"Rs. ",""),"₹",""),",","")))</f>
        <v>12672</v>
      </c>
      <c r="S33" s="40">
        <f t="shared" si="1"/>
        <v>10</v>
      </c>
      <c r="T33" s="41">
        <f t="shared" si="4"/>
        <v>10</v>
      </c>
      <c r="U33" s="42">
        <f t="shared" si="5"/>
        <v>11405</v>
      </c>
    </row>
    <row r="34" spans="1:21" x14ac:dyDescent="0.3">
      <c r="A34" s="37" t="s">
        <v>2519</v>
      </c>
      <c r="B34" s="37" t="s">
        <v>2520</v>
      </c>
      <c r="C34" s="37" t="s">
        <v>2521</v>
      </c>
      <c r="D34" s="37" t="s">
        <v>78</v>
      </c>
      <c r="E34" s="37" t="s">
        <v>161</v>
      </c>
      <c r="F34" s="37" t="s">
        <v>30</v>
      </c>
      <c r="G34" s="37" t="s">
        <v>2439</v>
      </c>
      <c r="H34" s="37"/>
      <c r="I34" s="37">
        <v>29</v>
      </c>
      <c r="J34" s="37">
        <v>8472</v>
      </c>
      <c r="K34" s="37" t="s">
        <v>167</v>
      </c>
      <c r="L34" s="37" t="s">
        <v>140</v>
      </c>
      <c r="M34" s="37" t="str">
        <f t="shared" si="2"/>
        <v>General</v>
      </c>
      <c r="N34" s="37" t="str">
        <f t="shared" si="0"/>
        <v>Insurance</v>
      </c>
      <c r="O34" s="37" t="str" cm="1">
        <f t="array" ref="O34">IF(TRIM(N34)="",INDEX($N$2:$N$1500,MATCH(MAX(COUNTIF($N$2:$N$1500,$N$2:$N$1500)),COUNTIF($N$2:$N$1500,$N$2:$N$1500),0)),N34)</f>
        <v>Insurance</v>
      </c>
      <c r="P34" s="38" cm="1">
        <f t="array" ref="P34">ROUND(IF(TRIM(H34)="",IFERROR(MEDIAN(IF($M$2:$M$1500=M34,$H$2:$H$1500)),MEDIAN($H$2:$H$1500)),H34),2)</f>
        <v>12.02</v>
      </c>
      <c r="Q34" s="38" t="str">
        <f t="shared" si="3"/>
        <v>2</v>
      </c>
      <c r="R34" s="39" cm="1">
        <f t="array" ref="R34">IF(OR(TRIM(J34)="",TRIM(J34)="-"),MEDIAN(IF($C$2:$C$1218=C34,$J$2:$J$1218)),VALUE(SUBSTITUTE(SUBSTITUTE(SUBSTITUTE(J34,"Rs. ",""),"₹",""),",","")))</f>
        <v>8472</v>
      </c>
      <c r="S34" s="40" t="str">
        <f t="shared" si="1"/>
        <v>-</v>
      </c>
      <c r="T34" s="41">
        <f t="shared" si="4"/>
        <v>17</v>
      </c>
      <c r="U34" s="42">
        <f t="shared" si="5"/>
        <v>7032</v>
      </c>
    </row>
    <row r="35" spans="1:21" x14ac:dyDescent="0.3">
      <c r="A35" s="37" t="s">
        <v>2522</v>
      </c>
      <c r="B35" s="37" t="s">
        <v>2523</v>
      </c>
      <c r="C35" s="37" t="s">
        <v>2454</v>
      </c>
      <c r="D35" s="37" t="s">
        <v>45</v>
      </c>
      <c r="E35" s="37" t="s">
        <v>46</v>
      </c>
      <c r="F35" s="37" t="s">
        <v>49</v>
      </c>
      <c r="G35" s="37" t="s">
        <v>2435</v>
      </c>
      <c r="H35" s="37">
        <v>16.98</v>
      </c>
      <c r="I35" s="37">
        <v>51</v>
      </c>
      <c r="J35" s="37">
        <v>6994</v>
      </c>
      <c r="K35" s="37" t="s">
        <v>52</v>
      </c>
      <c r="L35" s="37" t="s">
        <v>198</v>
      </c>
      <c r="M35" s="37" t="str">
        <f t="shared" si="2"/>
        <v>General</v>
      </c>
      <c r="N35" s="37" t="str">
        <f t="shared" si="0"/>
        <v>Credit Card</v>
      </c>
      <c r="O35" s="37" t="str" cm="1">
        <f t="array" ref="O35">IF(TRIM(N35)="",INDEX($N$2:$N$1500,MATCH(MAX(COUNTIF($N$2:$N$1500,$N$2:$N$1500)),COUNTIF($N$2:$N$1500,$N$2:$N$1500),0)),N35)</f>
        <v>Credit Card</v>
      </c>
      <c r="P35" s="38" cm="1">
        <f t="array" ref="P35">ROUND(IF(TRIM(H35)="",IFERROR(MEDIAN(IF($M$2:$M$1500=M35,$H$2:$H$1500)),MEDIAN($H$2:$H$1500)),H35),2)</f>
        <v>16.98</v>
      </c>
      <c r="Q35" s="38" t="str">
        <f t="shared" si="3"/>
        <v>0</v>
      </c>
      <c r="R35" s="39" cm="1">
        <f t="array" ref="R35">IF(OR(TRIM(J35)="",TRIM(J35)="-"),MEDIAN(IF($C$2:$C$1218=C35,$J$2:$J$1218)),VALUE(SUBSTITUTE(SUBSTITUTE(SUBSTITUTE(J35,"Rs. ",""),"₹",""),",","")))</f>
        <v>6994</v>
      </c>
      <c r="S35" s="40">
        <f t="shared" si="1"/>
        <v>5</v>
      </c>
      <c r="T35" s="41">
        <f t="shared" si="4"/>
        <v>5</v>
      </c>
      <c r="U35" s="42">
        <f t="shared" si="5"/>
        <v>6644</v>
      </c>
    </row>
    <row r="36" spans="1:21" x14ac:dyDescent="0.3">
      <c r="A36" s="37" t="s">
        <v>2524</v>
      </c>
      <c r="B36" s="37" t="s">
        <v>2525</v>
      </c>
      <c r="C36" s="37" t="s">
        <v>2481</v>
      </c>
      <c r="D36" s="37" t="s">
        <v>25</v>
      </c>
      <c r="E36" s="37" t="s">
        <v>54</v>
      </c>
      <c r="F36" s="37" t="s">
        <v>19</v>
      </c>
      <c r="G36" s="37" t="s">
        <v>2408</v>
      </c>
      <c r="H36" s="37">
        <v>21.62</v>
      </c>
      <c r="I36" s="37">
        <v>27</v>
      </c>
      <c r="J36" s="37" t="s">
        <v>2526</v>
      </c>
      <c r="K36" s="37" t="s">
        <v>115</v>
      </c>
      <c r="L36" s="37" t="s">
        <v>76</v>
      </c>
      <c r="M36" s="37" t="str">
        <f t="shared" si="2"/>
        <v>General</v>
      </c>
      <c r="N36" s="37" t="str">
        <f t="shared" si="0"/>
        <v>Cash</v>
      </c>
      <c r="O36" s="37" t="str" cm="1">
        <f t="array" ref="O36">IF(TRIM(N36)="",INDEX($N$2:$N$1500,MATCH(MAX(COUNTIF($N$2:$N$1500,$N$2:$N$1500)),COUNTIF($N$2:$N$1500,$N$2:$N$1500),0)),N36)</f>
        <v>Cash</v>
      </c>
      <c r="P36" s="38" cm="1">
        <f t="array" ref="P36">ROUND(IF(TRIM(H36)="",IFERROR(MEDIAN(IF($M$2:$M$1500=M36,$H$2:$H$1500)),MEDIAN($H$2:$H$1500)),H36),2)</f>
        <v>21.62</v>
      </c>
      <c r="Q36" s="38" t="str">
        <f t="shared" si="3"/>
        <v>0</v>
      </c>
      <c r="R36" s="39" cm="1">
        <f t="array" ref="R36">IF(OR(TRIM(J36)="",TRIM(J36)="-"),MEDIAN(IF($C$2:$C$1218=C36,$J$2:$J$1218)),VALUE(SUBSTITUTE(SUBSTITUTE(SUBSTITUTE(J36,"Rs. ",""),"₹",""),",","")))</f>
        <v>7188</v>
      </c>
      <c r="S36" s="40">
        <f t="shared" si="1"/>
        <v>10</v>
      </c>
      <c r="T36" s="41">
        <f t="shared" si="4"/>
        <v>10</v>
      </c>
      <c r="U36" s="42">
        <f t="shared" si="5"/>
        <v>6469</v>
      </c>
    </row>
    <row r="37" spans="1:21" x14ac:dyDescent="0.3">
      <c r="A37" s="37" t="s">
        <v>2527</v>
      </c>
      <c r="B37" s="37" t="s">
        <v>2528</v>
      </c>
      <c r="C37" s="37" t="s">
        <v>2407</v>
      </c>
      <c r="D37" s="37" t="s">
        <v>14</v>
      </c>
      <c r="E37" s="37" t="s">
        <v>60</v>
      </c>
      <c r="F37" s="37" t="s">
        <v>39</v>
      </c>
      <c r="G37" s="37" t="s">
        <v>2408</v>
      </c>
      <c r="H37" s="37">
        <v>10.75</v>
      </c>
      <c r="I37" s="37">
        <v>46</v>
      </c>
      <c r="J37" s="37" t="s">
        <v>2529</v>
      </c>
      <c r="K37" s="37" t="s">
        <v>83</v>
      </c>
      <c r="L37" s="37">
        <v>0</v>
      </c>
      <c r="M37" s="37" t="str">
        <f t="shared" si="2"/>
        <v>General</v>
      </c>
      <c r="N37" s="37" t="str">
        <f t="shared" si="0"/>
        <v>Debit Card</v>
      </c>
      <c r="O37" s="37" t="str" cm="1">
        <f t="array" ref="O37">IF(TRIM(N37)="",INDEX($N$2:$N$1500,MATCH(MAX(COUNTIF($N$2:$N$1500,$N$2:$N$1500)),COUNTIF($N$2:$N$1500,$N$2:$N$1500),0)),N37)</f>
        <v>Debit Card</v>
      </c>
      <c r="P37" s="38" cm="1">
        <f t="array" ref="P37">ROUND(IF(TRIM(H37)="",IFERROR(MEDIAN(IF($M$2:$M$1500=M37,$H$2:$H$1500)),MEDIAN($H$2:$H$1500)),H37),2)</f>
        <v>10.75</v>
      </c>
      <c r="Q37" s="38" t="str">
        <f t="shared" si="3"/>
        <v>0</v>
      </c>
      <c r="R37" s="39" cm="1">
        <f t="array" ref="R37">IF(OR(TRIM(J37)="",TRIM(J37)="-"),MEDIAN(IF($C$2:$C$1218=C37,$J$2:$J$1218)),VALUE(SUBSTITUTE(SUBSTITUTE(SUBSTITUTE(J37,"Rs. ",""),"₹",""),",","")))</f>
        <v>4374</v>
      </c>
      <c r="S37" s="40">
        <f t="shared" si="1"/>
        <v>0</v>
      </c>
      <c r="T37" s="41">
        <f t="shared" si="4"/>
        <v>0</v>
      </c>
      <c r="U37" s="42">
        <f t="shared" si="5"/>
        <v>4374</v>
      </c>
    </row>
    <row r="38" spans="1:21" x14ac:dyDescent="0.3">
      <c r="A38" s="37" t="s">
        <v>2530</v>
      </c>
      <c r="B38" s="37" t="s">
        <v>2531</v>
      </c>
      <c r="C38" s="37" t="s">
        <v>2532</v>
      </c>
      <c r="D38" s="37" t="s">
        <v>14</v>
      </c>
      <c r="E38" s="37" t="s">
        <v>15</v>
      </c>
      <c r="F38" s="37" t="s">
        <v>49</v>
      </c>
      <c r="G38" s="37" t="s">
        <v>2439</v>
      </c>
      <c r="H38" s="37">
        <v>8.02</v>
      </c>
      <c r="I38" s="37">
        <v>15</v>
      </c>
      <c r="J38" s="37" t="s">
        <v>2533</v>
      </c>
      <c r="K38" s="37" t="s">
        <v>52</v>
      </c>
      <c r="L38" s="37">
        <v>0</v>
      </c>
      <c r="M38" s="37" t="str">
        <f t="shared" si="2"/>
        <v>General</v>
      </c>
      <c r="N38" s="37" t="str">
        <f t="shared" si="0"/>
        <v>Credit Card</v>
      </c>
      <c r="O38" s="37" t="str" cm="1">
        <f t="array" ref="O38">IF(TRIM(N38)="",INDEX($N$2:$N$1500,MATCH(MAX(COUNTIF($N$2:$N$1500,$N$2:$N$1500)),COUNTIF($N$2:$N$1500,$N$2:$N$1500),0)),N38)</f>
        <v>Credit Card</v>
      </c>
      <c r="P38" s="38" cm="1">
        <f t="array" ref="P38">ROUND(IF(TRIM(H38)="",IFERROR(MEDIAN(IF($M$2:$M$1500=M38,$H$2:$H$1500)),MEDIAN($H$2:$H$1500)),H38),2)</f>
        <v>8.02</v>
      </c>
      <c r="Q38" s="38" t="str">
        <f t="shared" si="3"/>
        <v>2</v>
      </c>
      <c r="R38" s="39" cm="1">
        <f t="array" ref="R38">IF(OR(TRIM(J38)="",TRIM(J38)="-"),MEDIAN(IF($C$2:$C$1218=C38,$J$2:$J$1218)),VALUE(SUBSTITUTE(SUBSTITUTE(SUBSTITUTE(J38,"Rs. ",""),"₹",""),",","")))</f>
        <v>5848</v>
      </c>
      <c r="S38" s="40">
        <f t="shared" si="1"/>
        <v>0</v>
      </c>
      <c r="T38" s="41">
        <f t="shared" si="4"/>
        <v>0</v>
      </c>
      <c r="U38" s="42">
        <f t="shared" si="5"/>
        <v>5848</v>
      </c>
    </row>
    <row r="39" spans="1:21" x14ac:dyDescent="0.3">
      <c r="A39" s="37" t="s">
        <v>2534</v>
      </c>
      <c r="B39" s="37" t="s">
        <v>2535</v>
      </c>
      <c r="C39" s="37" t="s">
        <v>2536</v>
      </c>
      <c r="D39" s="37" t="s">
        <v>106</v>
      </c>
      <c r="E39" s="37" t="s">
        <v>307</v>
      </c>
      <c r="F39" s="37" t="s">
        <v>19</v>
      </c>
      <c r="G39" s="37" t="s">
        <v>2412</v>
      </c>
      <c r="H39" s="37">
        <v>19.829999999999998</v>
      </c>
      <c r="I39" s="37">
        <v>1</v>
      </c>
      <c r="J39" s="37" t="s">
        <v>2537</v>
      </c>
      <c r="K39" s="37" t="s">
        <v>34</v>
      </c>
      <c r="L39" s="37" t="s">
        <v>64</v>
      </c>
      <c r="M39" s="37" t="str">
        <f t="shared" si="2"/>
        <v>General</v>
      </c>
      <c r="N39" s="37" t="str">
        <f t="shared" si="0"/>
        <v>Cash</v>
      </c>
      <c r="O39" s="37" t="str" cm="1">
        <f t="array" ref="O39">IF(TRIM(N39)="",INDEX($N$2:$N$1500,MATCH(MAX(COUNTIF($N$2:$N$1500,$N$2:$N$1500)),COUNTIF($N$2:$N$1500,$N$2:$N$1500),0)),N39)</f>
        <v>Cash</v>
      </c>
      <c r="P39" s="38" cm="1">
        <f t="array" ref="P39">ROUND(IF(TRIM(H39)="",IFERROR(MEDIAN(IF($M$2:$M$1500=M39,$H$2:$H$1500)),MEDIAN($H$2:$H$1500)),H39),2)</f>
        <v>19.829999999999998</v>
      </c>
      <c r="Q39" s="38" t="str">
        <f t="shared" si="3"/>
        <v>1</v>
      </c>
      <c r="R39" s="39" cm="1">
        <f t="array" ref="R39">IF(OR(TRIM(J39)="",TRIM(J39)="-"),MEDIAN(IF($C$2:$C$1218=C39,$J$2:$J$1218)),VALUE(SUBSTITUTE(SUBSTITUTE(SUBSTITUTE(J39,"Rs. ",""),"₹",""),",","")))</f>
        <v>3456</v>
      </c>
      <c r="S39" s="40" t="str">
        <f t="shared" si="1"/>
        <v>NA</v>
      </c>
      <c r="T39" s="41">
        <f t="shared" si="4"/>
        <v>2</v>
      </c>
      <c r="U39" s="42">
        <f t="shared" si="5"/>
        <v>3387</v>
      </c>
    </row>
    <row r="40" spans="1:21" x14ac:dyDescent="0.3">
      <c r="A40" s="37" t="s">
        <v>2538</v>
      </c>
      <c r="B40" s="37" t="s">
        <v>2539</v>
      </c>
      <c r="C40" s="37" t="s">
        <v>2454</v>
      </c>
      <c r="D40" s="37" t="s">
        <v>45</v>
      </c>
      <c r="E40" s="37" t="s">
        <v>46</v>
      </c>
      <c r="F40" s="37" t="s">
        <v>49</v>
      </c>
      <c r="G40" s="37" t="s">
        <v>2435</v>
      </c>
      <c r="H40" s="37">
        <v>2.3199999999999998</v>
      </c>
      <c r="I40" s="37">
        <v>23</v>
      </c>
      <c r="J40" s="37">
        <v>17829</v>
      </c>
      <c r="K40" s="37" t="s">
        <v>34</v>
      </c>
      <c r="L40" s="37"/>
      <c r="M40" s="37" t="str">
        <f t="shared" si="2"/>
        <v>General</v>
      </c>
      <c r="N40" s="37" t="str">
        <f t="shared" si="0"/>
        <v>Cash</v>
      </c>
      <c r="O40" s="37" t="str" cm="1">
        <f t="array" ref="O40">IF(TRIM(N40)="",INDEX($N$2:$N$1500,MATCH(MAX(COUNTIF($N$2:$N$1500,$N$2:$N$1500)),COUNTIF($N$2:$N$1500,$N$2:$N$1500),0)),N40)</f>
        <v>Cash</v>
      </c>
      <c r="P40" s="38" cm="1">
        <f t="array" ref="P40">ROUND(IF(TRIM(H40)="",IFERROR(MEDIAN(IF($M$2:$M$1500=M40,$H$2:$H$1500)),MEDIAN($H$2:$H$1500)),H40),2)</f>
        <v>2.3199999999999998</v>
      </c>
      <c r="Q40" s="38" t="str">
        <f t="shared" si="3"/>
        <v>0</v>
      </c>
      <c r="R40" s="39" cm="1">
        <f t="array" ref="R40">IF(OR(TRIM(J40)="",TRIM(J40)="-"),MEDIAN(IF($C$2:$C$1218=C40,$J$2:$J$1218)),VALUE(SUBSTITUTE(SUBSTITUTE(SUBSTITUTE(J40,"Rs. ",""),"₹",""),",","")))</f>
        <v>17829</v>
      </c>
      <c r="S40" s="40">
        <f t="shared" si="1"/>
        <v>0</v>
      </c>
      <c r="T40" s="41">
        <f t="shared" si="4"/>
        <v>0</v>
      </c>
      <c r="U40" s="42">
        <f t="shared" si="5"/>
        <v>17829</v>
      </c>
    </row>
    <row r="41" spans="1:21" x14ac:dyDescent="0.3">
      <c r="A41" s="37" t="s">
        <v>2540</v>
      </c>
      <c r="B41" s="37" t="s">
        <v>2541</v>
      </c>
      <c r="C41" s="37" t="s">
        <v>2485</v>
      </c>
      <c r="D41" s="37" t="s">
        <v>117</v>
      </c>
      <c r="E41" s="37" t="s">
        <v>118</v>
      </c>
      <c r="F41" s="37" t="s">
        <v>62</v>
      </c>
      <c r="G41" s="37" t="s">
        <v>2428</v>
      </c>
      <c r="H41" s="37">
        <v>5.93</v>
      </c>
      <c r="I41" s="37" t="s">
        <v>140</v>
      </c>
      <c r="J41" s="37" t="s">
        <v>2542</v>
      </c>
      <c r="K41" s="37" t="s">
        <v>97</v>
      </c>
      <c r="L41" s="37">
        <v>0</v>
      </c>
      <c r="M41" s="37" t="str">
        <f t="shared" si="2"/>
        <v>ICU</v>
      </c>
      <c r="N41" s="37" t="str">
        <f t="shared" si="0"/>
        <v>UPI</v>
      </c>
      <c r="O41" s="37" t="str" cm="1">
        <f t="array" ref="O41">IF(TRIM(N41)="",INDEX($N$2:$N$1500,MATCH(MAX(COUNTIF($N$2:$N$1500,$N$2:$N$1500)),COUNTIF($N$2:$N$1500,$N$2:$N$1500),0)),N41)</f>
        <v>UPI</v>
      </c>
      <c r="P41" s="38" cm="1">
        <f t="array" ref="P41">ROUND(IF(TRIM(H41)="",IFERROR(MEDIAN(IF($M$2:$M$1500=M41,$H$2:$H$1500)),MEDIAN($H$2:$H$1500)),H41),2)</f>
        <v>5.93</v>
      </c>
      <c r="Q41" s="38" t="str">
        <f t="shared" si="3"/>
        <v>2</v>
      </c>
      <c r="R41" s="39" cm="1">
        <f t="array" ref="R41">IF(OR(TRIM(J41)="",TRIM(J41)="-"),MEDIAN(IF($C$2:$C$1218=C41,$J$2:$J$1218)),VALUE(SUBSTITUTE(SUBSTITUTE(SUBSTITUTE(J41,"Rs. ",""),"₹",""),",","")))</f>
        <v>43748</v>
      </c>
      <c r="S41" s="40">
        <f t="shared" si="1"/>
        <v>0</v>
      </c>
      <c r="T41" s="41">
        <f t="shared" si="4"/>
        <v>0</v>
      </c>
      <c r="U41" s="42">
        <f t="shared" si="5"/>
        <v>43748</v>
      </c>
    </row>
    <row r="42" spans="1:21" x14ac:dyDescent="0.3">
      <c r="A42" s="37" t="s">
        <v>2543</v>
      </c>
      <c r="B42" s="37" t="s">
        <v>2544</v>
      </c>
      <c r="C42" s="37" t="s">
        <v>2514</v>
      </c>
      <c r="D42" s="37" t="s">
        <v>25</v>
      </c>
      <c r="E42" s="37" t="s">
        <v>54</v>
      </c>
      <c r="F42" s="37" t="s">
        <v>101</v>
      </c>
      <c r="G42" s="37" t="s">
        <v>2435</v>
      </c>
      <c r="H42" s="37">
        <v>2.68</v>
      </c>
      <c r="I42" s="37">
        <v>24</v>
      </c>
      <c r="J42" s="37" t="s">
        <v>2545</v>
      </c>
      <c r="K42" s="37" t="s">
        <v>34</v>
      </c>
      <c r="L42" s="37">
        <v>0</v>
      </c>
      <c r="M42" s="37" t="str">
        <f t="shared" si="2"/>
        <v>ICU</v>
      </c>
      <c r="N42" s="37" t="str">
        <f t="shared" si="0"/>
        <v>Cash</v>
      </c>
      <c r="O42" s="37" t="str" cm="1">
        <f t="array" ref="O42">IF(TRIM(N42)="",INDEX($N$2:$N$1500,MATCH(MAX(COUNTIF($N$2:$N$1500,$N$2:$N$1500)),COUNTIF($N$2:$N$1500,$N$2:$N$1500),0)),N42)</f>
        <v>Cash</v>
      </c>
      <c r="P42" s="38" cm="1">
        <f t="array" ref="P42">ROUND(IF(TRIM(H42)="",IFERROR(MEDIAN(IF($M$2:$M$1500=M42,$H$2:$H$1500)),MEDIAN($H$2:$H$1500)),H42),2)</f>
        <v>2.68</v>
      </c>
      <c r="Q42" s="38" t="str">
        <f t="shared" si="3"/>
        <v>0</v>
      </c>
      <c r="R42" s="39" cm="1">
        <f t="array" ref="R42">IF(OR(TRIM(J42)="",TRIM(J42)="-"),MEDIAN(IF($C$2:$C$1218=C42,$J$2:$J$1218)),VALUE(SUBSTITUTE(SUBSTITUTE(SUBSTITUTE(J42,"Rs. ",""),"₹",""),",","")))</f>
        <v>76193</v>
      </c>
      <c r="S42" s="40">
        <f t="shared" si="1"/>
        <v>0</v>
      </c>
      <c r="T42" s="41">
        <f t="shared" si="4"/>
        <v>0</v>
      </c>
      <c r="U42" s="42">
        <f t="shared" si="5"/>
        <v>76193</v>
      </c>
    </row>
    <row r="43" spans="1:21" x14ac:dyDescent="0.3">
      <c r="A43" s="37" t="s">
        <v>2546</v>
      </c>
      <c r="B43" s="37" t="s">
        <v>2547</v>
      </c>
      <c r="C43" s="37" t="s">
        <v>2407</v>
      </c>
      <c r="D43" s="37" t="s">
        <v>14</v>
      </c>
      <c r="E43" s="37" t="s">
        <v>15</v>
      </c>
      <c r="F43" s="37" t="s">
        <v>30</v>
      </c>
      <c r="G43" s="37" t="s">
        <v>2423</v>
      </c>
      <c r="H43" s="37">
        <v>18.13</v>
      </c>
      <c r="I43" s="37">
        <v>56</v>
      </c>
      <c r="J43" s="37">
        <v>16690</v>
      </c>
      <c r="K43" s="37" t="s">
        <v>149</v>
      </c>
      <c r="L43" s="37">
        <v>20</v>
      </c>
      <c r="M43" s="37" t="str">
        <f t="shared" si="2"/>
        <v>General</v>
      </c>
      <c r="N43" s="37" t="str">
        <f t="shared" si="0"/>
        <v>Insurance</v>
      </c>
      <c r="O43" s="37" t="str" cm="1">
        <f t="array" ref="O43">IF(TRIM(N43)="",INDEX($N$2:$N$1500,MATCH(MAX(COUNTIF($N$2:$N$1500,$N$2:$N$1500)),COUNTIF($N$2:$N$1500,$N$2:$N$1500),0)),N43)</f>
        <v>Insurance</v>
      </c>
      <c r="P43" s="38" cm="1">
        <f t="array" ref="P43">ROUND(IF(TRIM(H43)="",IFERROR(MEDIAN(IF($M$2:$M$1500=M43,$H$2:$H$1500)),MEDIAN($H$2:$H$1500)),H43),2)</f>
        <v>18.13</v>
      </c>
      <c r="Q43" s="38" t="str">
        <f t="shared" si="3"/>
        <v>0</v>
      </c>
      <c r="R43" s="39" cm="1">
        <f t="array" ref="R43">IF(OR(TRIM(J43)="",TRIM(J43)="-"),MEDIAN(IF($C$2:$C$1218=C43,$J$2:$J$1218)),VALUE(SUBSTITUTE(SUBSTITUTE(SUBSTITUTE(J43,"Rs. ",""),"₹",""),",","")))</f>
        <v>16690</v>
      </c>
      <c r="S43" s="40">
        <f t="shared" si="1"/>
        <v>20</v>
      </c>
      <c r="T43" s="41">
        <f t="shared" si="4"/>
        <v>20</v>
      </c>
      <c r="U43" s="42">
        <f t="shared" si="5"/>
        <v>13352</v>
      </c>
    </row>
    <row r="44" spans="1:21" x14ac:dyDescent="0.3">
      <c r="A44" s="37" t="s">
        <v>2548</v>
      </c>
      <c r="B44" s="37" t="s">
        <v>2549</v>
      </c>
      <c r="C44" s="37" t="s">
        <v>2445</v>
      </c>
      <c r="D44" s="37" t="s">
        <v>117</v>
      </c>
      <c r="E44" s="37" t="s">
        <v>118</v>
      </c>
      <c r="F44" s="37" t="s">
        <v>49</v>
      </c>
      <c r="G44" s="37" t="s">
        <v>2435</v>
      </c>
      <c r="H44" s="37">
        <v>15.42</v>
      </c>
      <c r="I44" s="37">
        <v>31</v>
      </c>
      <c r="J44" s="37" t="s">
        <v>2550</v>
      </c>
      <c r="K44" s="37" t="s">
        <v>311</v>
      </c>
      <c r="L44" s="37" t="s">
        <v>130</v>
      </c>
      <c r="M44" s="37" t="str">
        <f t="shared" si="2"/>
        <v>General</v>
      </c>
      <c r="N44" s="37" t="str">
        <f t="shared" si="0"/>
        <v>UPI</v>
      </c>
      <c r="O44" s="37" t="str" cm="1">
        <f t="array" ref="O44">IF(TRIM(N44)="",INDEX($N$2:$N$1500,MATCH(MAX(COUNTIF($N$2:$N$1500,$N$2:$N$1500)),COUNTIF($N$2:$N$1500,$N$2:$N$1500),0)),N44)</f>
        <v>UPI</v>
      </c>
      <c r="P44" s="38" cm="1">
        <f t="array" ref="P44">ROUND(IF(TRIM(H44)="",IFERROR(MEDIAN(IF($M$2:$M$1500=M44,$H$2:$H$1500)),MEDIAN($H$2:$H$1500)),H44),2)</f>
        <v>15.42</v>
      </c>
      <c r="Q44" s="38" t="str">
        <f t="shared" si="3"/>
        <v>0</v>
      </c>
      <c r="R44" s="39" cm="1">
        <f t="array" ref="R44">IF(OR(TRIM(J44)="",TRIM(J44)="-"),MEDIAN(IF($C$2:$C$1218=C44,$J$2:$J$1218)),VALUE(SUBSTITUTE(SUBSTITUTE(SUBSTITUTE(J44,"Rs. ",""),"₹",""),",","")))</f>
        <v>13901</v>
      </c>
      <c r="S44" s="40">
        <f t="shared" si="1"/>
        <v>0</v>
      </c>
      <c r="T44" s="41">
        <f t="shared" si="4"/>
        <v>0</v>
      </c>
      <c r="U44" s="42">
        <f t="shared" si="5"/>
        <v>13901</v>
      </c>
    </row>
    <row r="45" spans="1:21" x14ac:dyDescent="0.3">
      <c r="A45" s="37" t="s">
        <v>2551</v>
      </c>
      <c r="B45" s="37" t="s">
        <v>2552</v>
      </c>
      <c r="C45" s="37" t="s">
        <v>2481</v>
      </c>
      <c r="D45" s="37" t="s">
        <v>14</v>
      </c>
      <c r="E45" s="37" t="s">
        <v>60</v>
      </c>
      <c r="F45" s="37" t="s">
        <v>30</v>
      </c>
      <c r="G45" s="37" t="s">
        <v>2412</v>
      </c>
      <c r="H45" s="37">
        <v>13.68</v>
      </c>
      <c r="I45" s="37">
        <v>42</v>
      </c>
      <c r="J45" s="37" t="s">
        <v>2553</v>
      </c>
      <c r="K45" s="37" t="s">
        <v>72</v>
      </c>
      <c r="L45" s="37" t="s">
        <v>198</v>
      </c>
      <c r="M45" s="37" t="str">
        <f t="shared" si="2"/>
        <v>General</v>
      </c>
      <c r="N45" s="37" t="str">
        <f t="shared" si="0"/>
        <v>Cash</v>
      </c>
      <c r="O45" s="37" t="str" cm="1">
        <f t="array" ref="O45">IF(TRIM(N45)="",INDEX($N$2:$N$1500,MATCH(MAX(COUNTIF($N$2:$N$1500,$N$2:$N$1500)),COUNTIF($N$2:$N$1500,$N$2:$N$1500),0)),N45)</f>
        <v>Cash</v>
      </c>
      <c r="P45" s="38" cm="1">
        <f t="array" ref="P45">ROUND(IF(TRIM(H45)="",IFERROR(MEDIAN(IF($M$2:$M$1500=M45,$H$2:$H$1500)),MEDIAN($H$2:$H$1500)),H45),2)</f>
        <v>13.68</v>
      </c>
      <c r="Q45" s="38" t="str">
        <f t="shared" si="3"/>
        <v>1</v>
      </c>
      <c r="R45" s="39" cm="1">
        <f t="array" ref="R45">IF(OR(TRIM(J45)="",TRIM(J45)="-"),MEDIAN(IF($C$2:$C$1218=C45,$J$2:$J$1218)),VALUE(SUBSTITUTE(SUBSTITUTE(SUBSTITUTE(J45,"Rs. ",""),"₹",""),",","")))</f>
        <v>14687</v>
      </c>
      <c r="S45" s="40">
        <f t="shared" si="1"/>
        <v>5</v>
      </c>
      <c r="T45" s="41">
        <f t="shared" si="4"/>
        <v>5</v>
      </c>
      <c r="U45" s="42">
        <f t="shared" si="5"/>
        <v>13953</v>
      </c>
    </row>
    <row r="46" spans="1:21" x14ac:dyDescent="0.3">
      <c r="A46" s="37" t="s">
        <v>2554</v>
      </c>
      <c r="B46" s="37" t="s">
        <v>2555</v>
      </c>
      <c r="C46" s="37" t="s">
        <v>2504</v>
      </c>
      <c r="D46" s="37" t="s">
        <v>14</v>
      </c>
      <c r="E46" s="37" t="s">
        <v>15</v>
      </c>
      <c r="F46" s="37" t="s">
        <v>30</v>
      </c>
      <c r="G46" s="37" t="s">
        <v>2435</v>
      </c>
      <c r="H46" s="37">
        <v>3.01</v>
      </c>
      <c r="I46" s="37">
        <v>32</v>
      </c>
      <c r="J46" s="37" t="s">
        <v>2556</v>
      </c>
      <c r="K46" s="37" t="s">
        <v>52</v>
      </c>
      <c r="L46" s="37">
        <v>0</v>
      </c>
      <c r="M46" s="37" t="str">
        <f t="shared" si="2"/>
        <v>General</v>
      </c>
      <c r="N46" s="37" t="str">
        <f t="shared" si="0"/>
        <v>Credit Card</v>
      </c>
      <c r="O46" s="37" t="str" cm="1">
        <f t="array" ref="O46">IF(TRIM(N46)="",INDEX($N$2:$N$1500,MATCH(MAX(COUNTIF($N$2:$N$1500,$N$2:$N$1500)),COUNTIF($N$2:$N$1500,$N$2:$N$1500),0)),N46)</f>
        <v>Credit Card</v>
      </c>
      <c r="P46" s="38" cm="1">
        <f t="array" ref="P46">ROUND(IF(TRIM(H46)="",IFERROR(MEDIAN(IF($M$2:$M$1500=M46,$H$2:$H$1500)),MEDIAN($H$2:$H$1500)),H46),2)</f>
        <v>3.01</v>
      </c>
      <c r="Q46" s="38" t="str">
        <f t="shared" si="3"/>
        <v>0</v>
      </c>
      <c r="R46" s="39" cm="1">
        <f t="array" ref="R46">IF(OR(TRIM(J46)="",TRIM(J46)="-"),MEDIAN(IF($C$2:$C$1218=C46,$J$2:$J$1218)),VALUE(SUBSTITUTE(SUBSTITUTE(SUBSTITUTE(J46,"Rs. ",""),"₹",""),",","")))</f>
        <v>9315</v>
      </c>
      <c r="S46" s="40">
        <f t="shared" si="1"/>
        <v>0</v>
      </c>
      <c r="T46" s="41">
        <f t="shared" si="4"/>
        <v>0</v>
      </c>
      <c r="U46" s="42">
        <f t="shared" si="5"/>
        <v>9315</v>
      </c>
    </row>
    <row r="47" spans="1:21" x14ac:dyDescent="0.3">
      <c r="A47" s="37" t="s">
        <v>2557</v>
      </c>
      <c r="B47" s="37" t="s">
        <v>2558</v>
      </c>
      <c r="C47" s="37" t="s">
        <v>2407</v>
      </c>
      <c r="D47" s="37" t="s">
        <v>78</v>
      </c>
      <c r="E47" s="37" t="s">
        <v>79</v>
      </c>
      <c r="F47" s="37" t="s">
        <v>49</v>
      </c>
      <c r="G47" s="37" t="s">
        <v>2408</v>
      </c>
      <c r="H47" s="37">
        <v>22.95</v>
      </c>
      <c r="I47" s="37">
        <v>58</v>
      </c>
      <c r="J47" s="37">
        <v>5102</v>
      </c>
      <c r="K47" s="37" t="s">
        <v>72</v>
      </c>
      <c r="L47" s="37">
        <v>10</v>
      </c>
      <c r="M47" s="37" t="str">
        <f t="shared" si="2"/>
        <v>General</v>
      </c>
      <c r="N47" s="37" t="str">
        <f t="shared" si="0"/>
        <v>Cash</v>
      </c>
      <c r="O47" s="37" t="str" cm="1">
        <f t="array" ref="O47">IF(TRIM(N47)="",INDEX($N$2:$N$1500,MATCH(MAX(COUNTIF($N$2:$N$1500,$N$2:$N$1500)),COUNTIF($N$2:$N$1500,$N$2:$N$1500),0)),N47)</f>
        <v>Cash</v>
      </c>
      <c r="P47" s="38" cm="1">
        <f t="array" ref="P47">ROUND(IF(TRIM(H47)="",IFERROR(MEDIAN(IF($M$2:$M$1500=M47,$H$2:$H$1500)),MEDIAN($H$2:$H$1500)),H47),2)</f>
        <v>22.95</v>
      </c>
      <c r="Q47" s="38" t="str">
        <f t="shared" si="3"/>
        <v>0</v>
      </c>
      <c r="R47" s="39" cm="1">
        <f t="array" ref="R47">IF(OR(TRIM(J47)="",TRIM(J47)="-"),MEDIAN(IF($C$2:$C$1218=C47,$J$2:$J$1218)),VALUE(SUBSTITUTE(SUBSTITUTE(SUBSTITUTE(J47,"Rs. ",""),"₹",""),",","")))</f>
        <v>5102</v>
      </c>
      <c r="S47" s="40">
        <f t="shared" si="1"/>
        <v>10</v>
      </c>
      <c r="T47" s="41">
        <f t="shared" si="4"/>
        <v>10</v>
      </c>
      <c r="U47" s="42">
        <f t="shared" si="5"/>
        <v>4592</v>
      </c>
    </row>
    <row r="48" spans="1:21" x14ac:dyDescent="0.3">
      <c r="A48" s="37" t="s">
        <v>2559</v>
      </c>
      <c r="B48" s="37" t="s">
        <v>2560</v>
      </c>
      <c r="C48" s="37" t="s">
        <v>2561</v>
      </c>
      <c r="D48" s="37" t="s">
        <v>117</v>
      </c>
      <c r="E48" s="37" t="s">
        <v>118</v>
      </c>
      <c r="F48" s="37" t="s">
        <v>101</v>
      </c>
      <c r="G48" s="37" t="s">
        <v>2408</v>
      </c>
      <c r="H48" s="37">
        <v>12.47</v>
      </c>
      <c r="I48" s="37">
        <v>5</v>
      </c>
      <c r="J48" s="37">
        <v>72077</v>
      </c>
      <c r="K48" s="37" t="s">
        <v>58</v>
      </c>
      <c r="L48" s="37" t="s">
        <v>130</v>
      </c>
      <c r="M48" s="37" t="str">
        <f t="shared" si="2"/>
        <v>ICU</v>
      </c>
      <c r="N48" s="37" t="str">
        <f t="shared" si="0"/>
        <v>UPI</v>
      </c>
      <c r="O48" s="37" t="str" cm="1">
        <f t="array" ref="O48">IF(TRIM(N48)="",INDEX($N$2:$N$1500,MATCH(MAX(COUNTIF($N$2:$N$1500,$N$2:$N$1500)),COUNTIF($N$2:$N$1500,$N$2:$N$1500),0)),N48)</f>
        <v>UPI</v>
      </c>
      <c r="P48" s="38" cm="1">
        <f t="array" ref="P48">ROUND(IF(TRIM(H48)="",IFERROR(MEDIAN(IF($M$2:$M$1500=M48,$H$2:$H$1500)),MEDIAN($H$2:$H$1500)),H48),2)</f>
        <v>12.47</v>
      </c>
      <c r="Q48" s="38" t="str">
        <f t="shared" si="3"/>
        <v>0</v>
      </c>
      <c r="R48" s="39" cm="1">
        <f t="array" ref="R48">IF(OR(TRIM(J48)="",TRIM(J48)="-"),MEDIAN(IF($C$2:$C$1218=C48,$J$2:$J$1218)),VALUE(SUBSTITUTE(SUBSTITUTE(SUBSTITUTE(J48,"Rs. ",""),"₹",""),",","")))</f>
        <v>72077</v>
      </c>
      <c r="S48" s="40">
        <f t="shared" si="1"/>
        <v>0</v>
      </c>
      <c r="T48" s="41">
        <f t="shared" si="4"/>
        <v>0</v>
      </c>
      <c r="U48" s="42">
        <f t="shared" si="5"/>
        <v>72077</v>
      </c>
    </row>
    <row r="49" spans="1:21" x14ac:dyDescent="0.3">
      <c r="A49" s="37" t="s">
        <v>2562</v>
      </c>
      <c r="B49" s="37" t="s">
        <v>2563</v>
      </c>
      <c r="C49" s="37" t="s">
        <v>2536</v>
      </c>
      <c r="D49" s="37" t="s">
        <v>14</v>
      </c>
      <c r="E49" s="37" t="s">
        <v>60</v>
      </c>
      <c r="F49" s="37" t="s">
        <v>69</v>
      </c>
      <c r="G49" s="37" t="s">
        <v>2477</v>
      </c>
      <c r="H49" s="37">
        <v>21.61</v>
      </c>
      <c r="I49" s="37">
        <v>12</v>
      </c>
      <c r="J49" s="37">
        <v>20868</v>
      </c>
      <c r="K49" s="37" t="s">
        <v>91</v>
      </c>
      <c r="L49" s="37" t="s">
        <v>140</v>
      </c>
      <c r="M49" s="37" t="str">
        <f t="shared" si="2"/>
        <v>ICU</v>
      </c>
      <c r="N49" s="37" t="str">
        <f t="shared" si="0"/>
        <v>Debit Card</v>
      </c>
      <c r="O49" s="37" t="str" cm="1">
        <f t="array" ref="O49">IF(TRIM(N49)="",INDEX($N$2:$N$1500,MATCH(MAX(COUNTIF($N$2:$N$1500,$N$2:$N$1500)),COUNTIF($N$2:$N$1500,$N$2:$N$1500),0)),N49)</f>
        <v>Debit Card</v>
      </c>
      <c r="P49" s="38" cm="1">
        <f t="array" ref="P49">ROUND(IF(TRIM(H49)="",IFERROR(MEDIAN(IF($M$2:$M$1500=M49,$H$2:$H$1500)),MEDIAN($H$2:$H$1500)),H49),2)</f>
        <v>21.61</v>
      </c>
      <c r="Q49" s="38" t="str">
        <f t="shared" si="3"/>
        <v>0</v>
      </c>
      <c r="R49" s="39" cm="1">
        <f t="array" ref="R49">IF(OR(TRIM(J49)="",TRIM(J49)="-"),MEDIAN(IF($C$2:$C$1218=C49,$J$2:$J$1218)),VALUE(SUBSTITUTE(SUBSTITUTE(SUBSTITUTE(J49,"Rs. ",""),"₹",""),",","")))</f>
        <v>20868</v>
      </c>
      <c r="S49" s="40" t="str">
        <f t="shared" si="1"/>
        <v>-</v>
      </c>
      <c r="T49" s="41">
        <f t="shared" si="4"/>
        <v>3</v>
      </c>
      <c r="U49" s="42">
        <f t="shared" si="5"/>
        <v>20242</v>
      </c>
    </row>
    <row r="50" spans="1:21" x14ac:dyDescent="0.3">
      <c r="A50" s="37" t="s">
        <v>2564</v>
      </c>
      <c r="B50" s="37" t="s">
        <v>2565</v>
      </c>
      <c r="C50" s="37" t="s">
        <v>2561</v>
      </c>
      <c r="D50" s="37" t="s">
        <v>106</v>
      </c>
      <c r="E50" s="37" t="s">
        <v>107</v>
      </c>
      <c r="F50" s="37" t="s">
        <v>69</v>
      </c>
      <c r="G50" s="37" t="s">
        <v>2408</v>
      </c>
      <c r="H50" s="37"/>
      <c r="I50" s="37">
        <v>36</v>
      </c>
      <c r="J50" s="37">
        <v>50073</v>
      </c>
      <c r="K50" s="37" t="s">
        <v>34</v>
      </c>
      <c r="L50" s="37">
        <v>0</v>
      </c>
      <c r="M50" s="37" t="str">
        <f t="shared" si="2"/>
        <v>ICU</v>
      </c>
      <c r="N50" s="37" t="str">
        <f t="shared" si="0"/>
        <v>Cash</v>
      </c>
      <c r="O50" s="37" t="str" cm="1">
        <f t="array" ref="O50">IF(TRIM(N50)="",INDEX($N$2:$N$1500,MATCH(MAX(COUNTIF($N$2:$N$1500,$N$2:$N$1500)),COUNTIF($N$2:$N$1500,$N$2:$N$1500),0)),N50)</f>
        <v>Cash</v>
      </c>
      <c r="P50" s="38" cm="1">
        <f t="array" ref="P50">ROUND(IF(TRIM(H50)="",IFERROR(MEDIAN(IF($M$2:$M$1500=M50,$H$2:$H$1500)),MEDIAN($H$2:$H$1500)),H50),2)</f>
        <v>12.21</v>
      </c>
      <c r="Q50" s="38" t="str">
        <f t="shared" si="3"/>
        <v>0</v>
      </c>
      <c r="R50" s="39" cm="1">
        <f t="array" ref="R50">IF(OR(TRIM(J50)="",TRIM(J50)="-"),MEDIAN(IF($C$2:$C$1218=C50,$J$2:$J$1218)),VALUE(SUBSTITUTE(SUBSTITUTE(SUBSTITUTE(J50,"Rs. ",""),"₹",""),",","")))</f>
        <v>50073</v>
      </c>
      <c r="S50" s="40">
        <f t="shared" si="1"/>
        <v>0</v>
      </c>
      <c r="T50" s="41">
        <f t="shared" si="4"/>
        <v>0</v>
      </c>
      <c r="U50" s="42">
        <f t="shared" si="5"/>
        <v>50073</v>
      </c>
    </row>
    <row r="51" spans="1:21" x14ac:dyDescent="0.3">
      <c r="A51" s="37" t="s">
        <v>2566</v>
      </c>
      <c r="B51" s="37" t="s">
        <v>2567</v>
      </c>
      <c r="C51" s="37" t="s">
        <v>2415</v>
      </c>
      <c r="D51" s="37" t="s">
        <v>14</v>
      </c>
      <c r="E51" s="37" t="s">
        <v>60</v>
      </c>
      <c r="F51" s="37" t="s">
        <v>30</v>
      </c>
      <c r="G51" s="37" t="s">
        <v>2450</v>
      </c>
      <c r="H51" s="37">
        <v>10.99</v>
      </c>
      <c r="I51" s="37">
        <v>31</v>
      </c>
      <c r="J51" s="37" t="s">
        <v>2568</v>
      </c>
      <c r="K51" s="37"/>
      <c r="L51" s="37">
        <v>5</v>
      </c>
      <c r="M51" s="37" t="str">
        <f t="shared" si="2"/>
        <v>General</v>
      </c>
      <c r="N51" s="37" t="str">
        <f t="shared" si="0"/>
        <v>Unknown</v>
      </c>
      <c r="O51" s="37" t="str" cm="1">
        <f t="array" ref="O51">IF(TRIM(N51)="",INDEX($N$2:$N$1500,MATCH(MAX(COUNTIF($N$2:$N$1500,$N$2:$N$1500)),COUNTIF($N$2:$N$1500,$N$2:$N$1500),0)),N51)</f>
        <v>Unknown</v>
      </c>
      <c r="P51" s="38" cm="1">
        <f t="array" ref="P51">ROUND(IF(TRIM(H51)="",IFERROR(MEDIAN(IF($M$2:$M$1500=M51,$H$2:$H$1500)),MEDIAN($H$2:$H$1500)),H51),2)</f>
        <v>10.99</v>
      </c>
      <c r="Q51" s="38" t="str">
        <f t="shared" si="3"/>
        <v>1</v>
      </c>
      <c r="R51" s="39" cm="1">
        <f t="array" ref="R51">IF(OR(TRIM(J51)="",TRIM(J51)="-"),MEDIAN(IF($C$2:$C$1218=C51,$J$2:$J$1218)),VALUE(SUBSTITUTE(SUBSTITUTE(SUBSTITUTE(J51,"Rs. ",""),"₹",""),",","")))</f>
        <v>9146</v>
      </c>
      <c r="S51" s="40">
        <f t="shared" si="1"/>
        <v>5</v>
      </c>
      <c r="T51" s="41">
        <f t="shared" si="4"/>
        <v>5</v>
      </c>
      <c r="U51" s="42">
        <f t="shared" si="5"/>
        <v>8689</v>
      </c>
    </row>
    <row r="52" spans="1:21" x14ac:dyDescent="0.3">
      <c r="A52" s="37" t="s">
        <v>2569</v>
      </c>
      <c r="B52" s="37" t="s">
        <v>2570</v>
      </c>
      <c r="C52" s="37" t="s">
        <v>2422</v>
      </c>
      <c r="D52" s="37" t="s">
        <v>14</v>
      </c>
      <c r="E52" s="37" t="s">
        <v>60</v>
      </c>
      <c r="F52" s="37" t="s">
        <v>69</v>
      </c>
      <c r="G52" s="37" t="s">
        <v>2435</v>
      </c>
      <c r="H52" s="37">
        <v>9.59</v>
      </c>
      <c r="I52" s="37">
        <v>46</v>
      </c>
      <c r="J52" s="37" t="s">
        <v>2571</v>
      </c>
      <c r="K52" s="37" t="s">
        <v>52</v>
      </c>
      <c r="L52" s="37">
        <v>10</v>
      </c>
      <c r="M52" s="37" t="str">
        <f t="shared" si="2"/>
        <v>ICU</v>
      </c>
      <c r="N52" s="37" t="str">
        <f t="shared" si="0"/>
        <v>Credit Card</v>
      </c>
      <c r="O52" s="37" t="str" cm="1">
        <f t="array" ref="O52">IF(TRIM(N52)="",INDEX($N$2:$N$1500,MATCH(MAX(COUNTIF($N$2:$N$1500,$N$2:$N$1500)),COUNTIF($N$2:$N$1500,$N$2:$N$1500),0)),N52)</f>
        <v>Credit Card</v>
      </c>
      <c r="P52" s="38" cm="1">
        <f t="array" ref="P52">ROUND(IF(TRIM(H52)="",IFERROR(MEDIAN(IF($M$2:$M$1500=M52,$H$2:$H$1500)),MEDIAN($H$2:$H$1500)),H52),2)</f>
        <v>9.59</v>
      </c>
      <c r="Q52" s="38" t="str">
        <f t="shared" si="3"/>
        <v>0</v>
      </c>
      <c r="R52" s="39" cm="1">
        <f t="array" ref="R52">IF(OR(TRIM(J52)="",TRIM(J52)="-"),MEDIAN(IF($C$2:$C$1218=C52,$J$2:$J$1218)),VALUE(SUBSTITUTE(SUBSTITUTE(SUBSTITUTE(J52,"Rs. ",""),"₹",""),",","")))</f>
        <v>71881</v>
      </c>
      <c r="S52" s="40">
        <f t="shared" si="1"/>
        <v>10</v>
      </c>
      <c r="T52" s="41">
        <f t="shared" si="4"/>
        <v>10</v>
      </c>
      <c r="U52" s="42">
        <f t="shared" si="5"/>
        <v>64693</v>
      </c>
    </row>
    <row r="53" spans="1:21" x14ac:dyDescent="0.3">
      <c r="A53" s="37" t="s">
        <v>2572</v>
      </c>
      <c r="B53" s="37" t="s">
        <v>2573</v>
      </c>
      <c r="C53" s="37" t="s">
        <v>2504</v>
      </c>
      <c r="D53" s="37" t="s">
        <v>106</v>
      </c>
      <c r="E53" s="37" t="s">
        <v>307</v>
      </c>
      <c r="F53" s="37" t="s">
        <v>30</v>
      </c>
      <c r="G53" s="37" t="s">
        <v>2435</v>
      </c>
      <c r="H53" s="37">
        <v>20.98</v>
      </c>
      <c r="I53" s="37">
        <v>53</v>
      </c>
      <c r="J53" s="37" t="s">
        <v>2574</v>
      </c>
      <c r="K53" s="37" t="s">
        <v>211</v>
      </c>
      <c r="L53" s="37" t="s">
        <v>130</v>
      </c>
      <c r="M53" s="37" t="str">
        <f t="shared" si="2"/>
        <v>General</v>
      </c>
      <c r="N53" s="37" t="str">
        <f t="shared" si="0"/>
        <v>Credit Card</v>
      </c>
      <c r="O53" s="37" t="str" cm="1">
        <f t="array" ref="O53">IF(TRIM(N53)="",INDEX($N$2:$N$1500,MATCH(MAX(COUNTIF($N$2:$N$1500,$N$2:$N$1500)),COUNTIF($N$2:$N$1500,$N$2:$N$1500),0)),N53)</f>
        <v>Credit Card</v>
      </c>
      <c r="P53" s="38" cm="1">
        <f t="array" ref="P53">ROUND(IF(TRIM(H53)="",IFERROR(MEDIAN(IF($M$2:$M$1500=M53,$H$2:$H$1500)),MEDIAN($H$2:$H$1500)),H53),2)</f>
        <v>20.98</v>
      </c>
      <c r="Q53" s="38" t="str">
        <f t="shared" si="3"/>
        <v>0</v>
      </c>
      <c r="R53" s="39" cm="1">
        <f t="array" ref="R53">IF(OR(TRIM(J53)="",TRIM(J53)="-"),MEDIAN(IF($C$2:$C$1218=C53,$J$2:$J$1218)),VALUE(SUBSTITUTE(SUBSTITUTE(SUBSTITUTE(J53,"Rs. ",""),"₹",""),",","")))</f>
        <v>15323</v>
      </c>
      <c r="S53" s="40">
        <f t="shared" si="1"/>
        <v>0</v>
      </c>
      <c r="T53" s="41">
        <f t="shared" si="4"/>
        <v>0</v>
      </c>
      <c r="U53" s="42">
        <f t="shared" si="5"/>
        <v>15323</v>
      </c>
    </row>
    <row r="54" spans="1:21" x14ac:dyDescent="0.3">
      <c r="A54" s="37" t="s">
        <v>2575</v>
      </c>
      <c r="B54" s="37" t="s">
        <v>2576</v>
      </c>
      <c r="C54" s="37" t="s">
        <v>2577</v>
      </c>
      <c r="D54" s="37" t="s">
        <v>106</v>
      </c>
      <c r="E54" s="37" t="s">
        <v>107</v>
      </c>
      <c r="F54" s="37" t="s">
        <v>19</v>
      </c>
      <c r="G54" s="37" t="s">
        <v>2412</v>
      </c>
      <c r="H54" s="37">
        <v>5.92</v>
      </c>
      <c r="I54" s="37" t="s">
        <v>140</v>
      </c>
      <c r="J54" s="37" t="s">
        <v>2578</v>
      </c>
      <c r="K54" s="37" t="s">
        <v>97</v>
      </c>
      <c r="L54" s="37">
        <v>0</v>
      </c>
      <c r="M54" s="37" t="str">
        <f t="shared" si="2"/>
        <v>General</v>
      </c>
      <c r="N54" s="37" t="str">
        <f t="shared" si="0"/>
        <v>UPI</v>
      </c>
      <c r="O54" s="37" t="str" cm="1">
        <f t="array" ref="O54">IF(TRIM(N54)="",INDEX($N$2:$N$1500,MATCH(MAX(COUNTIF($N$2:$N$1500,$N$2:$N$1500)),COUNTIF($N$2:$N$1500,$N$2:$N$1500),0)),N54)</f>
        <v>UPI</v>
      </c>
      <c r="P54" s="38" cm="1">
        <f t="array" ref="P54">ROUND(IF(TRIM(H54)="",IFERROR(MEDIAN(IF($M$2:$M$1500=M54,$H$2:$H$1500)),MEDIAN($H$2:$H$1500)),H54),2)</f>
        <v>5.92</v>
      </c>
      <c r="Q54" s="38" t="str">
        <f t="shared" si="3"/>
        <v>1</v>
      </c>
      <c r="R54" s="39" cm="1">
        <f t="array" ref="R54">IF(OR(TRIM(J54)="",TRIM(J54)="-"),MEDIAN(IF($C$2:$C$1218=C54,$J$2:$J$1218)),VALUE(SUBSTITUTE(SUBSTITUTE(SUBSTITUTE(J54,"Rs. ",""),"₹",""),",","")))</f>
        <v>10945</v>
      </c>
      <c r="S54" s="40">
        <f t="shared" si="1"/>
        <v>0</v>
      </c>
      <c r="T54" s="41">
        <f t="shared" si="4"/>
        <v>0</v>
      </c>
      <c r="U54" s="42">
        <f t="shared" si="5"/>
        <v>10945</v>
      </c>
    </row>
    <row r="55" spans="1:21" x14ac:dyDescent="0.3">
      <c r="A55" s="37" t="s">
        <v>2579</v>
      </c>
      <c r="B55" s="37" t="s">
        <v>2580</v>
      </c>
      <c r="C55" s="37" t="s">
        <v>2449</v>
      </c>
      <c r="D55" s="37" t="s">
        <v>78</v>
      </c>
      <c r="E55" s="37" t="s">
        <v>161</v>
      </c>
      <c r="F55" s="37" t="s">
        <v>39</v>
      </c>
      <c r="G55" s="37" t="s">
        <v>2428</v>
      </c>
      <c r="H55" s="37">
        <v>14.24</v>
      </c>
      <c r="I55" s="37">
        <v>49</v>
      </c>
      <c r="J55" s="37">
        <v>17041</v>
      </c>
      <c r="K55" s="37" t="s">
        <v>115</v>
      </c>
      <c r="L55" s="37">
        <v>0</v>
      </c>
      <c r="M55" s="37" t="str">
        <f t="shared" si="2"/>
        <v>General</v>
      </c>
      <c r="N55" s="37" t="str">
        <f t="shared" si="0"/>
        <v>Cash</v>
      </c>
      <c r="O55" s="37" t="str" cm="1">
        <f t="array" ref="O55">IF(TRIM(N55)="",INDEX($N$2:$N$1500,MATCH(MAX(COUNTIF($N$2:$N$1500,$N$2:$N$1500)),COUNTIF($N$2:$N$1500,$N$2:$N$1500),0)),N55)</f>
        <v>Cash</v>
      </c>
      <c r="P55" s="38" cm="1">
        <f t="array" ref="P55">ROUND(IF(TRIM(H55)="",IFERROR(MEDIAN(IF($M$2:$M$1500=M55,$H$2:$H$1500)),MEDIAN($H$2:$H$1500)),H55),2)</f>
        <v>14.24</v>
      </c>
      <c r="Q55" s="38" t="str">
        <f t="shared" si="3"/>
        <v>2</v>
      </c>
      <c r="R55" s="39" cm="1">
        <f t="array" ref="R55">IF(OR(TRIM(J55)="",TRIM(J55)="-"),MEDIAN(IF($C$2:$C$1218=C55,$J$2:$J$1218)),VALUE(SUBSTITUTE(SUBSTITUTE(SUBSTITUTE(J55,"Rs. ",""),"₹",""),",","")))</f>
        <v>17041</v>
      </c>
      <c r="S55" s="40">
        <f t="shared" si="1"/>
        <v>0</v>
      </c>
      <c r="T55" s="41">
        <f t="shared" si="4"/>
        <v>0</v>
      </c>
      <c r="U55" s="42">
        <f t="shared" si="5"/>
        <v>17041</v>
      </c>
    </row>
    <row r="56" spans="1:21" x14ac:dyDescent="0.3">
      <c r="A56" s="37" t="s">
        <v>2581</v>
      </c>
      <c r="B56" s="37" t="s">
        <v>2582</v>
      </c>
      <c r="C56" s="37" t="s">
        <v>2434</v>
      </c>
      <c r="D56" s="37" t="s">
        <v>45</v>
      </c>
      <c r="E56" s="37" t="s">
        <v>46</v>
      </c>
      <c r="F56" s="37" t="s">
        <v>39</v>
      </c>
      <c r="G56" s="37" t="s">
        <v>2450</v>
      </c>
      <c r="H56" s="37">
        <v>3.9</v>
      </c>
      <c r="I56" s="37" t="s">
        <v>140</v>
      </c>
      <c r="J56" s="37">
        <v>6952</v>
      </c>
      <c r="K56" s="37" t="s">
        <v>83</v>
      </c>
      <c r="L56" s="37" t="s">
        <v>64</v>
      </c>
      <c r="M56" s="37" t="str">
        <f t="shared" si="2"/>
        <v>General</v>
      </c>
      <c r="N56" s="37" t="str">
        <f t="shared" si="0"/>
        <v>Debit Card</v>
      </c>
      <c r="O56" s="37" t="str" cm="1">
        <f t="array" ref="O56">IF(TRIM(N56)="",INDEX($N$2:$N$1500,MATCH(MAX(COUNTIF($N$2:$N$1500,$N$2:$N$1500)),COUNTIF($N$2:$N$1500,$N$2:$N$1500),0)),N56)</f>
        <v>Debit Card</v>
      </c>
      <c r="P56" s="38" cm="1">
        <f t="array" ref="P56">ROUND(IF(TRIM(H56)="",IFERROR(MEDIAN(IF($M$2:$M$1500=M56,$H$2:$H$1500)),MEDIAN($H$2:$H$1500)),H56),2)</f>
        <v>3.9</v>
      </c>
      <c r="Q56" s="38" t="str">
        <f t="shared" si="3"/>
        <v>1</v>
      </c>
      <c r="R56" s="39" cm="1">
        <f t="array" ref="R56">IF(OR(TRIM(J56)="",TRIM(J56)="-"),MEDIAN(IF($C$2:$C$1218=C56,$J$2:$J$1218)),VALUE(SUBSTITUTE(SUBSTITUTE(SUBSTITUTE(J56,"Rs. ",""),"₹",""),",","")))</f>
        <v>6952</v>
      </c>
      <c r="S56" s="40" t="str">
        <f t="shared" si="1"/>
        <v>NA</v>
      </c>
      <c r="T56" s="41">
        <f t="shared" si="4"/>
        <v>3</v>
      </c>
      <c r="U56" s="42">
        <f t="shared" si="5"/>
        <v>6743</v>
      </c>
    </row>
    <row r="57" spans="1:21" x14ac:dyDescent="0.3">
      <c r="A57" s="37" t="s">
        <v>2583</v>
      </c>
      <c r="B57" s="37" t="s">
        <v>2584</v>
      </c>
      <c r="C57" s="37" t="s">
        <v>2473</v>
      </c>
      <c r="D57" s="37" t="s">
        <v>45</v>
      </c>
      <c r="E57" s="37" t="s">
        <v>46</v>
      </c>
      <c r="F57" s="37" t="s">
        <v>101</v>
      </c>
      <c r="G57" s="37" t="s">
        <v>2450</v>
      </c>
      <c r="H57" s="37">
        <v>9.44</v>
      </c>
      <c r="I57" s="37">
        <v>5</v>
      </c>
      <c r="J57" s="37">
        <v>84269</v>
      </c>
      <c r="K57" s="37" t="s">
        <v>42</v>
      </c>
      <c r="L57" s="37" t="s">
        <v>886</v>
      </c>
      <c r="M57" s="37" t="str">
        <f t="shared" si="2"/>
        <v>ICU</v>
      </c>
      <c r="N57" s="37" t="str">
        <f t="shared" si="0"/>
        <v>Insurance</v>
      </c>
      <c r="O57" s="37" t="str" cm="1">
        <f t="array" ref="O57">IF(TRIM(N57)="",INDEX($N$2:$N$1500,MATCH(MAX(COUNTIF($N$2:$N$1500,$N$2:$N$1500)),COUNTIF($N$2:$N$1500,$N$2:$N$1500),0)),N57)</f>
        <v>Insurance</v>
      </c>
      <c r="P57" s="38" cm="1">
        <f t="array" ref="P57">ROUND(IF(TRIM(H57)="",IFERROR(MEDIAN(IF($M$2:$M$1500=M57,$H$2:$H$1500)),MEDIAN($H$2:$H$1500)),H57),2)</f>
        <v>9.44</v>
      </c>
      <c r="Q57" s="38" t="str">
        <f t="shared" si="3"/>
        <v>1</v>
      </c>
      <c r="R57" s="39" cm="1">
        <f t="array" ref="R57">IF(OR(TRIM(J57)="",TRIM(J57)="-"),MEDIAN(IF($C$2:$C$1218=C57,$J$2:$J$1218)),VALUE(SUBSTITUTE(SUBSTITUTE(SUBSTITUTE(J57,"Rs. ",""),"₹",""),",","")))</f>
        <v>84269</v>
      </c>
      <c r="S57" s="40">
        <f t="shared" si="1"/>
        <v>15</v>
      </c>
      <c r="T57" s="41">
        <f t="shared" si="4"/>
        <v>15</v>
      </c>
      <c r="U57" s="42">
        <f t="shared" si="5"/>
        <v>71629</v>
      </c>
    </row>
    <row r="58" spans="1:21" x14ac:dyDescent="0.3">
      <c r="A58" s="37" t="s">
        <v>2585</v>
      </c>
      <c r="B58" s="37" t="s">
        <v>2586</v>
      </c>
      <c r="C58" s="37" t="s">
        <v>2577</v>
      </c>
      <c r="D58" s="37" t="s">
        <v>45</v>
      </c>
      <c r="E58" s="37" t="s">
        <v>334</v>
      </c>
      <c r="F58" s="37" t="s">
        <v>49</v>
      </c>
      <c r="G58" s="37" t="s">
        <v>2455</v>
      </c>
      <c r="H58" s="37">
        <v>2.36</v>
      </c>
      <c r="I58" s="37">
        <v>43</v>
      </c>
      <c r="J58" s="37" t="s">
        <v>2587</v>
      </c>
      <c r="K58" s="37" t="s">
        <v>104</v>
      </c>
      <c r="L58" s="37">
        <v>18</v>
      </c>
      <c r="M58" s="37" t="str">
        <f t="shared" si="2"/>
        <v>General</v>
      </c>
      <c r="N58" s="37" t="str">
        <f t="shared" si="0"/>
        <v>Insurance</v>
      </c>
      <c r="O58" s="37" t="str" cm="1">
        <f t="array" ref="O58">IF(TRIM(N58)="",INDEX($N$2:$N$1500,MATCH(MAX(COUNTIF($N$2:$N$1500,$N$2:$N$1500)),COUNTIF($N$2:$N$1500,$N$2:$N$1500),0)),N58)</f>
        <v>Insurance</v>
      </c>
      <c r="P58" s="38" cm="1">
        <f t="array" ref="P58">ROUND(IF(TRIM(H58)="",IFERROR(MEDIAN(IF($M$2:$M$1500=M58,$H$2:$H$1500)),MEDIAN($H$2:$H$1500)),H58),2)</f>
        <v>2.36</v>
      </c>
      <c r="Q58" s="38" t="str">
        <f t="shared" si="3"/>
        <v>1</v>
      </c>
      <c r="R58" s="39" cm="1">
        <f t="array" ref="R58">IF(OR(TRIM(J58)="",TRIM(J58)="-"),MEDIAN(IF($C$2:$C$1218=C58,$J$2:$J$1218)),VALUE(SUBSTITUTE(SUBSTITUTE(SUBSTITUTE(J58,"Rs. ",""),"₹",""),",","")))</f>
        <v>12083</v>
      </c>
      <c r="S58" s="40">
        <f t="shared" si="1"/>
        <v>18</v>
      </c>
      <c r="T58" s="41">
        <f t="shared" si="4"/>
        <v>18</v>
      </c>
      <c r="U58" s="42">
        <f t="shared" si="5"/>
        <v>9908</v>
      </c>
    </row>
    <row r="59" spans="1:21" x14ac:dyDescent="0.3">
      <c r="A59" s="37" t="s">
        <v>2588</v>
      </c>
      <c r="B59" s="37" t="s">
        <v>2589</v>
      </c>
      <c r="C59" s="37" t="s">
        <v>2449</v>
      </c>
      <c r="D59" s="37" t="s">
        <v>45</v>
      </c>
      <c r="E59" s="37" t="s">
        <v>46</v>
      </c>
      <c r="F59" s="37" t="s">
        <v>69</v>
      </c>
      <c r="G59" s="37" t="s">
        <v>2412</v>
      </c>
      <c r="H59" s="37">
        <v>11.48</v>
      </c>
      <c r="I59" s="37">
        <v>46</v>
      </c>
      <c r="J59" s="37">
        <v>26122</v>
      </c>
      <c r="K59" s="37" t="s">
        <v>72</v>
      </c>
      <c r="L59" s="37"/>
      <c r="M59" s="37" t="str">
        <f t="shared" si="2"/>
        <v>ICU</v>
      </c>
      <c r="N59" s="37" t="str">
        <f t="shared" si="0"/>
        <v>Cash</v>
      </c>
      <c r="O59" s="37" t="str" cm="1">
        <f t="array" ref="O59">IF(TRIM(N59)="",INDEX($N$2:$N$1500,MATCH(MAX(COUNTIF($N$2:$N$1500,$N$2:$N$1500)),COUNTIF($N$2:$N$1500,$N$2:$N$1500),0)),N59)</f>
        <v>Cash</v>
      </c>
      <c r="P59" s="38" cm="1">
        <f t="array" ref="P59">ROUND(IF(TRIM(H59)="",IFERROR(MEDIAN(IF($M$2:$M$1500=M59,$H$2:$H$1500)),MEDIAN($H$2:$H$1500)),H59),2)</f>
        <v>11.48</v>
      </c>
      <c r="Q59" s="38" t="str">
        <f t="shared" si="3"/>
        <v>1</v>
      </c>
      <c r="R59" s="39" cm="1">
        <f t="array" ref="R59">IF(OR(TRIM(J59)="",TRIM(J59)="-"),MEDIAN(IF($C$2:$C$1218=C59,$J$2:$J$1218)),VALUE(SUBSTITUTE(SUBSTITUTE(SUBSTITUTE(J59,"Rs. ",""),"₹",""),",","")))</f>
        <v>26122</v>
      </c>
      <c r="S59" s="40">
        <f t="shared" si="1"/>
        <v>0</v>
      </c>
      <c r="T59" s="41">
        <f t="shared" si="4"/>
        <v>0</v>
      </c>
      <c r="U59" s="42">
        <f t="shared" si="5"/>
        <v>26122</v>
      </c>
    </row>
    <row r="60" spans="1:21" x14ac:dyDescent="0.3">
      <c r="A60" s="37" t="s">
        <v>2590</v>
      </c>
      <c r="B60" s="37" t="s">
        <v>2591</v>
      </c>
      <c r="C60" s="37" t="s">
        <v>2445</v>
      </c>
      <c r="D60" s="37" t="s">
        <v>78</v>
      </c>
      <c r="E60" s="37" t="s">
        <v>79</v>
      </c>
      <c r="F60" s="37" t="s">
        <v>19</v>
      </c>
      <c r="G60" s="37" t="s">
        <v>2450</v>
      </c>
      <c r="H60" s="37">
        <v>13.74</v>
      </c>
      <c r="I60" s="37">
        <v>49</v>
      </c>
      <c r="J60" s="37" t="s">
        <v>2592</v>
      </c>
      <c r="K60" s="37" t="s">
        <v>115</v>
      </c>
      <c r="L60" s="37" t="s">
        <v>64</v>
      </c>
      <c r="M60" s="37" t="str">
        <f t="shared" si="2"/>
        <v>General</v>
      </c>
      <c r="N60" s="37" t="str">
        <f t="shared" si="0"/>
        <v>Cash</v>
      </c>
      <c r="O60" s="37" t="str" cm="1">
        <f t="array" ref="O60">IF(TRIM(N60)="",INDEX($N$2:$N$1500,MATCH(MAX(COUNTIF($N$2:$N$1500,$N$2:$N$1500)),COUNTIF($N$2:$N$1500,$N$2:$N$1500),0)),N60)</f>
        <v>Cash</v>
      </c>
      <c r="P60" s="38" cm="1">
        <f t="array" ref="P60">ROUND(IF(TRIM(H60)="",IFERROR(MEDIAN(IF($M$2:$M$1500=M60,$H$2:$H$1500)),MEDIAN($H$2:$H$1500)),H60),2)</f>
        <v>13.74</v>
      </c>
      <c r="Q60" s="38" t="str">
        <f t="shared" si="3"/>
        <v>1</v>
      </c>
      <c r="R60" s="39" cm="1">
        <f t="array" ref="R60">IF(OR(TRIM(J60)="",TRIM(J60)="-"),MEDIAN(IF($C$2:$C$1218=C60,$J$2:$J$1218)),VALUE(SUBSTITUTE(SUBSTITUTE(SUBSTITUTE(J60,"Rs. ",""),"₹",""),",","")))</f>
        <v>11747</v>
      </c>
      <c r="S60" s="40" t="str">
        <f t="shared" si="1"/>
        <v>NA</v>
      </c>
      <c r="T60" s="41">
        <f t="shared" si="4"/>
        <v>2</v>
      </c>
      <c r="U60" s="42">
        <f t="shared" si="5"/>
        <v>11512</v>
      </c>
    </row>
    <row r="61" spans="1:21" x14ac:dyDescent="0.3">
      <c r="A61" s="37" t="s">
        <v>2593</v>
      </c>
      <c r="B61" s="37" t="s">
        <v>2594</v>
      </c>
      <c r="C61" s="37" t="s">
        <v>2445</v>
      </c>
      <c r="D61" s="37" t="s">
        <v>45</v>
      </c>
      <c r="E61" s="37" t="s">
        <v>46</v>
      </c>
      <c r="F61" s="37" t="s">
        <v>19</v>
      </c>
      <c r="G61" s="37" t="s">
        <v>2408</v>
      </c>
      <c r="H61" s="37">
        <v>21.08</v>
      </c>
      <c r="I61" s="37">
        <v>58</v>
      </c>
      <c r="J61" s="37" t="s">
        <v>2595</v>
      </c>
      <c r="K61" s="37" t="s">
        <v>83</v>
      </c>
      <c r="L61" s="37">
        <v>0</v>
      </c>
      <c r="M61" s="37" t="str">
        <f t="shared" si="2"/>
        <v>General</v>
      </c>
      <c r="N61" s="37" t="str">
        <f t="shared" si="0"/>
        <v>Debit Card</v>
      </c>
      <c r="O61" s="37" t="str" cm="1">
        <f t="array" ref="O61">IF(TRIM(N61)="",INDEX($N$2:$N$1500,MATCH(MAX(COUNTIF($N$2:$N$1500,$N$2:$N$1500)),COUNTIF($N$2:$N$1500,$N$2:$N$1500),0)),N61)</f>
        <v>Debit Card</v>
      </c>
      <c r="P61" s="38" cm="1">
        <f t="array" ref="P61">ROUND(IF(TRIM(H61)="",IFERROR(MEDIAN(IF($M$2:$M$1500=M61,$H$2:$H$1500)),MEDIAN($H$2:$H$1500)),H61),2)</f>
        <v>21.08</v>
      </c>
      <c r="Q61" s="38" t="str">
        <f t="shared" si="3"/>
        <v>0</v>
      </c>
      <c r="R61" s="39" cm="1">
        <f t="array" ref="R61">IF(OR(TRIM(J61)="",TRIM(J61)="-"),MEDIAN(IF($C$2:$C$1218=C61,$J$2:$J$1218)),VALUE(SUBSTITUTE(SUBSTITUTE(SUBSTITUTE(J61,"Rs. ",""),"₹",""),",","")))</f>
        <v>17681</v>
      </c>
      <c r="S61" s="40">
        <f t="shared" si="1"/>
        <v>0</v>
      </c>
      <c r="T61" s="41">
        <f t="shared" si="4"/>
        <v>0</v>
      </c>
      <c r="U61" s="42">
        <f t="shared" si="5"/>
        <v>17681</v>
      </c>
    </row>
    <row r="62" spans="1:21" x14ac:dyDescent="0.3">
      <c r="A62" s="37" t="s">
        <v>2596</v>
      </c>
      <c r="B62" s="37" t="s">
        <v>2597</v>
      </c>
      <c r="C62" s="37" t="s">
        <v>2577</v>
      </c>
      <c r="D62" s="37" t="s">
        <v>106</v>
      </c>
      <c r="E62" s="37" t="s">
        <v>307</v>
      </c>
      <c r="F62" s="37" t="s">
        <v>19</v>
      </c>
      <c r="G62" s="37" t="s">
        <v>2435</v>
      </c>
      <c r="H62" s="37">
        <v>18.93</v>
      </c>
      <c r="I62" s="37">
        <v>36</v>
      </c>
      <c r="J62" s="37">
        <v>14312</v>
      </c>
      <c r="K62" s="37" t="s">
        <v>87</v>
      </c>
      <c r="L62" s="37">
        <v>0</v>
      </c>
      <c r="M62" s="37" t="str">
        <f t="shared" si="2"/>
        <v>General</v>
      </c>
      <c r="N62" s="37" t="str">
        <f t="shared" si="0"/>
        <v>Credit Card</v>
      </c>
      <c r="O62" s="37" t="str" cm="1">
        <f t="array" ref="O62">IF(TRIM(N62)="",INDEX($N$2:$N$1500,MATCH(MAX(COUNTIF($N$2:$N$1500,$N$2:$N$1500)),COUNTIF($N$2:$N$1500,$N$2:$N$1500),0)),N62)</f>
        <v>Credit Card</v>
      </c>
      <c r="P62" s="38" cm="1">
        <f t="array" ref="P62">ROUND(IF(TRIM(H62)="",IFERROR(MEDIAN(IF($M$2:$M$1500=M62,$H$2:$H$1500)),MEDIAN($H$2:$H$1500)),H62),2)</f>
        <v>18.93</v>
      </c>
      <c r="Q62" s="38" t="str">
        <f t="shared" si="3"/>
        <v>0</v>
      </c>
      <c r="R62" s="39" cm="1">
        <f t="array" ref="R62">IF(OR(TRIM(J62)="",TRIM(J62)="-"),MEDIAN(IF($C$2:$C$1218=C62,$J$2:$J$1218)),VALUE(SUBSTITUTE(SUBSTITUTE(SUBSTITUTE(J62,"Rs. ",""),"₹",""),",","")))</f>
        <v>14312</v>
      </c>
      <c r="S62" s="40">
        <f t="shared" si="1"/>
        <v>0</v>
      </c>
      <c r="T62" s="41">
        <f t="shared" si="4"/>
        <v>0</v>
      </c>
      <c r="U62" s="42">
        <f t="shared" si="5"/>
        <v>14312</v>
      </c>
    </row>
    <row r="63" spans="1:21" x14ac:dyDescent="0.3">
      <c r="A63" s="37" t="s">
        <v>2598</v>
      </c>
      <c r="B63" s="37" t="s">
        <v>2599</v>
      </c>
      <c r="C63" s="37" t="s">
        <v>2577</v>
      </c>
      <c r="D63" s="37" t="s">
        <v>117</v>
      </c>
      <c r="E63" s="37" t="s">
        <v>182</v>
      </c>
      <c r="F63" s="37" t="s">
        <v>39</v>
      </c>
      <c r="G63" s="37" t="s">
        <v>2408</v>
      </c>
      <c r="H63" s="37">
        <v>6.38</v>
      </c>
      <c r="I63" s="37">
        <v>57</v>
      </c>
      <c r="J63" s="37">
        <v>14578</v>
      </c>
      <c r="K63" s="37" t="s">
        <v>72</v>
      </c>
      <c r="L63" s="37" t="s">
        <v>198</v>
      </c>
      <c r="M63" s="37" t="str">
        <f t="shared" si="2"/>
        <v>General</v>
      </c>
      <c r="N63" s="37" t="str">
        <f t="shared" si="0"/>
        <v>Cash</v>
      </c>
      <c r="O63" s="37" t="str" cm="1">
        <f t="array" ref="O63">IF(TRIM(N63)="",INDEX($N$2:$N$1500,MATCH(MAX(COUNTIF($N$2:$N$1500,$N$2:$N$1500)),COUNTIF($N$2:$N$1500,$N$2:$N$1500),0)),N63)</f>
        <v>Cash</v>
      </c>
      <c r="P63" s="38" cm="1">
        <f t="array" ref="P63">ROUND(IF(TRIM(H63)="",IFERROR(MEDIAN(IF($M$2:$M$1500=M63,$H$2:$H$1500)),MEDIAN($H$2:$H$1500)),H63),2)</f>
        <v>6.38</v>
      </c>
      <c r="Q63" s="38" t="str">
        <f t="shared" si="3"/>
        <v>0</v>
      </c>
      <c r="R63" s="39" cm="1">
        <f t="array" ref="R63">IF(OR(TRIM(J63)="",TRIM(J63)="-"),MEDIAN(IF($C$2:$C$1218=C63,$J$2:$J$1218)),VALUE(SUBSTITUTE(SUBSTITUTE(SUBSTITUTE(J63,"Rs. ",""),"₹",""),",","")))</f>
        <v>14578</v>
      </c>
      <c r="S63" s="40">
        <f t="shared" si="1"/>
        <v>5</v>
      </c>
      <c r="T63" s="41">
        <f t="shared" si="4"/>
        <v>5</v>
      </c>
      <c r="U63" s="42">
        <f t="shared" si="5"/>
        <v>13849</v>
      </c>
    </row>
    <row r="64" spans="1:21" x14ac:dyDescent="0.3">
      <c r="A64" s="37" t="s">
        <v>2600</v>
      </c>
      <c r="B64" s="37" t="s">
        <v>2601</v>
      </c>
      <c r="C64" s="37" t="s">
        <v>2431</v>
      </c>
      <c r="D64" s="37" t="s">
        <v>25</v>
      </c>
      <c r="E64" s="37" t="s">
        <v>54</v>
      </c>
      <c r="F64" s="37" t="s">
        <v>19</v>
      </c>
      <c r="G64" s="37" t="s">
        <v>2435</v>
      </c>
      <c r="H64" s="37">
        <v>18.18</v>
      </c>
      <c r="I64" s="37">
        <v>27</v>
      </c>
      <c r="J64" s="37" t="s">
        <v>2602</v>
      </c>
      <c r="K64" s="37" t="s">
        <v>311</v>
      </c>
      <c r="L64" s="37" t="s">
        <v>130</v>
      </c>
      <c r="M64" s="37" t="str">
        <f t="shared" si="2"/>
        <v>General</v>
      </c>
      <c r="N64" s="37" t="str">
        <f t="shared" si="0"/>
        <v>UPI</v>
      </c>
      <c r="O64" s="37" t="str" cm="1">
        <f t="array" ref="O64">IF(TRIM(N64)="",INDEX($N$2:$N$1500,MATCH(MAX(COUNTIF($N$2:$N$1500,$N$2:$N$1500)),COUNTIF($N$2:$N$1500,$N$2:$N$1500),0)),N64)</f>
        <v>UPI</v>
      </c>
      <c r="P64" s="38" cm="1">
        <f t="array" ref="P64">ROUND(IF(TRIM(H64)="",IFERROR(MEDIAN(IF($M$2:$M$1500=M64,$H$2:$H$1500)),MEDIAN($H$2:$H$1500)),H64),2)</f>
        <v>18.18</v>
      </c>
      <c r="Q64" s="38" t="str">
        <f t="shared" si="3"/>
        <v>0</v>
      </c>
      <c r="R64" s="39" cm="1">
        <f t="array" ref="R64">IF(OR(TRIM(J64)="",TRIM(J64)="-"),MEDIAN(IF($C$2:$C$1218=C64,$J$2:$J$1218)),VALUE(SUBSTITUTE(SUBSTITUTE(SUBSTITUTE(J64,"Rs. ",""),"₹",""),",","")))</f>
        <v>11285</v>
      </c>
      <c r="S64" s="40">
        <f t="shared" si="1"/>
        <v>0</v>
      </c>
      <c r="T64" s="41">
        <f t="shared" si="4"/>
        <v>0</v>
      </c>
      <c r="U64" s="42">
        <f t="shared" si="5"/>
        <v>11285</v>
      </c>
    </row>
    <row r="65" spans="1:21" x14ac:dyDescent="0.3">
      <c r="A65" s="37" t="s">
        <v>2603</v>
      </c>
      <c r="B65" s="37" t="s">
        <v>2604</v>
      </c>
      <c r="C65" s="37" t="s">
        <v>2504</v>
      </c>
      <c r="D65" s="37" t="s">
        <v>117</v>
      </c>
      <c r="E65" s="37" t="s">
        <v>118</v>
      </c>
      <c r="F65" s="37" t="s">
        <v>101</v>
      </c>
      <c r="G65" s="37" t="s">
        <v>2428</v>
      </c>
      <c r="H65" s="37">
        <v>18.010000000000002</v>
      </c>
      <c r="I65" s="37">
        <v>23</v>
      </c>
      <c r="J65" s="37">
        <v>50230</v>
      </c>
      <c r="K65" s="37" t="s">
        <v>97</v>
      </c>
      <c r="L65" s="37">
        <v>0</v>
      </c>
      <c r="M65" s="37" t="str">
        <f t="shared" si="2"/>
        <v>ICU</v>
      </c>
      <c r="N65" s="37" t="str">
        <f t="shared" si="0"/>
        <v>UPI</v>
      </c>
      <c r="O65" s="37" t="str" cm="1">
        <f t="array" ref="O65">IF(TRIM(N65)="",INDEX($N$2:$N$1500,MATCH(MAX(COUNTIF($N$2:$N$1500,$N$2:$N$1500)),COUNTIF($N$2:$N$1500,$N$2:$N$1500),0)),N65)</f>
        <v>UPI</v>
      </c>
      <c r="P65" s="38" cm="1">
        <f t="array" ref="P65">ROUND(IF(TRIM(H65)="",IFERROR(MEDIAN(IF($M$2:$M$1500=M65,$H$2:$H$1500)),MEDIAN($H$2:$H$1500)),H65),2)</f>
        <v>18.010000000000002</v>
      </c>
      <c r="Q65" s="38" t="str">
        <f t="shared" si="3"/>
        <v>2</v>
      </c>
      <c r="R65" s="39" cm="1">
        <f t="array" ref="R65">IF(OR(TRIM(J65)="",TRIM(J65)="-"),MEDIAN(IF($C$2:$C$1218=C65,$J$2:$J$1218)),VALUE(SUBSTITUTE(SUBSTITUTE(SUBSTITUTE(J65,"Rs. ",""),"₹",""),",","")))</f>
        <v>50230</v>
      </c>
      <c r="S65" s="40">
        <f t="shared" si="1"/>
        <v>0</v>
      </c>
      <c r="T65" s="41">
        <f t="shared" si="4"/>
        <v>0</v>
      </c>
      <c r="U65" s="42">
        <f t="shared" si="5"/>
        <v>50230</v>
      </c>
    </row>
    <row r="66" spans="1:21" x14ac:dyDescent="0.3">
      <c r="A66" s="37" t="s">
        <v>2605</v>
      </c>
      <c r="B66" s="37" t="s">
        <v>2606</v>
      </c>
      <c r="C66" s="37" t="s">
        <v>2485</v>
      </c>
      <c r="D66" s="37" t="s">
        <v>25</v>
      </c>
      <c r="E66" s="37" t="s">
        <v>54</v>
      </c>
      <c r="F66" s="37" t="s">
        <v>39</v>
      </c>
      <c r="G66" s="37" t="s">
        <v>2439</v>
      </c>
      <c r="H66" s="37">
        <v>6.14</v>
      </c>
      <c r="I66" s="37">
        <v>1</v>
      </c>
      <c r="J66" s="37" t="s">
        <v>2607</v>
      </c>
      <c r="K66" s="37" t="s">
        <v>23</v>
      </c>
      <c r="L66" s="37" t="s">
        <v>130</v>
      </c>
      <c r="M66" s="37" t="str">
        <f t="shared" si="2"/>
        <v>General</v>
      </c>
      <c r="N66" s="37" t="str">
        <f t="shared" ref="N66:N129" si="6">IF(OR(UPPER(TRIM(K66))="CREDIT_CARD",UPPER(TRIM(K66))="CREDIT CARD",UPPER(TRIM(K66))="CC"),"Credit Card", IF(OR(UPPER(TRIM(K66))="DEBIT_CARD",UPPER(TRIM(K66))="DEBIT CARD",UPPER(TRIM(K66))="DC"),"Debit Card", IF(UPPER(TRIM(K66))="CASH","Cash", IF(UPPER(TRIM(K66))="UPI","UPI", IF(OR(UPPER(TRIM(K66))="INSURANCE",UPPER(TRIM(K66))="INS"),"Insurance", IF(TRIM(K66)="","Unknown","Unknown"))))))</f>
        <v>Credit Card</v>
      </c>
      <c r="O66" s="37" t="str" cm="1">
        <f t="array" ref="O66">IF(TRIM(N66)="",INDEX($N$2:$N$1500,MATCH(MAX(COUNTIF($N$2:$N$1500,$N$2:$N$1500)),COUNTIF($N$2:$N$1500,$N$2:$N$1500),0)),N66)</f>
        <v>Credit Card</v>
      </c>
      <c r="P66" s="38" cm="1">
        <f t="array" ref="P66">ROUND(IF(TRIM(H66)="",IFERROR(MEDIAN(IF($M$2:$M$1500=M66,$H$2:$H$1500)),MEDIAN($H$2:$H$1500)),H66),2)</f>
        <v>6.14</v>
      </c>
      <c r="Q66" s="38" t="str">
        <f t="shared" si="3"/>
        <v>2</v>
      </c>
      <c r="R66" s="39" cm="1">
        <f t="array" ref="R66">IF(OR(TRIM(J66)="",TRIM(J66)="-"),MEDIAN(IF($C$2:$C$1218=C66,$J$2:$J$1218)),VALUE(SUBSTITUTE(SUBSTITUTE(SUBSTITUTE(J66,"Rs. ",""),"₹",""),",","")))</f>
        <v>12592</v>
      </c>
      <c r="S66" s="40">
        <f t="shared" ref="S66:S129" si="7">IF(RIGHT(TRIM(L66),1)="%",VALUE(LEFT(TRIM(L66),LEN(TRIM(L66))-1)),IF(AND(ISNUMBER(L66),L66&lt;=1,,L66&gt;0),L66*100,L66))</f>
        <v>0</v>
      </c>
      <c r="T66" s="41">
        <f t="shared" si="4"/>
        <v>0</v>
      </c>
      <c r="U66" s="42">
        <f t="shared" si="5"/>
        <v>12592</v>
      </c>
    </row>
    <row r="67" spans="1:21" x14ac:dyDescent="0.3">
      <c r="A67" s="37" t="s">
        <v>2608</v>
      </c>
      <c r="B67" s="37" t="s">
        <v>2609</v>
      </c>
      <c r="C67" s="37" t="s">
        <v>2422</v>
      </c>
      <c r="D67" s="37" t="s">
        <v>117</v>
      </c>
      <c r="E67" s="37" t="s">
        <v>127</v>
      </c>
      <c r="F67" s="37" t="s">
        <v>19</v>
      </c>
      <c r="G67" s="37" t="s">
        <v>2435</v>
      </c>
      <c r="H67" s="37">
        <v>20.93</v>
      </c>
      <c r="I67" s="37">
        <v>48</v>
      </c>
      <c r="J67" s="37">
        <v>19596</v>
      </c>
      <c r="K67" s="37" t="s">
        <v>23</v>
      </c>
      <c r="L67" s="37" t="s">
        <v>64</v>
      </c>
      <c r="M67" s="37" t="str">
        <f t="shared" ref="M67:M130" si="8">IF(OR(UPPER(TRIM(F67))="GENERAL",UPPER(TRIM(F67))="GENRAL"),"General",IF(UPPER(TRIM(F67))="ICU","ICU","Unknown"))</f>
        <v>General</v>
      </c>
      <c r="N67" s="37" t="str">
        <f t="shared" si="6"/>
        <v>Credit Card</v>
      </c>
      <c r="O67" s="37" t="str" cm="1">
        <f t="array" ref="O67">IF(TRIM(N67)="",INDEX($N$2:$N$1500,MATCH(MAX(COUNTIF($N$2:$N$1500,$N$2:$N$1500)),COUNTIF($N$2:$N$1500,$N$2:$N$1500),0)),N67)</f>
        <v>Credit Card</v>
      </c>
      <c r="P67" s="38" cm="1">
        <f t="array" ref="P67">ROUND(IF(TRIM(H67)="",IFERROR(MEDIAN(IF($M$2:$M$1500=M67,$H$2:$H$1500)),MEDIAN($H$2:$H$1500)),H67),2)</f>
        <v>20.93</v>
      </c>
      <c r="Q67" s="38" t="str">
        <f t="shared" ref="Q67:Q130" si="9">IF(OR(LOWER(TRIM(G67))="0",LOWER(TRIM(G67))="zero"),"0", IF(OR(LOWER(TRIM(G67))="1",LOWER(TRIM(G67))="one"),"1", IF(OR(LOWER(TRIM(G67))="2",LOWER(TRIM(G67))="two"),"2", IF(OR(LOWER(TRIM(G67))="2+",LOWER(TRIM(G67))="two_or_more",LOWER(TRIM(G67))="multiple"),"2+", "Unknown"))))</f>
        <v>0</v>
      </c>
      <c r="R67" s="39" cm="1">
        <f t="array" ref="R67">IF(OR(TRIM(J67)="",TRIM(J67)="-"),MEDIAN(IF($C$2:$C$1218=C67,$J$2:$J$1218)),VALUE(SUBSTITUTE(SUBSTITUTE(SUBSTITUTE(J67,"Rs. ",""),"₹",""),",","")))</f>
        <v>19596</v>
      </c>
      <c r="S67" s="40" t="str">
        <f t="shared" si="7"/>
        <v>NA</v>
      </c>
      <c r="T67" s="41">
        <f t="shared" ref="T67:T130" si="10">ROUND(IF(OR(TRIM(S67)="-",UPPER(TRIM(S67))="N/A",UPPER(TRIM(S67))="NA"),IFERROR(AVERAGEIF($O$2:$O$1500,O67,$S$2:$S$1500),AVERAGE($S$2:$S$1500)),S67),0)</f>
        <v>2</v>
      </c>
      <c r="U67" s="42">
        <f t="shared" ref="U67:U130" si="11">ROUND(R67*(1-T67/100),0)</f>
        <v>19204</v>
      </c>
    </row>
    <row r="68" spans="1:21" x14ac:dyDescent="0.3">
      <c r="A68" s="37" t="s">
        <v>2610</v>
      </c>
      <c r="B68" s="37" t="s">
        <v>2611</v>
      </c>
      <c r="C68" s="37" t="s">
        <v>2518</v>
      </c>
      <c r="D68" s="37" t="s">
        <v>106</v>
      </c>
      <c r="E68" s="37" t="s">
        <v>107</v>
      </c>
      <c r="F68" s="37" t="s">
        <v>30</v>
      </c>
      <c r="G68" s="37" t="s">
        <v>2486</v>
      </c>
      <c r="H68" s="37">
        <v>2.37</v>
      </c>
      <c r="I68" s="37">
        <v>18</v>
      </c>
      <c r="J68" s="37" t="s">
        <v>2612</v>
      </c>
      <c r="K68" s="37" t="s">
        <v>72</v>
      </c>
      <c r="L68" s="37">
        <v>0</v>
      </c>
      <c r="M68" s="37" t="str">
        <f t="shared" si="8"/>
        <v>General</v>
      </c>
      <c r="N68" s="37" t="str">
        <f t="shared" si="6"/>
        <v>Cash</v>
      </c>
      <c r="O68" s="37" t="str" cm="1">
        <f t="array" ref="O68">IF(TRIM(N68)="",INDEX($N$2:$N$1500,MATCH(MAX(COUNTIF($N$2:$N$1500,$N$2:$N$1500)),COUNTIF($N$2:$N$1500,$N$2:$N$1500),0)),N68)</f>
        <v>Cash</v>
      </c>
      <c r="P68" s="38" cm="1">
        <f t="array" ref="P68">ROUND(IF(TRIM(H68)="",IFERROR(MEDIAN(IF($M$2:$M$1500=M68,$H$2:$H$1500)),MEDIAN($H$2:$H$1500)),H68),2)</f>
        <v>2.37</v>
      </c>
      <c r="Q68" s="38" t="str">
        <f t="shared" si="9"/>
        <v>2+</v>
      </c>
      <c r="R68" s="39" cm="1">
        <f t="array" ref="R68">IF(OR(TRIM(J68)="",TRIM(J68)="-"),MEDIAN(IF($C$2:$C$1218=C68,$J$2:$J$1218)),VALUE(SUBSTITUTE(SUBSTITUTE(SUBSTITUTE(J68,"Rs. ",""),"₹",""),",","")))</f>
        <v>8800</v>
      </c>
      <c r="S68" s="40">
        <f t="shared" si="7"/>
        <v>0</v>
      </c>
      <c r="T68" s="41">
        <f t="shared" si="10"/>
        <v>0</v>
      </c>
      <c r="U68" s="42">
        <f t="shared" si="11"/>
        <v>8800</v>
      </c>
    </row>
    <row r="69" spans="1:21" x14ac:dyDescent="0.3">
      <c r="A69" s="37" t="s">
        <v>2613</v>
      </c>
      <c r="B69" s="37" t="s">
        <v>2614</v>
      </c>
      <c r="C69" s="37" t="s">
        <v>2561</v>
      </c>
      <c r="D69" s="37" t="s">
        <v>78</v>
      </c>
      <c r="E69" s="37" t="s">
        <v>203</v>
      </c>
      <c r="F69" s="37" t="s">
        <v>19</v>
      </c>
      <c r="G69" s="37" t="s">
        <v>2477</v>
      </c>
      <c r="H69" s="37">
        <v>17.34</v>
      </c>
      <c r="I69" s="37">
        <v>6</v>
      </c>
      <c r="J69" s="37" t="s">
        <v>2615</v>
      </c>
      <c r="K69" s="37" t="s">
        <v>211</v>
      </c>
      <c r="L69" s="37">
        <v>0</v>
      </c>
      <c r="M69" s="37" t="str">
        <f t="shared" si="8"/>
        <v>General</v>
      </c>
      <c r="N69" s="37" t="str">
        <f t="shared" si="6"/>
        <v>Credit Card</v>
      </c>
      <c r="O69" s="37" t="str" cm="1">
        <f t="array" ref="O69">IF(TRIM(N69)="",INDEX($N$2:$N$1500,MATCH(MAX(COUNTIF($N$2:$N$1500,$N$2:$N$1500)),COUNTIF($N$2:$N$1500,$N$2:$N$1500),0)),N69)</f>
        <v>Credit Card</v>
      </c>
      <c r="P69" s="38" cm="1">
        <f t="array" ref="P69">ROUND(IF(TRIM(H69)="",IFERROR(MEDIAN(IF($M$2:$M$1500=M69,$H$2:$H$1500)),MEDIAN($H$2:$H$1500)),H69),2)</f>
        <v>17.34</v>
      </c>
      <c r="Q69" s="38" t="str">
        <f t="shared" si="9"/>
        <v>0</v>
      </c>
      <c r="R69" s="39" cm="1">
        <f t="array" ref="R69">IF(OR(TRIM(J69)="",TRIM(J69)="-"),MEDIAN(IF($C$2:$C$1218=C69,$J$2:$J$1218)),VALUE(SUBSTITUTE(SUBSTITUTE(SUBSTITUTE(J69,"Rs. ",""),"₹",""),",","")))</f>
        <v>14513</v>
      </c>
      <c r="S69" s="40">
        <f t="shared" si="7"/>
        <v>0</v>
      </c>
      <c r="T69" s="41">
        <f t="shared" si="10"/>
        <v>0</v>
      </c>
      <c r="U69" s="42">
        <f t="shared" si="11"/>
        <v>14513</v>
      </c>
    </row>
    <row r="70" spans="1:21" x14ac:dyDescent="0.3">
      <c r="A70" s="37" t="s">
        <v>2616</v>
      </c>
      <c r="B70" s="37" t="s">
        <v>2617</v>
      </c>
      <c r="C70" s="37" t="s">
        <v>2473</v>
      </c>
      <c r="D70" s="37" t="s">
        <v>14</v>
      </c>
      <c r="E70" s="37" t="s">
        <v>15</v>
      </c>
      <c r="F70" s="37" t="s">
        <v>69</v>
      </c>
      <c r="G70" s="37" t="s">
        <v>2455</v>
      </c>
      <c r="H70" s="37">
        <v>10.95</v>
      </c>
      <c r="I70" s="37">
        <v>35</v>
      </c>
      <c r="J70" s="37" t="s">
        <v>140</v>
      </c>
      <c r="K70" s="37"/>
      <c r="L70" s="37" t="s">
        <v>76</v>
      </c>
      <c r="M70" s="37" t="str">
        <f t="shared" si="8"/>
        <v>ICU</v>
      </c>
      <c r="N70" s="37" t="str">
        <f t="shared" si="6"/>
        <v>Unknown</v>
      </c>
      <c r="O70" s="37" t="str" cm="1">
        <f t="array" ref="O70">IF(TRIM(N70)="",INDEX($N$2:$N$1500,MATCH(MAX(COUNTIF($N$2:$N$1500,$N$2:$N$1500)),COUNTIF($N$2:$N$1500,$N$2:$N$1500),0)),N70)</f>
        <v>Unknown</v>
      </c>
      <c r="P70" s="38" cm="1">
        <f t="array" ref="P70">ROUND(IF(TRIM(H70)="",IFERROR(MEDIAN(IF($M$2:$M$1500=M70,$H$2:$H$1500)),MEDIAN($H$2:$H$1500)),H70),2)</f>
        <v>10.95</v>
      </c>
      <c r="Q70" s="38" t="str">
        <f t="shared" si="9"/>
        <v>1</v>
      </c>
      <c r="R70" s="39" cm="1">
        <f t="array" ref="R70">IF(OR(TRIM(J70)="",TRIM(J70)="-"),MEDIAN(IF($C$2:$C$1218=C70,$J$2:$J$1218)),VALUE(SUBSTITUTE(SUBSTITUTE(SUBSTITUTE(J70,"Rs. ",""),"₹",""),",","")))</f>
        <v>17557</v>
      </c>
      <c r="S70" s="40">
        <f t="shared" si="7"/>
        <v>10</v>
      </c>
      <c r="T70" s="41">
        <f t="shared" si="10"/>
        <v>10</v>
      </c>
      <c r="U70" s="42">
        <f t="shared" si="11"/>
        <v>15801</v>
      </c>
    </row>
    <row r="71" spans="1:21" x14ac:dyDescent="0.3">
      <c r="A71" s="37" t="s">
        <v>2618</v>
      </c>
      <c r="B71" s="37" t="s">
        <v>2619</v>
      </c>
      <c r="C71" s="37" t="s">
        <v>2481</v>
      </c>
      <c r="D71" s="37" t="s">
        <v>14</v>
      </c>
      <c r="E71" s="37" t="s">
        <v>60</v>
      </c>
      <c r="F71" s="37" t="s">
        <v>19</v>
      </c>
      <c r="G71" s="37" t="s">
        <v>2435</v>
      </c>
      <c r="H71" s="37">
        <v>5.67</v>
      </c>
      <c r="I71" s="37">
        <v>36</v>
      </c>
      <c r="J71" s="37">
        <v>7122</v>
      </c>
      <c r="K71" s="37" t="s">
        <v>149</v>
      </c>
      <c r="L71" s="37" t="s">
        <v>1385</v>
      </c>
      <c r="M71" s="37" t="str">
        <f t="shared" si="8"/>
        <v>General</v>
      </c>
      <c r="N71" s="37" t="str">
        <f t="shared" si="6"/>
        <v>Insurance</v>
      </c>
      <c r="O71" s="37" t="str" cm="1">
        <f t="array" ref="O71">IF(TRIM(N71)="",INDEX($N$2:$N$1500,MATCH(MAX(COUNTIF($N$2:$N$1500,$N$2:$N$1500)),COUNTIF($N$2:$N$1500,$N$2:$N$1500),0)),N71)</f>
        <v>Insurance</v>
      </c>
      <c r="P71" s="38" cm="1">
        <f t="array" ref="P71">ROUND(IF(TRIM(H71)="",IFERROR(MEDIAN(IF($M$2:$M$1500=M71,$H$2:$H$1500)),MEDIAN($H$2:$H$1500)),H71),2)</f>
        <v>5.67</v>
      </c>
      <c r="Q71" s="38" t="str">
        <f t="shared" si="9"/>
        <v>0</v>
      </c>
      <c r="R71" s="39" cm="1">
        <f t="array" ref="R71">IF(OR(TRIM(J71)="",TRIM(J71)="-"),MEDIAN(IF($C$2:$C$1218=C71,$J$2:$J$1218)),VALUE(SUBSTITUTE(SUBSTITUTE(SUBSTITUTE(J71,"Rs. ",""),"₹",""),",","")))</f>
        <v>7122</v>
      </c>
      <c r="S71" s="40">
        <f t="shared" si="7"/>
        <v>20</v>
      </c>
      <c r="T71" s="41">
        <f t="shared" si="10"/>
        <v>20</v>
      </c>
      <c r="U71" s="42">
        <f t="shared" si="11"/>
        <v>5698</v>
      </c>
    </row>
    <row r="72" spans="1:21" x14ac:dyDescent="0.3">
      <c r="A72" s="37" t="s">
        <v>2620</v>
      </c>
      <c r="B72" s="37" t="s">
        <v>2621</v>
      </c>
      <c r="C72" s="37" t="s">
        <v>2532</v>
      </c>
      <c r="D72" s="37" t="s">
        <v>45</v>
      </c>
      <c r="E72" s="37" t="s">
        <v>334</v>
      </c>
      <c r="F72" s="37" t="s">
        <v>19</v>
      </c>
      <c r="G72" s="37" t="s">
        <v>2450</v>
      </c>
      <c r="H72" s="37">
        <v>17.850000000000001</v>
      </c>
      <c r="I72" s="37">
        <v>42</v>
      </c>
      <c r="J72" s="37" t="s">
        <v>2622</v>
      </c>
      <c r="K72" s="37" t="s">
        <v>115</v>
      </c>
      <c r="L72" s="37" t="s">
        <v>130</v>
      </c>
      <c r="M72" s="37" t="str">
        <f t="shared" si="8"/>
        <v>General</v>
      </c>
      <c r="N72" s="37" t="str">
        <f t="shared" si="6"/>
        <v>Cash</v>
      </c>
      <c r="O72" s="37" t="str" cm="1">
        <f t="array" ref="O72">IF(TRIM(N72)="",INDEX($N$2:$N$1500,MATCH(MAX(COUNTIF($N$2:$N$1500,$N$2:$N$1500)),COUNTIF($N$2:$N$1500,$N$2:$N$1500),0)),N72)</f>
        <v>Cash</v>
      </c>
      <c r="P72" s="38" cm="1">
        <f t="array" ref="P72">ROUND(IF(TRIM(H72)="",IFERROR(MEDIAN(IF($M$2:$M$1500=M72,$H$2:$H$1500)),MEDIAN($H$2:$H$1500)),H72),2)</f>
        <v>17.850000000000001</v>
      </c>
      <c r="Q72" s="38" t="str">
        <f t="shared" si="9"/>
        <v>1</v>
      </c>
      <c r="R72" s="39" cm="1">
        <f t="array" ref="R72">IF(OR(TRIM(J72)="",TRIM(J72)="-"),MEDIAN(IF($C$2:$C$1218=C72,$J$2:$J$1218)),VALUE(SUBSTITUTE(SUBSTITUTE(SUBSTITUTE(J72,"Rs. ",""),"₹",""),",","")))</f>
        <v>4652</v>
      </c>
      <c r="S72" s="40">
        <f t="shared" si="7"/>
        <v>0</v>
      </c>
      <c r="T72" s="41">
        <f t="shared" si="10"/>
        <v>0</v>
      </c>
      <c r="U72" s="42">
        <f t="shared" si="11"/>
        <v>4652</v>
      </c>
    </row>
    <row r="73" spans="1:21" x14ac:dyDescent="0.3">
      <c r="A73" s="37" t="s">
        <v>2623</v>
      </c>
      <c r="B73" s="37" t="s">
        <v>2624</v>
      </c>
      <c r="C73" s="37" t="s">
        <v>2438</v>
      </c>
      <c r="D73" s="37" t="s">
        <v>78</v>
      </c>
      <c r="E73" s="37" t="s">
        <v>79</v>
      </c>
      <c r="F73" s="37" t="s">
        <v>19</v>
      </c>
      <c r="G73" s="37" t="s">
        <v>2455</v>
      </c>
      <c r="H73" s="37">
        <v>11.33</v>
      </c>
      <c r="I73" s="37">
        <v>39</v>
      </c>
      <c r="J73" s="37">
        <v>19413</v>
      </c>
      <c r="K73" s="37" t="s">
        <v>311</v>
      </c>
      <c r="L73" s="37" t="s">
        <v>64</v>
      </c>
      <c r="M73" s="37" t="str">
        <f t="shared" si="8"/>
        <v>General</v>
      </c>
      <c r="N73" s="37" t="str">
        <f t="shared" si="6"/>
        <v>UPI</v>
      </c>
      <c r="O73" s="37" t="str" cm="1">
        <f t="array" ref="O73">IF(TRIM(N73)="",INDEX($N$2:$N$1500,MATCH(MAX(COUNTIF($N$2:$N$1500,$N$2:$N$1500)),COUNTIF($N$2:$N$1500,$N$2:$N$1500),0)),N73)</f>
        <v>UPI</v>
      </c>
      <c r="P73" s="38" cm="1">
        <f t="array" ref="P73">ROUND(IF(TRIM(H73)="",IFERROR(MEDIAN(IF($M$2:$M$1500=M73,$H$2:$H$1500)),MEDIAN($H$2:$H$1500)),H73),2)</f>
        <v>11.33</v>
      </c>
      <c r="Q73" s="38" t="str">
        <f t="shared" si="9"/>
        <v>1</v>
      </c>
      <c r="R73" s="39" cm="1">
        <f t="array" ref="R73">IF(OR(TRIM(J73)="",TRIM(J73)="-"),MEDIAN(IF($C$2:$C$1218=C73,$J$2:$J$1218)),VALUE(SUBSTITUTE(SUBSTITUTE(SUBSTITUTE(J73,"Rs. ",""),"₹",""),",","")))</f>
        <v>19413</v>
      </c>
      <c r="S73" s="40" t="str">
        <f t="shared" si="7"/>
        <v>NA</v>
      </c>
      <c r="T73" s="41">
        <f t="shared" si="10"/>
        <v>2</v>
      </c>
      <c r="U73" s="42">
        <f t="shared" si="11"/>
        <v>19025</v>
      </c>
    </row>
    <row r="74" spans="1:21" x14ac:dyDescent="0.3">
      <c r="A74" s="37" t="s">
        <v>2625</v>
      </c>
      <c r="B74" s="37" t="s">
        <v>2626</v>
      </c>
      <c r="C74" s="37" t="s">
        <v>2518</v>
      </c>
      <c r="D74" s="37" t="s">
        <v>25</v>
      </c>
      <c r="E74" s="37" t="s">
        <v>26</v>
      </c>
      <c r="F74" s="37" t="s">
        <v>19</v>
      </c>
      <c r="G74" s="37" t="s">
        <v>2435</v>
      </c>
      <c r="H74" s="37">
        <v>13.35</v>
      </c>
      <c r="I74" s="37">
        <v>2</v>
      </c>
      <c r="J74" s="37">
        <v>5614</v>
      </c>
      <c r="K74" s="37" t="s">
        <v>115</v>
      </c>
      <c r="L74" s="37">
        <v>5</v>
      </c>
      <c r="M74" s="37" t="str">
        <f t="shared" si="8"/>
        <v>General</v>
      </c>
      <c r="N74" s="37" t="str">
        <f t="shared" si="6"/>
        <v>Cash</v>
      </c>
      <c r="O74" s="37" t="str" cm="1">
        <f t="array" ref="O74">IF(TRIM(N74)="",INDEX($N$2:$N$1500,MATCH(MAX(COUNTIF($N$2:$N$1500,$N$2:$N$1500)),COUNTIF($N$2:$N$1500,$N$2:$N$1500),0)),N74)</f>
        <v>Cash</v>
      </c>
      <c r="P74" s="38" cm="1">
        <f t="array" ref="P74">ROUND(IF(TRIM(H74)="",IFERROR(MEDIAN(IF($M$2:$M$1500=M74,$H$2:$H$1500)),MEDIAN($H$2:$H$1500)),H74),2)</f>
        <v>13.35</v>
      </c>
      <c r="Q74" s="38" t="str">
        <f t="shared" si="9"/>
        <v>0</v>
      </c>
      <c r="R74" s="39" cm="1">
        <f t="array" ref="R74">IF(OR(TRIM(J74)="",TRIM(J74)="-"),MEDIAN(IF($C$2:$C$1218=C74,$J$2:$J$1218)),VALUE(SUBSTITUTE(SUBSTITUTE(SUBSTITUTE(J74,"Rs. ",""),"₹",""),",","")))</f>
        <v>5614</v>
      </c>
      <c r="S74" s="40">
        <f t="shared" si="7"/>
        <v>5</v>
      </c>
      <c r="T74" s="41">
        <f t="shared" si="10"/>
        <v>5</v>
      </c>
      <c r="U74" s="42">
        <f t="shared" si="11"/>
        <v>5333</v>
      </c>
    </row>
    <row r="75" spans="1:21" x14ac:dyDescent="0.3">
      <c r="A75" s="37" t="s">
        <v>2627</v>
      </c>
      <c r="B75" s="37" t="s">
        <v>2628</v>
      </c>
      <c r="C75" s="37" t="s">
        <v>2629</v>
      </c>
      <c r="D75" s="37" t="s">
        <v>14</v>
      </c>
      <c r="E75" s="37" t="s">
        <v>60</v>
      </c>
      <c r="F75" s="37" t="s">
        <v>49</v>
      </c>
      <c r="G75" s="37" t="s">
        <v>2439</v>
      </c>
      <c r="H75" s="37">
        <v>19.62</v>
      </c>
      <c r="I75" s="37" t="s">
        <v>140</v>
      </c>
      <c r="J75" s="37">
        <v>10610</v>
      </c>
      <c r="K75" s="37"/>
      <c r="L75" s="37">
        <v>0.1</v>
      </c>
      <c r="M75" s="37" t="str">
        <f t="shared" si="8"/>
        <v>General</v>
      </c>
      <c r="N75" s="37" t="str">
        <f t="shared" si="6"/>
        <v>Unknown</v>
      </c>
      <c r="O75" s="37" t="str" cm="1">
        <f t="array" ref="O75">IF(TRIM(N75)="",INDEX($N$2:$N$1500,MATCH(MAX(COUNTIF($N$2:$N$1500,$N$2:$N$1500)),COUNTIF($N$2:$N$1500,$N$2:$N$1500),0)),N75)</f>
        <v>Unknown</v>
      </c>
      <c r="P75" s="38" cm="1">
        <f t="array" ref="P75">ROUND(IF(TRIM(H75)="",IFERROR(MEDIAN(IF($M$2:$M$1500=M75,$H$2:$H$1500)),MEDIAN($H$2:$H$1500)),H75),2)</f>
        <v>19.62</v>
      </c>
      <c r="Q75" s="38" t="str">
        <f t="shared" si="9"/>
        <v>2</v>
      </c>
      <c r="R75" s="39" cm="1">
        <f t="array" ref="R75">IF(OR(TRIM(J75)="",TRIM(J75)="-"),MEDIAN(IF($C$2:$C$1218=C75,$J$2:$J$1218)),VALUE(SUBSTITUTE(SUBSTITUTE(SUBSTITUTE(J75,"Rs. ",""),"₹",""),",","")))</f>
        <v>10610</v>
      </c>
      <c r="S75" s="40">
        <f t="shared" si="7"/>
        <v>0.1</v>
      </c>
      <c r="T75" s="41">
        <f t="shared" si="10"/>
        <v>0</v>
      </c>
      <c r="U75" s="42">
        <f t="shared" si="11"/>
        <v>10610</v>
      </c>
    </row>
    <row r="76" spans="1:21" x14ac:dyDescent="0.3">
      <c r="A76" s="37" t="s">
        <v>2630</v>
      </c>
      <c r="B76" s="37" t="s">
        <v>2631</v>
      </c>
      <c r="C76" s="37" t="s">
        <v>2454</v>
      </c>
      <c r="D76" s="37" t="s">
        <v>14</v>
      </c>
      <c r="E76" s="37" t="s">
        <v>60</v>
      </c>
      <c r="F76" s="37" t="s">
        <v>69</v>
      </c>
      <c r="G76" s="37" t="s">
        <v>2455</v>
      </c>
      <c r="H76" s="37"/>
      <c r="I76" s="37">
        <v>60</v>
      </c>
      <c r="J76" s="37">
        <v>56272</v>
      </c>
      <c r="K76" s="37" t="s">
        <v>91</v>
      </c>
      <c r="L76" s="37">
        <v>0</v>
      </c>
      <c r="M76" s="37" t="str">
        <f t="shared" si="8"/>
        <v>ICU</v>
      </c>
      <c r="N76" s="37" t="str">
        <f t="shared" si="6"/>
        <v>Debit Card</v>
      </c>
      <c r="O76" s="37" t="str" cm="1">
        <f t="array" ref="O76">IF(TRIM(N76)="",INDEX($N$2:$N$1500,MATCH(MAX(COUNTIF($N$2:$N$1500,$N$2:$N$1500)),COUNTIF($N$2:$N$1500,$N$2:$N$1500),0)),N76)</f>
        <v>Debit Card</v>
      </c>
      <c r="P76" s="38" cm="1">
        <f t="array" ref="P76">ROUND(IF(TRIM(H76)="",IFERROR(MEDIAN(IF($M$2:$M$1500=M76,$H$2:$H$1500)),MEDIAN($H$2:$H$1500)),H76),2)</f>
        <v>12.21</v>
      </c>
      <c r="Q76" s="38" t="str">
        <f t="shared" si="9"/>
        <v>1</v>
      </c>
      <c r="R76" s="39" cm="1">
        <f t="array" ref="R76">IF(OR(TRIM(J76)="",TRIM(J76)="-"),MEDIAN(IF($C$2:$C$1218=C76,$J$2:$J$1218)),VALUE(SUBSTITUTE(SUBSTITUTE(SUBSTITUTE(J76,"Rs. ",""),"₹",""),",","")))</f>
        <v>56272</v>
      </c>
      <c r="S76" s="40">
        <f t="shared" si="7"/>
        <v>0</v>
      </c>
      <c r="T76" s="41">
        <f t="shared" si="10"/>
        <v>0</v>
      </c>
      <c r="U76" s="42">
        <f t="shared" si="11"/>
        <v>56272</v>
      </c>
    </row>
    <row r="77" spans="1:21" x14ac:dyDescent="0.3">
      <c r="A77" s="37" t="s">
        <v>2632</v>
      </c>
      <c r="B77" s="37" t="s">
        <v>2633</v>
      </c>
      <c r="C77" s="37" t="s">
        <v>2494</v>
      </c>
      <c r="D77" s="37" t="s">
        <v>106</v>
      </c>
      <c r="E77" s="37" t="s">
        <v>107</v>
      </c>
      <c r="F77" s="37" t="s">
        <v>39</v>
      </c>
      <c r="G77" s="37" t="s">
        <v>2428</v>
      </c>
      <c r="H77" s="37">
        <v>12.54</v>
      </c>
      <c r="I77" s="37">
        <v>21</v>
      </c>
      <c r="J77" s="37" t="s">
        <v>2634</v>
      </c>
      <c r="K77" s="37" t="s">
        <v>58</v>
      </c>
      <c r="L77" s="37">
        <v>5</v>
      </c>
      <c r="M77" s="37" t="str">
        <f t="shared" si="8"/>
        <v>General</v>
      </c>
      <c r="N77" s="37" t="str">
        <f t="shared" si="6"/>
        <v>UPI</v>
      </c>
      <c r="O77" s="37" t="str" cm="1">
        <f t="array" ref="O77">IF(TRIM(N77)="",INDEX($N$2:$N$1500,MATCH(MAX(COUNTIF($N$2:$N$1500,$N$2:$N$1500)),COUNTIF($N$2:$N$1500,$N$2:$N$1500),0)),N77)</f>
        <v>UPI</v>
      </c>
      <c r="P77" s="38" cm="1">
        <f t="array" ref="P77">ROUND(IF(TRIM(H77)="",IFERROR(MEDIAN(IF($M$2:$M$1500=M77,$H$2:$H$1500)),MEDIAN($H$2:$H$1500)),H77),2)</f>
        <v>12.54</v>
      </c>
      <c r="Q77" s="38" t="str">
        <f t="shared" si="9"/>
        <v>2</v>
      </c>
      <c r="R77" s="39" cm="1">
        <f t="array" ref="R77">IF(OR(TRIM(J77)="",TRIM(J77)="-"),MEDIAN(IF($C$2:$C$1218=C77,$J$2:$J$1218)),VALUE(SUBSTITUTE(SUBSTITUTE(SUBSTITUTE(J77,"Rs. ",""),"₹",""),",","")))</f>
        <v>9243</v>
      </c>
      <c r="S77" s="40">
        <f t="shared" si="7"/>
        <v>5</v>
      </c>
      <c r="T77" s="41">
        <f t="shared" si="10"/>
        <v>5</v>
      </c>
      <c r="U77" s="42">
        <f t="shared" si="11"/>
        <v>8781</v>
      </c>
    </row>
    <row r="78" spans="1:21" x14ac:dyDescent="0.3">
      <c r="A78" s="37" t="s">
        <v>2635</v>
      </c>
      <c r="B78" s="37" t="s">
        <v>2636</v>
      </c>
      <c r="C78" s="37" t="s">
        <v>2532</v>
      </c>
      <c r="D78" s="37" t="s">
        <v>45</v>
      </c>
      <c r="E78" s="37" t="s">
        <v>46</v>
      </c>
      <c r="F78" s="37" t="s">
        <v>19</v>
      </c>
      <c r="G78" s="37" t="s">
        <v>2408</v>
      </c>
      <c r="H78" s="37">
        <v>10.97</v>
      </c>
      <c r="I78" s="37">
        <v>7</v>
      </c>
      <c r="J78" s="37">
        <v>9671</v>
      </c>
      <c r="K78" s="37" t="s">
        <v>34</v>
      </c>
      <c r="L78" s="37">
        <v>0</v>
      </c>
      <c r="M78" s="37" t="str">
        <f t="shared" si="8"/>
        <v>General</v>
      </c>
      <c r="N78" s="37" t="str">
        <f t="shared" si="6"/>
        <v>Cash</v>
      </c>
      <c r="O78" s="37" t="str" cm="1">
        <f t="array" ref="O78">IF(TRIM(N78)="",INDEX($N$2:$N$1500,MATCH(MAX(COUNTIF($N$2:$N$1500,$N$2:$N$1500)),COUNTIF($N$2:$N$1500,$N$2:$N$1500),0)),N78)</f>
        <v>Cash</v>
      </c>
      <c r="P78" s="38" cm="1">
        <f t="array" ref="P78">ROUND(IF(TRIM(H78)="",IFERROR(MEDIAN(IF($M$2:$M$1500=M78,$H$2:$H$1500)),MEDIAN($H$2:$H$1500)),H78),2)</f>
        <v>10.97</v>
      </c>
      <c r="Q78" s="38" t="str">
        <f t="shared" si="9"/>
        <v>0</v>
      </c>
      <c r="R78" s="39" cm="1">
        <f t="array" ref="R78">IF(OR(TRIM(J78)="",TRIM(J78)="-"),MEDIAN(IF($C$2:$C$1218=C78,$J$2:$J$1218)),VALUE(SUBSTITUTE(SUBSTITUTE(SUBSTITUTE(J78,"Rs. ",""),"₹",""),",","")))</f>
        <v>9671</v>
      </c>
      <c r="S78" s="40">
        <f t="shared" si="7"/>
        <v>0</v>
      </c>
      <c r="T78" s="41">
        <f t="shared" si="10"/>
        <v>0</v>
      </c>
      <c r="U78" s="42">
        <f t="shared" si="11"/>
        <v>9671</v>
      </c>
    </row>
    <row r="79" spans="1:21" x14ac:dyDescent="0.3">
      <c r="A79" s="37" t="s">
        <v>2637</v>
      </c>
      <c r="B79" s="37" t="s">
        <v>2638</v>
      </c>
      <c r="C79" s="37" t="s">
        <v>2536</v>
      </c>
      <c r="D79" s="37" t="s">
        <v>117</v>
      </c>
      <c r="E79" s="37" t="s">
        <v>182</v>
      </c>
      <c r="F79" s="37" t="s">
        <v>69</v>
      </c>
      <c r="G79" s="37" t="s">
        <v>2408</v>
      </c>
      <c r="H79" s="37">
        <v>6.36</v>
      </c>
      <c r="I79" s="37">
        <v>34</v>
      </c>
      <c r="J79" s="37">
        <v>43778</v>
      </c>
      <c r="K79" s="37" t="s">
        <v>91</v>
      </c>
      <c r="L79" s="37" t="s">
        <v>76</v>
      </c>
      <c r="M79" s="37" t="str">
        <f t="shared" si="8"/>
        <v>ICU</v>
      </c>
      <c r="N79" s="37" t="str">
        <f t="shared" si="6"/>
        <v>Debit Card</v>
      </c>
      <c r="O79" s="37" t="str" cm="1">
        <f t="array" ref="O79">IF(TRIM(N79)="",INDEX($N$2:$N$1500,MATCH(MAX(COUNTIF($N$2:$N$1500,$N$2:$N$1500)),COUNTIF($N$2:$N$1500,$N$2:$N$1500),0)),N79)</f>
        <v>Debit Card</v>
      </c>
      <c r="P79" s="38" cm="1">
        <f t="array" ref="P79">ROUND(IF(TRIM(H79)="",IFERROR(MEDIAN(IF($M$2:$M$1500=M79,$H$2:$H$1500)),MEDIAN($H$2:$H$1500)),H79),2)</f>
        <v>6.36</v>
      </c>
      <c r="Q79" s="38" t="str">
        <f t="shared" si="9"/>
        <v>0</v>
      </c>
      <c r="R79" s="39" cm="1">
        <f t="array" ref="R79">IF(OR(TRIM(J79)="",TRIM(J79)="-"),MEDIAN(IF($C$2:$C$1218=C79,$J$2:$J$1218)),VALUE(SUBSTITUTE(SUBSTITUTE(SUBSTITUTE(J79,"Rs. ",""),"₹",""),",","")))</f>
        <v>43778</v>
      </c>
      <c r="S79" s="40">
        <f t="shared" si="7"/>
        <v>10</v>
      </c>
      <c r="T79" s="41">
        <f t="shared" si="10"/>
        <v>10</v>
      </c>
      <c r="U79" s="42">
        <f t="shared" si="11"/>
        <v>39400</v>
      </c>
    </row>
    <row r="80" spans="1:21" x14ac:dyDescent="0.3">
      <c r="A80" s="37" t="s">
        <v>2639</v>
      </c>
      <c r="B80" s="37" t="s">
        <v>2640</v>
      </c>
      <c r="C80" s="37" t="s">
        <v>2415</v>
      </c>
      <c r="D80" s="37" t="s">
        <v>106</v>
      </c>
      <c r="E80" s="37" t="s">
        <v>107</v>
      </c>
      <c r="F80" s="37" t="s">
        <v>39</v>
      </c>
      <c r="G80" s="37" t="s">
        <v>2450</v>
      </c>
      <c r="H80" s="37">
        <v>9.89</v>
      </c>
      <c r="I80" s="37">
        <v>54</v>
      </c>
      <c r="J80" s="37" t="s">
        <v>2641</v>
      </c>
      <c r="K80" s="37" t="s">
        <v>72</v>
      </c>
      <c r="L80" s="37">
        <v>0</v>
      </c>
      <c r="M80" s="37" t="str">
        <f t="shared" si="8"/>
        <v>General</v>
      </c>
      <c r="N80" s="37" t="str">
        <f t="shared" si="6"/>
        <v>Cash</v>
      </c>
      <c r="O80" s="37" t="str" cm="1">
        <f t="array" ref="O80">IF(TRIM(N80)="",INDEX($N$2:$N$1500,MATCH(MAX(COUNTIF($N$2:$N$1500,$N$2:$N$1500)),COUNTIF($N$2:$N$1500,$N$2:$N$1500),0)),N80)</f>
        <v>Cash</v>
      </c>
      <c r="P80" s="38" cm="1">
        <f t="array" ref="P80">ROUND(IF(TRIM(H80)="",IFERROR(MEDIAN(IF($M$2:$M$1500=M80,$H$2:$H$1500)),MEDIAN($H$2:$H$1500)),H80),2)</f>
        <v>9.89</v>
      </c>
      <c r="Q80" s="38" t="str">
        <f t="shared" si="9"/>
        <v>1</v>
      </c>
      <c r="R80" s="39" cm="1">
        <f t="array" ref="R80">IF(OR(TRIM(J80)="",TRIM(J80)="-"),MEDIAN(IF($C$2:$C$1218=C80,$J$2:$J$1218)),VALUE(SUBSTITUTE(SUBSTITUTE(SUBSTITUTE(J80,"Rs. ",""),"₹",""),",","")))</f>
        <v>4465</v>
      </c>
      <c r="S80" s="40">
        <f t="shared" si="7"/>
        <v>0</v>
      </c>
      <c r="T80" s="41">
        <f t="shared" si="10"/>
        <v>0</v>
      </c>
      <c r="U80" s="42">
        <f t="shared" si="11"/>
        <v>4465</v>
      </c>
    </row>
    <row r="81" spans="1:21" x14ac:dyDescent="0.3">
      <c r="A81" s="37" t="s">
        <v>2642</v>
      </c>
      <c r="B81" s="37" t="s">
        <v>2410</v>
      </c>
      <c r="C81" s="37" t="s">
        <v>2411</v>
      </c>
      <c r="D81" s="37" t="s">
        <v>78</v>
      </c>
      <c r="E81" s="37" t="s">
        <v>203</v>
      </c>
      <c r="F81" s="37" t="s">
        <v>69</v>
      </c>
      <c r="G81" s="37" t="s">
        <v>2428</v>
      </c>
      <c r="H81" s="37">
        <v>2.65</v>
      </c>
      <c r="I81" s="37">
        <v>3</v>
      </c>
      <c r="J81" s="37" t="s">
        <v>2643</v>
      </c>
      <c r="K81" s="37" t="s">
        <v>34</v>
      </c>
      <c r="L81" s="37">
        <v>0</v>
      </c>
      <c r="M81" s="37" t="str">
        <f t="shared" si="8"/>
        <v>ICU</v>
      </c>
      <c r="N81" s="37" t="str">
        <f t="shared" si="6"/>
        <v>Cash</v>
      </c>
      <c r="O81" s="37" t="str" cm="1">
        <f t="array" ref="O81">IF(TRIM(N81)="",INDEX($N$2:$N$1500,MATCH(MAX(COUNTIF($N$2:$N$1500,$N$2:$N$1500)),COUNTIF($N$2:$N$1500,$N$2:$N$1500),0)),N81)</f>
        <v>Cash</v>
      </c>
      <c r="P81" s="38" cm="1">
        <f t="array" ref="P81">ROUND(IF(TRIM(H81)="",IFERROR(MEDIAN(IF($M$2:$M$1500=M81,$H$2:$H$1500)),MEDIAN($H$2:$H$1500)),H81),2)</f>
        <v>2.65</v>
      </c>
      <c r="Q81" s="38" t="str">
        <f t="shared" si="9"/>
        <v>2</v>
      </c>
      <c r="R81" s="39" cm="1">
        <f t="array" ref="R81">IF(OR(TRIM(J81)="",TRIM(J81)="-"),MEDIAN(IF($C$2:$C$1218=C81,$J$2:$J$1218)),VALUE(SUBSTITUTE(SUBSTITUTE(SUBSTITUTE(J81,"Rs. ",""),"₹",""),",","")))</f>
        <v>58742</v>
      </c>
      <c r="S81" s="40">
        <f t="shared" si="7"/>
        <v>0</v>
      </c>
      <c r="T81" s="41">
        <f t="shared" si="10"/>
        <v>0</v>
      </c>
      <c r="U81" s="42">
        <f t="shared" si="11"/>
        <v>58742</v>
      </c>
    </row>
    <row r="82" spans="1:21" x14ac:dyDescent="0.3">
      <c r="A82" s="37" t="s">
        <v>2644</v>
      </c>
      <c r="B82" s="37" t="s">
        <v>2645</v>
      </c>
      <c r="C82" s="37" t="s">
        <v>2459</v>
      </c>
      <c r="D82" s="37" t="s">
        <v>14</v>
      </c>
      <c r="E82" s="37" t="s">
        <v>60</v>
      </c>
      <c r="F82" s="37" t="s">
        <v>69</v>
      </c>
      <c r="G82" s="37" t="s">
        <v>2486</v>
      </c>
      <c r="H82" s="37">
        <v>9.4</v>
      </c>
      <c r="I82" s="37">
        <v>16</v>
      </c>
      <c r="J82" s="37">
        <v>79729</v>
      </c>
      <c r="K82" s="37" t="s">
        <v>34</v>
      </c>
      <c r="L82" s="37">
        <v>0</v>
      </c>
      <c r="M82" s="37" t="str">
        <f t="shared" si="8"/>
        <v>ICU</v>
      </c>
      <c r="N82" s="37" t="str">
        <f t="shared" si="6"/>
        <v>Cash</v>
      </c>
      <c r="O82" s="37" t="str" cm="1">
        <f t="array" ref="O82">IF(TRIM(N82)="",INDEX($N$2:$N$1500,MATCH(MAX(COUNTIF($N$2:$N$1500,$N$2:$N$1500)),COUNTIF($N$2:$N$1500,$N$2:$N$1500),0)),N82)</f>
        <v>Cash</v>
      </c>
      <c r="P82" s="38" cm="1">
        <f t="array" ref="P82">ROUND(IF(TRIM(H82)="",IFERROR(MEDIAN(IF($M$2:$M$1500=M82,$H$2:$H$1500)),MEDIAN($H$2:$H$1500)),H82),2)</f>
        <v>9.4</v>
      </c>
      <c r="Q82" s="38" t="str">
        <f t="shared" si="9"/>
        <v>2+</v>
      </c>
      <c r="R82" s="39" cm="1">
        <f t="array" ref="R82">IF(OR(TRIM(J82)="",TRIM(J82)="-"),MEDIAN(IF($C$2:$C$1218=C82,$J$2:$J$1218)),VALUE(SUBSTITUTE(SUBSTITUTE(SUBSTITUTE(J82,"Rs. ",""),"₹",""),",","")))</f>
        <v>79729</v>
      </c>
      <c r="S82" s="40">
        <f t="shared" si="7"/>
        <v>0</v>
      </c>
      <c r="T82" s="41">
        <f t="shared" si="10"/>
        <v>0</v>
      </c>
      <c r="U82" s="42">
        <f t="shared" si="11"/>
        <v>79729</v>
      </c>
    </row>
    <row r="83" spans="1:21" x14ac:dyDescent="0.3">
      <c r="A83" s="37" t="s">
        <v>2646</v>
      </c>
      <c r="B83" s="37" t="s">
        <v>2647</v>
      </c>
      <c r="C83" s="37" t="s">
        <v>2463</v>
      </c>
      <c r="D83" s="37" t="s">
        <v>45</v>
      </c>
      <c r="E83" s="37" t="s">
        <v>46</v>
      </c>
      <c r="F83" s="37" t="s">
        <v>30</v>
      </c>
      <c r="G83" s="37" t="s">
        <v>2418</v>
      </c>
      <c r="H83" s="37">
        <v>4.1500000000000004</v>
      </c>
      <c r="I83" s="37">
        <v>54</v>
      </c>
      <c r="J83" s="37"/>
      <c r="K83" s="37" t="s">
        <v>115</v>
      </c>
      <c r="L83" s="37">
        <v>0.1</v>
      </c>
      <c r="M83" s="37" t="str">
        <f t="shared" si="8"/>
        <v>General</v>
      </c>
      <c r="N83" s="37" t="str">
        <f t="shared" si="6"/>
        <v>Cash</v>
      </c>
      <c r="O83" s="37" t="str" cm="1">
        <f t="array" ref="O83">IF(TRIM(N83)="",INDEX($N$2:$N$1500,MATCH(MAX(COUNTIF($N$2:$N$1500,$N$2:$N$1500)),COUNTIF($N$2:$N$1500,$N$2:$N$1500),0)),N83)</f>
        <v>Cash</v>
      </c>
      <c r="P83" s="38" cm="1">
        <f t="array" ref="P83">ROUND(IF(TRIM(H83)="",IFERROR(MEDIAN(IF($M$2:$M$1500=M83,$H$2:$H$1500)),MEDIAN($H$2:$H$1500)),H83),2)</f>
        <v>4.1500000000000004</v>
      </c>
      <c r="Q83" s="38" t="str">
        <f t="shared" si="9"/>
        <v>1</v>
      </c>
      <c r="R83" s="39" cm="1">
        <f t="array" ref="R83">IF(OR(TRIM(J83)="",TRIM(J83)="-"),MEDIAN(IF($C$2:$C$1218=C83,$J$2:$J$1218)),VALUE(SUBSTITUTE(SUBSTITUTE(SUBSTITUTE(J83,"Rs. ",""),"₹",""),",","")))</f>
        <v>8728</v>
      </c>
      <c r="S83" s="40">
        <f t="shared" si="7"/>
        <v>0.1</v>
      </c>
      <c r="T83" s="41">
        <f t="shared" si="10"/>
        <v>0</v>
      </c>
      <c r="U83" s="42">
        <f t="shared" si="11"/>
        <v>8728</v>
      </c>
    </row>
    <row r="84" spans="1:21" x14ac:dyDescent="0.3">
      <c r="A84" s="37" t="s">
        <v>2648</v>
      </c>
      <c r="B84" s="37" t="s">
        <v>2649</v>
      </c>
      <c r="C84" s="37" t="s">
        <v>2521</v>
      </c>
      <c r="D84" s="37" t="s">
        <v>78</v>
      </c>
      <c r="E84" s="37" t="s">
        <v>203</v>
      </c>
      <c r="F84" s="37" t="s">
        <v>30</v>
      </c>
      <c r="G84" s="37" t="s">
        <v>2505</v>
      </c>
      <c r="H84" s="37">
        <v>3.27</v>
      </c>
      <c r="I84" s="37">
        <v>46</v>
      </c>
      <c r="J84" s="37" t="s">
        <v>2650</v>
      </c>
      <c r="K84" s="37" t="s">
        <v>34</v>
      </c>
      <c r="L84" s="37">
        <v>5</v>
      </c>
      <c r="M84" s="37" t="str">
        <f t="shared" si="8"/>
        <v>General</v>
      </c>
      <c r="N84" s="37" t="str">
        <f t="shared" si="6"/>
        <v>Cash</v>
      </c>
      <c r="O84" s="37" t="str" cm="1">
        <f t="array" ref="O84">IF(TRIM(N84)="",INDEX($N$2:$N$1500,MATCH(MAX(COUNTIF($N$2:$N$1500,$N$2:$N$1500)),COUNTIF($N$2:$N$1500,$N$2:$N$1500),0)),N84)</f>
        <v>Cash</v>
      </c>
      <c r="P84" s="38" cm="1">
        <f t="array" ref="P84">ROUND(IF(TRIM(H84)="",IFERROR(MEDIAN(IF($M$2:$M$1500=M84,$H$2:$H$1500)),MEDIAN($H$2:$H$1500)),H84),2)</f>
        <v>3.27</v>
      </c>
      <c r="Q84" s="38" t="str">
        <f t="shared" si="9"/>
        <v>2+</v>
      </c>
      <c r="R84" s="39" cm="1">
        <f t="array" ref="R84">IF(OR(TRIM(J84)="",TRIM(J84)="-"),MEDIAN(IF($C$2:$C$1218=C84,$J$2:$J$1218)),VALUE(SUBSTITUTE(SUBSTITUTE(SUBSTITUTE(J84,"Rs. ",""),"₹",""),",","")))</f>
        <v>10486</v>
      </c>
      <c r="S84" s="40">
        <f t="shared" si="7"/>
        <v>5</v>
      </c>
      <c r="T84" s="41">
        <f t="shared" si="10"/>
        <v>5</v>
      </c>
      <c r="U84" s="42">
        <f t="shared" si="11"/>
        <v>9962</v>
      </c>
    </row>
    <row r="85" spans="1:21" x14ac:dyDescent="0.3">
      <c r="A85" s="37" t="s">
        <v>2651</v>
      </c>
      <c r="B85" s="37" t="s">
        <v>2652</v>
      </c>
      <c r="C85" s="37" t="s">
        <v>2434</v>
      </c>
      <c r="D85" s="37" t="s">
        <v>117</v>
      </c>
      <c r="E85" s="37" t="s">
        <v>127</v>
      </c>
      <c r="F85" s="37" t="s">
        <v>19</v>
      </c>
      <c r="G85" s="37" t="s">
        <v>2418</v>
      </c>
      <c r="H85" s="37">
        <v>0.65</v>
      </c>
      <c r="I85" s="37">
        <v>43</v>
      </c>
      <c r="J85" s="37" t="s">
        <v>2653</v>
      </c>
      <c r="K85" s="37" t="s">
        <v>72</v>
      </c>
      <c r="L85" s="37" t="s">
        <v>130</v>
      </c>
      <c r="M85" s="37" t="str">
        <f t="shared" si="8"/>
        <v>General</v>
      </c>
      <c r="N85" s="37" t="str">
        <f t="shared" si="6"/>
        <v>Cash</v>
      </c>
      <c r="O85" s="37" t="str" cm="1">
        <f t="array" ref="O85">IF(TRIM(N85)="",INDEX($N$2:$N$1500,MATCH(MAX(COUNTIF($N$2:$N$1500,$N$2:$N$1500)),COUNTIF($N$2:$N$1500,$N$2:$N$1500),0)),N85)</f>
        <v>Cash</v>
      </c>
      <c r="P85" s="38" cm="1">
        <f t="array" ref="P85">ROUND(IF(TRIM(H85)="",IFERROR(MEDIAN(IF($M$2:$M$1500=M85,$H$2:$H$1500)),MEDIAN($H$2:$H$1500)),H85),2)</f>
        <v>0.65</v>
      </c>
      <c r="Q85" s="38" t="str">
        <f t="shared" si="9"/>
        <v>1</v>
      </c>
      <c r="R85" s="39" cm="1">
        <f t="array" ref="R85">IF(OR(TRIM(J85)="",TRIM(J85)="-"),MEDIAN(IF($C$2:$C$1218=C85,$J$2:$J$1218)),VALUE(SUBSTITUTE(SUBSTITUTE(SUBSTITUTE(J85,"Rs. ",""),"₹",""),",","")))</f>
        <v>4643</v>
      </c>
      <c r="S85" s="40">
        <f t="shared" si="7"/>
        <v>0</v>
      </c>
      <c r="T85" s="41">
        <f t="shared" si="10"/>
        <v>0</v>
      </c>
      <c r="U85" s="42">
        <f t="shared" si="11"/>
        <v>4643</v>
      </c>
    </row>
    <row r="86" spans="1:21" x14ac:dyDescent="0.3">
      <c r="A86" s="37" t="s">
        <v>2654</v>
      </c>
      <c r="B86" s="37" t="s">
        <v>2655</v>
      </c>
      <c r="C86" s="37" t="s">
        <v>2514</v>
      </c>
      <c r="D86" s="37" t="s">
        <v>106</v>
      </c>
      <c r="E86" s="37" t="s">
        <v>107</v>
      </c>
      <c r="F86" s="37" t="s">
        <v>19</v>
      </c>
      <c r="G86" s="37" t="s">
        <v>2423</v>
      </c>
      <c r="H86" s="37">
        <v>21.17</v>
      </c>
      <c r="I86" s="37">
        <v>9</v>
      </c>
      <c r="J86" s="37" t="s">
        <v>2656</v>
      </c>
      <c r="K86" s="37" t="s">
        <v>34</v>
      </c>
      <c r="L86" s="37"/>
      <c r="M86" s="37" t="str">
        <f t="shared" si="8"/>
        <v>General</v>
      </c>
      <c r="N86" s="37" t="str">
        <f t="shared" si="6"/>
        <v>Cash</v>
      </c>
      <c r="O86" s="37" t="str" cm="1">
        <f t="array" ref="O86">IF(TRIM(N86)="",INDEX($N$2:$N$1500,MATCH(MAX(COUNTIF($N$2:$N$1500,$N$2:$N$1500)),COUNTIF($N$2:$N$1500,$N$2:$N$1500),0)),N86)</f>
        <v>Cash</v>
      </c>
      <c r="P86" s="38" cm="1">
        <f t="array" ref="P86">ROUND(IF(TRIM(H86)="",IFERROR(MEDIAN(IF($M$2:$M$1500=M86,$H$2:$H$1500)),MEDIAN($H$2:$H$1500)),H86),2)</f>
        <v>21.17</v>
      </c>
      <c r="Q86" s="38" t="str">
        <f t="shared" si="9"/>
        <v>0</v>
      </c>
      <c r="R86" s="39" cm="1">
        <f t="array" ref="R86">IF(OR(TRIM(J86)="",TRIM(J86)="-"),MEDIAN(IF($C$2:$C$1218=C86,$J$2:$J$1218)),VALUE(SUBSTITUTE(SUBSTITUTE(SUBSTITUTE(J86,"Rs. ",""),"₹",""),",","")))</f>
        <v>12730</v>
      </c>
      <c r="S86" s="40">
        <f t="shared" si="7"/>
        <v>0</v>
      </c>
      <c r="T86" s="41">
        <f t="shared" si="10"/>
        <v>0</v>
      </c>
      <c r="U86" s="42">
        <f t="shared" si="11"/>
        <v>12730</v>
      </c>
    </row>
    <row r="87" spans="1:21" x14ac:dyDescent="0.3">
      <c r="A87" s="37" t="s">
        <v>2657</v>
      </c>
      <c r="B87" s="37" t="s">
        <v>2658</v>
      </c>
      <c r="C87" s="37" t="s">
        <v>2532</v>
      </c>
      <c r="D87" s="37" t="s">
        <v>78</v>
      </c>
      <c r="E87" s="37" t="s">
        <v>79</v>
      </c>
      <c r="F87" s="37" t="s">
        <v>62</v>
      </c>
      <c r="G87" s="37" t="s">
        <v>2423</v>
      </c>
      <c r="H87" s="37">
        <v>14.5</v>
      </c>
      <c r="I87" s="37">
        <v>1</v>
      </c>
      <c r="J87" s="37">
        <v>56711</v>
      </c>
      <c r="K87" s="37" t="s">
        <v>42</v>
      </c>
      <c r="L87" s="37"/>
      <c r="M87" s="37" t="str">
        <f t="shared" si="8"/>
        <v>ICU</v>
      </c>
      <c r="N87" s="37" t="str">
        <f t="shared" si="6"/>
        <v>Insurance</v>
      </c>
      <c r="O87" s="37" t="str" cm="1">
        <f t="array" ref="O87">IF(TRIM(N87)="",INDEX($N$2:$N$1500,MATCH(MAX(COUNTIF($N$2:$N$1500,$N$2:$N$1500)),COUNTIF($N$2:$N$1500,$N$2:$N$1500),0)),N87)</f>
        <v>Insurance</v>
      </c>
      <c r="P87" s="38" cm="1">
        <f t="array" ref="P87">ROUND(IF(TRIM(H87)="",IFERROR(MEDIAN(IF($M$2:$M$1500=M87,$H$2:$H$1500)),MEDIAN($H$2:$H$1500)),H87),2)</f>
        <v>14.5</v>
      </c>
      <c r="Q87" s="38" t="str">
        <f t="shared" si="9"/>
        <v>0</v>
      </c>
      <c r="R87" s="39" cm="1">
        <f t="array" ref="R87">IF(OR(TRIM(J87)="",TRIM(J87)="-"),MEDIAN(IF($C$2:$C$1218=C87,$J$2:$J$1218)),VALUE(SUBSTITUTE(SUBSTITUTE(SUBSTITUTE(J87,"Rs. ",""),"₹",""),",","")))</f>
        <v>56711</v>
      </c>
      <c r="S87" s="40">
        <f t="shared" si="7"/>
        <v>0</v>
      </c>
      <c r="T87" s="41">
        <f t="shared" si="10"/>
        <v>0</v>
      </c>
      <c r="U87" s="42">
        <f t="shared" si="11"/>
        <v>56711</v>
      </c>
    </row>
    <row r="88" spans="1:21" x14ac:dyDescent="0.3">
      <c r="A88" s="37" t="s">
        <v>2659</v>
      </c>
      <c r="B88" s="37" t="s">
        <v>2660</v>
      </c>
      <c r="C88" s="37" t="s">
        <v>2407</v>
      </c>
      <c r="D88" s="37" t="s">
        <v>117</v>
      </c>
      <c r="E88" s="37" t="s">
        <v>118</v>
      </c>
      <c r="F88" s="37" t="s">
        <v>62</v>
      </c>
      <c r="G88" s="37" t="s">
        <v>2428</v>
      </c>
      <c r="H88" s="37">
        <v>16.399999999999999</v>
      </c>
      <c r="I88" s="37">
        <v>53</v>
      </c>
      <c r="J88" s="37" t="s">
        <v>2661</v>
      </c>
      <c r="K88" s="37" t="s">
        <v>97</v>
      </c>
      <c r="L88" s="37" t="s">
        <v>198</v>
      </c>
      <c r="M88" s="37" t="str">
        <f t="shared" si="8"/>
        <v>ICU</v>
      </c>
      <c r="N88" s="37" t="str">
        <f t="shared" si="6"/>
        <v>UPI</v>
      </c>
      <c r="O88" s="37" t="str" cm="1">
        <f t="array" ref="O88">IF(TRIM(N88)="",INDEX($N$2:$N$1500,MATCH(MAX(COUNTIF($N$2:$N$1500,$N$2:$N$1500)),COUNTIF($N$2:$N$1500,$N$2:$N$1500),0)),N88)</f>
        <v>UPI</v>
      </c>
      <c r="P88" s="38" cm="1">
        <f t="array" ref="P88">ROUND(IF(TRIM(H88)="",IFERROR(MEDIAN(IF($M$2:$M$1500=M88,$H$2:$H$1500)),MEDIAN($H$2:$H$1500)),H88),2)</f>
        <v>16.399999999999999</v>
      </c>
      <c r="Q88" s="38" t="str">
        <f t="shared" si="9"/>
        <v>2</v>
      </c>
      <c r="R88" s="39" cm="1">
        <f t="array" ref="R88">IF(OR(TRIM(J88)="",TRIM(J88)="-"),MEDIAN(IF($C$2:$C$1218=C88,$J$2:$J$1218)),VALUE(SUBSTITUTE(SUBSTITUTE(SUBSTITUTE(J88,"Rs. ",""),"₹",""),",","")))</f>
        <v>38301</v>
      </c>
      <c r="S88" s="40">
        <f t="shared" si="7"/>
        <v>5</v>
      </c>
      <c r="T88" s="41">
        <f t="shared" si="10"/>
        <v>5</v>
      </c>
      <c r="U88" s="42">
        <f t="shared" si="11"/>
        <v>36386</v>
      </c>
    </row>
    <row r="89" spans="1:21" x14ac:dyDescent="0.3">
      <c r="A89" s="37" t="s">
        <v>2662</v>
      </c>
      <c r="B89" s="37" t="s">
        <v>2663</v>
      </c>
      <c r="C89" s="37" t="s">
        <v>2459</v>
      </c>
      <c r="D89" s="37" t="s">
        <v>14</v>
      </c>
      <c r="E89" s="37" t="s">
        <v>60</v>
      </c>
      <c r="F89" s="37" t="s">
        <v>30</v>
      </c>
      <c r="G89" s="37" t="s">
        <v>2435</v>
      </c>
      <c r="H89" s="37"/>
      <c r="I89" s="37">
        <v>17</v>
      </c>
      <c r="J89" s="37">
        <v>13173</v>
      </c>
      <c r="K89" s="37" t="s">
        <v>211</v>
      </c>
      <c r="L89" s="37" t="s">
        <v>130</v>
      </c>
      <c r="M89" s="37" t="str">
        <f t="shared" si="8"/>
        <v>General</v>
      </c>
      <c r="N89" s="37" t="str">
        <f t="shared" si="6"/>
        <v>Credit Card</v>
      </c>
      <c r="O89" s="37" t="str" cm="1">
        <f t="array" ref="O89">IF(TRIM(N89)="",INDEX($N$2:$N$1500,MATCH(MAX(COUNTIF($N$2:$N$1500,$N$2:$N$1500)),COUNTIF($N$2:$N$1500,$N$2:$N$1500),0)),N89)</f>
        <v>Credit Card</v>
      </c>
      <c r="P89" s="38" cm="1">
        <f t="array" ref="P89">ROUND(IF(TRIM(H89)="",IFERROR(MEDIAN(IF($M$2:$M$1500=M89,$H$2:$H$1500)),MEDIAN($H$2:$H$1500)),H89),2)</f>
        <v>12.02</v>
      </c>
      <c r="Q89" s="38" t="str">
        <f t="shared" si="9"/>
        <v>0</v>
      </c>
      <c r="R89" s="39" cm="1">
        <f t="array" ref="R89">IF(OR(TRIM(J89)="",TRIM(J89)="-"),MEDIAN(IF($C$2:$C$1218=C89,$J$2:$J$1218)),VALUE(SUBSTITUTE(SUBSTITUTE(SUBSTITUTE(J89,"Rs. ",""),"₹",""),",","")))</f>
        <v>13173</v>
      </c>
      <c r="S89" s="40">
        <f t="shared" si="7"/>
        <v>0</v>
      </c>
      <c r="T89" s="41">
        <f t="shared" si="10"/>
        <v>0</v>
      </c>
      <c r="U89" s="42">
        <f t="shared" si="11"/>
        <v>13173</v>
      </c>
    </row>
    <row r="90" spans="1:21" x14ac:dyDescent="0.3">
      <c r="A90" s="37" t="s">
        <v>2664</v>
      </c>
      <c r="B90" s="37" t="s">
        <v>2665</v>
      </c>
      <c r="C90" s="37" t="s">
        <v>2438</v>
      </c>
      <c r="D90" s="37" t="s">
        <v>106</v>
      </c>
      <c r="E90" s="37" t="s">
        <v>107</v>
      </c>
      <c r="F90" s="37" t="s">
        <v>49</v>
      </c>
      <c r="G90" s="37"/>
      <c r="H90" s="37">
        <v>9.1300000000000008</v>
      </c>
      <c r="I90" s="37">
        <v>41</v>
      </c>
      <c r="J90" s="37">
        <v>9737</v>
      </c>
      <c r="K90" s="37" t="s">
        <v>58</v>
      </c>
      <c r="L90" s="37"/>
      <c r="M90" s="37" t="str">
        <f t="shared" si="8"/>
        <v>General</v>
      </c>
      <c r="N90" s="37" t="str">
        <f t="shared" si="6"/>
        <v>UPI</v>
      </c>
      <c r="O90" s="37" t="str" cm="1">
        <f t="array" ref="O90">IF(TRIM(N90)="",INDEX($N$2:$N$1500,MATCH(MAX(COUNTIF($N$2:$N$1500,$N$2:$N$1500)),COUNTIF($N$2:$N$1500,$N$2:$N$1500),0)),N90)</f>
        <v>UPI</v>
      </c>
      <c r="P90" s="38" cm="1">
        <f t="array" ref="P90">ROUND(IF(TRIM(H90)="",IFERROR(MEDIAN(IF($M$2:$M$1500=M90,$H$2:$H$1500)),MEDIAN($H$2:$H$1500)),H90),2)</f>
        <v>9.1300000000000008</v>
      </c>
      <c r="Q90" s="38" t="str">
        <f t="shared" si="9"/>
        <v>Unknown</v>
      </c>
      <c r="R90" s="39" cm="1">
        <f t="array" ref="R90">IF(OR(TRIM(J90)="",TRIM(J90)="-"),MEDIAN(IF($C$2:$C$1218=C90,$J$2:$J$1218)),VALUE(SUBSTITUTE(SUBSTITUTE(SUBSTITUTE(J90,"Rs. ",""),"₹",""),",","")))</f>
        <v>9737</v>
      </c>
      <c r="S90" s="40">
        <f t="shared" si="7"/>
        <v>0</v>
      </c>
      <c r="T90" s="41">
        <f t="shared" si="10"/>
        <v>0</v>
      </c>
      <c r="U90" s="42">
        <f t="shared" si="11"/>
        <v>9737</v>
      </c>
    </row>
    <row r="91" spans="1:21" x14ac:dyDescent="0.3">
      <c r="A91" s="37" t="s">
        <v>2666</v>
      </c>
      <c r="B91" s="37" t="s">
        <v>2667</v>
      </c>
      <c r="C91" s="37" t="s">
        <v>2449</v>
      </c>
      <c r="D91" s="37" t="s">
        <v>78</v>
      </c>
      <c r="E91" s="37" t="s">
        <v>79</v>
      </c>
      <c r="F91" s="37" t="s">
        <v>49</v>
      </c>
      <c r="G91" s="37" t="s">
        <v>2428</v>
      </c>
      <c r="H91" s="37">
        <v>4.5</v>
      </c>
      <c r="I91" s="37">
        <v>52</v>
      </c>
      <c r="J91" s="37">
        <v>10111</v>
      </c>
      <c r="K91" s="37" t="s">
        <v>58</v>
      </c>
      <c r="L91" s="37" t="s">
        <v>198</v>
      </c>
      <c r="M91" s="37" t="str">
        <f t="shared" si="8"/>
        <v>General</v>
      </c>
      <c r="N91" s="37" t="str">
        <f t="shared" si="6"/>
        <v>UPI</v>
      </c>
      <c r="O91" s="37" t="str" cm="1">
        <f t="array" ref="O91">IF(TRIM(N91)="",INDEX($N$2:$N$1500,MATCH(MAX(COUNTIF($N$2:$N$1500,$N$2:$N$1500)),COUNTIF($N$2:$N$1500,$N$2:$N$1500),0)),N91)</f>
        <v>UPI</v>
      </c>
      <c r="P91" s="38" cm="1">
        <f t="array" ref="P91">ROUND(IF(TRIM(H91)="",IFERROR(MEDIAN(IF($M$2:$M$1500=M91,$H$2:$H$1500)),MEDIAN($H$2:$H$1500)),H91),2)</f>
        <v>4.5</v>
      </c>
      <c r="Q91" s="38" t="str">
        <f t="shared" si="9"/>
        <v>2</v>
      </c>
      <c r="R91" s="39" cm="1">
        <f t="array" ref="R91">IF(OR(TRIM(J91)="",TRIM(J91)="-"),MEDIAN(IF($C$2:$C$1218=C91,$J$2:$J$1218)),VALUE(SUBSTITUTE(SUBSTITUTE(SUBSTITUTE(J91,"Rs. ",""),"₹",""),",","")))</f>
        <v>10111</v>
      </c>
      <c r="S91" s="40">
        <f t="shared" si="7"/>
        <v>5</v>
      </c>
      <c r="T91" s="41">
        <f t="shared" si="10"/>
        <v>5</v>
      </c>
      <c r="U91" s="42">
        <f t="shared" si="11"/>
        <v>9605</v>
      </c>
    </row>
    <row r="92" spans="1:21" x14ac:dyDescent="0.3">
      <c r="A92" s="37" t="s">
        <v>2668</v>
      </c>
      <c r="B92" s="37" t="s">
        <v>2669</v>
      </c>
      <c r="C92" s="37" t="s">
        <v>2438</v>
      </c>
      <c r="D92" s="37" t="s">
        <v>117</v>
      </c>
      <c r="E92" s="37" t="s">
        <v>118</v>
      </c>
      <c r="F92" s="37"/>
      <c r="G92" s="37" t="s">
        <v>2418</v>
      </c>
      <c r="H92" s="37">
        <v>19.690000000000001</v>
      </c>
      <c r="I92" s="37">
        <v>9</v>
      </c>
      <c r="J92" s="37" t="s">
        <v>2670</v>
      </c>
      <c r="K92" s="37" t="s">
        <v>34</v>
      </c>
      <c r="L92" s="37"/>
      <c r="M92" s="37" t="str">
        <f t="shared" si="8"/>
        <v>Unknown</v>
      </c>
      <c r="N92" s="37" t="str">
        <f t="shared" si="6"/>
        <v>Cash</v>
      </c>
      <c r="O92" s="37" t="str" cm="1">
        <f t="array" ref="O92">IF(TRIM(N92)="",INDEX($N$2:$N$1500,MATCH(MAX(COUNTIF($N$2:$N$1500,$N$2:$N$1500)),COUNTIF($N$2:$N$1500,$N$2:$N$1500),0)),N92)</f>
        <v>Cash</v>
      </c>
      <c r="P92" s="38" cm="1">
        <f t="array" ref="P92">ROUND(IF(TRIM(H92)="",IFERROR(MEDIAN(IF($M$2:$M$1500=M92,$H$2:$H$1500)),MEDIAN($H$2:$H$1500)),H92),2)</f>
        <v>19.690000000000001</v>
      </c>
      <c r="Q92" s="38" t="str">
        <f t="shared" si="9"/>
        <v>1</v>
      </c>
      <c r="R92" s="39" cm="1">
        <f t="array" ref="R92">IF(OR(TRIM(J92)="",TRIM(J92)="-"),MEDIAN(IF($C$2:$C$1218=C92,$J$2:$J$1218)),VALUE(SUBSTITUTE(SUBSTITUTE(SUBSTITUTE(J92,"Rs. ",""),"₹",""),",","")))</f>
        <v>17349</v>
      </c>
      <c r="S92" s="40">
        <f t="shared" si="7"/>
        <v>0</v>
      </c>
      <c r="T92" s="41">
        <f t="shared" si="10"/>
        <v>0</v>
      </c>
      <c r="U92" s="42">
        <f t="shared" si="11"/>
        <v>17349</v>
      </c>
    </row>
    <row r="93" spans="1:21" x14ac:dyDescent="0.3">
      <c r="A93" s="37" t="s">
        <v>2671</v>
      </c>
      <c r="B93" s="37" t="s">
        <v>2652</v>
      </c>
      <c r="C93" s="37" t="s">
        <v>2434</v>
      </c>
      <c r="D93" s="37" t="s">
        <v>117</v>
      </c>
      <c r="E93" s="37" t="s">
        <v>118</v>
      </c>
      <c r="F93" s="37" t="s">
        <v>19</v>
      </c>
      <c r="G93" s="37" t="s">
        <v>2477</v>
      </c>
      <c r="H93" s="37">
        <v>7.89</v>
      </c>
      <c r="I93" s="37">
        <v>16</v>
      </c>
      <c r="J93" s="37" t="s">
        <v>2672</v>
      </c>
      <c r="K93" s="37" t="s">
        <v>42</v>
      </c>
      <c r="L93" s="37" t="s">
        <v>76</v>
      </c>
      <c r="M93" s="37" t="str">
        <f t="shared" si="8"/>
        <v>General</v>
      </c>
      <c r="N93" s="37" t="str">
        <f t="shared" si="6"/>
        <v>Insurance</v>
      </c>
      <c r="O93" s="37" t="str" cm="1">
        <f t="array" ref="O93">IF(TRIM(N93)="",INDEX($N$2:$N$1500,MATCH(MAX(COUNTIF($N$2:$N$1500,$N$2:$N$1500)),COUNTIF($N$2:$N$1500,$N$2:$N$1500),0)),N93)</f>
        <v>Insurance</v>
      </c>
      <c r="P93" s="38" cm="1">
        <f t="array" ref="P93">ROUND(IF(TRIM(H93)="",IFERROR(MEDIAN(IF($M$2:$M$1500=M93,$H$2:$H$1500)),MEDIAN($H$2:$H$1500)),H93),2)</f>
        <v>7.89</v>
      </c>
      <c r="Q93" s="38" t="str">
        <f t="shared" si="9"/>
        <v>0</v>
      </c>
      <c r="R93" s="39" cm="1">
        <f t="array" ref="R93">IF(OR(TRIM(J93)="",TRIM(J93)="-"),MEDIAN(IF($C$2:$C$1218=C93,$J$2:$J$1218)),VALUE(SUBSTITUTE(SUBSTITUTE(SUBSTITUTE(J93,"Rs. ",""),"₹",""),",","")))</f>
        <v>10555</v>
      </c>
      <c r="S93" s="40">
        <f t="shared" si="7"/>
        <v>10</v>
      </c>
      <c r="T93" s="41">
        <f t="shared" si="10"/>
        <v>10</v>
      </c>
      <c r="U93" s="42">
        <f t="shared" si="11"/>
        <v>9500</v>
      </c>
    </row>
    <row r="94" spans="1:21" x14ac:dyDescent="0.3">
      <c r="A94" s="37" t="s">
        <v>2673</v>
      </c>
      <c r="B94" s="37" t="s">
        <v>2674</v>
      </c>
      <c r="C94" s="37" t="s">
        <v>2407</v>
      </c>
      <c r="D94" s="37" t="s">
        <v>78</v>
      </c>
      <c r="E94" s="37" t="s">
        <v>203</v>
      </c>
      <c r="F94" s="37" t="s">
        <v>19</v>
      </c>
      <c r="G94" s="37" t="s">
        <v>2408</v>
      </c>
      <c r="H94" s="37">
        <v>8</v>
      </c>
      <c r="I94" s="37">
        <v>45</v>
      </c>
      <c r="J94" s="37">
        <v>11753</v>
      </c>
      <c r="K94" s="37" t="s">
        <v>72</v>
      </c>
      <c r="L94" s="37" t="s">
        <v>130</v>
      </c>
      <c r="M94" s="37" t="str">
        <f t="shared" si="8"/>
        <v>General</v>
      </c>
      <c r="N94" s="37" t="str">
        <f t="shared" si="6"/>
        <v>Cash</v>
      </c>
      <c r="O94" s="37" t="str" cm="1">
        <f t="array" ref="O94">IF(TRIM(N94)="",INDEX($N$2:$N$1500,MATCH(MAX(COUNTIF($N$2:$N$1500,$N$2:$N$1500)),COUNTIF($N$2:$N$1500,$N$2:$N$1500),0)),N94)</f>
        <v>Cash</v>
      </c>
      <c r="P94" s="38" cm="1">
        <f t="array" ref="P94">ROUND(IF(TRIM(H94)="",IFERROR(MEDIAN(IF($M$2:$M$1500=M94,$H$2:$H$1500)),MEDIAN($H$2:$H$1500)),H94),2)</f>
        <v>8</v>
      </c>
      <c r="Q94" s="38" t="str">
        <f t="shared" si="9"/>
        <v>0</v>
      </c>
      <c r="R94" s="39" cm="1">
        <f t="array" ref="R94">IF(OR(TRIM(J94)="",TRIM(J94)="-"),MEDIAN(IF($C$2:$C$1218=C94,$J$2:$J$1218)),VALUE(SUBSTITUTE(SUBSTITUTE(SUBSTITUTE(J94,"Rs. ",""),"₹",""),",","")))</f>
        <v>11753</v>
      </c>
      <c r="S94" s="40">
        <f t="shared" si="7"/>
        <v>0</v>
      </c>
      <c r="T94" s="41">
        <f t="shared" si="10"/>
        <v>0</v>
      </c>
      <c r="U94" s="42">
        <f t="shared" si="11"/>
        <v>11753</v>
      </c>
    </row>
    <row r="95" spans="1:21" x14ac:dyDescent="0.3">
      <c r="A95" s="37" t="s">
        <v>2675</v>
      </c>
      <c r="B95" s="37" t="s">
        <v>2676</v>
      </c>
      <c r="C95" s="37" t="s">
        <v>2518</v>
      </c>
      <c r="D95" s="37" t="s">
        <v>25</v>
      </c>
      <c r="E95" s="37" t="s">
        <v>26</v>
      </c>
      <c r="F95" s="37" t="s">
        <v>49</v>
      </c>
      <c r="G95" s="37" t="s">
        <v>2408</v>
      </c>
      <c r="H95" s="37">
        <v>24.78</v>
      </c>
      <c r="I95" s="37">
        <v>19</v>
      </c>
      <c r="J95" s="37" t="s">
        <v>2677</v>
      </c>
      <c r="K95" s="37" t="s">
        <v>87</v>
      </c>
      <c r="L95" s="37">
        <v>0</v>
      </c>
      <c r="M95" s="37" t="str">
        <f t="shared" si="8"/>
        <v>General</v>
      </c>
      <c r="N95" s="37" t="str">
        <f t="shared" si="6"/>
        <v>Credit Card</v>
      </c>
      <c r="O95" s="37" t="str" cm="1">
        <f t="array" ref="O95">IF(TRIM(N95)="",INDEX($N$2:$N$1500,MATCH(MAX(COUNTIF($N$2:$N$1500,$N$2:$N$1500)),COUNTIF($N$2:$N$1500,$N$2:$N$1500),0)),N95)</f>
        <v>Credit Card</v>
      </c>
      <c r="P95" s="38" cm="1">
        <f t="array" ref="P95">ROUND(IF(TRIM(H95)="",IFERROR(MEDIAN(IF($M$2:$M$1500=M95,$H$2:$H$1500)),MEDIAN($H$2:$H$1500)),H95),2)</f>
        <v>24.78</v>
      </c>
      <c r="Q95" s="38" t="str">
        <f t="shared" si="9"/>
        <v>0</v>
      </c>
      <c r="R95" s="39" cm="1">
        <f t="array" ref="R95">IF(OR(TRIM(J95)="",TRIM(J95)="-"),MEDIAN(IF($C$2:$C$1218=C95,$J$2:$J$1218)),VALUE(SUBSTITUTE(SUBSTITUTE(SUBSTITUTE(J95,"Rs. ",""),"₹",""),",","")))</f>
        <v>3654</v>
      </c>
      <c r="S95" s="40">
        <f t="shared" si="7"/>
        <v>0</v>
      </c>
      <c r="T95" s="41">
        <f t="shared" si="10"/>
        <v>0</v>
      </c>
      <c r="U95" s="42">
        <f t="shared" si="11"/>
        <v>3654</v>
      </c>
    </row>
    <row r="96" spans="1:21" x14ac:dyDescent="0.3">
      <c r="A96" s="37" t="s">
        <v>2678</v>
      </c>
      <c r="B96" s="37" t="s">
        <v>2679</v>
      </c>
      <c r="C96" s="37" t="s">
        <v>2463</v>
      </c>
      <c r="D96" s="37" t="s">
        <v>45</v>
      </c>
      <c r="E96" s="37" t="s">
        <v>46</v>
      </c>
      <c r="F96" s="37" t="s">
        <v>19</v>
      </c>
      <c r="G96" s="37" t="s">
        <v>2418</v>
      </c>
      <c r="H96" s="37">
        <v>18.45</v>
      </c>
      <c r="I96" s="37">
        <v>29</v>
      </c>
      <c r="J96" s="37" t="s">
        <v>2680</v>
      </c>
      <c r="K96" s="37" t="s">
        <v>87</v>
      </c>
      <c r="L96" s="37">
        <v>0</v>
      </c>
      <c r="M96" s="37" t="str">
        <f t="shared" si="8"/>
        <v>General</v>
      </c>
      <c r="N96" s="37" t="str">
        <f t="shared" si="6"/>
        <v>Credit Card</v>
      </c>
      <c r="O96" s="37" t="str" cm="1">
        <f t="array" ref="O96">IF(TRIM(N96)="",INDEX($N$2:$N$1500,MATCH(MAX(COUNTIF($N$2:$N$1500,$N$2:$N$1500)),COUNTIF($N$2:$N$1500,$N$2:$N$1500),0)),N96)</f>
        <v>Credit Card</v>
      </c>
      <c r="P96" s="38" cm="1">
        <f t="array" ref="P96">ROUND(IF(TRIM(H96)="",IFERROR(MEDIAN(IF($M$2:$M$1500=M96,$H$2:$H$1500)),MEDIAN($H$2:$H$1500)),H96),2)</f>
        <v>18.45</v>
      </c>
      <c r="Q96" s="38" t="str">
        <f t="shared" si="9"/>
        <v>1</v>
      </c>
      <c r="R96" s="39" cm="1">
        <f t="array" ref="R96">IF(OR(TRIM(J96)="",TRIM(J96)="-"),MEDIAN(IF($C$2:$C$1218=C96,$J$2:$J$1218)),VALUE(SUBSTITUTE(SUBSTITUTE(SUBSTITUTE(J96,"Rs. ",""),"₹",""),",","")))</f>
        <v>18936</v>
      </c>
      <c r="S96" s="40">
        <f t="shared" si="7"/>
        <v>0</v>
      </c>
      <c r="T96" s="41">
        <f t="shared" si="10"/>
        <v>0</v>
      </c>
      <c r="U96" s="42">
        <f t="shared" si="11"/>
        <v>18936</v>
      </c>
    </row>
    <row r="97" spans="1:21" x14ac:dyDescent="0.3">
      <c r="A97" s="37" t="s">
        <v>2681</v>
      </c>
      <c r="B97" s="37" t="s">
        <v>2682</v>
      </c>
      <c r="C97" s="37" t="s">
        <v>2445</v>
      </c>
      <c r="D97" s="37" t="s">
        <v>45</v>
      </c>
      <c r="E97" s="37" t="s">
        <v>334</v>
      </c>
      <c r="F97" s="37" t="s">
        <v>49</v>
      </c>
      <c r="G97" s="37" t="s">
        <v>2477</v>
      </c>
      <c r="H97" s="37">
        <v>9.94</v>
      </c>
      <c r="I97" s="37">
        <v>21</v>
      </c>
      <c r="J97" s="37">
        <v>6389</v>
      </c>
      <c r="K97" s="37" t="s">
        <v>83</v>
      </c>
      <c r="L97" s="37" t="s">
        <v>130</v>
      </c>
      <c r="M97" s="37" t="str">
        <f t="shared" si="8"/>
        <v>General</v>
      </c>
      <c r="N97" s="37" t="str">
        <f t="shared" si="6"/>
        <v>Debit Card</v>
      </c>
      <c r="O97" s="37" t="str" cm="1">
        <f t="array" ref="O97">IF(TRIM(N97)="",INDEX($N$2:$N$1500,MATCH(MAX(COUNTIF($N$2:$N$1500,$N$2:$N$1500)),COUNTIF($N$2:$N$1500,$N$2:$N$1500),0)),N97)</f>
        <v>Debit Card</v>
      </c>
      <c r="P97" s="38" cm="1">
        <f t="array" ref="P97">ROUND(IF(TRIM(H97)="",IFERROR(MEDIAN(IF($M$2:$M$1500=M97,$H$2:$H$1500)),MEDIAN($H$2:$H$1500)),H97),2)</f>
        <v>9.94</v>
      </c>
      <c r="Q97" s="38" t="str">
        <f t="shared" si="9"/>
        <v>0</v>
      </c>
      <c r="R97" s="39" cm="1">
        <f t="array" ref="R97">IF(OR(TRIM(J97)="",TRIM(J97)="-"),MEDIAN(IF($C$2:$C$1218=C97,$J$2:$J$1218)),VALUE(SUBSTITUTE(SUBSTITUTE(SUBSTITUTE(J97,"Rs. ",""),"₹",""),",","")))</f>
        <v>6389</v>
      </c>
      <c r="S97" s="40">
        <f t="shared" si="7"/>
        <v>0</v>
      </c>
      <c r="T97" s="41">
        <f t="shared" si="10"/>
        <v>0</v>
      </c>
      <c r="U97" s="42">
        <f t="shared" si="11"/>
        <v>6389</v>
      </c>
    </row>
    <row r="98" spans="1:21" x14ac:dyDescent="0.3">
      <c r="A98" s="37" t="s">
        <v>2683</v>
      </c>
      <c r="B98" s="37" t="s">
        <v>2684</v>
      </c>
      <c r="C98" s="37" t="s">
        <v>2577</v>
      </c>
      <c r="D98" s="37" t="s">
        <v>45</v>
      </c>
      <c r="E98" s="37" t="s">
        <v>46</v>
      </c>
      <c r="F98" s="37" t="s">
        <v>30</v>
      </c>
      <c r="G98" s="37" t="s">
        <v>2408</v>
      </c>
      <c r="H98" s="37">
        <v>2.36</v>
      </c>
      <c r="I98" s="37">
        <v>1</v>
      </c>
      <c r="J98" s="37">
        <v>17028</v>
      </c>
      <c r="K98" s="37" t="s">
        <v>104</v>
      </c>
      <c r="L98" s="37">
        <v>12</v>
      </c>
      <c r="M98" s="37" t="str">
        <f t="shared" si="8"/>
        <v>General</v>
      </c>
      <c r="N98" s="37" t="str">
        <f t="shared" si="6"/>
        <v>Insurance</v>
      </c>
      <c r="O98" s="37" t="str" cm="1">
        <f t="array" ref="O98">IF(TRIM(N98)="",INDEX($N$2:$N$1500,MATCH(MAX(COUNTIF($N$2:$N$1500,$N$2:$N$1500)),COUNTIF($N$2:$N$1500,$N$2:$N$1500),0)),N98)</f>
        <v>Insurance</v>
      </c>
      <c r="P98" s="38" cm="1">
        <f t="array" ref="P98">ROUND(IF(TRIM(H98)="",IFERROR(MEDIAN(IF($M$2:$M$1500=M98,$H$2:$H$1500)),MEDIAN($H$2:$H$1500)),H98),2)</f>
        <v>2.36</v>
      </c>
      <c r="Q98" s="38" t="str">
        <f t="shared" si="9"/>
        <v>0</v>
      </c>
      <c r="R98" s="39" cm="1">
        <f t="array" ref="R98">IF(OR(TRIM(J98)="",TRIM(J98)="-"),MEDIAN(IF($C$2:$C$1218=C98,$J$2:$J$1218)),VALUE(SUBSTITUTE(SUBSTITUTE(SUBSTITUTE(J98,"Rs. ",""),"₹",""),",","")))</f>
        <v>17028</v>
      </c>
      <c r="S98" s="40">
        <f t="shared" si="7"/>
        <v>12</v>
      </c>
      <c r="T98" s="41">
        <f t="shared" si="10"/>
        <v>12</v>
      </c>
      <c r="U98" s="42">
        <f t="shared" si="11"/>
        <v>14985</v>
      </c>
    </row>
    <row r="99" spans="1:21" x14ac:dyDescent="0.3">
      <c r="A99" s="37" t="s">
        <v>2685</v>
      </c>
      <c r="B99" s="37" t="s">
        <v>2686</v>
      </c>
      <c r="C99" s="37" t="s">
        <v>2518</v>
      </c>
      <c r="D99" s="37" t="s">
        <v>45</v>
      </c>
      <c r="E99" s="37" t="s">
        <v>46</v>
      </c>
      <c r="F99" s="37" t="s">
        <v>39</v>
      </c>
      <c r="G99" s="37"/>
      <c r="H99" s="37">
        <v>9.69</v>
      </c>
      <c r="I99" s="37">
        <v>59</v>
      </c>
      <c r="J99" s="37" t="s">
        <v>2687</v>
      </c>
      <c r="K99" s="37" t="s">
        <v>58</v>
      </c>
      <c r="L99" s="37">
        <v>0</v>
      </c>
      <c r="M99" s="37" t="str">
        <f t="shared" si="8"/>
        <v>General</v>
      </c>
      <c r="N99" s="37" t="str">
        <f t="shared" si="6"/>
        <v>UPI</v>
      </c>
      <c r="O99" s="37" t="str" cm="1">
        <f t="array" ref="O99">IF(TRIM(N99)="",INDEX($N$2:$N$1500,MATCH(MAX(COUNTIF($N$2:$N$1500,$N$2:$N$1500)),COUNTIF($N$2:$N$1500,$N$2:$N$1500),0)),N99)</f>
        <v>UPI</v>
      </c>
      <c r="P99" s="38" cm="1">
        <f t="array" ref="P99">ROUND(IF(TRIM(H99)="",IFERROR(MEDIAN(IF($M$2:$M$1500=M99,$H$2:$H$1500)),MEDIAN($H$2:$H$1500)),H99),2)</f>
        <v>9.69</v>
      </c>
      <c r="Q99" s="38" t="str">
        <f t="shared" si="9"/>
        <v>Unknown</v>
      </c>
      <c r="R99" s="39" cm="1">
        <f t="array" ref="R99">IF(OR(TRIM(J99)="",TRIM(J99)="-"),MEDIAN(IF($C$2:$C$1218=C99,$J$2:$J$1218)),VALUE(SUBSTITUTE(SUBSTITUTE(SUBSTITUTE(J99,"Rs. ",""),"₹",""),",","")))</f>
        <v>3830</v>
      </c>
      <c r="S99" s="40">
        <f t="shared" si="7"/>
        <v>0</v>
      </c>
      <c r="T99" s="41">
        <f t="shared" si="10"/>
        <v>0</v>
      </c>
      <c r="U99" s="42">
        <f t="shared" si="11"/>
        <v>3830</v>
      </c>
    </row>
    <row r="100" spans="1:21" x14ac:dyDescent="0.3">
      <c r="A100" s="37" t="s">
        <v>2688</v>
      </c>
      <c r="B100" s="37" t="s">
        <v>2689</v>
      </c>
      <c r="C100" s="37" t="s">
        <v>2445</v>
      </c>
      <c r="D100" s="37" t="s">
        <v>25</v>
      </c>
      <c r="E100" s="37" t="s">
        <v>54</v>
      </c>
      <c r="F100" s="37" t="s">
        <v>62</v>
      </c>
      <c r="G100" s="37" t="s">
        <v>2408</v>
      </c>
      <c r="H100" s="37">
        <v>9.5399999999999991</v>
      </c>
      <c r="I100" s="37">
        <v>46</v>
      </c>
      <c r="J100" s="37">
        <v>66972</v>
      </c>
      <c r="K100" s="37" t="s">
        <v>72</v>
      </c>
      <c r="L100" s="37">
        <v>5</v>
      </c>
      <c r="M100" s="37" t="str">
        <f t="shared" si="8"/>
        <v>ICU</v>
      </c>
      <c r="N100" s="37" t="str">
        <f t="shared" si="6"/>
        <v>Cash</v>
      </c>
      <c r="O100" s="37" t="str" cm="1">
        <f t="array" ref="O100">IF(TRIM(N100)="",INDEX($N$2:$N$1500,MATCH(MAX(COUNTIF($N$2:$N$1500,$N$2:$N$1500)),COUNTIF($N$2:$N$1500,$N$2:$N$1500),0)),N100)</f>
        <v>Cash</v>
      </c>
      <c r="P100" s="38" cm="1">
        <f t="array" ref="P100">ROUND(IF(TRIM(H100)="",IFERROR(MEDIAN(IF($M$2:$M$1500=M100,$H$2:$H$1500)),MEDIAN($H$2:$H$1500)),H100),2)</f>
        <v>9.5399999999999991</v>
      </c>
      <c r="Q100" s="38" t="str">
        <f t="shared" si="9"/>
        <v>0</v>
      </c>
      <c r="R100" s="39" cm="1">
        <f t="array" ref="R100">IF(OR(TRIM(J100)="",TRIM(J100)="-"),MEDIAN(IF($C$2:$C$1218=C100,$J$2:$J$1218)),VALUE(SUBSTITUTE(SUBSTITUTE(SUBSTITUTE(J100,"Rs. ",""),"₹",""),",","")))</f>
        <v>66972</v>
      </c>
      <c r="S100" s="40">
        <f t="shared" si="7"/>
        <v>5</v>
      </c>
      <c r="T100" s="41">
        <f t="shared" si="10"/>
        <v>5</v>
      </c>
      <c r="U100" s="42">
        <f t="shared" si="11"/>
        <v>63623</v>
      </c>
    </row>
    <row r="101" spans="1:21" x14ac:dyDescent="0.3">
      <c r="A101" s="37" t="s">
        <v>2690</v>
      </c>
      <c r="B101" s="37" t="s">
        <v>2649</v>
      </c>
      <c r="C101" s="37" t="s">
        <v>2521</v>
      </c>
      <c r="D101" s="37" t="s">
        <v>78</v>
      </c>
      <c r="E101" s="37" t="s">
        <v>203</v>
      </c>
      <c r="F101" s="37" t="s">
        <v>19</v>
      </c>
      <c r="G101" s="37" t="s">
        <v>2408</v>
      </c>
      <c r="H101" s="37">
        <v>9.6300000000000008</v>
      </c>
      <c r="I101" s="37">
        <v>44</v>
      </c>
      <c r="J101" s="37" t="s">
        <v>2691</v>
      </c>
      <c r="K101" s="37" t="s">
        <v>72</v>
      </c>
      <c r="L101" s="37">
        <v>0</v>
      </c>
      <c r="M101" s="37" t="str">
        <f t="shared" si="8"/>
        <v>General</v>
      </c>
      <c r="N101" s="37" t="str">
        <f t="shared" si="6"/>
        <v>Cash</v>
      </c>
      <c r="O101" s="37" t="str" cm="1">
        <f t="array" ref="O101">IF(TRIM(N101)="",INDEX($N$2:$N$1500,MATCH(MAX(COUNTIF($N$2:$N$1500,$N$2:$N$1500)),COUNTIF($N$2:$N$1500,$N$2:$N$1500),0)),N101)</f>
        <v>Cash</v>
      </c>
      <c r="P101" s="38" cm="1">
        <f t="array" ref="P101">ROUND(IF(TRIM(H101)="",IFERROR(MEDIAN(IF($M$2:$M$1500=M101,$H$2:$H$1500)),MEDIAN($H$2:$H$1500)),H101),2)</f>
        <v>9.6300000000000008</v>
      </c>
      <c r="Q101" s="38" t="str">
        <f t="shared" si="9"/>
        <v>0</v>
      </c>
      <c r="R101" s="39" cm="1">
        <f t="array" ref="R101">IF(OR(TRIM(J101)="",TRIM(J101)="-"),MEDIAN(IF($C$2:$C$1218=C101,$J$2:$J$1218)),VALUE(SUBSTITUTE(SUBSTITUTE(SUBSTITUTE(J101,"Rs. ",""),"₹",""),",","")))</f>
        <v>8642</v>
      </c>
      <c r="S101" s="40">
        <f t="shared" si="7"/>
        <v>0</v>
      </c>
      <c r="T101" s="41">
        <f t="shared" si="10"/>
        <v>0</v>
      </c>
      <c r="U101" s="42">
        <f t="shared" si="11"/>
        <v>8642</v>
      </c>
    </row>
    <row r="102" spans="1:21" x14ac:dyDescent="0.3">
      <c r="A102" s="37" t="s">
        <v>2692</v>
      </c>
      <c r="B102" s="37" t="s">
        <v>2693</v>
      </c>
      <c r="C102" s="37" t="s">
        <v>2485</v>
      </c>
      <c r="D102" s="37" t="s">
        <v>14</v>
      </c>
      <c r="E102" s="37" t="s">
        <v>60</v>
      </c>
      <c r="F102" s="37" t="s">
        <v>39</v>
      </c>
      <c r="G102" s="37" t="s">
        <v>2423</v>
      </c>
      <c r="H102" s="37">
        <v>6.45</v>
      </c>
      <c r="I102" s="37">
        <v>30</v>
      </c>
      <c r="J102" s="37" t="s">
        <v>2694</v>
      </c>
      <c r="K102" s="37" t="s">
        <v>52</v>
      </c>
      <c r="L102" s="37">
        <v>0</v>
      </c>
      <c r="M102" s="37" t="str">
        <f t="shared" si="8"/>
        <v>General</v>
      </c>
      <c r="N102" s="37" t="str">
        <f t="shared" si="6"/>
        <v>Credit Card</v>
      </c>
      <c r="O102" s="37" t="str" cm="1">
        <f t="array" ref="O102">IF(TRIM(N102)="",INDEX($N$2:$N$1500,MATCH(MAX(COUNTIF($N$2:$N$1500,$N$2:$N$1500)),COUNTIF($N$2:$N$1500,$N$2:$N$1500),0)),N102)</f>
        <v>Credit Card</v>
      </c>
      <c r="P102" s="38" cm="1">
        <f t="array" ref="P102">ROUND(IF(TRIM(H102)="",IFERROR(MEDIAN(IF($M$2:$M$1500=M102,$H$2:$H$1500)),MEDIAN($H$2:$H$1500)),H102),2)</f>
        <v>6.45</v>
      </c>
      <c r="Q102" s="38" t="str">
        <f t="shared" si="9"/>
        <v>0</v>
      </c>
      <c r="R102" s="39" cm="1">
        <f t="array" ref="R102">IF(OR(TRIM(J102)="",TRIM(J102)="-"),MEDIAN(IF($C$2:$C$1218=C102,$J$2:$J$1218)),VALUE(SUBSTITUTE(SUBSTITUTE(SUBSTITUTE(J102,"Rs. ",""),"₹",""),",","")))</f>
        <v>7930</v>
      </c>
      <c r="S102" s="40">
        <f t="shared" si="7"/>
        <v>0</v>
      </c>
      <c r="T102" s="41">
        <f t="shared" si="10"/>
        <v>0</v>
      </c>
      <c r="U102" s="42">
        <f t="shared" si="11"/>
        <v>7930</v>
      </c>
    </row>
    <row r="103" spans="1:21" x14ac:dyDescent="0.3">
      <c r="A103" s="37" t="s">
        <v>2695</v>
      </c>
      <c r="B103" s="37" t="s">
        <v>2696</v>
      </c>
      <c r="C103" s="37" t="s">
        <v>2485</v>
      </c>
      <c r="D103" s="37" t="s">
        <v>25</v>
      </c>
      <c r="E103" s="37" t="s">
        <v>54</v>
      </c>
      <c r="F103" s="37" t="s">
        <v>62</v>
      </c>
      <c r="G103" s="37" t="s">
        <v>2423</v>
      </c>
      <c r="H103" s="37">
        <v>11.25</v>
      </c>
      <c r="I103" s="37">
        <v>20</v>
      </c>
      <c r="J103" s="37" t="s">
        <v>2697</v>
      </c>
      <c r="K103" s="37" t="s">
        <v>91</v>
      </c>
      <c r="L103" s="37" t="s">
        <v>76</v>
      </c>
      <c r="M103" s="37" t="str">
        <f t="shared" si="8"/>
        <v>ICU</v>
      </c>
      <c r="N103" s="37" t="str">
        <f t="shared" si="6"/>
        <v>Debit Card</v>
      </c>
      <c r="O103" s="37" t="str" cm="1">
        <f t="array" ref="O103">IF(TRIM(N103)="",INDEX($N$2:$N$1500,MATCH(MAX(COUNTIF($N$2:$N$1500,$N$2:$N$1500)),COUNTIF($N$2:$N$1500,$N$2:$N$1500),0)),N103)</f>
        <v>Debit Card</v>
      </c>
      <c r="P103" s="38" cm="1">
        <f t="array" ref="P103">ROUND(IF(TRIM(H103)="",IFERROR(MEDIAN(IF($M$2:$M$1500=M103,$H$2:$H$1500)),MEDIAN($H$2:$H$1500)),H103),2)</f>
        <v>11.25</v>
      </c>
      <c r="Q103" s="38" t="str">
        <f t="shared" si="9"/>
        <v>0</v>
      </c>
      <c r="R103" s="39" cm="1">
        <f t="array" ref="R103">IF(OR(TRIM(J103)="",TRIM(J103)="-"),MEDIAN(IF($C$2:$C$1218=C103,$J$2:$J$1218)),VALUE(SUBSTITUTE(SUBSTITUTE(SUBSTITUTE(J103,"Rs. ",""),"₹",""),",","")))</f>
        <v>78057</v>
      </c>
      <c r="S103" s="40">
        <f t="shared" si="7"/>
        <v>10</v>
      </c>
      <c r="T103" s="41">
        <f t="shared" si="10"/>
        <v>10</v>
      </c>
      <c r="U103" s="42">
        <f t="shared" si="11"/>
        <v>70251</v>
      </c>
    </row>
    <row r="104" spans="1:21" x14ac:dyDescent="0.3">
      <c r="A104" s="37" t="s">
        <v>2698</v>
      </c>
      <c r="B104" s="37" t="s">
        <v>2699</v>
      </c>
      <c r="C104" s="37" t="s">
        <v>2536</v>
      </c>
      <c r="D104" s="37" t="s">
        <v>106</v>
      </c>
      <c r="E104" s="37" t="s">
        <v>307</v>
      </c>
      <c r="F104" s="37" t="s">
        <v>49</v>
      </c>
      <c r="G104" s="37" t="s">
        <v>2418</v>
      </c>
      <c r="H104" s="37">
        <v>15.25</v>
      </c>
      <c r="I104" s="37">
        <v>12</v>
      </c>
      <c r="J104" s="37" t="s">
        <v>2700</v>
      </c>
      <c r="K104" s="37" t="s">
        <v>34</v>
      </c>
      <c r="L104" s="37">
        <v>0</v>
      </c>
      <c r="M104" s="37" t="str">
        <f t="shared" si="8"/>
        <v>General</v>
      </c>
      <c r="N104" s="37" t="str">
        <f t="shared" si="6"/>
        <v>Cash</v>
      </c>
      <c r="O104" s="37" t="str" cm="1">
        <f t="array" ref="O104">IF(TRIM(N104)="",INDEX($N$2:$N$1500,MATCH(MAX(COUNTIF($N$2:$N$1500,$N$2:$N$1500)),COUNTIF($N$2:$N$1500,$N$2:$N$1500),0)),N104)</f>
        <v>Cash</v>
      </c>
      <c r="P104" s="38" cm="1">
        <f t="array" ref="P104">ROUND(IF(TRIM(H104)="",IFERROR(MEDIAN(IF($M$2:$M$1500=M104,$H$2:$H$1500)),MEDIAN($H$2:$H$1500)),H104),2)</f>
        <v>15.25</v>
      </c>
      <c r="Q104" s="38" t="str">
        <f t="shared" si="9"/>
        <v>1</v>
      </c>
      <c r="R104" s="39" cm="1">
        <f t="array" ref="R104">IF(OR(TRIM(J104)="",TRIM(J104)="-"),MEDIAN(IF($C$2:$C$1218=C104,$J$2:$J$1218)),VALUE(SUBSTITUTE(SUBSTITUTE(SUBSTITUTE(J104,"Rs. ",""),"₹",""),",","")))</f>
        <v>17733</v>
      </c>
      <c r="S104" s="40">
        <f t="shared" si="7"/>
        <v>0</v>
      </c>
      <c r="T104" s="41">
        <f t="shared" si="10"/>
        <v>0</v>
      </c>
      <c r="U104" s="42">
        <f t="shared" si="11"/>
        <v>17733</v>
      </c>
    </row>
    <row r="105" spans="1:21" x14ac:dyDescent="0.3">
      <c r="A105" s="37" t="s">
        <v>2701</v>
      </c>
      <c r="B105" s="37" t="s">
        <v>2702</v>
      </c>
      <c r="C105" s="37" t="s">
        <v>2494</v>
      </c>
      <c r="D105" s="37" t="s">
        <v>117</v>
      </c>
      <c r="E105" s="37" t="s">
        <v>118</v>
      </c>
      <c r="F105" s="37" t="s">
        <v>49</v>
      </c>
      <c r="G105" s="37" t="s">
        <v>2408</v>
      </c>
      <c r="H105" s="37">
        <v>11.16</v>
      </c>
      <c r="I105" s="37">
        <v>20</v>
      </c>
      <c r="J105" s="37" t="s">
        <v>2703</v>
      </c>
      <c r="K105" s="37" t="s">
        <v>34</v>
      </c>
      <c r="L105" s="37" t="s">
        <v>140</v>
      </c>
      <c r="M105" s="37" t="str">
        <f t="shared" si="8"/>
        <v>General</v>
      </c>
      <c r="N105" s="37" t="str">
        <f t="shared" si="6"/>
        <v>Cash</v>
      </c>
      <c r="O105" s="37" t="str" cm="1">
        <f t="array" ref="O105">IF(TRIM(N105)="",INDEX($N$2:$N$1500,MATCH(MAX(COUNTIF($N$2:$N$1500,$N$2:$N$1500)),COUNTIF($N$2:$N$1500,$N$2:$N$1500),0)),N105)</f>
        <v>Cash</v>
      </c>
      <c r="P105" s="38" cm="1">
        <f t="array" ref="P105">ROUND(IF(TRIM(H105)="",IFERROR(MEDIAN(IF($M$2:$M$1500=M105,$H$2:$H$1500)),MEDIAN($H$2:$H$1500)),H105),2)</f>
        <v>11.16</v>
      </c>
      <c r="Q105" s="38" t="str">
        <f t="shared" si="9"/>
        <v>0</v>
      </c>
      <c r="R105" s="39" cm="1">
        <f t="array" ref="R105">IF(OR(TRIM(J105)="",TRIM(J105)="-"),MEDIAN(IF($C$2:$C$1218=C105,$J$2:$J$1218)),VALUE(SUBSTITUTE(SUBSTITUTE(SUBSTITUTE(J105,"Rs. ",""),"₹",""),",","")))</f>
        <v>15723</v>
      </c>
      <c r="S105" s="40" t="str">
        <f t="shared" si="7"/>
        <v>-</v>
      </c>
      <c r="T105" s="41">
        <f t="shared" si="10"/>
        <v>2</v>
      </c>
      <c r="U105" s="42">
        <f t="shared" si="11"/>
        <v>15409</v>
      </c>
    </row>
    <row r="106" spans="1:21" x14ac:dyDescent="0.3">
      <c r="A106" s="37" t="s">
        <v>2704</v>
      </c>
      <c r="B106" s="37" t="s">
        <v>2705</v>
      </c>
      <c r="C106" s="37" t="s">
        <v>2454</v>
      </c>
      <c r="D106" s="37" t="s">
        <v>14</v>
      </c>
      <c r="E106" s="37" t="s">
        <v>15</v>
      </c>
      <c r="F106" s="37" t="s">
        <v>30</v>
      </c>
      <c r="G106" s="37" t="s">
        <v>2408</v>
      </c>
      <c r="H106" s="37">
        <v>17.010000000000002</v>
      </c>
      <c r="I106" s="37">
        <v>11</v>
      </c>
      <c r="J106" s="37">
        <v>5748</v>
      </c>
      <c r="K106" s="37" t="s">
        <v>311</v>
      </c>
      <c r="L106" s="37" t="s">
        <v>130</v>
      </c>
      <c r="M106" s="37" t="str">
        <f t="shared" si="8"/>
        <v>General</v>
      </c>
      <c r="N106" s="37" t="str">
        <f t="shared" si="6"/>
        <v>UPI</v>
      </c>
      <c r="O106" s="37" t="str" cm="1">
        <f t="array" ref="O106">IF(TRIM(N106)="",INDEX($N$2:$N$1500,MATCH(MAX(COUNTIF($N$2:$N$1500,$N$2:$N$1500)),COUNTIF($N$2:$N$1500,$N$2:$N$1500),0)),N106)</f>
        <v>UPI</v>
      </c>
      <c r="P106" s="38" cm="1">
        <f t="array" ref="P106">ROUND(IF(TRIM(H106)="",IFERROR(MEDIAN(IF($M$2:$M$1500=M106,$H$2:$H$1500)),MEDIAN($H$2:$H$1500)),H106),2)</f>
        <v>17.010000000000002</v>
      </c>
      <c r="Q106" s="38" t="str">
        <f t="shared" si="9"/>
        <v>0</v>
      </c>
      <c r="R106" s="39" cm="1">
        <f t="array" ref="R106">IF(OR(TRIM(J106)="",TRIM(J106)="-"),MEDIAN(IF($C$2:$C$1218=C106,$J$2:$J$1218)),VALUE(SUBSTITUTE(SUBSTITUTE(SUBSTITUTE(J106,"Rs. ",""),"₹",""),",","")))</f>
        <v>5748</v>
      </c>
      <c r="S106" s="40">
        <f t="shared" si="7"/>
        <v>0</v>
      </c>
      <c r="T106" s="41">
        <f t="shared" si="10"/>
        <v>0</v>
      </c>
      <c r="U106" s="42">
        <f t="shared" si="11"/>
        <v>5748</v>
      </c>
    </row>
    <row r="107" spans="1:21" x14ac:dyDescent="0.3">
      <c r="A107" s="37" t="s">
        <v>2706</v>
      </c>
      <c r="B107" s="37" t="s">
        <v>2707</v>
      </c>
      <c r="C107" s="37" t="s">
        <v>2514</v>
      </c>
      <c r="D107" s="37" t="s">
        <v>14</v>
      </c>
      <c r="E107" s="37" t="s">
        <v>15</v>
      </c>
      <c r="F107" s="37" t="s">
        <v>101</v>
      </c>
      <c r="G107" s="37" t="s">
        <v>2435</v>
      </c>
      <c r="H107" s="37">
        <v>10.61</v>
      </c>
      <c r="I107" s="37">
        <v>1</v>
      </c>
      <c r="J107" s="37">
        <v>31145</v>
      </c>
      <c r="K107" s="37" t="s">
        <v>34</v>
      </c>
      <c r="L107" s="37" t="s">
        <v>140</v>
      </c>
      <c r="M107" s="37" t="str">
        <f t="shared" si="8"/>
        <v>ICU</v>
      </c>
      <c r="N107" s="37" t="str">
        <f t="shared" si="6"/>
        <v>Cash</v>
      </c>
      <c r="O107" s="37" t="str" cm="1">
        <f t="array" ref="O107">IF(TRIM(N107)="",INDEX($N$2:$N$1500,MATCH(MAX(COUNTIF($N$2:$N$1500,$N$2:$N$1500)),COUNTIF($N$2:$N$1500,$N$2:$N$1500),0)),N107)</f>
        <v>Cash</v>
      </c>
      <c r="P107" s="38" cm="1">
        <f t="array" ref="P107">ROUND(IF(TRIM(H107)="",IFERROR(MEDIAN(IF($M$2:$M$1500=M107,$H$2:$H$1500)),MEDIAN($H$2:$H$1500)),H107),2)</f>
        <v>10.61</v>
      </c>
      <c r="Q107" s="38" t="str">
        <f t="shared" si="9"/>
        <v>0</v>
      </c>
      <c r="R107" s="39" cm="1">
        <f t="array" ref="R107">IF(OR(TRIM(J107)="",TRIM(J107)="-"),MEDIAN(IF($C$2:$C$1218=C107,$J$2:$J$1218)),VALUE(SUBSTITUTE(SUBSTITUTE(SUBSTITUTE(J107,"Rs. ",""),"₹",""),",","")))</f>
        <v>31145</v>
      </c>
      <c r="S107" s="40" t="str">
        <f t="shared" si="7"/>
        <v>-</v>
      </c>
      <c r="T107" s="41">
        <f t="shared" si="10"/>
        <v>2</v>
      </c>
      <c r="U107" s="42">
        <f t="shared" si="11"/>
        <v>30522</v>
      </c>
    </row>
    <row r="108" spans="1:21" x14ac:dyDescent="0.3">
      <c r="A108" s="37" t="s">
        <v>2708</v>
      </c>
      <c r="B108" s="37" t="s">
        <v>2476</v>
      </c>
      <c r="C108" s="37" t="s">
        <v>2415</v>
      </c>
      <c r="D108" s="37" t="s">
        <v>14</v>
      </c>
      <c r="E108" s="37" t="s">
        <v>60</v>
      </c>
      <c r="F108" s="37" t="s">
        <v>49</v>
      </c>
      <c r="G108" s="37"/>
      <c r="H108" s="37">
        <v>21.16</v>
      </c>
      <c r="I108" s="37">
        <v>51</v>
      </c>
      <c r="J108" s="37">
        <v>9137</v>
      </c>
      <c r="K108" s="37" t="s">
        <v>72</v>
      </c>
      <c r="L108" s="37" t="s">
        <v>130</v>
      </c>
      <c r="M108" s="37" t="str">
        <f t="shared" si="8"/>
        <v>General</v>
      </c>
      <c r="N108" s="37" t="str">
        <f t="shared" si="6"/>
        <v>Cash</v>
      </c>
      <c r="O108" s="37" t="str" cm="1">
        <f t="array" ref="O108">IF(TRIM(N108)="",INDEX($N$2:$N$1500,MATCH(MAX(COUNTIF($N$2:$N$1500,$N$2:$N$1500)),COUNTIF($N$2:$N$1500,$N$2:$N$1500),0)),N108)</f>
        <v>Cash</v>
      </c>
      <c r="P108" s="38" cm="1">
        <f t="array" ref="P108">ROUND(IF(TRIM(H108)="",IFERROR(MEDIAN(IF($M$2:$M$1500=M108,$H$2:$H$1500)),MEDIAN($H$2:$H$1500)),H108),2)</f>
        <v>21.16</v>
      </c>
      <c r="Q108" s="38" t="str">
        <f t="shared" si="9"/>
        <v>Unknown</v>
      </c>
      <c r="R108" s="39" cm="1">
        <f t="array" ref="R108">IF(OR(TRIM(J108)="",TRIM(J108)="-"),MEDIAN(IF($C$2:$C$1218=C108,$J$2:$J$1218)),VALUE(SUBSTITUTE(SUBSTITUTE(SUBSTITUTE(J108,"Rs. ",""),"₹",""),",","")))</f>
        <v>9137</v>
      </c>
      <c r="S108" s="40">
        <f t="shared" si="7"/>
        <v>0</v>
      </c>
      <c r="T108" s="41">
        <f t="shared" si="10"/>
        <v>0</v>
      </c>
      <c r="U108" s="42">
        <f t="shared" si="11"/>
        <v>9137</v>
      </c>
    </row>
    <row r="109" spans="1:21" x14ac:dyDescent="0.3">
      <c r="A109" s="37" t="s">
        <v>2709</v>
      </c>
      <c r="B109" s="37" t="s">
        <v>2710</v>
      </c>
      <c r="C109" s="37" t="s">
        <v>2485</v>
      </c>
      <c r="D109" s="37" t="s">
        <v>25</v>
      </c>
      <c r="E109" s="37" t="s">
        <v>26</v>
      </c>
      <c r="F109" s="37" t="s">
        <v>19</v>
      </c>
      <c r="G109" s="37" t="s">
        <v>2418</v>
      </c>
      <c r="H109" s="37">
        <v>15.31</v>
      </c>
      <c r="I109" s="37">
        <v>10</v>
      </c>
      <c r="J109" s="37">
        <v>16995</v>
      </c>
      <c r="K109" s="37" t="s">
        <v>311</v>
      </c>
      <c r="L109" s="37">
        <v>5</v>
      </c>
      <c r="M109" s="37" t="str">
        <f t="shared" si="8"/>
        <v>General</v>
      </c>
      <c r="N109" s="37" t="str">
        <f t="shared" si="6"/>
        <v>UPI</v>
      </c>
      <c r="O109" s="37" t="str" cm="1">
        <f t="array" ref="O109">IF(TRIM(N109)="",INDEX($N$2:$N$1500,MATCH(MAX(COUNTIF($N$2:$N$1500,$N$2:$N$1500)),COUNTIF($N$2:$N$1500,$N$2:$N$1500),0)),N109)</f>
        <v>UPI</v>
      </c>
      <c r="P109" s="38" cm="1">
        <f t="array" ref="P109">ROUND(IF(TRIM(H109)="",IFERROR(MEDIAN(IF($M$2:$M$1500=M109,$H$2:$H$1500)),MEDIAN($H$2:$H$1500)),H109),2)</f>
        <v>15.31</v>
      </c>
      <c r="Q109" s="38" t="str">
        <f t="shared" si="9"/>
        <v>1</v>
      </c>
      <c r="R109" s="39" cm="1">
        <f t="array" ref="R109">IF(OR(TRIM(J109)="",TRIM(J109)="-"),MEDIAN(IF($C$2:$C$1218=C109,$J$2:$J$1218)),VALUE(SUBSTITUTE(SUBSTITUTE(SUBSTITUTE(J109,"Rs. ",""),"₹",""),",","")))</f>
        <v>16995</v>
      </c>
      <c r="S109" s="40">
        <f t="shared" si="7"/>
        <v>5</v>
      </c>
      <c r="T109" s="41">
        <f t="shared" si="10"/>
        <v>5</v>
      </c>
      <c r="U109" s="42">
        <f t="shared" si="11"/>
        <v>16145</v>
      </c>
    </row>
    <row r="110" spans="1:21" x14ac:dyDescent="0.3">
      <c r="A110" s="37" t="s">
        <v>2711</v>
      </c>
      <c r="B110" s="37" t="s">
        <v>2712</v>
      </c>
      <c r="C110" s="37" t="s">
        <v>2438</v>
      </c>
      <c r="D110" s="37" t="s">
        <v>14</v>
      </c>
      <c r="E110" s="37" t="s">
        <v>60</v>
      </c>
      <c r="F110" s="37" t="s">
        <v>101</v>
      </c>
      <c r="G110" s="37" t="s">
        <v>2435</v>
      </c>
      <c r="H110" s="37">
        <v>22.03</v>
      </c>
      <c r="I110" s="37">
        <v>5</v>
      </c>
      <c r="J110" s="37" t="s">
        <v>2713</v>
      </c>
      <c r="K110" s="37" t="s">
        <v>83</v>
      </c>
      <c r="L110" s="37" t="s">
        <v>76</v>
      </c>
      <c r="M110" s="37" t="str">
        <f t="shared" si="8"/>
        <v>ICU</v>
      </c>
      <c r="N110" s="37" t="str">
        <f t="shared" si="6"/>
        <v>Debit Card</v>
      </c>
      <c r="O110" s="37" t="str" cm="1">
        <f t="array" ref="O110">IF(TRIM(N110)="",INDEX($N$2:$N$1500,MATCH(MAX(COUNTIF($N$2:$N$1500,$N$2:$N$1500)),COUNTIF($N$2:$N$1500,$N$2:$N$1500),0)),N110)</f>
        <v>Debit Card</v>
      </c>
      <c r="P110" s="38" cm="1">
        <f t="array" ref="P110">ROUND(IF(TRIM(H110)="",IFERROR(MEDIAN(IF($M$2:$M$1500=M110,$H$2:$H$1500)),MEDIAN($H$2:$H$1500)),H110),2)</f>
        <v>22.03</v>
      </c>
      <c r="Q110" s="38" t="str">
        <f t="shared" si="9"/>
        <v>0</v>
      </c>
      <c r="R110" s="39" cm="1">
        <f t="array" ref="R110">IF(OR(TRIM(J110)="",TRIM(J110)="-"),MEDIAN(IF($C$2:$C$1218=C110,$J$2:$J$1218)),VALUE(SUBSTITUTE(SUBSTITUTE(SUBSTITUTE(J110,"Rs. ",""),"₹",""),",","")))</f>
        <v>51487</v>
      </c>
      <c r="S110" s="40">
        <f t="shared" si="7"/>
        <v>10</v>
      </c>
      <c r="T110" s="41">
        <f t="shared" si="10"/>
        <v>10</v>
      </c>
      <c r="U110" s="42">
        <f t="shared" si="11"/>
        <v>46338</v>
      </c>
    </row>
    <row r="111" spans="1:21" x14ac:dyDescent="0.3">
      <c r="A111" s="37" t="s">
        <v>2714</v>
      </c>
      <c r="B111" s="37" t="s">
        <v>2682</v>
      </c>
      <c r="C111" s="37" t="s">
        <v>2445</v>
      </c>
      <c r="D111" s="37" t="s">
        <v>45</v>
      </c>
      <c r="E111" s="37" t="s">
        <v>46</v>
      </c>
      <c r="F111" s="37" t="s">
        <v>62</v>
      </c>
      <c r="G111" s="37" t="s">
        <v>2477</v>
      </c>
      <c r="H111" s="37">
        <v>18.79</v>
      </c>
      <c r="I111" s="37" t="s">
        <v>140</v>
      </c>
      <c r="J111" s="37" t="s">
        <v>2715</v>
      </c>
      <c r="K111" s="37" t="s">
        <v>167</v>
      </c>
      <c r="L111" s="37">
        <v>18</v>
      </c>
      <c r="M111" s="37" t="str">
        <f t="shared" si="8"/>
        <v>ICU</v>
      </c>
      <c r="N111" s="37" t="str">
        <f t="shared" si="6"/>
        <v>Insurance</v>
      </c>
      <c r="O111" s="37" t="str" cm="1">
        <f t="array" ref="O111">IF(TRIM(N111)="",INDEX($N$2:$N$1500,MATCH(MAX(COUNTIF($N$2:$N$1500,$N$2:$N$1500)),COUNTIF($N$2:$N$1500,$N$2:$N$1500),0)),N111)</f>
        <v>Insurance</v>
      </c>
      <c r="P111" s="38" cm="1">
        <f t="array" ref="P111">ROUND(IF(TRIM(H111)="",IFERROR(MEDIAN(IF($M$2:$M$1500=M111,$H$2:$H$1500)),MEDIAN($H$2:$H$1500)),H111),2)</f>
        <v>18.79</v>
      </c>
      <c r="Q111" s="38" t="str">
        <f t="shared" si="9"/>
        <v>0</v>
      </c>
      <c r="R111" s="39" cm="1">
        <f t="array" ref="R111">IF(OR(TRIM(J111)="",TRIM(J111)="-"),MEDIAN(IF($C$2:$C$1218=C111,$J$2:$J$1218)),VALUE(SUBSTITUTE(SUBSTITUTE(SUBSTITUTE(J111,"Rs. ",""),"₹",""),",","")))</f>
        <v>25003</v>
      </c>
      <c r="S111" s="40">
        <f t="shared" si="7"/>
        <v>18</v>
      </c>
      <c r="T111" s="41">
        <f t="shared" si="10"/>
        <v>18</v>
      </c>
      <c r="U111" s="42">
        <f t="shared" si="11"/>
        <v>20502</v>
      </c>
    </row>
    <row r="112" spans="1:21" x14ac:dyDescent="0.3">
      <c r="A112" s="37" t="s">
        <v>2716</v>
      </c>
      <c r="B112" s="37" t="s">
        <v>2717</v>
      </c>
      <c r="C112" s="37" t="s">
        <v>2407</v>
      </c>
      <c r="D112" s="37" t="s">
        <v>25</v>
      </c>
      <c r="E112" s="37" t="s">
        <v>54</v>
      </c>
      <c r="F112" s="37" t="s">
        <v>69</v>
      </c>
      <c r="G112" s="37"/>
      <c r="H112" s="37">
        <v>17.600000000000001</v>
      </c>
      <c r="I112" s="37">
        <v>17</v>
      </c>
      <c r="J112" s="37" t="s">
        <v>2718</v>
      </c>
      <c r="K112" s="37" t="s">
        <v>34</v>
      </c>
      <c r="L112" s="37">
        <v>10</v>
      </c>
      <c r="M112" s="37" t="str">
        <f t="shared" si="8"/>
        <v>ICU</v>
      </c>
      <c r="N112" s="37" t="str">
        <f t="shared" si="6"/>
        <v>Cash</v>
      </c>
      <c r="O112" s="37" t="str" cm="1">
        <f t="array" ref="O112">IF(TRIM(N112)="",INDEX($N$2:$N$1500,MATCH(MAX(COUNTIF($N$2:$N$1500,$N$2:$N$1500)),COUNTIF($N$2:$N$1500,$N$2:$N$1500),0)),N112)</f>
        <v>Cash</v>
      </c>
      <c r="P112" s="38" cm="1">
        <f t="array" ref="P112">ROUND(IF(TRIM(H112)="",IFERROR(MEDIAN(IF($M$2:$M$1500=M112,$H$2:$H$1500)),MEDIAN($H$2:$H$1500)),H112),2)</f>
        <v>17.600000000000001</v>
      </c>
      <c r="Q112" s="38" t="str">
        <f t="shared" si="9"/>
        <v>Unknown</v>
      </c>
      <c r="R112" s="39" cm="1">
        <f t="array" ref="R112">IF(OR(TRIM(J112)="",TRIM(J112)="-"),MEDIAN(IF($C$2:$C$1218=C112,$J$2:$J$1218)),VALUE(SUBSTITUTE(SUBSTITUTE(SUBSTITUTE(J112,"Rs. ",""),"₹",""),",","")))</f>
        <v>44751</v>
      </c>
      <c r="S112" s="40">
        <f t="shared" si="7"/>
        <v>10</v>
      </c>
      <c r="T112" s="41">
        <f t="shared" si="10"/>
        <v>10</v>
      </c>
      <c r="U112" s="42">
        <f t="shared" si="11"/>
        <v>40276</v>
      </c>
    </row>
    <row r="113" spans="1:21" x14ac:dyDescent="0.3">
      <c r="A113" s="37" t="s">
        <v>2719</v>
      </c>
      <c r="B113" s="37" t="s">
        <v>2720</v>
      </c>
      <c r="C113" s="37" t="s">
        <v>2504</v>
      </c>
      <c r="D113" s="37" t="s">
        <v>45</v>
      </c>
      <c r="E113" s="37" t="s">
        <v>46</v>
      </c>
      <c r="F113" s="37" t="s">
        <v>62</v>
      </c>
      <c r="G113" s="37" t="s">
        <v>2412</v>
      </c>
      <c r="H113" s="37">
        <v>17.309999999999999</v>
      </c>
      <c r="I113" s="37">
        <v>1</v>
      </c>
      <c r="J113" s="37" t="s">
        <v>2721</v>
      </c>
      <c r="K113" s="37" t="s">
        <v>167</v>
      </c>
      <c r="L113" s="37" t="s">
        <v>1626</v>
      </c>
      <c r="M113" s="37" t="str">
        <f t="shared" si="8"/>
        <v>ICU</v>
      </c>
      <c r="N113" s="37" t="str">
        <f t="shared" si="6"/>
        <v>Insurance</v>
      </c>
      <c r="O113" s="37" t="str" cm="1">
        <f t="array" ref="O113">IF(TRIM(N113)="",INDEX($N$2:$N$1500,MATCH(MAX(COUNTIF($N$2:$N$1500,$N$2:$N$1500)),COUNTIF($N$2:$N$1500,$N$2:$N$1500),0)),N113)</f>
        <v>Insurance</v>
      </c>
      <c r="P113" s="38" cm="1">
        <f t="array" ref="P113">ROUND(IF(TRIM(H113)="",IFERROR(MEDIAN(IF($M$2:$M$1500=M113,$H$2:$H$1500)),MEDIAN($H$2:$H$1500)),H113),2)</f>
        <v>17.309999999999999</v>
      </c>
      <c r="Q113" s="38" t="str">
        <f t="shared" si="9"/>
        <v>1</v>
      </c>
      <c r="R113" s="39" cm="1">
        <f t="array" ref="R113">IF(OR(TRIM(J113)="",TRIM(J113)="-"),MEDIAN(IF($C$2:$C$1218=C113,$J$2:$J$1218)),VALUE(SUBSTITUTE(SUBSTITUTE(SUBSTITUTE(J113,"Rs. ",""),"₹",""),",","")))</f>
        <v>74801</v>
      </c>
      <c r="S113" s="40">
        <f t="shared" si="7"/>
        <v>40</v>
      </c>
      <c r="T113" s="41">
        <f t="shared" si="10"/>
        <v>40</v>
      </c>
      <c r="U113" s="42">
        <f t="shared" si="11"/>
        <v>44881</v>
      </c>
    </row>
    <row r="114" spans="1:21" x14ac:dyDescent="0.3">
      <c r="A114" s="37" t="s">
        <v>2722</v>
      </c>
      <c r="B114" s="37" t="s">
        <v>2723</v>
      </c>
      <c r="C114" s="37" t="s">
        <v>2459</v>
      </c>
      <c r="D114" s="37" t="s">
        <v>14</v>
      </c>
      <c r="E114" s="37" t="s">
        <v>60</v>
      </c>
      <c r="F114" s="37" t="s">
        <v>101</v>
      </c>
      <c r="G114" s="37" t="s">
        <v>2505</v>
      </c>
      <c r="H114" s="37">
        <v>11.04</v>
      </c>
      <c r="I114" s="37">
        <v>52</v>
      </c>
      <c r="J114" s="37" t="s">
        <v>2724</v>
      </c>
      <c r="K114" s="37" t="s">
        <v>72</v>
      </c>
      <c r="L114" s="37">
        <v>0</v>
      </c>
      <c r="M114" s="37" t="str">
        <f t="shared" si="8"/>
        <v>ICU</v>
      </c>
      <c r="N114" s="37" t="str">
        <f t="shared" si="6"/>
        <v>Cash</v>
      </c>
      <c r="O114" s="37" t="str" cm="1">
        <f t="array" ref="O114">IF(TRIM(N114)="",INDEX($N$2:$N$1500,MATCH(MAX(COUNTIF($N$2:$N$1500,$N$2:$N$1500)),COUNTIF($N$2:$N$1500,$N$2:$N$1500),0)),N114)</f>
        <v>Cash</v>
      </c>
      <c r="P114" s="38" cm="1">
        <f t="array" ref="P114">ROUND(IF(TRIM(H114)="",IFERROR(MEDIAN(IF($M$2:$M$1500=M114,$H$2:$H$1500)),MEDIAN($H$2:$H$1500)),H114),2)</f>
        <v>11.04</v>
      </c>
      <c r="Q114" s="38" t="str">
        <f t="shared" si="9"/>
        <v>2+</v>
      </c>
      <c r="R114" s="39" cm="1">
        <f t="array" ref="R114">IF(OR(TRIM(J114)="",TRIM(J114)="-"),MEDIAN(IF($C$2:$C$1218=C114,$J$2:$J$1218)),VALUE(SUBSTITUTE(SUBSTITUTE(SUBSTITUTE(J114,"Rs. ",""),"₹",""),",","")))</f>
        <v>70616</v>
      </c>
      <c r="S114" s="40">
        <f t="shared" si="7"/>
        <v>0</v>
      </c>
      <c r="T114" s="41">
        <f t="shared" si="10"/>
        <v>0</v>
      </c>
      <c r="U114" s="42">
        <f t="shared" si="11"/>
        <v>70616</v>
      </c>
    </row>
    <row r="115" spans="1:21" x14ac:dyDescent="0.3">
      <c r="A115" s="37" t="s">
        <v>2725</v>
      </c>
      <c r="B115" s="37" t="s">
        <v>2726</v>
      </c>
      <c r="C115" s="37" t="s">
        <v>2481</v>
      </c>
      <c r="D115" s="37" t="s">
        <v>117</v>
      </c>
      <c r="E115" s="37" t="s">
        <v>118</v>
      </c>
      <c r="F115" s="37" t="s">
        <v>49</v>
      </c>
      <c r="G115" s="37" t="s">
        <v>2455</v>
      </c>
      <c r="H115" s="37">
        <v>15.4</v>
      </c>
      <c r="I115" s="37">
        <v>29</v>
      </c>
      <c r="J115" s="37" t="s">
        <v>2727</v>
      </c>
      <c r="K115" s="37" t="s">
        <v>115</v>
      </c>
      <c r="L115" s="37">
        <v>5</v>
      </c>
      <c r="M115" s="37" t="str">
        <f t="shared" si="8"/>
        <v>General</v>
      </c>
      <c r="N115" s="37" t="str">
        <f t="shared" si="6"/>
        <v>Cash</v>
      </c>
      <c r="O115" s="37" t="str" cm="1">
        <f t="array" ref="O115">IF(TRIM(N115)="",INDEX($N$2:$N$1500,MATCH(MAX(COUNTIF($N$2:$N$1500,$N$2:$N$1500)),COUNTIF($N$2:$N$1500,$N$2:$N$1500),0)),N115)</f>
        <v>Cash</v>
      </c>
      <c r="P115" s="38" cm="1">
        <f t="array" ref="P115">ROUND(IF(TRIM(H115)="",IFERROR(MEDIAN(IF($M$2:$M$1500=M115,$H$2:$H$1500)),MEDIAN($H$2:$H$1500)),H115),2)</f>
        <v>15.4</v>
      </c>
      <c r="Q115" s="38" t="str">
        <f t="shared" si="9"/>
        <v>1</v>
      </c>
      <c r="R115" s="39" cm="1">
        <f t="array" ref="R115">IF(OR(TRIM(J115)="",TRIM(J115)="-"),MEDIAN(IF($C$2:$C$1218=C115,$J$2:$J$1218)),VALUE(SUBSTITUTE(SUBSTITUTE(SUBSTITUTE(J115,"Rs. ",""),"₹",""),",","")))</f>
        <v>13481</v>
      </c>
      <c r="S115" s="40">
        <f t="shared" si="7"/>
        <v>5</v>
      </c>
      <c r="T115" s="41">
        <f t="shared" si="10"/>
        <v>5</v>
      </c>
      <c r="U115" s="42">
        <f t="shared" si="11"/>
        <v>12807</v>
      </c>
    </row>
    <row r="116" spans="1:21" x14ac:dyDescent="0.3">
      <c r="A116" s="37" t="s">
        <v>2728</v>
      </c>
      <c r="B116" s="37" t="s">
        <v>2729</v>
      </c>
      <c r="C116" s="37" t="s">
        <v>2730</v>
      </c>
      <c r="D116" s="37" t="s">
        <v>117</v>
      </c>
      <c r="E116" s="37" t="s">
        <v>182</v>
      </c>
      <c r="F116" s="37" t="s">
        <v>19</v>
      </c>
      <c r="G116" s="37" t="s">
        <v>2428</v>
      </c>
      <c r="H116" s="37">
        <v>13.82</v>
      </c>
      <c r="I116" s="37">
        <v>55</v>
      </c>
      <c r="J116" s="37" t="s">
        <v>2731</v>
      </c>
      <c r="K116" s="37" t="s">
        <v>311</v>
      </c>
      <c r="L116" s="37">
        <v>5</v>
      </c>
      <c r="M116" s="37" t="str">
        <f t="shared" si="8"/>
        <v>General</v>
      </c>
      <c r="N116" s="37" t="str">
        <f t="shared" si="6"/>
        <v>UPI</v>
      </c>
      <c r="O116" s="37" t="str" cm="1">
        <f t="array" ref="O116">IF(TRIM(N116)="",INDEX($N$2:$N$1500,MATCH(MAX(COUNTIF($N$2:$N$1500,$N$2:$N$1500)),COUNTIF($N$2:$N$1500,$N$2:$N$1500),0)),N116)</f>
        <v>UPI</v>
      </c>
      <c r="P116" s="38" cm="1">
        <f t="array" ref="P116">ROUND(IF(TRIM(H116)="",IFERROR(MEDIAN(IF($M$2:$M$1500=M116,$H$2:$H$1500)),MEDIAN($H$2:$H$1500)),H116),2)</f>
        <v>13.82</v>
      </c>
      <c r="Q116" s="38" t="str">
        <f t="shared" si="9"/>
        <v>2</v>
      </c>
      <c r="R116" s="39" cm="1">
        <f t="array" ref="R116">IF(OR(TRIM(J116)="",TRIM(J116)="-"),MEDIAN(IF($C$2:$C$1218=C116,$J$2:$J$1218)),VALUE(SUBSTITUTE(SUBSTITUTE(SUBSTITUTE(J116,"Rs. ",""),"₹",""),",","")))</f>
        <v>14898</v>
      </c>
      <c r="S116" s="40">
        <f t="shared" si="7"/>
        <v>5</v>
      </c>
      <c r="T116" s="41">
        <f t="shared" si="10"/>
        <v>5</v>
      </c>
      <c r="U116" s="42">
        <f t="shared" si="11"/>
        <v>14153</v>
      </c>
    </row>
    <row r="117" spans="1:21" x14ac:dyDescent="0.3">
      <c r="A117" s="37" t="s">
        <v>2732</v>
      </c>
      <c r="B117" s="37" t="s">
        <v>2733</v>
      </c>
      <c r="C117" s="37" t="s">
        <v>2438</v>
      </c>
      <c r="D117" s="37" t="s">
        <v>106</v>
      </c>
      <c r="E117" s="37" t="s">
        <v>107</v>
      </c>
      <c r="F117" s="37"/>
      <c r="G117" s="37" t="s">
        <v>2439</v>
      </c>
      <c r="H117" s="37">
        <v>1.57</v>
      </c>
      <c r="I117" s="37">
        <v>50</v>
      </c>
      <c r="J117" s="37" t="s">
        <v>140</v>
      </c>
      <c r="K117" s="37" t="s">
        <v>83</v>
      </c>
      <c r="L117" s="37" t="s">
        <v>140</v>
      </c>
      <c r="M117" s="37" t="str">
        <f t="shared" si="8"/>
        <v>Unknown</v>
      </c>
      <c r="N117" s="37" t="str">
        <f t="shared" si="6"/>
        <v>Debit Card</v>
      </c>
      <c r="O117" s="37" t="str" cm="1">
        <f t="array" ref="O117">IF(TRIM(N117)="",INDEX($N$2:$N$1500,MATCH(MAX(COUNTIF($N$2:$N$1500,$N$2:$N$1500)),COUNTIF($N$2:$N$1500,$N$2:$N$1500),0)),N117)</f>
        <v>Debit Card</v>
      </c>
      <c r="P117" s="38" cm="1">
        <f t="array" ref="P117">ROUND(IF(TRIM(H117)="",IFERROR(MEDIAN(IF($M$2:$M$1500=M117,$H$2:$H$1500)),MEDIAN($H$2:$H$1500)),H117),2)</f>
        <v>1.57</v>
      </c>
      <c r="Q117" s="38" t="str">
        <f t="shared" si="9"/>
        <v>2</v>
      </c>
      <c r="R117" s="39" cm="1">
        <f t="array" ref="R117">IF(OR(TRIM(J117)="",TRIM(J117)="-"),MEDIAN(IF($C$2:$C$1218=C117,$J$2:$J$1218)),VALUE(SUBSTITUTE(SUBSTITUTE(SUBSTITUTE(J117,"Rs. ",""),"₹",""),",","")))</f>
        <v>13244</v>
      </c>
      <c r="S117" s="40" t="str">
        <f t="shared" si="7"/>
        <v>-</v>
      </c>
      <c r="T117" s="41">
        <f t="shared" si="10"/>
        <v>3</v>
      </c>
      <c r="U117" s="42">
        <f t="shared" si="11"/>
        <v>12847</v>
      </c>
    </row>
    <row r="118" spans="1:21" x14ac:dyDescent="0.3">
      <c r="A118" s="37" t="s">
        <v>2734</v>
      </c>
      <c r="B118" s="37" t="s">
        <v>2735</v>
      </c>
      <c r="C118" s="37" t="s">
        <v>2561</v>
      </c>
      <c r="D118" s="37" t="s">
        <v>45</v>
      </c>
      <c r="E118" s="37" t="s">
        <v>46</v>
      </c>
      <c r="F118" s="37" t="s">
        <v>39</v>
      </c>
      <c r="G118" s="37" t="s">
        <v>2423</v>
      </c>
      <c r="H118" s="37">
        <v>5.07</v>
      </c>
      <c r="I118" s="37">
        <v>33</v>
      </c>
      <c r="J118" s="37" t="s">
        <v>2736</v>
      </c>
      <c r="K118" s="37" t="s">
        <v>23</v>
      </c>
      <c r="L118" s="37" t="s">
        <v>198</v>
      </c>
      <c r="M118" s="37" t="str">
        <f t="shared" si="8"/>
        <v>General</v>
      </c>
      <c r="N118" s="37" t="str">
        <f t="shared" si="6"/>
        <v>Credit Card</v>
      </c>
      <c r="O118" s="37" t="str" cm="1">
        <f t="array" ref="O118">IF(TRIM(N118)="",INDEX($N$2:$N$1500,MATCH(MAX(COUNTIF($N$2:$N$1500,$N$2:$N$1500)),COUNTIF($N$2:$N$1500,$N$2:$N$1500),0)),N118)</f>
        <v>Credit Card</v>
      </c>
      <c r="P118" s="38" cm="1">
        <f t="array" ref="P118">ROUND(IF(TRIM(H118)="",IFERROR(MEDIAN(IF($M$2:$M$1500=M118,$H$2:$H$1500)),MEDIAN($H$2:$H$1500)),H118),2)</f>
        <v>5.07</v>
      </c>
      <c r="Q118" s="38" t="str">
        <f t="shared" si="9"/>
        <v>0</v>
      </c>
      <c r="R118" s="39" cm="1">
        <f t="array" ref="R118">IF(OR(TRIM(J118)="",TRIM(J118)="-"),MEDIAN(IF($C$2:$C$1218=C118,$J$2:$J$1218)),VALUE(SUBSTITUTE(SUBSTITUTE(SUBSTITUTE(J118,"Rs. ",""),"₹",""),",","")))</f>
        <v>13879</v>
      </c>
      <c r="S118" s="40">
        <f t="shared" si="7"/>
        <v>5</v>
      </c>
      <c r="T118" s="41">
        <f t="shared" si="10"/>
        <v>5</v>
      </c>
      <c r="U118" s="42">
        <f t="shared" si="11"/>
        <v>13185</v>
      </c>
    </row>
    <row r="119" spans="1:21" x14ac:dyDescent="0.3">
      <c r="A119" s="37" t="s">
        <v>2737</v>
      </c>
      <c r="B119" s="37" t="s">
        <v>2738</v>
      </c>
      <c r="C119" s="37" t="s">
        <v>2536</v>
      </c>
      <c r="D119" s="37" t="s">
        <v>45</v>
      </c>
      <c r="E119" s="37" t="s">
        <v>46</v>
      </c>
      <c r="F119" s="37" t="s">
        <v>19</v>
      </c>
      <c r="G119" s="37" t="s">
        <v>2423</v>
      </c>
      <c r="H119" s="37">
        <v>20.32</v>
      </c>
      <c r="I119" s="37">
        <v>45</v>
      </c>
      <c r="J119" s="37">
        <v>19411</v>
      </c>
      <c r="K119" s="37" t="s">
        <v>83</v>
      </c>
      <c r="L119" s="37">
        <v>10</v>
      </c>
      <c r="M119" s="37" t="str">
        <f t="shared" si="8"/>
        <v>General</v>
      </c>
      <c r="N119" s="37" t="str">
        <f t="shared" si="6"/>
        <v>Debit Card</v>
      </c>
      <c r="O119" s="37" t="str" cm="1">
        <f t="array" ref="O119">IF(TRIM(N119)="",INDEX($N$2:$N$1500,MATCH(MAX(COUNTIF($N$2:$N$1500,$N$2:$N$1500)),COUNTIF($N$2:$N$1500,$N$2:$N$1500),0)),N119)</f>
        <v>Debit Card</v>
      </c>
      <c r="P119" s="38" cm="1">
        <f t="array" ref="P119">ROUND(IF(TRIM(H119)="",IFERROR(MEDIAN(IF($M$2:$M$1500=M119,$H$2:$H$1500)),MEDIAN($H$2:$H$1500)),H119),2)</f>
        <v>20.32</v>
      </c>
      <c r="Q119" s="38" t="str">
        <f t="shared" si="9"/>
        <v>0</v>
      </c>
      <c r="R119" s="39" cm="1">
        <f t="array" ref="R119">IF(OR(TRIM(J119)="",TRIM(J119)="-"),MEDIAN(IF($C$2:$C$1218=C119,$J$2:$J$1218)),VALUE(SUBSTITUTE(SUBSTITUTE(SUBSTITUTE(J119,"Rs. ",""),"₹",""),",","")))</f>
        <v>19411</v>
      </c>
      <c r="S119" s="40">
        <f t="shared" si="7"/>
        <v>10</v>
      </c>
      <c r="T119" s="41">
        <f t="shared" si="10"/>
        <v>10</v>
      </c>
      <c r="U119" s="42">
        <f t="shared" si="11"/>
        <v>17470</v>
      </c>
    </row>
    <row r="120" spans="1:21" x14ac:dyDescent="0.3">
      <c r="A120" s="37" t="s">
        <v>2739</v>
      </c>
      <c r="B120" s="37" t="s">
        <v>2740</v>
      </c>
      <c r="C120" s="37" t="s">
        <v>2466</v>
      </c>
      <c r="D120" s="37" t="s">
        <v>106</v>
      </c>
      <c r="E120" s="37" t="s">
        <v>107</v>
      </c>
      <c r="F120" s="37" t="s">
        <v>62</v>
      </c>
      <c r="G120" s="37" t="s">
        <v>2428</v>
      </c>
      <c r="H120" s="37">
        <v>19.61</v>
      </c>
      <c r="I120" s="37">
        <v>34</v>
      </c>
      <c r="J120" s="37" t="s">
        <v>2741</v>
      </c>
      <c r="K120" s="37" t="s">
        <v>91</v>
      </c>
      <c r="L120" s="37"/>
      <c r="M120" s="37" t="str">
        <f t="shared" si="8"/>
        <v>ICU</v>
      </c>
      <c r="N120" s="37" t="str">
        <f t="shared" si="6"/>
        <v>Debit Card</v>
      </c>
      <c r="O120" s="37" t="str" cm="1">
        <f t="array" ref="O120">IF(TRIM(N120)="",INDEX($N$2:$N$1500,MATCH(MAX(COUNTIF($N$2:$N$1500,$N$2:$N$1500)),COUNTIF($N$2:$N$1500,$N$2:$N$1500),0)),N120)</f>
        <v>Debit Card</v>
      </c>
      <c r="P120" s="38" cm="1">
        <f t="array" ref="P120">ROUND(IF(TRIM(H120)="",IFERROR(MEDIAN(IF($M$2:$M$1500=M120,$H$2:$H$1500)),MEDIAN($H$2:$H$1500)),H120),2)</f>
        <v>19.61</v>
      </c>
      <c r="Q120" s="38" t="str">
        <f t="shared" si="9"/>
        <v>2</v>
      </c>
      <c r="R120" s="39" cm="1">
        <f t="array" ref="R120">IF(OR(TRIM(J120)="",TRIM(J120)="-"),MEDIAN(IF($C$2:$C$1218=C120,$J$2:$J$1218)),VALUE(SUBSTITUTE(SUBSTITUTE(SUBSTITUTE(J120,"Rs. ",""),"₹",""),",","")))</f>
        <v>59477</v>
      </c>
      <c r="S120" s="40">
        <f t="shared" si="7"/>
        <v>0</v>
      </c>
      <c r="T120" s="41">
        <f t="shared" si="10"/>
        <v>0</v>
      </c>
      <c r="U120" s="42">
        <f t="shared" si="11"/>
        <v>59477</v>
      </c>
    </row>
    <row r="121" spans="1:21" x14ac:dyDescent="0.3">
      <c r="A121" s="37" t="s">
        <v>2742</v>
      </c>
      <c r="B121" s="37" t="s">
        <v>2743</v>
      </c>
      <c r="C121" s="37" t="s">
        <v>2469</v>
      </c>
      <c r="D121" s="37" t="s">
        <v>78</v>
      </c>
      <c r="E121" s="37" t="s">
        <v>161</v>
      </c>
      <c r="F121" s="37" t="s">
        <v>49</v>
      </c>
      <c r="G121" s="37" t="s">
        <v>2418</v>
      </c>
      <c r="H121" s="37">
        <v>17.739999999999998</v>
      </c>
      <c r="I121" s="37">
        <v>18</v>
      </c>
      <c r="J121" s="37">
        <v>18611</v>
      </c>
      <c r="K121" s="37" t="s">
        <v>42</v>
      </c>
      <c r="L121" s="37" t="s">
        <v>713</v>
      </c>
      <c r="M121" s="37" t="str">
        <f t="shared" si="8"/>
        <v>General</v>
      </c>
      <c r="N121" s="37" t="str">
        <f t="shared" si="6"/>
        <v>Insurance</v>
      </c>
      <c r="O121" s="37" t="str" cm="1">
        <f t="array" ref="O121">IF(TRIM(N121)="",INDEX($N$2:$N$1500,MATCH(MAX(COUNTIF($N$2:$N$1500,$N$2:$N$1500)),COUNTIF($N$2:$N$1500,$N$2:$N$1500),0)),N121)</f>
        <v>Insurance</v>
      </c>
      <c r="P121" s="38" cm="1">
        <f t="array" ref="P121">ROUND(IF(TRIM(H121)="",IFERROR(MEDIAN(IF($M$2:$M$1500=M121,$H$2:$H$1500)),MEDIAN($H$2:$H$1500)),H121),2)</f>
        <v>17.739999999999998</v>
      </c>
      <c r="Q121" s="38" t="str">
        <f t="shared" si="9"/>
        <v>1</v>
      </c>
      <c r="R121" s="39" cm="1">
        <f t="array" ref="R121">IF(OR(TRIM(J121)="",TRIM(J121)="-"),MEDIAN(IF($C$2:$C$1218=C121,$J$2:$J$1218)),VALUE(SUBSTITUTE(SUBSTITUTE(SUBSTITUTE(J121,"Rs. ",""),"₹",""),",","")))</f>
        <v>18611</v>
      </c>
      <c r="S121" s="40">
        <f t="shared" si="7"/>
        <v>30</v>
      </c>
      <c r="T121" s="41">
        <f t="shared" si="10"/>
        <v>30</v>
      </c>
      <c r="U121" s="42">
        <f t="shared" si="11"/>
        <v>13028</v>
      </c>
    </row>
    <row r="122" spans="1:21" x14ac:dyDescent="0.3">
      <c r="A122" s="37" t="s">
        <v>2744</v>
      </c>
      <c r="B122" s="37" t="s">
        <v>2745</v>
      </c>
      <c r="C122" s="37" t="s">
        <v>2473</v>
      </c>
      <c r="D122" s="37" t="s">
        <v>106</v>
      </c>
      <c r="E122" s="37" t="s">
        <v>107</v>
      </c>
      <c r="F122" s="37" t="s">
        <v>39</v>
      </c>
      <c r="G122" s="37" t="s">
        <v>2746</v>
      </c>
      <c r="H122" s="37">
        <v>18.41</v>
      </c>
      <c r="I122" s="37">
        <v>14</v>
      </c>
      <c r="J122" s="37" t="s">
        <v>2747</v>
      </c>
      <c r="K122" s="37" t="s">
        <v>311</v>
      </c>
      <c r="L122" s="37">
        <v>0</v>
      </c>
      <c r="M122" s="37" t="str">
        <f t="shared" si="8"/>
        <v>General</v>
      </c>
      <c r="N122" s="37" t="str">
        <f t="shared" si="6"/>
        <v>UPI</v>
      </c>
      <c r="O122" s="37" t="str" cm="1">
        <f t="array" ref="O122">IF(TRIM(N122)="",INDEX($N$2:$N$1500,MATCH(MAX(COUNTIF($N$2:$N$1500,$N$2:$N$1500)),COUNTIF($N$2:$N$1500,$N$2:$N$1500),0)),N122)</f>
        <v>UPI</v>
      </c>
      <c r="P122" s="38" cm="1">
        <f t="array" ref="P122">ROUND(IF(TRIM(H122)="",IFERROR(MEDIAN(IF($M$2:$M$1500=M122,$H$2:$H$1500)),MEDIAN($H$2:$H$1500)),H122),2)</f>
        <v>18.41</v>
      </c>
      <c r="Q122" s="38" t="str">
        <f t="shared" si="9"/>
        <v>2</v>
      </c>
      <c r="R122" s="39" cm="1">
        <f t="array" ref="R122">IF(OR(TRIM(J122)="",TRIM(J122)="-"),MEDIAN(IF($C$2:$C$1218=C122,$J$2:$J$1218)),VALUE(SUBSTITUTE(SUBSTITUTE(SUBSTITUTE(J122,"Rs. ",""),"₹",""),",","")))</f>
        <v>8067</v>
      </c>
      <c r="S122" s="40">
        <f t="shared" si="7"/>
        <v>0</v>
      </c>
      <c r="T122" s="41">
        <f t="shared" si="10"/>
        <v>0</v>
      </c>
      <c r="U122" s="42">
        <f t="shared" si="11"/>
        <v>8067</v>
      </c>
    </row>
    <row r="123" spans="1:21" x14ac:dyDescent="0.3">
      <c r="A123" s="37" t="s">
        <v>2748</v>
      </c>
      <c r="B123" s="37" t="s">
        <v>2749</v>
      </c>
      <c r="C123" s="37" t="s">
        <v>2481</v>
      </c>
      <c r="D123" s="37" t="s">
        <v>117</v>
      </c>
      <c r="E123" s="37" t="s">
        <v>127</v>
      </c>
      <c r="F123" s="37" t="s">
        <v>69</v>
      </c>
      <c r="G123" s="37" t="s">
        <v>2477</v>
      </c>
      <c r="H123" s="37">
        <v>15.69</v>
      </c>
      <c r="I123" s="37">
        <v>30</v>
      </c>
      <c r="J123" s="37" t="s">
        <v>2750</v>
      </c>
      <c r="K123" s="37" t="s">
        <v>149</v>
      </c>
      <c r="L123" s="37">
        <v>10</v>
      </c>
      <c r="M123" s="37" t="str">
        <f t="shared" si="8"/>
        <v>ICU</v>
      </c>
      <c r="N123" s="37" t="str">
        <f t="shared" si="6"/>
        <v>Insurance</v>
      </c>
      <c r="O123" s="37" t="str" cm="1">
        <f t="array" ref="O123">IF(TRIM(N123)="",INDEX($N$2:$N$1500,MATCH(MAX(COUNTIF($N$2:$N$1500,$N$2:$N$1500)),COUNTIF($N$2:$N$1500,$N$2:$N$1500),0)),N123)</f>
        <v>Insurance</v>
      </c>
      <c r="P123" s="38" cm="1">
        <f t="array" ref="P123">ROUND(IF(TRIM(H123)="",IFERROR(MEDIAN(IF($M$2:$M$1500=M123,$H$2:$H$1500)),MEDIAN($H$2:$H$1500)),H123),2)</f>
        <v>15.69</v>
      </c>
      <c r="Q123" s="38" t="str">
        <f t="shared" si="9"/>
        <v>0</v>
      </c>
      <c r="R123" s="39" cm="1">
        <f t="array" ref="R123">IF(OR(TRIM(J123)="",TRIM(J123)="-"),MEDIAN(IF($C$2:$C$1218=C123,$J$2:$J$1218)),VALUE(SUBSTITUTE(SUBSTITUTE(SUBSTITUTE(J123,"Rs. ",""),"₹",""),",","")))</f>
        <v>77770</v>
      </c>
      <c r="S123" s="40">
        <f t="shared" si="7"/>
        <v>10</v>
      </c>
      <c r="T123" s="41">
        <f t="shared" si="10"/>
        <v>10</v>
      </c>
      <c r="U123" s="42">
        <f t="shared" si="11"/>
        <v>69993</v>
      </c>
    </row>
    <row r="124" spans="1:21" x14ac:dyDescent="0.3">
      <c r="A124" s="37" t="s">
        <v>2751</v>
      </c>
      <c r="B124" s="37" t="s">
        <v>2752</v>
      </c>
      <c r="C124" s="37" t="s">
        <v>2427</v>
      </c>
      <c r="D124" s="37" t="s">
        <v>45</v>
      </c>
      <c r="E124" s="37" t="s">
        <v>334</v>
      </c>
      <c r="F124" s="37" t="s">
        <v>49</v>
      </c>
      <c r="G124" s="37" t="s">
        <v>2505</v>
      </c>
      <c r="H124" s="37">
        <v>10.48</v>
      </c>
      <c r="I124" s="37">
        <v>54</v>
      </c>
      <c r="J124" s="37" t="s">
        <v>2753</v>
      </c>
      <c r="K124" s="37" t="s">
        <v>236</v>
      </c>
      <c r="L124" s="37">
        <v>0</v>
      </c>
      <c r="M124" s="37" t="str">
        <f t="shared" si="8"/>
        <v>General</v>
      </c>
      <c r="N124" s="37" t="str">
        <f t="shared" si="6"/>
        <v>Debit Card</v>
      </c>
      <c r="O124" s="37" t="str" cm="1">
        <f t="array" ref="O124">IF(TRIM(N124)="",INDEX($N$2:$N$1500,MATCH(MAX(COUNTIF($N$2:$N$1500,$N$2:$N$1500)),COUNTIF($N$2:$N$1500,$N$2:$N$1500),0)),N124)</f>
        <v>Debit Card</v>
      </c>
      <c r="P124" s="38" cm="1">
        <f t="array" ref="P124">ROUND(IF(TRIM(H124)="",IFERROR(MEDIAN(IF($M$2:$M$1500=M124,$H$2:$H$1500)),MEDIAN($H$2:$H$1500)),H124),2)</f>
        <v>10.48</v>
      </c>
      <c r="Q124" s="38" t="str">
        <f t="shared" si="9"/>
        <v>2+</v>
      </c>
      <c r="R124" s="39" cm="1">
        <f t="array" ref="R124">IF(OR(TRIM(J124)="",TRIM(J124)="-"),MEDIAN(IF($C$2:$C$1218=C124,$J$2:$J$1218)),VALUE(SUBSTITUTE(SUBSTITUTE(SUBSTITUTE(J124,"Rs. ",""),"₹",""),",","")))</f>
        <v>16592</v>
      </c>
      <c r="S124" s="40">
        <f t="shared" si="7"/>
        <v>0</v>
      </c>
      <c r="T124" s="41">
        <f t="shared" si="10"/>
        <v>0</v>
      </c>
      <c r="U124" s="42">
        <f t="shared" si="11"/>
        <v>16592</v>
      </c>
    </row>
    <row r="125" spans="1:21" x14ac:dyDescent="0.3">
      <c r="A125" s="37" t="s">
        <v>2754</v>
      </c>
      <c r="B125" s="37" t="s">
        <v>2755</v>
      </c>
      <c r="C125" s="37" t="s">
        <v>2445</v>
      </c>
      <c r="D125" s="37" t="s">
        <v>117</v>
      </c>
      <c r="E125" s="37" t="s">
        <v>118</v>
      </c>
      <c r="F125" s="37" t="s">
        <v>69</v>
      </c>
      <c r="G125" s="37" t="s">
        <v>2450</v>
      </c>
      <c r="H125" s="37"/>
      <c r="I125" s="37">
        <v>10</v>
      </c>
      <c r="J125" s="37">
        <v>80722</v>
      </c>
      <c r="K125" s="37" t="s">
        <v>34</v>
      </c>
      <c r="L125" s="37">
        <v>0</v>
      </c>
      <c r="M125" s="37" t="str">
        <f t="shared" si="8"/>
        <v>ICU</v>
      </c>
      <c r="N125" s="37" t="str">
        <f t="shared" si="6"/>
        <v>Cash</v>
      </c>
      <c r="O125" s="37" t="str" cm="1">
        <f t="array" ref="O125">IF(TRIM(N125)="",INDEX($N$2:$N$1500,MATCH(MAX(COUNTIF($N$2:$N$1500,$N$2:$N$1500)),COUNTIF($N$2:$N$1500,$N$2:$N$1500),0)),N125)</f>
        <v>Cash</v>
      </c>
      <c r="P125" s="38" cm="1">
        <f t="array" ref="P125">ROUND(IF(TRIM(H125)="",IFERROR(MEDIAN(IF($M$2:$M$1500=M125,$H$2:$H$1500)),MEDIAN($H$2:$H$1500)),H125),2)</f>
        <v>12.21</v>
      </c>
      <c r="Q125" s="38" t="str">
        <f t="shared" si="9"/>
        <v>1</v>
      </c>
      <c r="R125" s="39" cm="1">
        <f t="array" ref="R125">IF(OR(TRIM(J125)="",TRIM(J125)="-"),MEDIAN(IF($C$2:$C$1218=C125,$J$2:$J$1218)),VALUE(SUBSTITUTE(SUBSTITUTE(SUBSTITUTE(J125,"Rs. ",""),"₹",""),",","")))</f>
        <v>80722</v>
      </c>
      <c r="S125" s="40">
        <f t="shared" si="7"/>
        <v>0</v>
      </c>
      <c r="T125" s="41">
        <f t="shared" si="10"/>
        <v>0</v>
      </c>
      <c r="U125" s="42">
        <f t="shared" si="11"/>
        <v>80722</v>
      </c>
    </row>
    <row r="126" spans="1:21" x14ac:dyDescent="0.3">
      <c r="A126" s="37" t="s">
        <v>2756</v>
      </c>
      <c r="B126" s="37" t="s">
        <v>2757</v>
      </c>
      <c r="C126" s="37" t="s">
        <v>2485</v>
      </c>
      <c r="D126" s="37" t="s">
        <v>14</v>
      </c>
      <c r="E126" s="37" t="s">
        <v>15</v>
      </c>
      <c r="F126" s="37" t="s">
        <v>49</v>
      </c>
      <c r="G126" s="37" t="s">
        <v>2450</v>
      </c>
      <c r="H126" s="37">
        <v>5.56</v>
      </c>
      <c r="I126" s="37">
        <v>43</v>
      </c>
      <c r="J126" s="37">
        <v>11307</v>
      </c>
      <c r="K126" s="37" t="s">
        <v>104</v>
      </c>
      <c r="L126" s="37">
        <v>25</v>
      </c>
      <c r="M126" s="37" t="str">
        <f t="shared" si="8"/>
        <v>General</v>
      </c>
      <c r="N126" s="37" t="str">
        <f t="shared" si="6"/>
        <v>Insurance</v>
      </c>
      <c r="O126" s="37" t="str" cm="1">
        <f t="array" ref="O126">IF(TRIM(N126)="",INDEX($N$2:$N$1500,MATCH(MAX(COUNTIF($N$2:$N$1500,$N$2:$N$1500)),COUNTIF($N$2:$N$1500,$N$2:$N$1500),0)),N126)</f>
        <v>Insurance</v>
      </c>
      <c r="P126" s="38" cm="1">
        <f t="array" ref="P126">ROUND(IF(TRIM(H126)="",IFERROR(MEDIAN(IF($M$2:$M$1500=M126,$H$2:$H$1500)),MEDIAN($H$2:$H$1500)),H126),2)</f>
        <v>5.56</v>
      </c>
      <c r="Q126" s="38" t="str">
        <f t="shared" si="9"/>
        <v>1</v>
      </c>
      <c r="R126" s="39" cm="1">
        <f t="array" ref="R126">IF(OR(TRIM(J126)="",TRIM(J126)="-"),MEDIAN(IF($C$2:$C$1218=C126,$J$2:$J$1218)),VALUE(SUBSTITUTE(SUBSTITUTE(SUBSTITUTE(J126,"Rs. ",""),"₹",""),",","")))</f>
        <v>11307</v>
      </c>
      <c r="S126" s="40">
        <f t="shared" si="7"/>
        <v>25</v>
      </c>
      <c r="T126" s="41">
        <f t="shared" si="10"/>
        <v>25</v>
      </c>
      <c r="U126" s="42">
        <f t="shared" si="11"/>
        <v>8480</v>
      </c>
    </row>
    <row r="127" spans="1:21" x14ac:dyDescent="0.3">
      <c r="A127" s="37" t="s">
        <v>2758</v>
      </c>
      <c r="B127" s="37" t="s">
        <v>2759</v>
      </c>
      <c r="C127" s="37" t="s">
        <v>2411</v>
      </c>
      <c r="D127" s="37" t="s">
        <v>25</v>
      </c>
      <c r="E127" s="37" t="s">
        <v>54</v>
      </c>
      <c r="F127" s="37" t="s">
        <v>101</v>
      </c>
      <c r="G127" s="37" t="s">
        <v>2428</v>
      </c>
      <c r="H127" s="37">
        <v>20.03</v>
      </c>
      <c r="I127" s="37">
        <v>51</v>
      </c>
      <c r="J127" s="37" t="s">
        <v>2760</v>
      </c>
      <c r="K127" s="37"/>
      <c r="L127" s="37">
        <v>5</v>
      </c>
      <c r="M127" s="37" t="str">
        <f t="shared" si="8"/>
        <v>ICU</v>
      </c>
      <c r="N127" s="37" t="str">
        <f t="shared" si="6"/>
        <v>Unknown</v>
      </c>
      <c r="O127" s="37" t="str" cm="1">
        <f t="array" ref="O127">IF(TRIM(N127)="",INDEX($N$2:$N$1500,MATCH(MAX(COUNTIF($N$2:$N$1500,$N$2:$N$1500)),COUNTIF($N$2:$N$1500,$N$2:$N$1500),0)),N127)</f>
        <v>Unknown</v>
      </c>
      <c r="P127" s="38" cm="1">
        <f t="array" ref="P127">ROUND(IF(TRIM(H127)="",IFERROR(MEDIAN(IF($M$2:$M$1500=M127,$H$2:$H$1500)),MEDIAN($H$2:$H$1500)),H127),2)</f>
        <v>20.03</v>
      </c>
      <c r="Q127" s="38" t="str">
        <f t="shared" si="9"/>
        <v>2</v>
      </c>
      <c r="R127" s="39" cm="1">
        <f t="array" ref="R127">IF(OR(TRIM(J127)="",TRIM(J127)="-"),MEDIAN(IF($C$2:$C$1218=C127,$J$2:$J$1218)),VALUE(SUBSTITUTE(SUBSTITUTE(SUBSTITUTE(J127,"Rs. ",""),"₹",""),",","")))</f>
        <v>44644</v>
      </c>
      <c r="S127" s="40">
        <f t="shared" si="7"/>
        <v>5</v>
      </c>
      <c r="T127" s="41">
        <f t="shared" si="10"/>
        <v>5</v>
      </c>
      <c r="U127" s="42">
        <f t="shared" si="11"/>
        <v>42412</v>
      </c>
    </row>
    <row r="128" spans="1:21" x14ac:dyDescent="0.3">
      <c r="A128" s="37" t="s">
        <v>2761</v>
      </c>
      <c r="B128" s="37" t="s">
        <v>2762</v>
      </c>
      <c r="C128" s="37" t="s">
        <v>2473</v>
      </c>
      <c r="D128" s="37" t="s">
        <v>117</v>
      </c>
      <c r="E128" s="37" t="s">
        <v>182</v>
      </c>
      <c r="F128" s="37"/>
      <c r="G128" s="37" t="s">
        <v>2408</v>
      </c>
      <c r="H128" s="37">
        <v>22.26</v>
      </c>
      <c r="I128" s="37">
        <v>15</v>
      </c>
      <c r="J128" s="37" t="s">
        <v>2763</v>
      </c>
      <c r="K128" s="37" t="s">
        <v>115</v>
      </c>
      <c r="L128" s="37" t="s">
        <v>64</v>
      </c>
      <c r="M128" s="37" t="str">
        <f t="shared" si="8"/>
        <v>Unknown</v>
      </c>
      <c r="N128" s="37" t="str">
        <f t="shared" si="6"/>
        <v>Cash</v>
      </c>
      <c r="O128" s="37" t="str" cm="1">
        <f t="array" ref="O128">IF(TRIM(N128)="",INDEX($N$2:$N$1500,MATCH(MAX(COUNTIF($N$2:$N$1500,$N$2:$N$1500)),COUNTIF($N$2:$N$1500,$N$2:$N$1500),0)),N128)</f>
        <v>Cash</v>
      </c>
      <c r="P128" s="38" cm="1">
        <f t="array" ref="P128">ROUND(IF(TRIM(H128)="",IFERROR(MEDIAN(IF($M$2:$M$1500=M128,$H$2:$H$1500)),MEDIAN($H$2:$H$1500)),H128),2)</f>
        <v>22.26</v>
      </c>
      <c r="Q128" s="38" t="str">
        <f t="shared" si="9"/>
        <v>0</v>
      </c>
      <c r="R128" s="39" cm="1">
        <f t="array" ref="R128">IF(OR(TRIM(J128)="",TRIM(J128)="-"),MEDIAN(IF($C$2:$C$1218=C128,$J$2:$J$1218)),VALUE(SUBSTITUTE(SUBSTITUTE(SUBSTITUTE(J128,"Rs. ",""),"₹",""),",","")))</f>
        <v>14790</v>
      </c>
      <c r="S128" s="40" t="str">
        <f t="shared" si="7"/>
        <v>NA</v>
      </c>
      <c r="T128" s="41">
        <f t="shared" si="10"/>
        <v>2</v>
      </c>
      <c r="U128" s="42">
        <f t="shared" si="11"/>
        <v>14494</v>
      </c>
    </row>
    <row r="129" spans="1:21" x14ac:dyDescent="0.3">
      <c r="A129" s="37" t="s">
        <v>2764</v>
      </c>
      <c r="B129" s="37" t="s">
        <v>2544</v>
      </c>
      <c r="C129" s="37" t="s">
        <v>2514</v>
      </c>
      <c r="D129" s="37" t="s">
        <v>25</v>
      </c>
      <c r="E129" s="37" t="s">
        <v>54</v>
      </c>
      <c r="F129" s="37" t="s">
        <v>39</v>
      </c>
      <c r="G129" s="37" t="s">
        <v>2408</v>
      </c>
      <c r="H129" s="37">
        <v>8.31</v>
      </c>
      <c r="I129" s="37">
        <v>25</v>
      </c>
      <c r="J129" s="37">
        <v>16726</v>
      </c>
      <c r="K129" s="37" t="s">
        <v>236</v>
      </c>
      <c r="L129" s="37" t="s">
        <v>130</v>
      </c>
      <c r="M129" s="37" t="str">
        <f t="shared" si="8"/>
        <v>General</v>
      </c>
      <c r="N129" s="37" t="str">
        <f t="shared" si="6"/>
        <v>Debit Card</v>
      </c>
      <c r="O129" s="37" t="str" cm="1">
        <f t="array" ref="O129">IF(TRIM(N129)="",INDEX($N$2:$N$1500,MATCH(MAX(COUNTIF($N$2:$N$1500,$N$2:$N$1500)),COUNTIF($N$2:$N$1500,$N$2:$N$1500),0)),N129)</f>
        <v>Debit Card</v>
      </c>
      <c r="P129" s="38" cm="1">
        <f t="array" ref="P129">ROUND(IF(TRIM(H129)="",IFERROR(MEDIAN(IF($M$2:$M$1500=M129,$H$2:$H$1500)),MEDIAN($H$2:$H$1500)),H129),2)</f>
        <v>8.31</v>
      </c>
      <c r="Q129" s="38" t="str">
        <f t="shared" si="9"/>
        <v>0</v>
      </c>
      <c r="R129" s="39" cm="1">
        <f t="array" ref="R129">IF(OR(TRIM(J129)="",TRIM(J129)="-"),MEDIAN(IF($C$2:$C$1218=C129,$J$2:$J$1218)),VALUE(SUBSTITUTE(SUBSTITUTE(SUBSTITUTE(J129,"Rs. ",""),"₹",""),",","")))</f>
        <v>16726</v>
      </c>
      <c r="S129" s="40">
        <f t="shared" si="7"/>
        <v>0</v>
      </c>
      <c r="T129" s="41">
        <f t="shared" si="10"/>
        <v>0</v>
      </c>
      <c r="U129" s="42">
        <f t="shared" si="11"/>
        <v>16726</v>
      </c>
    </row>
    <row r="130" spans="1:21" x14ac:dyDescent="0.3">
      <c r="A130" s="37" t="s">
        <v>2765</v>
      </c>
      <c r="B130" s="37" t="s">
        <v>2766</v>
      </c>
      <c r="C130" s="37" t="s">
        <v>2629</v>
      </c>
      <c r="D130" s="37" t="s">
        <v>106</v>
      </c>
      <c r="E130" s="37" t="s">
        <v>107</v>
      </c>
      <c r="F130" s="37" t="s">
        <v>69</v>
      </c>
      <c r="G130" s="37" t="s">
        <v>2439</v>
      </c>
      <c r="H130" s="37">
        <v>7.08</v>
      </c>
      <c r="I130" s="37">
        <v>24</v>
      </c>
      <c r="J130" s="37" t="s">
        <v>2767</v>
      </c>
      <c r="K130" s="37" t="s">
        <v>72</v>
      </c>
      <c r="L130" s="37" t="s">
        <v>76</v>
      </c>
      <c r="M130" s="37" t="str">
        <f t="shared" si="8"/>
        <v>ICU</v>
      </c>
      <c r="N130" s="37" t="str">
        <f t="shared" ref="N130:N193" si="12">IF(OR(UPPER(TRIM(K130))="CREDIT_CARD",UPPER(TRIM(K130))="CREDIT CARD",UPPER(TRIM(K130))="CC"),"Credit Card", IF(OR(UPPER(TRIM(K130))="DEBIT_CARD",UPPER(TRIM(K130))="DEBIT CARD",UPPER(TRIM(K130))="DC"),"Debit Card", IF(UPPER(TRIM(K130))="CASH","Cash", IF(UPPER(TRIM(K130))="UPI","UPI", IF(OR(UPPER(TRIM(K130))="INSURANCE",UPPER(TRIM(K130))="INS"),"Insurance", IF(TRIM(K130)="","Unknown","Unknown"))))))</f>
        <v>Cash</v>
      </c>
      <c r="O130" s="37" t="str" cm="1">
        <f t="array" ref="O130">IF(TRIM(N130)="",INDEX($N$2:$N$1500,MATCH(MAX(COUNTIF($N$2:$N$1500,$N$2:$N$1500)),COUNTIF($N$2:$N$1500,$N$2:$N$1500),0)),N130)</f>
        <v>Cash</v>
      </c>
      <c r="P130" s="38" cm="1">
        <f t="array" ref="P130">ROUND(IF(TRIM(H130)="",IFERROR(MEDIAN(IF($M$2:$M$1500=M130,$H$2:$H$1500)),MEDIAN($H$2:$H$1500)),H130),2)</f>
        <v>7.08</v>
      </c>
      <c r="Q130" s="38" t="str">
        <f t="shared" si="9"/>
        <v>2</v>
      </c>
      <c r="R130" s="39" cm="1">
        <f t="array" ref="R130">IF(OR(TRIM(J130)="",TRIM(J130)="-"),MEDIAN(IF($C$2:$C$1218=C130,$J$2:$J$1218)),VALUE(SUBSTITUTE(SUBSTITUTE(SUBSTITUTE(J130,"Rs. ",""),"₹",""),",","")))</f>
        <v>67021</v>
      </c>
      <c r="S130" s="40">
        <f t="shared" ref="S130:S193" si="13">IF(RIGHT(TRIM(L130),1)="%",VALUE(LEFT(TRIM(L130),LEN(TRIM(L130))-1)),IF(AND(ISNUMBER(L130),L130&lt;=1,,L130&gt;0),L130*100,L130))</f>
        <v>10</v>
      </c>
      <c r="T130" s="41">
        <f t="shared" si="10"/>
        <v>10</v>
      </c>
      <c r="U130" s="42">
        <f t="shared" si="11"/>
        <v>60319</v>
      </c>
    </row>
    <row r="131" spans="1:21" x14ac:dyDescent="0.3">
      <c r="A131" s="37" t="s">
        <v>2768</v>
      </c>
      <c r="B131" s="37" t="s">
        <v>2769</v>
      </c>
      <c r="C131" s="37" t="s">
        <v>2469</v>
      </c>
      <c r="D131" s="37" t="s">
        <v>117</v>
      </c>
      <c r="E131" s="37" t="s">
        <v>182</v>
      </c>
      <c r="F131" s="37"/>
      <c r="G131" s="37" t="s">
        <v>2408</v>
      </c>
      <c r="H131" s="37">
        <v>1.71</v>
      </c>
      <c r="I131" s="37">
        <v>54</v>
      </c>
      <c r="J131" s="37" t="s">
        <v>2770</v>
      </c>
      <c r="K131" s="37" t="s">
        <v>34</v>
      </c>
      <c r="L131" s="37">
        <v>0</v>
      </c>
      <c r="M131" s="37" t="str">
        <f t="shared" ref="M131:M194" si="14">IF(OR(UPPER(TRIM(F131))="GENERAL",UPPER(TRIM(F131))="GENRAL"),"General",IF(UPPER(TRIM(F131))="ICU","ICU","Unknown"))</f>
        <v>Unknown</v>
      </c>
      <c r="N131" s="37" t="str">
        <f t="shared" si="12"/>
        <v>Cash</v>
      </c>
      <c r="O131" s="37" t="str" cm="1">
        <f t="array" ref="O131">IF(TRIM(N131)="",INDEX($N$2:$N$1500,MATCH(MAX(COUNTIF($N$2:$N$1500,$N$2:$N$1500)),COUNTIF($N$2:$N$1500,$N$2:$N$1500),0)),N131)</f>
        <v>Cash</v>
      </c>
      <c r="P131" s="38" cm="1">
        <f t="array" ref="P131">ROUND(IF(TRIM(H131)="",IFERROR(MEDIAN(IF($M$2:$M$1500=M131,$H$2:$H$1500)),MEDIAN($H$2:$H$1500)),H131),2)</f>
        <v>1.71</v>
      </c>
      <c r="Q131" s="38" t="str">
        <f t="shared" ref="Q131:Q194" si="15">IF(OR(LOWER(TRIM(G131))="0",LOWER(TRIM(G131))="zero"),"0", IF(OR(LOWER(TRIM(G131))="1",LOWER(TRIM(G131))="one"),"1", IF(OR(LOWER(TRIM(G131))="2",LOWER(TRIM(G131))="two"),"2", IF(OR(LOWER(TRIM(G131))="2+",LOWER(TRIM(G131))="two_or_more",LOWER(TRIM(G131))="multiple"),"2+", "Unknown"))))</f>
        <v>0</v>
      </c>
      <c r="R131" s="39" cm="1">
        <f t="array" ref="R131">IF(OR(TRIM(J131)="",TRIM(J131)="-"),MEDIAN(IF($C$2:$C$1218=C131,$J$2:$J$1218)),VALUE(SUBSTITUTE(SUBSTITUTE(SUBSTITUTE(J131,"Rs. ",""),"₹",""),",","")))</f>
        <v>38761</v>
      </c>
      <c r="S131" s="40">
        <f t="shared" si="13"/>
        <v>0</v>
      </c>
      <c r="T131" s="41">
        <f t="shared" ref="T131:T194" si="16">ROUND(IF(OR(TRIM(S131)="-",UPPER(TRIM(S131))="N/A",UPPER(TRIM(S131))="NA"),IFERROR(AVERAGEIF($O$2:$O$1500,O131,$S$2:$S$1500),AVERAGE($S$2:$S$1500)),S131),0)</f>
        <v>0</v>
      </c>
      <c r="U131" s="42">
        <f t="shared" ref="U131:U194" si="17">ROUND(R131*(1-T131/100),0)</f>
        <v>38761</v>
      </c>
    </row>
    <row r="132" spans="1:21" x14ac:dyDescent="0.3">
      <c r="A132" s="37" t="s">
        <v>2771</v>
      </c>
      <c r="B132" s="37" t="s">
        <v>2772</v>
      </c>
      <c r="C132" s="37" t="s">
        <v>2454</v>
      </c>
      <c r="D132" s="37" t="s">
        <v>106</v>
      </c>
      <c r="E132" s="37" t="s">
        <v>107</v>
      </c>
      <c r="F132" s="37" t="s">
        <v>19</v>
      </c>
      <c r="G132" s="37" t="s">
        <v>2412</v>
      </c>
      <c r="H132" s="37">
        <v>16.64</v>
      </c>
      <c r="I132" s="37">
        <v>32</v>
      </c>
      <c r="J132" s="37">
        <v>11694</v>
      </c>
      <c r="K132" s="37" t="s">
        <v>87</v>
      </c>
      <c r="L132" s="37" t="s">
        <v>130</v>
      </c>
      <c r="M132" s="37" t="str">
        <f t="shared" si="14"/>
        <v>General</v>
      </c>
      <c r="N132" s="37" t="str">
        <f t="shared" si="12"/>
        <v>Credit Card</v>
      </c>
      <c r="O132" s="37" t="str" cm="1">
        <f t="array" ref="O132">IF(TRIM(N132)="",INDEX($N$2:$N$1500,MATCH(MAX(COUNTIF($N$2:$N$1500,$N$2:$N$1500)),COUNTIF($N$2:$N$1500,$N$2:$N$1500),0)),N132)</f>
        <v>Credit Card</v>
      </c>
      <c r="P132" s="38" cm="1">
        <f t="array" ref="P132">ROUND(IF(TRIM(H132)="",IFERROR(MEDIAN(IF($M$2:$M$1500=M132,$H$2:$H$1500)),MEDIAN($H$2:$H$1500)),H132),2)</f>
        <v>16.64</v>
      </c>
      <c r="Q132" s="38" t="str">
        <f t="shared" si="15"/>
        <v>1</v>
      </c>
      <c r="R132" s="39" cm="1">
        <f t="array" ref="R132">IF(OR(TRIM(J132)="",TRIM(J132)="-"),MEDIAN(IF($C$2:$C$1218=C132,$J$2:$J$1218)),VALUE(SUBSTITUTE(SUBSTITUTE(SUBSTITUTE(J132,"Rs. ",""),"₹",""),",","")))</f>
        <v>11694</v>
      </c>
      <c r="S132" s="40">
        <f t="shared" si="13"/>
        <v>0</v>
      </c>
      <c r="T132" s="41">
        <f t="shared" si="16"/>
        <v>0</v>
      </c>
      <c r="U132" s="42">
        <f t="shared" si="17"/>
        <v>11694</v>
      </c>
    </row>
    <row r="133" spans="1:21" x14ac:dyDescent="0.3">
      <c r="A133" s="37" t="s">
        <v>2773</v>
      </c>
      <c r="B133" s="37" t="s">
        <v>2774</v>
      </c>
      <c r="C133" s="37" t="s">
        <v>2730</v>
      </c>
      <c r="D133" s="37" t="s">
        <v>117</v>
      </c>
      <c r="E133" s="37" t="s">
        <v>127</v>
      </c>
      <c r="F133" s="37" t="s">
        <v>69</v>
      </c>
      <c r="G133" s="37" t="s">
        <v>2450</v>
      </c>
      <c r="H133" s="37">
        <v>6.79</v>
      </c>
      <c r="I133" s="37">
        <v>37</v>
      </c>
      <c r="J133" s="37">
        <v>62910</v>
      </c>
      <c r="K133" s="37" t="s">
        <v>311</v>
      </c>
      <c r="L133" s="37" t="s">
        <v>130</v>
      </c>
      <c r="M133" s="37" t="str">
        <f t="shared" si="14"/>
        <v>ICU</v>
      </c>
      <c r="N133" s="37" t="str">
        <f t="shared" si="12"/>
        <v>UPI</v>
      </c>
      <c r="O133" s="37" t="str" cm="1">
        <f t="array" ref="O133">IF(TRIM(N133)="",INDEX($N$2:$N$1500,MATCH(MAX(COUNTIF($N$2:$N$1500,$N$2:$N$1500)),COUNTIF($N$2:$N$1500,$N$2:$N$1500),0)),N133)</f>
        <v>UPI</v>
      </c>
      <c r="P133" s="38" cm="1">
        <f t="array" ref="P133">ROUND(IF(TRIM(H133)="",IFERROR(MEDIAN(IF($M$2:$M$1500=M133,$H$2:$H$1500)),MEDIAN($H$2:$H$1500)),H133),2)</f>
        <v>6.79</v>
      </c>
      <c r="Q133" s="38" t="str">
        <f t="shared" si="15"/>
        <v>1</v>
      </c>
      <c r="R133" s="39" cm="1">
        <f t="array" ref="R133">IF(OR(TRIM(J133)="",TRIM(J133)="-"),MEDIAN(IF($C$2:$C$1218=C133,$J$2:$J$1218)),VALUE(SUBSTITUTE(SUBSTITUTE(SUBSTITUTE(J133,"Rs. ",""),"₹",""),",","")))</f>
        <v>62910</v>
      </c>
      <c r="S133" s="40">
        <f t="shared" si="13"/>
        <v>0</v>
      </c>
      <c r="T133" s="41">
        <f t="shared" si="16"/>
        <v>0</v>
      </c>
      <c r="U133" s="42">
        <f t="shared" si="17"/>
        <v>62910</v>
      </c>
    </row>
    <row r="134" spans="1:21" x14ac:dyDescent="0.3">
      <c r="A134" s="37" t="s">
        <v>2775</v>
      </c>
      <c r="B134" s="37" t="s">
        <v>2776</v>
      </c>
      <c r="C134" s="37" t="s">
        <v>2504</v>
      </c>
      <c r="D134" s="37" t="s">
        <v>14</v>
      </c>
      <c r="E134" s="37" t="s">
        <v>15</v>
      </c>
      <c r="F134" s="37" t="s">
        <v>30</v>
      </c>
      <c r="G134" s="37" t="s">
        <v>2412</v>
      </c>
      <c r="H134" s="37"/>
      <c r="I134" s="37">
        <v>21</v>
      </c>
      <c r="J134" s="37" t="s">
        <v>2777</v>
      </c>
      <c r="K134" s="37" t="s">
        <v>58</v>
      </c>
      <c r="L134" s="37">
        <v>0</v>
      </c>
      <c r="M134" s="37" t="str">
        <f t="shared" si="14"/>
        <v>General</v>
      </c>
      <c r="N134" s="37" t="str">
        <f t="shared" si="12"/>
        <v>UPI</v>
      </c>
      <c r="O134" s="37" t="str" cm="1">
        <f t="array" ref="O134">IF(TRIM(N134)="",INDEX($N$2:$N$1500,MATCH(MAX(COUNTIF($N$2:$N$1500,$N$2:$N$1500)),COUNTIF($N$2:$N$1500,$N$2:$N$1500),0)),N134)</f>
        <v>UPI</v>
      </c>
      <c r="P134" s="38" cm="1">
        <f t="array" ref="P134">ROUND(IF(TRIM(H134)="",IFERROR(MEDIAN(IF($M$2:$M$1500=M134,$H$2:$H$1500)),MEDIAN($H$2:$H$1500)),H134),2)</f>
        <v>12.02</v>
      </c>
      <c r="Q134" s="38" t="str">
        <f t="shared" si="15"/>
        <v>1</v>
      </c>
      <c r="R134" s="39" cm="1">
        <f t="array" ref="R134">IF(OR(TRIM(J134)="",TRIM(J134)="-"),MEDIAN(IF($C$2:$C$1218=C134,$J$2:$J$1218)),VALUE(SUBSTITUTE(SUBSTITUTE(SUBSTITUTE(J134,"Rs. ",""),"₹",""),",","")))</f>
        <v>3860</v>
      </c>
      <c r="S134" s="40">
        <f t="shared" si="13"/>
        <v>0</v>
      </c>
      <c r="T134" s="41">
        <f t="shared" si="16"/>
        <v>0</v>
      </c>
      <c r="U134" s="42">
        <f t="shared" si="17"/>
        <v>3860</v>
      </c>
    </row>
    <row r="135" spans="1:21" x14ac:dyDescent="0.3">
      <c r="A135" s="37" t="s">
        <v>2778</v>
      </c>
      <c r="B135" s="37" t="s">
        <v>2779</v>
      </c>
      <c r="C135" s="37" t="s">
        <v>2463</v>
      </c>
      <c r="D135" s="37" t="s">
        <v>117</v>
      </c>
      <c r="E135" s="37" t="s">
        <v>182</v>
      </c>
      <c r="F135" s="37"/>
      <c r="G135" s="37" t="s">
        <v>2435</v>
      </c>
      <c r="H135" s="37">
        <v>13.05</v>
      </c>
      <c r="I135" s="37">
        <v>15</v>
      </c>
      <c r="J135" s="37" t="s">
        <v>2780</v>
      </c>
      <c r="K135" s="37" t="s">
        <v>236</v>
      </c>
      <c r="L135" s="37">
        <v>0</v>
      </c>
      <c r="M135" s="37" t="str">
        <f t="shared" si="14"/>
        <v>Unknown</v>
      </c>
      <c r="N135" s="37" t="str">
        <f t="shared" si="12"/>
        <v>Debit Card</v>
      </c>
      <c r="O135" s="37" t="str" cm="1">
        <f t="array" ref="O135">IF(TRIM(N135)="",INDEX($N$2:$N$1500,MATCH(MAX(COUNTIF($N$2:$N$1500,$N$2:$N$1500)),COUNTIF($N$2:$N$1500,$N$2:$N$1500),0)),N135)</f>
        <v>Debit Card</v>
      </c>
      <c r="P135" s="38" cm="1">
        <f t="array" ref="P135">ROUND(IF(TRIM(H135)="",IFERROR(MEDIAN(IF($M$2:$M$1500=M135,$H$2:$H$1500)),MEDIAN($H$2:$H$1500)),H135),2)</f>
        <v>13.05</v>
      </c>
      <c r="Q135" s="38" t="str">
        <f t="shared" si="15"/>
        <v>0</v>
      </c>
      <c r="R135" s="39" cm="1">
        <f t="array" ref="R135">IF(OR(TRIM(J135)="",TRIM(J135)="-"),MEDIAN(IF($C$2:$C$1218=C135,$J$2:$J$1218)),VALUE(SUBSTITUTE(SUBSTITUTE(SUBSTITUTE(J135,"Rs. ",""),"₹",""),",","")))</f>
        <v>11263</v>
      </c>
      <c r="S135" s="40">
        <f t="shared" si="13"/>
        <v>0</v>
      </c>
      <c r="T135" s="41">
        <f t="shared" si="16"/>
        <v>0</v>
      </c>
      <c r="U135" s="42">
        <f t="shared" si="17"/>
        <v>11263</v>
      </c>
    </row>
    <row r="136" spans="1:21" x14ac:dyDescent="0.3">
      <c r="A136" s="37" t="s">
        <v>2781</v>
      </c>
      <c r="B136" s="37" t="s">
        <v>2782</v>
      </c>
      <c r="C136" s="37" t="s">
        <v>2469</v>
      </c>
      <c r="D136" s="37" t="s">
        <v>106</v>
      </c>
      <c r="E136" s="37" t="s">
        <v>307</v>
      </c>
      <c r="F136" s="37" t="s">
        <v>49</v>
      </c>
      <c r="G136" s="37" t="s">
        <v>2486</v>
      </c>
      <c r="H136" s="37">
        <v>5.4</v>
      </c>
      <c r="I136" s="37">
        <v>18</v>
      </c>
      <c r="J136" s="37">
        <v>6267</v>
      </c>
      <c r="K136" s="37" t="s">
        <v>87</v>
      </c>
      <c r="L136" s="37">
        <v>0</v>
      </c>
      <c r="M136" s="37" t="str">
        <f t="shared" si="14"/>
        <v>General</v>
      </c>
      <c r="N136" s="37" t="str">
        <f t="shared" si="12"/>
        <v>Credit Card</v>
      </c>
      <c r="O136" s="37" t="str" cm="1">
        <f t="array" ref="O136">IF(TRIM(N136)="",INDEX($N$2:$N$1500,MATCH(MAX(COUNTIF($N$2:$N$1500,$N$2:$N$1500)),COUNTIF($N$2:$N$1500,$N$2:$N$1500),0)),N136)</f>
        <v>Credit Card</v>
      </c>
      <c r="P136" s="38" cm="1">
        <f t="array" ref="P136">ROUND(IF(TRIM(H136)="",IFERROR(MEDIAN(IF($M$2:$M$1500=M136,$H$2:$H$1500)),MEDIAN($H$2:$H$1500)),H136),2)</f>
        <v>5.4</v>
      </c>
      <c r="Q136" s="38" t="str">
        <f t="shared" si="15"/>
        <v>2+</v>
      </c>
      <c r="R136" s="39" cm="1">
        <f t="array" ref="R136">IF(OR(TRIM(J136)="",TRIM(J136)="-"),MEDIAN(IF($C$2:$C$1218=C136,$J$2:$J$1218)),VALUE(SUBSTITUTE(SUBSTITUTE(SUBSTITUTE(J136,"Rs. ",""),"₹",""),",","")))</f>
        <v>6267</v>
      </c>
      <c r="S136" s="40">
        <f t="shared" si="13"/>
        <v>0</v>
      </c>
      <c r="T136" s="41">
        <f t="shared" si="16"/>
        <v>0</v>
      </c>
      <c r="U136" s="42">
        <f t="shared" si="17"/>
        <v>6267</v>
      </c>
    </row>
    <row r="137" spans="1:21" x14ac:dyDescent="0.3">
      <c r="A137" s="37" t="s">
        <v>2783</v>
      </c>
      <c r="B137" s="37" t="s">
        <v>2784</v>
      </c>
      <c r="C137" s="37" t="s">
        <v>2629</v>
      </c>
      <c r="D137" s="37" t="s">
        <v>45</v>
      </c>
      <c r="E137" s="37" t="s">
        <v>46</v>
      </c>
      <c r="F137" s="37" t="s">
        <v>30</v>
      </c>
      <c r="G137" s="37" t="s">
        <v>2455</v>
      </c>
      <c r="H137" s="37">
        <v>12.33</v>
      </c>
      <c r="I137" s="37">
        <v>59</v>
      </c>
      <c r="J137" s="37">
        <v>17268</v>
      </c>
      <c r="K137" s="37" t="s">
        <v>211</v>
      </c>
      <c r="L137" s="37" t="s">
        <v>64</v>
      </c>
      <c r="M137" s="37" t="str">
        <f t="shared" si="14"/>
        <v>General</v>
      </c>
      <c r="N137" s="37" t="str">
        <f t="shared" si="12"/>
        <v>Credit Card</v>
      </c>
      <c r="O137" s="37" t="str" cm="1">
        <f t="array" ref="O137">IF(TRIM(N137)="",INDEX($N$2:$N$1500,MATCH(MAX(COUNTIF($N$2:$N$1500,$N$2:$N$1500)),COUNTIF($N$2:$N$1500,$N$2:$N$1500),0)),N137)</f>
        <v>Credit Card</v>
      </c>
      <c r="P137" s="38" cm="1">
        <f t="array" ref="P137">ROUND(IF(TRIM(H137)="",IFERROR(MEDIAN(IF($M$2:$M$1500=M137,$H$2:$H$1500)),MEDIAN($H$2:$H$1500)),H137),2)</f>
        <v>12.33</v>
      </c>
      <c r="Q137" s="38" t="str">
        <f t="shared" si="15"/>
        <v>1</v>
      </c>
      <c r="R137" s="39" cm="1">
        <f t="array" ref="R137">IF(OR(TRIM(J137)="",TRIM(J137)="-"),MEDIAN(IF($C$2:$C$1218=C137,$J$2:$J$1218)),VALUE(SUBSTITUTE(SUBSTITUTE(SUBSTITUTE(J137,"Rs. ",""),"₹",""),",","")))</f>
        <v>17268</v>
      </c>
      <c r="S137" s="40" t="str">
        <f t="shared" si="13"/>
        <v>NA</v>
      </c>
      <c r="T137" s="41">
        <f t="shared" si="16"/>
        <v>2</v>
      </c>
      <c r="U137" s="42">
        <f t="shared" si="17"/>
        <v>16923</v>
      </c>
    </row>
    <row r="138" spans="1:21" x14ac:dyDescent="0.3">
      <c r="A138" s="37" t="s">
        <v>2785</v>
      </c>
      <c r="B138" s="37" t="s">
        <v>2786</v>
      </c>
      <c r="C138" s="37" t="s">
        <v>2469</v>
      </c>
      <c r="D138" s="37" t="s">
        <v>78</v>
      </c>
      <c r="E138" s="37" t="s">
        <v>203</v>
      </c>
      <c r="F138" s="37" t="s">
        <v>62</v>
      </c>
      <c r="G138" s="37" t="s">
        <v>2477</v>
      </c>
      <c r="H138" s="37">
        <v>3.28</v>
      </c>
      <c r="I138" s="37" t="s">
        <v>140</v>
      </c>
      <c r="J138" s="37" t="s">
        <v>2787</v>
      </c>
      <c r="K138" s="37" t="s">
        <v>34</v>
      </c>
      <c r="L138" s="37">
        <v>0</v>
      </c>
      <c r="M138" s="37" t="str">
        <f t="shared" si="14"/>
        <v>ICU</v>
      </c>
      <c r="N138" s="37" t="str">
        <f t="shared" si="12"/>
        <v>Cash</v>
      </c>
      <c r="O138" s="37" t="str" cm="1">
        <f t="array" ref="O138">IF(TRIM(N138)="",INDEX($N$2:$N$1500,MATCH(MAX(COUNTIF($N$2:$N$1500,$N$2:$N$1500)),COUNTIF($N$2:$N$1500,$N$2:$N$1500),0)),N138)</f>
        <v>Cash</v>
      </c>
      <c r="P138" s="38" cm="1">
        <f t="array" ref="P138">ROUND(IF(TRIM(H138)="",IFERROR(MEDIAN(IF($M$2:$M$1500=M138,$H$2:$H$1500)),MEDIAN($H$2:$H$1500)),H138),2)</f>
        <v>3.28</v>
      </c>
      <c r="Q138" s="38" t="str">
        <f t="shared" si="15"/>
        <v>0</v>
      </c>
      <c r="R138" s="39" cm="1">
        <f t="array" ref="R138">IF(OR(TRIM(J138)="",TRIM(J138)="-"),MEDIAN(IF($C$2:$C$1218=C138,$J$2:$J$1218)),VALUE(SUBSTITUTE(SUBSTITUTE(SUBSTITUTE(J138,"Rs. ",""),"₹",""),",","")))</f>
        <v>34601</v>
      </c>
      <c r="S138" s="40">
        <f t="shared" si="13"/>
        <v>0</v>
      </c>
      <c r="T138" s="41">
        <f t="shared" si="16"/>
        <v>0</v>
      </c>
      <c r="U138" s="42">
        <f t="shared" si="17"/>
        <v>34601</v>
      </c>
    </row>
    <row r="139" spans="1:21" x14ac:dyDescent="0.3">
      <c r="A139" s="37" t="s">
        <v>2788</v>
      </c>
      <c r="B139" s="37" t="s">
        <v>2789</v>
      </c>
      <c r="C139" s="37" t="s">
        <v>2427</v>
      </c>
      <c r="D139" s="37" t="s">
        <v>117</v>
      </c>
      <c r="E139" s="37" t="s">
        <v>127</v>
      </c>
      <c r="F139" s="37" t="s">
        <v>101</v>
      </c>
      <c r="G139" s="37" t="s">
        <v>2412</v>
      </c>
      <c r="H139" s="37">
        <v>14.26</v>
      </c>
      <c r="I139" s="37">
        <v>46</v>
      </c>
      <c r="J139" s="37" t="s">
        <v>140</v>
      </c>
      <c r="K139" s="37" t="s">
        <v>149</v>
      </c>
      <c r="L139" s="37">
        <v>35</v>
      </c>
      <c r="M139" s="37" t="str">
        <f t="shared" si="14"/>
        <v>ICU</v>
      </c>
      <c r="N139" s="37" t="str">
        <f t="shared" si="12"/>
        <v>Insurance</v>
      </c>
      <c r="O139" s="37" t="str" cm="1">
        <f t="array" ref="O139">IF(TRIM(N139)="",INDEX($N$2:$N$1500,MATCH(MAX(COUNTIF($N$2:$N$1500,$N$2:$N$1500)),COUNTIF($N$2:$N$1500,$N$2:$N$1500),0)),N139)</f>
        <v>Insurance</v>
      </c>
      <c r="P139" s="38" cm="1">
        <f t="array" ref="P139">ROUND(IF(TRIM(H139)="",IFERROR(MEDIAN(IF($M$2:$M$1500=M139,$H$2:$H$1500)),MEDIAN($H$2:$H$1500)),H139),2)</f>
        <v>14.26</v>
      </c>
      <c r="Q139" s="38" t="str">
        <f t="shared" si="15"/>
        <v>1</v>
      </c>
      <c r="R139" s="39" cm="1">
        <f t="array" ref="R139">IF(OR(TRIM(J139)="",TRIM(J139)="-"),MEDIAN(IF($C$2:$C$1218=C139,$J$2:$J$1218)),VALUE(SUBSTITUTE(SUBSTITUTE(SUBSTITUTE(J139,"Rs. ",""),"₹",""),",","")))</f>
        <v>16745.5</v>
      </c>
      <c r="S139" s="40">
        <f t="shared" si="13"/>
        <v>35</v>
      </c>
      <c r="T139" s="41">
        <f t="shared" si="16"/>
        <v>35</v>
      </c>
      <c r="U139" s="42">
        <f t="shared" si="17"/>
        <v>10885</v>
      </c>
    </row>
    <row r="140" spans="1:21" x14ac:dyDescent="0.3">
      <c r="A140" s="37" t="s">
        <v>2790</v>
      </c>
      <c r="B140" s="37" t="s">
        <v>2791</v>
      </c>
      <c r="C140" s="37" t="s">
        <v>2466</v>
      </c>
      <c r="D140" s="37" t="s">
        <v>106</v>
      </c>
      <c r="E140" s="37" t="s">
        <v>107</v>
      </c>
      <c r="F140" s="37" t="s">
        <v>30</v>
      </c>
      <c r="G140" s="37" t="s">
        <v>2746</v>
      </c>
      <c r="H140" s="37">
        <v>22.27</v>
      </c>
      <c r="I140" s="37">
        <v>23</v>
      </c>
      <c r="J140" s="37">
        <v>16254</v>
      </c>
      <c r="K140" s="37" t="s">
        <v>211</v>
      </c>
      <c r="L140" s="37">
        <v>5</v>
      </c>
      <c r="M140" s="37" t="str">
        <f t="shared" si="14"/>
        <v>General</v>
      </c>
      <c r="N140" s="37" t="str">
        <f t="shared" si="12"/>
        <v>Credit Card</v>
      </c>
      <c r="O140" s="37" t="str" cm="1">
        <f t="array" ref="O140">IF(TRIM(N140)="",INDEX($N$2:$N$1500,MATCH(MAX(COUNTIF($N$2:$N$1500,$N$2:$N$1500)),COUNTIF($N$2:$N$1500,$N$2:$N$1500),0)),N140)</f>
        <v>Credit Card</v>
      </c>
      <c r="P140" s="38" cm="1">
        <f t="array" ref="P140">ROUND(IF(TRIM(H140)="",IFERROR(MEDIAN(IF($M$2:$M$1500=M140,$H$2:$H$1500)),MEDIAN($H$2:$H$1500)),H140),2)</f>
        <v>22.27</v>
      </c>
      <c r="Q140" s="38" t="str">
        <f t="shared" si="15"/>
        <v>2</v>
      </c>
      <c r="R140" s="39" cm="1">
        <f t="array" ref="R140">IF(OR(TRIM(J140)="",TRIM(J140)="-"),MEDIAN(IF($C$2:$C$1218=C140,$J$2:$J$1218)),VALUE(SUBSTITUTE(SUBSTITUTE(SUBSTITUTE(J140,"Rs. ",""),"₹",""),",","")))</f>
        <v>16254</v>
      </c>
      <c r="S140" s="40">
        <f t="shared" si="13"/>
        <v>5</v>
      </c>
      <c r="T140" s="41">
        <f t="shared" si="16"/>
        <v>5</v>
      </c>
      <c r="U140" s="42">
        <f t="shared" si="17"/>
        <v>15441</v>
      </c>
    </row>
    <row r="141" spans="1:21" x14ac:dyDescent="0.3">
      <c r="A141" s="37" t="s">
        <v>2792</v>
      </c>
      <c r="B141" s="37" t="s">
        <v>2793</v>
      </c>
      <c r="C141" s="37" t="s">
        <v>2466</v>
      </c>
      <c r="D141" s="37" t="s">
        <v>45</v>
      </c>
      <c r="E141" s="37" t="s">
        <v>46</v>
      </c>
      <c r="F141" s="37" t="s">
        <v>39</v>
      </c>
      <c r="G141" s="37" t="s">
        <v>2435</v>
      </c>
      <c r="H141" s="37">
        <v>9.77</v>
      </c>
      <c r="I141" s="37">
        <v>47</v>
      </c>
      <c r="J141" s="37" t="s">
        <v>2794</v>
      </c>
      <c r="K141" s="37" t="s">
        <v>34</v>
      </c>
      <c r="L141" s="37"/>
      <c r="M141" s="37" t="str">
        <f t="shared" si="14"/>
        <v>General</v>
      </c>
      <c r="N141" s="37" t="str">
        <f t="shared" si="12"/>
        <v>Cash</v>
      </c>
      <c r="O141" s="37" t="str" cm="1">
        <f t="array" ref="O141">IF(TRIM(N141)="",INDEX($N$2:$N$1500,MATCH(MAX(COUNTIF($N$2:$N$1500,$N$2:$N$1500)),COUNTIF($N$2:$N$1500,$N$2:$N$1500),0)),N141)</f>
        <v>Cash</v>
      </c>
      <c r="P141" s="38" cm="1">
        <f t="array" ref="P141">ROUND(IF(TRIM(H141)="",IFERROR(MEDIAN(IF($M$2:$M$1500=M141,$H$2:$H$1500)),MEDIAN($H$2:$H$1500)),H141),2)</f>
        <v>9.77</v>
      </c>
      <c r="Q141" s="38" t="str">
        <f t="shared" si="15"/>
        <v>0</v>
      </c>
      <c r="R141" s="39" cm="1">
        <f t="array" ref="R141">IF(OR(TRIM(J141)="",TRIM(J141)="-"),MEDIAN(IF($C$2:$C$1218=C141,$J$2:$J$1218)),VALUE(SUBSTITUTE(SUBSTITUTE(SUBSTITUTE(J141,"Rs. ",""),"₹",""),",","")))</f>
        <v>11514</v>
      </c>
      <c r="S141" s="40">
        <f t="shared" si="13"/>
        <v>0</v>
      </c>
      <c r="T141" s="41">
        <f t="shared" si="16"/>
        <v>0</v>
      </c>
      <c r="U141" s="42">
        <f t="shared" si="17"/>
        <v>11514</v>
      </c>
    </row>
    <row r="142" spans="1:21" x14ac:dyDescent="0.3">
      <c r="A142" s="37" t="s">
        <v>2795</v>
      </c>
      <c r="B142" s="37" t="s">
        <v>2796</v>
      </c>
      <c r="C142" s="37" t="s">
        <v>2518</v>
      </c>
      <c r="D142" s="37" t="s">
        <v>106</v>
      </c>
      <c r="E142" s="37" t="s">
        <v>107</v>
      </c>
      <c r="F142" s="37" t="s">
        <v>69</v>
      </c>
      <c r="G142" s="37" t="s">
        <v>2408</v>
      </c>
      <c r="H142" s="37">
        <v>20.399999999999999</v>
      </c>
      <c r="I142" s="37">
        <v>52</v>
      </c>
      <c r="J142" s="37">
        <v>20298</v>
      </c>
      <c r="K142" s="37" t="s">
        <v>211</v>
      </c>
      <c r="L142" s="37" t="s">
        <v>130</v>
      </c>
      <c r="M142" s="37" t="str">
        <f t="shared" si="14"/>
        <v>ICU</v>
      </c>
      <c r="N142" s="37" t="str">
        <f t="shared" si="12"/>
        <v>Credit Card</v>
      </c>
      <c r="O142" s="37" t="str" cm="1">
        <f t="array" ref="O142">IF(TRIM(N142)="",INDEX($N$2:$N$1500,MATCH(MAX(COUNTIF($N$2:$N$1500,$N$2:$N$1500)),COUNTIF($N$2:$N$1500,$N$2:$N$1500),0)),N142)</f>
        <v>Credit Card</v>
      </c>
      <c r="P142" s="38" cm="1">
        <f t="array" ref="P142">ROUND(IF(TRIM(H142)="",IFERROR(MEDIAN(IF($M$2:$M$1500=M142,$H$2:$H$1500)),MEDIAN($H$2:$H$1500)),H142),2)</f>
        <v>20.399999999999999</v>
      </c>
      <c r="Q142" s="38" t="str">
        <f t="shared" si="15"/>
        <v>0</v>
      </c>
      <c r="R142" s="39" cm="1">
        <f t="array" ref="R142">IF(OR(TRIM(J142)="",TRIM(J142)="-"),MEDIAN(IF($C$2:$C$1218=C142,$J$2:$J$1218)),VALUE(SUBSTITUTE(SUBSTITUTE(SUBSTITUTE(J142,"Rs. ",""),"₹",""),",","")))</f>
        <v>20298</v>
      </c>
      <c r="S142" s="40">
        <f t="shared" si="13"/>
        <v>0</v>
      </c>
      <c r="T142" s="41">
        <f t="shared" si="16"/>
        <v>0</v>
      </c>
      <c r="U142" s="42">
        <f t="shared" si="17"/>
        <v>20298</v>
      </c>
    </row>
    <row r="143" spans="1:21" x14ac:dyDescent="0.3">
      <c r="A143" s="37" t="s">
        <v>2797</v>
      </c>
      <c r="B143" s="37" t="s">
        <v>2798</v>
      </c>
      <c r="C143" s="37" t="s">
        <v>2422</v>
      </c>
      <c r="D143" s="37" t="s">
        <v>106</v>
      </c>
      <c r="E143" s="37" t="s">
        <v>107</v>
      </c>
      <c r="F143" s="37" t="s">
        <v>30</v>
      </c>
      <c r="G143" s="37" t="s">
        <v>2455</v>
      </c>
      <c r="H143" s="37">
        <v>2.6</v>
      </c>
      <c r="I143" s="37">
        <v>47</v>
      </c>
      <c r="J143" s="37">
        <v>12758</v>
      </c>
      <c r="K143" s="37" t="s">
        <v>311</v>
      </c>
      <c r="L143" s="37">
        <v>0</v>
      </c>
      <c r="M143" s="37" t="str">
        <f t="shared" si="14"/>
        <v>General</v>
      </c>
      <c r="N143" s="37" t="str">
        <f t="shared" si="12"/>
        <v>UPI</v>
      </c>
      <c r="O143" s="37" t="str" cm="1">
        <f t="array" ref="O143">IF(TRIM(N143)="",INDEX($N$2:$N$1500,MATCH(MAX(COUNTIF($N$2:$N$1500,$N$2:$N$1500)),COUNTIF($N$2:$N$1500,$N$2:$N$1500),0)),N143)</f>
        <v>UPI</v>
      </c>
      <c r="P143" s="38" cm="1">
        <f t="array" ref="P143">ROUND(IF(TRIM(H143)="",IFERROR(MEDIAN(IF($M$2:$M$1500=M143,$H$2:$H$1500)),MEDIAN($H$2:$H$1500)),H143),2)</f>
        <v>2.6</v>
      </c>
      <c r="Q143" s="38" t="str">
        <f t="shared" si="15"/>
        <v>1</v>
      </c>
      <c r="R143" s="39" cm="1">
        <f t="array" ref="R143">IF(OR(TRIM(J143)="",TRIM(J143)="-"),MEDIAN(IF($C$2:$C$1218=C143,$J$2:$J$1218)),VALUE(SUBSTITUTE(SUBSTITUTE(SUBSTITUTE(J143,"Rs. ",""),"₹",""),",","")))</f>
        <v>12758</v>
      </c>
      <c r="S143" s="40">
        <f t="shared" si="13"/>
        <v>0</v>
      </c>
      <c r="T143" s="41">
        <f t="shared" si="16"/>
        <v>0</v>
      </c>
      <c r="U143" s="42">
        <f t="shared" si="17"/>
        <v>12758</v>
      </c>
    </row>
    <row r="144" spans="1:21" x14ac:dyDescent="0.3">
      <c r="A144" s="37" t="s">
        <v>2799</v>
      </c>
      <c r="B144" s="37" t="s">
        <v>2800</v>
      </c>
      <c r="C144" s="37" t="s">
        <v>2473</v>
      </c>
      <c r="D144" s="37" t="s">
        <v>45</v>
      </c>
      <c r="E144" s="37" t="s">
        <v>46</v>
      </c>
      <c r="F144" s="37" t="s">
        <v>19</v>
      </c>
      <c r="G144" s="37" t="s">
        <v>2435</v>
      </c>
      <c r="H144" s="37">
        <v>12.57</v>
      </c>
      <c r="I144" s="37">
        <v>31</v>
      </c>
      <c r="J144" s="37"/>
      <c r="K144" s="37" t="s">
        <v>104</v>
      </c>
      <c r="L144" s="37" t="s">
        <v>227</v>
      </c>
      <c r="M144" s="37" t="str">
        <f t="shared" si="14"/>
        <v>General</v>
      </c>
      <c r="N144" s="37" t="str">
        <f t="shared" si="12"/>
        <v>Insurance</v>
      </c>
      <c r="O144" s="37" t="str" cm="1">
        <f t="array" ref="O144">IF(TRIM(N144)="",INDEX($N$2:$N$1500,MATCH(MAX(COUNTIF($N$2:$N$1500,$N$2:$N$1500)),COUNTIF($N$2:$N$1500,$N$2:$N$1500),0)),N144)</f>
        <v>Insurance</v>
      </c>
      <c r="P144" s="38" cm="1">
        <f t="array" ref="P144">ROUND(IF(TRIM(H144)="",IFERROR(MEDIAN(IF($M$2:$M$1500=M144,$H$2:$H$1500)),MEDIAN($H$2:$H$1500)),H144),2)</f>
        <v>12.57</v>
      </c>
      <c r="Q144" s="38" t="str">
        <f t="shared" si="15"/>
        <v>0</v>
      </c>
      <c r="R144" s="39" cm="1">
        <f t="array" ref="R144">IF(OR(TRIM(J144)="",TRIM(J144)="-"),MEDIAN(IF($C$2:$C$1218=C144,$J$2:$J$1218)),VALUE(SUBSTITUTE(SUBSTITUTE(SUBSTITUTE(J144,"Rs. ",""),"₹",""),",","")))</f>
        <v>17557</v>
      </c>
      <c r="S144" s="40">
        <f t="shared" si="13"/>
        <v>25</v>
      </c>
      <c r="T144" s="41">
        <f t="shared" si="16"/>
        <v>25</v>
      </c>
      <c r="U144" s="42">
        <f t="shared" si="17"/>
        <v>13168</v>
      </c>
    </row>
    <row r="145" spans="1:21" x14ac:dyDescent="0.3">
      <c r="A145" s="37" t="s">
        <v>2801</v>
      </c>
      <c r="B145" s="37" t="s">
        <v>2802</v>
      </c>
      <c r="C145" s="37" t="s">
        <v>2629</v>
      </c>
      <c r="D145" s="37" t="s">
        <v>78</v>
      </c>
      <c r="E145" s="37" t="s">
        <v>161</v>
      </c>
      <c r="F145" s="37" t="s">
        <v>30</v>
      </c>
      <c r="G145" s="37"/>
      <c r="H145" s="37">
        <v>13.18</v>
      </c>
      <c r="I145" s="37">
        <v>23</v>
      </c>
      <c r="J145" s="37">
        <v>16571</v>
      </c>
      <c r="K145" s="37" t="s">
        <v>91</v>
      </c>
      <c r="L145" s="37" t="s">
        <v>64</v>
      </c>
      <c r="M145" s="37" t="str">
        <f t="shared" si="14"/>
        <v>General</v>
      </c>
      <c r="N145" s="37" t="str">
        <f t="shared" si="12"/>
        <v>Debit Card</v>
      </c>
      <c r="O145" s="37" t="str" cm="1">
        <f t="array" ref="O145">IF(TRIM(N145)="",INDEX($N$2:$N$1500,MATCH(MAX(COUNTIF($N$2:$N$1500,$N$2:$N$1500)),COUNTIF($N$2:$N$1500,$N$2:$N$1500),0)),N145)</f>
        <v>Debit Card</v>
      </c>
      <c r="P145" s="38" cm="1">
        <f t="array" ref="P145">ROUND(IF(TRIM(H145)="",IFERROR(MEDIAN(IF($M$2:$M$1500=M145,$H$2:$H$1500)),MEDIAN($H$2:$H$1500)),H145),2)</f>
        <v>13.18</v>
      </c>
      <c r="Q145" s="38" t="str">
        <f t="shared" si="15"/>
        <v>Unknown</v>
      </c>
      <c r="R145" s="39" cm="1">
        <f t="array" ref="R145">IF(OR(TRIM(J145)="",TRIM(J145)="-"),MEDIAN(IF($C$2:$C$1218=C145,$J$2:$J$1218)),VALUE(SUBSTITUTE(SUBSTITUTE(SUBSTITUTE(J145,"Rs. ",""),"₹",""),",","")))</f>
        <v>16571</v>
      </c>
      <c r="S145" s="40" t="str">
        <f t="shared" si="13"/>
        <v>NA</v>
      </c>
      <c r="T145" s="41">
        <f t="shared" si="16"/>
        <v>3</v>
      </c>
      <c r="U145" s="42">
        <f t="shared" si="17"/>
        <v>16074</v>
      </c>
    </row>
    <row r="146" spans="1:21" x14ac:dyDescent="0.3">
      <c r="A146" s="37" t="s">
        <v>2803</v>
      </c>
      <c r="B146" s="37" t="s">
        <v>2804</v>
      </c>
      <c r="C146" s="37" t="s">
        <v>2730</v>
      </c>
      <c r="D146" s="37" t="s">
        <v>14</v>
      </c>
      <c r="E146" s="37" t="s">
        <v>60</v>
      </c>
      <c r="F146" s="37" t="s">
        <v>19</v>
      </c>
      <c r="G146" s="37" t="s">
        <v>2408</v>
      </c>
      <c r="H146" s="37">
        <v>20.9</v>
      </c>
      <c r="I146" s="37">
        <v>46</v>
      </c>
      <c r="J146" s="37" t="s">
        <v>2805</v>
      </c>
      <c r="K146" s="37" t="s">
        <v>34</v>
      </c>
      <c r="L146" s="37" t="s">
        <v>76</v>
      </c>
      <c r="M146" s="37" t="str">
        <f t="shared" si="14"/>
        <v>General</v>
      </c>
      <c r="N146" s="37" t="str">
        <f t="shared" si="12"/>
        <v>Cash</v>
      </c>
      <c r="O146" s="37" t="str" cm="1">
        <f t="array" ref="O146">IF(TRIM(N146)="",INDEX($N$2:$N$1500,MATCH(MAX(COUNTIF($N$2:$N$1500,$N$2:$N$1500)),COUNTIF($N$2:$N$1500,$N$2:$N$1500),0)),N146)</f>
        <v>Cash</v>
      </c>
      <c r="P146" s="38" cm="1">
        <f t="array" ref="P146">ROUND(IF(TRIM(H146)="",IFERROR(MEDIAN(IF($M$2:$M$1500=M146,$H$2:$H$1500)),MEDIAN($H$2:$H$1500)),H146),2)</f>
        <v>20.9</v>
      </c>
      <c r="Q146" s="38" t="str">
        <f t="shared" si="15"/>
        <v>0</v>
      </c>
      <c r="R146" s="39" cm="1">
        <f t="array" ref="R146">IF(OR(TRIM(J146)="",TRIM(J146)="-"),MEDIAN(IF($C$2:$C$1218=C146,$J$2:$J$1218)),VALUE(SUBSTITUTE(SUBSTITUTE(SUBSTITUTE(J146,"Rs. ",""),"₹",""),",","")))</f>
        <v>13831</v>
      </c>
      <c r="S146" s="40">
        <f t="shared" si="13"/>
        <v>10</v>
      </c>
      <c r="T146" s="41">
        <f t="shared" si="16"/>
        <v>10</v>
      </c>
      <c r="U146" s="42">
        <f t="shared" si="17"/>
        <v>12448</v>
      </c>
    </row>
    <row r="147" spans="1:21" x14ac:dyDescent="0.3">
      <c r="A147" s="37" t="s">
        <v>2806</v>
      </c>
      <c r="B147" s="37" t="s">
        <v>2807</v>
      </c>
      <c r="C147" s="37" t="s">
        <v>2415</v>
      </c>
      <c r="D147" s="37" t="s">
        <v>14</v>
      </c>
      <c r="E147" s="37" t="s">
        <v>60</v>
      </c>
      <c r="F147" s="37" t="s">
        <v>49</v>
      </c>
      <c r="G147" s="37" t="s">
        <v>2423</v>
      </c>
      <c r="H147" s="37">
        <v>10.55</v>
      </c>
      <c r="I147" s="37">
        <v>28</v>
      </c>
      <c r="J147" s="37" t="s">
        <v>2808</v>
      </c>
      <c r="K147" s="37" t="s">
        <v>97</v>
      </c>
      <c r="L147" s="37"/>
      <c r="M147" s="37" t="str">
        <f t="shared" si="14"/>
        <v>General</v>
      </c>
      <c r="N147" s="37" t="str">
        <f t="shared" si="12"/>
        <v>UPI</v>
      </c>
      <c r="O147" s="37" t="str" cm="1">
        <f t="array" ref="O147">IF(TRIM(N147)="",INDEX($N$2:$N$1500,MATCH(MAX(COUNTIF($N$2:$N$1500,$N$2:$N$1500)),COUNTIF($N$2:$N$1500,$N$2:$N$1500),0)),N147)</f>
        <v>UPI</v>
      </c>
      <c r="P147" s="38" cm="1">
        <f t="array" ref="P147">ROUND(IF(TRIM(H147)="",IFERROR(MEDIAN(IF($M$2:$M$1500=M147,$H$2:$H$1500)),MEDIAN($H$2:$H$1500)),H147),2)</f>
        <v>10.55</v>
      </c>
      <c r="Q147" s="38" t="str">
        <f t="shared" si="15"/>
        <v>0</v>
      </c>
      <c r="R147" s="39" cm="1">
        <f t="array" ref="R147">IF(OR(TRIM(J147)="",TRIM(J147)="-"),MEDIAN(IF($C$2:$C$1218=C147,$J$2:$J$1218)),VALUE(SUBSTITUTE(SUBSTITUTE(SUBSTITUTE(J147,"Rs. ",""),"₹",""),",","")))</f>
        <v>3708</v>
      </c>
      <c r="S147" s="40">
        <f t="shared" si="13"/>
        <v>0</v>
      </c>
      <c r="T147" s="41">
        <f t="shared" si="16"/>
        <v>0</v>
      </c>
      <c r="U147" s="42">
        <f t="shared" si="17"/>
        <v>3708</v>
      </c>
    </row>
    <row r="148" spans="1:21" x14ac:dyDescent="0.3">
      <c r="A148" s="37" t="s">
        <v>2809</v>
      </c>
      <c r="B148" s="37" t="s">
        <v>2810</v>
      </c>
      <c r="C148" s="37" t="s">
        <v>2434</v>
      </c>
      <c r="D148" s="37" t="s">
        <v>117</v>
      </c>
      <c r="E148" s="37" t="s">
        <v>118</v>
      </c>
      <c r="F148" s="37" t="s">
        <v>49</v>
      </c>
      <c r="G148" s="37" t="s">
        <v>2423</v>
      </c>
      <c r="H148" s="37">
        <v>5.24</v>
      </c>
      <c r="I148" s="37">
        <v>13</v>
      </c>
      <c r="J148" s="37" t="s">
        <v>2811</v>
      </c>
      <c r="K148" s="37" t="s">
        <v>52</v>
      </c>
      <c r="L148" s="37" t="s">
        <v>64</v>
      </c>
      <c r="M148" s="37" t="str">
        <f t="shared" si="14"/>
        <v>General</v>
      </c>
      <c r="N148" s="37" t="str">
        <f t="shared" si="12"/>
        <v>Credit Card</v>
      </c>
      <c r="O148" s="37" t="str" cm="1">
        <f t="array" ref="O148">IF(TRIM(N148)="",INDEX($N$2:$N$1500,MATCH(MAX(COUNTIF($N$2:$N$1500,$N$2:$N$1500)),COUNTIF($N$2:$N$1500,$N$2:$N$1500),0)),N148)</f>
        <v>Credit Card</v>
      </c>
      <c r="P148" s="38" cm="1">
        <f t="array" ref="P148">ROUND(IF(TRIM(H148)="",IFERROR(MEDIAN(IF($M$2:$M$1500=M148,$H$2:$H$1500)),MEDIAN($H$2:$H$1500)),H148),2)</f>
        <v>5.24</v>
      </c>
      <c r="Q148" s="38" t="str">
        <f t="shared" si="15"/>
        <v>0</v>
      </c>
      <c r="R148" s="39" cm="1">
        <f t="array" ref="R148">IF(OR(TRIM(J148)="",TRIM(J148)="-"),MEDIAN(IF($C$2:$C$1218=C148,$J$2:$J$1218)),VALUE(SUBSTITUTE(SUBSTITUTE(SUBSTITUTE(J148,"Rs. ",""),"₹",""),",","")))</f>
        <v>17483</v>
      </c>
      <c r="S148" s="40" t="str">
        <f t="shared" si="13"/>
        <v>NA</v>
      </c>
      <c r="T148" s="41">
        <f t="shared" si="16"/>
        <v>2</v>
      </c>
      <c r="U148" s="42">
        <f t="shared" si="17"/>
        <v>17133</v>
      </c>
    </row>
    <row r="149" spans="1:21" x14ac:dyDescent="0.3">
      <c r="A149" s="37" t="s">
        <v>2812</v>
      </c>
      <c r="B149" s="37" t="s">
        <v>2813</v>
      </c>
      <c r="C149" s="37" t="s">
        <v>2629</v>
      </c>
      <c r="D149" s="37" t="s">
        <v>106</v>
      </c>
      <c r="E149" s="37" t="s">
        <v>307</v>
      </c>
      <c r="F149" s="37" t="s">
        <v>101</v>
      </c>
      <c r="G149" s="37" t="s">
        <v>2435</v>
      </c>
      <c r="H149" s="37">
        <v>3.56</v>
      </c>
      <c r="I149" s="37">
        <v>42</v>
      </c>
      <c r="J149" s="37" t="s">
        <v>2814</v>
      </c>
      <c r="K149" s="37" t="s">
        <v>211</v>
      </c>
      <c r="L149" s="37" t="s">
        <v>140</v>
      </c>
      <c r="M149" s="37" t="str">
        <f t="shared" si="14"/>
        <v>ICU</v>
      </c>
      <c r="N149" s="37" t="str">
        <f t="shared" si="12"/>
        <v>Credit Card</v>
      </c>
      <c r="O149" s="37" t="str" cm="1">
        <f t="array" ref="O149">IF(TRIM(N149)="",INDEX($N$2:$N$1500,MATCH(MAX(COUNTIF($N$2:$N$1500,$N$2:$N$1500)),COUNTIF($N$2:$N$1500,$N$2:$N$1500),0)),N149)</f>
        <v>Credit Card</v>
      </c>
      <c r="P149" s="38" cm="1">
        <f t="array" ref="P149">ROUND(IF(TRIM(H149)="",IFERROR(MEDIAN(IF($M$2:$M$1500=M149,$H$2:$H$1500)),MEDIAN($H$2:$H$1500)),H149),2)</f>
        <v>3.56</v>
      </c>
      <c r="Q149" s="38" t="str">
        <f t="shared" si="15"/>
        <v>0</v>
      </c>
      <c r="R149" s="39" cm="1">
        <f t="array" ref="R149">IF(OR(TRIM(J149)="",TRIM(J149)="-"),MEDIAN(IF($C$2:$C$1218=C149,$J$2:$J$1218)),VALUE(SUBSTITUTE(SUBSTITUTE(SUBSTITUTE(J149,"Rs. ",""),"₹",""),",","")))</f>
        <v>47792</v>
      </c>
      <c r="S149" s="40" t="str">
        <f t="shared" si="13"/>
        <v>-</v>
      </c>
      <c r="T149" s="41">
        <f t="shared" si="16"/>
        <v>2</v>
      </c>
      <c r="U149" s="42">
        <f t="shared" si="17"/>
        <v>46836</v>
      </c>
    </row>
    <row r="150" spans="1:21" x14ac:dyDescent="0.3">
      <c r="A150" s="37" t="s">
        <v>2815</v>
      </c>
      <c r="B150" s="37" t="s">
        <v>2816</v>
      </c>
      <c r="C150" s="37" t="s">
        <v>2577</v>
      </c>
      <c r="D150" s="37" t="s">
        <v>14</v>
      </c>
      <c r="E150" s="37" t="s">
        <v>15</v>
      </c>
      <c r="F150" s="37" t="s">
        <v>62</v>
      </c>
      <c r="G150" s="37" t="s">
        <v>2435</v>
      </c>
      <c r="H150" s="37">
        <v>5.12</v>
      </c>
      <c r="I150" s="37">
        <v>59</v>
      </c>
      <c r="J150" s="37">
        <v>61292</v>
      </c>
      <c r="K150" s="37" t="s">
        <v>87</v>
      </c>
      <c r="L150" s="37">
        <v>0</v>
      </c>
      <c r="M150" s="37" t="str">
        <f t="shared" si="14"/>
        <v>ICU</v>
      </c>
      <c r="N150" s="37" t="str">
        <f t="shared" si="12"/>
        <v>Credit Card</v>
      </c>
      <c r="O150" s="37" t="str" cm="1">
        <f t="array" ref="O150">IF(TRIM(N150)="",INDEX($N$2:$N$1500,MATCH(MAX(COUNTIF($N$2:$N$1500,$N$2:$N$1500)),COUNTIF($N$2:$N$1500,$N$2:$N$1500),0)),N150)</f>
        <v>Credit Card</v>
      </c>
      <c r="P150" s="38" cm="1">
        <f t="array" ref="P150">ROUND(IF(TRIM(H150)="",IFERROR(MEDIAN(IF($M$2:$M$1500=M150,$H$2:$H$1500)),MEDIAN($H$2:$H$1500)),H150),2)</f>
        <v>5.12</v>
      </c>
      <c r="Q150" s="38" t="str">
        <f t="shared" si="15"/>
        <v>0</v>
      </c>
      <c r="R150" s="39" cm="1">
        <f t="array" ref="R150">IF(OR(TRIM(J150)="",TRIM(J150)="-"),MEDIAN(IF($C$2:$C$1218=C150,$J$2:$J$1218)),VALUE(SUBSTITUTE(SUBSTITUTE(SUBSTITUTE(J150,"Rs. ",""),"₹",""),",","")))</f>
        <v>61292</v>
      </c>
      <c r="S150" s="40">
        <f t="shared" si="13"/>
        <v>0</v>
      </c>
      <c r="T150" s="41">
        <f t="shared" si="16"/>
        <v>0</v>
      </c>
      <c r="U150" s="42">
        <f t="shared" si="17"/>
        <v>61292</v>
      </c>
    </row>
    <row r="151" spans="1:21" x14ac:dyDescent="0.3">
      <c r="A151" s="37" t="s">
        <v>2817</v>
      </c>
      <c r="B151" s="37" t="s">
        <v>2818</v>
      </c>
      <c r="C151" s="37" t="s">
        <v>2536</v>
      </c>
      <c r="D151" s="37" t="s">
        <v>45</v>
      </c>
      <c r="E151" s="37" t="s">
        <v>46</v>
      </c>
      <c r="F151" s="37" t="s">
        <v>49</v>
      </c>
      <c r="G151" s="37" t="s">
        <v>2418</v>
      </c>
      <c r="H151" s="37"/>
      <c r="I151" s="37">
        <v>3</v>
      </c>
      <c r="J151" s="37">
        <v>5139</v>
      </c>
      <c r="K151" s="37" t="s">
        <v>83</v>
      </c>
      <c r="L151" s="37" t="s">
        <v>140</v>
      </c>
      <c r="M151" s="37" t="str">
        <f t="shared" si="14"/>
        <v>General</v>
      </c>
      <c r="N151" s="37" t="str">
        <f t="shared" si="12"/>
        <v>Debit Card</v>
      </c>
      <c r="O151" s="37" t="str" cm="1">
        <f t="array" ref="O151">IF(TRIM(N151)="",INDEX($N$2:$N$1500,MATCH(MAX(COUNTIF($N$2:$N$1500,$N$2:$N$1500)),COUNTIF($N$2:$N$1500,$N$2:$N$1500),0)),N151)</f>
        <v>Debit Card</v>
      </c>
      <c r="P151" s="38" cm="1">
        <f t="array" ref="P151">ROUND(IF(TRIM(H151)="",IFERROR(MEDIAN(IF($M$2:$M$1500=M151,$H$2:$H$1500)),MEDIAN($H$2:$H$1500)),H151),2)</f>
        <v>12.02</v>
      </c>
      <c r="Q151" s="38" t="str">
        <f t="shared" si="15"/>
        <v>1</v>
      </c>
      <c r="R151" s="39" cm="1">
        <f t="array" ref="R151">IF(OR(TRIM(J151)="",TRIM(J151)="-"),MEDIAN(IF($C$2:$C$1218=C151,$J$2:$J$1218)),VALUE(SUBSTITUTE(SUBSTITUTE(SUBSTITUTE(J151,"Rs. ",""),"₹",""),",","")))</f>
        <v>5139</v>
      </c>
      <c r="S151" s="40" t="str">
        <f t="shared" si="13"/>
        <v>-</v>
      </c>
      <c r="T151" s="41">
        <f t="shared" si="16"/>
        <v>3</v>
      </c>
      <c r="U151" s="42">
        <f t="shared" si="17"/>
        <v>4985</v>
      </c>
    </row>
    <row r="152" spans="1:21" x14ac:dyDescent="0.3">
      <c r="A152" s="37" t="s">
        <v>2819</v>
      </c>
      <c r="B152" s="37" t="s">
        <v>2820</v>
      </c>
      <c r="C152" s="37" t="s">
        <v>2466</v>
      </c>
      <c r="D152" s="37" t="s">
        <v>78</v>
      </c>
      <c r="E152" s="37" t="s">
        <v>79</v>
      </c>
      <c r="F152" s="37" t="s">
        <v>39</v>
      </c>
      <c r="G152" s="37" t="s">
        <v>2408</v>
      </c>
      <c r="H152" s="37">
        <v>1.21</v>
      </c>
      <c r="I152" s="37">
        <v>57</v>
      </c>
      <c r="J152" s="37" t="s">
        <v>2821</v>
      </c>
      <c r="K152" s="37" t="s">
        <v>42</v>
      </c>
      <c r="L152" s="37" t="s">
        <v>886</v>
      </c>
      <c r="M152" s="37" t="str">
        <f t="shared" si="14"/>
        <v>General</v>
      </c>
      <c r="N152" s="37" t="str">
        <f t="shared" si="12"/>
        <v>Insurance</v>
      </c>
      <c r="O152" s="37" t="str" cm="1">
        <f t="array" ref="O152">IF(TRIM(N152)="",INDEX($N$2:$N$1500,MATCH(MAX(COUNTIF($N$2:$N$1500,$N$2:$N$1500)),COUNTIF($N$2:$N$1500,$N$2:$N$1500),0)),N152)</f>
        <v>Insurance</v>
      </c>
      <c r="P152" s="38" cm="1">
        <f t="array" ref="P152">ROUND(IF(TRIM(H152)="",IFERROR(MEDIAN(IF($M$2:$M$1500=M152,$H$2:$H$1500)),MEDIAN($H$2:$H$1500)),H152),2)</f>
        <v>1.21</v>
      </c>
      <c r="Q152" s="38" t="str">
        <f t="shared" si="15"/>
        <v>0</v>
      </c>
      <c r="R152" s="39" cm="1">
        <f t="array" ref="R152">IF(OR(TRIM(J152)="",TRIM(J152)="-"),MEDIAN(IF($C$2:$C$1218=C152,$J$2:$J$1218)),VALUE(SUBSTITUTE(SUBSTITUTE(SUBSTITUTE(J152,"Rs. ",""),"₹",""),",","")))</f>
        <v>4466</v>
      </c>
      <c r="S152" s="40">
        <f t="shared" si="13"/>
        <v>15</v>
      </c>
      <c r="T152" s="41">
        <f t="shared" si="16"/>
        <v>15</v>
      </c>
      <c r="U152" s="42">
        <f t="shared" si="17"/>
        <v>3796</v>
      </c>
    </row>
    <row r="153" spans="1:21" x14ac:dyDescent="0.3">
      <c r="A153" s="37" t="s">
        <v>2822</v>
      </c>
      <c r="B153" s="37" t="s">
        <v>2823</v>
      </c>
      <c r="C153" s="37" t="s">
        <v>2438</v>
      </c>
      <c r="D153" s="37" t="s">
        <v>106</v>
      </c>
      <c r="E153" s="37" t="s">
        <v>107</v>
      </c>
      <c r="F153" s="37" t="s">
        <v>101</v>
      </c>
      <c r="G153" s="37" t="s">
        <v>2418</v>
      </c>
      <c r="H153" s="37">
        <v>23.58</v>
      </c>
      <c r="I153" s="37">
        <v>3</v>
      </c>
      <c r="J153" s="37" t="s">
        <v>2824</v>
      </c>
      <c r="K153" s="37" t="s">
        <v>87</v>
      </c>
      <c r="L153" s="37">
        <v>10</v>
      </c>
      <c r="M153" s="37" t="str">
        <f t="shared" si="14"/>
        <v>ICU</v>
      </c>
      <c r="N153" s="37" t="str">
        <f t="shared" si="12"/>
        <v>Credit Card</v>
      </c>
      <c r="O153" s="37" t="str" cm="1">
        <f t="array" ref="O153">IF(TRIM(N153)="",INDEX($N$2:$N$1500,MATCH(MAX(COUNTIF($N$2:$N$1500,$N$2:$N$1500)),COUNTIF($N$2:$N$1500,$N$2:$N$1500),0)),N153)</f>
        <v>Credit Card</v>
      </c>
      <c r="P153" s="38" cm="1">
        <f t="array" ref="P153">ROUND(IF(TRIM(H153)="",IFERROR(MEDIAN(IF($M$2:$M$1500=M153,$H$2:$H$1500)),MEDIAN($H$2:$H$1500)),H153),2)</f>
        <v>23.58</v>
      </c>
      <c r="Q153" s="38" t="str">
        <f t="shared" si="15"/>
        <v>1</v>
      </c>
      <c r="R153" s="39" cm="1">
        <f t="array" ref="R153">IF(OR(TRIM(J153)="",TRIM(J153)="-"),MEDIAN(IF($C$2:$C$1218=C153,$J$2:$J$1218)),VALUE(SUBSTITUTE(SUBSTITUTE(SUBSTITUTE(J153,"Rs. ",""),"₹",""),",","")))</f>
        <v>35768</v>
      </c>
      <c r="S153" s="40">
        <f t="shared" si="13"/>
        <v>10</v>
      </c>
      <c r="T153" s="41">
        <f t="shared" si="16"/>
        <v>10</v>
      </c>
      <c r="U153" s="42">
        <f t="shared" si="17"/>
        <v>32191</v>
      </c>
    </row>
    <row r="154" spans="1:21" x14ac:dyDescent="0.3">
      <c r="A154" s="37" t="s">
        <v>2825</v>
      </c>
      <c r="B154" s="37" t="s">
        <v>2826</v>
      </c>
      <c r="C154" s="37" t="s">
        <v>2577</v>
      </c>
      <c r="D154" s="37" t="s">
        <v>117</v>
      </c>
      <c r="E154" s="37" t="s">
        <v>118</v>
      </c>
      <c r="F154" s="37" t="s">
        <v>49</v>
      </c>
      <c r="G154" s="37" t="s">
        <v>2408</v>
      </c>
      <c r="H154" s="37">
        <v>24.87</v>
      </c>
      <c r="I154" s="37">
        <v>45</v>
      </c>
      <c r="J154" s="37">
        <v>4307</v>
      </c>
      <c r="K154" s="37" t="s">
        <v>211</v>
      </c>
      <c r="L154" s="37">
        <v>0.05</v>
      </c>
      <c r="M154" s="37" t="str">
        <f t="shared" si="14"/>
        <v>General</v>
      </c>
      <c r="N154" s="37" t="str">
        <f t="shared" si="12"/>
        <v>Credit Card</v>
      </c>
      <c r="O154" s="37" t="str" cm="1">
        <f t="array" ref="O154">IF(TRIM(N154)="",INDEX($N$2:$N$1500,MATCH(MAX(COUNTIF($N$2:$N$1500,$N$2:$N$1500)),COUNTIF($N$2:$N$1500,$N$2:$N$1500),0)),N154)</f>
        <v>Credit Card</v>
      </c>
      <c r="P154" s="38" cm="1">
        <f t="array" ref="P154">ROUND(IF(TRIM(H154)="",IFERROR(MEDIAN(IF($M$2:$M$1500=M154,$H$2:$H$1500)),MEDIAN($H$2:$H$1500)),H154),2)</f>
        <v>24.87</v>
      </c>
      <c r="Q154" s="38" t="str">
        <f t="shared" si="15"/>
        <v>0</v>
      </c>
      <c r="R154" s="39" cm="1">
        <f t="array" ref="R154">IF(OR(TRIM(J154)="",TRIM(J154)="-"),MEDIAN(IF($C$2:$C$1218=C154,$J$2:$J$1218)),VALUE(SUBSTITUTE(SUBSTITUTE(SUBSTITUTE(J154,"Rs. ",""),"₹",""),",","")))</f>
        <v>4307</v>
      </c>
      <c r="S154" s="40">
        <f t="shared" si="13"/>
        <v>0.05</v>
      </c>
      <c r="T154" s="41">
        <f t="shared" si="16"/>
        <v>0</v>
      </c>
      <c r="U154" s="42">
        <f t="shared" si="17"/>
        <v>4307</v>
      </c>
    </row>
    <row r="155" spans="1:21" x14ac:dyDescent="0.3">
      <c r="A155" s="37" t="s">
        <v>2827</v>
      </c>
      <c r="B155" s="37" t="s">
        <v>2828</v>
      </c>
      <c r="C155" s="37" t="s">
        <v>2629</v>
      </c>
      <c r="D155" s="37" t="s">
        <v>45</v>
      </c>
      <c r="E155" s="37" t="s">
        <v>46</v>
      </c>
      <c r="F155" s="37" t="s">
        <v>62</v>
      </c>
      <c r="G155" s="37" t="s">
        <v>2418</v>
      </c>
      <c r="H155" s="37">
        <v>8.39</v>
      </c>
      <c r="I155" s="37">
        <v>52</v>
      </c>
      <c r="J155" s="37" t="s">
        <v>2829</v>
      </c>
      <c r="K155" s="37" t="s">
        <v>149</v>
      </c>
      <c r="L155" s="37">
        <v>0.25</v>
      </c>
      <c r="M155" s="37" t="str">
        <f t="shared" si="14"/>
        <v>ICU</v>
      </c>
      <c r="N155" s="37" t="str">
        <f t="shared" si="12"/>
        <v>Insurance</v>
      </c>
      <c r="O155" s="37" t="str" cm="1">
        <f t="array" ref="O155">IF(TRIM(N155)="",INDEX($N$2:$N$1500,MATCH(MAX(COUNTIF($N$2:$N$1500,$N$2:$N$1500)),COUNTIF($N$2:$N$1500,$N$2:$N$1500),0)),N155)</f>
        <v>Insurance</v>
      </c>
      <c r="P155" s="38" cm="1">
        <f t="array" ref="P155">ROUND(IF(TRIM(H155)="",IFERROR(MEDIAN(IF($M$2:$M$1500=M155,$H$2:$H$1500)),MEDIAN($H$2:$H$1500)),H155),2)</f>
        <v>8.39</v>
      </c>
      <c r="Q155" s="38" t="str">
        <f t="shared" si="15"/>
        <v>1</v>
      </c>
      <c r="R155" s="39" cm="1">
        <f t="array" ref="R155">IF(OR(TRIM(J155)="",TRIM(J155)="-"),MEDIAN(IF($C$2:$C$1218=C155,$J$2:$J$1218)),VALUE(SUBSTITUTE(SUBSTITUTE(SUBSTITUTE(J155,"Rs. ",""),"₹",""),",","")))</f>
        <v>42733</v>
      </c>
      <c r="S155" s="40">
        <f t="shared" si="13"/>
        <v>0.25</v>
      </c>
      <c r="T155" s="41">
        <f t="shared" si="16"/>
        <v>0</v>
      </c>
      <c r="U155" s="42">
        <f t="shared" si="17"/>
        <v>42733</v>
      </c>
    </row>
    <row r="156" spans="1:21" x14ac:dyDescent="0.3">
      <c r="A156" s="37" t="s">
        <v>2830</v>
      </c>
      <c r="B156" s="37" t="s">
        <v>2831</v>
      </c>
      <c r="C156" s="37" t="s">
        <v>2494</v>
      </c>
      <c r="D156" s="37" t="s">
        <v>78</v>
      </c>
      <c r="E156" s="37" t="s">
        <v>79</v>
      </c>
      <c r="F156" s="37" t="s">
        <v>39</v>
      </c>
      <c r="G156" s="37" t="s">
        <v>2428</v>
      </c>
      <c r="H156" s="37">
        <v>23.83</v>
      </c>
      <c r="I156" s="37"/>
      <c r="J156" s="37" t="s">
        <v>2832</v>
      </c>
      <c r="K156" s="37" t="s">
        <v>83</v>
      </c>
      <c r="L156" s="37" t="s">
        <v>140</v>
      </c>
      <c r="M156" s="37" t="str">
        <f t="shared" si="14"/>
        <v>General</v>
      </c>
      <c r="N156" s="37" t="str">
        <f t="shared" si="12"/>
        <v>Debit Card</v>
      </c>
      <c r="O156" s="37" t="str" cm="1">
        <f t="array" ref="O156">IF(TRIM(N156)="",INDEX($N$2:$N$1500,MATCH(MAX(COUNTIF($N$2:$N$1500,$N$2:$N$1500)),COUNTIF($N$2:$N$1500,$N$2:$N$1500),0)),N156)</f>
        <v>Debit Card</v>
      </c>
      <c r="P156" s="38" cm="1">
        <f t="array" ref="P156">ROUND(IF(TRIM(H156)="",IFERROR(MEDIAN(IF($M$2:$M$1500=M156,$H$2:$H$1500)),MEDIAN($H$2:$H$1500)),H156),2)</f>
        <v>23.83</v>
      </c>
      <c r="Q156" s="38" t="str">
        <f t="shared" si="15"/>
        <v>2</v>
      </c>
      <c r="R156" s="39" cm="1">
        <f t="array" ref="R156">IF(OR(TRIM(J156)="",TRIM(J156)="-"),MEDIAN(IF($C$2:$C$1218=C156,$J$2:$J$1218)),VALUE(SUBSTITUTE(SUBSTITUTE(SUBSTITUTE(J156,"Rs. ",""),"₹",""),",","")))</f>
        <v>19701</v>
      </c>
      <c r="S156" s="40" t="str">
        <f t="shared" si="13"/>
        <v>-</v>
      </c>
      <c r="T156" s="41">
        <f t="shared" si="16"/>
        <v>3</v>
      </c>
      <c r="U156" s="42">
        <f t="shared" si="17"/>
        <v>19110</v>
      </c>
    </row>
    <row r="157" spans="1:21" x14ac:dyDescent="0.3">
      <c r="A157" s="37" t="s">
        <v>2833</v>
      </c>
      <c r="B157" s="37" t="s">
        <v>2834</v>
      </c>
      <c r="C157" s="37" t="s">
        <v>2504</v>
      </c>
      <c r="D157" s="37" t="s">
        <v>25</v>
      </c>
      <c r="E157" s="37" t="s">
        <v>54</v>
      </c>
      <c r="F157" s="37" t="s">
        <v>62</v>
      </c>
      <c r="G157" s="37" t="s">
        <v>2450</v>
      </c>
      <c r="H157" s="37">
        <v>12.24</v>
      </c>
      <c r="I157" s="37">
        <v>56</v>
      </c>
      <c r="J157" s="37">
        <v>71898</v>
      </c>
      <c r="K157" s="37" t="s">
        <v>23</v>
      </c>
      <c r="L157" s="37">
        <v>0</v>
      </c>
      <c r="M157" s="37" t="str">
        <f t="shared" si="14"/>
        <v>ICU</v>
      </c>
      <c r="N157" s="37" t="str">
        <f t="shared" si="12"/>
        <v>Credit Card</v>
      </c>
      <c r="O157" s="37" t="str" cm="1">
        <f t="array" ref="O157">IF(TRIM(N157)="",INDEX($N$2:$N$1500,MATCH(MAX(COUNTIF($N$2:$N$1500,$N$2:$N$1500)),COUNTIF($N$2:$N$1500,$N$2:$N$1500),0)),N157)</f>
        <v>Credit Card</v>
      </c>
      <c r="P157" s="38" cm="1">
        <f t="array" ref="P157">ROUND(IF(TRIM(H157)="",IFERROR(MEDIAN(IF($M$2:$M$1500=M157,$H$2:$H$1500)),MEDIAN($H$2:$H$1500)),H157),2)</f>
        <v>12.24</v>
      </c>
      <c r="Q157" s="38" t="str">
        <f t="shared" si="15"/>
        <v>1</v>
      </c>
      <c r="R157" s="39" cm="1">
        <f t="array" ref="R157">IF(OR(TRIM(J157)="",TRIM(J157)="-"),MEDIAN(IF($C$2:$C$1218=C157,$J$2:$J$1218)),VALUE(SUBSTITUTE(SUBSTITUTE(SUBSTITUTE(J157,"Rs. ",""),"₹",""),",","")))</f>
        <v>71898</v>
      </c>
      <c r="S157" s="40">
        <f t="shared" si="13"/>
        <v>0</v>
      </c>
      <c r="T157" s="41">
        <f t="shared" si="16"/>
        <v>0</v>
      </c>
      <c r="U157" s="42">
        <f t="shared" si="17"/>
        <v>71898</v>
      </c>
    </row>
    <row r="158" spans="1:21" x14ac:dyDescent="0.3">
      <c r="A158" s="37" t="s">
        <v>2835</v>
      </c>
      <c r="B158" s="37" t="s">
        <v>2836</v>
      </c>
      <c r="C158" s="37" t="s">
        <v>2514</v>
      </c>
      <c r="D158" s="37" t="s">
        <v>106</v>
      </c>
      <c r="E158" s="37" t="s">
        <v>107</v>
      </c>
      <c r="F158" s="37" t="s">
        <v>19</v>
      </c>
      <c r="G158" s="37" t="s">
        <v>2423</v>
      </c>
      <c r="H158" s="37">
        <v>14.19</v>
      </c>
      <c r="I158" s="37">
        <v>50</v>
      </c>
      <c r="J158" s="37" t="s">
        <v>2837</v>
      </c>
      <c r="K158" s="37" t="s">
        <v>87</v>
      </c>
      <c r="L158" s="37">
        <v>0</v>
      </c>
      <c r="M158" s="37" t="str">
        <f t="shared" si="14"/>
        <v>General</v>
      </c>
      <c r="N158" s="37" t="str">
        <f t="shared" si="12"/>
        <v>Credit Card</v>
      </c>
      <c r="O158" s="37" t="str" cm="1">
        <f t="array" ref="O158">IF(TRIM(N158)="",INDEX($N$2:$N$1500,MATCH(MAX(COUNTIF($N$2:$N$1500,$N$2:$N$1500)),COUNTIF($N$2:$N$1500,$N$2:$N$1500),0)),N158)</f>
        <v>Credit Card</v>
      </c>
      <c r="P158" s="38" cm="1">
        <f t="array" ref="P158">ROUND(IF(TRIM(H158)="",IFERROR(MEDIAN(IF($M$2:$M$1500=M158,$H$2:$H$1500)),MEDIAN($H$2:$H$1500)),H158),2)</f>
        <v>14.19</v>
      </c>
      <c r="Q158" s="38" t="str">
        <f t="shared" si="15"/>
        <v>0</v>
      </c>
      <c r="R158" s="39" cm="1">
        <f t="array" ref="R158">IF(OR(TRIM(J158)="",TRIM(J158)="-"),MEDIAN(IF($C$2:$C$1218=C158,$J$2:$J$1218)),VALUE(SUBSTITUTE(SUBSTITUTE(SUBSTITUTE(J158,"Rs. ",""),"₹",""),",","")))</f>
        <v>8085</v>
      </c>
      <c r="S158" s="40">
        <f t="shared" si="13"/>
        <v>0</v>
      </c>
      <c r="T158" s="41">
        <f t="shared" si="16"/>
        <v>0</v>
      </c>
      <c r="U158" s="42">
        <f t="shared" si="17"/>
        <v>8085</v>
      </c>
    </row>
    <row r="159" spans="1:21" x14ac:dyDescent="0.3">
      <c r="A159" s="37" t="s">
        <v>2838</v>
      </c>
      <c r="B159" s="37" t="s">
        <v>2802</v>
      </c>
      <c r="C159" s="37" t="s">
        <v>2629</v>
      </c>
      <c r="D159" s="37" t="s">
        <v>78</v>
      </c>
      <c r="E159" s="37" t="s">
        <v>79</v>
      </c>
      <c r="F159" s="37" t="s">
        <v>69</v>
      </c>
      <c r="G159" s="37" t="s">
        <v>2408</v>
      </c>
      <c r="H159" s="37">
        <v>15.15</v>
      </c>
      <c r="I159" s="37">
        <v>12</v>
      </c>
      <c r="J159" s="37">
        <v>79379</v>
      </c>
      <c r="K159" s="37" t="s">
        <v>104</v>
      </c>
      <c r="L159" s="37" t="s">
        <v>886</v>
      </c>
      <c r="M159" s="37" t="str">
        <f t="shared" si="14"/>
        <v>ICU</v>
      </c>
      <c r="N159" s="37" t="str">
        <f t="shared" si="12"/>
        <v>Insurance</v>
      </c>
      <c r="O159" s="37" t="str" cm="1">
        <f t="array" ref="O159">IF(TRIM(N159)="",INDEX($N$2:$N$1500,MATCH(MAX(COUNTIF($N$2:$N$1500,$N$2:$N$1500)),COUNTIF($N$2:$N$1500,$N$2:$N$1500),0)),N159)</f>
        <v>Insurance</v>
      </c>
      <c r="P159" s="38" cm="1">
        <f t="array" ref="P159">ROUND(IF(TRIM(H159)="",IFERROR(MEDIAN(IF($M$2:$M$1500=M159,$H$2:$H$1500)),MEDIAN($H$2:$H$1500)),H159),2)</f>
        <v>15.15</v>
      </c>
      <c r="Q159" s="38" t="str">
        <f t="shared" si="15"/>
        <v>0</v>
      </c>
      <c r="R159" s="39" cm="1">
        <f t="array" ref="R159">IF(OR(TRIM(J159)="",TRIM(J159)="-"),MEDIAN(IF($C$2:$C$1218=C159,$J$2:$J$1218)),VALUE(SUBSTITUTE(SUBSTITUTE(SUBSTITUTE(J159,"Rs. ",""),"₹",""),",","")))</f>
        <v>79379</v>
      </c>
      <c r="S159" s="40">
        <f t="shared" si="13"/>
        <v>15</v>
      </c>
      <c r="T159" s="41">
        <f t="shared" si="16"/>
        <v>15</v>
      </c>
      <c r="U159" s="42">
        <f t="shared" si="17"/>
        <v>67472</v>
      </c>
    </row>
    <row r="160" spans="1:21" x14ac:dyDescent="0.3">
      <c r="A160" s="37" t="s">
        <v>2839</v>
      </c>
      <c r="B160" s="37" t="s">
        <v>2840</v>
      </c>
      <c r="C160" s="37" t="s">
        <v>2481</v>
      </c>
      <c r="D160" s="37" t="s">
        <v>106</v>
      </c>
      <c r="E160" s="37" t="s">
        <v>107</v>
      </c>
      <c r="F160" s="37" t="s">
        <v>30</v>
      </c>
      <c r="G160" s="37" t="s">
        <v>2455</v>
      </c>
      <c r="H160" s="37">
        <v>5.31</v>
      </c>
      <c r="I160" s="37">
        <v>45</v>
      </c>
      <c r="J160" s="37" t="s">
        <v>2841</v>
      </c>
      <c r="K160" s="37" t="s">
        <v>115</v>
      </c>
      <c r="L160" s="37">
        <v>0</v>
      </c>
      <c r="M160" s="37" t="str">
        <f t="shared" si="14"/>
        <v>General</v>
      </c>
      <c r="N160" s="37" t="str">
        <f t="shared" si="12"/>
        <v>Cash</v>
      </c>
      <c r="O160" s="37" t="str" cm="1">
        <f t="array" ref="O160">IF(TRIM(N160)="",INDEX($N$2:$N$1500,MATCH(MAX(COUNTIF($N$2:$N$1500,$N$2:$N$1500)),COUNTIF($N$2:$N$1500,$N$2:$N$1500),0)),N160)</f>
        <v>Cash</v>
      </c>
      <c r="P160" s="38" cm="1">
        <f t="array" ref="P160">ROUND(IF(TRIM(H160)="",IFERROR(MEDIAN(IF($M$2:$M$1500=M160,$H$2:$H$1500)),MEDIAN($H$2:$H$1500)),H160),2)</f>
        <v>5.31</v>
      </c>
      <c r="Q160" s="38" t="str">
        <f t="shared" si="15"/>
        <v>1</v>
      </c>
      <c r="R160" s="39" cm="1">
        <f t="array" ref="R160">IF(OR(TRIM(J160)="",TRIM(J160)="-"),MEDIAN(IF($C$2:$C$1218=C160,$J$2:$J$1218)),VALUE(SUBSTITUTE(SUBSTITUTE(SUBSTITUTE(J160,"Rs. ",""),"₹",""),",","")))</f>
        <v>10498</v>
      </c>
      <c r="S160" s="40">
        <f t="shared" si="13"/>
        <v>0</v>
      </c>
      <c r="T160" s="41">
        <f t="shared" si="16"/>
        <v>0</v>
      </c>
      <c r="U160" s="42">
        <f t="shared" si="17"/>
        <v>10498</v>
      </c>
    </row>
    <row r="161" spans="1:21" x14ac:dyDescent="0.3">
      <c r="A161" s="37" t="s">
        <v>2842</v>
      </c>
      <c r="B161" s="37" t="s">
        <v>2843</v>
      </c>
      <c r="C161" s="37" t="s">
        <v>2518</v>
      </c>
      <c r="D161" s="37" t="s">
        <v>106</v>
      </c>
      <c r="E161" s="37" t="s">
        <v>107</v>
      </c>
      <c r="F161" s="37" t="s">
        <v>101</v>
      </c>
      <c r="G161" s="37" t="s">
        <v>2455</v>
      </c>
      <c r="H161" s="37">
        <v>5.61</v>
      </c>
      <c r="I161" s="37">
        <v>2</v>
      </c>
      <c r="J161" s="37" t="s">
        <v>2844</v>
      </c>
      <c r="K161" s="37" t="s">
        <v>211</v>
      </c>
      <c r="L161" s="37">
        <v>0</v>
      </c>
      <c r="M161" s="37" t="str">
        <f t="shared" si="14"/>
        <v>ICU</v>
      </c>
      <c r="N161" s="37" t="str">
        <f t="shared" si="12"/>
        <v>Credit Card</v>
      </c>
      <c r="O161" s="37" t="str" cm="1">
        <f t="array" ref="O161">IF(TRIM(N161)="",INDEX($N$2:$N$1500,MATCH(MAX(COUNTIF($N$2:$N$1500,$N$2:$N$1500)),COUNTIF($N$2:$N$1500,$N$2:$N$1500),0)),N161)</f>
        <v>Credit Card</v>
      </c>
      <c r="P161" s="38" cm="1">
        <f t="array" ref="P161">ROUND(IF(TRIM(H161)="",IFERROR(MEDIAN(IF($M$2:$M$1500=M161,$H$2:$H$1500)),MEDIAN($H$2:$H$1500)),H161),2)</f>
        <v>5.61</v>
      </c>
      <c r="Q161" s="38" t="str">
        <f t="shared" si="15"/>
        <v>1</v>
      </c>
      <c r="R161" s="39" cm="1">
        <f t="array" ref="R161">IF(OR(TRIM(J161)="",TRIM(J161)="-"),MEDIAN(IF($C$2:$C$1218=C161,$J$2:$J$1218)),VALUE(SUBSTITUTE(SUBSTITUTE(SUBSTITUTE(J161,"Rs. ",""),"₹",""),",","")))</f>
        <v>85608</v>
      </c>
      <c r="S161" s="40">
        <f t="shared" si="13"/>
        <v>0</v>
      </c>
      <c r="T161" s="41">
        <f t="shared" si="16"/>
        <v>0</v>
      </c>
      <c r="U161" s="42">
        <f t="shared" si="17"/>
        <v>85608</v>
      </c>
    </row>
    <row r="162" spans="1:21" x14ac:dyDescent="0.3">
      <c r="A162" s="37" t="s">
        <v>2845</v>
      </c>
      <c r="B162" s="37" t="s">
        <v>2649</v>
      </c>
      <c r="C162" s="37" t="s">
        <v>2521</v>
      </c>
      <c r="D162" s="37" t="s">
        <v>78</v>
      </c>
      <c r="E162" s="37" t="s">
        <v>79</v>
      </c>
      <c r="F162" s="37"/>
      <c r="G162" s="37" t="s">
        <v>2477</v>
      </c>
      <c r="H162" s="37">
        <v>13.33</v>
      </c>
      <c r="I162" s="37">
        <v>50</v>
      </c>
      <c r="J162" s="37">
        <v>6237</v>
      </c>
      <c r="K162" s="37" t="s">
        <v>52</v>
      </c>
      <c r="L162" s="37">
        <v>10</v>
      </c>
      <c r="M162" s="37" t="str">
        <f t="shared" si="14"/>
        <v>Unknown</v>
      </c>
      <c r="N162" s="37" t="str">
        <f t="shared" si="12"/>
        <v>Credit Card</v>
      </c>
      <c r="O162" s="37" t="str" cm="1">
        <f t="array" ref="O162">IF(TRIM(N162)="",INDEX($N$2:$N$1500,MATCH(MAX(COUNTIF($N$2:$N$1500,$N$2:$N$1500)),COUNTIF($N$2:$N$1500,$N$2:$N$1500),0)),N162)</f>
        <v>Credit Card</v>
      </c>
      <c r="P162" s="38" cm="1">
        <f t="array" ref="P162">ROUND(IF(TRIM(H162)="",IFERROR(MEDIAN(IF($M$2:$M$1500=M162,$H$2:$H$1500)),MEDIAN($H$2:$H$1500)),H162),2)</f>
        <v>13.33</v>
      </c>
      <c r="Q162" s="38" t="str">
        <f t="shared" si="15"/>
        <v>0</v>
      </c>
      <c r="R162" s="39" cm="1">
        <f t="array" ref="R162">IF(OR(TRIM(J162)="",TRIM(J162)="-"),MEDIAN(IF($C$2:$C$1218=C162,$J$2:$J$1218)),VALUE(SUBSTITUTE(SUBSTITUTE(SUBSTITUTE(J162,"Rs. ",""),"₹",""),",","")))</f>
        <v>6237</v>
      </c>
      <c r="S162" s="40">
        <f t="shared" si="13"/>
        <v>10</v>
      </c>
      <c r="T162" s="41">
        <f t="shared" si="16"/>
        <v>10</v>
      </c>
      <c r="U162" s="42">
        <f t="shared" si="17"/>
        <v>5613</v>
      </c>
    </row>
    <row r="163" spans="1:21" x14ac:dyDescent="0.3">
      <c r="A163" s="37" t="s">
        <v>2846</v>
      </c>
      <c r="B163" s="37" t="s">
        <v>2847</v>
      </c>
      <c r="C163" s="37" t="s">
        <v>2427</v>
      </c>
      <c r="D163" s="37" t="s">
        <v>117</v>
      </c>
      <c r="E163" s="37" t="s">
        <v>182</v>
      </c>
      <c r="F163" s="37" t="s">
        <v>19</v>
      </c>
      <c r="G163" s="37"/>
      <c r="H163" s="37">
        <v>6.37</v>
      </c>
      <c r="I163" s="37">
        <v>52</v>
      </c>
      <c r="J163" s="37">
        <v>12337</v>
      </c>
      <c r="K163" s="37" t="s">
        <v>311</v>
      </c>
      <c r="L163" s="37">
        <v>5</v>
      </c>
      <c r="M163" s="37" t="str">
        <f t="shared" si="14"/>
        <v>General</v>
      </c>
      <c r="N163" s="37" t="str">
        <f t="shared" si="12"/>
        <v>UPI</v>
      </c>
      <c r="O163" s="37" t="str" cm="1">
        <f t="array" ref="O163">IF(TRIM(N163)="",INDEX($N$2:$N$1500,MATCH(MAX(COUNTIF($N$2:$N$1500,$N$2:$N$1500)),COUNTIF($N$2:$N$1500,$N$2:$N$1500),0)),N163)</f>
        <v>UPI</v>
      </c>
      <c r="P163" s="38" cm="1">
        <f t="array" ref="P163">ROUND(IF(TRIM(H163)="",IFERROR(MEDIAN(IF($M$2:$M$1500=M163,$H$2:$H$1500)),MEDIAN($H$2:$H$1500)),H163),2)</f>
        <v>6.37</v>
      </c>
      <c r="Q163" s="38" t="str">
        <f t="shared" si="15"/>
        <v>Unknown</v>
      </c>
      <c r="R163" s="39" cm="1">
        <f t="array" ref="R163">IF(OR(TRIM(J163)="",TRIM(J163)="-"),MEDIAN(IF($C$2:$C$1218=C163,$J$2:$J$1218)),VALUE(SUBSTITUTE(SUBSTITUTE(SUBSTITUTE(J163,"Rs. ",""),"₹",""),",","")))</f>
        <v>12337</v>
      </c>
      <c r="S163" s="40">
        <f t="shared" si="13"/>
        <v>5</v>
      </c>
      <c r="T163" s="41">
        <f t="shared" si="16"/>
        <v>5</v>
      </c>
      <c r="U163" s="42">
        <f t="shared" si="17"/>
        <v>11720</v>
      </c>
    </row>
    <row r="164" spans="1:21" x14ac:dyDescent="0.3">
      <c r="A164" s="37" t="s">
        <v>2848</v>
      </c>
      <c r="B164" s="37" t="s">
        <v>2849</v>
      </c>
      <c r="C164" s="37" t="s">
        <v>2629</v>
      </c>
      <c r="D164" s="37" t="s">
        <v>45</v>
      </c>
      <c r="E164" s="37" t="s">
        <v>46</v>
      </c>
      <c r="F164" s="37" t="s">
        <v>19</v>
      </c>
      <c r="G164" s="37"/>
      <c r="H164" s="37">
        <v>1.9</v>
      </c>
      <c r="I164" s="37">
        <v>37</v>
      </c>
      <c r="J164" s="37">
        <v>6680</v>
      </c>
      <c r="K164" s="37" t="s">
        <v>167</v>
      </c>
      <c r="L164" s="37">
        <v>35</v>
      </c>
      <c r="M164" s="37" t="str">
        <f t="shared" si="14"/>
        <v>General</v>
      </c>
      <c r="N164" s="37" t="str">
        <f t="shared" si="12"/>
        <v>Insurance</v>
      </c>
      <c r="O164" s="37" t="str" cm="1">
        <f t="array" ref="O164">IF(TRIM(N164)="",INDEX($N$2:$N$1500,MATCH(MAX(COUNTIF($N$2:$N$1500,$N$2:$N$1500)),COUNTIF($N$2:$N$1500,$N$2:$N$1500),0)),N164)</f>
        <v>Insurance</v>
      </c>
      <c r="P164" s="38" cm="1">
        <f t="array" ref="P164">ROUND(IF(TRIM(H164)="",IFERROR(MEDIAN(IF($M$2:$M$1500=M164,$H$2:$H$1500)),MEDIAN($H$2:$H$1500)),H164),2)</f>
        <v>1.9</v>
      </c>
      <c r="Q164" s="38" t="str">
        <f t="shared" si="15"/>
        <v>Unknown</v>
      </c>
      <c r="R164" s="39" cm="1">
        <f t="array" ref="R164">IF(OR(TRIM(J164)="",TRIM(J164)="-"),MEDIAN(IF($C$2:$C$1218=C164,$J$2:$J$1218)),VALUE(SUBSTITUTE(SUBSTITUTE(SUBSTITUTE(J164,"Rs. ",""),"₹",""),",","")))</f>
        <v>6680</v>
      </c>
      <c r="S164" s="40">
        <f t="shared" si="13"/>
        <v>35</v>
      </c>
      <c r="T164" s="41">
        <f t="shared" si="16"/>
        <v>35</v>
      </c>
      <c r="U164" s="42">
        <f t="shared" si="17"/>
        <v>4342</v>
      </c>
    </row>
    <row r="165" spans="1:21" x14ac:dyDescent="0.3">
      <c r="A165" s="37" t="s">
        <v>2850</v>
      </c>
      <c r="B165" s="37" t="s">
        <v>2851</v>
      </c>
      <c r="C165" s="37" t="s">
        <v>2469</v>
      </c>
      <c r="D165" s="37" t="s">
        <v>14</v>
      </c>
      <c r="E165" s="37" t="s">
        <v>15</v>
      </c>
      <c r="F165" s="37" t="s">
        <v>19</v>
      </c>
      <c r="G165" s="37" t="s">
        <v>2423</v>
      </c>
      <c r="H165" s="37">
        <v>9.2200000000000006</v>
      </c>
      <c r="I165" s="37">
        <v>47</v>
      </c>
      <c r="J165" s="37">
        <v>18347</v>
      </c>
      <c r="K165" s="37" t="s">
        <v>72</v>
      </c>
      <c r="L165" s="37">
        <v>0</v>
      </c>
      <c r="M165" s="37" t="str">
        <f t="shared" si="14"/>
        <v>General</v>
      </c>
      <c r="N165" s="37" t="str">
        <f t="shared" si="12"/>
        <v>Cash</v>
      </c>
      <c r="O165" s="37" t="str" cm="1">
        <f t="array" ref="O165">IF(TRIM(N165)="",INDEX($N$2:$N$1500,MATCH(MAX(COUNTIF($N$2:$N$1500,$N$2:$N$1500)),COUNTIF($N$2:$N$1500,$N$2:$N$1500),0)),N165)</f>
        <v>Cash</v>
      </c>
      <c r="P165" s="38" cm="1">
        <f t="array" ref="P165">ROUND(IF(TRIM(H165)="",IFERROR(MEDIAN(IF($M$2:$M$1500=M165,$H$2:$H$1500)),MEDIAN($H$2:$H$1500)),H165),2)</f>
        <v>9.2200000000000006</v>
      </c>
      <c r="Q165" s="38" t="str">
        <f t="shared" si="15"/>
        <v>0</v>
      </c>
      <c r="R165" s="39" cm="1">
        <f t="array" ref="R165">IF(OR(TRIM(J165)="",TRIM(J165)="-"),MEDIAN(IF($C$2:$C$1218=C165,$J$2:$J$1218)),VALUE(SUBSTITUTE(SUBSTITUTE(SUBSTITUTE(J165,"Rs. ",""),"₹",""),",","")))</f>
        <v>18347</v>
      </c>
      <c r="S165" s="40">
        <f t="shared" si="13"/>
        <v>0</v>
      </c>
      <c r="T165" s="41">
        <f t="shared" si="16"/>
        <v>0</v>
      </c>
      <c r="U165" s="42">
        <f t="shared" si="17"/>
        <v>18347</v>
      </c>
    </row>
    <row r="166" spans="1:21" x14ac:dyDescent="0.3">
      <c r="A166" s="37" t="s">
        <v>2852</v>
      </c>
      <c r="B166" s="37" t="s">
        <v>2853</v>
      </c>
      <c r="C166" s="37" t="s">
        <v>2514</v>
      </c>
      <c r="D166" s="37" t="s">
        <v>14</v>
      </c>
      <c r="E166" s="37" t="s">
        <v>60</v>
      </c>
      <c r="F166" s="37" t="s">
        <v>30</v>
      </c>
      <c r="G166" s="37" t="s">
        <v>2428</v>
      </c>
      <c r="H166" s="37">
        <v>16.940000000000001</v>
      </c>
      <c r="I166" s="37">
        <v>36</v>
      </c>
      <c r="J166" s="37" t="s">
        <v>2854</v>
      </c>
      <c r="K166" s="37" t="s">
        <v>34</v>
      </c>
      <c r="L166" s="37">
        <v>0</v>
      </c>
      <c r="M166" s="37" t="str">
        <f t="shared" si="14"/>
        <v>General</v>
      </c>
      <c r="N166" s="37" t="str">
        <f t="shared" si="12"/>
        <v>Cash</v>
      </c>
      <c r="O166" s="37" t="str" cm="1">
        <f t="array" ref="O166">IF(TRIM(N166)="",INDEX($N$2:$N$1500,MATCH(MAX(COUNTIF($N$2:$N$1500,$N$2:$N$1500)),COUNTIF($N$2:$N$1500,$N$2:$N$1500),0)),N166)</f>
        <v>Cash</v>
      </c>
      <c r="P166" s="38" cm="1">
        <f t="array" ref="P166">ROUND(IF(TRIM(H166)="",IFERROR(MEDIAN(IF($M$2:$M$1500=M166,$H$2:$H$1500)),MEDIAN($H$2:$H$1500)),H166),2)</f>
        <v>16.940000000000001</v>
      </c>
      <c r="Q166" s="38" t="str">
        <f t="shared" si="15"/>
        <v>2</v>
      </c>
      <c r="R166" s="39" cm="1">
        <f t="array" ref="R166">IF(OR(TRIM(J166)="",TRIM(J166)="-"),MEDIAN(IF($C$2:$C$1218=C166,$J$2:$J$1218)),VALUE(SUBSTITUTE(SUBSTITUTE(SUBSTITUTE(J166,"Rs. ",""),"₹",""),",","")))</f>
        <v>7798</v>
      </c>
      <c r="S166" s="40">
        <f t="shared" si="13"/>
        <v>0</v>
      </c>
      <c r="T166" s="41">
        <f t="shared" si="16"/>
        <v>0</v>
      </c>
      <c r="U166" s="42">
        <f t="shared" si="17"/>
        <v>7798</v>
      </c>
    </row>
    <row r="167" spans="1:21" x14ac:dyDescent="0.3">
      <c r="A167" s="37" t="s">
        <v>2855</v>
      </c>
      <c r="B167" s="37" t="s">
        <v>2856</v>
      </c>
      <c r="C167" s="37" t="s">
        <v>2469</v>
      </c>
      <c r="D167" s="37" t="s">
        <v>14</v>
      </c>
      <c r="E167" s="37" t="s">
        <v>60</v>
      </c>
      <c r="F167" s="37" t="s">
        <v>39</v>
      </c>
      <c r="G167" s="37" t="s">
        <v>2450</v>
      </c>
      <c r="H167" s="37">
        <v>4.24</v>
      </c>
      <c r="I167" s="37">
        <v>35</v>
      </c>
      <c r="J167" s="37">
        <v>18564</v>
      </c>
      <c r="K167" s="37" t="s">
        <v>83</v>
      </c>
      <c r="L167" s="37">
        <v>0.05</v>
      </c>
      <c r="M167" s="37" t="str">
        <f t="shared" si="14"/>
        <v>General</v>
      </c>
      <c r="N167" s="37" t="str">
        <f t="shared" si="12"/>
        <v>Debit Card</v>
      </c>
      <c r="O167" s="37" t="str" cm="1">
        <f t="array" ref="O167">IF(TRIM(N167)="",INDEX($N$2:$N$1500,MATCH(MAX(COUNTIF($N$2:$N$1500,$N$2:$N$1500)),COUNTIF($N$2:$N$1500,$N$2:$N$1500),0)),N167)</f>
        <v>Debit Card</v>
      </c>
      <c r="P167" s="38" cm="1">
        <f t="array" ref="P167">ROUND(IF(TRIM(H167)="",IFERROR(MEDIAN(IF($M$2:$M$1500=M167,$H$2:$H$1500)),MEDIAN($H$2:$H$1500)),H167),2)</f>
        <v>4.24</v>
      </c>
      <c r="Q167" s="38" t="str">
        <f t="shared" si="15"/>
        <v>1</v>
      </c>
      <c r="R167" s="39" cm="1">
        <f t="array" ref="R167">IF(OR(TRIM(J167)="",TRIM(J167)="-"),MEDIAN(IF($C$2:$C$1218=C167,$J$2:$J$1218)),VALUE(SUBSTITUTE(SUBSTITUTE(SUBSTITUTE(J167,"Rs. ",""),"₹",""),",","")))</f>
        <v>18564</v>
      </c>
      <c r="S167" s="40">
        <f t="shared" si="13"/>
        <v>0.05</v>
      </c>
      <c r="T167" s="41">
        <f t="shared" si="16"/>
        <v>0</v>
      </c>
      <c r="U167" s="42">
        <f t="shared" si="17"/>
        <v>18564</v>
      </c>
    </row>
    <row r="168" spans="1:21" x14ac:dyDescent="0.3">
      <c r="A168" s="37" t="s">
        <v>2857</v>
      </c>
      <c r="B168" s="37" t="s">
        <v>2858</v>
      </c>
      <c r="C168" s="37" t="s">
        <v>2514</v>
      </c>
      <c r="D168" s="37" t="s">
        <v>78</v>
      </c>
      <c r="E168" s="37" t="s">
        <v>203</v>
      </c>
      <c r="F168" s="37"/>
      <c r="G168" s="37"/>
      <c r="H168" s="37">
        <v>18.579999999999998</v>
      </c>
      <c r="I168" s="37">
        <v>41</v>
      </c>
      <c r="J168" s="37" t="s">
        <v>2859</v>
      </c>
      <c r="K168" s="37" t="s">
        <v>87</v>
      </c>
      <c r="L168" s="37" t="s">
        <v>130</v>
      </c>
      <c r="M168" s="37" t="str">
        <f t="shared" si="14"/>
        <v>Unknown</v>
      </c>
      <c r="N168" s="37" t="str">
        <f t="shared" si="12"/>
        <v>Credit Card</v>
      </c>
      <c r="O168" s="37" t="str" cm="1">
        <f t="array" ref="O168">IF(TRIM(N168)="",INDEX($N$2:$N$1500,MATCH(MAX(COUNTIF($N$2:$N$1500,$N$2:$N$1500)),COUNTIF($N$2:$N$1500,$N$2:$N$1500),0)),N168)</f>
        <v>Credit Card</v>
      </c>
      <c r="P168" s="38" cm="1">
        <f t="array" ref="P168">ROUND(IF(TRIM(H168)="",IFERROR(MEDIAN(IF($M$2:$M$1500=M168,$H$2:$H$1500)),MEDIAN($H$2:$H$1500)),H168),2)</f>
        <v>18.579999999999998</v>
      </c>
      <c r="Q168" s="38" t="str">
        <f t="shared" si="15"/>
        <v>Unknown</v>
      </c>
      <c r="R168" s="39" cm="1">
        <f t="array" ref="R168">IF(OR(TRIM(J168)="",TRIM(J168)="-"),MEDIAN(IF($C$2:$C$1218=C168,$J$2:$J$1218)),VALUE(SUBSTITUTE(SUBSTITUTE(SUBSTITUTE(J168,"Rs. ",""),"₹",""),",","")))</f>
        <v>9497</v>
      </c>
      <c r="S168" s="40">
        <f t="shared" si="13"/>
        <v>0</v>
      </c>
      <c r="T168" s="41">
        <f t="shared" si="16"/>
        <v>0</v>
      </c>
      <c r="U168" s="42">
        <f t="shared" si="17"/>
        <v>9497</v>
      </c>
    </row>
    <row r="169" spans="1:21" x14ac:dyDescent="0.3">
      <c r="A169" s="37" t="s">
        <v>2860</v>
      </c>
      <c r="B169" s="37" t="s">
        <v>2861</v>
      </c>
      <c r="C169" s="37" t="s">
        <v>2427</v>
      </c>
      <c r="D169" s="37" t="s">
        <v>106</v>
      </c>
      <c r="E169" s="37" t="s">
        <v>107</v>
      </c>
      <c r="F169" s="37" t="s">
        <v>62</v>
      </c>
      <c r="G169" s="37" t="s">
        <v>2418</v>
      </c>
      <c r="H169" s="37">
        <v>2.2000000000000002</v>
      </c>
      <c r="I169" s="37">
        <v>21</v>
      </c>
      <c r="J169" s="37">
        <v>60410</v>
      </c>
      <c r="K169" s="37" t="s">
        <v>72</v>
      </c>
      <c r="L169" s="37">
        <v>10</v>
      </c>
      <c r="M169" s="37" t="str">
        <f t="shared" si="14"/>
        <v>ICU</v>
      </c>
      <c r="N169" s="37" t="str">
        <f t="shared" si="12"/>
        <v>Cash</v>
      </c>
      <c r="O169" s="37" t="str" cm="1">
        <f t="array" ref="O169">IF(TRIM(N169)="",INDEX($N$2:$N$1500,MATCH(MAX(COUNTIF($N$2:$N$1500,$N$2:$N$1500)),COUNTIF($N$2:$N$1500,$N$2:$N$1500),0)),N169)</f>
        <v>Cash</v>
      </c>
      <c r="P169" s="38" cm="1">
        <f t="array" ref="P169">ROUND(IF(TRIM(H169)="",IFERROR(MEDIAN(IF($M$2:$M$1500=M169,$H$2:$H$1500)),MEDIAN($H$2:$H$1500)),H169),2)</f>
        <v>2.2000000000000002</v>
      </c>
      <c r="Q169" s="38" t="str">
        <f t="shared" si="15"/>
        <v>1</v>
      </c>
      <c r="R169" s="39" cm="1">
        <f t="array" ref="R169">IF(OR(TRIM(J169)="",TRIM(J169)="-"),MEDIAN(IF($C$2:$C$1218=C169,$J$2:$J$1218)),VALUE(SUBSTITUTE(SUBSTITUTE(SUBSTITUTE(J169,"Rs. ",""),"₹",""),",","")))</f>
        <v>60410</v>
      </c>
      <c r="S169" s="40">
        <f t="shared" si="13"/>
        <v>10</v>
      </c>
      <c r="T169" s="41">
        <f t="shared" si="16"/>
        <v>10</v>
      </c>
      <c r="U169" s="42">
        <f t="shared" si="17"/>
        <v>54369</v>
      </c>
    </row>
    <row r="170" spans="1:21" x14ac:dyDescent="0.3">
      <c r="A170" s="37" t="s">
        <v>2862</v>
      </c>
      <c r="B170" s="37" t="s">
        <v>2863</v>
      </c>
      <c r="C170" s="37" t="s">
        <v>2514</v>
      </c>
      <c r="D170" s="37" t="s">
        <v>117</v>
      </c>
      <c r="E170" s="37" t="s">
        <v>118</v>
      </c>
      <c r="F170" s="37" t="s">
        <v>69</v>
      </c>
      <c r="G170" s="37" t="s">
        <v>2435</v>
      </c>
      <c r="H170" s="37">
        <v>11.75</v>
      </c>
      <c r="I170" s="37">
        <v>7</v>
      </c>
      <c r="J170" s="37" t="s">
        <v>2864</v>
      </c>
      <c r="K170" s="37" t="s">
        <v>83</v>
      </c>
      <c r="L170" s="37">
        <v>0</v>
      </c>
      <c r="M170" s="37" t="str">
        <f t="shared" si="14"/>
        <v>ICU</v>
      </c>
      <c r="N170" s="37" t="str">
        <f t="shared" si="12"/>
        <v>Debit Card</v>
      </c>
      <c r="O170" s="37" t="str" cm="1">
        <f t="array" ref="O170">IF(TRIM(N170)="",INDEX($N$2:$N$1500,MATCH(MAX(COUNTIF($N$2:$N$1500,$N$2:$N$1500)),COUNTIF($N$2:$N$1500,$N$2:$N$1500),0)),N170)</f>
        <v>Debit Card</v>
      </c>
      <c r="P170" s="38" cm="1">
        <f t="array" ref="P170">ROUND(IF(TRIM(H170)="",IFERROR(MEDIAN(IF($M$2:$M$1500=M170,$H$2:$H$1500)),MEDIAN($H$2:$H$1500)),H170),2)</f>
        <v>11.75</v>
      </c>
      <c r="Q170" s="38" t="str">
        <f t="shared" si="15"/>
        <v>0</v>
      </c>
      <c r="R170" s="39" cm="1">
        <f t="array" ref="R170">IF(OR(TRIM(J170)="",TRIM(J170)="-"),MEDIAN(IF($C$2:$C$1218=C170,$J$2:$J$1218)),VALUE(SUBSTITUTE(SUBSTITUTE(SUBSTITUTE(J170,"Rs. ",""),"₹",""),",","")))</f>
        <v>73323</v>
      </c>
      <c r="S170" s="40">
        <f t="shared" si="13"/>
        <v>0</v>
      </c>
      <c r="T170" s="41">
        <f t="shared" si="16"/>
        <v>0</v>
      </c>
      <c r="U170" s="42">
        <f t="shared" si="17"/>
        <v>73323</v>
      </c>
    </row>
    <row r="171" spans="1:21" x14ac:dyDescent="0.3">
      <c r="A171" s="37" t="s">
        <v>2865</v>
      </c>
      <c r="B171" s="37" t="s">
        <v>2866</v>
      </c>
      <c r="C171" s="37" t="s">
        <v>2459</v>
      </c>
      <c r="D171" s="37" t="s">
        <v>78</v>
      </c>
      <c r="E171" s="37" t="s">
        <v>203</v>
      </c>
      <c r="F171" s="37" t="s">
        <v>30</v>
      </c>
      <c r="G171" s="37" t="s">
        <v>2450</v>
      </c>
      <c r="H171" s="37">
        <v>22.94</v>
      </c>
      <c r="I171" s="37">
        <v>34</v>
      </c>
      <c r="J171" s="37" t="s">
        <v>2867</v>
      </c>
      <c r="K171" s="37" t="s">
        <v>72</v>
      </c>
      <c r="L171" s="37">
        <v>0</v>
      </c>
      <c r="M171" s="37" t="str">
        <f t="shared" si="14"/>
        <v>General</v>
      </c>
      <c r="N171" s="37" t="str">
        <f t="shared" si="12"/>
        <v>Cash</v>
      </c>
      <c r="O171" s="37" t="str" cm="1">
        <f t="array" ref="O171">IF(TRIM(N171)="",INDEX($N$2:$N$1500,MATCH(MAX(COUNTIF($N$2:$N$1500,$N$2:$N$1500)),COUNTIF($N$2:$N$1500,$N$2:$N$1500),0)),N171)</f>
        <v>Cash</v>
      </c>
      <c r="P171" s="38" cm="1">
        <f t="array" ref="P171">ROUND(IF(TRIM(H171)="",IFERROR(MEDIAN(IF($M$2:$M$1500=M171,$H$2:$H$1500)),MEDIAN($H$2:$H$1500)),H171),2)</f>
        <v>22.94</v>
      </c>
      <c r="Q171" s="38" t="str">
        <f t="shared" si="15"/>
        <v>1</v>
      </c>
      <c r="R171" s="39" cm="1">
        <f t="array" ref="R171">IF(OR(TRIM(J171)="",TRIM(J171)="-"),MEDIAN(IF($C$2:$C$1218=C171,$J$2:$J$1218)),VALUE(SUBSTITUTE(SUBSTITUTE(SUBSTITUTE(J171,"Rs. ",""),"₹",""),",","")))</f>
        <v>14863</v>
      </c>
      <c r="S171" s="40">
        <f t="shared" si="13"/>
        <v>0</v>
      </c>
      <c r="T171" s="41">
        <f t="shared" si="16"/>
        <v>0</v>
      </c>
      <c r="U171" s="42">
        <f t="shared" si="17"/>
        <v>14863</v>
      </c>
    </row>
    <row r="172" spans="1:21" x14ac:dyDescent="0.3">
      <c r="A172" s="37" t="s">
        <v>2868</v>
      </c>
      <c r="B172" s="37" t="s">
        <v>2869</v>
      </c>
      <c r="C172" s="37" t="s">
        <v>2459</v>
      </c>
      <c r="D172" s="37" t="s">
        <v>117</v>
      </c>
      <c r="E172" s="37" t="s">
        <v>118</v>
      </c>
      <c r="F172" s="37" t="s">
        <v>49</v>
      </c>
      <c r="G172" s="37" t="s">
        <v>2486</v>
      </c>
      <c r="H172" s="37">
        <v>2.4</v>
      </c>
      <c r="I172" s="37">
        <v>33</v>
      </c>
      <c r="J172" s="37">
        <v>17454</v>
      </c>
      <c r="K172" s="37" t="s">
        <v>311</v>
      </c>
      <c r="L172" s="37" t="s">
        <v>140</v>
      </c>
      <c r="M172" s="37" t="str">
        <f t="shared" si="14"/>
        <v>General</v>
      </c>
      <c r="N172" s="37" t="str">
        <f t="shared" si="12"/>
        <v>UPI</v>
      </c>
      <c r="O172" s="37" t="str" cm="1">
        <f t="array" ref="O172">IF(TRIM(N172)="",INDEX($N$2:$N$1500,MATCH(MAX(COUNTIF($N$2:$N$1500,$N$2:$N$1500)),COUNTIF($N$2:$N$1500,$N$2:$N$1500),0)),N172)</f>
        <v>UPI</v>
      </c>
      <c r="P172" s="38" cm="1">
        <f t="array" ref="P172">ROUND(IF(TRIM(H172)="",IFERROR(MEDIAN(IF($M$2:$M$1500=M172,$H$2:$H$1500)),MEDIAN($H$2:$H$1500)),H172),2)</f>
        <v>2.4</v>
      </c>
      <c r="Q172" s="38" t="str">
        <f t="shared" si="15"/>
        <v>2+</v>
      </c>
      <c r="R172" s="39" cm="1">
        <f t="array" ref="R172">IF(OR(TRIM(J172)="",TRIM(J172)="-"),MEDIAN(IF($C$2:$C$1218=C172,$J$2:$J$1218)),VALUE(SUBSTITUTE(SUBSTITUTE(SUBSTITUTE(J172,"Rs. ",""),"₹",""),",","")))</f>
        <v>17454</v>
      </c>
      <c r="S172" s="40" t="str">
        <f t="shared" si="13"/>
        <v>-</v>
      </c>
      <c r="T172" s="41">
        <f t="shared" si="16"/>
        <v>2</v>
      </c>
      <c r="U172" s="42">
        <f t="shared" si="17"/>
        <v>17105</v>
      </c>
    </row>
    <row r="173" spans="1:21" x14ac:dyDescent="0.3">
      <c r="A173" s="37" t="s">
        <v>2870</v>
      </c>
      <c r="B173" s="37" t="s">
        <v>2871</v>
      </c>
      <c r="C173" s="37" t="s">
        <v>2459</v>
      </c>
      <c r="D173" s="37" t="s">
        <v>117</v>
      </c>
      <c r="E173" s="37" t="s">
        <v>118</v>
      </c>
      <c r="F173" s="37" t="s">
        <v>49</v>
      </c>
      <c r="G173" s="37" t="s">
        <v>2455</v>
      </c>
      <c r="H173" s="37">
        <v>18.149999999999999</v>
      </c>
      <c r="I173" s="37">
        <v>24</v>
      </c>
      <c r="J173" s="37">
        <v>18365</v>
      </c>
      <c r="K173" s="37" t="s">
        <v>91</v>
      </c>
      <c r="L173" s="37">
        <v>5</v>
      </c>
      <c r="M173" s="37" t="str">
        <f t="shared" si="14"/>
        <v>General</v>
      </c>
      <c r="N173" s="37" t="str">
        <f t="shared" si="12"/>
        <v>Debit Card</v>
      </c>
      <c r="O173" s="37" t="str" cm="1">
        <f t="array" ref="O173">IF(TRIM(N173)="",INDEX($N$2:$N$1500,MATCH(MAX(COUNTIF($N$2:$N$1500,$N$2:$N$1500)),COUNTIF($N$2:$N$1500,$N$2:$N$1500),0)),N173)</f>
        <v>Debit Card</v>
      </c>
      <c r="P173" s="38" cm="1">
        <f t="array" ref="P173">ROUND(IF(TRIM(H173)="",IFERROR(MEDIAN(IF($M$2:$M$1500=M173,$H$2:$H$1500)),MEDIAN($H$2:$H$1500)),H173),2)</f>
        <v>18.149999999999999</v>
      </c>
      <c r="Q173" s="38" t="str">
        <f t="shared" si="15"/>
        <v>1</v>
      </c>
      <c r="R173" s="39" cm="1">
        <f t="array" ref="R173">IF(OR(TRIM(J173)="",TRIM(J173)="-"),MEDIAN(IF($C$2:$C$1218=C173,$J$2:$J$1218)),VALUE(SUBSTITUTE(SUBSTITUTE(SUBSTITUTE(J173,"Rs. ",""),"₹",""),",","")))</f>
        <v>18365</v>
      </c>
      <c r="S173" s="40">
        <f t="shared" si="13"/>
        <v>5</v>
      </c>
      <c r="T173" s="41">
        <f t="shared" si="16"/>
        <v>5</v>
      </c>
      <c r="U173" s="42">
        <f t="shared" si="17"/>
        <v>17447</v>
      </c>
    </row>
    <row r="174" spans="1:21" x14ac:dyDescent="0.3">
      <c r="A174" s="37" t="s">
        <v>2872</v>
      </c>
      <c r="B174" s="37" t="s">
        <v>2873</v>
      </c>
      <c r="C174" s="37" t="s">
        <v>2411</v>
      </c>
      <c r="D174" s="37" t="s">
        <v>78</v>
      </c>
      <c r="E174" s="37" t="s">
        <v>79</v>
      </c>
      <c r="F174" s="37"/>
      <c r="G174" s="37" t="s">
        <v>2412</v>
      </c>
      <c r="H174" s="37">
        <v>13.68</v>
      </c>
      <c r="I174" s="37">
        <v>36</v>
      </c>
      <c r="J174" s="37">
        <v>71741</v>
      </c>
      <c r="K174" s="37" t="s">
        <v>34</v>
      </c>
      <c r="L174" s="37">
        <v>5</v>
      </c>
      <c r="M174" s="37" t="str">
        <f t="shared" si="14"/>
        <v>Unknown</v>
      </c>
      <c r="N174" s="37" t="str">
        <f t="shared" si="12"/>
        <v>Cash</v>
      </c>
      <c r="O174" s="37" t="str" cm="1">
        <f t="array" ref="O174">IF(TRIM(N174)="",INDEX($N$2:$N$1500,MATCH(MAX(COUNTIF($N$2:$N$1500,$N$2:$N$1500)),COUNTIF($N$2:$N$1500,$N$2:$N$1500),0)),N174)</f>
        <v>Cash</v>
      </c>
      <c r="P174" s="38" cm="1">
        <f t="array" ref="P174">ROUND(IF(TRIM(H174)="",IFERROR(MEDIAN(IF($M$2:$M$1500=M174,$H$2:$H$1500)),MEDIAN($H$2:$H$1500)),H174),2)</f>
        <v>13.68</v>
      </c>
      <c r="Q174" s="38" t="str">
        <f t="shared" si="15"/>
        <v>1</v>
      </c>
      <c r="R174" s="39" cm="1">
        <f t="array" ref="R174">IF(OR(TRIM(J174)="",TRIM(J174)="-"),MEDIAN(IF($C$2:$C$1218=C174,$J$2:$J$1218)),VALUE(SUBSTITUTE(SUBSTITUTE(SUBSTITUTE(J174,"Rs. ",""),"₹",""),",","")))</f>
        <v>71741</v>
      </c>
      <c r="S174" s="40">
        <f t="shared" si="13"/>
        <v>5</v>
      </c>
      <c r="T174" s="41">
        <f t="shared" si="16"/>
        <v>5</v>
      </c>
      <c r="U174" s="42">
        <f t="shared" si="17"/>
        <v>68154</v>
      </c>
    </row>
    <row r="175" spans="1:21" x14ac:dyDescent="0.3">
      <c r="A175" s="37" t="s">
        <v>2874</v>
      </c>
      <c r="B175" s="37" t="s">
        <v>2591</v>
      </c>
      <c r="C175" s="37" t="s">
        <v>2445</v>
      </c>
      <c r="D175" s="37" t="s">
        <v>78</v>
      </c>
      <c r="E175" s="37" t="s">
        <v>161</v>
      </c>
      <c r="F175" s="37" t="s">
        <v>49</v>
      </c>
      <c r="G175" s="37"/>
      <c r="H175" s="37">
        <v>20.73</v>
      </c>
      <c r="I175" s="37"/>
      <c r="J175" s="37" t="s">
        <v>2875</v>
      </c>
      <c r="K175" s="37" t="s">
        <v>72</v>
      </c>
      <c r="L175" s="37">
        <v>0</v>
      </c>
      <c r="M175" s="37" t="str">
        <f t="shared" si="14"/>
        <v>General</v>
      </c>
      <c r="N175" s="37" t="str">
        <f t="shared" si="12"/>
        <v>Cash</v>
      </c>
      <c r="O175" s="37" t="str" cm="1">
        <f t="array" ref="O175">IF(TRIM(N175)="",INDEX($N$2:$N$1500,MATCH(MAX(COUNTIF($N$2:$N$1500,$N$2:$N$1500)),COUNTIF($N$2:$N$1500,$N$2:$N$1500),0)),N175)</f>
        <v>Cash</v>
      </c>
      <c r="P175" s="38" cm="1">
        <f t="array" ref="P175">ROUND(IF(TRIM(H175)="",IFERROR(MEDIAN(IF($M$2:$M$1500=M175,$H$2:$H$1500)),MEDIAN($H$2:$H$1500)),H175),2)</f>
        <v>20.73</v>
      </c>
      <c r="Q175" s="38" t="str">
        <f t="shared" si="15"/>
        <v>Unknown</v>
      </c>
      <c r="R175" s="39" cm="1">
        <f t="array" ref="R175">IF(OR(TRIM(J175)="",TRIM(J175)="-"),MEDIAN(IF($C$2:$C$1218=C175,$J$2:$J$1218)),VALUE(SUBSTITUTE(SUBSTITUTE(SUBSTITUTE(J175,"Rs. ",""),"₹",""),",","")))</f>
        <v>18076</v>
      </c>
      <c r="S175" s="40">
        <f t="shared" si="13"/>
        <v>0</v>
      </c>
      <c r="T175" s="41">
        <f t="shared" si="16"/>
        <v>0</v>
      </c>
      <c r="U175" s="42">
        <f t="shared" si="17"/>
        <v>18076</v>
      </c>
    </row>
    <row r="176" spans="1:21" x14ac:dyDescent="0.3">
      <c r="A176" s="37" t="s">
        <v>2876</v>
      </c>
      <c r="B176" s="37" t="s">
        <v>2877</v>
      </c>
      <c r="C176" s="37" t="s">
        <v>2532</v>
      </c>
      <c r="D176" s="37" t="s">
        <v>25</v>
      </c>
      <c r="E176" s="37" t="s">
        <v>54</v>
      </c>
      <c r="F176" s="37" t="s">
        <v>49</v>
      </c>
      <c r="G176" s="37" t="s">
        <v>2412</v>
      </c>
      <c r="H176" s="37">
        <v>6.58</v>
      </c>
      <c r="I176" s="37">
        <v>15</v>
      </c>
      <c r="J176" s="37" t="s">
        <v>2878</v>
      </c>
      <c r="K176" s="37" t="s">
        <v>87</v>
      </c>
      <c r="L176" s="37" t="s">
        <v>130</v>
      </c>
      <c r="M176" s="37" t="str">
        <f t="shared" si="14"/>
        <v>General</v>
      </c>
      <c r="N176" s="37" t="str">
        <f t="shared" si="12"/>
        <v>Credit Card</v>
      </c>
      <c r="O176" s="37" t="str" cm="1">
        <f t="array" ref="O176">IF(TRIM(N176)="",INDEX($N$2:$N$1500,MATCH(MAX(COUNTIF($N$2:$N$1500,$N$2:$N$1500)),COUNTIF($N$2:$N$1500,$N$2:$N$1500),0)),N176)</f>
        <v>Credit Card</v>
      </c>
      <c r="P176" s="38" cm="1">
        <f t="array" ref="P176">ROUND(IF(TRIM(H176)="",IFERROR(MEDIAN(IF($M$2:$M$1500=M176,$H$2:$H$1500)),MEDIAN($H$2:$H$1500)),H176),2)</f>
        <v>6.58</v>
      </c>
      <c r="Q176" s="38" t="str">
        <f t="shared" si="15"/>
        <v>1</v>
      </c>
      <c r="R176" s="39" cm="1">
        <f t="array" ref="R176">IF(OR(TRIM(J176)="",TRIM(J176)="-"),MEDIAN(IF($C$2:$C$1218=C176,$J$2:$J$1218)),VALUE(SUBSTITUTE(SUBSTITUTE(SUBSTITUTE(J176,"Rs. ",""),"₹",""),",","")))</f>
        <v>5386</v>
      </c>
      <c r="S176" s="40">
        <f t="shared" si="13"/>
        <v>0</v>
      </c>
      <c r="T176" s="41">
        <f t="shared" si="16"/>
        <v>0</v>
      </c>
      <c r="U176" s="42">
        <f t="shared" si="17"/>
        <v>5386</v>
      </c>
    </row>
    <row r="177" spans="1:21" x14ac:dyDescent="0.3">
      <c r="A177" s="37" t="s">
        <v>2879</v>
      </c>
      <c r="B177" s="37" t="s">
        <v>2880</v>
      </c>
      <c r="C177" s="37" t="s">
        <v>2521</v>
      </c>
      <c r="D177" s="37" t="s">
        <v>78</v>
      </c>
      <c r="E177" s="37" t="s">
        <v>161</v>
      </c>
      <c r="F177" s="37" t="s">
        <v>39</v>
      </c>
      <c r="G177" s="37" t="s">
        <v>2412</v>
      </c>
      <c r="H177" s="37">
        <v>5.81</v>
      </c>
      <c r="I177" s="37">
        <v>27</v>
      </c>
      <c r="J177" s="37">
        <v>10056</v>
      </c>
      <c r="K177" s="37" t="s">
        <v>91</v>
      </c>
      <c r="L177" s="37">
        <v>5</v>
      </c>
      <c r="M177" s="37" t="str">
        <f t="shared" si="14"/>
        <v>General</v>
      </c>
      <c r="N177" s="37" t="str">
        <f t="shared" si="12"/>
        <v>Debit Card</v>
      </c>
      <c r="O177" s="37" t="str" cm="1">
        <f t="array" ref="O177">IF(TRIM(N177)="",INDEX($N$2:$N$1500,MATCH(MAX(COUNTIF($N$2:$N$1500,$N$2:$N$1500)),COUNTIF($N$2:$N$1500,$N$2:$N$1500),0)),N177)</f>
        <v>Debit Card</v>
      </c>
      <c r="P177" s="38" cm="1">
        <f t="array" ref="P177">ROUND(IF(TRIM(H177)="",IFERROR(MEDIAN(IF($M$2:$M$1500=M177,$H$2:$H$1500)),MEDIAN($H$2:$H$1500)),H177),2)</f>
        <v>5.81</v>
      </c>
      <c r="Q177" s="38" t="str">
        <f t="shared" si="15"/>
        <v>1</v>
      </c>
      <c r="R177" s="39" cm="1">
        <f t="array" ref="R177">IF(OR(TRIM(J177)="",TRIM(J177)="-"),MEDIAN(IF($C$2:$C$1218=C177,$J$2:$J$1218)),VALUE(SUBSTITUTE(SUBSTITUTE(SUBSTITUTE(J177,"Rs. ",""),"₹",""),",","")))</f>
        <v>10056</v>
      </c>
      <c r="S177" s="40">
        <f t="shared" si="13"/>
        <v>5</v>
      </c>
      <c r="T177" s="41">
        <f t="shared" si="16"/>
        <v>5</v>
      </c>
      <c r="U177" s="42">
        <f t="shared" si="17"/>
        <v>9553</v>
      </c>
    </row>
    <row r="178" spans="1:21" x14ac:dyDescent="0.3">
      <c r="A178" s="37" t="s">
        <v>2881</v>
      </c>
      <c r="B178" s="37" t="s">
        <v>2882</v>
      </c>
      <c r="C178" s="37" t="s">
        <v>2434</v>
      </c>
      <c r="D178" s="37" t="s">
        <v>25</v>
      </c>
      <c r="E178" s="37" t="s">
        <v>54</v>
      </c>
      <c r="F178" s="37" t="s">
        <v>30</v>
      </c>
      <c r="G178" s="37" t="s">
        <v>2439</v>
      </c>
      <c r="H178" s="37">
        <v>20.34</v>
      </c>
      <c r="I178" s="37">
        <v>8</v>
      </c>
      <c r="J178" s="37">
        <v>13014</v>
      </c>
      <c r="K178" s="37" t="s">
        <v>42</v>
      </c>
      <c r="L178" s="37" t="s">
        <v>1385</v>
      </c>
      <c r="M178" s="37" t="str">
        <f t="shared" si="14"/>
        <v>General</v>
      </c>
      <c r="N178" s="37" t="str">
        <f t="shared" si="12"/>
        <v>Insurance</v>
      </c>
      <c r="O178" s="37" t="str" cm="1">
        <f t="array" ref="O178">IF(TRIM(N178)="",INDEX($N$2:$N$1500,MATCH(MAX(COUNTIF($N$2:$N$1500,$N$2:$N$1500)),COUNTIF($N$2:$N$1500,$N$2:$N$1500),0)),N178)</f>
        <v>Insurance</v>
      </c>
      <c r="P178" s="38" cm="1">
        <f t="array" ref="P178">ROUND(IF(TRIM(H178)="",IFERROR(MEDIAN(IF($M$2:$M$1500=M178,$H$2:$H$1500)),MEDIAN($H$2:$H$1500)),H178),2)</f>
        <v>20.34</v>
      </c>
      <c r="Q178" s="38" t="str">
        <f t="shared" si="15"/>
        <v>2</v>
      </c>
      <c r="R178" s="39" cm="1">
        <f t="array" ref="R178">IF(OR(TRIM(J178)="",TRIM(J178)="-"),MEDIAN(IF($C$2:$C$1218=C178,$J$2:$J$1218)),VALUE(SUBSTITUTE(SUBSTITUTE(SUBSTITUTE(J178,"Rs. ",""),"₹",""),",","")))</f>
        <v>13014</v>
      </c>
      <c r="S178" s="40">
        <f t="shared" si="13"/>
        <v>20</v>
      </c>
      <c r="T178" s="41">
        <f t="shared" si="16"/>
        <v>20</v>
      </c>
      <c r="U178" s="42">
        <f t="shared" si="17"/>
        <v>10411</v>
      </c>
    </row>
    <row r="179" spans="1:21" x14ac:dyDescent="0.3">
      <c r="A179" s="37" t="s">
        <v>2883</v>
      </c>
      <c r="B179" s="37" t="s">
        <v>2649</v>
      </c>
      <c r="C179" s="37" t="s">
        <v>2521</v>
      </c>
      <c r="D179" s="37" t="s">
        <v>78</v>
      </c>
      <c r="E179" s="37" t="s">
        <v>203</v>
      </c>
      <c r="F179" s="37" t="s">
        <v>19</v>
      </c>
      <c r="G179" s="37" t="s">
        <v>2450</v>
      </c>
      <c r="H179" s="37">
        <v>18.87</v>
      </c>
      <c r="I179" s="37">
        <v>26</v>
      </c>
      <c r="J179" s="37" t="s">
        <v>2884</v>
      </c>
      <c r="K179" s="37" t="s">
        <v>115</v>
      </c>
      <c r="L179" s="37" t="s">
        <v>140</v>
      </c>
      <c r="M179" s="37" t="str">
        <f t="shared" si="14"/>
        <v>General</v>
      </c>
      <c r="N179" s="37" t="str">
        <f t="shared" si="12"/>
        <v>Cash</v>
      </c>
      <c r="O179" s="37" t="str" cm="1">
        <f t="array" ref="O179">IF(TRIM(N179)="",INDEX($N$2:$N$1500,MATCH(MAX(COUNTIF($N$2:$N$1500,$N$2:$N$1500)),COUNTIF($N$2:$N$1500,$N$2:$N$1500),0)),N179)</f>
        <v>Cash</v>
      </c>
      <c r="P179" s="38" cm="1">
        <f t="array" ref="P179">ROUND(IF(TRIM(H179)="",IFERROR(MEDIAN(IF($M$2:$M$1500=M179,$H$2:$H$1500)),MEDIAN($H$2:$H$1500)),H179),2)</f>
        <v>18.87</v>
      </c>
      <c r="Q179" s="38" t="str">
        <f t="shared" si="15"/>
        <v>1</v>
      </c>
      <c r="R179" s="39" cm="1">
        <f t="array" ref="R179">IF(OR(TRIM(J179)="",TRIM(J179)="-"),MEDIAN(IF($C$2:$C$1218=C179,$J$2:$J$1218)),VALUE(SUBSTITUTE(SUBSTITUTE(SUBSTITUTE(J179,"Rs. ",""),"₹",""),",","")))</f>
        <v>10763</v>
      </c>
      <c r="S179" s="40" t="str">
        <f t="shared" si="13"/>
        <v>-</v>
      </c>
      <c r="T179" s="41">
        <f t="shared" si="16"/>
        <v>2</v>
      </c>
      <c r="U179" s="42">
        <f t="shared" si="17"/>
        <v>10548</v>
      </c>
    </row>
    <row r="180" spans="1:21" x14ac:dyDescent="0.3">
      <c r="A180" s="37" t="s">
        <v>2885</v>
      </c>
      <c r="B180" s="37" t="s">
        <v>2886</v>
      </c>
      <c r="C180" s="37" t="s">
        <v>2463</v>
      </c>
      <c r="D180" s="37" t="s">
        <v>25</v>
      </c>
      <c r="E180" s="37" t="s">
        <v>26</v>
      </c>
      <c r="F180" s="37" t="s">
        <v>19</v>
      </c>
      <c r="G180" s="37" t="s">
        <v>2477</v>
      </c>
      <c r="H180" s="37">
        <v>15.48</v>
      </c>
      <c r="I180" s="37">
        <v>23</v>
      </c>
      <c r="J180" s="37">
        <v>4891</v>
      </c>
      <c r="K180" s="37" t="s">
        <v>104</v>
      </c>
      <c r="L180" s="37">
        <v>35</v>
      </c>
      <c r="M180" s="37" t="str">
        <f t="shared" si="14"/>
        <v>General</v>
      </c>
      <c r="N180" s="37" t="str">
        <f t="shared" si="12"/>
        <v>Insurance</v>
      </c>
      <c r="O180" s="37" t="str" cm="1">
        <f t="array" ref="O180">IF(TRIM(N180)="",INDEX($N$2:$N$1500,MATCH(MAX(COUNTIF($N$2:$N$1500,$N$2:$N$1500)),COUNTIF($N$2:$N$1500,$N$2:$N$1500),0)),N180)</f>
        <v>Insurance</v>
      </c>
      <c r="P180" s="38" cm="1">
        <f t="array" ref="P180">ROUND(IF(TRIM(H180)="",IFERROR(MEDIAN(IF($M$2:$M$1500=M180,$H$2:$H$1500)),MEDIAN($H$2:$H$1500)),H180),2)</f>
        <v>15.48</v>
      </c>
      <c r="Q180" s="38" t="str">
        <f t="shared" si="15"/>
        <v>0</v>
      </c>
      <c r="R180" s="39" cm="1">
        <f t="array" ref="R180">IF(OR(TRIM(J180)="",TRIM(J180)="-"),MEDIAN(IF($C$2:$C$1218=C180,$J$2:$J$1218)),VALUE(SUBSTITUTE(SUBSTITUTE(SUBSTITUTE(J180,"Rs. ",""),"₹",""),",","")))</f>
        <v>4891</v>
      </c>
      <c r="S180" s="40">
        <f t="shared" si="13"/>
        <v>35</v>
      </c>
      <c r="T180" s="41">
        <f t="shared" si="16"/>
        <v>35</v>
      </c>
      <c r="U180" s="42">
        <f t="shared" si="17"/>
        <v>3179</v>
      </c>
    </row>
    <row r="181" spans="1:21" x14ac:dyDescent="0.3">
      <c r="A181" s="37" t="s">
        <v>2887</v>
      </c>
      <c r="B181" s="37" t="s">
        <v>2888</v>
      </c>
      <c r="C181" s="37" t="s">
        <v>2494</v>
      </c>
      <c r="D181" s="37" t="s">
        <v>45</v>
      </c>
      <c r="E181" s="37" t="s">
        <v>334</v>
      </c>
      <c r="F181" s="37" t="s">
        <v>49</v>
      </c>
      <c r="G181" s="37" t="s">
        <v>2412</v>
      </c>
      <c r="H181" s="37">
        <v>24.86</v>
      </c>
      <c r="I181" s="37" t="s">
        <v>140</v>
      </c>
      <c r="J181" s="37" t="s">
        <v>2889</v>
      </c>
      <c r="K181" s="37" t="s">
        <v>23</v>
      </c>
      <c r="L181" s="37">
        <v>0</v>
      </c>
      <c r="M181" s="37" t="str">
        <f t="shared" si="14"/>
        <v>General</v>
      </c>
      <c r="N181" s="37" t="str">
        <f t="shared" si="12"/>
        <v>Credit Card</v>
      </c>
      <c r="O181" s="37" t="str" cm="1">
        <f t="array" ref="O181">IF(TRIM(N181)="",INDEX($N$2:$N$1500,MATCH(MAX(COUNTIF($N$2:$N$1500,$N$2:$N$1500)),COUNTIF($N$2:$N$1500,$N$2:$N$1500),0)),N181)</f>
        <v>Credit Card</v>
      </c>
      <c r="P181" s="38" cm="1">
        <f t="array" ref="P181">ROUND(IF(TRIM(H181)="",IFERROR(MEDIAN(IF($M$2:$M$1500=M181,$H$2:$H$1500)),MEDIAN($H$2:$H$1500)),H181),2)</f>
        <v>24.86</v>
      </c>
      <c r="Q181" s="38" t="str">
        <f t="shared" si="15"/>
        <v>1</v>
      </c>
      <c r="R181" s="39" cm="1">
        <f t="array" ref="R181">IF(OR(TRIM(J181)="",TRIM(J181)="-"),MEDIAN(IF($C$2:$C$1218=C181,$J$2:$J$1218)),VALUE(SUBSTITUTE(SUBSTITUTE(SUBSTITUTE(J181,"Rs. ",""),"₹",""),",","")))</f>
        <v>12197</v>
      </c>
      <c r="S181" s="40">
        <f t="shared" si="13"/>
        <v>0</v>
      </c>
      <c r="T181" s="41">
        <f t="shared" si="16"/>
        <v>0</v>
      </c>
      <c r="U181" s="42">
        <f t="shared" si="17"/>
        <v>12197</v>
      </c>
    </row>
    <row r="182" spans="1:21" x14ac:dyDescent="0.3">
      <c r="A182" s="37" t="s">
        <v>2890</v>
      </c>
      <c r="B182" s="37" t="s">
        <v>2891</v>
      </c>
      <c r="C182" s="37" t="s">
        <v>2411</v>
      </c>
      <c r="D182" s="37" t="s">
        <v>45</v>
      </c>
      <c r="E182" s="37" t="s">
        <v>46</v>
      </c>
      <c r="F182" s="37" t="s">
        <v>49</v>
      </c>
      <c r="G182" s="37" t="s">
        <v>2450</v>
      </c>
      <c r="H182" s="37">
        <v>16</v>
      </c>
      <c r="I182" s="37">
        <v>6</v>
      </c>
      <c r="J182" s="37" t="s">
        <v>2892</v>
      </c>
      <c r="K182" s="37"/>
      <c r="L182" s="37" t="s">
        <v>140</v>
      </c>
      <c r="M182" s="37" t="str">
        <f t="shared" si="14"/>
        <v>General</v>
      </c>
      <c r="N182" s="37" t="str">
        <f t="shared" si="12"/>
        <v>Unknown</v>
      </c>
      <c r="O182" s="37" t="str" cm="1">
        <f t="array" ref="O182">IF(TRIM(N182)="",INDEX($N$2:$N$1500,MATCH(MAX(COUNTIF($N$2:$N$1500,$N$2:$N$1500)),COUNTIF($N$2:$N$1500,$N$2:$N$1500),0)),N182)</f>
        <v>Unknown</v>
      </c>
      <c r="P182" s="38" cm="1">
        <f t="array" ref="P182">ROUND(IF(TRIM(H182)="",IFERROR(MEDIAN(IF($M$2:$M$1500=M182,$H$2:$H$1500)),MEDIAN($H$2:$H$1500)),H182),2)</f>
        <v>16</v>
      </c>
      <c r="Q182" s="38" t="str">
        <f t="shared" si="15"/>
        <v>1</v>
      </c>
      <c r="R182" s="39" cm="1">
        <f t="array" ref="R182">IF(OR(TRIM(J182)="",TRIM(J182)="-"),MEDIAN(IF($C$2:$C$1218=C182,$J$2:$J$1218)),VALUE(SUBSTITUTE(SUBSTITUTE(SUBSTITUTE(J182,"Rs. ",""),"₹",""),",","")))</f>
        <v>3355</v>
      </c>
      <c r="S182" s="40" t="str">
        <f t="shared" si="13"/>
        <v>-</v>
      </c>
      <c r="T182" s="41">
        <f t="shared" si="16"/>
        <v>7</v>
      </c>
      <c r="U182" s="42">
        <f t="shared" si="17"/>
        <v>3120</v>
      </c>
    </row>
    <row r="183" spans="1:21" x14ac:dyDescent="0.3">
      <c r="A183" s="37" t="s">
        <v>2893</v>
      </c>
      <c r="B183" s="37" t="s">
        <v>2628</v>
      </c>
      <c r="C183" s="37" t="s">
        <v>2629</v>
      </c>
      <c r="D183" s="37" t="s">
        <v>14</v>
      </c>
      <c r="E183" s="37" t="s">
        <v>60</v>
      </c>
      <c r="F183" s="37" t="s">
        <v>49</v>
      </c>
      <c r="G183" s="37" t="s">
        <v>2505</v>
      </c>
      <c r="H183" s="37"/>
      <c r="I183" s="37">
        <v>12</v>
      </c>
      <c r="J183" s="37">
        <v>5542</v>
      </c>
      <c r="K183" s="37" t="s">
        <v>42</v>
      </c>
      <c r="L183" s="37" t="s">
        <v>886</v>
      </c>
      <c r="M183" s="37" t="str">
        <f t="shared" si="14"/>
        <v>General</v>
      </c>
      <c r="N183" s="37" t="str">
        <f t="shared" si="12"/>
        <v>Insurance</v>
      </c>
      <c r="O183" s="37" t="str" cm="1">
        <f t="array" ref="O183">IF(TRIM(N183)="",INDEX($N$2:$N$1500,MATCH(MAX(COUNTIF($N$2:$N$1500,$N$2:$N$1500)),COUNTIF($N$2:$N$1500,$N$2:$N$1500),0)),N183)</f>
        <v>Insurance</v>
      </c>
      <c r="P183" s="38" cm="1">
        <f t="array" ref="P183">ROUND(IF(TRIM(H183)="",IFERROR(MEDIAN(IF($M$2:$M$1500=M183,$H$2:$H$1500)),MEDIAN($H$2:$H$1500)),H183),2)</f>
        <v>12.02</v>
      </c>
      <c r="Q183" s="38" t="str">
        <f t="shared" si="15"/>
        <v>2+</v>
      </c>
      <c r="R183" s="39" cm="1">
        <f t="array" ref="R183">IF(OR(TRIM(J183)="",TRIM(J183)="-"),MEDIAN(IF($C$2:$C$1218=C183,$J$2:$J$1218)),VALUE(SUBSTITUTE(SUBSTITUTE(SUBSTITUTE(J183,"Rs. ",""),"₹",""),",","")))</f>
        <v>5542</v>
      </c>
      <c r="S183" s="40">
        <f t="shared" si="13"/>
        <v>15</v>
      </c>
      <c r="T183" s="41">
        <f t="shared" si="16"/>
        <v>15</v>
      </c>
      <c r="U183" s="42">
        <f t="shared" si="17"/>
        <v>4711</v>
      </c>
    </row>
    <row r="184" spans="1:21" x14ac:dyDescent="0.3">
      <c r="A184" s="37" t="s">
        <v>2894</v>
      </c>
      <c r="B184" s="37" t="s">
        <v>2430</v>
      </c>
      <c r="C184" s="37" t="s">
        <v>2431</v>
      </c>
      <c r="D184" s="37" t="s">
        <v>106</v>
      </c>
      <c r="E184" s="37" t="s">
        <v>107</v>
      </c>
      <c r="F184" s="37" t="s">
        <v>19</v>
      </c>
      <c r="G184" s="37" t="s">
        <v>2477</v>
      </c>
      <c r="H184" s="37">
        <v>13.94</v>
      </c>
      <c r="I184" s="37">
        <v>2</v>
      </c>
      <c r="J184" s="37" t="s">
        <v>2895</v>
      </c>
      <c r="K184" s="37" t="s">
        <v>58</v>
      </c>
      <c r="L184" s="37" t="s">
        <v>198</v>
      </c>
      <c r="M184" s="37" t="str">
        <f t="shared" si="14"/>
        <v>General</v>
      </c>
      <c r="N184" s="37" t="str">
        <f t="shared" si="12"/>
        <v>UPI</v>
      </c>
      <c r="O184" s="37" t="str" cm="1">
        <f t="array" ref="O184">IF(TRIM(N184)="",INDEX($N$2:$N$1500,MATCH(MAX(COUNTIF($N$2:$N$1500,$N$2:$N$1500)),COUNTIF($N$2:$N$1500,$N$2:$N$1500),0)),N184)</f>
        <v>UPI</v>
      </c>
      <c r="P184" s="38" cm="1">
        <f t="array" ref="P184">ROUND(IF(TRIM(H184)="",IFERROR(MEDIAN(IF($M$2:$M$1500=M184,$H$2:$H$1500)),MEDIAN($H$2:$H$1500)),H184),2)</f>
        <v>13.94</v>
      </c>
      <c r="Q184" s="38" t="str">
        <f t="shared" si="15"/>
        <v>0</v>
      </c>
      <c r="R184" s="39" cm="1">
        <f t="array" ref="R184">IF(OR(TRIM(J184)="",TRIM(J184)="-"),MEDIAN(IF($C$2:$C$1218=C184,$J$2:$J$1218)),VALUE(SUBSTITUTE(SUBSTITUTE(SUBSTITUTE(J184,"Rs. ",""),"₹",""),",","")))</f>
        <v>11577</v>
      </c>
      <c r="S184" s="40">
        <f t="shared" si="13"/>
        <v>5</v>
      </c>
      <c r="T184" s="41">
        <f t="shared" si="16"/>
        <v>5</v>
      </c>
      <c r="U184" s="42">
        <f t="shared" si="17"/>
        <v>10998</v>
      </c>
    </row>
    <row r="185" spans="1:21" x14ac:dyDescent="0.3">
      <c r="A185" s="37" t="s">
        <v>2896</v>
      </c>
      <c r="B185" s="37" t="s">
        <v>2897</v>
      </c>
      <c r="C185" s="37" t="s">
        <v>2481</v>
      </c>
      <c r="D185" s="37" t="s">
        <v>14</v>
      </c>
      <c r="E185" s="37" t="s">
        <v>60</v>
      </c>
      <c r="F185" s="37" t="s">
        <v>30</v>
      </c>
      <c r="G185" s="37" t="s">
        <v>2435</v>
      </c>
      <c r="H185" s="37">
        <v>13.44</v>
      </c>
      <c r="I185" s="37">
        <v>58</v>
      </c>
      <c r="J185" s="37" t="s">
        <v>2898</v>
      </c>
      <c r="K185" s="37" t="s">
        <v>87</v>
      </c>
      <c r="L185" s="37"/>
      <c r="M185" s="37" t="str">
        <f t="shared" si="14"/>
        <v>General</v>
      </c>
      <c r="N185" s="37" t="str">
        <f t="shared" si="12"/>
        <v>Credit Card</v>
      </c>
      <c r="O185" s="37" t="str" cm="1">
        <f t="array" ref="O185">IF(TRIM(N185)="",INDEX($N$2:$N$1500,MATCH(MAX(COUNTIF($N$2:$N$1500,$N$2:$N$1500)),COUNTIF($N$2:$N$1500,$N$2:$N$1500),0)),N185)</f>
        <v>Credit Card</v>
      </c>
      <c r="P185" s="38" cm="1">
        <f t="array" ref="P185">ROUND(IF(TRIM(H185)="",IFERROR(MEDIAN(IF($M$2:$M$1500=M185,$H$2:$H$1500)),MEDIAN($H$2:$H$1500)),H185),2)</f>
        <v>13.44</v>
      </c>
      <c r="Q185" s="38" t="str">
        <f t="shared" si="15"/>
        <v>0</v>
      </c>
      <c r="R185" s="39" cm="1">
        <f t="array" ref="R185">IF(OR(TRIM(J185)="",TRIM(J185)="-"),MEDIAN(IF($C$2:$C$1218=C185,$J$2:$J$1218)),VALUE(SUBSTITUTE(SUBSTITUTE(SUBSTITUTE(J185,"Rs. ",""),"₹",""),",","")))</f>
        <v>8890</v>
      </c>
      <c r="S185" s="40">
        <f t="shared" si="13"/>
        <v>0</v>
      </c>
      <c r="T185" s="41">
        <f t="shared" si="16"/>
        <v>0</v>
      </c>
      <c r="U185" s="42">
        <f t="shared" si="17"/>
        <v>8890</v>
      </c>
    </row>
    <row r="186" spans="1:21" x14ac:dyDescent="0.3">
      <c r="A186" s="37" t="s">
        <v>2899</v>
      </c>
      <c r="B186" s="37" t="s">
        <v>2900</v>
      </c>
      <c r="C186" s="37" t="s">
        <v>2415</v>
      </c>
      <c r="D186" s="37" t="s">
        <v>78</v>
      </c>
      <c r="E186" s="37" t="s">
        <v>79</v>
      </c>
      <c r="F186" s="37" t="s">
        <v>39</v>
      </c>
      <c r="G186" s="37" t="s">
        <v>2408</v>
      </c>
      <c r="H186" s="37">
        <v>24.42</v>
      </c>
      <c r="I186" s="37">
        <v>21</v>
      </c>
      <c r="J186" s="37" t="s">
        <v>2901</v>
      </c>
      <c r="K186" s="37" t="s">
        <v>87</v>
      </c>
      <c r="L186" s="37" t="s">
        <v>76</v>
      </c>
      <c r="M186" s="37" t="str">
        <f t="shared" si="14"/>
        <v>General</v>
      </c>
      <c r="N186" s="37" t="str">
        <f t="shared" si="12"/>
        <v>Credit Card</v>
      </c>
      <c r="O186" s="37" t="str" cm="1">
        <f t="array" ref="O186">IF(TRIM(N186)="",INDEX($N$2:$N$1500,MATCH(MAX(COUNTIF($N$2:$N$1500,$N$2:$N$1500)),COUNTIF($N$2:$N$1500,$N$2:$N$1500),0)),N186)</f>
        <v>Credit Card</v>
      </c>
      <c r="P186" s="38" cm="1">
        <f t="array" ref="P186">ROUND(IF(TRIM(H186)="",IFERROR(MEDIAN(IF($M$2:$M$1500=M186,$H$2:$H$1500)),MEDIAN($H$2:$H$1500)),H186),2)</f>
        <v>24.42</v>
      </c>
      <c r="Q186" s="38" t="str">
        <f t="shared" si="15"/>
        <v>0</v>
      </c>
      <c r="R186" s="39" cm="1">
        <f t="array" ref="R186">IF(OR(TRIM(J186)="",TRIM(J186)="-"),MEDIAN(IF($C$2:$C$1218=C186,$J$2:$J$1218)),VALUE(SUBSTITUTE(SUBSTITUTE(SUBSTITUTE(J186,"Rs. ",""),"₹",""),",","")))</f>
        <v>19128</v>
      </c>
      <c r="S186" s="40">
        <f t="shared" si="13"/>
        <v>10</v>
      </c>
      <c r="T186" s="41">
        <f t="shared" si="16"/>
        <v>10</v>
      </c>
      <c r="U186" s="42">
        <f t="shared" si="17"/>
        <v>17215</v>
      </c>
    </row>
    <row r="187" spans="1:21" x14ac:dyDescent="0.3">
      <c r="A187" s="37" t="s">
        <v>2902</v>
      </c>
      <c r="B187" s="37" t="s">
        <v>2903</v>
      </c>
      <c r="C187" s="37" t="s">
        <v>2481</v>
      </c>
      <c r="D187" s="37" t="s">
        <v>45</v>
      </c>
      <c r="E187" s="37" t="s">
        <v>46</v>
      </c>
      <c r="F187" s="37" t="s">
        <v>39</v>
      </c>
      <c r="G187" s="37" t="s">
        <v>2477</v>
      </c>
      <c r="H187" s="37">
        <v>24.74</v>
      </c>
      <c r="I187" s="37">
        <v>50</v>
      </c>
      <c r="J187" s="37" t="s">
        <v>2904</v>
      </c>
      <c r="K187" s="37" t="s">
        <v>58</v>
      </c>
      <c r="L187" s="37"/>
      <c r="M187" s="37" t="str">
        <f t="shared" si="14"/>
        <v>General</v>
      </c>
      <c r="N187" s="37" t="str">
        <f t="shared" si="12"/>
        <v>UPI</v>
      </c>
      <c r="O187" s="37" t="str" cm="1">
        <f t="array" ref="O187">IF(TRIM(N187)="",INDEX($N$2:$N$1500,MATCH(MAX(COUNTIF($N$2:$N$1500,$N$2:$N$1500)),COUNTIF($N$2:$N$1500,$N$2:$N$1500),0)),N187)</f>
        <v>UPI</v>
      </c>
      <c r="P187" s="38" cm="1">
        <f t="array" ref="P187">ROUND(IF(TRIM(H187)="",IFERROR(MEDIAN(IF($M$2:$M$1500=M187,$H$2:$H$1500)),MEDIAN($H$2:$H$1500)),H187),2)</f>
        <v>24.74</v>
      </c>
      <c r="Q187" s="38" t="str">
        <f t="shared" si="15"/>
        <v>0</v>
      </c>
      <c r="R187" s="39" cm="1">
        <f t="array" ref="R187">IF(OR(TRIM(J187)="",TRIM(J187)="-"),MEDIAN(IF($C$2:$C$1218=C187,$J$2:$J$1218)),VALUE(SUBSTITUTE(SUBSTITUTE(SUBSTITUTE(J187,"Rs. ",""),"₹",""),",","")))</f>
        <v>12989</v>
      </c>
      <c r="S187" s="40">
        <f t="shared" si="13"/>
        <v>0</v>
      </c>
      <c r="T187" s="41">
        <f t="shared" si="16"/>
        <v>0</v>
      </c>
      <c r="U187" s="42">
        <f t="shared" si="17"/>
        <v>12989</v>
      </c>
    </row>
    <row r="188" spans="1:21" x14ac:dyDescent="0.3">
      <c r="A188" s="37" t="s">
        <v>2905</v>
      </c>
      <c r="B188" s="37" t="s">
        <v>2906</v>
      </c>
      <c r="C188" s="37" t="s">
        <v>2577</v>
      </c>
      <c r="D188" s="37" t="s">
        <v>106</v>
      </c>
      <c r="E188" s="37" t="s">
        <v>107</v>
      </c>
      <c r="F188" s="37" t="s">
        <v>49</v>
      </c>
      <c r="G188" s="37" t="s">
        <v>2477</v>
      </c>
      <c r="H188" s="37">
        <v>8.8699999999999992</v>
      </c>
      <c r="I188" s="37">
        <v>29</v>
      </c>
      <c r="J188" s="37">
        <v>15441</v>
      </c>
      <c r="K188" s="37" t="s">
        <v>34</v>
      </c>
      <c r="L188" s="37">
        <v>0</v>
      </c>
      <c r="M188" s="37" t="str">
        <f t="shared" si="14"/>
        <v>General</v>
      </c>
      <c r="N188" s="37" t="str">
        <f t="shared" si="12"/>
        <v>Cash</v>
      </c>
      <c r="O188" s="37" t="str" cm="1">
        <f t="array" ref="O188">IF(TRIM(N188)="",INDEX($N$2:$N$1500,MATCH(MAX(COUNTIF($N$2:$N$1500,$N$2:$N$1500)),COUNTIF($N$2:$N$1500,$N$2:$N$1500),0)),N188)</f>
        <v>Cash</v>
      </c>
      <c r="P188" s="38" cm="1">
        <f t="array" ref="P188">ROUND(IF(TRIM(H188)="",IFERROR(MEDIAN(IF($M$2:$M$1500=M188,$H$2:$H$1500)),MEDIAN($H$2:$H$1500)),H188),2)</f>
        <v>8.8699999999999992</v>
      </c>
      <c r="Q188" s="38" t="str">
        <f t="shared" si="15"/>
        <v>0</v>
      </c>
      <c r="R188" s="39" cm="1">
        <f t="array" ref="R188">IF(OR(TRIM(J188)="",TRIM(J188)="-"),MEDIAN(IF($C$2:$C$1218=C188,$J$2:$J$1218)),VALUE(SUBSTITUTE(SUBSTITUTE(SUBSTITUTE(J188,"Rs. ",""),"₹",""),",","")))</f>
        <v>15441</v>
      </c>
      <c r="S188" s="40">
        <f t="shared" si="13"/>
        <v>0</v>
      </c>
      <c r="T188" s="41">
        <f t="shared" si="16"/>
        <v>0</v>
      </c>
      <c r="U188" s="42">
        <f t="shared" si="17"/>
        <v>15441</v>
      </c>
    </row>
    <row r="189" spans="1:21" x14ac:dyDescent="0.3">
      <c r="A189" s="37" t="s">
        <v>2907</v>
      </c>
      <c r="B189" s="37" t="s">
        <v>2496</v>
      </c>
      <c r="C189" s="37" t="s">
        <v>2463</v>
      </c>
      <c r="D189" s="37" t="s">
        <v>78</v>
      </c>
      <c r="E189" s="37" t="s">
        <v>79</v>
      </c>
      <c r="F189" s="37" t="s">
        <v>30</v>
      </c>
      <c r="G189" s="37" t="s">
        <v>2477</v>
      </c>
      <c r="H189" s="37">
        <v>4.05</v>
      </c>
      <c r="I189" s="37">
        <v>12</v>
      </c>
      <c r="J189" s="37" t="s">
        <v>2908</v>
      </c>
      <c r="K189" s="37" t="s">
        <v>52</v>
      </c>
      <c r="L189" s="37">
        <v>0</v>
      </c>
      <c r="M189" s="37" t="str">
        <f t="shared" si="14"/>
        <v>General</v>
      </c>
      <c r="N189" s="37" t="str">
        <f t="shared" si="12"/>
        <v>Credit Card</v>
      </c>
      <c r="O189" s="37" t="str" cm="1">
        <f t="array" ref="O189">IF(TRIM(N189)="",INDEX($N$2:$N$1500,MATCH(MAX(COUNTIF($N$2:$N$1500,$N$2:$N$1500)),COUNTIF($N$2:$N$1500,$N$2:$N$1500),0)),N189)</f>
        <v>Credit Card</v>
      </c>
      <c r="P189" s="38" cm="1">
        <f t="array" ref="P189">ROUND(IF(TRIM(H189)="",IFERROR(MEDIAN(IF($M$2:$M$1500=M189,$H$2:$H$1500)),MEDIAN($H$2:$H$1500)),H189),2)</f>
        <v>4.05</v>
      </c>
      <c r="Q189" s="38" t="str">
        <f t="shared" si="15"/>
        <v>0</v>
      </c>
      <c r="R189" s="39" cm="1">
        <f t="array" ref="R189">IF(OR(TRIM(J189)="",TRIM(J189)="-"),MEDIAN(IF($C$2:$C$1218=C189,$J$2:$J$1218)),VALUE(SUBSTITUTE(SUBSTITUTE(SUBSTITUTE(J189,"Rs. ",""),"₹",""),",","")))</f>
        <v>3255</v>
      </c>
      <c r="S189" s="40">
        <f t="shared" si="13"/>
        <v>0</v>
      </c>
      <c r="T189" s="41">
        <f t="shared" si="16"/>
        <v>0</v>
      </c>
      <c r="U189" s="42">
        <f t="shared" si="17"/>
        <v>3255</v>
      </c>
    </row>
    <row r="190" spans="1:21" x14ac:dyDescent="0.3">
      <c r="A190" s="37" t="s">
        <v>2909</v>
      </c>
      <c r="B190" s="37" t="s">
        <v>2910</v>
      </c>
      <c r="C190" s="37" t="s">
        <v>2577</v>
      </c>
      <c r="D190" s="37" t="s">
        <v>78</v>
      </c>
      <c r="E190" s="37" t="s">
        <v>79</v>
      </c>
      <c r="F190" s="37" t="s">
        <v>30</v>
      </c>
      <c r="G190" s="37" t="s">
        <v>2418</v>
      </c>
      <c r="H190" s="37">
        <v>23.07</v>
      </c>
      <c r="I190" s="37">
        <v>54</v>
      </c>
      <c r="J190" s="37" t="s">
        <v>2763</v>
      </c>
      <c r="K190" s="37" t="s">
        <v>34</v>
      </c>
      <c r="L190" s="37">
        <v>5</v>
      </c>
      <c r="M190" s="37" t="str">
        <f t="shared" si="14"/>
        <v>General</v>
      </c>
      <c r="N190" s="37" t="str">
        <f t="shared" si="12"/>
        <v>Cash</v>
      </c>
      <c r="O190" s="37" t="str" cm="1">
        <f t="array" ref="O190">IF(TRIM(N190)="",INDEX($N$2:$N$1500,MATCH(MAX(COUNTIF($N$2:$N$1500,$N$2:$N$1500)),COUNTIF($N$2:$N$1500,$N$2:$N$1500),0)),N190)</f>
        <v>Cash</v>
      </c>
      <c r="P190" s="38" cm="1">
        <f t="array" ref="P190">ROUND(IF(TRIM(H190)="",IFERROR(MEDIAN(IF($M$2:$M$1500=M190,$H$2:$H$1500)),MEDIAN($H$2:$H$1500)),H190),2)</f>
        <v>23.07</v>
      </c>
      <c r="Q190" s="38" t="str">
        <f t="shared" si="15"/>
        <v>1</v>
      </c>
      <c r="R190" s="39" cm="1">
        <f t="array" ref="R190">IF(OR(TRIM(J190)="",TRIM(J190)="-"),MEDIAN(IF($C$2:$C$1218=C190,$J$2:$J$1218)),VALUE(SUBSTITUTE(SUBSTITUTE(SUBSTITUTE(J190,"Rs. ",""),"₹",""),",","")))</f>
        <v>14790</v>
      </c>
      <c r="S190" s="40">
        <f t="shared" si="13"/>
        <v>5</v>
      </c>
      <c r="T190" s="41">
        <f t="shared" si="16"/>
        <v>5</v>
      </c>
      <c r="U190" s="42">
        <f t="shared" si="17"/>
        <v>14051</v>
      </c>
    </row>
    <row r="191" spans="1:21" x14ac:dyDescent="0.3">
      <c r="A191" s="37" t="s">
        <v>2911</v>
      </c>
      <c r="B191" s="37" t="s">
        <v>2552</v>
      </c>
      <c r="C191" s="37" t="s">
        <v>2481</v>
      </c>
      <c r="D191" s="37" t="s">
        <v>14</v>
      </c>
      <c r="E191" s="37" t="s">
        <v>60</v>
      </c>
      <c r="F191" s="37" t="s">
        <v>39</v>
      </c>
      <c r="G191" s="37" t="s">
        <v>2455</v>
      </c>
      <c r="H191" s="37">
        <v>24.3</v>
      </c>
      <c r="I191" s="37">
        <v>30</v>
      </c>
      <c r="J191" s="37" t="s">
        <v>2912</v>
      </c>
      <c r="K191" s="37" t="s">
        <v>236</v>
      </c>
      <c r="L191" s="37">
        <v>0</v>
      </c>
      <c r="M191" s="37" t="str">
        <f t="shared" si="14"/>
        <v>General</v>
      </c>
      <c r="N191" s="37" t="str">
        <f t="shared" si="12"/>
        <v>Debit Card</v>
      </c>
      <c r="O191" s="37" t="str" cm="1">
        <f t="array" ref="O191">IF(TRIM(N191)="",INDEX($N$2:$N$1500,MATCH(MAX(COUNTIF($N$2:$N$1500,$N$2:$N$1500)),COUNTIF($N$2:$N$1500,$N$2:$N$1500),0)),N191)</f>
        <v>Debit Card</v>
      </c>
      <c r="P191" s="38" cm="1">
        <f t="array" ref="P191">ROUND(IF(TRIM(H191)="",IFERROR(MEDIAN(IF($M$2:$M$1500=M191,$H$2:$H$1500)),MEDIAN($H$2:$H$1500)),H191),2)</f>
        <v>24.3</v>
      </c>
      <c r="Q191" s="38" t="str">
        <f t="shared" si="15"/>
        <v>1</v>
      </c>
      <c r="R191" s="39" cm="1">
        <f t="array" ref="R191">IF(OR(TRIM(J191)="",TRIM(J191)="-"),MEDIAN(IF($C$2:$C$1218=C191,$J$2:$J$1218)),VALUE(SUBSTITUTE(SUBSTITUTE(SUBSTITUTE(J191,"Rs. ",""),"₹",""),",","")))</f>
        <v>13725</v>
      </c>
      <c r="S191" s="40">
        <f t="shared" si="13"/>
        <v>0</v>
      </c>
      <c r="T191" s="41">
        <f t="shared" si="16"/>
        <v>0</v>
      </c>
      <c r="U191" s="42">
        <f t="shared" si="17"/>
        <v>13725</v>
      </c>
    </row>
    <row r="192" spans="1:21" x14ac:dyDescent="0.3">
      <c r="A192" s="37" t="s">
        <v>2913</v>
      </c>
      <c r="B192" s="37" t="s">
        <v>2914</v>
      </c>
      <c r="C192" s="37" t="s">
        <v>2504</v>
      </c>
      <c r="D192" s="37" t="s">
        <v>117</v>
      </c>
      <c r="E192" s="37" t="s">
        <v>118</v>
      </c>
      <c r="F192" s="37" t="s">
        <v>69</v>
      </c>
      <c r="G192" s="37" t="s">
        <v>2408</v>
      </c>
      <c r="H192" s="37">
        <v>2.31</v>
      </c>
      <c r="I192" s="37">
        <v>26</v>
      </c>
      <c r="J192" s="37" t="s">
        <v>2915</v>
      </c>
      <c r="K192" s="37" t="s">
        <v>83</v>
      </c>
      <c r="L192" s="37">
        <v>0</v>
      </c>
      <c r="M192" s="37" t="str">
        <f t="shared" si="14"/>
        <v>ICU</v>
      </c>
      <c r="N192" s="37" t="str">
        <f t="shared" si="12"/>
        <v>Debit Card</v>
      </c>
      <c r="O192" s="37" t="str" cm="1">
        <f t="array" ref="O192">IF(TRIM(N192)="",INDEX($N$2:$N$1500,MATCH(MAX(COUNTIF($N$2:$N$1500,$N$2:$N$1500)),COUNTIF($N$2:$N$1500,$N$2:$N$1500),0)),N192)</f>
        <v>Debit Card</v>
      </c>
      <c r="P192" s="38" cm="1">
        <f t="array" ref="P192">ROUND(IF(TRIM(H192)="",IFERROR(MEDIAN(IF($M$2:$M$1500=M192,$H$2:$H$1500)),MEDIAN($H$2:$H$1500)),H192),2)</f>
        <v>2.31</v>
      </c>
      <c r="Q192" s="38" t="str">
        <f t="shared" si="15"/>
        <v>0</v>
      </c>
      <c r="R192" s="39" cm="1">
        <f t="array" ref="R192">IF(OR(TRIM(J192)="",TRIM(J192)="-"),MEDIAN(IF($C$2:$C$1218=C192,$J$2:$J$1218)),VALUE(SUBSTITUTE(SUBSTITUTE(SUBSTITUTE(J192,"Rs. ",""),"₹",""),",","")))</f>
        <v>62994</v>
      </c>
      <c r="S192" s="40">
        <f t="shared" si="13"/>
        <v>0</v>
      </c>
      <c r="T192" s="41">
        <f t="shared" si="16"/>
        <v>0</v>
      </c>
      <c r="U192" s="42">
        <f t="shared" si="17"/>
        <v>62994</v>
      </c>
    </row>
    <row r="193" spans="1:21" x14ac:dyDescent="0.3">
      <c r="A193" s="37" t="s">
        <v>2916</v>
      </c>
      <c r="B193" s="37" t="s">
        <v>2917</v>
      </c>
      <c r="C193" s="37" t="s">
        <v>2469</v>
      </c>
      <c r="D193" s="37" t="s">
        <v>14</v>
      </c>
      <c r="E193" s="37" t="s">
        <v>60</v>
      </c>
      <c r="F193" s="37" t="s">
        <v>30</v>
      </c>
      <c r="G193" s="37" t="s">
        <v>2746</v>
      </c>
      <c r="H193" s="37">
        <v>1.67</v>
      </c>
      <c r="I193" s="37">
        <v>53</v>
      </c>
      <c r="J193" s="37" t="s">
        <v>2918</v>
      </c>
      <c r="K193" s="37" t="s">
        <v>115</v>
      </c>
      <c r="L193" s="37">
        <v>0</v>
      </c>
      <c r="M193" s="37" t="str">
        <f t="shared" si="14"/>
        <v>General</v>
      </c>
      <c r="N193" s="37" t="str">
        <f t="shared" si="12"/>
        <v>Cash</v>
      </c>
      <c r="O193" s="37" t="str" cm="1">
        <f t="array" ref="O193">IF(TRIM(N193)="",INDEX($N$2:$N$1500,MATCH(MAX(COUNTIF($N$2:$N$1500,$N$2:$N$1500)),COUNTIF($N$2:$N$1500,$N$2:$N$1500),0)),N193)</f>
        <v>Cash</v>
      </c>
      <c r="P193" s="38" cm="1">
        <f t="array" ref="P193">ROUND(IF(TRIM(H193)="",IFERROR(MEDIAN(IF($M$2:$M$1500=M193,$H$2:$H$1500)),MEDIAN($H$2:$H$1500)),H193),2)</f>
        <v>1.67</v>
      </c>
      <c r="Q193" s="38" t="str">
        <f t="shared" si="15"/>
        <v>2</v>
      </c>
      <c r="R193" s="39" cm="1">
        <f t="array" ref="R193">IF(OR(TRIM(J193)="",TRIM(J193)="-"),MEDIAN(IF($C$2:$C$1218=C193,$J$2:$J$1218)),VALUE(SUBSTITUTE(SUBSTITUTE(SUBSTITUTE(J193,"Rs. ",""),"₹",""),",","")))</f>
        <v>16303</v>
      </c>
      <c r="S193" s="40">
        <f t="shared" si="13"/>
        <v>0</v>
      </c>
      <c r="T193" s="41">
        <f t="shared" si="16"/>
        <v>0</v>
      </c>
      <c r="U193" s="42">
        <f t="shared" si="17"/>
        <v>16303</v>
      </c>
    </row>
    <row r="194" spans="1:21" x14ac:dyDescent="0.3">
      <c r="A194" s="37" t="s">
        <v>2919</v>
      </c>
      <c r="B194" s="37" t="s">
        <v>2920</v>
      </c>
      <c r="C194" s="37" t="s">
        <v>2415</v>
      </c>
      <c r="D194" s="37" t="s">
        <v>117</v>
      </c>
      <c r="E194" s="37" t="s">
        <v>118</v>
      </c>
      <c r="F194" s="37" t="s">
        <v>19</v>
      </c>
      <c r="G194" s="37" t="s">
        <v>2423</v>
      </c>
      <c r="H194" s="37">
        <v>20.6</v>
      </c>
      <c r="I194" s="37">
        <v>24</v>
      </c>
      <c r="J194" s="37" t="s">
        <v>140</v>
      </c>
      <c r="K194" s="37" t="s">
        <v>311</v>
      </c>
      <c r="L194" s="37">
        <v>0.05</v>
      </c>
      <c r="M194" s="37" t="str">
        <f t="shared" si="14"/>
        <v>General</v>
      </c>
      <c r="N194" s="37" t="str">
        <f t="shared" ref="N194:N257" si="18">IF(OR(UPPER(TRIM(K194))="CREDIT_CARD",UPPER(TRIM(K194))="CREDIT CARD",UPPER(TRIM(K194))="CC"),"Credit Card", IF(OR(UPPER(TRIM(K194))="DEBIT_CARD",UPPER(TRIM(K194))="DEBIT CARD",UPPER(TRIM(K194))="DC"),"Debit Card", IF(UPPER(TRIM(K194))="CASH","Cash", IF(UPPER(TRIM(K194))="UPI","UPI", IF(OR(UPPER(TRIM(K194))="INSURANCE",UPPER(TRIM(K194))="INS"),"Insurance", IF(TRIM(K194)="","Unknown","Unknown"))))))</f>
        <v>UPI</v>
      </c>
      <c r="O194" s="37" t="str" cm="1">
        <f t="array" ref="O194">IF(TRIM(N194)="",INDEX($N$2:$N$1500,MATCH(MAX(COUNTIF($N$2:$N$1500,$N$2:$N$1500)),COUNTIF($N$2:$N$1500,$N$2:$N$1500),0)),N194)</f>
        <v>UPI</v>
      </c>
      <c r="P194" s="38" cm="1">
        <f t="array" ref="P194">ROUND(IF(TRIM(H194)="",IFERROR(MEDIAN(IF($M$2:$M$1500=M194,$H$2:$H$1500)),MEDIAN($H$2:$H$1500)),H194),2)</f>
        <v>20.6</v>
      </c>
      <c r="Q194" s="38" t="str">
        <f t="shared" si="15"/>
        <v>0</v>
      </c>
      <c r="R194" s="39" cm="1">
        <f t="array" ref="R194">IF(OR(TRIM(J194)="",TRIM(J194)="-"),MEDIAN(IF($C$2:$C$1218=C194,$J$2:$J$1218)),VALUE(SUBSTITUTE(SUBSTITUTE(SUBSTITUTE(J194,"Rs. ",""),"₹",""),",","")))</f>
        <v>14853</v>
      </c>
      <c r="S194" s="40">
        <f t="shared" ref="S194:S257" si="19">IF(RIGHT(TRIM(L194),1)="%",VALUE(LEFT(TRIM(L194),LEN(TRIM(L194))-1)),IF(AND(ISNUMBER(L194),L194&lt;=1,,L194&gt;0),L194*100,L194))</f>
        <v>0.05</v>
      </c>
      <c r="T194" s="41">
        <f t="shared" si="16"/>
        <v>0</v>
      </c>
      <c r="U194" s="42">
        <f t="shared" si="17"/>
        <v>14853</v>
      </c>
    </row>
    <row r="195" spans="1:21" x14ac:dyDescent="0.3">
      <c r="A195" s="37" t="s">
        <v>2921</v>
      </c>
      <c r="B195" s="37" t="s">
        <v>2922</v>
      </c>
      <c r="C195" s="37" t="s">
        <v>2463</v>
      </c>
      <c r="D195" s="37" t="s">
        <v>25</v>
      </c>
      <c r="E195" s="37" t="s">
        <v>54</v>
      </c>
      <c r="F195" s="37" t="s">
        <v>19</v>
      </c>
      <c r="G195" s="37" t="s">
        <v>2418</v>
      </c>
      <c r="H195" s="37">
        <v>8.59</v>
      </c>
      <c r="I195" s="37">
        <v>12</v>
      </c>
      <c r="J195" s="37">
        <v>6189</v>
      </c>
      <c r="K195" s="37" t="s">
        <v>34</v>
      </c>
      <c r="L195" s="37"/>
      <c r="M195" s="37" t="str">
        <f t="shared" ref="M195:M258" si="20">IF(OR(UPPER(TRIM(F195))="GENERAL",UPPER(TRIM(F195))="GENRAL"),"General",IF(UPPER(TRIM(F195))="ICU","ICU","Unknown"))</f>
        <v>General</v>
      </c>
      <c r="N195" s="37" t="str">
        <f t="shared" si="18"/>
        <v>Cash</v>
      </c>
      <c r="O195" s="37" t="str" cm="1">
        <f t="array" ref="O195">IF(TRIM(N195)="",INDEX($N$2:$N$1500,MATCH(MAX(COUNTIF($N$2:$N$1500,$N$2:$N$1500)),COUNTIF($N$2:$N$1500,$N$2:$N$1500),0)),N195)</f>
        <v>Cash</v>
      </c>
      <c r="P195" s="38" cm="1">
        <f t="array" ref="P195">ROUND(IF(TRIM(H195)="",IFERROR(MEDIAN(IF($M$2:$M$1500=M195,$H$2:$H$1500)),MEDIAN($H$2:$H$1500)),H195),2)</f>
        <v>8.59</v>
      </c>
      <c r="Q195" s="38" t="str">
        <f t="shared" ref="Q195:Q258" si="21">IF(OR(LOWER(TRIM(G195))="0",LOWER(TRIM(G195))="zero"),"0", IF(OR(LOWER(TRIM(G195))="1",LOWER(TRIM(G195))="one"),"1", IF(OR(LOWER(TRIM(G195))="2",LOWER(TRIM(G195))="two"),"2", IF(OR(LOWER(TRIM(G195))="2+",LOWER(TRIM(G195))="two_or_more",LOWER(TRIM(G195))="multiple"),"2+", "Unknown"))))</f>
        <v>1</v>
      </c>
      <c r="R195" s="39" cm="1">
        <f t="array" ref="R195">IF(OR(TRIM(J195)="",TRIM(J195)="-"),MEDIAN(IF($C$2:$C$1218=C195,$J$2:$J$1218)),VALUE(SUBSTITUTE(SUBSTITUTE(SUBSTITUTE(J195,"Rs. ",""),"₹",""),",","")))</f>
        <v>6189</v>
      </c>
      <c r="S195" s="40">
        <f t="shared" si="19"/>
        <v>0</v>
      </c>
      <c r="T195" s="41">
        <f t="shared" ref="T195:T258" si="22">ROUND(IF(OR(TRIM(S195)="-",UPPER(TRIM(S195))="N/A",UPPER(TRIM(S195))="NA"),IFERROR(AVERAGEIF($O$2:$O$1500,O195,$S$2:$S$1500),AVERAGE($S$2:$S$1500)),S195),0)</f>
        <v>0</v>
      </c>
      <c r="U195" s="42">
        <f t="shared" ref="U195:U258" si="23">ROUND(R195*(1-T195/100),0)</f>
        <v>6189</v>
      </c>
    </row>
    <row r="196" spans="1:21" x14ac:dyDescent="0.3">
      <c r="A196" s="37" t="s">
        <v>2923</v>
      </c>
      <c r="B196" s="37" t="s">
        <v>2886</v>
      </c>
      <c r="C196" s="37" t="s">
        <v>2463</v>
      </c>
      <c r="D196" s="37" t="s">
        <v>25</v>
      </c>
      <c r="E196" s="37" t="s">
        <v>54</v>
      </c>
      <c r="F196" s="37" t="s">
        <v>62</v>
      </c>
      <c r="G196" s="37" t="s">
        <v>2418</v>
      </c>
      <c r="H196" s="37">
        <v>15.8</v>
      </c>
      <c r="I196" s="37">
        <v>45</v>
      </c>
      <c r="J196" s="37">
        <v>69038</v>
      </c>
      <c r="K196" s="37" t="s">
        <v>72</v>
      </c>
      <c r="L196" s="37">
        <v>10</v>
      </c>
      <c r="M196" s="37" t="str">
        <f t="shared" si="20"/>
        <v>ICU</v>
      </c>
      <c r="N196" s="37" t="str">
        <f t="shared" si="18"/>
        <v>Cash</v>
      </c>
      <c r="O196" s="37" t="str" cm="1">
        <f t="array" ref="O196">IF(TRIM(N196)="",INDEX($N$2:$N$1500,MATCH(MAX(COUNTIF($N$2:$N$1500,$N$2:$N$1500)),COUNTIF($N$2:$N$1500,$N$2:$N$1500),0)),N196)</f>
        <v>Cash</v>
      </c>
      <c r="P196" s="38" cm="1">
        <f t="array" ref="P196">ROUND(IF(TRIM(H196)="",IFERROR(MEDIAN(IF($M$2:$M$1500=M196,$H$2:$H$1500)),MEDIAN($H$2:$H$1500)),H196),2)</f>
        <v>15.8</v>
      </c>
      <c r="Q196" s="38" t="str">
        <f t="shared" si="21"/>
        <v>1</v>
      </c>
      <c r="R196" s="39" cm="1">
        <f t="array" ref="R196">IF(OR(TRIM(J196)="",TRIM(J196)="-"),MEDIAN(IF($C$2:$C$1218=C196,$J$2:$J$1218)),VALUE(SUBSTITUTE(SUBSTITUTE(SUBSTITUTE(J196,"Rs. ",""),"₹",""),",","")))</f>
        <v>69038</v>
      </c>
      <c r="S196" s="40">
        <f t="shared" si="19"/>
        <v>10</v>
      </c>
      <c r="T196" s="41">
        <f t="shared" si="22"/>
        <v>10</v>
      </c>
      <c r="U196" s="42">
        <f t="shared" si="23"/>
        <v>62134</v>
      </c>
    </row>
    <row r="197" spans="1:21" x14ac:dyDescent="0.3">
      <c r="A197" s="37" t="s">
        <v>2924</v>
      </c>
      <c r="B197" s="37" t="s">
        <v>2925</v>
      </c>
      <c r="C197" s="37" t="s">
        <v>2521</v>
      </c>
      <c r="D197" s="37" t="s">
        <v>78</v>
      </c>
      <c r="E197" s="37" t="s">
        <v>79</v>
      </c>
      <c r="F197" s="37" t="s">
        <v>49</v>
      </c>
      <c r="G197" s="37" t="s">
        <v>2423</v>
      </c>
      <c r="H197" s="37">
        <v>10.63</v>
      </c>
      <c r="I197" s="37">
        <v>52</v>
      </c>
      <c r="J197" s="37" t="s">
        <v>2926</v>
      </c>
      <c r="K197" s="37" t="s">
        <v>58</v>
      </c>
      <c r="L197" s="37" t="s">
        <v>76</v>
      </c>
      <c r="M197" s="37" t="str">
        <f t="shared" si="20"/>
        <v>General</v>
      </c>
      <c r="N197" s="37" t="str">
        <f t="shared" si="18"/>
        <v>UPI</v>
      </c>
      <c r="O197" s="37" t="str" cm="1">
        <f t="array" ref="O197">IF(TRIM(N197)="",INDEX($N$2:$N$1500,MATCH(MAX(COUNTIF($N$2:$N$1500,$N$2:$N$1500)),COUNTIF($N$2:$N$1500,$N$2:$N$1500),0)),N197)</f>
        <v>UPI</v>
      </c>
      <c r="P197" s="38" cm="1">
        <f t="array" ref="P197">ROUND(IF(TRIM(H197)="",IFERROR(MEDIAN(IF($M$2:$M$1500=M197,$H$2:$H$1500)),MEDIAN($H$2:$H$1500)),H197),2)</f>
        <v>10.63</v>
      </c>
      <c r="Q197" s="38" t="str">
        <f t="shared" si="21"/>
        <v>0</v>
      </c>
      <c r="R197" s="39" cm="1">
        <f t="array" ref="R197">IF(OR(TRIM(J197)="",TRIM(J197)="-"),MEDIAN(IF($C$2:$C$1218=C197,$J$2:$J$1218)),VALUE(SUBSTITUTE(SUBSTITUTE(SUBSTITUTE(J197,"Rs. ",""),"₹",""),",","")))</f>
        <v>13533</v>
      </c>
      <c r="S197" s="40">
        <f t="shared" si="19"/>
        <v>10</v>
      </c>
      <c r="T197" s="41">
        <f t="shared" si="22"/>
        <v>10</v>
      </c>
      <c r="U197" s="42">
        <f t="shared" si="23"/>
        <v>12180</v>
      </c>
    </row>
    <row r="198" spans="1:21" x14ac:dyDescent="0.3">
      <c r="A198" s="37" t="s">
        <v>2927</v>
      </c>
      <c r="B198" s="37" t="s">
        <v>2928</v>
      </c>
      <c r="C198" s="37" t="s">
        <v>2473</v>
      </c>
      <c r="D198" s="37" t="s">
        <v>45</v>
      </c>
      <c r="E198" s="37" t="s">
        <v>46</v>
      </c>
      <c r="F198" s="37" t="s">
        <v>62</v>
      </c>
      <c r="G198" s="37" t="s">
        <v>2408</v>
      </c>
      <c r="H198" s="37">
        <v>12.84</v>
      </c>
      <c r="I198" s="37">
        <v>2</v>
      </c>
      <c r="J198" s="37">
        <v>24320</v>
      </c>
      <c r="K198" s="37" t="s">
        <v>42</v>
      </c>
      <c r="L198" s="37" t="s">
        <v>187</v>
      </c>
      <c r="M198" s="37" t="str">
        <f t="shared" si="20"/>
        <v>ICU</v>
      </c>
      <c r="N198" s="37" t="str">
        <f t="shared" si="18"/>
        <v>Insurance</v>
      </c>
      <c r="O198" s="37" t="str" cm="1">
        <f t="array" ref="O198">IF(TRIM(N198)="",INDEX($N$2:$N$1500,MATCH(MAX(COUNTIF($N$2:$N$1500,$N$2:$N$1500)),COUNTIF($N$2:$N$1500,$N$2:$N$1500),0)),N198)</f>
        <v>Insurance</v>
      </c>
      <c r="P198" s="38" cm="1">
        <f t="array" ref="P198">ROUND(IF(TRIM(H198)="",IFERROR(MEDIAN(IF($M$2:$M$1500=M198,$H$2:$H$1500)),MEDIAN($H$2:$H$1500)),H198),2)</f>
        <v>12.84</v>
      </c>
      <c r="Q198" s="38" t="str">
        <f t="shared" si="21"/>
        <v>0</v>
      </c>
      <c r="R198" s="39" cm="1">
        <f t="array" ref="R198">IF(OR(TRIM(J198)="",TRIM(J198)="-"),MEDIAN(IF($C$2:$C$1218=C198,$J$2:$J$1218)),VALUE(SUBSTITUTE(SUBSTITUTE(SUBSTITUTE(J198,"Rs. ",""),"₹",""),",","")))</f>
        <v>24320</v>
      </c>
      <c r="S198" s="40">
        <f t="shared" si="19"/>
        <v>35</v>
      </c>
      <c r="T198" s="41">
        <f t="shared" si="22"/>
        <v>35</v>
      </c>
      <c r="U198" s="42">
        <f t="shared" si="23"/>
        <v>15808</v>
      </c>
    </row>
    <row r="199" spans="1:21" x14ac:dyDescent="0.3">
      <c r="A199" s="37" t="s">
        <v>2929</v>
      </c>
      <c r="B199" s="37" t="s">
        <v>2930</v>
      </c>
      <c r="C199" s="37" t="s">
        <v>2490</v>
      </c>
      <c r="D199" s="37" t="s">
        <v>106</v>
      </c>
      <c r="E199" s="37" t="s">
        <v>107</v>
      </c>
      <c r="F199" s="37" t="s">
        <v>39</v>
      </c>
      <c r="G199" s="37" t="s">
        <v>2477</v>
      </c>
      <c r="H199" s="37">
        <v>14.46</v>
      </c>
      <c r="I199" s="37">
        <v>45</v>
      </c>
      <c r="J199" s="37">
        <v>15546</v>
      </c>
      <c r="K199" s="37" t="s">
        <v>52</v>
      </c>
      <c r="L199" s="37">
        <v>0</v>
      </c>
      <c r="M199" s="37" t="str">
        <f t="shared" si="20"/>
        <v>General</v>
      </c>
      <c r="N199" s="37" t="str">
        <f t="shared" si="18"/>
        <v>Credit Card</v>
      </c>
      <c r="O199" s="37" t="str" cm="1">
        <f t="array" ref="O199">IF(TRIM(N199)="",INDEX($N$2:$N$1500,MATCH(MAX(COUNTIF($N$2:$N$1500,$N$2:$N$1500)),COUNTIF($N$2:$N$1500,$N$2:$N$1500),0)),N199)</f>
        <v>Credit Card</v>
      </c>
      <c r="P199" s="38" cm="1">
        <f t="array" ref="P199">ROUND(IF(TRIM(H199)="",IFERROR(MEDIAN(IF($M$2:$M$1500=M199,$H$2:$H$1500)),MEDIAN($H$2:$H$1500)),H199),2)</f>
        <v>14.46</v>
      </c>
      <c r="Q199" s="38" t="str">
        <f t="shared" si="21"/>
        <v>0</v>
      </c>
      <c r="R199" s="39" cm="1">
        <f t="array" ref="R199">IF(OR(TRIM(J199)="",TRIM(J199)="-"),MEDIAN(IF($C$2:$C$1218=C199,$J$2:$J$1218)),VALUE(SUBSTITUTE(SUBSTITUTE(SUBSTITUTE(J199,"Rs. ",""),"₹",""),",","")))</f>
        <v>15546</v>
      </c>
      <c r="S199" s="40">
        <f t="shared" si="19"/>
        <v>0</v>
      </c>
      <c r="T199" s="41">
        <f t="shared" si="22"/>
        <v>0</v>
      </c>
      <c r="U199" s="42">
        <f t="shared" si="23"/>
        <v>15546</v>
      </c>
    </row>
    <row r="200" spans="1:21" x14ac:dyDescent="0.3">
      <c r="A200" s="37" t="s">
        <v>2931</v>
      </c>
      <c r="B200" s="37" t="s">
        <v>2932</v>
      </c>
      <c r="C200" s="37" t="s">
        <v>2463</v>
      </c>
      <c r="D200" s="37" t="s">
        <v>106</v>
      </c>
      <c r="E200" s="37" t="s">
        <v>107</v>
      </c>
      <c r="F200" s="37" t="s">
        <v>30</v>
      </c>
      <c r="G200" s="37" t="s">
        <v>2450</v>
      </c>
      <c r="H200" s="37">
        <v>6.81</v>
      </c>
      <c r="I200" s="37">
        <v>50</v>
      </c>
      <c r="J200" s="37" t="s">
        <v>2933</v>
      </c>
      <c r="K200" s="37" t="s">
        <v>87</v>
      </c>
      <c r="L200" s="37" t="s">
        <v>130</v>
      </c>
      <c r="M200" s="37" t="str">
        <f t="shared" si="20"/>
        <v>General</v>
      </c>
      <c r="N200" s="37" t="str">
        <f t="shared" si="18"/>
        <v>Credit Card</v>
      </c>
      <c r="O200" s="37" t="str" cm="1">
        <f t="array" ref="O200">IF(TRIM(N200)="",INDEX($N$2:$N$1500,MATCH(MAX(COUNTIF($N$2:$N$1500,$N$2:$N$1500)),COUNTIF($N$2:$N$1500,$N$2:$N$1500),0)),N200)</f>
        <v>Credit Card</v>
      </c>
      <c r="P200" s="38" cm="1">
        <f t="array" ref="P200">ROUND(IF(TRIM(H200)="",IFERROR(MEDIAN(IF($M$2:$M$1500=M200,$H$2:$H$1500)),MEDIAN($H$2:$H$1500)),H200),2)</f>
        <v>6.81</v>
      </c>
      <c r="Q200" s="38" t="str">
        <f t="shared" si="21"/>
        <v>1</v>
      </c>
      <c r="R200" s="39" cm="1">
        <f t="array" ref="R200">IF(OR(TRIM(J200)="",TRIM(J200)="-"),MEDIAN(IF($C$2:$C$1218=C200,$J$2:$J$1218)),VALUE(SUBSTITUTE(SUBSTITUTE(SUBSTITUTE(J200,"Rs. ",""),"₹",""),",","")))</f>
        <v>11507</v>
      </c>
      <c r="S200" s="40">
        <f t="shared" si="19"/>
        <v>0</v>
      </c>
      <c r="T200" s="41">
        <f t="shared" si="22"/>
        <v>0</v>
      </c>
      <c r="U200" s="42">
        <f t="shared" si="23"/>
        <v>11507</v>
      </c>
    </row>
    <row r="201" spans="1:21" x14ac:dyDescent="0.3">
      <c r="A201" s="37" t="s">
        <v>2934</v>
      </c>
      <c r="B201" s="37" t="s">
        <v>2525</v>
      </c>
      <c r="C201" s="37" t="s">
        <v>2481</v>
      </c>
      <c r="D201" s="37" t="s">
        <v>25</v>
      </c>
      <c r="E201" s="37" t="s">
        <v>54</v>
      </c>
      <c r="F201" s="37" t="s">
        <v>49</v>
      </c>
      <c r="G201" s="37"/>
      <c r="H201" s="37">
        <v>15.67</v>
      </c>
      <c r="I201" s="37">
        <v>56</v>
      </c>
      <c r="J201" s="37" t="s">
        <v>2935</v>
      </c>
      <c r="K201" s="37" t="s">
        <v>311</v>
      </c>
      <c r="L201" s="37">
        <v>0</v>
      </c>
      <c r="M201" s="37" t="str">
        <f t="shared" si="20"/>
        <v>General</v>
      </c>
      <c r="N201" s="37" t="str">
        <f t="shared" si="18"/>
        <v>UPI</v>
      </c>
      <c r="O201" s="37" t="str" cm="1">
        <f t="array" ref="O201">IF(TRIM(N201)="",INDEX($N$2:$N$1500,MATCH(MAX(COUNTIF($N$2:$N$1500,$N$2:$N$1500)),COUNTIF($N$2:$N$1500,$N$2:$N$1500),0)),N201)</f>
        <v>UPI</v>
      </c>
      <c r="P201" s="38" cm="1">
        <f t="array" ref="P201">ROUND(IF(TRIM(H201)="",IFERROR(MEDIAN(IF($M$2:$M$1500=M201,$H$2:$H$1500)),MEDIAN($H$2:$H$1500)),H201),2)</f>
        <v>15.67</v>
      </c>
      <c r="Q201" s="38" t="str">
        <f t="shared" si="21"/>
        <v>Unknown</v>
      </c>
      <c r="R201" s="39" cm="1">
        <f t="array" ref="R201">IF(OR(TRIM(J201)="",TRIM(J201)="-"),MEDIAN(IF($C$2:$C$1218=C201,$J$2:$J$1218)),VALUE(SUBSTITUTE(SUBSTITUTE(SUBSTITUTE(J201,"Rs. ",""),"₹",""),",","")))</f>
        <v>19914</v>
      </c>
      <c r="S201" s="40">
        <f t="shared" si="19"/>
        <v>0</v>
      </c>
      <c r="T201" s="41">
        <f t="shared" si="22"/>
        <v>0</v>
      </c>
      <c r="U201" s="42">
        <f t="shared" si="23"/>
        <v>19914</v>
      </c>
    </row>
    <row r="202" spans="1:21" x14ac:dyDescent="0.3">
      <c r="A202" s="37" t="s">
        <v>2936</v>
      </c>
      <c r="B202" s="37" t="s">
        <v>2937</v>
      </c>
      <c r="C202" s="37" t="s">
        <v>2518</v>
      </c>
      <c r="D202" s="37" t="s">
        <v>78</v>
      </c>
      <c r="E202" s="37" t="s">
        <v>79</v>
      </c>
      <c r="F202" s="37" t="s">
        <v>39</v>
      </c>
      <c r="G202" s="37" t="s">
        <v>2439</v>
      </c>
      <c r="H202" s="37">
        <v>6.09</v>
      </c>
      <c r="I202" s="37">
        <v>3</v>
      </c>
      <c r="J202" s="37" t="s">
        <v>2938</v>
      </c>
      <c r="K202" s="37" t="s">
        <v>311</v>
      </c>
      <c r="L202" s="37" t="s">
        <v>130</v>
      </c>
      <c r="M202" s="37" t="str">
        <f t="shared" si="20"/>
        <v>General</v>
      </c>
      <c r="N202" s="37" t="str">
        <f t="shared" si="18"/>
        <v>UPI</v>
      </c>
      <c r="O202" s="37" t="str" cm="1">
        <f t="array" ref="O202">IF(TRIM(N202)="",INDEX($N$2:$N$1500,MATCH(MAX(COUNTIF($N$2:$N$1500,$N$2:$N$1500)),COUNTIF($N$2:$N$1500,$N$2:$N$1500),0)),N202)</f>
        <v>UPI</v>
      </c>
      <c r="P202" s="38" cm="1">
        <f t="array" ref="P202">ROUND(IF(TRIM(H202)="",IFERROR(MEDIAN(IF($M$2:$M$1500=M202,$H$2:$H$1500)),MEDIAN($H$2:$H$1500)),H202),2)</f>
        <v>6.09</v>
      </c>
      <c r="Q202" s="38" t="str">
        <f t="shared" si="21"/>
        <v>2</v>
      </c>
      <c r="R202" s="39" cm="1">
        <f t="array" ref="R202">IF(OR(TRIM(J202)="",TRIM(J202)="-"),MEDIAN(IF($C$2:$C$1218=C202,$J$2:$J$1218)),VALUE(SUBSTITUTE(SUBSTITUTE(SUBSTITUTE(J202,"Rs. ",""),"₹",""),",","")))</f>
        <v>8318</v>
      </c>
      <c r="S202" s="40">
        <f t="shared" si="19"/>
        <v>0</v>
      </c>
      <c r="T202" s="41">
        <f t="shared" si="22"/>
        <v>0</v>
      </c>
      <c r="U202" s="42">
        <f t="shared" si="23"/>
        <v>8318</v>
      </c>
    </row>
    <row r="203" spans="1:21" x14ac:dyDescent="0.3">
      <c r="A203" s="37" t="s">
        <v>2939</v>
      </c>
      <c r="B203" s="37" t="s">
        <v>2940</v>
      </c>
      <c r="C203" s="37" t="s">
        <v>2427</v>
      </c>
      <c r="D203" s="37" t="s">
        <v>106</v>
      </c>
      <c r="E203" s="37" t="s">
        <v>307</v>
      </c>
      <c r="F203" s="37" t="s">
        <v>49</v>
      </c>
      <c r="G203" s="37" t="s">
        <v>2408</v>
      </c>
      <c r="H203" s="37">
        <v>12.18</v>
      </c>
      <c r="I203" s="37">
        <v>44</v>
      </c>
      <c r="J203" s="37">
        <v>10371</v>
      </c>
      <c r="K203" s="37" t="s">
        <v>104</v>
      </c>
      <c r="L203" s="37" t="s">
        <v>140</v>
      </c>
      <c r="M203" s="37" t="str">
        <f t="shared" si="20"/>
        <v>General</v>
      </c>
      <c r="N203" s="37" t="str">
        <f t="shared" si="18"/>
        <v>Insurance</v>
      </c>
      <c r="O203" s="37" t="str" cm="1">
        <f t="array" ref="O203">IF(TRIM(N203)="",INDEX($N$2:$N$1500,MATCH(MAX(COUNTIF($N$2:$N$1500,$N$2:$N$1500)),COUNTIF($N$2:$N$1500,$N$2:$N$1500),0)),N203)</f>
        <v>Insurance</v>
      </c>
      <c r="P203" s="38" cm="1">
        <f t="array" ref="P203">ROUND(IF(TRIM(H203)="",IFERROR(MEDIAN(IF($M$2:$M$1500=M203,$H$2:$H$1500)),MEDIAN($H$2:$H$1500)),H203),2)</f>
        <v>12.18</v>
      </c>
      <c r="Q203" s="38" t="str">
        <f t="shared" si="21"/>
        <v>0</v>
      </c>
      <c r="R203" s="39" cm="1">
        <f t="array" ref="R203">IF(OR(TRIM(J203)="",TRIM(J203)="-"),MEDIAN(IF($C$2:$C$1218=C203,$J$2:$J$1218)),VALUE(SUBSTITUTE(SUBSTITUTE(SUBSTITUTE(J203,"Rs. ",""),"₹",""),",","")))</f>
        <v>10371</v>
      </c>
      <c r="S203" s="40" t="str">
        <f t="shared" si="19"/>
        <v>-</v>
      </c>
      <c r="T203" s="41">
        <f t="shared" si="22"/>
        <v>17</v>
      </c>
      <c r="U203" s="42">
        <f t="shared" si="23"/>
        <v>8608</v>
      </c>
    </row>
    <row r="204" spans="1:21" x14ac:dyDescent="0.3">
      <c r="A204" s="37" t="s">
        <v>2941</v>
      </c>
      <c r="B204" s="37" t="s">
        <v>2942</v>
      </c>
      <c r="C204" s="37" t="s">
        <v>2514</v>
      </c>
      <c r="D204" s="37" t="s">
        <v>14</v>
      </c>
      <c r="E204" s="37" t="s">
        <v>60</v>
      </c>
      <c r="F204" s="37"/>
      <c r="G204" s="37" t="s">
        <v>2746</v>
      </c>
      <c r="H204" s="37">
        <v>11.79</v>
      </c>
      <c r="I204" s="37">
        <v>12</v>
      </c>
      <c r="J204" s="37" t="s">
        <v>2943</v>
      </c>
      <c r="K204" s="37" t="s">
        <v>72</v>
      </c>
      <c r="L204" s="37">
        <v>0</v>
      </c>
      <c r="M204" s="37" t="str">
        <f t="shared" si="20"/>
        <v>Unknown</v>
      </c>
      <c r="N204" s="37" t="str">
        <f t="shared" si="18"/>
        <v>Cash</v>
      </c>
      <c r="O204" s="37" t="str" cm="1">
        <f t="array" ref="O204">IF(TRIM(N204)="",INDEX($N$2:$N$1500,MATCH(MAX(COUNTIF($N$2:$N$1500,$N$2:$N$1500)),COUNTIF($N$2:$N$1500,$N$2:$N$1500),0)),N204)</f>
        <v>Cash</v>
      </c>
      <c r="P204" s="38" cm="1">
        <f t="array" ref="P204">ROUND(IF(TRIM(H204)="",IFERROR(MEDIAN(IF($M$2:$M$1500=M204,$H$2:$H$1500)),MEDIAN($H$2:$H$1500)),H204),2)</f>
        <v>11.79</v>
      </c>
      <c r="Q204" s="38" t="str">
        <f t="shared" si="21"/>
        <v>2</v>
      </c>
      <c r="R204" s="39" cm="1">
        <f t="array" ref="R204">IF(OR(TRIM(J204)="",TRIM(J204)="-"),MEDIAN(IF($C$2:$C$1218=C204,$J$2:$J$1218)),VALUE(SUBSTITUTE(SUBSTITUTE(SUBSTITUTE(J204,"Rs. ",""),"₹",""),",","")))</f>
        <v>7669</v>
      </c>
      <c r="S204" s="40">
        <f t="shared" si="19"/>
        <v>0</v>
      </c>
      <c r="T204" s="41">
        <f t="shared" si="22"/>
        <v>0</v>
      </c>
      <c r="U204" s="42">
        <f t="shared" si="23"/>
        <v>7669</v>
      </c>
    </row>
    <row r="205" spans="1:21" x14ac:dyDescent="0.3">
      <c r="A205" s="37" t="s">
        <v>2944</v>
      </c>
      <c r="B205" s="37" t="s">
        <v>2945</v>
      </c>
      <c r="C205" s="37" t="s">
        <v>2577</v>
      </c>
      <c r="D205" s="37" t="s">
        <v>14</v>
      </c>
      <c r="E205" s="37" t="s">
        <v>60</v>
      </c>
      <c r="F205" s="37" t="s">
        <v>39</v>
      </c>
      <c r="G205" s="37" t="s">
        <v>2418</v>
      </c>
      <c r="H205" s="37">
        <v>8.92</v>
      </c>
      <c r="I205" s="37" t="s">
        <v>140</v>
      </c>
      <c r="J205" s="37" t="s">
        <v>2946</v>
      </c>
      <c r="K205" s="37" t="s">
        <v>115</v>
      </c>
      <c r="L205" s="37">
        <v>0</v>
      </c>
      <c r="M205" s="37" t="str">
        <f t="shared" si="20"/>
        <v>General</v>
      </c>
      <c r="N205" s="37" t="str">
        <f t="shared" si="18"/>
        <v>Cash</v>
      </c>
      <c r="O205" s="37" t="str" cm="1">
        <f t="array" ref="O205">IF(TRIM(N205)="",INDEX($N$2:$N$1500,MATCH(MAX(COUNTIF($N$2:$N$1500,$N$2:$N$1500)),COUNTIF($N$2:$N$1500,$N$2:$N$1500),0)),N205)</f>
        <v>Cash</v>
      </c>
      <c r="P205" s="38" cm="1">
        <f t="array" ref="P205">ROUND(IF(TRIM(H205)="",IFERROR(MEDIAN(IF($M$2:$M$1500=M205,$H$2:$H$1500)),MEDIAN($H$2:$H$1500)),H205),2)</f>
        <v>8.92</v>
      </c>
      <c r="Q205" s="38" t="str">
        <f t="shared" si="21"/>
        <v>1</v>
      </c>
      <c r="R205" s="39" cm="1">
        <f t="array" ref="R205">IF(OR(TRIM(J205)="",TRIM(J205)="-"),MEDIAN(IF($C$2:$C$1218=C205,$J$2:$J$1218)),VALUE(SUBSTITUTE(SUBSTITUTE(SUBSTITUTE(J205,"Rs. ",""),"₹",""),",","")))</f>
        <v>6692</v>
      </c>
      <c r="S205" s="40">
        <f t="shared" si="19"/>
        <v>0</v>
      </c>
      <c r="T205" s="41">
        <f t="shared" si="22"/>
        <v>0</v>
      </c>
      <c r="U205" s="42">
        <f t="shared" si="23"/>
        <v>6692</v>
      </c>
    </row>
    <row r="206" spans="1:21" x14ac:dyDescent="0.3">
      <c r="A206" s="37" t="s">
        <v>2947</v>
      </c>
      <c r="B206" s="37" t="s">
        <v>2948</v>
      </c>
      <c r="C206" s="37" t="s">
        <v>2445</v>
      </c>
      <c r="D206" s="37" t="s">
        <v>25</v>
      </c>
      <c r="E206" s="37" t="s">
        <v>26</v>
      </c>
      <c r="F206" s="37" t="s">
        <v>101</v>
      </c>
      <c r="G206" s="37" t="s">
        <v>2428</v>
      </c>
      <c r="H206" s="37">
        <v>2.98</v>
      </c>
      <c r="I206" s="37" t="s">
        <v>140</v>
      </c>
      <c r="J206" s="37">
        <v>50797</v>
      </c>
      <c r="K206" s="37" t="s">
        <v>311</v>
      </c>
      <c r="L206" s="37">
        <v>0</v>
      </c>
      <c r="M206" s="37" t="str">
        <f t="shared" si="20"/>
        <v>ICU</v>
      </c>
      <c r="N206" s="37" t="str">
        <f t="shared" si="18"/>
        <v>UPI</v>
      </c>
      <c r="O206" s="37" t="str" cm="1">
        <f t="array" ref="O206">IF(TRIM(N206)="",INDEX($N$2:$N$1500,MATCH(MAX(COUNTIF($N$2:$N$1500,$N$2:$N$1500)),COUNTIF($N$2:$N$1500,$N$2:$N$1500),0)),N206)</f>
        <v>UPI</v>
      </c>
      <c r="P206" s="38" cm="1">
        <f t="array" ref="P206">ROUND(IF(TRIM(H206)="",IFERROR(MEDIAN(IF($M$2:$M$1500=M206,$H$2:$H$1500)),MEDIAN($H$2:$H$1500)),H206),2)</f>
        <v>2.98</v>
      </c>
      <c r="Q206" s="38" t="str">
        <f t="shared" si="21"/>
        <v>2</v>
      </c>
      <c r="R206" s="39" cm="1">
        <f t="array" ref="R206">IF(OR(TRIM(J206)="",TRIM(J206)="-"),MEDIAN(IF($C$2:$C$1218=C206,$J$2:$J$1218)),VALUE(SUBSTITUTE(SUBSTITUTE(SUBSTITUTE(J206,"Rs. ",""),"₹",""),",","")))</f>
        <v>50797</v>
      </c>
      <c r="S206" s="40">
        <f t="shared" si="19"/>
        <v>0</v>
      </c>
      <c r="T206" s="41">
        <f t="shared" si="22"/>
        <v>0</v>
      </c>
      <c r="U206" s="42">
        <f t="shared" si="23"/>
        <v>50797</v>
      </c>
    </row>
    <row r="207" spans="1:21" x14ac:dyDescent="0.3">
      <c r="A207" s="37" t="s">
        <v>2949</v>
      </c>
      <c r="B207" s="37" t="s">
        <v>2950</v>
      </c>
      <c r="C207" s="37" t="s">
        <v>2459</v>
      </c>
      <c r="D207" s="37" t="s">
        <v>78</v>
      </c>
      <c r="E207" s="37" t="s">
        <v>79</v>
      </c>
      <c r="F207" s="37"/>
      <c r="G207" s="37"/>
      <c r="H207" s="37">
        <v>12.56</v>
      </c>
      <c r="I207" s="37">
        <v>60</v>
      </c>
      <c r="J207" s="37" t="s">
        <v>2951</v>
      </c>
      <c r="K207" s="37" t="s">
        <v>34</v>
      </c>
      <c r="L207" s="37" t="s">
        <v>130</v>
      </c>
      <c r="M207" s="37" t="str">
        <f t="shared" si="20"/>
        <v>Unknown</v>
      </c>
      <c r="N207" s="37" t="str">
        <f t="shared" si="18"/>
        <v>Cash</v>
      </c>
      <c r="O207" s="37" t="str" cm="1">
        <f t="array" ref="O207">IF(TRIM(N207)="",INDEX($N$2:$N$1500,MATCH(MAX(COUNTIF($N$2:$N$1500,$N$2:$N$1500)),COUNTIF($N$2:$N$1500,$N$2:$N$1500),0)),N207)</f>
        <v>Cash</v>
      </c>
      <c r="P207" s="38" cm="1">
        <f t="array" ref="P207">ROUND(IF(TRIM(H207)="",IFERROR(MEDIAN(IF($M$2:$M$1500=M207,$H$2:$H$1500)),MEDIAN($H$2:$H$1500)),H207),2)</f>
        <v>12.56</v>
      </c>
      <c r="Q207" s="38" t="str">
        <f t="shared" si="21"/>
        <v>Unknown</v>
      </c>
      <c r="R207" s="39" cm="1">
        <f t="array" ref="R207">IF(OR(TRIM(J207)="",TRIM(J207)="-"),MEDIAN(IF($C$2:$C$1218=C207,$J$2:$J$1218)),VALUE(SUBSTITUTE(SUBSTITUTE(SUBSTITUTE(J207,"Rs. ",""),"₹",""),",","")))</f>
        <v>78209</v>
      </c>
      <c r="S207" s="40">
        <f t="shared" si="19"/>
        <v>0</v>
      </c>
      <c r="T207" s="41">
        <f t="shared" si="22"/>
        <v>0</v>
      </c>
      <c r="U207" s="42">
        <f t="shared" si="23"/>
        <v>78209</v>
      </c>
    </row>
    <row r="208" spans="1:21" x14ac:dyDescent="0.3">
      <c r="A208" s="37" t="s">
        <v>2952</v>
      </c>
      <c r="B208" s="37" t="s">
        <v>2953</v>
      </c>
      <c r="C208" s="37" t="s">
        <v>2730</v>
      </c>
      <c r="D208" s="37" t="s">
        <v>106</v>
      </c>
      <c r="E208" s="37" t="s">
        <v>307</v>
      </c>
      <c r="F208" s="37" t="s">
        <v>39</v>
      </c>
      <c r="G208" s="37" t="s">
        <v>2477</v>
      </c>
      <c r="H208" s="37">
        <v>14.77</v>
      </c>
      <c r="I208" s="37" t="s">
        <v>140</v>
      </c>
      <c r="J208" s="37">
        <v>8540</v>
      </c>
      <c r="K208" s="37" t="s">
        <v>149</v>
      </c>
      <c r="L208" s="37">
        <v>18</v>
      </c>
      <c r="M208" s="37" t="str">
        <f t="shared" si="20"/>
        <v>General</v>
      </c>
      <c r="N208" s="37" t="str">
        <f t="shared" si="18"/>
        <v>Insurance</v>
      </c>
      <c r="O208" s="37" t="str" cm="1">
        <f t="array" ref="O208">IF(TRIM(N208)="",INDEX($N$2:$N$1500,MATCH(MAX(COUNTIF($N$2:$N$1500,$N$2:$N$1500)),COUNTIF($N$2:$N$1500,$N$2:$N$1500),0)),N208)</f>
        <v>Insurance</v>
      </c>
      <c r="P208" s="38" cm="1">
        <f t="array" ref="P208">ROUND(IF(TRIM(H208)="",IFERROR(MEDIAN(IF($M$2:$M$1500=M208,$H$2:$H$1500)),MEDIAN($H$2:$H$1500)),H208),2)</f>
        <v>14.77</v>
      </c>
      <c r="Q208" s="38" t="str">
        <f t="shared" si="21"/>
        <v>0</v>
      </c>
      <c r="R208" s="39" cm="1">
        <f t="array" ref="R208">IF(OR(TRIM(J208)="",TRIM(J208)="-"),MEDIAN(IF($C$2:$C$1218=C208,$J$2:$J$1218)),VALUE(SUBSTITUTE(SUBSTITUTE(SUBSTITUTE(J208,"Rs. ",""),"₹",""),",","")))</f>
        <v>8540</v>
      </c>
      <c r="S208" s="40">
        <f t="shared" si="19"/>
        <v>18</v>
      </c>
      <c r="T208" s="41">
        <f t="shared" si="22"/>
        <v>18</v>
      </c>
      <c r="U208" s="42">
        <f t="shared" si="23"/>
        <v>7003</v>
      </c>
    </row>
    <row r="209" spans="1:21" x14ac:dyDescent="0.3">
      <c r="A209" s="37" t="s">
        <v>2954</v>
      </c>
      <c r="B209" s="37" t="s">
        <v>2955</v>
      </c>
      <c r="C209" s="37" t="s">
        <v>2490</v>
      </c>
      <c r="D209" s="37" t="s">
        <v>78</v>
      </c>
      <c r="E209" s="37" t="s">
        <v>79</v>
      </c>
      <c r="F209" s="37" t="s">
        <v>39</v>
      </c>
      <c r="G209" s="37" t="s">
        <v>2412</v>
      </c>
      <c r="H209" s="37">
        <v>15.68</v>
      </c>
      <c r="I209" s="37" t="s">
        <v>140</v>
      </c>
      <c r="J209" s="37" t="s">
        <v>2956</v>
      </c>
      <c r="K209" s="37" t="s">
        <v>115</v>
      </c>
      <c r="L209" s="37" t="s">
        <v>130</v>
      </c>
      <c r="M209" s="37" t="str">
        <f t="shared" si="20"/>
        <v>General</v>
      </c>
      <c r="N209" s="37" t="str">
        <f t="shared" si="18"/>
        <v>Cash</v>
      </c>
      <c r="O209" s="37" t="str" cm="1">
        <f t="array" ref="O209">IF(TRIM(N209)="",INDEX($N$2:$N$1500,MATCH(MAX(COUNTIF($N$2:$N$1500,$N$2:$N$1500)),COUNTIF($N$2:$N$1500,$N$2:$N$1500),0)),N209)</f>
        <v>Cash</v>
      </c>
      <c r="P209" s="38" cm="1">
        <f t="array" ref="P209">ROUND(IF(TRIM(H209)="",IFERROR(MEDIAN(IF($M$2:$M$1500=M209,$H$2:$H$1500)),MEDIAN($H$2:$H$1500)),H209),2)</f>
        <v>15.68</v>
      </c>
      <c r="Q209" s="38" t="str">
        <f t="shared" si="21"/>
        <v>1</v>
      </c>
      <c r="R209" s="39" cm="1">
        <f t="array" ref="R209">IF(OR(TRIM(J209)="",TRIM(J209)="-"),MEDIAN(IF($C$2:$C$1218=C209,$J$2:$J$1218)),VALUE(SUBSTITUTE(SUBSTITUTE(SUBSTITUTE(J209,"Rs. ",""),"₹",""),",","")))</f>
        <v>6618</v>
      </c>
      <c r="S209" s="40">
        <f t="shared" si="19"/>
        <v>0</v>
      </c>
      <c r="T209" s="41">
        <f t="shared" si="22"/>
        <v>0</v>
      </c>
      <c r="U209" s="42">
        <f t="shared" si="23"/>
        <v>6618</v>
      </c>
    </row>
    <row r="210" spans="1:21" x14ac:dyDescent="0.3">
      <c r="A210" s="37" t="s">
        <v>2957</v>
      </c>
      <c r="B210" s="37" t="s">
        <v>2958</v>
      </c>
      <c r="C210" s="37" t="s">
        <v>2459</v>
      </c>
      <c r="D210" s="37" t="s">
        <v>106</v>
      </c>
      <c r="E210" s="37" t="s">
        <v>107</v>
      </c>
      <c r="F210" s="37" t="s">
        <v>19</v>
      </c>
      <c r="G210" s="37" t="s">
        <v>2423</v>
      </c>
      <c r="H210" s="37">
        <v>16.25</v>
      </c>
      <c r="I210" s="37">
        <v>8</v>
      </c>
      <c r="J210" s="37">
        <v>3204</v>
      </c>
      <c r="K210" s="37" t="s">
        <v>167</v>
      </c>
      <c r="L210" s="37">
        <v>15</v>
      </c>
      <c r="M210" s="37" t="str">
        <f t="shared" si="20"/>
        <v>General</v>
      </c>
      <c r="N210" s="37" t="str">
        <f t="shared" si="18"/>
        <v>Insurance</v>
      </c>
      <c r="O210" s="37" t="str" cm="1">
        <f t="array" ref="O210">IF(TRIM(N210)="",INDEX($N$2:$N$1500,MATCH(MAX(COUNTIF($N$2:$N$1500,$N$2:$N$1500)),COUNTIF($N$2:$N$1500,$N$2:$N$1500),0)),N210)</f>
        <v>Insurance</v>
      </c>
      <c r="P210" s="38" cm="1">
        <f t="array" ref="P210">ROUND(IF(TRIM(H210)="",IFERROR(MEDIAN(IF($M$2:$M$1500=M210,$H$2:$H$1500)),MEDIAN($H$2:$H$1500)),H210),2)</f>
        <v>16.25</v>
      </c>
      <c r="Q210" s="38" t="str">
        <f t="shared" si="21"/>
        <v>0</v>
      </c>
      <c r="R210" s="39" cm="1">
        <f t="array" ref="R210">IF(OR(TRIM(J210)="",TRIM(J210)="-"),MEDIAN(IF($C$2:$C$1218=C210,$J$2:$J$1218)),VALUE(SUBSTITUTE(SUBSTITUTE(SUBSTITUTE(J210,"Rs. ",""),"₹",""),",","")))</f>
        <v>3204</v>
      </c>
      <c r="S210" s="40">
        <f t="shared" si="19"/>
        <v>15</v>
      </c>
      <c r="T210" s="41">
        <f t="shared" si="22"/>
        <v>15</v>
      </c>
      <c r="U210" s="42">
        <f t="shared" si="23"/>
        <v>2723</v>
      </c>
    </row>
    <row r="211" spans="1:21" x14ac:dyDescent="0.3">
      <c r="A211" s="37" t="s">
        <v>2959</v>
      </c>
      <c r="B211" s="37" t="s">
        <v>2960</v>
      </c>
      <c r="C211" s="37" t="s">
        <v>2411</v>
      </c>
      <c r="D211" s="37" t="s">
        <v>45</v>
      </c>
      <c r="E211" s="37" t="s">
        <v>46</v>
      </c>
      <c r="F211" s="37" t="s">
        <v>19</v>
      </c>
      <c r="G211" s="37" t="s">
        <v>2408</v>
      </c>
      <c r="H211" s="37">
        <v>3.11</v>
      </c>
      <c r="I211" s="37">
        <v>55</v>
      </c>
      <c r="J211" s="37" t="s">
        <v>2961</v>
      </c>
      <c r="K211" s="37" t="s">
        <v>87</v>
      </c>
      <c r="L211" s="37">
        <v>0</v>
      </c>
      <c r="M211" s="37" t="str">
        <f t="shared" si="20"/>
        <v>General</v>
      </c>
      <c r="N211" s="37" t="str">
        <f t="shared" si="18"/>
        <v>Credit Card</v>
      </c>
      <c r="O211" s="37" t="str" cm="1">
        <f t="array" ref="O211">IF(TRIM(N211)="",INDEX($N$2:$N$1500,MATCH(MAX(COUNTIF($N$2:$N$1500,$N$2:$N$1500)),COUNTIF($N$2:$N$1500,$N$2:$N$1500),0)),N211)</f>
        <v>Credit Card</v>
      </c>
      <c r="P211" s="38" cm="1">
        <f t="array" ref="P211">ROUND(IF(TRIM(H211)="",IFERROR(MEDIAN(IF($M$2:$M$1500=M211,$H$2:$H$1500)),MEDIAN($H$2:$H$1500)),H211),2)</f>
        <v>3.11</v>
      </c>
      <c r="Q211" s="38" t="str">
        <f t="shared" si="21"/>
        <v>0</v>
      </c>
      <c r="R211" s="39" cm="1">
        <f t="array" ref="R211">IF(OR(TRIM(J211)="",TRIM(J211)="-"),MEDIAN(IF($C$2:$C$1218=C211,$J$2:$J$1218)),VALUE(SUBSTITUTE(SUBSTITUTE(SUBSTITUTE(J211,"Rs. ",""),"₹",""),",","")))</f>
        <v>11140</v>
      </c>
      <c r="S211" s="40">
        <f t="shared" si="19"/>
        <v>0</v>
      </c>
      <c r="T211" s="41">
        <f t="shared" si="22"/>
        <v>0</v>
      </c>
      <c r="U211" s="42">
        <f t="shared" si="23"/>
        <v>11140</v>
      </c>
    </row>
    <row r="212" spans="1:21" x14ac:dyDescent="0.3">
      <c r="A212" s="37" t="s">
        <v>2962</v>
      </c>
      <c r="B212" s="37" t="s">
        <v>2614</v>
      </c>
      <c r="C212" s="37" t="s">
        <v>2561</v>
      </c>
      <c r="D212" s="37" t="s">
        <v>78</v>
      </c>
      <c r="E212" s="37" t="s">
        <v>161</v>
      </c>
      <c r="F212" s="37" t="s">
        <v>69</v>
      </c>
      <c r="G212" s="37" t="s">
        <v>2505</v>
      </c>
      <c r="H212" s="37">
        <v>14.32</v>
      </c>
      <c r="I212" s="37" t="s">
        <v>140</v>
      </c>
      <c r="J212" s="37">
        <v>59809</v>
      </c>
      <c r="K212" s="37" t="s">
        <v>211</v>
      </c>
      <c r="L212" s="37" t="s">
        <v>64</v>
      </c>
      <c r="M212" s="37" t="str">
        <f t="shared" si="20"/>
        <v>ICU</v>
      </c>
      <c r="N212" s="37" t="str">
        <f t="shared" si="18"/>
        <v>Credit Card</v>
      </c>
      <c r="O212" s="37" t="str" cm="1">
        <f t="array" ref="O212">IF(TRIM(N212)="",INDEX($N$2:$N$1500,MATCH(MAX(COUNTIF($N$2:$N$1500,$N$2:$N$1500)),COUNTIF($N$2:$N$1500,$N$2:$N$1500),0)),N212)</f>
        <v>Credit Card</v>
      </c>
      <c r="P212" s="38" cm="1">
        <f t="array" ref="P212">ROUND(IF(TRIM(H212)="",IFERROR(MEDIAN(IF($M$2:$M$1500=M212,$H$2:$H$1500)),MEDIAN($H$2:$H$1500)),H212),2)</f>
        <v>14.32</v>
      </c>
      <c r="Q212" s="38" t="str">
        <f t="shared" si="21"/>
        <v>2+</v>
      </c>
      <c r="R212" s="39" cm="1">
        <f t="array" ref="R212">IF(OR(TRIM(J212)="",TRIM(J212)="-"),MEDIAN(IF($C$2:$C$1218=C212,$J$2:$J$1218)),VALUE(SUBSTITUTE(SUBSTITUTE(SUBSTITUTE(J212,"Rs. ",""),"₹",""),",","")))</f>
        <v>59809</v>
      </c>
      <c r="S212" s="40" t="str">
        <f t="shared" si="19"/>
        <v>NA</v>
      </c>
      <c r="T212" s="41">
        <f t="shared" si="22"/>
        <v>2</v>
      </c>
      <c r="U212" s="42">
        <f t="shared" si="23"/>
        <v>58613</v>
      </c>
    </row>
    <row r="213" spans="1:21" x14ac:dyDescent="0.3">
      <c r="A213" s="37" t="s">
        <v>2963</v>
      </c>
      <c r="B213" s="37" t="s">
        <v>2964</v>
      </c>
      <c r="C213" s="37" t="s">
        <v>2427</v>
      </c>
      <c r="D213" s="37" t="s">
        <v>117</v>
      </c>
      <c r="E213" s="37" t="s">
        <v>182</v>
      </c>
      <c r="F213" s="37" t="s">
        <v>101</v>
      </c>
      <c r="G213" s="37" t="s">
        <v>2418</v>
      </c>
      <c r="H213" s="37">
        <v>1.51</v>
      </c>
      <c r="I213" s="37">
        <v>23</v>
      </c>
      <c r="J213" s="37">
        <v>32280</v>
      </c>
      <c r="K213" s="37" t="s">
        <v>52</v>
      </c>
      <c r="L213" s="37">
        <v>0</v>
      </c>
      <c r="M213" s="37" t="str">
        <f t="shared" si="20"/>
        <v>ICU</v>
      </c>
      <c r="N213" s="37" t="str">
        <f t="shared" si="18"/>
        <v>Credit Card</v>
      </c>
      <c r="O213" s="37" t="str" cm="1">
        <f t="array" ref="O213">IF(TRIM(N213)="",INDEX($N$2:$N$1500,MATCH(MAX(COUNTIF($N$2:$N$1500,$N$2:$N$1500)),COUNTIF($N$2:$N$1500,$N$2:$N$1500),0)),N213)</f>
        <v>Credit Card</v>
      </c>
      <c r="P213" s="38" cm="1">
        <f t="array" ref="P213">ROUND(IF(TRIM(H213)="",IFERROR(MEDIAN(IF($M$2:$M$1500=M213,$H$2:$H$1500)),MEDIAN($H$2:$H$1500)),H213),2)</f>
        <v>1.51</v>
      </c>
      <c r="Q213" s="38" t="str">
        <f t="shared" si="21"/>
        <v>1</v>
      </c>
      <c r="R213" s="39" cm="1">
        <f t="array" ref="R213">IF(OR(TRIM(J213)="",TRIM(J213)="-"),MEDIAN(IF($C$2:$C$1218=C213,$J$2:$J$1218)),VALUE(SUBSTITUTE(SUBSTITUTE(SUBSTITUTE(J213,"Rs. ",""),"₹",""),",","")))</f>
        <v>32280</v>
      </c>
      <c r="S213" s="40">
        <f t="shared" si="19"/>
        <v>0</v>
      </c>
      <c r="T213" s="41">
        <f t="shared" si="22"/>
        <v>0</v>
      </c>
      <c r="U213" s="42">
        <f t="shared" si="23"/>
        <v>32280</v>
      </c>
    </row>
    <row r="214" spans="1:21" x14ac:dyDescent="0.3">
      <c r="A214" s="37" t="s">
        <v>2965</v>
      </c>
      <c r="B214" s="37" t="s">
        <v>2966</v>
      </c>
      <c r="C214" s="37" t="s">
        <v>2422</v>
      </c>
      <c r="D214" s="37" t="s">
        <v>25</v>
      </c>
      <c r="E214" s="37" t="s">
        <v>26</v>
      </c>
      <c r="F214" s="37" t="s">
        <v>49</v>
      </c>
      <c r="G214" s="37" t="s">
        <v>2408</v>
      </c>
      <c r="H214" s="37">
        <v>20.67</v>
      </c>
      <c r="I214" s="37">
        <v>52</v>
      </c>
      <c r="J214" s="37">
        <v>11028</v>
      </c>
      <c r="K214" s="37" t="s">
        <v>34</v>
      </c>
      <c r="L214" s="37">
        <v>0</v>
      </c>
      <c r="M214" s="37" t="str">
        <f t="shared" si="20"/>
        <v>General</v>
      </c>
      <c r="N214" s="37" t="str">
        <f t="shared" si="18"/>
        <v>Cash</v>
      </c>
      <c r="O214" s="37" t="str" cm="1">
        <f t="array" ref="O214">IF(TRIM(N214)="",INDEX($N$2:$N$1500,MATCH(MAX(COUNTIF($N$2:$N$1500,$N$2:$N$1500)),COUNTIF($N$2:$N$1500,$N$2:$N$1500),0)),N214)</f>
        <v>Cash</v>
      </c>
      <c r="P214" s="38" cm="1">
        <f t="array" ref="P214">ROUND(IF(TRIM(H214)="",IFERROR(MEDIAN(IF($M$2:$M$1500=M214,$H$2:$H$1500)),MEDIAN($H$2:$H$1500)),H214),2)</f>
        <v>20.67</v>
      </c>
      <c r="Q214" s="38" t="str">
        <f t="shared" si="21"/>
        <v>0</v>
      </c>
      <c r="R214" s="39" cm="1">
        <f t="array" ref="R214">IF(OR(TRIM(J214)="",TRIM(J214)="-"),MEDIAN(IF($C$2:$C$1218=C214,$J$2:$J$1218)),VALUE(SUBSTITUTE(SUBSTITUTE(SUBSTITUTE(J214,"Rs. ",""),"₹",""),",","")))</f>
        <v>11028</v>
      </c>
      <c r="S214" s="40">
        <f t="shared" si="19"/>
        <v>0</v>
      </c>
      <c r="T214" s="41">
        <f t="shared" si="22"/>
        <v>0</v>
      </c>
      <c r="U214" s="42">
        <f t="shared" si="23"/>
        <v>11028</v>
      </c>
    </row>
    <row r="215" spans="1:21" x14ac:dyDescent="0.3">
      <c r="A215" s="37" t="s">
        <v>2967</v>
      </c>
      <c r="B215" s="37" t="s">
        <v>2834</v>
      </c>
      <c r="C215" s="37" t="s">
        <v>2504</v>
      </c>
      <c r="D215" s="37" t="s">
        <v>25</v>
      </c>
      <c r="E215" s="37" t="s">
        <v>54</v>
      </c>
      <c r="F215" s="37" t="s">
        <v>30</v>
      </c>
      <c r="G215" s="37" t="s">
        <v>2412</v>
      </c>
      <c r="H215" s="37">
        <v>20.34</v>
      </c>
      <c r="I215" s="37">
        <v>59</v>
      </c>
      <c r="J215" s="37" t="s">
        <v>140</v>
      </c>
      <c r="K215" s="37" t="s">
        <v>52</v>
      </c>
      <c r="L215" s="37">
        <v>0</v>
      </c>
      <c r="M215" s="37" t="str">
        <f t="shared" si="20"/>
        <v>General</v>
      </c>
      <c r="N215" s="37" t="str">
        <f t="shared" si="18"/>
        <v>Credit Card</v>
      </c>
      <c r="O215" s="37" t="str" cm="1">
        <f t="array" ref="O215">IF(TRIM(N215)="",INDEX($N$2:$N$1500,MATCH(MAX(COUNTIF($N$2:$N$1500,$N$2:$N$1500)),COUNTIF($N$2:$N$1500,$N$2:$N$1500),0)),N215)</f>
        <v>Credit Card</v>
      </c>
      <c r="P215" s="38" cm="1">
        <f t="array" ref="P215">ROUND(IF(TRIM(H215)="",IFERROR(MEDIAN(IF($M$2:$M$1500=M215,$H$2:$H$1500)),MEDIAN($H$2:$H$1500)),H215),2)</f>
        <v>20.34</v>
      </c>
      <c r="Q215" s="38" t="str">
        <f t="shared" si="21"/>
        <v>1</v>
      </c>
      <c r="R215" s="39" cm="1">
        <f t="array" ref="R215">IF(OR(TRIM(J215)="",TRIM(J215)="-"),MEDIAN(IF($C$2:$C$1218=C215,$J$2:$J$1218)),VALUE(SUBSTITUTE(SUBSTITUTE(SUBSTITUTE(J215,"Rs. ",""),"₹",""),",","")))</f>
        <v>16658.5</v>
      </c>
      <c r="S215" s="40">
        <f t="shared" si="19"/>
        <v>0</v>
      </c>
      <c r="T215" s="41">
        <f t="shared" si="22"/>
        <v>0</v>
      </c>
      <c r="U215" s="42">
        <f t="shared" si="23"/>
        <v>16659</v>
      </c>
    </row>
    <row r="216" spans="1:21" x14ac:dyDescent="0.3">
      <c r="A216" s="37" t="s">
        <v>2968</v>
      </c>
      <c r="B216" s="37" t="s">
        <v>2969</v>
      </c>
      <c r="C216" s="37" t="s">
        <v>2459</v>
      </c>
      <c r="D216" s="37" t="s">
        <v>14</v>
      </c>
      <c r="E216" s="37" t="s">
        <v>60</v>
      </c>
      <c r="F216" s="37" t="s">
        <v>49</v>
      </c>
      <c r="G216" s="37" t="s">
        <v>2423</v>
      </c>
      <c r="H216" s="37"/>
      <c r="I216" s="37">
        <v>44</v>
      </c>
      <c r="J216" s="37" t="s">
        <v>2970</v>
      </c>
      <c r="K216" s="37" t="s">
        <v>87</v>
      </c>
      <c r="L216" s="37">
        <v>0</v>
      </c>
      <c r="M216" s="37" t="str">
        <f t="shared" si="20"/>
        <v>General</v>
      </c>
      <c r="N216" s="37" t="str">
        <f t="shared" si="18"/>
        <v>Credit Card</v>
      </c>
      <c r="O216" s="37" t="str" cm="1">
        <f t="array" ref="O216">IF(TRIM(N216)="",INDEX($N$2:$N$1500,MATCH(MAX(COUNTIF($N$2:$N$1500,$N$2:$N$1500)),COUNTIF($N$2:$N$1500,$N$2:$N$1500),0)),N216)</f>
        <v>Credit Card</v>
      </c>
      <c r="P216" s="38" cm="1">
        <f t="array" ref="P216">ROUND(IF(TRIM(H216)="",IFERROR(MEDIAN(IF($M$2:$M$1500=M216,$H$2:$H$1500)),MEDIAN($H$2:$H$1500)),H216),2)</f>
        <v>12.02</v>
      </c>
      <c r="Q216" s="38" t="str">
        <f t="shared" si="21"/>
        <v>0</v>
      </c>
      <c r="R216" s="39" cm="1">
        <f t="array" ref="R216">IF(OR(TRIM(J216)="",TRIM(J216)="-"),MEDIAN(IF($C$2:$C$1218=C216,$J$2:$J$1218)),VALUE(SUBSTITUTE(SUBSTITUTE(SUBSTITUTE(J216,"Rs. ",""),"₹",""),",","")))</f>
        <v>12951</v>
      </c>
      <c r="S216" s="40">
        <f t="shared" si="19"/>
        <v>0</v>
      </c>
      <c r="T216" s="41">
        <f t="shared" si="22"/>
        <v>0</v>
      </c>
      <c r="U216" s="42">
        <f t="shared" si="23"/>
        <v>12951</v>
      </c>
    </row>
    <row r="217" spans="1:21" x14ac:dyDescent="0.3">
      <c r="A217" s="37" t="s">
        <v>2971</v>
      </c>
      <c r="B217" s="37" t="s">
        <v>2972</v>
      </c>
      <c r="C217" s="37" t="s">
        <v>2521</v>
      </c>
      <c r="D217" s="37" t="s">
        <v>45</v>
      </c>
      <c r="E217" s="37" t="s">
        <v>334</v>
      </c>
      <c r="F217" s="37" t="s">
        <v>49</v>
      </c>
      <c r="G217" s="37" t="s">
        <v>2435</v>
      </c>
      <c r="H217" s="37">
        <v>11.2</v>
      </c>
      <c r="I217" s="37">
        <v>21</v>
      </c>
      <c r="J217" s="37" t="s">
        <v>2973</v>
      </c>
      <c r="K217" s="37" t="s">
        <v>236</v>
      </c>
      <c r="L217" s="37" t="s">
        <v>198</v>
      </c>
      <c r="M217" s="37" t="str">
        <f t="shared" si="20"/>
        <v>General</v>
      </c>
      <c r="N217" s="37" t="str">
        <f t="shared" si="18"/>
        <v>Debit Card</v>
      </c>
      <c r="O217" s="37" t="str" cm="1">
        <f t="array" ref="O217">IF(TRIM(N217)="",INDEX($N$2:$N$1500,MATCH(MAX(COUNTIF($N$2:$N$1500,$N$2:$N$1500)),COUNTIF($N$2:$N$1500,$N$2:$N$1500),0)),N217)</f>
        <v>Debit Card</v>
      </c>
      <c r="P217" s="38" cm="1">
        <f t="array" ref="P217">ROUND(IF(TRIM(H217)="",IFERROR(MEDIAN(IF($M$2:$M$1500=M217,$H$2:$H$1500)),MEDIAN($H$2:$H$1500)),H217),2)</f>
        <v>11.2</v>
      </c>
      <c r="Q217" s="38" t="str">
        <f t="shared" si="21"/>
        <v>0</v>
      </c>
      <c r="R217" s="39" cm="1">
        <f t="array" ref="R217">IF(OR(TRIM(J217)="",TRIM(J217)="-"),MEDIAN(IF($C$2:$C$1218=C217,$J$2:$J$1218)),VALUE(SUBSTITUTE(SUBSTITUTE(SUBSTITUTE(J217,"Rs. ",""),"₹",""),",","")))</f>
        <v>15226</v>
      </c>
      <c r="S217" s="40">
        <f t="shared" si="19"/>
        <v>5</v>
      </c>
      <c r="T217" s="41">
        <f t="shared" si="22"/>
        <v>5</v>
      </c>
      <c r="U217" s="42">
        <f t="shared" si="23"/>
        <v>14465</v>
      </c>
    </row>
    <row r="218" spans="1:21" x14ac:dyDescent="0.3">
      <c r="A218" s="37" t="s">
        <v>2974</v>
      </c>
      <c r="B218" s="37" t="s">
        <v>2975</v>
      </c>
      <c r="C218" s="37" t="s">
        <v>2411</v>
      </c>
      <c r="D218" s="37" t="s">
        <v>106</v>
      </c>
      <c r="E218" s="37" t="s">
        <v>107</v>
      </c>
      <c r="F218" s="37" t="s">
        <v>69</v>
      </c>
      <c r="G218" s="37" t="s">
        <v>2435</v>
      </c>
      <c r="H218" s="37">
        <v>8.31</v>
      </c>
      <c r="I218" s="37">
        <v>47</v>
      </c>
      <c r="J218" s="37">
        <v>53435</v>
      </c>
      <c r="K218" s="37" t="s">
        <v>97</v>
      </c>
      <c r="L218" s="37">
        <v>0</v>
      </c>
      <c r="M218" s="37" t="str">
        <f t="shared" si="20"/>
        <v>ICU</v>
      </c>
      <c r="N218" s="37" t="str">
        <f t="shared" si="18"/>
        <v>UPI</v>
      </c>
      <c r="O218" s="37" t="str" cm="1">
        <f t="array" ref="O218">IF(TRIM(N218)="",INDEX($N$2:$N$1500,MATCH(MAX(COUNTIF($N$2:$N$1500,$N$2:$N$1500)),COUNTIF($N$2:$N$1500,$N$2:$N$1500),0)),N218)</f>
        <v>UPI</v>
      </c>
      <c r="P218" s="38" cm="1">
        <f t="array" ref="P218">ROUND(IF(TRIM(H218)="",IFERROR(MEDIAN(IF($M$2:$M$1500=M218,$H$2:$H$1500)),MEDIAN($H$2:$H$1500)),H218),2)</f>
        <v>8.31</v>
      </c>
      <c r="Q218" s="38" t="str">
        <f t="shared" si="21"/>
        <v>0</v>
      </c>
      <c r="R218" s="39" cm="1">
        <f t="array" ref="R218">IF(OR(TRIM(J218)="",TRIM(J218)="-"),MEDIAN(IF($C$2:$C$1218=C218,$J$2:$J$1218)),VALUE(SUBSTITUTE(SUBSTITUTE(SUBSTITUTE(J218,"Rs. ",""),"₹",""),",","")))</f>
        <v>53435</v>
      </c>
      <c r="S218" s="40">
        <f t="shared" si="19"/>
        <v>0</v>
      </c>
      <c r="T218" s="41">
        <f t="shared" si="22"/>
        <v>0</v>
      </c>
      <c r="U218" s="42">
        <f t="shared" si="23"/>
        <v>53435</v>
      </c>
    </row>
    <row r="219" spans="1:21" x14ac:dyDescent="0.3">
      <c r="A219" s="37" t="s">
        <v>2976</v>
      </c>
      <c r="B219" s="37" t="s">
        <v>2977</v>
      </c>
      <c r="C219" s="37" t="s">
        <v>2454</v>
      </c>
      <c r="D219" s="37" t="s">
        <v>45</v>
      </c>
      <c r="E219" s="37" t="s">
        <v>334</v>
      </c>
      <c r="F219" s="37" t="s">
        <v>30</v>
      </c>
      <c r="G219" s="37" t="s">
        <v>2435</v>
      </c>
      <c r="H219" s="37">
        <v>7.65</v>
      </c>
      <c r="I219" s="37">
        <v>40</v>
      </c>
      <c r="J219" s="37" t="s">
        <v>2978</v>
      </c>
      <c r="K219" s="37" t="s">
        <v>58</v>
      </c>
      <c r="L219" s="37">
        <v>10</v>
      </c>
      <c r="M219" s="37" t="str">
        <f t="shared" si="20"/>
        <v>General</v>
      </c>
      <c r="N219" s="37" t="str">
        <f t="shared" si="18"/>
        <v>UPI</v>
      </c>
      <c r="O219" s="37" t="str" cm="1">
        <f t="array" ref="O219">IF(TRIM(N219)="",INDEX($N$2:$N$1500,MATCH(MAX(COUNTIF($N$2:$N$1500,$N$2:$N$1500)),COUNTIF($N$2:$N$1500,$N$2:$N$1500),0)),N219)</f>
        <v>UPI</v>
      </c>
      <c r="P219" s="38" cm="1">
        <f t="array" ref="P219">ROUND(IF(TRIM(H219)="",IFERROR(MEDIAN(IF($M$2:$M$1500=M219,$H$2:$H$1500)),MEDIAN($H$2:$H$1500)),H219),2)</f>
        <v>7.65</v>
      </c>
      <c r="Q219" s="38" t="str">
        <f t="shared" si="21"/>
        <v>0</v>
      </c>
      <c r="R219" s="39" cm="1">
        <f t="array" ref="R219">IF(OR(TRIM(J219)="",TRIM(J219)="-"),MEDIAN(IF($C$2:$C$1218=C219,$J$2:$J$1218)),VALUE(SUBSTITUTE(SUBSTITUTE(SUBSTITUTE(J219,"Rs. ",""),"₹",""),",","")))</f>
        <v>3235</v>
      </c>
      <c r="S219" s="40">
        <f t="shared" si="19"/>
        <v>10</v>
      </c>
      <c r="T219" s="41">
        <f t="shared" si="22"/>
        <v>10</v>
      </c>
      <c r="U219" s="42">
        <f t="shared" si="23"/>
        <v>2912</v>
      </c>
    </row>
    <row r="220" spans="1:21" x14ac:dyDescent="0.3">
      <c r="A220" s="37" t="s">
        <v>2979</v>
      </c>
      <c r="B220" s="37" t="s">
        <v>2980</v>
      </c>
      <c r="C220" s="37" t="s">
        <v>2504</v>
      </c>
      <c r="D220" s="37" t="s">
        <v>78</v>
      </c>
      <c r="E220" s="37" t="s">
        <v>203</v>
      </c>
      <c r="F220" s="37" t="s">
        <v>69</v>
      </c>
      <c r="G220" s="37" t="s">
        <v>2477</v>
      </c>
      <c r="H220" s="37">
        <v>5.1100000000000003</v>
      </c>
      <c r="I220" s="37"/>
      <c r="J220" s="37">
        <v>35303</v>
      </c>
      <c r="K220" s="37" t="s">
        <v>34</v>
      </c>
      <c r="L220" s="37" t="s">
        <v>140</v>
      </c>
      <c r="M220" s="37" t="str">
        <f t="shared" si="20"/>
        <v>ICU</v>
      </c>
      <c r="N220" s="37" t="str">
        <f t="shared" si="18"/>
        <v>Cash</v>
      </c>
      <c r="O220" s="37" t="str" cm="1">
        <f t="array" ref="O220">IF(TRIM(N220)="",INDEX($N$2:$N$1500,MATCH(MAX(COUNTIF($N$2:$N$1500,$N$2:$N$1500)),COUNTIF($N$2:$N$1500,$N$2:$N$1500),0)),N220)</f>
        <v>Cash</v>
      </c>
      <c r="P220" s="38" cm="1">
        <f t="array" ref="P220">ROUND(IF(TRIM(H220)="",IFERROR(MEDIAN(IF($M$2:$M$1500=M220,$H$2:$H$1500)),MEDIAN($H$2:$H$1500)),H220),2)</f>
        <v>5.1100000000000003</v>
      </c>
      <c r="Q220" s="38" t="str">
        <f t="shared" si="21"/>
        <v>0</v>
      </c>
      <c r="R220" s="39" cm="1">
        <f t="array" ref="R220">IF(OR(TRIM(J220)="",TRIM(J220)="-"),MEDIAN(IF($C$2:$C$1218=C220,$J$2:$J$1218)),VALUE(SUBSTITUTE(SUBSTITUTE(SUBSTITUTE(J220,"Rs. ",""),"₹",""),",","")))</f>
        <v>35303</v>
      </c>
      <c r="S220" s="40" t="str">
        <f t="shared" si="19"/>
        <v>-</v>
      </c>
      <c r="T220" s="41">
        <f t="shared" si="22"/>
        <v>2</v>
      </c>
      <c r="U220" s="42">
        <f t="shared" si="23"/>
        <v>34597</v>
      </c>
    </row>
    <row r="221" spans="1:21" x14ac:dyDescent="0.3">
      <c r="A221" s="37" t="s">
        <v>2981</v>
      </c>
      <c r="B221" s="37" t="s">
        <v>2982</v>
      </c>
      <c r="C221" s="37" t="s">
        <v>2454</v>
      </c>
      <c r="D221" s="37" t="s">
        <v>106</v>
      </c>
      <c r="E221" s="37" t="s">
        <v>107</v>
      </c>
      <c r="F221" s="37" t="s">
        <v>19</v>
      </c>
      <c r="G221" s="37" t="s">
        <v>2412</v>
      </c>
      <c r="H221" s="37">
        <v>4.28</v>
      </c>
      <c r="I221" s="37"/>
      <c r="J221" s="37" t="s">
        <v>2983</v>
      </c>
      <c r="K221" s="37" t="s">
        <v>104</v>
      </c>
      <c r="L221" s="37">
        <v>10</v>
      </c>
      <c r="M221" s="37" t="str">
        <f t="shared" si="20"/>
        <v>General</v>
      </c>
      <c r="N221" s="37" t="str">
        <f t="shared" si="18"/>
        <v>Insurance</v>
      </c>
      <c r="O221" s="37" t="str" cm="1">
        <f t="array" ref="O221">IF(TRIM(N221)="",INDEX($N$2:$N$1500,MATCH(MAX(COUNTIF($N$2:$N$1500,$N$2:$N$1500)),COUNTIF($N$2:$N$1500,$N$2:$N$1500),0)),N221)</f>
        <v>Insurance</v>
      </c>
      <c r="P221" s="38" cm="1">
        <f t="array" ref="P221">ROUND(IF(TRIM(H221)="",IFERROR(MEDIAN(IF($M$2:$M$1500=M221,$H$2:$H$1500)),MEDIAN($H$2:$H$1500)),H221),2)</f>
        <v>4.28</v>
      </c>
      <c r="Q221" s="38" t="str">
        <f t="shared" si="21"/>
        <v>1</v>
      </c>
      <c r="R221" s="39" cm="1">
        <f t="array" ref="R221">IF(OR(TRIM(J221)="",TRIM(J221)="-"),MEDIAN(IF($C$2:$C$1218=C221,$J$2:$J$1218)),VALUE(SUBSTITUTE(SUBSTITUTE(SUBSTITUTE(J221,"Rs. ",""),"₹",""),",","")))</f>
        <v>17507</v>
      </c>
      <c r="S221" s="40">
        <f t="shared" si="19"/>
        <v>10</v>
      </c>
      <c r="T221" s="41">
        <f t="shared" si="22"/>
        <v>10</v>
      </c>
      <c r="U221" s="42">
        <f t="shared" si="23"/>
        <v>15756</v>
      </c>
    </row>
    <row r="222" spans="1:21" x14ac:dyDescent="0.3">
      <c r="A222" s="37" t="s">
        <v>2984</v>
      </c>
      <c r="B222" s="37" t="s">
        <v>2985</v>
      </c>
      <c r="C222" s="37" t="s">
        <v>2469</v>
      </c>
      <c r="D222" s="37" t="s">
        <v>45</v>
      </c>
      <c r="E222" s="37" t="s">
        <v>46</v>
      </c>
      <c r="F222" s="37" t="s">
        <v>69</v>
      </c>
      <c r="G222" s="37" t="s">
        <v>2418</v>
      </c>
      <c r="H222" s="37">
        <v>21.67</v>
      </c>
      <c r="I222" s="37">
        <v>50</v>
      </c>
      <c r="J222" s="37" t="s">
        <v>2986</v>
      </c>
      <c r="K222" s="37" t="s">
        <v>115</v>
      </c>
      <c r="L222" s="37">
        <v>0</v>
      </c>
      <c r="M222" s="37" t="str">
        <f t="shared" si="20"/>
        <v>ICU</v>
      </c>
      <c r="N222" s="37" t="str">
        <f t="shared" si="18"/>
        <v>Cash</v>
      </c>
      <c r="O222" s="37" t="str" cm="1">
        <f t="array" ref="O222">IF(TRIM(N222)="",INDEX($N$2:$N$1500,MATCH(MAX(COUNTIF($N$2:$N$1500,$N$2:$N$1500)),COUNTIF($N$2:$N$1500,$N$2:$N$1500),0)),N222)</f>
        <v>Cash</v>
      </c>
      <c r="P222" s="38" cm="1">
        <f t="array" ref="P222">ROUND(IF(TRIM(H222)="",IFERROR(MEDIAN(IF($M$2:$M$1500=M222,$H$2:$H$1500)),MEDIAN($H$2:$H$1500)),H222),2)</f>
        <v>21.67</v>
      </c>
      <c r="Q222" s="38" t="str">
        <f t="shared" si="21"/>
        <v>1</v>
      </c>
      <c r="R222" s="39" cm="1">
        <f t="array" ref="R222">IF(OR(TRIM(J222)="",TRIM(J222)="-"),MEDIAN(IF($C$2:$C$1218=C222,$J$2:$J$1218)),VALUE(SUBSTITUTE(SUBSTITUTE(SUBSTITUTE(J222,"Rs. ",""),"₹",""),",","")))</f>
        <v>61887</v>
      </c>
      <c r="S222" s="40">
        <f t="shared" si="19"/>
        <v>0</v>
      </c>
      <c r="T222" s="41">
        <f t="shared" si="22"/>
        <v>0</v>
      </c>
      <c r="U222" s="42">
        <f t="shared" si="23"/>
        <v>61887</v>
      </c>
    </row>
    <row r="223" spans="1:21" x14ac:dyDescent="0.3">
      <c r="A223" s="37" t="s">
        <v>2987</v>
      </c>
      <c r="B223" s="37" t="s">
        <v>2652</v>
      </c>
      <c r="C223" s="37" t="s">
        <v>2434</v>
      </c>
      <c r="D223" s="37" t="s">
        <v>117</v>
      </c>
      <c r="E223" s="37" t="s">
        <v>118</v>
      </c>
      <c r="F223" s="37" t="s">
        <v>101</v>
      </c>
      <c r="G223" s="37" t="s">
        <v>2505</v>
      </c>
      <c r="H223" s="37">
        <v>23.69</v>
      </c>
      <c r="I223" s="37">
        <v>4</v>
      </c>
      <c r="J223" s="37">
        <v>20462</v>
      </c>
      <c r="K223" s="37" t="s">
        <v>58</v>
      </c>
      <c r="L223" s="37">
        <v>0</v>
      </c>
      <c r="M223" s="37" t="str">
        <f t="shared" si="20"/>
        <v>ICU</v>
      </c>
      <c r="N223" s="37" t="str">
        <f t="shared" si="18"/>
        <v>UPI</v>
      </c>
      <c r="O223" s="37" t="str" cm="1">
        <f t="array" ref="O223">IF(TRIM(N223)="",INDEX($N$2:$N$1500,MATCH(MAX(COUNTIF($N$2:$N$1500,$N$2:$N$1500)),COUNTIF($N$2:$N$1500,$N$2:$N$1500),0)),N223)</f>
        <v>UPI</v>
      </c>
      <c r="P223" s="38" cm="1">
        <f t="array" ref="P223">ROUND(IF(TRIM(H223)="",IFERROR(MEDIAN(IF($M$2:$M$1500=M223,$H$2:$H$1500)),MEDIAN($H$2:$H$1500)),H223),2)</f>
        <v>23.69</v>
      </c>
      <c r="Q223" s="38" t="str">
        <f t="shared" si="21"/>
        <v>2+</v>
      </c>
      <c r="R223" s="39" cm="1">
        <f t="array" ref="R223">IF(OR(TRIM(J223)="",TRIM(J223)="-"),MEDIAN(IF($C$2:$C$1218=C223,$J$2:$J$1218)),VALUE(SUBSTITUTE(SUBSTITUTE(SUBSTITUTE(J223,"Rs. ",""),"₹",""),",","")))</f>
        <v>20462</v>
      </c>
      <c r="S223" s="40">
        <f t="shared" si="19"/>
        <v>0</v>
      </c>
      <c r="T223" s="41">
        <f t="shared" si="22"/>
        <v>0</v>
      </c>
      <c r="U223" s="42">
        <f t="shared" si="23"/>
        <v>20462</v>
      </c>
    </row>
    <row r="224" spans="1:21" x14ac:dyDescent="0.3">
      <c r="A224" s="37" t="s">
        <v>2988</v>
      </c>
      <c r="B224" s="37" t="s">
        <v>2989</v>
      </c>
      <c r="C224" s="37" t="s">
        <v>2521</v>
      </c>
      <c r="D224" s="37" t="s">
        <v>14</v>
      </c>
      <c r="E224" s="37" t="s">
        <v>15</v>
      </c>
      <c r="F224" s="37" t="s">
        <v>30</v>
      </c>
      <c r="G224" s="37" t="s">
        <v>2412</v>
      </c>
      <c r="H224" s="37"/>
      <c r="I224" s="37">
        <v>43</v>
      </c>
      <c r="J224" s="37" t="s">
        <v>2990</v>
      </c>
      <c r="K224" s="37" t="s">
        <v>52</v>
      </c>
      <c r="L224" s="37">
        <v>0.1</v>
      </c>
      <c r="M224" s="37" t="str">
        <f t="shared" si="20"/>
        <v>General</v>
      </c>
      <c r="N224" s="37" t="str">
        <f t="shared" si="18"/>
        <v>Credit Card</v>
      </c>
      <c r="O224" s="37" t="str" cm="1">
        <f t="array" ref="O224">IF(TRIM(N224)="",INDEX($N$2:$N$1500,MATCH(MAX(COUNTIF($N$2:$N$1500,$N$2:$N$1500)),COUNTIF($N$2:$N$1500,$N$2:$N$1500),0)),N224)</f>
        <v>Credit Card</v>
      </c>
      <c r="P224" s="38" cm="1">
        <f t="array" ref="P224">ROUND(IF(TRIM(H224)="",IFERROR(MEDIAN(IF($M$2:$M$1500=M224,$H$2:$H$1500)),MEDIAN($H$2:$H$1500)),H224),2)</f>
        <v>12.02</v>
      </c>
      <c r="Q224" s="38" t="str">
        <f t="shared" si="21"/>
        <v>1</v>
      </c>
      <c r="R224" s="39" cm="1">
        <f t="array" ref="R224">IF(OR(TRIM(J224)="",TRIM(J224)="-"),MEDIAN(IF($C$2:$C$1218=C224,$J$2:$J$1218)),VALUE(SUBSTITUTE(SUBSTITUTE(SUBSTITUTE(J224,"Rs. ",""),"₹",""),",","")))</f>
        <v>16836</v>
      </c>
      <c r="S224" s="40">
        <f t="shared" si="19"/>
        <v>0.1</v>
      </c>
      <c r="T224" s="41">
        <f t="shared" si="22"/>
        <v>0</v>
      </c>
      <c r="U224" s="42">
        <f t="shared" si="23"/>
        <v>16836</v>
      </c>
    </row>
    <row r="225" spans="1:21" x14ac:dyDescent="0.3">
      <c r="A225" s="37" t="s">
        <v>2991</v>
      </c>
      <c r="B225" s="37" t="s">
        <v>2992</v>
      </c>
      <c r="C225" s="37" t="s">
        <v>2532</v>
      </c>
      <c r="D225" s="37" t="s">
        <v>117</v>
      </c>
      <c r="E225" s="37" t="s">
        <v>182</v>
      </c>
      <c r="F225" s="37" t="s">
        <v>49</v>
      </c>
      <c r="G225" s="37" t="s">
        <v>2993</v>
      </c>
      <c r="H225" s="37"/>
      <c r="I225" s="37" t="s">
        <v>140</v>
      </c>
      <c r="J225" s="37">
        <v>18421</v>
      </c>
      <c r="K225" s="37" t="s">
        <v>87</v>
      </c>
      <c r="L225" s="37" t="s">
        <v>130</v>
      </c>
      <c r="M225" s="37" t="str">
        <f t="shared" si="20"/>
        <v>General</v>
      </c>
      <c r="N225" s="37" t="str">
        <f t="shared" si="18"/>
        <v>Credit Card</v>
      </c>
      <c r="O225" s="37" t="str" cm="1">
        <f t="array" ref="O225">IF(TRIM(N225)="",INDEX($N$2:$N$1500,MATCH(MAX(COUNTIF($N$2:$N$1500,$N$2:$N$1500)),COUNTIF($N$2:$N$1500,$N$2:$N$1500),0)),N225)</f>
        <v>Credit Card</v>
      </c>
      <c r="P225" s="38" cm="1">
        <f t="array" ref="P225">ROUND(IF(TRIM(H225)="",IFERROR(MEDIAN(IF($M$2:$M$1500=M225,$H$2:$H$1500)),MEDIAN($H$2:$H$1500)),H225),2)</f>
        <v>12.02</v>
      </c>
      <c r="Q225" s="38" t="str">
        <f t="shared" si="21"/>
        <v>2+</v>
      </c>
      <c r="R225" s="39" cm="1">
        <f t="array" ref="R225">IF(OR(TRIM(J225)="",TRIM(J225)="-"),MEDIAN(IF($C$2:$C$1218=C225,$J$2:$J$1218)),VALUE(SUBSTITUTE(SUBSTITUTE(SUBSTITUTE(J225,"Rs. ",""),"₹",""),",","")))</f>
        <v>18421</v>
      </c>
      <c r="S225" s="40">
        <f t="shared" si="19"/>
        <v>0</v>
      </c>
      <c r="T225" s="41">
        <f t="shared" si="22"/>
        <v>0</v>
      </c>
      <c r="U225" s="42">
        <f t="shared" si="23"/>
        <v>18421</v>
      </c>
    </row>
    <row r="226" spans="1:21" x14ac:dyDescent="0.3">
      <c r="A226" s="37" t="s">
        <v>2994</v>
      </c>
      <c r="B226" s="37" t="s">
        <v>2995</v>
      </c>
      <c r="C226" s="37" t="s">
        <v>2473</v>
      </c>
      <c r="D226" s="37" t="s">
        <v>106</v>
      </c>
      <c r="E226" s="37" t="s">
        <v>107</v>
      </c>
      <c r="F226" s="37" t="s">
        <v>30</v>
      </c>
      <c r="G226" s="37" t="s">
        <v>2435</v>
      </c>
      <c r="H226" s="37">
        <v>0.94</v>
      </c>
      <c r="I226" s="37">
        <v>56</v>
      </c>
      <c r="J226" s="37" t="s">
        <v>2996</v>
      </c>
      <c r="K226" s="37" t="s">
        <v>236</v>
      </c>
      <c r="L226" s="37">
        <v>0</v>
      </c>
      <c r="M226" s="37" t="str">
        <f t="shared" si="20"/>
        <v>General</v>
      </c>
      <c r="N226" s="37" t="str">
        <f t="shared" si="18"/>
        <v>Debit Card</v>
      </c>
      <c r="O226" s="37" t="str" cm="1">
        <f t="array" ref="O226">IF(TRIM(N226)="",INDEX($N$2:$N$1500,MATCH(MAX(COUNTIF($N$2:$N$1500,$N$2:$N$1500)),COUNTIF($N$2:$N$1500,$N$2:$N$1500),0)),N226)</f>
        <v>Debit Card</v>
      </c>
      <c r="P226" s="38" cm="1">
        <f t="array" ref="P226">ROUND(IF(TRIM(H226)="",IFERROR(MEDIAN(IF($M$2:$M$1500=M226,$H$2:$H$1500)),MEDIAN($H$2:$H$1500)),H226),2)</f>
        <v>0.94</v>
      </c>
      <c r="Q226" s="38" t="str">
        <f t="shared" si="21"/>
        <v>0</v>
      </c>
      <c r="R226" s="39" cm="1">
        <f t="array" ref="R226">IF(OR(TRIM(J226)="",TRIM(J226)="-"),MEDIAN(IF($C$2:$C$1218=C226,$J$2:$J$1218)),VALUE(SUBSTITUTE(SUBSTITUTE(SUBSTITUTE(J226,"Rs. ",""),"₹",""),",","")))</f>
        <v>13576</v>
      </c>
      <c r="S226" s="40">
        <f t="shared" si="19"/>
        <v>0</v>
      </c>
      <c r="T226" s="41">
        <f t="shared" si="22"/>
        <v>0</v>
      </c>
      <c r="U226" s="42">
        <f t="shared" si="23"/>
        <v>13576</v>
      </c>
    </row>
    <row r="227" spans="1:21" x14ac:dyDescent="0.3">
      <c r="A227" s="37" t="s">
        <v>2997</v>
      </c>
      <c r="B227" s="37" t="s">
        <v>2998</v>
      </c>
      <c r="C227" s="37" t="s">
        <v>2536</v>
      </c>
      <c r="D227" s="37" t="s">
        <v>14</v>
      </c>
      <c r="E227" s="37" t="s">
        <v>60</v>
      </c>
      <c r="F227" s="37" t="s">
        <v>62</v>
      </c>
      <c r="G227" s="37" t="s">
        <v>2435</v>
      </c>
      <c r="H227" s="37">
        <v>6.77</v>
      </c>
      <c r="I227" s="37">
        <v>39</v>
      </c>
      <c r="J227" s="37">
        <v>29090</v>
      </c>
      <c r="K227" s="37" t="s">
        <v>34</v>
      </c>
      <c r="L227" s="37">
        <v>10</v>
      </c>
      <c r="M227" s="37" t="str">
        <f t="shared" si="20"/>
        <v>ICU</v>
      </c>
      <c r="N227" s="37" t="str">
        <f t="shared" si="18"/>
        <v>Cash</v>
      </c>
      <c r="O227" s="37" t="str" cm="1">
        <f t="array" ref="O227">IF(TRIM(N227)="",INDEX($N$2:$N$1500,MATCH(MAX(COUNTIF($N$2:$N$1500,$N$2:$N$1500)),COUNTIF($N$2:$N$1500,$N$2:$N$1500),0)),N227)</f>
        <v>Cash</v>
      </c>
      <c r="P227" s="38" cm="1">
        <f t="array" ref="P227">ROUND(IF(TRIM(H227)="",IFERROR(MEDIAN(IF($M$2:$M$1500=M227,$H$2:$H$1500)),MEDIAN($H$2:$H$1500)),H227),2)</f>
        <v>6.77</v>
      </c>
      <c r="Q227" s="38" t="str">
        <f t="shared" si="21"/>
        <v>0</v>
      </c>
      <c r="R227" s="39" cm="1">
        <f t="array" ref="R227">IF(OR(TRIM(J227)="",TRIM(J227)="-"),MEDIAN(IF($C$2:$C$1218=C227,$J$2:$J$1218)),VALUE(SUBSTITUTE(SUBSTITUTE(SUBSTITUTE(J227,"Rs. ",""),"₹",""),",","")))</f>
        <v>29090</v>
      </c>
      <c r="S227" s="40">
        <f t="shared" si="19"/>
        <v>10</v>
      </c>
      <c r="T227" s="41">
        <f t="shared" si="22"/>
        <v>10</v>
      </c>
      <c r="U227" s="42">
        <f t="shared" si="23"/>
        <v>26181</v>
      </c>
    </row>
    <row r="228" spans="1:21" x14ac:dyDescent="0.3">
      <c r="A228" s="37" t="s">
        <v>2999</v>
      </c>
      <c r="B228" s="37" t="s">
        <v>3000</v>
      </c>
      <c r="C228" s="37" t="s">
        <v>2485</v>
      </c>
      <c r="D228" s="37" t="s">
        <v>106</v>
      </c>
      <c r="E228" s="37" t="s">
        <v>107</v>
      </c>
      <c r="F228" s="37" t="s">
        <v>39</v>
      </c>
      <c r="G228" s="37" t="s">
        <v>2505</v>
      </c>
      <c r="H228" s="37">
        <v>6.24</v>
      </c>
      <c r="I228" s="37">
        <v>48</v>
      </c>
      <c r="J228" s="37">
        <v>5313</v>
      </c>
      <c r="K228" s="37" t="s">
        <v>58</v>
      </c>
      <c r="L228" s="37" t="s">
        <v>76</v>
      </c>
      <c r="M228" s="37" t="str">
        <f t="shared" si="20"/>
        <v>General</v>
      </c>
      <c r="N228" s="37" t="str">
        <f t="shared" si="18"/>
        <v>UPI</v>
      </c>
      <c r="O228" s="37" t="str" cm="1">
        <f t="array" ref="O228">IF(TRIM(N228)="",INDEX($N$2:$N$1500,MATCH(MAX(COUNTIF($N$2:$N$1500,$N$2:$N$1500)),COUNTIF($N$2:$N$1500,$N$2:$N$1500),0)),N228)</f>
        <v>UPI</v>
      </c>
      <c r="P228" s="38" cm="1">
        <f t="array" ref="P228">ROUND(IF(TRIM(H228)="",IFERROR(MEDIAN(IF($M$2:$M$1500=M228,$H$2:$H$1500)),MEDIAN($H$2:$H$1500)),H228),2)</f>
        <v>6.24</v>
      </c>
      <c r="Q228" s="38" t="str">
        <f t="shared" si="21"/>
        <v>2+</v>
      </c>
      <c r="R228" s="39" cm="1">
        <f t="array" ref="R228">IF(OR(TRIM(J228)="",TRIM(J228)="-"),MEDIAN(IF($C$2:$C$1218=C228,$J$2:$J$1218)),VALUE(SUBSTITUTE(SUBSTITUTE(SUBSTITUTE(J228,"Rs. ",""),"₹",""),",","")))</f>
        <v>5313</v>
      </c>
      <c r="S228" s="40">
        <f t="shared" si="19"/>
        <v>10</v>
      </c>
      <c r="T228" s="41">
        <f t="shared" si="22"/>
        <v>10</v>
      </c>
      <c r="U228" s="42">
        <f t="shared" si="23"/>
        <v>4782</v>
      </c>
    </row>
    <row r="229" spans="1:21" x14ac:dyDescent="0.3">
      <c r="A229" s="37" t="s">
        <v>3001</v>
      </c>
      <c r="B229" s="37" t="s">
        <v>2729</v>
      </c>
      <c r="C229" s="37" t="s">
        <v>2730</v>
      </c>
      <c r="D229" s="37" t="s">
        <v>117</v>
      </c>
      <c r="E229" s="37" t="s">
        <v>118</v>
      </c>
      <c r="F229" s="37" t="s">
        <v>49</v>
      </c>
      <c r="G229" s="37" t="s">
        <v>2435</v>
      </c>
      <c r="H229" s="37">
        <v>8.1199999999999992</v>
      </c>
      <c r="I229" s="37">
        <v>47</v>
      </c>
      <c r="J229" s="37" t="s">
        <v>3002</v>
      </c>
      <c r="K229" s="37" t="s">
        <v>83</v>
      </c>
      <c r="L229" s="37">
        <v>0.1</v>
      </c>
      <c r="M229" s="37" t="str">
        <f t="shared" si="20"/>
        <v>General</v>
      </c>
      <c r="N229" s="37" t="str">
        <f t="shared" si="18"/>
        <v>Debit Card</v>
      </c>
      <c r="O229" s="37" t="str" cm="1">
        <f t="array" ref="O229">IF(TRIM(N229)="",INDEX($N$2:$N$1500,MATCH(MAX(COUNTIF($N$2:$N$1500,$N$2:$N$1500)),COUNTIF($N$2:$N$1500,$N$2:$N$1500),0)),N229)</f>
        <v>Debit Card</v>
      </c>
      <c r="P229" s="38" cm="1">
        <f t="array" ref="P229">ROUND(IF(TRIM(H229)="",IFERROR(MEDIAN(IF($M$2:$M$1500=M229,$H$2:$H$1500)),MEDIAN($H$2:$H$1500)),H229),2)</f>
        <v>8.1199999999999992</v>
      </c>
      <c r="Q229" s="38" t="str">
        <f t="shared" si="21"/>
        <v>0</v>
      </c>
      <c r="R229" s="39" cm="1">
        <f t="array" ref="R229">IF(OR(TRIM(J229)="",TRIM(J229)="-"),MEDIAN(IF($C$2:$C$1218=C229,$J$2:$J$1218)),VALUE(SUBSTITUTE(SUBSTITUTE(SUBSTITUTE(J229,"Rs. ",""),"₹",""),",","")))</f>
        <v>9601</v>
      </c>
      <c r="S229" s="40">
        <f t="shared" si="19"/>
        <v>0.1</v>
      </c>
      <c r="T229" s="41">
        <f t="shared" si="22"/>
        <v>0</v>
      </c>
      <c r="U229" s="42">
        <f t="shared" si="23"/>
        <v>9601</v>
      </c>
    </row>
    <row r="230" spans="1:21" x14ac:dyDescent="0.3">
      <c r="A230" s="37" t="s">
        <v>3003</v>
      </c>
      <c r="B230" s="37" t="s">
        <v>3004</v>
      </c>
      <c r="C230" s="37" t="s">
        <v>2504</v>
      </c>
      <c r="D230" s="37" t="s">
        <v>45</v>
      </c>
      <c r="E230" s="37" t="s">
        <v>46</v>
      </c>
      <c r="F230" s="37" t="s">
        <v>49</v>
      </c>
      <c r="G230" s="37" t="s">
        <v>2418</v>
      </c>
      <c r="H230" s="37">
        <v>9.67</v>
      </c>
      <c r="I230" s="37">
        <v>43</v>
      </c>
      <c r="J230" s="37" t="s">
        <v>3005</v>
      </c>
      <c r="K230" s="37" t="s">
        <v>52</v>
      </c>
      <c r="L230" s="37">
        <v>0</v>
      </c>
      <c r="M230" s="37" t="str">
        <f t="shared" si="20"/>
        <v>General</v>
      </c>
      <c r="N230" s="37" t="str">
        <f t="shared" si="18"/>
        <v>Credit Card</v>
      </c>
      <c r="O230" s="37" t="str" cm="1">
        <f t="array" ref="O230">IF(TRIM(N230)="",INDEX($N$2:$N$1500,MATCH(MAX(COUNTIF($N$2:$N$1500,$N$2:$N$1500)),COUNTIF($N$2:$N$1500,$N$2:$N$1500),0)),N230)</f>
        <v>Credit Card</v>
      </c>
      <c r="P230" s="38" cm="1">
        <f t="array" ref="P230">ROUND(IF(TRIM(H230)="",IFERROR(MEDIAN(IF($M$2:$M$1500=M230,$H$2:$H$1500)),MEDIAN($H$2:$H$1500)),H230),2)</f>
        <v>9.67</v>
      </c>
      <c r="Q230" s="38" t="str">
        <f t="shared" si="21"/>
        <v>1</v>
      </c>
      <c r="R230" s="39" cm="1">
        <f t="array" ref="R230">IF(OR(TRIM(J230)="",TRIM(J230)="-"),MEDIAN(IF($C$2:$C$1218=C230,$J$2:$J$1218)),VALUE(SUBSTITUTE(SUBSTITUTE(SUBSTITUTE(J230,"Rs. ",""),"₹",""),",","")))</f>
        <v>12361</v>
      </c>
      <c r="S230" s="40">
        <f t="shared" si="19"/>
        <v>0</v>
      </c>
      <c r="T230" s="41">
        <f t="shared" si="22"/>
        <v>0</v>
      </c>
      <c r="U230" s="42">
        <f t="shared" si="23"/>
        <v>12361</v>
      </c>
    </row>
    <row r="231" spans="1:21" x14ac:dyDescent="0.3">
      <c r="A231" s="37" t="s">
        <v>3006</v>
      </c>
      <c r="B231" s="37" t="s">
        <v>3007</v>
      </c>
      <c r="C231" s="37" t="s">
        <v>2485</v>
      </c>
      <c r="D231" s="37" t="s">
        <v>117</v>
      </c>
      <c r="E231" s="37" t="s">
        <v>118</v>
      </c>
      <c r="F231" s="37" t="s">
        <v>49</v>
      </c>
      <c r="G231" s="37" t="s">
        <v>2435</v>
      </c>
      <c r="H231" s="37">
        <v>1.92</v>
      </c>
      <c r="I231" s="37">
        <v>1</v>
      </c>
      <c r="J231" s="37" t="s">
        <v>3008</v>
      </c>
      <c r="K231" s="37" t="s">
        <v>115</v>
      </c>
      <c r="L231" s="37" t="s">
        <v>130</v>
      </c>
      <c r="M231" s="37" t="str">
        <f t="shared" si="20"/>
        <v>General</v>
      </c>
      <c r="N231" s="37" t="str">
        <f t="shared" si="18"/>
        <v>Cash</v>
      </c>
      <c r="O231" s="37" t="str" cm="1">
        <f t="array" ref="O231">IF(TRIM(N231)="",INDEX($N$2:$N$1500,MATCH(MAX(COUNTIF($N$2:$N$1500,$N$2:$N$1500)),COUNTIF($N$2:$N$1500,$N$2:$N$1500),0)),N231)</f>
        <v>Cash</v>
      </c>
      <c r="P231" s="38" cm="1">
        <f t="array" ref="P231">ROUND(IF(TRIM(H231)="",IFERROR(MEDIAN(IF($M$2:$M$1500=M231,$H$2:$H$1500)),MEDIAN($H$2:$H$1500)),H231),2)</f>
        <v>1.92</v>
      </c>
      <c r="Q231" s="38" t="str">
        <f t="shared" si="21"/>
        <v>0</v>
      </c>
      <c r="R231" s="39" cm="1">
        <f t="array" ref="R231">IF(OR(TRIM(J231)="",TRIM(J231)="-"),MEDIAN(IF($C$2:$C$1218=C231,$J$2:$J$1218)),VALUE(SUBSTITUTE(SUBSTITUTE(SUBSTITUTE(J231,"Rs. ",""),"₹",""),",","")))</f>
        <v>10777</v>
      </c>
      <c r="S231" s="40">
        <f t="shared" si="19"/>
        <v>0</v>
      </c>
      <c r="T231" s="41">
        <f t="shared" si="22"/>
        <v>0</v>
      </c>
      <c r="U231" s="42">
        <f t="shared" si="23"/>
        <v>10777</v>
      </c>
    </row>
    <row r="232" spans="1:21" x14ac:dyDescent="0.3">
      <c r="A232" s="37" t="s">
        <v>3009</v>
      </c>
      <c r="B232" s="37" t="s">
        <v>2667</v>
      </c>
      <c r="C232" s="37" t="s">
        <v>2449</v>
      </c>
      <c r="D232" s="37" t="s">
        <v>78</v>
      </c>
      <c r="E232" s="37" t="s">
        <v>161</v>
      </c>
      <c r="F232" s="37" t="s">
        <v>49</v>
      </c>
      <c r="G232" s="37" t="s">
        <v>2423</v>
      </c>
      <c r="H232" s="37">
        <v>23.95</v>
      </c>
      <c r="I232" s="37">
        <v>54</v>
      </c>
      <c r="J232" s="37" t="s">
        <v>3010</v>
      </c>
      <c r="K232" s="37" t="s">
        <v>58</v>
      </c>
      <c r="L232" s="37" t="s">
        <v>130</v>
      </c>
      <c r="M232" s="37" t="str">
        <f t="shared" si="20"/>
        <v>General</v>
      </c>
      <c r="N232" s="37" t="str">
        <f t="shared" si="18"/>
        <v>UPI</v>
      </c>
      <c r="O232" s="37" t="str" cm="1">
        <f t="array" ref="O232">IF(TRIM(N232)="",INDEX($N$2:$N$1500,MATCH(MAX(COUNTIF($N$2:$N$1500,$N$2:$N$1500)),COUNTIF($N$2:$N$1500,$N$2:$N$1500),0)),N232)</f>
        <v>UPI</v>
      </c>
      <c r="P232" s="38" cm="1">
        <f t="array" ref="P232">ROUND(IF(TRIM(H232)="",IFERROR(MEDIAN(IF($M$2:$M$1500=M232,$H$2:$H$1500)),MEDIAN($H$2:$H$1500)),H232),2)</f>
        <v>23.95</v>
      </c>
      <c r="Q232" s="38" t="str">
        <f t="shared" si="21"/>
        <v>0</v>
      </c>
      <c r="R232" s="39" cm="1">
        <f t="array" ref="R232">IF(OR(TRIM(J232)="",TRIM(J232)="-"),MEDIAN(IF($C$2:$C$1218=C232,$J$2:$J$1218)),VALUE(SUBSTITUTE(SUBSTITUTE(SUBSTITUTE(J232,"Rs. ",""),"₹",""),",","")))</f>
        <v>10589</v>
      </c>
      <c r="S232" s="40">
        <f t="shared" si="19"/>
        <v>0</v>
      </c>
      <c r="T232" s="41">
        <f t="shared" si="22"/>
        <v>0</v>
      </c>
      <c r="U232" s="42">
        <f t="shared" si="23"/>
        <v>10589</v>
      </c>
    </row>
    <row r="233" spans="1:21" x14ac:dyDescent="0.3">
      <c r="A233" s="37" t="s">
        <v>3011</v>
      </c>
      <c r="B233" s="37" t="s">
        <v>3012</v>
      </c>
      <c r="C233" s="37" t="s">
        <v>2577</v>
      </c>
      <c r="D233" s="37" t="s">
        <v>25</v>
      </c>
      <c r="E233" s="37" t="s">
        <v>54</v>
      </c>
      <c r="F233" s="37"/>
      <c r="G233" s="37" t="s">
        <v>2408</v>
      </c>
      <c r="H233" s="37">
        <v>22.8</v>
      </c>
      <c r="I233" s="37">
        <v>36</v>
      </c>
      <c r="J233" s="37">
        <v>33210</v>
      </c>
      <c r="K233" s="37" t="s">
        <v>311</v>
      </c>
      <c r="L233" s="37">
        <v>0</v>
      </c>
      <c r="M233" s="37" t="str">
        <f t="shared" si="20"/>
        <v>Unknown</v>
      </c>
      <c r="N233" s="37" t="str">
        <f t="shared" si="18"/>
        <v>UPI</v>
      </c>
      <c r="O233" s="37" t="str" cm="1">
        <f t="array" ref="O233">IF(TRIM(N233)="",INDEX($N$2:$N$1500,MATCH(MAX(COUNTIF($N$2:$N$1500,$N$2:$N$1500)),COUNTIF($N$2:$N$1500,$N$2:$N$1500),0)),N233)</f>
        <v>UPI</v>
      </c>
      <c r="P233" s="38" cm="1">
        <f t="array" ref="P233">ROUND(IF(TRIM(H233)="",IFERROR(MEDIAN(IF($M$2:$M$1500=M233,$H$2:$H$1500)),MEDIAN($H$2:$H$1500)),H233),2)</f>
        <v>22.8</v>
      </c>
      <c r="Q233" s="38" t="str">
        <f t="shared" si="21"/>
        <v>0</v>
      </c>
      <c r="R233" s="39" cm="1">
        <f t="array" ref="R233">IF(OR(TRIM(J233)="",TRIM(J233)="-"),MEDIAN(IF($C$2:$C$1218=C233,$J$2:$J$1218)),VALUE(SUBSTITUTE(SUBSTITUTE(SUBSTITUTE(J233,"Rs. ",""),"₹",""),",","")))</f>
        <v>33210</v>
      </c>
      <c r="S233" s="40">
        <f t="shared" si="19"/>
        <v>0</v>
      </c>
      <c r="T233" s="41">
        <f t="shared" si="22"/>
        <v>0</v>
      </c>
      <c r="U233" s="42">
        <f t="shared" si="23"/>
        <v>33210</v>
      </c>
    </row>
    <row r="234" spans="1:21" x14ac:dyDescent="0.3">
      <c r="A234" s="37" t="s">
        <v>3013</v>
      </c>
      <c r="B234" s="37" t="s">
        <v>3014</v>
      </c>
      <c r="C234" s="37" t="s">
        <v>2481</v>
      </c>
      <c r="D234" s="37" t="s">
        <v>106</v>
      </c>
      <c r="E234" s="37" t="s">
        <v>107</v>
      </c>
      <c r="F234" s="37" t="s">
        <v>49</v>
      </c>
      <c r="G234" s="37" t="s">
        <v>2993</v>
      </c>
      <c r="H234" s="37">
        <v>1.5</v>
      </c>
      <c r="I234" s="37">
        <v>55</v>
      </c>
      <c r="J234" s="37" t="s">
        <v>3015</v>
      </c>
      <c r="K234" s="37" t="s">
        <v>58</v>
      </c>
      <c r="L234" s="37">
        <v>0</v>
      </c>
      <c r="M234" s="37" t="str">
        <f t="shared" si="20"/>
        <v>General</v>
      </c>
      <c r="N234" s="37" t="str">
        <f t="shared" si="18"/>
        <v>UPI</v>
      </c>
      <c r="O234" s="37" t="str" cm="1">
        <f t="array" ref="O234">IF(TRIM(N234)="",INDEX($N$2:$N$1500,MATCH(MAX(COUNTIF($N$2:$N$1500,$N$2:$N$1500)),COUNTIF($N$2:$N$1500,$N$2:$N$1500),0)),N234)</f>
        <v>UPI</v>
      </c>
      <c r="P234" s="38" cm="1">
        <f t="array" ref="P234">ROUND(IF(TRIM(H234)="",IFERROR(MEDIAN(IF($M$2:$M$1500=M234,$H$2:$H$1500)),MEDIAN($H$2:$H$1500)),H234),2)</f>
        <v>1.5</v>
      </c>
      <c r="Q234" s="38" t="str">
        <f t="shared" si="21"/>
        <v>2+</v>
      </c>
      <c r="R234" s="39" cm="1">
        <f t="array" ref="R234">IF(OR(TRIM(J234)="",TRIM(J234)="-"),MEDIAN(IF($C$2:$C$1218=C234,$J$2:$J$1218)),VALUE(SUBSTITUTE(SUBSTITUTE(SUBSTITUTE(J234,"Rs. ",""),"₹",""),",","")))</f>
        <v>9297</v>
      </c>
      <c r="S234" s="40">
        <f t="shared" si="19"/>
        <v>0</v>
      </c>
      <c r="T234" s="41">
        <f t="shared" si="22"/>
        <v>0</v>
      </c>
      <c r="U234" s="42">
        <f t="shared" si="23"/>
        <v>9297</v>
      </c>
    </row>
    <row r="235" spans="1:21" x14ac:dyDescent="0.3">
      <c r="A235" s="37" t="s">
        <v>3016</v>
      </c>
      <c r="B235" s="37" t="s">
        <v>3017</v>
      </c>
      <c r="C235" s="37" t="s">
        <v>2407</v>
      </c>
      <c r="D235" s="37" t="s">
        <v>25</v>
      </c>
      <c r="E235" s="37" t="s">
        <v>54</v>
      </c>
      <c r="F235" s="37" t="s">
        <v>69</v>
      </c>
      <c r="G235" s="37" t="s">
        <v>2486</v>
      </c>
      <c r="H235" s="37">
        <v>8.25</v>
      </c>
      <c r="I235" s="37">
        <v>54</v>
      </c>
      <c r="J235" s="37">
        <v>67276</v>
      </c>
      <c r="K235" s="37" t="s">
        <v>34</v>
      </c>
      <c r="L235" s="37">
        <v>10</v>
      </c>
      <c r="M235" s="37" t="str">
        <f t="shared" si="20"/>
        <v>ICU</v>
      </c>
      <c r="N235" s="37" t="str">
        <f t="shared" si="18"/>
        <v>Cash</v>
      </c>
      <c r="O235" s="37" t="str" cm="1">
        <f t="array" ref="O235">IF(TRIM(N235)="",INDEX($N$2:$N$1500,MATCH(MAX(COUNTIF($N$2:$N$1500,$N$2:$N$1500)),COUNTIF($N$2:$N$1500,$N$2:$N$1500),0)),N235)</f>
        <v>Cash</v>
      </c>
      <c r="P235" s="38" cm="1">
        <f t="array" ref="P235">ROUND(IF(TRIM(H235)="",IFERROR(MEDIAN(IF($M$2:$M$1500=M235,$H$2:$H$1500)),MEDIAN($H$2:$H$1500)),H235),2)</f>
        <v>8.25</v>
      </c>
      <c r="Q235" s="38" t="str">
        <f t="shared" si="21"/>
        <v>2+</v>
      </c>
      <c r="R235" s="39" cm="1">
        <f t="array" ref="R235">IF(OR(TRIM(J235)="",TRIM(J235)="-"),MEDIAN(IF($C$2:$C$1218=C235,$J$2:$J$1218)),VALUE(SUBSTITUTE(SUBSTITUTE(SUBSTITUTE(J235,"Rs. ",""),"₹",""),",","")))</f>
        <v>67276</v>
      </c>
      <c r="S235" s="40">
        <f t="shared" si="19"/>
        <v>10</v>
      </c>
      <c r="T235" s="41">
        <f t="shared" si="22"/>
        <v>10</v>
      </c>
      <c r="U235" s="42">
        <f t="shared" si="23"/>
        <v>60548</v>
      </c>
    </row>
    <row r="236" spans="1:21" x14ac:dyDescent="0.3">
      <c r="A236" s="37" t="s">
        <v>3018</v>
      </c>
      <c r="B236" s="37" t="s">
        <v>3019</v>
      </c>
      <c r="C236" s="37" t="s">
        <v>2730</v>
      </c>
      <c r="D236" s="37" t="s">
        <v>106</v>
      </c>
      <c r="E236" s="37" t="s">
        <v>107</v>
      </c>
      <c r="F236" s="37" t="s">
        <v>39</v>
      </c>
      <c r="G236" s="37" t="s">
        <v>2408</v>
      </c>
      <c r="H236" s="37">
        <v>16.36</v>
      </c>
      <c r="I236" s="37">
        <v>34</v>
      </c>
      <c r="J236" s="37" t="s">
        <v>3020</v>
      </c>
      <c r="K236" s="37" t="s">
        <v>91</v>
      </c>
      <c r="L236" s="37">
        <v>0</v>
      </c>
      <c r="M236" s="37" t="str">
        <f t="shared" si="20"/>
        <v>General</v>
      </c>
      <c r="N236" s="37" t="str">
        <f t="shared" si="18"/>
        <v>Debit Card</v>
      </c>
      <c r="O236" s="37" t="str" cm="1">
        <f t="array" ref="O236">IF(TRIM(N236)="",INDEX($N$2:$N$1500,MATCH(MAX(COUNTIF($N$2:$N$1500,$N$2:$N$1500)),COUNTIF($N$2:$N$1500,$N$2:$N$1500),0)),N236)</f>
        <v>Debit Card</v>
      </c>
      <c r="P236" s="38" cm="1">
        <f t="array" ref="P236">ROUND(IF(TRIM(H236)="",IFERROR(MEDIAN(IF($M$2:$M$1500=M236,$H$2:$H$1500)),MEDIAN($H$2:$H$1500)),H236),2)</f>
        <v>16.36</v>
      </c>
      <c r="Q236" s="38" t="str">
        <f t="shared" si="21"/>
        <v>0</v>
      </c>
      <c r="R236" s="39" cm="1">
        <f t="array" ref="R236">IF(OR(TRIM(J236)="",TRIM(J236)="-"),MEDIAN(IF($C$2:$C$1218=C236,$J$2:$J$1218)),VALUE(SUBSTITUTE(SUBSTITUTE(SUBSTITUTE(J236,"Rs. ",""),"₹",""),",","")))</f>
        <v>19351</v>
      </c>
      <c r="S236" s="40">
        <f t="shared" si="19"/>
        <v>0</v>
      </c>
      <c r="T236" s="41">
        <f t="shared" si="22"/>
        <v>0</v>
      </c>
      <c r="U236" s="42">
        <f t="shared" si="23"/>
        <v>19351</v>
      </c>
    </row>
    <row r="237" spans="1:21" x14ac:dyDescent="0.3">
      <c r="A237" s="37" t="s">
        <v>3021</v>
      </c>
      <c r="B237" s="37" t="s">
        <v>3022</v>
      </c>
      <c r="C237" s="37" t="s">
        <v>2459</v>
      </c>
      <c r="D237" s="37" t="s">
        <v>25</v>
      </c>
      <c r="E237" s="37" t="s">
        <v>26</v>
      </c>
      <c r="F237" s="37" t="s">
        <v>69</v>
      </c>
      <c r="G237" s="37" t="s">
        <v>2450</v>
      </c>
      <c r="H237" s="37">
        <v>5.81</v>
      </c>
      <c r="I237" s="37">
        <v>12</v>
      </c>
      <c r="J237" s="37" t="s">
        <v>3023</v>
      </c>
      <c r="K237" s="37" t="s">
        <v>72</v>
      </c>
      <c r="L237" s="37">
        <v>0</v>
      </c>
      <c r="M237" s="37" t="str">
        <f t="shared" si="20"/>
        <v>ICU</v>
      </c>
      <c r="N237" s="37" t="str">
        <f t="shared" si="18"/>
        <v>Cash</v>
      </c>
      <c r="O237" s="37" t="str" cm="1">
        <f t="array" ref="O237">IF(TRIM(N237)="",INDEX($N$2:$N$1500,MATCH(MAX(COUNTIF($N$2:$N$1500,$N$2:$N$1500)),COUNTIF($N$2:$N$1500,$N$2:$N$1500),0)),N237)</f>
        <v>Cash</v>
      </c>
      <c r="P237" s="38" cm="1">
        <f t="array" ref="P237">ROUND(IF(TRIM(H237)="",IFERROR(MEDIAN(IF($M$2:$M$1500=M237,$H$2:$H$1500)),MEDIAN($H$2:$H$1500)),H237),2)</f>
        <v>5.81</v>
      </c>
      <c r="Q237" s="38" t="str">
        <f t="shared" si="21"/>
        <v>1</v>
      </c>
      <c r="R237" s="39" cm="1">
        <f t="array" ref="R237">IF(OR(TRIM(J237)="",TRIM(J237)="-"),MEDIAN(IF($C$2:$C$1218=C237,$J$2:$J$1218)),VALUE(SUBSTITUTE(SUBSTITUTE(SUBSTITUTE(J237,"Rs. ",""),"₹",""),",","")))</f>
        <v>40210</v>
      </c>
      <c r="S237" s="40">
        <f t="shared" si="19"/>
        <v>0</v>
      </c>
      <c r="T237" s="41">
        <f t="shared" si="22"/>
        <v>0</v>
      </c>
      <c r="U237" s="42">
        <f t="shared" si="23"/>
        <v>40210</v>
      </c>
    </row>
    <row r="238" spans="1:21" x14ac:dyDescent="0.3">
      <c r="A238" s="37" t="s">
        <v>3024</v>
      </c>
      <c r="B238" s="37" t="s">
        <v>3025</v>
      </c>
      <c r="C238" s="37" t="s">
        <v>2438</v>
      </c>
      <c r="D238" s="37" t="s">
        <v>45</v>
      </c>
      <c r="E238" s="37" t="s">
        <v>46</v>
      </c>
      <c r="F238" s="37"/>
      <c r="G238" s="37" t="s">
        <v>2423</v>
      </c>
      <c r="H238" s="37">
        <v>19.329999999999998</v>
      </c>
      <c r="I238" s="37">
        <v>47</v>
      </c>
      <c r="J238" s="37">
        <v>18611</v>
      </c>
      <c r="K238" s="37" t="s">
        <v>58</v>
      </c>
      <c r="L238" s="37"/>
      <c r="M238" s="37" t="str">
        <f t="shared" si="20"/>
        <v>Unknown</v>
      </c>
      <c r="N238" s="37" t="str">
        <f t="shared" si="18"/>
        <v>UPI</v>
      </c>
      <c r="O238" s="37" t="str" cm="1">
        <f t="array" ref="O238">IF(TRIM(N238)="",INDEX($N$2:$N$1500,MATCH(MAX(COUNTIF($N$2:$N$1500,$N$2:$N$1500)),COUNTIF($N$2:$N$1500,$N$2:$N$1500),0)),N238)</f>
        <v>UPI</v>
      </c>
      <c r="P238" s="38" cm="1">
        <f t="array" ref="P238">ROUND(IF(TRIM(H238)="",IFERROR(MEDIAN(IF($M$2:$M$1500=M238,$H$2:$H$1500)),MEDIAN($H$2:$H$1500)),H238),2)</f>
        <v>19.329999999999998</v>
      </c>
      <c r="Q238" s="38" t="str">
        <f t="shared" si="21"/>
        <v>0</v>
      </c>
      <c r="R238" s="39" cm="1">
        <f t="array" ref="R238">IF(OR(TRIM(J238)="",TRIM(J238)="-"),MEDIAN(IF($C$2:$C$1218=C238,$J$2:$J$1218)),VALUE(SUBSTITUTE(SUBSTITUTE(SUBSTITUTE(J238,"Rs. ",""),"₹",""),",","")))</f>
        <v>18611</v>
      </c>
      <c r="S238" s="40">
        <f t="shared" si="19"/>
        <v>0</v>
      </c>
      <c r="T238" s="41">
        <f t="shared" si="22"/>
        <v>0</v>
      </c>
      <c r="U238" s="42">
        <f t="shared" si="23"/>
        <v>18611</v>
      </c>
    </row>
    <row r="239" spans="1:21" x14ac:dyDescent="0.3">
      <c r="A239" s="37" t="s">
        <v>3026</v>
      </c>
      <c r="B239" s="37" t="s">
        <v>3027</v>
      </c>
      <c r="C239" s="37" t="s">
        <v>2459</v>
      </c>
      <c r="D239" s="37" t="s">
        <v>78</v>
      </c>
      <c r="E239" s="37" t="s">
        <v>79</v>
      </c>
      <c r="F239" s="37" t="s">
        <v>30</v>
      </c>
      <c r="G239" s="37" t="s">
        <v>2412</v>
      </c>
      <c r="H239" s="37">
        <v>2.11</v>
      </c>
      <c r="I239" s="37">
        <v>39</v>
      </c>
      <c r="J239" s="37" t="s">
        <v>3028</v>
      </c>
      <c r="K239" s="37" t="s">
        <v>23</v>
      </c>
      <c r="L239" s="37">
        <v>0</v>
      </c>
      <c r="M239" s="37" t="str">
        <f t="shared" si="20"/>
        <v>General</v>
      </c>
      <c r="N239" s="37" t="str">
        <f t="shared" si="18"/>
        <v>Credit Card</v>
      </c>
      <c r="O239" s="37" t="str" cm="1">
        <f t="array" ref="O239">IF(TRIM(N239)="",INDEX($N$2:$N$1500,MATCH(MAX(COUNTIF($N$2:$N$1500,$N$2:$N$1500)),COUNTIF($N$2:$N$1500,$N$2:$N$1500),0)),N239)</f>
        <v>Credit Card</v>
      </c>
      <c r="P239" s="38" cm="1">
        <f t="array" ref="P239">ROUND(IF(TRIM(H239)="",IFERROR(MEDIAN(IF($M$2:$M$1500=M239,$H$2:$H$1500)),MEDIAN($H$2:$H$1500)),H239),2)</f>
        <v>2.11</v>
      </c>
      <c r="Q239" s="38" t="str">
        <f t="shared" si="21"/>
        <v>1</v>
      </c>
      <c r="R239" s="39" cm="1">
        <f t="array" ref="R239">IF(OR(TRIM(J239)="",TRIM(J239)="-"),MEDIAN(IF($C$2:$C$1218=C239,$J$2:$J$1218)),VALUE(SUBSTITUTE(SUBSTITUTE(SUBSTITUTE(J239,"Rs. ",""),"₹",""),",","")))</f>
        <v>10702</v>
      </c>
      <c r="S239" s="40">
        <f t="shared" si="19"/>
        <v>0</v>
      </c>
      <c r="T239" s="41">
        <f t="shared" si="22"/>
        <v>0</v>
      </c>
      <c r="U239" s="42">
        <f t="shared" si="23"/>
        <v>10702</v>
      </c>
    </row>
    <row r="240" spans="1:21" x14ac:dyDescent="0.3">
      <c r="A240" s="37" t="s">
        <v>3029</v>
      </c>
      <c r="B240" s="37" t="s">
        <v>2826</v>
      </c>
      <c r="C240" s="37" t="s">
        <v>2577</v>
      </c>
      <c r="D240" s="37" t="s">
        <v>117</v>
      </c>
      <c r="E240" s="37" t="s">
        <v>118</v>
      </c>
      <c r="F240" s="37" t="s">
        <v>30</v>
      </c>
      <c r="G240" s="37" t="s">
        <v>2450</v>
      </c>
      <c r="H240" s="37">
        <v>10.75</v>
      </c>
      <c r="I240" s="37">
        <v>45</v>
      </c>
      <c r="J240" s="37">
        <v>15708</v>
      </c>
      <c r="K240" s="37"/>
      <c r="L240" s="37">
        <v>10</v>
      </c>
      <c r="M240" s="37" t="str">
        <f t="shared" si="20"/>
        <v>General</v>
      </c>
      <c r="N240" s="37" t="str">
        <f t="shared" si="18"/>
        <v>Unknown</v>
      </c>
      <c r="O240" s="37" t="str" cm="1">
        <f t="array" ref="O240">IF(TRIM(N240)="",INDEX($N$2:$N$1500,MATCH(MAX(COUNTIF($N$2:$N$1500,$N$2:$N$1500)),COUNTIF($N$2:$N$1500,$N$2:$N$1500),0)),N240)</f>
        <v>Unknown</v>
      </c>
      <c r="P240" s="38" cm="1">
        <f t="array" ref="P240">ROUND(IF(TRIM(H240)="",IFERROR(MEDIAN(IF($M$2:$M$1500=M240,$H$2:$H$1500)),MEDIAN($H$2:$H$1500)),H240),2)</f>
        <v>10.75</v>
      </c>
      <c r="Q240" s="38" t="str">
        <f t="shared" si="21"/>
        <v>1</v>
      </c>
      <c r="R240" s="39" cm="1">
        <f t="array" ref="R240">IF(OR(TRIM(J240)="",TRIM(J240)="-"),MEDIAN(IF($C$2:$C$1218=C240,$J$2:$J$1218)),VALUE(SUBSTITUTE(SUBSTITUTE(SUBSTITUTE(J240,"Rs. ",""),"₹",""),",","")))</f>
        <v>15708</v>
      </c>
      <c r="S240" s="40">
        <f t="shared" si="19"/>
        <v>10</v>
      </c>
      <c r="T240" s="41">
        <f t="shared" si="22"/>
        <v>10</v>
      </c>
      <c r="U240" s="42">
        <f t="shared" si="23"/>
        <v>14137</v>
      </c>
    </row>
    <row r="241" spans="1:21" x14ac:dyDescent="0.3">
      <c r="A241" s="37" t="s">
        <v>3030</v>
      </c>
      <c r="B241" s="37" t="s">
        <v>3031</v>
      </c>
      <c r="C241" s="37" t="s">
        <v>2521</v>
      </c>
      <c r="D241" s="37" t="s">
        <v>45</v>
      </c>
      <c r="E241" s="37" t="s">
        <v>334</v>
      </c>
      <c r="F241" s="37" t="s">
        <v>62</v>
      </c>
      <c r="G241" s="37" t="s">
        <v>2477</v>
      </c>
      <c r="H241" s="37">
        <v>22.3</v>
      </c>
      <c r="I241" s="37">
        <v>27</v>
      </c>
      <c r="J241" s="37">
        <v>51944</v>
      </c>
      <c r="K241" s="37" t="s">
        <v>115</v>
      </c>
      <c r="L241" s="37">
        <v>10</v>
      </c>
      <c r="M241" s="37" t="str">
        <f t="shared" si="20"/>
        <v>ICU</v>
      </c>
      <c r="N241" s="37" t="str">
        <f t="shared" si="18"/>
        <v>Cash</v>
      </c>
      <c r="O241" s="37" t="str" cm="1">
        <f t="array" ref="O241">IF(TRIM(N241)="",INDEX($N$2:$N$1500,MATCH(MAX(COUNTIF($N$2:$N$1500,$N$2:$N$1500)),COUNTIF($N$2:$N$1500,$N$2:$N$1500),0)),N241)</f>
        <v>Cash</v>
      </c>
      <c r="P241" s="38" cm="1">
        <f t="array" ref="P241">ROUND(IF(TRIM(H241)="",IFERROR(MEDIAN(IF($M$2:$M$1500=M241,$H$2:$H$1500)),MEDIAN($H$2:$H$1500)),H241),2)</f>
        <v>22.3</v>
      </c>
      <c r="Q241" s="38" t="str">
        <f t="shared" si="21"/>
        <v>0</v>
      </c>
      <c r="R241" s="39" cm="1">
        <f t="array" ref="R241">IF(OR(TRIM(J241)="",TRIM(J241)="-"),MEDIAN(IF($C$2:$C$1218=C241,$J$2:$J$1218)),VALUE(SUBSTITUTE(SUBSTITUTE(SUBSTITUTE(J241,"Rs. ",""),"₹",""),",","")))</f>
        <v>51944</v>
      </c>
      <c r="S241" s="40">
        <f t="shared" si="19"/>
        <v>10</v>
      </c>
      <c r="T241" s="41">
        <f t="shared" si="22"/>
        <v>10</v>
      </c>
      <c r="U241" s="42">
        <f t="shared" si="23"/>
        <v>46750</v>
      </c>
    </row>
    <row r="242" spans="1:21" x14ac:dyDescent="0.3">
      <c r="A242" s="37" t="s">
        <v>3032</v>
      </c>
      <c r="B242" s="37" t="s">
        <v>3033</v>
      </c>
      <c r="C242" s="37" t="s">
        <v>2449</v>
      </c>
      <c r="D242" s="37" t="s">
        <v>14</v>
      </c>
      <c r="E242" s="37" t="s">
        <v>60</v>
      </c>
      <c r="F242" s="37" t="s">
        <v>49</v>
      </c>
      <c r="G242" s="37" t="s">
        <v>2746</v>
      </c>
      <c r="H242" s="37">
        <v>21.24</v>
      </c>
      <c r="I242" s="37">
        <v>28</v>
      </c>
      <c r="J242" s="37" t="s">
        <v>3034</v>
      </c>
      <c r="K242" s="37" t="s">
        <v>72</v>
      </c>
      <c r="L242" s="37">
        <v>0</v>
      </c>
      <c r="M242" s="37" t="str">
        <f t="shared" si="20"/>
        <v>General</v>
      </c>
      <c r="N242" s="37" t="str">
        <f t="shared" si="18"/>
        <v>Cash</v>
      </c>
      <c r="O242" s="37" t="str" cm="1">
        <f t="array" ref="O242">IF(TRIM(N242)="",INDEX($N$2:$N$1500,MATCH(MAX(COUNTIF($N$2:$N$1500,$N$2:$N$1500)),COUNTIF($N$2:$N$1500,$N$2:$N$1500),0)),N242)</f>
        <v>Cash</v>
      </c>
      <c r="P242" s="38" cm="1">
        <f t="array" ref="P242">ROUND(IF(TRIM(H242)="",IFERROR(MEDIAN(IF($M$2:$M$1500=M242,$H$2:$H$1500)),MEDIAN($H$2:$H$1500)),H242),2)</f>
        <v>21.24</v>
      </c>
      <c r="Q242" s="38" t="str">
        <f t="shared" si="21"/>
        <v>2</v>
      </c>
      <c r="R242" s="39" cm="1">
        <f t="array" ref="R242">IF(OR(TRIM(J242)="",TRIM(J242)="-"),MEDIAN(IF($C$2:$C$1218=C242,$J$2:$J$1218)),VALUE(SUBSTITUTE(SUBSTITUTE(SUBSTITUTE(J242,"Rs. ",""),"₹",""),",","")))</f>
        <v>11053</v>
      </c>
      <c r="S242" s="40">
        <f t="shared" si="19"/>
        <v>0</v>
      </c>
      <c r="T242" s="41">
        <f t="shared" si="22"/>
        <v>0</v>
      </c>
      <c r="U242" s="42">
        <f t="shared" si="23"/>
        <v>11053</v>
      </c>
    </row>
    <row r="243" spans="1:21" x14ac:dyDescent="0.3">
      <c r="A243" s="37" t="s">
        <v>3035</v>
      </c>
      <c r="B243" s="37" t="s">
        <v>3036</v>
      </c>
      <c r="C243" s="37" t="s">
        <v>2466</v>
      </c>
      <c r="D243" s="37" t="s">
        <v>78</v>
      </c>
      <c r="E243" s="37" t="s">
        <v>79</v>
      </c>
      <c r="F243" s="37" t="s">
        <v>39</v>
      </c>
      <c r="G243" s="37" t="s">
        <v>2423</v>
      </c>
      <c r="H243" s="37">
        <v>15.54</v>
      </c>
      <c r="I243" s="37">
        <v>29</v>
      </c>
      <c r="J243" s="37">
        <v>6932</v>
      </c>
      <c r="K243" s="37" t="s">
        <v>236</v>
      </c>
      <c r="L243" s="37" t="s">
        <v>130</v>
      </c>
      <c r="M243" s="37" t="str">
        <f t="shared" si="20"/>
        <v>General</v>
      </c>
      <c r="N243" s="37" t="str">
        <f t="shared" si="18"/>
        <v>Debit Card</v>
      </c>
      <c r="O243" s="37" t="str" cm="1">
        <f t="array" ref="O243">IF(TRIM(N243)="",INDEX($N$2:$N$1500,MATCH(MAX(COUNTIF($N$2:$N$1500,$N$2:$N$1500)),COUNTIF($N$2:$N$1500,$N$2:$N$1500),0)),N243)</f>
        <v>Debit Card</v>
      </c>
      <c r="P243" s="38" cm="1">
        <f t="array" ref="P243">ROUND(IF(TRIM(H243)="",IFERROR(MEDIAN(IF($M$2:$M$1500=M243,$H$2:$H$1500)),MEDIAN($H$2:$H$1500)),H243),2)</f>
        <v>15.54</v>
      </c>
      <c r="Q243" s="38" t="str">
        <f t="shared" si="21"/>
        <v>0</v>
      </c>
      <c r="R243" s="39" cm="1">
        <f t="array" ref="R243">IF(OR(TRIM(J243)="",TRIM(J243)="-"),MEDIAN(IF($C$2:$C$1218=C243,$J$2:$J$1218)),VALUE(SUBSTITUTE(SUBSTITUTE(SUBSTITUTE(J243,"Rs. ",""),"₹",""),",","")))</f>
        <v>6932</v>
      </c>
      <c r="S243" s="40">
        <f t="shared" si="19"/>
        <v>0</v>
      </c>
      <c r="T243" s="41">
        <f t="shared" si="22"/>
        <v>0</v>
      </c>
      <c r="U243" s="42">
        <f t="shared" si="23"/>
        <v>6932</v>
      </c>
    </row>
    <row r="244" spans="1:21" x14ac:dyDescent="0.3">
      <c r="A244" s="37" t="s">
        <v>3037</v>
      </c>
      <c r="B244" s="37" t="s">
        <v>3038</v>
      </c>
      <c r="C244" s="37" t="s">
        <v>2459</v>
      </c>
      <c r="D244" s="37" t="s">
        <v>14</v>
      </c>
      <c r="E244" s="37" t="s">
        <v>60</v>
      </c>
      <c r="F244" s="37" t="s">
        <v>69</v>
      </c>
      <c r="G244" s="37" t="s">
        <v>2435</v>
      </c>
      <c r="H244" s="37">
        <v>19.329999999999998</v>
      </c>
      <c r="I244" s="37">
        <v>20</v>
      </c>
      <c r="J244" s="37" t="s">
        <v>3039</v>
      </c>
      <c r="K244" s="37" t="s">
        <v>149</v>
      </c>
      <c r="L244" s="37" t="s">
        <v>240</v>
      </c>
      <c r="M244" s="37" t="str">
        <f t="shared" si="20"/>
        <v>ICU</v>
      </c>
      <c r="N244" s="37" t="str">
        <f t="shared" si="18"/>
        <v>Insurance</v>
      </c>
      <c r="O244" s="37" t="str" cm="1">
        <f t="array" ref="O244">IF(TRIM(N244)="",INDEX($N$2:$N$1500,MATCH(MAX(COUNTIF($N$2:$N$1500,$N$2:$N$1500)),COUNTIF($N$2:$N$1500,$N$2:$N$1500),0)),N244)</f>
        <v>Insurance</v>
      </c>
      <c r="P244" s="38" cm="1">
        <f t="array" ref="P244">ROUND(IF(TRIM(H244)="",IFERROR(MEDIAN(IF($M$2:$M$1500=M244,$H$2:$H$1500)),MEDIAN($H$2:$H$1500)),H244),2)</f>
        <v>19.329999999999998</v>
      </c>
      <c r="Q244" s="38" t="str">
        <f t="shared" si="21"/>
        <v>0</v>
      </c>
      <c r="R244" s="39" cm="1">
        <f t="array" ref="R244">IF(OR(TRIM(J244)="",TRIM(J244)="-"),MEDIAN(IF($C$2:$C$1218=C244,$J$2:$J$1218)),VALUE(SUBSTITUTE(SUBSTITUTE(SUBSTITUTE(J244,"Rs. ",""),"₹",""),",","")))</f>
        <v>23262</v>
      </c>
      <c r="S244" s="40">
        <f t="shared" si="19"/>
        <v>12</v>
      </c>
      <c r="T244" s="41">
        <f t="shared" si="22"/>
        <v>12</v>
      </c>
      <c r="U244" s="42">
        <f t="shared" si="23"/>
        <v>20471</v>
      </c>
    </row>
    <row r="245" spans="1:21" x14ac:dyDescent="0.3">
      <c r="A245" s="37" t="s">
        <v>3040</v>
      </c>
      <c r="B245" s="37" t="s">
        <v>3041</v>
      </c>
      <c r="C245" s="37" t="s">
        <v>2473</v>
      </c>
      <c r="D245" s="37" t="s">
        <v>45</v>
      </c>
      <c r="E245" s="37" t="s">
        <v>46</v>
      </c>
      <c r="F245" s="37" t="s">
        <v>69</v>
      </c>
      <c r="G245" s="37" t="s">
        <v>2477</v>
      </c>
      <c r="H245" s="37">
        <v>12.76</v>
      </c>
      <c r="I245" s="37">
        <v>36</v>
      </c>
      <c r="J245" s="37">
        <v>57678</v>
      </c>
      <c r="K245" s="37" t="s">
        <v>311</v>
      </c>
      <c r="L245" s="37">
        <v>10</v>
      </c>
      <c r="M245" s="37" t="str">
        <f t="shared" si="20"/>
        <v>ICU</v>
      </c>
      <c r="N245" s="37" t="str">
        <f t="shared" si="18"/>
        <v>UPI</v>
      </c>
      <c r="O245" s="37" t="str" cm="1">
        <f t="array" ref="O245">IF(TRIM(N245)="",INDEX($N$2:$N$1500,MATCH(MAX(COUNTIF($N$2:$N$1500,$N$2:$N$1500)),COUNTIF($N$2:$N$1500,$N$2:$N$1500),0)),N245)</f>
        <v>UPI</v>
      </c>
      <c r="P245" s="38" cm="1">
        <f t="array" ref="P245">ROUND(IF(TRIM(H245)="",IFERROR(MEDIAN(IF($M$2:$M$1500=M245,$H$2:$H$1500)),MEDIAN($H$2:$H$1500)),H245),2)</f>
        <v>12.76</v>
      </c>
      <c r="Q245" s="38" t="str">
        <f t="shared" si="21"/>
        <v>0</v>
      </c>
      <c r="R245" s="39" cm="1">
        <f t="array" ref="R245">IF(OR(TRIM(J245)="",TRIM(J245)="-"),MEDIAN(IF($C$2:$C$1218=C245,$J$2:$J$1218)),VALUE(SUBSTITUTE(SUBSTITUTE(SUBSTITUTE(J245,"Rs. ",""),"₹",""),",","")))</f>
        <v>57678</v>
      </c>
      <c r="S245" s="40">
        <f t="shared" si="19"/>
        <v>10</v>
      </c>
      <c r="T245" s="41">
        <f t="shared" si="22"/>
        <v>10</v>
      </c>
      <c r="U245" s="42">
        <f t="shared" si="23"/>
        <v>51910</v>
      </c>
    </row>
    <row r="246" spans="1:21" x14ac:dyDescent="0.3">
      <c r="A246" s="37" t="s">
        <v>3042</v>
      </c>
      <c r="B246" s="37" t="s">
        <v>3043</v>
      </c>
      <c r="C246" s="37" t="s">
        <v>2629</v>
      </c>
      <c r="D246" s="37" t="s">
        <v>78</v>
      </c>
      <c r="E246" s="37" t="s">
        <v>79</v>
      </c>
      <c r="F246" s="37" t="s">
        <v>62</v>
      </c>
      <c r="G246" s="37" t="s">
        <v>2408</v>
      </c>
      <c r="H246" s="37"/>
      <c r="I246" s="37">
        <v>57</v>
      </c>
      <c r="J246" s="37">
        <v>43705</v>
      </c>
      <c r="K246" s="37" t="s">
        <v>34</v>
      </c>
      <c r="L246" s="37" t="s">
        <v>130</v>
      </c>
      <c r="M246" s="37" t="str">
        <f t="shared" si="20"/>
        <v>ICU</v>
      </c>
      <c r="N246" s="37" t="str">
        <f t="shared" si="18"/>
        <v>Cash</v>
      </c>
      <c r="O246" s="37" t="str" cm="1">
        <f t="array" ref="O246">IF(TRIM(N246)="",INDEX($N$2:$N$1500,MATCH(MAX(COUNTIF($N$2:$N$1500,$N$2:$N$1500)),COUNTIF($N$2:$N$1500,$N$2:$N$1500),0)),N246)</f>
        <v>Cash</v>
      </c>
      <c r="P246" s="38" cm="1">
        <f t="array" ref="P246">ROUND(IF(TRIM(H246)="",IFERROR(MEDIAN(IF($M$2:$M$1500=M246,$H$2:$H$1500)),MEDIAN($H$2:$H$1500)),H246),2)</f>
        <v>12.21</v>
      </c>
      <c r="Q246" s="38" t="str">
        <f t="shared" si="21"/>
        <v>0</v>
      </c>
      <c r="R246" s="39" cm="1">
        <f t="array" ref="R246">IF(OR(TRIM(J246)="",TRIM(J246)="-"),MEDIAN(IF($C$2:$C$1218=C246,$J$2:$J$1218)),VALUE(SUBSTITUTE(SUBSTITUTE(SUBSTITUTE(J246,"Rs. ",""),"₹",""),",","")))</f>
        <v>43705</v>
      </c>
      <c r="S246" s="40">
        <f t="shared" si="19"/>
        <v>0</v>
      </c>
      <c r="T246" s="41">
        <f t="shared" si="22"/>
        <v>0</v>
      </c>
      <c r="U246" s="42">
        <f t="shared" si="23"/>
        <v>43705</v>
      </c>
    </row>
    <row r="247" spans="1:21" x14ac:dyDescent="0.3">
      <c r="A247" s="37" t="s">
        <v>3044</v>
      </c>
      <c r="B247" s="37" t="s">
        <v>3045</v>
      </c>
      <c r="C247" s="37" t="s">
        <v>2481</v>
      </c>
      <c r="D247" s="37" t="s">
        <v>45</v>
      </c>
      <c r="E247" s="37" t="s">
        <v>46</v>
      </c>
      <c r="F247" s="37" t="s">
        <v>30</v>
      </c>
      <c r="G247" s="37" t="s">
        <v>2439</v>
      </c>
      <c r="H247" s="37">
        <v>18.75</v>
      </c>
      <c r="I247" s="37">
        <v>44</v>
      </c>
      <c r="J247" s="37" t="s">
        <v>3046</v>
      </c>
      <c r="K247" s="37" t="s">
        <v>149</v>
      </c>
      <c r="L247" s="37" t="s">
        <v>64</v>
      </c>
      <c r="M247" s="37" t="str">
        <f t="shared" si="20"/>
        <v>General</v>
      </c>
      <c r="N247" s="37" t="str">
        <f t="shared" si="18"/>
        <v>Insurance</v>
      </c>
      <c r="O247" s="37" t="str" cm="1">
        <f t="array" ref="O247">IF(TRIM(N247)="",INDEX($N$2:$N$1500,MATCH(MAX(COUNTIF($N$2:$N$1500,$N$2:$N$1500)),COUNTIF($N$2:$N$1500,$N$2:$N$1500),0)),N247)</f>
        <v>Insurance</v>
      </c>
      <c r="P247" s="38" cm="1">
        <f t="array" ref="P247">ROUND(IF(TRIM(H247)="",IFERROR(MEDIAN(IF($M$2:$M$1500=M247,$H$2:$H$1500)),MEDIAN($H$2:$H$1500)),H247),2)</f>
        <v>18.75</v>
      </c>
      <c r="Q247" s="38" t="str">
        <f t="shared" si="21"/>
        <v>2</v>
      </c>
      <c r="R247" s="39" cm="1">
        <f t="array" ref="R247">IF(OR(TRIM(J247)="",TRIM(J247)="-"),MEDIAN(IF($C$2:$C$1218=C247,$J$2:$J$1218)),VALUE(SUBSTITUTE(SUBSTITUTE(SUBSTITUTE(J247,"Rs. ",""),"₹",""),",","")))</f>
        <v>16696</v>
      </c>
      <c r="S247" s="40" t="str">
        <f t="shared" si="19"/>
        <v>NA</v>
      </c>
      <c r="T247" s="41">
        <f t="shared" si="22"/>
        <v>17</v>
      </c>
      <c r="U247" s="42">
        <f t="shared" si="23"/>
        <v>13858</v>
      </c>
    </row>
    <row r="248" spans="1:21" x14ac:dyDescent="0.3">
      <c r="A248" s="37" t="s">
        <v>3047</v>
      </c>
      <c r="B248" s="37" t="s">
        <v>3048</v>
      </c>
      <c r="C248" s="37" t="s">
        <v>2481</v>
      </c>
      <c r="D248" s="37" t="s">
        <v>25</v>
      </c>
      <c r="E248" s="37" t="s">
        <v>54</v>
      </c>
      <c r="F248" s="37" t="s">
        <v>39</v>
      </c>
      <c r="G248" s="37" t="s">
        <v>2435</v>
      </c>
      <c r="H248" s="37">
        <v>1.6</v>
      </c>
      <c r="I248" s="37">
        <v>60</v>
      </c>
      <c r="J248" s="37" t="s">
        <v>3049</v>
      </c>
      <c r="K248" s="37" t="s">
        <v>104</v>
      </c>
      <c r="L248" s="37">
        <v>30</v>
      </c>
      <c r="M248" s="37" t="str">
        <f t="shared" si="20"/>
        <v>General</v>
      </c>
      <c r="N248" s="37" t="str">
        <f t="shared" si="18"/>
        <v>Insurance</v>
      </c>
      <c r="O248" s="37" t="str" cm="1">
        <f t="array" ref="O248">IF(TRIM(N248)="",INDEX($N$2:$N$1500,MATCH(MAX(COUNTIF($N$2:$N$1500,$N$2:$N$1500)),COUNTIF($N$2:$N$1500,$N$2:$N$1500),0)),N248)</f>
        <v>Insurance</v>
      </c>
      <c r="P248" s="38" cm="1">
        <f t="array" ref="P248">ROUND(IF(TRIM(H248)="",IFERROR(MEDIAN(IF($M$2:$M$1500=M248,$H$2:$H$1500)),MEDIAN($H$2:$H$1500)),H248),2)</f>
        <v>1.6</v>
      </c>
      <c r="Q248" s="38" t="str">
        <f t="shared" si="21"/>
        <v>0</v>
      </c>
      <c r="R248" s="39" cm="1">
        <f t="array" ref="R248">IF(OR(TRIM(J248)="",TRIM(J248)="-"),MEDIAN(IF($C$2:$C$1218=C248,$J$2:$J$1218)),VALUE(SUBSTITUTE(SUBSTITUTE(SUBSTITUTE(J248,"Rs. ",""),"₹",""),",","")))</f>
        <v>16941</v>
      </c>
      <c r="S248" s="40">
        <f t="shared" si="19"/>
        <v>30</v>
      </c>
      <c r="T248" s="41">
        <f t="shared" si="22"/>
        <v>30</v>
      </c>
      <c r="U248" s="42">
        <f t="shared" si="23"/>
        <v>11859</v>
      </c>
    </row>
    <row r="249" spans="1:21" x14ac:dyDescent="0.3">
      <c r="A249" s="37" t="s">
        <v>3050</v>
      </c>
      <c r="B249" s="37" t="s">
        <v>3051</v>
      </c>
      <c r="C249" s="37" t="s">
        <v>2518</v>
      </c>
      <c r="D249" s="37" t="s">
        <v>117</v>
      </c>
      <c r="E249" s="37" t="s">
        <v>182</v>
      </c>
      <c r="F249" s="37"/>
      <c r="G249" s="37" t="s">
        <v>2435</v>
      </c>
      <c r="H249" s="37">
        <v>24.64</v>
      </c>
      <c r="I249" s="37">
        <v>11</v>
      </c>
      <c r="J249" s="37">
        <v>8153</v>
      </c>
      <c r="K249" s="37" t="s">
        <v>34</v>
      </c>
      <c r="L249" s="37">
        <v>0</v>
      </c>
      <c r="M249" s="37" t="str">
        <f t="shared" si="20"/>
        <v>Unknown</v>
      </c>
      <c r="N249" s="37" t="str">
        <f t="shared" si="18"/>
        <v>Cash</v>
      </c>
      <c r="O249" s="37" t="str" cm="1">
        <f t="array" ref="O249">IF(TRIM(N249)="",INDEX($N$2:$N$1500,MATCH(MAX(COUNTIF($N$2:$N$1500,$N$2:$N$1500)),COUNTIF($N$2:$N$1500,$N$2:$N$1500),0)),N249)</f>
        <v>Cash</v>
      </c>
      <c r="P249" s="38" cm="1">
        <f t="array" ref="P249">ROUND(IF(TRIM(H249)="",IFERROR(MEDIAN(IF($M$2:$M$1500=M249,$H$2:$H$1500)),MEDIAN($H$2:$H$1500)),H249),2)</f>
        <v>24.64</v>
      </c>
      <c r="Q249" s="38" t="str">
        <f t="shared" si="21"/>
        <v>0</v>
      </c>
      <c r="R249" s="39" cm="1">
        <f t="array" ref="R249">IF(OR(TRIM(J249)="",TRIM(J249)="-"),MEDIAN(IF($C$2:$C$1218=C249,$J$2:$J$1218)),VALUE(SUBSTITUTE(SUBSTITUTE(SUBSTITUTE(J249,"Rs. ",""),"₹",""),",","")))</f>
        <v>8153</v>
      </c>
      <c r="S249" s="40">
        <f t="shared" si="19"/>
        <v>0</v>
      </c>
      <c r="T249" s="41">
        <f t="shared" si="22"/>
        <v>0</v>
      </c>
      <c r="U249" s="42">
        <f t="shared" si="23"/>
        <v>8153</v>
      </c>
    </row>
    <row r="250" spans="1:21" x14ac:dyDescent="0.3">
      <c r="A250" s="37" t="s">
        <v>3052</v>
      </c>
      <c r="B250" s="37" t="s">
        <v>3053</v>
      </c>
      <c r="C250" s="37" t="s">
        <v>2466</v>
      </c>
      <c r="D250" s="37" t="s">
        <v>78</v>
      </c>
      <c r="E250" s="37" t="s">
        <v>161</v>
      </c>
      <c r="F250" s="37" t="s">
        <v>39</v>
      </c>
      <c r="G250" s="37" t="s">
        <v>2423</v>
      </c>
      <c r="H250" s="37">
        <v>6.16</v>
      </c>
      <c r="I250" s="37">
        <v>34</v>
      </c>
      <c r="J250" s="37">
        <v>10944</v>
      </c>
      <c r="K250" s="37" t="s">
        <v>52</v>
      </c>
      <c r="L250" s="37" t="s">
        <v>130</v>
      </c>
      <c r="M250" s="37" t="str">
        <f t="shared" si="20"/>
        <v>General</v>
      </c>
      <c r="N250" s="37" t="str">
        <f t="shared" si="18"/>
        <v>Credit Card</v>
      </c>
      <c r="O250" s="37" t="str" cm="1">
        <f t="array" ref="O250">IF(TRIM(N250)="",INDEX($N$2:$N$1500,MATCH(MAX(COUNTIF($N$2:$N$1500,$N$2:$N$1500)),COUNTIF($N$2:$N$1500,$N$2:$N$1500),0)),N250)</f>
        <v>Credit Card</v>
      </c>
      <c r="P250" s="38" cm="1">
        <f t="array" ref="P250">ROUND(IF(TRIM(H250)="",IFERROR(MEDIAN(IF($M$2:$M$1500=M250,$H$2:$H$1500)),MEDIAN($H$2:$H$1500)),H250),2)</f>
        <v>6.16</v>
      </c>
      <c r="Q250" s="38" t="str">
        <f t="shared" si="21"/>
        <v>0</v>
      </c>
      <c r="R250" s="39" cm="1">
        <f t="array" ref="R250">IF(OR(TRIM(J250)="",TRIM(J250)="-"),MEDIAN(IF($C$2:$C$1218=C250,$J$2:$J$1218)),VALUE(SUBSTITUTE(SUBSTITUTE(SUBSTITUTE(J250,"Rs. ",""),"₹",""),",","")))</f>
        <v>10944</v>
      </c>
      <c r="S250" s="40">
        <f t="shared" si="19"/>
        <v>0</v>
      </c>
      <c r="T250" s="41">
        <f t="shared" si="22"/>
        <v>0</v>
      </c>
      <c r="U250" s="42">
        <f t="shared" si="23"/>
        <v>10944</v>
      </c>
    </row>
    <row r="251" spans="1:21" x14ac:dyDescent="0.3">
      <c r="A251" s="37" t="s">
        <v>3054</v>
      </c>
      <c r="B251" s="37" t="s">
        <v>3055</v>
      </c>
      <c r="C251" s="37" t="s">
        <v>2445</v>
      </c>
      <c r="D251" s="37" t="s">
        <v>106</v>
      </c>
      <c r="E251" s="37" t="s">
        <v>107</v>
      </c>
      <c r="F251" s="37" t="s">
        <v>62</v>
      </c>
      <c r="G251" s="37" t="s">
        <v>2746</v>
      </c>
      <c r="H251" s="37">
        <v>9.92</v>
      </c>
      <c r="I251" s="37">
        <v>4</v>
      </c>
      <c r="J251" s="37" t="s">
        <v>3056</v>
      </c>
      <c r="K251" s="37" t="s">
        <v>52</v>
      </c>
      <c r="L251" s="37" t="s">
        <v>130</v>
      </c>
      <c r="M251" s="37" t="str">
        <f t="shared" si="20"/>
        <v>ICU</v>
      </c>
      <c r="N251" s="37" t="str">
        <f t="shared" si="18"/>
        <v>Credit Card</v>
      </c>
      <c r="O251" s="37" t="str" cm="1">
        <f t="array" ref="O251">IF(TRIM(N251)="",INDEX($N$2:$N$1500,MATCH(MAX(COUNTIF($N$2:$N$1500,$N$2:$N$1500)),COUNTIF($N$2:$N$1500,$N$2:$N$1500),0)),N251)</f>
        <v>Credit Card</v>
      </c>
      <c r="P251" s="38" cm="1">
        <f t="array" ref="P251">ROUND(IF(TRIM(H251)="",IFERROR(MEDIAN(IF($M$2:$M$1500=M251,$H$2:$H$1500)),MEDIAN($H$2:$H$1500)),H251),2)</f>
        <v>9.92</v>
      </c>
      <c r="Q251" s="38" t="str">
        <f t="shared" si="21"/>
        <v>2</v>
      </c>
      <c r="R251" s="39" cm="1">
        <f t="array" ref="R251">IF(OR(TRIM(J251)="",TRIM(J251)="-"),MEDIAN(IF($C$2:$C$1218=C251,$J$2:$J$1218)),VALUE(SUBSTITUTE(SUBSTITUTE(SUBSTITUTE(J251,"Rs. ",""),"₹",""),",","")))</f>
        <v>57099</v>
      </c>
      <c r="S251" s="40">
        <f t="shared" si="19"/>
        <v>0</v>
      </c>
      <c r="T251" s="41">
        <f t="shared" si="22"/>
        <v>0</v>
      </c>
      <c r="U251" s="42">
        <f t="shared" si="23"/>
        <v>57099</v>
      </c>
    </row>
    <row r="252" spans="1:21" x14ac:dyDescent="0.3">
      <c r="A252" s="37" t="s">
        <v>3057</v>
      </c>
      <c r="B252" s="37" t="s">
        <v>3058</v>
      </c>
      <c r="C252" s="37" t="s">
        <v>2521</v>
      </c>
      <c r="D252" s="37" t="s">
        <v>45</v>
      </c>
      <c r="E252" s="37" t="s">
        <v>46</v>
      </c>
      <c r="F252" s="37" t="s">
        <v>49</v>
      </c>
      <c r="G252" s="37" t="s">
        <v>2423</v>
      </c>
      <c r="H252" s="37">
        <v>19.57</v>
      </c>
      <c r="I252" s="37">
        <v>43</v>
      </c>
      <c r="J252" s="37">
        <v>7893</v>
      </c>
      <c r="K252" s="37" t="s">
        <v>91</v>
      </c>
      <c r="L252" s="37"/>
      <c r="M252" s="37" t="str">
        <f t="shared" si="20"/>
        <v>General</v>
      </c>
      <c r="N252" s="37" t="str">
        <f t="shared" si="18"/>
        <v>Debit Card</v>
      </c>
      <c r="O252" s="37" t="str" cm="1">
        <f t="array" ref="O252">IF(TRIM(N252)="",INDEX($N$2:$N$1500,MATCH(MAX(COUNTIF($N$2:$N$1500,$N$2:$N$1500)),COUNTIF($N$2:$N$1500,$N$2:$N$1500),0)),N252)</f>
        <v>Debit Card</v>
      </c>
      <c r="P252" s="38" cm="1">
        <f t="array" ref="P252">ROUND(IF(TRIM(H252)="",IFERROR(MEDIAN(IF($M$2:$M$1500=M252,$H$2:$H$1500)),MEDIAN($H$2:$H$1500)),H252),2)</f>
        <v>19.57</v>
      </c>
      <c r="Q252" s="38" t="str">
        <f t="shared" si="21"/>
        <v>0</v>
      </c>
      <c r="R252" s="39" cm="1">
        <f t="array" ref="R252">IF(OR(TRIM(J252)="",TRIM(J252)="-"),MEDIAN(IF($C$2:$C$1218=C252,$J$2:$J$1218)),VALUE(SUBSTITUTE(SUBSTITUTE(SUBSTITUTE(J252,"Rs. ",""),"₹",""),",","")))</f>
        <v>7893</v>
      </c>
      <c r="S252" s="40">
        <f t="shared" si="19"/>
        <v>0</v>
      </c>
      <c r="T252" s="41">
        <f t="shared" si="22"/>
        <v>0</v>
      </c>
      <c r="U252" s="42">
        <f t="shared" si="23"/>
        <v>7893</v>
      </c>
    </row>
    <row r="253" spans="1:21" x14ac:dyDescent="0.3">
      <c r="A253" s="37" t="s">
        <v>3059</v>
      </c>
      <c r="B253" s="37" t="s">
        <v>3060</v>
      </c>
      <c r="C253" s="37" t="s">
        <v>2490</v>
      </c>
      <c r="D253" s="37" t="s">
        <v>117</v>
      </c>
      <c r="E253" s="37" t="s">
        <v>182</v>
      </c>
      <c r="F253" s="37" t="s">
        <v>30</v>
      </c>
      <c r="G253" s="37" t="s">
        <v>2477</v>
      </c>
      <c r="H253" s="37">
        <v>9.49</v>
      </c>
      <c r="I253" s="37">
        <v>30</v>
      </c>
      <c r="J253" s="37">
        <v>8154</v>
      </c>
      <c r="K253" s="37" t="s">
        <v>167</v>
      </c>
      <c r="L253" s="37">
        <v>0.05</v>
      </c>
      <c r="M253" s="37" t="str">
        <f t="shared" si="20"/>
        <v>General</v>
      </c>
      <c r="N253" s="37" t="str">
        <f t="shared" si="18"/>
        <v>Insurance</v>
      </c>
      <c r="O253" s="37" t="str" cm="1">
        <f t="array" ref="O253">IF(TRIM(N253)="",INDEX($N$2:$N$1500,MATCH(MAX(COUNTIF($N$2:$N$1500,$N$2:$N$1500)),COUNTIF($N$2:$N$1500,$N$2:$N$1500),0)),N253)</f>
        <v>Insurance</v>
      </c>
      <c r="P253" s="38" cm="1">
        <f t="array" ref="P253">ROUND(IF(TRIM(H253)="",IFERROR(MEDIAN(IF($M$2:$M$1500=M253,$H$2:$H$1500)),MEDIAN($H$2:$H$1500)),H253),2)</f>
        <v>9.49</v>
      </c>
      <c r="Q253" s="38" t="str">
        <f t="shared" si="21"/>
        <v>0</v>
      </c>
      <c r="R253" s="39" cm="1">
        <f t="array" ref="R253">IF(OR(TRIM(J253)="",TRIM(J253)="-"),MEDIAN(IF($C$2:$C$1218=C253,$J$2:$J$1218)),VALUE(SUBSTITUTE(SUBSTITUTE(SUBSTITUTE(J253,"Rs. ",""),"₹",""),",","")))</f>
        <v>8154</v>
      </c>
      <c r="S253" s="40">
        <f t="shared" si="19"/>
        <v>0.05</v>
      </c>
      <c r="T253" s="41">
        <f t="shared" si="22"/>
        <v>0</v>
      </c>
      <c r="U253" s="42">
        <f t="shared" si="23"/>
        <v>8154</v>
      </c>
    </row>
    <row r="254" spans="1:21" x14ac:dyDescent="0.3">
      <c r="A254" s="37" t="s">
        <v>3061</v>
      </c>
      <c r="B254" s="37" t="s">
        <v>3062</v>
      </c>
      <c r="C254" s="37" t="s">
        <v>2473</v>
      </c>
      <c r="D254" s="37" t="s">
        <v>78</v>
      </c>
      <c r="E254" s="37" t="s">
        <v>79</v>
      </c>
      <c r="F254" s="37" t="s">
        <v>49</v>
      </c>
      <c r="G254" s="37" t="s">
        <v>2423</v>
      </c>
      <c r="H254" s="37">
        <v>16.52</v>
      </c>
      <c r="I254" s="37">
        <v>59</v>
      </c>
      <c r="J254" s="37">
        <v>6225</v>
      </c>
      <c r="K254" s="37" t="s">
        <v>72</v>
      </c>
      <c r="L254" s="37">
        <v>0</v>
      </c>
      <c r="M254" s="37" t="str">
        <f t="shared" si="20"/>
        <v>General</v>
      </c>
      <c r="N254" s="37" t="str">
        <f t="shared" si="18"/>
        <v>Cash</v>
      </c>
      <c r="O254" s="37" t="str" cm="1">
        <f t="array" ref="O254">IF(TRIM(N254)="",INDEX($N$2:$N$1500,MATCH(MAX(COUNTIF($N$2:$N$1500,$N$2:$N$1500)),COUNTIF($N$2:$N$1500,$N$2:$N$1500),0)),N254)</f>
        <v>Cash</v>
      </c>
      <c r="P254" s="38" cm="1">
        <f t="array" ref="P254">ROUND(IF(TRIM(H254)="",IFERROR(MEDIAN(IF($M$2:$M$1500=M254,$H$2:$H$1500)),MEDIAN($H$2:$H$1500)),H254),2)</f>
        <v>16.52</v>
      </c>
      <c r="Q254" s="38" t="str">
        <f t="shared" si="21"/>
        <v>0</v>
      </c>
      <c r="R254" s="39" cm="1">
        <f t="array" ref="R254">IF(OR(TRIM(J254)="",TRIM(J254)="-"),MEDIAN(IF($C$2:$C$1218=C254,$J$2:$J$1218)),VALUE(SUBSTITUTE(SUBSTITUTE(SUBSTITUTE(J254,"Rs. ",""),"₹",""),",","")))</f>
        <v>6225</v>
      </c>
      <c r="S254" s="40">
        <f t="shared" si="19"/>
        <v>0</v>
      </c>
      <c r="T254" s="41">
        <f t="shared" si="22"/>
        <v>0</v>
      </c>
      <c r="U254" s="42">
        <f t="shared" si="23"/>
        <v>6225</v>
      </c>
    </row>
    <row r="255" spans="1:21" x14ac:dyDescent="0.3">
      <c r="A255" s="37" t="s">
        <v>3063</v>
      </c>
      <c r="B255" s="37" t="s">
        <v>3064</v>
      </c>
      <c r="C255" s="37" t="s">
        <v>2463</v>
      </c>
      <c r="D255" s="37" t="s">
        <v>14</v>
      </c>
      <c r="E255" s="37" t="s">
        <v>60</v>
      </c>
      <c r="F255" s="37" t="s">
        <v>49</v>
      </c>
      <c r="G255" s="37" t="s">
        <v>2435</v>
      </c>
      <c r="H255" s="37">
        <v>3.75</v>
      </c>
      <c r="I255" s="37">
        <v>31</v>
      </c>
      <c r="J255" s="37" t="s">
        <v>3065</v>
      </c>
      <c r="K255" s="37" t="s">
        <v>23</v>
      </c>
      <c r="L255" s="37">
        <v>0</v>
      </c>
      <c r="M255" s="37" t="str">
        <f t="shared" si="20"/>
        <v>General</v>
      </c>
      <c r="N255" s="37" t="str">
        <f t="shared" si="18"/>
        <v>Credit Card</v>
      </c>
      <c r="O255" s="37" t="str" cm="1">
        <f t="array" ref="O255">IF(TRIM(N255)="",INDEX($N$2:$N$1500,MATCH(MAX(COUNTIF($N$2:$N$1500,$N$2:$N$1500)),COUNTIF($N$2:$N$1500,$N$2:$N$1500),0)),N255)</f>
        <v>Credit Card</v>
      </c>
      <c r="P255" s="38" cm="1">
        <f t="array" ref="P255">ROUND(IF(TRIM(H255)="",IFERROR(MEDIAN(IF($M$2:$M$1500=M255,$H$2:$H$1500)),MEDIAN($H$2:$H$1500)),H255),2)</f>
        <v>3.75</v>
      </c>
      <c r="Q255" s="38" t="str">
        <f t="shared" si="21"/>
        <v>0</v>
      </c>
      <c r="R255" s="39" cm="1">
        <f t="array" ref="R255">IF(OR(TRIM(J255)="",TRIM(J255)="-"),MEDIAN(IF($C$2:$C$1218=C255,$J$2:$J$1218)),VALUE(SUBSTITUTE(SUBSTITUTE(SUBSTITUTE(J255,"Rs. ",""),"₹",""),",","")))</f>
        <v>3290</v>
      </c>
      <c r="S255" s="40">
        <f t="shared" si="19"/>
        <v>0</v>
      </c>
      <c r="T255" s="41">
        <f t="shared" si="22"/>
        <v>0</v>
      </c>
      <c r="U255" s="42">
        <f t="shared" si="23"/>
        <v>3290</v>
      </c>
    </row>
    <row r="256" spans="1:21" x14ac:dyDescent="0.3">
      <c r="A256" s="37" t="s">
        <v>3066</v>
      </c>
      <c r="B256" s="37" t="s">
        <v>2503</v>
      </c>
      <c r="C256" s="37" t="s">
        <v>2504</v>
      </c>
      <c r="D256" s="37" t="s">
        <v>117</v>
      </c>
      <c r="E256" s="37" t="s">
        <v>118</v>
      </c>
      <c r="F256" s="37" t="s">
        <v>30</v>
      </c>
      <c r="G256" s="37" t="s">
        <v>2408</v>
      </c>
      <c r="H256" s="37">
        <v>20.309999999999999</v>
      </c>
      <c r="I256" s="37">
        <v>38</v>
      </c>
      <c r="J256" s="37" t="s">
        <v>3067</v>
      </c>
      <c r="K256" s="37" t="s">
        <v>104</v>
      </c>
      <c r="L256" s="37">
        <v>40</v>
      </c>
      <c r="M256" s="37" t="str">
        <f t="shared" si="20"/>
        <v>General</v>
      </c>
      <c r="N256" s="37" t="str">
        <f t="shared" si="18"/>
        <v>Insurance</v>
      </c>
      <c r="O256" s="37" t="str" cm="1">
        <f t="array" ref="O256">IF(TRIM(N256)="",INDEX($N$2:$N$1500,MATCH(MAX(COUNTIF($N$2:$N$1500,$N$2:$N$1500)),COUNTIF($N$2:$N$1500,$N$2:$N$1500),0)),N256)</f>
        <v>Insurance</v>
      </c>
      <c r="P256" s="38" cm="1">
        <f t="array" ref="P256">ROUND(IF(TRIM(H256)="",IFERROR(MEDIAN(IF($M$2:$M$1500=M256,$H$2:$H$1500)),MEDIAN($H$2:$H$1500)),H256),2)</f>
        <v>20.309999999999999</v>
      </c>
      <c r="Q256" s="38" t="str">
        <f t="shared" si="21"/>
        <v>0</v>
      </c>
      <c r="R256" s="39" cm="1">
        <f t="array" ref="R256">IF(OR(TRIM(J256)="",TRIM(J256)="-"),MEDIAN(IF($C$2:$C$1218=C256,$J$2:$J$1218)),VALUE(SUBSTITUTE(SUBSTITUTE(SUBSTITUTE(J256,"Rs. ",""),"₹",""),",","")))</f>
        <v>15661</v>
      </c>
      <c r="S256" s="40">
        <f t="shared" si="19"/>
        <v>40</v>
      </c>
      <c r="T256" s="41">
        <f t="shared" si="22"/>
        <v>40</v>
      </c>
      <c r="U256" s="42">
        <f t="shared" si="23"/>
        <v>9397</v>
      </c>
    </row>
    <row r="257" spans="1:21" x14ac:dyDescent="0.3">
      <c r="A257" s="37" t="s">
        <v>3068</v>
      </c>
      <c r="B257" s="37" t="s">
        <v>3069</v>
      </c>
      <c r="C257" s="37" t="s">
        <v>2431</v>
      </c>
      <c r="D257" s="37" t="s">
        <v>25</v>
      </c>
      <c r="E257" s="37" t="s">
        <v>54</v>
      </c>
      <c r="F257" s="37" t="s">
        <v>19</v>
      </c>
      <c r="G257" s="37" t="s">
        <v>2408</v>
      </c>
      <c r="H257" s="37">
        <v>11.65</v>
      </c>
      <c r="I257" s="37">
        <v>5</v>
      </c>
      <c r="J257" s="37">
        <v>13425</v>
      </c>
      <c r="K257" s="37" t="s">
        <v>104</v>
      </c>
      <c r="L257" s="37" t="s">
        <v>1626</v>
      </c>
      <c r="M257" s="37" t="str">
        <f t="shared" si="20"/>
        <v>General</v>
      </c>
      <c r="N257" s="37" t="str">
        <f t="shared" si="18"/>
        <v>Insurance</v>
      </c>
      <c r="O257" s="37" t="str" cm="1">
        <f t="array" ref="O257">IF(TRIM(N257)="",INDEX($N$2:$N$1500,MATCH(MAX(COUNTIF($N$2:$N$1500,$N$2:$N$1500)),COUNTIF($N$2:$N$1500,$N$2:$N$1500),0)),N257)</f>
        <v>Insurance</v>
      </c>
      <c r="P257" s="38" cm="1">
        <f t="array" ref="P257">ROUND(IF(TRIM(H257)="",IFERROR(MEDIAN(IF($M$2:$M$1500=M257,$H$2:$H$1500)),MEDIAN($H$2:$H$1500)),H257),2)</f>
        <v>11.65</v>
      </c>
      <c r="Q257" s="38" t="str">
        <f t="shared" si="21"/>
        <v>0</v>
      </c>
      <c r="R257" s="39" cm="1">
        <f t="array" ref="R257">IF(OR(TRIM(J257)="",TRIM(J257)="-"),MEDIAN(IF($C$2:$C$1218=C257,$J$2:$J$1218)),VALUE(SUBSTITUTE(SUBSTITUTE(SUBSTITUTE(J257,"Rs. ",""),"₹",""),",","")))</f>
        <v>13425</v>
      </c>
      <c r="S257" s="40">
        <f t="shared" si="19"/>
        <v>40</v>
      </c>
      <c r="T257" s="41">
        <f t="shared" si="22"/>
        <v>40</v>
      </c>
      <c r="U257" s="42">
        <f t="shared" si="23"/>
        <v>8055</v>
      </c>
    </row>
    <row r="258" spans="1:21" x14ac:dyDescent="0.3">
      <c r="A258" s="37" t="s">
        <v>3070</v>
      </c>
      <c r="B258" s="37" t="s">
        <v>3071</v>
      </c>
      <c r="C258" s="37" t="s">
        <v>2473</v>
      </c>
      <c r="D258" s="37" t="s">
        <v>45</v>
      </c>
      <c r="E258" s="37" t="s">
        <v>46</v>
      </c>
      <c r="F258" s="37" t="s">
        <v>49</v>
      </c>
      <c r="G258" s="37" t="s">
        <v>2408</v>
      </c>
      <c r="H258" s="37">
        <v>14.88</v>
      </c>
      <c r="I258" s="37" t="s">
        <v>140</v>
      </c>
      <c r="J258" s="37">
        <v>3170</v>
      </c>
      <c r="K258" s="37" t="s">
        <v>211</v>
      </c>
      <c r="L258" s="37">
        <v>0</v>
      </c>
      <c r="M258" s="37" t="str">
        <f t="shared" si="20"/>
        <v>General</v>
      </c>
      <c r="N258" s="37" t="str">
        <f t="shared" ref="N258:N321" si="24">IF(OR(UPPER(TRIM(K258))="CREDIT_CARD",UPPER(TRIM(K258))="CREDIT CARD",UPPER(TRIM(K258))="CC"),"Credit Card", IF(OR(UPPER(TRIM(K258))="DEBIT_CARD",UPPER(TRIM(K258))="DEBIT CARD",UPPER(TRIM(K258))="DC"),"Debit Card", IF(UPPER(TRIM(K258))="CASH","Cash", IF(UPPER(TRIM(K258))="UPI","UPI", IF(OR(UPPER(TRIM(K258))="INSURANCE",UPPER(TRIM(K258))="INS"),"Insurance", IF(TRIM(K258)="","Unknown","Unknown"))))))</f>
        <v>Credit Card</v>
      </c>
      <c r="O258" s="37" t="str" cm="1">
        <f t="array" ref="O258">IF(TRIM(N258)="",INDEX($N$2:$N$1500,MATCH(MAX(COUNTIF($N$2:$N$1500,$N$2:$N$1500)),COUNTIF($N$2:$N$1500,$N$2:$N$1500),0)),N258)</f>
        <v>Credit Card</v>
      </c>
      <c r="P258" s="38" cm="1">
        <f t="array" ref="P258">ROUND(IF(TRIM(H258)="",IFERROR(MEDIAN(IF($M$2:$M$1500=M258,$H$2:$H$1500)),MEDIAN($H$2:$H$1500)),H258),2)</f>
        <v>14.88</v>
      </c>
      <c r="Q258" s="38" t="str">
        <f t="shared" si="21"/>
        <v>0</v>
      </c>
      <c r="R258" s="39" cm="1">
        <f t="array" ref="R258">IF(OR(TRIM(J258)="",TRIM(J258)="-"),MEDIAN(IF($C$2:$C$1218=C258,$J$2:$J$1218)),VALUE(SUBSTITUTE(SUBSTITUTE(SUBSTITUTE(J258,"Rs. ",""),"₹",""),",","")))</f>
        <v>3170</v>
      </c>
      <c r="S258" s="40">
        <f t="shared" ref="S258:S321" si="25">IF(RIGHT(TRIM(L258),1)="%",VALUE(LEFT(TRIM(L258),LEN(TRIM(L258))-1)),IF(AND(ISNUMBER(L258),L258&lt;=1,,L258&gt;0),L258*100,L258))</f>
        <v>0</v>
      </c>
      <c r="T258" s="41">
        <f t="shared" si="22"/>
        <v>0</v>
      </c>
      <c r="U258" s="42">
        <f t="shared" si="23"/>
        <v>3170</v>
      </c>
    </row>
    <row r="259" spans="1:21" x14ac:dyDescent="0.3">
      <c r="A259" s="37" t="s">
        <v>3072</v>
      </c>
      <c r="B259" s="37" t="s">
        <v>3073</v>
      </c>
      <c r="C259" s="37" t="s">
        <v>2415</v>
      </c>
      <c r="D259" s="37" t="s">
        <v>25</v>
      </c>
      <c r="E259" s="37" t="s">
        <v>54</v>
      </c>
      <c r="F259" s="37" t="s">
        <v>19</v>
      </c>
      <c r="G259" s="37" t="s">
        <v>2418</v>
      </c>
      <c r="H259" s="37">
        <v>1.19</v>
      </c>
      <c r="I259" s="37">
        <v>19</v>
      </c>
      <c r="J259" s="37" t="s">
        <v>3074</v>
      </c>
      <c r="K259" s="37" t="s">
        <v>58</v>
      </c>
      <c r="L259" s="37" t="s">
        <v>130</v>
      </c>
      <c r="M259" s="37" t="str">
        <f t="shared" ref="M259:M322" si="26">IF(OR(UPPER(TRIM(F259))="GENERAL",UPPER(TRIM(F259))="GENRAL"),"General",IF(UPPER(TRIM(F259))="ICU","ICU","Unknown"))</f>
        <v>General</v>
      </c>
      <c r="N259" s="37" t="str">
        <f t="shared" si="24"/>
        <v>UPI</v>
      </c>
      <c r="O259" s="37" t="str" cm="1">
        <f t="array" ref="O259">IF(TRIM(N259)="",INDEX($N$2:$N$1500,MATCH(MAX(COUNTIF($N$2:$N$1500,$N$2:$N$1500)),COUNTIF($N$2:$N$1500,$N$2:$N$1500),0)),N259)</f>
        <v>UPI</v>
      </c>
      <c r="P259" s="38" cm="1">
        <f t="array" ref="P259">ROUND(IF(TRIM(H259)="",IFERROR(MEDIAN(IF($M$2:$M$1500=M259,$H$2:$H$1500)),MEDIAN($H$2:$H$1500)),H259),2)</f>
        <v>1.19</v>
      </c>
      <c r="Q259" s="38" t="str">
        <f t="shared" ref="Q259:Q322" si="27">IF(OR(LOWER(TRIM(G259))="0",LOWER(TRIM(G259))="zero"),"0", IF(OR(LOWER(TRIM(G259))="1",LOWER(TRIM(G259))="one"),"1", IF(OR(LOWER(TRIM(G259))="2",LOWER(TRIM(G259))="two"),"2", IF(OR(LOWER(TRIM(G259))="2+",LOWER(TRIM(G259))="two_or_more",LOWER(TRIM(G259))="multiple"),"2+", "Unknown"))))</f>
        <v>1</v>
      </c>
      <c r="R259" s="39" cm="1">
        <f t="array" ref="R259">IF(OR(TRIM(J259)="",TRIM(J259)="-"),MEDIAN(IF($C$2:$C$1218=C259,$J$2:$J$1218)),VALUE(SUBSTITUTE(SUBSTITUTE(SUBSTITUTE(J259,"Rs. ",""),"₹",""),",","")))</f>
        <v>16145</v>
      </c>
      <c r="S259" s="40">
        <f t="shared" si="25"/>
        <v>0</v>
      </c>
      <c r="T259" s="41">
        <f t="shared" ref="T259:T322" si="28">ROUND(IF(OR(TRIM(S259)="-",UPPER(TRIM(S259))="N/A",UPPER(TRIM(S259))="NA"),IFERROR(AVERAGEIF($O$2:$O$1500,O259,$S$2:$S$1500),AVERAGE($S$2:$S$1500)),S259),0)</f>
        <v>0</v>
      </c>
      <c r="U259" s="42">
        <f t="shared" ref="U259:U322" si="29">ROUND(R259*(1-T259/100),0)</f>
        <v>16145</v>
      </c>
    </row>
    <row r="260" spans="1:21" x14ac:dyDescent="0.3">
      <c r="A260" s="37" t="s">
        <v>3075</v>
      </c>
      <c r="B260" s="37" t="s">
        <v>3076</v>
      </c>
      <c r="C260" s="37" t="s">
        <v>2473</v>
      </c>
      <c r="D260" s="37" t="s">
        <v>78</v>
      </c>
      <c r="E260" s="37" t="s">
        <v>161</v>
      </c>
      <c r="F260" s="37" t="s">
        <v>101</v>
      </c>
      <c r="G260" s="37" t="s">
        <v>2439</v>
      </c>
      <c r="H260" s="37">
        <v>24.83</v>
      </c>
      <c r="I260" s="37">
        <v>34</v>
      </c>
      <c r="J260" s="37" t="s">
        <v>3077</v>
      </c>
      <c r="K260" s="37" t="s">
        <v>149</v>
      </c>
      <c r="L260" s="37">
        <v>15</v>
      </c>
      <c r="M260" s="37" t="str">
        <f t="shared" si="26"/>
        <v>ICU</v>
      </c>
      <c r="N260" s="37" t="str">
        <f t="shared" si="24"/>
        <v>Insurance</v>
      </c>
      <c r="O260" s="37" t="str" cm="1">
        <f t="array" ref="O260">IF(TRIM(N260)="",INDEX($N$2:$N$1500,MATCH(MAX(COUNTIF($N$2:$N$1500,$N$2:$N$1500)),COUNTIF($N$2:$N$1500,$N$2:$N$1500),0)),N260)</f>
        <v>Insurance</v>
      </c>
      <c r="P260" s="38" cm="1">
        <f t="array" ref="P260">ROUND(IF(TRIM(H260)="",IFERROR(MEDIAN(IF($M$2:$M$1500=M260,$H$2:$H$1500)),MEDIAN($H$2:$H$1500)),H260),2)</f>
        <v>24.83</v>
      </c>
      <c r="Q260" s="38" t="str">
        <f t="shared" si="27"/>
        <v>2</v>
      </c>
      <c r="R260" s="39" cm="1">
        <f t="array" ref="R260">IF(OR(TRIM(J260)="",TRIM(J260)="-"),MEDIAN(IF($C$2:$C$1218=C260,$J$2:$J$1218)),VALUE(SUBSTITUTE(SUBSTITUTE(SUBSTITUTE(J260,"Rs. ",""),"₹",""),",","")))</f>
        <v>68276</v>
      </c>
      <c r="S260" s="40">
        <f t="shared" si="25"/>
        <v>15</v>
      </c>
      <c r="T260" s="41">
        <f t="shared" si="28"/>
        <v>15</v>
      </c>
      <c r="U260" s="42">
        <f t="shared" si="29"/>
        <v>58035</v>
      </c>
    </row>
    <row r="261" spans="1:21" x14ac:dyDescent="0.3">
      <c r="A261" s="37" t="s">
        <v>3078</v>
      </c>
      <c r="B261" s="37" t="s">
        <v>3079</v>
      </c>
      <c r="C261" s="37" t="s">
        <v>2485</v>
      </c>
      <c r="D261" s="37" t="s">
        <v>106</v>
      </c>
      <c r="E261" s="37" t="s">
        <v>107</v>
      </c>
      <c r="F261" s="37" t="s">
        <v>39</v>
      </c>
      <c r="G261" s="37" t="s">
        <v>2408</v>
      </c>
      <c r="H261" s="37">
        <v>21.96</v>
      </c>
      <c r="I261" s="37">
        <v>24</v>
      </c>
      <c r="J261" s="37" t="s">
        <v>3080</v>
      </c>
      <c r="K261" s="37" t="s">
        <v>91</v>
      </c>
      <c r="L261" s="37" t="s">
        <v>140</v>
      </c>
      <c r="M261" s="37" t="str">
        <f t="shared" si="26"/>
        <v>General</v>
      </c>
      <c r="N261" s="37" t="str">
        <f t="shared" si="24"/>
        <v>Debit Card</v>
      </c>
      <c r="O261" s="37" t="str" cm="1">
        <f t="array" ref="O261">IF(TRIM(N261)="",INDEX($N$2:$N$1500,MATCH(MAX(COUNTIF($N$2:$N$1500,$N$2:$N$1500)),COUNTIF($N$2:$N$1500,$N$2:$N$1500),0)),N261)</f>
        <v>Debit Card</v>
      </c>
      <c r="P261" s="38" cm="1">
        <f t="array" ref="P261">ROUND(IF(TRIM(H261)="",IFERROR(MEDIAN(IF($M$2:$M$1500=M261,$H$2:$H$1500)),MEDIAN($H$2:$H$1500)),H261),2)</f>
        <v>21.96</v>
      </c>
      <c r="Q261" s="38" t="str">
        <f t="shared" si="27"/>
        <v>0</v>
      </c>
      <c r="R261" s="39" cm="1">
        <f t="array" ref="R261">IF(OR(TRIM(J261)="",TRIM(J261)="-"),MEDIAN(IF($C$2:$C$1218=C261,$J$2:$J$1218)),VALUE(SUBSTITUTE(SUBSTITUTE(SUBSTITUTE(J261,"Rs. ",""),"₹",""),",","")))</f>
        <v>12975</v>
      </c>
      <c r="S261" s="40" t="str">
        <f t="shared" si="25"/>
        <v>-</v>
      </c>
      <c r="T261" s="41">
        <f t="shared" si="28"/>
        <v>3</v>
      </c>
      <c r="U261" s="42">
        <f t="shared" si="29"/>
        <v>12586</v>
      </c>
    </row>
    <row r="262" spans="1:21" x14ac:dyDescent="0.3">
      <c r="A262" s="37" t="s">
        <v>3081</v>
      </c>
      <c r="B262" s="37" t="s">
        <v>3082</v>
      </c>
      <c r="C262" s="37" t="s">
        <v>2415</v>
      </c>
      <c r="D262" s="37" t="s">
        <v>78</v>
      </c>
      <c r="E262" s="37" t="s">
        <v>161</v>
      </c>
      <c r="F262" s="37" t="s">
        <v>49</v>
      </c>
      <c r="G262" s="37" t="s">
        <v>2439</v>
      </c>
      <c r="H262" s="37">
        <v>11.23</v>
      </c>
      <c r="I262" s="37">
        <v>55</v>
      </c>
      <c r="J262" s="37" t="s">
        <v>3083</v>
      </c>
      <c r="K262" s="37" t="s">
        <v>52</v>
      </c>
      <c r="L262" s="37">
        <v>0</v>
      </c>
      <c r="M262" s="37" t="str">
        <f t="shared" si="26"/>
        <v>General</v>
      </c>
      <c r="N262" s="37" t="str">
        <f t="shared" si="24"/>
        <v>Credit Card</v>
      </c>
      <c r="O262" s="37" t="str" cm="1">
        <f t="array" ref="O262">IF(TRIM(N262)="",INDEX($N$2:$N$1500,MATCH(MAX(COUNTIF($N$2:$N$1500,$N$2:$N$1500)),COUNTIF($N$2:$N$1500,$N$2:$N$1500),0)),N262)</f>
        <v>Credit Card</v>
      </c>
      <c r="P262" s="38" cm="1">
        <f t="array" ref="P262">ROUND(IF(TRIM(H262)="",IFERROR(MEDIAN(IF($M$2:$M$1500=M262,$H$2:$H$1500)),MEDIAN($H$2:$H$1500)),H262),2)</f>
        <v>11.23</v>
      </c>
      <c r="Q262" s="38" t="str">
        <f t="shared" si="27"/>
        <v>2</v>
      </c>
      <c r="R262" s="39" cm="1">
        <f t="array" ref="R262">IF(OR(TRIM(J262)="",TRIM(J262)="-"),MEDIAN(IF($C$2:$C$1218=C262,$J$2:$J$1218)),VALUE(SUBSTITUTE(SUBSTITUTE(SUBSTITUTE(J262,"Rs. ",""),"₹",""),",","")))</f>
        <v>3594</v>
      </c>
      <c r="S262" s="40">
        <f t="shared" si="25"/>
        <v>0</v>
      </c>
      <c r="T262" s="41">
        <f t="shared" si="28"/>
        <v>0</v>
      </c>
      <c r="U262" s="42">
        <f t="shared" si="29"/>
        <v>3594</v>
      </c>
    </row>
    <row r="263" spans="1:21" x14ac:dyDescent="0.3">
      <c r="A263" s="37" t="s">
        <v>3084</v>
      </c>
      <c r="B263" s="37" t="s">
        <v>3085</v>
      </c>
      <c r="C263" s="37" t="s">
        <v>2434</v>
      </c>
      <c r="D263" s="37" t="s">
        <v>78</v>
      </c>
      <c r="E263" s="37" t="s">
        <v>161</v>
      </c>
      <c r="F263" s="37" t="s">
        <v>30</v>
      </c>
      <c r="G263" s="37" t="s">
        <v>2412</v>
      </c>
      <c r="H263" s="37">
        <v>21</v>
      </c>
      <c r="I263" s="37">
        <v>35</v>
      </c>
      <c r="J263" s="37">
        <v>17290</v>
      </c>
      <c r="K263" s="37" t="s">
        <v>211</v>
      </c>
      <c r="L263" s="37"/>
      <c r="M263" s="37" t="str">
        <f t="shared" si="26"/>
        <v>General</v>
      </c>
      <c r="N263" s="37" t="str">
        <f t="shared" si="24"/>
        <v>Credit Card</v>
      </c>
      <c r="O263" s="37" t="str" cm="1">
        <f t="array" ref="O263">IF(TRIM(N263)="",INDEX($N$2:$N$1500,MATCH(MAX(COUNTIF($N$2:$N$1500,$N$2:$N$1500)),COUNTIF($N$2:$N$1500,$N$2:$N$1500),0)),N263)</f>
        <v>Credit Card</v>
      </c>
      <c r="P263" s="38" cm="1">
        <f t="array" ref="P263">ROUND(IF(TRIM(H263)="",IFERROR(MEDIAN(IF($M$2:$M$1500=M263,$H$2:$H$1500)),MEDIAN($H$2:$H$1500)),H263),2)</f>
        <v>21</v>
      </c>
      <c r="Q263" s="38" t="str">
        <f t="shared" si="27"/>
        <v>1</v>
      </c>
      <c r="R263" s="39" cm="1">
        <f t="array" ref="R263">IF(OR(TRIM(J263)="",TRIM(J263)="-"),MEDIAN(IF($C$2:$C$1218=C263,$J$2:$J$1218)),VALUE(SUBSTITUTE(SUBSTITUTE(SUBSTITUTE(J263,"Rs. ",""),"₹",""),",","")))</f>
        <v>17290</v>
      </c>
      <c r="S263" s="40">
        <f t="shared" si="25"/>
        <v>0</v>
      </c>
      <c r="T263" s="41">
        <f t="shared" si="28"/>
        <v>0</v>
      </c>
      <c r="U263" s="42">
        <f t="shared" si="29"/>
        <v>17290</v>
      </c>
    </row>
    <row r="264" spans="1:21" x14ac:dyDescent="0.3">
      <c r="A264" s="37" t="s">
        <v>3086</v>
      </c>
      <c r="B264" s="37" t="s">
        <v>3087</v>
      </c>
      <c r="C264" s="37" t="s">
        <v>2422</v>
      </c>
      <c r="D264" s="37" t="s">
        <v>14</v>
      </c>
      <c r="E264" s="37" t="s">
        <v>60</v>
      </c>
      <c r="F264" s="37" t="s">
        <v>39</v>
      </c>
      <c r="G264" s="37" t="s">
        <v>2505</v>
      </c>
      <c r="H264" s="37"/>
      <c r="I264" s="37">
        <v>56</v>
      </c>
      <c r="J264" s="37" t="s">
        <v>3088</v>
      </c>
      <c r="K264" s="37" t="s">
        <v>115</v>
      </c>
      <c r="L264" s="37">
        <v>10</v>
      </c>
      <c r="M264" s="37" t="str">
        <f t="shared" si="26"/>
        <v>General</v>
      </c>
      <c r="N264" s="37" t="str">
        <f t="shared" si="24"/>
        <v>Cash</v>
      </c>
      <c r="O264" s="37" t="str" cm="1">
        <f t="array" ref="O264">IF(TRIM(N264)="",INDEX($N$2:$N$1500,MATCH(MAX(COUNTIF($N$2:$N$1500,$N$2:$N$1500)),COUNTIF($N$2:$N$1500,$N$2:$N$1500),0)),N264)</f>
        <v>Cash</v>
      </c>
      <c r="P264" s="38" cm="1">
        <f t="array" ref="P264">ROUND(IF(TRIM(H264)="",IFERROR(MEDIAN(IF($M$2:$M$1500=M264,$H$2:$H$1500)),MEDIAN($H$2:$H$1500)),H264),2)</f>
        <v>12.02</v>
      </c>
      <c r="Q264" s="38" t="str">
        <f t="shared" si="27"/>
        <v>2+</v>
      </c>
      <c r="R264" s="39" cm="1">
        <f t="array" ref="R264">IF(OR(TRIM(J264)="",TRIM(J264)="-"),MEDIAN(IF($C$2:$C$1218=C264,$J$2:$J$1218)),VALUE(SUBSTITUTE(SUBSTITUTE(SUBSTITUTE(J264,"Rs. ",""),"₹",""),",","")))</f>
        <v>8218</v>
      </c>
      <c r="S264" s="40">
        <f t="shared" si="25"/>
        <v>10</v>
      </c>
      <c r="T264" s="41">
        <f t="shared" si="28"/>
        <v>10</v>
      </c>
      <c r="U264" s="42">
        <f t="shared" si="29"/>
        <v>7396</v>
      </c>
    </row>
    <row r="265" spans="1:21" x14ac:dyDescent="0.3">
      <c r="A265" s="37" t="s">
        <v>3089</v>
      </c>
      <c r="B265" s="37" t="s">
        <v>3090</v>
      </c>
      <c r="C265" s="37" t="s">
        <v>2536</v>
      </c>
      <c r="D265" s="37" t="s">
        <v>117</v>
      </c>
      <c r="E265" s="37" t="s">
        <v>118</v>
      </c>
      <c r="F265" s="37" t="s">
        <v>62</v>
      </c>
      <c r="G265" s="37"/>
      <c r="H265" s="37">
        <v>18.32</v>
      </c>
      <c r="I265" s="37">
        <v>9</v>
      </c>
      <c r="J265" s="37" t="s">
        <v>3091</v>
      </c>
      <c r="K265" s="37" t="s">
        <v>34</v>
      </c>
      <c r="L265" s="37">
        <v>10</v>
      </c>
      <c r="M265" s="37" t="str">
        <f t="shared" si="26"/>
        <v>ICU</v>
      </c>
      <c r="N265" s="37" t="str">
        <f t="shared" si="24"/>
        <v>Cash</v>
      </c>
      <c r="O265" s="37" t="str" cm="1">
        <f t="array" ref="O265">IF(TRIM(N265)="",INDEX($N$2:$N$1500,MATCH(MAX(COUNTIF($N$2:$N$1500,$N$2:$N$1500)),COUNTIF($N$2:$N$1500,$N$2:$N$1500),0)),N265)</f>
        <v>Cash</v>
      </c>
      <c r="P265" s="38" cm="1">
        <f t="array" ref="P265">ROUND(IF(TRIM(H265)="",IFERROR(MEDIAN(IF($M$2:$M$1500=M265,$H$2:$H$1500)),MEDIAN($H$2:$H$1500)),H265),2)</f>
        <v>18.32</v>
      </c>
      <c r="Q265" s="38" t="str">
        <f t="shared" si="27"/>
        <v>Unknown</v>
      </c>
      <c r="R265" s="39" cm="1">
        <f t="array" ref="R265">IF(OR(TRIM(J265)="",TRIM(J265)="-"),MEDIAN(IF($C$2:$C$1218=C265,$J$2:$J$1218)),VALUE(SUBSTITUTE(SUBSTITUTE(SUBSTITUTE(J265,"Rs. ",""),"₹",""),",","")))</f>
        <v>43111</v>
      </c>
      <c r="S265" s="40">
        <f t="shared" si="25"/>
        <v>10</v>
      </c>
      <c r="T265" s="41">
        <f t="shared" si="28"/>
        <v>10</v>
      </c>
      <c r="U265" s="42">
        <f t="shared" si="29"/>
        <v>38800</v>
      </c>
    </row>
    <row r="266" spans="1:21" x14ac:dyDescent="0.3">
      <c r="A266" s="37" t="s">
        <v>3092</v>
      </c>
      <c r="B266" s="37" t="s">
        <v>3093</v>
      </c>
      <c r="C266" s="37" t="s">
        <v>2415</v>
      </c>
      <c r="D266" s="37" t="s">
        <v>14</v>
      </c>
      <c r="E266" s="37" t="s">
        <v>15</v>
      </c>
      <c r="F266" s="37" t="s">
        <v>62</v>
      </c>
      <c r="G266" s="37" t="s">
        <v>2423</v>
      </c>
      <c r="H266" s="37">
        <v>21.22</v>
      </c>
      <c r="I266" s="37">
        <v>13</v>
      </c>
      <c r="J266" s="37" t="s">
        <v>3094</v>
      </c>
      <c r="K266" s="37" t="s">
        <v>83</v>
      </c>
      <c r="L266" s="37" t="s">
        <v>130</v>
      </c>
      <c r="M266" s="37" t="str">
        <f t="shared" si="26"/>
        <v>ICU</v>
      </c>
      <c r="N266" s="37" t="str">
        <f t="shared" si="24"/>
        <v>Debit Card</v>
      </c>
      <c r="O266" s="37" t="str" cm="1">
        <f t="array" ref="O266">IF(TRIM(N266)="",INDEX($N$2:$N$1500,MATCH(MAX(COUNTIF($N$2:$N$1500,$N$2:$N$1500)),COUNTIF($N$2:$N$1500,$N$2:$N$1500),0)),N266)</f>
        <v>Debit Card</v>
      </c>
      <c r="P266" s="38" cm="1">
        <f t="array" ref="P266">ROUND(IF(TRIM(H266)="",IFERROR(MEDIAN(IF($M$2:$M$1500=M266,$H$2:$H$1500)),MEDIAN($H$2:$H$1500)),H266),2)</f>
        <v>21.22</v>
      </c>
      <c r="Q266" s="38" t="str">
        <f t="shared" si="27"/>
        <v>0</v>
      </c>
      <c r="R266" s="39" cm="1">
        <f t="array" ref="R266">IF(OR(TRIM(J266)="",TRIM(J266)="-"),MEDIAN(IF($C$2:$C$1218=C266,$J$2:$J$1218)),VALUE(SUBSTITUTE(SUBSTITUTE(SUBSTITUTE(J266,"Rs. ",""),"₹",""),",","")))</f>
        <v>68022</v>
      </c>
      <c r="S266" s="40">
        <f t="shared" si="25"/>
        <v>0</v>
      </c>
      <c r="T266" s="41">
        <f t="shared" si="28"/>
        <v>0</v>
      </c>
      <c r="U266" s="42">
        <f t="shared" si="29"/>
        <v>68022</v>
      </c>
    </row>
    <row r="267" spans="1:21" x14ac:dyDescent="0.3">
      <c r="A267" s="37" t="s">
        <v>3095</v>
      </c>
      <c r="B267" s="37" t="s">
        <v>3096</v>
      </c>
      <c r="C267" s="37" t="s">
        <v>2459</v>
      </c>
      <c r="D267" s="37" t="s">
        <v>106</v>
      </c>
      <c r="E267" s="37" t="s">
        <v>307</v>
      </c>
      <c r="F267" s="37" t="s">
        <v>69</v>
      </c>
      <c r="G267" s="37" t="s">
        <v>2428</v>
      </c>
      <c r="H267" s="37">
        <v>17.8</v>
      </c>
      <c r="I267" s="37">
        <v>1</v>
      </c>
      <c r="J267" s="37" t="s">
        <v>3097</v>
      </c>
      <c r="K267" s="37" t="s">
        <v>52</v>
      </c>
      <c r="L267" s="37">
        <v>5</v>
      </c>
      <c r="M267" s="37" t="str">
        <f t="shared" si="26"/>
        <v>ICU</v>
      </c>
      <c r="N267" s="37" t="str">
        <f t="shared" si="24"/>
        <v>Credit Card</v>
      </c>
      <c r="O267" s="37" t="str" cm="1">
        <f t="array" ref="O267">IF(TRIM(N267)="",INDEX($N$2:$N$1500,MATCH(MAX(COUNTIF($N$2:$N$1500,$N$2:$N$1500)),COUNTIF($N$2:$N$1500,$N$2:$N$1500),0)),N267)</f>
        <v>Credit Card</v>
      </c>
      <c r="P267" s="38" cm="1">
        <f t="array" ref="P267">ROUND(IF(TRIM(H267)="",IFERROR(MEDIAN(IF($M$2:$M$1500=M267,$H$2:$H$1500)),MEDIAN($H$2:$H$1500)),H267),2)</f>
        <v>17.8</v>
      </c>
      <c r="Q267" s="38" t="str">
        <f t="shared" si="27"/>
        <v>2</v>
      </c>
      <c r="R267" s="39" cm="1">
        <f t="array" ref="R267">IF(OR(TRIM(J267)="",TRIM(J267)="-"),MEDIAN(IF($C$2:$C$1218=C267,$J$2:$J$1218)),VALUE(SUBSTITUTE(SUBSTITUTE(SUBSTITUTE(J267,"Rs. ",""),"₹",""),",","")))</f>
        <v>21610</v>
      </c>
      <c r="S267" s="40">
        <f t="shared" si="25"/>
        <v>5</v>
      </c>
      <c r="T267" s="41">
        <f t="shared" si="28"/>
        <v>5</v>
      </c>
      <c r="U267" s="42">
        <f t="shared" si="29"/>
        <v>20530</v>
      </c>
    </row>
    <row r="268" spans="1:21" x14ac:dyDescent="0.3">
      <c r="A268" s="37" t="s">
        <v>3098</v>
      </c>
      <c r="B268" s="37" t="s">
        <v>2853</v>
      </c>
      <c r="C268" s="37" t="s">
        <v>2514</v>
      </c>
      <c r="D268" s="37" t="s">
        <v>14</v>
      </c>
      <c r="E268" s="37" t="s">
        <v>15</v>
      </c>
      <c r="F268" s="37" t="s">
        <v>30</v>
      </c>
      <c r="G268" s="37" t="s">
        <v>2477</v>
      </c>
      <c r="H268" s="37">
        <v>24.58</v>
      </c>
      <c r="I268" s="37">
        <v>33</v>
      </c>
      <c r="J268" s="37" t="s">
        <v>3099</v>
      </c>
      <c r="K268" s="37" t="s">
        <v>149</v>
      </c>
      <c r="L268" s="37">
        <v>5</v>
      </c>
      <c r="M268" s="37" t="str">
        <f t="shared" si="26"/>
        <v>General</v>
      </c>
      <c r="N268" s="37" t="str">
        <f t="shared" si="24"/>
        <v>Insurance</v>
      </c>
      <c r="O268" s="37" t="str" cm="1">
        <f t="array" ref="O268">IF(TRIM(N268)="",INDEX($N$2:$N$1500,MATCH(MAX(COUNTIF($N$2:$N$1500,$N$2:$N$1500)),COUNTIF($N$2:$N$1500,$N$2:$N$1500),0)),N268)</f>
        <v>Insurance</v>
      </c>
      <c r="P268" s="38" cm="1">
        <f t="array" ref="P268">ROUND(IF(TRIM(H268)="",IFERROR(MEDIAN(IF($M$2:$M$1500=M268,$H$2:$H$1500)),MEDIAN($H$2:$H$1500)),H268),2)</f>
        <v>24.58</v>
      </c>
      <c r="Q268" s="38" t="str">
        <f t="shared" si="27"/>
        <v>0</v>
      </c>
      <c r="R268" s="39" cm="1">
        <f t="array" ref="R268">IF(OR(TRIM(J268)="",TRIM(J268)="-"),MEDIAN(IF($C$2:$C$1218=C268,$J$2:$J$1218)),VALUE(SUBSTITUTE(SUBSTITUTE(SUBSTITUTE(J268,"Rs. ",""),"₹",""),",","")))</f>
        <v>3654</v>
      </c>
      <c r="S268" s="40">
        <f t="shared" si="25"/>
        <v>5</v>
      </c>
      <c r="T268" s="41">
        <f t="shared" si="28"/>
        <v>5</v>
      </c>
      <c r="U268" s="42">
        <f t="shared" si="29"/>
        <v>3471</v>
      </c>
    </row>
    <row r="269" spans="1:21" x14ac:dyDescent="0.3">
      <c r="A269" s="37" t="s">
        <v>3100</v>
      </c>
      <c r="B269" s="37" t="s">
        <v>3101</v>
      </c>
      <c r="C269" s="37" t="s">
        <v>2463</v>
      </c>
      <c r="D269" s="37" t="s">
        <v>78</v>
      </c>
      <c r="E269" s="37" t="s">
        <v>203</v>
      </c>
      <c r="F269" s="37"/>
      <c r="G269" s="37" t="s">
        <v>2477</v>
      </c>
      <c r="H269" s="37">
        <v>18.670000000000002</v>
      </c>
      <c r="I269" s="37">
        <v>35</v>
      </c>
      <c r="J269" s="37" t="s">
        <v>3102</v>
      </c>
      <c r="K269" s="37" t="s">
        <v>34</v>
      </c>
      <c r="L269" s="37"/>
      <c r="M269" s="37" t="str">
        <f t="shared" si="26"/>
        <v>Unknown</v>
      </c>
      <c r="N269" s="37" t="str">
        <f t="shared" si="24"/>
        <v>Cash</v>
      </c>
      <c r="O269" s="37" t="str" cm="1">
        <f t="array" ref="O269">IF(TRIM(N269)="",INDEX($N$2:$N$1500,MATCH(MAX(COUNTIF($N$2:$N$1500,$N$2:$N$1500)),COUNTIF($N$2:$N$1500,$N$2:$N$1500),0)),N269)</f>
        <v>Cash</v>
      </c>
      <c r="P269" s="38" cm="1">
        <f t="array" ref="P269">ROUND(IF(TRIM(H269)="",IFERROR(MEDIAN(IF($M$2:$M$1500=M269,$H$2:$H$1500)),MEDIAN($H$2:$H$1500)),H269),2)</f>
        <v>18.670000000000002</v>
      </c>
      <c r="Q269" s="38" t="str">
        <f t="shared" si="27"/>
        <v>0</v>
      </c>
      <c r="R269" s="39" cm="1">
        <f t="array" ref="R269">IF(OR(TRIM(J269)="",TRIM(J269)="-"),MEDIAN(IF($C$2:$C$1218=C269,$J$2:$J$1218)),VALUE(SUBSTITUTE(SUBSTITUTE(SUBSTITUTE(J269,"Rs. ",""),"₹",""),",","")))</f>
        <v>87645</v>
      </c>
      <c r="S269" s="40">
        <f t="shared" si="25"/>
        <v>0</v>
      </c>
      <c r="T269" s="41">
        <f t="shared" si="28"/>
        <v>0</v>
      </c>
      <c r="U269" s="42">
        <f t="shared" si="29"/>
        <v>87645</v>
      </c>
    </row>
    <row r="270" spans="1:21" x14ac:dyDescent="0.3">
      <c r="A270" s="37" t="s">
        <v>3103</v>
      </c>
      <c r="B270" s="37" t="s">
        <v>3104</v>
      </c>
      <c r="C270" s="37" t="s">
        <v>2514</v>
      </c>
      <c r="D270" s="37" t="s">
        <v>78</v>
      </c>
      <c r="E270" s="37" t="s">
        <v>161</v>
      </c>
      <c r="F270" s="37"/>
      <c r="G270" s="37" t="s">
        <v>2408</v>
      </c>
      <c r="H270" s="37">
        <v>16.84</v>
      </c>
      <c r="I270" s="37">
        <v>13</v>
      </c>
      <c r="J270" s="37">
        <v>16609</v>
      </c>
      <c r="K270" s="37" t="s">
        <v>91</v>
      </c>
      <c r="L270" s="37">
        <v>0.05</v>
      </c>
      <c r="M270" s="37" t="str">
        <f t="shared" si="26"/>
        <v>Unknown</v>
      </c>
      <c r="N270" s="37" t="str">
        <f t="shared" si="24"/>
        <v>Debit Card</v>
      </c>
      <c r="O270" s="37" t="str" cm="1">
        <f t="array" ref="O270">IF(TRIM(N270)="",INDEX($N$2:$N$1500,MATCH(MAX(COUNTIF($N$2:$N$1500,$N$2:$N$1500)),COUNTIF($N$2:$N$1500,$N$2:$N$1500),0)),N270)</f>
        <v>Debit Card</v>
      </c>
      <c r="P270" s="38" cm="1">
        <f t="array" ref="P270">ROUND(IF(TRIM(H270)="",IFERROR(MEDIAN(IF($M$2:$M$1500=M270,$H$2:$H$1500)),MEDIAN($H$2:$H$1500)),H270),2)</f>
        <v>16.84</v>
      </c>
      <c r="Q270" s="38" t="str">
        <f t="shared" si="27"/>
        <v>0</v>
      </c>
      <c r="R270" s="39" cm="1">
        <f t="array" ref="R270">IF(OR(TRIM(J270)="",TRIM(J270)="-"),MEDIAN(IF($C$2:$C$1218=C270,$J$2:$J$1218)),VALUE(SUBSTITUTE(SUBSTITUTE(SUBSTITUTE(J270,"Rs. ",""),"₹",""),",","")))</f>
        <v>16609</v>
      </c>
      <c r="S270" s="40">
        <f t="shared" si="25"/>
        <v>0.05</v>
      </c>
      <c r="T270" s="41">
        <f t="shared" si="28"/>
        <v>0</v>
      </c>
      <c r="U270" s="42">
        <f t="shared" si="29"/>
        <v>16609</v>
      </c>
    </row>
    <row r="271" spans="1:21" x14ac:dyDescent="0.3">
      <c r="A271" s="37" t="s">
        <v>3105</v>
      </c>
      <c r="B271" s="37" t="s">
        <v>3106</v>
      </c>
      <c r="C271" s="37" t="s">
        <v>2730</v>
      </c>
      <c r="D271" s="37" t="s">
        <v>14</v>
      </c>
      <c r="E271" s="37" t="s">
        <v>60</v>
      </c>
      <c r="F271" s="37" t="s">
        <v>30</v>
      </c>
      <c r="G271" s="37" t="s">
        <v>2423</v>
      </c>
      <c r="H271" s="37">
        <v>20.16</v>
      </c>
      <c r="I271" s="37">
        <v>19</v>
      </c>
      <c r="J271" s="37">
        <v>18966</v>
      </c>
      <c r="K271" s="37" t="s">
        <v>211</v>
      </c>
      <c r="L271" s="37" t="s">
        <v>198</v>
      </c>
      <c r="M271" s="37" t="str">
        <f t="shared" si="26"/>
        <v>General</v>
      </c>
      <c r="N271" s="37" t="str">
        <f t="shared" si="24"/>
        <v>Credit Card</v>
      </c>
      <c r="O271" s="37" t="str" cm="1">
        <f t="array" ref="O271">IF(TRIM(N271)="",INDEX($N$2:$N$1500,MATCH(MAX(COUNTIF($N$2:$N$1500,$N$2:$N$1500)),COUNTIF($N$2:$N$1500,$N$2:$N$1500),0)),N271)</f>
        <v>Credit Card</v>
      </c>
      <c r="P271" s="38" cm="1">
        <f t="array" ref="P271">ROUND(IF(TRIM(H271)="",IFERROR(MEDIAN(IF($M$2:$M$1500=M271,$H$2:$H$1500)),MEDIAN($H$2:$H$1500)),H271),2)</f>
        <v>20.16</v>
      </c>
      <c r="Q271" s="38" t="str">
        <f t="shared" si="27"/>
        <v>0</v>
      </c>
      <c r="R271" s="39" cm="1">
        <f t="array" ref="R271">IF(OR(TRIM(J271)="",TRIM(J271)="-"),MEDIAN(IF($C$2:$C$1218=C271,$J$2:$J$1218)),VALUE(SUBSTITUTE(SUBSTITUTE(SUBSTITUTE(J271,"Rs. ",""),"₹",""),",","")))</f>
        <v>18966</v>
      </c>
      <c r="S271" s="40">
        <f t="shared" si="25"/>
        <v>5</v>
      </c>
      <c r="T271" s="41">
        <f t="shared" si="28"/>
        <v>5</v>
      </c>
      <c r="U271" s="42">
        <f t="shared" si="29"/>
        <v>18018</v>
      </c>
    </row>
    <row r="272" spans="1:21" x14ac:dyDescent="0.3">
      <c r="A272" s="37" t="s">
        <v>3107</v>
      </c>
      <c r="B272" s="37" t="s">
        <v>3108</v>
      </c>
      <c r="C272" s="37" t="s">
        <v>2518</v>
      </c>
      <c r="D272" s="37" t="s">
        <v>45</v>
      </c>
      <c r="E272" s="37" t="s">
        <v>46</v>
      </c>
      <c r="F272" s="37"/>
      <c r="G272" s="37" t="s">
        <v>2412</v>
      </c>
      <c r="H272" s="37">
        <v>19.66</v>
      </c>
      <c r="I272" s="37">
        <v>11</v>
      </c>
      <c r="J272" s="37" t="s">
        <v>3109</v>
      </c>
      <c r="K272" s="37" t="s">
        <v>83</v>
      </c>
      <c r="L272" s="37" t="s">
        <v>64</v>
      </c>
      <c r="M272" s="37" t="str">
        <f t="shared" si="26"/>
        <v>Unknown</v>
      </c>
      <c r="N272" s="37" t="str">
        <f t="shared" si="24"/>
        <v>Debit Card</v>
      </c>
      <c r="O272" s="37" t="str" cm="1">
        <f t="array" ref="O272">IF(TRIM(N272)="",INDEX($N$2:$N$1500,MATCH(MAX(COUNTIF($N$2:$N$1500,$N$2:$N$1500)),COUNTIF($N$2:$N$1500,$N$2:$N$1500),0)),N272)</f>
        <v>Debit Card</v>
      </c>
      <c r="P272" s="38" cm="1">
        <f t="array" ref="P272">ROUND(IF(TRIM(H272)="",IFERROR(MEDIAN(IF($M$2:$M$1500=M272,$H$2:$H$1500)),MEDIAN($H$2:$H$1500)),H272),2)</f>
        <v>19.66</v>
      </c>
      <c r="Q272" s="38" t="str">
        <f t="shared" si="27"/>
        <v>1</v>
      </c>
      <c r="R272" s="39" cm="1">
        <f t="array" ref="R272">IF(OR(TRIM(J272)="",TRIM(J272)="-"),MEDIAN(IF($C$2:$C$1218=C272,$J$2:$J$1218)),VALUE(SUBSTITUTE(SUBSTITUTE(SUBSTITUTE(J272,"Rs. ",""),"₹",""),",","")))</f>
        <v>8320</v>
      </c>
      <c r="S272" s="40" t="str">
        <f t="shared" si="25"/>
        <v>NA</v>
      </c>
      <c r="T272" s="41">
        <f t="shared" si="28"/>
        <v>3</v>
      </c>
      <c r="U272" s="42">
        <f t="shared" si="29"/>
        <v>8070</v>
      </c>
    </row>
    <row r="273" spans="1:21" x14ac:dyDescent="0.3">
      <c r="A273" s="37" t="s">
        <v>3110</v>
      </c>
      <c r="B273" s="37" t="s">
        <v>3111</v>
      </c>
      <c r="C273" s="37" t="s">
        <v>2514</v>
      </c>
      <c r="D273" s="37" t="s">
        <v>14</v>
      </c>
      <c r="E273" s="37" t="s">
        <v>60</v>
      </c>
      <c r="F273" s="37" t="s">
        <v>39</v>
      </c>
      <c r="G273" s="37" t="s">
        <v>2455</v>
      </c>
      <c r="H273" s="37">
        <v>21.1</v>
      </c>
      <c r="I273" s="37">
        <v>23</v>
      </c>
      <c r="J273" s="37">
        <v>14896</v>
      </c>
      <c r="K273" s="37" t="s">
        <v>167</v>
      </c>
      <c r="L273" s="37">
        <v>12</v>
      </c>
      <c r="M273" s="37" t="str">
        <f t="shared" si="26"/>
        <v>General</v>
      </c>
      <c r="N273" s="37" t="str">
        <f t="shared" si="24"/>
        <v>Insurance</v>
      </c>
      <c r="O273" s="37" t="str" cm="1">
        <f t="array" ref="O273">IF(TRIM(N273)="",INDEX($N$2:$N$1500,MATCH(MAX(COUNTIF($N$2:$N$1500,$N$2:$N$1500)),COUNTIF($N$2:$N$1500,$N$2:$N$1500),0)),N273)</f>
        <v>Insurance</v>
      </c>
      <c r="P273" s="38" cm="1">
        <f t="array" ref="P273">ROUND(IF(TRIM(H273)="",IFERROR(MEDIAN(IF($M$2:$M$1500=M273,$H$2:$H$1500)),MEDIAN($H$2:$H$1500)),H273),2)</f>
        <v>21.1</v>
      </c>
      <c r="Q273" s="38" t="str">
        <f t="shared" si="27"/>
        <v>1</v>
      </c>
      <c r="R273" s="39" cm="1">
        <f t="array" ref="R273">IF(OR(TRIM(J273)="",TRIM(J273)="-"),MEDIAN(IF($C$2:$C$1218=C273,$J$2:$J$1218)),VALUE(SUBSTITUTE(SUBSTITUTE(SUBSTITUTE(J273,"Rs. ",""),"₹",""),",","")))</f>
        <v>14896</v>
      </c>
      <c r="S273" s="40">
        <f t="shared" si="25"/>
        <v>12</v>
      </c>
      <c r="T273" s="41">
        <f t="shared" si="28"/>
        <v>12</v>
      </c>
      <c r="U273" s="42">
        <f t="shared" si="29"/>
        <v>13108</v>
      </c>
    </row>
    <row r="274" spans="1:21" x14ac:dyDescent="0.3">
      <c r="A274" s="37" t="s">
        <v>3112</v>
      </c>
      <c r="B274" s="37" t="s">
        <v>3113</v>
      </c>
      <c r="C274" s="37" t="s">
        <v>2459</v>
      </c>
      <c r="D274" s="37" t="s">
        <v>106</v>
      </c>
      <c r="E274" s="37" t="s">
        <v>107</v>
      </c>
      <c r="F274" s="37" t="s">
        <v>19</v>
      </c>
      <c r="G274" s="37" t="s">
        <v>2408</v>
      </c>
      <c r="H274" s="37">
        <v>15.43</v>
      </c>
      <c r="I274" s="37">
        <v>29</v>
      </c>
      <c r="J274" s="37" t="s">
        <v>3114</v>
      </c>
      <c r="K274" s="37" t="s">
        <v>167</v>
      </c>
      <c r="L274" s="37">
        <v>12</v>
      </c>
      <c r="M274" s="37" t="str">
        <f t="shared" si="26"/>
        <v>General</v>
      </c>
      <c r="N274" s="37" t="str">
        <f t="shared" si="24"/>
        <v>Insurance</v>
      </c>
      <c r="O274" s="37" t="str" cm="1">
        <f t="array" ref="O274">IF(TRIM(N274)="",INDEX($N$2:$N$1500,MATCH(MAX(COUNTIF($N$2:$N$1500,$N$2:$N$1500)),COUNTIF($N$2:$N$1500,$N$2:$N$1500),0)),N274)</f>
        <v>Insurance</v>
      </c>
      <c r="P274" s="38" cm="1">
        <f t="array" ref="P274">ROUND(IF(TRIM(H274)="",IFERROR(MEDIAN(IF($M$2:$M$1500=M274,$H$2:$H$1500)),MEDIAN($H$2:$H$1500)),H274),2)</f>
        <v>15.43</v>
      </c>
      <c r="Q274" s="38" t="str">
        <f t="shared" si="27"/>
        <v>0</v>
      </c>
      <c r="R274" s="39" cm="1">
        <f t="array" ref="R274">IF(OR(TRIM(J274)="",TRIM(J274)="-"),MEDIAN(IF($C$2:$C$1218=C274,$J$2:$J$1218)),VALUE(SUBSTITUTE(SUBSTITUTE(SUBSTITUTE(J274,"Rs. ",""),"₹",""),",","")))</f>
        <v>7655</v>
      </c>
      <c r="S274" s="40">
        <f t="shared" si="25"/>
        <v>12</v>
      </c>
      <c r="T274" s="41">
        <f t="shared" si="28"/>
        <v>12</v>
      </c>
      <c r="U274" s="42">
        <f t="shared" si="29"/>
        <v>6736</v>
      </c>
    </row>
    <row r="275" spans="1:21" x14ac:dyDescent="0.3">
      <c r="A275" s="37" t="s">
        <v>3115</v>
      </c>
      <c r="B275" s="37" t="s">
        <v>3116</v>
      </c>
      <c r="C275" s="37" t="s">
        <v>2485</v>
      </c>
      <c r="D275" s="37" t="s">
        <v>78</v>
      </c>
      <c r="E275" s="37" t="s">
        <v>203</v>
      </c>
      <c r="F275" s="37" t="s">
        <v>19</v>
      </c>
      <c r="G275" s="37" t="s">
        <v>2408</v>
      </c>
      <c r="H275" s="37">
        <v>16.54</v>
      </c>
      <c r="I275" s="37">
        <v>25</v>
      </c>
      <c r="J275" s="37" t="s">
        <v>3117</v>
      </c>
      <c r="K275" s="37" t="s">
        <v>58</v>
      </c>
      <c r="L275" s="37">
        <v>10</v>
      </c>
      <c r="M275" s="37" t="str">
        <f t="shared" si="26"/>
        <v>General</v>
      </c>
      <c r="N275" s="37" t="str">
        <f t="shared" si="24"/>
        <v>UPI</v>
      </c>
      <c r="O275" s="37" t="str" cm="1">
        <f t="array" ref="O275">IF(TRIM(N275)="",INDEX($N$2:$N$1500,MATCH(MAX(COUNTIF($N$2:$N$1500,$N$2:$N$1500)),COUNTIF($N$2:$N$1500,$N$2:$N$1500),0)),N275)</f>
        <v>UPI</v>
      </c>
      <c r="P275" s="38" cm="1">
        <f t="array" ref="P275">ROUND(IF(TRIM(H275)="",IFERROR(MEDIAN(IF($M$2:$M$1500=M275,$H$2:$H$1500)),MEDIAN($H$2:$H$1500)),H275),2)</f>
        <v>16.54</v>
      </c>
      <c r="Q275" s="38" t="str">
        <f t="shared" si="27"/>
        <v>0</v>
      </c>
      <c r="R275" s="39" cm="1">
        <f t="array" ref="R275">IF(OR(TRIM(J275)="",TRIM(J275)="-"),MEDIAN(IF($C$2:$C$1218=C275,$J$2:$J$1218)),VALUE(SUBSTITUTE(SUBSTITUTE(SUBSTITUTE(J275,"Rs. ",""),"₹",""),",","")))</f>
        <v>16149</v>
      </c>
      <c r="S275" s="40">
        <f t="shared" si="25"/>
        <v>10</v>
      </c>
      <c r="T275" s="41">
        <f t="shared" si="28"/>
        <v>10</v>
      </c>
      <c r="U275" s="42">
        <f t="shared" si="29"/>
        <v>14534</v>
      </c>
    </row>
    <row r="276" spans="1:21" x14ac:dyDescent="0.3">
      <c r="A276" s="37" t="s">
        <v>3118</v>
      </c>
      <c r="B276" s="37" t="s">
        <v>3119</v>
      </c>
      <c r="C276" s="37" t="s">
        <v>2730</v>
      </c>
      <c r="D276" s="37" t="s">
        <v>106</v>
      </c>
      <c r="E276" s="37" t="s">
        <v>307</v>
      </c>
      <c r="F276" s="37" t="s">
        <v>30</v>
      </c>
      <c r="G276" s="37" t="s">
        <v>2435</v>
      </c>
      <c r="H276" s="37">
        <v>5.98</v>
      </c>
      <c r="I276" s="37">
        <v>37</v>
      </c>
      <c r="J276" s="37">
        <v>13282</v>
      </c>
      <c r="K276" s="37" t="s">
        <v>91</v>
      </c>
      <c r="L276" s="37">
        <v>0</v>
      </c>
      <c r="M276" s="37" t="str">
        <f t="shared" si="26"/>
        <v>General</v>
      </c>
      <c r="N276" s="37" t="str">
        <f t="shared" si="24"/>
        <v>Debit Card</v>
      </c>
      <c r="O276" s="37" t="str" cm="1">
        <f t="array" ref="O276">IF(TRIM(N276)="",INDEX($N$2:$N$1500,MATCH(MAX(COUNTIF($N$2:$N$1500,$N$2:$N$1500)),COUNTIF($N$2:$N$1500,$N$2:$N$1500),0)),N276)</f>
        <v>Debit Card</v>
      </c>
      <c r="P276" s="38" cm="1">
        <f t="array" ref="P276">ROUND(IF(TRIM(H276)="",IFERROR(MEDIAN(IF($M$2:$M$1500=M276,$H$2:$H$1500)),MEDIAN($H$2:$H$1500)),H276),2)</f>
        <v>5.98</v>
      </c>
      <c r="Q276" s="38" t="str">
        <f t="shared" si="27"/>
        <v>0</v>
      </c>
      <c r="R276" s="39" cm="1">
        <f t="array" ref="R276">IF(OR(TRIM(J276)="",TRIM(J276)="-"),MEDIAN(IF($C$2:$C$1218=C276,$J$2:$J$1218)),VALUE(SUBSTITUTE(SUBSTITUTE(SUBSTITUTE(J276,"Rs. ",""),"₹",""),",","")))</f>
        <v>13282</v>
      </c>
      <c r="S276" s="40">
        <f t="shared" si="25"/>
        <v>0</v>
      </c>
      <c r="T276" s="41">
        <f t="shared" si="28"/>
        <v>0</v>
      </c>
      <c r="U276" s="42">
        <f t="shared" si="29"/>
        <v>13282</v>
      </c>
    </row>
    <row r="277" spans="1:21" x14ac:dyDescent="0.3">
      <c r="A277" s="37" t="s">
        <v>3120</v>
      </c>
      <c r="B277" s="37" t="s">
        <v>3085</v>
      </c>
      <c r="C277" s="37" t="s">
        <v>2434</v>
      </c>
      <c r="D277" s="37" t="s">
        <v>78</v>
      </c>
      <c r="E277" s="37" t="s">
        <v>161</v>
      </c>
      <c r="F277" s="37" t="s">
        <v>49</v>
      </c>
      <c r="G277" s="37" t="s">
        <v>2435</v>
      </c>
      <c r="H277" s="37">
        <v>16.29</v>
      </c>
      <c r="I277" s="37">
        <v>57</v>
      </c>
      <c r="J277" s="37" t="s">
        <v>3121</v>
      </c>
      <c r="K277" s="37" t="s">
        <v>115</v>
      </c>
      <c r="L277" s="37" t="s">
        <v>198</v>
      </c>
      <c r="M277" s="37" t="str">
        <f t="shared" si="26"/>
        <v>General</v>
      </c>
      <c r="N277" s="37" t="str">
        <f t="shared" si="24"/>
        <v>Cash</v>
      </c>
      <c r="O277" s="37" t="str" cm="1">
        <f t="array" ref="O277">IF(TRIM(N277)="",INDEX($N$2:$N$1500,MATCH(MAX(COUNTIF($N$2:$N$1500,$N$2:$N$1500)),COUNTIF($N$2:$N$1500,$N$2:$N$1500),0)),N277)</f>
        <v>Cash</v>
      </c>
      <c r="P277" s="38" cm="1">
        <f t="array" ref="P277">ROUND(IF(TRIM(H277)="",IFERROR(MEDIAN(IF($M$2:$M$1500=M277,$H$2:$H$1500)),MEDIAN($H$2:$H$1500)),H277),2)</f>
        <v>16.29</v>
      </c>
      <c r="Q277" s="38" t="str">
        <f t="shared" si="27"/>
        <v>0</v>
      </c>
      <c r="R277" s="39" cm="1">
        <f t="array" ref="R277">IF(OR(TRIM(J277)="",TRIM(J277)="-"),MEDIAN(IF($C$2:$C$1218=C277,$J$2:$J$1218)),VALUE(SUBSTITUTE(SUBSTITUTE(SUBSTITUTE(J277,"Rs. ",""),"₹",""),",","")))</f>
        <v>3288</v>
      </c>
      <c r="S277" s="40">
        <f t="shared" si="25"/>
        <v>5</v>
      </c>
      <c r="T277" s="41">
        <f t="shared" si="28"/>
        <v>5</v>
      </c>
      <c r="U277" s="42">
        <f t="shared" si="29"/>
        <v>3124</v>
      </c>
    </row>
    <row r="278" spans="1:21" x14ac:dyDescent="0.3">
      <c r="A278" s="37" t="s">
        <v>3122</v>
      </c>
      <c r="B278" s="37" t="s">
        <v>3123</v>
      </c>
      <c r="C278" s="37" t="s">
        <v>2422</v>
      </c>
      <c r="D278" s="37" t="s">
        <v>78</v>
      </c>
      <c r="E278" s="37" t="s">
        <v>161</v>
      </c>
      <c r="F278" s="37" t="s">
        <v>49</v>
      </c>
      <c r="G278" s="37" t="s">
        <v>2455</v>
      </c>
      <c r="H278" s="37">
        <v>12.67</v>
      </c>
      <c r="I278" s="37">
        <v>19</v>
      </c>
      <c r="J278" s="37">
        <v>5025</v>
      </c>
      <c r="K278" s="37" t="s">
        <v>91</v>
      </c>
      <c r="L278" s="37" t="s">
        <v>198</v>
      </c>
      <c r="M278" s="37" t="str">
        <f t="shared" si="26"/>
        <v>General</v>
      </c>
      <c r="N278" s="37" t="str">
        <f t="shared" si="24"/>
        <v>Debit Card</v>
      </c>
      <c r="O278" s="37" t="str" cm="1">
        <f t="array" ref="O278">IF(TRIM(N278)="",INDEX($N$2:$N$1500,MATCH(MAX(COUNTIF($N$2:$N$1500,$N$2:$N$1500)),COUNTIF($N$2:$N$1500,$N$2:$N$1500),0)),N278)</f>
        <v>Debit Card</v>
      </c>
      <c r="P278" s="38" cm="1">
        <f t="array" ref="P278">ROUND(IF(TRIM(H278)="",IFERROR(MEDIAN(IF($M$2:$M$1500=M278,$H$2:$H$1500)),MEDIAN($H$2:$H$1500)),H278),2)</f>
        <v>12.67</v>
      </c>
      <c r="Q278" s="38" t="str">
        <f t="shared" si="27"/>
        <v>1</v>
      </c>
      <c r="R278" s="39" cm="1">
        <f t="array" ref="R278">IF(OR(TRIM(J278)="",TRIM(J278)="-"),MEDIAN(IF($C$2:$C$1218=C278,$J$2:$J$1218)),VALUE(SUBSTITUTE(SUBSTITUTE(SUBSTITUTE(J278,"Rs. ",""),"₹",""),",","")))</f>
        <v>5025</v>
      </c>
      <c r="S278" s="40">
        <f t="shared" si="25"/>
        <v>5</v>
      </c>
      <c r="T278" s="41">
        <f t="shared" si="28"/>
        <v>5</v>
      </c>
      <c r="U278" s="42">
        <f t="shared" si="29"/>
        <v>4774</v>
      </c>
    </row>
    <row r="279" spans="1:21" x14ac:dyDescent="0.3">
      <c r="A279" s="37" t="s">
        <v>3124</v>
      </c>
      <c r="B279" s="37" t="s">
        <v>3125</v>
      </c>
      <c r="C279" s="37" t="s">
        <v>2422</v>
      </c>
      <c r="D279" s="37" t="s">
        <v>25</v>
      </c>
      <c r="E279" s="37" t="s">
        <v>26</v>
      </c>
      <c r="F279" s="37" t="s">
        <v>49</v>
      </c>
      <c r="G279" s="37" t="s">
        <v>2435</v>
      </c>
      <c r="H279" s="37">
        <v>10.050000000000001</v>
      </c>
      <c r="I279" s="37"/>
      <c r="J279" s="37" t="s">
        <v>3126</v>
      </c>
      <c r="K279" s="37" t="s">
        <v>72</v>
      </c>
      <c r="L279" s="37">
        <v>0</v>
      </c>
      <c r="M279" s="37" t="str">
        <f t="shared" si="26"/>
        <v>General</v>
      </c>
      <c r="N279" s="37" t="str">
        <f t="shared" si="24"/>
        <v>Cash</v>
      </c>
      <c r="O279" s="37" t="str" cm="1">
        <f t="array" ref="O279">IF(TRIM(N279)="",INDEX($N$2:$N$1500,MATCH(MAX(COUNTIF($N$2:$N$1500,$N$2:$N$1500)),COUNTIF($N$2:$N$1500,$N$2:$N$1500),0)),N279)</f>
        <v>Cash</v>
      </c>
      <c r="P279" s="38" cm="1">
        <f t="array" ref="P279">ROUND(IF(TRIM(H279)="",IFERROR(MEDIAN(IF($M$2:$M$1500=M279,$H$2:$H$1500)),MEDIAN($H$2:$H$1500)),H279),2)</f>
        <v>10.050000000000001</v>
      </c>
      <c r="Q279" s="38" t="str">
        <f t="shared" si="27"/>
        <v>0</v>
      </c>
      <c r="R279" s="39" cm="1">
        <f t="array" ref="R279">IF(OR(TRIM(J279)="",TRIM(J279)="-"),MEDIAN(IF($C$2:$C$1218=C279,$J$2:$J$1218)),VALUE(SUBSTITUTE(SUBSTITUTE(SUBSTITUTE(J279,"Rs. ",""),"₹",""),",","")))</f>
        <v>13895</v>
      </c>
      <c r="S279" s="40">
        <f t="shared" si="25"/>
        <v>0</v>
      </c>
      <c r="T279" s="41">
        <f t="shared" si="28"/>
        <v>0</v>
      </c>
      <c r="U279" s="42">
        <f t="shared" si="29"/>
        <v>13895</v>
      </c>
    </row>
    <row r="280" spans="1:21" x14ac:dyDescent="0.3">
      <c r="A280" s="37" t="s">
        <v>3127</v>
      </c>
      <c r="B280" s="37" t="s">
        <v>3000</v>
      </c>
      <c r="C280" s="37" t="s">
        <v>2485</v>
      </c>
      <c r="D280" s="37" t="s">
        <v>106</v>
      </c>
      <c r="E280" s="37" t="s">
        <v>107</v>
      </c>
      <c r="F280" s="37" t="s">
        <v>19</v>
      </c>
      <c r="G280" s="37" t="s">
        <v>2486</v>
      </c>
      <c r="H280" s="37">
        <v>20.54</v>
      </c>
      <c r="I280" s="37">
        <v>18</v>
      </c>
      <c r="J280" s="37" t="s">
        <v>3128</v>
      </c>
      <c r="K280" s="37" t="s">
        <v>115</v>
      </c>
      <c r="L280" s="37">
        <v>5</v>
      </c>
      <c r="M280" s="37" t="str">
        <f t="shared" si="26"/>
        <v>General</v>
      </c>
      <c r="N280" s="37" t="str">
        <f t="shared" si="24"/>
        <v>Cash</v>
      </c>
      <c r="O280" s="37" t="str" cm="1">
        <f t="array" ref="O280">IF(TRIM(N280)="",INDEX($N$2:$N$1500,MATCH(MAX(COUNTIF($N$2:$N$1500,$N$2:$N$1500)),COUNTIF($N$2:$N$1500,$N$2:$N$1500),0)),N280)</f>
        <v>Cash</v>
      </c>
      <c r="P280" s="38" cm="1">
        <f t="array" ref="P280">ROUND(IF(TRIM(H280)="",IFERROR(MEDIAN(IF($M$2:$M$1500=M280,$H$2:$H$1500)),MEDIAN($H$2:$H$1500)),H280),2)</f>
        <v>20.54</v>
      </c>
      <c r="Q280" s="38" t="str">
        <f t="shared" si="27"/>
        <v>2+</v>
      </c>
      <c r="R280" s="39" cm="1">
        <f t="array" ref="R280">IF(OR(TRIM(J280)="",TRIM(J280)="-"),MEDIAN(IF($C$2:$C$1218=C280,$J$2:$J$1218)),VALUE(SUBSTITUTE(SUBSTITUTE(SUBSTITUTE(J280,"Rs. ",""),"₹",""),",","")))</f>
        <v>4240</v>
      </c>
      <c r="S280" s="40">
        <f t="shared" si="25"/>
        <v>5</v>
      </c>
      <c r="T280" s="41">
        <f t="shared" si="28"/>
        <v>5</v>
      </c>
      <c r="U280" s="42">
        <f t="shared" si="29"/>
        <v>4028</v>
      </c>
    </row>
    <row r="281" spans="1:21" x14ac:dyDescent="0.3">
      <c r="A281" s="37" t="s">
        <v>3129</v>
      </c>
      <c r="B281" s="37" t="s">
        <v>2667</v>
      </c>
      <c r="C281" s="37" t="s">
        <v>2449</v>
      </c>
      <c r="D281" s="37" t="s">
        <v>78</v>
      </c>
      <c r="E281" s="37" t="s">
        <v>161</v>
      </c>
      <c r="F281" s="37" t="s">
        <v>49</v>
      </c>
      <c r="G281" s="37" t="s">
        <v>2477</v>
      </c>
      <c r="H281" s="37">
        <v>19.489999999999998</v>
      </c>
      <c r="I281" s="37">
        <v>26</v>
      </c>
      <c r="J281" s="37">
        <v>16053</v>
      </c>
      <c r="K281" s="37" t="s">
        <v>311</v>
      </c>
      <c r="L281" s="37">
        <v>5</v>
      </c>
      <c r="M281" s="37" t="str">
        <f t="shared" si="26"/>
        <v>General</v>
      </c>
      <c r="N281" s="37" t="str">
        <f t="shared" si="24"/>
        <v>UPI</v>
      </c>
      <c r="O281" s="37" t="str" cm="1">
        <f t="array" ref="O281">IF(TRIM(N281)="",INDEX($N$2:$N$1500,MATCH(MAX(COUNTIF($N$2:$N$1500,$N$2:$N$1500)),COUNTIF($N$2:$N$1500,$N$2:$N$1500),0)),N281)</f>
        <v>UPI</v>
      </c>
      <c r="P281" s="38" cm="1">
        <f t="array" ref="P281">ROUND(IF(TRIM(H281)="",IFERROR(MEDIAN(IF($M$2:$M$1500=M281,$H$2:$H$1500)),MEDIAN($H$2:$H$1500)),H281),2)</f>
        <v>19.489999999999998</v>
      </c>
      <c r="Q281" s="38" t="str">
        <f t="shared" si="27"/>
        <v>0</v>
      </c>
      <c r="R281" s="39" cm="1">
        <f t="array" ref="R281">IF(OR(TRIM(J281)="",TRIM(J281)="-"),MEDIAN(IF($C$2:$C$1218=C281,$J$2:$J$1218)),VALUE(SUBSTITUTE(SUBSTITUTE(SUBSTITUTE(J281,"Rs. ",""),"₹",""),",","")))</f>
        <v>16053</v>
      </c>
      <c r="S281" s="40">
        <f t="shared" si="25"/>
        <v>5</v>
      </c>
      <c r="T281" s="41">
        <f t="shared" si="28"/>
        <v>5</v>
      </c>
      <c r="U281" s="42">
        <f t="shared" si="29"/>
        <v>15250</v>
      </c>
    </row>
    <row r="282" spans="1:21" x14ac:dyDescent="0.3">
      <c r="A282" s="37" t="s">
        <v>3130</v>
      </c>
      <c r="B282" s="37" t="s">
        <v>3131</v>
      </c>
      <c r="C282" s="37" t="s">
        <v>2469</v>
      </c>
      <c r="D282" s="37" t="s">
        <v>45</v>
      </c>
      <c r="E282" s="37" t="s">
        <v>334</v>
      </c>
      <c r="F282" s="37" t="s">
        <v>39</v>
      </c>
      <c r="G282" s="37" t="s">
        <v>2435</v>
      </c>
      <c r="H282" s="37"/>
      <c r="I282" s="37">
        <v>55</v>
      </c>
      <c r="J282" s="37" t="s">
        <v>3132</v>
      </c>
      <c r="K282" s="37" t="s">
        <v>34</v>
      </c>
      <c r="L282" s="37">
        <v>5</v>
      </c>
      <c r="M282" s="37" t="str">
        <f t="shared" si="26"/>
        <v>General</v>
      </c>
      <c r="N282" s="37" t="str">
        <f t="shared" si="24"/>
        <v>Cash</v>
      </c>
      <c r="O282" s="37" t="str" cm="1">
        <f t="array" ref="O282">IF(TRIM(N282)="",INDEX($N$2:$N$1500,MATCH(MAX(COUNTIF($N$2:$N$1500,$N$2:$N$1500)),COUNTIF($N$2:$N$1500,$N$2:$N$1500),0)),N282)</f>
        <v>Cash</v>
      </c>
      <c r="P282" s="38" cm="1">
        <f t="array" ref="P282">ROUND(IF(TRIM(H282)="",IFERROR(MEDIAN(IF($M$2:$M$1500=M282,$H$2:$H$1500)),MEDIAN($H$2:$H$1500)),H282),2)</f>
        <v>12.02</v>
      </c>
      <c r="Q282" s="38" t="str">
        <f t="shared" si="27"/>
        <v>0</v>
      </c>
      <c r="R282" s="39" cm="1">
        <f t="array" ref="R282">IF(OR(TRIM(J282)="",TRIM(J282)="-"),MEDIAN(IF($C$2:$C$1218=C282,$J$2:$J$1218)),VALUE(SUBSTITUTE(SUBSTITUTE(SUBSTITUTE(J282,"Rs. ",""),"₹",""),",","")))</f>
        <v>10677</v>
      </c>
      <c r="S282" s="40">
        <f t="shared" si="25"/>
        <v>5</v>
      </c>
      <c r="T282" s="41">
        <f t="shared" si="28"/>
        <v>5</v>
      </c>
      <c r="U282" s="42">
        <f t="shared" si="29"/>
        <v>10143</v>
      </c>
    </row>
    <row r="283" spans="1:21" x14ac:dyDescent="0.3">
      <c r="A283" s="37" t="s">
        <v>3133</v>
      </c>
      <c r="B283" s="37" t="s">
        <v>3134</v>
      </c>
      <c r="C283" s="37" t="s">
        <v>2438</v>
      </c>
      <c r="D283" s="37" t="s">
        <v>14</v>
      </c>
      <c r="E283" s="37" t="s">
        <v>15</v>
      </c>
      <c r="F283" s="37" t="s">
        <v>49</v>
      </c>
      <c r="G283" s="37" t="s">
        <v>2450</v>
      </c>
      <c r="H283" s="37">
        <v>15.25</v>
      </c>
      <c r="I283" s="37">
        <v>10</v>
      </c>
      <c r="J283" s="37" t="s">
        <v>907</v>
      </c>
      <c r="K283" s="37" t="s">
        <v>72</v>
      </c>
      <c r="L283" s="37">
        <v>0</v>
      </c>
      <c r="M283" s="37" t="str">
        <f t="shared" si="26"/>
        <v>General</v>
      </c>
      <c r="N283" s="37" t="str">
        <f t="shared" si="24"/>
        <v>Cash</v>
      </c>
      <c r="O283" s="37" t="str" cm="1">
        <f t="array" ref="O283">IF(TRIM(N283)="",INDEX($N$2:$N$1500,MATCH(MAX(COUNTIF($N$2:$N$1500,$N$2:$N$1500)),COUNTIF($N$2:$N$1500,$N$2:$N$1500),0)),N283)</f>
        <v>Cash</v>
      </c>
      <c r="P283" s="38" cm="1">
        <f t="array" ref="P283">ROUND(IF(TRIM(H283)="",IFERROR(MEDIAN(IF($M$2:$M$1500=M283,$H$2:$H$1500)),MEDIAN($H$2:$H$1500)),H283),2)</f>
        <v>15.25</v>
      </c>
      <c r="Q283" s="38" t="str">
        <f t="shared" si="27"/>
        <v>1</v>
      </c>
      <c r="R283" s="39" cm="1">
        <f t="array" ref="R283">IF(OR(TRIM(J283)="",TRIM(J283)="-"),MEDIAN(IF($C$2:$C$1218=C283,$J$2:$J$1218)),VALUE(SUBSTITUTE(SUBSTITUTE(SUBSTITUTE(J283,"Rs. ",""),"₹",""),",","")))</f>
        <v>17312</v>
      </c>
      <c r="S283" s="40">
        <f t="shared" si="25"/>
        <v>0</v>
      </c>
      <c r="T283" s="41">
        <f t="shared" si="28"/>
        <v>0</v>
      </c>
      <c r="U283" s="42">
        <f t="shared" si="29"/>
        <v>17312</v>
      </c>
    </row>
    <row r="284" spans="1:21" x14ac:dyDescent="0.3">
      <c r="A284" s="37" t="s">
        <v>3135</v>
      </c>
      <c r="B284" s="37" t="s">
        <v>3136</v>
      </c>
      <c r="C284" s="37" t="s">
        <v>2434</v>
      </c>
      <c r="D284" s="37" t="s">
        <v>45</v>
      </c>
      <c r="E284" s="37" t="s">
        <v>46</v>
      </c>
      <c r="F284" s="37" t="s">
        <v>49</v>
      </c>
      <c r="G284" s="37" t="s">
        <v>2418</v>
      </c>
      <c r="H284" s="37"/>
      <c r="I284" s="37">
        <v>11</v>
      </c>
      <c r="J284" s="37">
        <v>17035</v>
      </c>
      <c r="K284" s="37" t="s">
        <v>42</v>
      </c>
      <c r="L284" s="37" t="s">
        <v>64</v>
      </c>
      <c r="M284" s="37" t="str">
        <f t="shared" si="26"/>
        <v>General</v>
      </c>
      <c r="N284" s="37" t="str">
        <f t="shared" si="24"/>
        <v>Insurance</v>
      </c>
      <c r="O284" s="37" t="str" cm="1">
        <f t="array" ref="O284">IF(TRIM(N284)="",INDEX($N$2:$N$1500,MATCH(MAX(COUNTIF($N$2:$N$1500,$N$2:$N$1500)),COUNTIF($N$2:$N$1500,$N$2:$N$1500),0)),N284)</f>
        <v>Insurance</v>
      </c>
      <c r="P284" s="38" cm="1">
        <f t="array" ref="P284">ROUND(IF(TRIM(H284)="",IFERROR(MEDIAN(IF($M$2:$M$1500=M284,$H$2:$H$1500)),MEDIAN($H$2:$H$1500)),H284),2)</f>
        <v>12.02</v>
      </c>
      <c r="Q284" s="38" t="str">
        <f t="shared" si="27"/>
        <v>1</v>
      </c>
      <c r="R284" s="39" cm="1">
        <f t="array" ref="R284">IF(OR(TRIM(J284)="",TRIM(J284)="-"),MEDIAN(IF($C$2:$C$1218=C284,$J$2:$J$1218)),VALUE(SUBSTITUTE(SUBSTITUTE(SUBSTITUTE(J284,"Rs. ",""),"₹",""),",","")))</f>
        <v>17035</v>
      </c>
      <c r="S284" s="40" t="str">
        <f t="shared" si="25"/>
        <v>NA</v>
      </c>
      <c r="T284" s="41">
        <f t="shared" si="28"/>
        <v>17</v>
      </c>
      <c r="U284" s="42">
        <f t="shared" si="29"/>
        <v>14139</v>
      </c>
    </row>
    <row r="285" spans="1:21" x14ac:dyDescent="0.3">
      <c r="A285" s="37" t="s">
        <v>3137</v>
      </c>
      <c r="B285" s="37" t="s">
        <v>3138</v>
      </c>
      <c r="C285" s="37" t="s">
        <v>2504</v>
      </c>
      <c r="D285" s="37" t="s">
        <v>117</v>
      </c>
      <c r="E285" s="37" t="s">
        <v>118</v>
      </c>
      <c r="F285" s="37" t="s">
        <v>49</v>
      </c>
      <c r="G285" s="37" t="s">
        <v>2423</v>
      </c>
      <c r="H285" s="37">
        <v>13.14</v>
      </c>
      <c r="I285" s="37">
        <v>44</v>
      </c>
      <c r="J285" s="37">
        <v>18681</v>
      </c>
      <c r="K285" s="37" t="s">
        <v>211</v>
      </c>
      <c r="L285" s="37">
        <v>0</v>
      </c>
      <c r="M285" s="37" t="str">
        <f t="shared" si="26"/>
        <v>General</v>
      </c>
      <c r="N285" s="37" t="str">
        <f t="shared" si="24"/>
        <v>Credit Card</v>
      </c>
      <c r="O285" s="37" t="str" cm="1">
        <f t="array" ref="O285">IF(TRIM(N285)="",INDEX($N$2:$N$1500,MATCH(MAX(COUNTIF($N$2:$N$1500,$N$2:$N$1500)),COUNTIF($N$2:$N$1500,$N$2:$N$1500),0)),N285)</f>
        <v>Credit Card</v>
      </c>
      <c r="P285" s="38" cm="1">
        <f t="array" ref="P285">ROUND(IF(TRIM(H285)="",IFERROR(MEDIAN(IF($M$2:$M$1500=M285,$H$2:$H$1500)),MEDIAN($H$2:$H$1500)),H285),2)</f>
        <v>13.14</v>
      </c>
      <c r="Q285" s="38" t="str">
        <f t="shared" si="27"/>
        <v>0</v>
      </c>
      <c r="R285" s="39" cm="1">
        <f t="array" ref="R285">IF(OR(TRIM(J285)="",TRIM(J285)="-"),MEDIAN(IF($C$2:$C$1218=C285,$J$2:$J$1218)),VALUE(SUBSTITUTE(SUBSTITUTE(SUBSTITUTE(J285,"Rs. ",""),"₹",""),",","")))</f>
        <v>18681</v>
      </c>
      <c r="S285" s="40">
        <f t="shared" si="25"/>
        <v>0</v>
      </c>
      <c r="T285" s="41">
        <f t="shared" si="28"/>
        <v>0</v>
      </c>
      <c r="U285" s="42">
        <f t="shared" si="29"/>
        <v>18681</v>
      </c>
    </row>
    <row r="286" spans="1:21" x14ac:dyDescent="0.3">
      <c r="A286" s="37" t="s">
        <v>3139</v>
      </c>
      <c r="B286" s="37" t="s">
        <v>2684</v>
      </c>
      <c r="C286" s="37" t="s">
        <v>2577</v>
      </c>
      <c r="D286" s="37" t="s">
        <v>45</v>
      </c>
      <c r="E286" s="37" t="s">
        <v>46</v>
      </c>
      <c r="F286" s="37" t="s">
        <v>39</v>
      </c>
      <c r="G286" s="37" t="s">
        <v>2423</v>
      </c>
      <c r="H286" s="37">
        <v>3.6</v>
      </c>
      <c r="I286" s="37">
        <v>10</v>
      </c>
      <c r="J286" s="37">
        <v>14219</v>
      </c>
      <c r="K286" s="37" t="s">
        <v>211</v>
      </c>
      <c r="L286" s="37">
        <v>0</v>
      </c>
      <c r="M286" s="37" t="str">
        <f t="shared" si="26"/>
        <v>General</v>
      </c>
      <c r="N286" s="37" t="str">
        <f t="shared" si="24"/>
        <v>Credit Card</v>
      </c>
      <c r="O286" s="37" t="str" cm="1">
        <f t="array" ref="O286">IF(TRIM(N286)="",INDEX($N$2:$N$1500,MATCH(MAX(COUNTIF($N$2:$N$1500,$N$2:$N$1500)),COUNTIF($N$2:$N$1500,$N$2:$N$1500),0)),N286)</f>
        <v>Credit Card</v>
      </c>
      <c r="P286" s="38" cm="1">
        <f t="array" ref="P286">ROUND(IF(TRIM(H286)="",IFERROR(MEDIAN(IF($M$2:$M$1500=M286,$H$2:$H$1500)),MEDIAN($H$2:$H$1500)),H286),2)</f>
        <v>3.6</v>
      </c>
      <c r="Q286" s="38" t="str">
        <f t="shared" si="27"/>
        <v>0</v>
      </c>
      <c r="R286" s="39" cm="1">
        <f t="array" ref="R286">IF(OR(TRIM(J286)="",TRIM(J286)="-"),MEDIAN(IF($C$2:$C$1218=C286,$J$2:$J$1218)),VALUE(SUBSTITUTE(SUBSTITUTE(SUBSTITUTE(J286,"Rs. ",""),"₹",""),",","")))</f>
        <v>14219</v>
      </c>
      <c r="S286" s="40">
        <f t="shared" si="25"/>
        <v>0</v>
      </c>
      <c r="T286" s="41">
        <f t="shared" si="28"/>
        <v>0</v>
      </c>
      <c r="U286" s="42">
        <f t="shared" si="29"/>
        <v>14219</v>
      </c>
    </row>
    <row r="287" spans="1:21" x14ac:dyDescent="0.3">
      <c r="A287" s="37" t="s">
        <v>3140</v>
      </c>
      <c r="B287" s="37" t="s">
        <v>3141</v>
      </c>
      <c r="C287" s="37" t="s">
        <v>2466</v>
      </c>
      <c r="D287" s="37" t="s">
        <v>117</v>
      </c>
      <c r="E287" s="37" t="s">
        <v>118</v>
      </c>
      <c r="F287" s="37" t="s">
        <v>19</v>
      </c>
      <c r="G287" s="37" t="s">
        <v>2408</v>
      </c>
      <c r="H287" s="37">
        <v>4.01</v>
      </c>
      <c r="I287" s="37">
        <v>9</v>
      </c>
      <c r="J287" s="37" t="s">
        <v>3142</v>
      </c>
      <c r="K287" s="37" t="s">
        <v>34</v>
      </c>
      <c r="L287" s="37">
        <v>0</v>
      </c>
      <c r="M287" s="37" t="str">
        <f t="shared" si="26"/>
        <v>General</v>
      </c>
      <c r="N287" s="37" t="str">
        <f t="shared" si="24"/>
        <v>Cash</v>
      </c>
      <c r="O287" s="37" t="str" cm="1">
        <f t="array" ref="O287">IF(TRIM(N287)="",INDEX($N$2:$N$1500,MATCH(MAX(COUNTIF($N$2:$N$1500,$N$2:$N$1500)),COUNTIF($N$2:$N$1500,$N$2:$N$1500),0)),N287)</f>
        <v>Cash</v>
      </c>
      <c r="P287" s="38" cm="1">
        <f t="array" ref="P287">ROUND(IF(TRIM(H287)="",IFERROR(MEDIAN(IF($M$2:$M$1500=M287,$H$2:$H$1500)),MEDIAN($H$2:$H$1500)),H287),2)</f>
        <v>4.01</v>
      </c>
      <c r="Q287" s="38" t="str">
        <f t="shared" si="27"/>
        <v>0</v>
      </c>
      <c r="R287" s="39" cm="1">
        <f t="array" ref="R287">IF(OR(TRIM(J287)="",TRIM(J287)="-"),MEDIAN(IF($C$2:$C$1218=C287,$J$2:$J$1218)),VALUE(SUBSTITUTE(SUBSTITUTE(SUBSTITUTE(J287,"Rs. ",""),"₹",""),",","")))</f>
        <v>7183</v>
      </c>
      <c r="S287" s="40">
        <f t="shared" si="25"/>
        <v>0</v>
      </c>
      <c r="T287" s="41">
        <f t="shared" si="28"/>
        <v>0</v>
      </c>
      <c r="U287" s="42">
        <f t="shared" si="29"/>
        <v>7183</v>
      </c>
    </row>
    <row r="288" spans="1:21" x14ac:dyDescent="0.3">
      <c r="A288" s="37" t="s">
        <v>3143</v>
      </c>
      <c r="B288" s="37" t="s">
        <v>3144</v>
      </c>
      <c r="C288" s="37" t="s">
        <v>2469</v>
      </c>
      <c r="D288" s="37" t="s">
        <v>78</v>
      </c>
      <c r="E288" s="37" t="s">
        <v>161</v>
      </c>
      <c r="F288" s="37" t="s">
        <v>62</v>
      </c>
      <c r="G288" s="37"/>
      <c r="H288" s="37">
        <v>2.17</v>
      </c>
      <c r="I288" s="37">
        <v>11</v>
      </c>
      <c r="J288" s="37" t="s">
        <v>3145</v>
      </c>
      <c r="K288" s="37" t="s">
        <v>72</v>
      </c>
      <c r="L288" s="37" t="s">
        <v>140</v>
      </c>
      <c r="M288" s="37" t="str">
        <f t="shared" si="26"/>
        <v>ICU</v>
      </c>
      <c r="N288" s="37" t="str">
        <f t="shared" si="24"/>
        <v>Cash</v>
      </c>
      <c r="O288" s="37" t="str" cm="1">
        <f t="array" ref="O288">IF(TRIM(N288)="",INDEX($N$2:$N$1500,MATCH(MAX(COUNTIF($N$2:$N$1500,$N$2:$N$1500)),COUNTIF($N$2:$N$1500,$N$2:$N$1500),0)),N288)</f>
        <v>Cash</v>
      </c>
      <c r="P288" s="38" cm="1">
        <f t="array" ref="P288">ROUND(IF(TRIM(H288)="",IFERROR(MEDIAN(IF($M$2:$M$1500=M288,$H$2:$H$1500)),MEDIAN($H$2:$H$1500)),H288),2)</f>
        <v>2.17</v>
      </c>
      <c r="Q288" s="38" t="str">
        <f t="shared" si="27"/>
        <v>Unknown</v>
      </c>
      <c r="R288" s="39" cm="1">
        <f t="array" ref="R288">IF(OR(TRIM(J288)="",TRIM(J288)="-"),MEDIAN(IF($C$2:$C$1218=C288,$J$2:$J$1218)),VALUE(SUBSTITUTE(SUBSTITUTE(SUBSTITUTE(J288,"Rs. ",""),"₹",""),",","")))</f>
        <v>59542</v>
      </c>
      <c r="S288" s="40" t="str">
        <f t="shared" si="25"/>
        <v>-</v>
      </c>
      <c r="T288" s="41">
        <f t="shared" si="28"/>
        <v>2</v>
      </c>
      <c r="U288" s="42">
        <f t="shared" si="29"/>
        <v>58351</v>
      </c>
    </row>
    <row r="289" spans="1:21" x14ac:dyDescent="0.3">
      <c r="A289" s="37" t="s">
        <v>3146</v>
      </c>
      <c r="B289" s="37" t="s">
        <v>3147</v>
      </c>
      <c r="C289" s="37" t="s">
        <v>2532</v>
      </c>
      <c r="D289" s="37" t="s">
        <v>14</v>
      </c>
      <c r="E289" s="37" t="s">
        <v>60</v>
      </c>
      <c r="F289" s="37" t="s">
        <v>30</v>
      </c>
      <c r="G289" s="37" t="s">
        <v>2435</v>
      </c>
      <c r="H289" s="37">
        <v>10.09</v>
      </c>
      <c r="I289" s="37">
        <v>33</v>
      </c>
      <c r="J289" s="37">
        <v>8482</v>
      </c>
      <c r="K289" s="37" t="s">
        <v>72</v>
      </c>
      <c r="L289" s="37">
        <v>0</v>
      </c>
      <c r="M289" s="37" t="str">
        <f t="shared" si="26"/>
        <v>General</v>
      </c>
      <c r="N289" s="37" t="str">
        <f t="shared" si="24"/>
        <v>Cash</v>
      </c>
      <c r="O289" s="37" t="str" cm="1">
        <f t="array" ref="O289">IF(TRIM(N289)="",INDEX($N$2:$N$1500,MATCH(MAX(COUNTIF($N$2:$N$1500,$N$2:$N$1500)),COUNTIF($N$2:$N$1500,$N$2:$N$1500),0)),N289)</f>
        <v>Cash</v>
      </c>
      <c r="P289" s="38" cm="1">
        <f t="array" ref="P289">ROUND(IF(TRIM(H289)="",IFERROR(MEDIAN(IF($M$2:$M$1500=M289,$H$2:$H$1500)),MEDIAN($H$2:$H$1500)),H289),2)</f>
        <v>10.09</v>
      </c>
      <c r="Q289" s="38" t="str">
        <f t="shared" si="27"/>
        <v>0</v>
      </c>
      <c r="R289" s="39" cm="1">
        <f t="array" ref="R289">IF(OR(TRIM(J289)="",TRIM(J289)="-"),MEDIAN(IF($C$2:$C$1218=C289,$J$2:$J$1218)),VALUE(SUBSTITUTE(SUBSTITUTE(SUBSTITUTE(J289,"Rs. ",""),"₹",""),",","")))</f>
        <v>8482</v>
      </c>
      <c r="S289" s="40">
        <f t="shared" si="25"/>
        <v>0</v>
      </c>
      <c r="T289" s="41">
        <f t="shared" si="28"/>
        <v>0</v>
      </c>
      <c r="U289" s="42">
        <f t="shared" si="29"/>
        <v>8482</v>
      </c>
    </row>
    <row r="290" spans="1:21" x14ac:dyDescent="0.3">
      <c r="A290" s="37" t="s">
        <v>3148</v>
      </c>
      <c r="B290" s="37" t="s">
        <v>3149</v>
      </c>
      <c r="C290" s="37" t="s">
        <v>2422</v>
      </c>
      <c r="D290" s="37" t="s">
        <v>106</v>
      </c>
      <c r="E290" s="37" t="s">
        <v>107</v>
      </c>
      <c r="F290" s="37" t="s">
        <v>49</v>
      </c>
      <c r="G290" s="37" t="s">
        <v>2423</v>
      </c>
      <c r="H290" s="37">
        <v>2.25</v>
      </c>
      <c r="I290" s="37">
        <v>54</v>
      </c>
      <c r="J290" s="37" t="s">
        <v>3150</v>
      </c>
      <c r="K290" s="37" t="s">
        <v>34</v>
      </c>
      <c r="L290" s="37" t="s">
        <v>130</v>
      </c>
      <c r="M290" s="37" t="str">
        <f t="shared" si="26"/>
        <v>General</v>
      </c>
      <c r="N290" s="37" t="str">
        <f t="shared" si="24"/>
        <v>Cash</v>
      </c>
      <c r="O290" s="37" t="str" cm="1">
        <f t="array" ref="O290">IF(TRIM(N290)="",INDEX($N$2:$N$1500,MATCH(MAX(COUNTIF($N$2:$N$1500,$N$2:$N$1500)),COUNTIF($N$2:$N$1500,$N$2:$N$1500),0)),N290)</f>
        <v>Cash</v>
      </c>
      <c r="P290" s="38" cm="1">
        <f t="array" ref="P290">ROUND(IF(TRIM(H290)="",IFERROR(MEDIAN(IF($M$2:$M$1500=M290,$H$2:$H$1500)),MEDIAN($H$2:$H$1500)),H290),2)</f>
        <v>2.25</v>
      </c>
      <c r="Q290" s="38" t="str">
        <f t="shared" si="27"/>
        <v>0</v>
      </c>
      <c r="R290" s="39" cm="1">
        <f t="array" ref="R290">IF(OR(TRIM(J290)="",TRIM(J290)="-"),MEDIAN(IF($C$2:$C$1218=C290,$J$2:$J$1218)),VALUE(SUBSTITUTE(SUBSTITUTE(SUBSTITUTE(J290,"Rs. ",""),"₹",""),",","")))</f>
        <v>8480</v>
      </c>
      <c r="S290" s="40">
        <f t="shared" si="25"/>
        <v>0</v>
      </c>
      <c r="T290" s="41">
        <f t="shared" si="28"/>
        <v>0</v>
      </c>
      <c r="U290" s="42">
        <f t="shared" si="29"/>
        <v>8480</v>
      </c>
    </row>
    <row r="291" spans="1:21" x14ac:dyDescent="0.3">
      <c r="A291" s="37" t="s">
        <v>3151</v>
      </c>
      <c r="B291" s="37" t="s">
        <v>3152</v>
      </c>
      <c r="C291" s="37" t="s">
        <v>2485</v>
      </c>
      <c r="D291" s="37" t="s">
        <v>14</v>
      </c>
      <c r="E291" s="37" t="s">
        <v>60</v>
      </c>
      <c r="F291" s="37" t="s">
        <v>49</v>
      </c>
      <c r="G291" s="37" t="s">
        <v>2435</v>
      </c>
      <c r="H291" s="37">
        <v>24.41</v>
      </c>
      <c r="I291" s="37">
        <v>11</v>
      </c>
      <c r="J291" s="37" t="s">
        <v>3153</v>
      </c>
      <c r="K291" s="37" t="s">
        <v>97</v>
      </c>
      <c r="L291" s="37">
        <v>10</v>
      </c>
      <c r="M291" s="37" t="str">
        <f t="shared" si="26"/>
        <v>General</v>
      </c>
      <c r="N291" s="37" t="str">
        <f t="shared" si="24"/>
        <v>UPI</v>
      </c>
      <c r="O291" s="37" t="str" cm="1">
        <f t="array" ref="O291">IF(TRIM(N291)="",INDEX($N$2:$N$1500,MATCH(MAX(COUNTIF($N$2:$N$1500,$N$2:$N$1500)),COUNTIF($N$2:$N$1500,$N$2:$N$1500),0)),N291)</f>
        <v>UPI</v>
      </c>
      <c r="P291" s="38" cm="1">
        <f t="array" ref="P291">ROUND(IF(TRIM(H291)="",IFERROR(MEDIAN(IF($M$2:$M$1500=M291,$H$2:$H$1500)),MEDIAN($H$2:$H$1500)),H291),2)</f>
        <v>24.41</v>
      </c>
      <c r="Q291" s="38" t="str">
        <f t="shared" si="27"/>
        <v>0</v>
      </c>
      <c r="R291" s="39" cm="1">
        <f t="array" ref="R291">IF(OR(TRIM(J291)="",TRIM(J291)="-"),MEDIAN(IF($C$2:$C$1218=C291,$J$2:$J$1218)),VALUE(SUBSTITUTE(SUBSTITUTE(SUBSTITUTE(J291,"Rs. ",""),"₹",""),",","")))</f>
        <v>16529</v>
      </c>
      <c r="S291" s="40">
        <f t="shared" si="25"/>
        <v>10</v>
      </c>
      <c r="T291" s="41">
        <f t="shared" si="28"/>
        <v>10</v>
      </c>
      <c r="U291" s="42">
        <f t="shared" si="29"/>
        <v>14876</v>
      </c>
    </row>
    <row r="292" spans="1:21" x14ac:dyDescent="0.3">
      <c r="A292" s="37" t="s">
        <v>3154</v>
      </c>
      <c r="B292" s="37" t="s">
        <v>3155</v>
      </c>
      <c r="C292" s="37" t="s">
        <v>2518</v>
      </c>
      <c r="D292" s="37" t="s">
        <v>45</v>
      </c>
      <c r="E292" s="37" t="s">
        <v>334</v>
      </c>
      <c r="F292" s="37" t="s">
        <v>30</v>
      </c>
      <c r="G292" s="37" t="s">
        <v>2486</v>
      </c>
      <c r="H292" s="37">
        <v>17.11</v>
      </c>
      <c r="I292" s="37">
        <v>50</v>
      </c>
      <c r="J292" s="37" t="s">
        <v>3156</v>
      </c>
      <c r="K292" s="37" t="s">
        <v>211</v>
      </c>
      <c r="L292" s="37" t="s">
        <v>130</v>
      </c>
      <c r="M292" s="37" t="str">
        <f t="shared" si="26"/>
        <v>General</v>
      </c>
      <c r="N292" s="37" t="str">
        <f t="shared" si="24"/>
        <v>Credit Card</v>
      </c>
      <c r="O292" s="37" t="str" cm="1">
        <f t="array" ref="O292">IF(TRIM(N292)="",INDEX($N$2:$N$1500,MATCH(MAX(COUNTIF($N$2:$N$1500,$N$2:$N$1500)),COUNTIF($N$2:$N$1500,$N$2:$N$1500),0)),N292)</f>
        <v>Credit Card</v>
      </c>
      <c r="P292" s="38" cm="1">
        <f t="array" ref="P292">ROUND(IF(TRIM(H292)="",IFERROR(MEDIAN(IF($M$2:$M$1500=M292,$H$2:$H$1500)),MEDIAN($H$2:$H$1500)),H292),2)</f>
        <v>17.11</v>
      </c>
      <c r="Q292" s="38" t="str">
        <f t="shared" si="27"/>
        <v>2+</v>
      </c>
      <c r="R292" s="39" cm="1">
        <f t="array" ref="R292">IF(OR(TRIM(J292)="",TRIM(J292)="-"),MEDIAN(IF($C$2:$C$1218=C292,$J$2:$J$1218)),VALUE(SUBSTITUTE(SUBSTITUTE(SUBSTITUTE(J292,"Rs. ",""),"₹",""),",","")))</f>
        <v>13405</v>
      </c>
      <c r="S292" s="40">
        <f t="shared" si="25"/>
        <v>0</v>
      </c>
      <c r="T292" s="41">
        <f t="shared" si="28"/>
        <v>0</v>
      </c>
      <c r="U292" s="42">
        <f t="shared" si="29"/>
        <v>13405</v>
      </c>
    </row>
    <row r="293" spans="1:21" x14ac:dyDescent="0.3">
      <c r="A293" s="37" t="s">
        <v>3157</v>
      </c>
      <c r="B293" s="37" t="s">
        <v>3158</v>
      </c>
      <c r="C293" s="37" t="s">
        <v>2415</v>
      </c>
      <c r="D293" s="37" t="s">
        <v>14</v>
      </c>
      <c r="E293" s="37" t="s">
        <v>60</v>
      </c>
      <c r="F293" s="37" t="s">
        <v>19</v>
      </c>
      <c r="G293" s="37" t="s">
        <v>2486</v>
      </c>
      <c r="H293" s="37">
        <v>0.75</v>
      </c>
      <c r="I293" s="37" t="s">
        <v>140</v>
      </c>
      <c r="J293" s="37">
        <v>16044</v>
      </c>
      <c r="K293" s="37" t="s">
        <v>211</v>
      </c>
      <c r="L293" s="37" t="s">
        <v>130</v>
      </c>
      <c r="M293" s="37" t="str">
        <f t="shared" si="26"/>
        <v>General</v>
      </c>
      <c r="N293" s="37" t="str">
        <f t="shared" si="24"/>
        <v>Credit Card</v>
      </c>
      <c r="O293" s="37" t="str" cm="1">
        <f t="array" ref="O293">IF(TRIM(N293)="",INDEX($N$2:$N$1500,MATCH(MAX(COUNTIF($N$2:$N$1500,$N$2:$N$1500)),COUNTIF($N$2:$N$1500,$N$2:$N$1500),0)),N293)</f>
        <v>Credit Card</v>
      </c>
      <c r="P293" s="38" cm="1">
        <f t="array" ref="P293">ROUND(IF(TRIM(H293)="",IFERROR(MEDIAN(IF($M$2:$M$1500=M293,$H$2:$H$1500)),MEDIAN($H$2:$H$1500)),H293),2)</f>
        <v>0.75</v>
      </c>
      <c r="Q293" s="38" t="str">
        <f t="shared" si="27"/>
        <v>2+</v>
      </c>
      <c r="R293" s="39" cm="1">
        <f t="array" ref="R293">IF(OR(TRIM(J293)="",TRIM(J293)="-"),MEDIAN(IF($C$2:$C$1218=C293,$J$2:$J$1218)),VALUE(SUBSTITUTE(SUBSTITUTE(SUBSTITUTE(J293,"Rs. ",""),"₹",""),",","")))</f>
        <v>16044</v>
      </c>
      <c r="S293" s="40">
        <f t="shared" si="25"/>
        <v>0</v>
      </c>
      <c r="T293" s="41">
        <f t="shared" si="28"/>
        <v>0</v>
      </c>
      <c r="U293" s="42">
        <f t="shared" si="29"/>
        <v>16044</v>
      </c>
    </row>
    <row r="294" spans="1:21" x14ac:dyDescent="0.3">
      <c r="A294" s="37" t="s">
        <v>3159</v>
      </c>
      <c r="B294" s="37" t="s">
        <v>3160</v>
      </c>
      <c r="C294" s="37" t="s">
        <v>2454</v>
      </c>
      <c r="D294" s="37" t="s">
        <v>117</v>
      </c>
      <c r="E294" s="37" t="s">
        <v>118</v>
      </c>
      <c r="F294" s="37" t="s">
        <v>39</v>
      </c>
      <c r="G294" s="37" t="s">
        <v>2412</v>
      </c>
      <c r="H294" s="37">
        <v>11.8</v>
      </c>
      <c r="I294" s="37"/>
      <c r="J294" s="37">
        <v>3071</v>
      </c>
      <c r="K294" s="37" t="s">
        <v>42</v>
      </c>
      <c r="L294" s="37">
        <v>12</v>
      </c>
      <c r="M294" s="37" t="str">
        <f t="shared" si="26"/>
        <v>General</v>
      </c>
      <c r="N294" s="37" t="str">
        <f t="shared" si="24"/>
        <v>Insurance</v>
      </c>
      <c r="O294" s="37" t="str" cm="1">
        <f t="array" ref="O294">IF(TRIM(N294)="",INDEX($N$2:$N$1500,MATCH(MAX(COUNTIF($N$2:$N$1500,$N$2:$N$1500)),COUNTIF($N$2:$N$1500,$N$2:$N$1500),0)),N294)</f>
        <v>Insurance</v>
      </c>
      <c r="P294" s="38" cm="1">
        <f t="array" ref="P294">ROUND(IF(TRIM(H294)="",IFERROR(MEDIAN(IF($M$2:$M$1500=M294,$H$2:$H$1500)),MEDIAN($H$2:$H$1500)),H294),2)</f>
        <v>11.8</v>
      </c>
      <c r="Q294" s="38" t="str">
        <f t="shared" si="27"/>
        <v>1</v>
      </c>
      <c r="R294" s="39" cm="1">
        <f t="array" ref="R294">IF(OR(TRIM(J294)="",TRIM(J294)="-"),MEDIAN(IF($C$2:$C$1218=C294,$J$2:$J$1218)),VALUE(SUBSTITUTE(SUBSTITUTE(SUBSTITUTE(J294,"Rs. ",""),"₹",""),",","")))</f>
        <v>3071</v>
      </c>
      <c r="S294" s="40">
        <f t="shared" si="25"/>
        <v>12</v>
      </c>
      <c r="T294" s="41">
        <f t="shared" si="28"/>
        <v>12</v>
      </c>
      <c r="U294" s="42">
        <f t="shared" si="29"/>
        <v>2702</v>
      </c>
    </row>
    <row r="295" spans="1:21" x14ac:dyDescent="0.3">
      <c r="A295" s="37" t="s">
        <v>3161</v>
      </c>
      <c r="B295" s="37" t="s">
        <v>3162</v>
      </c>
      <c r="C295" s="37" t="s">
        <v>2561</v>
      </c>
      <c r="D295" s="37" t="s">
        <v>117</v>
      </c>
      <c r="E295" s="37" t="s">
        <v>118</v>
      </c>
      <c r="F295" s="37" t="s">
        <v>19</v>
      </c>
      <c r="G295" s="37" t="s">
        <v>2450</v>
      </c>
      <c r="H295" s="37">
        <v>11.34</v>
      </c>
      <c r="I295" s="37">
        <v>17</v>
      </c>
      <c r="J295" s="37">
        <v>11308</v>
      </c>
      <c r="K295" s="37" t="s">
        <v>97</v>
      </c>
      <c r="L295" s="37" t="s">
        <v>130</v>
      </c>
      <c r="M295" s="37" t="str">
        <f t="shared" si="26"/>
        <v>General</v>
      </c>
      <c r="N295" s="37" t="str">
        <f t="shared" si="24"/>
        <v>UPI</v>
      </c>
      <c r="O295" s="37" t="str" cm="1">
        <f t="array" ref="O295">IF(TRIM(N295)="",INDEX($N$2:$N$1500,MATCH(MAX(COUNTIF($N$2:$N$1500,$N$2:$N$1500)),COUNTIF($N$2:$N$1500,$N$2:$N$1500),0)),N295)</f>
        <v>UPI</v>
      </c>
      <c r="P295" s="38" cm="1">
        <f t="array" ref="P295">ROUND(IF(TRIM(H295)="",IFERROR(MEDIAN(IF($M$2:$M$1500=M295,$H$2:$H$1500)),MEDIAN($H$2:$H$1500)),H295),2)</f>
        <v>11.34</v>
      </c>
      <c r="Q295" s="38" t="str">
        <f t="shared" si="27"/>
        <v>1</v>
      </c>
      <c r="R295" s="39" cm="1">
        <f t="array" ref="R295">IF(OR(TRIM(J295)="",TRIM(J295)="-"),MEDIAN(IF($C$2:$C$1218=C295,$J$2:$J$1218)),VALUE(SUBSTITUTE(SUBSTITUTE(SUBSTITUTE(J295,"Rs. ",""),"₹",""),",","")))</f>
        <v>11308</v>
      </c>
      <c r="S295" s="40">
        <f t="shared" si="25"/>
        <v>0</v>
      </c>
      <c r="T295" s="41">
        <f t="shared" si="28"/>
        <v>0</v>
      </c>
      <c r="U295" s="42">
        <f t="shared" si="29"/>
        <v>11308</v>
      </c>
    </row>
    <row r="296" spans="1:21" x14ac:dyDescent="0.3">
      <c r="A296" s="37" t="s">
        <v>3163</v>
      </c>
      <c r="B296" s="37" t="s">
        <v>3164</v>
      </c>
      <c r="C296" s="37" t="s">
        <v>2577</v>
      </c>
      <c r="D296" s="37" t="s">
        <v>25</v>
      </c>
      <c r="E296" s="37" t="s">
        <v>26</v>
      </c>
      <c r="F296" s="37" t="s">
        <v>39</v>
      </c>
      <c r="G296" s="37" t="s">
        <v>2408</v>
      </c>
      <c r="H296" s="37">
        <v>18.89</v>
      </c>
      <c r="I296" s="37">
        <v>58</v>
      </c>
      <c r="J296" s="37" t="s">
        <v>3165</v>
      </c>
      <c r="K296" s="37" t="s">
        <v>104</v>
      </c>
      <c r="L296" s="37">
        <v>25</v>
      </c>
      <c r="M296" s="37" t="str">
        <f t="shared" si="26"/>
        <v>General</v>
      </c>
      <c r="N296" s="37" t="str">
        <f t="shared" si="24"/>
        <v>Insurance</v>
      </c>
      <c r="O296" s="37" t="str" cm="1">
        <f t="array" ref="O296">IF(TRIM(N296)="",INDEX($N$2:$N$1500,MATCH(MAX(COUNTIF($N$2:$N$1500,$N$2:$N$1500)),COUNTIF($N$2:$N$1500,$N$2:$N$1500),0)),N296)</f>
        <v>Insurance</v>
      </c>
      <c r="P296" s="38" cm="1">
        <f t="array" ref="P296">ROUND(IF(TRIM(H296)="",IFERROR(MEDIAN(IF($M$2:$M$1500=M296,$H$2:$H$1500)),MEDIAN($H$2:$H$1500)),H296),2)</f>
        <v>18.89</v>
      </c>
      <c r="Q296" s="38" t="str">
        <f t="shared" si="27"/>
        <v>0</v>
      </c>
      <c r="R296" s="39" cm="1">
        <f t="array" ref="R296">IF(OR(TRIM(J296)="",TRIM(J296)="-"),MEDIAN(IF($C$2:$C$1218=C296,$J$2:$J$1218)),VALUE(SUBSTITUTE(SUBSTITUTE(SUBSTITUTE(J296,"Rs. ",""),"₹",""),",","")))</f>
        <v>13801</v>
      </c>
      <c r="S296" s="40">
        <f t="shared" si="25"/>
        <v>25</v>
      </c>
      <c r="T296" s="41">
        <f t="shared" si="28"/>
        <v>25</v>
      </c>
      <c r="U296" s="42">
        <f t="shared" si="29"/>
        <v>10351</v>
      </c>
    </row>
    <row r="297" spans="1:21" x14ac:dyDescent="0.3">
      <c r="A297" s="37" t="s">
        <v>3166</v>
      </c>
      <c r="B297" s="37" t="s">
        <v>3167</v>
      </c>
      <c r="C297" s="37" t="s">
        <v>2481</v>
      </c>
      <c r="D297" s="37" t="s">
        <v>78</v>
      </c>
      <c r="E297" s="37" t="s">
        <v>203</v>
      </c>
      <c r="F297" s="37" t="s">
        <v>49</v>
      </c>
      <c r="G297" s="37" t="s">
        <v>2450</v>
      </c>
      <c r="H297" s="37">
        <v>24.01</v>
      </c>
      <c r="I297" s="37">
        <v>22</v>
      </c>
      <c r="J297" s="37" t="s">
        <v>3168</v>
      </c>
      <c r="K297" s="37" t="s">
        <v>34</v>
      </c>
      <c r="L297" s="37">
        <v>0</v>
      </c>
      <c r="M297" s="37" t="str">
        <f t="shared" si="26"/>
        <v>General</v>
      </c>
      <c r="N297" s="37" t="str">
        <f t="shared" si="24"/>
        <v>Cash</v>
      </c>
      <c r="O297" s="37" t="str" cm="1">
        <f t="array" ref="O297">IF(TRIM(N297)="",INDEX($N$2:$N$1500,MATCH(MAX(COUNTIF($N$2:$N$1500,$N$2:$N$1500)),COUNTIF($N$2:$N$1500,$N$2:$N$1500),0)),N297)</f>
        <v>Cash</v>
      </c>
      <c r="P297" s="38" cm="1">
        <f t="array" ref="P297">ROUND(IF(TRIM(H297)="",IFERROR(MEDIAN(IF($M$2:$M$1500=M297,$H$2:$H$1500)),MEDIAN($H$2:$H$1500)),H297),2)</f>
        <v>24.01</v>
      </c>
      <c r="Q297" s="38" t="str">
        <f t="shared" si="27"/>
        <v>1</v>
      </c>
      <c r="R297" s="39" cm="1">
        <f t="array" ref="R297">IF(OR(TRIM(J297)="",TRIM(J297)="-"),MEDIAN(IF($C$2:$C$1218=C297,$J$2:$J$1218)),VALUE(SUBSTITUTE(SUBSTITUTE(SUBSTITUTE(J297,"Rs. ",""),"₹",""),",","")))</f>
        <v>8610</v>
      </c>
      <c r="S297" s="40">
        <f t="shared" si="25"/>
        <v>0</v>
      </c>
      <c r="T297" s="41">
        <f t="shared" si="28"/>
        <v>0</v>
      </c>
      <c r="U297" s="42">
        <f t="shared" si="29"/>
        <v>8610</v>
      </c>
    </row>
    <row r="298" spans="1:21" x14ac:dyDescent="0.3">
      <c r="A298" s="37" t="s">
        <v>3169</v>
      </c>
      <c r="B298" s="37" t="s">
        <v>3170</v>
      </c>
      <c r="C298" s="37" t="s">
        <v>2438</v>
      </c>
      <c r="D298" s="37" t="s">
        <v>14</v>
      </c>
      <c r="E298" s="37" t="s">
        <v>60</v>
      </c>
      <c r="F298" s="37" t="s">
        <v>39</v>
      </c>
      <c r="G298" s="37" t="s">
        <v>2423</v>
      </c>
      <c r="H298" s="37">
        <v>0.91</v>
      </c>
      <c r="I298" s="37">
        <v>54</v>
      </c>
      <c r="J298" s="37">
        <v>3263</v>
      </c>
      <c r="K298" s="37" t="s">
        <v>236</v>
      </c>
      <c r="L298" s="37">
        <v>5</v>
      </c>
      <c r="M298" s="37" t="str">
        <f t="shared" si="26"/>
        <v>General</v>
      </c>
      <c r="N298" s="37" t="str">
        <f t="shared" si="24"/>
        <v>Debit Card</v>
      </c>
      <c r="O298" s="37" t="str" cm="1">
        <f t="array" ref="O298">IF(TRIM(N298)="",INDEX($N$2:$N$1500,MATCH(MAX(COUNTIF($N$2:$N$1500,$N$2:$N$1500)),COUNTIF($N$2:$N$1500,$N$2:$N$1500),0)),N298)</f>
        <v>Debit Card</v>
      </c>
      <c r="P298" s="38" cm="1">
        <f t="array" ref="P298">ROUND(IF(TRIM(H298)="",IFERROR(MEDIAN(IF($M$2:$M$1500=M298,$H$2:$H$1500)),MEDIAN($H$2:$H$1500)),H298),2)</f>
        <v>0.91</v>
      </c>
      <c r="Q298" s="38" t="str">
        <f t="shared" si="27"/>
        <v>0</v>
      </c>
      <c r="R298" s="39" cm="1">
        <f t="array" ref="R298">IF(OR(TRIM(J298)="",TRIM(J298)="-"),MEDIAN(IF($C$2:$C$1218=C298,$J$2:$J$1218)),VALUE(SUBSTITUTE(SUBSTITUTE(SUBSTITUTE(J298,"Rs. ",""),"₹",""),",","")))</f>
        <v>3263</v>
      </c>
      <c r="S298" s="40">
        <f t="shared" si="25"/>
        <v>5</v>
      </c>
      <c r="T298" s="41">
        <f t="shared" si="28"/>
        <v>5</v>
      </c>
      <c r="U298" s="42">
        <f t="shared" si="29"/>
        <v>3100</v>
      </c>
    </row>
    <row r="299" spans="1:21" x14ac:dyDescent="0.3">
      <c r="A299" s="37" t="s">
        <v>3171</v>
      </c>
      <c r="B299" s="37" t="s">
        <v>3172</v>
      </c>
      <c r="C299" s="37" t="s">
        <v>2532</v>
      </c>
      <c r="D299" s="37" t="s">
        <v>14</v>
      </c>
      <c r="E299" s="37" t="s">
        <v>15</v>
      </c>
      <c r="F299" s="37" t="s">
        <v>30</v>
      </c>
      <c r="G299" s="37"/>
      <c r="H299" s="37">
        <v>21.39</v>
      </c>
      <c r="I299" s="37">
        <v>11</v>
      </c>
      <c r="J299" s="37">
        <v>14869</v>
      </c>
      <c r="K299" s="37" t="s">
        <v>72</v>
      </c>
      <c r="L299" s="37" t="s">
        <v>130</v>
      </c>
      <c r="M299" s="37" t="str">
        <f t="shared" si="26"/>
        <v>General</v>
      </c>
      <c r="N299" s="37" t="str">
        <f t="shared" si="24"/>
        <v>Cash</v>
      </c>
      <c r="O299" s="37" t="str" cm="1">
        <f t="array" ref="O299">IF(TRIM(N299)="",INDEX($N$2:$N$1500,MATCH(MAX(COUNTIF($N$2:$N$1500,$N$2:$N$1500)),COUNTIF($N$2:$N$1500,$N$2:$N$1500),0)),N299)</f>
        <v>Cash</v>
      </c>
      <c r="P299" s="38" cm="1">
        <f t="array" ref="P299">ROUND(IF(TRIM(H299)="",IFERROR(MEDIAN(IF($M$2:$M$1500=M299,$H$2:$H$1500)),MEDIAN($H$2:$H$1500)),H299),2)</f>
        <v>21.39</v>
      </c>
      <c r="Q299" s="38" t="str">
        <f t="shared" si="27"/>
        <v>Unknown</v>
      </c>
      <c r="R299" s="39" cm="1">
        <f t="array" ref="R299">IF(OR(TRIM(J299)="",TRIM(J299)="-"),MEDIAN(IF($C$2:$C$1218=C299,$J$2:$J$1218)),VALUE(SUBSTITUTE(SUBSTITUTE(SUBSTITUTE(J299,"Rs. ",""),"₹",""),",","")))</f>
        <v>14869</v>
      </c>
      <c r="S299" s="40">
        <f t="shared" si="25"/>
        <v>0</v>
      </c>
      <c r="T299" s="41">
        <f t="shared" si="28"/>
        <v>0</v>
      </c>
      <c r="U299" s="42">
        <f t="shared" si="29"/>
        <v>14869</v>
      </c>
    </row>
    <row r="300" spans="1:21" x14ac:dyDescent="0.3">
      <c r="A300" s="37" t="s">
        <v>3173</v>
      </c>
      <c r="B300" s="37" t="s">
        <v>3174</v>
      </c>
      <c r="C300" s="37" t="s">
        <v>2577</v>
      </c>
      <c r="D300" s="37" t="s">
        <v>78</v>
      </c>
      <c r="E300" s="37" t="s">
        <v>203</v>
      </c>
      <c r="F300" s="37" t="s">
        <v>30</v>
      </c>
      <c r="G300" s="37" t="s">
        <v>2477</v>
      </c>
      <c r="H300" s="37">
        <v>13.53</v>
      </c>
      <c r="I300" s="37">
        <v>8</v>
      </c>
      <c r="J300" s="37" t="s">
        <v>3175</v>
      </c>
      <c r="K300" s="37" t="s">
        <v>72</v>
      </c>
      <c r="L300" s="37">
        <v>5</v>
      </c>
      <c r="M300" s="37" t="str">
        <f t="shared" si="26"/>
        <v>General</v>
      </c>
      <c r="N300" s="37" t="str">
        <f t="shared" si="24"/>
        <v>Cash</v>
      </c>
      <c r="O300" s="37" t="str" cm="1">
        <f t="array" ref="O300">IF(TRIM(N300)="",INDEX($N$2:$N$1500,MATCH(MAX(COUNTIF($N$2:$N$1500,$N$2:$N$1500)),COUNTIF($N$2:$N$1500,$N$2:$N$1500),0)),N300)</f>
        <v>Cash</v>
      </c>
      <c r="P300" s="38" cm="1">
        <f t="array" ref="P300">ROUND(IF(TRIM(H300)="",IFERROR(MEDIAN(IF($M$2:$M$1500=M300,$H$2:$H$1500)),MEDIAN($H$2:$H$1500)),H300),2)</f>
        <v>13.53</v>
      </c>
      <c r="Q300" s="38" t="str">
        <f t="shared" si="27"/>
        <v>0</v>
      </c>
      <c r="R300" s="39" cm="1">
        <f t="array" ref="R300">IF(OR(TRIM(J300)="",TRIM(J300)="-"),MEDIAN(IF($C$2:$C$1218=C300,$J$2:$J$1218)),VALUE(SUBSTITUTE(SUBSTITUTE(SUBSTITUTE(J300,"Rs. ",""),"₹",""),",","")))</f>
        <v>9227</v>
      </c>
      <c r="S300" s="40">
        <f t="shared" si="25"/>
        <v>5</v>
      </c>
      <c r="T300" s="41">
        <f t="shared" si="28"/>
        <v>5</v>
      </c>
      <c r="U300" s="42">
        <f t="shared" si="29"/>
        <v>8766</v>
      </c>
    </row>
    <row r="301" spans="1:21" x14ac:dyDescent="0.3">
      <c r="A301" s="37" t="s">
        <v>3176</v>
      </c>
      <c r="B301" s="37" t="s">
        <v>3177</v>
      </c>
      <c r="C301" s="37" t="s">
        <v>2415</v>
      </c>
      <c r="D301" s="37" t="s">
        <v>106</v>
      </c>
      <c r="E301" s="37" t="s">
        <v>307</v>
      </c>
      <c r="F301" s="37" t="s">
        <v>69</v>
      </c>
      <c r="G301" s="37" t="s">
        <v>2455</v>
      </c>
      <c r="H301" s="37">
        <v>22.89</v>
      </c>
      <c r="I301" s="37">
        <v>49</v>
      </c>
      <c r="J301" s="37" t="s">
        <v>3178</v>
      </c>
      <c r="K301" s="37" t="s">
        <v>211</v>
      </c>
      <c r="L301" s="37">
        <v>5</v>
      </c>
      <c r="M301" s="37" t="str">
        <f t="shared" si="26"/>
        <v>ICU</v>
      </c>
      <c r="N301" s="37" t="str">
        <f t="shared" si="24"/>
        <v>Credit Card</v>
      </c>
      <c r="O301" s="37" t="str" cm="1">
        <f t="array" ref="O301">IF(TRIM(N301)="",INDEX($N$2:$N$1500,MATCH(MAX(COUNTIF($N$2:$N$1500,$N$2:$N$1500)),COUNTIF($N$2:$N$1500,$N$2:$N$1500),0)),N301)</f>
        <v>Credit Card</v>
      </c>
      <c r="P301" s="38" cm="1">
        <f t="array" ref="P301">ROUND(IF(TRIM(H301)="",IFERROR(MEDIAN(IF($M$2:$M$1500=M301,$H$2:$H$1500)),MEDIAN($H$2:$H$1500)),H301),2)</f>
        <v>22.89</v>
      </c>
      <c r="Q301" s="38" t="str">
        <f t="shared" si="27"/>
        <v>1</v>
      </c>
      <c r="R301" s="39" cm="1">
        <f t="array" ref="R301">IF(OR(TRIM(J301)="",TRIM(J301)="-"),MEDIAN(IF($C$2:$C$1218=C301,$J$2:$J$1218)),VALUE(SUBSTITUTE(SUBSTITUTE(SUBSTITUTE(J301,"Rs. ",""),"₹",""),",","")))</f>
        <v>49932</v>
      </c>
      <c r="S301" s="40">
        <f t="shared" si="25"/>
        <v>5</v>
      </c>
      <c r="T301" s="41">
        <f t="shared" si="28"/>
        <v>5</v>
      </c>
      <c r="U301" s="42">
        <f t="shared" si="29"/>
        <v>47435</v>
      </c>
    </row>
    <row r="302" spans="1:21" x14ac:dyDescent="0.3">
      <c r="A302" s="37" t="s">
        <v>3179</v>
      </c>
      <c r="B302" s="37" t="s">
        <v>3180</v>
      </c>
      <c r="C302" s="37" t="s">
        <v>2407</v>
      </c>
      <c r="D302" s="37" t="s">
        <v>14</v>
      </c>
      <c r="E302" s="37" t="s">
        <v>60</v>
      </c>
      <c r="F302" s="37" t="s">
        <v>101</v>
      </c>
      <c r="G302" s="37" t="s">
        <v>2477</v>
      </c>
      <c r="H302" s="37">
        <v>18.21</v>
      </c>
      <c r="I302" s="37">
        <v>36</v>
      </c>
      <c r="J302" s="37">
        <v>79417</v>
      </c>
      <c r="K302" s="37" t="s">
        <v>87</v>
      </c>
      <c r="L302" s="37">
        <v>0</v>
      </c>
      <c r="M302" s="37" t="str">
        <f t="shared" si="26"/>
        <v>ICU</v>
      </c>
      <c r="N302" s="37" t="str">
        <f t="shared" si="24"/>
        <v>Credit Card</v>
      </c>
      <c r="O302" s="37" t="str" cm="1">
        <f t="array" ref="O302">IF(TRIM(N302)="",INDEX($N$2:$N$1500,MATCH(MAX(COUNTIF($N$2:$N$1500,$N$2:$N$1500)),COUNTIF($N$2:$N$1500,$N$2:$N$1500),0)),N302)</f>
        <v>Credit Card</v>
      </c>
      <c r="P302" s="38" cm="1">
        <f t="array" ref="P302">ROUND(IF(TRIM(H302)="",IFERROR(MEDIAN(IF($M$2:$M$1500=M302,$H$2:$H$1500)),MEDIAN($H$2:$H$1500)),H302),2)</f>
        <v>18.21</v>
      </c>
      <c r="Q302" s="38" t="str">
        <f t="shared" si="27"/>
        <v>0</v>
      </c>
      <c r="R302" s="39" cm="1">
        <f t="array" ref="R302">IF(OR(TRIM(J302)="",TRIM(J302)="-"),MEDIAN(IF($C$2:$C$1218=C302,$J$2:$J$1218)),VALUE(SUBSTITUTE(SUBSTITUTE(SUBSTITUTE(J302,"Rs. ",""),"₹",""),",","")))</f>
        <v>79417</v>
      </c>
      <c r="S302" s="40">
        <f t="shared" si="25"/>
        <v>0</v>
      </c>
      <c r="T302" s="41">
        <f t="shared" si="28"/>
        <v>0</v>
      </c>
      <c r="U302" s="42">
        <f t="shared" si="29"/>
        <v>79417</v>
      </c>
    </row>
    <row r="303" spans="1:21" x14ac:dyDescent="0.3">
      <c r="A303" s="37" t="s">
        <v>3181</v>
      </c>
      <c r="B303" s="37" t="s">
        <v>3182</v>
      </c>
      <c r="C303" s="37" t="s">
        <v>2521</v>
      </c>
      <c r="D303" s="37" t="s">
        <v>14</v>
      </c>
      <c r="E303" s="37" t="s">
        <v>60</v>
      </c>
      <c r="F303" s="37" t="s">
        <v>30</v>
      </c>
      <c r="G303" s="37" t="s">
        <v>2418</v>
      </c>
      <c r="H303" s="37">
        <v>21.48</v>
      </c>
      <c r="I303" s="37">
        <v>23</v>
      </c>
      <c r="J303" s="37">
        <v>4868</v>
      </c>
      <c r="K303" s="37" t="s">
        <v>104</v>
      </c>
      <c r="L303" s="37"/>
      <c r="M303" s="37" t="str">
        <f t="shared" si="26"/>
        <v>General</v>
      </c>
      <c r="N303" s="37" t="str">
        <f t="shared" si="24"/>
        <v>Insurance</v>
      </c>
      <c r="O303" s="37" t="str" cm="1">
        <f t="array" ref="O303">IF(TRIM(N303)="",INDEX($N$2:$N$1500,MATCH(MAX(COUNTIF($N$2:$N$1500,$N$2:$N$1500)),COUNTIF($N$2:$N$1500,$N$2:$N$1500),0)),N303)</f>
        <v>Insurance</v>
      </c>
      <c r="P303" s="38" cm="1">
        <f t="array" ref="P303">ROUND(IF(TRIM(H303)="",IFERROR(MEDIAN(IF($M$2:$M$1500=M303,$H$2:$H$1500)),MEDIAN($H$2:$H$1500)),H303),2)</f>
        <v>21.48</v>
      </c>
      <c r="Q303" s="38" t="str">
        <f t="shared" si="27"/>
        <v>1</v>
      </c>
      <c r="R303" s="39" cm="1">
        <f t="array" ref="R303">IF(OR(TRIM(J303)="",TRIM(J303)="-"),MEDIAN(IF($C$2:$C$1218=C303,$J$2:$J$1218)),VALUE(SUBSTITUTE(SUBSTITUTE(SUBSTITUTE(J303,"Rs. ",""),"₹",""),",","")))</f>
        <v>4868</v>
      </c>
      <c r="S303" s="40">
        <f t="shared" si="25"/>
        <v>0</v>
      </c>
      <c r="T303" s="41">
        <f t="shared" si="28"/>
        <v>0</v>
      </c>
      <c r="U303" s="42">
        <f t="shared" si="29"/>
        <v>4868</v>
      </c>
    </row>
    <row r="304" spans="1:21" x14ac:dyDescent="0.3">
      <c r="A304" s="37" t="s">
        <v>3183</v>
      </c>
      <c r="B304" s="37" t="s">
        <v>2807</v>
      </c>
      <c r="C304" s="37" t="s">
        <v>2415</v>
      </c>
      <c r="D304" s="37" t="s">
        <v>14</v>
      </c>
      <c r="E304" s="37" t="s">
        <v>60</v>
      </c>
      <c r="F304" s="37" t="s">
        <v>49</v>
      </c>
      <c r="G304" s="37" t="s">
        <v>2408</v>
      </c>
      <c r="H304" s="37">
        <v>16.87</v>
      </c>
      <c r="I304" s="37">
        <v>8</v>
      </c>
      <c r="J304" s="37" t="s">
        <v>3184</v>
      </c>
      <c r="K304" s="37" t="s">
        <v>311</v>
      </c>
      <c r="L304" s="37" t="s">
        <v>198</v>
      </c>
      <c r="M304" s="37" t="str">
        <f t="shared" si="26"/>
        <v>General</v>
      </c>
      <c r="N304" s="37" t="str">
        <f t="shared" si="24"/>
        <v>UPI</v>
      </c>
      <c r="O304" s="37" t="str" cm="1">
        <f t="array" ref="O304">IF(TRIM(N304)="",INDEX($N$2:$N$1500,MATCH(MAX(COUNTIF($N$2:$N$1500,$N$2:$N$1500)),COUNTIF($N$2:$N$1500,$N$2:$N$1500),0)),N304)</f>
        <v>UPI</v>
      </c>
      <c r="P304" s="38" cm="1">
        <f t="array" ref="P304">ROUND(IF(TRIM(H304)="",IFERROR(MEDIAN(IF($M$2:$M$1500=M304,$H$2:$H$1500)),MEDIAN($H$2:$H$1500)),H304),2)</f>
        <v>16.87</v>
      </c>
      <c r="Q304" s="38" t="str">
        <f t="shared" si="27"/>
        <v>0</v>
      </c>
      <c r="R304" s="39" cm="1">
        <f t="array" ref="R304">IF(OR(TRIM(J304)="",TRIM(J304)="-"),MEDIAN(IF($C$2:$C$1218=C304,$J$2:$J$1218)),VALUE(SUBSTITUTE(SUBSTITUTE(SUBSTITUTE(J304,"Rs. ",""),"₹",""),",","")))</f>
        <v>8634</v>
      </c>
      <c r="S304" s="40">
        <f t="shared" si="25"/>
        <v>5</v>
      </c>
      <c r="T304" s="41">
        <f t="shared" si="28"/>
        <v>5</v>
      </c>
      <c r="U304" s="42">
        <f t="shared" si="29"/>
        <v>8202</v>
      </c>
    </row>
    <row r="305" spans="1:21" x14ac:dyDescent="0.3">
      <c r="A305" s="37" t="s">
        <v>3185</v>
      </c>
      <c r="B305" s="37" t="s">
        <v>2863</v>
      </c>
      <c r="C305" s="37" t="s">
        <v>2514</v>
      </c>
      <c r="D305" s="37" t="s">
        <v>117</v>
      </c>
      <c r="E305" s="37" t="s">
        <v>118</v>
      </c>
      <c r="F305" s="37" t="s">
        <v>101</v>
      </c>
      <c r="G305" s="37" t="s">
        <v>2746</v>
      </c>
      <c r="H305" s="37">
        <v>19.72</v>
      </c>
      <c r="I305" s="37">
        <v>58</v>
      </c>
      <c r="J305" s="37">
        <v>45598</v>
      </c>
      <c r="K305" s="37" t="s">
        <v>72</v>
      </c>
      <c r="L305" s="37"/>
      <c r="M305" s="37" t="str">
        <f t="shared" si="26"/>
        <v>ICU</v>
      </c>
      <c r="N305" s="37" t="str">
        <f t="shared" si="24"/>
        <v>Cash</v>
      </c>
      <c r="O305" s="37" t="str" cm="1">
        <f t="array" ref="O305">IF(TRIM(N305)="",INDEX($N$2:$N$1500,MATCH(MAX(COUNTIF($N$2:$N$1500,$N$2:$N$1500)),COUNTIF($N$2:$N$1500,$N$2:$N$1500),0)),N305)</f>
        <v>Cash</v>
      </c>
      <c r="P305" s="38" cm="1">
        <f t="array" ref="P305">ROUND(IF(TRIM(H305)="",IFERROR(MEDIAN(IF($M$2:$M$1500=M305,$H$2:$H$1500)),MEDIAN($H$2:$H$1500)),H305),2)</f>
        <v>19.72</v>
      </c>
      <c r="Q305" s="38" t="str">
        <f t="shared" si="27"/>
        <v>2</v>
      </c>
      <c r="R305" s="39" cm="1">
        <f t="array" ref="R305">IF(OR(TRIM(J305)="",TRIM(J305)="-"),MEDIAN(IF($C$2:$C$1218=C305,$J$2:$J$1218)),VALUE(SUBSTITUTE(SUBSTITUTE(SUBSTITUTE(J305,"Rs. ",""),"₹",""),",","")))</f>
        <v>45598</v>
      </c>
      <c r="S305" s="40">
        <f t="shared" si="25"/>
        <v>0</v>
      </c>
      <c r="T305" s="41">
        <f t="shared" si="28"/>
        <v>0</v>
      </c>
      <c r="U305" s="42">
        <f t="shared" si="29"/>
        <v>45598</v>
      </c>
    </row>
    <row r="306" spans="1:21" x14ac:dyDescent="0.3">
      <c r="A306" s="37" t="s">
        <v>3186</v>
      </c>
      <c r="B306" s="37" t="s">
        <v>3187</v>
      </c>
      <c r="C306" s="37" t="s">
        <v>2449</v>
      </c>
      <c r="D306" s="37" t="s">
        <v>78</v>
      </c>
      <c r="E306" s="37" t="s">
        <v>79</v>
      </c>
      <c r="F306" s="37" t="s">
        <v>39</v>
      </c>
      <c r="G306" s="37" t="s">
        <v>2435</v>
      </c>
      <c r="H306" s="37">
        <v>8.92</v>
      </c>
      <c r="I306" s="37">
        <v>12</v>
      </c>
      <c r="J306" s="37" t="s">
        <v>140</v>
      </c>
      <c r="K306" s="37" t="s">
        <v>115</v>
      </c>
      <c r="L306" s="37" t="s">
        <v>130</v>
      </c>
      <c r="M306" s="37" t="str">
        <f t="shared" si="26"/>
        <v>General</v>
      </c>
      <c r="N306" s="37" t="str">
        <f t="shared" si="24"/>
        <v>Cash</v>
      </c>
      <c r="O306" s="37" t="str" cm="1">
        <f t="array" ref="O306">IF(TRIM(N306)="",INDEX($N$2:$N$1500,MATCH(MAX(COUNTIF($N$2:$N$1500,$N$2:$N$1500)),COUNTIF($N$2:$N$1500,$N$2:$N$1500),0)),N306)</f>
        <v>Cash</v>
      </c>
      <c r="P306" s="38" cm="1">
        <f t="array" ref="P306">ROUND(IF(TRIM(H306)="",IFERROR(MEDIAN(IF($M$2:$M$1500=M306,$H$2:$H$1500)),MEDIAN($H$2:$H$1500)),H306),2)</f>
        <v>8.92</v>
      </c>
      <c r="Q306" s="38" t="str">
        <f t="shared" si="27"/>
        <v>0</v>
      </c>
      <c r="R306" s="39" cm="1">
        <f t="array" ref="R306">IF(OR(TRIM(J306)="",TRIM(J306)="-"),MEDIAN(IF($C$2:$C$1218=C306,$J$2:$J$1218)),VALUE(SUBSTITUTE(SUBSTITUTE(SUBSTITUTE(J306,"Rs. ",""),"₹",""),",","")))</f>
        <v>14369</v>
      </c>
      <c r="S306" s="40">
        <f t="shared" si="25"/>
        <v>0</v>
      </c>
      <c r="T306" s="41">
        <f t="shared" si="28"/>
        <v>0</v>
      </c>
      <c r="U306" s="42">
        <f t="shared" si="29"/>
        <v>14369</v>
      </c>
    </row>
    <row r="307" spans="1:21" x14ac:dyDescent="0.3">
      <c r="A307" s="37" t="s">
        <v>3188</v>
      </c>
      <c r="B307" s="37" t="s">
        <v>3189</v>
      </c>
      <c r="C307" s="37" t="s">
        <v>2434</v>
      </c>
      <c r="D307" s="37" t="s">
        <v>106</v>
      </c>
      <c r="E307" s="37" t="s">
        <v>107</v>
      </c>
      <c r="F307" s="37" t="s">
        <v>30</v>
      </c>
      <c r="G307" s="37" t="s">
        <v>2412</v>
      </c>
      <c r="H307" s="37">
        <v>14.04</v>
      </c>
      <c r="I307" s="37">
        <v>7</v>
      </c>
      <c r="J307" s="37">
        <v>7854</v>
      </c>
      <c r="K307" s="37" t="s">
        <v>83</v>
      </c>
      <c r="L307" s="37">
        <v>0</v>
      </c>
      <c r="M307" s="37" t="str">
        <f t="shared" si="26"/>
        <v>General</v>
      </c>
      <c r="N307" s="37" t="str">
        <f t="shared" si="24"/>
        <v>Debit Card</v>
      </c>
      <c r="O307" s="37" t="str" cm="1">
        <f t="array" ref="O307">IF(TRIM(N307)="",INDEX($N$2:$N$1500,MATCH(MAX(COUNTIF($N$2:$N$1500,$N$2:$N$1500)),COUNTIF($N$2:$N$1500,$N$2:$N$1500),0)),N307)</f>
        <v>Debit Card</v>
      </c>
      <c r="P307" s="38" cm="1">
        <f t="array" ref="P307">ROUND(IF(TRIM(H307)="",IFERROR(MEDIAN(IF($M$2:$M$1500=M307,$H$2:$H$1500)),MEDIAN($H$2:$H$1500)),H307),2)</f>
        <v>14.04</v>
      </c>
      <c r="Q307" s="38" t="str">
        <f t="shared" si="27"/>
        <v>1</v>
      </c>
      <c r="R307" s="39" cm="1">
        <f t="array" ref="R307">IF(OR(TRIM(J307)="",TRIM(J307)="-"),MEDIAN(IF($C$2:$C$1218=C307,$J$2:$J$1218)),VALUE(SUBSTITUTE(SUBSTITUTE(SUBSTITUTE(J307,"Rs. ",""),"₹",""),",","")))</f>
        <v>7854</v>
      </c>
      <c r="S307" s="40">
        <f t="shared" si="25"/>
        <v>0</v>
      </c>
      <c r="T307" s="41">
        <f t="shared" si="28"/>
        <v>0</v>
      </c>
      <c r="U307" s="42">
        <f t="shared" si="29"/>
        <v>7854</v>
      </c>
    </row>
    <row r="308" spans="1:21" x14ac:dyDescent="0.3">
      <c r="A308" s="37" t="s">
        <v>3190</v>
      </c>
      <c r="B308" s="37" t="s">
        <v>3191</v>
      </c>
      <c r="C308" s="37" t="s">
        <v>2454</v>
      </c>
      <c r="D308" s="37" t="s">
        <v>106</v>
      </c>
      <c r="E308" s="37" t="s">
        <v>107</v>
      </c>
      <c r="F308" s="37" t="s">
        <v>49</v>
      </c>
      <c r="G308" s="37" t="s">
        <v>2486</v>
      </c>
      <c r="H308" s="37">
        <v>9.0299999999999994</v>
      </c>
      <c r="I308" s="37">
        <v>10</v>
      </c>
      <c r="J308" s="37">
        <v>18691</v>
      </c>
      <c r="K308" s="37" t="s">
        <v>236</v>
      </c>
      <c r="L308" s="37" t="s">
        <v>76</v>
      </c>
      <c r="M308" s="37" t="str">
        <f t="shared" si="26"/>
        <v>General</v>
      </c>
      <c r="N308" s="37" t="str">
        <f t="shared" si="24"/>
        <v>Debit Card</v>
      </c>
      <c r="O308" s="37" t="str" cm="1">
        <f t="array" ref="O308">IF(TRIM(N308)="",INDEX($N$2:$N$1500,MATCH(MAX(COUNTIF($N$2:$N$1500,$N$2:$N$1500)),COUNTIF($N$2:$N$1500,$N$2:$N$1500),0)),N308)</f>
        <v>Debit Card</v>
      </c>
      <c r="P308" s="38" cm="1">
        <f t="array" ref="P308">ROUND(IF(TRIM(H308)="",IFERROR(MEDIAN(IF($M$2:$M$1500=M308,$H$2:$H$1500)),MEDIAN($H$2:$H$1500)),H308),2)</f>
        <v>9.0299999999999994</v>
      </c>
      <c r="Q308" s="38" t="str">
        <f t="shared" si="27"/>
        <v>2+</v>
      </c>
      <c r="R308" s="39" cm="1">
        <f t="array" ref="R308">IF(OR(TRIM(J308)="",TRIM(J308)="-"),MEDIAN(IF($C$2:$C$1218=C308,$J$2:$J$1218)),VALUE(SUBSTITUTE(SUBSTITUTE(SUBSTITUTE(J308,"Rs. ",""),"₹",""),",","")))</f>
        <v>18691</v>
      </c>
      <c r="S308" s="40">
        <f t="shared" si="25"/>
        <v>10</v>
      </c>
      <c r="T308" s="41">
        <f t="shared" si="28"/>
        <v>10</v>
      </c>
      <c r="U308" s="42">
        <f t="shared" si="29"/>
        <v>16822</v>
      </c>
    </row>
    <row r="309" spans="1:21" x14ac:dyDescent="0.3">
      <c r="A309" s="37" t="s">
        <v>3192</v>
      </c>
      <c r="B309" s="37" t="s">
        <v>3193</v>
      </c>
      <c r="C309" s="37" t="s">
        <v>2422</v>
      </c>
      <c r="D309" s="37" t="s">
        <v>117</v>
      </c>
      <c r="E309" s="37" t="s">
        <v>118</v>
      </c>
      <c r="F309" s="37" t="s">
        <v>39</v>
      </c>
      <c r="G309" s="37" t="s">
        <v>2423</v>
      </c>
      <c r="H309" s="37">
        <v>14.72</v>
      </c>
      <c r="I309" s="37">
        <v>25</v>
      </c>
      <c r="J309" s="37" t="s">
        <v>3194</v>
      </c>
      <c r="K309" s="37" t="s">
        <v>83</v>
      </c>
      <c r="L309" s="37">
        <v>5</v>
      </c>
      <c r="M309" s="37" t="str">
        <f t="shared" si="26"/>
        <v>General</v>
      </c>
      <c r="N309" s="37" t="str">
        <f t="shared" si="24"/>
        <v>Debit Card</v>
      </c>
      <c r="O309" s="37" t="str" cm="1">
        <f t="array" ref="O309">IF(TRIM(N309)="",INDEX($N$2:$N$1500,MATCH(MAX(COUNTIF($N$2:$N$1500,$N$2:$N$1500)),COUNTIF($N$2:$N$1500,$N$2:$N$1500),0)),N309)</f>
        <v>Debit Card</v>
      </c>
      <c r="P309" s="38" cm="1">
        <f t="array" ref="P309">ROUND(IF(TRIM(H309)="",IFERROR(MEDIAN(IF($M$2:$M$1500=M309,$H$2:$H$1500)),MEDIAN($H$2:$H$1500)),H309),2)</f>
        <v>14.72</v>
      </c>
      <c r="Q309" s="38" t="str">
        <f t="shared" si="27"/>
        <v>0</v>
      </c>
      <c r="R309" s="39" cm="1">
        <f t="array" ref="R309">IF(OR(TRIM(J309)="",TRIM(J309)="-"),MEDIAN(IF($C$2:$C$1218=C309,$J$2:$J$1218)),VALUE(SUBSTITUTE(SUBSTITUTE(SUBSTITUTE(J309,"Rs. ",""),"₹",""),",","")))</f>
        <v>6990</v>
      </c>
      <c r="S309" s="40">
        <f t="shared" si="25"/>
        <v>5</v>
      </c>
      <c r="T309" s="41">
        <f t="shared" si="28"/>
        <v>5</v>
      </c>
      <c r="U309" s="42">
        <f t="shared" si="29"/>
        <v>6641</v>
      </c>
    </row>
    <row r="310" spans="1:21" x14ac:dyDescent="0.3">
      <c r="A310" s="37" t="s">
        <v>3195</v>
      </c>
      <c r="B310" s="37" t="s">
        <v>3196</v>
      </c>
      <c r="C310" s="37" t="s">
        <v>2532</v>
      </c>
      <c r="D310" s="37" t="s">
        <v>78</v>
      </c>
      <c r="E310" s="37" t="s">
        <v>203</v>
      </c>
      <c r="F310" s="37" t="s">
        <v>30</v>
      </c>
      <c r="G310" s="37" t="s">
        <v>2505</v>
      </c>
      <c r="H310" s="37">
        <v>22.48</v>
      </c>
      <c r="I310" s="37">
        <v>19</v>
      </c>
      <c r="J310" s="37" t="s">
        <v>3197</v>
      </c>
      <c r="K310" s="37" t="s">
        <v>23</v>
      </c>
      <c r="L310" s="37" t="s">
        <v>130</v>
      </c>
      <c r="M310" s="37" t="str">
        <f t="shared" si="26"/>
        <v>General</v>
      </c>
      <c r="N310" s="37" t="str">
        <f t="shared" si="24"/>
        <v>Credit Card</v>
      </c>
      <c r="O310" s="37" t="str" cm="1">
        <f t="array" ref="O310">IF(TRIM(N310)="",INDEX($N$2:$N$1500,MATCH(MAX(COUNTIF($N$2:$N$1500,$N$2:$N$1500)),COUNTIF($N$2:$N$1500,$N$2:$N$1500),0)),N310)</f>
        <v>Credit Card</v>
      </c>
      <c r="P310" s="38" cm="1">
        <f t="array" ref="P310">ROUND(IF(TRIM(H310)="",IFERROR(MEDIAN(IF($M$2:$M$1500=M310,$H$2:$H$1500)),MEDIAN($H$2:$H$1500)),H310),2)</f>
        <v>22.48</v>
      </c>
      <c r="Q310" s="38" t="str">
        <f t="shared" si="27"/>
        <v>2+</v>
      </c>
      <c r="R310" s="39" cm="1">
        <f t="array" ref="R310">IF(OR(TRIM(J310)="",TRIM(J310)="-"),MEDIAN(IF($C$2:$C$1218=C310,$J$2:$J$1218)),VALUE(SUBSTITUTE(SUBSTITUTE(SUBSTITUTE(J310,"Rs. ",""),"₹",""),",","")))</f>
        <v>7556</v>
      </c>
      <c r="S310" s="40">
        <f t="shared" si="25"/>
        <v>0</v>
      </c>
      <c r="T310" s="41">
        <f t="shared" si="28"/>
        <v>0</v>
      </c>
      <c r="U310" s="42">
        <f t="shared" si="29"/>
        <v>7556</v>
      </c>
    </row>
    <row r="311" spans="1:21" x14ac:dyDescent="0.3">
      <c r="A311" s="37" t="s">
        <v>3198</v>
      </c>
      <c r="B311" s="37" t="s">
        <v>3199</v>
      </c>
      <c r="C311" s="37" t="s">
        <v>2434</v>
      </c>
      <c r="D311" s="37" t="s">
        <v>106</v>
      </c>
      <c r="E311" s="37" t="s">
        <v>307</v>
      </c>
      <c r="F311" s="37" t="s">
        <v>30</v>
      </c>
      <c r="G311" s="37" t="s">
        <v>2746</v>
      </c>
      <c r="H311" s="37">
        <v>16.79</v>
      </c>
      <c r="I311" s="37">
        <v>39</v>
      </c>
      <c r="J311" s="37" t="s">
        <v>3200</v>
      </c>
      <c r="K311" s="37" t="s">
        <v>97</v>
      </c>
      <c r="L311" s="37">
        <v>0</v>
      </c>
      <c r="M311" s="37" t="str">
        <f t="shared" si="26"/>
        <v>General</v>
      </c>
      <c r="N311" s="37" t="str">
        <f t="shared" si="24"/>
        <v>UPI</v>
      </c>
      <c r="O311" s="37" t="str" cm="1">
        <f t="array" ref="O311">IF(TRIM(N311)="",INDEX($N$2:$N$1500,MATCH(MAX(COUNTIF($N$2:$N$1500,$N$2:$N$1500)),COUNTIF($N$2:$N$1500,$N$2:$N$1500),0)),N311)</f>
        <v>UPI</v>
      </c>
      <c r="P311" s="38" cm="1">
        <f t="array" ref="P311">ROUND(IF(TRIM(H311)="",IFERROR(MEDIAN(IF($M$2:$M$1500=M311,$H$2:$H$1500)),MEDIAN($H$2:$H$1500)),H311),2)</f>
        <v>16.79</v>
      </c>
      <c r="Q311" s="38" t="str">
        <f t="shared" si="27"/>
        <v>2</v>
      </c>
      <c r="R311" s="39" cm="1">
        <f t="array" ref="R311">IF(OR(TRIM(J311)="",TRIM(J311)="-"),MEDIAN(IF($C$2:$C$1218=C311,$J$2:$J$1218)),VALUE(SUBSTITUTE(SUBSTITUTE(SUBSTITUTE(J311,"Rs. ",""),"₹",""),",","")))</f>
        <v>13668</v>
      </c>
      <c r="S311" s="40">
        <f t="shared" si="25"/>
        <v>0</v>
      </c>
      <c r="T311" s="41">
        <f t="shared" si="28"/>
        <v>0</v>
      </c>
      <c r="U311" s="42">
        <f t="shared" si="29"/>
        <v>13668</v>
      </c>
    </row>
    <row r="312" spans="1:21" x14ac:dyDescent="0.3">
      <c r="A312" s="37" t="s">
        <v>3201</v>
      </c>
      <c r="B312" s="37" t="s">
        <v>2940</v>
      </c>
      <c r="C312" s="37" t="s">
        <v>2427</v>
      </c>
      <c r="D312" s="37" t="s">
        <v>106</v>
      </c>
      <c r="E312" s="37" t="s">
        <v>307</v>
      </c>
      <c r="F312" s="37" t="s">
        <v>19</v>
      </c>
      <c r="G312" s="37" t="s">
        <v>2408</v>
      </c>
      <c r="H312" s="37">
        <v>15.29</v>
      </c>
      <c r="I312" s="37">
        <v>27</v>
      </c>
      <c r="J312" s="37" t="s">
        <v>3202</v>
      </c>
      <c r="K312" s="37" t="s">
        <v>236</v>
      </c>
      <c r="L312" s="37">
        <v>0</v>
      </c>
      <c r="M312" s="37" t="str">
        <f t="shared" si="26"/>
        <v>General</v>
      </c>
      <c r="N312" s="37" t="str">
        <f t="shared" si="24"/>
        <v>Debit Card</v>
      </c>
      <c r="O312" s="37" t="str" cm="1">
        <f t="array" ref="O312">IF(TRIM(N312)="",INDEX($N$2:$N$1500,MATCH(MAX(COUNTIF($N$2:$N$1500,$N$2:$N$1500)),COUNTIF($N$2:$N$1500,$N$2:$N$1500),0)),N312)</f>
        <v>Debit Card</v>
      </c>
      <c r="P312" s="38" cm="1">
        <f t="array" ref="P312">ROUND(IF(TRIM(H312)="",IFERROR(MEDIAN(IF($M$2:$M$1500=M312,$H$2:$H$1500)),MEDIAN($H$2:$H$1500)),H312),2)</f>
        <v>15.29</v>
      </c>
      <c r="Q312" s="38" t="str">
        <f t="shared" si="27"/>
        <v>0</v>
      </c>
      <c r="R312" s="39" cm="1">
        <f t="array" ref="R312">IF(OR(TRIM(J312)="",TRIM(J312)="-"),MEDIAN(IF($C$2:$C$1218=C312,$J$2:$J$1218)),VALUE(SUBSTITUTE(SUBSTITUTE(SUBSTITUTE(J312,"Rs. ",""),"₹",""),",","")))</f>
        <v>12539</v>
      </c>
      <c r="S312" s="40">
        <f t="shared" si="25"/>
        <v>0</v>
      </c>
      <c r="T312" s="41">
        <f t="shared" si="28"/>
        <v>0</v>
      </c>
      <c r="U312" s="42">
        <f t="shared" si="29"/>
        <v>12539</v>
      </c>
    </row>
    <row r="313" spans="1:21" x14ac:dyDescent="0.3">
      <c r="A313" s="37" t="s">
        <v>3203</v>
      </c>
      <c r="B313" s="37" t="s">
        <v>2755</v>
      </c>
      <c r="C313" s="37" t="s">
        <v>2445</v>
      </c>
      <c r="D313" s="37" t="s">
        <v>117</v>
      </c>
      <c r="E313" s="37" t="s">
        <v>118</v>
      </c>
      <c r="F313" s="37" t="s">
        <v>101</v>
      </c>
      <c r="G313" s="37" t="s">
        <v>2486</v>
      </c>
      <c r="H313" s="37">
        <v>11.65</v>
      </c>
      <c r="I313" s="37">
        <v>44</v>
      </c>
      <c r="J313" s="37">
        <v>53826</v>
      </c>
      <c r="K313" s="37" t="s">
        <v>72</v>
      </c>
      <c r="L313" s="37" t="s">
        <v>198</v>
      </c>
      <c r="M313" s="37" t="str">
        <f t="shared" si="26"/>
        <v>ICU</v>
      </c>
      <c r="N313" s="37" t="str">
        <f t="shared" si="24"/>
        <v>Cash</v>
      </c>
      <c r="O313" s="37" t="str" cm="1">
        <f t="array" ref="O313">IF(TRIM(N313)="",INDEX($N$2:$N$1500,MATCH(MAX(COUNTIF($N$2:$N$1500,$N$2:$N$1500)),COUNTIF($N$2:$N$1500,$N$2:$N$1500),0)),N313)</f>
        <v>Cash</v>
      </c>
      <c r="P313" s="38" cm="1">
        <f t="array" ref="P313">ROUND(IF(TRIM(H313)="",IFERROR(MEDIAN(IF($M$2:$M$1500=M313,$H$2:$H$1500)),MEDIAN($H$2:$H$1500)),H313),2)</f>
        <v>11.65</v>
      </c>
      <c r="Q313" s="38" t="str">
        <f t="shared" si="27"/>
        <v>2+</v>
      </c>
      <c r="R313" s="39" cm="1">
        <f t="array" ref="R313">IF(OR(TRIM(J313)="",TRIM(J313)="-"),MEDIAN(IF($C$2:$C$1218=C313,$J$2:$J$1218)),VALUE(SUBSTITUTE(SUBSTITUTE(SUBSTITUTE(J313,"Rs. ",""),"₹",""),",","")))</f>
        <v>53826</v>
      </c>
      <c r="S313" s="40">
        <f t="shared" si="25"/>
        <v>5</v>
      </c>
      <c r="T313" s="41">
        <f t="shared" si="28"/>
        <v>5</v>
      </c>
      <c r="U313" s="42">
        <f t="shared" si="29"/>
        <v>51135</v>
      </c>
    </row>
    <row r="314" spans="1:21" x14ac:dyDescent="0.3">
      <c r="A314" s="37" t="s">
        <v>3204</v>
      </c>
      <c r="B314" s="37" t="s">
        <v>3205</v>
      </c>
      <c r="C314" s="37" t="s">
        <v>2730</v>
      </c>
      <c r="D314" s="37" t="s">
        <v>25</v>
      </c>
      <c r="E314" s="37" t="s">
        <v>54</v>
      </c>
      <c r="F314" s="37" t="s">
        <v>30</v>
      </c>
      <c r="G314" s="37" t="s">
        <v>2412</v>
      </c>
      <c r="H314" s="37">
        <v>3.11</v>
      </c>
      <c r="I314" s="37">
        <v>27</v>
      </c>
      <c r="J314" s="37" t="s">
        <v>3206</v>
      </c>
      <c r="K314" s="37" t="s">
        <v>236</v>
      </c>
      <c r="L314" s="37"/>
      <c r="M314" s="37" t="str">
        <f t="shared" si="26"/>
        <v>General</v>
      </c>
      <c r="N314" s="37" t="str">
        <f t="shared" si="24"/>
        <v>Debit Card</v>
      </c>
      <c r="O314" s="37" t="str" cm="1">
        <f t="array" ref="O314">IF(TRIM(N314)="",INDEX($N$2:$N$1500,MATCH(MAX(COUNTIF($N$2:$N$1500,$N$2:$N$1500)),COUNTIF($N$2:$N$1500,$N$2:$N$1500),0)),N314)</f>
        <v>Debit Card</v>
      </c>
      <c r="P314" s="38" cm="1">
        <f t="array" ref="P314">ROUND(IF(TRIM(H314)="",IFERROR(MEDIAN(IF($M$2:$M$1500=M314,$H$2:$H$1500)),MEDIAN($H$2:$H$1500)),H314),2)</f>
        <v>3.11</v>
      </c>
      <c r="Q314" s="38" t="str">
        <f t="shared" si="27"/>
        <v>1</v>
      </c>
      <c r="R314" s="39" cm="1">
        <f t="array" ref="R314">IF(OR(TRIM(J314)="",TRIM(J314)="-"),MEDIAN(IF($C$2:$C$1218=C314,$J$2:$J$1218)),VALUE(SUBSTITUTE(SUBSTITUTE(SUBSTITUTE(J314,"Rs. ",""),"₹",""),",","")))</f>
        <v>15625</v>
      </c>
      <c r="S314" s="40">
        <f t="shared" si="25"/>
        <v>0</v>
      </c>
      <c r="T314" s="41">
        <f t="shared" si="28"/>
        <v>0</v>
      </c>
      <c r="U314" s="42">
        <f t="shared" si="29"/>
        <v>15625</v>
      </c>
    </row>
    <row r="315" spans="1:21" x14ac:dyDescent="0.3">
      <c r="A315" s="37" t="s">
        <v>3207</v>
      </c>
      <c r="B315" s="37" t="s">
        <v>3208</v>
      </c>
      <c r="C315" s="37" t="s">
        <v>2411</v>
      </c>
      <c r="D315" s="37" t="s">
        <v>45</v>
      </c>
      <c r="E315" s="37" t="s">
        <v>334</v>
      </c>
      <c r="F315" s="37" t="s">
        <v>101</v>
      </c>
      <c r="G315" s="37" t="s">
        <v>2423</v>
      </c>
      <c r="H315" s="37">
        <v>18.100000000000001</v>
      </c>
      <c r="I315" s="37">
        <v>34</v>
      </c>
      <c r="J315" s="37" t="s">
        <v>3209</v>
      </c>
      <c r="K315" s="37" t="s">
        <v>91</v>
      </c>
      <c r="L315" s="37" t="s">
        <v>64</v>
      </c>
      <c r="M315" s="37" t="str">
        <f t="shared" si="26"/>
        <v>ICU</v>
      </c>
      <c r="N315" s="37" t="str">
        <f t="shared" si="24"/>
        <v>Debit Card</v>
      </c>
      <c r="O315" s="37" t="str" cm="1">
        <f t="array" ref="O315">IF(TRIM(N315)="",INDEX($N$2:$N$1500,MATCH(MAX(COUNTIF($N$2:$N$1500,$N$2:$N$1500)),COUNTIF($N$2:$N$1500,$N$2:$N$1500),0)),N315)</f>
        <v>Debit Card</v>
      </c>
      <c r="P315" s="38" cm="1">
        <f t="array" ref="P315">ROUND(IF(TRIM(H315)="",IFERROR(MEDIAN(IF($M$2:$M$1500=M315,$H$2:$H$1500)),MEDIAN($H$2:$H$1500)),H315),2)</f>
        <v>18.100000000000001</v>
      </c>
      <c r="Q315" s="38" t="str">
        <f t="shared" si="27"/>
        <v>0</v>
      </c>
      <c r="R315" s="39" cm="1">
        <f t="array" ref="R315">IF(OR(TRIM(J315)="",TRIM(J315)="-"),MEDIAN(IF($C$2:$C$1218=C315,$J$2:$J$1218)),VALUE(SUBSTITUTE(SUBSTITUTE(SUBSTITUTE(J315,"Rs. ",""),"₹",""),",","")))</f>
        <v>40068</v>
      </c>
      <c r="S315" s="40" t="str">
        <f t="shared" si="25"/>
        <v>NA</v>
      </c>
      <c r="T315" s="41">
        <f t="shared" si="28"/>
        <v>3</v>
      </c>
      <c r="U315" s="42">
        <f t="shared" si="29"/>
        <v>38866</v>
      </c>
    </row>
    <row r="316" spans="1:21" x14ac:dyDescent="0.3">
      <c r="A316" s="37" t="s">
        <v>3210</v>
      </c>
      <c r="B316" s="37" t="s">
        <v>3211</v>
      </c>
      <c r="C316" s="37" t="s">
        <v>2514</v>
      </c>
      <c r="D316" s="37" t="s">
        <v>117</v>
      </c>
      <c r="E316" s="37" t="s">
        <v>118</v>
      </c>
      <c r="F316" s="37" t="s">
        <v>62</v>
      </c>
      <c r="G316" s="37" t="s">
        <v>2408</v>
      </c>
      <c r="H316" s="37">
        <v>2.73</v>
      </c>
      <c r="I316" s="37">
        <v>5</v>
      </c>
      <c r="J316" s="37" t="s">
        <v>3212</v>
      </c>
      <c r="K316" s="37" t="s">
        <v>91</v>
      </c>
      <c r="L316" s="37" t="s">
        <v>76</v>
      </c>
      <c r="M316" s="37" t="str">
        <f t="shared" si="26"/>
        <v>ICU</v>
      </c>
      <c r="N316" s="37" t="str">
        <f t="shared" si="24"/>
        <v>Debit Card</v>
      </c>
      <c r="O316" s="37" t="str" cm="1">
        <f t="array" ref="O316">IF(TRIM(N316)="",INDEX($N$2:$N$1500,MATCH(MAX(COUNTIF($N$2:$N$1500,$N$2:$N$1500)),COUNTIF($N$2:$N$1500,$N$2:$N$1500),0)),N316)</f>
        <v>Debit Card</v>
      </c>
      <c r="P316" s="38" cm="1">
        <f t="array" ref="P316">ROUND(IF(TRIM(H316)="",IFERROR(MEDIAN(IF($M$2:$M$1500=M316,$H$2:$H$1500)),MEDIAN($H$2:$H$1500)),H316),2)</f>
        <v>2.73</v>
      </c>
      <c r="Q316" s="38" t="str">
        <f t="shared" si="27"/>
        <v>0</v>
      </c>
      <c r="R316" s="39" cm="1">
        <f t="array" ref="R316">IF(OR(TRIM(J316)="",TRIM(J316)="-"),MEDIAN(IF($C$2:$C$1218=C316,$J$2:$J$1218)),VALUE(SUBSTITUTE(SUBSTITUTE(SUBSTITUTE(J316,"Rs. ",""),"₹",""),",","")))</f>
        <v>81854</v>
      </c>
      <c r="S316" s="40">
        <f t="shared" si="25"/>
        <v>10</v>
      </c>
      <c r="T316" s="41">
        <f t="shared" si="28"/>
        <v>10</v>
      </c>
      <c r="U316" s="42">
        <f t="shared" si="29"/>
        <v>73669</v>
      </c>
    </row>
    <row r="317" spans="1:21" x14ac:dyDescent="0.3">
      <c r="A317" s="37" t="s">
        <v>3213</v>
      </c>
      <c r="B317" s="37" t="s">
        <v>3214</v>
      </c>
      <c r="C317" s="37" t="s">
        <v>2466</v>
      </c>
      <c r="D317" s="37" t="s">
        <v>14</v>
      </c>
      <c r="E317" s="37" t="s">
        <v>60</v>
      </c>
      <c r="F317" s="37" t="s">
        <v>19</v>
      </c>
      <c r="G317" s="37" t="s">
        <v>2450</v>
      </c>
      <c r="H317" s="37">
        <v>22.62</v>
      </c>
      <c r="I317" s="37">
        <v>19</v>
      </c>
      <c r="J317" s="37" t="s">
        <v>3215</v>
      </c>
      <c r="K317" s="37" t="s">
        <v>97</v>
      </c>
      <c r="L317" s="37"/>
      <c r="M317" s="37" t="str">
        <f t="shared" si="26"/>
        <v>General</v>
      </c>
      <c r="N317" s="37" t="str">
        <f t="shared" si="24"/>
        <v>UPI</v>
      </c>
      <c r="O317" s="37" t="str" cm="1">
        <f t="array" ref="O317">IF(TRIM(N317)="",INDEX($N$2:$N$1500,MATCH(MAX(COUNTIF($N$2:$N$1500,$N$2:$N$1500)),COUNTIF($N$2:$N$1500,$N$2:$N$1500),0)),N317)</f>
        <v>UPI</v>
      </c>
      <c r="P317" s="38" cm="1">
        <f t="array" ref="P317">ROUND(IF(TRIM(H317)="",IFERROR(MEDIAN(IF($M$2:$M$1500=M317,$H$2:$H$1500)),MEDIAN($H$2:$H$1500)),H317),2)</f>
        <v>22.62</v>
      </c>
      <c r="Q317" s="38" t="str">
        <f t="shared" si="27"/>
        <v>1</v>
      </c>
      <c r="R317" s="39" cm="1">
        <f t="array" ref="R317">IF(OR(TRIM(J317)="",TRIM(J317)="-"),MEDIAN(IF($C$2:$C$1218=C317,$J$2:$J$1218)),VALUE(SUBSTITUTE(SUBSTITUTE(SUBSTITUTE(J317,"Rs. ",""),"₹",""),",","")))</f>
        <v>15274</v>
      </c>
      <c r="S317" s="40">
        <f t="shared" si="25"/>
        <v>0</v>
      </c>
      <c r="T317" s="41">
        <f t="shared" si="28"/>
        <v>0</v>
      </c>
      <c r="U317" s="42">
        <f t="shared" si="29"/>
        <v>15274</v>
      </c>
    </row>
    <row r="318" spans="1:21" x14ac:dyDescent="0.3">
      <c r="A318" s="37" t="s">
        <v>3216</v>
      </c>
      <c r="B318" s="37" t="s">
        <v>3217</v>
      </c>
      <c r="C318" s="37" t="s">
        <v>2449</v>
      </c>
      <c r="D318" s="37" t="s">
        <v>106</v>
      </c>
      <c r="E318" s="37" t="s">
        <v>107</v>
      </c>
      <c r="F318" s="37" t="s">
        <v>39</v>
      </c>
      <c r="G318" s="37"/>
      <c r="H318" s="37">
        <v>20.66</v>
      </c>
      <c r="I318" s="37">
        <v>52</v>
      </c>
      <c r="J318" s="37" t="s">
        <v>3218</v>
      </c>
      <c r="K318" s="37" t="s">
        <v>87</v>
      </c>
      <c r="L318" s="37" t="s">
        <v>130</v>
      </c>
      <c r="M318" s="37" t="str">
        <f t="shared" si="26"/>
        <v>General</v>
      </c>
      <c r="N318" s="37" t="str">
        <f t="shared" si="24"/>
        <v>Credit Card</v>
      </c>
      <c r="O318" s="37" t="str" cm="1">
        <f t="array" ref="O318">IF(TRIM(N318)="",INDEX($N$2:$N$1500,MATCH(MAX(COUNTIF($N$2:$N$1500,$N$2:$N$1500)),COUNTIF($N$2:$N$1500,$N$2:$N$1500),0)),N318)</f>
        <v>Credit Card</v>
      </c>
      <c r="P318" s="38" cm="1">
        <f t="array" ref="P318">ROUND(IF(TRIM(H318)="",IFERROR(MEDIAN(IF($M$2:$M$1500=M318,$H$2:$H$1500)),MEDIAN($H$2:$H$1500)),H318),2)</f>
        <v>20.66</v>
      </c>
      <c r="Q318" s="38" t="str">
        <f t="shared" si="27"/>
        <v>Unknown</v>
      </c>
      <c r="R318" s="39" cm="1">
        <f t="array" ref="R318">IF(OR(TRIM(J318)="",TRIM(J318)="-"),MEDIAN(IF($C$2:$C$1218=C318,$J$2:$J$1218)),VALUE(SUBSTITUTE(SUBSTITUTE(SUBSTITUTE(J318,"Rs. ",""),"₹",""),",","")))</f>
        <v>16740</v>
      </c>
      <c r="S318" s="40">
        <f t="shared" si="25"/>
        <v>0</v>
      </c>
      <c r="T318" s="41">
        <f t="shared" si="28"/>
        <v>0</v>
      </c>
      <c r="U318" s="42">
        <f t="shared" si="29"/>
        <v>16740</v>
      </c>
    </row>
    <row r="319" spans="1:21" x14ac:dyDescent="0.3">
      <c r="A319" s="37" t="s">
        <v>3219</v>
      </c>
      <c r="B319" s="37" t="s">
        <v>2628</v>
      </c>
      <c r="C319" s="37" t="s">
        <v>2629</v>
      </c>
      <c r="D319" s="37" t="s">
        <v>14</v>
      </c>
      <c r="E319" s="37" t="s">
        <v>60</v>
      </c>
      <c r="F319" s="37" t="s">
        <v>39</v>
      </c>
      <c r="G319" s="37" t="s">
        <v>2408</v>
      </c>
      <c r="H319" s="37">
        <v>14.63</v>
      </c>
      <c r="I319" s="37">
        <v>36</v>
      </c>
      <c r="J319" s="37" t="s">
        <v>3220</v>
      </c>
      <c r="K319" s="37" t="s">
        <v>72</v>
      </c>
      <c r="L319" s="37" t="s">
        <v>64</v>
      </c>
      <c r="M319" s="37" t="str">
        <f t="shared" si="26"/>
        <v>General</v>
      </c>
      <c r="N319" s="37" t="str">
        <f t="shared" si="24"/>
        <v>Cash</v>
      </c>
      <c r="O319" s="37" t="str" cm="1">
        <f t="array" ref="O319">IF(TRIM(N319)="",INDEX($N$2:$N$1500,MATCH(MAX(COUNTIF($N$2:$N$1500,$N$2:$N$1500)),COUNTIF($N$2:$N$1500,$N$2:$N$1500),0)),N319)</f>
        <v>Cash</v>
      </c>
      <c r="P319" s="38" cm="1">
        <f t="array" ref="P319">ROUND(IF(TRIM(H319)="",IFERROR(MEDIAN(IF($M$2:$M$1500=M319,$H$2:$H$1500)),MEDIAN($H$2:$H$1500)),H319),2)</f>
        <v>14.63</v>
      </c>
      <c r="Q319" s="38" t="str">
        <f t="shared" si="27"/>
        <v>0</v>
      </c>
      <c r="R319" s="39" cm="1">
        <f t="array" ref="R319">IF(OR(TRIM(J319)="",TRIM(J319)="-"),MEDIAN(IF($C$2:$C$1218=C319,$J$2:$J$1218)),VALUE(SUBSTITUTE(SUBSTITUTE(SUBSTITUTE(J319,"Rs. ",""),"₹",""),",","")))</f>
        <v>12084</v>
      </c>
      <c r="S319" s="40" t="str">
        <f t="shared" si="25"/>
        <v>NA</v>
      </c>
      <c r="T319" s="41">
        <f t="shared" si="28"/>
        <v>2</v>
      </c>
      <c r="U319" s="42">
        <f t="shared" si="29"/>
        <v>11842</v>
      </c>
    </row>
    <row r="320" spans="1:21" x14ac:dyDescent="0.3">
      <c r="A320" s="37" t="s">
        <v>3221</v>
      </c>
      <c r="B320" s="37" t="s">
        <v>3222</v>
      </c>
      <c r="C320" s="37" t="s">
        <v>2415</v>
      </c>
      <c r="D320" s="37" t="s">
        <v>117</v>
      </c>
      <c r="E320" s="37" t="s">
        <v>182</v>
      </c>
      <c r="F320" s="37" t="s">
        <v>101</v>
      </c>
      <c r="G320" s="37" t="s">
        <v>2477</v>
      </c>
      <c r="H320" s="37">
        <v>22.01</v>
      </c>
      <c r="I320" s="37" t="s">
        <v>140</v>
      </c>
      <c r="J320" s="37" t="s">
        <v>3223</v>
      </c>
      <c r="K320" s="37" t="s">
        <v>34</v>
      </c>
      <c r="L320" s="37" t="s">
        <v>76</v>
      </c>
      <c r="M320" s="37" t="str">
        <f t="shared" si="26"/>
        <v>ICU</v>
      </c>
      <c r="N320" s="37" t="str">
        <f t="shared" si="24"/>
        <v>Cash</v>
      </c>
      <c r="O320" s="37" t="str" cm="1">
        <f t="array" ref="O320">IF(TRIM(N320)="",INDEX($N$2:$N$1500,MATCH(MAX(COUNTIF($N$2:$N$1500,$N$2:$N$1500)),COUNTIF($N$2:$N$1500,$N$2:$N$1500),0)),N320)</f>
        <v>Cash</v>
      </c>
      <c r="P320" s="38" cm="1">
        <f t="array" ref="P320">ROUND(IF(TRIM(H320)="",IFERROR(MEDIAN(IF($M$2:$M$1500=M320,$H$2:$H$1500)),MEDIAN($H$2:$H$1500)),H320),2)</f>
        <v>22.01</v>
      </c>
      <c r="Q320" s="38" t="str">
        <f t="shared" si="27"/>
        <v>0</v>
      </c>
      <c r="R320" s="39" cm="1">
        <f t="array" ref="R320">IF(OR(TRIM(J320)="",TRIM(J320)="-"),MEDIAN(IF($C$2:$C$1218=C320,$J$2:$J$1218)),VALUE(SUBSTITUTE(SUBSTITUTE(SUBSTITUTE(J320,"Rs. ",""),"₹",""),",","")))</f>
        <v>40289</v>
      </c>
      <c r="S320" s="40">
        <f t="shared" si="25"/>
        <v>10</v>
      </c>
      <c r="T320" s="41">
        <f t="shared" si="28"/>
        <v>10</v>
      </c>
      <c r="U320" s="42">
        <f t="shared" si="29"/>
        <v>36260</v>
      </c>
    </row>
    <row r="321" spans="1:21" x14ac:dyDescent="0.3">
      <c r="A321" s="37" t="s">
        <v>3224</v>
      </c>
      <c r="B321" s="37" t="s">
        <v>3225</v>
      </c>
      <c r="C321" s="37" t="s">
        <v>2485</v>
      </c>
      <c r="D321" s="37" t="s">
        <v>78</v>
      </c>
      <c r="E321" s="37" t="s">
        <v>161</v>
      </c>
      <c r="F321" s="37" t="s">
        <v>30</v>
      </c>
      <c r="G321" s="37" t="s">
        <v>2412</v>
      </c>
      <c r="H321" s="37">
        <v>23.74</v>
      </c>
      <c r="I321" s="37">
        <v>32</v>
      </c>
      <c r="J321" s="37">
        <v>8107</v>
      </c>
      <c r="K321" s="37" t="s">
        <v>83</v>
      </c>
      <c r="L321" s="37" t="s">
        <v>64</v>
      </c>
      <c r="M321" s="37" t="str">
        <f t="shared" si="26"/>
        <v>General</v>
      </c>
      <c r="N321" s="37" t="str">
        <f t="shared" si="24"/>
        <v>Debit Card</v>
      </c>
      <c r="O321" s="37" t="str" cm="1">
        <f t="array" ref="O321">IF(TRIM(N321)="",INDEX($N$2:$N$1500,MATCH(MAX(COUNTIF($N$2:$N$1500,$N$2:$N$1500)),COUNTIF($N$2:$N$1500,$N$2:$N$1500),0)),N321)</f>
        <v>Debit Card</v>
      </c>
      <c r="P321" s="38" cm="1">
        <f t="array" ref="P321">ROUND(IF(TRIM(H321)="",IFERROR(MEDIAN(IF($M$2:$M$1500=M321,$H$2:$H$1500)),MEDIAN($H$2:$H$1500)),H321),2)</f>
        <v>23.74</v>
      </c>
      <c r="Q321" s="38" t="str">
        <f t="shared" si="27"/>
        <v>1</v>
      </c>
      <c r="R321" s="39" cm="1">
        <f t="array" ref="R321">IF(OR(TRIM(J321)="",TRIM(J321)="-"),MEDIAN(IF($C$2:$C$1218=C321,$J$2:$J$1218)),VALUE(SUBSTITUTE(SUBSTITUTE(SUBSTITUTE(J321,"Rs. ",""),"₹",""),",","")))</f>
        <v>8107</v>
      </c>
      <c r="S321" s="40" t="str">
        <f t="shared" si="25"/>
        <v>NA</v>
      </c>
      <c r="T321" s="41">
        <f t="shared" si="28"/>
        <v>3</v>
      </c>
      <c r="U321" s="42">
        <f t="shared" si="29"/>
        <v>7864</v>
      </c>
    </row>
    <row r="322" spans="1:21" x14ac:dyDescent="0.3">
      <c r="A322" s="37" t="s">
        <v>3226</v>
      </c>
      <c r="B322" s="37" t="s">
        <v>3227</v>
      </c>
      <c r="C322" s="37" t="s">
        <v>2485</v>
      </c>
      <c r="D322" s="37" t="s">
        <v>25</v>
      </c>
      <c r="E322" s="37" t="s">
        <v>54</v>
      </c>
      <c r="F322" s="37" t="s">
        <v>30</v>
      </c>
      <c r="G322" s="37" t="s">
        <v>2435</v>
      </c>
      <c r="H322" s="37">
        <v>8.82</v>
      </c>
      <c r="I322" s="37">
        <v>5</v>
      </c>
      <c r="J322" s="37">
        <v>14606</v>
      </c>
      <c r="K322" s="37" t="s">
        <v>91</v>
      </c>
      <c r="L322" s="37">
        <v>0</v>
      </c>
      <c r="M322" s="37" t="str">
        <f t="shared" si="26"/>
        <v>General</v>
      </c>
      <c r="N322" s="37" t="str">
        <f t="shared" ref="N322:N385" si="30">IF(OR(UPPER(TRIM(K322))="CREDIT_CARD",UPPER(TRIM(K322))="CREDIT CARD",UPPER(TRIM(K322))="CC"),"Credit Card", IF(OR(UPPER(TRIM(K322))="DEBIT_CARD",UPPER(TRIM(K322))="DEBIT CARD",UPPER(TRIM(K322))="DC"),"Debit Card", IF(UPPER(TRIM(K322))="CASH","Cash", IF(UPPER(TRIM(K322))="UPI","UPI", IF(OR(UPPER(TRIM(K322))="INSURANCE",UPPER(TRIM(K322))="INS"),"Insurance", IF(TRIM(K322)="","Unknown","Unknown"))))))</f>
        <v>Debit Card</v>
      </c>
      <c r="O322" s="37" t="str" cm="1">
        <f t="array" ref="O322">IF(TRIM(N322)="",INDEX($N$2:$N$1500,MATCH(MAX(COUNTIF($N$2:$N$1500,$N$2:$N$1500)),COUNTIF($N$2:$N$1500,$N$2:$N$1500),0)),N322)</f>
        <v>Debit Card</v>
      </c>
      <c r="P322" s="38" cm="1">
        <f t="array" ref="P322">ROUND(IF(TRIM(H322)="",IFERROR(MEDIAN(IF($M$2:$M$1500=M322,$H$2:$H$1500)),MEDIAN($H$2:$H$1500)),H322),2)</f>
        <v>8.82</v>
      </c>
      <c r="Q322" s="38" t="str">
        <f t="shared" si="27"/>
        <v>0</v>
      </c>
      <c r="R322" s="39" cm="1">
        <f t="array" ref="R322">IF(OR(TRIM(J322)="",TRIM(J322)="-"),MEDIAN(IF($C$2:$C$1218=C322,$J$2:$J$1218)),VALUE(SUBSTITUTE(SUBSTITUTE(SUBSTITUTE(J322,"Rs. ",""),"₹",""),",","")))</f>
        <v>14606</v>
      </c>
      <c r="S322" s="40">
        <f t="shared" ref="S322:S385" si="31">IF(RIGHT(TRIM(L322),1)="%",VALUE(LEFT(TRIM(L322),LEN(TRIM(L322))-1)),IF(AND(ISNUMBER(L322),L322&lt;=1,,L322&gt;0),L322*100,L322))</f>
        <v>0</v>
      </c>
      <c r="T322" s="41">
        <f t="shared" si="28"/>
        <v>0</v>
      </c>
      <c r="U322" s="42">
        <f t="shared" si="29"/>
        <v>14606</v>
      </c>
    </row>
    <row r="323" spans="1:21" x14ac:dyDescent="0.3">
      <c r="A323" s="37" t="s">
        <v>3228</v>
      </c>
      <c r="B323" s="37" t="s">
        <v>3123</v>
      </c>
      <c r="C323" s="37" t="s">
        <v>2422</v>
      </c>
      <c r="D323" s="37" t="s">
        <v>78</v>
      </c>
      <c r="E323" s="37" t="s">
        <v>203</v>
      </c>
      <c r="F323" s="37" t="s">
        <v>39</v>
      </c>
      <c r="G323" s="37" t="s">
        <v>2746</v>
      </c>
      <c r="H323" s="37">
        <v>2.2000000000000002</v>
      </c>
      <c r="I323" s="37">
        <v>56</v>
      </c>
      <c r="J323" s="37" t="s">
        <v>3229</v>
      </c>
      <c r="K323" s="37" t="s">
        <v>311</v>
      </c>
      <c r="L323" s="37" t="s">
        <v>198</v>
      </c>
      <c r="M323" s="37" t="str">
        <f t="shared" ref="M323:M386" si="32">IF(OR(UPPER(TRIM(F323))="GENERAL",UPPER(TRIM(F323))="GENRAL"),"General",IF(UPPER(TRIM(F323))="ICU","ICU","Unknown"))</f>
        <v>General</v>
      </c>
      <c r="N323" s="37" t="str">
        <f t="shared" si="30"/>
        <v>UPI</v>
      </c>
      <c r="O323" s="37" t="str" cm="1">
        <f t="array" ref="O323">IF(TRIM(N323)="",INDEX($N$2:$N$1500,MATCH(MAX(COUNTIF($N$2:$N$1500,$N$2:$N$1500)),COUNTIF($N$2:$N$1500,$N$2:$N$1500),0)),N323)</f>
        <v>UPI</v>
      </c>
      <c r="P323" s="38" cm="1">
        <f t="array" ref="P323">ROUND(IF(TRIM(H323)="",IFERROR(MEDIAN(IF($M$2:$M$1500=M323,$H$2:$H$1500)),MEDIAN($H$2:$H$1500)),H323),2)</f>
        <v>2.2000000000000002</v>
      </c>
      <c r="Q323" s="38" t="str">
        <f t="shared" ref="Q323:Q386" si="33">IF(OR(LOWER(TRIM(G323))="0",LOWER(TRIM(G323))="zero"),"0", IF(OR(LOWER(TRIM(G323))="1",LOWER(TRIM(G323))="one"),"1", IF(OR(LOWER(TRIM(G323))="2",LOWER(TRIM(G323))="two"),"2", IF(OR(LOWER(TRIM(G323))="2+",LOWER(TRIM(G323))="two_or_more",LOWER(TRIM(G323))="multiple"),"2+", "Unknown"))))</f>
        <v>2</v>
      </c>
      <c r="R323" s="39" cm="1">
        <f t="array" ref="R323">IF(OR(TRIM(J323)="",TRIM(J323)="-"),MEDIAN(IF($C$2:$C$1218=C323,$J$2:$J$1218)),VALUE(SUBSTITUTE(SUBSTITUTE(SUBSTITUTE(J323,"Rs. ",""),"₹",""),",","")))</f>
        <v>18853</v>
      </c>
      <c r="S323" s="40">
        <f t="shared" si="31"/>
        <v>5</v>
      </c>
      <c r="T323" s="41">
        <f t="shared" ref="T323:T386" si="34">ROUND(IF(OR(TRIM(S323)="-",UPPER(TRIM(S323))="N/A",UPPER(TRIM(S323))="NA"),IFERROR(AVERAGEIF($O$2:$O$1500,O323,$S$2:$S$1500),AVERAGE($S$2:$S$1500)),S323),0)</f>
        <v>5</v>
      </c>
      <c r="U323" s="42">
        <f t="shared" ref="U323:U386" si="35">ROUND(R323*(1-T323/100),0)</f>
        <v>17910</v>
      </c>
    </row>
    <row r="324" spans="1:21" x14ac:dyDescent="0.3">
      <c r="A324" s="37" t="s">
        <v>3230</v>
      </c>
      <c r="B324" s="37" t="s">
        <v>3231</v>
      </c>
      <c r="C324" s="37" t="s">
        <v>2422</v>
      </c>
      <c r="D324" s="37" t="s">
        <v>25</v>
      </c>
      <c r="E324" s="37" t="s">
        <v>54</v>
      </c>
      <c r="F324" s="37" t="s">
        <v>101</v>
      </c>
      <c r="G324" s="37" t="s">
        <v>2418</v>
      </c>
      <c r="H324" s="37">
        <v>8.89</v>
      </c>
      <c r="I324" s="37">
        <v>33</v>
      </c>
      <c r="J324" s="37" t="s">
        <v>3232</v>
      </c>
      <c r="K324" s="37" t="s">
        <v>115</v>
      </c>
      <c r="L324" s="37">
        <v>0</v>
      </c>
      <c r="M324" s="37" t="str">
        <f t="shared" si="32"/>
        <v>ICU</v>
      </c>
      <c r="N324" s="37" t="str">
        <f t="shared" si="30"/>
        <v>Cash</v>
      </c>
      <c r="O324" s="37" t="str" cm="1">
        <f t="array" ref="O324">IF(TRIM(N324)="",INDEX($N$2:$N$1500,MATCH(MAX(COUNTIF($N$2:$N$1500,$N$2:$N$1500)),COUNTIF($N$2:$N$1500,$N$2:$N$1500),0)),N324)</f>
        <v>Cash</v>
      </c>
      <c r="P324" s="38" cm="1">
        <f t="array" ref="P324">ROUND(IF(TRIM(H324)="",IFERROR(MEDIAN(IF($M$2:$M$1500=M324,$H$2:$H$1500)),MEDIAN($H$2:$H$1500)),H324),2)</f>
        <v>8.89</v>
      </c>
      <c r="Q324" s="38" t="str">
        <f t="shared" si="33"/>
        <v>1</v>
      </c>
      <c r="R324" s="39" cm="1">
        <f t="array" ref="R324">IF(OR(TRIM(J324)="",TRIM(J324)="-"),MEDIAN(IF($C$2:$C$1218=C324,$J$2:$J$1218)),VALUE(SUBSTITUTE(SUBSTITUTE(SUBSTITUTE(J324,"Rs. ",""),"₹",""),",","")))</f>
        <v>21666</v>
      </c>
      <c r="S324" s="40">
        <f t="shared" si="31"/>
        <v>0</v>
      </c>
      <c r="T324" s="41">
        <f t="shared" si="34"/>
        <v>0</v>
      </c>
      <c r="U324" s="42">
        <f t="shared" si="35"/>
        <v>21666</v>
      </c>
    </row>
    <row r="325" spans="1:21" x14ac:dyDescent="0.3">
      <c r="A325" s="37" t="s">
        <v>3233</v>
      </c>
      <c r="B325" s="37" t="s">
        <v>3234</v>
      </c>
      <c r="C325" s="37" t="s">
        <v>2473</v>
      </c>
      <c r="D325" s="37" t="s">
        <v>78</v>
      </c>
      <c r="E325" s="37" t="s">
        <v>161</v>
      </c>
      <c r="F325" s="37" t="s">
        <v>30</v>
      </c>
      <c r="G325" s="37" t="s">
        <v>2418</v>
      </c>
      <c r="H325" s="37">
        <v>16.89</v>
      </c>
      <c r="I325" s="37">
        <v>56</v>
      </c>
      <c r="J325" s="37" t="s">
        <v>3235</v>
      </c>
      <c r="K325" s="37" t="s">
        <v>104</v>
      </c>
      <c r="L325" s="37">
        <v>5</v>
      </c>
      <c r="M325" s="37" t="str">
        <f t="shared" si="32"/>
        <v>General</v>
      </c>
      <c r="N325" s="37" t="str">
        <f t="shared" si="30"/>
        <v>Insurance</v>
      </c>
      <c r="O325" s="37" t="str" cm="1">
        <f t="array" ref="O325">IF(TRIM(N325)="",INDEX($N$2:$N$1500,MATCH(MAX(COUNTIF($N$2:$N$1500,$N$2:$N$1500)),COUNTIF($N$2:$N$1500,$N$2:$N$1500),0)),N325)</f>
        <v>Insurance</v>
      </c>
      <c r="P325" s="38" cm="1">
        <f t="array" ref="P325">ROUND(IF(TRIM(H325)="",IFERROR(MEDIAN(IF($M$2:$M$1500=M325,$H$2:$H$1500)),MEDIAN($H$2:$H$1500)),H325),2)</f>
        <v>16.89</v>
      </c>
      <c r="Q325" s="38" t="str">
        <f t="shared" si="33"/>
        <v>1</v>
      </c>
      <c r="R325" s="39" cm="1">
        <f t="array" ref="R325">IF(OR(TRIM(J325)="",TRIM(J325)="-"),MEDIAN(IF($C$2:$C$1218=C325,$J$2:$J$1218)),VALUE(SUBSTITUTE(SUBSTITUTE(SUBSTITUTE(J325,"Rs. ",""),"₹",""),",","")))</f>
        <v>12153</v>
      </c>
      <c r="S325" s="40">
        <f t="shared" si="31"/>
        <v>5</v>
      </c>
      <c r="T325" s="41">
        <f t="shared" si="34"/>
        <v>5</v>
      </c>
      <c r="U325" s="42">
        <f t="shared" si="35"/>
        <v>11545</v>
      </c>
    </row>
    <row r="326" spans="1:21" x14ac:dyDescent="0.3">
      <c r="A326" s="37" t="s">
        <v>3236</v>
      </c>
      <c r="B326" s="37" t="s">
        <v>3090</v>
      </c>
      <c r="C326" s="37" t="s">
        <v>2536</v>
      </c>
      <c r="D326" s="37" t="s">
        <v>117</v>
      </c>
      <c r="E326" s="37" t="s">
        <v>182</v>
      </c>
      <c r="F326" s="37" t="s">
        <v>39</v>
      </c>
      <c r="G326" s="37" t="s">
        <v>2477</v>
      </c>
      <c r="H326" s="37">
        <v>18.329999999999998</v>
      </c>
      <c r="I326" s="37">
        <v>51</v>
      </c>
      <c r="J326" s="37">
        <v>19587</v>
      </c>
      <c r="K326" s="37" t="s">
        <v>52</v>
      </c>
      <c r="L326" s="37" t="s">
        <v>130</v>
      </c>
      <c r="M326" s="37" t="str">
        <f t="shared" si="32"/>
        <v>General</v>
      </c>
      <c r="N326" s="37" t="str">
        <f t="shared" si="30"/>
        <v>Credit Card</v>
      </c>
      <c r="O326" s="37" t="str" cm="1">
        <f t="array" ref="O326">IF(TRIM(N326)="",INDEX($N$2:$N$1500,MATCH(MAX(COUNTIF($N$2:$N$1500,$N$2:$N$1500)),COUNTIF($N$2:$N$1500,$N$2:$N$1500),0)),N326)</f>
        <v>Credit Card</v>
      </c>
      <c r="P326" s="38" cm="1">
        <f t="array" ref="P326">ROUND(IF(TRIM(H326)="",IFERROR(MEDIAN(IF($M$2:$M$1500=M326,$H$2:$H$1500)),MEDIAN($H$2:$H$1500)),H326),2)</f>
        <v>18.329999999999998</v>
      </c>
      <c r="Q326" s="38" t="str">
        <f t="shared" si="33"/>
        <v>0</v>
      </c>
      <c r="R326" s="39" cm="1">
        <f t="array" ref="R326">IF(OR(TRIM(J326)="",TRIM(J326)="-"),MEDIAN(IF($C$2:$C$1218=C326,$J$2:$J$1218)),VALUE(SUBSTITUTE(SUBSTITUTE(SUBSTITUTE(J326,"Rs. ",""),"₹",""),",","")))</f>
        <v>19587</v>
      </c>
      <c r="S326" s="40">
        <f t="shared" si="31"/>
        <v>0</v>
      </c>
      <c r="T326" s="41">
        <f t="shared" si="34"/>
        <v>0</v>
      </c>
      <c r="U326" s="42">
        <f t="shared" si="35"/>
        <v>19587</v>
      </c>
    </row>
    <row r="327" spans="1:21" x14ac:dyDescent="0.3">
      <c r="A327" s="37" t="s">
        <v>3237</v>
      </c>
      <c r="B327" s="37" t="s">
        <v>2762</v>
      </c>
      <c r="C327" s="37" t="s">
        <v>2473</v>
      </c>
      <c r="D327" s="37" t="s">
        <v>117</v>
      </c>
      <c r="E327" s="37" t="s">
        <v>127</v>
      </c>
      <c r="F327" s="37" t="s">
        <v>19</v>
      </c>
      <c r="G327" s="37" t="s">
        <v>2505</v>
      </c>
      <c r="H327" s="37">
        <v>15.97</v>
      </c>
      <c r="I327" s="37">
        <v>26</v>
      </c>
      <c r="J327" s="37">
        <v>16847</v>
      </c>
      <c r="K327" s="37" t="s">
        <v>52</v>
      </c>
      <c r="L327" s="37">
        <v>0</v>
      </c>
      <c r="M327" s="37" t="str">
        <f t="shared" si="32"/>
        <v>General</v>
      </c>
      <c r="N327" s="37" t="str">
        <f t="shared" si="30"/>
        <v>Credit Card</v>
      </c>
      <c r="O327" s="37" t="str" cm="1">
        <f t="array" ref="O327">IF(TRIM(N327)="",INDEX($N$2:$N$1500,MATCH(MAX(COUNTIF($N$2:$N$1500,$N$2:$N$1500)),COUNTIF($N$2:$N$1500,$N$2:$N$1500),0)),N327)</f>
        <v>Credit Card</v>
      </c>
      <c r="P327" s="38" cm="1">
        <f t="array" ref="P327">ROUND(IF(TRIM(H327)="",IFERROR(MEDIAN(IF($M$2:$M$1500=M327,$H$2:$H$1500)),MEDIAN($H$2:$H$1500)),H327),2)</f>
        <v>15.97</v>
      </c>
      <c r="Q327" s="38" t="str">
        <f t="shared" si="33"/>
        <v>2+</v>
      </c>
      <c r="R327" s="39" cm="1">
        <f t="array" ref="R327">IF(OR(TRIM(J327)="",TRIM(J327)="-"),MEDIAN(IF($C$2:$C$1218=C327,$J$2:$J$1218)),VALUE(SUBSTITUTE(SUBSTITUTE(SUBSTITUTE(J327,"Rs. ",""),"₹",""),",","")))</f>
        <v>16847</v>
      </c>
      <c r="S327" s="40">
        <f t="shared" si="31"/>
        <v>0</v>
      </c>
      <c r="T327" s="41">
        <f t="shared" si="34"/>
        <v>0</v>
      </c>
      <c r="U327" s="42">
        <f t="shared" si="35"/>
        <v>16847</v>
      </c>
    </row>
    <row r="328" spans="1:21" x14ac:dyDescent="0.3">
      <c r="A328" s="37" t="s">
        <v>3238</v>
      </c>
      <c r="B328" s="37" t="s">
        <v>3239</v>
      </c>
      <c r="C328" s="37" t="s">
        <v>2521</v>
      </c>
      <c r="D328" s="37" t="s">
        <v>14</v>
      </c>
      <c r="E328" s="37" t="s">
        <v>60</v>
      </c>
      <c r="F328" s="37" t="s">
        <v>49</v>
      </c>
      <c r="G328" s="37" t="s">
        <v>2408</v>
      </c>
      <c r="H328" s="37">
        <v>23.31</v>
      </c>
      <c r="I328" s="37">
        <v>41</v>
      </c>
      <c r="J328" s="37" t="s">
        <v>3240</v>
      </c>
      <c r="K328" s="37" t="s">
        <v>34</v>
      </c>
      <c r="L328" s="37"/>
      <c r="M328" s="37" t="str">
        <f t="shared" si="32"/>
        <v>General</v>
      </c>
      <c r="N328" s="37" t="str">
        <f t="shared" si="30"/>
        <v>Cash</v>
      </c>
      <c r="O328" s="37" t="str" cm="1">
        <f t="array" ref="O328">IF(TRIM(N328)="",INDEX($N$2:$N$1500,MATCH(MAX(COUNTIF($N$2:$N$1500,$N$2:$N$1500)),COUNTIF($N$2:$N$1500,$N$2:$N$1500),0)),N328)</f>
        <v>Cash</v>
      </c>
      <c r="P328" s="38" cm="1">
        <f t="array" ref="P328">ROUND(IF(TRIM(H328)="",IFERROR(MEDIAN(IF($M$2:$M$1500=M328,$H$2:$H$1500)),MEDIAN($H$2:$H$1500)),H328),2)</f>
        <v>23.31</v>
      </c>
      <c r="Q328" s="38" t="str">
        <f t="shared" si="33"/>
        <v>0</v>
      </c>
      <c r="R328" s="39" cm="1">
        <f t="array" ref="R328">IF(OR(TRIM(J328)="",TRIM(J328)="-"),MEDIAN(IF($C$2:$C$1218=C328,$J$2:$J$1218)),VALUE(SUBSTITUTE(SUBSTITUTE(SUBSTITUTE(J328,"Rs. ",""),"₹",""),",","")))</f>
        <v>8200</v>
      </c>
      <c r="S328" s="40">
        <f t="shared" si="31"/>
        <v>0</v>
      </c>
      <c r="T328" s="41">
        <f t="shared" si="34"/>
        <v>0</v>
      </c>
      <c r="U328" s="42">
        <f t="shared" si="35"/>
        <v>8200</v>
      </c>
    </row>
    <row r="329" spans="1:21" x14ac:dyDescent="0.3">
      <c r="A329" s="37" t="s">
        <v>3241</v>
      </c>
      <c r="B329" s="37" t="s">
        <v>2660</v>
      </c>
      <c r="C329" s="37" t="s">
        <v>2407</v>
      </c>
      <c r="D329" s="37" t="s">
        <v>117</v>
      </c>
      <c r="E329" s="37" t="s">
        <v>118</v>
      </c>
      <c r="F329" s="37" t="s">
        <v>49</v>
      </c>
      <c r="G329" s="37" t="s">
        <v>2477</v>
      </c>
      <c r="H329" s="37">
        <v>4.6900000000000004</v>
      </c>
      <c r="I329" s="37">
        <v>39</v>
      </c>
      <c r="J329" s="37" t="s">
        <v>3242</v>
      </c>
      <c r="K329" s="37" t="s">
        <v>72</v>
      </c>
      <c r="L329" s="37">
        <v>10</v>
      </c>
      <c r="M329" s="37" t="str">
        <f t="shared" si="32"/>
        <v>General</v>
      </c>
      <c r="N329" s="37" t="str">
        <f t="shared" si="30"/>
        <v>Cash</v>
      </c>
      <c r="O329" s="37" t="str" cm="1">
        <f t="array" ref="O329">IF(TRIM(N329)="",INDEX($N$2:$N$1500,MATCH(MAX(COUNTIF($N$2:$N$1500,$N$2:$N$1500)),COUNTIF($N$2:$N$1500,$N$2:$N$1500),0)),N329)</f>
        <v>Cash</v>
      </c>
      <c r="P329" s="38" cm="1">
        <f t="array" ref="P329">ROUND(IF(TRIM(H329)="",IFERROR(MEDIAN(IF($M$2:$M$1500=M329,$H$2:$H$1500)),MEDIAN($H$2:$H$1500)),H329),2)</f>
        <v>4.6900000000000004</v>
      </c>
      <c r="Q329" s="38" t="str">
        <f t="shared" si="33"/>
        <v>0</v>
      </c>
      <c r="R329" s="39" cm="1">
        <f t="array" ref="R329">IF(OR(TRIM(J329)="",TRIM(J329)="-"),MEDIAN(IF($C$2:$C$1218=C329,$J$2:$J$1218)),VALUE(SUBSTITUTE(SUBSTITUTE(SUBSTITUTE(J329,"Rs. ",""),"₹",""),",","")))</f>
        <v>14359</v>
      </c>
      <c r="S329" s="40">
        <f t="shared" si="31"/>
        <v>10</v>
      </c>
      <c r="T329" s="41">
        <f t="shared" si="34"/>
        <v>10</v>
      </c>
      <c r="U329" s="42">
        <f t="shared" si="35"/>
        <v>12923</v>
      </c>
    </row>
    <row r="330" spans="1:21" x14ac:dyDescent="0.3">
      <c r="A330" s="37" t="s">
        <v>3243</v>
      </c>
      <c r="B330" s="37" t="s">
        <v>3244</v>
      </c>
      <c r="C330" s="37" t="s">
        <v>2629</v>
      </c>
      <c r="D330" s="37" t="s">
        <v>14</v>
      </c>
      <c r="E330" s="37" t="s">
        <v>60</v>
      </c>
      <c r="F330" s="37" t="s">
        <v>62</v>
      </c>
      <c r="G330" s="37" t="s">
        <v>2408</v>
      </c>
      <c r="H330" s="37">
        <v>21.57</v>
      </c>
      <c r="I330" s="37">
        <v>7</v>
      </c>
      <c r="J330" s="37" t="s">
        <v>3245</v>
      </c>
      <c r="K330" s="37" t="s">
        <v>211</v>
      </c>
      <c r="L330" s="37" t="s">
        <v>64</v>
      </c>
      <c r="M330" s="37" t="str">
        <f t="shared" si="32"/>
        <v>ICU</v>
      </c>
      <c r="N330" s="37" t="str">
        <f t="shared" si="30"/>
        <v>Credit Card</v>
      </c>
      <c r="O330" s="37" t="str" cm="1">
        <f t="array" ref="O330">IF(TRIM(N330)="",INDEX($N$2:$N$1500,MATCH(MAX(COUNTIF($N$2:$N$1500,$N$2:$N$1500)),COUNTIF($N$2:$N$1500,$N$2:$N$1500),0)),N330)</f>
        <v>Credit Card</v>
      </c>
      <c r="P330" s="38" cm="1">
        <f t="array" ref="P330">ROUND(IF(TRIM(H330)="",IFERROR(MEDIAN(IF($M$2:$M$1500=M330,$H$2:$H$1500)),MEDIAN($H$2:$H$1500)),H330),2)</f>
        <v>21.57</v>
      </c>
      <c r="Q330" s="38" t="str">
        <f t="shared" si="33"/>
        <v>0</v>
      </c>
      <c r="R330" s="39" cm="1">
        <f t="array" ref="R330">IF(OR(TRIM(J330)="",TRIM(J330)="-"),MEDIAN(IF($C$2:$C$1218=C330,$J$2:$J$1218)),VALUE(SUBSTITUTE(SUBSTITUTE(SUBSTITUTE(J330,"Rs. ",""),"₹",""),",","")))</f>
        <v>22370</v>
      </c>
      <c r="S330" s="40" t="str">
        <f t="shared" si="31"/>
        <v>NA</v>
      </c>
      <c r="T330" s="41">
        <f t="shared" si="34"/>
        <v>2</v>
      </c>
      <c r="U330" s="42">
        <f t="shared" si="35"/>
        <v>21923</v>
      </c>
    </row>
    <row r="331" spans="1:21" x14ac:dyDescent="0.3">
      <c r="A331" s="37" t="s">
        <v>3246</v>
      </c>
      <c r="B331" s="37" t="s">
        <v>2565</v>
      </c>
      <c r="C331" s="37" t="s">
        <v>2561</v>
      </c>
      <c r="D331" s="37" t="s">
        <v>106</v>
      </c>
      <c r="E331" s="37" t="s">
        <v>107</v>
      </c>
      <c r="F331" s="37" t="s">
        <v>19</v>
      </c>
      <c r="G331" s="37" t="s">
        <v>2423</v>
      </c>
      <c r="H331" s="37">
        <v>21.25</v>
      </c>
      <c r="I331" s="37">
        <v>58</v>
      </c>
      <c r="J331" s="37">
        <v>7221</v>
      </c>
      <c r="K331" s="37" t="s">
        <v>72</v>
      </c>
      <c r="L331" s="37" t="s">
        <v>130</v>
      </c>
      <c r="M331" s="37" t="str">
        <f t="shared" si="32"/>
        <v>General</v>
      </c>
      <c r="N331" s="37" t="str">
        <f t="shared" si="30"/>
        <v>Cash</v>
      </c>
      <c r="O331" s="37" t="str" cm="1">
        <f t="array" ref="O331">IF(TRIM(N331)="",INDEX($N$2:$N$1500,MATCH(MAX(COUNTIF($N$2:$N$1500,$N$2:$N$1500)),COUNTIF($N$2:$N$1500,$N$2:$N$1500),0)),N331)</f>
        <v>Cash</v>
      </c>
      <c r="P331" s="38" cm="1">
        <f t="array" ref="P331">ROUND(IF(TRIM(H331)="",IFERROR(MEDIAN(IF($M$2:$M$1500=M331,$H$2:$H$1500)),MEDIAN($H$2:$H$1500)),H331),2)</f>
        <v>21.25</v>
      </c>
      <c r="Q331" s="38" t="str">
        <f t="shared" si="33"/>
        <v>0</v>
      </c>
      <c r="R331" s="39" cm="1">
        <f t="array" ref="R331">IF(OR(TRIM(J331)="",TRIM(J331)="-"),MEDIAN(IF($C$2:$C$1218=C331,$J$2:$J$1218)),VALUE(SUBSTITUTE(SUBSTITUTE(SUBSTITUTE(J331,"Rs. ",""),"₹",""),",","")))</f>
        <v>7221</v>
      </c>
      <c r="S331" s="40">
        <f t="shared" si="31"/>
        <v>0</v>
      </c>
      <c r="T331" s="41">
        <f t="shared" si="34"/>
        <v>0</v>
      </c>
      <c r="U331" s="42">
        <f t="shared" si="35"/>
        <v>7221</v>
      </c>
    </row>
    <row r="332" spans="1:21" x14ac:dyDescent="0.3">
      <c r="A332" s="37" t="s">
        <v>3247</v>
      </c>
      <c r="B332" s="37" t="s">
        <v>3248</v>
      </c>
      <c r="C332" s="37" t="s">
        <v>2532</v>
      </c>
      <c r="D332" s="37" t="s">
        <v>106</v>
      </c>
      <c r="E332" s="37" t="s">
        <v>307</v>
      </c>
      <c r="F332" s="37" t="s">
        <v>49</v>
      </c>
      <c r="G332" s="37" t="s">
        <v>2455</v>
      </c>
      <c r="H332" s="37">
        <v>7.56</v>
      </c>
      <c r="I332" s="37">
        <v>15</v>
      </c>
      <c r="J332" s="37" t="s">
        <v>3249</v>
      </c>
      <c r="K332" s="37" t="s">
        <v>58</v>
      </c>
      <c r="L332" s="37">
        <v>5</v>
      </c>
      <c r="M332" s="37" t="str">
        <f t="shared" si="32"/>
        <v>General</v>
      </c>
      <c r="N332" s="37" t="str">
        <f t="shared" si="30"/>
        <v>UPI</v>
      </c>
      <c r="O332" s="37" t="str" cm="1">
        <f t="array" ref="O332">IF(TRIM(N332)="",INDEX($N$2:$N$1500,MATCH(MAX(COUNTIF($N$2:$N$1500,$N$2:$N$1500)),COUNTIF($N$2:$N$1500,$N$2:$N$1500),0)),N332)</f>
        <v>UPI</v>
      </c>
      <c r="P332" s="38" cm="1">
        <f t="array" ref="P332">ROUND(IF(TRIM(H332)="",IFERROR(MEDIAN(IF($M$2:$M$1500=M332,$H$2:$H$1500)),MEDIAN($H$2:$H$1500)),H332),2)</f>
        <v>7.56</v>
      </c>
      <c r="Q332" s="38" t="str">
        <f t="shared" si="33"/>
        <v>1</v>
      </c>
      <c r="R332" s="39" cm="1">
        <f t="array" ref="R332">IF(OR(TRIM(J332)="",TRIM(J332)="-"),MEDIAN(IF($C$2:$C$1218=C332,$J$2:$J$1218)),VALUE(SUBSTITUTE(SUBSTITUTE(SUBSTITUTE(J332,"Rs. ",""),"₹",""),",","")))</f>
        <v>4510</v>
      </c>
      <c r="S332" s="40">
        <f t="shared" si="31"/>
        <v>5</v>
      </c>
      <c r="T332" s="41">
        <f t="shared" si="34"/>
        <v>5</v>
      </c>
      <c r="U332" s="42">
        <f t="shared" si="35"/>
        <v>4285</v>
      </c>
    </row>
    <row r="333" spans="1:21" x14ac:dyDescent="0.3">
      <c r="A333" s="37" t="s">
        <v>3250</v>
      </c>
      <c r="B333" s="37" t="s">
        <v>3251</v>
      </c>
      <c r="C333" s="37" t="s">
        <v>2449</v>
      </c>
      <c r="D333" s="37" t="s">
        <v>78</v>
      </c>
      <c r="E333" s="37" t="s">
        <v>161</v>
      </c>
      <c r="F333" s="37" t="s">
        <v>30</v>
      </c>
      <c r="G333" s="37" t="s">
        <v>2455</v>
      </c>
      <c r="H333" s="37">
        <v>22.2</v>
      </c>
      <c r="I333" s="37">
        <v>18</v>
      </c>
      <c r="J333" s="37" t="s">
        <v>3252</v>
      </c>
      <c r="K333" s="37" t="s">
        <v>97</v>
      </c>
      <c r="L333" s="37" t="s">
        <v>130</v>
      </c>
      <c r="M333" s="37" t="str">
        <f t="shared" si="32"/>
        <v>General</v>
      </c>
      <c r="N333" s="37" t="str">
        <f t="shared" si="30"/>
        <v>UPI</v>
      </c>
      <c r="O333" s="37" t="str" cm="1">
        <f t="array" ref="O333">IF(TRIM(N333)="",INDEX($N$2:$N$1500,MATCH(MAX(COUNTIF($N$2:$N$1500,$N$2:$N$1500)),COUNTIF($N$2:$N$1500,$N$2:$N$1500),0)),N333)</f>
        <v>UPI</v>
      </c>
      <c r="P333" s="38" cm="1">
        <f t="array" ref="P333">ROUND(IF(TRIM(H333)="",IFERROR(MEDIAN(IF($M$2:$M$1500=M333,$H$2:$H$1500)),MEDIAN($H$2:$H$1500)),H333),2)</f>
        <v>22.2</v>
      </c>
      <c r="Q333" s="38" t="str">
        <f t="shared" si="33"/>
        <v>1</v>
      </c>
      <c r="R333" s="39" cm="1">
        <f t="array" ref="R333">IF(OR(TRIM(J333)="",TRIM(J333)="-"),MEDIAN(IF($C$2:$C$1218=C333,$J$2:$J$1218)),VALUE(SUBSTITUTE(SUBSTITUTE(SUBSTITUTE(J333,"Rs. ",""),"₹",""),",","")))</f>
        <v>19751</v>
      </c>
      <c r="S333" s="40">
        <f t="shared" si="31"/>
        <v>0</v>
      </c>
      <c r="T333" s="41">
        <f t="shared" si="34"/>
        <v>0</v>
      </c>
      <c r="U333" s="42">
        <f t="shared" si="35"/>
        <v>19751</v>
      </c>
    </row>
    <row r="334" spans="1:21" x14ac:dyDescent="0.3">
      <c r="A334" s="37" t="s">
        <v>3253</v>
      </c>
      <c r="B334" s="37" t="s">
        <v>3254</v>
      </c>
      <c r="C334" s="37" t="s">
        <v>2445</v>
      </c>
      <c r="D334" s="37" t="s">
        <v>45</v>
      </c>
      <c r="E334" s="37" t="s">
        <v>334</v>
      </c>
      <c r="F334" s="37" t="s">
        <v>62</v>
      </c>
      <c r="G334" s="37" t="s">
        <v>2439</v>
      </c>
      <c r="H334" s="37">
        <v>6.69</v>
      </c>
      <c r="I334" s="37">
        <v>16</v>
      </c>
      <c r="J334" s="37">
        <v>64388</v>
      </c>
      <c r="K334" s="37" t="s">
        <v>115</v>
      </c>
      <c r="L334" s="37" t="s">
        <v>130</v>
      </c>
      <c r="M334" s="37" t="str">
        <f t="shared" si="32"/>
        <v>ICU</v>
      </c>
      <c r="N334" s="37" t="str">
        <f t="shared" si="30"/>
        <v>Cash</v>
      </c>
      <c r="O334" s="37" t="str" cm="1">
        <f t="array" ref="O334">IF(TRIM(N334)="",INDEX($N$2:$N$1500,MATCH(MAX(COUNTIF($N$2:$N$1500,$N$2:$N$1500)),COUNTIF($N$2:$N$1500,$N$2:$N$1500),0)),N334)</f>
        <v>Cash</v>
      </c>
      <c r="P334" s="38" cm="1">
        <f t="array" ref="P334">ROUND(IF(TRIM(H334)="",IFERROR(MEDIAN(IF($M$2:$M$1500=M334,$H$2:$H$1500)),MEDIAN($H$2:$H$1500)),H334),2)</f>
        <v>6.69</v>
      </c>
      <c r="Q334" s="38" t="str">
        <f t="shared" si="33"/>
        <v>2</v>
      </c>
      <c r="R334" s="39" cm="1">
        <f t="array" ref="R334">IF(OR(TRIM(J334)="",TRIM(J334)="-"),MEDIAN(IF($C$2:$C$1218=C334,$J$2:$J$1218)),VALUE(SUBSTITUTE(SUBSTITUTE(SUBSTITUTE(J334,"Rs. ",""),"₹",""),",","")))</f>
        <v>64388</v>
      </c>
      <c r="S334" s="40">
        <f t="shared" si="31"/>
        <v>0</v>
      </c>
      <c r="T334" s="41">
        <f t="shared" si="34"/>
        <v>0</v>
      </c>
      <c r="U334" s="42">
        <f t="shared" si="35"/>
        <v>64388</v>
      </c>
    </row>
    <row r="335" spans="1:21" x14ac:dyDescent="0.3">
      <c r="A335" s="37" t="s">
        <v>3255</v>
      </c>
      <c r="B335" s="37" t="s">
        <v>3256</v>
      </c>
      <c r="C335" s="37" t="s">
        <v>2445</v>
      </c>
      <c r="D335" s="37" t="s">
        <v>117</v>
      </c>
      <c r="E335" s="37" t="s">
        <v>127</v>
      </c>
      <c r="F335" s="37" t="s">
        <v>62</v>
      </c>
      <c r="G335" s="37"/>
      <c r="H335" s="37">
        <v>12.87</v>
      </c>
      <c r="I335" s="37">
        <v>48</v>
      </c>
      <c r="J335" s="37">
        <v>31757</v>
      </c>
      <c r="K335" s="37" t="s">
        <v>52</v>
      </c>
      <c r="L335" s="37" t="s">
        <v>130</v>
      </c>
      <c r="M335" s="37" t="str">
        <f t="shared" si="32"/>
        <v>ICU</v>
      </c>
      <c r="N335" s="37" t="str">
        <f t="shared" si="30"/>
        <v>Credit Card</v>
      </c>
      <c r="O335" s="37" t="str" cm="1">
        <f t="array" ref="O335">IF(TRIM(N335)="",INDEX($N$2:$N$1500,MATCH(MAX(COUNTIF($N$2:$N$1500,$N$2:$N$1500)),COUNTIF($N$2:$N$1500,$N$2:$N$1500),0)),N335)</f>
        <v>Credit Card</v>
      </c>
      <c r="P335" s="38" cm="1">
        <f t="array" ref="P335">ROUND(IF(TRIM(H335)="",IFERROR(MEDIAN(IF($M$2:$M$1500=M335,$H$2:$H$1500)),MEDIAN($H$2:$H$1500)),H335),2)</f>
        <v>12.87</v>
      </c>
      <c r="Q335" s="38" t="str">
        <f t="shared" si="33"/>
        <v>Unknown</v>
      </c>
      <c r="R335" s="39" cm="1">
        <f t="array" ref="R335">IF(OR(TRIM(J335)="",TRIM(J335)="-"),MEDIAN(IF($C$2:$C$1218=C335,$J$2:$J$1218)),VALUE(SUBSTITUTE(SUBSTITUTE(SUBSTITUTE(J335,"Rs. ",""),"₹",""),",","")))</f>
        <v>31757</v>
      </c>
      <c r="S335" s="40">
        <f t="shared" si="31"/>
        <v>0</v>
      </c>
      <c r="T335" s="41">
        <f t="shared" si="34"/>
        <v>0</v>
      </c>
      <c r="U335" s="42">
        <f t="shared" si="35"/>
        <v>31757</v>
      </c>
    </row>
    <row r="336" spans="1:21" x14ac:dyDescent="0.3">
      <c r="A336" s="37" t="s">
        <v>3257</v>
      </c>
      <c r="B336" s="37" t="s">
        <v>3258</v>
      </c>
      <c r="C336" s="37" t="s">
        <v>2481</v>
      </c>
      <c r="D336" s="37" t="s">
        <v>106</v>
      </c>
      <c r="E336" s="37" t="s">
        <v>307</v>
      </c>
      <c r="F336" s="37" t="s">
        <v>19</v>
      </c>
      <c r="G336" s="37" t="s">
        <v>2423</v>
      </c>
      <c r="H336" s="37"/>
      <c r="I336" s="37">
        <v>57</v>
      </c>
      <c r="J336" s="37" t="s">
        <v>3259</v>
      </c>
      <c r="K336" s="37" t="s">
        <v>52</v>
      </c>
      <c r="L336" s="37" t="s">
        <v>198</v>
      </c>
      <c r="M336" s="37" t="str">
        <f t="shared" si="32"/>
        <v>General</v>
      </c>
      <c r="N336" s="37" t="str">
        <f t="shared" si="30"/>
        <v>Credit Card</v>
      </c>
      <c r="O336" s="37" t="str" cm="1">
        <f t="array" ref="O336">IF(TRIM(N336)="",INDEX($N$2:$N$1500,MATCH(MAX(COUNTIF($N$2:$N$1500,$N$2:$N$1500)),COUNTIF($N$2:$N$1500,$N$2:$N$1500),0)),N336)</f>
        <v>Credit Card</v>
      </c>
      <c r="P336" s="38" cm="1">
        <f t="array" ref="P336">ROUND(IF(TRIM(H336)="",IFERROR(MEDIAN(IF($M$2:$M$1500=M336,$H$2:$H$1500)),MEDIAN($H$2:$H$1500)),H336),2)</f>
        <v>12.02</v>
      </c>
      <c r="Q336" s="38" t="str">
        <f t="shared" si="33"/>
        <v>0</v>
      </c>
      <c r="R336" s="39" cm="1">
        <f t="array" ref="R336">IF(OR(TRIM(J336)="",TRIM(J336)="-"),MEDIAN(IF($C$2:$C$1218=C336,$J$2:$J$1218)),VALUE(SUBSTITUTE(SUBSTITUTE(SUBSTITUTE(J336,"Rs. ",""),"₹",""),",","")))</f>
        <v>18048</v>
      </c>
      <c r="S336" s="40">
        <f t="shared" si="31"/>
        <v>5</v>
      </c>
      <c r="T336" s="41">
        <f t="shared" si="34"/>
        <v>5</v>
      </c>
      <c r="U336" s="42">
        <f t="shared" si="35"/>
        <v>17146</v>
      </c>
    </row>
    <row r="337" spans="1:21" x14ac:dyDescent="0.3">
      <c r="A337" s="37" t="s">
        <v>3260</v>
      </c>
      <c r="B337" s="37" t="s">
        <v>3261</v>
      </c>
      <c r="C337" s="37" t="s">
        <v>2561</v>
      </c>
      <c r="D337" s="37" t="s">
        <v>14</v>
      </c>
      <c r="E337" s="37" t="s">
        <v>15</v>
      </c>
      <c r="F337" s="37" t="s">
        <v>30</v>
      </c>
      <c r="G337" s="37" t="s">
        <v>2412</v>
      </c>
      <c r="H337" s="37">
        <v>7.52</v>
      </c>
      <c r="I337" s="37">
        <v>40</v>
      </c>
      <c r="J337" s="37" t="s">
        <v>3262</v>
      </c>
      <c r="K337" s="37" t="s">
        <v>87</v>
      </c>
      <c r="L337" s="37" t="s">
        <v>130</v>
      </c>
      <c r="M337" s="37" t="str">
        <f t="shared" si="32"/>
        <v>General</v>
      </c>
      <c r="N337" s="37" t="str">
        <f t="shared" si="30"/>
        <v>Credit Card</v>
      </c>
      <c r="O337" s="37" t="str" cm="1">
        <f t="array" ref="O337">IF(TRIM(N337)="",INDEX($N$2:$N$1500,MATCH(MAX(COUNTIF($N$2:$N$1500,$N$2:$N$1500)),COUNTIF($N$2:$N$1500,$N$2:$N$1500),0)),N337)</f>
        <v>Credit Card</v>
      </c>
      <c r="P337" s="38" cm="1">
        <f t="array" ref="P337">ROUND(IF(TRIM(H337)="",IFERROR(MEDIAN(IF($M$2:$M$1500=M337,$H$2:$H$1500)),MEDIAN($H$2:$H$1500)),H337),2)</f>
        <v>7.52</v>
      </c>
      <c r="Q337" s="38" t="str">
        <f t="shared" si="33"/>
        <v>1</v>
      </c>
      <c r="R337" s="39" cm="1">
        <f t="array" ref="R337">IF(OR(TRIM(J337)="",TRIM(J337)="-"),MEDIAN(IF($C$2:$C$1218=C337,$J$2:$J$1218)),VALUE(SUBSTITUTE(SUBSTITUTE(SUBSTITUTE(J337,"Rs. ",""),"₹",""),",","")))</f>
        <v>14120</v>
      </c>
      <c r="S337" s="40">
        <f t="shared" si="31"/>
        <v>0</v>
      </c>
      <c r="T337" s="41">
        <f t="shared" si="34"/>
        <v>0</v>
      </c>
      <c r="U337" s="42">
        <f t="shared" si="35"/>
        <v>14120</v>
      </c>
    </row>
    <row r="338" spans="1:21" x14ac:dyDescent="0.3">
      <c r="A338" s="37" t="s">
        <v>3263</v>
      </c>
      <c r="B338" s="37" t="s">
        <v>3264</v>
      </c>
      <c r="C338" s="37" t="s">
        <v>2449</v>
      </c>
      <c r="D338" s="37" t="s">
        <v>25</v>
      </c>
      <c r="E338" s="37" t="s">
        <v>54</v>
      </c>
      <c r="F338" s="37" t="s">
        <v>19</v>
      </c>
      <c r="G338" s="37" t="s">
        <v>2408</v>
      </c>
      <c r="H338" s="37">
        <v>3.87</v>
      </c>
      <c r="I338" s="37">
        <v>39</v>
      </c>
      <c r="J338" s="37">
        <v>16232</v>
      </c>
      <c r="K338" s="37" t="s">
        <v>72</v>
      </c>
      <c r="L338" s="37" t="s">
        <v>64</v>
      </c>
      <c r="M338" s="37" t="str">
        <f t="shared" si="32"/>
        <v>General</v>
      </c>
      <c r="N338" s="37" t="str">
        <f t="shared" si="30"/>
        <v>Cash</v>
      </c>
      <c r="O338" s="37" t="str" cm="1">
        <f t="array" ref="O338">IF(TRIM(N338)="",INDEX($N$2:$N$1500,MATCH(MAX(COUNTIF($N$2:$N$1500,$N$2:$N$1500)),COUNTIF($N$2:$N$1500,$N$2:$N$1500),0)),N338)</f>
        <v>Cash</v>
      </c>
      <c r="P338" s="38" cm="1">
        <f t="array" ref="P338">ROUND(IF(TRIM(H338)="",IFERROR(MEDIAN(IF($M$2:$M$1500=M338,$H$2:$H$1500)),MEDIAN($H$2:$H$1500)),H338),2)</f>
        <v>3.87</v>
      </c>
      <c r="Q338" s="38" t="str">
        <f t="shared" si="33"/>
        <v>0</v>
      </c>
      <c r="R338" s="39" cm="1">
        <f t="array" ref="R338">IF(OR(TRIM(J338)="",TRIM(J338)="-"),MEDIAN(IF($C$2:$C$1218=C338,$J$2:$J$1218)),VALUE(SUBSTITUTE(SUBSTITUTE(SUBSTITUTE(J338,"Rs. ",""),"₹",""),",","")))</f>
        <v>16232</v>
      </c>
      <c r="S338" s="40" t="str">
        <f t="shared" si="31"/>
        <v>NA</v>
      </c>
      <c r="T338" s="41">
        <f t="shared" si="34"/>
        <v>2</v>
      </c>
      <c r="U338" s="42">
        <f t="shared" si="35"/>
        <v>15907</v>
      </c>
    </row>
    <row r="339" spans="1:21" x14ac:dyDescent="0.3">
      <c r="A339" s="37" t="s">
        <v>3265</v>
      </c>
      <c r="B339" s="37" t="s">
        <v>3266</v>
      </c>
      <c r="C339" s="37" t="s">
        <v>2438</v>
      </c>
      <c r="D339" s="37" t="s">
        <v>45</v>
      </c>
      <c r="E339" s="37" t="s">
        <v>46</v>
      </c>
      <c r="F339" s="37" t="s">
        <v>30</v>
      </c>
      <c r="G339" s="37" t="s">
        <v>2408</v>
      </c>
      <c r="H339" s="37">
        <v>24.29</v>
      </c>
      <c r="I339" s="37">
        <v>11</v>
      </c>
      <c r="J339" s="37">
        <v>19356</v>
      </c>
      <c r="K339" s="37" t="s">
        <v>97</v>
      </c>
      <c r="L339" s="37">
        <v>0</v>
      </c>
      <c r="M339" s="37" t="str">
        <f t="shared" si="32"/>
        <v>General</v>
      </c>
      <c r="N339" s="37" t="str">
        <f t="shared" si="30"/>
        <v>UPI</v>
      </c>
      <c r="O339" s="37" t="str" cm="1">
        <f t="array" ref="O339">IF(TRIM(N339)="",INDEX($N$2:$N$1500,MATCH(MAX(COUNTIF($N$2:$N$1500,$N$2:$N$1500)),COUNTIF($N$2:$N$1500,$N$2:$N$1500),0)),N339)</f>
        <v>UPI</v>
      </c>
      <c r="P339" s="38" cm="1">
        <f t="array" ref="P339">ROUND(IF(TRIM(H339)="",IFERROR(MEDIAN(IF($M$2:$M$1500=M339,$H$2:$H$1500)),MEDIAN($H$2:$H$1500)),H339),2)</f>
        <v>24.29</v>
      </c>
      <c r="Q339" s="38" t="str">
        <f t="shared" si="33"/>
        <v>0</v>
      </c>
      <c r="R339" s="39" cm="1">
        <f t="array" ref="R339">IF(OR(TRIM(J339)="",TRIM(J339)="-"),MEDIAN(IF($C$2:$C$1218=C339,$J$2:$J$1218)),VALUE(SUBSTITUTE(SUBSTITUTE(SUBSTITUTE(J339,"Rs. ",""),"₹",""),",","")))</f>
        <v>19356</v>
      </c>
      <c r="S339" s="40">
        <f t="shared" si="31"/>
        <v>0</v>
      </c>
      <c r="T339" s="41">
        <f t="shared" si="34"/>
        <v>0</v>
      </c>
      <c r="U339" s="42">
        <f t="shared" si="35"/>
        <v>19356</v>
      </c>
    </row>
    <row r="340" spans="1:21" x14ac:dyDescent="0.3">
      <c r="A340" s="37" t="s">
        <v>3267</v>
      </c>
      <c r="B340" s="37" t="s">
        <v>3268</v>
      </c>
      <c r="C340" s="37" t="s">
        <v>2463</v>
      </c>
      <c r="D340" s="37" t="s">
        <v>45</v>
      </c>
      <c r="E340" s="37" t="s">
        <v>46</v>
      </c>
      <c r="F340" s="37" t="s">
        <v>39</v>
      </c>
      <c r="G340" s="37" t="s">
        <v>2408</v>
      </c>
      <c r="H340" s="37">
        <v>2.97</v>
      </c>
      <c r="I340" s="37">
        <v>53</v>
      </c>
      <c r="J340" s="37" t="s">
        <v>3269</v>
      </c>
      <c r="K340" s="37" t="s">
        <v>236</v>
      </c>
      <c r="L340" s="37">
        <v>10</v>
      </c>
      <c r="M340" s="37" t="str">
        <f t="shared" si="32"/>
        <v>General</v>
      </c>
      <c r="N340" s="37" t="str">
        <f t="shared" si="30"/>
        <v>Debit Card</v>
      </c>
      <c r="O340" s="37" t="str" cm="1">
        <f t="array" ref="O340">IF(TRIM(N340)="",INDEX($N$2:$N$1500,MATCH(MAX(COUNTIF($N$2:$N$1500,$N$2:$N$1500)),COUNTIF($N$2:$N$1500,$N$2:$N$1500),0)),N340)</f>
        <v>Debit Card</v>
      </c>
      <c r="P340" s="38" cm="1">
        <f t="array" ref="P340">ROUND(IF(TRIM(H340)="",IFERROR(MEDIAN(IF($M$2:$M$1500=M340,$H$2:$H$1500)),MEDIAN($H$2:$H$1500)),H340),2)</f>
        <v>2.97</v>
      </c>
      <c r="Q340" s="38" t="str">
        <f t="shared" si="33"/>
        <v>0</v>
      </c>
      <c r="R340" s="39" cm="1">
        <f t="array" ref="R340">IF(OR(TRIM(J340)="",TRIM(J340)="-"),MEDIAN(IF($C$2:$C$1218=C340,$J$2:$J$1218)),VALUE(SUBSTITUTE(SUBSTITUTE(SUBSTITUTE(J340,"Rs. ",""),"₹",""),",","")))</f>
        <v>10451</v>
      </c>
      <c r="S340" s="40">
        <f t="shared" si="31"/>
        <v>10</v>
      </c>
      <c r="T340" s="41">
        <f t="shared" si="34"/>
        <v>10</v>
      </c>
      <c r="U340" s="42">
        <f t="shared" si="35"/>
        <v>9406</v>
      </c>
    </row>
    <row r="341" spans="1:21" x14ac:dyDescent="0.3">
      <c r="A341" s="37" t="s">
        <v>3270</v>
      </c>
      <c r="B341" s="37" t="s">
        <v>3271</v>
      </c>
      <c r="C341" s="37" t="s">
        <v>2730</v>
      </c>
      <c r="D341" s="37" t="s">
        <v>106</v>
      </c>
      <c r="E341" s="37" t="s">
        <v>107</v>
      </c>
      <c r="F341" s="37" t="s">
        <v>69</v>
      </c>
      <c r="G341" s="37" t="s">
        <v>2423</v>
      </c>
      <c r="H341" s="37">
        <v>24.25</v>
      </c>
      <c r="I341" s="37"/>
      <c r="J341" s="37">
        <v>28517</v>
      </c>
      <c r="K341" s="37" t="s">
        <v>311</v>
      </c>
      <c r="L341" s="37">
        <v>0.1</v>
      </c>
      <c r="M341" s="37" t="str">
        <f t="shared" si="32"/>
        <v>ICU</v>
      </c>
      <c r="N341" s="37" t="str">
        <f t="shared" si="30"/>
        <v>UPI</v>
      </c>
      <c r="O341" s="37" t="str" cm="1">
        <f t="array" ref="O341">IF(TRIM(N341)="",INDEX($N$2:$N$1500,MATCH(MAX(COUNTIF($N$2:$N$1500,$N$2:$N$1500)),COUNTIF($N$2:$N$1500,$N$2:$N$1500),0)),N341)</f>
        <v>UPI</v>
      </c>
      <c r="P341" s="38" cm="1">
        <f t="array" ref="P341">ROUND(IF(TRIM(H341)="",IFERROR(MEDIAN(IF($M$2:$M$1500=M341,$H$2:$H$1500)),MEDIAN($H$2:$H$1500)),H341),2)</f>
        <v>24.25</v>
      </c>
      <c r="Q341" s="38" t="str">
        <f t="shared" si="33"/>
        <v>0</v>
      </c>
      <c r="R341" s="39" cm="1">
        <f t="array" ref="R341">IF(OR(TRIM(J341)="",TRIM(J341)="-"),MEDIAN(IF($C$2:$C$1218=C341,$J$2:$J$1218)),VALUE(SUBSTITUTE(SUBSTITUTE(SUBSTITUTE(J341,"Rs. ",""),"₹",""),",","")))</f>
        <v>28517</v>
      </c>
      <c r="S341" s="40">
        <f t="shared" si="31"/>
        <v>0.1</v>
      </c>
      <c r="T341" s="41">
        <f t="shared" si="34"/>
        <v>0</v>
      </c>
      <c r="U341" s="42">
        <f t="shared" si="35"/>
        <v>28517</v>
      </c>
    </row>
    <row r="342" spans="1:21" x14ac:dyDescent="0.3">
      <c r="A342" s="37" t="s">
        <v>3272</v>
      </c>
      <c r="B342" s="37" t="s">
        <v>2900</v>
      </c>
      <c r="C342" s="37" t="s">
        <v>2415</v>
      </c>
      <c r="D342" s="37" t="s">
        <v>78</v>
      </c>
      <c r="E342" s="37" t="s">
        <v>161</v>
      </c>
      <c r="F342" s="37" t="s">
        <v>30</v>
      </c>
      <c r="G342" s="37" t="s">
        <v>2408</v>
      </c>
      <c r="H342" s="37">
        <v>5.34</v>
      </c>
      <c r="I342" s="37">
        <v>29</v>
      </c>
      <c r="J342" s="37">
        <v>10040</v>
      </c>
      <c r="K342" s="37" t="s">
        <v>167</v>
      </c>
      <c r="L342" s="37"/>
      <c r="M342" s="37" t="str">
        <f t="shared" si="32"/>
        <v>General</v>
      </c>
      <c r="N342" s="37" t="str">
        <f t="shared" si="30"/>
        <v>Insurance</v>
      </c>
      <c r="O342" s="37" t="str" cm="1">
        <f t="array" ref="O342">IF(TRIM(N342)="",INDEX($N$2:$N$1500,MATCH(MAX(COUNTIF($N$2:$N$1500,$N$2:$N$1500)),COUNTIF($N$2:$N$1500,$N$2:$N$1500),0)),N342)</f>
        <v>Insurance</v>
      </c>
      <c r="P342" s="38" cm="1">
        <f t="array" ref="P342">ROUND(IF(TRIM(H342)="",IFERROR(MEDIAN(IF($M$2:$M$1500=M342,$H$2:$H$1500)),MEDIAN($H$2:$H$1500)),H342),2)</f>
        <v>5.34</v>
      </c>
      <c r="Q342" s="38" t="str">
        <f t="shared" si="33"/>
        <v>0</v>
      </c>
      <c r="R342" s="39" cm="1">
        <f t="array" ref="R342">IF(OR(TRIM(J342)="",TRIM(J342)="-"),MEDIAN(IF($C$2:$C$1218=C342,$J$2:$J$1218)),VALUE(SUBSTITUTE(SUBSTITUTE(SUBSTITUTE(J342,"Rs. ",""),"₹",""),",","")))</f>
        <v>10040</v>
      </c>
      <c r="S342" s="40">
        <f t="shared" si="31"/>
        <v>0</v>
      </c>
      <c r="T342" s="41">
        <f t="shared" si="34"/>
        <v>0</v>
      </c>
      <c r="U342" s="42">
        <f t="shared" si="35"/>
        <v>10040</v>
      </c>
    </row>
    <row r="343" spans="1:21" x14ac:dyDescent="0.3">
      <c r="A343" s="37" t="s">
        <v>3273</v>
      </c>
      <c r="B343" s="37" t="s">
        <v>3274</v>
      </c>
      <c r="C343" s="37" t="s">
        <v>2481</v>
      </c>
      <c r="D343" s="37" t="s">
        <v>117</v>
      </c>
      <c r="E343" s="37" t="s">
        <v>118</v>
      </c>
      <c r="F343" s="37" t="s">
        <v>39</v>
      </c>
      <c r="G343" s="37" t="s">
        <v>2477</v>
      </c>
      <c r="H343" s="37">
        <v>18.829999999999998</v>
      </c>
      <c r="I343" s="37">
        <v>59</v>
      </c>
      <c r="J343" s="37">
        <v>12833</v>
      </c>
      <c r="K343" s="37" t="s">
        <v>91</v>
      </c>
      <c r="L343" s="37">
        <v>10</v>
      </c>
      <c r="M343" s="37" t="str">
        <f t="shared" si="32"/>
        <v>General</v>
      </c>
      <c r="N343" s="37" t="str">
        <f t="shared" si="30"/>
        <v>Debit Card</v>
      </c>
      <c r="O343" s="37" t="str" cm="1">
        <f t="array" ref="O343">IF(TRIM(N343)="",INDEX($N$2:$N$1500,MATCH(MAX(COUNTIF($N$2:$N$1500,$N$2:$N$1500)),COUNTIF($N$2:$N$1500,$N$2:$N$1500),0)),N343)</f>
        <v>Debit Card</v>
      </c>
      <c r="P343" s="38" cm="1">
        <f t="array" ref="P343">ROUND(IF(TRIM(H343)="",IFERROR(MEDIAN(IF($M$2:$M$1500=M343,$H$2:$H$1500)),MEDIAN($H$2:$H$1500)),H343),2)</f>
        <v>18.829999999999998</v>
      </c>
      <c r="Q343" s="38" t="str">
        <f t="shared" si="33"/>
        <v>0</v>
      </c>
      <c r="R343" s="39" cm="1">
        <f t="array" ref="R343">IF(OR(TRIM(J343)="",TRIM(J343)="-"),MEDIAN(IF($C$2:$C$1218=C343,$J$2:$J$1218)),VALUE(SUBSTITUTE(SUBSTITUTE(SUBSTITUTE(J343,"Rs. ",""),"₹",""),",","")))</f>
        <v>12833</v>
      </c>
      <c r="S343" s="40">
        <f t="shared" si="31"/>
        <v>10</v>
      </c>
      <c r="T343" s="41">
        <f t="shared" si="34"/>
        <v>10</v>
      </c>
      <c r="U343" s="42">
        <f t="shared" si="35"/>
        <v>11550</v>
      </c>
    </row>
    <row r="344" spans="1:21" x14ac:dyDescent="0.3">
      <c r="A344" s="37" t="s">
        <v>3275</v>
      </c>
      <c r="B344" s="37" t="s">
        <v>3276</v>
      </c>
      <c r="C344" s="37" t="s">
        <v>2459</v>
      </c>
      <c r="D344" s="37" t="s">
        <v>14</v>
      </c>
      <c r="E344" s="37" t="s">
        <v>60</v>
      </c>
      <c r="F344" s="37" t="s">
        <v>19</v>
      </c>
      <c r="G344" s="37" t="s">
        <v>2428</v>
      </c>
      <c r="H344" s="37">
        <v>21.21</v>
      </c>
      <c r="I344" s="37">
        <v>9</v>
      </c>
      <c r="J344" s="37" t="s">
        <v>3277</v>
      </c>
      <c r="K344" s="37" t="s">
        <v>115</v>
      </c>
      <c r="L344" s="37">
        <v>0</v>
      </c>
      <c r="M344" s="37" t="str">
        <f t="shared" si="32"/>
        <v>General</v>
      </c>
      <c r="N344" s="37" t="str">
        <f t="shared" si="30"/>
        <v>Cash</v>
      </c>
      <c r="O344" s="37" t="str" cm="1">
        <f t="array" ref="O344">IF(TRIM(N344)="",INDEX($N$2:$N$1500,MATCH(MAX(COUNTIF($N$2:$N$1500,$N$2:$N$1500)),COUNTIF($N$2:$N$1500,$N$2:$N$1500),0)),N344)</f>
        <v>Cash</v>
      </c>
      <c r="P344" s="38" cm="1">
        <f t="array" ref="P344">ROUND(IF(TRIM(H344)="",IFERROR(MEDIAN(IF($M$2:$M$1500=M344,$H$2:$H$1500)),MEDIAN($H$2:$H$1500)),H344),2)</f>
        <v>21.21</v>
      </c>
      <c r="Q344" s="38" t="str">
        <f t="shared" si="33"/>
        <v>2</v>
      </c>
      <c r="R344" s="39" cm="1">
        <f t="array" ref="R344">IF(OR(TRIM(J344)="",TRIM(J344)="-"),MEDIAN(IF($C$2:$C$1218=C344,$J$2:$J$1218)),VALUE(SUBSTITUTE(SUBSTITUTE(SUBSTITUTE(J344,"Rs. ",""),"₹",""),",","")))</f>
        <v>17177</v>
      </c>
      <c r="S344" s="40">
        <f t="shared" si="31"/>
        <v>0</v>
      </c>
      <c r="T344" s="41">
        <f t="shared" si="34"/>
        <v>0</v>
      </c>
      <c r="U344" s="42">
        <f t="shared" si="35"/>
        <v>17177</v>
      </c>
    </row>
    <row r="345" spans="1:21" x14ac:dyDescent="0.3">
      <c r="A345" s="37" t="s">
        <v>3278</v>
      </c>
      <c r="B345" s="37" t="s">
        <v>3256</v>
      </c>
      <c r="C345" s="37" t="s">
        <v>2445</v>
      </c>
      <c r="D345" s="37" t="s">
        <v>117</v>
      </c>
      <c r="E345" s="37" t="s">
        <v>182</v>
      </c>
      <c r="F345" s="37" t="s">
        <v>39</v>
      </c>
      <c r="G345" s="37" t="s">
        <v>2412</v>
      </c>
      <c r="H345" s="37">
        <v>24.87</v>
      </c>
      <c r="I345" s="37" t="s">
        <v>140</v>
      </c>
      <c r="J345" s="37" t="s">
        <v>3279</v>
      </c>
      <c r="K345" s="37" t="s">
        <v>115</v>
      </c>
      <c r="L345" s="37" t="s">
        <v>64</v>
      </c>
      <c r="M345" s="37" t="str">
        <f t="shared" si="32"/>
        <v>General</v>
      </c>
      <c r="N345" s="37" t="str">
        <f t="shared" si="30"/>
        <v>Cash</v>
      </c>
      <c r="O345" s="37" t="str" cm="1">
        <f t="array" ref="O345">IF(TRIM(N345)="",INDEX($N$2:$N$1500,MATCH(MAX(COUNTIF($N$2:$N$1500,$N$2:$N$1500)),COUNTIF($N$2:$N$1500,$N$2:$N$1500),0)),N345)</f>
        <v>Cash</v>
      </c>
      <c r="P345" s="38" cm="1">
        <f t="array" ref="P345">ROUND(IF(TRIM(H345)="",IFERROR(MEDIAN(IF($M$2:$M$1500=M345,$H$2:$H$1500)),MEDIAN($H$2:$H$1500)),H345),2)</f>
        <v>24.87</v>
      </c>
      <c r="Q345" s="38" t="str">
        <f t="shared" si="33"/>
        <v>1</v>
      </c>
      <c r="R345" s="39" cm="1">
        <f t="array" ref="R345">IF(OR(TRIM(J345)="",TRIM(J345)="-"),MEDIAN(IF($C$2:$C$1218=C345,$J$2:$J$1218)),VALUE(SUBSTITUTE(SUBSTITUTE(SUBSTITUTE(J345,"Rs. ",""),"₹",""),",","")))</f>
        <v>10804</v>
      </c>
      <c r="S345" s="40" t="str">
        <f t="shared" si="31"/>
        <v>NA</v>
      </c>
      <c r="T345" s="41">
        <f t="shared" si="34"/>
        <v>2</v>
      </c>
      <c r="U345" s="42">
        <f t="shared" si="35"/>
        <v>10588</v>
      </c>
    </row>
    <row r="346" spans="1:21" x14ac:dyDescent="0.3">
      <c r="A346" s="37" t="s">
        <v>3280</v>
      </c>
      <c r="B346" s="37" t="s">
        <v>3281</v>
      </c>
      <c r="C346" s="37" t="s">
        <v>2490</v>
      </c>
      <c r="D346" s="37" t="s">
        <v>25</v>
      </c>
      <c r="E346" s="37" t="s">
        <v>54</v>
      </c>
      <c r="F346" s="37" t="s">
        <v>39</v>
      </c>
      <c r="G346" s="37" t="s">
        <v>2408</v>
      </c>
      <c r="H346" s="37">
        <v>12.8</v>
      </c>
      <c r="I346" s="37">
        <v>60</v>
      </c>
      <c r="J346" s="37"/>
      <c r="K346" s="37" t="s">
        <v>72</v>
      </c>
      <c r="L346" s="37">
        <v>10</v>
      </c>
      <c r="M346" s="37" t="str">
        <f t="shared" si="32"/>
        <v>General</v>
      </c>
      <c r="N346" s="37" t="str">
        <f t="shared" si="30"/>
        <v>Cash</v>
      </c>
      <c r="O346" s="37" t="str" cm="1">
        <f t="array" ref="O346">IF(TRIM(N346)="",INDEX($N$2:$N$1500,MATCH(MAX(COUNTIF($N$2:$N$1500,$N$2:$N$1500)),COUNTIF($N$2:$N$1500,$N$2:$N$1500),0)),N346)</f>
        <v>Cash</v>
      </c>
      <c r="P346" s="38" cm="1">
        <f t="array" ref="P346">ROUND(IF(TRIM(H346)="",IFERROR(MEDIAN(IF($M$2:$M$1500=M346,$H$2:$H$1500)),MEDIAN($H$2:$H$1500)),H346),2)</f>
        <v>12.8</v>
      </c>
      <c r="Q346" s="38" t="str">
        <f t="shared" si="33"/>
        <v>0</v>
      </c>
      <c r="R346" s="39" cm="1">
        <f t="array" ref="R346">IF(OR(TRIM(J346)="",TRIM(J346)="-"),MEDIAN(IF($C$2:$C$1218=C346,$J$2:$J$1218)),VALUE(SUBSTITUTE(SUBSTITUTE(SUBSTITUTE(J346,"Rs. ",""),"₹",""),",","")))</f>
        <v>15057.5</v>
      </c>
      <c r="S346" s="40">
        <f t="shared" si="31"/>
        <v>10</v>
      </c>
      <c r="T346" s="41">
        <f t="shared" si="34"/>
        <v>10</v>
      </c>
      <c r="U346" s="42">
        <f t="shared" si="35"/>
        <v>13552</v>
      </c>
    </row>
    <row r="347" spans="1:21" x14ac:dyDescent="0.3">
      <c r="A347" s="37" t="s">
        <v>3282</v>
      </c>
      <c r="B347" s="37" t="s">
        <v>2779</v>
      </c>
      <c r="C347" s="37" t="s">
        <v>2463</v>
      </c>
      <c r="D347" s="37" t="s">
        <v>117</v>
      </c>
      <c r="E347" s="37" t="s">
        <v>127</v>
      </c>
      <c r="F347" s="37" t="s">
        <v>19</v>
      </c>
      <c r="G347" s="37" t="s">
        <v>2423</v>
      </c>
      <c r="H347" s="37">
        <v>10.46</v>
      </c>
      <c r="I347" s="37">
        <v>13</v>
      </c>
      <c r="J347" s="37" t="s">
        <v>3283</v>
      </c>
      <c r="K347" s="37" t="s">
        <v>72</v>
      </c>
      <c r="L347" s="37">
        <v>5</v>
      </c>
      <c r="M347" s="37" t="str">
        <f t="shared" si="32"/>
        <v>General</v>
      </c>
      <c r="N347" s="37" t="str">
        <f t="shared" si="30"/>
        <v>Cash</v>
      </c>
      <c r="O347" s="37" t="str" cm="1">
        <f t="array" ref="O347">IF(TRIM(N347)="",INDEX($N$2:$N$1500,MATCH(MAX(COUNTIF($N$2:$N$1500,$N$2:$N$1500)),COUNTIF($N$2:$N$1500,$N$2:$N$1500),0)),N347)</f>
        <v>Cash</v>
      </c>
      <c r="P347" s="38" cm="1">
        <f t="array" ref="P347">ROUND(IF(TRIM(H347)="",IFERROR(MEDIAN(IF($M$2:$M$1500=M347,$H$2:$H$1500)),MEDIAN($H$2:$H$1500)),H347),2)</f>
        <v>10.46</v>
      </c>
      <c r="Q347" s="38" t="str">
        <f t="shared" si="33"/>
        <v>0</v>
      </c>
      <c r="R347" s="39" cm="1">
        <f t="array" ref="R347">IF(OR(TRIM(J347)="",TRIM(J347)="-"),MEDIAN(IF($C$2:$C$1218=C347,$J$2:$J$1218)),VALUE(SUBSTITUTE(SUBSTITUTE(SUBSTITUTE(J347,"Rs. ",""),"₹",""),",","")))</f>
        <v>7777</v>
      </c>
      <c r="S347" s="40">
        <f t="shared" si="31"/>
        <v>5</v>
      </c>
      <c r="T347" s="41">
        <f t="shared" si="34"/>
        <v>5</v>
      </c>
      <c r="U347" s="42">
        <f t="shared" si="35"/>
        <v>7388</v>
      </c>
    </row>
    <row r="348" spans="1:21" x14ac:dyDescent="0.3">
      <c r="A348" s="37" t="s">
        <v>3284</v>
      </c>
      <c r="B348" s="37" t="s">
        <v>3285</v>
      </c>
      <c r="C348" s="37" t="s">
        <v>2518</v>
      </c>
      <c r="D348" s="37" t="s">
        <v>45</v>
      </c>
      <c r="E348" s="37" t="s">
        <v>334</v>
      </c>
      <c r="F348" s="37" t="s">
        <v>30</v>
      </c>
      <c r="G348" s="37" t="s">
        <v>2486</v>
      </c>
      <c r="H348" s="37">
        <v>11.53</v>
      </c>
      <c r="I348" s="37">
        <v>1</v>
      </c>
      <c r="J348" s="37">
        <v>7907</v>
      </c>
      <c r="K348" s="37" t="s">
        <v>97</v>
      </c>
      <c r="L348" s="37"/>
      <c r="M348" s="37" t="str">
        <f t="shared" si="32"/>
        <v>General</v>
      </c>
      <c r="N348" s="37" t="str">
        <f t="shared" si="30"/>
        <v>UPI</v>
      </c>
      <c r="O348" s="37" t="str" cm="1">
        <f t="array" ref="O348">IF(TRIM(N348)="",INDEX($N$2:$N$1500,MATCH(MAX(COUNTIF($N$2:$N$1500,$N$2:$N$1500)),COUNTIF($N$2:$N$1500,$N$2:$N$1500),0)),N348)</f>
        <v>UPI</v>
      </c>
      <c r="P348" s="38" cm="1">
        <f t="array" ref="P348">ROUND(IF(TRIM(H348)="",IFERROR(MEDIAN(IF($M$2:$M$1500=M348,$H$2:$H$1500)),MEDIAN($H$2:$H$1500)),H348),2)</f>
        <v>11.53</v>
      </c>
      <c r="Q348" s="38" t="str">
        <f t="shared" si="33"/>
        <v>2+</v>
      </c>
      <c r="R348" s="39" cm="1">
        <f t="array" ref="R348">IF(OR(TRIM(J348)="",TRIM(J348)="-"),MEDIAN(IF($C$2:$C$1218=C348,$J$2:$J$1218)),VALUE(SUBSTITUTE(SUBSTITUTE(SUBSTITUTE(J348,"Rs. ",""),"₹",""),",","")))</f>
        <v>7907</v>
      </c>
      <c r="S348" s="40">
        <f t="shared" si="31"/>
        <v>0</v>
      </c>
      <c r="T348" s="41">
        <f t="shared" si="34"/>
        <v>0</v>
      </c>
      <c r="U348" s="42">
        <f t="shared" si="35"/>
        <v>7907</v>
      </c>
    </row>
    <row r="349" spans="1:21" x14ac:dyDescent="0.3">
      <c r="A349" s="37" t="s">
        <v>3286</v>
      </c>
      <c r="B349" s="37" t="s">
        <v>2766</v>
      </c>
      <c r="C349" s="37" t="s">
        <v>2629</v>
      </c>
      <c r="D349" s="37" t="s">
        <v>106</v>
      </c>
      <c r="E349" s="37" t="s">
        <v>307</v>
      </c>
      <c r="F349" s="37" t="s">
        <v>49</v>
      </c>
      <c r="G349" s="37" t="s">
        <v>2418</v>
      </c>
      <c r="H349" s="37"/>
      <c r="I349" s="37">
        <v>12</v>
      </c>
      <c r="J349" s="37" t="s">
        <v>3287</v>
      </c>
      <c r="K349" s="37" t="s">
        <v>58</v>
      </c>
      <c r="L349" s="37" t="s">
        <v>198</v>
      </c>
      <c r="M349" s="37" t="str">
        <f t="shared" si="32"/>
        <v>General</v>
      </c>
      <c r="N349" s="37" t="str">
        <f t="shared" si="30"/>
        <v>UPI</v>
      </c>
      <c r="O349" s="37" t="str" cm="1">
        <f t="array" ref="O349">IF(TRIM(N349)="",INDEX($N$2:$N$1500,MATCH(MAX(COUNTIF($N$2:$N$1500,$N$2:$N$1500)),COUNTIF($N$2:$N$1500,$N$2:$N$1500),0)),N349)</f>
        <v>UPI</v>
      </c>
      <c r="P349" s="38" cm="1">
        <f t="array" ref="P349">ROUND(IF(TRIM(H349)="",IFERROR(MEDIAN(IF($M$2:$M$1500=M349,$H$2:$H$1500)),MEDIAN($H$2:$H$1500)),H349),2)</f>
        <v>12.02</v>
      </c>
      <c r="Q349" s="38" t="str">
        <f t="shared" si="33"/>
        <v>1</v>
      </c>
      <c r="R349" s="39" cm="1">
        <f t="array" ref="R349">IF(OR(TRIM(J349)="",TRIM(J349)="-"),MEDIAN(IF($C$2:$C$1218=C349,$J$2:$J$1218)),VALUE(SUBSTITUTE(SUBSTITUTE(SUBSTITUTE(J349,"Rs. ",""),"₹",""),",","")))</f>
        <v>9604</v>
      </c>
      <c r="S349" s="40">
        <f t="shared" si="31"/>
        <v>5</v>
      </c>
      <c r="T349" s="41">
        <f t="shared" si="34"/>
        <v>5</v>
      </c>
      <c r="U349" s="42">
        <f t="shared" si="35"/>
        <v>9124</v>
      </c>
    </row>
    <row r="350" spans="1:21" x14ac:dyDescent="0.3">
      <c r="A350" s="37" t="s">
        <v>3288</v>
      </c>
      <c r="B350" s="37" t="s">
        <v>3289</v>
      </c>
      <c r="C350" s="37" t="s">
        <v>2481</v>
      </c>
      <c r="D350" s="37" t="s">
        <v>25</v>
      </c>
      <c r="E350" s="37" t="s">
        <v>54</v>
      </c>
      <c r="F350" s="37" t="s">
        <v>19</v>
      </c>
      <c r="G350" s="37"/>
      <c r="H350" s="37">
        <v>17.14</v>
      </c>
      <c r="I350" s="37">
        <v>20</v>
      </c>
      <c r="J350" s="37">
        <v>8837</v>
      </c>
      <c r="K350" s="37"/>
      <c r="L350" s="37" t="s">
        <v>76</v>
      </c>
      <c r="M350" s="37" t="str">
        <f t="shared" si="32"/>
        <v>General</v>
      </c>
      <c r="N350" s="37" t="str">
        <f t="shared" si="30"/>
        <v>Unknown</v>
      </c>
      <c r="O350" s="37" t="str" cm="1">
        <f t="array" ref="O350">IF(TRIM(N350)="",INDEX($N$2:$N$1500,MATCH(MAX(COUNTIF($N$2:$N$1500,$N$2:$N$1500)),COUNTIF($N$2:$N$1500,$N$2:$N$1500),0)),N350)</f>
        <v>Unknown</v>
      </c>
      <c r="P350" s="38" cm="1">
        <f t="array" ref="P350">ROUND(IF(TRIM(H350)="",IFERROR(MEDIAN(IF($M$2:$M$1500=M350,$H$2:$H$1500)),MEDIAN($H$2:$H$1500)),H350),2)</f>
        <v>17.14</v>
      </c>
      <c r="Q350" s="38" t="str">
        <f t="shared" si="33"/>
        <v>Unknown</v>
      </c>
      <c r="R350" s="39" cm="1">
        <f t="array" ref="R350">IF(OR(TRIM(J350)="",TRIM(J350)="-"),MEDIAN(IF($C$2:$C$1218=C350,$J$2:$J$1218)),VALUE(SUBSTITUTE(SUBSTITUTE(SUBSTITUTE(J350,"Rs. ",""),"₹",""),",","")))</f>
        <v>8837</v>
      </c>
      <c r="S350" s="40">
        <f t="shared" si="31"/>
        <v>10</v>
      </c>
      <c r="T350" s="41">
        <f t="shared" si="34"/>
        <v>10</v>
      </c>
      <c r="U350" s="42">
        <f t="shared" si="35"/>
        <v>7953</v>
      </c>
    </row>
    <row r="351" spans="1:21" x14ac:dyDescent="0.3">
      <c r="A351" s="37" t="s">
        <v>3290</v>
      </c>
      <c r="B351" s="37" t="s">
        <v>3291</v>
      </c>
      <c r="C351" s="37" t="s">
        <v>2504</v>
      </c>
      <c r="D351" s="37" t="s">
        <v>25</v>
      </c>
      <c r="E351" s="37" t="s">
        <v>54</v>
      </c>
      <c r="F351" s="37" t="s">
        <v>19</v>
      </c>
      <c r="G351" s="37" t="s">
        <v>2423</v>
      </c>
      <c r="H351" s="37">
        <v>12.3</v>
      </c>
      <c r="I351" s="37">
        <v>16</v>
      </c>
      <c r="J351" s="37"/>
      <c r="K351" s="37" t="s">
        <v>87</v>
      </c>
      <c r="L351" s="37" t="s">
        <v>130</v>
      </c>
      <c r="M351" s="37" t="str">
        <f t="shared" si="32"/>
        <v>General</v>
      </c>
      <c r="N351" s="37" t="str">
        <f t="shared" si="30"/>
        <v>Credit Card</v>
      </c>
      <c r="O351" s="37" t="str" cm="1">
        <f t="array" ref="O351">IF(TRIM(N351)="",INDEX($N$2:$N$1500,MATCH(MAX(COUNTIF($N$2:$N$1500,$N$2:$N$1500)),COUNTIF($N$2:$N$1500,$N$2:$N$1500),0)),N351)</f>
        <v>Credit Card</v>
      </c>
      <c r="P351" s="38" cm="1">
        <f t="array" ref="P351">ROUND(IF(TRIM(H351)="",IFERROR(MEDIAN(IF($M$2:$M$1500=M351,$H$2:$H$1500)),MEDIAN($H$2:$H$1500)),H351),2)</f>
        <v>12.3</v>
      </c>
      <c r="Q351" s="38" t="str">
        <f t="shared" si="33"/>
        <v>0</v>
      </c>
      <c r="R351" s="39" cm="1">
        <f t="array" ref="R351">IF(OR(TRIM(J351)="",TRIM(J351)="-"),MEDIAN(IF($C$2:$C$1218=C351,$J$2:$J$1218)),VALUE(SUBSTITUTE(SUBSTITUTE(SUBSTITUTE(J351,"Rs. ",""),"₹",""),",","")))</f>
        <v>16658.5</v>
      </c>
      <c r="S351" s="40">
        <f t="shared" si="31"/>
        <v>0</v>
      </c>
      <c r="T351" s="41">
        <f t="shared" si="34"/>
        <v>0</v>
      </c>
      <c r="U351" s="42">
        <f t="shared" si="35"/>
        <v>16659</v>
      </c>
    </row>
    <row r="352" spans="1:21" x14ac:dyDescent="0.3">
      <c r="A352" s="37" t="s">
        <v>3292</v>
      </c>
      <c r="B352" s="37" t="s">
        <v>3293</v>
      </c>
      <c r="C352" s="37" t="s">
        <v>2518</v>
      </c>
      <c r="D352" s="37" t="s">
        <v>78</v>
      </c>
      <c r="E352" s="37" t="s">
        <v>79</v>
      </c>
      <c r="F352" s="37" t="s">
        <v>19</v>
      </c>
      <c r="G352" s="37" t="s">
        <v>2746</v>
      </c>
      <c r="H352" s="37">
        <v>9.17</v>
      </c>
      <c r="I352" s="37">
        <v>38</v>
      </c>
      <c r="J352" s="37">
        <v>11763</v>
      </c>
      <c r="K352" s="37" t="s">
        <v>91</v>
      </c>
      <c r="L352" s="37">
        <v>5</v>
      </c>
      <c r="M352" s="37" t="str">
        <f t="shared" si="32"/>
        <v>General</v>
      </c>
      <c r="N352" s="37" t="str">
        <f t="shared" si="30"/>
        <v>Debit Card</v>
      </c>
      <c r="O352" s="37" t="str" cm="1">
        <f t="array" ref="O352">IF(TRIM(N352)="",INDEX($N$2:$N$1500,MATCH(MAX(COUNTIF($N$2:$N$1500,$N$2:$N$1500)),COUNTIF($N$2:$N$1500,$N$2:$N$1500),0)),N352)</f>
        <v>Debit Card</v>
      </c>
      <c r="P352" s="38" cm="1">
        <f t="array" ref="P352">ROUND(IF(TRIM(H352)="",IFERROR(MEDIAN(IF($M$2:$M$1500=M352,$H$2:$H$1500)),MEDIAN($H$2:$H$1500)),H352),2)</f>
        <v>9.17</v>
      </c>
      <c r="Q352" s="38" t="str">
        <f t="shared" si="33"/>
        <v>2</v>
      </c>
      <c r="R352" s="39" cm="1">
        <f t="array" ref="R352">IF(OR(TRIM(J352)="",TRIM(J352)="-"),MEDIAN(IF($C$2:$C$1218=C352,$J$2:$J$1218)),VALUE(SUBSTITUTE(SUBSTITUTE(SUBSTITUTE(J352,"Rs. ",""),"₹",""),",","")))</f>
        <v>11763</v>
      </c>
      <c r="S352" s="40">
        <f t="shared" si="31"/>
        <v>5</v>
      </c>
      <c r="T352" s="41">
        <f t="shared" si="34"/>
        <v>5</v>
      </c>
      <c r="U352" s="42">
        <f t="shared" si="35"/>
        <v>11175</v>
      </c>
    </row>
    <row r="353" spans="1:21" x14ac:dyDescent="0.3">
      <c r="A353" s="37" t="s">
        <v>3294</v>
      </c>
      <c r="B353" s="37" t="s">
        <v>3295</v>
      </c>
      <c r="C353" s="37" t="s">
        <v>2407</v>
      </c>
      <c r="D353" s="37" t="s">
        <v>45</v>
      </c>
      <c r="E353" s="37" t="s">
        <v>334</v>
      </c>
      <c r="F353" s="37"/>
      <c r="G353" s="37" t="s">
        <v>2435</v>
      </c>
      <c r="H353" s="37">
        <v>1.26</v>
      </c>
      <c r="I353" s="37">
        <v>57</v>
      </c>
      <c r="J353" s="37" t="s">
        <v>3296</v>
      </c>
      <c r="K353" s="37" t="s">
        <v>23</v>
      </c>
      <c r="L353" s="37">
        <v>5</v>
      </c>
      <c r="M353" s="37" t="str">
        <f t="shared" si="32"/>
        <v>Unknown</v>
      </c>
      <c r="N353" s="37" t="str">
        <f t="shared" si="30"/>
        <v>Credit Card</v>
      </c>
      <c r="O353" s="37" t="str" cm="1">
        <f t="array" ref="O353">IF(TRIM(N353)="",INDEX($N$2:$N$1500,MATCH(MAX(COUNTIF($N$2:$N$1500,$N$2:$N$1500)),COUNTIF($N$2:$N$1500,$N$2:$N$1500),0)),N353)</f>
        <v>Credit Card</v>
      </c>
      <c r="P353" s="38" cm="1">
        <f t="array" ref="P353">ROUND(IF(TRIM(H353)="",IFERROR(MEDIAN(IF($M$2:$M$1500=M353,$H$2:$H$1500)),MEDIAN($H$2:$H$1500)),H353),2)</f>
        <v>1.26</v>
      </c>
      <c r="Q353" s="38" t="str">
        <f t="shared" si="33"/>
        <v>0</v>
      </c>
      <c r="R353" s="39" cm="1">
        <f t="array" ref="R353">IF(OR(TRIM(J353)="",TRIM(J353)="-"),MEDIAN(IF($C$2:$C$1218=C353,$J$2:$J$1218)),VALUE(SUBSTITUTE(SUBSTITUTE(SUBSTITUTE(J353,"Rs. ",""),"₹",""),",","")))</f>
        <v>5539</v>
      </c>
      <c r="S353" s="40">
        <f t="shared" si="31"/>
        <v>5</v>
      </c>
      <c r="T353" s="41">
        <f t="shared" si="34"/>
        <v>5</v>
      </c>
      <c r="U353" s="42">
        <f t="shared" si="35"/>
        <v>5262</v>
      </c>
    </row>
    <row r="354" spans="1:21" x14ac:dyDescent="0.3">
      <c r="A354" s="37" t="s">
        <v>3297</v>
      </c>
      <c r="B354" s="37" t="s">
        <v>3298</v>
      </c>
      <c r="C354" s="37" t="s">
        <v>2463</v>
      </c>
      <c r="D354" s="37" t="s">
        <v>78</v>
      </c>
      <c r="E354" s="37" t="s">
        <v>79</v>
      </c>
      <c r="F354" s="37" t="s">
        <v>19</v>
      </c>
      <c r="G354" s="37" t="s">
        <v>2455</v>
      </c>
      <c r="H354" s="37">
        <v>13.54</v>
      </c>
      <c r="I354" s="37">
        <v>33</v>
      </c>
      <c r="J354" s="37" t="s">
        <v>3299</v>
      </c>
      <c r="K354" s="37" t="s">
        <v>58</v>
      </c>
      <c r="L354" s="37">
        <v>5</v>
      </c>
      <c r="M354" s="37" t="str">
        <f t="shared" si="32"/>
        <v>General</v>
      </c>
      <c r="N354" s="37" t="str">
        <f t="shared" si="30"/>
        <v>UPI</v>
      </c>
      <c r="O354" s="37" t="str" cm="1">
        <f t="array" ref="O354">IF(TRIM(N354)="",INDEX($N$2:$N$1500,MATCH(MAX(COUNTIF($N$2:$N$1500,$N$2:$N$1500)),COUNTIF($N$2:$N$1500,$N$2:$N$1500),0)),N354)</f>
        <v>UPI</v>
      </c>
      <c r="P354" s="38" cm="1">
        <f t="array" ref="P354">ROUND(IF(TRIM(H354)="",IFERROR(MEDIAN(IF($M$2:$M$1500=M354,$H$2:$H$1500)),MEDIAN($H$2:$H$1500)),H354),2)</f>
        <v>13.54</v>
      </c>
      <c r="Q354" s="38" t="str">
        <f t="shared" si="33"/>
        <v>1</v>
      </c>
      <c r="R354" s="39" cm="1">
        <f t="array" ref="R354">IF(OR(TRIM(J354)="",TRIM(J354)="-"),MEDIAN(IF($C$2:$C$1218=C354,$J$2:$J$1218)),VALUE(SUBSTITUTE(SUBSTITUTE(SUBSTITUTE(J354,"Rs. ",""),"₹",""),",","")))</f>
        <v>12244</v>
      </c>
      <c r="S354" s="40">
        <f t="shared" si="31"/>
        <v>5</v>
      </c>
      <c r="T354" s="41">
        <f t="shared" si="34"/>
        <v>5</v>
      </c>
      <c r="U354" s="42">
        <f t="shared" si="35"/>
        <v>11632</v>
      </c>
    </row>
    <row r="355" spans="1:21" x14ac:dyDescent="0.3">
      <c r="A355" s="37" t="s">
        <v>3300</v>
      </c>
      <c r="B355" s="37" t="s">
        <v>2791</v>
      </c>
      <c r="C355" s="37" t="s">
        <v>2466</v>
      </c>
      <c r="D355" s="37" t="s">
        <v>106</v>
      </c>
      <c r="E355" s="37" t="s">
        <v>107</v>
      </c>
      <c r="F355" s="37" t="s">
        <v>30</v>
      </c>
      <c r="G355" s="37" t="s">
        <v>2435</v>
      </c>
      <c r="H355" s="37">
        <v>3.65</v>
      </c>
      <c r="I355" s="37" t="s">
        <v>140</v>
      </c>
      <c r="J355" s="37">
        <v>19386</v>
      </c>
      <c r="K355" s="37" t="s">
        <v>42</v>
      </c>
      <c r="L355" s="37">
        <v>5</v>
      </c>
      <c r="M355" s="37" t="str">
        <f t="shared" si="32"/>
        <v>General</v>
      </c>
      <c r="N355" s="37" t="str">
        <f t="shared" si="30"/>
        <v>Insurance</v>
      </c>
      <c r="O355" s="37" t="str" cm="1">
        <f t="array" ref="O355">IF(TRIM(N355)="",INDEX($N$2:$N$1500,MATCH(MAX(COUNTIF($N$2:$N$1500,$N$2:$N$1500)),COUNTIF($N$2:$N$1500,$N$2:$N$1500),0)),N355)</f>
        <v>Insurance</v>
      </c>
      <c r="P355" s="38" cm="1">
        <f t="array" ref="P355">ROUND(IF(TRIM(H355)="",IFERROR(MEDIAN(IF($M$2:$M$1500=M355,$H$2:$H$1500)),MEDIAN($H$2:$H$1500)),H355),2)</f>
        <v>3.65</v>
      </c>
      <c r="Q355" s="38" t="str">
        <f t="shared" si="33"/>
        <v>0</v>
      </c>
      <c r="R355" s="39" cm="1">
        <f t="array" ref="R355">IF(OR(TRIM(J355)="",TRIM(J355)="-"),MEDIAN(IF($C$2:$C$1218=C355,$J$2:$J$1218)),VALUE(SUBSTITUTE(SUBSTITUTE(SUBSTITUTE(J355,"Rs. ",""),"₹",""),",","")))</f>
        <v>19386</v>
      </c>
      <c r="S355" s="40">
        <f t="shared" si="31"/>
        <v>5</v>
      </c>
      <c r="T355" s="41">
        <f t="shared" si="34"/>
        <v>5</v>
      </c>
      <c r="U355" s="42">
        <f t="shared" si="35"/>
        <v>18417</v>
      </c>
    </row>
    <row r="356" spans="1:21" x14ac:dyDescent="0.3">
      <c r="A356" s="37" t="s">
        <v>3301</v>
      </c>
      <c r="B356" s="37" t="s">
        <v>3302</v>
      </c>
      <c r="C356" s="37" t="s">
        <v>2434</v>
      </c>
      <c r="D356" s="37" t="s">
        <v>25</v>
      </c>
      <c r="E356" s="37" t="s">
        <v>26</v>
      </c>
      <c r="F356" s="37" t="s">
        <v>62</v>
      </c>
      <c r="G356" s="37" t="s">
        <v>2412</v>
      </c>
      <c r="H356" s="37">
        <v>3.54</v>
      </c>
      <c r="I356" s="37">
        <v>23</v>
      </c>
      <c r="J356" s="37">
        <v>54966</v>
      </c>
      <c r="K356" s="37" t="s">
        <v>115</v>
      </c>
      <c r="L356" s="37">
        <v>5</v>
      </c>
      <c r="M356" s="37" t="str">
        <f t="shared" si="32"/>
        <v>ICU</v>
      </c>
      <c r="N356" s="37" t="str">
        <f t="shared" si="30"/>
        <v>Cash</v>
      </c>
      <c r="O356" s="37" t="str" cm="1">
        <f t="array" ref="O356">IF(TRIM(N356)="",INDEX($N$2:$N$1500,MATCH(MAX(COUNTIF($N$2:$N$1500,$N$2:$N$1500)),COUNTIF($N$2:$N$1500,$N$2:$N$1500),0)),N356)</f>
        <v>Cash</v>
      </c>
      <c r="P356" s="38" cm="1">
        <f t="array" ref="P356">ROUND(IF(TRIM(H356)="",IFERROR(MEDIAN(IF($M$2:$M$1500=M356,$H$2:$H$1500)),MEDIAN($H$2:$H$1500)),H356),2)</f>
        <v>3.54</v>
      </c>
      <c r="Q356" s="38" t="str">
        <f t="shared" si="33"/>
        <v>1</v>
      </c>
      <c r="R356" s="39" cm="1">
        <f t="array" ref="R356">IF(OR(TRIM(J356)="",TRIM(J356)="-"),MEDIAN(IF($C$2:$C$1218=C356,$J$2:$J$1218)),VALUE(SUBSTITUTE(SUBSTITUTE(SUBSTITUTE(J356,"Rs. ",""),"₹",""),",","")))</f>
        <v>54966</v>
      </c>
      <c r="S356" s="40">
        <f t="shared" si="31"/>
        <v>5</v>
      </c>
      <c r="T356" s="41">
        <f t="shared" si="34"/>
        <v>5</v>
      </c>
      <c r="U356" s="42">
        <f t="shared" si="35"/>
        <v>52218</v>
      </c>
    </row>
    <row r="357" spans="1:21" x14ac:dyDescent="0.3">
      <c r="A357" s="37" t="s">
        <v>3303</v>
      </c>
      <c r="B357" s="37" t="s">
        <v>3304</v>
      </c>
      <c r="C357" s="37" t="s">
        <v>2454</v>
      </c>
      <c r="D357" s="37" t="s">
        <v>14</v>
      </c>
      <c r="E357" s="37" t="s">
        <v>15</v>
      </c>
      <c r="F357" s="37" t="s">
        <v>49</v>
      </c>
      <c r="G357" s="37" t="s">
        <v>2435</v>
      </c>
      <c r="H357" s="37">
        <v>12.02</v>
      </c>
      <c r="I357" s="37">
        <v>26</v>
      </c>
      <c r="J357" s="37" t="s">
        <v>3305</v>
      </c>
      <c r="K357" s="37" t="s">
        <v>167</v>
      </c>
      <c r="L357" s="37" t="s">
        <v>187</v>
      </c>
      <c r="M357" s="37" t="str">
        <f t="shared" si="32"/>
        <v>General</v>
      </c>
      <c r="N357" s="37" t="str">
        <f t="shared" si="30"/>
        <v>Insurance</v>
      </c>
      <c r="O357" s="37" t="str" cm="1">
        <f t="array" ref="O357">IF(TRIM(N357)="",INDEX($N$2:$N$1500,MATCH(MAX(COUNTIF($N$2:$N$1500,$N$2:$N$1500)),COUNTIF($N$2:$N$1500,$N$2:$N$1500),0)),N357)</f>
        <v>Insurance</v>
      </c>
      <c r="P357" s="38" cm="1">
        <f t="array" ref="P357">ROUND(IF(TRIM(H357)="",IFERROR(MEDIAN(IF($M$2:$M$1500=M357,$H$2:$H$1500)),MEDIAN($H$2:$H$1500)),H357),2)</f>
        <v>12.02</v>
      </c>
      <c r="Q357" s="38" t="str">
        <f t="shared" si="33"/>
        <v>0</v>
      </c>
      <c r="R357" s="39" cm="1">
        <f t="array" ref="R357">IF(OR(TRIM(J357)="",TRIM(J357)="-"),MEDIAN(IF($C$2:$C$1218=C357,$J$2:$J$1218)),VALUE(SUBSTITUTE(SUBSTITUTE(SUBSTITUTE(J357,"Rs. ",""),"₹",""),",","")))</f>
        <v>18284</v>
      </c>
      <c r="S357" s="40">
        <f t="shared" si="31"/>
        <v>35</v>
      </c>
      <c r="T357" s="41">
        <f t="shared" si="34"/>
        <v>35</v>
      </c>
      <c r="U357" s="42">
        <f t="shared" si="35"/>
        <v>11885</v>
      </c>
    </row>
    <row r="358" spans="1:21" x14ac:dyDescent="0.3">
      <c r="A358" s="37" t="s">
        <v>3306</v>
      </c>
      <c r="B358" s="37" t="s">
        <v>3307</v>
      </c>
      <c r="C358" s="37" t="s">
        <v>2485</v>
      </c>
      <c r="D358" s="37" t="s">
        <v>45</v>
      </c>
      <c r="E358" s="37" t="s">
        <v>46</v>
      </c>
      <c r="F358" s="37" t="s">
        <v>49</v>
      </c>
      <c r="G358" s="37" t="s">
        <v>2423</v>
      </c>
      <c r="H358" s="37">
        <v>17.41</v>
      </c>
      <c r="I358" s="37">
        <v>58</v>
      </c>
      <c r="J358" s="37" t="s">
        <v>3308</v>
      </c>
      <c r="K358" s="37" t="s">
        <v>52</v>
      </c>
      <c r="L358" s="37" t="s">
        <v>140</v>
      </c>
      <c r="M358" s="37" t="str">
        <f t="shared" si="32"/>
        <v>General</v>
      </c>
      <c r="N358" s="37" t="str">
        <f t="shared" si="30"/>
        <v>Credit Card</v>
      </c>
      <c r="O358" s="37" t="str" cm="1">
        <f t="array" ref="O358">IF(TRIM(N358)="",INDEX($N$2:$N$1500,MATCH(MAX(COUNTIF($N$2:$N$1500,$N$2:$N$1500)),COUNTIF($N$2:$N$1500,$N$2:$N$1500),0)),N358)</f>
        <v>Credit Card</v>
      </c>
      <c r="P358" s="38" cm="1">
        <f t="array" ref="P358">ROUND(IF(TRIM(H358)="",IFERROR(MEDIAN(IF($M$2:$M$1500=M358,$H$2:$H$1500)),MEDIAN($H$2:$H$1500)),H358),2)</f>
        <v>17.41</v>
      </c>
      <c r="Q358" s="38" t="str">
        <f t="shared" si="33"/>
        <v>0</v>
      </c>
      <c r="R358" s="39" cm="1">
        <f t="array" ref="R358">IF(OR(TRIM(J358)="",TRIM(J358)="-"),MEDIAN(IF($C$2:$C$1218=C358,$J$2:$J$1218)),VALUE(SUBSTITUTE(SUBSTITUTE(SUBSTITUTE(J358,"Rs. ",""),"₹",""),",","")))</f>
        <v>6666</v>
      </c>
      <c r="S358" s="40" t="str">
        <f t="shared" si="31"/>
        <v>-</v>
      </c>
      <c r="T358" s="41">
        <f t="shared" si="34"/>
        <v>2</v>
      </c>
      <c r="U358" s="42">
        <f t="shared" si="35"/>
        <v>6533</v>
      </c>
    </row>
    <row r="359" spans="1:21" x14ac:dyDescent="0.3">
      <c r="A359" s="37" t="s">
        <v>3309</v>
      </c>
      <c r="B359" s="37" t="s">
        <v>3310</v>
      </c>
      <c r="C359" s="37" t="s">
        <v>2449</v>
      </c>
      <c r="D359" s="37" t="s">
        <v>25</v>
      </c>
      <c r="E359" s="37" t="s">
        <v>54</v>
      </c>
      <c r="F359" s="37" t="s">
        <v>30</v>
      </c>
      <c r="G359" s="37" t="s">
        <v>2423</v>
      </c>
      <c r="H359" s="37">
        <v>5.0599999999999996</v>
      </c>
      <c r="I359" s="37">
        <v>17</v>
      </c>
      <c r="J359" s="37">
        <v>14369</v>
      </c>
      <c r="K359" s="37" t="s">
        <v>72</v>
      </c>
      <c r="L359" s="37">
        <v>0</v>
      </c>
      <c r="M359" s="37" t="str">
        <f t="shared" si="32"/>
        <v>General</v>
      </c>
      <c r="N359" s="37" t="str">
        <f t="shared" si="30"/>
        <v>Cash</v>
      </c>
      <c r="O359" s="37" t="str" cm="1">
        <f t="array" ref="O359">IF(TRIM(N359)="",INDEX($N$2:$N$1500,MATCH(MAX(COUNTIF($N$2:$N$1500,$N$2:$N$1500)),COUNTIF($N$2:$N$1500,$N$2:$N$1500),0)),N359)</f>
        <v>Cash</v>
      </c>
      <c r="P359" s="38" cm="1">
        <f t="array" ref="P359">ROUND(IF(TRIM(H359)="",IFERROR(MEDIAN(IF($M$2:$M$1500=M359,$H$2:$H$1500)),MEDIAN($H$2:$H$1500)),H359),2)</f>
        <v>5.0599999999999996</v>
      </c>
      <c r="Q359" s="38" t="str">
        <f t="shared" si="33"/>
        <v>0</v>
      </c>
      <c r="R359" s="39" cm="1">
        <f t="array" ref="R359">IF(OR(TRIM(J359)="",TRIM(J359)="-"),MEDIAN(IF($C$2:$C$1218=C359,$J$2:$J$1218)),VALUE(SUBSTITUTE(SUBSTITUTE(SUBSTITUTE(J359,"Rs. ",""),"₹",""),",","")))</f>
        <v>14369</v>
      </c>
      <c r="S359" s="40">
        <f t="shared" si="31"/>
        <v>0</v>
      </c>
      <c r="T359" s="41">
        <f t="shared" si="34"/>
        <v>0</v>
      </c>
      <c r="U359" s="42">
        <f t="shared" si="35"/>
        <v>14369</v>
      </c>
    </row>
    <row r="360" spans="1:21" x14ac:dyDescent="0.3">
      <c r="A360" s="37" t="s">
        <v>3311</v>
      </c>
      <c r="B360" s="37" t="s">
        <v>3193</v>
      </c>
      <c r="C360" s="37" t="s">
        <v>2422</v>
      </c>
      <c r="D360" s="37" t="s">
        <v>117</v>
      </c>
      <c r="E360" s="37" t="s">
        <v>127</v>
      </c>
      <c r="F360" s="37" t="s">
        <v>19</v>
      </c>
      <c r="G360" s="37"/>
      <c r="H360" s="37">
        <v>23.76</v>
      </c>
      <c r="I360" s="37">
        <v>34</v>
      </c>
      <c r="J360" s="37">
        <v>8020</v>
      </c>
      <c r="K360" s="37" t="s">
        <v>72</v>
      </c>
      <c r="L360" s="37" t="s">
        <v>130</v>
      </c>
      <c r="M360" s="37" t="str">
        <f t="shared" si="32"/>
        <v>General</v>
      </c>
      <c r="N360" s="37" t="str">
        <f t="shared" si="30"/>
        <v>Cash</v>
      </c>
      <c r="O360" s="37" t="str" cm="1">
        <f t="array" ref="O360">IF(TRIM(N360)="",INDEX($N$2:$N$1500,MATCH(MAX(COUNTIF($N$2:$N$1500,$N$2:$N$1500)),COUNTIF($N$2:$N$1500,$N$2:$N$1500),0)),N360)</f>
        <v>Cash</v>
      </c>
      <c r="P360" s="38" cm="1">
        <f t="array" ref="P360">ROUND(IF(TRIM(H360)="",IFERROR(MEDIAN(IF($M$2:$M$1500=M360,$H$2:$H$1500)),MEDIAN($H$2:$H$1500)),H360),2)</f>
        <v>23.76</v>
      </c>
      <c r="Q360" s="38" t="str">
        <f t="shared" si="33"/>
        <v>Unknown</v>
      </c>
      <c r="R360" s="39" cm="1">
        <f t="array" ref="R360">IF(OR(TRIM(J360)="",TRIM(J360)="-"),MEDIAN(IF($C$2:$C$1218=C360,$J$2:$J$1218)),VALUE(SUBSTITUTE(SUBSTITUTE(SUBSTITUTE(J360,"Rs. ",""),"₹",""),",","")))</f>
        <v>8020</v>
      </c>
      <c r="S360" s="40">
        <f t="shared" si="31"/>
        <v>0</v>
      </c>
      <c r="T360" s="41">
        <f t="shared" si="34"/>
        <v>0</v>
      </c>
      <c r="U360" s="42">
        <f t="shared" si="35"/>
        <v>8020</v>
      </c>
    </row>
    <row r="361" spans="1:21" x14ac:dyDescent="0.3">
      <c r="A361" s="37" t="s">
        <v>3312</v>
      </c>
      <c r="B361" s="37" t="s">
        <v>3004</v>
      </c>
      <c r="C361" s="37" t="s">
        <v>2504</v>
      </c>
      <c r="D361" s="37" t="s">
        <v>45</v>
      </c>
      <c r="E361" s="37" t="s">
        <v>46</v>
      </c>
      <c r="F361" s="37"/>
      <c r="G361" s="37" t="s">
        <v>2423</v>
      </c>
      <c r="H361" s="37">
        <v>5.03</v>
      </c>
      <c r="I361" s="37">
        <v>31</v>
      </c>
      <c r="J361" s="37" t="s">
        <v>3313</v>
      </c>
      <c r="K361" s="37" t="s">
        <v>34</v>
      </c>
      <c r="L361" s="37" t="s">
        <v>64</v>
      </c>
      <c r="M361" s="37" t="str">
        <f t="shared" si="32"/>
        <v>Unknown</v>
      </c>
      <c r="N361" s="37" t="str">
        <f t="shared" si="30"/>
        <v>Cash</v>
      </c>
      <c r="O361" s="37" t="str" cm="1">
        <f t="array" ref="O361">IF(TRIM(N361)="",INDEX($N$2:$N$1500,MATCH(MAX(COUNTIF($N$2:$N$1500,$N$2:$N$1500)),COUNTIF($N$2:$N$1500,$N$2:$N$1500),0)),N361)</f>
        <v>Cash</v>
      </c>
      <c r="P361" s="38" cm="1">
        <f t="array" ref="P361">ROUND(IF(TRIM(H361)="",IFERROR(MEDIAN(IF($M$2:$M$1500=M361,$H$2:$H$1500)),MEDIAN($H$2:$H$1500)),H361),2)</f>
        <v>5.03</v>
      </c>
      <c r="Q361" s="38" t="str">
        <f t="shared" si="33"/>
        <v>0</v>
      </c>
      <c r="R361" s="39" cm="1">
        <f t="array" ref="R361">IF(OR(TRIM(J361)="",TRIM(J361)="-"),MEDIAN(IF($C$2:$C$1218=C361,$J$2:$J$1218)),VALUE(SUBSTITUTE(SUBSTITUTE(SUBSTITUTE(J361,"Rs. ",""),"₹",""),",","")))</f>
        <v>6429</v>
      </c>
      <c r="S361" s="40" t="str">
        <f t="shared" si="31"/>
        <v>NA</v>
      </c>
      <c r="T361" s="41">
        <f t="shared" si="34"/>
        <v>2</v>
      </c>
      <c r="U361" s="42">
        <f t="shared" si="35"/>
        <v>6300</v>
      </c>
    </row>
    <row r="362" spans="1:21" x14ac:dyDescent="0.3">
      <c r="A362" s="37" t="s">
        <v>3314</v>
      </c>
      <c r="B362" s="37" t="s">
        <v>3315</v>
      </c>
      <c r="C362" s="37" t="s">
        <v>2427</v>
      </c>
      <c r="D362" s="37" t="s">
        <v>45</v>
      </c>
      <c r="E362" s="37" t="s">
        <v>46</v>
      </c>
      <c r="F362" s="37" t="s">
        <v>30</v>
      </c>
      <c r="G362" s="37" t="s">
        <v>2418</v>
      </c>
      <c r="H362" s="37">
        <v>7.49</v>
      </c>
      <c r="I362" s="37">
        <v>58</v>
      </c>
      <c r="J362" s="37">
        <v>5918</v>
      </c>
      <c r="K362" s="37" t="s">
        <v>97</v>
      </c>
      <c r="L362" s="37"/>
      <c r="M362" s="37" t="str">
        <f t="shared" si="32"/>
        <v>General</v>
      </c>
      <c r="N362" s="37" t="str">
        <f t="shared" si="30"/>
        <v>UPI</v>
      </c>
      <c r="O362" s="37" t="str" cm="1">
        <f t="array" ref="O362">IF(TRIM(N362)="",INDEX($N$2:$N$1500,MATCH(MAX(COUNTIF($N$2:$N$1500,$N$2:$N$1500)),COUNTIF($N$2:$N$1500,$N$2:$N$1500),0)),N362)</f>
        <v>UPI</v>
      </c>
      <c r="P362" s="38" cm="1">
        <f t="array" ref="P362">ROUND(IF(TRIM(H362)="",IFERROR(MEDIAN(IF($M$2:$M$1500=M362,$H$2:$H$1500)),MEDIAN($H$2:$H$1500)),H362),2)</f>
        <v>7.49</v>
      </c>
      <c r="Q362" s="38" t="str">
        <f t="shared" si="33"/>
        <v>1</v>
      </c>
      <c r="R362" s="39" cm="1">
        <f t="array" ref="R362">IF(OR(TRIM(J362)="",TRIM(J362)="-"),MEDIAN(IF($C$2:$C$1218=C362,$J$2:$J$1218)),VALUE(SUBSTITUTE(SUBSTITUTE(SUBSTITUTE(J362,"Rs. ",""),"₹",""),",","")))</f>
        <v>5918</v>
      </c>
      <c r="S362" s="40">
        <f t="shared" si="31"/>
        <v>0</v>
      </c>
      <c r="T362" s="41">
        <f t="shared" si="34"/>
        <v>0</v>
      </c>
      <c r="U362" s="42">
        <f t="shared" si="35"/>
        <v>5918</v>
      </c>
    </row>
    <row r="363" spans="1:21" x14ac:dyDescent="0.3">
      <c r="A363" s="37" t="s">
        <v>3316</v>
      </c>
      <c r="B363" s="37" t="s">
        <v>2847</v>
      </c>
      <c r="C363" s="37" t="s">
        <v>2427</v>
      </c>
      <c r="D363" s="37" t="s">
        <v>117</v>
      </c>
      <c r="E363" s="37" t="s">
        <v>118</v>
      </c>
      <c r="F363" s="37" t="s">
        <v>39</v>
      </c>
      <c r="G363" s="37" t="s">
        <v>2412</v>
      </c>
      <c r="H363" s="37">
        <v>12.66</v>
      </c>
      <c r="I363" s="37">
        <v>12</v>
      </c>
      <c r="J363" s="37" t="s">
        <v>3317</v>
      </c>
      <c r="K363" s="37" t="s">
        <v>34</v>
      </c>
      <c r="L363" s="37" t="s">
        <v>130</v>
      </c>
      <c r="M363" s="37" t="str">
        <f t="shared" si="32"/>
        <v>General</v>
      </c>
      <c r="N363" s="37" t="str">
        <f t="shared" si="30"/>
        <v>Cash</v>
      </c>
      <c r="O363" s="37" t="str" cm="1">
        <f t="array" ref="O363">IF(TRIM(N363)="",INDEX($N$2:$N$1500,MATCH(MAX(COUNTIF($N$2:$N$1500,$N$2:$N$1500)),COUNTIF($N$2:$N$1500,$N$2:$N$1500),0)),N363)</f>
        <v>Cash</v>
      </c>
      <c r="P363" s="38" cm="1">
        <f t="array" ref="P363">ROUND(IF(TRIM(H363)="",IFERROR(MEDIAN(IF($M$2:$M$1500=M363,$H$2:$H$1500)),MEDIAN($H$2:$H$1500)),H363),2)</f>
        <v>12.66</v>
      </c>
      <c r="Q363" s="38" t="str">
        <f t="shared" si="33"/>
        <v>1</v>
      </c>
      <c r="R363" s="39" cm="1">
        <f t="array" ref="R363">IF(OR(TRIM(J363)="",TRIM(J363)="-"),MEDIAN(IF($C$2:$C$1218=C363,$J$2:$J$1218)),VALUE(SUBSTITUTE(SUBSTITUTE(SUBSTITUTE(J363,"Rs. ",""),"₹",""),",","")))</f>
        <v>4174</v>
      </c>
      <c r="S363" s="40">
        <f t="shared" si="31"/>
        <v>0</v>
      </c>
      <c r="T363" s="41">
        <f t="shared" si="34"/>
        <v>0</v>
      </c>
      <c r="U363" s="42">
        <f t="shared" si="35"/>
        <v>4174</v>
      </c>
    </row>
    <row r="364" spans="1:21" x14ac:dyDescent="0.3">
      <c r="A364" s="37" t="s">
        <v>3318</v>
      </c>
      <c r="B364" s="37" t="s">
        <v>2960</v>
      </c>
      <c r="C364" s="37" t="s">
        <v>2411</v>
      </c>
      <c r="D364" s="37" t="s">
        <v>45</v>
      </c>
      <c r="E364" s="37" t="s">
        <v>46</v>
      </c>
      <c r="F364" s="37" t="s">
        <v>19</v>
      </c>
      <c r="G364" s="37" t="s">
        <v>2423</v>
      </c>
      <c r="H364" s="37">
        <v>23.5</v>
      </c>
      <c r="I364" s="37">
        <v>57</v>
      </c>
      <c r="J364" s="37">
        <v>9769</v>
      </c>
      <c r="K364" s="37" t="s">
        <v>23</v>
      </c>
      <c r="L364" s="37" t="s">
        <v>130</v>
      </c>
      <c r="M364" s="37" t="str">
        <f t="shared" si="32"/>
        <v>General</v>
      </c>
      <c r="N364" s="37" t="str">
        <f t="shared" si="30"/>
        <v>Credit Card</v>
      </c>
      <c r="O364" s="37" t="str" cm="1">
        <f t="array" ref="O364">IF(TRIM(N364)="",INDEX($N$2:$N$1500,MATCH(MAX(COUNTIF($N$2:$N$1500,$N$2:$N$1500)),COUNTIF($N$2:$N$1500,$N$2:$N$1500),0)),N364)</f>
        <v>Credit Card</v>
      </c>
      <c r="P364" s="38" cm="1">
        <f t="array" ref="P364">ROUND(IF(TRIM(H364)="",IFERROR(MEDIAN(IF($M$2:$M$1500=M364,$H$2:$H$1500)),MEDIAN($H$2:$H$1500)),H364),2)</f>
        <v>23.5</v>
      </c>
      <c r="Q364" s="38" t="str">
        <f t="shared" si="33"/>
        <v>0</v>
      </c>
      <c r="R364" s="39" cm="1">
        <f t="array" ref="R364">IF(OR(TRIM(J364)="",TRIM(J364)="-"),MEDIAN(IF($C$2:$C$1218=C364,$J$2:$J$1218)),VALUE(SUBSTITUTE(SUBSTITUTE(SUBSTITUTE(J364,"Rs. ",""),"₹",""),",","")))</f>
        <v>9769</v>
      </c>
      <c r="S364" s="40">
        <f t="shared" si="31"/>
        <v>0</v>
      </c>
      <c r="T364" s="41">
        <f t="shared" si="34"/>
        <v>0</v>
      </c>
      <c r="U364" s="42">
        <f t="shared" si="35"/>
        <v>9769</v>
      </c>
    </row>
    <row r="365" spans="1:21" x14ac:dyDescent="0.3">
      <c r="A365" s="37" t="s">
        <v>3319</v>
      </c>
      <c r="B365" s="37" t="s">
        <v>3048</v>
      </c>
      <c r="C365" s="37" t="s">
        <v>2481</v>
      </c>
      <c r="D365" s="37" t="s">
        <v>25</v>
      </c>
      <c r="E365" s="37" t="s">
        <v>54</v>
      </c>
      <c r="F365" s="37" t="s">
        <v>69</v>
      </c>
      <c r="G365" s="37" t="s">
        <v>2477</v>
      </c>
      <c r="H365" s="37">
        <v>9.8699999999999992</v>
      </c>
      <c r="I365" s="37">
        <v>23</v>
      </c>
      <c r="J365" s="37" t="s">
        <v>3320</v>
      </c>
      <c r="K365" s="37" t="s">
        <v>58</v>
      </c>
      <c r="L365" s="37" t="s">
        <v>64</v>
      </c>
      <c r="M365" s="37" t="str">
        <f t="shared" si="32"/>
        <v>ICU</v>
      </c>
      <c r="N365" s="37" t="str">
        <f t="shared" si="30"/>
        <v>UPI</v>
      </c>
      <c r="O365" s="37" t="str" cm="1">
        <f t="array" ref="O365">IF(TRIM(N365)="",INDEX($N$2:$N$1500,MATCH(MAX(COUNTIF($N$2:$N$1500,$N$2:$N$1500)),COUNTIF($N$2:$N$1500,$N$2:$N$1500),0)),N365)</f>
        <v>UPI</v>
      </c>
      <c r="P365" s="38" cm="1">
        <f t="array" ref="P365">ROUND(IF(TRIM(H365)="",IFERROR(MEDIAN(IF($M$2:$M$1500=M365,$H$2:$H$1500)),MEDIAN($H$2:$H$1500)),H365),2)</f>
        <v>9.8699999999999992</v>
      </c>
      <c r="Q365" s="38" t="str">
        <f t="shared" si="33"/>
        <v>0</v>
      </c>
      <c r="R365" s="39" cm="1">
        <f t="array" ref="R365">IF(OR(TRIM(J365)="",TRIM(J365)="-"),MEDIAN(IF($C$2:$C$1218=C365,$J$2:$J$1218)),VALUE(SUBSTITUTE(SUBSTITUTE(SUBSTITUTE(J365,"Rs. ",""),"₹",""),",","")))</f>
        <v>48320</v>
      </c>
      <c r="S365" s="40" t="str">
        <f t="shared" si="31"/>
        <v>NA</v>
      </c>
      <c r="T365" s="41">
        <f t="shared" si="34"/>
        <v>2</v>
      </c>
      <c r="U365" s="42">
        <f t="shared" si="35"/>
        <v>47354</v>
      </c>
    </row>
    <row r="366" spans="1:21" x14ac:dyDescent="0.3">
      <c r="A366" s="37" t="s">
        <v>3321</v>
      </c>
      <c r="B366" s="37" t="s">
        <v>3322</v>
      </c>
      <c r="C366" s="37" t="s">
        <v>2449</v>
      </c>
      <c r="D366" s="37" t="s">
        <v>106</v>
      </c>
      <c r="E366" s="37" t="s">
        <v>107</v>
      </c>
      <c r="F366" s="37" t="s">
        <v>19</v>
      </c>
      <c r="G366" s="37" t="s">
        <v>2486</v>
      </c>
      <c r="H366" s="37">
        <v>8.1999999999999993</v>
      </c>
      <c r="I366" s="37">
        <v>45</v>
      </c>
      <c r="J366" s="37" t="s">
        <v>3323</v>
      </c>
      <c r="K366" s="37" t="s">
        <v>115</v>
      </c>
      <c r="L366" s="37">
        <v>0.1</v>
      </c>
      <c r="M366" s="37" t="str">
        <f t="shared" si="32"/>
        <v>General</v>
      </c>
      <c r="N366" s="37" t="str">
        <f t="shared" si="30"/>
        <v>Cash</v>
      </c>
      <c r="O366" s="37" t="str" cm="1">
        <f t="array" ref="O366">IF(TRIM(N366)="",INDEX($N$2:$N$1500,MATCH(MAX(COUNTIF($N$2:$N$1500,$N$2:$N$1500)),COUNTIF($N$2:$N$1500,$N$2:$N$1500),0)),N366)</f>
        <v>Cash</v>
      </c>
      <c r="P366" s="38" cm="1">
        <f t="array" ref="P366">ROUND(IF(TRIM(H366)="",IFERROR(MEDIAN(IF($M$2:$M$1500=M366,$H$2:$H$1500)),MEDIAN($H$2:$H$1500)),H366),2)</f>
        <v>8.1999999999999993</v>
      </c>
      <c r="Q366" s="38" t="str">
        <f t="shared" si="33"/>
        <v>2+</v>
      </c>
      <c r="R366" s="39" cm="1">
        <f t="array" ref="R366">IF(OR(TRIM(J366)="",TRIM(J366)="-"),MEDIAN(IF($C$2:$C$1218=C366,$J$2:$J$1218)),VALUE(SUBSTITUTE(SUBSTITUTE(SUBSTITUTE(J366,"Rs. ",""),"₹",""),",","")))</f>
        <v>14101</v>
      </c>
      <c r="S366" s="40">
        <f t="shared" si="31"/>
        <v>0.1</v>
      </c>
      <c r="T366" s="41">
        <f t="shared" si="34"/>
        <v>0</v>
      </c>
      <c r="U366" s="42">
        <f t="shared" si="35"/>
        <v>14101</v>
      </c>
    </row>
    <row r="367" spans="1:21" x14ac:dyDescent="0.3">
      <c r="A367" s="37" t="s">
        <v>3324</v>
      </c>
      <c r="B367" s="37" t="s">
        <v>3325</v>
      </c>
      <c r="C367" s="37" t="s">
        <v>2490</v>
      </c>
      <c r="D367" s="37" t="s">
        <v>14</v>
      </c>
      <c r="E367" s="37" t="s">
        <v>15</v>
      </c>
      <c r="F367" s="37" t="s">
        <v>49</v>
      </c>
      <c r="G367" s="37" t="s">
        <v>2455</v>
      </c>
      <c r="H367" s="37">
        <v>4.16</v>
      </c>
      <c r="I367" s="37">
        <v>13</v>
      </c>
      <c r="J367" s="37" t="s">
        <v>3326</v>
      </c>
      <c r="K367" s="37" t="s">
        <v>72</v>
      </c>
      <c r="L367" s="37">
        <v>10</v>
      </c>
      <c r="M367" s="37" t="str">
        <f t="shared" si="32"/>
        <v>General</v>
      </c>
      <c r="N367" s="37" t="str">
        <f t="shared" si="30"/>
        <v>Cash</v>
      </c>
      <c r="O367" s="37" t="str" cm="1">
        <f t="array" ref="O367">IF(TRIM(N367)="",INDEX($N$2:$N$1500,MATCH(MAX(COUNTIF($N$2:$N$1500,$N$2:$N$1500)),COUNTIF($N$2:$N$1500,$N$2:$N$1500),0)),N367)</f>
        <v>Cash</v>
      </c>
      <c r="P367" s="38" cm="1">
        <f t="array" ref="P367">ROUND(IF(TRIM(H367)="",IFERROR(MEDIAN(IF($M$2:$M$1500=M367,$H$2:$H$1500)),MEDIAN($H$2:$H$1500)),H367),2)</f>
        <v>4.16</v>
      </c>
      <c r="Q367" s="38" t="str">
        <f t="shared" si="33"/>
        <v>1</v>
      </c>
      <c r="R367" s="39" cm="1">
        <f t="array" ref="R367">IF(OR(TRIM(J367)="",TRIM(J367)="-"),MEDIAN(IF($C$2:$C$1218=C367,$J$2:$J$1218)),VALUE(SUBSTITUTE(SUBSTITUTE(SUBSTITUTE(J367,"Rs. ",""),"₹",""),",","")))</f>
        <v>10622</v>
      </c>
      <c r="S367" s="40">
        <f t="shared" si="31"/>
        <v>10</v>
      </c>
      <c r="T367" s="41">
        <f t="shared" si="34"/>
        <v>10</v>
      </c>
      <c r="U367" s="42">
        <f t="shared" si="35"/>
        <v>9560</v>
      </c>
    </row>
    <row r="368" spans="1:21" x14ac:dyDescent="0.3">
      <c r="A368" s="37" t="s">
        <v>3327</v>
      </c>
      <c r="B368" s="37" t="s">
        <v>3328</v>
      </c>
      <c r="C368" s="37" t="s">
        <v>2407</v>
      </c>
      <c r="D368" s="37" t="s">
        <v>45</v>
      </c>
      <c r="E368" s="37" t="s">
        <v>46</v>
      </c>
      <c r="F368" s="37" t="s">
        <v>19</v>
      </c>
      <c r="G368" s="37" t="s">
        <v>2455</v>
      </c>
      <c r="H368" s="37"/>
      <c r="I368" s="37">
        <v>33</v>
      </c>
      <c r="J368" s="37" t="s">
        <v>3329</v>
      </c>
      <c r="K368" s="37"/>
      <c r="L368" s="37" t="s">
        <v>886</v>
      </c>
      <c r="M368" s="37" t="str">
        <f t="shared" si="32"/>
        <v>General</v>
      </c>
      <c r="N368" s="37" t="str">
        <f t="shared" si="30"/>
        <v>Unknown</v>
      </c>
      <c r="O368" s="37" t="str" cm="1">
        <f t="array" ref="O368">IF(TRIM(N368)="",INDEX($N$2:$N$1500,MATCH(MAX(COUNTIF($N$2:$N$1500,$N$2:$N$1500)),COUNTIF($N$2:$N$1500,$N$2:$N$1500),0)),N368)</f>
        <v>Unknown</v>
      </c>
      <c r="P368" s="38" cm="1">
        <f t="array" ref="P368">ROUND(IF(TRIM(H368)="",IFERROR(MEDIAN(IF($M$2:$M$1500=M368,$H$2:$H$1500)),MEDIAN($H$2:$H$1500)),H368),2)</f>
        <v>12.02</v>
      </c>
      <c r="Q368" s="38" t="str">
        <f t="shared" si="33"/>
        <v>1</v>
      </c>
      <c r="R368" s="39" cm="1">
        <f t="array" ref="R368">IF(OR(TRIM(J368)="",TRIM(J368)="-"),MEDIAN(IF($C$2:$C$1218=C368,$J$2:$J$1218)),VALUE(SUBSTITUTE(SUBSTITUTE(SUBSTITUTE(J368,"Rs. ",""),"₹",""),",","")))</f>
        <v>11017</v>
      </c>
      <c r="S368" s="40">
        <f t="shared" si="31"/>
        <v>15</v>
      </c>
      <c r="T368" s="41">
        <f t="shared" si="34"/>
        <v>15</v>
      </c>
      <c r="U368" s="42">
        <f t="shared" si="35"/>
        <v>9364</v>
      </c>
    </row>
    <row r="369" spans="1:21" x14ac:dyDescent="0.3">
      <c r="A369" s="37" t="s">
        <v>3330</v>
      </c>
      <c r="B369" s="37" t="s">
        <v>3331</v>
      </c>
      <c r="C369" s="37" t="s">
        <v>2629</v>
      </c>
      <c r="D369" s="37" t="s">
        <v>25</v>
      </c>
      <c r="E369" s="37" t="s">
        <v>54</v>
      </c>
      <c r="F369" s="37"/>
      <c r="G369" s="37" t="s">
        <v>2477</v>
      </c>
      <c r="H369" s="37">
        <v>23.22</v>
      </c>
      <c r="I369" s="37">
        <v>12</v>
      </c>
      <c r="J369" s="37" t="s">
        <v>3332</v>
      </c>
      <c r="K369" s="37" t="s">
        <v>311</v>
      </c>
      <c r="L369" s="37">
        <v>0</v>
      </c>
      <c r="M369" s="37" t="str">
        <f t="shared" si="32"/>
        <v>Unknown</v>
      </c>
      <c r="N369" s="37" t="str">
        <f t="shared" si="30"/>
        <v>UPI</v>
      </c>
      <c r="O369" s="37" t="str" cm="1">
        <f t="array" ref="O369">IF(TRIM(N369)="",INDEX($N$2:$N$1500,MATCH(MAX(COUNTIF($N$2:$N$1500,$N$2:$N$1500)),COUNTIF($N$2:$N$1500,$N$2:$N$1500),0)),N369)</f>
        <v>UPI</v>
      </c>
      <c r="P369" s="38" cm="1">
        <f t="array" ref="P369">ROUND(IF(TRIM(H369)="",IFERROR(MEDIAN(IF($M$2:$M$1500=M369,$H$2:$H$1500)),MEDIAN($H$2:$H$1500)),H369),2)</f>
        <v>23.22</v>
      </c>
      <c r="Q369" s="38" t="str">
        <f t="shared" si="33"/>
        <v>0</v>
      </c>
      <c r="R369" s="39" cm="1">
        <f t="array" ref="R369">IF(OR(TRIM(J369)="",TRIM(J369)="-"),MEDIAN(IF($C$2:$C$1218=C369,$J$2:$J$1218)),VALUE(SUBSTITUTE(SUBSTITUTE(SUBSTITUTE(J369,"Rs. ",""),"₹",""),",","")))</f>
        <v>11107</v>
      </c>
      <c r="S369" s="40">
        <f t="shared" si="31"/>
        <v>0</v>
      </c>
      <c r="T369" s="41">
        <f t="shared" si="34"/>
        <v>0</v>
      </c>
      <c r="U369" s="42">
        <f t="shared" si="35"/>
        <v>11107</v>
      </c>
    </row>
    <row r="370" spans="1:21" x14ac:dyDescent="0.3">
      <c r="A370" s="37" t="s">
        <v>3333</v>
      </c>
      <c r="B370" s="37" t="s">
        <v>3334</v>
      </c>
      <c r="C370" s="37" t="s">
        <v>2434</v>
      </c>
      <c r="D370" s="37" t="s">
        <v>14</v>
      </c>
      <c r="E370" s="37" t="s">
        <v>60</v>
      </c>
      <c r="F370" s="37" t="s">
        <v>30</v>
      </c>
      <c r="G370" s="37" t="s">
        <v>2477</v>
      </c>
      <c r="H370" s="37">
        <v>19.399999999999999</v>
      </c>
      <c r="I370" s="37">
        <v>28</v>
      </c>
      <c r="J370" s="37" t="s">
        <v>3335</v>
      </c>
      <c r="K370" s="37" t="s">
        <v>72</v>
      </c>
      <c r="L370" s="37"/>
      <c r="M370" s="37" t="str">
        <f t="shared" si="32"/>
        <v>General</v>
      </c>
      <c r="N370" s="37" t="str">
        <f t="shared" si="30"/>
        <v>Cash</v>
      </c>
      <c r="O370" s="37" t="str" cm="1">
        <f t="array" ref="O370">IF(TRIM(N370)="",INDEX($N$2:$N$1500,MATCH(MAX(COUNTIF($N$2:$N$1500,$N$2:$N$1500)),COUNTIF($N$2:$N$1500,$N$2:$N$1500),0)),N370)</f>
        <v>Cash</v>
      </c>
      <c r="P370" s="38" cm="1">
        <f t="array" ref="P370">ROUND(IF(TRIM(H370)="",IFERROR(MEDIAN(IF($M$2:$M$1500=M370,$H$2:$H$1500)),MEDIAN($H$2:$H$1500)),H370),2)</f>
        <v>19.399999999999999</v>
      </c>
      <c r="Q370" s="38" t="str">
        <f t="shared" si="33"/>
        <v>0</v>
      </c>
      <c r="R370" s="39" cm="1">
        <f t="array" ref="R370">IF(OR(TRIM(J370)="",TRIM(J370)="-"),MEDIAN(IF($C$2:$C$1218=C370,$J$2:$J$1218)),VALUE(SUBSTITUTE(SUBSTITUTE(SUBSTITUTE(J370,"Rs. ",""),"₹",""),",","")))</f>
        <v>6262</v>
      </c>
      <c r="S370" s="40">
        <f t="shared" si="31"/>
        <v>0</v>
      </c>
      <c r="T370" s="41">
        <f t="shared" si="34"/>
        <v>0</v>
      </c>
      <c r="U370" s="42">
        <f t="shared" si="35"/>
        <v>6262</v>
      </c>
    </row>
    <row r="371" spans="1:21" x14ac:dyDescent="0.3">
      <c r="A371" s="37" t="s">
        <v>3336</v>
      </c>
      <c r="B371" s="37" t="s">
        <v>2580</v>
      </c>
      <c r="C371" s="37" t="s">
        <v>2449</v>
      </c>
      <c r="D371" s="37" t="s">
        <v>78</v>
      </c>
      <c r="E371" s="37" t="s">
        <v>161</v>
      </c>
      <c r="F371" s="37" t="s">
        <v>30</v>
      </c>
      <c r="G371" s="37"/>
      <c r="H371" s="37">
        <v>4.1500000000000004</v>
      </c>
      <c r="I371" s="37">
        <v>51</v>
      </c>
      <c r="J371" s="37" t="s">
        <v>3337</v>
      </c>
      <c r="K371" s="37" t="s">
        <v>42</v>
      </c>
      <c r="L371" s="37">
        <v>25</v>
      </c>
      <c r="M371" s="37" t="str">
        <f t="shared" si="32"/>
        <v>General</v>
      </c>
      <c r="N371" s="37" t="str">
        <f t="shared" si="30"/>
        <v>Insurance</v>
      </c>
      <c r="O371" s="37" t="str" cm="1">
        <f t="array" ref="O371">IF(TRIM(N371)="",INDEX($N$2:$N$1500,MATCH(MAX(COUNTIF($N$2:$N$1500,$N$2:$N$1500)),COUNTIF($N$2:$N$1500,$N$2:$N$1500),0)),N371)</f>
        <v>Insurance</v>
      </c>
      <c r="P371" s="38" cm="1">
        <f t="array" ref="P371">ROUND(IF(TRIM(H371)="",IFERROR(MEDIAN(IF($M$2:$M$1500=M371,$H$2:$H$1500)),MEDIAN($H$2:$H$1500)),H371),2)</f>
        <v>4.1500000000000004</v>
      </c>
      <c r="Q371" s="38" t="str">
        <f t="shared" si="33"/>
        <v>Unknown</v>
      </c>
      <c r="R371" s="39" cm="1">
        <f t="array" ref="R371">IF(OR(TRIM(J371)="",TRIM(J371)="-"),MEDIAN(IF($C$2:$C$1218=C371,$J$2:$J$1218)),VALUE(SUBSTITUTE(SUBSTITUTE(SUBSTITUTE(J371,"Rs. ",""),"₹",""),",","")))</f>
        <v>4981</v>
      </c>
      <c r="S371" s="40">
        <f t="shared" si="31"/>
        <v>25</v>
      </c>
      <c r="T371" s="41">
        <f t="shared" si="34"/>
        <v>25</v>
      </c>
      <c r="U371" s="42">
        <f t="shared" si="35"/>
        <v>3736</v>
      </c>
    </row>
    <row r="372" spans="1:21" x14ac:dyDescent="0.3">
      <c r="A372" s="37" t="s">
        <v>3338</v>
      </c>
      <c r="B372" s="37" t="s">
        <v>2437</v>
      </c>
      <c r="C372" s="37" t="s">
        <v>2438</v>
      </c>
      <c r="D372" s="37" t="s">
        <v>78</v>
      </c>
      <c r="E372" s="37" t="s">
        <v>203</v>
      </c>
      <c r="F372" s="37" t="s">
        <v>39</v>
      </c>
      <c r="G372" s="37"/>
      <c r="H372" s="37">
        <v>14.13</v>
      </c>
      <c r="I372" s="37">
        <v>14</v>
      </c>
      <c r="J372" s="37" t="s">
        <v>3339</v>
      </c>
      <c r="K372" s="37" t="s">
        <v>72</v>
      </c>
      <c r="L372" s="37">
        <v>10</v>
      </c>
      <c r="M372" s="37" t="str">
        <f t="shared" si="32"/>
        <v>General</v>
      </c>
      <c r="N372" s="37" t="str">
        <f t="shared" si="30"/>
        <v>Cash</v>
      </c>
      <c r="O372" s="37" t="str" cm="1">
        <f t="array" ref="O372">IF(TRIM(N372)="",INDEX($N$2:$N$1500,MATCH(MAX(COUNTIF($N$2:$N$1500,$N$2:$N$1500)),COUNTIF($N$2:$N$1500,$N$2:$N$1500),0)),N372)</f>
        <v>Cash</v>
      </c>
      <c r="P372" s="38" cm="1">
        <f t="array" ref="P372">ROUND(IF(TRIM(H372)="",IFERROR(MEDIAN(IF($M$2:$M$1500=M372,$H$2:$H$1500)),MEDIAN($H$2:$H$1500)),H372),2)</f>
        <v>14.13</v>
      </c>
      <c r="Q372" s="38" t="str">
        <f t="shared" si="33"/>
        <v>Unknown</v>
      </c>
      <c r="R372" s="39" cm="1">
        <f t="array" ref="R372">IF(OR(TRIM(J372)="",TRIM(J372)="-"),MEDIAN(IF($C$2:$C$1218=C372,$J$2:$J$1218)),VALUE(SUBSTITUTE(SUBSTITUTE(SUBSTITUTE(J372,"Rs. ",""),"₹",""),",","")))</f>
        <v>17940</v>
      </c>
      <c r="S372" s="40">
        <f t="shared" si="31"/>
        <v>10</v>
      </c>
      <c r="T372" s="41">
        <f t="shared" si="34"/>
        <v>10</v>
      </c>
      <c r="U372" s="42">
        <f t="shared" si="35"/>
        <v>16146</v>
      </c>
    </row>
    <row r="373" spans="1:21" x14ac:dyDescent="0.3">
      <c r="A373" s="37" t="s">
        <v>3340</v>
      </c>
      <c r="B373" s="37" t="s">
        <v>3341</v>
      </c>
      <c r="C373" s="37" t="s">
        <v>2473</v>
      </c>
      <c r="D373" s="37" t="s">
        <v>14</v>
      </c>
      <c r="E373" s="37" t="s">
        <v>60</v>
      </c>
      <c r="F373" s="37" t="s">
        <v>101</v>
      </c>
      <c r="G373" s="37" t="s">
        <v>2418</v>
      </c>
      <c r="H373" s="37">
        <v>22.06</v>
      </c>
      <c r="I373" s="37">
        <v>7</v>
      </c>
      <c r="J373" s="37" t="s">
        <v>3342</v>
      </c>
      <c r="K373" s="37" t="s">
        <v>167</v>
      </c>
      <c r="L373" s="37">
        <v>35</v>
      </c>
      <c r="M373" s="37" t="str">
        <f t="shared" si="32"/>
        <v>ICU</v>
      </c>
      <c r="N373" s="37" t="str">
        <f t="shared" si="30"/>
        <v>Insurance</v>
      </c>
      <c r="O373" s="37" t="str" cm="1">
        <f t="array" ref="O373">IF(TRIM(N373)="",INDEX($N$2:$N$1500,MATCH(MAX(COUNTIF($N$2:$N$1500,$N$2:$N$1500)),COUNTIF($N$2:$N$1500,$N$2:$N$1500),0)),N373)</f>
        <v>Insurance</v>
      </c>
      <c r="P373" s="38" cm="1">
        <f t="array" ref="P373">ROUND(IF(TRIM(H373)="",IFERROR(MEDIAN(IF($M$2:$M$1500=M373,$H$2:$H$1500)),MEDIAN($H$2:$H$1500)),H373),2)</f>
        <v>22.06</v>
      </c>
      <c r="Q373" s="38" t="str">
        <f t="shared" si="33"/>
        <v>1</v>
      </c>
      <c r="R373" s="39" cm="1">
        <f t="array" ref="R373">IF(OR(TRIM(J373)="",TRIM(J373)="-"),MEDIAN(IF($C$2:$C$1218=C373,$J$2:$J$1218)),VALUE(SUBSTITUTE(SUBSTITUTE(SUBSTITUTE(J373,"Rs. ",""),"₹",""),",","")))</f>
        <v>68351</v>
      </c>
      <c r="S373" s="40">
        <f t="shared" si="31"/>
        <v>35</v>
      </c>
      <c r="T373" s="41">
        <f t="shared" si="34"/>
        <v>35</v>
      </c>
      <c r="U373" s="42">
        <f t="shared" si="35"/>
        <v>44428</v>
      </c>
    </row>
    <row r="374" spans="1:21" x14ac:dyDescent="0.3">
      <c r="A374" s="37" t="s">
        <v>3343</v>
      </c>
      <c r="B374" s="37" t="s">
        <v>3344</v>
      </c>
      <c r="C374" s="37" t="s">
        <v>2561</v>
      </c>
      <c r="D374" s="37" t="s">
        <v>117</v>
      </c>
      <c r="E374" s="37" t="s">
        <v>182</v>
      </c>
      <c r="F374" s="37" t="s">
        <v>49</v>
      </c>
      <c r="G374" s="37" t="s">
        <v>2439</v>
      </c>
      <c r="H374" s="37">
        <v>23.69</v>
      </c>
      <c r="I374" s="37">
        <v>10</v>
      </c>
      <c r="J374" s="37">
        <v>18014</v>
      </c>
      <c r="K374" s="37" t="s">
        <v>149</v>
      </c>
      <c r="L374" s="37" t="s">
        <v>64</v>
      </c>
      <c r="M374" s="37" t="str">
        <f t="shared" si="32"/>
        <v>General</v>
      </c>
      <c r="N374" s="37" t="str">
        <f t="shared" si="30"/>
        <v>Insurance</v>
      </c>
      <c r="O374" s="37" t="str" cm="1">
        <f t="array" ref="O374">IF(TRIM(N374)="",INDEX($N$2:$N$1500,MATCH(MAX(COUNTIF($N$2:$N$1500,$N$2:$N$1500)),COUNTIF($N$2:$N$1500,$N$2:$N$1500),0)),N374)</f>
        <v>Insurance</v>
      </c>
      <c r="P374" s="38" cm="1">
        <f t="array" ref="P374">ROUND(IF(TRIM(H374)="",IFERROR(MEDIAN(IF($M$2:$M$1500=M374,$H$2:$H$1500)),MEDIAN($H$2:$H$1500)),H374),2)</f>
        <v>23.69</v>
      </c>
      <c r="Q374" s="38" t="str">
        <f t="shared" si="33"/>
        <v>2</v>
      </c>
      <c r="R374" s="39" cm="1">
        <f t="array" ref="R374">IF(OR(TRIM(J374)="",TRIM(J374)="-"),MEDIAN(IF($C$2:$C$1218=C374,$J$2:$J$1218)),VALUE(SUBSTITUTE(SUBSTITUTE(SUBSTITUTE(J374,"Rs. ",""),"₹",""),",","")))</f>
        <v>18014</v>
      </c>
      <c r="S374" s="40" t="str">
        <f t="shared" si="31"/>
        <v>NA</v>
      </c>
      <c r="T374" s="41">
        <f t="shared" si="34"/>
        <v>17</v>
      </c>
      <c r="U374" s="42">
        <f t="shared" si="35"/>
        <v>14952</v>
      </c>
    </row>
    <row r="375" spans="1:21" x14ac:dyDescent="0.3">
      <c r="A375" s="37" t="s">
        <v>3345</v>
      </c>
      <c r="B375" s="37" t="s">
        <v>3346</v>
      </c>
      <c r="C375" s="37" t="s">
        <v>2422</v>
      </c>
      <c r="D375" s="37" t="s">
        <v>45</v>
      </c>
      <c r="E375" s="37" t="s">
        <v>46</v>
      </c>
      <c r="F375" s="37" t="s">
        <v>19</v>
      </c>
      <c r="G375" s="37" t="s">
        <v>2435</v>
      </c>
      <c r="H375" s="37">
        <v>14.06</v>
      </c>
      <c r="I375" s="37">
        <v>29</v>
      </c>
      <c r="J375" s="37">
        <v>8688</v>
      </c>
      <c r="K375" s="37" t="s">
        <v>42</v>
      </c>
      <c r="L375" s="37" t="s">
        <v>1385</v>
      </c>
      <c r="M375" s="37" t="str">
        <f t="shared" si="32"/>
        <v>General</v>
      </c>
      <c r="N375" s="37" t="str">
        <f t="shared" si="30"/>
        <v>Insurance</v>
      </c>
      <c r="O375" s="37" t="str" cm="1">
        <f t="array" ref="O375">IF(TRIM(N375)="",INDEX($N$2:$N$1500,MATCH(MAX(COUNTIF($N$2:$N$1500,$N$2:$N$1500)),COUNTIF($N$2:$N$1500,$N$2:$N$1500),0)),N375)</f>
        <v>Insurance</v>
      </c>
      <c r="P375" s="38" cm="1">
        <f t="array" ref="P375">ROUND(IF(TRIM(H375)="",IFERROR(MEDIAN(IF($M$2:$M$1500=M375,$H$2:$H$1500)),MEDIAN($H$2:$H$1500)),H375),2)</f>
        <v>14.06</v>
      </c>
      <c r="Q375" s="38" t="str">
        <f t="shared" si="33"/>
        <v>0</v>
      </c>
      <c r="R375" s="39" cm="1">
        <f t="array" ref="R375">IF(OR(TRIM(J375)="",TRIM(J375)="-"),MEDIAN(IF($C$2:$C$1218=C375,$J$2:$J$1218)),VALUE(SUBSTITUTE(SUBSTITUTE(SUBSTITUTE(J375,"Rs. ",""),"₹",""),",","")))</f>
        <v>8688</v>
      </c>
      <c r="S375" s="40">
        <f t="shared" si="31"/>
        <v>20</v>
      </c>
      <c r="T375" s="41">
        <f t="shared" si="34"/>
        <v>20</v>
      </c>
      <c r="U375" s="42">
        <f t="shared" si="35"/>
        <v>6950</v>
      </c>
    </row>
    <row r="376" spans="1:21" x14ac:dyDescent="0.3">
      <c r="A376" s="37" t="s">
        <v>3347</v>
      </c>
      <c r="B376" s="37" t="s">
        <v>2558</v>
      </c>
      <c r="C376" s="37" t="s">
        <v>2407</v>
      </c>
      <c r="D376" s="37" t="s">
        <v>78</v>
      </c>
      <c r="E376" s="37" t="s">
        <v>203</v>
      </c>
      <c r="F376" s="37" t="s">
        <v>49</v>
      </c>
      <c r="G376" s="37" t="s">
        <v>2418</v>
      </c>
      <c r="H376" s="37">
        <v>9.3699999999999992</v>
      </c>
      <c r="I376" s="37">
        <v>40</v>
      </c>
      <c r="J376" s="37" t="s">
        <v>3348</v>
      </c>
      <c r="K376" s="37" t="s">
        <v>72</v>
      </c>
      <c r="L376" s="37" t="s">
        <v>130</v>
      </c>
      <c r="M376" s="37" t="str">
        <f t="shared" si="32"/>
        <v>General</v>
      </c>
      <c r="N376" s="37" t="str">
        <f t="shared" si="30"/>
        <v>Cash</v>
      </c>
      <c r="O376" s="37" t="str" cm="1">
        <f t="array" ref="O376">IF(TRIM(N376)="",INDEX($N$2:$N$1500,MATCH(MAX(COUNTIF($N$2:$N$1500,$N$2:$N$1500)),COUNTIF($N$2:$N$1500,$N$2:$N$1500),0)),N376)</f>
        <v>Cash</v>
      </c>
      <c r="P376" s="38" cm="1">
        <f t="array" ref="P376">ROUND(IF(TRIM(H376)="",IFERROR(MEDIAN(IF($M$2:$M$1500=M376,$H$2:$H$1500)),MEDIAN($H$2:$H$1500)),H376),2)</f>
        <v>9.3699999999999992</v>
      </c>
      <c r="Q376" s="38" t="str">
        <f t="shared" si="33"/>
        <v>1</v>
      </c>
      <c r="R376" s="39" cm="1">
        <f t="array" ref="R376">IF(OR(TRIM(J376)="",TRIM(J376)="-"),MEDIAN(IF($C$2:$C$1218=C376,$J$2:$J$1218)),VALUE(SUBSTITUTE(SUBSTITUTE(SUBSTITUTE(J376,"Rs. ",""),"₹",""),",","")))</f>
        <v>13454</v>
      </c>
      <c r="S376" s="40">
        <f t="shared" si="31"/>
        <v>0</v>
      </c>
      <c r="T376" s="41">
        <f t="shared" si="34"/>
        <v>0</v>
      </c>
      <c r="U376" s="42">
        <f t="shared" si="35"/>
        <v>13454</v>
      </c>
    </row>
    <row r="377" spans="1:21" x14ac:dyDescent="0.3">
      <c r="A377" s="37" t="s">
        <v>3349</v>
      </c>
      <c r="B377" s="37" t="s">
        <v>3350</v>
      </c>
      <c r="C377" s="37" t="s">
        <v>2485</v>
      </c>
      <c r="D377" s="37" t="s">
        <v>78</v>
      </c>
      <c r="E377" s="37" t="s">
        <v>161</v>
      </c>
      <c r="F377" s="37" t="s">
        <v>39</v>
      </c>
      <c r="G377" s="37" t="s">
        <v>2408</v>
      </c>
      <c r="H377" s="37">
        <v>3.3</v>
      </c>
      <c r="I377" s="37">
        <v>2</v>
      </c>
      <c r="J377" s="37" t="s">
        <v>3351</v>
      </c>
      <c r="K377" s="37" t="s">
        <v>97</v>
      </c>
      <c r="L377" s="37" t="s">
        <v>130</v>
      </c>
      <c r="M377" s="37" t="str">
        <f t="shared" si="32"/>
        <v>General</v>
      </c>
      <c r="N377" s="37" t="str">
        <f t="shared" si="30"/>
        <v>UPI</v>
      </c>
      <c r="O377" s="37" t="str" cm="1">
        <f t="array" ref="O377">IF(TRIM(N377)="",INDEX($N$2:$N$1500,MATCH(MAX(COUNTIF($N$2:$N$1500,$N$2:$N$1500)),COUNTIF($N$2:$N$1500,$N$2:$N$1500),0)),N377)</f>
        <v>UPI</v>
      </c>
      <c r="P377" s="38" cm="1">
        <f t="array" ref="P377">ROUND(IF(TRIM(H377)="",IFERROR(MEDIAN(IF($M$2:$M$1500=M377,$H$2:$H$1500)),MEDIAN($H$2:$H$1500)),H377),2)</f>
        <v>3.3</v>
      </c>
      <c r="Q377" s="38" t="str">
        <f t="shared" si="33"/>
        <v>0</v>
      </c>
      <c r="R377" s="39" cm="1">
        <f t="array" ref="R377">IF(OR(TRIM(J377)="",TRIM(J377)="-"),MEDIAN(IF($C$2:$C$1218=C377,$J$2:$J$1218)),VALUE(SUBSTITUTE(SUBSTITUTE(SUBSTITUTE(J377,"Rs. ",""),"₹",""),",","")))</f>
        <v>9839</v>
      </c>
      <c r="S377" s="40">
        <f t="shared" si="31"/>
        <v>0</v>
      </c>
      <c r="T377" s="41">
        <f t="shared" si="34"/>
        <v>0</v>
      </c>
      <c r="U377" s="42">
        <f t="shared" si="35"/>
        <v>9839</v>
      </c>
    </row>
    <row r="378" spans="1:21" x14ac:dyDescent="0.3">
      <c r="A378" s="37" t="s">
        <v>3352</v>
      </c>
      <c r="B378" s="37" t="s">
        <v>3353</v>
      </c>
      <c r="C378" s="37" t="s">
        <v>2445</v>
      </c>
      <c r="D378" s="37" t="s">
        <v>106</v>
      </c>
      <c r="E378" s="37" t="s">
        <v>107</v>
      </c>
      <c r="F378" s="37" t="s">
        <v>62</v>
      </c>
      <c r="G378" s="37" t="s">
        <v>2477</v>
      </c>
      <c r="H378" s="37"/>
      <c r="I378" s="37" t="s">
        <v>140</v>
      </c>
      <c r="J378" s="37" t="s">
        <v>3354</v>
      </c>
      <c r="K378" s="37" t="s">
        <v>167</v>
      </c>
      <c r="L378" s="37" t="s">
        <v>240</v>
      </c>
      <c r="M378" s="37" t="str">
        <f t="shared" si="32"/>
        <v>ICU</v>
      </c>
      <c r="N378" s="37" t="str">
        <f t="shared" si="30"/>
        <v>Insurance</v>
      </c>
      <c r="O378" s="37" t="str" cm="1">
        <f t="array" ref="O378">IF(TRIM(N378)="",INDEX($N$2:$N$1500,MATCH(MAX(COUNTIF($N$2:$N$1500,$N$2:$N$1500)),COUNTIF($N$2:$N$1500,$N$2:$N$1500),0)),N378)</f>
        <v>Insurance</v>
      </c>
      <c r="P378" s="38" cm="1">
        <f t="array" ref="P378">ROUND(IF(TRIM(H378)="",IFERROR(MEDIAN(IF($M$2:$M$1500=M378,$H$2:$H$1500)),MEDIAN($H$2:$H$1500)),H378),2)</f>
        <v>12.21</v>
      </c>
      <c r="Q378" s="38" t="str">
        <f t="shared" si="33"/>
        <v>0</v>
      </c>
      <c r="R378" s="39" cm="1">
        <f t="array" ref="R378">IF(OR(TRIM(J378)="",TRIM(J378)="-"),MEDIAN(IF($C$2:$C$1218=C378,$J$2:$J$1218)),VALUE(SUBSTITUTE(SUBSTITUTE(SUBSTITUTE(J378,"Rs. ",""),"₹",""),",","")))</f>
        <v>71574</v>
      </c>
      <c r="S378" s="40">
        <f t="shared" si="31"/>
        <v>12</v>
      </c>
      <c r="T378" s="41">
        <f t="shared" si="34"/>
        <v>12</v>
      </c>
      <c r="U378" s="42">
        <f t="shared" si="35"/>
        <v>62985</v>
      </c>
    </row>
    <row r="379" spans="1:21" x14ac:dyDescent="0.3">
      <c r="A379" s="37" t="s">
        <v>3355</v>
      </c>
      <c r="B379" s="37" t="s">
        <v>2426</v>
      </c>
      <c r="C379" s="37" t="s">
        <v>2427</v>
      </c>
      <c r="D379" s="37" t="s">
        <v>25</v>
      </c>
      <c r="E379" s="37" t="s">
        <v>54</v>
      </c>
      <c r="F379" s="37" t="s">
        <v>62</v>
      </c>
      <c r="G379" s="37" t="s">
        <v>2455</v>
      </c>
      <c r="H379" s="37">
        <v>2.99</v>
      </c>
      <c r="I379" s="37">
        <v>55</v>
      </c>
      <c r="J379" s="37">
        <v>61026</v>
      </c>
      <c r="K379" s="37" t="s">
        <v>72</v>
      </c>
      <c r="L379" s="37">
        <v>0</v>
      </c>
      <c r="M379" s="37" t="str">
        <f t="shared" si="32"/>
        <v>ICU</v>
      </c>
      <c r="N379" s="37" t="str">
        <f t="shared" si="30"/>
        <v>Cash</v>
      </c>
      <c r="O379" s="37" t="str" cm="1">
        <f t="array" ref="O379">IF(TRIM(N379)="",INDEX($N$2:$N$1500,MATCH(MAX(COUNTIF($N$2:$N$1500,$N$2:$N$1500)),COUNTIF($N$2:$N$1500,$N$2:$N$1500),0)),N379)</f>
        <v>Cash</v>
      </c>
      <c r="P379" s="38" cm="1">
        <f t="array" ref="P379">ROUND(IF(TRIM(H379)="",IFERROR(MEDIAN(IF($M$2:$M$1500=M379,$H$2:$H$1500)),MEDIAN($H$2:$H$1500)),H379),2)</f>
        <v>2.99</v>
      </c>
      <c r="Q379" s="38" t="str">
        <f t="shared" si="33"/>
        <v>1</v>
      </c>
      <c r="R379" s="39" cm="1">
        <f t="array" ref="R379">IF(OR(TRIM(J379)="",TRIM(J379)="-"),MEDIAN(IF($C$2:$C$1218=C379,$J$2:$J$1218)),VALUE(SUBSTITUTE(SUBSTITUTE(SUBSTITUTE(J379,"Rs. ",""),"₹",""),",","")))</f>
        <v>61026</v>
      </c>
      <c r="S379" s="40">
        <f t="shared" si="31"/>
        <v>0</v>
      </c>
      <c r="T379" s="41">
        <f t="shared" si="34"/>
        <v>0</v>
      </c>
      <c r="U379" s="42">
        <f t="shared" si="35"/>
        <v>61026</v>
      </c>
    </row>
    <row r="380" spans="1:21" x14ac:dyDescent="0.3">
      <c r="A380" s="37" t="s">
        <v>3356</v>
      </c>
      <c r="B380" s="37" t="s">
        <v>3357</v>
      </c>
      <c r="C380" s="37" t="s">
        <v>2434</v>
      </c>
      <c r="D380" s="37" t="s">
        <v>78</v>
      </c>
      <c r="E380" s="37" t="s">
        <v>79</v>
      </c>
      <c r="F380" s="37"/>
      <c r="G380" s="37" t="s">
        <v>2439</v>
      </c>
      <c r="H380" s="37">
        <v>12.69</v>
      </c>
      <c r="I380" s="37">
        <v>1</v>
      </c>
      <c r="J380" s="37">
        <v>12577</v>
      </c>
      <c r="K380" s="37" t="s">
        <v>52</v>
      </c>
      <c r="L380" s="37">
        <v>0</v>
      </c>
      <c r="M380" s="37" t="str">
        <f t="shared" si="32"/>
        <v>Unknown</v>
      </c>
      <c r="N380" s="37" t="str">
        <f t="shared" si="30"/>
        <v>Credit Card</v>
      </c>
      <c r="O380" s="37" t="str" cm="1">
        <f t="array" ref="O380">IF(TRIM(N380)="",INDEX($N$2:$N$1500,MATCH(MAX(COUNTIF($N$2:$N$1500,$N$2:$N$1500)),COUNTIF($N$2:$N$1500,$N$2:$N$1500),0)),N380)</f>
        <v>Credit Card</v>
      </c>
      <c r="P380" s="38" cm="1">
        <f t="array" ref="P380">ROUND(IF(TRIM(H380)="",IFERROR(MEDIAN(IF($M$2:$M$1500=M380,$H$2:$H$1500)),MEDIAN($H$2:$H$1500)),H380),2)</f>
        <v>12.69</v>
      </c>
      <c r="Q380" s="38" t="str">
        <f t="shared" si="33"/>
        <v>2</v>
      </c>
      <c r="R380" s="39" cm="1">
        <f t="array" ref="R380">IF(OR(TRIM(J380)="",TRIM(J380)="-"),MEDIAN(IF($C$2:$C$1218=C380,$J$2:$J$1218)),VALUE(SUBSTITUTE(SUBSTITUTE(SUBSTITUTE(J380,"Rs. ",""),"₹",""),",","")))</f>
        <v>12577</v>
      </c>
      <c r="S380" s="40">
        <f t="shared" si="31"/>
        <v>0</v>
      </c>
      <c r="T380" s="41">
        <f t="shared" si="34"/>
        <v>0</v>
      </c>
      <c r="U380" s="42">
        <f t="shared" si="35"/>
        <v>12577</v>
      </c>
    </row>
    <row r="381" spans="1:21" x14ac:dyDescent="0.3">
      <c r="A381" s="37" t="s">
        <v>3358</v>
      </c>
      <c r="B381" s="37" t="s">
        <v>3359</v>
      </c>
      <c r="C381" s="37" t="s">
        <v>2485</v>
      </c>
      <c r="D381" s="37" t="s">
        <v>78</v>
      </c>
      <c r="E381" s="37" t="s">
        <v>79</v>
      </c>
      <c r="F381" s="37" t="s">
        <v>30</v>
      </c>
      <c r="G381" s="37" t="s">
        <v>2412</v>
      </c>
      <c r="H381" s="37">
        <v>7.5</v>
      </c>
      <c r="I381" s="37">
        <v>57</v>
      </c>
      <c r="J381" s="37" t="s">
        <v>3360</v>
      </c>
      <c r="K381" s="37" t="s">
        <v>97</v>
      </c>
      <c r="L381" s="37">
        <v>0</v>
      </c>
      <c r="M381" s="37" t="str">
        <f t="shared" si="32"/>
        <v>General</v>
      </c>
      <c r="N381" s="37" t="str">
        <f t="shared" si="30"/>
        <v>UPI</v>
      </c>
      <c r="O381" s="37" t="str" cm="1">
        <f t="array" ref="O381">IF(TRIM(N381)="",INDEX($N$2:$N$1500,MATCH(MAX(COUNTIF($N$2:$N$1500,$N$2:$N$1500)),COUNTIF($N$2:$N$1500,$N$2:$N$1500),0)),N381)</f>
        <v>UPI</v>
      </c>
      <c r="P381" s="38" cm="1">
        <f t="array" ref="P381">ROUND(IF(TRIM(H381)="",IFERROR(MEDIAN(IF($M$2:$M$1500=M381,$H$2:$H$1500)),MEDIAN($H$2:$H$1500)),H381),2)</f>
        <v>7.5</v>
      </c>
      <c r="Q381" s="38" t="str">
        <f t="shared" si="33"/>
        <v>1</v>
      </c>
      <c r="R381" s="39" cm="1">
        <f t="array" ref="R381">IF(OR(TRIM(J381)="",TRIM(J381)="-"),MEDIAN(IF($C$2:$C$1218=C381,$J$2:$J$1218)),VALUE(SUBSTITUTE(SUBSTITUTE(SUBSTITUTE(J381,"Rs. ",""),"₹",""),",","")))</f>
        <v>4968</v>
      </c>
      <c r="S381" s="40">
        <f t="shared" si="31"/>
        <v>0</v>
      </c>
      <c r="T381" s="41">
        <f t="shared" si="34"/>
        <v>0</v>
      </c>
      <c r="U381" s="42">
        <f t="shared" si="35"/>
        <v>4968</v>
      </c>
    </row>
    <row r="382" spans="1:21" x14ac:dyDescent="0.3">
      <c r="A382" s="37" t="s">
        <v>3361</v>
      </c>
      <c r="B382" s="37" t="s">
        <v>3362</v>
      </c>
      <c r="C382" s="37" t="s">
        <v>2438</v>
      </c>
      <c r="D382" s="37" t="s">
        <v>78</v>
      </c>
      <c r="E382" s="37" t="s">
        <v>203</v>
      </c>
      <c r="F382" s="37" t="s">
        <v>39</v>
      </c>
      <c r="G382" s="37" t="s">
        <v>2408</v>
      </c>
      <c r="H382" s="37">
        <v>6.5</v>
      </c>
      <c r="I382" s="37">
        <v>9</v>
      </c>
      <c r="J382" s="37">
        <v>17686</v>
      </c>
      <c r="K382" s="37" t="s">
        <v>115</v>
      </c>
      <c r="L382" s="37">
        <v>0</v>
      </c>
      <c r="M382" s="37" t="str">
        <f t="shared" si="32"/>
        <v>General</v>
      </c>
      <c r="N382" s="37" t="str">
        <f t="shared" si="30"/>
        <v>Cash</v>
      </c>
      <c r="O382" s="37" t="str" cm="1">
        <f t="array" ref="O382">IF(TRIM(N382)="",INDEX($N$2:$N$1500,MATCH(MAX(COUNTIF($N$2:$N$1500,$N$2:$N$1500)),COUNTIF($N$2:$N$1500,$N$2:$N$1500),0)),N382)</f>
        <v>Cash</v>
      </c>
      <c r="P382" s="38" cm="1">
        <f t="array" ref="P382">ROUND(IF(TRIM(H382)="",IFERROR(MEDIAN(IF($M$2:$M$1500=M382,$H$2:$H$1500)),MEDIAN($H$2:$H$1500)),H382),2)</f>
        <v>6.5</v>
      </c>
      <c r="Q382" s="38" t="str">
        <f t="shared" si="33"/>
        <v>0</v>
      </c>
      <c r="R382" s="39" cm="1">
        <f t="array" ref="R382">IF(OR(TRIM(J382)="",TRIM(J382)="-"),MEDIAN(IF($C$2:$C$1218=C382,$J$2:$J$1218)),VALUE(SUBSTITUTE(SUBSTITUTE(SUBSTITUTE(J382,"Rs. ",""),"₹",""),",","")))</f>
        <v>17686</v>
      </c>
      <c r="S382" s="40">
        <f t="shared" si="31"/>
        <v>0</v>
      </c>
      <c r="T382" s="41">
        <f t="shared" si="34"/>
        <v>0</v>
      </c>
      <c r="U382" s="42">
        <f t="shared" si="35"/>
        <v>17686</v>
      </c>
    </row>
    <row r="383" spans="1:21" x14ac:dyDescent="0.3">
      <c r="A383" s="37" t="s">
        <v>3363</v>
      </c>
      <c r="B383" s="37" t="s">
        <v>3364</v>
      </c>
      <c r="C383" s="37" t="s">
        <v>2629</v>
      </c>
      <c r="D383" s="37" t="s">
        <v>25</v>
      </c>
      <c r="E383" s="37" t="s">
        <v>54</v>
      </c>
      <c r="F383" s="37" t="s">
        <v>49</v>
      </c>
      <c r="G383" s="37" t="s">
        <v>2505</v>
      </c>
      <c r="H383" s="37"/>
      <c r="I383" s="37">
        <v>10</v>
      </c>
      <c r="J383" s="37" t="s">
        <v>3365</v>
      </c>
      <c r="K383" s="37" t="s">
        <v>211</v>
      </c>
      <c r="L383" s="37">
        <v>0</v>
      </c>
      <c r="M383" s="37" t="str">
        <f t="shared" si="32"/>
        <v>General</v>
      </c>
      <c r="N383" s="37" t="str">
        <f t="shared" si="30"/>
        <v>Credit Card</v>
      </c>
      <c r="O383" s="37" t="str" cm="1">
        <f t="array" ref="O383">IF(TRIM(N383)="",INDEX($N$2:$N$1500,MATCH(MAX(COUNTIF($N$2:$N$1500,$N$2:$N$1500)),COUNTIF($N$2:$N$1500,$N$2:$N$1500),0)),N383)</f>
        <v>Credit Card</v>
      </c>
      <c r="P383" s="38" cm="1">
        <f t="array" ref="P383">ROUND(IF(TRIM(H383)="",IFERROR(MEDIAN(IF($M$2:$M$1500=M383,$H$2:$H$1500)),MEDIAN($H$2:$H$1500)),H383),2)</f>
        <v>12.02</v>
      </c>
      <c r="Q383" s="38" t="str">
        <f t="shared" si="33"/>
        <v>2+</v>
      </c>
      <c r="R383" s="39" cm="1">
        <f t="array" ref="R383">IF(OR(TRIM(J383)="",TRIM(J383)="-"),MEDIAN(IF($C$2:$C$1218=C383,$J$2:$J$1218)),VALUE(SUBSTITUTE(SUBSTITUTE(SUBSTITUTE(J383,"Rs. ",""),"₹",""),",","")))</f>
        <v>6782</v>
      </c>
      <c r="S383" s="40">
        <f t="shared" si="31"/>
        <v>0</v>
      </c>
      <c r="T383" s="41">
        <f t="shared" si="34"/>
        <v>0</v>
      </c>
      <c r="U383" s="42">
        <f t="shared" si="35"/>
        <v>6782</v>
      </c>
    </row>
    <row r="384" spans="1:21" x14ac:dyDescent="0.3">
      <c r="A384" s="37" t="s">
        <v>3366</v>
      </c>
      <c r="B384" s="37" t="s">
        <v>2980</v>
      </c>
      <c r="C384" s="37" t="s">
        <v>2504</v>
      </c>
      <c r="D384" s="37" t="s">
        <v>78</v>
      </c>
      <c r="E384" s="37" t="s">
        <v>79</v>
      </c>
      <c r="F384" s="37" t="s">
        <v>39</v>
      </c>
      <c r="G384" s="37" t="s">
        <v>2746</v>
      </c>
      <c r="H384" s="37">
        <v>2.71</v>
      </c>
      <c r="I384" s="37">
        <v>18</v>
      </c>
      <c r="J384" s="37" t="s">
        <v>3367</v>
      </c>
      <c r="K384" s="37" t="s">
        <v>52</v>
      </c>
      <c r="L384" s="37" t="s">
        <v>76</v>
      </c>
      <c r="M384" s="37" t="str">
        <f t="shared" si="32"/>
        <v>General</v>
      </c>
      <c r="N384" s="37" t="str">
        <f t="shared" si="30"/>
        <v>Credit Card</v>
      </c>
      <c r="O384" s="37" t="str" cm="1">
        <f t="array" ref="O384">IF(TRIM(N384)="",INDEX($N$2:$N$1500,MATCH(MAX(COUNTIF($N$2:$N$1500,$N$2:$N$1500)),COUNTIF($N$2:$N$1500,$N$2:$N$1500),0)),N384)</f>
        <v>Credit Card</v>
      </c>
      <c r="P384" s="38" cm="1">
        <f t="array" ref="P384">ROUND(IF(TRIM(H384)="",IFERROR(MEDIAN(IF($M$2:$M$1500=M384,$H$2:$H$1500)),MEDIAN($H$2:$H$1500)),H384),2)</f>
        <v>2.71</v>
      </c>
      <c r="Q384" s="38" t="str">
        <f t="shared" si="33"/>
        <v>2</v>
      </c>
      <c r="R384" s="39" cm="1">
        <f t="array" ref="R384">IF(OR(TRIM(J384)="",TRIM(J384)="-"),MEDIAN(IF($C$2:$C$1218=C384,$J$2:$J$1218)),VALUE(SUBSTITUTE(SUBSTITUTE(SUBSTITUTE(J384,"Rs. ",""),"₹",""),",","")))</f>
        <v>6985</v>
      </c>
      <c r="S384" s="40">
        <f t="shared" si="31"/>
        <v>10</v>
      </c>
      <c r="T384" s="41">
        <f t="shared" si="34"/>
        <v>10</v>
      </c>
      <c r="U384" s="42">
        <f t="shared" si="35"/>
        <v>6287</v>
      </c>
    </row>
    <row r="385" spans="1:21" x14ac:dyDescent="0.3">
      <c r="A385" s="37" t="s">
        <v>3368</v>
      </c>
      <c r="B385" s="37" t="s">
        <v>3193</v>
      </c>
      <c r="C385" s="37" t="s">
        <v>2422</v>
      </c>
      <c r="D385" s="37" t="s">
        <v>117</v>
      </c>
      <c r="E385" s="37" t="s">
        <v>182</v>
      </c>
      <c r="F385" s="37" t="s">
        <v>39</v>
      </c>
      <c r="G385" s="37" t="s">
        <v>2423</v>
      </c>
      <c r="H385" s="37">
        <v>4.2300000000000004</v>
      </c>
      <c r="I385" s="37">
        <v>54</v>
      </c>
      <c r="J385" s="37">
        <v>7473</v>
      </c>
      <c r="K385" s="37" t="s">
        <v>72</v>
      </c>
      <c r="L385" s="37">
        <v>0</v>
      </c>
      <c r="M385" s="37" t="str">
        <f t="shared" si="32"/>
        <v>General</v>
      </c>
      <c r="N385" s="37" t="str">
        <f t="shared" si="30"/>
        <v>Cash</v>
      </c>
      <c r="O385" s="37" t="str" cm="1">
        <f t="array" ref="O385">IF(TRIM(N385)="",INDEX($N$2:$N$1500,MATCH(MAX(COUNTIF($N$2:$N$1500,$N$2:$N$1500)),COUNTIF($N$2:$N$1500,$N$2:$N$1500),0)),N385)</f>
        <v>Cash</v>
      </c>
      <c r="P385" s="38" cm="1">
        <f t="array" ref="P385">ROUND(IF(TRIM(H385)="",IFERROR(MEDIAN(IF($M$2:$M$1500=M385,$H$2:$H$1500)),MEDIAN($H$2:$H$1500)),H385),2)</f>
        <v>4.2300000000000004</v>
      </c>
      <c r="Q385" s="38" t="str">
        <f t="shared" si="33"/>
        <v>0</v>
      </c>
      <c r="R385" s="39" cm="1">
        <f t="array" ref="R385">IF(OR(TRIM(J385)="",TRIM(J385)="-"),MEDIAN(IF($C$2:$C$1218=C385,$J$2:$J$1218)),VALUE(SUBSTITUTE(SUBSTITUTE(SUBSTITUTE(J385,"Rs. ",""),"₹",""),",","")))</f>
        <v>7473</v>
      </c>
      <c r="S385" s="40">
        <f t="shared" si="31"/>
        <v>0</v>
      </c>
      <c r="T385" s="41">
        <f t="shared" si="34"/>
        <v>0</v>
      </c>
      <c r="U385" s="42">
        <f t="shared" si="35"/>
        <v>7473</v>
      </c>
    </row>
    <row r="386" spans="1:21" x14ac:dyDescent="0.3">
      <c r="A386" s="37" t="s">
        <v>3369</v>
      </c>
      <c r="B386" s="37" t="s">
        <v>3370</v>
      </c>
      <c r="C386" s="37" t="s">
        <v>2466</v>
      </c>
      <c r="D386" s="37" t="s">
        <v>25</v>
      </c>
      <c r="E386" s="37" t="s">
        <v>54</v>
      </c>
      <c r="F386" s="37" t="s">
        <v>39</v>
      </c>
      <c r="G386" s="37" t="s">
        <v>2477</v>
      </c>
      <c r="H386" s="37">
        <v>19.239999999999998</v>
      </c>
      <c r="I386" s="37">
        <v>58</v>
      </c>
      <c r="J386" s="37" t="s">
        <v>3371</v>
      </c>
      <c r="K386" s="37" t="s">
        <v>34</v>
      </c>
      <c r="L386" s="37"/>
      <c r="M386" s="37" t="str">
        <f t="shared" si="32"/>
        <v>General</v>
      </c>
      <c r="N386" s="37" t="str">
        <f t="shared" ref="N386:N449" si="36">IF(OR(UPPER(TRIM(K386))="CREDIT_CARD",UPPER(TRIM(K386))="CREDIT CARD",UPPER(TRIM(K386))="CC"),"Credit Card", IF(OR(UPPER(TRIM(K386))="DEBIT_CARD",UPPER(TRIM(K386))="DEBIT CARD",UPPER(TRIM(K386))="DC"),"Debit Card", IF(UPPER(TRIM(K386))="CASH","Cash", IF(UPPER(TRIM(K386))="UPI","UPI", IF(OR(UPPER(TRIM(K386))="INSURANCE",UPPER(TRIM(K386))="INS"),"Insurance", IF(TRIM(K386)="","Unknown","Unknown"))))))</f>
        <v>Cash</v>
      </c>
      <c r="O386" s="37" t="str" cm="1">
        <f t="array" ref="O386">IF(TRIM(N386)="",INDEX($N$2:$N$1500,MATCH(MAX(COUNTIF($N$2:$N$1500,$N$2:$N$1500)),COUNTIF($N$2:$N$1500,$N$2:$N$1500),0)),N386)</f>
        <v>Cash</v>
      </c>
      <c r="P386" s="38" cm="1">
        <f t="array" ref="P386">ROUND(IF(TRIM(H386)="",IFERROR(MEDIAN(IF($M$2:$M$1500=M386,$H$2:$H$1500)),MEDIAN($H$2:$H$1500)),H386),2)</f>
        <v>19.239999999999998</v>
      </c>
      <c r="Q386" s="38" t="str">
        <f t="shared" si="33"/>
        <v>0</v>
      </c>
      <c r="R386" s="39" cm="1">
        <f t="array" ref="R386">IF(OR(TRIM(J386)="",TRIM(J386)="-"),MEDIAN(IF($C$2:$C$1218=C386,$J$2:$J$1218)),VALUE(SUBSTITUTE(SUBSTITUTE(SUBSTITUTE(J386,"Rs. ",""),"₹",""),",","")))</f>
        <v>16589</v>
      </c>
      <c r="S386" s="40">
        <f t="shared" ref="S386:S449" si="37">IF(RIGHT(TRIM(L386),1)="%",VALUE(LEFT(TRIM(L386),LEN(TRIM(L386))-1)),IF(AND(ISNUMBER(L386),L386&lt;=1,,L386&gt;0),L386*100,L386))</f>
        <v>0</v>
      </c>
      <c r="T386" s="41">
        <f t="shared" si="34"/>
        <v>0</v>
      </c>
      <c r="U386" s="42">
        <f t="shared" si="35"/>
        <v>16589</v>
      </c>
    </row>
    <row r="387" spans="1:21" x14ac:dyDescent="0.3">
      <c r="A387" s="37" t="s">
        <v>3372</v>
      </c>
      <c r="B387" s="37" t="s">
        <v>3373</v>
      </c>
      <c r="C387" s="37" t="s">
        <v>2504</v>
      </c>
      <c r="D387" s="37" t="s">
        <v>45</v>
      </c>
      <c r="E387" s="37" t="s">
        <v>334</v>
      </c>
      <c r="F387" s="37" t="s">
        <v>30</v>
      </c>
      <c r="G387" s="37" t="s">
        <v>2423</v>
      </c>
      <c r="H387" s="37">
        <v>22.76</v>
      </c>
      <c r="I387" s="37">
        <v>49</v>
      </c>
      <c r="J387" s="37">
        <v>5434</v>
      </c>
      <c r="K387" s="37" t="s">
        <v>34</v>
      </c>
      <c r="L387" s="37">
        <v>0.05</v>
      </c>
      <c r="M387" s="37" t="str">
        <f t="shared" ref="M387:M450" si="38">IF(OR(UPPER(TRIM(F387))="GENERAL",UPPER(TRIM(F387))="GENRAL"),"General",IF(UPPER(TRIM(F387))="ICU","ICU","Unknown"))</f>
        <v>General</v>
      </c>
      <c r="N387" s="37" t="str">
        <f t="shared" si="36"/>
        <v>Cash</v>
      </c>
      <c r="O387" s="37" t="str" cm="1">
        <f t="array" ref="O387">IF(TRIM(N387)="",INDEX($N$2:$N$1500,MATCH(MAX(COUNTIF($N$2:$N$1500,$N$2:$N$1500)),COUNTIF($N$2:$N$1500,$N$2:$N$1500),0)),N387)</f>
        <v>Cash</v>
      </c>
      <c r="P387" s="38" cm="1">
        <f t="array" ref="P387">ROUND(IF(TRIM(H387)="",IFERROR(MEDIAN(IF($M$2:$M$1500=M387,$H$2:$H$1500)),MEDIAN($H$2:$H$1500)),H387),2)</f>
        <v>22.76</v>
      </c>
      <c r="Q387" s="38" t="str">
        <f t="shared" ref="Q387:Q450" si="39">IF(OR(LOWER(TRIM(G387))="0",LOWER(TRIM(G387))="zero"),"0", IF(OR(LOWER(TRIM(G387))="1",LOWER(TRIM(G387))="one"),"1", IF(OR(LOWER(TRIM(G387))="2",LOWER(TRIM(G387))="two"),"2", IF(OR(LOWER(TRIM(G387))="2+",LOWER(TRIM(G387))="two_or_more",LOWER(TRIM(G387))="multiple"),"2+", "Unknown"))))</f>
        <v>0</v>
      </c>
      <c r="R387" s="39" cm="1">
        <f t="array" ref="R387">IF(OR(TRIM(J387)="",TRIM(J387)="-"),MEDIAN(IF($C$2:$C$1218=C387,$J$2:$J$1218)),VALUE(SUBSTITUTE(SUBSTITUTE(SUBSTITUTE(J387,"Rs. ",""),"₹",""),",","")))</f>
        <v>5434</v>
      </c>
      <c r="S387" s="40">
        <f t="shared" si="37"/>
        <v>0.05</v>
      </c>
      <c r="T387" s="41">
        <f t="shared" ref="T387:T450" si="40">ROUND(IF(OR(TRIM(S387)="-",UPPER(TRIM(S387))="N/A",UPPER(TRIM(S387))="NA"),IFERROR(AVERAGEIF($O$2:$O$1500,O387,$S$2:$S$1500),AVERAGE($S$2:$S$1500)),S387),0)</f>
        <v>0</v>
      </c>
      <c r="U387" s="42">
        <f t="shared" ref="U387:U450" si="41">ROUND(R387*(1-T387/100),0)</f>
        <v>5434</v>
      </c>
    </row>
    <row r="388" spans="1:21" x14ac:dyDescent="0.3">
      <c r="A388" s="37" t="s">
        <v>3374</v>
      </c>
      <c r="B388" s="37" t="s">
        <v>3375</v>
      </c>
      <c r="C388" s="37" t="s">
        <v>2514</v>
      </c>
      <c r="D388" s="37" t="s">
        <v>25</v>
      </c>
      <c r="E388" s="37" t="s">
        <v>26</v>
      </c>
      <c r="F388" s="37" t="s">
        <v>49</v>
      </c>
      <c r="G388" s="37" t="s">
        <v>2428</v>
      </c>
      <c r="H388" s="37">
        <v>12.46</v>
      </c>
      <c r="I388" s="37">
        <v>29</v>
      </c>
      <c r="J388" s="37">
        <v>9686</v>
      </c>
      <c r="K388" s="37" t="s">
        <v>34</v>
      </c>
      <c r="L388" s="37"/>
      <c r="M388" s="37" t="str">
        <f t="shared" si="38"/>
        <v>General</v>
      </c>
      <c r="N388" s="37" t="str">
        <f t="shared" si="36"/>
        <v>Cash</v>
      </c>
      <c r="O388" s="37" t="str" cm="1">
        <f t="array" ref="O388">IF(TRIM(N388)="",INDEX($N$2:$N$1500,MATCH(MAX(COUNTIF($N$2:$N$1500,$N$2:$N$1500)),COUNTIF($N$2:$N$1500,$N$2:$N$1500),0)),N388)</f>
        <v>Cash</v>
      </c>
      <c r="P388" s="38" cm="1">
        <f t="array" ref="P388">ROUND(IF(TRIM(H388)="",IFERROR(MEDIAN(IF($M$2:$M$1500=M388,$H$2:$H$1500)),MEDIAN($H$2:$H$1500)),H388),2)</f>
        <v>12.46</v>
      </c>
      <c r="Q388" s="38" t="str">
        <f t="shared" si="39"/>
        <v>2</v>
      </c>
      <c r="R388" s="39" cm="1">
        <f t="array" ref="R388">IF(OR(TRIM(J388)="",TRIM(J388)="-"),MEDIAN(IF($C$2:$C$1218=C388,$J$2:$J$1218)),VALUE(SUBSTITUTE(SUBSTITUTE(SUBSTITUTE(J388,"Rs. ",""),"₹",""),",","")))</f>
        <v>9686</v>
      </c>
      <c r="S388" s="40">
        <f t="shared" si="37"/>
        <v>0</v>
      </c>
      <c r="T388" s="41">
        <f t="shared" si="40"/>
        <v>0</v>
      </c>
      <c r="U388" s="42">
        <f t="shared" si="41"/>
        <v>9686</v>
      </c>
    </row>
    <row r="389" spans="1:21" x14ac:dyDescent="0.3">
      <c r="A389" s="37" t="s">
        <v>3376</v>
      </c>
      <c r="B389" s="37" t="s">
        <v>3377</v>
      </c>
      <c r="C389" s="37" t="s">
        <v>2536</v>
      </c>
      <c r="D389" s="37" t="s">
        <v>78</v>
      </c>
      <c r="E389" s="37" t="s">
        <v>79</v>
      </c>
      <c r="F389" s="37" t="s">
        <v>39</v>
      </c>
      <c r="G389" s="37" t="s">
        <v>2450</v>
      </c>
      <c r="H389" s="37">
        <v>6.68</v>
      </c>
      <c r="I389" s="37">
        <v>58</v>
      </c>
      <c r="J389" s="37">
        <v>7053</v>
      </c>
      <c r="K389" s="37" t="s">
        <v>211</v>
      </c>
      <c r="L389" s="37">
        <v>0</v>
      </c>
      <c r="M389" s="37" t="str">
        <f t="shared" si="38"/>
        <v>General</v>
      </c>
      <c r="N389" s="37" t="str">
        <f t="shared" si="36"/>
        <v>Credit Card</v>
      </c>
      <c r="O389" s="37" t="str" cm="1">
        <f t="array" ref="O389">IF(TRIM(N389)="",INDEX($N$2:$N$1500,MATCH(MAX(COUNTIF($N$2:$N$1500,$N$2:$N$1500)),COUNTIF($N$2:$N$1500,$N$2:$N$1500),0)),N389)</f>
        <v>Credit Card</v>
      </c>
      <c r="P389" s="38" cm="1">
        <f t="array" ref="P389">ROUND(IF(TRIM(H389)="",IFERROR(MEDIAN(IF($M$2:$M$1500=M389,$H$2:$H$1500)),MEDIAN($H$2:$H$1500)),H389),2)</f>
        <v>6.68</v>
      </c>
      <c r="Q389" s="38" t="str">
        <f t="shared" si="39"/>
        <v>1</v>
      </c>
      <c r="R389" s="39" cm="1">
        <f t="array" ref="R389">IF(OR(TRIM(J389)="",TRIM(J389)="-"),MEDIAN(IF($C$2:$C$1218=C389,$J$2:$J$1218)),VALUE(SUBSTITUTE(SUBSTITUTE(SUBSTITUTE(J389,"Rs. ",""),"₹",""),",","")))</f>
        <v>7053</v>
      </c>
      <c r="S389" s="40">
        <f t="shared" si="37"/>
        <v>0</v>
      </c>
      <c r="T389" s="41">
        <f t="shared" si="40"/>
        <v>0</v>
      </c>
      <c r="U389" s="42">
        <f t="shared" si="41"/>
        <v>7053</v>
      </c>
    </row>
    <row r="390" spans="1:21" x14ac:dyDescent="0.3">
      <c r="A390" s="37" t="s">
        <v>3378</v>
      </c>
      <c r="B390" s="37" t="s">
        <v>2766</v>
      </c>
      <c r="C390" s="37" t="s">
        <v>2629</v>
      </c>
      <c r="D390" s="37" t="s">
        <v>106</v>
      </c>
      <c r="E390" s="37" t="s">
        <v>107</v>
      </c>
      <c r="F390" s="37" t="s">
        <v>19</v>
      </c>
      <c r="G390" s="37" t="s">
        <v>2423</v>
      </c>
      <c r="H390" s="37">
        <v>18.329999999999998</v>
      </c>
      <c r="I390" s="37">
        <v>29</v>
      </c>
      <c r="J390" s="37">
        <v>19190</v>
      </c>
      <c r="K390" s="37" t="s">
        <v>149</v>
      </c>
      <c r="L390" s="37"/>
      <c r="M390" s="37" t="str">
        <f t="shared" si="38"/>
        <v>General</v>
      </c>
      <c r="N390" s="37" t="str">
        <f t="shared" si="36"/>
        <v>Insurance</v>
      </c>
      <c r="O390" s="37" t="str" cm="1">
        <f t="array" ref="O390">IF(TRIM(N390)="",INDEX($N$2:$N$1500,MATCH(MAX(COUNTIF($N$2:$N$1500,$N$2:$N$1500)),COUNTIF($N$2:$N$1500,$N$2:$N$1500),0)),N390)</f>
        <v>Insurance</v>
      </c>
      <c r="P390" s="38" cm="1">
        <f t="array" ref="P390">ROUND(IF(TRIM(H390)="",IFERROR(MEDIAN(IF($M$2:$M$1500=M390,$H$2:$H$1500)),MEDIAN($H$2:$H$1500)),H390),2)</f>
        <v>18.329999999999998</v>
      </c>
      <c r="Q390" s="38" t="str">
        <f t="shared" si="39"/>
        <v>0</v>
      </c>
      <c r="R390" s="39" cm="1">
        <f t="array" ref="R390">IF(OR(TRIM(J390)="",TRIM(J390)="-"),MEDIAN(IF($C$2:$C$1218=C390,$J$2:$J$1218)),VALUE(SUBSTITUTE(SUBSTITUTE(SUBSTITUTE(J390,"Rs. ",""),"₹",""),",","")))</f>
        <v>19190</v>
      </c>
      <c r="S390" s="40">
        <f t="shared" si="37"/>
        <v>0</v>
      </c>
      <c r="T390" s="41">
        <f t="shared" si="40"/>
        <v>0</v>
      </c>
      <c r="U390" s="42">
        <f t="shared" si="41"/>
        <v>19190</v>
      </c>
    </row>
    <row r="391" spans="1:21" x14ac:dyDescent="0.3">
      <c r="A391" s="37" t="s">
        <v>3379</v>
      </c>
      <c r="B391" s="37" t="s">
        <v>3380</v>
      </c>
      <c r="C391" s="37" t="s">
        <v>2463</v>
      </c>
      <c r="D391" s="37" t="s">
        <v>25</v>
      </c>
      <c r="E391" s="37" t="s">
        <v>54</v>
      </c>
      <c r="F391" s="37" t="s">
        <v>69</v>
      </c>
      <c r="G391" s="37" t="s">
        <v>2746</v>
      </c>
      <c r="H391" s="37">
        <v>17.29</v>
      </c>
      <c r="I391" s="37">
        <v>9</v>
      </c>
      <c r="J391" s="37" t="s">
        <v>3381</v>
      </c>
      <c r="K391" s="37" t="s">
        <v>23</v>
      </c>
      <c r="L391" s="37">
        <v>0</v>
      </c>
      <c r="M391" s="37" t="str">
        <f t="shared" si="38"/>
        <v>ICU</v>
      </c>
      <c r="N391" s="37" t="str">
        <f t="shared" si="36"/>
        <v>Credit Card</v>
      </c>
      <c r="O391" s="37" t="str" cm="1">
        <f t="array" ref="O391">IF(TRIM(N391)="",INDEX($N$2:$N$1500,MATCH(MAX(COUNTIF($N$2:$N$1500,$N$2:$N$1500)),COUNTIF($N$2:$N$1500,$N$2:$N$1500),0)),N391)</f>
        <v>Credit Card</v>
      </c>
      <c r="P391" s="38" cm="1">
        <f t="array" ref="P391">ROUND(IF(TRIM(H391)="",IFERROR(MEDIAN(IF($M$2:$M$1500=M391,$H$2:$H$1500)),MEDIAN($H$2:$H$1500)),H391),2)</f>
        <v>17.29</v>
      </c>
      <c r="Q391" s="38" t="str">
        <f t="shared" si="39"/>
        <v>2</v>
      </c>
      <c r="R391" s="39" cm="1">
        <f t="array" ref="R391">IF(OR(TRIM(J391)="",TRIM(J391)="-"),MEDIAN(IF($C$2:$C$1218=C391,$J$2:$J$1218)),VALUE(SUBSTITUTE(SUBSTITUTE(SUBSTITUTE(J391,"Rs. ",""),"₹",""),",","")))</f>
        <v>38064</v>
      </c>
      <c r="S391" s="40">
        <f t="shared" si="37"/>
        <v>0</v>
      </c>
      <c r="T391" s="41">
        <f t="shared" si="40"/>
        <v>0</v>
      </c>
      <c r="U391" s="42">
        <f t="shared" si="41"/>
        <v>38064</v>
      </c>
    </row>
    <row r="392" spans="1:21" x14ac:dyDescent="0.3">
      <c r="A392" s="37" t="s">
        <v>3382</v>
      </c>
      <c r="B392" s="37" t="s">
        <v>3383</v>
      </c>
      <c r="C392" s="37" t="s">
        <v>2445</v>
      </c>
      <c r="D392" s="37" t="s">
        <v>117</v>
      </c>
      <c r="E392" s="37" t="s">
        <v>182</v>
      </c>
      <c r="F392" s="37" t="s">
        <v>30</v>
      </c>
      <c r="G392" s="37" t="s">
        <v>2423</v>
      </c>
      <c r="H392" s="37">
        <v>22.42</v>
      </c>
      <c r="I392" s="37">
        <v>57</v>
      </c>
      <c r="J392" s="37" t="s">
        <v>3384</v>
      </c>
      <c r="K392" s="37" t="s">
        <v>72</v>
      </c>
      <c r="L392" s="37"/>
      <c r="M392" s="37" t="str">
        <f t="shared" si="38"/>
        <v>General</v>
      </c>
      <c r="N392" s="37" t="str">
        <f t="shared" si="36"/>
        <v>Cash</v>
      </c>
      <c r="O392" s="37" t="str" cm="1">
        <f t="array" ref="O392">IF(TRIM(N392)="",INDEX($N$2:$N$1500,MATCH(MAX(COUNTIF($N$2:$N$1500,$N$2:$N$1500)),COUNTIF($N$2:$N$1500,$N$2:$N$1500),0)),N392)</f>
        <v>Cash</v>
      </c>
      <c r="P392" s="38" cm="1">
        <f t="array" ref="P392">ROUND(IF(TRIM(H392)="",IFERROR(MEDIAN(IF($M$2:$M$1500=M392,$H$2:$H$1500)),MEDIAN($H$2:$H$1500)),H392),2)</f>
        <v>22.42</v>
      </c>
      <c r="Q392" s="38" t="str">
        <f t="shared" si="39"/>
        <v>0</v>
      </c>
      <c r="R392" s="39" cm="1">
        <f t="array" ref="R392">IF(OR(TRIM(J392)="",TRIM(J392)="-"),MEDIAN(IF($C$2:$C$1218=C392,$J$2:$J$1218)),VALUE(SUBSTITUTE(SUBSTITUTE(SUBSTITUTE(J392,"Rs. ",""),"₹",""),",","")))</f>
        <v>16472</v>
      </c>
      <c r="S392" s="40">
        <f t="shared" si="37"/>
        <v>0</v>
      </c>
      <c r="T392" s="41">
        <f t="shared" si="40"/>
        <v>0</v>
      </c>
      <c r="U392" s="42">
        <f t="shared" si="41"/>
        <v>16472</v>
      </c>
    </row>
    <row r="393" spans="1:21" x14ac:dyDescent="0.3">
      <c r="A393" s="37" t="s">
        <v>3385</v>
      </c>
      <c r="B393" s="37" t="s">
        <v>3007</v>
      </c>
      <c r="C393" s="37" t="s">
        <v>2485</v>
      </c>
      <c r="D393" s="37" t="s">
        <v>117</v>
      </c>
      <c r="E393" s="37" t="s">
        <v>118</v>
      </c>
      <c r="F393" s="37" t="s">
        <v>30</v>
      </c>
      <c r="G393" s="37" t="s">
        <v>2450</v>
      </c>
      <c r="H393" s="37">
        <v>19.690000000000001</v>
      </c>
      <c r="I393" s="37">
        <v>28</v>
      </c>
      <c r="J393" s="37">
        <v>10657</v>
      </c>
      <c r="K393" s="37" t="s">
        <v>42</v>
      </c>
      <c r="L393" s="37" t="s">
        <v>240</v>
      </c>
      <c r="M393" s="37" t="str">
        <f t="shared" si="38"/>
        <v>General</v>
      </c>
      <c r="N393" s="37" t="str">
        <f t="shared" si="36"/>
        <v>Insurance</v>
      </c>
      <c r="O393" s="37" t="str" cm="1">
        <f t="array" ref="O393">IF(TRIM(N393)="",INDEX($N$2:$N$1500,MATCH(MAX(COUNTIF($N$2:$N$1500,$N$2:$N$1500)),COUNTIF($N$2:$N$1500,$N$2:$N$1500),0)),N393)</f>
        <v>Insurance</v>
      </c>
      <c r="P393" s="38" cm="1">
        <f t="array" ref="P393">ROUND(IF(TRIM(H393)="",IFERROR(MEDIAN(IF($M$2:$M$1500=M393,$H$2:$H$1500)),MEDIAN($H$2:$H$1500)),H393),2)</f>
        <v>19.690000000000001</v>
      </c>
      <c r="Q393" s="38" t="str">
        <f t="shared" si="39"/>
        <v>1</v>
      </c>
      <c r="R393" s="39" cm="1">
        <f t="array" ref="R393">IF(OR(TRIM(J393)="",TRIM(J393)="-"),MEDIAN(IF($C$2:$C$1218=C393,$J$2:$J$1218)),VALUE(SUBSTITUTE(SUBSTITUTE(SUBSTITUTE(J393,"Rs. ",""),"₹",""),",","")))</f>
        <v>10657</v>
      </c>
      <c r="S393" s="40">
        <f t="shared" si="37"/>
        <v>12</v>
      </c>
      <c r="T393" s="41">
        <f t="shared" si="40"/>
        <v>12</v>
      </c>
      <c r="U393" s="42">
        <f t="shared" si="41"/>
        <v>9378</v>
      </c>
    </row>
    <row r="394" spans="1:21" x14ac:dyDescent="0.3">
      <c r="A394" s="37" t="s">
        <v>3386</v>
      </c>
      <c r="B394" s="37" t="s">
        <v>3387</v>
      </c>
      <c r="C394" s="37" t="s">
        <v>2481</v>
      </c>
      <c r="D394" s="37" t="s">
        <v>45</v>
      </c>
      <c r="E394" s="37" t="s">
        <v>46</v>
      </c>
      <c r="F394" s="37" t="s">
        <v>62</v>
      </c>
      <c r="G394" s="37" t="s">
        <v>2418</v>
      </c>
      <c r="H394" s="37">
        <v>24.08</v>
      </c>
      <c r="I394" s="37">
        <v>9</v>
      </c>
      <c r="J394" s="37" t="s">
        <v>3388</v>
      </c>
      <c r="K394" s="37" t="s">
        <v>167</v>
      </c>
      <c r="L394" s="37" t="s">
        <v>227</v>
      </c>
      <c r="M394" s="37" t="str">
        <f t="shared" si="38"/>
        <v>ICU</v>
      </c>
      <c r="N394" s="37" t="str">
        <f t="shared" si="36"/>
        <v>Insurance</v>
      </c>
      <c r="O394" s="37" t="str" cm="1">
        <f t="array" ref="O394">IF(TRIM(N394)="",INDEX($N$2:$N$1500,MATCH(MAX(COUNTIF($N$2:$N$1500,$N$2:$N$1500)),COUNTIF($N$2:$N$1500,$N$2:$N$1500),0)),N394)</f>
        <v>Insurance</v>
      </c>
      <c r="P394" s="38" cm="1">
        <f t="array" ref="P394">ROUND(IF(TRIM(H394)="",IFERROR(MEDIAN(IF($M$2:$M$1500=M394,$H$2:$H$1500)),MEDIAN($H$2:$H$1500)),H394),2)</f>
        <v>24.08</v>
      </c>
      <c r="Q394" s="38" t="str">
        <f t="shared" si="39"/>
        <v>1</v>
      </c>
      <c r="R394" s="39" cm="1">
        <f t="array" ref="R394">IF(OR(TRIM(J394)="",TRIM(J394)="-"),MEDIAN(IF($C$2:$C$1218=C394,$J$2:$J$1218)),VALUE(SUBSTITUTE(SUBSTITUTE(SUBSTITUTE(J394,"Rs. ",""),"₹",""),",","")))</f>
        <v>73063</v>
      </c>
      <c r="S394" s="40">
        <f t="shared" si="37"/>
        <v>25</v>
      </c>
      <c r="T394" s="41">
        <f t="shared" si="40"/>
        <v>25</v>
      </c>
      <c r="U394" s="42">
        <f t="shared" si="41"/>
        <v>54797</v>
      </c>
    </row>
    <row r="395" spans="1:21" x14ac:dyDescent="0.3">
      <c r="A395" s="37" t="s">
        <v>3389</v>
      </c>
      <c r="B395" s="37" t="s">
        <v>2611</v>
      </c>
      <c r="C395" s="37" t="s">
        <v>2518</v>
      </c>
      <c r="D395" s="37" t="s">
        <v>106</v>
      </c>
      <c r="E395" s="37" t="s">
        <v>107</v>
      </c>
      <c r="F395" s="37" t="s">
        <v>39</v>
      </c>
      <c r="G395" s="37" t="s">
        <v>2505</v>
      </c>
      <c r="H395" s="37">
        <v>10.210000000000001</v>
      </c>
      <c r="I395" s="37">
        <v>36</v>
      </c>
      <c r="J395" s="37" t="s">
        <v>3390</v>
      </c>
      <c r="K395" s="37" t="s">
        <v>104</v>
      </c>
      <c r="L395" s="37" t="s">
        <v>64</v>
      </c>
      <c r="M395" s="37" t="str">
        <f t="shared" si="38"/>
        <v>General</v>
      </c>
      <c r="N395" s="37" t="str">
        <f t="shared" si="36"/>
        <v>Insurance</v>
      </c>
      <c r="O395" s="37" t="str" cm="1">
        <f t="array" ref="O395">IF(TRIM(N395)="",INDEX($N$2:$N$1500,MATCH(MAX(COUNTIF($N$2:$N$1500,$N$2:$N$1500)),COUNTIF($N$2:$N$1500,$N$2:$N$1500),0)),N395)</f>
        <v>Insurance</v>
      </c>
      <c r="P395" s="38" cm="1">
        <f t="array" ref="P395">ROUND(IF(TRIM(H395)="",IFERROR(MEDIAN(IF($M$2:$M$1500=M395,$H$2:$H$1500)),MEDIAN($H$2:$H$1500)),H395),2)</f>
        <v>10.210000000000001</v>
      </c>
      <c r="Q395" s="38" t="str">
        <f t="shared" si="39"/>
        <v>2+</v>
      </c>
      <c r="R395" s="39" cm="1">
        <f t="array" ref="R395">IF(OR(TRIM(J395)="",TRIM(J395)="-"),MEDIAN(IF($C$2:$C$1218=C395,$J$2:$J$1218)),VALUE(SUBSTITUTE(SUBSTITUTE(SUBSTITUTE(J395,"Rs. ",""),"₹",""),",","")))</f>
        <v>18520</v>
      </c>
      <c r="S395" s="40" t="str">
        <f t="shared" si="37"/>
        <v>NA</v>
      </c>
      <c r="T395" s="41">
        <f t="shared" si="40"/>
        <v>17</v>
      </c>
      <c r="U395" s="42">
        <f t="shared" si="41"/>
        <v>15372</v>
      </c>
    </row>
    <row r="396" spans="1:21" x14ac:dyDescent="0.3">
      <c r="A396" s="37" t="s">
        <v>3391</v>
      </c>
      <c r="B396" s="37" t="s">
        <v>3392</v>
      </c>
      <c r="C396" s="37" t="s">
        <v>2411</v>
      </c>
      <c r="D396" s="37" t="s">
        <v>78</v>
      </c>
      <c r="E396" s="37" t="s">
        <v>203</v>
      </c>
      <c r="F396" s="37" t="s">
        <v>69</v>
      </c>
      <c r="G396" s="37" t="s">
        <v>2505</v>
      </c>
      <c r="H396" s="37">
        <v>3.56</v>
      </c>
      <c r="I396" s="37">
        <v>35</v>
      </c>
      <c r="J396" s="37" t="s">
        <v>3393</v>
      </c>
      <c r="K396" s="37" t="s">
        <v>52</v>
      </c>
      <c r="L396" s="37"/>
      <c r="M396" s="37" t="str">
        <f t="shared" si="38"/>
        <v>ICU</v>
      </c>
      <c r="N396" s="37" t="str">
        <f t="shared" si="36"/>
        <v>Credit Card</v>
      </c>
      <c r="O396" s="37" t="str" cm="1">
        <f t="array" ref="O396">IF(TRIM(N396)="",INDEX($N$2:$N$1500,MATCH(MAX(COUNTIF($N$2:$N$1500,$N$2:$N$1500)),COUNTIF($N$2:$N$1500,$N$2:$N$1500),0)),N396)</f>
        <v>Credit Card</v>
      </c>
      <c r="P396" s="38" cm="1">
        <f t="array" ref="P396">ROUND(IF(TRIM(H396)="",IFERROR(MEDIAN(IF($M$2:$M$1500=M396,$H$2:$H$1500)),MEDIAN($H$2:$H$1500)),H396),2)</f>
        <v>3.56</v>
      </c>
      <c r="Q396" s="38" t="str">
        <f t="shared" si="39"/>
        <v>2+</v>
      </c>
      <c r="R396" s="39" cm="1">
        <f t="array" ref="R396">IF(OR(TRIM(J396)="",TRIM(J396)="-"),MEDIAN(IF($C$2:$C$1218=C396,$J$2:$J$1218)),VALUE(SUBSTITUTE(SUBSTITUTE(SUBSTITUTE(J396,"Rs. ",""),"₹",""),",","")))</f>
        <v>61940</v>
      </c>
      <c r="S396" s="40">
        <f t="shared" si="37"/>
        <v>0</v>
      </c>
      <c r="T396" s="41">
        <f t="shared" si="40"/>
        <v>0</v>
      </c>
      <c r="U396" s="42">
        <f t="shared" si="41"/>
        <v>61940</v>
      </c>
    </row>
    <row r="397" spans="1:21" x14ac:dyDescent="0.3">
      <c r="A397" s="37" t="s">
        <v>3394</v>
      </c>
      <c r="B397" s="37" t="s">
        <v>2782</v>
      </c>
      <c r="C397" s="37" t="s">
        <v>2469</v>
      </c>
      <c r="D397" s="37" t="s">
        <v>106</v>
      </c>
      <c r="E397" s="37" t="s">
        <v>107</v>
      </c>
      <c r="F397" s="37" t="s">
        <v>62</v>
      </c>
      <c r="G397" s="37" t="s">
        <v>2423</v>
      </c>
      <c r="H397" s="37">
        <v>17.489999999999998</v>
      </c>
      <c r="I397" s="37">
        <v>26</v>
      </c>
      <c r="J397" s="37" t="s">
        <v>3395</v>
      </c>
      <c r="K397" s="37"/>
      <c r="L397" s="37" t="s">
        <v>140</v>
      </c>
      <c r="M397" s="37" t="str">
        <f t="shared" si="38"/>
        <v>ICU</v>
      </c>
      <c r="N397" s="37" t="str">
        <f t="shared" si="36"/>
        <v>Unknown</v>
      </c>
      <c r="O397" s="37" t="str" cm="1">
        <f t="array" ref="O397">IF(TRIM(N397)="",INDEX($N$2:$N$1500,MATCH(MAX(COUNTIF($N$2:$N$1500,$N$2:$N$1500)),COUNTIF($N$2:$N$1500,$N$2:$N$1500),0)),N397)</f>
        <v>Unknown</v>
      </c>
      <c r="P397" s="38" cm="1">
        <f t="array" ref="P397">ROUND(IF(TRIM(H397)="",IFERROR(MEDIAN(IF($M$2:$M$1500=M397,$H$2:$H$1500)),MEDIAN($H$2:$H$1500)),H397),2)</f>
        <v>17.489999999999998</v>
      </c>
      <c r="Q397" s="38" t="str">
        <f t="shared" si="39"/>
        <v>0</v>
      </c>
      <c r="R397" s="39" cm="1">
        <f t="array" ref="R397">IF(OR(TRIM(J397)="",TRIM(J397)="-"),MEDIAN(IF($C$2:$C$1218=C397,$J$2:$J$1218)),VALUE(SUBSTITUTE(SUBSTITUTE(SUBSTITUTE(J397,"Rs. ",""),"₹",""),",","")))</f>
        <v>41572</v>
      </c>
      <c r="S397" s="40" t="str">
        <f t="shared" si="37"/>
        <v>-</v>
      </c>
      <c r="T397" s="41">
        <f t="shared" si="40"/>
        <v>7</v>
      </c>
      <c r="U397" s="42">
        <f t="shared" si="41"/>
        <v>38662</v>
      </c>
    </row>
    <row r="398" spans="1:21" x14ac:dyDescent="0.3">
      <c r="A398" s="37" t="s">
        <v>3396</v>
      </c>
      <c r="B398" s="37" t="s">
        <v>3397</v>
      </c>
      <c r="C398" s="37" t="s">
        <v>2431</v>
      </c>
      <c r="D398" s="37" t="s">
        <v>117</v>
      </c>
      <c r="E398" s="37" t="s">
        <v>118</v>
      </c>
      <c r="F398" s="37" t="s">
        <v>101</v>
      </c>
      <c r="G398" s="37" t="s">
        <v>2412</v>
      </c>
      <c r="H398" s="37">
        <v>1.05</v>
      </c>
      <c r="I398" s="37">
        <v>12</v>
      </c>
      <c r="J398" s="37">
        <v>51368</v>
      </c>
      <c r="K398" s="37" t="s">
        <v>149</v>
      </c>
      <c r="L398" s="37">
        <v>20</v>
      </c>
      <c r="M398" s="37" t="str">
        <f t="shared" si="38"/>
        <v>ICU</v>
      </c>
      <c r="N398" s="37" t="str">
        <f t="shared" si="36"/>
        <v>Insurance</v>
      </c>
      <c r="O398" s="37" t="str" cm="1">
        <f t="array" ref="O398">IF(TRIM(N398)="",INDEX($N$2:$N$1500,MATCH(MAX(COUNTIF($N$2:$N$1500,$N$2:$N$1500)),COUNTIF($N$2:$N$1500,$N$2:$N$1500),0)),N398)</f>
        <v>Insurance</v>
      </c>
      <c r="P398" s="38" cm="1">
        <f t="array" ref="P398">ROUND(IF(TRIM(H398)="",IFERROR(MEDIAN(IF($M$2:$M$1500=M398,$H$2:$H$1500)),MEDIAN($H$2:$H$1500)),H398),2)</f>
        <v>1.05</v>
      </c>
      <c r="Q398" s="38" t="str">
        <f t="shared" si="39"/>
        <v>1</v>
      </c>
      <c r="R398" s="39" cm="1">
        <f t="array" ref="R398">IF(OR(TRIM(J398)="",TRIM(J398)="-"),MEDIAN(IF($C$2:$C$1218=C398,$J$2:$J$1218)),VALUE(SUBSTITUTE(SUBSTITUTE(SUBSTITUTE(J398,"Rs. ",""),"₹",""),",","")))</f>
        <v>51368</v>
      </c>
      <c r="S398" s="40">
        <f t="shared" si="37"/>
        <v>20</v>
      </c>
      <c r="T398" s="41">
        <f t="shared" si="40"/>
        <v>20</v>
      </c>
      <c r="U398" s="42">
        <f t="shared" si="41"/>
        <v>41094</v>
      </c>
    </row>
    <row r="399" spans="1:21" x14ac:dyDescent="0.3">
      <c r="A399" s="37" t="s">
        <v>3398</v>
      </c>
      <c r="B399" s="37" t="s">
        <v>3399</v>
      </c>
      <c r="C399" s="37" t="s">
        <v>2532</v>
      </c>
      <c r="D399" s="37" t="s">
        <v>117</v>
      </c>
      <c r="E399" s="37" t="s">
        <v>182</v>
      </c>
      <c r="F399" s="37" t="s">
        <v>19</v>
      </c>
      <c r="G399" s="37" t="s">
        <v>2435</v>
      </c>
      <c r="H399" s="37">
        <v>19.600000000000001</v>
      </c>
      <c r="I399" s="37">
        <v>57</v>
      </c>
      <c r="J399" s="37" t="s">
        <v>3400</v>
      </c>
      <c r="K399" s="37" t="s">
        <v>211</v>
      </c>
      <c r="L399" s="37" t="s">
        <v>140</v>
      </c>
      <c r="M399" s="37" t="str">
        <f t="shared" si="38"/>
        <v>General</v>
      </c>
      <c r="N399" s="37" t="str">
        <f t="shared" si="36"/>
        <v>Credit Card</v>
      </c>
      <c r="O399" s="37" t="str" cm="1">
        <f t="array" ref="O399">IF(TRIM(N399)="",INDEX($N$2:$N$1500,MATCH(MAX(COUNTIF($N$2:$N$1500,$N$2:$N$1500)),COUNTIF($N$2:$N$1500,$N$2:$N$1500),0)),N399)</f>
        <v>Credit Card</v>
      </c>
      <c r="P399" s="38" cm="1">
        <f t="array" ref="P399">ROUND(IF(TRIM(H399)="",IFERROR(MEDIAN(IF($M$2:$M$1500=M399,$H$2:$H$1500)),MEDIAN($H$2:$H$1500)),H399),2)</f>
        <v>19.600000000000001</v>
      </c>
      <c r="Q399" s="38" t="str">
        <f t="shared" si="39"/>
        <v>0</v>
      </c>
      <c r="R399" s="39" cm="1">
        <f t="array" ref="R399">IF(OR(TRIM(J399)="",TRIM(J399)="-"),MEDIAN(IF($C$2:$C$1218=C399,$J$2:$J$1218)),VALUE(SUBSTITUTE(SUBSTITUTE(SUBSTITUTE(J399,"Rs. ",""),"₹",""),",","")))</f>
        <v>3109</v>
      </c>
      <c r="S399" s="40" t="str">
        <f t="shared" si="37"/>
        <v>-</v>
      </c>
      <c r="T399" s="41">
        <f t="shared" si="40"/>
        <v>2</v>
      </c>
      <c r="U399" s="42">
        <f t="shared" si="41"/>
        <v>3047</v>
      </c>
    </row>
    <row r="400" spans="1:21" x14ac:dyDescent="0.3">
      <c r="A400" s="37" t="s">
        <v>3401</v>
      </c>
      <c r="B400" s="37" t="s">
        <v>3402</v>
      </c>
      <c r="C400" s="37" t="s">
        <v>2438</v>
      </c>
      <c r="D400" s="37" t="s">
        <v>14</v>
      </c>
      <c r="E400" s="37" t="s">
        <v>60</v>
      </c>
      <c r="F400" s="37" t="s">
        <v>19</v>
      </c>
      <c r="G400" s="37" t="s">
        <v>2455</v>
      </c>
      <c r="H400" s="37">
        <v>11.41</v>
      </c>
      <c r="I400" s="37">
        <v>1</v>
      </c>
      <c r="J400" s="37" t="s">
        <v>3403</v>
      </c>
      <c r="K400" s="37" t="s">
        <v>42</v>
      </c>
      <c r="L400" s="37" t="s">
        <v>76</v>
      </c>
      <c r="M400" s="37" t="str">
        <f t="shared" si="38"/>
        <v>General</v>
      </c>
      <c r="N400" s="37" t="str">
        <f t="shared" si="36"/>
        <v>Insurance</v>
      </c>
      <c r="O400" s="37" t="str" cm="1">
        <f t="array" ref="O400">IF(TRIM(N400)="",INDEX($N$2:$N$1500,MATCH(MAX(COUNTIF($N$2:$N$1500,$N$2:$N$1500)),COUNTIF($N$2:$N$1500,$N$2:$N$1500),0)),N400)</f>
        <v>Insurance</v>
      </c>
      <c r="P400" s="38" cm="1">
        <f t="array" ref="P400">ROUND(IF(TRIM(H400)="",IFERROR(MEDIAN(IF($M$2:$M$1500=M400,$H$2:$H$1500)),MEDIAN($H$2:$H$1500)),H400),2)</f>
        <v>11.41</v>
      </c>
      <c r="Q400" s="38" t="str">
        <f t="shared" si="39"/>
        <v>1</v>
      </c>
      <c r="R400" s="39" cm="1">
        <f t="array" ref="R400">IF(OR(TRIM(J400)="",TRIM(J400)="-"),MEDIAN(IF($C$2:$C$1218=C400,$J$2:$J$1218)),VALUE(SUBSTITUTE(SUBSTITUTE(SUBSTITUTE(J400,"Rs. ",""),"₹",""),",","")))</f>
        <v>6773</v>
      </c>
      <c r="S400" s="40">
        <f t="shared" si="37"/>
        <v>10</v>
      </c>
      <c r="T400" s="41">
        <f t="shared" si="40"/>
        <v>10</v>
      </c>
      <c r="U400" s="42">
        <f t="shared" si="41"/>
        <v>6096</v>
      </c>
    </row>
    <row r="401" spans="1:21" x14ac:dyDescent="0.3">
      <c r="A401" s="37" t="s">
        <v>3404</v>
      </c>
      <c r="B401" s="37" t="s">
        <v>3405</v>
      </c>
      <c r="C401" s="37" t="s">
        <v>2504</v>
      </c>
      <c r="D401" s="37" t="s">
        <v>25</v>
      </c>
      <c r="E401" s="37" t="s">
        <v>54</v>
      </c>
      <c r="F401" s="37" t="s">
        <v>30</v>
      </c>
      <c r="G401" s="37" t="s">
        <v>2418</v>
      </c>
      <c r="H401" s="37">
        <v>11.38</v>
      </c>
      <c r="I401" s="37">
        <v>5</v>
      </c>
      <c r="J401" s="37">
        <v>12844</v>
      </c>
      <c r="K401" s="37" t="s">
        <v>91</v>
      </c>
      <c r="L401" s="37" t="s">
        <v>140</v>
      </c>
      <c r="M401" s="37" t="str">
        <f t="shared" si="38"/>
        <v>General</v>
      </c>
      <c r="N401" s="37" t="str">
        <f t="shared" si="36"/>
        <v>Debit Card</v>
      </c>
      <c r="O401" s="37" t="str" cm="1">
        <f t="array" ref="O401">IF(TRIM(N401)="",INDEX($N$2:$N$1500,MATCH(MAX(COUNTIF($N$2:$N$1500,$N$2:$N$1500)),COUNTIF($N$2:$N$1500,$N$2:$N$1500),0)),N401)</f>
        <v>Debit Card</v>
      </c>
      <c r="P401" s="38" cm="1">
        <f t="array" ref="P401">ROUND(IF(TRIM(H401)="",IFERROR(MEDIAN(IF($M$2:$M$1500=M401,$H$2:$H$1500)),MEDIAN($H$2:$H$1500)),H401),2)</f>
        <v>11.38</v>
      </c>
      <c r="Q401" s="38" t="str">
        <f t="shared" si="39"/>
        <v>1</v>
      </c>
      <c r="R401" s="39" cm="1">
        <f t="array" ref="R401">IF(OR(TRIM(J401)="",TRIM(J401)="-"),MEDIAN(IF($C$2:$C$1218=C401,$J$2:$J$1218)),VALUE(SUBSTITUTE(SUBSTITUTE(SUBSTITUTE(J401,"Rs. ",""),"₹",""),",","")))</f>
        <v>12844</v>
      </c>
      <c r="S401" s="40" t="str">
        <f t="shared" si="37"/>
        <v>-</v>
      </c>
      <c r="T401" s="41">
        <f t="shared" si="40"/>
        <v>3</v>
      </c>
      <c r="U401" s="42">
        <f t="shared" si="41"/>
        <v>12459</v>
      </c>
    </row>
    <row r="402" spans="1:21" x14ac:dyDescent="0.3">
      <c r="A402" s="37" t="s">
        <v>3406</v>
      </c>
      <c r="B402" s="37" t="s">
        <v>3407</v>
      </c>
      <c r="C402" s="37" t="s">
        <v>2629</v>
      </c>
      <c r="D402" s="37" t="s">
        <v>14</v>
      </c>
      <c r="E402" s="37" t="s">
        <v>60</v>
      </c>
      <c r="F402" s="37" t="s">
        <v>19</v>
      </c>
      <c r="G402" s="37"/>
      <c r="H402" s="37">
        <v>8.83</v>
      </c>
      <c r="I402" s="37">
        <v>42</v>
      </c>
      <c r="J402" s="37" t="s">
        <v>3408</v>
      </c>
      <c r="K402" s="37"/>
      <c r="L402" s="37">
        <v>0</v>
      </c>
      <c r="M402" s="37" t="str">
        <f t="shared" si="38"/>
        <v>General</v>
      </c>
      <c r="N402" s="37" t="str">
        <f t="shared" si="36"/>
        <v>Unknown</v>
      </c>
      <c r="O402" s="37" t="str" cm="1">
        <f t="array" ref="O402">IF(TRIM(N402)="",INDEX($N$2:$N$1500,MATCH(MAX(COUNTIF($N$2:$N$1500,$N$2:$N$1500)),COUNTIF($N$2:$N$1500,$N$2:$N$1500),0)),N402)</f>
        <v>Unknown</v>
      </c>
      <c r="P402" s="38" cm="1">
        <f t="array" ref="P402">ROUND(IF(TRIM(H402)="",IFERROR(MEDIAN(IF($M$2:$M$1500=M402,$H$2:$H$1500)),MEDIAN($H$2:$H$1500)),H402),2)</f>
        <v>8.83</v>
      </c>
      <c r="Q402" s="38" t="str">
        <f t="shared" si="39"/>
        <v>Unknown</v>
      </c>
      <c r="R402" s="39" cm="1">
        <f t="array" ref="R402">IF(OR(TRIM(J402)="",TRIM(J402)="-"),MEDIAN(IF($C$2:$C$1218=C402,$J$2:$J$1218)),VALUE(SUBSTITUTE(SUBSTITUTE(SUBSTITUTE(J402,"Rs. ",""),"₹",""),",","")))</f>
        <v>10070</v>
      </c>
      <c r="S402" s="40">
        <f t="shared" si="37"/>
        <v>0</v>
      </c>
      <c r="T402" s="41">
        <f t="shared" si="40"/>
        <v>0</v>
      </c>
      <c r="U402" s="42">
        <f t="shared" si="41"/>
        <v>10070</v>
      </c>
    </row>
    <row r="403" spans="1:21" x14ac:dyDescent="0.3">
      <c r="A403" s="37" t="s">
        <v>3409</v>
      </c>
      <c r="B403" s="37" t="s">
        <v>3410</v>
      </c>
      <c r="C403" s="37" t="s">
        <v>2504</v>
      </c>
      <c r="D403" s="37" t="s">
        <v>117</v>
      </c>
      <c r="E403" s="37" t="s">
        <v>182</v>
      </c>
      <c r="F403" s="37" t="s">
        <v>69</v>
      </c>
      <c r="G403" s="37" t="s">
        <v>2418</v>
      </c>
      <c r="H403" s="37">
        <v>8.34</v>
      </c>
      <c r="I403" s="37">
        <v>20</v>
      </c>
      <c r="J403" s="37" t="s">
        <v>3411</v>
      </c>
      <c r="K403" s="37" t="s">
        <v>149</v>
      </c>
      <c r="L403" s="37" t="s">
        <v>76</v>
      </c>
      <c r="M403" s="37" t="str">
        <f t="shared" si="38"/>
        <v>ICU</v>
      </c>
      <c r="N403" s="37" t="str">
        <f t="shared" si="36"/>
        <v>Insurance</v>
      </c>
      <c r="O403" s="37" t="str" cm="1">
        <f t="array" ref="O403">IF(TRIM(N403)="",INDEX($N$2:$N$1500,MATCH(MAX(COUNTIF($N$2:$N$1500,$N$2:$N$1500)),COUNTIF($N$2:$N$1500,$N$2:$N$1500),0)),N403)</f>
        <v>Insurance</v>
      </c>
      <c r="P403" s="38" cm="1">
        <f t="array" ref="P403">ROUND(IF(TRIM(H403)="",IFERROR(MEDIAN(IF($M$2:$M$1500=M403,$H$2:$H$1500)),MEDIAN($H$2:$H$1500)),H403),2)</f>
        <v>8.34</v>
      </c>
      <c r="Q403" s="38" t="str">
        <f t="shared" si="39"/>
        <v>1</v>
      </c>
      <c r="R403" s="39" cm="1">
        <f t="array" ref="R403">IF(OR(TRIM(J403)="",TRIM(J403)="-"),MEDIAN(IF($C$2:$C$1218=C403,$J$2:$J$1218)),VALUE(SUBSTITUTE(SUBSTITUTE(SUBSTITUTE(J403,"Rs. ",""),"₹",""),",","")))</f>
        <v>74614</v>
      </c>
      <c r="S403" s="40">
        <f t="shared" si="37"/>
        <v>10</v>
      </c>
      <c r="T403" s="41">
        <f t="shared" si="40"/>
        <v>10</v>
      </c>
      <c r="U403" s="42">
        <f t="shared" si="41"/>
        <v>67153</v>
      </c>
    </row>
    <row r="404" spans="1:21" x14ac:dyDescent="0.3">
      <c r="A404" s="37" t="s">
        <v>3412</v>
      </c>
      <c r="B404" s="37" t="s">
        <v>3413</v>
      </c>
      <c r="C404" s="37" t="s">
        <v>2431</v>
      </c>
      <c r="D404" s="37" t="s">
        <v>78</v>
      </c>
      <c r="E404" s="37" t="s">
        <v>161</v>
      </c>
      <c r="F404" s="37" t="s">
        <v>49</v>
      </c>
      <c r="G404" s="37" t="s">
        <v>2412</v>
      </c>
      <c r="H404" s="37">
        <v>13.04</v>
      </c>
      <c r="I404" s="37">
        <v>34</v>
      </c>
      <c r="J404" s="37">
        <v>8559</v>
      </c>
      <c r="K404" s="37" t="s">
        <v>23</v>
      </c>
      <c r="L404" s="37">
        <v>10</v>
      </c>
      <c r="M404" s="37" t="str">
        <f t="shared" si="38"/>
        <v>General</v>
      </c>
      <c r="N404" s="37" t="str">
        <f t="shared" si="36"/>
        <v>Credit Card</v>
      </c>
      <c r="O404" s="37" t="str" cm="1">
        <f t="array" ref="O404">IF(TRIM(N404)="",INDEX($N$2:$N$1500,MATCH(MAX(COUNTIF($N$2:$N$1500,$N$2:$N$1500)),COUNTIF($N$2:$N$1500,$N$2:$N$1500),0)),N404)</f>
        <v>Credit Card</v>
      </c>
      <c r="P404" s="38" cm="1">
        <f t="array" ref="P404">ROUND(IF(TRIM(H404)="",IFERROR(MEDIAN(IF($M$2:$M$1500=M404,$H$2:$H$1500)),MEDIAN($H$2:$H$1500)),H404),2)</f>
        <v>13.04</v>
      </c>
      <c r="Q404" s="38" t="str">
        <f t="shared" si="39"/>
        <v>1</v>
      </c>
      <c r="R404" s="39" cm="1">
        <f t="array" ref="R404">IF(OR(TRIM(J404)="",TRIM(J404)="-"),MEDIAN(IF($C$2:$C$1218=C404,$J$2:$J$1218)),VALUE(SUBSTITUTE(SUBSTITUTE(SUBSTITUTE(J404,"Rs. ",""),"₹",""),",","")))</f>
        <v>8559</v>
      </c>
      <c r="S404" s="40">
        <f t="shared" si="37"/>
        <v>10</v>
      </c>
      <c r="T404" s="41">
        <f t="shared" si="40"/>
        <v>10</v>
      </c>
      <c r="U404" s="42">
        <f t="shared" si="41"/>
        <v>7703</v>
      </c>
    </row>
    <row r="405" spans="1:21" x14ac:dyDescent="0.3">
      <c r="A405" s="37" t="s">
        <v>3414</v>
      </c>
      <c r="B405" s="37" t="s">
        <v>3415</v>
      </c>
      <c r="C405" s="37" t="s">
        <v>2514</v>
      </c>
      <c r="D405" s="37" t="s">
        <v>25</v>
      </c>
      <c r="E405" s="37" t="s">
        <v>54</v>
      </c>
      <c r="F405" s="37" t="s">
        <v>39</v>
      </c>
      <c r="G405" s="37" t="s">
        <v>2450</v>
      </c>
      <c r="H405" s="37">
        <v>20.85</v>
      </c>
      <c r="I405" s="37">
        <v>36</v>
      </c>
      <c r="J405" s="37">
        <v>18734</v>
      </c>
      <c r="K405" s="37" t="s">
        <v>311</v>
      </c>
      <c r="L405" s="37">
        <v>10</v>
      </c>
      <c r="M405" s="37" t="str">
        <f t="shared" si="38"/>
        <v>General</v>
      </c>
      <c r="N405" s="37" t="str">
        <f t="shared" si="36"/>
        <v>UPI</v>
      </c>
      <c r="O405" s="37" t="str" cm="1">
        <f t="array" ref="O405">IF(TRIM(N405)="",INDEX($N$2:$N$1500,MATCH(MAX(COUNTIF($N$2:$N$1500,$N$2:$N$1500)),COUNTIF($N$2:$N$1500,$N$2:$N$1500),0)),N405)</f>
        <v>UPI</v>
      </c>
      <c r="P405" s="38" cm="1">
        <f t="array" ref="P405">ROUND(IF(TRIM(H405)="",IFERROR(MEDIAN(IF($M$2:$M$1500=M405,$H$2:$H$1500)),MEDIAN($H$2:$H$1500)),H405),2)</f>
        <v>20.85</v>
      </c>
      <c r="Q405" s="38" t="str">
        <f t="shared" si="39"/>
        <v>1</v>
      </c>
      <c r="R405" s="39" cm="1">
        <f t="array" ref="R405">IF(OR(TRIM(J405)="",TRIM(J405)="-"),MEDIAN(IF($C$2:$C$1218=C405,$J$2:$J$1218)),VALUE(SUBSTITUTE(SUBSTITUTE(SUBSTITUTE(J405,"Rs. ",""),"₹",""),",","")))</f>
        <v>18734</v>
      </c>
      <c r="S405" s="40">
        <f t="shared" si="37"/>
        <v>10</v>
      </c>
      <c r="T405" s="41">
        <f t="shared" si="40"/>
        <v>10</v>
      </c>
      <c r="U405" s="42">
        <f t="shared" si="41"/>
        <v>16861</v>
      </c>
    </row>
    <row r="406" spans="1:21" x14ac:dyDescent="0.3">
      <c r="A406" s="37" t="s">
        <v>3416</v>
      </c>
      <c r="B406" s="37" t="s">
        <v>3417</v>
      </c>
      <c r="C406" s="37" t="s">
        <v>2521</v>
      </c>
      <c r="D406" s="37" t="s">
        <v>25</v>
      </c>
      <c r="E406" s="37" t="s">
        <v>54</v>
      </c>
      <c r="F406" s="37" t="s">
        <v>19</v>
      </c>
      <c r="G406" s="37"/>
      <c r="H406" s="37"/>
      <c r="I406" s="37">
        <v>49</v>
      </c>
      <c r="J406" s="37" t="s">
        <v>3418</v>
      </c>
      <c r="K406" s="37" t="s">
        <v>72</v>
      </c>
      <c r="L406" s="37">
        <v>0</v>
      </c>
      <c r="M406" s="37" t="str">
        <f t="shared" si="38"/>
        <v>General</v>
      </c>
      <c r="N406" s="37" t="str">
        <f t="shared" si="36"/>
        <v>Cash</v>
      </c>
      <c r="O406" s="37" t="str" cm="1">
        <f t="array" ref="O406">IF(TRIM(N406)="",INDEX($N$2:$N$1500,MATCH(MAX(COUNTIF($N$2:$N$1500,$N$2:$N$1500)),COUNTIF($N$2:$N$1500,$N$2:$N$1500),0)),N406)</f>
        <v>Cash</v>
      </c>
      <c r="P406" s="38" cm="1">
        <f t="array" ref="P406">ROUND(IF(TRIM(H406)="",IFERROR(MEDIAN(IF($M$2:$M$1500=M406,$H$2:$H$1500)),MEDIAN($H$2:$H$1500)),H406),2)</f>
        <v>12.02</v>
      </c>
      <c r="Q406" s="38" t="str">
        <f t="shared" si="39"/>
        <v>Unknown</v>
      </c>
      <c r="R406" s="39" cm="1">
        <f t="array" ref="R406">IF(OR(TRIM(J406)="",TRIM(J406)="-"),MEDIAN(IF($C$2:$C$1218=C406,$J$2:$J$1218)),VALUE(SUBSTITUTE(SUBSTITUTE(SUBSTITUTE(J406,"Rs. ",""),"₹",""),",","")))</f>
        <v>12655</v>
      </c>
      <c r="S406" s="40">
        <f t="shared" si="37"/>
        <v>0</v>
      </c>
      <c r="T406" s="41">
        <f t="shared" si="40"/>
        <v>0</v>
      </c>
      <c r="U406" s="42">
        <f t="shared" si="41"/>
        <v>12655</v>
      </c>
    </row>
    <row r="407" spans="1:21" x14ac:dyDescent="0.3">
      <c r="A407" s="37" t="s">
        <v>3419</v>
      </c>
      <c r="B407" s="37" t="s">
        <v>2547</v>
      </c>
      <c r="C407" s="37" t="s">
        <v>2407</v>
      </c>
      <c r="D407" s="37" t="s">
        <v>14</v>
      </c>
      <c r="E407" s="37" t="s">
        <v>60</v>
      </c>
      <c r="F407" s="37" t="s">
        <v>49</v>
      </c>
      <c r="G407" s="37" t="s">
        <v>2412</v>
      </c>
      <c r="H407" s="37">
        <v>8.24</v>
      </c>
      <c r="I407" s="37">
        <v>60</v>
      </c>
      <c r="J407" s="37" t="s">
        <v>3420</v>
      </c>
      <c r="K407" s="37" t="s">
        <v>97</v>
      </c>
      <c r="L407" s="37">
        <v>5</v>
      </c>
      <c r="M407" s="37" t="str">
        <f t="shared" si="38"/>
        <v>General</v>
      </c>
      <c r="N407" s="37" t="str">
        <f t="shared" si="36"/>
        <v>UPI</v>
      </c>
      <c r="O407" s="37" t="str" cm="1">
        <f t="array" ref="O407">IF(TRIM(N407)="",INDEX($N$2:$N$1500,MATCH(MAX(COUNTIF($N$2:$N$1500,$N$2:$N$1500)),COUNTIF($N$2:$N$1500,$N$2:$N$1500),0)),N407)</f>
        <v>UPI</v>
      </c>
      <c r="P407" s="38" cm="1">
        <f t="array" ref="P407">ROUND(IF(TRIM(H407)="",IFERROR(MEDIAN(IF($M$2:$M$1500=M407,$H$2:$H$1500)),MEDIAN($H$2:$H$1500)),H407),2)</f>
        <v>8.24</v>
      </c>
      <c r="Q407" s="38" t="str">
        <f t="shared" si="39"/>
        <v>1</v>
      </c>
      <c r="R407" s="39" cm="1">
        <f t="array" ref="R407">IF(OR(TRIM(J407)="",TRIM(J407)="-"),MEDIAN(IF($C$2:$C$1218=C407,$J$2:$J$1218)),VALUE(SUBSTITUTE(SUBSTITUTE(SUBSTITUTE(J407,"Rs. ",""),"₹",""),",","")))</f>
        <v>9301</v>
      </c>
      <c r="S407" s="40">
        <f t="shared" si="37"/>
        <v>5</v>
      </c>
      <c r="T407" s="41">
        <f t="shared" si="40"/>
        <v>5</v>
      </c>
      <c r="U407" s="42">
        <f t="shared" si="41"/>
        <v>8836</v>
      </c>
    </row>
    <row r="408" spans="1:21" x14ac:dyDescent="0.3">
      <c r="A408" s="37" t="s">
        <v>3421</v>
      </c>
      <c r="B408" s="37" t="s">
        <v>3422</v>
      </c>
      <c r="C408" s="37" t="s">
        <v>2730</v>
      </c>
      <c r="D408" s="37" t="s">
        <v>106</v>
      </c>
      <c r="E408" s="37" t="s">
        <v>307</v>
      </c>
      <c r="F408" s="37" t="s">
        <v>49</v>
      </c>
      <c r="G408" s="37" t="s">
        <v>2423</v>
      </c>
      <c r="H408" s="37">
        <v>16.98</v>
      </c>
      <c r="I408" s="37">
        <v>23</v>
      </c>
      <c r="J408" s="37" t="s">
        <v>140</v>
      </c>
      <c r="K408" s="37" t="s">
        <v>52</v>
      </c>
      <c r="L408" s="37"/>
      <c r="M408" s="37" t="str">
        <f t="shared" si="38"/>
        <v>General</v>
      </c>
      <c r="N408" s="37" t="str">
        <f t="shared" si="36"/>
        <v>Credit Card</v>
      </c>
      <c r="O408" s="37" t="str" cm="1">
        <f t="array" ref="O408">IF(TRIM(N408)="",INDEX($N$2:$N$1500,MATCH(MAX(COUNTIF($N$2:$N$1500,$N$2:$N$1500)),COUNTIF($N$2:$N$1500,$N$2:$N$1500),0)),N408)</f>
        <v>Credit Card</v>
      </c>
      <c r="P408" s="38" cm="1">
        <f t="array" ref="P408">ROUND(IF(TRIM(H408)="",IFERROR(MEDIAN(IF($M$2:$M$1500=M408,$H$2:$H$1500)),MEDIAN($H$2:$H$1500)),H408),2)</f>
        <v>16.98</v>
      </c>
      <c r="Q408" s="38" t="str">
        <f t="shared" si="39"/>
        <v>0</v>
      </c>
      <c r="R408" s="39" cm="1">
        <f t="array" ref="R408">IF(OR(TRIM(J408)="",TRIM(J408)="-"),MEDIAN(IF($C$2:$C$1218=C408,$J$2:$J$1218)),VALUE(SUBSTITUTE(SUBSTITUTE(SUBSTITUTE(J408,"Rs. ",""),"₹",""),",","")))</f>
        <v>15947</v>
      </c>
      <c r="S408" s="40">
        <f t="shared" si="37"/>
        <v>0</v>
      </c>
      <c r="T408" s="41">
        <f t="shared" si="40"/>
        <v>0</v>
      </c>
      <c r="U408" s="42">
        <f t="shared" si="41"/>
        <v>15947</v>
      </c>
    </row>
    <row r="409" spans="1:21" x14ac:dyDescent="0.3">
      <c r="A409" s="37" t="s">
        <v>3423</v>
      </c>
      <c r="B409" s="37" t="s">
        <v>3424</v>
      </c>
      <c r="C409" s="37" t="s">
        <v>2454</v>
      </c>
      <c r="D409" s="37" t="s">
        <v>25</v>
      </c>
      <c r="E409" s="37" t="s">
        <v>54</v>
      </c>
      <c r="F409" s="37" t="s">
        <v>39</v>
      </c>
      <c r="G409" s="37" t="s">
        <v>2435</v>
      </c>
      <c r="H409" s="37">
        <v>7.57</v>
      </c>
      <c r="I409" s="37">
        <v>33</v>
      </c>
      <c r="J409" s="37" t="s">
        <v>3348</v>
      </c>
      <c r="K409" s="37" t="s">
        <v>91</v>
      </c>
      <c r="L409" s="37" t="s">
        <v>130</v>
      </c>
      <c r="M409" s="37" t="str">
        <f t="shared" si="38"/>
        <v>General</v>
      </c>
      <c r="N409" s="37" t="str">
        <f t="shared" si="36"/>
        <v>Debit Card</v>
      </c>
      <c r="O409" s="37" t="str" cm="1">
        <f t="array" ref="O409">IF(TRIM(N409)="",INDEX($N$2:$N$1500,MATCH(MAX(COUNTIF($N$2:$N$1500,$N$2:$N$1500)),COUNTIF($N$2:$N$1500,$N$2:$N$1500),0)),N409)</f>
        <v>Debit Card</v>
      </c>
      <c r="P409" s="38" cm="1">
        <f t="array" ref="P409">ROUND(IF(TRIM(H409)="",IFERROR(MEDIAN(IF($M$2:$M$1500=M409,$H$2:$H$1500)),MEDIAN($H$2:$H$1500)),H409),2)</f>
        <v>7.57</v>
      </c>
      <c r="Q409" s="38" t="str">
        <f t="shared" si="39"/>
        <v>0</v>
      </c>
      <c r="R409" s="39" cm="1">
        <f t="array" ref="R409">IF(OR(TRIM(J409)="",TRIM(J409)="-"),MEDIAN(IF($C$2:$C$1218=C409,$J$2:$J$1218)),VALUE(SUBSTITUTE(SUBSTITUTE(SUBSTITUTE(J409,"Rs. ",""),"₹",""),",","")))</f>
        <v>13454</v>
      </c>
      <c r="S409" s="40">
        <f t="shared" si="37"/>
        <v>0</v>
      </c>
      <c r="T409" s="41">
        <f t="shared" si="40"/>
        <v>0</v>
      </c>
      <c r="U409" s="42">
        <f t="shared" si="41"/>
        <v>13454</v>
      </c>
    </row>
    <row r="410" spans="1:21" x14ac:dyDescent="0.3">
      <c r="A410" s="37" t="s">
        <v>3425</v>
      </c>
      <c r="B410" s="37" t="s">
        <v>2665</v>
      </c>
      <c r="C410" s="37" t="s">
        <v>2438</v>
      </c>
      <c r="D410" s="37" t="s">
        <v>106</v>
      </c>
      <c r="E410" s="37" t="s">
        <v>107</v>
      </c>
      <c r="F410" s="37" t="s">
        <v>101</v>
      </c>
      <c r="G410" s="37" t="s">
        <v>2450</v>
      </c>
      <c r="H410" s="37">
        <v>17.04</v>
      </c>
      <c r="I410" s="37">
        <v>18</v>
      </c>
      <c r="J410" s="37"/>
      <c r="K410" s="37" t="s">
        <v>72</v>
      </c>
      <c r="L410" s="37" t="s">
        <v>76</v>
      </c>
      <c r="M410" s="37" t="str">
        <f t="shared" si="38"/>
        <v>ICU</v>
      </c>
      <c r="N410" s="37" t="str">
        <f t="shared" si="36"/>
        <v>Cash</v>
      </c>
      <c r="O410" s="37" t="str" cm="1">
        <f t="array" ref="O410">IF(TRIM(N410)="",INDEX($N$2:$N$1500,MATCH(MAX(COUNTIF($N$2:$N$1500,$N$2:$N$1500)),COUNTIF($N$2:$N$1500,$N$2:$N$1500),0)),N410)</f>
        <v>Cash</v>
      </c>
      <c r="P410" s="38" cm="1">
        <f t="array" ref="P410">ROUND(IF(TRIM(H410)="",IFERROR(MEDIAN(IF($M$2:$M$1500=M410,$H$2:$H$1500)),MEDIAN($H$2:$H$1500)),H410),2)</f>
        <v>17.04</v>
      </c>
      <c r="Q410" s="38" t="str">
        <f t="shared" si="39"/>
        <v>1</v>
      </c>
      <c r="R410" s="39" cm="1">
        <f t="array" ref="R410">IF(OR(TRIM(J410)="",TRIM(J410)="-"),MEDIAN(IF($C$2:$C$1218=C410,$J$2:$J$1218)),VALUE(SUBSTITUTE(SUBSTITUTE(SUBSTITUTE(J410,"Rs. ",""),"₹",""),",","")))</f>
        <v>13244</v>
      </c>
      <c r="S410" s="40">
        <f t="shared" si="37"/>
        <v>10</v>
      </c>
      <c r="T410" s="41">
        <f t="shared" si="40"/>
        <v>10</v>
      </c>
      <c r="U410" s="42">
        <f t="shared" si="41"/>
        <v>11920</v>
      </c>
    </row>
    <row r="411" spans="1:21" x14ac:dyDescent="0.3">
      <c r="A411" s="37" t="s">
        <v>3426</v>
      </c>
      <c r="B411" s="37" t="s">
        <v>3427</v>
      </c>
      <c r="C411" s="37" t="s">
        <v>2411</v>
      </c>
      <c r="D411" s="37" t="s">
        <v>78</v>
      </c>
      <c r="E411" s="37" t="s">
        <v>79</v>
      </c>
      <c r="F411" s="37" t="s">
        <v>30</v>
      </c>
      <c r="G411" s="37" t="s">
        <v>2486</v>
      </c>
      <c r="H411" s="37">
        <v>11.77</v>
      </c>
      <c r="I411" s="37">
        <v>54</v>
      </c>
      <c r="J411" s="37" t="s">
        <v>3428</v>
      </c>
      <c r="K411" s="37" t="s">
        <v>83</v>
      </c>
      <c r="L411" s="37">
        <v>0</v>
      </c>
      <c r="M411" s="37" t="str">
        <f t="shared" si="38"/>
        <v>General</v>
      </c>
      <c r="N411" s="37" t="str">
        <f t="shared" si="36"/>
        <v>Debit Card</v>
      </c>
      <c r="O411" s="37" t="str" cm="1">
        <f t="array" ref="O411">IF(TRIM(N411)="",INDEX($N$2:$N$1500,MATCH(MAX(COUNTIF($N$2:$N$1500,$N$2:$N$1500)),COUNTIF($N$2:$N$1500,$N$2:$N$1500),0)),N411)</f>
        <v>Debit Card</v>
      </c>
      <c r="P411" s="38" cm="1">
        <f t="array" ref="P411">ROUND(IF(TRIM(H411)="",IFERROR(MEDIAN(IF($M$2:$M$1500=M411,$H$2:$H$1500)),MEDIAN($H$2:$H$1500)),H411),2)</f>
        <v>11.77</v>
      </c>
      <c r="Q411" s="38" t="str">
        <f t="shared" si="39"/>
        <v>2+</v>
      </c>
      <c r="R411" s="39" cm="1">
        <f t="array" ref="R411">IF(OR(TRIM(J411)="",TRIM(J411)="-"),MEDIAN(IF($C$2:$C$1218=C411,$J$2:$J$1218)),VALUE(SUBSTITUTE(SUBSTITUTE(SUBSTITUTE(J411,"Rs. ",""),"₹",""),",","")))</f>
        <v>8654</v>
      </c>
      <c r="S411" s="40">
        <f t="shared" si="37"/>
        <v>0</v>
      </c>
      <c r="T411" s="41">
        <f t="shared" si="40"/>
        <v>0</v>
      </c>
      <c r="U411" s="42">
        <f t="shared" si="41"/>
        <v>8654</v>
      </c>
    </row>
    <row r="412" spans="1:21" x14ac:dyDescent="0.3">
      <c r="A412" s="37" t="s">
        <v>3429</v>
      </c>
      <c r="B412" s="37" t="s">
        <v>3430</v>
      </c>
      <c r="C412" s="37" t="s">
        <v>2459</v>
      </c>
      <c r="D412" s="37" t="s">
        <v>14</v>
      </c>
      <c r="E412" s="37" t="s">
        <v>60</v>
      </c>
      <c r="F412" s="37" t="s">
        <v>19</v>
      </c>
      <c r="G412" s="37" t="s">
        <v>2477</v>
      </c>
      <c r="H412" s="37">
        <v>24.19</v>
      </c>
      <c r="I412" s="37">
        <v>1</v>
      </c>
      <c r="J412" s="37">
        <v>15640</v>
      </c>
      <c r="K412" s="37" t="s">
        <v>211</v>
      </c>
      <c r="L412" s="37">
        <v>0</v>
      </c>
      <c r="M412" s="37" t="str">
        <f t="shared" si="38"/>
        <v>General</v>
      </c>
      <c r="N412" s="37" t="str">
        <f t="shared" si="36"/>
        <v>Credit Card</v>
      </c>
      <c r="O412" s="37" t="str" cm="1">
        <f t="array" ref="O412">IF(TRIM(N412)="",INDEX($N$2:$N$1500,MATCH(MAX(COUNTIF($N$2:$N$1500,$N$2:$N$1500)),COUNTIF($N$2:$N$1500,$N$2:$N$1500),0)),N412)</f>
        <v>Credit Card</v>
      </c>
      <c r="P412" s="38" cm="1">
        <f t="array" ref="P412">ROUND(IF(TRIM(H412)="",IFERROR(MEDIAN(IF($M$2:$M$1500=M412,$H$2:$H$1500)),MEDIAN($H$2:$H$1500)),H412),2)</f>
        <v>24.19</v>
      </c>
      <c r="Q412" s="38" t="str">
        <f t="shared" si="39"/>
        <v>0</v>
      </c>
      <c r="R412" s="39" cm="1">
        <f t="array" ref="R412">IF(OR(TRIM(J412)="",TRIM(J412)="-"),MEDIAN(IF($C$2:$C$1218=C412,$J$2:$J$1218)),VALUE(SUBSTITUTE(SUBSTITUTE(SUBSTITUTE(J412,"Rs. ",""),"₹",""),",","")))</f>
        <v>15640</v>
      </c>
      <c r="S412" s="40">
        <f t="shared" si="37"/>
        <v>0</v>
      </c>
      <c r="T412" s="41">
        <f t="shared" si="40"/>
        <v>0</v>
      </c>
      <c r="U412" s="42">
        <f t="shared" si="41"/>
        <v>15640</v>
      </c>
    </row>
    <row r="413" spans="1:21" x14ac:dyDescent="0.3">
      <c r="A413" s="37" t="s">
        <v>3431</v>
      </c>
      <c r="B413" s="37" t="s">
        <v>3432</v>
      </c>
      <c r="C413" s="37" t="s">
        <v>2494</v>
      </c>
      <c r="D413" s="37" t="s">
        <v>25</v>
      </c>
      <c r="E413" s="37" t="s">
        <v>54</v>
      </c>
      <c r="F413" s="37" t="s">
        <v>49</v>
      </c>
      <c r="G413" s="37" t="s">
        <v>2746</v>
      </c>
      <c r="H413" s="37">
        <v>11.12</v>
      </c>
      <c r="I413" s="37">
        <v>1</v>
      </c>
      <c r="J413" s="37">
        <v>19322</v>
      </c>
      <c r="K413" s="37" t="s">
        <v>58</v>
      </c>
      <c r="L413" s="37">
        <v>0</v>
      </c>
      <c r="M413" s="37" t="str">
        <f t="shared" si="38"/>
        <v>General</v>
      </c>
      <c r="N413" s="37" t="str">
        <f t="shared" si="36"/>
        <v>UPI</v>
      </c>
      <c r="O413" s="37" t="str" cm="1">
        <f t="array" ref="O413">IF(TRIM(N413)="",INDEX($N$2:$N$1500,MATCH(MAX(COUNTIF($N$2:$N$1500,$N$2:$N$1500)),COUNTIF($N$2:$N$1500,$N$2:$N$1500),0)),N413)</f>
        <v>UPI</v>
      </c>
      <c r="P413" s="38" cm="1">
        <f t="array" ref="P413">ROUND(IF(TRIM(H413)="",IFERROR(MEDIAN(IF($M$2:$M$1500=M413,$H$2:$H$1500)),MEDIAN($H$2:$H$1500)),H413),2)</f>
        <v>11.12</v>
      </c>
      <c r="Q413" s="38" t="str">
        <f t="shared" si="39"/>
        <v>2</v>
      </c>
      <c r="R413" s="39" cm="1">
        <f t="array" ref="R413">IF(OR(TRIM(J413)="",TRIM(J413)="-"),MEDIAN(IF($C$2:$C$1218=C413,$J$2:$J$1218)),VALUE(SUBSTITUTE(SUBSTITUTE(SUBSTITUTE(J413,"Rs. ",""),"₹",""),",","")))</f>
        <v>19322</v>
      </c>
      <c r="S413" s="40">
        <f t="shared" si="37"/>
        <v>0</v>
      </c>
      <c r="T413" s="41">
        <f t="shared" si="40"/>
        <v>0</v>
      </c>
      <c r="U413" s="42">
        <f t="shared" si="41"/>
        <v>19322</v>
      </c>
    </row>
    <row r="414" spans="1:21" x14ac:dyDescent="0.3">
      <c r="A414" s="37" t="s">
        <v>3433</v>
      </c>
      <c r="B414" s="37" t="s">
        <v>3434</v>
      </c>
      <c r="C414" s="37" t="s">
        <v>2521</v>
      </c>
      <c r="D414" s="37" t="s">
        <v>25</v>
      </c>
      <c r="E414" s="37" t="s">
        <v>54</v>
      </c>
      <c r="F414" s="37" t="s">
        <v>19</v>
      </c>
      <c r="G414" s="37" t="s">
        <v>2455</v>
      </c>
      <c r="H414" s="37">
        <v>24.09</v>
      </c>
      <c r="I414" s="37">
        <v>48</v>
      </c>
      <c r="J414" s="37">
        <v>9929</v>
      </c>
      <c r="K414" s="37" t="s">
        <v>42</v>
      </c>
      <c r="L414" s="37">
        <v>30</v>
      </c>
      <c r="M414" s="37" t="str">
        <f t="shared" si="38"/>
        <v>General</v>
      </c>
      <c r="N414" s="37" t="str">
        <f t="shared" si="36"/>
        <v>Insurance</v>
      </c>
      <c r="O414" s="37" t="str" cm="1">
        <f t="array" ref="O414">IF(TRIM(N414)="",INDEX($N$2:$N$1500,MATCH(MAX(COUNTIF($N$2:$N$1500,$N$2:$N$1500)),COUNTIF($N$2:$N$1500,$N$2:$N$1500),0)),N414)</f>
        <v>Insurance</v>
      </c>
      <c r="P414" s="38" cm="1">
        <f t="array" ref="P414">ROUND(IF(TRIM(H414)="",IFERROR(MEDIAN(IF($M$2:$M$1500=M414,$H$2:$H$1500)),MEDIAN($H$2:$H$1500)),H414),2)</f>
        <v>24.09</v>
      </c>
      <c r="Q414" s="38" t="str">
        <f t="shared" si="39"/>
        <v>1</v>
      </c>
      <c r="R414" s="39" cm="1">
        <f t="array" ref="R414">IF(OR(TRIM(J414)="",TRIM(J414)="-"),MEDIAN(IF($C$2:$C$1218=C414,$J$2:$J$1218)),VALUE(SUBSTITUTE(SUBSTITUTE(SUBSTITUTE(J414,"Rs. ",""),"₹",""),",","")))</f>
        <v>9929</v>
      </c>
      <c r="S414" s="40">
        <f t="shared" si="37"/>
        <v>30</v>
      </c>
      <c r="T414" s="41">
        <f t="shared" si="40"/>
        <v>30</v>
      </c>
      <c r="U414" s="42">
        <f t="shared" si="41"/>
        <v>6950</v>
      </c>
    </row>
    <row r="415" spans="1:21" x14ac:dyDescent="0.3">
      <c r="A415" s="37" t="s">
        <v>3435</v>
      </c>
      <c r="B415" s="37" t="s">
        <v>3436</v>
      </c>
      <c r="C415" s="37" t="s">
        <v>2463</v>
      </c>
      <c r="D415" s="37" t="s">
        <v>45</v>
      </c>
      <c r="E415" s="37" t="s">
        <v>46</v>
      </c>
      <c r="F415" s="37" t="s">
        <v>69</v>
      </c>
      <c r="G415" s="37" t="s">
        <v>2450</v>
      </c>
      <c r="H415" s="37">
        <v>24.5</v>
      </c>
      <c r="I415" s="37">
        <v>50</v>
      </c>
      <c r="J415" s="37" t="s">
        <v>3437</v>
      </c>
      <c r="K415" s="37" t="s">
        <v>34</v>
      </c>
      <c r="L415" s="37"/>
      <c r="M415" s="37" t="str">
        <f t="shared" si="38"/>
        <v>ICU</v>
      </c>
      <c r="N415" s="37" t="str">
        <f t="shared" si="36"/>
        <v>Cash</v>
      </c>
      <c r="O415" s="37" t="str" cm="1">
        <f t="array" ref="O415">IF(TRIM(N415)="",INDEX($N$2:$N$1500,MATCH(MAX(COUNTIF($N$2:$N$1500,$N$2:$N$1500)),COUNTIF($N$2:$N$1500,$N$2:$N$1500),0)),N415)</f>
        <v>Cash</v>
      </c>
      <c r="P415" s="38" cm="1">
        <f t="array" ref="P415">ROUND(IF(TRIM(H415)="",IFERROR(MEDIAN(IF($M$2:$M$1500=M415,$H$2:$H$1500)),MEDIAN($H$2:$H$1500)),H415),2)</f>
        <v>24.5</v>
      </c>
      <c r="Q415" s="38" t="str">
        <f t="shared" si="39"/>
        <v>1</v>
      </c>
      <c r="R415" s="39" cm="1">
        <f t="array" ref="R415">IF(OR(TRIM(J415)="",TRIM(J415)="-"),MEDIAN(IF($C$2:$C$1218=C415,$J$2:$J$1218)),VALUE(SUBSTITUTE(SUBSTITUTE(SUBSTITUTE(J415,"Rs. ",""),"₹",""),",","")))</f>
        <v>23020</v>
      </c>
      <c r="S415" s="40">
        <f t="shared" si="37"/>
        <v>0</v>
      </c>
      <c r="T415" s="41">
        <f t="shared" si="40"/>
        <v>0</v>
      </c>
      <c r="U415" s="42">
        <f t="shared" si="41"/>
        <v>23020</v>
      </c>
    </row>
    <row r="416" spans="1:21" x14ac:dyDescent="0.3">
      <c r="A416" s="37" t="s">
        <v>3438</v>
      </c>
      <c r="B416" s="37" t="s">
        <v>3177</v>
      </c>
      <c r="C416" s="37" t="s">
        <v>2415</v>
      </c>
      <c r="D416" s="37" t="s">
        <v>106</v>
      </c>
      <c r="E416" s="37" t="s">
        <v>107</v>
      </c>
      <c r="F416" s="37" t="s">
        <v>19</v>
      </c>
      <c r="G416" s="37" t="s">
        <v>2418</v>
      </c>
      <c r="H416" s="37">
        <v>2.17</v>
      </c>
      <c r="I416" s="37">
        <v>39</v>
      </c>
      <c r="J416" s="37" t="s">
        <v>3439</v>
      </c>
      <c r="K416" s="37" t="s">
        <v>83</v>
      </c>
      <c r="L416" s="37">
        <v>0</v>
      </c>
      <c r="M416" s="37" t="str">
        <f t="shared" si="38"/>
        <v>General</v>
      </c>
      <c r="N416" s="37" t="str">
        <f t="shared" si="36"/>
        <v>Debit Card</v>
      </c>
      <c r="O416" s="37" t="str" cm="1">
        <f t="array" ref="O416">IF(TRIM(N416)="",INDEX($N$2:$N$1500,MATCH(MAX(COUNTIF($N$2:$N$1500,$N$2:$N$1500)),COUNTIF($N$2:$N$1500,$N$2:$N$1500),0)),N416)</f>
        <v>Debit Card</v>
      </c>
      <c r="P416" s="38" cm="1">
        <f t="array" ref="P416">ROUND(IF(TRIM(H416)="",IFERROR(MEDIAN(IF($M$2:$M$1500=M416,$H$2:$H$1500)),MEDIAN($H$2:$H$1500)),H416),2)</f>
        <v>2.17</v>
      </c>
      <c r="Q416" s="38" t="str">
        <f t="shared" si="39"/>
        <v>1</v>
      </c>
      <c r="R416" s="39" cm="1">
        <f t="array" ref="R416">IF(OR(TRIM(J416)="",TRIM(J416)="-"),MEDIAN(IF($C$2:$C$1218=C416,$J$2:$J$1218)),VALUE(SUBSTITUTE(SUBSTITUTE(SUBSTITUTE(J416,"Rs. ",""),"₹",""),",","")))</f>
        <v>4933</v>
      </c>
      <c r="S416" s="40">
        <f t="shared" si="37"/>
        <v>0</v>
      </c>
      <c r="T416" s="41">
        <f t="shared" si="40"/>
        <v>0</v>
      </c>
      <c r="U416" s="42">
        <f t="shared" si="41"/>
        <v>4933</v>
      </c>
    </row>
    <row r="417" spans="1:21" x14ac:dyDescent="0.3">
      <c r="A417" s="37" t="s">
        <v>3440</v>
      </c>
      <c r="B417" s="37" t="s">
        <v>3441</v>
      </c>
      <c r="C417" s="37" t="s">
        <v>2521</v>
      </c>
      <c r="D417" s="37" t="s">
        <v>106</v>
      </c>
      <c r="E417" s="37" t="s">
        <v>107</v>
      </c>
      <c r="F417" s="37" t="s">
        <v>39</v>
      </c>
      <c r="G417" s="37" t="s">
        <v>2435</v>
      </c>
      <c r="H417" s="37">
        <v>7.07</v>
      </c>
      <c r="I417" s="37">
        <v>40</v>
      </c>
      <c r="J417" s="37">
        <v>6571</v>
      </c>
      <c r="K417" s="37" t="s">
        <v>97</v>
      </c>
      <c r="L417" s="37">
        <v>0</v>
      </c>
      <c r="M417" s="37" t="str">
        <f t="shared" si="38"/>
        <v>General</v>
      </c>
      <c r="N417" s="37" t="str">
        <f t="shared" si="36"/>
        <v>UPI</v>
      </c>
      <c r="O417" s="37" t="str" cm="1">
        <f t="array" ref="O417">IF(TRIM(N417)="",INDEX($N$2:$N$1500,MATCH(MAX(COUNTIF($N$2:$N$1500,$N$2:$N$1500)),COUNTIF($N$2:$N$1500,$N$2:$N$1500),0)),N417)</f>
        <v>UPI</v>
      </c>
      <c r="P417" s="38" cm="1">
        <f t="array" ref="P417">ROUND(IF(TRIM(H417)="",IFERROR(MEDIAN(IF($M$2:$M$1500=M417,$H$2:$H$1500)),MEDIAN($H$2:$H$1500)),H417),2)</f>
        <v>7.07</v>
      </c>
      <c r="Q417" s="38" t="str">
        <f t="shared" si="39"/>
        <v>0</v>
      </c>
      <c r="R417" s="39" cm="1">
        <f t="array" ref="R417">IF(OR(TRIM(J417)="",TRIM(J417)="-"),MEDIAN(IF($C$2:$C$1218=C417,$J$2:$J$1218)),VALUE(SUBSTITUTE(SUBSTITUTE(SUBSTITUTE(J417,"Rs. ",""),"₹",""),",","")))</f>
        <v>6571</v>
      </c>
      <c r="S417" s="40">
        <f t="shared" si="37"/>
        <v>0</v>
      </c>
      <c r="T417" s="41">
        <f t="shared" si="40"/>
        <v>0</v>
      </c>
      <c r="U417" s="42">
        <f t="shared" si="41"/>
        <v>6571</v>
      </c>
    </row>
    <row r="418" spans="1:21" x14ac:dyDescent="0.3">
      <c r="A418" s="37" t="s">
        <v>3442</v>
      </c>
      <c r="B418" s="37" t="s">
        <v>2897</v>
      </c>
      <c r="C418" s="37" t="s">
        <v>2481</v>
      </c>
      <c r="D418" s="37" t="s">
        <v>14</v>
      </c>
      <c r="E418" s="37" t="s">
        <v>60</v>
      </c>
      <c r="F418" s="37" t="s">
        <v>62</v>
      </c>
      <c r="G418" s="37" t="s">
        <v>2408</v>
      </c>
      <c r="H418" s="37">
        <v>7.93</v>
      </c>
      <c r="I418" s="37">
        <v>10</v>
      </c>
      <c r="J418" s="37" t="s">
        <v>3443</v>
      </c>
      <c r="K418" s="37" t="s">
        <v>34</v>
      </c>
      <c r="L418" s="37">
        <v>0</v>
      </c>
      <c r="M418" s="37" t="str">
        <f t="shared" si="38"/>
        <v>ICU</v>
      </c>
      <c r="N418" s="37" t="str">
        <f t="shared" si="36"/>
        <v>Cash</v>
      </c>
      <c r="O418" s="37" t="str" cm="1">
        <f t="array" ref="O418">IF(TRIM(N418)="",INDEX($N$2:$N$1500,MATCH(MAX(COUNTIF($N$2:$N$1500,$N$2:$N$1500)),COUNTIF($N$2:$N$1500,$N$2:$N$1500),0)),N418)</f>
        <v>Cash</v>
      </c>
      <c r="P418" s="38" cm="1">
        <f t="array" ref="P418">ROUND(IF(TRIM(H418)="",IFERROR(MEDIAN(IF($M$2:$M$1500=M418,$H$2:$H$1500)),MEDIAN($H$2:$H$1500)),H418),2)</f>
        <v>7.93</v>
      </c>
      <c r="Q418" s="38" t="str">
        <f t="shared" si="39"/>
        <v>0</v>
      </c>
      <c r="R418" s="39" cm="1">
        <f t="array" ref="R418">IF(OR(TRIM(J418)="",TRIM(J418)="-"),MEDIAN(IF($C$2:$C$1218=C418,$J$2:$J$1218)),VALUE(SUBSTITUTE(SUBSTITUTE(SUBSTITUTE(J418,"Rs. ",""),"₹",""),",","")))</f>
        <v>48617</v>
      </c>
      <c r="S418" s="40">
        <f t="shared" si="37"/>
        <v>0</v>
      </c>
      <c r="T418" s="41">
        <f t="shared" si="40"/>
        <v>0</v>
      </c>
      <c r="U418" s="42">
        <f t="shared" si="41"/>
        <v>48617</v>
      </c>
    </row>
    <row r="419" spans="1:21" x14ac:dyDescent="0.3">
      <c r="A419" s="37" t="s">
        <v>3444</v>
      </c>
      <c r="B419" s="37" t="s">
        <v>3445</v>
      </c>
      <c r="C419" s="37" t="s">
        <v>2454</v>
      </c>
      <c r="D419" s="37" t="s">
        <v>25</v>
      </c>
      <c r="E419" s="37" t="s">
        <v>54</v>
      </c>
      <c r="F419" s="37" t="s">
        <v>49</v>
      </c>
      <c r="G419" s="37" t="s">
        <v>2423</v>
      </c>
      <c r="H419" s="37">
        <v>7.79</v>
      </c>
      <c r="I419" s="37">
        <v>28</v>
      </c>
      <c r="J419" s="37">
        <v>10154</v>
      </c>
      <c r="K419" s="37" t="s">
        <v>97</v>
      </c>
      <c r="L419" s="37">
        <v>0</v>
      </c>
      <c r="M419" s="37" t="str">
        <f t="shared" si="38"/>
        <v>General</v>
      </c>
      <c r="N419" s="37" t="str">
        <f t="shared" si="36"/>
        <v>UPI</v>
      </c>
      <c r="O419" s="37" t="str" cm="1">
        <f t="array" ref="O419">IF(TRIM(N419)="",INDEX($N$2:$N$1500,MATCH(MAX(COUNTIF($N$2:$N$1500,$N$2:$N$1500)),COUNTIF($N$2:$N$1500,$N$2:$N$1500),0)),N419)</f>
        <v>UPI</v>
      </c>
      <c r="P419" s="38" cm="1">
        <f t="array" ref="P419">ROUND(IF(TRIM(H419)="",IFERROR(MEDIAN(IF($M$2:$M$1500=M419,$H$2:$H$1500)),MEDIAN($H$2:$H$1500)),H419),2)</f>
        <v>7.79</v>
      </c>
      <c r="Q419" s="38" t="str">
        <f t="shared" si="39"/>
        <v>0</v>
      </c>
      <c r="R419" s="39" cm="1">
        <f t="array" ref="R419">IF(OR(TRIM(J419)="",TRIM(J419)="-"),MEDIAN(IF($C$2:$C$1218=C419,$J$2:$J$1218)),VALUE(SUBSTITUTE(SUBSTITUTE(SUBSTITUTE(J419,"Rs. ",""),"₹",""),",","")))</f>
        <v>10154</v>
      </c>
      <c r="S419" s="40">
        <f t="shared" si="37"/>
        <v>0</v>
      </c>
      <c r="T419" s="41">
        <f t="shared" si="40"/>
        <v>0</v>
      </c>
      <c r="U419" s="42">
        <f t="shared" si="41"/>
        <v>10154</v>
      </c>
    </row>
    <row r="420" spans="1:21" x14ac:dyDescent="0.3">
      <c r="A420" s="37" t="s">
        <v>3446</v>
      </c>
      <c r="B420" s="37" t="s">
        <v>3447</v>
      </c>
      <c r="C420" s="37" t="s">
        <v>2481</v>
      </c>
      <c r="D420" s="37" t="s">
        <v>45</v>
      </c>
      <c r="E420" s="37" t="s">
        <v>334</v>
      </c>
      <c r="F420" s="37" t="s">
        <v>62</v>
      </c>
      <c r="G420" s="37" t="s">
        <v>2450</v>
      </c>
      <c r="H420" s="37">
        <v>10.9</v>
      </c>
      <c r="I420" s="37">
        <v>23</v>
      </c>
      <c r="J420" s="37">
        <v>65636</v>
      </c>
      <c r="K420" s="37" t="s">
        <v>115</v>
      </c>
      <c r="L420" s="37"/>
      <c r="M420" s="37" t="str">
        <f t="shared" si="38"/>
        <v>ICU</v>
      </c>
      <c r="N420" s="37" t="str">
        <f t="shared" si="36"/>
        <v>Cash</v>
      </c>
      <c r="O420" s="37" t="str" cm="1">
        <f t="array" ref="O420">IF(TRIM(N420)="",INDEX($N$2:$N$1500,MATCH(MAX(COUNTIF($N$2:$N$1500,$N$2:$N$1500)),COUNTIF($N$2:$N$1500,$N$2:$N$1500),0)),N420)</f>
        <v>Cash</v>
      </c>
      <c r="P420" s="38" cm="1">
        <f t="array" ref="P420">ROUND(IF(TRIM(H420)="",IFERROR(MEDIAN(IF($M$2:$M$1500=M420,$H$2:$H$1500)),MEDIAN($H$2:$H$1500)),H420),2)</f>
        <v>10.9</v>
      </c>
      <c r="Q420" s="38" t="str">
        <f t="shared" si="39"/>
        <v>1</v>
      </c>
      <c r="R420" s="39" cm="1">
        <f t="array" ref="R420">IF(OR(TRIM(J420)="",TRIM(J420)="-"),MEDIAN(IF($C$2:$C$1218=C420,$J$2:$J$1218)),VALUE(SUBSTITUTE(SUBSTITUTE(SUBSTITUTE(J420,"Rs. ",""),"₹",""),",","")))</f>
        <v>65636</v>
      </c>
      <c r="S420" s="40">
        <f t="shared" si="37"/>
        <v>0</v>
      </c>
      <c r="T420" s="41">
        <f t="shared" si="40"/>
        <v>0</v>
      </c>
      <c r="U420" s="42">
        <f t="shared" si="41"/>
        <v>65636</v>
      </c>
    </row>
    <row r="421" spans="1:21" x14ac:dyDescent="0.3">
      <c r="A421" s="37" t="s">
        <v>3448</v>
      </c>
      <c r="B421" s="37" t="s">
        <v>3449</v>
      </c>
      <c r="C421" s="37" t="s">
        <v>2445</v>
      </c>
      <c r="D421" s="37" t="s">
        <v>106</v>
      </c>
      <c r="E421" s="37" t="s">
        <v>307</v>
      </c>
      <c r="F421" s="37" t="s">
        <v>39</v>
      </c>
      <c r="G421" s="37" t="s">
        <v>2505</v>
      </c>
      <c r="H421" s="37">
        <v>19.39</v>
      </c>
      <c r="I421" s="37">
        <v>14</v>
      </c>
      <c r="J421" s="37" t="s">
        <v>3450</v>
      </c>
      <c r="K421" s="37" t="s">
        <v>34</v>
      </c>
      <c r="L421" s="37">
        <v>0</v>
      </c>
      <c r="M421" s="37" t="str">
        <f t="shared" si="38"/>
        <v>General</v>
      </c>
      <c r="N421" s="37" t="str">
        <f t="shared" si="36"/>
        <v>Cash</v>
      </c>
      <c r="O421" s="37" t="str" cm="1">
        <f t="array" ref="O421">IF(TRIM(N421)="",INDEX($N$2:$N$1500,MATCH(MAX(COUNTIF($N$2:$N$1500,$N$2:$N$1500)),COUNTIF($N$2:$N$1500,$N$2:$N$1500),0)),N421)</f>
        <v>Cash</v>
      </c>
      <c r="P421" s="38" cm="1">
        <f t="array" ref="P421">ROUND(IF(TRIM(H421)="",IFERROR(MEDIAN(IF($M$2:$M$1500=M421,$H$2:$H$1500)),MEDIAN($H$2:$H$1500)),H421),2)</f>
        <v>19.39</v>
      </c>
      <c r="Q421" s="38" t="str">
        <f t="shared" si="39"/>
        <v>2+</v>
      </c>
      <c r="R421" s="39" cm="1">
        <f t="array" ref="R421">IF(OR(TRIM(J421)="",TRIM(J421)="-"),MEDIAN(IF($C$2:$C$1218=C421,$J$2:$J$1218)),VALUE(SUBSTITUTE(SUBSTITUTE(SUBSTITUTE(J421,"Rs. ",""),"₹",""),",","")))</f>
        <v>16432</v>
      </c>
      <c r="S421" s="40">
        <f t="shared" si="37"/>
        <v>0</v>
      </c>
      <c r="T421" s="41">
        <f t="shared" si="40"/>
        <v>0</v>
      </c>
      <c r="U421" s="42">
        <f t="shared" si="41"/>
        <v>16432</v>
      </c>
    </row>
    <row r="422" spans="1:21" x14ac:dyDescent="0.3">
      <c r="A422" s="37" t="s">
        <v>3451</v>
      </c>
      <c r="B422" s="37" t="s">
        <v>2696</v>
      </c>
      <c r="C422" s="37" t="s">
        <v>2485</v>
      </c>
      <c r="D422" s="37" t="s">
        <v>25</v>
      </c>
      <c r="E422" s="37" t="s">
        <v>54</v>
      </c>
      <c r="F422" s="37" t="s">
        <v>19</v>
      </c>
      <c r="G422" s="37" t="s">
        <v>2423</v>
      </c>
      <c r="H422" s="37">
        <v>4.7</v>
      </c>
      <c r="I422" s="37">
        <v>52</v>
      </c>
      <c r="J422" s="37">
        <v>18434</v>
      </c>
      <c r="K422" s="37" t="s">
        <v>87</v>
      </c>
      <c r="L422" s="37"/>
      <c r="M422" s="37" t="str">
        <f t="shared" si="38"/>
        <v>General</v>
      </c>
      <c r="N422" s="37" t="str">
        <f t="shared" si="36"/>
        <v>Credit Card</v>
      </c>
      <c r="O422" s="37" t="str" cm="1">
        <f t="array" ref="O422">IF(TRIM(N422)="",INDEX($N$2:$N$1500,MATCH(MAX(COUNTIF($N$2:$N$1500,$N$2:$N$1500)),COUNTIF($N$2:$N$1500,$N$2:$N$1500),0)),N422)</f>
        <v>Credit Card</v>
      </c>
      <c r="P422" s="38" cm="1">
        <f t="array" ref="P422">ROUND(IF(TRIM(H422)="",IFERROR(MEDIAN(IF($M$2:$M$1500=M422,$H$2:$H$1500)),MEDIAN($H$2:$H$1500)),H422),2)</f>
        <v>4.7</v>
      </c>
      <c r="Q422" s="38" t="str">
        <f t="shared" si="39"/>
        <v>0</v>
      </c>
      <c r="R422" s="39" cm="1">
        <f t="array" ref="R422">IF(OR(TRIM(J422)="",TRIM(J422)="-"),MEDIAN(IF($C$2:$C$1218=C422,$J$2:$J$1218)),VALUE(SUBSTITUTE(SUBSTITUTE(SUBSTITUTE(J422,"Rs. ",""),"₹",""),",","")))</f>
        <v>18434</v>
      </c>
      <c r="S422" s="40">
        <f t="shared" si="37"/>
        <v>0</v>
      </c>
      <c r="T422" s="41">
        <f t="shared" si="40"/>
        <v>0</v>
      </c>
      <c r="U422" s="42">
        <f t="shared" si="41"/>
        <v>18434</v>
      </c>
    </row>
    <row r="423" spans="1:21" x14ac:dyDescent="0.3">
      <c r="A423" s="37" t="s">
        <v>3452</v>
      </c>
      <c r="B423" s="37" t="s">
        <v>3453</v>
      </c>
      <c r="C423" s="37" t="s">
        <v>2422</v>
      </c>
      <c r="D423" s="37" t="s">
        <v>14</v>
      </c>
      <c r="E423" s="37" t="s">
        <v>60</v>
      </c>
      <c r="F423" s="37" t="s">
        <v>69</v>
      </c>
      <c r="G423" s="37" t="s">
        <v>2435</v>
      </c>
      <c r="H423" s="37">
        <v>1.81</v>
      </c>
      <c r="I423" s="37">
        <v>58</v>
      </c>
      <c r="J423" s="37">
        <v>46279</v>
      </c>
      <c r="K423" s="37" t="s">
        <v>52</v>
      </c>
      <c r="L423" s="37">
        <v>5</v>
      </c>
      <c r="M423" s="37" t="str">
        <f t="shared" si="38"/>
        <v>ICU</v>
      </c>
      <c r="N423" s="37" t="str">
        <f t="shared" si="36"/>
        <v>Credit Card</v>
      </c>
      <c r="O423" s="37" t="str" cm="1">
        <f t="array" ref="O423">IF(TRIM(N423)="",INDEX($N$2:$N$1500,MATCH(MAX(COUNTIF($N$2:$N$1500,$N$2:$N$1500)),COUNTIF($N$2:$N$1500,$N$2:$N$1500),0)),N423)</f>
        <v>Credit Card</v>
      </c>
      <c r="P423" s="38" cm="1">
        <f t="array" ref="P423">ROUND(IF(TRIM(H423)="",IFERROR(MEDIAN(IF($M$2:$M$1500=M423,$H$2:$H$1500)),MEDIAN($H$2:$H$1500)),H423),2)</f>
        <v>1.81</v>
      </c>
      <c r="Q423" s="38" t="str">
        <f t="shared" si="39"/>
        <v>0</v>
      </c>
      <c r="R423" s="39" cm="1">
        <f t="array" ref="R423">IF(OR(TRIM(J423)="",TRIM(J423)="-"),MEDIAN(IF($C$2:$C$1218=C423,$J$2:$J$1218)),VALUE(SUBSTITUTE(SUBSTITUTE(SUBSTITUTE(J423,"Rs. ",""),"₹",""),",","")))</f>
        <v>46279</v>
      </c>
      <c r="S423" s="40">
        <f t="shared" si="37"/>
        <v>5</v>
      </c>
      <c r="T423" s="41">
        <f t="shared" si="40"/>
        <v>5</v>
      </c>
      <c r="U423" s="42">
        <f t="shared" si="41"/>
        <v>43965</v>
      </c>
    </row>
    <row r="424" spans="1:21" x14ac:dyDescent="0.3">
      <c r="A424" s="37" t="s">
        <v>3454</v>
      </c>
      <c r="B424" s="37" t="s">
        <v>3455</v>
      </c>
      <c r="C424" s="37" t="s">
        <v>2459</v>
      </c>
      <c r="D424" s="37" t="s">
        <v>117</v>
      </c>
      <c r="E424" s="37" t="s">
        <v>118</v>
      </c>
      <c r="F424" s="37" t="s">
        <v>49</v>
      </c>
      <c r="G424" s="37" t="s">
        <v>2435</v>
      </c>
      <c r="H424" s="37">
        <v>17.57</v>
      </c>
      <c r="I424" s="37">
        <v>51</v>
      </c>
      <c r="J424" s="37" t="s">
        <v>3456</v>
      </c>
      <c r="K424" s="37" t="s">
        <v>311</v>
      </c>
      <c r="L424" s="37">
        <v>0</v>
      </c>
      <c r="M424" s="37" t="str">
        <f t="shared" si="38"/>
        <v>General</v>
      </c>
      <c r="N424" s="37" t="str">
        <f t="shared" si="36"/>
        <v>UPI</v>
      </c>
      <c r="O424" s="37" t="str" cm="1">
        <f t="array" ref="O424">IF(TRIM(N424)="",INDEX($N$2:$N$1500,MATCH(MAX(COUNTIF($N$2:$N$1500,$N$2:$N$1500)),COUNTIF($N$2:$N$1500,$N$2:$N$1500),0)),N424)</f>
        <v>UPI</v>
      </c>
      <c r="P424" s="38" cm="1">
        <f t="array" ref="P424">ROUND(IF(TRIM(H424)="",IFERROR(MEDIAN(IF($M$2:$M$1500=M424,$H$2:$H$1500)),MEDIAN($H$2:$H$1500)),H424),2)</f>
        <v>17.57</v>
      </c>
      <c r="Q424" s="38" t="str">
        <f t="shared" si="39"/>
        <v>0</v>
      </c>
      <c r="R424" s="39" cm="1">
        <f t="array" ref="R424">IF(OR(TRIM(J424)="",TRIM(J424)="-"),MEDIAN(IF($C$2:$C$1218=C424,$J$2:$J$1218)),VALUE(SUBSTITUTE(SUBSTITUTE(SUBSTITUTE(J424,"Rs. ",""),"₹",""),",","")))</f>
        <v>10302</v>
      </c>
      <c r="S424" s="40">
        <f t="shared" si="37"/>
        <v>0</v>
      </c>
      <c r="T424" s="41">
        <f t="shared" si="40"/>
        <v>0</v>
      </c>
      <c r="U424" s="42">
        <f t="shared" si="41"/>
        <v>10302</v>
      </c>
    </row>
    <row r="425" spans="1:21" x14ac:dyDescent="0.3">
      <c r="A425" s="37" t="s">
        <v>3457</v>
      </c>
      <c r="B425" s="37" t="s">
        <v>3458</v>
      </c>
      <c r="C425" s="37" t="s">
        <v>2504</v>
      </c>
      <c r="D425" s="37" t="s">
        <v>14</v>
      </c>
      <c r="E425" s="37" t="s">
        <v>60</v>
      </c>
      <c r="F425" s="37" t="s">
        <v>49</v>
      </c>
      <c r="G425" s="37" t="s">
        <v>2412</v>
      </c>
      <c r="H425" s="37">
        <v>1.41</v>
      </c>
      <c r="I425" s="37">
        <v>38</v>
      </c>
      <c r="J425" s="37" t="s">
        <v>3459</v>
      </c>
      <c r="K425" s="37" t="s">
        <v>52</v>
      </c>
      <c r="L425" s="37">
        <v>0</v>
      </c>
      <c r="M425" s="37" t="str">
        <f t="shared" si="38"/>
        <v>General</v>
      </c>
      <c r="N425" s="37" t="str">
        <f t="shared" si="36"/>
        <v>Credit Card</v>
      </c>
      <c r="O425" s="37" t="str" cm="1">
        <f t="array" ref="O425">IF(TRIM(N425)="",INDEX($N$2:$N$1500,MATCH(MAX(COUNTIF($N$2:$N$1500,$N$2:$N$1500)),COUNTIF($N$2:$N$1500,$N$2:$N$1500),0)),N425)</f>
        <v>Credit Card</v>
      </c>
      <c r="P425" s="38" cm="1">
        <f t="array" ref="P425">ROUND(IF(TRIM(H425)="",IFERROR(MEDIAN(IF($M$2:$M$1500=M425,$H$2:$H$1500)),MEDIAN($H$2:$H$1500)),H425),2)</f>
        <v>1.41</v>
      </c>
      <c r="Q425" s="38" t="str">
        <f t="shared" si="39"/>
        <v>1</v>
      </c>
      <c r="R425" s="39" cm="1">
        <f t="array" ref="R425">IF(OR(TRIM(J425)="",TRIM(J425)="-"),MEDIAN(IF($C$2:$C$1218=C425,$J$2:$J$1218)),VALUE(SUBSTITUTE(SUBSTITUTE(SUBSTITUTE(J425,"Rs. ",""),"₹",""),",","")))</f>
        <v>3622</v>
      </c>
      <c r="S425" s="40">
        <f t="shared" si="37"/>
        <v>0</v>
      </c>
      <c r="T425" s="41">
        <f t="shared" si="40"/>
        <v>0</v>
      </c>
      <c r="U425" s="42">
        <f t="shared" si="41"/>
        <v>3622</v>
      </c>
    </row>
    <row r="426" spans="1:21" x14ac:dyDescent="0.3">
      <c r="A426" s="37" t="s">
        <v>3460</v>
      </c>
      <c r="B426" s="37" t="s">
        <v>3461</v>
      </c>
      <c r="C426" s="37" t="s">
        <v>2485</v>
      </c>
      <c r="D426" s="37" t="s">
        <v>45</v>
      </c>
      <c r="E426" s="37" t="s">
        <v>46</v>
      </c>
      <c r="F426" s="37" t="s">
        <v>30</v>
      </c>
      <c r="G426" s="37" t="s">
        <v>2477</v>
      </c>
      <c r="H426" s="37">
        <v>1.84</v>
      </c>
      <c r="I426" s="37">
        <v>1</v>
      </c>
      <c r="J426" s="37" t="s">
        <v>3462</v>
      </c>
      <c r="K426" s="37" t="s">
        <v>72</v>
      </c>
      <c r="L426" s="37" t="s">
        <v>198</v>
      </c>
      <c r="M426" s="37" t="str">
        <f t="shared" si="38"/>
        <v>General</v>
      </c>
      <c r="N426" s="37" t="str">
        <f t="shared" si="36"/>
        <v>Cash</v>
      </c>
      <c r="O426" s="37" t="str" cm="1">
        <f t="array" ref="O426">IF(TRIM(N426)="",INDEX($N$2:$N$1500,MATCH(MAX(COUNTIF($N$2:$N$1500,$N$2:$N$1500)),COUNTIF($N$2:$N$1500,$N$2:$N$1500),0)),N426)</f>
        <v>Cash</v>
      </c>
      <c r="P426" s="38" cm="1">
        <f t="array" ref="P426">ROUND(IF(TRIM(H426)="",IFERROR(MEDIAN(IF($M$2:$M$1500=M426,$H$2:$H$1500)),MEDIAN($H$2:$H$1500)),H426),2)</f>
        <v>1.84</v>
      </c>
      <c r="Q426" s="38" t="str">
        <f t="shared" si="39"/>
        <v>0</v>
      </c>
      <c r="R426" s="39" cm="1">
        <f t="array" ref="R426">IF(OR(TRIM(J426)="",TRIM(J426)="-"),MEDIAN(IF($C$2:$C$1218=C426,$J$2:$J$1218)),VALUE(SUBSTITUTE(SUBSTITUTE(SUBSTITUTE(J426,"Rs. ",""),"₹",""),",","")))</f>
        <v>17566</v>
      </c>
      <c r="S426" s="40">
        <f t="shared" si="37"/>
        <v>5</v>
      </c>
      <c r="T426" s="41">
        <f t="shared" si="40"/>
        <v>5</v>
      </c>
      <c r="U426" s="42">
        <f t="shared" si="41"/>
        <v>16688</v>
      </c>
    </row>
    <row r="427" spans="1:21" x14ac:dyDescent="0.3">
      <c r="A427" s="37" t="s">
        <v>3463</v>
      </c>
      <c r="B427" s="37" t="s">
        <v>3264</v>
      </c>
      <c r="C427" s="37" t="s">
        <v>2449</v>
      </c>
      <c r="D427" s="37" t="s">
        <v>25</v>
      </c>
      <c r="E427" s="37" t="s">
        <v>26</v>
      </c>
      <c r="F427" s="37" t="s">
        <v>69</v>
      </c>
      <c r="G427" s="37" t="s">
        <v>2428</v>
      </c>
      <c r="H427" s="37">
        <v>8.43</v>
      </c>
      <c r="I427" s="37">
        <v>48</v>
      </c>
      <c r="J427" s="37" t="s">
        <v>3464</v>
      </c>
      <c r="K427" s="37" t="s">
        <v>34</v>
      </c>
      <c r="L427" s="37" t="s">
        <v>198</v>
      </c>
      <c r="M427" s="37" t="str">
        <f t="shared" si="38"/>
        <v>ICU</v>
      </c>
      <c r="N427" s="37" t="str">
        <f t="shared" si="36"/>
        <v>Cash</v>
      </c>
      <c r="O427" s="37" t="str" cm="1">
        <f t="array" ref="O427">IF(TRIM(N427)="",INDEX($N$2:$N$1500,MATCH(MAX(COUNTIF($N$2:$N$1500,$N$2:$N$1500)),COUNTIF($N$2:$N$1500,$N$2:$N$1500),0)),N427)</f>
        <v>Cash</v>
      </c>
      <c r="P427" s="38" cm="1">
        <f t="array" ref="P427">ROUND(IF(TRIM(H427)="",IFERROR(MEDIAN(IF($M$2:$M$1500=M427,$H$2:$H$1500)),MEDIAN($H$2:$H$1500)),H427),2)</f>
        <v>8.43</v>
      </c>
      <c r="Q427" s="38" t="str">
        <f t="shared" si="39"/>
        <v>2</v>
      </c>
      <c r="R427" s="39" cm="1">
        <f t="array" ref="R427">IF(OR(TRIM(J427)="",TRIM(J427)="-"),MEDIAN(IF($C$2:$C$1218=C427,$J$2:$J$1218)),VALUE(SUBSTITUTE(SUBSTITUTE(SUBSTITUTE(J427,"Rs. ",""),"₹",""),",","")))</f>
        <v>23054</v>
      </c>
      <c r="S427" s="40">
        <f t="shared" si="37"/>
        <v>5</v>
      </c>
      <c r="T427" s="41">
        <f t="shared" si="40"/>
        <v>5</v>
      </c>
      <c r="U427" s="42">
        <f t="shared" si="41"/>
        <v>21901</v>
      </c>
    </row>
    <row r="428" spans="1:21" x14ac:dyDescent="0.3">
      <c r="A428" s="37" t="s">
        <v>3465</v>
      </c>
      <c r="B428" s="37" t="s">
        <v>3466</v>
      </c>
      <c r="C428" s="37" t="s">
        <v>2459</v>
      </c>
      <c r="D428" s="37" t="s">
        <v>14</v>
      </c>
      <c r="E428" s="37" t="s">
        <v>60</v>
      </c>
      <c r="F428" s="37" t="s">
        <v>101</v>
      </c>
      <c r="G428" s="37" t="s">
        <v>2412</v>
      </c>
      <c r="H428" s="37">
        <v>20.43</v>
      </c>
      <c r="I428" s="37">
        <v>17</v>
      </c>
      <c r="J428" s="37">
        <v>81571</v>
      </c>
      <c r="K428" s="37" t="s">
        <v>91</v>
      </c>
      <c r="L428" s="37">
        <v>0</v>
      </c>
      <c r="M428" s="37" t="str">
        <f t="shared" si="38"/>
        <v>ICU</v>
      </c>
      <c r="N428" s="37" t="str">
        <f t="shared" si="36"/>
        <v>Debit Card</v>
      </c>
      <c r="O428" s="37" t="str" cm="1">
        <f t="array" ref="O428">IF(TRIM(N428)="",INDEX($N$2:$N$1500,MATCH(MAX(COUNTIF($N$2:$N$1500,$N$2:$N$1500)),COUNTIF($N$2:$N$1500,$N$2:$N$1500),0)),N428)</f>
        <v>Debit Card</v>
      </c>
      <c r="P428" s="38" cm="1">
        <f t="array" ref="P428">ROUND(IF(TRIM(H428)="",IFERROR(MEDIAN(IF($M$2:$M$1500=M428,$H$2:$H$1500)),MEDIAN($H$2:$H$1500)),H428),2)</f>
        <v>20.43</v>
      </c>
      <c r="Q428" s="38" t="str">
        <f t="shared" si="39"/>
        <v>1</v>
      </c>
      <c r="R428" s="39" cm="1">
        <f t="array" ref="R428">IF(OR(TRIM(J428)="",TRIM(J428)="-"),MEDIAN(IF($C$2:$C$1218=C428,$J$2:$J$1218)),VALUE(SUBSTITUTE(SUBSTITUTE(SUBSTITUTE(J428,"Rs. ",""),"₹",""),",","")))</f>
        <v>81571</v>
      </c>
      <c r="S428" s="40">
        <f t="shared" si="37"/>
        <v>0</v>
      </c>
      <c r="T428" s="41">
        <f t="shared" si="40"/>
        <v>0</v>
      </c>
      <c r="U428" s="42">
        <f t="shared" si="41"/>
        <v>81571</v>
      </c>
    </row>
    <row r="429" spans="1:21" x14ac:dyDescent="0.3">
      <c r="A429" s="37" t="s">
        <v>3467</v>
      </c>
      <c r="B429" s="37" t="s">
        <v>3211</v>
      </c>
      <c r="C429" s="37" t="s">
        <v>2514</v>
      </c>
      <c r="D429" s="37" t="s">
        <v>117</v>
      </c>
      <c r="E429" s="37" t="s">
        <v>118</v>
      </c>
      <c r="F429" s="37" t="s">
        <v>30</v>
      </c>
      <c r="G429" s="37" t="s">
        <v>2418</v>
      </c>
      <c r="H429" s="37">
        <v>0.72</v>
      </c>
      <c r="I429" s="37">
        <v>47</v>
      </c>
      <c r="J429" s="37"/>
      <c r="K429" s="37" t="s">
        <v>115</v>
      </c>
      <c r="L429" s="37" t="s">
        <v>140</v>
      </c>
      <c r="M429" s="37" t="str">
        <f t="shared" si="38"/>
        <v>General</v>
      </c>
      <c r="N429" s="37" t="str">
        <f t="shared" si="36"/>
        <v>Cash</v>
      </c>
      <c r="O429" s="37" t="str" cm="1">
        <f t="array" ref="O429">IF(TRIM(N429)="",INDEX($N$2:$N$1500,MATCH(MAX(COUNTIF($N$2:$N$1500,$N$2:$N$1500)),COUNTIF($N$2:$N$1500,$N$2:$N$1500),0)),N429)</f>
        <v>Cash</v>
      </c>
      <c r="P429" s="38" cm="1">
        <f t="array" ref="P429">ROUND(IF(TRIM(H429)="",IFERROR(MEDIAN(IF($M$2:$M$1500=M429,$H$2:$H$1500)),MEDIAN($H$2:$H$1500)),H429),2)</f>
        <v>0.72</v>
      </c>
      <c r="Q429" s="38" t="str">
        <f t="shared" si="39"/>
        <v>1</v>
      </c>
      <c r="R429" s="39" cm="1">
        <f t="array" ref="R429">IF(OR(TRIM(J429)="",TRIM(J429)="-"),MEDIAN(IF($C$2:$C$1218=C429,$J$2:$J$1218)),VALUE(SUBSTITUTE(SUBSTITUTE(SUBSTITUTE(J429,"Rs. ",""),"₹",""),",","")))</f>
        <v>14841.5</v>
      </c>
      <c r="S429" s="40" t="str">
        <f t="shared" si="37"/>
        <v>-</v>
      </c>
      <c r="T429" s="41">
        <f t="shared" si="40"/>
        <v>2</v>
      </c>
      <c r="U429" s="42">
        <f t="shared" si="41"/>
        <v>14545</v>
      </c>
    </row>
    <row r="430" spans="1:21" x14ac:dyDescent="0.3">
      <c r="A430" s="37" t="s">
        <v>3468</v>
      </c>
      <c r="B430" s="37" t="s">
        <v>3469</v>
      </c>
      <c r="C430" s="37" t="s">
        <v>2473</v>
      </c>
      <c r="D430" s="37" t="s">
        <v>106</v>
      </c>
      <c r="E430" s="37" t="s">
        <v>307</v>
      </c>
      <c r="F430" s="37" t="s">
        <v>69</v>
      </c>
      <c r="G430" s="37" t="s">
        <v>2435</v>
      </c>
      <c r="H430" s="37">
        <v>19.48</v>
      </c>
      <c r="I430" s="37">
        <v>39</v>
      </c>
      <c r="J430" s="37">
        <v>20459</v>
      </c>
      <c r="K430" s="37" t="s">
        <v>97</v>
      </c>
      <c r="L430" s="37"/>
      <c r="M430" s="37" t="str">
        <f t="shared" si="38"/>
        <v>ICU</v>
      </c>
      <c r="N430" s="37" t="str">
        <f t="shared" si="36"/>
        <v>UPI</v>
      </c>
      <c r="O430" s="37" t="str" cm="1">
        <f t="array" ref="O430">IF(TRIM(N430)="",INDEX($N$2:$N$1500,MATCH(MAX(COUNTIF($N$2:$N$1500,$N$2:$N$1500)),COUNTIF($N$2:$N$1500,$N$2:$N$1500),0)),N430)</f>
        <v>UPI</v>
      </c>
      <c r="P430" s="38" cm="1">
        <f t="array" ref="P430">ROUND(IF(TRIM(H430)="",IFERROR(MEDIAN(IF($M$2:$M$1500=M430,$H$2:$H$1500)),MEDIAN($H$2:$H$1500)),H430),2)</f>
        <v>19.48</v>
      </c>
      <c r="Q430" s="38" t="str">
        <f t="shared" si="39"/>
        <v>0</v>
      </c>
      <c r="R430" s="39" cm="1">
        <f t="array" ref="R430">IF(OR(TRIM(J430)="",TRIM(J430)="-"),MEDIAN(IF($C$2:$C$1218=C430,$J$2:$J$1218)),VALUE(SUBSTITUTE(SUBSTITUTE(SUBSTITUTE(J430,"Rs. ",""),"₹",""),",","")))</f>
        <v>20459</v>
      </c>
      <c r="S430" s="40">
        <f t="shared" si="37"/>
        <v>0</v>
      </c>
      <c r="T430" s="41">
        <f t="shared" si="40"/>
        <v>0</v>
      </c>
      <c r="U430" s="42">
        <f t="shared" si="41"/>
        <v>20459</v>
      </c>
    </row>
    <row r="431" spans="1:21" x14ac:dyDescent="0.3">
      <c r="A431" s="37" t="s">
        <v>3470</v>
      </c>
      <c r="B431" s="37" t="s">
        <v>3471</v>
      </c>
      <c r="C431" s="37" t="s">
        <v>2411</v>
      </c>
      <c r="D431" s="37" t="s">
        <v>78</v>
      </c>
      <c r="E431" s="37" t="s">
        <v>79</v>
      </c>
      <c r="F431" s="37" t="s">
        <v>19</v>
      </c>
      <c r="G431" s="37" t="s">
        <v>2477</v>
      </c>
      <c r="H431" s="37">
        <v>18.21</v>
      </c>
      <c r="I431" s="37">
        <v>9</v>
      </c>
      <c r="J431" s="37" t="s">
        <v>3472</v>
      </c>
      <c r="K431" s="37" t="s">
        <v>311</v>
      </c>
      <c r="L431" s="37">
        <v>10</v>
      </c>
      <c r="M431" s="37" t="str">
        <f t="shared" si="38"/>
        <v>General</v>
      </c>
      <c r="N431" s="37" t="str">
        <f t="shared" si="36"/>
        <v>UPI</v>
      </c>
      <c r="O431" s="37" t="str" cm="1">
        <f t="array" ref="O431">IF(TRIM(N431)="",INDEX($N$2:$N$1500,MATCH(MAX(COUNTIF($N$2:$N$1500,$N$2:$N$1500)),COUNTIF($N$2:$N$1500,$N$2:$N$1500),0)),N431)</f>
        <v>UPI</v>
      </c>
      <c r="P431" s="38" cm="1">
        <f t="array" ref="P431">ROUND(IF(TRIM(H431)="",IFERROR(MEDIAN(IF($M$2:$M$1500=M431,$H$2:$H$1500)),MEDIAN($H$2:$H$1500)),H431),2)</f>
        <v>18.21</v>
      </c>
      <c r="Q431" s="38" t="str">
        <f t="shared" si="39"/>
        <v>0</v>
      </c>
      <c r="R431" s="39" cm="1">
        <f t="array" ref="R431">IF(OR(TRIM(J431)="",TRIM(J431)="-"),MEDIAN(IF($C$2:$C$1218=C431,$J$2:$J$1218)),VALUE(SUBSTITUTE(SUBSTITUTE(SUBSTITUTE(J431,"Rs. ",""),"₹",""),",","")))</f>
        <v>5878</v>
      </c>
      <c r="S431" s="40">
        <f t="shared" si="37"/>
        <v>10</v>
      </c>
      <c r="T431" s="41">
        <f t="shared" si="40"/>
        <v>10</v>
      </c>
      <c r="U431" s="42">
        <f t="shared" si="41"/>
        <v>5290</v>
      </c>
    </row>
    <row r="432" spans="1:21" x14ac:dyDescent="0.3">
      <c r="A432" s="37" t="s">
        <v>3473</v>
      </c>
      <c r="B432" s="37" t="s">
        <v>3474</v>
      </c>
      <c r="C432" s="37" t="s">
        <v>2521</v>
      </c>
      <c r="D432" s="37" t="s">
        <v>117</v>
      </c>
      <c r="E432" s="37" t="s">
        <v>118</v>
      </c>
      <c r="F432" s="37" t="s">
        <v>49</v>
      </c>
      <c r="G432" s="37" t="s">
        <v>2746</v>
      </c>
      <c r="H432" s="37">
        <v>0.56999999999999995</v>
      </c>
      <c r="I432" s="37">
        <v>28</v>
      </c>
      <c r="J432" s="37"/>
      <c r="K432" s="37" t="s">
        <v>72</v>
      </c>
      <c r="L432" s="37">
        <v>0</v>
      </c>
      <c r="M432" s="37" t="str">
        <f t="shared" si="38"/>
        <v>General</v>
      </c>
      <c r="N432" s="37" t="str">
        <f t="shared" si="36"/>
        <v>Cash</v>
      </c>
      <c r="O432" s="37" t="str" cm="1">
        <f t="array" ref="O432">IF(TRIM(N432)="",INDEX($N$2:$N$1500,MATCH(MAX(COUNTIF($N$2:$N$1500,$N$2:$N$1500)),COUNTIF($N$2:$N$1500,$N$2:$N$1500),0)),N432)</f>
        <v>Cash</v>
      </c>
      <c r="P432" s="38" cm="1">
        <f t="array" ref="P432">ROUND(IF(TRIM(H432)="",IFERROR(MEDIAN(IF($M$2:$M$1500=M432,$H$2:$H$1500)),MEDIAN($H$2:$H$1500)),H432),2)</f>
        <v>0.56999999999999995</v>
      </c>
      <c r="Q432" s="38" t="str">
        <f t="shared" si="39"/>
        <v>2</v>
      </c>
      <c r="R432" s="39" cm="1">
        <f t="array" ref="R432">IF(OR(TRIM(J432)="",TRIM(J432)="-"),MEDIAN(IF($C$2:$C$1218=C432,$J$2:$J$1218)),VALUE(SUBSTITUTE(SUBSTITUTE(SUBSTITUTE(J432,"Rs. ",""),"₹",""),",","")))</f>
        <v>8182.5</v>
      </c>
      <c r="S432" s="40">
        <f t="shared" si="37"/>
        <v>0</v>
      </c>
      <c r="T432" s="41">
        <f t="shared" si="40"/>
        <v>0</v>
      </c>
      <c r="U432" s="42">
        <f t="shared" si="41"/>
        <v>8183</v>
      </c>
    </row>
    <row r="433" spans="1:21" x14ac:dyDescent="0.3">
      <c r="A433" s="37" t="s">
        <v>3475</v>
      </c>
      <c r="B433" s="37" t="s">
        <v>3476</v>
      </c>
      <c r="C433" s="37" t="s">
        <v>2473</v>
      </c>
      <c r="D433" s="37" t="s">
        <v>117</v>
      </c>
      <c r="E433" s="37" t="s">
        <v>118</v>
      </c>
      <c r="F433" s="37"/>
      <c r="G433" s="37" t="s">
        <v>2477</v>
      </c>
      <c r="H433" s="37">
        <v>6.13</v>
      </c>
      <c r="I433" s="37">
        <v>7</v>
      </c>
      <c r="J433" s="37" t="s">
        <v>3477</v>
      </c>
      <c r="K433" s="37" t="s">
        <v>167</v>
      </c>
      <c r="L433" s="37">
        <v>15</v>
      </c>
      <c r="M433" s="37" t="str">
        <f t="shared" si="38"/>
        <v>Unknown</v>
      </c>
      <c r="N433" s="37" t="str">
        <f t="shared" si="36"/>
        <v>Insurance</v>
      </c>
      <c r="O433" s="37" t="str" cm="1">
        <f t="array" ref="O433">IF(TRIM(N433)="",INDEX($N$2:$N$1500,MATCH(MAX(COUNTIF($N$2:$N$1500,$N$2:$N$1500)),COUNTIF($N$2:$N$1500,$N$2:$N$1500),0)),N433)</f>
        <v>Insurance</v>
      </c>
      <c r="P433" s="38" cm="1">
        <f t="array" ref="P433">ROUND(IF(TRIM(H433)="",IFERROR(MEDIAN(IF($M$2:$M$1500=M433,$H$2:$H$1500)),MEDIAN($H$2:$H$1500)),H433),2)</f>
        <v>6.13</v>
      </c>
      <c r="Q433" s="38" t="str">
        <f t="shared" si="39"/>
        <v>0</v>
      </c>
      <c r="R433" s="39" cm="1">
        <f t="array" ref="R433">IF(OR(TRIM(J433)="",TRIM(J433)="-"),MEDIAN(IF($C$2:$C$1218=C433,$J$2:$J$1218)),VALUE(SUBSTITUTE(SUBSTITUTE(SUBSTITUTE(J433,"Rs. ",""),"₹",""),",","")))</f>
        <v>23406</v>
      </c>
      <c r="S433" s="40">
        <f t="shared" si="37"/>
        <v>15</v>
      </c>
      <c r="T433" s="41">
        <f t="shared" si="40"/>
        <v>15</v>
      </c>
      <c r="U433" s="42">
        <f t="shared" si="41"/>
        <v>19895</v>
      </c>
    </row>
    <row r="434" spans="1:21" x14ac:dyDescent="0.3">
      <c r="A434" s="37" t="s">
        <v>3478</v>
      </c>
      <c r="B434" s="37" t="s">
        <v>2628</v>
      </c>
      <c r="C434" s="37" t="s">
        <v>2629</v>
      </c>
      <c r="D434" s="37" t="s">
        <v>14</v>
      </c>
      <c r="E434" s="37" t="s">
        <v>60</v>
      </c>
      <c r="F434" s="37" t="s">
        <v>39</v>
      </c>
      <c r="G434" s="37" t="s">
        <v>2423</v>
      </c>
      <c r="H434" s="37">
        <v>15.1</v>
      </c>
      <c r="I434" s="37">
        <v>12</v>
      </c>
      <c r="J434" s="37" t="s">
        <v>3479</v>
      </c>
      <c r="K434" s="37" t="s">
        <v>34</v>
      </c>
      <c r="L434" s="37" t="s">
        <v>64</v>
      </c>
      <c r="M434" s="37" t="str">
        <f t="shared" si="38"/>
        <v>General</v>
      </c>
      <c r="N434" s="37" t="str">
        <f t="shared" si="36"/>
        <v>Cash</v>
      </c>
      <c r="O434" s="37" t="str" cm="1">
        <f t="array" ref="O434">IF(TRIM(N434)="",INDEX($N$2:$N$1500,MATCH(MAX(COUNTIF($N$2:$N$1500,$N$2:$N$1500)),COUNTIF($N$2:$N$1500,$N$2:$N$1500),0)),N434)</f>
        <v>Cash</v>
      </c>
      <c r="P434" s="38" cm="1">
        <f t="array" ref="P434">ROUND(IF(TRIM(H434)="",IFERROR(MEDIAN(IF($M$2:$M$1500=M434,$H$2:$H$1500)),MEDIAN($H$2:$H$1500)),H434),2)</f>
        <v>15.1</v>
      </c>
      <c r="Q434" s="38" t="str">
        <f t="shared" si="39"/>
        <v>0</v>
      </c>
      <c r="R434" s="39" cm="1">
        <f t="array" ref="R434">IF(OR(TRIM(J434)="",TRIM(J434)="-"),MEDIAN(IF($C$2:$C$1218=C434,$J$2:$J$1218)),VALUE(SUBSTITUTE(SUBSTITUTE(SUBSTITUTE(J434,"Rs. ",""),"₹",""),",","")))</f>
        <v>12314</v>
      </c>
      <c r="S434" s="40" t="str">
        <f t="shared" si="37"/>
        <v>NA</v>
      </c>
      <c r="T434" s="41">
        <f t="shared" si="40"/>
        <v>2</v>
      </c>
      <c r="U434" s="42">
        <f t="shared" si="41"/>
        <v>12068</v>
      </c>
    </row>
    <row r="435" spans="1:21" x14ac:dyDescent="0.3">
      <c r="A435" s="37" t="s">
        <v>3480</v>
      </c>
      <c r="B435" s="37" t="s">
        <v>3481</v>
      </c>
      <c r="C435" s="37" t="s">
        <v>2730</v>
      </c>
      <c r="D435" s="37" t="s">
        <v>14</v>
      </c>
      <c r="E435" s="37" t="s">
        <v>60</v>
      </c>
      <c r="F435" s="37" t="s">
        <v>39</v>
      </c>
      <c r="G435" s="37" t="s">
        <v>2435</v>
      </c>
      <c r="H435" s="37">
        <v>9.2899999999999991</v>
      </c>
      <c r="I435" s="37">
        <v>26</v>
      </c>
      <c r="J435" s="37">
        <v>9187</v>
      </c>
      <c r="K435" s="37" t="s">
        <v>115</v>
      </c>
      <c r="L435" s="37">
        <v>0</v>
      </c>
      <c r="M435" s="37" t="str">
        <f t="shared" si="38"/>
        <v>General</v>
      </c>
      <c r="N435" s="37" t="str">
        <f t="shared" si="36"/>
        <v>Cash</v>
      </c>
      <c r="O435" s="37" t="str" cm="1">
        <f t="array" ref="O435">IF(TRIM(N435)="",INDEX($N$2:$N$1500,MATCH(MAX(COUNTIF($N$2:$N$1500,$N$2:$N$1500)),COUNTIF($N$2:$N$1500,$N$2:$N$1500),0)),N435)</f>
        <v>Cash</v>
      </c>
      <c r="P435" s="38" cm="1">
        <f t="array" ref="P435">ROUND(IF(TRIM(H435)="",IFERROR(MEDIAN(IF($M$2:$M$1500=M435,$H$2:$H$1500)),MEDIAN($H$2:$H$1500)),H435),2)</f>
        <v>9.2899999999999991</v>
      </c>
      <c r="Q435" s="38" t="str">
        <f t="shared" si="39"/>
        <v>0</v>
      </c>
      <c r="R435" s="39" cm="1">
        <f t="array" ref="R435">IF(OR(TRIM(J435)="",TRIM(J435)="-"),MEDIAN(IF($C$2:$C$1218=C435,$J$2:$J$1218)),VALUE(SUBSTITUTE(SUBSTITUTE(SUBSTITUTE(J435,"Rs. ",""),"₹",""),",","")))</f>
        <v>9187</v>
      </c>
      <c r="S435" s="40">
        <f t="shared" si="37"/>
        <v>0</v>
      </c>
      <c r="T435" s="41">
        <f t="shared" si="40"/>
        <v>0</v>
      </c>
      <c r="U435" s="42">
        <f t="shared" si="41"/>
        <v>9187</v>
      </c>
    </row>
    <row r="436" spans="1:21" x14ac:dyDescent="0.3">
      <c r="A436" s="37" t="s">
        <v>3482</v>
      </c>
      <c r="B436" s="37" t="s">
        <v>3483</v>
      </c>
      <c r="C436" s="37" t="s">
        <v>2730</v>
      </c>
      <c r="D436" s="37" t="s">
        <v>117</v>
      </c>
      <c r="E436" s="37" t="s">
        <v>118</v>
      </c>
      <c r="F436" s="37" t="s">
        <v>39</v>
      </c>
      <c r="G436" s="37" t="s">
        <v>2477</v>
      </c>
      <c r="H436" s="37">
        <v>7.71</v>
      </c>
      <c r="I436" s="37">
        <v>29</v>
      </c>
      <c r="J436" s="37" t="s">
        <v>3484</v>
      </c>
      <c r="K436" s="37" t="s">
        <v>83</v>
      </c>
      <c r="L436" s="37"/>
      <c r="M436" s="37" t="str">
        <f t="shared" si="38"/>
        <v>General</v>
      </c>
      <c r="N436" s="37" t="str">
        <f t="shared" si="36"/>
        <v>Debit Card</v>
      </c>
      <c r="O436" s="37" t="str" cm="1">
        <f t="array" ref="O436">IF(TRIM(N436)="",INDEX($N$2:$N$1500,MATCH(MAX(COUNTIF($N$2:$N$1500,$N$2:$N$1500)),COUNTIF($N$2:$N$1500,$N$2:$N$1500),0)),N436)</f>
        <v>Debit Card</v>
      </c>
      <c r="P436" s="38" cm="1">
        <f t="array" ref="P436">ROUND(IF(TRIM(H436)="",IFERROR(MEDIAN(IF($M$2:$M$1500=M436,$H$2:$H$1500)),MEDIAN($H$2:$H$1500)),H436),2)</f>
        <v>7.71</v>
      </c>
      <c r="Q436" s="38" t="str">
        <f t="shared" si="39"/>
        <v>0</v>
      </c>
      <c r="R436" s="39" cm="1">
        <f t="array" ref="R436">IF(OR(TRIM(J436)="",TRIM(J436)="-"),MEDIAN(IF($C$2:$C$1218=C436,$J$2:$J$1218)),VALUE(SUBSTITUTE(SUBSTITUTE(SUBSTITUTE(J436,"Rs. ",""),"₹",""),",","")))</f>
        <v>18373</v>
      </c>
      <c r="S436" s="40">
        <f t="shared" si="37"/>
        <v>0</v>
      </c>
      <c r="T436" s="41">
        <f t="shared" si="40"/>
        <v>0</v>
      </c>
      <c r="U436" s="42">
        <f t="shared" si="41"/>
        <v>18373</v>
      </c>
    </row>
    <row r="437" spans="1:21" x14ac:dyDescent="0.3">
      <c r="A437" s="37" t="s">
        <v>3485</v>
      </c>
      <c r="B437" s="37" t="s">
        <v>3486</v>
      </c>
      <c r="C437" s="37" t="s">
        <v>2730</v>
      </c>
      <c r="D437" s="37" t="s">
        <v>45</v>
      </c>
      <c r="E437" s="37" t="s">
        <v>46</v>
      </c>
      <c r="F437" s="37" t="s">
        <v>19</v>
      </c>
      <c r="G437" s="37" t="s">
        <v>2435</v>
      </c>
      <c r="H437" s="37">
        <v>12.89</v>
      </c>
      <c r="I437" s="37">
        <v>39</v>
      </c>
      <c r="J437" s="37">
        <v>11366</v>
      </c>
      <c r="K437" s="37" t="s">
        <v>115</v>
      </c>
      <c r="L437" s="37">
        <v>0</v>
      </c>
      <c r="M437" s="37" t="str">
        <f t="shared" si="38"/>
        <v>General</v>
      </c>
      <c r="N437" s="37" t="str">
        <f t="shared" si="36"/>
        <v>Cash</v>
      </c>
      <c r="O437" s="37" t="str" cm="1">
        <f t="array" ref="O437">IF(TRIM(N437)="",INDEX($N$2:$N$1500,MATCH(MAX(COUNTIF($N$2:$N$1500,$N$2:$N$1500)),COUNTIF($N$2:$N$1500,$N$2:$N$1500),0)),N437)</f>
        <v>Cash</v>
      </c>
      <c r="P437" s="38" cm="1">
        <f t="array" ref="P437">ROUND(IF(TRIM(H437)="",IFERROR(MEDIAN(IF($M$2:$M$1500=M437,$H$2:$H$1500)),MEDIAN($H$2:$H$1500)),H437),2)</f>
        <v>12.89</v>
      </c>
      <c r="Q437" s="38" t="str">
        <f t="shared" si="39"/>
        <v>0</v>
      </c>
      <c r="R437" s="39" cm="1">
        <f t="array" ref="R437">IF(OR(TRIM(J437)="",TRIM(J437)="-"),MEDIAN(IF($C$2:$C$1218=C437,$J$2:$J$1218)),VALUE(SUBSTITUTE(SUBSTITUTE(SUBSTITUTE(J437,"Rs. ",""),"₹",""),",","")))</f>
        <v>11366</v>
      </c>
      <c r="S437" s="40">
        <f t="shared" si="37"/>
        <v>0</v>
      </c>
      <c r="T437" s="41">
        <f t="shared" si="40"/>
        <v>0</v>
      </c>
      <c r="U437" s="42">
        <f t="shared" si="41"/>
        <v>11366</v>
      </c>
    </row>
    <row r="438" spans="1:21" x14ac:dyDescent="0.3">
      <c r="A438" s="37" t="s">
        <v>3487</v>
      </c>
      <c r="B438" s="37" t="s">
        <v>2816</v>
      </c>
      <c r="C438" s="37" t="s">
        <v>2577</v>
      </c>
      <c r="D438" s="37" t="s">
        <v>14</v>
      </c>
      <c r="E438" s="37" t="s">
        <v>60</v>
      </c>
      <c r="F438" s="37" t="s">
        <v>39</v>
      </c>
      <c r="G438" s="37" t="s">
        <v>2455</v>
      </c>
      <c r="H438" s="37">
        <v>23.93</v>
      </c>
      <c r="I438" s="37">
        <v>51</v>
      </c>
      <c r="J438" s="37" t="s">
        <v>3488</v>
      </c>
      <c r="K438" s="37" t="s">
        <v>91</v>
      </c>
      <c r="L438" s="37">
        <v>10</v>
      </c>
      <c r="M438" s="37" t="str">
        <f t="shared" si="38"/>
        <v>General</v>
      </c>
      <c r="N438" s="37" t="str">
        <f t="shared" si="36"/>
        <v>Debit Card</v>
      </c>
      <c r="O438" s="37" t="str" cm="1">
        <f t="array" ref="O438">IF(TRIM(N438)="",INDEX($N$2:$N$1500,MATCH(MAX(COUNTIF($N$2:$N$1500,$N$2:$N$1500)),COUNTIF($N$2:$N$1500,$N$2:$N$1500),0)),N438)</f>
        <v>Debit Card</v>
      </c>
      <c r="P438" s="38" cm="1">
        <f t="array" ref="P438">ROUND(IF(TRIM(H438)="",IFERROR(MEDIAN(IF($M$2:$M$1500=M438,$H$2:$H$1500)),MEDIAN($H$2:$H$1500)),H438),2)</f>
        <v>23.93</v>
      </c>
      <c r="Q438" s="38" t="str">
        <f t="shared" si="39"/>
        <v>1</v>
      </c>
      <c r="R438" s="39" cm="1">
        <f t="array" ref="R438">IF(OR(TRIM(J438)="",TRIM(J438)="-"),MEDIAN(IF($C$2:$C$1218=C438,$J$2:$J$1218)),VALUE(SUBSTITUTE(SUBSTITUTE(SUBSTITUTE(J438,"Rs. ",""),"₹",""),",","")))</f>
        <v>9876</v>
      </c>
      <c r="S438" s="40">
        <f t="shared" si="37"/>
        <v>10</v>
      </c>
      <c r="T438" s="41">
        <f t="shared" si="40"/>
        <v>10</v>
      </c>
      <c r="U438" s="42">
        <f t="shared" si="41"/>
        <v>8888</v>
      </c>
    </row>
    <row r="439" spans="1:21" x14ac:dyDescent="0.3">
      <c r="A439" s="37" t="s">
        <v>3489</v>
      </c>
      <c r="B439" s="37" t="s">
        <v>3141</v>
      </c>
      <c r="C439" s="37" t="s">
        <v>2466</v>
      </c>
      <c r="D439" s="37" t="s">
        <v>117</v>
      </c>
      <c r="E439" s="37" t="s">
        <v>118</v>
      </c>
      <c r="F439" s="37" t="s">
        <v>101</v>
      </c>
      <c r="G439" s="37" t="s">
        <v>2993</v>
      </c>
      <c r="H439" s="37">
        <v>21.47</v>
      </c>
      <c r="I439" s="37">
        <v>3</v>
      </c>
      <c r="J439" s="37" t="s">
        <v>3490</v>
      </c>
      <c r="K439" s="37" t="s">
        <v>236</v>
      </c>
      <c r="L439" s="37">
        <v>5</v>
      </c>
      <c r="M439" s="37" t="str">
        <f t="shared" si="38"/>
        <v>ICU</v>
      </c>
      <c r="N439" s="37" t="str">
        <f t="shared" si="36"/>
        <v>Debit Card</v>
      </c>
      <c r="O439" s="37" t="str" cm="1">
        <f t="array" ref="O439">IF(TRIM(N439)="",INDEX($N$2:$N$1500,MATCH(MAX(COUNTIF($N$2:$N$1500,$N$2:$N$1500)),COUNTIF($N$2:$N$1500,$N$2:$N$1500),0)),N439)</f>
        <v>Debit Card</v>
      </c>
      <c r="P439" s="38" cm="1">
        <f t="array" ref="P439">ROUND(IF(TRIM(H439)="",IFERROR(MEDIAN(IF($M$2:$M$1500=M439,$H$2:$H$1500)),MEDIAN($H$2:$H$1500)),H439),2)</f>
        <v>21.47</v>
      </c>
      <c r="Q439" s="38" t="str">
        <f t="shared" si="39"/>
        <v>2+</v>
      </c>
      <c r="R439" s="39" cm="1">
        <f t="array" ref="R439">IF(OR(TRIM(J439)="",TRIM(J439)="-"),MEDIAN(IF($C$2:$C$1218=C439,$J$2:$J$1218)),VALUE(SUBSTITUTE(SUBSTITUTE(SUBSTITUTE(J439,"Rs. ",""),"₹",""),",","")))</f>
        <v>45709</v>
      </c>
      <c r="S439" s="40">
        <f t="shared" si="37"/>
        <v>5</v>
      </c>
      <c r="T439" s="41">
        <f t="shared" si="40"/>
        <v>5</v>
      </c>
      <c r="U439" s="42">
        <f t="shared" si="41"/>
        <v>43424</v>
      </c>
    </row>
    <row r="440" spans="1:21" x14ac:dyDescent="0.3">
      <c r="A440" s="37" t="s">
        <v>3491</v>
      </c>
      <c r="B440" s="37" t="s">
        <v>3492</v>
      </c>
      <c r="C440" s="37" t="s">
        <v>2473</v>
      </c>
      <c r="D440" s="37" t="s">
        <v>45</v>
      </c>
      <c r="E440" s="37" t="s">
        <v>46</v>
      </c>
      <c r="F440" s="37" t="s">
        <v>62</v>
      </c>
      <c r="G440" s="37" t="s">
        <v>2418</v>
      </c>
      <c r="H440" s="37">
        <v>17.39</v>
      </c>
      <c r="I440" s="37">
        <v>28</v>
      </c>
      <c r="J440" s="37">
        <v>21130</v>
      </c>
      <c r="K440" s="37"/>
      <c r="L440" s="37">
        <v>5</v>
      </c>
      <c r="M440" s="37" t="str">
        <f t="shared" si="38"/>
        <v>ICU</v>
      </c>
      <c r="N440" s="37" t="str">
        <f t="shared" si="36"/>
        <v>Unknown</v>
      </c>
      <c r="O440" s="37" t="str" cm="1">
        <f t="array" ref="O440">IF(TRIM(N440)="",INDEX($N$2:$N$1500,MATCH(MAX(COUNTIF($N$2:$N$1500,$N$2:$N$1500)),COUNTIF($N$2:$N$1500,$N$2:$N$1500),0)),N440)</f>
        <v>Unknown</v>
      </c>
      <c r="P440" s="38" cm="1">
        <f t="array" ref="P440">ROUND(IF(TRIM(H440)="",IFERROR(MEDIAN(IF($M$2:$M$1500=M440,$H$2:$H$1500)),MEDIAN($H$2:$H$1500)),H440),2)</f>
        <v>17.39</v>
      </c>
      <c r="Q440" s="38" t="str">
        <f t="shared" si="39"/>
        <v>1</v>
      </c>
      <c r="R440" s="39" cm="1">
        <f t="array" ref="R440">IF(OR(TRIM(J440)="",TRIM(J440)="-"),MEDIAN(IF($C$2:$C$1218=C440,$J$2:$J$1218)),VALUE(SUBSTITUTE(SUBSTITUTE(SUBSTITUTE(J440,"Rs. ",""),"₹",""),",","")))</f>
        <v>21130</v>
      </c>
      <c r="S440" s="40">
        <f t="shared" si="37"/>
        <v>5</v>
      </c>
      <c r="T440" s="41">
        <f t="shared" si="40"/>
        <v>5</v>
      </c>
      <c r="U440" s="42">
        <f t="shared" si="41"/>
        <v>20074</v>
      </c>
    </row>
    <row r="441" spans="1:21" x14ac:dyDescent="0.3">
      <c r="A441" s="37" t="s">
        <v>3493</v>
      </c>
      <c r="B441" s="37" t="s">
        <v>3494</v>
      </c>
      <c r="C441" s="37" t="s">
        <v>2490</v>
      </c>
      <c r="D441" s="37" t="s">
        <v>14</v>
      </c>
      <c r="E441" s="37" t="s">
        <v>60</v>
      </c>
      <c r="F441" s="37" t="s">
        <v>30</v>
      </c>
      <c r="G441" s="37" t="s">
        <v>2435</v>
      </c>
      <c r="H441" s="37">
        <v>1.05</v>
      </c>
      <c r="I441" s="37">
        <v>26</v>
      </c>
      <c r="J441" s="37" t="s">
        <v>3495</v>
      </c>
      <c r="K441" s="37" t="s">
        <v>87</v>
      </c>
      <c r="L441" s="37">
        <v>0</v>
      </c>
      <c r="M441" s="37" t="str">
        <f t="shared" si="38"/>
        <v>General</v>
      </c>
      <c r="N441" s="37" t="str">
        <f t="shared" si="36"/>
        <v>Credit Card</v>
      </c>
      <c r="O441" s="37" t="str" cm="1">
        <f t="array" ref="O441">IF(TRIM(N441)="",INDEX($N$2:$N$1500,MATCH(MAX(COUNTIF($N$2:$N$1500,$N$2:$N$1500)),COUNTIF($N$2:$N$1500,$N$2:$N$1500),0)),N441)</f>
        <v>Credit Card</v>
      </c>
      <c r="P441" s="38" cm="1">
        <f t="array" ref="P441">ROUND(IF(TRIM(H441)="",IFERROR(MEDIAN(IF($M$2:$M$1500=M441,$H$2:$H$1500)),MEDIAN($H$2:$H$1500)),H441),2)</f>
        <v>1.05</v>
      </c>
      <c r="Q441" s="38" t="str">
        <f t="shared" si="39"/>
        <v>0</v>
      </c>
      <c r="R441" s="39" cm="1">
        <f t="array" ref="R441">IF(OR(TRIM(J441)="",TRIM(J441)="-"),MEDIAN(IF($C$2:$C$1218=C441,$J$2:$J$1218)),VALUE(SUBSTITUTE(SUBSTITUTE(SUBSTITUTE(J441,"Rs. ",""),"₹",""),",","")))</f>
        <v>18952</v>
      </c>
      <c r="S441" s="40">
        <f t="shared" si="37"/>
        <v>0</v>
      </c>
      <c r="T441" s="41">
        <f t="shared" si="40"/>
        <v>0</v>
      </c>
      <c r="U441" s="42">
        <f t="shared" si="41"/>
        <v>18952</v>
      </c>
    </row>
    <row r="442" spans="1:21" x14ac:dyDescent="0.3">
      <c r="A442" s="37" t="s">
        <v>3496</v>
      </c>
      <c r="B442" s="37" t="s">
        <v>3497</v>
      </c>
      <c r="C442" s="37" t="s">
        <v>2514</v>
      </c>
      <c r="D442" s="37" t="s">
        <v>14</v>
      </c>
      <c r="E442" s="37" t="s">
        <v>60</v>
      </c>
      <c r="F442" s="37" t="s">
        <v>19</v>
      </c>
      <c r="G442" s="37" t="s">
        <v>2418</v>
      </c>
      <c r="H442" s="37"/>
      <c r="I442" s="37">
        <v>10</v>
      </c>
      <c r="J442" s="37">
        <v>6294</v>
      </c>
      <c r="K442" s="37" t="s">
        <v>115</v>
      </c>
      <c r="L442" s="37" t="s">
        <v>64</v>
      </c>
      <c r="M442" s="37" t="str">
        <f t="shared" si="38"/>
        <v>General</v>
      </c>
      <c r="N442" s="37" t="str">
        <f t="shared" si="36"/>
        <v>Cash</v>
      </c>
      <c r="O442" s="37" t="str" cm="1">
        <f t="array" ref="O442">IF(TRIM(N442)="",INDEX($N$2:$N$1500,MATCH(MAX(COUNTIF($N$2:$N$1500,$N$2:$N$1500)),COUNTIF($N$2:$N$1500,$N$2:$N$1500),0)),N442)</f>
        <v>Cash</v>
      </c>
      <c r="P442" s="38" cm="1">
        <f t="array" ref="P442">ROUND(IF(TRIM(H442)="",IFERROR(MEDIAN(IF($M$2:$M$1500=M442,$H$2:$H$1500)),MEDIAN($H$2:$H$1500)),H442),2)</f>
        <v>12.02</v>
      </c>
      <c r="Q442" s="38" t="str">
        <f t="shared" si="39"/>
        <v>1</v>
      </c>
      <c r="R442" s="39" cm="1">
        <f t="array" ref="R442">IF(OR(TRIM(J442)="",TRIM(J442)="-"),MEDIAN(IF($C$2:$C$1218=C442,$J$2:$J$1218)),VALUE(SUBSTITUTE(SUBSTITUTE(SUBSTITUTE(J442,"Rs. ",""),"₹",""),",","")))</f>
        <v>6294</v>
      </c>
      <c r="S442" s="40" t="str">
        <f t="shared" si="37"/>
        <v>NA</v>
      </c>
      <c r="T442" s="41">
        <f t="shared" si="40"/>
        <v>2</v>
      </c>
      <c r="U442" s="42">
        <f t="shared" si="41"/>
        <v>6168</v>
      </c>
    </row>
    <row r="443" spans="1:21" x14ac:dyDescent="0.3">
      <c r="A443" s="37" t="s">
        <v>3498</v>
      </c>
      <c r="B443" s="37" t="s">
        <v>2496</v>
      </c>
      <c r="C443" s="37" t="s">
        <v>2463</v>
      </c>
      <c r="D443" s="37" t="s">
        <v>78</v>
      </c>
      <c r="E443" s="37" t="s">
        <v>161</v>
      </c>
      <c r="F443" s="37" t="s">
        <v>39</v>
      </c>
      <c r="G443" s="37" t="s">
        <v>2746</v>
      </c>
      <c r="H443" s="37">
        <v>5.84</v>
      </c>
      <c r="I443" s="37">
        <v>44</v>
      </c>
      <c r="J443" s="37" t="s">
        <v>3499</v>
      </c>
      <c r="K443" s="37" t="s">
        <v>83</v>
      </c>
      <c r="L443" s="37">
        <v>0</v>
      </c>
      <c r="M443" s="37" t="str">
        <f t="shared" si="38"/>
        <v>General</v>
      </c>
      <c r="N443" s="37" t="str">
        <f t="shared" si="36"/>
        <v>Debit Card</v>
      </c>
      <c r="O443" s="37" t="str" cm="1">
        <f t="array" ref="O443">IF(TRIM(N443)="",INDEX($N$2:$N$1500,MATCH(MAX(COUNTIF($N$2:$N$1500,$N$2:$N$1500)),COUNTIF($N$2:$N$1500,$N$2:$N$1500),0)),N443)</f>
        <v>Debit Card</v>
      </c>
      <c r="P443" s="38" cm="1">
        <f t="array" ref="P443">ROUND(IF(TRIM(H443)="",IFERROR(MEDIAN(IF($M$2:$M$1500=M443,$H$2:$H$1500)),MEDIAN($H$2:$H$1500)),H443),2)</f>
        <v>5.84</v>
      </c>
      <c r="Q443" s="38" t="str">
        <f t="shared" si="39"/>
        <v>2</v>
      </c>
      <c r="R443" s="39" cm="1">
        <f t="array" ref="R443">IF(OR(TRIM(J443)="",TRIM(J443)="-"),MEDIAN(IF($C$2:$C$1218=C443,$J$2:$J$1218)),VALUE(SUBSTITUTE(SUBSTITUTE(SUBSTITUTE(J443,"Rs. ",""),"₹",""),",","")))</f>
        <v>10884</v>
      </c>
      <c r="S443" s="40">
        <f t="shared" si="37"/>
        <v>0</v>
      </c>
      <c r="T443" s="41">
        <f t="shared" si="40"/>
        <v>0</v>
      </c>
      <c r="U443" s="42">
        <f t="shared" si="41"/>
        <v>10884</v>
      </c>
    </row>
    <row r="444" spans="1:21" x14ac:dyDescent="0.3">
      <c r="A444" s="37" t="s">
        <v>3500</v>
      </c>
      <c r="B444" s="37" t="s">
        <v>3501</v>
      </c>
      <c r="C444" s="37" t="s">
        <v>2504</v>
      </c>
      <c r="D444" s="37" t="s">
        <v>45</v>
      </c>
      <c r="E444" s="37" t="s">
        <v>46</v>
      </c>
      <c r="F444" s="37" t="s">
        <v>62</v>
      </c>
      <c r="G444" s="37" t="s">
        <v>2477</v>
      </c>
      <c r="H444" s="37">
        <v>17.329999999999998</v>
      </c>
      <c r="I444" s="37">
        <v>32</v>
      </c>
      <c r="J444" s="37"/>
      <c r="K444" s="37" t="s">
        <v>52</v>
      </c>
      <c r="L444" s="37" t="s">
        <v>64</v>
      </c>
      <c r="M444" s="37" t="str">
        <f t="shared" si="38"/>
        <v>ICU</v>
      </c>
      <c r="N444" s="37" t="str">
        <f t="shared" si="36"/>
        <v>Credit Card</v>
      </c>
      <c r="O444" s="37" t="str" cm="1">
        <f t="array" ref="O444">IF(TRIM(N444)="",INDEX($N$2:$N$1500,MATCH(MAX(COUNTIF($N$2:$N$1500,$N$2:$N$1500)),COUNTIF($N$2:$N$1500,$N$2:$N$1500),0)),N444)</f>
        <v>Credit Card</v>
      </c>
      <c r="P444" s="38" cm="1">
        <f t="array" ref="P444">ROUND(IF(TRIM(H444)="",IFERROR(MEDIAN(IF($M$2:$M$1500=M444,$H$2:$H$1500)),MEDIAN($H$2:$H$1500)),H444),2)</f>
        <v>17.329999999999998</v>
      </c>
      <c r="Q444" s="38" t="str">
        <f t="shared" si="39"/>
        <v>0</v>
      </c>
      <c r="R444" s="39" cm="1">
        <f t="array" ref="R444">IF(OR(TRIM(J444)="",TRIM(J444)="-"),MEDIAN(IF($C$2:$C$1218=C444,$J$2:$J$1218)),VALUE(SUBSTITUTE(SUBSTITUTE(SUBSTITUTE(J444,"Rs. ",""),"₹",""),",","")))</f>
        <v>16658.5</v>
      </c>
      <c r="S444" s="40" t="str">
        <f t="shared" si="37"/>
        <v>NA</v>
      </c>
      <c r="T444" s="41">
        <f t="shared" si="40"/>
        <v>2</v>
      </c>
      <c r="U444" s="42">
        <f t="shared" si="41"/>
        <v>16325</v>
      </c>
    </row>
    <row r="445" spans="1:21" x14ac:dyDescent="0.3">
      <c r="A445" s="37" t="s">
        <v>3502</v>
      </c>
      <c r="B445" s="37" t="s">
        <v>3503</v>
      </c>
      <c r="C445" s="37" t="s">
        <v>2431</v>
      </c>
      <c r="D445" s="37" t="s">
        <v>25</v>
      </c>
      <c r="E445" s="37" t="s">
        <v>54</v>
      </c>
      <c r="F445" s="37" t="s">
        <v>39</v>
      </c>
      <c r="G445" s="37" t="s">
        <v>2418</v>
      </c>
      <c r="H445" s="37">
        <v>9.01</v>
      </c>
      <c r="I445" s="37">
        <v>4</v>
      </c>
      <c r="J445" s="37">
        <v>5239</v>
      </c>
      <c r="K445" s="37" t="s">
        <v>236</v>
      </c>
      <c r="L445" s="37">
        <v>0.1</v>
      </c>
      <c r="M445" s="37" t="str">
        <f t="shared" si="38"/>
        <v>General</v>
      </c>
      <c r="N445" s="37" t="str">
        <f t="shared" si="36"/>
        <v>Debit Card</v>
      </c>
      <c r="O445" s="37" t="str" cm="1">
        <f t="array" ref="O445">IF(TRIM(N445)="",INDEX($N$2:$N$1500,MATCH(MAX(COUNTIF($N$2:$N$1500,$N$2:$N$1500)),COUNTIF($N$2:$N$1500,$N$2:$N$1500),0)),N445)</f>
        <v>Debit Card</v>
      </c>
      <c r="P445" s="38" cm="1">
        <f t="array" ref="P445">ROUND(IF(TRIM(H445)="",IFERROR(MEDIAN(IF($M$2:$M$1500=M445,$H$2:$H$1500)),MEDIAN($H$2:$H$1500)),H445),2)</f>
        <v>9.01</v>
      </c>
      <c r="Q445" s="38" t="str">
        <f t="shared" si="39"/>
        <v>1</v>
      </c>
      <c r="R445" s="39" cm="1">
        <f t="array" ref="R445">IF(OR(TRIM(J445)="",TRIM(J445)="-"),MEDIAN(IF($C$2:$C$1218=C445,$J$2:$J$1218)),VALUE(SUBSTITUTE(SUBSTITUTE(SUBSTITUTE(J445,"Rs. ",""),"₹",""),",","")))</f>
        <v>5239</v>
      </c>
      <c r="S445" s="40">
        <f t="shared" si="37"/>
        <v>0.1</v>
      </c>
      <c r="T445" s="41">
        <f t="shared" si="40"/>
        <v>0</v>
      </c>
      <c r="U445" s="42">
        <f t="shared" si="41"/>
        <v>5239</v>
      </c>
    </row>
    <row r="446" spans="1:21" x14ac:dyDescent="0.3">
      <c r="A446" s="37" t="s">
        <v>3504</v>
      </c>
      <c r="B446" s="37" t="s">
        <v>2922</v>
      </c>
      <c r="C446" s="37" t="s">
        <v>2463</v>
      </c>
      <c r="D446" s="37" t="s">
        <v>25</v>
      </c>
      <c r="E446" s="37" t="s">
        <v>54</v>
      </c>
      <c r="F446" s="37" t="s">
        <v>39</v>
      </c>
      <c r="G446" s="37" t="s">
        <v>2477</v>
      </c>
      <c r="H446" s="37">
        <v>2.35</v>
      </c>
      <c r="I446" s="37">
        <v>13</v>
      </c>
      <c r="J446" s="37" t="s">
        <v>3505</v>
      </c>
      <c r="K446" s="37" t="s">
        <v>149</v>
      </c>
      <c r="L446" s="37" t="s">
        <v>1385</v>
      </c>
      <c r="M446" s="37" t="str">
        <f t="shared" si="38"/>
        <v>General</v>
      </c>
      <c r="N446" s="37" t="str">
        <f t="shared" si="36"/>
        <v>Insurance</v>
      </c>
      <c r="O446" s="37" t="str" cm="1">
        <f t="array" ref="O446">IF(TRIM(N446)="",INDEX($N$2:$N$1500,MATCH(MAX(COUNTIF($N$2:$N$1500,$N$2:$N$1500)),COUNTIF($N$2:$N$1500,$N$2:$N$1500),0)),N446)</f>
        <v>Insurance</v>
      </c>
      <c r="P446" s="38" cm="1">
        <f t="array" ref="P446">ROUND(IF(TRIM(H446)="",IFERROR(MEDIAN(IF($M$2:$M$1500=M446,$H$2:$H$1500)),MEDIAN($H$2:$H$1500)),H446),2)</f>
        <v>2.35</v>
      </c>
      <c r="Q446" s="38" t="str">
        <f t="shared" si="39"/>
        <v>0</v>
      </c>
      <c r="R446" s="39" cm="1">
        <f t="array" ref="R446">IF(OR(TRIM(J446)="",TRIM(J446)="-"),MEDIAN(IF($C$2:$C$1218=C446,$J$2:$J$1218)),VALUE(SUBSTITUTE(SUBSTITUTE(SUBSTITUTE(J446,"Rs. ",""),"₹",""),",","")))</f>
        <v>7217</v>
      </c>
      <c r="S446" s="40">
        <f t="shared" si="37"/>
        <v>20</v>
      </c>
      <c r="T446" s="41">
        <f t="shared" si="40"/>
        <v>20</v>
      </c>
      <c r="U446" s="42">
        <f t="shared" si="41"/>
        <v>5774</v>
      </c>
    </row>
    <row r="447" spans="1:21" x14ac:dyDescent="0.3">
      <c r="A447" s="37" t="s">
        <v>3506</v>
      </c>
      <c r="B447" s="37" t="s">
        <v>2652</v>
      </c>
      <c r="C447" s="37" t="s">
        <v>2434</v>
      </c>
      <c r="D447" s="37" t="s">
        <v>117</v>
      </c>
      <c r="E447" s="37" t="s">
        <v>118</v>
      </c>
      <c r="F447" s="37" t="s">
        <v>69</v>
      </c>
      <c r="G447" s="37" t="s">
        <v>2412</v>
      </c>
      <c r="H447" s="37">
        <v>15.62</v>
      </c>
      <c r="I447" s="37">
        <v>23</v>
      </c>
      <c r="J447" s="37">
        <v>37983</v>
      </c>
      <c r="K447" s="37" t="s">
        <v>87</v>
      </c>
      <c r="L447" s="37">
        <v>5</v>
      </c>
      <c r="M447" s="37" t="str">
        <f t="shared" si="38"/>
        <v>ICU</v>
      </c>
      <c r="N447" s="37" t="str">
        <f t="shared" si="36"/>
        <v>Credit Card</v>
      </c>
      <c r="O447" s="37" t="str" cm="1">
        <f t="array" ref="O447">IF(TRIM(N447)="",INDEX($N$2:$N$1500,MATCH(MAX(COUNTIF($N$2:$N$1500,$N$2:$N$1500)),COUNTIF($N$2:$N$1500,$N$2:$N$1500),0)),N447)</f>
        <v>Credit Card</v>
      </c>
      <c r="P447" s="38" cm="1">
        <f t="array" ref="P447">ROUND(IF(TRIM(H447)="",IFERROR(MEDIAN(IF($M$2:$M$1500=M447,$H$2:$H$1500)),MEDIAN($H$2:$H$1500)),H447),2)</f>
        <v>15.62</v>
      </c>
      <c r="Q447" s="38" t="str">
        <f t="shared" si="39"/>
        <v>1</v>
      </c>
      <c r="R447" s="39" cm="1">
        <f t="array" ref="R447">IF(OR(TRIM(J447)="",TRIM(J447)="-"),MEDIAN(IF($C$2:$C$1218=C447,$J$2:$J$1218)),VALUE(SUBSTITUTE(SUBSTITUTE(SUBSTITUTE(J447,"Rs. ",""),"₹",""),",","")))</f>
        <v>37983</v>
      </c>
      <c r="S447" s="40">
        <f t="shared" si="37"/>
        <v>5</v>
      </c>
      <c r="T447" s="41">
        <f t="shared" si="40"/>
        <v>5</v>
      </c>
      <c r="U447" s="42">
        <f t="shared" si="41"/>
        <v>36084</v>
      </c>
    </row>
    <row r="448" spans="1:21" x14ac:dyDescent="0.3">
      <c r="A448" s="37" t="s">
        <v>3507</v>
      </c>
      <c r="B448" s="37" t="s">
        <v>3508</v>
      </c>
      <c r="C448" s="37" t="s">
        <v>2466</v>
      </c>
      <c r="D448" s="37" t="s">
        <v>25</v>
      </c>
      <c r="E448" s="37" t="s">
        <v>54</v>
      </c>
      <c r="F448" s="37" t="s">
        <v>30</v>
      </c>
      <c r="G448" s="37" t="s">
        <v>2412</v>
      </c>
      <c r="H448" s="37">
        <v>14.27</v>
      </c>
      <c r="I448" s="37">
        <v>16</v>
      </c>
      <c r="J448" s="37">
        <v>4134</v>
      </c>
      <c r="K448" s="37" t="s">
        <v>311</v>
      </c>
      <c r="L448" s="37">
        <v>0</v>
      </c>
      <c r="M448" s="37" t="str">
        <f t="shared" si="38"/>
        <v>General</v>
      </c>
      <c r="N448" s="37" t="str">
        <f t="shared" si="36"/>
        <v>UPI</v>
      </c>
      <c r="O448" s="37" t="str" cm="1">
        <f t="array" ref="O448">IF(TRIM(N448)="",INDEX($N$2:$N$1500,MATCH(MAX(COUNTIF($N$2:$N$1500,$N$2:$N$1500)),COUNTIF($N$2:$N$1500,$N$2:$N$1500),0)),N448)</f>
        <v>UPI</v>
      </c>
      <c r="P448" s="38" cm="1">
        <f t="array" ref="P448">ROUND(IF(TRIM(H448)="",IFERROR(MEDIAN(IF($M$2:$M$1500=M448,$H$2:$H$1500)),MEDIAN($H$2:$H$1500)),H448),2)</f>
        <v>14.27</v>
      </c>
      <c r="Q448" s="38" t="str">
        <f t="shared" si="39"/>
        <v>1</v>
      </c>
      <c r="R448" s="39" cm="1">
        <f t="array" ref="R448">IF(OR(TRIM(J448)="",TRIM(J448)="-"),MEDIAN(IF($C$2:$C$1218=C448,$J$2:$J$1218)),VALUE(SUBSTITUTE(SUBSTITUTE(SUBSTITUTE(J448,"Rs. ",""),"₹",""),",","")))</f>
        <v>4134</v>
      </c>
      <c r="S448" s="40">
        <f t="shared" si="37"/>
        <v>0</v>
      </c>
      <c r="T448" s="41">
        <f t="shared" si="40"/>
        <v>0</v>
      </c>
      <c r="U448" s="42">
        <f t="shared" si="41"/>
        <v>4134</v>
      </c>
    </row>
    <row r="449" spans="1:21" x14ac:dyDescent="0.3">
      <c r="A449" s="37" t="s">
        <v>3509</v>
      </c>
      <c r="B449" s="37" t="s">
        <v>3510</v>
      </c>
      <c r="C449" s="37" t="s">
        <v>2532</v>
      </c>
      <c r="D449" s="37" t="s">
        <v>25</v>
      </c>
      <c r="E449" s="37" t="s">
        <v>54</v>
      </c>
      <c r="F449" s="37" t="s">
        <v>101</v>
      </c>
      <c r="G449" s="37" t="s">
        <v>2418</v>
      </c>
      <c r="H449" s="37">
        <v>4.46</v>
      </c>
      <c r="I449" s="37"/>
      <c r="J449" s="37">
        <v>36860</v>
      </c>
      <c r="K449" s="37" t="s">
        <v>83</v>
      </c>
      <c r="L449" s="37">
        <v>5</v>
      </c>
      <c r="M449" s="37" t="str">
        <f t="shared" si="38"/>
        <v>ICU</v>
      </c>
      <c r="N449" s="37" t="str">
        <f t="shared" si="36"/>
        <v>Debit Card</v>
      </c>
      <c r="O449" s="37" t="str" cm="1">
        <f t="array" ref="O449">IF(TRIM(N449)="",INDEX($N$2:$N$1500,MATCH(MAX(COUNTIF($N$2:$N$1500,$N$2:$N$1500)),COUNTIF($N$2:$N$1500,$N$2:$N$1500),0)),N449)</f>
        <v>Debit Card</v>
      </c>
      <c r="P449" s="38" cm="1">
        <f t="array" ref="P449">ROUND(IF(TRIM(H449)="",IFERROR(MEDIAN(IF($M$2:$M$1500=M449,$H$2:$H$1500)),MEDIAN($H$2:$H$1500)),H449),2)</f>
        <v>4.46</v>
      </c>
      <c r="Q449" s="38" t="str">
        <f t="shared" si="39"/>
        <v>1</v>
      </c>
      <c r="R449" s="39" cm="1">
        <f t="array" ref="R449">IF(OR(TRIM(J449)="",TRIM(J449)="-"),MEDIAN(IF($C$2:$C$1218=C449,$J$2:$J$1218)),VALUE(SUBSTITUTE(SUBSTITUTE(SUBSTITUTE(J449,"Rs. ",""),"₹",""),",","")))</f>
        <v>36860</v>
      </c>
      <c r="S449" s="40">
        <f t="shared" si="37"/>
        <v>5</v>
      </c>
      <c r="T449" s="41">
        <f t="shared" si="40"/>
        <v>5</v>
      </c>
      <c r="U449" s="42">
        <f t="shared" si="41"/>
        <v>35017</v>
      </c>
    </row>
    <row r="450" spans="1:21" x14ac:dyDescent="0.3">
      <c r="A450" s="37" t="s">
        <v>3511</v>
      </c>
      <c r="B450" s="37" t="s">
        <v>2816</v>
      </c>
      <c r="C450" s="37" t="s">
        <v>2577</v>
      </c>
      <c r="D450" s="37" t="s">
        <v>14</v>
      </c>
      <c r="E450" s="37" t="s">
        <v>15</v>
      </c>
      <c r="F450" s="37" t="s">
        <v>19</v>
      </c>
      <c r="G450" s="37" t="s">
        <v>2439</v>
      </c>
      <c r="H450" s="37">
        <v>18.059999999999999</v>
      </c>
      <c r="I450" s="37">
        <v>52</v>
      </c>
      <c r="J450" s="37">
        <v>16666</v>
      </c>
      <c r="K450" s="37" t="s">
        <v>52</v>
      </c>
      <c r="L450" s="37" t="s">
        <v>76</v>
      </c>
      <c r="M450" s="37" t="str">
        <f t="shared" si="38"/>
        <v>General</v>
      </c>
      <c r="N450" s="37" t="str">
        <f t="shared" ref="N450:N513" si="42">IF(OR(UPPER(TRIM(K450))="CREDIT_CARD",UPPER(TRIM(K450))="CREDIT CARD",UPPER(TRIM(K450))="CC"),"Credit Card", IF(OR(UPPER(TRIM(K450))="DEBIT_CARD",UPPER(TRIM(K450))="DEBIT CARD",UPPER(TRIM(K450))="DC"),"Debit Card", IF(UPPER(TRIM(K450))="CASH","Cash", IF(UPPER(TRIM(K450))="UPI","UPI", IF(OR(UPPER(TRIM(K450))="INSURANCE",UPPER(TRIM(K450))="INS"),"Insurance", IF(TRIM(K450)="","Unknown","Unknown"))))))</f>
        <v>Credit Card</v>
      </c>
      <c r="O450" s="37" t="str" cm="1">
        <f t="array" ref="O450">IF(TRIM(N450)="",INDEX($N$2:$N$1500,MATCH(MAX(COUNTIF($N$2:$N$1500,$N$2:$N$1500)),COUNTIF($N$2:$N$1500,$N$2:$N$1500),0)),N450)</f>
        <v>Credit Card</v>
      </c>
      <c r="P450" s="38" cm="1">
        <f t="array" ref="P450">ROUND(IF(TRIM(H450)="",IFERROR(MEDIAN(IF($M$2:$M$1500=M450,$H$2:$H$1500)),MEDIAN($H$2:$H$1500)),H450),2)</f>
        <v>18.059999999999999</v>
      </c>
      <c r="Q450" s="38" t="str">
        <f t="shared" si="39"/>
        <v>2</v>
      </c>
      <c r="R450" s="39" cm="1">
        <f t="array" ref="R450">IF(OR(TRIM(J450)="",TRIM(J450)="-"),MEDIAN(IF($C$2:$C$1218=C450,$J$2:$J$1218)),VALUE(SUBSTITUTE(SUBSTITUTE(SUBSTITUTE(J450,"Rs. ",""),"₹",""),",","")))</f>
        <v>16666</v>
      </c>
      <c r="S450" s="40">
        <f t="shared" ref="S450:S513" si="43">IF(RIGHT(TRIM(L450),1)="%",VALUE(LEFT(TRIM(L450),LEN(TRIM(L450))-1)),IF(AND(ISNUMBER(L450),L450&lt;=1,,L450&gt;0),L450*100,L450))</f>
        <v>10</v>
      </c>
      <c r="T450" s="41">
        <f t="shared" si="40"/>
        <v>10</v>
      </c>
      <c r="U450" s="42">
        <f t="shared" si="41"/>
        <v>14999</v>
      </c>
    </row>
    <row r="451" spans="1:21" x14ac:dyDescent="0.3">
      <c r="A451" s="37" t="s">
        <v>3512</v>
      </c>
      <c r="B451" s="37" t="s">
        <v>3469</v>
      </c>
      <c r="C451" s="37" t="s">
        <v>2473</v>
      </c>
      <c r="D451" s="37" t="s">
        <v>106</v>
      </c>
      <c r="E451" s="37" t="s">
        <v>107</v>
      </c>
      <c r="F451" s="37" t="s">
        <v>101</v>
      </c>
      <c r="G451" s="37" t="s">
        <v>2418</v>
      </c>
      <c r="H451" s="37">
        <v>17.03</v>
      </c>
      <c r="I451" s="37">
        <v>43</v>
      </c>
      <c r="J451" s="37" t="s">
        <v>3513</v>
      </c>
      <c r="K451" s="37" t="s">
        <v>58</v>
      </c>
      <c r="L451" s="37" t="s">
        <v>64</v>
      </c>
      <c r="M451" s="37" t="str">
        <f t="shared" ref="M451:M514" si="44">IF(OR(UPPER(TRIM(F451))="GENERAL",UPPER(TRIM(F451))="GENRAL"),"General",IF(UPPER(TRIM(F451))="ICU","ICU","Unknown"))</f>
        <v>ICU</v>
      </c>
      <c r="N451" s="37" t="str">
        <f t="shared" si="42"/>
        <v>UPI</v>
      </c>
      <c r="O451" s="37" t="str" cm="1">
        <f t="array" ref="O451">IF(TRIM(N451)="",INDEX($N$2:$N$1500,MATCH(MAX(COUNTIF($N$2:$N$1500,$N$2:$N$1500)),COUNTIF($N$2:$N$1500,$N$2:$N$1500),0)),N451)</f>
        <v>UPI</v>
      </c>
      <c r="P451" s="38" cm="1">
        <f t="array" ref="P451">ROUND(IF(TRIM(H451)="",IFERROR(MEDIAN(IF($M$2:$M$1500=M451,$H$2:$H$1500)),MEDIAN($H$2:$H$1500)),H451),2)</f>
        <v>17.03</v>
      </c>
      <c r="Q451" s="38" t="str">
        <f t="shared" ref="Q451:Q514" si="45">IF(OR(LOWER(TRIM(G451))="0",LOWER(TRIM(G451))="zero"),"0", IF(OR(LOWER(TRIM(G451))="1",LOWER(TRIM(G451))="one"),"1", IF(OR(LOWER(TRIM(G451))="2",LOWER(TRIM(G451))="two"),"2", IF(OR(LOWER(TRIM(G451))="2+",LOWER(TRIM(G451))="two_or_more",LOWER(TRIM(G451))="multiple"),"2+", "Unknown"))))</f>
        <v>1</v>
      </c>
      <c r="R451" s="39" cm="1">
        <f t="array" ref="R451">IF(OR(TRIM(J451)="",TRIM(J451)="-"),MEDIAN(IF($C$2:$C$1218=C451,$J$2:$J$1218)),VALUE(SUBSTITUTE(SUBSTITUTE(SUBSTITUTE(J451,"Rs. ",""),"₹",""),",","")))</f>
        <v>87734</v>
      </c>
      <c r="S451" s="40" t="str">
        <f t="shared" si="43"/>
        <v>NA</v>
      </c>
      <c r="T451" s="41">
        <f t="shared" ref="T451:T514" si="46">ROUND(IF(OR(TRIM(S451)="-",UPPER(TRIM(S451))="N/A",UPPER(TRIM(S451))="NA"),IFERROR(AVERAGEIF($O$2:$O$1500,O451,$S$2:$S$1500),AVERAGE($S$2:$S$1500)),S451),0)</f>
        <v>2</v>
      </c>
      <c r="U451" s="42">
        <f t="shared" ref="U451:U514" si="47">ROUND(R451*(1-T451/100),0)</f>
        <v>85979</v>
      </c>
    </row>
    <row r="452" spans="1:21" x14ac:dyDescent="0.3">
      <c r="A452" s="37" t="s">
        <v>3514</v>
      </c>
      <c r="B452" s="37" t="s">
        <v>3515</v>
      </c>
      <c r="C452" s="37" t="s">
        <v>2454</v>
      </c>
      <c r="D452" s="37" t="s">
        <v>25</v>
      </c>
      <c r="E452" s="37" t="s">
        <v>54</v>
      </c>
      <c r="F452" s="37" t="s">
        <v>62</v>
      </c>
      <c r="G452" s="37" t="s">
        <v>2408</v>
      </c>
      <c r="H452" s="37">
        <v>19.04</v>
      </c>
      <c r="I452" s="37">
        <v>58</v>
      </c>
      <c r="J452" s="37" t="s">
        <v>3516</v>
      </c>
      <c r="K452" s="37" t="s">
        <v>87</v>
      </c>
      <c r="L452" s="37">
        <v>0</v>
      </c>
      <c r="M452" s="37" t="str">
        <f t="shared" si="44"/>
        <v>ICU</v>
      </c>
      <c r="N452" s="37" t="str">
        <f t="shared" si="42"/>
        <v>Credit Card</v>
      </c>
      <c r="O452" s="37" t="str" cm="1">
        <f t="array" ref="O452">IF(TRIM(N452)="",INDEX($N$2:$N$1500,MATCH(MAX(COUNTIF($N$2:$N$1500,$N$2:$N$1500)),COUNTIF($N$2:$N$1500,$N$2:$N$1500),0)),N452)</f>
        <v>Credit Card</v>
      </c>
      <c r="P452" s="38" cm="1">
        <f t="array" ref="P452">ROUND(IF(TRIM(H452)="",IFERROR(MEDIAN(IF($M$2:$M$1500=M452,$H$2:$H$1500)),MEDIAN($H$2:$H$1500)),H452),2)</f>
        <v>19.04</v>
      </c>
      <c r="Q452" s="38" t="str">
        <f t="shared" si="45"/>
        <v>0</v>
      </c>
      <c r="R452" s="39" cm="1">
        <f t="array" ref="R452">IF(OR(TRIM(J452)="",TRIM(J452)="-"),MEDIAN(IF($C$2:$C$1218=C452,$J$2:$J$1218)),VALUE(SUBSTITUTE(SUBSTITUTE(SUBSTITUTE(J452,"Rs. ",""),"₹",""),",","")))</f>
        <v>35465</v>
      </c>
      <c r="S452" s="40">
        <f t="shared" si="43"/>
        <v>0</v>
      </c>
      <c r="T452" s="41">
        <f t="shared" si="46"/>
        <v>0</v>
      </c>
      <c r="U452" s="42">
        <f t="shared" si="47"/>
        <v>35465</v>
      </c>
    </row>
    <row r="453" spans="1:21" x14ac:dyDescent="0.3">
      <c r="A453" s="37" t="s">
        <v>3517</v>
      </c>
      <c r="B453" s="37" t="s">
        <v>2779</v>
      </c>
      <c r="C453" s="37" t="s">
        <v>2463</v>
      </c>
      <c r="D453" s="37" t="s">
        <v>117</v>
      </c>
      <c r="E453" s="37" t="s">
        <v>182</v>
      </c>
      <c r="F453" s="37" t="s">
        <v>101</v>
      </c>
      <c r="G453" s="37" t="s">
        <v>2450</v>
      </c>
      <c r="H453" s="37">
        <v>12.49</v>
      </c>
      <c r="I453" s="37">
        <v>60</v>
      </c>
      <c r="J453" s="37">
        <v>32395</v>
      </c>
      <c r="K453" s="37" t="s">
        <v>34</v>
      </c>
      <c r="L453" s="37" t="s">
        <v>140</v>
      </c>
      <c r="M453" s="37" t="str">
        <f t="shared" si="44"/>
        <v>ICU</v>
      </c>
      <c r="N453" s="37" t="str">
        <f t="shared" si="42"/>
        <v>Cash</v>
      </c>
      <c r="O453" s="37" t="str" cm="1">
        <f t="array" ref="O453">IF(TRIM(N453)="",INDEX($N$2:$N$1500,MATCH(MAX(COUNTIF($N$2:$N$1500,$N$2:$N$1500)),COUNTIF($N$2:$N$1500,$N$2:$N$1500),0)),N453)</f>
        <v>Cash</v>
      </c>
      <c r="P453" s="38" cm="1">
        <f t="array" ref="P453">ROUND(IF(TRIM(H453)="",IFERROR(MEDIAN(IF($M$2:$M$1500=M453,$H$2:$H$1500)),MEDIAN($H$2:$H$1500)),H453),2)</f>
        <v>12.49</v>
      </c>
      <c r="Q453" s="38" t="str">
        <f t="shared" si="45"/>
        <v>1</v>
      </c>
      <c r="R453" s="39" cm="1">
        <f t="array" ref="R453">IF(OR(TRIM(J453)="",TRIM(J453)="-"),MEDIAN(IF($C$2:$C$1218=C453,$J$2:$J$1218)),VALUE(SUBSTITUTE(SUBSTITUTE(SUBSTITUTE(J453,"Rs. ",""),"₹",""),",","")))</f>
        <v>32395</v>
      </c>
      <c r="S453" s="40" t="str">
        <f t="shared" si="43"/>
        <v>-</v>
      </c>
      <c r="T453" s="41">
        <f t="shared" si="46"/>
        <v>2</v>
      </c>
      <c r="U453" s="42">
        <f t="shared" si="47"/>
        <v>31747</v>
      </c>
    </row>
    <row r="454" spans="1:21" x14ac:dyDescent="0.3">
      <c r="A454" s="37" t="s">
        <v>3518</v>
      </c>
      <c r="B454" s="37" t="s">
        <v>3017</v>
      </c>
      <c r="C454" s="37" t="s">
        <v>2407</v>
      </c>
      <c r="D454" s="37" t="s">
        <v>25</v>
      </c>
      <c r="E454" s="37" t="s">
        <v>54</v>
      </c>
      <c r="F454" s="37" t="s">
        <v>49</v>
      </c>
      <c r="G454" s="37" t="s">
        <v>2435</v>
      </c>
      <c r="H454" s="37">
        <v>16.440000000000001</v>
      </c>
      <c r="I454" s="37">
        <v>33</v>
      </c>
      <c r="J454" s="37">
        <v>13181</v>
      </c>
      <c r="K454" s="37" t="s">
        <v>52</v>
      </c>
      <c r="L454" s="37">
        <v>10</v>
      </c>
      <c r="M454" s="37" t="str">
        <f t="shared" si="44"/>
        <v>General</v>
      </c>
      <c r="N454" s="37" t="str">
        <f t="shared" si="42"/>
        <v>Credit Card</v>
      </c>
      <c r="O454" s="37" t="str" cm="1">
        <f t="array" ref="O454">IF(TRIM(N454)="",INDEX($N$2:$N$1500,MATCH(MAX(COUNTIF($N$2:$N$1500,$N$2:$N$1500)),COUNTIF($N$2:$N$1500,$N$2:$N$1500),0)),N454)</f>
        <v>Credit Card</v>
      </c>
      <c r="P454" s="38" cm="1">
        <f t="array" ref="P454">ROUND(IF(TRIM(H454)="",IFERROR(MEDIAN(IF($M$2:$M$1500=M454,$H$2:$H$1500)),MEDIAN($H$2:$H$1500)),H454),2)</f>
        <v>16.440000000000001</v>
      </c>
      <c r="Q454" s="38" t="str">
        <f t="shared" si="45"/>
        <v>0</v>
      </c>
      <c r="R454" s="39" cm="1">
        <f t="array" ref="R454">IF(OR(TRIM(J454)="",TRIM(J454)="-"),MEDIAN(IF($C$2:$C$1218=C454,$J$2:$J$1218)),VALUE(SUBSTITUTE(SUBSTITUTE(SUBSTITUTE(J454,"Rs. ",""),"₹",""),",","")))</f>
        <v>13181</v>
      </c>
      <c r="S454" s="40">
        <f t="shared" si="43"/>
        <v>10</v>
      </c>
      <c r="T454" s="41">
        <f t="shared" si="46"/>
        <v>10</v>
      </c>
      <c r="U454" s="42">
        <f t="shared" si="47"/>
        <v>11863</v>
      </c>
    </row>
    <row r="455" spans="1:21" x14ac:dyDescent="0.3">
      <c r="A455" s="37" t="s">
        <v>3519</v>
      </c>
      <c r="B455" s="37" t="s">
        <v>3520</v>
      </c>
      <c r="C455" s="37" t="s">
        <v>2481</v>
      </c>
      <c r="D455" s="37" t="s">
        <v>25</v>
      </c>
      <c r="E455" s="37" t="s">
        <v>54</v>
      </c>
      <c r="F455" s="37" t="s">
        <v>30</v>
      </c>
      <c r="G455" s="37" t="s">
        <v>2418</v>
      </c>
      <c r="H455" s="37">
        <v>12.73</v>
      </c>
      <c r="I455" s="37">
        <v>56</v>
      </c>
      <c r="J455" s="37">
        <v>15373</v>
      </c>
      <c r="K455" s="37" t="s">
        <v>87</v>
      </c>
      <c r="L455" s="37">
        <v>0.05</v>
      </c>
      <c r="M455" s="37" t="str">
        <f t="shared" si="44"/>
        <v>General</v>
      </c>
      <c r="N455" s="37" t="str">
        <f t="shared" si="42"/>
        <v>Credit Card</v>
      </c>
      <c r="O455" s="37" t="str" cm="1">
        <f t="array" ref="O455">IF(TRIM(N455)="",INDEX($N$2:$N$1500,MATCH(MAX(COUNTIF($N$2:$N$1500,$N$2:$N$1500)),COUNTIF($N$2:$N$1500,$N$2:$N$1500),0)),N455)</f>
        <v>Credit Card</v>
      </c>
      <c r="P455" s="38" cm="1">
        <f t="array" ref="P455">ROUND(IF(TRIM(H455)="",IFERROR(MEDIAN(IF($M$2:$M$1500=M455,$H$2:$H$1500)),MEDIAN($H$2:$H$1500)),H455),2)</f>
        <v>12.73</v>
      </c>
      <c r="Q455" s="38" t="str">
        <f t="shared" si="45"/>
        <v>1</v>
      </c>
      <c r="R455" s="39" cm="1">
        <f t="array" ref="R455">IF(OR(TRIM(J455)="",TRIM(J455)="-"),MEDIAN(IF($C$2:$C$1218=C455,$J$2:$J$1218)),VALUE(SUBSTITUTE(SUBSTITUTE(SUBSTITUTE(J455,"Rs. ",""),"₹",""),",","")))</f>
        <v>15373</v>
      </c>
      <c r="S455" s="40">
        <f t="shared" si="43"/>
        <v>0.05</v>
      </c>
      <c r="T455" s="41">
        <f t="shared" si="46"/>
        <v>0</v>
      </c>
      <c r="U455" s="42">
        <f t="shared" si="47"/>
        <v>15373</v>
      </c>
    </row>
    <row r="456" spans="1:21" x14ac:dyDescent="0.3">
      <c r="A456" s="37" t="s">
        <v>3521</v>
      </c>
      <c r="B456" s="37" t="s">
        <v>3522</v>
      </c>
      <c r="C456" s="37" t="s">
        <v>2434</v>
      </c>
      <c r="D456" s="37" t="s">
        <v>106</v>
      </c>
      <c r="E456" s="37" t="s">
        <v>107</v>
      </c>
      <c r="F456" s="37" t="s">
        <v>19</v>
      </c>
      <c r="G456" s="37" t="s">
        <v>2423</v>
      </c>
      <c r="H456" s="37">
        <v>18.690000000000001</v>
      </c>
      <c r="I456" s="37">
        <v>18</v>
      </c>
      <c r="J456" s="37" t="s">
        <v>3523</v>
      </c>
      <c r="K456" s="37" t="s">
        <v>72</v>
      </c>
      <c r="L456" s="37" t="s">
        <v>140</v>
      </c>
      <c r="M456" s="37" t="str">
        <f t="shared" si="44"/>
        <v>General</v>
      </c>
      <c r="N456" s="37" t="str">
        <f t="shared" si="42"/>
        <v>Cash</v>
      </c>
      <c r="O456" s="37" t="str" cm="1">
        <f t="array" ref="O456">IF(TRIM(N456)="",INDEX($N$2:$N$1500,MATCH(MAX(COUNTIF($N$2:$N$1500,$N$2:$N$1500)),COUNTIF($N$2:$N$1500,$N$2:$N$1500),0)),N456)</f>
        <v>Cash</v>
      </c>
      <c r="P456" s="38" cm="1">
        <f t="array" ref="P456">ROUND(IF(TRIM(H456)="",IFERROR(MEDIAN(IF($M$2:$M$1500=M456,$H$2:$H$1500)),MEDIAN($H$2:$H$1500)),H456),2)</f>
        <v>18.690000000000001</v>
      </c>
      <c r="Q456" s="38" t="str">
        <f t="shared" si="45"/>
        <v>0</v>
      </c>
      <c r="R456" s="39" cm="1">
        <f t="array" ref="R456">IF(OR(TRIM(J456)="",TRIM(J456)="-"),MEDIAN(IF($C$2:$C$1218=C456,$J$2:$J$1218)),VALUE(SUBSTITUTE(SUBSTITUTE(SUBSTITUTE(J456,"Rs. ",""),"₹",""),",","")))</f>
        <v>5896</v>
      </c>
      <c r="S456" s="40" t="str">
        <f t="shared" si="43"/>
        <v>-</v>
      </c>
      <c r="T456" s="41">
        <f t="shared" si="46"/>
        <v>2</v>
      </c>
      <c r="U456" s="42">
        <f t="shared" si="47"/>
        <v>5778</v>
      </c>
    </row>
    <row r="457" spans="1:21" x14ac:dyDescent="0.3">
      <c r="A457" s="37" t="s">
        <v>3524</v>
      </c>
      <c r="B457" s="37" t="s">
        <v>2633</v>
      </c>
      <c r="C457" s="37" t="s">
        <v>2494</v>
      </c>
      <c r="D457" s="37" t="s">
        <v>106</v>
      </c>
      <c r="E457" s="37" t="s">
        <v>107</v>
      </c>
      <c r="F457" s="37"/>
      <c r="G457" s="37" t="s">
        <v>2486</v>
      </c>
      <c r="H457" s="37">
        <v>13.25</v>
      </c>
      <c r="I457" s="37">
        <v>52</v>
      </c>
      <c r="J457" s="37">
        <v>4433</v>
      </c>
      <c r="K457" s="37" t="s">
        <v>311</v>
      </c>
      <c r="L457" s="37" t="s">
        <v>198</v>
      </c>
      <c r="M457" s="37" t="str">
        <f t="shared" si="44"/>
        <v>Unknown</v>
      </c>
      <c r="N457" s="37" t="str">
        <f t="shared" si="42"/>
        <v>UPI</v>
      </c>
      <c r="O457" s="37" t="str" cm="1">
        <f t="array" ref="O457">IF(TRIM(N457)="",INDEX($N$2:$N$1500,MATCH(MAX(COUNTIF($N$2:$N$1500,$N$2:$N$1500)),COUNTIF($N$2:$N$1500,$N$2:$N$1500),0)),N457)</f>
        <v>UPI</v>
      </c>
      <c r="P457" s="38" cm="1">
        <f t="array" ref="P457">ROUND(IF(TRIM(H457)="",IFERROR(MEDIAN(IF($M$2:$M$1500=M457,$H$2:$H$1500)),MEDIAN($H$2:$H$1500)),H457),2)</f>
        <v>13.25</v>
      </c>
      <c r="Q457" s="38" t="str">
        <f t="shared" si="45"/>
        <v>2+</v>
      </c>
      <c r="R457" s="39" cm="1">
        <f t="array" ref="R457">IF(OR(TRIM(J457)="",TRIM(J457)="-"),MEDIAN(IF($C$2:$C$1218=C457,$J$2:$J$1218)),VALUE(SUBSTITUTE(SUBSTITUTE(SUBSTITUTE(J457,"Rs. ",""),"₹",""),",","")))</f>
        <v>4433</v>
      </c>
      <c r="S457" s="40">
        <f t="shared" si="43"/>
        <v>5</v>
      </c>
      <c r="T457" s="41">
        <f t="shared" si="46"/>
        <v>5</v>
      </c>
      <c r="U457" s="42">
        <f t="shared" si="47"/>
        <v>4211</v>
      </c>
    </row>
    <row r="458" spans="1:21" x14ac:dyDescent="0.3">
      <c r="A458" s="37" t="s">
        <v>3525</v>
      </c>
      <c r="B458" s="37" t="s">
        <v>3526</v>
      </c>
      <c r="C458" s="37" t="s">
        <v>2514</v>
      </c>
      <c r="D458" s="37" t="s">
        <v>14</v>
      </c>
      <c r="E458" s="37" t="s">
        <v>15</v>
      </c>
      <c r="F458" s="37" t="s">
        <v>30</v>
      </c>
      <c r="G458" s="37"/>
      <c r="H458" s="37">
        <v>4.6900000000000004</v>
      </c>
      <c r="I458" s="37">
        <v>21</v>
      </c>
      <c r="J458" s="37">
        <v>11645</v>
      </c>
      <c r="K458" s="37" t="s">
        <v>149</v>
      </c>
      <c r="L458" s="37" t="s">
        <v>240</v>
      </c>
      <c r="M458" s="37" t="str">
        <f t="shared" si="44"/>
        <v>General</v>
      </c>
      <c r="N458" s="37" t="str">
        <f t="shared" si="42"/>
        <v>Insurance</v>
      </c>
      <c r="O458" s="37" t="str" cm="1">
        <f t="array" ref="O458">IF(TRIM(N458)="",INDEX($N$2:$N$1500,MATCH(MAX(COUNTIF($N$2:$N$1500,$N$2:$N$1500)),COUNTIF($N$2:$N$1500,$N$2:$N$1500),0)),N458)</f>
        <v>Insurance</v>
      </c>
      <c r="P458" s="38" cm="1">
        <f t="array" ref="P458">ROUND(IF(TRIM(H458)="",IFERROR(MEDIAN(IF($M$2:$M$1500=M458,$H$2:$H$1500)),MEDIAN($H$2:$H$1500)),H458),2)</f>
        <v>4.6900000000000004</v>
      </c>
      <c r="Q458" s="38" t="str">
        <f t="shared" si="45"/>
        <v>Unknown</v>
      </c>
      <c r="R458" s="39" cm="1">
        <f t="array" ref="R458">IF(OR(TRIM(J458)="",TRIM(J458)="-"),MEDIAN(IF($C$2:$C$1218=C458,$J$2:$J$1218)),VALUE(SUBSTITUTE(SUBSTITUTE(SUBSTITUTE(J458,"Rs. ",""),"₹",""),",","")))</f>
        <v>11645</v>
      </c>
      <c r="S458" s="40">
        <f t="shared" si="43"/>
        <v>12</v>
      </c>
      <c r="T458" s="41">
        <f t="shared" si="46"/>
        <v>12</v>
      </c>
      <c r="U458" s="42">
        <f t="shared" si="47"/>
        <v>10248</v>
      </c>
    </row>
    <row r="459" spans="1:21" x14ac:dyDescent="0.3">
      <c r="A459" s="37" t="s">
        <v>3527</v>
      </c>
      <c r="B459" s="37" t="s">
        <v>3528</v>
      </c>
      <c r="C459" s="37" t="s">
        <v>2514</v>
      </c>
      <c r="D459" s="37" t="s">
        <v>25</v>
      </c>
      <c r="E459" s="37" t="s">
        <v>54</v>
      </c>
      <c r="F459" s="37" t="s">
        <v>30</v>
      </c>
      <c r="G459" s="37" t="s">
        <v>2423</v>
      </c>
      <c r="H459" s="37">
        <v>10.83</v>
      </c>
      <c r="I459" s="37">
        <v>34</v>
      </c>
      <c r="J459" s="37" t="s">
        <v>3529</v>
      </c>
      <c r="K459" s="37" t="s">
        <v>211</v>
      </c>
      <c r="L459" s="37">
        <v>0</v>
      </c>
      <c r="M459" s="37" t="str">
        <f t="shared" si="44"/>
        <v>General</v>
      </c>
      <c r="N459" s="37" t="str">
        <f t="shared" si="42"/>
        <v>Credit Card</v>
      </c>
      <c r="O459" s="37" t="str" cm="1">
        <f t="array" ref="O459">IF(TRIM(N459)="",INDEX($N$2:$N$1500,MATCH(MAX(COUNTIF($N$2:$N$1500,$N$2:$N$1500)),COUNTIF($N$2:$N$1500,$N$2:$N$1500),0)),N459)</f>
        <v>Credit Card</v>
      </c>
      <c r="P459" s="38" cm="1">
        <f t="array" ref="P459">ROUND(IF(TRIM(H459)="",IFERROR(MEDIAN(IF($M$2:$M$1500=M459,$H$2:$H$1500)),MEDIAN($H$2:$H$1500)),H459),2)</f>
        <v>10.83</v>
      </c>
      <c r="Q459" s="38" t="str">
        <f t="shared" si="45"/>
        <v>0</v>
      </c>
      <c r="R459" s="39" cm="1">
        <f t="array" ref="R459">IF(OR(TRIM(J459)="",TRIM(J459)="-"),MEDIAN(IF($C$2:$C$1218=C459,$J$2:$J$1218)),VALUE(SUBSTITUTE(SUBSTITUTE(SUBSTITUTE(J459,"Rs. ",""),"₹",""),",","")))</f>
        <v>3286</v>
      </c>
      <c r="S459" s="40">
        <f t="shared" si="43"/>
        <v>0</v>
      </c>
      <c r="T459" s="41">
        <f t="shared" si="46"/>
        <v>0</v>
      </c>
      <c r="U459" s="42">
        <f t="shared" si="47"/>
        <v>3286</v>
      </c>
    </row>
    <row r="460" spans="1:21" x14ac:dyDescent="0.3">
      <c r="A460" s="37" t="s">
        <v>3530</v>
      </c>
      <c r="B460" s="37" t="s">
        <v>2686</v>
      </c>
      <c r="C460" s="37" t="s">
        <v>2518</v>
      </c>
      <c r="D460" s="37" t="s">
        <v>45</v>
      </c>
      <c r="E460" s="37" t="s">
        <v>46</v>
      </c>
      <c r="F460" s="37" t="s">
        <v>30</v>
      </c>
      <c r="G460" s="37" t="s">
        <v>2477</v>
      </c>
      <c r="H460" s="37">
        <v>19.989999999999998</v>
      </c>
      <c r="I460" s="37">
        <v>42</v>
      </c>
      <c r="J460" s="37" t="s">
        <v>3531</v>
      </c>
      <c r="K460" s="37" t="s">
        <v>72</v>
      </c>
      <c r="L460" s="37" t="s">
        <v>64</v>
      </c>
      <c r="M460" s="37" t="str">
        <f t="shared" si="44"/>
        <v>General</v>
      </c>
      <c r="N460" s="37" t="str">
        <f t="shared" si="42"/>
        <v>Cash</v>
      </c>
      <c r="O460" s="37" t="str" cm="1">
        <f t="array" ref="O460">IF(TRIM(N460)="",INDEX($N$2:$N$1500,MATCH(MAX(COUNTIF($N$2:$N$1500,$N$2:$N$1500)),COUNTIF($N$2:$N$1500,$N$2:$N$1500),0)),N460)</f>
        <v>Cash</v>
      </c>
      <c r="P460" s="38" cm="1">
        <f t="array" ref="P460">ROUND(IF(TRIM(H460)="",IFERROR(MEDIAN(IF($M$2:$M$1500=M460,$H$2:$H$1500)),MEDIAN($H$2:$H$1500)),H460),2)</f>
        <v>19.989999999999998</v>
      </c>
      <c r="Q460" s="38" t="str">
        <f t="shared" si="45"/>
        <v>0</v>
      </c>
      <c r="R460" s="39" cm="1">
        <f t="array" ref="R460">IF(OR(TRIM(J460)="",TRIM(J460)="-"),MEDIAN(IF($C$2:$C$1218=C460,$J$2:$J$1218)),VALUE(SUBSTITUTE(SUBSTITUTE(SUBSTITUTE(J460,"Rs. ",""),"₹",""),",","")))</f>
        <v>7520</v>
      </c>
      <c r="S460" s="40" t="str">
        <f t="shared" si="43"/>
        <v>NA</v>
      </c>
      <c r="T460" s="41">
        <f t="shared" si="46"/>
        <v>2</v>
      </c>
      <c r="U460" s="42">
        <f t="shared" si="47"/>
        <v>7370</v>
      </c>
    </row>
    <row r="461" spans="1:21" x14ac:dyDescent="0.3">
      <c r="A461" s="37" t="s">
        <v>3532</v>
      </c>
      <c r="B461" s="37" t="s">
        <v>3533</v>
      </c>
      <c r="C461" s="37" t="s">
        <v>2514</v>
      </c>
      <c r="D461" s="37" t="s">
        <v>117</v>
      </c>
      <c r="E461" s="37" t="s">
        <v>118</v>
      </c>
      <c r="F461" s="37" t="s">
        <v>69</v>
      </c>
      <c r="G461" s="37" t="s">
        <v>2477</v>
      </c>
      <c r="H461" s="37">
        <v>17.71</v>
      </c>
      <c r="I461" s="37">
        <v>7</v>
      </c>
      <c r="J461" s="37">
        <v>73560</v>
      </c>
      <c r="K461" s="37" t="s">
        <v>34</v>
      </c>
      <c r="L461" s="37" t="s">
        <v>64</v>
      </c>
      <c r="M461" s="37" t="str">
        <f t="shared" si="44"/>
        <v>ICU</v>
      </c>
      <c r="N461" s="37" t="str">
        <f t="shared" si="42"/>
        <v>Cash</v>
      </c>
      <c r="O461" s="37" t="str" cm="1">
        <f t="array" ref="O461">IF(TRIM(N461)="",INDEX($N$2:$N$1500,MATCH(MAX(COUNTIF($N$2:$N$1500,$N$2:$N$1500)),COUNTIF($N$2:$N$1500,$N$2:$N$1500),0)),N461)</f>
        <v>Cash</v>
      </c>
      <c r="P461" s="38" cm="1">
        <f t="array" ref="P461">ROUND(IF(TRIM(H461)="",IFERROR(MEDIAN(IF($M$2:$M$1500=M461,$H$2:$H$1500)),MEDIAN($H$2:$H$1500)),H461),2)</f>
        <v>17.71</v>
      </c>
      <c r="Q461" s="38" t="str">
        <f t="shared" si="45"/>
        <v>0</v>
      </c>
      <c r="R461" s="39" cm="1">
        <f t="array" ref="R461">IF(OR(TRIM(J461)="",TRIM(J461)="-"),MEDIAN(IF($C$2:$C$1218=C461,$J$2:$J$1218)),VALUE(SUBSTITUTE(SUBSTITUTE(SUBSTITUTE(J461,"Rs. ",""),"₹",""),",","")))</f>
        <v>73560</v>
      </c>
      <c r="S461" s="40" t="str">
        <f t="shared" si="43"/>
        <v>NA</v>
      </c>
      <c r="T461" s="41">
        <f t="shared" si="46"/>
        <v>2</v>
      </c>
      <c r="U461" s="42">
        <f t="shared" si="47"/>
        <v>72089</v>
      </c>
    </row>
    <row r="462" spans="1:21" x14ac:dyDescent="0.3">
      <c r="A462" s="37" t="s">
        <v>3534</v>
      </c>
      <c r="B462" s="37" t="s">
        <v>3535</v>
      </c>
      <c r="C462" s="37" t="s">
        <v>2454</v>
      </c>
      <c r="D462" s="37" t="s">
        <v>14</v>
      </c>
      <c r="E462" s="37" t="s">
        <v>60</v>
      </c>
      <c r="F462" s="37" t="s">
        <v>19</v>
      </c>
      <c r="G462" s="37" t="s">
        <v>2435</v>
      </c>
      <c r="H462" s="37">
        <v>19.350000000000001</v>
      </c>
      <c r="I462" s="37">
        <v>31</v>
      </c>
      <c r="J462" s="37" t="s">
        <v>3536</v>
      </c>
      <c r="K462" s="37" t="s">
        <v>236</v>
      </c>
      <c r="L462" s="37" t="s">
        <v>140</v>
      </c>
      <c r="M462" s="37" t="str">
        <f t="shared" si="44"/>
        <v>General</v>
      </c>
      <c r="N462" s="37" t="str">
        <f t="shared" si="42"/>
        <v>Debit Card</v>
      </c>
      <c r="O462" s="37" t="str" cm="1">
        <f t="array" ref="O462">IF(TRIM(N462)="",INDEX($N$2:$N$1500,MATCH(MAX(COUNTIF($N$2:$N$1500,$N$2:$N$1500)),COUNTIF($N$2:$N$1500,$N$2:$N$1500),0)),N462)</f>
        <v>Debit Card</v>
      </c>
      <c r="P462" s="38" cm="1">
        <f t="array" ref="P462">ROUND(IF(TRIM(H462)="",IFERROR(MEDIAN(IF($M$2:$M$1500=M462,$H$2:$H$1500)),MEDIAN($H$2:$H$1500)),H462),2)</f>
        <v>19.350000000000001</v>
      </c>
      <c r="Q462" s="38" t="str">
        <f t="shared" si="45"/>
        <v>0</v>
      </c>
      <c r="R462" s="39" cm="1">
        <f t="array" ref="R462">IF(OR(TRIM(J462)="",TRIM(J462)="-"),MEDIAN(IF($C$2:$C$1218=C462,$J$2:$J$1218)),VALUE(SUBSTITUTE(SUBSTITUTE(SUBSTITUTE(J462,"Rs. ",""),"₹",""),",","")))</f>
        <v>7407</v>
      </c>
      <c r="S462" s="40" t="str">
        <f t="shared" si="43"/>
        <v>-</v>
      </c>
      <c r="T462" s="41">
        <f t="shared" si="46"/>
        <v>3</v>
      </c>
      <c r="U462" s="42">
        <f t="shared" si="47"/>
        <v>7185</v>
      </c>
    </row>
    <row r="463" spans="1:21" x14ac:dyDescent="0.3">
      <c r="A463" s="37" t="s">
        <v>3537</v>
      </c>
      <c r="B463" s="37" t="s">
        <v>3538</v>
      </c>
      <c r="C463" s="37" t="s">
        <v>2427</v>
      </c>
      <c r="D463" s="37" t="s">
        <v>14</v>
      </c>
      <c r="E463" s="37" t="s">
        <v>60</v>
      </c>
      <c r="F463" s="37" t="s">
        <v>62</v>
      </c>
      <c r="G463" s="37" t="s">
        <v>2412</v>
      </c>
      <c r="H463" s="37">
        <v>21.66</v>
      </c>
      <c r="I463" s="37">
        <v>27</v>
      </c>
      <c r="J463" s="37">
        <v>45321</v>
      </c>
      <c r="K463" s="37" t="s">
        <v>52</v>
      </c>
      <c r="L463" s="37">
        <v>10</v>
      </c>
      <c r="M463" s="37" t="str">
        <f t="shared" si="44"/>
        <v>ICU</v>
      </c>
      <c r="N463" s="37" t="str">
        <f t="shared" si="42"/>
        <v>Credit Card</v>
      </c>
      <c r="O463" s="37" t="str" cm="1">
        <f t="array" ref="O463">IF(TRIM(N463)="",INDEX($N$2:$N$1500,MATCH(MAX(COUNTIF($N$2:$N$1500,$N$2:$N$1500)),COUNTIF($N$2:$N$1500,$N$2:$N$1500),0)),N463)</f>
        <v>Credit Card</v>
      </c>
      <c r="P463" s="38" cm="1">
        <f t="array" ref="P463">ROUND(IF(TRIM(H463)="",IFERROR(MEDIAN(IF($M$2:$M$1500=M463,$H$2:$H$1500)),MEDIAN($H$2:$H$1500)),H463),2)</f>
        <v>21.66</v>
      </c>
      <c r="Q463" s="38" t="str">
        <f t="shared" si="45"/>
        <v>1</v>
      </c>
      <c r="R463" s="39" cm="1">
        <f t="array" ref="R463">IF(OR(TRIM(J463)="",TRIM(J463)="-"),MEDIAN(IF($C$2:$C$1218=C463,$J$2:$J$1218)),VALUE(SUBSTITUTE(SUBSTITUTE(SUBSTITUTE(J463,"Rs. ",""),"₹",""),",","")))</f>
        <v>45321</v>
      </c>
      <c r="S463" s="40">
        <f t="shared" si="43"/>
        <v>10</v>
      </c>
      <c r="T463" s="41">
        <f t="shared" si="46"/>
        <v>10</v>
      </c>
      <c r="U463" s="42">
        <f t="shared" si="47"/>
        <v>40789</v>
      </c>
    </row>
    <row r="464" spans="1:21" x14ac:dyDescent="0.3">
      <c r="A464" s="37" t="s">
        <v>3539</v>
      </c>
      <c r="B464" s="37" t="s">
        <v>3540</v>
      </c>
      <c r="C464" s="37" t="s">
        <v>2561</v>
      </c>
      <c r="D464" s="37" t="s">
        <v>78</v>
      </c>
      <c r="E464" s="37" t="s">
        <v>203</v>
      </c>
      <c r="F464" s="37" t="s">
        <v>49</v>
      </c>
      <c r="G464" s="37" t="s">
        <v>2455</v>
      </c>
      <c r="H464" s="37">
        <v>1.53</v>
      </c>
      <c r="I464" s="37">
        <v>13</v>
      </c>
      <c r="J464" s="37">
        <v>16280</v>
      </c>
      <c r="K464" s="37" t="s">
        <v>58</v>
      </c>
      <c r="L464" s="37">
        <v>0</v>
      </c>
      <c r="M464" s="37" t="str">
        <f t="shared" si="44"/>
        <v>General</v>
      </c>
      <c r="N464" s="37" t="str">
        <f t="shared" si="42"/>
        <v>UPI</v>
      </c>
      <c r="O464" s="37" t="str" cm="1">
        <f t="array" ref="O464">IF(TRIM(N464)="",INDEX($N$2:$N$1500,MATCH(MAX(COUNTIF($N$2:$N$1500,$N$2:$N$1500)),COUNTIF($N$2:$N$1500,$N$2:$N$1500),0)),N464)</f>
        <v>UPI</v>
      </c>
      <c r="P464" s="38" cm="1">
        <f t="array" ref="P464">ROUND(IF(TRIM(H464)="",IFERROR(MEDIAN(IF($M$2:$M$1500=M464,$H$2:$H$1500)),MEDIAN($H$2:$H$1500)),H464),2)</f>
        <v>1.53</v>
      </c>
      <c r="Q464" s="38" t="str">
        <f t="shared" si="45"/>
        <v>1</v>
      </c>
      <c r="R464" s="39" cm="1">
        <f t="array" ref="R464">IF(OR(TRIM(J464)="",TRIM(J464)="-"),MEDIAN(IF($C$2:$C$1218=C464,$J$2:$J$1218)),VALUE(SUBSTITUTE(SUBSTITUTE(SUBSTITUTE(J464,"Rs. ",""),"₹",""),",","")))</f>
        <v>16280</v>
      </c>
      <c r="S464" s="40">
        <f t="shared" si="43"/>
        <v>0</v>
      </c>
      <c r="T464" s="41">
        <f t="shared" si="46"/>
        <v>0</v>
      </c>
      <c r="U464" s="42">
        <f t="shared" si="47"/>
        <v>16280</v>
      </c>
    </row>
    <row r="465" spans="1:21" x14ac:dyDescent="0.3">
      <c r="A465" s="37" t="s">
        <v>3541</v>
      </c>
      <c r="B465" s="37" t="s">
        <v>3542</v>
      </c>
      <c r="C465" s="37" t="s">
        <v>2532</v>
      </c>
      <c r="D465" s="37" t="s">
        <v>117</v>
      </c>
      <c r="E465" s="37" t="s">
        <v>118</v>
      </c>
      <c r="F465" s="37" t="s">
        <v>19</v>
      </c>
      <c r="G465" s="37" t="s">
        <v>2477</v>
      </c>
      <c r="H465" s="37">
        <v>15.7</v>
      </c>
      <c r="I465" s="37">
        <v>37</v>
      </c>
      <c r="J465" s="37" t="s">
        <v>3543</v>
      </c>
      <c r="K465" s="37" t="s">
        <v>211</v>
      </c>
      <c r="L465" s="37">
        <v>5</v>
      </c>
      <c r="M465" s="37" t="str">
        <f t="shared" si="44"/>
        <v>General</v>
      </c>
      <c r="N465" s="37" t="str">
        <f t="shared" si="42"/>
        <v>Credit Card</v>
      </c>
      <c r="O465" s="37" t="str" cm="1">
        <f t="array" ref="O465">IF(TRIM(N465)="",INDEX($N$2:$N$1500,MATCH(MAX(COUNTIF($N$2:$N$1500,$N$2:$N$1500)),COUNTIF($N$2:$N$1500,$N$2:$N$1500),0)),N465)</f>
        <v>Credit Card</v>
      </c>
      <c r="P465" s="38" cm="1">
        <f t="array" ref="P465">ROUND(IF(TRIM(H465)="",IFERROR(MEDIAN(IF($M$2:$M$1500=M465,$H$2:$H$1500)),MEDIAN($H$2:$H$1500)),H465),2)</f>
        <v>15.7</v>
      </c>
      <c r="Q465" s="38" t="str">
        <f t="shared" si="45"/>
        <v>0</v>
      </c>
      <c r="R465" s="39" cm="1">
        <f t="array" ref="R465">IF(OR(TRIM(J465)="",TRIM(J465)="-"),MEDIAN(IF($C$2:$C$1218=C465,$J$2:$J$1218)),VALUE(SUBSTITUTE(SUBSTITUTE(SUBSTITUTE(J465,"Rs. ",""),"₹",""),",","")))</f>
        <v>16968</v>
      </c>
      <c r="S465" s="40">
        <f t="shared" si="43"/>
        <v>5</v>
      </c>
      <c r="T465" s="41">
        <f t="shared" si="46"/>
        <v>5</v>
      </c>
      <c r="U465" s="42">
        <f t="shared" si="47"/>
        <v>16120</v>
      </c>
    </row>
    <row r="466" spans="1:21" x14ac:dyDescent="0.3">
      <c r="A466" s="37" t="s">
        <v>3544</v>
      </c>
      <c r="B466" s="37" t="s">
        <v>2640</v>
      </c>
      <c r="C466" s="37" t="s">
        <v>2415</v>
      </c>
      <c r="D466" s="37" t="s">
        <v>106</v>
      </c>
      <c r="E466" s="37" t="s">
        <v>107</v>
      </c>
      <c r="F466" s="37" t="s">
        <v>69</v>
      </c>
      <c r="G466" s="37" t="s">
        <v>2450</v>
      </c>
      <c r="H466" s="37">
        <v>6.26</v>
      </c>
      <c r="I466" s="37">
        <v>1</v>
      </c>
      <c r="J466" s="37">
        <v>63950</v>
      </c>
      <c r="K466" s="37" t="s">
        <v>97</v>
      </c>
      <c r="L466" s="37">
        <v>5</v>
      </c>
      <c r="M466" s="37" t="str">
        <f t="shared" si="44"/>
        <v>ICU</v>
      </c>
      <c r="N466" s="37" t="str">
        <f t="shared" si="42"/>
        <v>UPI</v>
      </c>
      <c r="O466" s="37" t="str" cm="1">
        <f t="array" ref="O466">IF(TRIM(N466)="",INDEX($N$2:$N$1500,MATCH(MAX(COUNTIF($N$2:$N$1500,$N$2:$N$1500)),COUNTIF($N$2:$N$1500,$N$2:$N$1500),0)),N466)</f>
        <v>UPI</v>
      </c>
      <c r="P466" s="38" cm="1">
        <f t="array" ref="P466">ROUND(IF(TRIM(H466)="",IFERROR(MEDIAN(IF($M$2:$M$1500=M466,$H$2:$H$1500)),MEDIAN($H$2:$H$1500)),H466),2)</f>
        <v>6.26</v>
      </c>
      <c r="Q466" s="38" t="str">
        <f t="shared" si="45"/>
        <v>1</v>
      </c>
      <c r="R466" s="39" cm="1">
        <f t="array" ref="R466">IF(OR(TRIM(J466)="",TRIM(J466)="-"),MEDIAN(IF($C$2:$C$1218=C466,$J$2:$J$1218)),VALUE(SUBSTITUTE(SUBSTITUTE(SUBSTITUTE(J466,"Rs. ",""),"₹",""),",","")))</f>
        <v>63950</v>
      </c>
      <c r="S466" s="40">
        <f t="shared" si="43"/>
        <v>5</v>
      </c>
      <c r="T466" s="41">
        <f t="shared" si="46"/>
        <v>5</v>
      </c>
      <c r="U466" s="42">
        <f t="shared" si="47"/>
        <v>60753</v>
      </c>
    </row>
    <row r="467" spans="1:21" x14ac:dyDescent="0.3">
      <c r="A467" s="37" t="s">
        <v>3545</v>
      </c>
      <c r="B467" s="37" t="s">
        <v>3214</v>
      </c>
      <c r="C467" s="37" t="s">
        <v>2466</v>
      </c>
      <c r="D467" s="37" t="s">
        <v>14</v>
      </c>
      <c r="E467" s="37" t="s">
        <v>60</v>
      </c>
      <c r="F467" s="37" t="s">
        <v>39</v>
      </c>
      <c r="G467" s="37" t="s">
        <v>2408</v>
      </c>
      <c r="H467" s="37">
        <v>21.38</v>
      </c>
      <c r="I467" s="37">
        <v>43</v>
      </c>
      <c r="J467" s="37">
        <v>5706</v>
      </c>
      <c r="K467" s="37" t="s">
        <v>87</v>
      </c>
      <c r="L467" s="37">
        <v>10</v>
      </c>
      <c r="M467" s="37" t="str">
        <f t="shared" si="44"/>
        <v>General</v>
      </c>
      <c r="N467" s="37" t="str">
        <f t="shared" si="42"/>
        <v>Credit Card</v>
      </c>
      <c r="O467" s="37" t="str" cm="1">
        <f t="array" ref="O467">IF(TRIM(N467)="",INDEX($N$2:$N$1500,MATCH(MAX(COUNTIF($N$2:$N$1500,$N$2:$N$1500)),COUNTIF($N$2:$N$1500,$N$2:$N$1500),0)),N467)</f>
        <v>Credit Card</v>
      </c>
      <c r="P467" s="38" cm="1">
        <f t="array" ref="P467">ROUND(IF(TRIM(H467)="",IFERROR(MEDIAN(IF($M$2:$M$1500=M467,$H$2:$H$1500)),MEDIAN($H$2:$H$1500)),H467),2)</f>
        <v>21.38</v>
      </c>
      <c r="Q467" s="38" t="str">
        <f t="shared" si="45"/>
        <v>0</v>
      </c>
      <c r="R467" s="39" cm="1">
        <f t="array" ref="R467">IF(OR(TRIM(J467)="",TRIM(J467)="-"),MEDIAN(IF($C$2:$C$1218=C467,$J$2:$J$1218)),VALUE(SUBSTITUTE(SUBSTITUTE(SUBSTITUTE(J467,"Rs. ",""),"₹",""),",","")))</f>
        <v>5706</v>
      </c>
      <c r="S467" s="40">
        <f t="shared" si="43"/>
        <v>10</v>
      </c>
      <c r="T467" s="41">
        <f t="shared" si="46"/>
        <v>10</v>
      </c>
      <c r="U467" s="42">
        <f t="shared" si="47"/>
        <v>5135</v>
      </c>
    </row>
    <row r="468" spans="1:21" x14ac:dyDescent="0.3">
      <c r="A468" s="37" t="s">
        <v>3546</v>
      </c>
      <c r="B468" s="37" t="s">
        <v>3547</v>
      </c>
      <c r="C468" s="37" t="s">
        <v>2481</v>
      </c>
      <c r="D468" s="37" t="s">
        <v>106</v>
      </c>
      <c r="E468" s="37" t="s">
        <v>107</v>
      </c>
      <c r="F468" s="37" t="s">
        <v>39</v>
      </c>
      <c r="G468" s="37" t="s">
        <v>2450</v>
      </c>
      <c r="H468" s="37">
        <v>6.69</v>
      </c>
      <c r="I468" s="37">
        <v>50</v>
      </c>
      <c r="J468" s="37" t="s">
        <v>3548</v>
      </c>
      <c r="K468" s="37" t="s">
        <v>83</v>
      </c>
      <c r="L468" s="37"/>
      <c r="M468" s="37" t="str">
        <f t="shared" si="44"/>
        <v>General</v>
      </c>
      <c r="N468" s="37" t="str">
        <f t="shared" si="42"/>
        <v>Debit Card</v>
      </c>
      <c r="O468" s="37" t="str" cm="1">
        <f t="array" ref="O468">IF(TRIM(N468)="",INDEX($N$2:$N$1500,MATCH(MAX(COUNTIF($N$2:$N$1500,$N$2:$N$1500)),COUNTIF($N$2:$N$1500,$N$2:$N$1500),0)),N468)</f>
        <v>Debit Card</v>
      </c>
      <c r="P468" s="38" cm="1">
        <f t="array" ref="P468">ROUND(IF(TRIM(H468)="",IFERROR(MEDIAN(IF($M$2:$M$1500=M468,$H$2:$H$1500)),MEDIAN($H$2:$H$1500)),H468),2)</f>
        <v>6.69</v>
      </c>
      <c r="Q468" s="38" t="str">
        <f t="shared" si="45"/>
        <v>1</v>
      </c>
      <c r="R468" s="39" cm="1">
        <f t="array" ref="R468">IF(OR(TRIM(J468)="",TRIM(J468)="-"),MEDIAN(IF($C$2:$C$1218=C468,$J$2:$J$1218)),VALUE(SUBSTITUTE(SUBSTITUTE(SUBSTITUTE(J468,"Rs. ",""),"₹",""),",","")))</f>
        <v>4140</v>
      </c>
      <c r="S468" s="40">
        <f t="shared" si="43"/>
        <v>0</v>
      </c>
      <c r="T468" s="41">
        <f t="shared" si="46"/>
        <v>0</v>
      </c>
      <c r="U468" s="42">
        <f t="shared" si="47"/>
        <v>4140</v>
      </c>
    </row>
    <row r="469" spans="1:21" x14ac:dyDescent="0.3">
      <c r="A469" s="37" t="s">
        <v>3549</v>
      </c>
      <c r="B469" s="37" t="s">
        <v>3550</v>
      </c>
      <c r="C469" s="37" t="s">
        <v>2629</v>
      </c>
      <c r="D469" s="37" t="s">
        <v>14</v>
      </c>
      <c r="E469" s="37" t="s">
        <v>15</v>
      </c>
      <c r="F469" s="37" t="s">
        <v>39</v>
      </c>
      <c r="G469" s="37" t="s">
        <v>2477</v>
      </c>
      <c r="H469" s="37">
        <v>5.61</v>
      </c>
      <c r="I469" s="37" t="s">
        <v>140</v>
      </c>
      <c r="J469" s="37">
        <v>4619</v>
      </c>
      <c r="K469" s="37" t="s">
        <v>115</v>
      </c>
      <c r="L469" s="37">
        <v>5</v>
      </c>
      <c r="M469" s="37" t="str">
        <f t="shared" si="44"/>
        <v>General</v>
      </c>
      <c r="N469" s="37" t="str">
        <f t="shared" si="42"/>
        <v>Cash</v>
      </c>
      <c r="O469" s="37" t="str" cm="1">
        <f t="array" ref="O469">IF(TRIM(N469)="",INDEX($N$2:$N$1500,MATCH(MAX(COUNTIF($N$2:$N$1500,$N$2:$N$1500)),COUNTIF($N$2:$N$1500,$N$2:$N$1500),0)),N469)</f>
        <v>Cash</v>
      </c>
      <c r="P469" s="38" cm="1">
        <f t="array" ref="P469">ROUND(IF(TRIM(H469)="",IFERROR(MEDIAN(IF($M$2:$M$1500=M469,$H$2:$H$1500)),MEDIAN($H$2:$H$1500)),H469),2)</f>
        <v>5.61</v>
      </c>
      <c r="Q469" s="38" t="str">
        <f t="shared" si="45"/>
        <v>0</v>
      </c>
      <c r="R469" s="39" cm="1">
        <f t="array" ref="R469">IF(OR(TRIM(J469)="",TRIM(J469)="-"),MEDIAN(IF($C$2:$C$1218=C469,$J$2:$J$1218)),VALUE(SUBSTITUTE(SUBSTITUTE(SUBSTITUTE(J469,"Rs. ",""),"₹",""),",","")))</f>
        <v>4619</v>
      </c>
      <c r="S469" s="40">
        <f t="shared" si="43"/>
        <v>5</v>
      </c>
      <c r="T469" s="41">
        <f t="shared" si="46"/>
        <v>5</v>
      </c>
      <c r="U469" s="42">
        <f t="shared" si="47"/>
        <v>4388</v>
      </c>
    </row>
    <row r="470" spans="1:21" x14ac:dyDescent="0.3">
      <c r="A470" s="37" t="s">
        <v>3551</v>
      </c>
      <c r="B470" s="37" t="s">
        <v>2508</v>
      </c>
      <c r="C470" s="37" t="s">
        <v>2431</v>
      </c>
      <c r="D470" s="37" t="s">
        <v>117</v>
      </c>
      <c r="E470" s="37" t="s">
        <v>118</v>
      </c>
      <c r="F470" s="37" t="s">
        <v>19</v>
      </c>
      <c r="G470" s="37" t="s">
        <v>2477</v>
      </c>
      <c r="H470" s="37">
        <v>22.85</v>
      </c>
      <c r="I470" s="37">
        <v>39</v>
      </c>
      <c r="J470" s="37" t="s">
        <v>3552</v>
      </c>
      <c r="K470" s="37" t="s">
        <v>42</v>
      </c>
      <c r="L470" s="37">
        <v>0.2</v>
      </c>
      <c r="M470" s="37" t="str">
        <f t="shared" si="44"/>
        <v>General</v>
      </c>
      <c r="N470" s="37" t="str">
        <f t="shared" si="42"/>
        <v>Insurance</v>
      </c>
      <c r="O470" s="37" t="str" cm="1">
        <f t="array" ref="O470">IF(TRIM(N470)="",INDEX($N$2:$N$1500,MATCH(MAX(COUNTIF($N$2:$N$1500,$N$2:$N$1500)),COUNTIF($N$2:$N$1500,$N$2:$N$1500),0)),N470)</f>
        <v>Insurance</v>
      </c>
      <c r="P470" s="38" cm="1">
        <f t="array" ref="P470">ROUND(IF(TRIM(H470)="",IFERROR(MEDIAN(IF($M$2:$M$1500=M470,$H$2:$H$1500)),MEDIAN($H$2:$H$1500)),H470),2)</f>
        <v>22.85</v>
      </c>
      <c r="Q470" s="38" t="str">
        <f t="shared" si="45"/>
        <v>0</v>
      </c>
      <c r="R470" s="39" cm="1">
        <f t="array" ref="R470">IF(OR(TRIM(J470)="",TRIM(J470)="-"),MEDIAN(IF($C$2:$C$1218=C470,$J$2:$J$1218)),VALUE(SUBSTITUTE(SUBSTITUTE(SUBSTITUTE(J470,"Rs. ",""),"₹",""),",","")))</f>
        <v>9248</v>
      </c>
      <c r="S470" s="40">
        <f t="shared" si="43"/>
        <v>0.2</v>
      </c>
      <c r="T470" s="41">
        <f t="shared" si="46"/>
        <v>0</v>
      </c>
      <c r="U470" s="42">
        <f t="shared" si="47"/>
        <v>9248</v>
      </c>
    </row>
    <row r="471" spans="1:21" x14ac:dyDescent="0.3">
      <c r="A471" s="37" t="s">
        <v>3553</v>
      </c>
      <c r="B471" s="37" t="s">
        <v>3554</v>
      </c>
      <c r="C471" s="37" t="s">
        <v>2415</v>
      </c>
      <c r="D471" s="37" t="s">
        <v>78</v>
      </c>
      <c r="E471" s="37" t="s">
        <v>79</v>
      </c>
      <c r="F471" s="37" t="s">
        <v>62</v>
      </c>
      <c r="G471" s="37" t="s">
        <v>2505</v>
      </c>
      <c r="H471" s="37">
        <v>1.97</v>
      </c>
      <c r="I471" s="37">
        <v>15</v>
      </c>
      <c r="J471" s="37">
        <v>28112</v>
      </c>
      <c r="K471" s="37" t="s">
        <v>236</v>
      </c>
      <c r="L471" s="37" t="s">
        <v>130</v>
      </c>
      <c r="M471" s="37" t="str">
        <f t="shared" si="44"/>
        <v>ICU</v>
      </c>
      <c r="N471" s="37" t="str">
        <f t="shared" si="42"/>
        <v>Debit Card</v>
      </c>
      <c r="O471" s="37" t="str" cm="1">
        <f t="array" ref="O471">IF(TRIM(N471)="",INDEX($N$2:$N$1500,MATCH(MAX(COUNTIF($N$2:$N$1500,$N$2:$N$1500)),COUNTIF($N$2:$N$1500,$N$2:$N$1500),0)),N471)</f>
        <v>Debit Card</v>
      </c>
      <c r="P471" s="38" cm="1">
        <f t="array" ref="P471">ROUND(IF(TRIM(H471)="",IFERROR(MEDIAN(IF($M$2:$M$1500=M471,$H$2:$H$1500)),MEDIAN($H$2:$H$1500)),H471),2)</f>
        <v>1.97</v>
      </c>
      <c r="Q471" s="38" t="str">
        <f t="shared" si="45"/>
        <v>2+</v>
      </c>
      <c r="R471" s="39" cm="1">
        <f t="array" ref="R471">IF(OR(TRIM(J471)="",TRIM(J471)="-"),MEDIAN(IF($C$2:$C$1218=C471,$J$2:$J$1218)),VALUE(SUBSTITUTE(SUBSTITUTE(SUBSTITUTE(J471,"Rs. ",""),"₹",""),",","")))</f>
        <v>28112</v>
      </c>
      <c r="S471" s="40">
        <f t="shared" si="43"/>
        <v>0</v>
      </c>
      <c r="T471" s="41">
        <f t="shared" si="46"/>
        <v>0</v>
      </c>
      <c r="U471" s="42">
        <f t="shared" si="47"/>
        <v>28112</v>
      </c>
    </row>
    <row r="472" spans="1:21" x14ac:dyDescent="0.3">
      <c r="A472" s="37" t="s">
        <v>3555</v>
      </c>
      <c r="B472" s="37" t="s">
        <v>2807</v>
      </c>
      <c r="C472" s="37" t="s">
        <v>2415</v>
      </c>
      <c r="D472" s="37" t="s">
        <v>14</v>
      </c>
      <c r="E472" s="37" t="s">
        <v>15</v>
      </c>
      <c r="F472" s="37" t="s">
        <v>39</v>
      </c>
      <c r="G472" s="37" t="s">
        <v>2408</v>
      </c>
      <c r="H472" s="37">
        <v>19.739999999999998</v>
      </c>
      <c r="I472" s="37">
        <v>10</v>
      </c>
      <c r="J472" s="37" t="s">
        <v>3556</v>
      </c>
      <c r="K472" s="37" t="s">
        <v>87</v>
      </c>
      <c r="L472" s="37">
        <v>5</v>
      </c>
      <c r="M472" s="37" t="str">
        <f t="shared" si="44"/>
        <v>General</v>
      </c>
      <c r="N472" s="37" t="str">
        <f t="shared" si="42"/>
        <v>Credit Card</v>
      </c>
      <c r="O472" s="37" t="str" cm="1">
        <f t="array" ref="O472">IF(TRIM(N472)="",INDEX($N$2:$N$1500,MATCH(MAX(COUNTIF($N$2:$N$1500,$N$2:$N$1500)),COUNTIF($N$2:$N$1500,$N$2:$N$1500),0)),N472)</f>
        <v>Credit Card</v>
      </c>
      <c r="P472" s="38" cm="1">
        <f t="array" ref="P472">ROUND(IF(TRIM(H472)="",IFERROR(MEDIAN(IF($M$2:$M$1500=M472,$H$2:$H$1500)),MEDIAN($H$2:$H$1500)),H472),2)</f>
        <v>19.739999999999998</v>
      </c>
      <c r="Q472" s="38" t="str">
        <f t="shared" si="45"/>
        <v>0</v>
      </c>
      <c r="R472" s="39" cm="1">
        <f t="array" ref="R472">IF(OR(TRIM(J472)="",TRIM(J472)="-"),MEDIAN(IF($C$2:$C$1218=C472,$J$2:$J$1218)),VALUE(SUBSTITUTE(SUBSTITUTE(SUBSTITUTE(J472,"Rs. ",""),"₹",""),",","")))</f>
        <v>7972</v>
      </c>
      <c r="S472" s="40">
        <f t="shared" si="43"/>
        <v>5</v>
      </c>
      <c r="T472" s="41">
        <f t="shared" si="46"/>
        <v>5</v>
      </c>
      <c r="U472" s="42">
        <f t="shared" si="47"/>
        <v>7573</v>
      </c>
    </row>
    <row r="473" spans="1:21" x14ac:dyDescent="0.3">
      <c r="A473" s="37" t="s">
        <v>3557</v>
      </c>
      <c r="B473" s="37" t="s">
        <v>3558</v>
      </c>
      <c r="C473" s="37" t="s">
        <v>2481</v>
      </c>
      <c r="D473" s="37" t="s">
        <v>14</v>
      </c>
      <c r="E473" s="37" t="s">
        <v>60</v>
      </c>
      <c r="F473" s="37" t="s">
        <v>62</v>
      </c>
      <c r="G473" s="37"/>
      <c r="H473" s="37">
        <v>5.87</v>
      </c>
      <c r="I473" s="37">
        <v>10</v>
      </c>
      <c r="J473" s="37">
        <v>26816</v>
      </c>
      <c r="K473" s="37" t="s">
        <v>34</v>
      </c>
      <c r="L473" s="37">
        <v>0</v>
      </c>
      <c r="M473" s="37" t="str">
        <f t="shared" si="44"/>
        <v>ICU</v>
      </c>
      <c r="N473" s="37" t="str">
        <f t="shared" si="42"/>
        <v>Cash</v>
      </c>
      <c r="O473" s="37" t="str" cm="1">
        <f t="array" ref="O473">IF(TRIM(N473)="",INDEX($N$2:$N$1500,MATCH(MAX(COUNTIF($N$2:$N$1500,$N$2:$N$1500)),COUNTIF($N$2:$N$1500,$N$2:$N$1500),0)),N473)</f>
        <v>Cash</v>
      </c>
      <c r="P473" s="38" cm="1">
        <f t="array" ref="P473">ROUND(IF(TRIM(H473)="",IFERROR(MEDIAN(IF($M$2:$M$1500=M473,$H$2:$H$1500)),MEDIAN($H$2:$H$1500)),H473),2)</f>
        <v>5.87</v>
      </c>
      <c r="Q473" s="38" t="str">
        <f t="shared" si="45"/>
        <v>Unknown</v>
      </c>
      <c r="R473" s="39" cm="1">
        <f t="array" ref="R473">IF(OR(TRIM(J473)="",TRIM(J473)="-"),MEDIAN(IF($C$2:$C$1218=C473,$J$2:$J$1218)),VALUE(SUBSTITUTE(SUBSTITUTE(SUBSTITUTE(J473,"Rs. ",""),"₹",""),",","")))</f>
        <v>26816</v>
      </c>
      <c r="S473" s="40">
        <f t="shared" si="43"/>
        <v>0</v>
      </c>
      <c r="T473" s="41">
        <f t="shared" si="46"/>
        <v>0</v>
      </c>
      <c r="U473" s="42">
        <f t="shared" si="47"/>
        <v>26816</v>
      </c>
    </row>
    <row r="474" spans="1:21" x14ac:dyDescent="0.3">
      <c r="A474" s="37" t="s">
        <v>3559</v>
      </c>
      <c r="B474" s="37" t="s">
        <v>3560</v>
      </c>
      <c r="C474" s="37" t="s">
        <v>2422</v>
      </c>
      <c r="D474" s="37" t="s">
        <v>25</v>
      </c>
      <c r="E474" s="37" t="s">
        <v>54</v>
      </c>
      <c r="F474" s="37" t="s">
        <v>39</v>
      </c>
      <c r="G474" s="37" t="s">
        <v>2477</v>
      </c>
      <c r="H474" s="37">
        <v>2.86</v>
      </c>
      <c r="I474" s="37">
        <v>26</v>
      </c>
      <c r="J474" s="37" t="s">
        <v>3561</v>
      </c>
      <c r="K474" s="37" t="s">
        <v>72</v>
      </c>
      <c r="L474" s="37">
        <v>5</v>
      </c>
      <c r="M474" s="37" t="str">
        <f t="shared" si="44"/>
        <v>General</v>
      </c>
      <c r="N474" s="37" t="str">
        <f t="shared" si="42"/>
        <v>Cash</v>
      </c>
      <c r="O474" s="37" t="str" cm="1">
        <f t="array" ref="O474">IF(TRIM(N474)="",INDEX($N$2:$N$1500,MATCH(MAX(COUNTIF($N$2:$N$1500,$N$2:$N$1500)),COUNTIF($N$2:$N$1500,$N$2:$N$1500),0)),N474)</f>
        <v>Cash</v>
      </c>
      <c r="P474" s="38" cm="1">
        <f t="array" ref="P474">ROUND(IF(TRIM(H474)="",IFERROR(MEDIAN(IF($M$2:$M$1500=M474,$H$2:$H$1500)),MEDIAN($H$2:$H$1500)),H474),2)</f>
        <v>2.86</v>
      </c>
      <c r="Q474" s="38" t="str">
        <f t="shared" si="45"/>
        <v>0</v>
      </c>
      <c r="R474" s="39" cm="1">
        <f t="array" ref="R474">IF(OR(TRIM(J474)="",TRIM(J474)="-"),MEDIAN(IF($C$2:$C$1218=C474,$J$2:$J$1218)),VALUE(SUBSTITUTE(SUBSTITUTE(SUBSTITUTE(J474,"Rs. ",""),"₹",""),",","")))</f>
        <v>18411</v>
      </c>
      <c r="S474" s="40">
        <f t="shared" si="43"/>
        <v>5</v>
      </c>
      <c r="T474" s="41">
        <f t="shared" si="46"/>
        <v>5</v>
      </c>
      <c r="U474" s="42">
        <f t="shared" si="47"/>
        <v>17490</v>
      </c>
    </row>
    <row r="475" spans="1:21" x14ac:dyDescent="0.3">
      <c r="A475" s="37" t="s">
        <v>3562</v>
      </c>
      <c r="B475" s="37" t="s">
        <v>2576</v>
      </c>
      <c r="C475" s="37" t="s">
        <v>2577</v>
      </c>
      <c r="D475" s="37" t="s">
        <v>106</v>
      </c>
      <c r="E475" s="37" t="s">
        <v>307</v>
      </c>
      <c r="F475" s="37" t="s">
        <v>101</v>
      </c>
      <c r="G475" s="37" t="s">
        <v>2746</v>
      </c>
      <c r="H475" s="37">
        <v>24.4</v>
      </c>
      <c r="I475" s="37">
        <v>56</v>
      </c>
      <c r="J475" s="37" t="s">
        <v>3563</v>
      </c>
      <c r="K475" s="37" t="s">
        <v>83</v>
      </c>
      <c r="L475" s="37" t="s">
        <v>198</v>
      </c>
      <c r="M475" s="37" t="str">
        <f t="shared" si="44"/>
        <v>ICU</v>
      </c>
      <c r="N475" s="37" t="str">
        <f t="shared" si="42"/>
        <v>Debit Card</v>
      </c>
      <c r="O475" s="37" t="str" cm="1">
        <f t="array" ref="O475">IF(TRIM(N475)="",INDEX($N$2:$N$1500,MATCH(MAX(COUNTIF($N$2:$N$1500,$N$2:$N$1500)),COUNTIF($N$2:$N$1500,$N$2:$N$1500),0)),N475)</f>
        <v>Debit Card</v>
      </c>
      <c r="P475" s="38" cm="1">
        <f t="array" ref="P475">ROUND(IF(TRIM(H475)="",IFERROR(MEDIAN(IF($M$2:$M$1500=M475,$H$2:$H$1500)),MEDIAN($H$2:$H$1500)),H475),2)</f>
        <v>24.4</v>
      </c>
      <c r="Q475" s="38" t="str">
        <f t="shared" si="45"/>
        <v>2</v>
      </c>
      <c r="R475" s="39" cm="1">
        <f t="array" ref="R475">IF(OR(TRIM(J475)="",TRIM(J475)="-"),MEDIAN(IF($C$2:$C$1218=C475,$J$2:$J$1218)),VALUE(SUBSTITUTE(SUBSTITUTE(SUBSTITUTE(J475,"Rs. ",""),"₹",""),",","")))</f>
        <v>22874</v>
      </c>
      <c r="S475" s="40">
        <f t="shared" si="43"/>
        <v>5</v>
      </c>
      <c r="T475" s="41">
        <f t="shared" si="46"/>
        <v>5</v>
      </c>
      <c r="U475" s="42">
        <f t="shared" si="47"/>
        <v>21730</v>
      </c>
    </row>
    <row r="476" spans="1:21" x14ac:dyDescent="0.3">
      <c r="A476" s="37" t="s">
        <v>3564</v>
      </c>
      <c r="B476" s="37" t="s">
        <v>3565</v>
      </c>
      <c r="C476" s="37" t="s">
        <v>2514</v>
      </c>
      <c r="D476" s="37" t="s">
        <v>117</v>
      </c>
      <c r="E476" s="37" t="s">
        <v>118</v>
      </c>
      <c r="F476" s="37" t="s">
        <v>39</v>
      </c>
      <c r="G476" s="37" t="s">
        <v>2408</v>
      </c>
      <c r="H476" s="37">
        <v>9.5299999999999994</v>
      </c>
      <c r="I476" s="37">
        <v>18</v>
      </c>
      <c r="J476" s="37" t="s">
        <v>3566</v>
      </c>
      <c r="K476" s="37" t="s">
        <v>83</v>
      </c>
      <c r="L476" s="37">
        <v>0</v>
      </c>
      <c r="M476" s="37" t="str">
        <f t="shared" si="44"/>
        <v>General</v>
      </c>
      <c r="N476" s="37" t="str">
        <f t="shared" si="42"/>
        <v>Debit Card</v>
      </c>
      <c r="O476" s="37" t="str" cm="1">
        <f t="array" ref="O476">IF(TRIM(N476)="",INDEX($N$2:$N$1500,MATCH(MAX(COUNTIF($N$2:$N$1500,$N$2:$N$1500)),COUNTIF($N$2:$N$1500,$N$2:$N$1500),0)),N476)</f>
        <v>Debit Card</v>
      </c>
      <c r="P476" s="38" cm="1">
        <f t="array" ref="P476">ROUND(IF(TRIM(H476)="",IFERROR(MEDIAN(IF($M$2:$M$1500=M476,$H$2:$H$1500)),MEDIAN($H$2:$H$1500)),H476),2)</f>
        <v>9.5299999999999994</v>
      </c>
      <c r="Q476" s="38" t="str">
        <f t="shared" si="45"/>
        <v>0</v>
      </c>
      <c r="R476" s="39" cm="1">
        <f t="array" ref="R476">IF(OR(TRIM(J476)="",TRIM(J476)="-"),MEDIAN(IF($C$2:$C$1218=C476,$J$2:$J$1218)),VALUE(SUBSTITUTE(SUBSTITUTE(SUBSTITUTE(J476,"Rs. ",""),"₹",""),",","")))</f>
        <v>6194</v>
      </c>
      <c r="S476" s="40">
        <f t="shared" si="43"/>
        <v>0</v>
      </c>
      <c r="T476" s="41">
        <f t="shared" si="46"/>
        <v>0</v>
      </c>
      <c r="U476" s="42">
        <f t="shared" si="47"/>
        <v>6194</v>
      </c>
    </row>
    <row r="477" spans="1:21" x14ac:dyDescent="0.3">
      <c r="A477" s="37" t="s">
        <v>3567</v>
      </c>
      <c r="B477" s="37" t="s">
        <v>3568</v>
      </c>
      <c r="C477" s="37" t="s">
        <v>2536</v>
      </c>
      <c r="D477" s="37" t="s">
        <v>78</v>
      </c>
      <c r="E477" s="37" t="s">
        <v>79</v>
      </c>
      <c r="F477" s="37" t="s">
        <v>49</v>
      </c>
      <c r="G477" s="37" t="s">
        <v>2412</v>
      </c>
      <c r="H477" s="37">
        <v>4.57</v>
      </c>
      <c r="I477" s="37">
        <v>48</v>
      </c>
      <c r="J477" s="37">
        <v>11938</v>
      </c>
      <c r="K477" s="37" t="s">
        <v>83</v>
      </c>
      <c r="L477" s="37" t="s">
        <v>130</v>
      </c>
      <c r="M477" s="37" t="str">
        <f t="shared" si="44"/>
        <v>General</v>
      </c>
      <c r="N477" s="37" t="str">
        <f t="shared" si="42"/>
        <v>Debit Card</v>
      </c>
      <c r="O477" s="37" t="str" cm="1">
        <f t="array" ref="O477">IF(TRIM(N477)="",INDEX($N$2:$N$1500,MATCH(MAX(COUNTIF($N$2:$N$1500,$N$2:$N$1500)),COUNTIF($N$2:$N$1500,$N$2:$N$1500),0)),N477)</f>
        <v>Debit Card</v>
      </c>
      <c r="P477" s="38" cm="1">
        <f t="array" ref="P477">ROUND(IF(TRIM(H477)="",IFERROR(MEDIAN(IF($M$2:$M$1500=M477,$H$2:$H$1500)),MEDIAN($H$2:$H$1500)),H477),2)</f>
        <v>4.57</v>
      </c>
      <c r="Q477" s="38" t="str">
        <f t="shared" si="45"/>
        <v>1</v>
      </c>
      <c r="R477" s="39" cm="1">
        <f t="array" ref="R477">IF(OR(TRIM(J477)="",TRIM(J477)="-"),MEDIAN(IF($C$2:$C$1218=C477,$J$2:$J$1218)),VALUE(SUBSTITUTE(SUBSTITUTE(SUBSTITUTE(J477,"Rs. ",""),"₹",""),",","")))</f>
        <v>11938</v>
      </c>
      <c r="S477" s="40">
        <f t="shared" si="43"/>
        <v>0</v>
      </c>
      <c r="T477" s="41">
        <f t="shared" si="46"/>
        <v>0</v>
      </c>
      <c r="U477" s="42">
        <f t="shared" si="47"/>
        <v>11938</v>
      </c>
    </row>
    <row r="478" spans="1:21" x14ac:dyDescent="0.3">
      <c r="A478" s="37" t="s">
        <v>3569</v>
      </c>
      <c r="B478" s="37" t="s">
        <v>3570</v>
      </c>
      <c r="C478" s="37" t="s">
        <v>2504</v>
      </c>
      <c r="D478" s="37" t="s">
        <v>14</v>
      </c>
      <c r="E478" s="37" t="s">
        <v>60</v>
      </c>
      <c r="F478" s="37" t="s">
        <v>19</v>
      </c>
      <c r="G478" s="37" t="s">
        <v>2435</v>
      </c>
      <c r="H478" s="37">
        <v>22.47</v>
      </c>
      <c r="I478" s="37">
        <v>34</v>
      </c>
      <c r="J478" s="37">
        <v>14900</v>
      </c>
      <c r="K478" s="37" t="s">
        <v>87</v>
      </c>
      <c r="L478" s="37" t="s">
        <v>130</v>
      </c>
      <c r="M478" s="37" t="str">
        <f t="shared" si="44"/>
        <v>General</v>
      </c>
      <c r="N478" s="37" t="str">
        <f t="shared" si="42"/>
        <v>Credit Card</v>
      </c>
      <c r="O478" s="37" t="str" cm="1">
        <f t="array" ref="O478">IF(TRIM(N478)="",INDEX($N$2:$N$1500,MATCH(MAX(COUNTIF($N$2:$N$1500,$N$2:$N$1500)),COUNTIF($N$2:$N$1500,$N$2:$N$1500),0)),N478)</f>
        <v>Credit Card</v>
      </c>
      <c r="P478" s="38" cm="1">
        <f t="array" ref="P478">ROUND(IF(TRIM(H478)="",IFERROR(MEDIAN(IF($M$2:$M$1500=M478,$H$2:$H$1500)),MEDIAN($H$2:$H$1500)),H478),2)</f>
        <v>22.47</v>
      </c>
      <c r="Q478" s="38" t="str">
        <f t="shared" si="45"/>
        <v>0</v>
      </c>
      <c r="R478" s="39" cm="1">
        <f t="array" ref="R478">IF(OR(TRIM(J478)="",TRIM(J478)="-"),MEDIAN(IF($C$2:$C$1218=C478,$J$2:$J$1218)),VALUE(SUBSTITUTE(SUBSTITUTE(SUBSTITUTE(J478,"Rs. ",""),"₹",""),",","")))</f>
        <v>14900</v>
      </c>
      <c r="S478" s="40">
        <f t="shared" si="43"/>
        <v>0</v>
      </c>
      <c r="T478" s="41">
        <f t="shared" si="46"/>
        <v>0</v>
      </c>
      <c r="U478" s="42">
        <f t="shared" si="47"/>
        <v>14900</v>
      </c>
    </row>
    <row r="479" spans="1:21" x14ac:dyDescent="0.3">
      <c r="A479" s="37" t="s">
        <v>3571</v>
      </c>
      <c r="B479" s="37" t="s">
        <v>3572</v>
      </c>
      <c r="C479" s="37" t="s">
        <v>2494</v>
      </c>
      <c r="D479" s="37" t="s">
        <v>14</v>
      </c>
      <c r="E479" s="37" t="s">
        <v>60</v>
      </c>
      <c r="F479" s="37" t="s">
        <v>30</v>
      </c>
      <c r="G479" s="37" t="s">
        <v>2746</v>
      </c>
      <c r="H479" s="37">
        <v>13.35</v>
      </c>
      <c r="I479" s="37" t="s">
        <v>140</v>
      </c>
      <c r="J479" s="37" t="s">
        <v>3573</v>
      </c>
      <c r="K479" s="37" t="s">
        <v>87</v>
      </c>
      <c r="L479" s="37" t="s">
        <v>130</v>
      </c>
      <c r="M479" s="37" t="str">
        <f t="shared" si="44"/>
        <v>General</v>
      </c>
      <c r="N479" s="37" t="str">
        <f t="shared" si="42"/>
        <v>Credit Card</v>
      </c>
      <c r="O479" s="37" t="str" cm="1">
        <f t="array" ref="O479">IF(TRIM(N479)="",INDEX($N$2:$N$1500,MATCH(MAX(COUNTIF($N$2:$N$1500,$N$2:$N$1500)),COUNTIF($N$2:$N$1500,$N$2:$N$1500),0)),N479)</f>
        <v>Credit Card</v>
      </c>
      <c r="P479" s="38" cm="1">
        <f t="array" ref="P479">ROUND(IF(TRIM(H479)="",IFERROR(MEDIAN(IF($M$2:$M$1500=M479,$H$2:$H$1500)),MEDIAN($H$2:$H$1500)),H479),2)</f>
        <v>13.35</v>
      </c>
      <c r="Q479" s="38" t="str">
        <f t="shared" si="45"/>
        <v>2</v>
      </c>
      <c r="R479" s="39" cm="1">
        <f t="array" ref="R479">IF(OR(TRIM(J479)="",TRIM(J479)="-"),MEDIAN(IF($C$2:$C$1218=C479,$J$2:$J$1218)),VALUE(SUBSTITUTE(SUBSTITUTE(SUBSTITUTE(J479,"Rs. ",""),"₹",""),",","")))</f>
        <v>12225</v>
      </c>
      <c r="S479" s="40">
        <f t="shared" si="43"/>
        <v>0</v>
      </c>
      <c r="T479" s="41">
        <f t="shared" si="46"/>
        <v>0</v>
      </c>
      <c r="U479" s="42">
        <f t="shared" si="47"/>
        <v>12225</v>
      </c>
    </row>
    <row r="480" spans="1:21" x14ac:dyDescent="0.3">
      <c r="A480" s="37" t="s">
        <v>3574</v>
      </c>
      <c r="B480" s="37" t="s">
        <v>3575</v>
      </c>
      <c r="C480" s="37" t="s">
        <v>2504</v>
      </c>
      <c r="D480" s="37" t="s">
        <v>106</v>
      </c>
      <c r="E480" s="37" t="s">
        <v>107</v>
      </c>
      <c r="F480" s="37" t="s">
        <v>62</v>
      </c>
      <c r="G480" s="37" t="s">
        <v>2408</v>
      </c>
      <c r="H480" s="37"/>
      <c r="I480" s="37">
        <v>47</v>
      </c>
      <c r="J480" s="37">
        <v>25251</v>
      </c>
      <c r="K480" s="37" t="s">
        <v>97</v>
      </c>
      <c r="L480" s="37">
        <v>0</v>
      </c>
      <c r="M480" s="37" t="str">
        <f t="shared" si="44"/>
        <v>ICU</v>
      </c>
      <c r="N480" s="37" t="str">
        <f t="shared" si="42"/>
        <v>UPI</v>
      </c>
      <c r="O480" s="37" t="str" cm="1">
        <f t="array" ref="O480">IF(TRIM(N480)="",INDEX($N$2:$N$1500,MATCH(MAX(COUNTIF($N$2:$N$1500,$N$2:$N$1500)),COUNTIF($N$2:$N$1500,$N$2:$N$1500),0)),N480)</f>
        <v>UPI</v>
      </c>
      <c r="P480" s="38" cm="1">
        <f t="array" ref="P480">ROUND(IF(TRIM(H480)="",IFERROR(MEDIAN(IF($M$2:$M$1500=M480,$H$2:$H$1500)),MEDIAN($H$2:$H$1500)),H480),2)</f>
        <v>12.21</v>
      </c>
      <c r="Q480" s="38" t="str">
        <f t="shared" si="45"/>
        <v>0</v>
      </c>
      <c r="R480" s="39" cm="1">
        <f t="array" ref="R480">IF(OR(TRIM(J480)="",TRIM(J480)="-"),MEDIAN(IF($C$2:$C$1218=C480,$J$2:$J$1218)),VALUE(SUBSTITUTE(SUBSTITUTE(SUBSTITUTE(J480,"Rs. ",""),"₹",""),",","")))</f>
        <v>25251</v>
      </c>
      <c r="S480" s="40">
        <f t="shared" si="43"/>
        <v>0</v>
      </c>
      <c r="T480" s="41">
        <f t="shared" si="46"/>
        <v>0</v>
      </c>
      <c r="U480" s="42">
        <f t="shared" si="47"/>
        <v>25251</v>
      </c>
    </row>
    <row r="481" spans="1:21" x14ac:dyDescent="0.3">
      <c r="A481" s="37" t="s">
        <v>3576</v>
      </c>
      <c r="B481" s="37" t="s">
        <v>2601</v>
      </c>
      <c r="C481" s="37" t="s">
        <v>2431</v>
      </c>
      <c r="D481" s="37" t="s">
        <v>25</v>
      </c>
      <c r="E481" s="37" t="s">
        <v>54</v>
      </c>
      <c r="F481" s="37" t="s">
        <v>49</v>
      </c>
      <c r="G481" s="37" t="s">
        <v>2418</v>
      </c>
      <c r="H481" s="37">
        <v>3.35</v>
      </c>
      <c r="I481" s="37"/>
      <c r="J481" s="37" t="s">
        <v>3577</v>
      </c>
      <c r="K481" s="37" t="s">
        <v>83</v>
      </c>
      <c r="L481" s="37">
        <v>0</v>
      </c>
      <c r="M481" s="37" t="str">
        <f t="shared" si="44"/>
        <v>General</v>
      </c>
      <c r="N481" s="37" t="str">
        <f t="shared" si="42"/>
        <v>Debit Card</v>
      </c>
      <c r="O481" s="37" t="str" cm="1">
        <f t="array" ref="O481">IF(TRIM(N481)="",INDEX($N$2:$N$1500,MATCH(MAX(COUNTIF($N$2:$N$1500,$N$2:$N$1500)),COUNTIF($N$2:$N$1500,$N$2:$N$1500),0)),N481)</f>
        <v>Debit Card</v>
      </c>
      <c r="P481" s="38" cm="1">
        <f t="array" ref="P481">ROUND(IF(TRIM(H481)="",IFERROR(MEDIAN(IF($M$2:$M$1500=M481,$H$2:$H$1500)),MEDIAN($H$2:$H$1500)),H481),2)</f>
        <v>3.35</v>
      </c>
      <c r="Q481" s="38" t="str">
        <f t="shared" si="45"/>
        <v>1</v>
      </c>
      <c r="R481" s="39" cm="1">
        <f t="array" ref="R481">IF(OR(TRIM(J481)="",TRIM(J481)="-"),MEDIAN(IF($C$2:$C$1218=C481,$J$2:$J$1218)),VALUE(SUBSTITUTE(SUBSTITUTE(SUBSTITUTE(J481,"Rs. ",""),"₹",""),",","")))</f>
        <v>10262</v>
      </c>
      <c r="S481" s="40">
        <f t="shared" si="43"/>
        <v>0</v>
      </c>
      <c r="T481" s="41">
        <f t="shared" si="46"/>
        <v>0</v>
      </c>
      <c r="U481" s="42">
        <f t="shared" si="47"/>
        <v>10262</v>
      </c>
    </row>
    <row r="482" spans="1:21" x14ac:dyDescent="0.3">
      <c r="A482" s="37" t="s">
        <v>3578</v>
      </c>
      <c r="B482" s="37" t="s">
        <v>2624</v>
      </c>
      <c r="C482" s="37" t="s">
        <v>2438</v>
      </c>
      <c r="D482" s="37" t="s">
        <v>78</v>
      </c>
      <c r="E482" s="37" t="s">
        <v>79</v>
      </c>
      <c r="F482" s="37" t="s">
        <v>39</v>
      </c>
      <c r="G482" s="37" t="s">
        <v>2450</v>
      </c>
      <c r="H482" s="37">
        <v>13.8</v>
      </c>
      <c r="I482" s="37"/>
      <c r="J482" s="37" t="s">
        <v>3579</v>
      </c>
      <c r="K482" s="37" t="s">
        <v>97</v>
      </c>
      <c r="L482" s="37">
        <v>0</v>
      </c>
      <c r="M482" s="37" t="str">
        <f t="shared" si="44"/>
        <v>General</v>
      </c>
      <c r="N482" s="37" t="str">
        <f t="shared" si="42"/>
        <v>UPI</v>
      </c>
      <c r="O482" s="37" t="str" cm="1">
        <f t="array" ref="O482">IF(TRIM(N482)="",INDEX($N$2:$N$1500,MATCH(MAX(COUNTIF($N$2:$N$1500,$N$2:$N$1500)),COUNTIF($N$2:$N$1500,$N$2:$N$1500),0)),N482)</f>
        <v>UPI</v>
      </c>
      <c r="P482" s="38" cm="1">
        <f t="array" ref="P482">ROUND(IF(TRIM(H482)="",IFERROR(MEDIAN(IF($M$2:$M$1500=M482,$H$2:$H$1500)),MEDIAN($H$2:$H$1500)),H482),2)</f>
        <v>13.8</v>
      </c>
      <c r="Q482" s="38" t="str">
        <f t="shared" si="45"/>
        <v>1</v>
      </c>
      <c r="R482" s="39" cm="1">
        <f t="array" ref="R482">IF(OR(TRIM(J482)="",TRIM(J482)="-"),MEDIAN(IF($C$2:$C$1218=C482,$J$2:$J$1218)),VALUE(SUBSTITUTE(SUBSTITUTE(SUBSTITUTE(J482,"Rs. ",""),"₹",""),",","")))</f>
        <v>4760</v>
      </c>
      <c r="S482" s="40">
        <f t="shared" si="43"/>
        <v>0</v>
      </c>
      <c r="T482" s="41">
        <f t="shared" si="46"/>
        <v>0</v>
      </c>
      <c r="U482" s="42">
        <f t="shared" si="47"/>
        <v>4760</v>
      </c>
    </row>
    <row r="483" spans="1:21" x14ac:dyDescent="0.3">
      <c r="A483" s="37" t="s">
        <v>3580</v>
      </c>
      <c r="B483" s="37" t="s">
        <v>3581</v>
      </c>
      <c r="C483" s="37" t="s">
        <v>2427</v>
      </c>
      <c r="D483" s="37" t="s">
        <v>45</v>
      </c>
      <c r="E483" s="37" t="s">
        <v>334</v>
      </c>
      <c r="F483" s="37" t="s">
        <v>49</v>
      </c>
      <c r="G483" s="37" t="s">
        <v>2408</v>
      </c>
      <c r="H483" s="37">
        <v>5.62</v>
      </c>
      <c r="I483" s="37">
        <v>13</v>
      </c>
      <c r="J483" s="37" t="s">
        <v>3582</v>
      </c>
      <c r="K483" s="37" t="s">
        <v>58</v>
      </c>
      <c r="L483" s="37">
        <v>10</v>
      </c>
      <c r="M483" s="37" t="str">
        <f t="shared" si="44"/>
        <v>General</v>
      </c>
      <c r="N483" s="37" t="str">
        <f t="shared" si="42"/>
        <v>UPI</v>
      </c>
      <c r="O483" s="37" t="str" cm="1">
        <f t="array" ref="O483">IF(TRIM(N483)="",INDEX($N$2:$N$1500,MATCH(MAX(COUNTIF($N$2:$N$1500,$N$2:$N$1500)),COUNTIF($N$2:$N$1500,$N$2:$N$1500),0)),N483)</f>
        <v>UPI</v>
      </c>
      <c r="P483" s="38" cm="1">
        <f t="array" ref="P483">ROUND(IF(TRIM(H483)="",IFERROR(MEDIAN(IF($M$2:$M$1500=M483,$H$2:$H$1500)),MEDIAN($H$2:$H$1500)),H483),2)</f>
        <v>5.62</v>
      </c>
      <c r="Q483" s="38" t="str">
        <f t="shared" si="45"/>
        <v>0</v>
      </c>
      <c r="R483" s="39" cm="1">
        <f t="array" ref="R483">IF(OR(TRIM(J483)="",TRIM(J483)="-"),MEDIAN(IF($C$2:$C$1218=C483,$J$2:$J$1218)),VALUE(SUBSTITUTE(SUBSTITUTE(SUBSTITUTE(J483,"Rs. ",""),"₹",""),",","")))</f>
        <v>11160</v>
      </c>
      <c r="S483" s="40">
        <f t="shared" si="43"/>
        <v>10</v>
      </c>
      <c r="T483" s="41">
        <f t="shared" si="46"/>
        <v>10</v>
      </c>
      <c r="U483" s="42">
        <f t="shared" si="47"/>
        <v>10044</v>
      </c>
    </row>
    <row r="484" spans="1:21" x14ac:dyDescent="0.3">
      <c r="A484" s="37" t="s">
        <v>3583</v>
      </c>
      <c r="B484" s="37" t="s">
        <v>3584</v>
      </c>
      <c r="C484" s="37" t="s">
        <v>2532</v>
      </c>
      <c r="D484" s="37" t="s">
        <v>106</v>
      </c>
      <c r="E484" s="37" t="s">
        <v>307</v>
      </c>
      <c r="F484" s="37" t="s">
        <v>69</v>
      </c>
      <c r="G484" s="37" t="s">
        <v>2486</v>
      </c>
      <c r="H484" s="37">
        <v>4.2699999999999996</v>
      </c>
      <c r="I484" s="37">
        <v>60</v>
      </c>
      <c r="J484" s="37" t="s">
        <v>3585</v>
      </c>
      <c r="K484" s="37" t="s">
        <v>87</v>
      </c>
      <c r="L484" s="37">
        <v>5</v>
      </c>
      <c r="M484" s="37" t="str">
        <f t="shared" si="44"/>
        <v>ICU</v>
      </c>
      <c r="N484" s="37" t="str">
        <f t="shared" si="42"/>
        <v>Credit Card</v>
      </c>
      <c r="O484" s="37" t="str" cm="1">
        <f t="array" ref="O484">IF(TRIM(N484)="",INDEX($N$2:$N$1500,MATCH(MAX(COUNTIF($N$2:$N$1500,$N$2:$N$1500)),COUNTIF($N$2:$N$1500,$N$2:$N$1500),0)),N484)</f>
        <v>Credit Card</v>
      </c>
      <c r="P484" s="38" cm="1">
        <f t="array" ref="P484">ROUND(IF(TRIM(H484)="",IFERROR(MEDIAN(IF($M$2:$M$1500=M484,$H$2:$H$1500)),MEDIAN($H$2:$H$1500)),H484),2)</f>
        <v>4.2699999999999996</v>
      </c>
      <c r="Q484" s="38" t="str">
        <f t="shared" si="45"/>
        <v>2+</v>
      </c>
      <c r="R484" s="39" cm="1">
        <f t="array" ref="R484">IF(OR(TRIM(J484)="",TRIM(J484)="-"),MEDIAN(IF($C$2:$C$1218=C484,$J$2:$J$1218)),VALUE(SUBSTITUTE(SUBSTITUTE(SUBSTITUTE(J484,"Rs. ",""),"₹",""),",","")))</f>
        <v>82924</v>
      </c>
      <c r="S484" s="40">
        <f t="shared" si="43"/>
        <v>5</v>
      </c>
      <c r="T484" s="41">
        <f t="shared" si="46"/>
        <v>5</v>
      </c>
      <c r="U484" s="42">
        <f t="shared" si="47"/>
        <v>78778</v>
      </c>
    </row>
    <row r="485" spans="1:21" x14ac:dyDescent="0.3">
      <c r="A485" s="37" t="s">
        <v>3586</v>
      </c>
      <c r="B485" s="37" t="s">
        <v>3587</v>
      </c>
      <c r="C485" s="37" t="s">
        <v>2485</v>
      </c>
      <c r="D485" s="37" t="s">
        <v>117</v>
      </c>
      <c r="E485" s="37" t="s">
        <v>127</v>
      </c>
      <c r="F485" s="37" t="s">
        <v>62</v>
      </c>
      <c r="G485" s="37" t="s">
        <v>2455</v>
      </c>
      <c r="H485" s="37">
        <v>5.99</v>
      </c>
      <c r="I485" s="37">
        <v>32</v>
      </c>
      <c r="J485" s="37">
        <v>85026</v>
      </c>
      <c r="K485" s="37" t="s">
        <v>34</v>
      </c>
      <c r="L485" s="37">
        <v>0.05</v>
      </c>
      <c r="M485" s="37" t="str">
        <f t="shared" si="44"/>
        <v>ICU</v>
      </c>
      <c r="N485" s="37" t="str">
        <f t="shared" si="42"/>
        <v>Cash</v>
      </c>
      <c r="O485" s="37" t="str" cm="1">
        <f t="array" ref="O485">IF(TRIM(N485)="",INDEX($N$2:$N$1500,MATCH(MAX(COUNTIF($N$2:$N$1500,$N$2:$N$1500)),COUNTIF($N$2:$N$1500,$N$2:$N$1500),0)),N485)</f>
        <v>Cash</v>
      </c>
      <c r="P485" s="38" cm="1">
        <f t="array" ref="P485">ROUND(IF(TRIM(H485)="",IFERROR(MEDIAN(IF($M$2:$M$1500=M485,$H$2:$H$1500)),MEDIAN($H$2:$H$1500)),H485),2)</f>
        <v>5.99</v>
      </c>
      <c r="Q485" s="38" t="str">
        <f t="shared" si="45"/>
        <v>1</v>
      </c>
      <c r="R485" s="39" cm="1">
        <f t="array" ref="R485">IF(OR(TRIM(J485)="",TRIM(J485)="-"),MEDIAN(IF($C$2:$C$1218=C485,$J$2:$J$1218)),VALUE(SUBSTITUTE(SUBSTITUTE(SUBSTITUTE(J485,"Rs. ",""),"₹",""),",","")))</f>
        <v>85026</v>
      </c>
      <c r="S485" s="40">
        <f t="shared" si="43"/>
        <v>0.05</v>
      </c>
      <c r="T485" s="41">
        <f t="shared" si="46"/>
        <v>0</v>
      </c>
      <c r="U485" s="42">
        <f t="shared" si="47"/>
        <v>85026</v>
      </c>
    </row>
    <row r="486" spans="1:21" x14ac:dyDescent="0.3">
      <c r="A486" s="37" t="s">
        <v>3588</v>
      </c>
      <c r="B486" s="37" t="s">
        <v>3589</v>
      </c>
      <c r="C486" s="37" t="s">
        <v>2514</v>
      </c>
      <c r="D486" s="37" t="s">
        <v>78</v>
      </c>
      <c r="E486" s="37" t="s">
        <v>79</v>
      </c>
      <c r="F486" s="37" t="s">
        <v>30</v>
      </c>
      <c r="G486" s="37" t="s">
        <v>2423</v>
      </c>
      <c r="H486" s="37">
        <v>5.54</v>
      </c>
      <c r="I486" s="37">
        <v>38</v>
      </c>
      <c r="J486" s="37" t="s">
        <v>3590</v>
      </c>
      <c r="K486" s="37" t="s">
        <v>23</v>
      </c>
      <c r="L486" s="37">
        <v>10</v>
      </c>
      <c r="M486" s="37" t="str">
        <f t="shared" si="44"/>
        <v>General</v>
      </c>
      <c r="N486" s="37" t="str">
        <f t="shared" si="42"/>
        <v>Credit Card</v>
      </c>
      <c r="O486" s="37" t="str" cm="1">
        <f t="array" ref="O486">IF(TRIM(N486)="",INDEX($N$2:$N$1500,MATCH(MAX(COUNTIF($N$2:$N$1500,$N$2:$N$1500)),COUNTIF($N$2:$N$1500,$N$2:$N$1500),0)),N486)</f>
        <v>Credit Card</v>
      </c>
      <c r="P486" s="38" cm="1">
        <f t="array" ref="P486">ROUND(IF(TRIM(H486)="",IFERROR(MEDIAN(IF($M$2:$M$1500=M486,$H$2:$H$1500)),MEDIAN($H$2:$H$1500)),H486),2)</f>
        <v>5.54</v>
      </c>
      <c r="Q486" s="38" t="str">
        <f t="shared" si="45"/>
        <v>0</v>
      </c>
      <c r="R486" s="39" cm="1">
        <f t="array" ref="R486">IF(OR(TRIM(J486)="",TRIM(J486)="-"),MEDIAN(IF($C$2:$C$1218=C486,$J$2:$J$1218)),VALUE(SUBSTITUTE(SUBSTITUTE(SUBSTITUTE(J486,"Rs. ",""),"₹",""),",","")))</f>
        <v>5322</v>
      </c>
      <c r="S486" s="40">
        <f t="shared" si="43"/>
        <v>10</v>
      </c>
      <c r="T486" s="41">
        <f t="shared" si="46"/>
        <v>10</v>
      </c>
      <c r="U486" s="42">
        <f t="shared" si="47"/>
        <v>4790</v>
      </c>
    </row>
    <row r="487" spans="1:21" x14ac:dyDescent="0.3">
      <c r="A487" s="37" t="s">
        <v>3591</v>
      </c>
      <c r="B487" s="37" t="s">
        <v>3592</v>
      </c>
      <c r="C487" s="37" t="s">
        <v>2730</v>
      </c>
      <c r="D487" s="37" t="s">
        <v>14</v>
      </c>
      <c r="E487" s="37" t="s">
        <v>60</v>
      </c>
      <c r="F487" s="37" t="s">
        <v>39</v>
      </c>
      <c r="G487" s="37" t="s">
        <v>2418</v>
      </c>
      <c r="H487" s="37">
        <v>8.09</v>
      </c>
      <c r="I487" s="37">
        <v>21</v>
      </c>
      <c r="J487" s="37" t="s">
        <v>3593</v>
      </c>
      <c r="K487" s="37" t="s">
        <v>72</v>
      </c>
      <c r="L487" s="37" t="s">
        <v>198</v>
      </c>
      <c r="M487" s="37" t="str">
        <f t="shared" si="44"/>
        <v>General</v>
      </c>
      <c r="N487" s="37" t="str">
        <f t="shared" si="42"/>
        <v>Cash</v>
      </c>
      <c r="O487" s="37" t="str" cm="1">
        <f t="array" ref="O487">IF(TRIM(N487)="",INDEX($N$2:$N$1500,MATCH(MAX(COUNTIF($N$2:$N$1500,$N$2:$N$1500)),COUNTIF($N$2:$N$1500,$N$2:$N$1500),0)),N487)</f>
        <v>Cash</v>
      </c>
      <c r="P487" s="38" cm="1">
        <f t="array" ref="P487">ROUND(IF(TRIM(H487)="",IFERROR(MEDIAN(IF($M$2:$M$1500=M487,$H$2:$H$1500)),MEDIAN($H$2:$H$1500)),H487),2)</f>
        <v>8.09</v>
      </c>
      <c r="Q487" s="38" t="str">
        <f t="shared" si="45"/>
        <v>1</v>
      </c>
      <c r="R487" s="39" cm="1">
        <f t="array" ref="R487">IF(OR(TRIM(J487)="",TRIM(J487)="-"),MEDIAN(IF($C$2:$C$1218=C487,$J$2:$J$1218)),VALUE(SUBSTITUTE(SUBSTITUTE(SUBSTITUTE(J487,"Rs. ",""),"₹",""),",","")))</f>
        <v>8183</v>
      </c>
      <c r="S487" s="40">
        <f t="shared" si="43"/>
        <v>5</v>
      </c>
      <c r="T487" s="41">
        <f t="shared" si="46"/>
        <v>5</v>
      </c>
      <c r="U487" s="42">
        <f t="shared" si="47"/>
        <v>7774</v>
      </c>
    </row>
    <row r="488" spans="1:21" x14ac:dyDescent="0.3">
      <c r="A488" s="37" t="s">
        <v>3594</v>
      </c>
      <c r="B488" s="37" t="s">
        <v>3595</v>
      </c>
      <c r="C488" s="37" t="s">
        <v>2454</v>
      </c>
      <c r="D488" s="37" t="s">
        <v>117</v>
      </c>
      <c r="E488" s="37" t="s">
        <v>127</v>
      </c>
      <c r="F488" s="37" t="s">
        <v>30</v>
      </c>
      <c r="G488" s="37" t="s">
        <v>2477</v>
      </c>
      <c r="H488" s="37"/>
      <c r="I488" s="37">
        <v>51</v>
      </c>
      <c r="J488" s="37" t="s">
        <v>3596</v>
      </c>
      <c r="K488" s="37" t="s">
        <v>42</v>
      </c>
      <c r="L488" s="37">
        <v>35</v>
      </c>
      <c r="M488" s="37" t="str">
        <f t="shared" si="44"/>
        <v>General</v>
      </c>
      <c r="N488" s="37" t="str">
        <f t="shared" si="42"/>
        <v>Insurance</v>
      </c>
      <c r="O488" s="37" t="str" cm="1">
        <f t="array" ref="O488">IF(TRIM(N488)="",INDEX($N$2:$N$1500,MATCH(MAX(COUNTIF($N$2:$N$1500,$N$2:$N$1500)),COUNTIF($N$2:$N$1500,$N$2:$N$1500),0)),N488)</f>
        <v>Insurance</v>
      </c>
      <c r="P488" s="38" cm="1">
        <f t="array" ref="P488">ROUND(IF(TRIM(H488)="",IFERROR(MEDIAN(IF($M$2:$M$1500=M488,$H$2:$H$1500)),MEDIAN($H$2:$H$1500)),H488),2)</f>
        <v>12.02</v>
      </c>
      <c r="Q488" s="38" t="str">
        <f t="shared" si="45"/>
        <v>0</v>
      </c>
      <c r="R488" s="39" cm="1">
        <f t="array" ref="R488">IF(OR(TRIM(J488)="",TRIM(J488)="-"),MEDIAN(IF($C$2:$C$1218=C488,$J$2:$J$1218)),VALUE(SUBSTITUTE(SUBSTITUTE(SUBSTITUTE(J488,"Rs. ",""),"₹",""),",","")))</f>
        <v>3462</v>
      </c>
      <c r="S488" s="40">
        <f t="shared" si="43"/>
        <v>35</v>
      </c>
      <c r="T488" s="41">
        <f t="shared" si="46"/>
        <v>35</v>
      </c>
      <c r="U488" s="42">
        <f t="shared" si="47"/>
        <v>2250</v>
      </c>
    </row>
    <row r="489" spans="1:21" x14ac:dyDescent="0.3">
      <c r="A489" s="37" t="s">
        <v>3597</v>
      </c>
      <c r="B489" s="37" t="s">
        <v>3598</v>
      </c>
      <c r="C489" s="37" t="s">
        <v>2494</v>
      </c>
      <c r="D489" s="37" t="s">
        <v>25</v>
      </c>
      <c r="E489" s="37" t="s">
        <v>54</v>
      </c>
      <c r="F489" s="37" t="s">
        <v>19</v>
      </c>
      <c r="G489" s="37" t="s">
        <v>2418</v>
      </c>
      <c r="H489" s="37">
        <v>13.77</v>
      </c>
      <c r="I489" s="37" t="s">
        <v>140</v>
      </c>
      <c r="J489" s="37">
        <v>15997</v>
      </c>
      <c r="K489" s="37" t="s">
        <v>104</v>
      </c>
      <c r="L489" s="37">
        <v>0.05</v>
      </c>
      <c r="M489" s="37" t="str">
        <f t="shared" si="44"/>
        <v>General</v>
      </c>
      <c r="N489" s="37" t="str">
        <f t="shared" si="42"/>
        <v>Insurance</v>
      </c>
      <c r="O489" s="37" t="str" cm="1">
        <f t="array" ref="O489">IF(TRIM(N489)="",INDEX($N$2:$N$1500,MATCH(MAX(COUNTIF($N$2:$N$1500,$N$2:$N$1500)),COUNTIF($N$2:$N$1500,$N$2:$N$1500),0)),N489)</f>
        <v>Insurance</v>
      </c>
      <c r="P489" s="38" cm="1">
        <f t="array" ref="P489">ROUND(IF(TRIM(H489)="",IFERROR(MEDIAN(IF($M$2:$M$1500=M489,$H$2:$H$1500)),MEDIAN($H$2:$H$1500)),H489),2)</f>
        <v>13.77</v>
      </c>
      <c r="Q489" s="38" t="str">
        <f t="shared" si="45"/>
        <v>1</v>
      </c>
      <c r="R489" s="39" cm="1">
        <f t="array" ref="R489">IF(OR(TRIM(J489)="",TRIM(J489)="-"),MEDIAN(IF($C$2:$C$1218=C489,$J$2:$J$1218)),VALUE(SUBSTITUTE(SUBSTITUTE(SUBSTITUTE(J489,"Rs. ",""),"₹",""),",","")))</f>
        <v>15997</v>
      </c>
      <c r="S489" s="40">
        <f t="shared" si="43"/>
        <v>0.05</v>
      </c>
      <c r="T489" s="41">
        <f t="shared" si="46"/>
        <v>0</v>
      </c>
      <c r="U489" s="42">
        <f t="shared" si="47"/>
        <v>15997</v>
      </c>
    </row>
    <row r="490" spans="1:21" x14ac:dyDescent="0.3">
      <c r="A490" s="37" t="s">
        <v>3599</v>
      </c>
      <c r="B490" s="37" t="s">
        <v>3116</v>
      </c>
      <c r="C490" s="37" t="s">
        <v>2485</v>
      </c>
      <c r="D490" s="37" t="s">
        <v>78</v>
      </c>
      <c r="E490" s="37" t="s">
        <v>79</v>
      </c>
      <c r="F490" s="37" t="s">
        <v>30</v>
      </c>
      <c r="G490" s="37" t="s">
        <v>2412</v>
      </c>
      <c r="H490" s="37">
        <v>22.08</v>
      </c>
      <c r="I490" s="37">
        <v>11</v>
      </c>
      <c r="J490" s="37">
        <v>15508</v>
      </c>
      <c r="K490" s="37" t="s">
        <v>97</v>
      </c>
      <c r="L490" s="37" t="s">
        <v>76</v>
      </c>
      <c r="M490" s="37" t="str">
        <f t="shared" si="44"/>
        <v>General</v>
      </c>
      <c r="N490" s="37" t="str">
        <f t="shared" si="42"/>
        <v>UPI</v>
      </c>
      <c r="O490" s="37" t="str" cm="1">
        <f t="array" ref="O490">IF(TRIM(N490)="",INDEX($N$2:$N$1500,MATCH(MAX(COUNTIF($N$2:$N$1500,$N$2:$N$1500)),COUNTIF($N$2:$N$1500,$N$2:$N$1500),0)),N490)</f>
        <v>UPI</v>
      </c>
      <c r="P490" s="38" cm="1">
        <f t="array" ref="P490">ROUND(IF(TRIM(H490)="",IFERROR(MEDIAN(IF($M$2:$M$1500=M490,$H$2:$H$1500)),MEDIAN($H$2:$H$1500)),H490),2)</f>
        <v>22.08</v>
      </c>
      <c r="Q490" s="38" t="str">
        <f t="shared" si="45"/>
        <v>1</v>
      </c>
      <c r="R490" s="39" cm="1">
        <f t="array" ref="R490">IF(OR(TRIM(J490)="",TRIM(J490)="-"),MEDIAN(IF($C$2:$C$1218=C490,$J$2:$J$1218)),VALUE(SUBSTITUTE(SUBSTITUTE(SUBSTITUTE(J490,"Rs. ",""),"₹",""),",","")))</f>
        <v>15508</v>
      </c>
      <c r="S490" s="40">
        <f t="shared" si="43"/>
        <v>10</v>
      </c>
      <c r="T490" s="41">
        <f t="shared" si="46"/>
        <v>10</v>
      </c>
      <c r="U490" s="42">
        <f t="shared" si="47"/>
        <v>13957</v>
      </c>
    </row>
    <row r="491" spans="1:21" x14ac:dyDescent="0.3">
      <c r="A491" s="37" t="s">
        <v>3600</v>
      </c>
      <c r="B491" s="37" t="s">
        <v>3601</v>
      </c>
      <c r="C491" s="37" t="s">
        <v>2449</v>
      </c>
      <c r="D491" s="37" t="s">
        <v>25</v>
      </c>
      <c r="E491" s="37" t="s">
        <v>26</v>
      </c>
      <c r="F491" s="37" t="s">
        <v>19</v>
      </c>
      <c r="G491" s="37" t="s">
        <v>2408</v>
      </c>
      <c r="H491" s="37">
        <v>22.9</v>
      </c>
      <c r="I491" s="37">
        <v>52</v>
      </c>
      <c r="J491" s="37">
        <v>5106</v>
      </c>
      <c r="K491" s="37" t="s">
        <v>72</v>
      </c>
      <c r="L491" s="37"/>
      <c r="M491" s="37" t="str">
        <f t="shared" si="44"/>
        <v>General</v>
      </c>
      <c r="N491" s="37" t="str">
        <f t="shared" si="42"/>
        <v>Cash</v>
      </c>
      <c r="O491" s="37" t="str" cm="1">
        <f t="array" ref="O491">IF(TRIM(N491)="",INDEX($N$2:$N$1500,MATCH(MAX(COUNTIF($N$2:$N$1500,$N$2:$N$1500)),COUNTIF($N$2:$N$1500,$N$2:$N$1500),0)),N491)</f>
        <v>Cash</v>
      </c>
      <c r="P491" s="38" cm="1">
        <f t="array" ref="P491">ROUND(IF(TRIM(H491)="",IFERROR(MEDIAN(IF($M$2:$M$1500=M491,$H$2:$H$1500)),MEDIAN($H$2:$H$1500)),H491),2)</f>
        <v>22.9</v>
      </c>
      <c r="Q491" s="38" t="str">
        <f t="shared" si="45"/>
        <v>0</v>
      </c>
      <c r="R491" s="39" cm="1">
        <f t="array" ref="R491">IF(OR(TRIM(J491)="",TRIM(J491)="-"),MEDIAN(IF($C$2:$C$1218=C491,$J$2:$J$1218)),VALUE(SUBSTITUTE(SUBSTITUTE(SUBSTITUTE(J491,"Rs. ",""),"₹",""),",","")))</f>
        <v>5106</v>
      </c>
      <c r="S491" s="40">
        <f t="shared" si="43"/>
        <v>0</v>
      </c>
      <c r="T491" s="41">
        <f t="shared" si="46"/>
        <v>0</v>
      </c>
      <c r="U491" s="42">
        <f t="shared" si="47"/>
        <v>5106</v>
      </c>
    </row>
    <row r="492" spans="1:21" x14ac:dyDescent="0.3">
      <c r="A492" s="37" t="s">
        <v>3602</v>
      </c>
      <c r="B492" s="37" t="s">
        <v>2684</v>
      </c>
      <c r="C492" s="37" t="s">
        <v>2577</v>
      </c>
      <c r="D492" s="37" t="s">
        <v>45</v>
      </c>
      <c r="E492" s="37" t="s">
        <v>46</v>
      </c>
      <c r="F492" s="37" t="s">
        <v>19</v>
      </c>
      <c r="G492" s="37" t="s">
        <v>2428</v>
      </c>
      <c r="H492" s="37">
        <v>19.43</v>
      </c>
      <c r="I492" s="37">
        <v>59</v>
      </c>
      <c r="J492" s="37" t="s">
        <v>3603</v>
      </c>
      <c r="K492" s="37" t="s">
        <v>211</v>
      </c>
      <c r="L492" s="37">
        <v>10</v>
      </c>
      <c r="M492" s="37" t="str">
        <f t="shared" si="44"/>
        <v>General</v>
      </c>
      <c r="N492" s="37" t="str">
        <f t="shared" si="42"/>
        <v>Credit Card</v>
      </c>
      <c r="O492" s="37" t="str" cm="1">
        <f t="array" ref="O492">IF(TRIM(N492)="",INDEX($N$2:$N$1500,MATCH(MAX(COUNTIF($N$2:$N$1500,$N$2:$N$1500)),COUNTIF($N$2:$N$1500,$N$2:$N$1500),0)),N492)</f>
        <v>Credit Card</v>
      </c>
      <c r="P492" s="38" cm="1">
        <f t="array" ref="P492">ROUND(IF(TRIM(H492)="",IFERROR(MEDIAN(IF($M$2:$M$1500=M492,$H$2:$H$1500)),MEDIAN($H$2:$H$1500)),H492),2)</f>
        <v>19.43</v>
      </c>
      <c r="Q492" s="38" t="str">
        <f t="shared" si="45"/>
        <v>2</v>
      </c>
      <c r="R492" s="39" cm="1">
        <f t="array" ref="R492">IF(OR(TRIM(J492)="",TRIM(J492)="-"),MEDIAN(IF($C$2:$C$1218=C492,$J$2:$J$1218)),VALUE(SUBSTITUTE(SUBSTITUTE(SUBSTITUTE(J492,"Rs. ",""),"₹",""),",","")))</f>
        <v>15491</v>
      </c>
      <c r="S492" s="40">
        <f t="shared" si="43"/>
        <v>10</v>
      </c>
      <c r="T492" s="41">
        <f t="shared" si="46"/>
        <v>10</v>
      </c>
      <c r="U492" s="42">
        <f t="shared" si="47"/>
        <v>13942</v>
      </c>
    </row>
    <row r="493" spans="1:21" x14ac:dyDescent="0.3">
      <c r="A493" s="37" t="s">
        <v>3604</v>
      </c>
      <c r="B493" s="37" t="s">
        <v>3605</v>
      </c>
      <c r="C493" s="37" t="s">
        <v>2730</v>
      </c>
      <c r="D493" s="37" t="s">
        <v>106</v>
      </c>
      <c r="E493" s="37" t="s">
        <v>107</v>
      </c>
      <c r="F493" s="37" t="s">
        <v>49</v>
      </c>
      <c r="G493" s="37" t="s">
        <v>2455</v>
      </c>
      <c r="H493" s="37">
        <v>8.93</v>
      </c>
      <c r="I493" s="37">
        <v>2</v>
      </c>
      <c r="J493" s="37">
        <v>15805</v>
      </c>
      <c r="K493" s="37" t="s">
        <v>72</v>
      </c>
      <c r="L493" s="37">
        <v>0.1</v>
      </c>
      <c r="M493" s="37" t="str">
        <f t="shared" si="44"/>
        <v>General</v>
      </c>
      <c r="N493" s="37" t="str">
        <f t="shared" si="42"/>
        <v>Cash</v>
      </c>
      <c r="O493" s="37" t="str" cm="1">
        <f t="array" ref="O493">IF(TRIM(N493)="",INDEX($N$2:$N$1500,MATCH(MAX(COUNTIF($N$2:$N$1500,$N$2:$N$1500)),COUNTIF($N$2:$N$1500,$N$2:$N$1500),0)),N493)</f>
        <v>Cash</v>
      </c>
      <c r="P493" s="38" cm="1">
        <f t="array" ref="P493">ROUND(IF(TRIM(H493)="",IFERROR(MEDIAN(IF($M$2:$M$1500=M493,$H$2:$H$1500)),MEDIAN($H$2:$H$1500)),H493),2)</f>
        <v>8.93</v>
      </c>
      <c r="Q493" s="38" t="str">
        <f t="shared" si="45"/>
        <v>1</v>
      </c>
      <c r="R493" s="39" cm="1">
        <f t="array" ref="R493">IF(OR(TRIM(J493)="",TRIM(J493)="-"),MEDIAN(IF($C$2:$C$1218=C493,$J$2:$J$1218)),VALUE(SUBSTITUTE(SUBSTITUTE(SUBSTITUTE(J493,"Rs. ",""),"₹",""),",","")))</f>
        <v>15805</v>
      </c>
      <c r="S493" s="40">
        <f t="shared" si="43"/>
        <v>0.1</v>
      </c>
      <c r="T493" s="41">
        <f t="shared" si="46"/>
        <v>0</v>
      </c>
      <c r="U493" s="42">
        <f t="shared" si="47"/>
        <v>15805</v>
      </c>
    </row>
    <row r="494" spans="1:21" x14ac:dyDescent="0.3">
      <c r="A494" s="37" t="s">
        <v>3606</v>
      </c>
      <c r="B494" s="37" t="s">
        <v>3607</v>
      </c>
      <c r="C494" s="37" t="s">
        <v>2415</v>
      </c>
      <c r="D494" s="37" t="s">
        <v>14</v>
      </c>
      <c r="E494" s="37" t="s">
        <v>60</v>
      </c>
      <c r="F494" s="37" t="s">
        <v>39</v>
      </c>
      <c r="G494" s="37" t="s">
        <v>2455</v>
      </c>
      <c r="H494" s="37">
        <v>12.86</v>
      </c>
      <c r="I494" s="37">
        <v>55</v>
      </c>
      <c r="J494" s="37">
        <v>4452</v>
      </c>
      <c r="K494" s="37" t="s">
        <v>167</v>
      </c>
      <c r="L494" s="37" t="s">
        <v>1626</v>
      </c>
      <c r="M494" s="37" t="str">
        <f t="shared" si="44"/>
        <v>General</v>
      </c>
      <c r="N494" s="37" t="str">
        <f t="shared" si="42"/>
        <v>Insurance</v>
      </c>
      <c r="O494" s="37" t="str" cm="1">
        <f t="array" ref="O494">IF(TRIM(N494)="",INDEX($N$2:$N$1500,MATCH(MAX(COUNTIF($N$2:$N$1500,$N$2:$N$1500)),COUNTIF($N$2:$N$1500,$N$2:$N$1500),0)),N494)</f>
        <v>Insurance</v>
      </c>
      <c r="P494" s="38" cm="1">
        <f t="array" ref="P494">ROUND(IF(TRIM(H494)="",IFERROR(MEDIAN(IF($M$2:$M$1500=M494,$H$2:$H$1500)),MEDIAN($H$2:$H$1500)),H494),2)</f>
        <v>12.86</v>
      </c>
      <c r="Q494" s="38" t="str">
        <f t="shared" si="45"/>
        <v>1</v>
      </c>
      <c r="R494" s="39" cm="1">
        <f t="array" ref="R494">IF(OR(TRIM(J494)="",TRIM(J494)="-"),MEDIAN(IF($C$2:$C$1218=C494,$J$2:$J$1218)),VALUE(SUBSTITUTE(SUBSTITUTE(SUBSTITUTE(J494,"Rs. ",""),"₹",""),",","")))</f>
        <v>4452</v>
      </c>
      <c r="S494" s="40">
        <f t="shared" si="43"/>
        <v>40</v>
      </c>
      <c r="T494" s="41">
        <f t="shared" si="46"/>
        <v>40</v>
      </c>
      <c r="U494" s="42">
        <f t="shared" si="47"/>
        <v>2671</v>
      </c>
    </row>
    <row r="495" spans="1:21" x14ac:dyDescent="0.3">
      <c r="A495" s="37" t="s">
        <v>3608</v>
      </c>
      <c r="B495" s="37" t="s">
        <v>3609</v>
      </c>
      <c r="C495" s="37" t="s">
        <v>2561</v>
      </c>
      <c r="D495" s="37" t="s">
        <v>14</v>
      </c>
      <c r="E495" s="37" t="s">
        <v>60</v>
      </c>
      <c r="F495" s="37"/>
      <c r="G495" s="37" t="s">
        <v>2477</v>
      </c>
      <c r="H495" s="37">
        <v>10.96</v>
      </c>
      <c r="I495" s="37">
        <v>14</v>
      </c>
      <c r="J495" s="37">
        <v>8136</v>
      </c>
      <c r="K495" s="37" t="s">
        <v>83</v>
      </c>
      <c r="L495" s="37">
        <v>0.05</v>
      </c>
      <c r="M495" s="37" t="str">
        <f t="shared" si="44"/>
        <v>Unknown</v>
      </c>
      <c r="N495" s="37" t="str">
        <f t="shared" si="42"/>
        <v>Debit Card</v>
      </c>
      <c r="O495" s="37" t="str" cm="1">
        <f t="array" ref="O495">IF(TRIM(N495)="",INDEX($N$2:$N$1500,MATCH(MAX(COUNTIF($N$2:$N$1500,$N$2:$N$1500)),COUNTIF($N$2:$N$1500,$N$2:$N$1500),0)),N495)</f>
        <v>Debit Card</v>
      </c>
      <c r="P495" s="38" cm="1">
        <f t="array" ref="P495">ROUND(IF(TRIM(H495)="",IFERROR(MEDIAN(IF($M$2:$M$1500=M495,$H$2:$H$1500)),MEDIAN($H$2:$H$1500)),H495),2)</f>
        <v>10.96</v>
      </c>
      <c r="Q495" s="38" t="str">
        <f t="shared" si="45"/>
        <v>0</v>
      </c>
      <c r="R495" s="39" cm="1">
        <f t="array" ref="R495">IF(OR(TRIM(J495)="",TRIM(J495)="-"),MEDIAN(IF($C$2:$C$1218=C495,$J$2:$J$1218)),VALUE(SUBSTITUTE(SUBSTITUTE(SUBSTITUTE(J495,"Rs. ",""),"₹",""),",","")))</f>
        <v>8136</v>
      </c>
      <c r="S495" s="40">
        <f t="shared" si="43"/>
        <v>0.05</v>
      </c>
      <c r="T495" s="41">
        <f t="shared" si="46"/>
        <v>0</v>
      </c>
      <c r="U495" s="42">
        <f t="shared" si="47"/>
        <v>8136</v>
      </c>
    </row>
    <row r="496" spans="1:21" x14ac:dyDescent="0.3">
      <c r="A496" s="37" t="s">
        <v>3610</v>
      </c>
      <c r="B496" s="37" t="s">
        <v>3611</v>
      </c>
      <c r="C496" s="37" t="s">
        <v>2407</v>
      </c>
      <c r="D496" s="37" t="s">
        <v>106</v>
      </c>
      <c r="E496" s="37" t="s">
        <v>107</v>
      </c>
      <c r="F496" s="37"/>
      <c r="G496" s="37" t="s">
        <v>2450</v>
      </c>
      <c r="H496" s="37">
        <v>15.2</v>
      </c>
      <c r="I496" s="37">
        <v>20</v>
      </c>
      <c r="J496" s="37" t="s">
        <v>3612</v>
      </c>
      <c r="K496" s="37" t="s">
        <v>104</v>
      </c>
      <c r="L496" s="37" t="s">
        <v>64</v>
      </c>
      <c r="M496" s="37" t="str">
        <f t="shared" si="44"/>
        <v>Unknown</v>
      </c>
      <c r="N496" s="37" t="str">
        <f t="shared" si="42"/>
        <v>Insurance</v>
      </c>
      <c r="O496" s="37" t="str" cm="1">
        <f t="array" ref="O496">IF(TRIM(N496)="",INDEX($N$2:$N$1500,MATCH(MAX(COUNTIF($N$2:$N$1500,$N$2:$N$1500)),COUNTIF($N$2:$N$1500,$N$2:$N$1500),0)),N496)</f>
        <v>Insurance</v>
      </c>
      <c r="P496" s="38" cm="1">
        <f t="array" ref="P496">ROUND(IF(TRIM(H496)="",IFERROR(MEDIAN(IF($M$2:$M$1500=M496,$H$2:$H$1500)),MEDIAN($H$2:$H$1500)),H496),2)</f>
        <v>15.2</v>
      </c>
      <c r="Q496" s="38" t="str">
        <f t="shared" si="45"/>
        <v>1</v>
      </c>
      <c r="R496" s="39" cm="1">
        <f t="array" ref="R496">IF(OR(TRIM(J496)="",TRIM(J496)="-"),MEDIAN(IF($C$2:$C$1218=C496,$J$2:$J$1218)),VALUE(SUBSTITUTE(SUBSTITUTE(SUBSTITUTE(J496,"Rs. ",""),"₹",""),",","")))</f>
        <v>8289</v>
      </c>
      <c r="S496" s="40" t="str">
        <f t="shared" si="43"/>
        <v>NA</v>
      </c>
      <c r="T496" s="41">
        <f t="shared" si="46"/>
        <v>17</v>
      </c>
      <c r="U496" s="42">
        <f t="shared" si="47"/>
        <v>6880</v>
      </c>
    </row>
    <row r="497" spans="1:21" x14ac:dyDescent="0.3">
      <c r="A497" s="37" t="s">
        <v>3613</v>
      </c>
      <c r="B497" s="37" t="s">
        <v>2702</v>
      </c>
      <c r="C497" s="37" t="s">
        <v>2494</v>
      </c>
      <c r="D497" s="37" t="s">
        <v>117</v>
      </c>
      <c r="E497" s="37" t="s">
        <v>182</v>
      </c>
      <c r="F497" s="37" t="s">
        <v>62</v>
      </c>
      <c r="G497" s="37" t="s">
        <v>2423</v>
      </c>
      <c r="H497" s="37">
        <v>15.54</v>
      </c>
      <c r="I497" s="37">
        <v>30</v>
      </c>
      <c r="J497" s="37">
        <v>20167</v>
      </c>
      <c r="K497" s="37" t="s">
        <v>83</v>
      </c>
      <c r="L497" s="37" t="s">
        <v>198</v>
      </c>
      <c r="M497" s="37" t="str">
        <f t="shared" si="44"/>
        <v>ICU</v>
      </c>
      <c r="N497" s="37" t="str">
        <f t="shared" si="42"/>
        <v>Debit Card</v>
      </c>
      <c r="O497" s="37" t="str" cm="1">
        <f t="array" ref="O497">IF(TRIM(N497)="",INDEX($N$2:$N$1500,MATCH(MAX(COUNTIF($N$2:$N$1500,$N$2:$N$1500)),COUNTIF($N$2:$N$1500,$N$2:$N$1500),0)),N497)</f>
        <v>Debit Card</v>
      </c>
      <c r="P497" s="38" cm="1">
        <f t="array" ref="P497">ROUND(IF(TRIM(H497)="",IFERROR(MEDIAN(IF($M$2:$M$1500=M497,$H$2:$H$1500)),MEDIAN($H$2:$H$1500)),H497),2)</f>
        <v>15.54</v>
      </c>
      <c r="Q497" s="38" t="str">
        <f t="shared" si="45"/>
        <v>0</v>
      </c>
      <c r="R497" s="39" cm="1">
        <f t="array" ref="R497">IF(OR(TRIM(J497)="",TRIM(J497)="-"),MEDIAN(IF($C$2:$C$1218=C497,$J$2:$J$1218)),VALUE(SUBSTITUTE(SUBSTITUTE(SUBSTITUTE(J497,"Rs. ",""),"₹",""),",","")))</f>
        <v>20167</v>
      </c>
      <c r="S497" s="40">
        <f t="shared" si="43"/>
        <v>5</v>
      </c>
      <c r="T497" s="41">
        <f t="shared" si="46"/>
        <v>5</v>
      </c>
      <c r="U497" s="42">
        <f t="shared" si="47"/>
        <v>19159</v>
      </c>
    </row>
    <row r="498" spans="1:21" x14ac:dyDescent="0.3">
      <c r="A498" s="37" t="s">
        <v>3614</v>
      </c>
      <c r="B498" s="37" t="s">
        <v>3615</v>
      </c>
      <c r="C498" s="37" t="s">
        <v>2561</v>
      </c>
      <c r="D498" s="37" t="s">
        <v>25</v>
      </c>
      <c r="E498" s="37" t="s">
        <v>54</v>
      </c>
      <c r="F498" s="37" t="s">
        <v>30</v>
      </c>
      <c r="G498" s="37" t="s">
        <v>2435</v>
      </c>
      <c r="H498" s="37">
        <v>24.77</v>
      </c>
      <c r="I498" s="37">
        <v>15</v>
      </c>
      <c r="J498" s="37">
        <v>8581</v>
      </c>
      <c r="K498" s="37" t="s">
        <v>149</v>
      </c>
      <c r="L498" s="37" t="s">
        <v>1626</v>
      </c>
      <c r="M498" s="37" t="str">
        <f t="shared" si="44"/>
        <v>General</v>
      </c>
      <c r="N498" s="37" t="str">
        <f t="shared" si="42"/>
        <v>Insurance</v>
      </c>
      <c r="O498" s="37" t="str" cm="1">
        <f t="array" ref="O498">IF(TRIM(N498)="",INDEX($N$2:$N$1500,MATCH(MAX(COUNTIF($N$2:$N$1500,$N$2:$N$1500)),COUNTIF($N$2:$N$1500,$N$2:$N$1500),0)),N498)</f>
        <v>Insurance</v>
      </c>
      <c r="P498" s="38" cm="1">
        <f t="array" ref="P498">ROUND(IF(TRIM(H498)="",IFERROR(MEDIAN(IF($M$2:$M$1500=M498,$H$2:$H$1500)),MEDIAN($H$2:$H$1500)),H498),2)</f>
        <v>24.77</v>
      </c>
      <c r="Q498" s="38" t="str">
        <f t="shared" si="45"/>
        <v>0</v>
      </c>
      <c r="R498" s="39" cm="1">
        <f t="array" ref="R498">IF(OR(TRIM(J498)="",TRIM(J498)="-"),MEDIAN(IF($C$2:$C$1218=C498,$J$2:$J$1218)),VALUE(SUBSTITUTE(SUBSTITUTE(SUBSTITUTE(J498,"Rs. ",""),"₹",""),",","")))</f>
        <v>8581</v>
      </c>
      <c r="S498" s="40">
        <f t="shared" si="43"/>
        <v>40</v>
      </c>
      <c r="T498" s="41">
        <f t="shared" si="46"/>
        <v>40</v>
      </c>
      <c r="U498" s="42">
        <f t="shared" si="47"/>
        <v>5149</v>
      </c>
    </row>
    <row r="499" spans="1:21" x14ac:dyDescent="0.3">
      <c r="A499" s="37" t="s">
        <v>3616</v>
      </c>
      <c r="B499" s="37" t="s">
        <v>3004</v>
      </c>
      <c r="C499" s="37" t="s">
        <v>2504</v>
      </c>
      <c r="D499" s="37" t="s">
        <v>45</v>
      </c>
      <c r="E499" s="37" t="s">
        <v>46</v>
      </c>
      <c r="F499" s="37" t="s">
        <v>19</v>
      </c>
      <c r="G499" s="37" t="s">
        <v>2408</v>
      </c>
      <c r="H499" s="37">
        <v>10.33</v>
      </c>
      <c r="I499" s="37">
        <v>21</v>
      </c>
      <c r="J499" s="37" t="s">
        <v>3617</v>
      </c>
      <c r="K499" s="37" t="s">
        <v>104</v>
      </c>
      <c r="L499" s="37">
        <v>20</v>
      </c>
      <c r="M499" s="37" t="str">
        <f t="shared" si="44"/>
        <v>General</v>
      </c>
      <c r="N499" s="37" t="str">
        <f t="shared" si="42"/>
        <v>Insurance</v>
      </c>
      <c r="O499" s="37" t="str" cm="1">
        <f t="array" ref="O499">IF(TRIM(N499)="",INDEX($N$2:$N$1500,MATCH(MAX(COUNTIF($N$2:$N$1500,$N$2:$N$1500)),COUNTIF($N$2:$N$1500,$N$2:$N$1500),0)),N499)</f>
        <v>Insurance</v>
      </c>
      <c r="P499" s="38" cm="1">
        <f t="array" ref="P499">ROUND(IF(TRIM(H499)="",IFERROR(MEDIAN(IF($M$2:$M$1500=M499,$H$2:$H$1500)),MEDIAN($H$2:$H$1500)),H499),2)</f>
        <v>10.33</v>
      </c>
      <c r="Q499" s="38" t="str">
        <f t="shared" si="45"/>
        <v>0</v>
      </c>
      <c r="R499" s="39" cm="1">
        <f t="array" ref="R499">IF(OR(TRIM(J499)="",TRIM(J499)="-"),MEDIAN(IF($C$2:$C$1218=C499,$J$2:$J$1218)),VALUE(SUBSTITUTE(SUBSTITUTE(SUBSTITUTE(J499,"Rs. ",""),"₹",""),",","")))</f>
        <v>9609</v>
      </c>
      <c r="S499" s="40">
        <f t="shared" si="43"/>
        <v>20</v>
      </c>
      <c r="T499" s="41">
        <f t="shared" si="46"/>
        <v>20</v>
      </c>
      <c r="U499" s="42">
        <f t="shared" si="47"/>
        <v>7687</v>
      </c>
    </row>
    <row r="500" spans="1:21" x14ac:dyDescent="0.3">
      <c r="A500" s="37" t="s">
        <v>3618</v>
      </c>
      <c r="B500" s="37" t="s">
        <v>3619</v>
      </c>
      <c r="C500" s="37" t="s">
        <v>2536</v>
      </c>
      <c r="D500" s="37" t="s">
        <v>117</v>
      </c>
      <c r="E500" s="37" t="s">
        <v>118</v>
      </c>
      <c r="F500" s="37" t="s">
        <v>30</v>
      </c>
      <c r="G500" s="37" t="s">
        <v>2408</v>
      </c>
      <c r="H500" s="37">
        <v>12.56</v>
      </c>
      <c r="I500" s="37">
        <v>12</v>
      </c>
      <c r="J500" s="37" t="s">
        <v>3620</v>
      </c>
      <c r="K500" s="37" t="s">
        <v>52</v>
      </c>
      <c r="L500" s="37">
        <v>0</v>
      </c>
      <c r="M500" s="37" t="str">
        <f t="shared" si="44"/>
        <v>General</v>
      </c>
      <c r="N500" s="37" t="str">
        <f t="shared" si="42"/>
        <v>Credit Card</v>
      </c>
      <c r="O500" s="37" t="str" cm="1">
        <f t="array" ref="O500">IF(TRIM(N500)="",INDEX($N$2:$N$1500,MATCH(MAX(COUNTIF($N$2:$N$1500,$N$2:$N$1500)),COUNTIF($N$2:$N$1500,$N$2:$N$1500),0)),N500)</f>
        <v>Credit Card</v>
      </c>
      <c r="P500" s="38" cm="1">
        <f t="array" ref="P500">ROUND(IF(TRIM(H500)="",IFERROR(MEDIAN(IF($M$2:$M$1500=M500,$H$2:$H$1500)),MEDIAN($H$2:$H$1500)),H500),2)</f>
        <v>12.56</v>
      </c>
      <c r="Q500" s="38" t="str">
        <f t="shared" si="45"/>
        <v>0</v>
      </c>
      <c r="R500" s="39" cm="1">
        <f t="array" ref="R500">IF(OR(TRIM(J500)="",TRIM(J500)="-"),MEDIAN(IF($C$2:$C$1218=C500,$J$2:$J$1218)),VALUE(SUBSTITUTE(SUBSTITUTE(SUBSTITUTE(J500,"Rs. ",""),"₹",""),",","")))</f>
        <v>17863</v>
      </c>
      <c r="S500" s="40">
        <f t="shared" si="43"/>
        <v>0</v>
      </c>
      <c r="T500" s="41">
        <f t="shared" si="46"/>
        <v>0</v>
      </c>
      <c r="U500" s="42">
        <f t="shared" si="47"/>
        <v>17863</v>
      </c>
    </row>
    <row r="501" spans="1:21" x14ac:dyDescent="0.3">
      <c r="A501" s="37" t="s">
        <v>3621</v>
      </c>
      <c r="B501" s="37" t="s">
        <v>2886</v>
      </c>
      <c r="C501" s="37" t="s">
        <v>2463</v>
      </c>
      <c r="D501" s="37" t="s">
        <v>25</v>
      </c>
      <c r="E501" s="37" t="s">
        <v>26</v>
      </c>
      <c r="F501" s="37" t="s">
        <v>101</v>
      </c>
      <c r="G501" s="37" t="s">
        <v>2408</v>
      </c>
      <c r="H501" s="37">
        <v>4.59</v>
      </c>
      <c r="I501" s="37">
        <v>51</v>
      </c>
      <c r="J501" s="37" t="s">
        <v>3622</v>
      </c>
      <c r="K501" s="37" t="s">
        <v>167</v>
      </c>
      <c r="L501" s="37" t="s">
        <v>76</v>
      </c>
      <c r="M501" s="37" t="str">
        <f t="shared" si="44"/>
        <v>ICU</v>
      </c>
      <c r="N501" s="37" t="str">
        <f t="shared" si="42"/>
        <v>Insurance</v>
      </c>
      <c r="O501" s="37" t="str" cm="1">
        <f t="array" ref="O501">IF(TRIM(N501)="",INDEX($N$2:$N$1500,MATCH(MAX(COUNTIF($N$2:$N$1500,$N$2:$N$1500)),COUNTIF($N$2:$N$1500,$N$2:$N$1500),0)),N501)</f>
        <v>Insurance</v>
      </c>
      <c r="P501" s="38" cm="1">
        <f t="array" ref="P501">ROUND(IF(TRIM(H501)="",IFERROR(MEDIAN(IF($M$2:$M$1500=M501,$H$2:$H$1500)),MEDIAN($H$2:$H$1500)),H501),2)</f>
        <v>4.59</v>
      </c>
      <c r="Q501" s="38" t="str">
        <f t="shared" si="45"/>
        <v>0</v>
      </c>
      <c r="R501" s="39" cm="1">
        <f t="array" ref="R501">IF(OR(TRIM(J501)="",TRIM(J501)="-"),MEDIAN(IF($C$2:$C$1218=C501,$J$2:$J$1218)),VALUE(SUBSTITUTE(SUBSTITUTE(SUBSTITUTE(J501,"Rs. ",""),"₹",""),",","")))</f>
        <v>23556</v>
      </c>
      <c r="S501" s="40">
        <f t="shared" si="43"/>
        <v>10</v>
      </c>
      <c r="T501" s="41">
        <f t="shared" si="46"/>
        <v>10</v>
      </c>
      <c r="U501" s="42">
        <f t="shared" si="47"/>
        <v>21200</v>
      </c>
    </row>
    <row r="502" spans="1:21" x14ac:dyDescent="0.3">
      <c r="A502" s="37" t="s">
        <v>3623</v>
      </c>
      <c r="B502" s="37" t="s">
        <v>3624</v>
      </c>
      <c r="C502" s="37" t="s">
        <v>2494</v>
      </c>
      <c r="D502" s="37" t="s">
        <v>78</v>
      </c>
      <c r="E502" s="37" t="s">
        <v>203</v>
      </c>
      <c r="F502" s="37" t="s">
        <v>62</v>
      </c>
      <c r="G502" s="37" t="s">
        <v>2423</v>
      </c>
      <c r="H502" s="37">
        <v>6.01</v>
      </c>
      <c r="I502" s="37">
        <v>35</v>
      </c>
      <c r="J502" s="37" t="s">
        <v>3625</v>
      </c>
      <c r="K502" s="37" t="s">
        <v>83</v>
      </c>
      <c r="L502" s="37" t="s">
        <v>64</v>
      </c>
      <c r="M502" s="37" t="str">
        <f t="shared" si="44"/>
        <v>ICU</v>
      </c>
      <c r="N502" s="37" t="str">
        <f t="shared" si="42"/>
        <v>Debit Card</v>
      </c>
      <c r="O502" s="37" t="str" cm="1">
        <f t="array" ref="O502">IF(TRIM(N502)="",INDEX($N$2:$N$1500,MATCH(MAX(COUNTIF($N$2:$N$1500,$N$2:$N$1500)),COUNTIF($N$2:$N$1500,$N$2:$N$1500),0)),N502)</f>
        <v>Debit Card</v>
      </c>
      <c r="P502" s="38" cm="1">
        <f t="array" ref="P502">ROUND(IF(TRIM(H502)="",IFERROR(MEDIAN(IF($M$2:$M$1500=M502,$H$2:$H$1500)),MEDIAN($H$2:$H$1500)),H502),2)</f>
        <v>6.01</v>
      </c>
      <c r="Q502" s="38" t="str">
        <f t="shared" si="45"/>
        <v>0</v>
      </c>
      <c r="R502" s="39" cm="1">
        <f t="array" ref="R502">IF(OR(TRIM(J502)="",TRIM(J502)="-"),MEDIAN(IF($C$2:$C$1218=C502,$J$2:$J$1218)),VALUE(SUBSTITUTE(SUBSTITUTE(SUBSTITUTE(J502,"Rs. ",""),"₹",""),",","")))</f>
        <v>76437</v>
      </c>
      <c r="S502" s="40" t="str">
        <f t="shared" si="43"/>
        <v>NA</v>
      </c>
      <c r="T502" s="41">
        <f t="shared" si="46"/>
        <v>3</v>
      </c>
      <c r="U502" s="42">
        <f t="shared" si="47"/>
        <v>74144</v>
      </c>
    </row>
    <row r="503" spans="1:21" x14ac:dyDescent="0.3">
      <c r="A503" s="37" t="s">
        <v>3626</v>
      </c>
      <c r="B503" s="37" t="s">
        <v>3627</v>
      </c>
      <c r="C503" s="37" t="s">
        <v>2463</v>
      </c>
      <c r="D503" s="37" t="s">
        <v>14</v>
      </c>
      <c r="E503" s="37" t="s">
        <v>15</v>
      </c>
      <c r="F503" s="37" t="s">
        <v>30</v>
      </c>
      <c r="G503" s="37" t="s">
        <v>2455</v>
      </c>
      <c r="H503" s="37">
        <v>18.72</v>
      </c>
      <c r="I503" s="37">
        <v>52</v>
      </c>
      <c r="J503" s="37" t="s">
        <v>3628</v>
      </c>
      <c r="K503" s="37" t="s">
        <v>115</v>
      </c>
      <c r="L503" s="37">
        <v>0</v>
      </c>
      <c r="M503" s="37" t="str">
        <f t="shared" si="44"/>
        <v>General</v>
      </c>
      <c r="N503" s="37" t="str">
        <f t="shared" si="42"/>
        <v>Cash</v>
      </c>
      <c r="O503" s="37" t="str" cm="1">
        <f t="array" ref="O503">IF(TRIM(N503)="",INDEX($N$2:$N$1500,MATCH(MAX(COUNTIF($N$2:$N$1500,$N$2:$N$1500)),COUNTIF($N$2:$N$1500,$N$2:$N$1500),0)),N503)</f>
        <v>Cash</v>
      </c>
      <c r="P503" s="38" cm="1">
        <f t="array" ref="P503">ROUND(IF(TRIM(H503)="",IFERROR(MEDIAN(IF($M$2:$M$1500=M503,$H$2:$H$1500)),MEDIAN($H$2:$H$1500)),H503),2)</f>
        <v>18.72</v>
      </c>
      <c r="Q503" s="38" t="str">
        <f t="shared" si="45"/>
        <v>1</v>
      </c>
      <c r="R503" s="39" cm="1">
        <f t="array" ref="R503">IF(OR(TRIM(J503)="",TRIM(J503)="-"),MEDIAN(IF($C$2:$C$1218=C503,$J$2:$J$1218)),VALUE(SUBSTITUTE(SUBSTITUTE(SUBSTITUTE(J503,"Rs. ",""),"₹",""),",","")))</f>
        <v>13177</v>
      </c>
      <c r="S503" s="40">
        <f t="shared" si="43"/>
        <v>0</v>
      </c>
      <c r="T503" s="41">
        <f t="shared" si="46"/>
        <v>0</v>
      </c>
      <c r="U503" s="42">
        <f t="shared" si="47"/>
        <v>13177</v>
      </c>
    </row>
    <row r="504" spans="1:21" x14ac:dyDescent="0.3">
      <c r="A504" s="37" t="s">
        <v>3629</v>
      </c>
      <c r="B504" s="37" t="s">
        <v>3630</v>
      </c>
      <c r="C504" s="37" t="s">
        <v>2518</v>
      </c>
      <c r="D504" s="37" t="s">
        <v>45</v>
      </c>
      <c r="E504" s="37" t="s">
        <v>46</v>
      </c>
      <c r="F504" s="37" t="s">
        <v>49</v>
      </c>
      <c r="G504" s="37" t="s">
        <v>2450</v>
      </c>
      <c r="H504" s="37">
        <v>9.86</v>
      </c>
      <c r="I504" s="37">
        <v>29</v>
      </c>
      <c r="J504" s="37" t="s">
        <v>3631</v>
      </c>
      <c r="K504" s="37" t="s">
        <v>58</v>
      </c>
      <c r="L504" s="37">
        <v>5</v>
      </c>
      <c r="M504" s="37" t="str">
        <f t="shared" si="44"/>
        <v>General</v>
      </c>
      <c r="N504" s="37" t="str">
        <f t="shared" si="42"/>
        <v>UPI</v>
      </c>
      <c r="O504" s="37" t="str" cm="1">
        <f t="array" ref="O504">IF(TRIM(N504)="",INDEX($N$2:$N$1500,MATCH(MAX(COUNTIF($N$2:$N$1500,$N$2:$N$1500)),COUNTIF($N$2:$N$1500,$N$2:$N$1500),0)),N504)</f>
        <v>UPI</v>
      </c>
      <c r="P504" s="38" cm="1">
        <f t="array" ref="P504">ROUND(IF(TRIM(H504)="",IFERROR(MEDIAN(IF($M$2:$M$1500=M504,$H$2:$H$1500)),MEDIAN($H$2:$H$1500)),H504),2)</f>
        <v>9.86</v>
      </c>
      <c r="Q504" s="38" t="str">
        <f t="shared" si="45"/>
        <v>1</v>
      </c>
      <c r="R504" s="39" cm="1">
        <f t="array" ref="R504">IF(OR(TRIM(J504)="",TRIM(J504)="-"),MEDIAN(IF($C$2:$C$1218=C504,$J$2:$J$1218)),VALUE(SUBSTITUTE(SUBSTITUTE(SUBSTITUTE(J504,"Rs. ",""),"₹",""),",","")))</f>
        <v>6418</v>
      </c>
      <c r="S504" s="40">
        <f t="shared" si="43"/>
        <v>5</v>
      </c>
      <c r="T504" s="41">
        <f t="shared" si="46"/>
        <v>5</v>
      </c>
      <c r="U504" s="42">
        <f t="shared" si="47"/>
        <v>6097</v>
      </c>
    </row>
    <row r="505" spans="1:21" x14ac:dyDescent="0.3">
      <c r="A505" s="37" t="s">
        <v>3632</v>
      </c>
      <c r="B505" s="37" t="s">
        <v>3633</v>
      </c>
      <c r="C505" s="37" t="s">
        <v>2514</v>
      </c>
      <c r="D505" s="37" t="s">
        <v>106</v>
      </c>
      <c r="E505" s="37" t="s">
        <v>107</v>
      </c>
      <c r="F505" s="37" t="s">
        <v>19</v>
      </c>
      <c r="G505" s="37" t="s">
        <v>2477</v>
      </c>
      <c r="H505" s="37">
        <v>8.06</v>
      </c>
      <c r="I505" s="37">
        <v>56</v>
      </c>
      <c r="J505" s="37" t="s">
        <v>3634</v>
      </c>
      <c r="K505" s="37" t="s">
        <v>91</v>
      </c>
      <c r="L505" s="37"/>
      <c r="M505" s="37" t="str">
        <f t="shared" si="44"/>
        <v>General</v>
      </c>
      <c r="N505" s="37" t="str">
        <f t="shared" si="42"/>
        <v>Debit Card</v>
      </c>
      <c r="O505" s="37" t="str" cm="1">
        <f t="array" ref="O505">IF(TRIM(N505)="",INDEX($N$2:$N$1500,MATCH(MAX(COUNTIF($N$2:$N$1500,$N$2:$N$1500)),COUNTIF($N$2:$N$1500,$N$2:$N$1500),0)),N505)</f>
        <v>Debit Card</v>
      </c>
      <c r="P505" s="38" cm="1">
        <f t="array" ref="P505">ROUND(IF(TRIM(H505)="",IFERROR(MEDIAN(IF($M$2:$M$1500=M505,$H$2:$H$1500)),MEDIAN($H$2:$H$1500)),H505),2)</f>
        <v>8.06</v>
      </c>
      <c r="Q505" s="38" t="str">
        <f t="shared" si="45"/>
        <v>0</v>
      </c>
      <c r="R505" s="39" cm="1">
        <f t="array" ref="R505">IF(OR(TRIM(J505)="",TRIM(J505)="-"),MEDIAN(IF($C$2:$C$1218=C505,$J$2:$J$1218)),VALUE(SUBSTITUTE(SUBSTITUTE(SUBSTITUTE(J505,"Rs. ",""),"₹",""),",","")))</f>
        <v>19783</v>
      </c>
      <c r="S505" s="40">
        <f t="shared" si="43"/>
        <v>0</v>
      </c>
      <c r="T505" s="41">
        <f t="shared" si="46"/>
        <v>0</v>
      </c>
      <c r="U505" s="42">
        <f t="shared" si="47"/>
        <v>19783</v>
      </c>
    </row>
    <row r="506" spans="1:21" x14ac:dyDescent="0.3">
      <c r="A506" s="37" t="s">
        <v>3635</v>
      </c>
      <c r="B506" s="37" t="s">
        <v>3535</v>
      </c>
      <c r="C506" s="37" t="s">
        <v>2454</v>
      </c>
      <c r="D506" s="37" t="s">
        <v>14</v>
      </c>
      <c r="E506" s="37" t="s">
        <v>60</v>
      </c>
      <c r="F506" s="37" t="s">
        <v>39</v>
      </c>
      <c r="G506" s="37" t="s">
        <v>2505</v>
      </c>
      <c r="H506" s="37">
        <v>11.93</v>
      </c>
      <c r="I506" s="37">
        <v>13</v>
      </c>
      <c r="J506" s="37" t="s">
        <v>3636</v>
      </c>
      <c r="K506" s="37" t="s">
        <v>236</v>
      </c>
      <c r="L506" s="37" t="s">
        <v>130</v>
      </c>
      <c r="M506" s="37" t="str">
        <f t="shared" si="44"/>
        <v>General</v>
      </c>
      <c r="N506" s="37" t="str">
        <f t="shared" si="42"/>
        <v>Debit Card</v>
      </c>
      <c r="O506" s="37" t="str" cm="1">
        <f t="array" ref="O506">IF(TRIM(N506)="",INDEX($N$2:$N$1500,MATCH(MAX(COUNTIF($N$2:$N$1500,$N$2:$N$1500)),COUNTIF($N$2:$N$1500,$N$2:$N$1500),0)),N506)</f>
        <v>Debit Card</v>
      </c>
      <c r="P506" s="38" cm="1">
        <f t="array" ref="P506">ROUND(IF(TRIM(H506)="",IFERROR(MEDIAN(IF($M$2:$M$1500=M506,$H$2:$H$1500)),MEDIAN($H$2:$H$1500)),H506),2)</f>
        <v>11.93</v>
      </c>
      <c r="Q506" s="38" t="str">
        <f t="shared" si="45"/>
        <v>2+</v>
      </c>
      <c r="R506" s="39" cm="1">
        <f t="array" ref="R506">IF(OR(TRIM(J506)="",TRIM(J506)="-"),MEDIAN(IF($C$2:$C$1218=C506,$J$2:$J$1218)),VALUE(SUBSTITUTE(SUBSTITUTE(SUBSTITUTE(J506,"Rs. ",""),"₹",""),",","")))</f>
        <v>15843</v>
      </c>
      <c r="S506" s="40">
        <f t="shared" si="43"/>
        <v>0</v>
      </c>
      <c r="T506" s="41">
        <f t="shared" si="46"/>
        <v>0</v>
      </c>
      <c r="U506" s="42">
        <f t="shared" si="47"/>
        <v>15843</v>
      </c>
    </row>
    <row r="507" spans="1:21" x14ac:dyDescent="0.3">
      <c r="A507" s="37" t="s">
        <v>3637</v>
      </c>
      <c r="B507" s="37" t="s">
        <v>2669</v>
      </c>
      <c r="C507" s="37" t="s">
        <v>2438</v>
      </c>
      <c r="D507" s="37" t="s">
        <v>117</v>
      </c>
      <c r="E507" s="37" t="s">
        <v>127</v>
      </c>
      <c r="F507" s="37" t="s">
        <v>30</v>
      </c>
      <c r="G507" s="37" t="s">
        <v>2418</v>
      </c>
      <c r="H507" s="37">
        <v>6.8</v>
      </c>
      <c r="I507" s="37">
        <v>21</v>
      </c>
      <c r="J507" s="37" t="s">
        <v>3638</v>
      </c>
      <c r="K507" s="37" t="s">
        <v>236</v>
      </c>
      <c r="L507" s="37">
        <v>10</v>
      </c>
      <c r="M507" s="37" t="str">
        <f t="shared" si="44"/>
        <v>General</v>
      </c>
      <c r="N507" s="37" t="str">
        <f t="shared" si="42"/>
        <v>Debit Card</v>
      </c>
      <c r="O507" s="37" t="str" cm="1">
        <f t="array" ref="O507">IF(TRIM(N507)="",INDEX($N$2:$N$1500,MATCH(MAX(COUNTIF($N$2:$N$1500,$N$2:$N$1500)),COUNTIF($N$2:$N$1500,$N$2:$N$1500),0)),N507)</f>
        <v>Debit Card</v>
      </c>
      <c r="P507" s="38" cm="1">
        <f t="array" ref="P507">ROUND(IF(TRIM(H507)="",IFERROR(MEDIAN(IF($M$2:$M$1500=M507,$H$2:$H$1500)),MEDIAN($H$2:$H$1500)),H507),2)</f>
        <v>6.8</v>
      </c>
      <c r="Q507" s="38" t="str">
        <f t="shared" si="45"/>
        <v>1</v>
      </c>
      <c r="R507" s="39" cm="1">
        <f t="array" ref="R507">IF(OR(TRIM(J507)="",TRIM(J507)="-"),MEDIAN(IF($C$2:$C$1218=C507,$J$2:$J$1218)),VALUE(SUBSTITUTE(SUBSTITUTE(SUBSTITUTE(J507,"Rs. ",""),"₹",""),",","")))</f>
        <v>9048</v>
      </c>
      <c r="S507" s="40">
        <f t="shared" si="43"/>
        <v>10</v>
      </c>
      <c r="T507" s="41">
        <f t="shared" si="46"/>
        <v>10</v>
      </c>
      <c r="U507" s="42">
        <f t="shared" si="47"/>
        <v>8143</v>
      </c>
    </row>
    <row r="508" spans="1:21" x14ac:dyDescent="0.3">
      <c r="A508" s="37" t="s">
        <v>3639</v>
      </c>
      <c r="B508" s="37" t="s">
        <v>3640</v>
      </c>
      <c r="C508" s="37" t="s">
        <v>2494</v>
      </c>
      <c r="D508" s="37" t="s">
        <v>78</v>
      </c>
      <c r="E508" s="37" t="s">
        <v>203</v>
      </c>
      <c r="F508" s="37" t="s">
        <v>62</v>
      </c>
      <c r="G508" s="37" t="s">
        <v>2408</v>
      </c>
      <c r="H508" s="37">
        <v>1.24</v>
      </c>
      <c r="I508" s="37">
        <v>55</v>
      </c>
      <c r="J508" s="37">
        <v>39663</v>
      </c>
      <c r="K508" s="37" t="s">
        <v>104</v>
      </c>
      <c r="L508" s="37" t="s">
        <v>64</v>
      </c>
      <c r="M508" s="37" t="str">
        <f t="shared" si="44"/>
        <v>ICU</v>
      </c>
      <c r="N508" s="37" t="str">
        <f t="shared" si="42"/>
        <v>Insurance</v>
      </c>
      <c r="O508" s="37" t="str" cm="1">
        <f t="array" ref="O508">IF(TRIM(N508)="",INDEX($N$2:$N$1500,MATCH(MAX(COUNTIF($N$2:$N$1500,$N$2:$N$1500)),COUNTIF($N$2:$N$1500,$N$2:$N$1500),0)),N508)</f>
        <v>Insurance</v>
      </c>
      <c r="P508" s="38" cm="1">
        <f t="array" ref="P508">ROUND(IF(TRIM(H508)="",IFERROR(MEDIAN(IF($M$2:$M$1500=M508,$H$2:$H$1500)),MEDIAN($H$2:$H$1500)),H508),2)</f>
        <v>1.24</v>
      </c>
      <c r="Q508" s="38" t="str">
        <f t="shared" si="45"/>
        <v>0</v>
      </c>
      <c r="R508" s="39" cm="1">
        <f t="array" ref="R508">IF(OR(TRIM(J508)="",TRIM(J508)="-"),MEDIAN(IF($C$2:$C$1218=C508,$J$2:$J$1218)),VALUE(SUBSTITUTE(SUBSTITUTE(SUBSTITUTE(J508,"Rs. ",""),"₹",""),",","")))</f>
        <v>39663</v>
      </c>
      <c r="S508" s="40" t="str">
        <f t="shared" si="43"/>
        <v>NA</v>
      </c>
      <c r="T508" s="41">
        <f t="shared" si="46"/>
        <v>17</v>
      </c>
      <c r="U508" s="42">
        <f t="shared" si="47"/>
        <v>32920</v>
      </c>
    </row>
    <row r="509" spans="1:21" x14ac:dyDescent="0.3">
      <c r="A509" s="37" t="s">
        <v>3641</v>
      </c>
      <c r="B509" s="37" t="s">
        <v>3642</v>
      </c>
      <c r="C509" s="37" t="s">
        <v>2481</v>
      </c>
      <c r="D509" s="37" t="s">
        <v>25</v>
      </c>
      <c r="E509" s="37" t="s">
        <v>54</v>
      </c>
      <c r="F509" s="37" t="s">
        <v>69</v>
      </c>
      <c r="G509" s="37" t="s">
        <v>2423</v>
      </c>
      <c r="H509" s="37"/>
      <c r="I509" s="37">
        <v>20</v>
      </c>
      <c r="J509" s="37" t="s">
        <v>3643</v>
      </c>
      <c r="K509" s="37" t="s">
        <v>97</v>
      </c>
      <c r="L509" s="37" t="s">
        <v>140</v>
      </c>
      <c r="M509" s="37" t="str">
        <f t="shared" si="44"/>
        <v>ICU</v>
      </c>
      <c r="N509" s="37" t="str">
        <f t="shared" si="42"/>
        <v>UPI</v>
      </c>
      <c r="O509" s="37" t="str" cm="1">
        <f t="array" ref="O509">IF(TRIM(N509)="",INDEX($N$2:$N$1500,MATCH(MAX(COUNTIF($N$2:$N$1500,$N$2:$N$1500)),COUNTIF($N$2:$N$1500,$N$2:$N$1500),0)),N509)</f>
        <v>UPI</v>
      </c>
      <c r="P509" s="38" cm="1">
        <f t="array" ref="P509">ROUND(IF(TRIM(H509)="",IFERROR(MEDIAN(IF($M$2:$M$1500=M509,$H$2:$H$1500)),MEDIAN($H$2:$H$1500)),H509),2)</f>
        <v>12.21</v>
      </c>
      <c r="Q509" s="38" t="str">
        <f t="shared" si="45"/>
        <v>0</v>
      </c>
      <c r="R509" s="39" cm="1">
        <f t="array" ref="R509">IF(OR(TRIM(J509)="",TRIM(J509)="-"),MEDIAN(IF($C$2:$C$1218=C509,$J$2:$J$1218)),VALUE(SUBSTITUTE(SUBSTITUTE(SUBSTITUTE(J509,"Rs. ",""),"₹",""),",","")))</f>
        <v>82559</v>
      </c>
      <c r="S509" s="40" t="str">
        <f t="shared" si="43"/>
        <v>-</v>
      </c>
      <c r="T509" s="41">
        <f t="shared" si="46"/>
        <v>2</v>
      </c>
      <c r="U509" s="42">
        <f t="shared" si="47"/>
        <v>80908</v>
      </c>
    </row>
    <row r="510" spans="1:21" x14ac:dyDescent="0.3">
      <c r="A510" s="37" t="s">
        <v>3644</v>
      </c>
      <c r="B510" s="37" t="s">
        <v>3645</v>
      </c>
      <c r="C510" s="37" t="s">
        <v>2518</v>
      </c>
      <c r="D510" s="37" t="s">
        <v>106</v>
      </c>
      <c r="E510" s="37" t="s">
        <v>107</v>
      </c>
      <c r="F510" s="37" t="s">
        <v>49</v>
      </c>
      <c r="G510" s="37" t="s">
        <v>2477</v>
      </c>
      <c r="H510" s="37">
        <v>13.28</v>
      </c>
      <c r="I510" s="37">
        <v>60</v>
      </c>
      <c r="J510" s="37" t="s">
        <v>3646</v>
      </c>
      <c r="K510" s="37" t="s">
        <v>34</v>
      </c>
      <c r="L510" s="37">
        <v>0</v>
      </c>
      <c r="M510" s="37" t="str">
        <f t="shared" si="44"/>
        <v>General</v>
      </c>
      <c r="N510" s="37" t="str">
        <f t="shared" si="42"/>
        <v>Cash</v>
      </c>
      <c r="O510" s="37" t="str" cm="1">
        <f t="array" ref="O510">IF(TRIM(N510)="",INDEX($N$2:$N$1500,MATCH(MAX(COUNTIF($N$2:$N$1500,$N$2:$N$1500)),COUNTIF($N$2:$N$1500,$N$2:$N$1500),0)),N510)</f>
        <v>Cash</v>
      </c>
      <c r="P510" s="38" cm="1">
        <f t="array" ref="P510">ROUND(IF(TRIM(H510)="",IFERROR(MEDIAN(IF($M$2:$M$1500=M510,$H$2:$H$1500)),MEDIAN($H$2:$H$1500)),H510),2)</f>
        <v>13.28</v>
      </c>
      <c r="Q510" s="38" t="str">
        <f t="shared" si="45"/>
        <v>0</v>
      </c>
      <c r="R510" s="39" cm="1">
        <f t="array" ref="R510">IF(OR(TRIM(J510)="",TRIM(J510)="-"),MEDIAN(IF($C$2:$C$1218=C510,$J$2:$J$1218)),VALUE(SUBSTITUTE(SUBSTITUTE(SUBSTITUTE(J510,"Rs. ",""),"₹",""),",","")))</f>
        <v>15115</v>
      </c>
      <c r="S510" s="40">
        <f t="shared" si="43"/>
        <v>0</v>
      </c>
      <c r="T510" s="41">
        <f t="shared" si="46"/>
        <v>0</v>
      </c>
      <c r="U510" s="42">
        <f t="shared" si="47"/>
        <v>15115</v>
      </c>
    </row>
    <row r="511" spans="1:21" x14ac:dyDescent="0.3">
      <c r="A511" s="37" t="s">
        <v>3647</v>
      </c>
      <c r="B511" s="37" t="s">
        <v>3648</v>
      </c>
      <c r="C511" s="37" t="s">
        <v>2494</v>
      </c>
      <c r="D511" s="37" t="s">
        <v>78</v>
      </c>
      <c r="E511" s="37" t="s">
        <v>161</v>
      </c>
      <c r="F511" s="37" t="s">
        <v>39</v>
      </c>
      <c r="G511" s="37" t="s">
        <v>2423</v>
      </c>
      <c r="H511" s="37">
        <v>18.91</v>
      </c>
      <c r="I511" s="37">
        <v>28</v>
      </c>
      <c r="J511" s="37" t="s">
        <v>3649</v>
      </c>
      <c r="K511" s="37" t="s">
        <v>167</v>
      </c>
      <c r="L511" s="37">
        <v>35</v>
      </c>
      <c r="M511" s="37" t="str">
        <f t="shared" si="44"/>
        <v>General</v>
      </c>
      <c r="N511" s="37" t="str">
        <f t="shared" si="42"/>
        <v>Insurance</v>
      </c>
      <c r="O511" s="37" t="str" cm="1">
        <f t="array" ref="O511">IF(TRIM(N511)="",INDEX($N$2:$N$1500,MATCH(MAX(COUNTIF($N$2:$N$1500,$N$2:$N$1500)),COUNTIF($N$2:$N$1500,$N$2:$N$1500),0)),N511)</f>
        <v>Insurance</v>
      </c>
      <c r="P511" s="38" cm="1">
        <f t="array" ref="P511">ROUND(IF(TRIM(H511)="",IFERROR(MEDIAN(IF($M$2:$M$1500=M511,$H$2:$H$1500)),MEDIAN($H$2:$H$1500)),H511),2)</f>
        <v>18.91</v>
      </c>
      <c r="Q511" s="38" t="str">
        <f t="shared" si="45"/>
        <v>0</v>
      </c>
      <c r="R511" s="39" cm="1">
        <f t="array" ref="R511">IF(OR(TRIM(J511)="",TRIM(J511)="-"),MEDIAN(IF($C$2:$C$1218=C511,$J$2:$J$1218)),VALUE(SUBSTITUTE(SUBSTITUTE(SUBSTITUTE(J511,"Rs. ",""),"₹",""),",","")))</f>
        <v>3624</v>
      </c>
      <c r="S511" s="40">
        <f t="shared" si="43"/>
        <v>35</v>
      </c>
      <c r="T511" s="41">
        <f t="shared" si="46"/>
        <v>35</v>
      </c>
      <c r="U511" s="42">
        <f t="shared" si="47"/>
        <v>2356</v>
      </c>
    </row>
    <row r="512" spans="1:21" x14ac:dyDescent="0.3">
      <c r="A512" s="37" t="s">
        <v>3650</v>
      </c>
      <c r="B512" s="37" t="s">
        <v>3058</v>
      </c>
      <c r="C512" s="37" t="s">
        <v>2521</v>
      </c>
      <c r="D512" s="37" t="s">
        <v>45</v>
      </c>
      <c r="E512" s="37" t="s">
        <v>46</v>
      </c>
      <c r="F512" s="37" t="s">
        <v>30</v>
      </c>
      <c r="G512" s="37" t="s">
        <v>2428</v>
      </c>
      <c r="H512" s="37">
        <v>15.01</v>
      </c>
      <c r="I512" s="37">
        <v>41</v>
      </c>
      <c r="J512" s="37" t="s">
        <v>3651</v>
      </c>
      <c r="K512" s="37" t="s">
        <v>52</v>
      </c>
      <c r="L512" s="37" t="s">
        <v>140</v>
      </c>
      <c r="M512" s="37" t="str">
        <f t="shared" si="44"/>
        <v>General</v>
      </c>
      <c r="N512" s="37" t="str">
        <f t="shared" si="42"/>
        <v>Credit Card</v>
      </c>
      <c r="O512" s="37" t="str" cm="1">
        <f t="array" ref="O512">IF(TRIM(N512)="",INDEX($N$2:$N$1500,MATCH(MAX(COUNTIF($N$2:$N$1500,$N$2:$N$1500)),COUNTIF($N$2:$N$1500,$N$2:$N$1500),0)),N512)</f>
        <v>Credit Card</v>
      </c>
      <c r="P512" s="38" cm="1">
        <f t="array" ref="P512">ROUND(IF(TRIM(H512)="",IFERROR(MEDIAN(IF($M$2:$M$1500=M512,$H$2:$H$1500)),MEDIAN($H$2:$H$1500)),H512),2)</f>
        <v>15.01</v>
      </c>
      <c r="Q512" s="38" t="str">
        <f t="shared" si="45"/>
        <v>2</v>
      </c>
      <c r="R512" s="39" cm="1">
        <f t="array" ref="R512">IF(OR(TRIM(J512)="",TRIM(J512)="-"),MEDIAN(IF($C$2:$C$1218=C512,$J$2:$J$1218)),VALUE(SUBSTITUTE(SUBSTITUTE(SUBSTITUTE(J512,"Rs. ",""),"₹",""),",","")))</f>
        <v>8790</v>
      </c>
      <c r="S512" s="40" t="str">
        <f t="shared" si="43"/>
        <v>-</v>
      </c>
      <c r="T512" s="41">
        <f t="shared" si="46"/>
        <v>2</v>
      </c>
      <c r="U512" s="42">
        <f t="shared" si="47"/>
        <v>8614</v>
      </c>
    </row>
    <row r="513" spans="1:21" x14ac:dyDescent="0.3">
      <c r="A513" s="37" t="s">
        <v>3652</v>
      </c>
      <c r="B513" s="37" t="s">
        <v>3653</v>
      </c>
      <c r="C513" s="37" t="s">
        <v>2518</v>
      </c>
      <c r="D513" s="37" t="s">
        <v>25</v>
      </c>
      <c r="E513" s="37" t="s">
        <v>26</v>
      </c>
      <c r="F513" s="37" t="s">
        <v>19</v>
      </c>
      <c r="G513" s="37" t="s">
        <v>2423</v>
      </c>
      <c r="H513" s="37">
        <v>4.09</v>
      </c>
      <c r="I513" s="37">
        <v>14</v>
      </c>
      <c r="J513" s="37">
        <v>7483</v>
      </c>
      <c r="K513" s="37" t="s">
        <v>52</v>
      </c>
      <c r="L513" s="37">
        <v>0</v>
      </c>
      <c r="M513" s="37" t="str">
        <f t="shared" si="44"/>
        <v>General</v>
      </c>
      <c r="N513" s="37" t="str">
        <f t="shared" si="42"/>
        <v>Credit Card</v>
      </c>
      <c r="O513" s="37" t="str" cm="1">
        <f t="array" ref="O513">IF(TRIM(N513)="",INDEX($N$2:$N$1500,MATCH(MAX(COUNTIF($N$2:$N$1500,$N$2:$N$1500)),COUNTIF($N$2:$N$1500,$N$2:$N$1500),0)),N513)</f>
        <v>Credit Card</v>
      </c>
      <c r="P513" s="38" cm="1">
        <f t="array" ref="P513">ROUND(IF(TRIM(H513)="",IFERROR(MEDIAN(IF($M$2:$M$1500=M513,$H$2:$H$1500)),MEDIAN($H$2:$H$1500)),H513),2)</f>
        <v>4.09</v>
      </c>
      <c r="Q513" s="38" t="str">
        <f t="shared" si="45"/>
        <v>0</v>
      </c>
      <c r="R513" s="39" cm="1">
        <f t="array" ref="R513">IF(OR(TRIM(J513)="",TRIM(J513)="-"),MEDIAN(IF($C$2:$C$1218=C513,$J$2:$J$1218)),VALUE(SUBSTITUTE(SUBSTITUTE(SUBSTITUTE(J513,"Rs. ",""),"₹",""),",","")))</f>
        <v>7483</v>
      </c>
      <c r="S513" s="40">
        <f t="shared" si="43"/>
        <v>0</v>
      </c>
      <c r="T513" s="41">
        <f t="shared" si="46"/>
        <v>0</v>
      </c>
      <c r="U513" s="42">
        <f t="shared" si="47"/>
        <v>7483</v>
      </c>
    </row>
    <row r="514" spans="1:21" x14ac:dyDescent="0.3">
      <c r="A514" s="37" t="s">
        <v>3654</v>
      </c>
      <c r="B514" s="37" t="s">
        <v>3648</v>
      </c>
      <c r="C514" s="37" t="s">
        <v>2494</v>
      </c>
      <c r="D514" s="37" t="s">
        <v>78</v>
      </c>
      <c r="E514" s="37" t="s">
        <v>79</v>
      </c>
      <c r="F514" s="37" t="s">
        <v>39</v>
      </c>
      <c r="G514" s="37" t="s">
        <v>2408</v>
      </c>
      <c r="H514" s="37">
        <v>11.36</v>
      </c>
      <c r="I514" s="37">
        <v>53</v>
      </c>
      <c r="J514" s="37" t="s">
        <v>3655</v>
      </c>
      <c r="K514" s="37" t="s">
        <v>34</v>
      </c>
      <c r="L514" s="37">
        <v>0.1</v>
      </c>
      <c r="M514" s="37" t="str">
        <f t="shared" si="44"/>
        <v>General</v>
      </c>
      <c r="N514" s="37" t="str">
        <f t="shared" ref="N514:N577" si="48">IF(OR(UPPER(TRIM(K514))="CREDIT_CARD",UPPER(TRIM(K514))="CREDIT CARD",UPPER(TRIM(K514))="CC"),"Credit Card", IF(OR(UPPER(TRIM(K514))="DEBIT_CARD",UPPER(TRIM(K514))="DEBIT CARD",UPPER(TRIM(K514))="DC"),"Debit Card", IF(UPPER(TRIM(K514))="CASH","Cash", IF(UPPER(TRIM(K514))="UPI","UPI", IF(OR(UPPER(TRIM(K514))="INSURANCE",UPPER(TRIM(K514))="INS"),"Insurance", IF(TRIM(K514)="","Unknown","Unknown"))))))</f>
        <v>Cash</v>
      </c>
      <c r="O514" s="37" t="str" cm="1">
        <f t="array" ref="O514">IF(TRIM(N514)="",INDEX($N$2:$N$1500,MATCH(MAX(COUNTIF($N$2:$N$1500,$N$2:$N$1500)),COUNTIF($N$2:$N$1500,$N$2:$N$1500),0)),N514)</f>
        <v>Cash</v>
      </c>
      <c r="P514" s="38" cm="1">
        <f t="array" ref="P514">ROUND(IF(TRIM(H514)="",IFERROR(MEDIAN(IF($M$2:$M$1500=M514,$H$2:$H$1500)),MEDIAN($H$2:$H$1500)),H514),2)</f>
        <v>11.36</v>
      </c>
      <c r="Q514" s="38" t="str">
        <f t="shared" si="45"/>
        <v>0</v>
      </c>
      <c r="R514" s="39" cm="1">
        <f t="array" ref="R514">IF(OR(TRIM(J514)="",TRIM(J514)="-"),MEDIAN(IF($C$2:$C$1218=C514,$J$2:$J$1218)),VALUE(SUBSTITUTE(SUBSTITUTE(SUBSTITUTE(J514,"Rs. ",""),"₹",""),",","")))</f>
        <v>13141</v>
      </c>
      <c r="S514" s="40">
        <f t="shared" ref="S514:S577" si="49">IF(RIGHT(TRIM(L514),1)="%",VALUE(LEFT(TRIM(L514),LEN(TRIM(L514))-1)),IF(AND(ISNUMBER(L514),L514&lt;=1,,L514&gt;0),L514*100,L514))</f>
        <v>0.1</v>
      </c>
      <c r="T514" s="41">
        <f t="shared" si="46"/>
        <v>0</v>
      </c>
      <c r="U514" s="42">
        <f t="shared" si="47"/>
        <v>13141</v>
      </c>
    </row>
    <row r="515" spans="1:21" x14ac:dyDescent="0.3">
      <c r="A515" s="37" t="s">
        <v>3656</v>
      </c>
      <c r="B515" s="37" t="s">
        <v>2886</v>
      </c>
      <c r="C515" s="37" t="s">
        <v>2463</v>
      </c>
      <c r="D515" s="37" t="s">
        <v>25</v>
      </c>
      <c r="E515" s="37" t="s">
        <v>54</v>
      </c>
      <c r="F515" s="37" t="s">
        <v>62</v>
      </c>
      <c r="G515" s="37" t="s">
        <v>2477</v>
      </c>
      <c r="H515" s="37">
        <v>21.09</v>
      </c>
      <c r="I515" s="37">
        <v>54</v>
      </c>
      <c r="J515" s="37" t="s">
        <v>3657</v>
      </c>
      <c r="K515" s="37" t="s">
        <v>115</v>
      </c>
      <c r="L515" s="37">
        <v>10</v>
      </c>
      <c r="M515" s="37" t="str">
        <f t="shared" ref="M515:M578" si="50">IF(OR(UPPER(TRIM(F515))="GENERAL",UPPER(TRIM(F515))="GENRAL"),"General",IF(UPPER(TRIM(F515))="ICU","ICU","Unknown"))</f>
        <v>ICU</v>
      </c>
      <c r="N515" s="37" t="str">
        <f t="shared" si="48"/>
        <v>Cash</v>
      </c>
      <c r="O515" s="37" t="str" cm="1">
        <f t="array" ref="O515">IF(TRIM(N515)="",INDEX($N$2:$N$1500,MATCH(MAX(COUNTIF($N$2:$N$1500,$N$2:$N$1500)),COUNTIF($N$2:$N$1500,$N$2:$N$1500),0)),N515)</f>
        <v>Cash</v>
      </c>
      <c r="P515" s="38" cm="1">
        <f t="array" ref="P515">ROUND(IF(TRIM(H515)="",IFERROR(MEDIAN(IF($M$2:$M$1500=M515,$H$2:$H$1500)),MEDIAN($H$2:$H$1500)),H515),2)</f>
        <v>21.09</v>
      </c>
      <c r="Q515" s="38" t="str">
        <f t="shared" ref="Q515:Q578" si="51">IF(OR(LOWER(TRIM(G515))="0",LOWER(TRIM(G515))="zero"),"0", IF(OR(LOWER(TRIM(G515))="1",LOWER(TRIM(G515))="one"),"1", IF(OR(LOWER(TRIM(G515))="2",LOWER(TRIM(G515))="two"),"2", IF(OR(LOWER(TRIM(G515))="2+",LOWER(TRIM(G515))="two_or_more",LOWER(TRIM(G515))="multiple"),"2+", "Unknown"))))</f>
        <v>0</v>
      </c>
      <c r="R515" s="39" cm="1">
        <f t="array" ref="R515">IF(OR(TRIM(J515)="",TRIM(J515)="-"),MEDIAN(IF($C$2:$C$1218=C515,$J$2:$J$1218)),VALUE(SUBSTITUTE(SUBSTITUTE(SUBSTITUTE(J515,"Rs. ",""),"₹",""),",","")))</f>
        <v>59470</v>
      </c>
      <c r="S515" s="40">
        <f t="shared" si="49"/>
        <v>10</v>
      </c>
      <c r="T515" s="41">
        <f t="shared" ref="T515:T578" si="52">ROUND(IF(OR(TRIM(S515)="-",UPPER(TRIM(S515))="N/A",UPPER(TRIM(S515))="NA"),IFERROR(AVERAGEIF($O$2:$O$1500,O515,$S$2:$S$1500),AVERAGE($S$2:$S$1500)),S515),0)</f>
        <v>10</v>
      </c>
      <c r="U515" s="42">
        <f t="shared" ref="U515:U578" si="53">ROUND(R515*(1-T515/100),0)</f>
        <v>53523</v>
      </c>
    </row>
    <row r="516" spans="1:21" x14ac:dyDescent="0.3">
      <c r="A516" s="37" t="s">
        <v>3658</v>
      </c>
      <c r="B516" s="37" t="s">
        <v>3659</v>
      </c>
      <c r="C516" s="37" t="s">
        <v>2415</v>
      </c>
      <c r="D516" s="37" t="s">
        <v>25</v>
      </c>
      <c r="E516" s="37" t="s">
        <v>54</v>
      </c>
      <c r="F516" s="37" t="s">
        <v>39</v>
      </c>
      <c r="G516" s="37" t="s">
        <v>2450</v>
      </c>
      <c r="H516" s="37">
        <v>19.649999999999999</v>
      </c>
      <c r="I516" s="37">
        <v>4</v>
      </c>
      <c r="J516" s="37" t="s">
        <v>3660</v>
      </c>
      <c r="K516" s="37" t="s">
        <v>34</v>
      </c>
      <c r="L516" s="37">
        <v>0.1</v>
      </c>
      <c r="M516" s="37" t="str">
        <f t="shared" si="50"/>
        <v>General</v>
      </c>
      <c r="N516" s="37" t="str">
        <f t="shared" si="48"/>
        <v>Cash</v>
      </c>
      <c r="O516" s="37" t="str" cm="1">
        <f t="array" ref="O516">IF(TRIM(N516)="",INDEX($N$2:$N$1500,MATCH(MAX(COUNTIF($N$2:$N$1500,$N$2:$N$1500)),COUNTIF($N$2:$N$1500,$N$2:$N$1500),0)),N516)</f>
        <v>Cash</v>
      </c>
      <c r="P516" s="38" cm="1">
        <f t="array" ref="P516">ROUND(IF(TRIM(H516)="",IFERROR(MEDIAN(IF($M$2:$M$1500=M516,$H$2:$H$1500)),MEDIAN($H$2:$H$1500)),H516),2)</f>
        <v>19.649999999999999</v>
      </c>
      <c r="Q516" s="38" t="str">
        <f t="shared" si="51"/>
        <v>1</v>
      </c>
      <c r="R516" s="39" cm="1">
        <f t="array" ref="R516">IF(OR(TRIM(J516)="",TRIM(J516)="-"),MEDIAN(IF($C$2:$C$1218=C516,$J$2:$J$1218)),VALUE(SUBSTITUTE(SUBSTITUTE(SUBSTITUTE(J516,"Rs. ",""),"₹",""),",","")))</f>
        <v>17413</v>
      </c>
      <c r="S516" s="40">
        <f t="shared" si="49"/>
        <v>0.1</v>
      </c>
      <c r="T516" s="41">
        <f t="shared" si="52"/>
        <v>0</v>
      </c>
      <c r="U516" s="42">
        <f t="shared" si="53"/>
        <v>17413</v>
      </c>
    </row>
    <row r="517" spans="1:21" x14ac:dyDescent="0.3">
      <c r="A517" s="37" t="s">
        <v>3661</v>
      </c>
      <c r="B517" s="37" t="s">
        <v>3662</v>
      </c>
      <c r="C517" s="37" t="s">
        <v>2577</v>
      </c>
      <c r="D517" s="37" t="s">
        <v>117</v>
      </c>
      <c r="E517" s="37" t="s">
        <v>127</v>
      </c>
      <c r="F517" s="37" t="s">
        <v>49</v>
      </c>
      <c r="G517" s="37" t="s">
        <v>2412</v>
      </c>
      <c r="H517" s="37">
        <v>18.399999999999999</v>
      </c>
      <c r="I517" s="37">
        <v>36</v>
      </c>
      <c r="J517" s="37" t="s">
        <v>3663</v>
      </c>
      <c r="K517" s="37" t="s">
        <v>149</v>
      </c>
      <c r="L517" s="37">
        <v>5</v>
      </c>
      <c r="M517" s="37" t="str">
        <f t="shared" si="50"/>
        <v>General</v>
      </c>
      <c r="N517" s="37" t="str">
        <f t="shared" si="48"/>
        <v>Insurance</v>
      </c>
      <c r="O517" s="37" t="str" cm="1">
        <f t="array" ref="O517">IF(TRIM(N517)="",INDEX($N$2:$N$1500,MATCH(MAX(COUNTIF($N$2:$N$1500,$N$2:$N$1500)),COUNTIF($N$2:$N$1500,$N$2:$N$1500),0)),N517)</f>
        <v>Insurance</v>
      </c>
      <c r="P517" s="38" cm="1">
        <f t="array" ref="P517">ROUND(IF(TRIM(H517)="",IFERROR(MEDIAN(IF($M$2:$M$1500=M517,$H$2:$H$1500)),MEDIAN($H$2:$H$1500)),H517),2)</f>
        <v>18.399999999999999</v>
      </c>
      <c r="Q517" s="38" t="str">
        <f t="shared" si="51"/>
        <v>1</v>
      </c>
      <c r="R517" s="39" cm="1">
        <f t="array" ref="R517">IF(OR(TRIM(J517)="",TRIM(J517)="-"),MEDIAN(IF($C$2:$C$1218=C517,$J$2:$J$1218)),VALUE(SUBSTITUTE(SUBSTITUTE(SUBSTITUTE(J517,"Rs. ",""),"₹",""),",","")))</f>
        <v>7410</v>
      </c>
      <c r="S517" s="40">
        <f t="shared" si="49"/>
        <v>5</v>
      </c>
      <c r="T517" s="41">
        <f t="shared" si="52"/>
        <v>5</v>
      </c>
      <c r="U517" s="42">
        <f t="shared" si="53"/>
        <v>7040</v>
      </c>
    </row>
    <row r="518" spans="1:21" x14ac:dyDescent="0.3">
      <c r="A518" s="37" t="s">
        <v>3664</v>
      </c>
      <c r="B518" s="37" t="s">
        <v>3665</v>
      </c>
      <c r="C518" s="37" t="s">
        <v>2514</v>
      </c>
      <c r="D518" s="37" t="s">
        <v>78</v>
      </c>
      <c r="E518" s="37" t="s">
        <v>161</v>
      </c>
      <c r="F518" s="37" t="s">
        <v>101</v>
      </c>
      <c r="G518" s="37" t="s">
        <v>2408</v>
      </c>
      <c r="H518" s="37">
        <v>21.13</v>
      </c>
      <c r="I518" s="37">
        <v>35</v>
      </c>
      <c r="J518" s="37">
        <v>69898</v>
      </c>
      <c r="K518" s="37" t="s">
        <v>72</v>
      </c>
      <c r="L518" s="37" t="s">
        <v>140</v>
      </c>
      <c r="M518" s="37" t="str">
        <f t="shared" si="50"/>
        <v>ICU</v>
      </c>
      <c r="N518" s="37" t="str">
        <f t="shared" si="48"/>
        <v>Cash</v>
      </c>
      <c r="O518" s="37" t="str" cm="1">
        <f t="array" ref="O518">IF(TRIM(N518)="",INDEX($N$2:$N$1500,MATCH(MAX(COUNTIF($N$2:$N$1500,$N$2:$N$1500)),COUNTIF($N$2:$N$1500,$N$2:$N$1500),0)),N518)</f>
        <v>Cash</v>
      </c>
      <c r="P518" s="38" cm="1">
        <f t="array" ref="P518">ROUND(IF(TRIM(H518)="",IFERROR(MEDIAN(IF($M$2:$M$1500=M518,$H$2:$H$1500)),MEDIAN($H$2:$H$1500)),H518),2)</f>
        <v>21.13</v>
      </c>
      <c r="Q518" s="38" t="str">
        <f t="shared" si="51"/>
        <v>0</v>
      </c>
      <c r="R518" s="39" cm="1">
        <f t="array" ref="R518">IF(OR(TRIM(J518)="",TRIM(J518)="-"),MEDIAN(IF($C$2:$C$1218=C518,$J$2:$J$1218)),VALUE(SUBSTITUTE(SUBSTITUTE(SUBSTITUTE(J518,"Rs. ",""),"₹",""),",","")))</f>
        <v>69898</v>
      </c>
      <c r="S518" s="40" t="str">
        <f t="shared" si="49"/>
        <v>-</v>
      </c>
      <c r="T518" s="41">
        <f t="shared" si="52"/>
        <v>2</v>
      </c>
      <c r="U518" s="42">
        <f t="shared" si="53"/>
        <v>68500</v>
      </c>
    </row>
    <row r="519" spans="1:21" x14ac:dyDescent="0.3">
      <c r="A519" s="37" t="s">
        <v>3666</v>
      </c>
      <c r="B519" s="37" t="s">
        <v>2640</v>
      </c>
      <c r="C519" s="37" t="s">
        <v>2415</v>
      </c>
      <c r="D519" s="37" t="s">
        <v>106</v>
      </c>
      <c r="E519" s="37" t="s">
        <v>107</v>
      </c>
      <c r="F519" s="37" t="s">
        <v>30</v>
      </c>
      <c r="G519" s="37" t="s">
        <v>2455</v>
      </c>
      <c r="H519" s="37">
        <v>21.19</v>
      </c>
      <c r="I519" s="37">
        <v>38</v>
      </c>
      <c r="J519" s="37" t="s">
        <v>3667</v>
      </c>
      <c r="K519" s="37" t="s">
        <v>149</v>
      </c>
      <c r="L519" s="37" t="s">
        <v>76</v>
      </c>
      <c r="M519" s="37" t="str">
        <f t="shared" si="50"/>
        <v>General</v>
      </c>
      <c r="N519" s="37" t="str">
        <f t="shared" si="48"/>
        <v>Insurance</v>
      </c>
      <c r="O519" s="37" t="str" cm="1">
        <f t="array" ref="O519">IF(TRIM(N519)="",INDEX($N$2:$N$1500,MATCH(MAX(COUNTIF($N$2:$N$1500,$N$2:$N$1500)),COUNTIF($N$2:$N$1500,$N$2:$N$1500),0)),N519)</f>
        <v>Insurance</v>
      </c>
      <c r="P519" s="38" cm="1">
        <f t="array" ref="P519">ROUND(IF(TRIM(H519)="",IFERROR(MEDIAN(IF($M$2:$M$1500=M519,$H$2:$H$1500)),MEDIAN($H$2:$H$1500)),H519),2)</f>
        <v>21.19</v>
      </c>
      <c r="Q519" s="38" t="str">
        <f t="shared" si="51"/>
        <v>1</v>
      </c>
      <c r="R519" s="39" cm="1">
        <f t="array" ref="R519">IF(OR(TRIM(J519)="",TRIM(J519)="-"),MEDIAN(IF($C$2:$C$1218=C519,$J$2:$J$1218)),VALUE(SUBSTITUTE(SUBSTITUTE(SUBSTITUTE(J519,"Rs. ",""),"₹",""),",","")))</f>
        <v>8226</v>
      </c>
      <c r="S519" s="40">
        <f t="shared" si="49"/>
        <v>10</v>
      </c>
      <c r="T519" s="41">
        <f t="shared" si="52"/>
        <v>10</v>
      </c>
      <c r="U519" s="42">
        <f t="shared" si="53"/>
        <v>7403</v>
      </c>
    </row>
    <row r="520" spans="1:21" x14ac:dyDescent="0.3">
      <c r="A520" s="37" t="s">
        <v>3668</v>
      </c>
      <c r="B520" s="37" t="s">
        <v>3180</v>
      </c>
      <c r="C520" s="37" t="s">
        <v>2407</v>
      </c>
      <c r="D520" s="37" t="s">
        <v>14</v>
      </c>
      <c r="E520" s="37" t="s">
        <v>60</v>
      </c>
      <c r="F520" s="37" t="s">
        <v>62</v>
      </c>
      <c r="G520" s="37" t="s">
        <v>2435</v>
      </c>
      <c r="H520" s="37"/>
      <c r="I520" s="37">
        <v>39</v>
      </c>
      <c r="J520" s="37" t="s">
        <v>3669</v>
      </c>
      <c r="K520" s="37" t="s">
        <v>149</v>
      </c>
      <c r="L520" s="37" t="s">
        <v>886</v>
      </c>
      <c r="M520" s="37" t="str">
        <f t="shared" si="50"/>
        <v>ICU</v>
      </c>
      <c r="N520" s="37" t="str">
        <f t="shared" si="48"/>
        <v>Insurance</v>
      </c>
      <c r="O520" s="37" t="str" cm="1">
        <f t="array" ref="O520">IF(TRIM(N520)="",INDEX($N$2:$N$1500,MATCH(MAX(COUNTIF($N$2:$N$1500,$N$2:$N$1500)),COUNTIF($N$2:$N$1500,$N$2:$N$1500),0)),N520)</f>
        <v>Insurance</v>
      </c>
      <c r="P520" s="38" cm="1">
        <f t="array" ref="P520">ROUND(IF(TRIM(H520)="",IFERROR(MEDIAN(IF($M$2:$M$1500=M520,$H$2:$H$1500)),MEDIAN($H$2:$H$1500)),H520),2)</f>
        <v>12.21</v>
      </c>
      <c r="Q520" s="38" t="str">
        <f t="shared" si="51"/>
        <v>0</v>
      </c>
      <c r="R520" s="39" cm="1">
        <f t="array" ref="R520">IF(OR(TRIM(J520)="",TRIM(J520)="-"),MEDIAN(IF($C$2:$C$1218=C520,$J$2:$J$1218)),VALUE(SUBSTITUTE(SUBSTITUTE(SUBSTITUTE(J520,"Rs. ",""),"₹",""),",","")))</f>
        <v>46022</v>
      </c>
      <c r="S520" s="40">
        <f t="shared" si="49"/>
        <v>15</v>
      </c>
      <c r="T520" s="41">
        <f t="shared" si="52"/>
        <v>15</v>
      </c>
      <c r="U520" s="42">
        <f t="shared" si="53"/>
        <v>39119</v>
      </c>
    </row>
    <row r="521" spans="1:21" x14ac:dyDescent="0.3">
      <c r="A521" s="37" t="s">
        <v>3670</v>
      </c>
      <c r="B521" s="37" t="s">
        <v>3671</v>
      </c>
      <c r="C521" s="37" t="s">
        <v>2561</v>
      </c>
      <c r="D521" s="37" t="s">
        <v>78</v>
      </c>
      <c r="E521" s="37" t="s">
        <v>161</v>
      </c>
      <c r="F521" s="37" t="s">
        <v>49</v>
      </c>
      <c r="G521" s="37" t="s">
        <v>2423</v>
      </c>
      <c r="H521" s="37">
        <v>24.43</v>
      </c>
      <c r="I521" s="37">
        <v>48</v>
      </c>
      <c r="J521" s="37" t="s">
        <v>3672</v>
      </c>
      <c r="K521" s="37" t="s">
        <v>52</v>
      </c>
      <c r="L521" s="37">
        <v>10</v>
      </c>
      <c r="M521" s="37" t="str">
        <f t="shared" si="50"/>
        <v>General</v>
      </c>
      <c r="N521" s="37" t="str">
        <f t="shared" si="48"/>
        <v>Credit Card</v>
      </c>
      <c r="O521" s="37" t="str" cm="1">
        <f t="array" ref="O521">IF(TRIM(N521)="",INDEX($N$2:$N$1500,MATCH(MAX(COUNTIF($N$2:$N$1500,$N$2:$N$1500)),COUNTIF($N$2:$N$1500,$N$2:$N$1500),0)),N521)</f>
        <v>Credit Card</v>
      </c>
      <c r="P521" s="38" cm="1">
        <f t="array" ref="P521">ROUND(IF(TRIM(H521)="",IFERROR(MEDIAN(IF($M$2:$M$1500=M521,$H$2:$H$1500)),MEDIAN($H$2:$H$1500)),H521),2)</f>
        <v>24.43</v>
      </c>
      <c r="Q521" s="38" t="str">
        <f t="shared" si="51"/>
        <v>0</v>
      </c>
      <c r="R521" s="39" cm="1">
        <f t="array" ref="R521">IF(OR(TRIM(J521)="",TRIM(J521)="-"),MEDIAN(IF($C$2:$C$1218=C521,$J$2:$J$1218)),VALUE(SUBSTITUTE(SUBSTITUTE(SUBSTITUTE(J521,"Rs. ",""),"₹",""),",","")))</f>
        <v>18091</v>
      </c>
      <c r="S521" s="40">
        <f t="shared" si="49"/>
        <v>10</v>
      </c>
      <c r="T521" s="41">
        <f t="shared" si="52"/>
        <v>10</v>
      </c>
      <c r="U521" s="42">
        <f t="shared" si="53"/>
        <v>16282</v>
      </c>
    </row>
    <row r="522" spans="1:21" x14ac:dyDescent="0.3">
      <c r="A522" s="37" t="s">
        <v>3673</v>
      </c>
      <c r="B522" s="37" t="s">
        <v>3674</v>
      </c>
      <c r="C522" s="37" t="s">
        <v>2473</v>
      </c>
      <c r="D522" s="37" t="s">
        <v>78</v>
      </c>
      <c r="E522" s="37" t="s">
        <v>79</v>
      </c>
      <c r="F522" s="37" t="s">
        <v>49</v>
      </c>
      <c r="G522" s="37" t="s">
        <v>2423</v>
      </c>
      <c r="H522" s="37"/>
      <c r="I522" s="37">
        <v>35</v>
      </c>
      <c r="J522" s="37">
        <v>7721</v>
      </c>
      <c r="K522" s="37" t="s">
        <v>52</v>
      </c>
      <c r="L522" s="37" t="s">
        <v>130</v>
      </c>
      <c r="M522" s="37" t="str">
        <f t="shared" si="50"/>
        <v>General</v>
      </c>
      <c r="N522" s="37" t="str">
        <f t="shared" si="48"/>
        <v>Credit Card</v>
      </c>
      <c r="O522" s="37" t="str" cm="1">
        <f t="array" ref="O522">IF(TRIM(N522)="",INDEX($N$2:$N$1500,MATCH(MAX(COUNTIF($N$2:$N$1500,$N$2:$N$1500)),COUNTIF($N$2:$N$1500,$N$2:$N$1500),0)),N522)</f>
        <v>Credit Card</v>
      </c>
      <c r="P522" s="38" cm="1">
        <f t="array" ref="P522">ROUND(IF(TRIM(H522)="",IFERROR(MEDIAN(IF($M$2:$M$1500=M522,$H$2:$H$1500)),MEDIAN($H$2:$H$1500)),H522),2)</f>
        <v>12.02</v>
      </c>
      <c r="Q522" s="38" t="str">
        <f t="shared" si="51"/>
        <v>0</v>
      </c>
      <c r="R522" s="39" cm="1">
        <f t="array" ref="R522">IF(OR(TRIM(J522)="",TRIM(J522)="-"),MEDIAN(IF($C$2:$C$1218=C522,$J$2:$J$1218)),VALUE(SUBSTITUTE(SUBSTITUTE(SUBSTITUTE(J522,"Rs. ",""),"₹",""),",","")))</f>
        <v>7721</v>
      </c>
      <c r="S522" s="40">
        <f t="shared" si="49"/>
        <v>0</v>
      </c>
      <c r="T522" s="41">
        <f t="shared" si="52"/>
        <v>0</v>
      </c>
      <c r="U522" s="42">
        <f t="shared" si="53"/>
        <v>7721</v>
      </c>
    </row>
    <row r="523" spans="1:21" x14ac:dyDescent="0.3">
      <c r="A523" s="37" t="s">
        <v>3675</v>
      </c>
      <c r="B523" s="37" t="s">
        <v>3676</v>
      </c>
      <c r="C523" s="37" t="s">
        <v>2629</v>
      </c>
      <c r="D523" s="37" t="s">
        <v>14</v>
      </c>
      <c r="E523" s="37" t="s">
        <v>60</v>
      </c>
      <c r="F523" s="37" t="s">
        <v>30</v>
      </c>
      <c r="G523" s="37" t="s">
        <v>2423</v>
      </c>
      <c r="H523" s="37">
        <v>9.25</v>
      </c>
      <c r="I523" s="37">
        <v>42</v>
      </c>
      <c r="J523" s="37">
        <v>9926</v>
      </c>
      <c r="K523" s="37" t="s">
        <v>34</v>
      </c>
      <c r="L523" s="37">
        <v>0</v>
      </c>
      <c r="M523" s="37" t="str">
        <f t="shared" si="50"/>
        <v>General</v>
      </c>
      <c r="N523" s="37" t="str">
        <f t="shared" si="48"/>
        <v>Cash</v>
      </c>
      <c r="O523" s="37" t="str" cm="1">
        <f t="array" ref="O523">IF(TRIM(N523)="",INDEX($N$2:$N$1500,MATCH(MAX(COUNTIF($N$2:$N$1500,$N$2:$N$1500)),COUNTIF($N$2:$N$1500,$N$2:$N$1500),0)),N523)</f>
        <v>Cash</v>
      </c>
      <c r="P523" s="38" cm="1">
        <f t="array" ref="P523">ROUND(IF(TRIM(H523)="",IFERROR(MEDIAN(IF($M$2:$M$1500=M523,$H$2:$H$1500)),MEDIAN($H$2:$H$1500)),H523),2)</f>
        <v>9.25</v>
      </c>
      <c r="Q523" s="38" t="str">
        <f t="shared" si="51"/>
        <v>0</v>
      </c>
      <c r="R523" s="39" cm="1">
        <f t="array" ref="R523">IF(OR(TRIM(J523)="",TRIM(J523)="-"),MEDIAN(IF($C$2:$C$1218=C523,$J$2:$J$1218)),VALUE(SUBSTITUTE(SUBSTITUTE(SUBSTITUTE(J523,"Rs. ",""),"₹",""),",","")))</f>
        <v>9926</v>
      </c>
      <c r="S523" s="40">
        <f t="shared" si="49"/>
        <v>0</v>
      </c>
      <c r="T523" s="41">
        <f t="shared" si="52"/>
        <v>0</v>
      </c>
      <c r="U523" s="42">
        <f t="shared" si="53"/>
        <v>9926</v>
      </c>
    </row>
    <row r="524" spans="1:21" x14ac:dyDescent="0.3">
      <c r="A524" s="37" t="s">
        <v>3677</v>
      </c>
      <c r="B524" s="37" t="s">
        <v>3678</v>
      </c>
      <c r="C524" s="37" t="s">
        <v>2454</v>
      </c>
      <c r="D524" s="37" t="s">
        <v>78</v>
      </c>
      <c r="E524" s="37" t="s">
        <v>161</v>
      </c>
      <c r="F524" s="37" t="s">
        <v>19</v>
      </c>
      <c r="G524" s="37" t="s">
        <v>2408</v>
      </c>
      <c r="H524" s="37">
        <v>17.97</v>
      </c>
      <c r="I524" s="37">
        <v>43</v>
      </c>
      <c r="J524" s="37">
        <v>3326</v>
      </c>
      <c r="K524" s="37" t="s">
        <v>34</v>
      </c>
      <c r="L524" s="37" t="s">
        <v>130</v>
      </c>
      <c r="M524" s="37" t="str">
        <f t="shared" si="50"/>
        <v>General</v>
      </c>
      <c r="N524" s="37" t="str">
        <f t="shared" si="48"/>
        <v>Cash</v>
      </c>
      <c r="O524" s="37" t="str" cm="1">
        <f t="array" ref="O524">IF(TRIM(N524)="",INDEX($N$2:$N$1500,MATCH(MAX(COUNTIF($N$2:$N$1500,$N$2:$N$1500)),COUNTIF($N$2:$N$1500,$N$2:$N$1500),0)),N524)</f>
        <v>Cash</v>
      </c>
      <c r="P524" s="38" cm="1">
        <f t="array" ref="P524">ROUND(IF(TRIM(H524)="",IFERROR(MEDIAN(IF($M$2:$M$1500=M524,$H$2:$H$1500)),MEDIAN($H$2:$H$1500)),H524),2)</f>
        <v>17.97</v>
      </c>
      <c r="Q524" s="38" t="str">
        <f t="shared" si="51"/>
        <v>0</v>
      </c>
      <c r="R524" s="39" cm="1">
        <f t="array" ref="R524">IF(OR(TRIM(J524)="",TRIM(J524)="-"),MEDIAN(IF($C$2:$C$1218=C524,$J$2:$J$1218)),VALUE(SUBSTITUTE(SUBSTITUTE(SUBSTITUTE(J524,"Rs. ",""),"₹",""),",","")))</f>
        <v>3326</v>
      </c>
      <c r="S524" s="40">
        <f t="shared" si="49"/>
        <v>0</v>
      </c>
      <c r="T524" s="41">
        <f t="shared" si="52"/>
        <v>0</v>
      </c>
      <c r="U524" s="42">
        <f t="shared" si="53"/>
        <v>3326</v>
      </c>
    </row>
    <row r="525" spans="1:21" x14ac:dyDescent="0.3">
      <c r="A525" s="37" t="s">
        <v>3679</v>
      </c>
      <c r="B525" s="37" t="s">
        <v>3680</v>
      </c>
      <c r="C525" s="37" t="s">
        <v>2518</v>
      </c>
      <c r="D525" s="37" t="s">
        <v>78</v>
      </c>
      <c r="E525" s="37" t="s">
        <v>79</v>
      </c>
      <c r="F525" s="37" t="s">
        <v>30</v>
      </c>
      <c r="G525" s="37" t="s">
        <v>2408</v>
      </c>
      <c r="H525" s="37">
        <v>23.51</v>
      </c>
      <c r="I525" s="37">
        <v>37</v>
      </c>
      <c r="J525" s="37" t="s">
        <v>3681</v>
      </c>
      <c r="K525" s="37" t="s">
        <v>149</v>
      </c>
      <c r="L525" s="37">
        <v>18</v>
      </c>
      <c r="M525" s="37" t="str">
        <f t="shared" si="50"/>
        <v>General</v>
      </c>
      <c r="N525" s="37" t="str">
        <f t="shared" si="48"/>
        <v>Insurance</v>
      </c>
      <c r="O525" s="37" t="str" cm="1">
        <f t="array" ref="O525">IF(TRIM(N525)="",INDEX($N$2:$N$1500,MATCH(MAX(COUNTIF($N$2:$N$1500,$N$2:$N$1500)),COUNTIF($N$2:$N$1500,$N$2:$N$1500),0)),N525)</f>
        <v>Insurance</v>
      </c>
      <c r="P525" s="38" cm="1">
        <f t="array" ref="P525">ROUND(IF(TRIM(H525)="",IFERROR(MEDIAN(IF($M$2:$M$1500=M525,$H$2:$H$1500)),MEDIAN($H$2:$H$1500)),H525),2)</f>
        <v>23.51</v>
      </c>
      <c r="Q525" s="38" t="str">
        <f t="shared" si="51"/>
        <v>0</v>
      </c>
      <c r="R525" s="39" cm="1">
        <f t="array" ref="R525">IF(OR(TRIM(J525)="",TRIM(J525)="-"),MEDIAN(IF($C$2:$C$1218=C525,$J$2:$J$1218)),VALUE(SUBSTITUTE(SUBSTITUTE(SUBSTITUTE(J525,"Rs. ",""),"₹",""),",","")))</f>
        <v>16960</v>
      </c>
      <c r="S525" s="40">
        <f t="shared" si="49"/>
        <v>18</v>
      </c>
      <c r="T525" s="41">
        <f t="shared" si="52"/>
        <v>18</v>
      </c>
      <c r="U525" s="42">
        <f t="shared" si="53"/>
        <v>13907</v>
      </c>
    </row>
    <row r="526" spans="1:21" x14ac:dyDescent="0.3">
      <c r="A526" s="37" t="s">
        <v>3682</v>
      </c>
      <c r="B526" s="37" t="s">
        <v>3683</v>
      </c>
      <c r="C526" s="37" t="s">
        <v>2514</v>
      </c>
      <c r="D526" s="37" t="s">
        <v>14</v>
      </c>
      <c r="E526" s="37" t="s">
        <v>15</v>
      </c>
      <c r="F526" s="37" t="s">
        <v>19</v>
      </c>
      <c r="G526" s="37" t="s">
        <v>2408</v>
      </c>
      <c r="H526" s="37">
        <v>24.98</v>
      </c>
      <c r="I526" s="37">
        <v>44</v>
      </c>
      <c r="J526" s="37">
        <v>10996</v>
      </c>
      <c r="K526" s="37" t="s">
        <v>211</v>
      </c>
      <c r="L526" s="37" t="s">
        <v>130</v>
      </c>
      <c r="M526" s="37" t="str">
        <f t="shared" si="50"/>
        <v>General</v>
      </c>
      <c r="N526" s="37" t="str">
        <f t="shared" si="48"/>
        <v>Credit Card</v>
      </c>
      <c r="O526" s="37" t="str" cm="1">
        <f t="array" ref="O526">IF(TRIM(N526)="",INDEX($N$2:$N$1500,MATCH(MAX(COUNTIF($N$2:$N$1500,$N$2:$N$1500)),COUNTIF($N$2:$N$1500,$N$2:$N$1500),0)),N526)</f>
        <v>Credit Card</v>
      </c>
      <c r="P526" s="38" cm="1">
        <f t="array" ref="P526">ROUND(IF(TRIM(H526)="",IFERROR(MEDIAN(IF($M$2:$M$1500=M526,$H$2:$H$1500)),MEDIAN($H$2:$H$1500)),H526),2)</f>
        <v>24.98</v>
      </c>
      <c r="Q526" s="38" t="str">
        <f t="shared" si="51"/>
        <v>0</v>
      </c>
      <c r="R526" s="39" cm="1">
        <f t="array" ref="R526">IF(OR(TRIM(J526)="",TRIM(J526)="-"),MEDIAN(IF($C$2:$C$1218=C526,$J$2:$J$1218)),VALUE(SUBSTITUTE(SUBSTITUTE(SUBSTITUTE(J526,"Rs. ",""),"₹",""),",","")))</f>
        <v>10996</v>
      </c>
      <c r="S526" s="40">
        <f t="shared" si="49"/>
        <v>0</v>
      </c>
      <c r="T526" s="41">
        <f t="shared" si="52"/>
        <v>0</v>
      </c>
      <c r="U526" s="42">
        <f t="shared" si="53"/>
        <v>10996</v>
      </c>
    </row>
    <row r="527" spans="1:21" x14ac:dyDescent="0.3">
      <c r="A527" s="37" t="s">
        <v>3684</v>
      </c>
      <c r="B527" s="37" t="s">
        <v>3449</v>
      </c>
      <c r="C527" s="37" t="s">
        <v>2445</v>
      </c>
      <c r="D527" s="37" t="s">
        <v>106</v>
      </c>
      <c r="E527" s="37" t="s">
        <v>107</v>
      </c>
      <c r="F527" s="37" t="s">
        <v>19</v>
      </c>
      <c r="G527" s="37" t="s">
        <v>2435</v>
      </c>
      <c r="H527" s="37">
        <v>1.58</v>
      </c>
      <c r="I527" s="37">
        <v>54</v>
      </c>
      <c r="J527" s="37" t="s">
        <v>3685</v>
      </c>
      <c r="K527" s="37"/>
      <c r="L527" s="37">
        <v>5</v>
      </c>
      <c r="M527" s="37" t="str">
        <f t="shared" si="50"/>
        <v>General</v>
      </c>
      <c r="N527" s="37" t="str">
        <f t="shared" si="48"/>
        <v>Unknown</v>
      </c>
      <c r="O527" s="37" t="str" cm="1">
        <f t="array" ref="O527">IF(TRIM(N527)="",INDEX($N$2:$N$1500,MATCH(MAX(COUNTIF($N$2:$N$1500,$N$2:$N$1500)),COUNTIF($N$2:$N$1500,$N$2:$N$1500),0)),N527)</f>
        <v>Unknown</v>
      </c>
      <c r="P527" s="38" cm="1">
        <f t="array" ref="P527">ROUND(IF(TRIM(H527)="",IFERROR(MEDIAN(IF($M$2:$M$1500=M527,$H$2:$H$1500)),MEDIAN($H$2:$H$1500)),H527),2)</f>
        <v>1.58</v>
      </c>
      <c r="Q527" s="38" t="str">
        <f t="shared" si="51"/>
        <v>0</v>
      </c>
      <c r="R527" s="39" cm="1">
        <f t="array" ref="R527">IF(OR(TRIM(J527)="",TRIM(J527)="-"),MEDIAN(IF($C$2:$C$1218=C527,$J$2:$J$1218)),VALUE(SUBSTITUTE(SUBSTITUTE(SUBSTITUTE(J527,"Rs. ",""),"₹",""),",","")))</f>
        <v>3678</v>
      </c>
      <c r="S527" s="40">
        <f t="shared" si="49"/>
        <v>5</v>
      </c>
      <c r="T527" s="41">
        <f t="shared" si="52"/>
        <v>5</v>
      </c>
      <c r="U527" s="42">
        <f t="shared" si="53"/>
        <v>3494</v>
      </c>
    </row>
    <row r="528" spans="1:21" x14ac:dyDescent="0.3">
      <c r="A528" s="37" t="s">
        <v>3686</v>
      </c>
      <c r="B528" s="37" t="s">
        <v>3687</v>
      </c>
      <c r="C528" s="37" t="s">
        <v>2490</v>
      </c>
      <c r="D528" s="37" t="s">
        <v>25</v>
      </c>
      <c r="E528" s="37" t="s">
        <v>54</v>
      </c>
      <c r="F528" s="37" t="s">
        <v>19</v>
      </c>
      <c r="G528" s="37" t="s">
        <v>2435</v>
      </c>
      <c r="H528" s="37">
        <v>0.77</v>
      </c>
      <c r="I528" s="37">
        <v>7</v>
      </c>
      <c r="J528" s="37" t="s">
        <v>3688</v>
      </c>
      <c r="K528" s="37" t="s">
        <v>58</v>
      </c>
      <c r="L528" s="37">
        <v>5</v>
      </c>
      <c r="M528" s="37" t="str">
        <f t="shared" si="50"/>
        <v>General</v>
      </c>
      <c r="N528" s="37" t="str">
        <f t="shared" si="48"/>
        <v>UPI</v>
      </c>
      <c r="O528" s="37" t="str" cm="1">
        <f t="array" ref="O528">IF(TRIM(N528)="",INDEX($N$2:$N$1500,MATCH(MAX(COUNTIF($N$2:$N$1500,$N$2:$N$1500)),COUNTIF($N$2:$N$1500,$N$2:$N$1500),0)),N528)</f>
        <v>UPI</v>
      </c>
      <c r="P528" s="38" cm="1">
        <f t="array" ref="P528">ROUND(IF(TRIM(H528)="",IFERROR(MEDIAN(IF($M$2:$M$1500=M528,$H$2:$H$1500)),MEDIAN($H$2:$H$1500)),H528),2)</f>
        <v>0.77</v>
      </c>
      <c r="Q528" s="38" t="str">
        <f t="shared" si="51"/>
        <v>0</v>
      </c>
      <c r="R528" s="39" cm="1">
        <f t="array" ref="R528">IF(OR(TRIM(J528)="",TRIM(J528)="-"),MEDIAN(IF($C$2:$C$1218=C528,$J$2:$J$1218)),VALUE(SUBSTITUTE(SUBSTITUTE(SUBSTITUTE(J528,"Rs. ",""),"₹",""),",","")))</f>
        <v>15329</v>
      </c>
      <c r="S528" s="40">
        <f t="shared" si="49"/>
        <v>5</v>
      </c>
      <c r="T528" s="41">
        <f t="shared" si="52"/>
        <v>5</v>
      </c>
      <c r="U528" s="42">
        <f t="shared" si="53"/>
        <v>14563</v>
      </c>
    </row>
    <row r="529" spans="1:21" x14ac:dyDescent="0.3">
      <c r="A529" s="37" t="s">
        <v>3689</v>
      </c>
      <c r="B529" s="37" t="s">
        <v>3690</v>
      </c>
      <c r="C529" s="37" t="s">
        <v>2407</v>
      </c>
      <c r="D529" s="37" t="s">
        <v>106</v>
      </c>
      <c r="E529" s="37" t="s">
        <v>107</v>
      </c>
      <c r="F529" s="37" t="s">
        <v>101</v>
      </c>
      <c r="G529" s="37" t="s">
        <v>2746</v>
      </c>
      <c r="H529" s="37">
        <v>22.22</v>
      </c>
      <c r="I529" s="37">
        <v>25</v>
      </c>
      <c r="J529" s="37">
        <v>34369</v>
      </c>
      <c r="K529" s="37" t="s">
        <v>72</v>
      </c>
      <c r="L529" s="37"/>
      <c r="M529" s="37" t="str">
        <f t="shared" si="50"/>
        <v>ICU</v>
      </c>
      <c r="N529" s="37" t="str">
        <f t="shared" si="48"/>
        <v>Cash</v>
      </c>
      <c r="O529" s="37" t="str" cm="1">
        <f t="array" ref="O529">IF(TRIM(N529)="",INDEX($N$2:$N$1500,MATCH(MAX(COUNTIF($N$2:$N$1500,$N$2:$N$1500)),COUNTIF($N$2:$N$1500,$N$2:$N$1500),0)),N529)</f>
        <v>Cash</v>
      </c>
      <c r="P529" s="38" cm="1">
        <f t="array" ref="P529">ROUND(IF(TRIM(H529)="",IFERROR(MEDIAN(IF($M$2:$M$1500=M529,$H$2:$H$1500)),MEDIAN($H$2:$H$1500)),H529),2)</f>
        <v>22.22</v>
      </c>
      <c r="Q529" s="38" t="str">
        <f t="shared" si="51"/>
        <v>2</v>
      </c>
      <c r="R529" s="39" cm="1">
        <f t="array" ref="R529">IF(OR(TRIM(J529)="",TRIM(J529)="-"),MEDIAN(IF($C$2:$C$1218=C529,$J$2:$J$1218)),VALUE(SUBSTITUTE(SUBSTITUTE(SUBSTITUTE(J529,"Rs. ",""),"₹",""),",","")))</f>
        <v>34369</v>
      </c>
      <c r="S529" s="40">
        <f t="shared" si="49"/>
        <v>0</v>
      </c>
      <c r="T529" s="41">
        <f t="shared" si="52"/>
        <v>0</v>
      </c>
      <c r="U529" s="42">
        <f t="shared" si="53"/>
        <v>34369</v>
      </c>
    </row>
    <row r="530" spans="1:21" x14ac:dyDescent="0.3">
      <c r="A530" s="37" t="s">
        <v>3691</v>
      </c>
      <c r="B530" s="37" t="s">
        <v>2820</v>
      </c>
      <c r="C530" s="37" t="s">
        <v>2466</v>
      </c>
      <c r="D530" s="37" t="s">
        <v>78</v>
      </c>
      <c r="E530" s="37" t="s">
        <v>79</v>
      </c>
      <c r="F530" s="37" t="s">
        <v>49</v>
      </c>
      <c r="G530" s="37" t="s">
        <v>2477</v>
      </c>
      <c r="H530" s="37">
        <v>6.58</v>
      </c>
      <c r="I530" s="37">
        <v>47</v>
      </c>
      <c r="J530" s="37" t="s">
        <v>3692</v>
      </c>
      <c r="K530" s="37" t="s">
        <v>115</v>
      </c>
      <c r="L530" s="37"/>
      <c r="M530" s="37" t="str">
        <f t="shared" si="50"/>
        <v>General</v>
      </c>
      <c r="N530" s="37" t="str">
        <f t="shared" si="48"/>
        <v>Cash</v>
      </c>
      <c r="O530" s="37" t="str" cm="1">
        <f t="array" ref="O530">IF(TRIM(N530)="",INDEX($N$2:$N$1500,MATCH(MAX(COUNTIF($N$2:$N$1500,$N$2:$N$1500)),COUNTIF($N$2:$N$1500,$N$2:$N$1500),0)),N530)</f>
        <v>Cash</v>
      </c>
      <c r="P530" s="38" cm="1">
        <f t="array" ref="P530">ROUND(IF(TRIM(H530)="",IFERROR(MEDIAN(IF($M$2:$M$1500=M530,$H$2:$H$1500)),MEDIAN($H$2:$H$1500)),H530),2)</f>
        <v>6.58</v>
      </c>
      <c r="Q530" s="38" t="str">
        <f t="shared" si="51"/>
        <v>0</v>
      </c>
      <c r="R530" s="39" cm="1">
        <f t="array" ref="R530">IF(OR(TRIM(J530)="",TRIM(J530)="-"),MEDIAN(IF($C$2:$C$1218=C530,$J$2:$J$1218)),VALUE(SUBSTITUTE(SUBSTITUTE(SUBSTITUTE(J530,"Rs. ",""),"₹",""),",","")))</f>
        <v>4632</v>
      </c>
      <c r="S530" s="40">
        <f t="shared" si="49"/>
        <v>0</v>
      </c>
      <c r="T530" s="41">
        <f t="shared" si="52"/>
        <v>0</v>
      </c>
      <c r="U530" s="42">
        <f t="shared" si="53"/>
        <v>4632</v>
      </c>
    </row>
    <row r="531" spans="1:21" x14ac:dyDescent="0.3">
      <c r="A531" s="37" t="s">
        <v>3693</v>
      </c>
      <c r="B531" s="37" t="s">
        <v>3694</v>
      </c>
      <c r="C531" s="37" t="s">
        <v>2434</v>
      </c>
      <c r="D531" s="37" t="s">
        <v>14</v>
      </c>
      <c r="E531" s="37" t="s">
        <v>60</v>
      </c>
      <c r="F531" s="37" t="s">
        <v>19</v>
      </c>
      <c r="G531" s="37" t="s">
        <v>2477</v>
      </c>
      <c r="H531" s="37">
        <v>19.329999999999998</v>
      </c>
      <c r="I531" s="37">
        <v>31</v>
      </c>
      <c r="J531" s="37">
        <v>12842</v>
      </c>
      <c r="K531" s="37" t="s">
        <v>58</v>
      </c>
      <c r="L531" s="37" t="s">
        <v>130</v>
      </c>
      <c r="M531" s="37" t="str">
        <f t="shared" si="50"/>
        <v>General</v>
      </c>
      <c r="N531" s="37" t="str">
        <f t="shared" si="48"/>
        <v>UPI</v>
      </c>
      <c r="O531" s="37" t="str" cm="1">
        <f t="array" ref="O531">IF(TRIM(N531)="",INDEX($N$2:$N$1500,MATCH(MAX(COUNTIF($N$2:$N$1500,$N$2:$N$1500)),COUNTIF($N$2:$N$1500,$N$2:$N$1500),0)),N531)</f>
        <v>UPI</v>
      </c>
      <c r="P531" s="38" cm="1">
        <f t="array" ref="P531">ROUND(IF(TRIM(H531)="",IFERROR(MEDIAN(IF($M$2:$M$1500=M531,$H$2:$H$1500)),MEDIAN($H$2:$H$1500)),H531),2)</f>
        <v>19.329999999999998</v>
      </c>
      <c r="Q531" s="38" t="str">
        <f t="shared" si="51"/>
        <v>0</v>
      </c>
      <c r="R531" s="39" cm="1">
        <f t="array" ref="R531">IF(OR(TRIM(J531)="",TRIM(J531)="-"),MEDIAN(IF($C$2:$C$1218=C531,$J$2:$J$1218)),VALUE(SUBSTITUTE(SUBSTITUTE(SUBSTITUTE(J531,"Rs. ",""),"₹",""),",","")))</f>
        <v>12842</v>
      </c>
      <c r="S531" s="40">
        <f t="shared" si="49"/>
        <v>0</v>
      </c>
      <c r="T531" s="41">
        <f t="shared" si="52"/>
        <v>0</v>
      </c>
      <c r="U531" s="42">
        <f t="shared" si="53"/>
        <v>12842</v>
      </c>
    </row>
    <row r="532" spans="1:21" x14ac:dyDescent="0.3">
      <c r="A532" s="37" t="s">
        <v>3695</v>
      </c>
      <c r="B532" s="37" t="s">
        <v>3696</v>
      </c>
      <c r="C532" s="37" t="s">
        <v>2463</v>
      </c>
      <c r="D532" s="37" t="s">
        <v>25</v>
      </c>
      <c r="E532" s="37" t="s">
        <v>54</v>
      </c>
      <c r="F532" s="37" t="s">
        <v>39</v>
      </c>
      <c r="G532" s="37" t="s">
        <v>2435</v>
      </c>
      <c r="H532" s="37">
        <v>16.940000000000001</v>
      </c>
      <c r="I532" s="37">
        <v>8</v>
      </c>
      <c r="J532" s="37">
        <v>8326</v>
      </c>
      <c r="K532" s="37" t="s">
        <v>34</v>
      </c>
      <c r="L532" s="37" t="s">
        <v>140</v>
      </c>
      <c r="M532" s="37" t="str">
        <f t="shared" si="50"/>
        <v>General</v>
      </c>
      <c r="N532" s="37" t="str">
        <f t="shared" si="48"/>
        <v>Cash</v>
      </c>
      <c r="O532" s="37" t="str" cm="1">
        <f t="array" ref="O532">IF(TRIM(N532)="",INDEX($N$2:$N$1500,MATCH(MAX(COUNTIF($N$2:$N$1500,$N$2:$N$1500)),COUNTIF($N$2:$N$1500,$N$2:$N$1500),0)),N532)</f>
        <v>Cash</v>
      </c>
      <c r="P532" s="38" cm="1">
        <f t="array" ref="P532">ROUND(IF(TRIM(H532)="",IFERROR(MEDIAN(IF($M$2:$M$1500=M532,$H$2:$H$1500)),MEDIAN($H$2:$H$1500)),H532),2)</f>
        <v>16.940000000000001</v>
      </c>
      <c r="Q532" s="38" t="str">
        <f t="shared" si="51"/>
        <v>0</v>
      </c>
      <c r="R532" s="39" cm="1">
        <f t="array" ref="R532">IF(OR(TRIM(J532)="",TRIM(J532)="-"),MEDIAN(IF($C$2:$C$1218=C532,$J$2:$J$1218)),VALUE(SUBSTITUTE(SUBSTITUTE(SUBSTITUTE(J532,"Rs. ",""),"₹",""),",","")))</f>
        <v>8326</v>
      </c>
      <c r="S532" s="40" t="str">
        <f t="shared" si="49"/>
        <v>-</v>
      </c>
      <c r="T532" s="41">
        <f t="shared" si="52"/>
        <v>2</v>
      </c>
      <c r="U532" s="42">
        <f t="shared" si="53"/>
        <v>8159</v>
      </c>
    </row>
    <row r="533" spans="1:21" x14ac:dyDescent="0.3">
      <c r="A533" s="37" t="s">
        <v>3697</v>
      </c>
      <c r="B533" s="37" t="s">
        <v>3698</v>
      </c>
      <c r="C533" s="37" t="s">
        <v>2407</v>
      </c>
      <c r="D533" s="37" t="s">
        <v>14</v>
      </c>
      <c r="E533" s="37" t="s">
        <v>15</v>
      </c>
      <c r="F533" s="37" t="s">
        <v>30</v>
      </c>
      <c r="G533" s="37" t="s">
        <v>2505</v>
      </c>
      <c r="H533" s="37">
        <v>18.690000000000001</v>
      </c>
      <c r="I533" s="37">
        <v>4</v>
      </c>
      <c r="J533" s="37" t="s">
        <v>3699</v>
      </c>
      <c r="K533" s="37" t="s">
        <v>104</v>
      </c>
      <c r="L533" s="37">
        <v>12</v>
      </c>
      <c r="M533" s="37" t="str">
        <f t="shared" si="50"/>
        <v>General</v>
      </c>
      <c r="N533" s="37" t="str">
        <f t="shared" si="48"/>
        <v>Insurance</v>
      </c>
      <c r="O533" s="37" t="str" cm="1">
        <f t="array" ref="O533">IF(TRIM(N533)="",INDEX($N$2:$N$1500,MATCH(MAX(COUNTIF($N$2:$N$1500,$N$2:$N$1500)),COUNTIF($N$2:$N$1500,$N$2:$N$1500),0)),N533)</f>
        <v>Insurance</v>
      </c>
      <c r="P533" s="38" cm="1">
        <f t="array" ref="P533">ROUND(IF(TRIM(H533)="",IFERROR(MEDIAN(IF($M$2:$M$1500=M533,$H$2:$H$1500)),MEDIAN($H$2:$H$1500)),H533),2)</f>
        <v>18.690000000000001</v>
      </c>
      <c r="Q533" s="38" t="str">
        <f t="shared" si="51"/>
        <v>2+</v>
      </c>
      <c r="R533" s="39" cm="1">
        <f t="array" ref="R533">IF(OR(TRIM(J533)="",TRIM(J533)="-"),MEDIAN(IF($C$2:$C$1218=C533,$J$2:$J$1218)),VALUE(SUBSTITUTE(SUBSTITUTE(SUBSTITUTE(J533,"Rs. ",""),"₹",""),",","")))</f>
        <v>19437</v>
      </c>
      <c r="S533" s="40">
        <f t="shared" si="49"/>
        <v>12</v>
      </c>
      <c r="T533" s="41">
        <f t="shared" si="52"/>
        <v>12</v>
      </c>
      <c r="U533" s="42">
        <f t="shared" si="53"/>
        <v>17105</v>
      </c>
    </row>
    <row r="534" spans="1:21" x14ac:dyDescent="0.3">
      <c r="A534" s="37" t="s">
        <v>3700</v>
      </c>
      <c r="B534" s="37" t="s">
        <v>3701</v>
      </c>
      <c r="C534" s="37" t="s">
        <v>2422</v>
      </c>
      <c r="D534" s="37" t="s">
        <v>117</v>
      </c>
      <c r="E534" s="37" t="s">
        <v>118</v>
      </c>
      <c r="F534" s="37" t="s">
        <v>69</v>
      </c>
      <c r="G534" s="37" t="s">
        <v>2439</v>
      </c>
      <c r="H534" s="37">
        <v>3.15</v>
      </c>
      <c r="I534" s="37" t="s">
        <v>140</v>
      </c>
      <c r="J534" s="37" t="s">
        <v>3702</v>
      </c>
      <c r="K534" s="37" t="s">
        <v>97</v>
      </c>
      <c r="L534" s="37">
        <v>0</v>
      </c>
      <c r="M534" s="37" t="str">
        <f t="shared" si="50"/>
        <v>ICU</v>
      </c>
      <c r="N534" s="37" t="str">
        <f t="shared" si="48"/>
        <v>UPI</v>
      </c>
      <c r="O534" s="37" t="str" cm="1">
        <f t="array" ref="O534">IF(TRIM(N534)="",INDEX($N$2:$N$1500,MATCH(MAX(COUNTIF($N$2:$N$1500,$N$2:$N$1500)),COUNTIF($N$2:$N$1500,$N$2:$N$1500),0)),N534)</f>
        <v>UPI</v>
      </c>
      <c r="P534" s="38" cm="1">
        <f t="array" ref="P534">ROUND(IF(TRIM(H534)="",IFERROR(MEDIAN(IF($M$2:$M$1500=M534,$H$2:$H$1500)),MEDIAN($H$2:$H$1500)),H534),2)</f>
        <v>3.15</v>
      </c>
      <c r="Q534" s="38" t="str">
        <f t="shared" si="51"/>
        <v>2</v>
      </c>
      <c r="R534" s="39" cm="1">
        <f t="array" ref="R534">IF(OR(TRIM(J534)="",TRIM(J534)="-"),MEDIAN(IF($C$2:$C$1218=C534,$J$2:$J$1218)),VALUE(SUBSTITUTE(SUBSTITUTE(SUBSTITUTE(J534,"Rs. ",""),"₹",""),",","")))</f>
        <v>83926</v>
      </c>
      <c r="S534" s="40">
        <f t="shared" si="49"/>
        <v>0</v>
      </c>
      <c r="T534" s="41">
        <f t="shared" si="52"/>
        <v>0</v>
      </c>
      <c r="U534" s="42">
        <f t="shared" si="53"/>
        <v>83926</v>
      </c>
    </row>
    <row r="535" spans="1:21" x14ac:dyDescent="0.3">
      <c r="A535" s="37" t="s">
        <v>3703</v>
      </c>
      <c r="B535" s="37" t="s">
        <v>2802</v>
      </c>
      <c r="C535" s="37" t="s">
        <v>2629</v>
      </c>
      <c r="D535" s="37" t="s">
        <v>78</v>
      </c>
      <c r="E535" s="37" t="s">
        <v>203</v>
      </c>
      <c r="F535" s="37" t="s">
        <v>39</v>
      </c>
      <c r="G535" s="37" t="s">
        <v>2455</v>
      </c>
      <c r="H535" s="37"/>
      <c r="I535" s="37"/>
      <c r="J535" s="37" t="s">
        <v>3704</v>
      </c>
      <c r="K535" s="37" t="s">
        <v>34</v>
      </c>
      <c r="L535" s="37">
        <v>0</v>
      </c>
      <c r="M535" s="37" t="str">
        <f t="shared" si="50"/>
        <v>General</v>
      </c>
      <c r="N535" s="37" t="str">
        <f t="shared" si="48"/>
        <v>Cash</v>
      </c>
      <c r="O535" s="37" t="str" cm="1">
        <f t="array" ref="O535">IF(TRIM(N535)="",INDEX($N$2:$N$1500,MATCH(MAX(COUNTIF($N$2:$N$1500,$N$2:$N$1500)),COUNTIF($N$2:$N$1500,$N$2:$N$1500),0)),N535)</f>
        <v>Cash</v>
      </c>
      <c r="P535" s="38" cm="1">
        <f t="array" ref="P535">ROUND(IF(TRIM(H535)="",IFERROR(MEDIAN(IF($M$2:$M$1500=M535,$H$2:$H$1500)),MEDIAN($H$2:$H$1500)),H535),2)</f>
        <v>12.02</v>
      </c>
      <c r="Q535" s="38" t="str">
        <f t="shared" si="51"/>
        <v>1</v>
      </c>
      <c r="R535" s="39" cm="1">
        <f t="array" ref="R535">IF(OR(TRIM(J535)="",TRIM(J535)="-"),MEDIAN(IF($C$2:$C$1218=C535,$J$2:$J$1218)),VALUE(SUBSTITUTE(SUBSTITUTE(SUBSTITUTE(J535,"Rs. ",""),"₹",""),",","")))</f>
        <v>7365</v>
      </c>
      <c r="S535" s="40">
        <f t="shared" si="49"/>
        <v>0</v>
      </c>
      <c r="T535" s="41">
        <f t="shared" si="52"/>
        <v>0</v>
      </c>
      <c r="U535" s="42">
        <f t="shared" si="53"/>
        <v>7365</v>
      </c>
    </row>
    <row r="536" spans="1:21" x14ac:dyDescent="0.3">
      <c r="A536" s="37" t="s">
        <v>3705</v>
      </c>
      <c r="B536" s="37" t="s">
        <v>3706</v>
      </c>
      <c r="C536" s="37" t="s">
        <v>2438</v>
      </c>
      <c r="D536" s="37" t="s">
        <v>25</v>
      </c>
      <c r="E536" s="37" t="s">
        <v>54</v>
      </c>
      <c r="F536" s="37"/>
      <c r="G536" s="37" t="s">
        <v>2423</v>
      </c>
      <c r="H536" s="37"/>
      <c r="I536" s="37">
        <v>58</v>
      </c>
      <c r="J536" s="37" t="s">
        <v>3707</v>
      </c>
      <c r="K536" s="37" t="s">
        <v>211</v>
      </c>
      <c r="L536" s="37">
        <v>10</v>
      </c>
      <c r="M536" s="37" t="str">
        <f t="shared" si="50"/>
        <v>Unknown</v>
      </c>
      <c r="N536" s="37" t="str">
        <f t="shared" si="48"/>
        <v>Credit Card</v>
      </c>
      <c r="O536" s="37" t="str" cm="1">
        <f t="array" ref="O536">IF(TRIM(N536)="",INDEX($N$2:$N$1500,MATCH(MAX(COUNTIF($N$2:$N$1500,$N$2:$N$1500)),COUNTIF($N$2:$N$1500,$N$2:$N$1500),0)),N536)</f>
        <v>Credit Card</v>
      </c>
      <c r="P536" s="38" cm="1">
        <f t="array" ref="P536">ROUND(IF(TRIM(H536)="",IFERROR(MEDIAN(IF($M$2:$M$1500=M536,$H$2:$H$1500)),MEDIAN($H$2:$H$1500)),H536),2)</f>
        <v>13.05</v>
      </c>
      <c r="Q536" s="38" t="str">
        <f t="shared" si="51"/>
        <v>0</v>
      </c>
      <c r="R536" s="39" cm="1">
        <f t="array" ref="R536">IF(OR(TRIM(J536)="",TRIM(J536)="-"),MEDIAN(IF($C$2:$C$1218=C536,$J$2:$J$1218)),VALUE(SUBSTITUTE(SUBSTITUTE(SUBSTITUTE(J536,"Rs. ",""),"₹",""),",","")))</f>
        <v>13205</v>
      </c>
      <c r="S536" s="40">
        <f t="shared" si="49"/>
        <v>10</v>
      </c>
      <c r="T536" s="41">
        <f t="shared" si="52"/>
        <v>10</v>
      </c>
      <c r="U536" s="42">
        <f t="shared" si="53"/>
        <v>11885</v>
      </c>
    </row>
    <row r="537" spans="1:21" x14ac:dyDescent="0.3">
      <c r="A537" s="37" t="s">
        <v>3708</v>
      </c>
      <c r="B537" s="37" t="s">
        <v>3709</v>
      </c>
      <c r="C537" s="37" t="s">
        <v>2466</v>
      </c>
      <c r="D537" s="37" t="s">
        <v>25</v>
      </c>
      <c r="E537" s="37" t="s">
        <v>54</v>
      </c>
      <c r="F537" s="37" t="s">
        <v>101</v>
      </c>
      <c r="G537" s="37" t="s">
        <v>2412</v>
      </c>
      <c r="H537" s="37">
        <v>22.94</v>
      </c>
      <c r="I537" s="37">
        <v>7</v>
      </c>
      <c r="J537" s="37">
        <v>21716</v>
      </c>
      <c r="K537" s="37" t="s">
        <v>34</v>
      </c>
      <c r="L537" s="37"/>
      <c r="M537" s="37" t="str">
        <f t="shared" si="50"/>
        <v>ICU</v>
      </c>
      <c r="N537" s="37" t="str">
        <f t="shared" si="48"/>
        <v>Cash</v>
      </c>
      <c r="O537" s="37" t="str" cm="1">
        <f t="array" ref="O537">IF(TRIM(N537)="",INDEX($N$2:$N$1500,MATCH(MAX(COUNTIF($N$2:$N$1500,$N$2:$N$1500)),COUNTIF($N$2:$N$1500,$N$2:$N$1500),0)),N537)</f>
        <v>Cash</v>
      </c>
      <c r="P537" s="38" cm="1">
        <f t="array" ref="P537">ROUND(IF(TRIM(H537)="",IFERROR(MEDIAN(IF($M$2:$M$1500=M537,$H$2:$H$1500)),MEDIAN($H$2:$H$1500)),H537),2)</f>
        <v>22.94</v>
      </c>
      <c r="Q537" s="38" t="str">
        <f t="shared" si="51"/>
        <v>1</v>
      </c>
      <c r="R537" s="39" cm="1">
        <f t="array" ref="R537">IF(OR(TRIM(J537)="",TRIM(J537)="-"),MEDIAN(IF($C$2:$C$1218=C537,$J$2:$J$1218)),VALUE(SUBSTITUTE(SUBSTITUTE(SUBSTITUTE(J537,"Rs. ",""),"₹",""),",","")))</f>
        <v>21716</v>
      </c>
      <c r="S537" s="40">
        <f t="shared" si="49"/>
        <v>0</v>
      </c>
      <c r="T537" s="41">
        <f t="shared" si="52"/>
        <v>0</v>
      </c>
      <c r="U537" s="42">
        <f t="shared" si="53"/>
        <v>21716</v>
      </c>
    </row>
    <row r="538" spans="1:21" x14ac:dyDescent="0.3">
      <c r="A538" s="37" t="s">
        <v>3710</v>
      </c>
      <c r="B538" s="37" t="s">
        <v>3711</v>
      </c>
      <c r="C538" s="37" t="s">
        <v>2459</v>
      </c>
      <c r="D538" s="37" t="s">
        <v>45</v>
      </c>
      <c r="E538" s="37" t="s">
        <v>334</v>
      </c>
      <c r="F538" s="37" t="s">
        <v>49</v>
      </c>
      <c r="G538" s="37" t="s">
        <v>2455</v>
      </c>
      <c r="H538" s="37">
        <v>11.82</v>
      </c>
      <c r="I538" s="37">
        <v>1</v>
      </c>
      <c r="J538" s="37" t="s">
        <v>3712</v>
      </c>
      <c r="K538" s="37" t="s">
        <v>34</v>
      </c>
      <c r="L538" s="37">
        <v>0</v>
      </c>
      <c r="M538" s="37" t="str">
        <f t="shared" si="50"/>
        <v>General</v>
      </c>
      <c r="N538" s="37" t="str">
        <f t="shared" si="48"/>
        <v>Cash</v>
      </c>
      <c r="O538" s="37" t="str" cm="1">
        <f t="array" ref="O538">IF(TRIM(N538)="",INDEX($N$2:$N$1500,MATCH(MAX(COUNTIF($N$2:$N$1500,$N$2:$N$1500)),COUNTIF($N$2:$N$1500,$N$2:$N$1500),0)),N538)</f>
        <v>Cash</v>
      </c>
      <c r="P538" s="38" cm="1">
        <f t="array" ref="P538">ROUND(IF(TRIM(H538)="",IFERROR(MEDIAN(IF($M$2:$M$1500=M538,$H$2:$H$1500)),MEDIAN($H$2:$H$1500)),H538),2)</f>
        <v>11.82</v>
      </c>
      <c r="Q538" s="38" t="str">
        <f t="shared" si="51"/>
        <v>1</v>
      </c>
      <c r="R538" s="39" cm="1">
        <f t="array" ref="R538">IF(OR(TRIM(J538)="",TRIM(J538)="-"),MEDIAN(IF($C$2:$C$1218=C538,$J$2:$J$1218)),VALUE(SUBSTITUTE(SUBSTITUTE(SUBSTITUTE(J538,"Rs. ",""),"₹",""),",","")))</f>
        <v>13403</v>
      </c>
      <c r="S538" s="40">
        <f t="shared" si="49"/>
        <v>0</v>
      </c>
      <c r="T538" s="41">
        <f t="shared" si="52"/>
        <v>0</v>
      </c>
      <c r="U538" s="42">
        <f t="shared" si="53"/>
        <v>13403</v>
      </c>
    </row>
    <row r="539" spans="1:21" x14ac:dyDescent="0.3">
      <c r="A539" s="37" t="s">
        <v>3713</v>
      </c>
      <c r="B539" s="37" t="s">
        <v>3714</v>
      </c>
      <c r="C539" s="37" t="s">
        <v>2407</v>
      </c>
      <c r="D539" s="37" t="s">
        <v>78</v>
      </c>
      <c r="E539" s="37" t="s">
        <v>161</v>
      </c>
      <c r="F539" s="37" t="s">
        <v>69</v>
      </c>
      <c r="G539" s="37" t="s">
        <v>2455</v>
      </c>
      <c r="H539" s="37">
        <v>6.02</v>
      </c>
      <c r="I539" s="37">
        <v>22</v>
      </c>
      <c r="J539" s="37" t="s">
        <v>3715</v>
      </c>
      <c r="K539" s="37" t="s">
        <v>42</v>
      </c>
      <c r="L539" s="37">
        <v>40</v>
      </c>
      <c r="M539" s="37" t="str">
        <f t="shared" si="50"/>
        <v>ICU</v>
      </c>
      <c r="N539" s="37" t="str">
        <f t="shared" si="48"/>
        <v>Insurance</v>
      </c>
      <c r="O539" s="37" t="str" cm="1">
        <f t="array" ref="O539">IF(TRIM(N539)="",INDEX($N$2:$N$1500,MATCH(MAX(COUNTIF($N$2:$N$1500,$N$2:$N$1500)),COUNTIF($N$2:$N$1500,$N$2:$N$1500),0)),N539)</f>
        <v>Insurance</v>
      </c>
      <c r="P539" s="38" cm="1">
        <f t="array" ref="P539">ROUND(IF(TRIM(H539)="",IFERROR(MEDIAN(IF($M$2:$M$1500=M539,$H$2:$H$1500)),MEDIAN($H$2:$H$1500)),H539),2)</f>
        <v>6.02</v>
      </c>
      <c r="Q539" s="38" t="str">
        <f t="shared" si="51"/>
        <v>1</v>
      </c>
      <c r="R539" s="39" cm="1">
        <f t="array" ref="R539">IF(OR(TRIM(J539)="",TRIM(J539)="-"),MEDIAN(IF($C$2:$C$1218=C539,$J$2:$J$1218)),VALUE(SUBSTITUTE(SUBSTITUTE(SUBSTITUTE(J539,"Rs. ",""),"₹",""),",","")))</f>
        <v>31284</v>
      </c>
      <c r="S539" s="40">
        <f t="shared" si="49"/>
        <v>40</v>
      </c>
      <c r="T539" s="41">
        <f t="shared" si="52"/>
        <v>40</v>
      </c>
      <c r="U539" s="42">
        <f t="shared" si="53"/>
        <v>18770</v>
      </c>
    </row>
    <row r="540" spans="1:21" x14ac:dyDescent="0.3">
      <c r="A540" s="37" t="s">
        <v>3716</v>
      </c>
      <c r="B540" s="37" t="s">
        <v>3538</v>
      </c>
      <c r="C540" s="37" t="s">
        <v>2427</v>
      </c>
      <c r="D540" s="37" t="s">
        <v>14</v>
      </c>
      <c r="E540" s="37" t="s">
        <v>60</v>
      </c>
      <c r="F540" s="37" t="s">
        <v>69</v>
      </c>
      <c r="G540" s="37" t="s">
        <v>2450</v>
      </c>
      <c r="H540" s="37">
        <v>14.79</v>
      </c>
      <c r="I540" s="37">
        <v>56</v>
      </c>
      <c r="J540" s="37">
        <v>53328</v>
      </c>
      <c r="K540" s="37" t="s">
        <v>97</v>
      </c>
      <c r="L540" s="37" t="s">
        <v>130</v>
      </c>
      <c r="M540" s="37" t="str">
        <f t="shared" si="50"/>
        <v>ICU</v>
      </c>
      <c r="N540" s="37" t="str">
        <f t="shared" si="48"/>
        <v>UPI</v>
      </c>
      <c r="O540" s="37" t="str" cm="1">
        <f t="array" ref="O540">IF(TRIM(N540)="",INDEX($N$2:$N$1500,MATCH(MAX(COUNTIF($N$2:$N$1500,$N$2:$N$1500)),COUNTIF($N$2:$N$1500,$N$2:$N$1500),0)),N540)</f>
        <v>UPI</v>
      </c>
      <c r="P540" s="38" cm="1">
        <f t="array" ref="P540">ROUND(IF(TRIM(H540)="",IFERROR(MEDIAN(IF($M$2:$M$1500=M540,$H$2:$H$1500)),MEDIAN($H$2:$H$1500)),H540),2)</f>
        <v>14.79</v>
      </c>
      <c r="Q540" s="38" t="str">
        <f t="shared" si="51"/>
        <v>1</v>
      </c>
      <c r="R540" s="39" cm="1">
        <f t="array" ref="R540">IF(OR(TRIM(J540)="",TRIM(J540)="-"),MEDIAN(IF($C$2:$C$1218=C540,$J$2:$J$1218)),VALUE(SUBSTITUTE(SUBSTITUTE(SUBSTITUTE(J540,"Rs. ",""),"₹",""),",","")))</f>
        <v>53328</v>
      </c>
      <c r="S540" s="40">
        <f t="shared" si="49"/>
        <v>0</v>
      </c>
      <c r="T540" s="41">
        <f t="shared" si="52"/>
        <v>0</v>
      </c>
      <c r="U540" s="42">
        <f t="shared" si="53"/>
        <v>53328</v>
      </c>
    </row>
    <row r="541" spans="1:21" x14ac:dyDescent="0.3">
      <c r="A541" s="37" t="s">
        <v>3717</v>
      </c>
      <c r="B541" s="37" t="s">
        <v>3611</v>
      </c>
      <c r="C541" s="37" t="s">
        <v>2407</v>
      </c>
      <c r="D541" s="37" t="s">
        <v>106</v>
      </c>
      <c r="E541" s="37" t="s">
        <v>107</v>
      </c>
      <c r="F541" s="37" t="s">
        <v>69</v>
      </c>
      <c r="G541" s="37" t="s">
        <v>2408</v>
      </c>
      <c r="H541" s="37">
        <v>24.49</v>
      </c>
      <c r="I541" s="37">
        <v>7</v>
      </c>
      <c r="J541" s="37">
        <v>71578</v>
      </c>
      <c r="K541" s="37" t="s">
        <v>42</v>
      </c>
      <c r="L541" s="37">
        <v>0.12</v>
      </c>
      <c r="M541" s="37" t="str">
        <f t="shared" si="50"/>
        <v>ICU</v>
      </c>
      <c r="N541" s="37" t="str">
        <f t="shared" si="48"/>
        <v>Insurance</v>
      </c>
      <c r="O541" s="37" t="str" cm="1">
        <f t="array" ref="O541">IF(TRIM(N541)="",INDEX($N$2:$N$1500,MATCH(MAX(COUNTIF($N$2:$N$1500,$N$2:$N$1500)),COUNTIF($N$2:$N$1500,$N$2:$N$1500),0)),N541)</f>
        <v>Insurance</v>
      </c>
      <c r="P541" s="38" cm="1">
        <f t="array" ref="P541">ROUND(IF(TRIM(H541)="",IFERROR(MEDIAN(IF($M$2:$M$1500=M541,$H$2:$H$1500)),MEDIAN($H$2:$H$1500)),H541),2)</f>
        <v>24.49</v>
      </c>
      <c r="Q541" s="38" t="str">
        <f t="shared" si="51"/>
        <v>0</v>
      </c>
      <c r="R541" s="39" cm="1">
        <f t="array" ref="R541">IF(OR(TRIM(J541)="",TRIM(J541)="-"),MEDIAN(IF($C$2:$C$1218=C541,$J$2:$J$1218)),VALUE(SUBSTITUTE(SUBSTITUTE(SUBSTITUTE(J541,"Rs. ",""),"₹",""),",","")))</f>
        <v>71578</v>
      </c>
      <c r="S541" s="40">
        <f t="shared" si="49"/>
        <v>0.12</v>
      </c>
      <c r="T541" s="41">
        <f t="shared" si="52"/>
        <v>0</v>
      </c>
      <c r="U541" s="42">
        <f t="shared" si="53"/>
        <v>71578</v>
      </c>
    </row>
    <row r="542" spans="1:21" x14ac:dyDescent="0.3">
      <c r="A542" s="37" t="s">
        <v>3718</v>
      </c>
      <c r="B542" s="37" t="s">
        <v>3719</v>
      </c>
      <c r="C542" s="37" t="s">
        <v>2518</v>
      </c>
      <c r="D542" s="37" t="s">
        <v>25</v>
      </c>
      <c r="E542" s="37" t="s">
        <v>54</v>
      </c>
      <c r="F542" s="37" t="s">
        <v>30</v>
      </c>
      <c r="G542" s="37" t="s">
        <v>2450</v>
      </c>
      <c r="H542" s="37">
        <v>15.78</v>
      </c>
      <c r="I542" s="37">
        <v>9</v>
      </c>
      <c r="J542" s="37">
        <v>14529</v>
      </c>
      <c r="K542" s="37" t="s">
        <v>236</v>
      </c>
      <c r="L542" s="37">
        <v>0</v>
      </c>
      <c r="M542" s="37" t="str">
        <f t="shared" si="50"/>
        <v>General</v>
      </c>
      <c r="N542" s="37" t="str">
        <f t="shared" si="48"/>
        <v>Debit Card</v>
      </c>
      <c r="O542" s="37" t="str" cm="1">
        <f t="array" ref="O542">IF(TRIM(N542)="",INDEX($N$2:$N$1500,MATCH(MAX(COUNTIF($N$2:$N$1500,$N$2:$N$1500)),COUNTIF($N$2:$N$1500,$N$2:$N$1500),0)),N542)</f>
        <v>Debit Card</v>
      </c>
      <c r="P542" s="38" cm="1">
        <f t="array" ref="P542">ROUND(IF(TRIM(H542)="",IFERROR(MEDIAN(IF($M$2:$M$1500=M542,$H$2:$H$1500)),MEDIAN($H$2:$H$1500)),H542),2)</f>
        <v>15.78</v>
      </c>
      <c r="Q542" s="38" t="str">
        <f t="shared" si="51"/>
        <v>1</v>
      </c>
      <c r="R542" s="39" cm="1">
        <f t="array" ref="R542">IF(OR(TRIM(J542)="",TRIM(J542)="-"),MEDIAN(IF($C$2:$C$1218=C542,$J$2:$J$1218)),VALUE(SUBSTITUTE(SUBSTITUTE(SUBSTITUTE(J542,"Rs. ",""),"₹",""),",","")))</f>
        <v>14529</v>
      </c>
      <c r="S542" s="40">
        <f t="shared" si="49"/>
        <v>0</v>
      </c>
      <c r="T542" s="41">
        <f t="shared" si="52"/>
        <v>0</v>
      </c>
      <c r="U542" s="42">
        <f t="shared" si="53"/>
        <v>14529</v>
      </c>
    </row>
    <row r="543" spans="1:21" x14ac:dyDescent="0.3">
      <c r="A543" s="37" t="s">
        <v>3720</v>
      </c>
      <c r="B543" s="37" t="s">
        <v>3721</v>
      </c>
      <c r="C543" s="37" t="s">
        <v>2469</v>
      </c>
      <c r="D543" s="37" t="s">
        <v>45</v>
      </c>
      <c r="E543" s="37" t="s">
        <v>334</v>
      </c>
      <c r="F543" s="37" t="s">
        <v>62</v>
      </c>
      <c r="G543" s="37" t="s">
        <v>2423</v>
      </c>
      <c r="H543" s="37">
        <v>3.64</v>
      </c>
      <c r="I543" s="37">
        <v>5</v>
      </c>
      <c r="J543" s="37" t="s">
        <v>3722</v>
      </c>
      <c r="K543" s="37" t="s">
        <v>115</v>
      </c>
      <c r="L543" s="37" t="s">
        <v>198</v>
      </c>
      <c r="M543" s="37" t="str">
        <f t="shared" si="50"/>
        <v>ICU</v>
      </c>
      <c r="N543" s="37" t="str">
        <f t="shared" si="48"/>
        <v>Cash</v>
      </c>
      <c r="O543" s="37" t="str" cm="1">
        <f t="array" ref="O543">IF(TRIM(N543)="",INDEX($N$2:$N$1500,MATCH(MAX(COUNTIF($N$2:$N$1500,$N$2:$N$1500)),COUNTIF($N$2:$N$1500,$N$2:$N$1500),0)),N543)</f>
        <v>Cash</v>
      </c>
      <c r="P543" s="38" cm="1">
        <f t="array" ref="P543">ROUND(IF(TRIM(H543)="",IFERROR(MEDIAN(IF($M$2:$M$1500=M543,$H$2:$H$1500)),MEDIAN($H$2:$H$1500)),H543),2)</f>
        <v>3.64</v>
      </c>
      <c r="Q543" s="38" t="str">
        <f t="shared" si="51"/>
        <v>0</v>
      </c>
      <c r="R543" s="39" cm="1">
        <f t="array" ref="R543">IF(OR(TRIM(J543)="",TRIM(J543)="-"),MEDIAN(IF($C$2:$C$1218=C543,$J$2:$J$1218)),VALUE(SUBSTITUTE(SUBSTITUTE(SUBSTITUTE(J543,"Rs. ",""),"₹",""),",","")))</f>
        <v>30689</v>
      </c>
      <c r="S543" s="40">
        <f t="shared" si="49"/>
        <v>5</v>
      </c>
      <c r="T543" s="41">
        <f t="shared" si="52"/>
        <v>5</v>
      </c>
      <c r="U543" s="42">
        <f t="shared" si="53"/>
        <v>29155</v>
      </c>
    </row>
    <row r="544" spans="1:21" x14ac:dyDescent="0.3">
      <c r="A544" s="37" t="s">
        <v>3723</v>
      </c>
      <c r="B544" s="37" t="s">
        <v>3724</v>
      </c>
      <c r="C544" s="37" t="s">
        <v>2411</v>
      </c>
      <c r="D544" s="37" t="s">
        <v>106</v>
      </c>
      <c r="E544" s="37" t="s">
        <v>107</v>
      </c>
      <c r="F544" s="37" t="s">
        <v>30</v>
      </c>
      <c r="G544" s="37" t="s">
        <v>2423</v>
      </c>
      <c r="H544" s="37">
        <v>21.02</v>
      </c>
      <c r="I544" s="37">
        <v>27</v>
      </c>
      <c r="J544" s="37" t="s">
        <v>3725</v>
      </c>
      <c r="K544" s="37" t="s">
        <v>97</v>
      </c>
      <c r="L544" s="37">
        <v>0</v>
      </c>
      <c r="M544" s="37" t="str">
        <f t="shared" si="50"/>
        <v>General</v>
      </c>
      <c r="N544" s="37" t="str">
        <f t="shared" si="48"/>
        <v>UPI</v>
      </c>
      <c r="O544" s="37" t="str" cm="1">
        <f t="array" ref="O544">IF(TRIM(N544)="",INDEX($N$2:$N$1500,MATCH(MAX(COUNTIF($N$2:$N$1500,$N$2:$N$1500)),COUNTIF($N$2:$N$1500,$N$2:$N$1500),0)),N544)</f>
        <v>UPI</v>
      </c>
      <c r="P544" s="38" cm="1">
        <f t="array" ref="P544">ROUND(IF(TRIM(H544)="",IFERROR(MEDIAN(IF($M$2:$M$1500=M544,$H$2:$H$1500)),MEDIAN($H$2:$H$1500)),H544),2)</f>
        <v>21.02</v>
      </c>
      <c r="Q544" s="38" t="str">
        <f t="shared" si="51"/>
        <v>0</v>
      </c>
      <c r="R544" s="39" cm="1">
        <f t="array" ref="R544">IF(OR(TRIM(J544)="",TRIM(J544)="-"),MEDIAN(IF($C$2:$C$1218=C544,$J$2:$J$1218)),VALUE(SUBSTITUTE(SUBSTITUTE(SUBSTITUTE(J544,"Rs. ",""),"₹",""),",","")))</f>
        <v>19968</v>
      </c>
      <c r="S544" s="40">
        <f t="shared" si="49"/>
        <v>0</v>
      </c>
      <c r="T544" s="41">
        <f t="shared" si="52"/>
        <v>0</v>
      </c>
      <c r="U544" s="42">
        <f t="shared" si="53"/>
        <v>19968</v>
      </c>
    </row>
    <row r="545" spans="1:21" x14ac:dyDescent="0.3">
      <c r="A545" s="37" t="s">
        <v>3726</v>
      </c>
      <c r="B545" s="37" t="s">
        <v>3727</v>
      </c>
      <c r="C545" s="37" t="s">
        <v>2415</v>
      </c>
      <c r="D545" s="37" t="s">
        <v>117</v>
      </c>
      <c r="E545" s="37" t="s">
        <v>118</v>
      </c>
      <c r="F545" s="37" t="s">
        <v>49</v>
      </c>
      <c r="G545" s="37" t="s">
        <v>2435</v>
      </c>
      <c r="H545" s="37">
        <v>24.8</v>
      </c>
      <c r="I545" s="37">
        <v>58</v>
      </c>
      <c r="J545" s="37" t="s">
        <v>3728</v>
      </c>
      <c r="K545" s="37" t="s">
        <v>83</v>
      </c>
      <c r="L545" s="37">
        <v>5</v>
      </c>
      <c r="M545" s="37" t="str">
        <f t="shared" si="50"/>
        <v>General</v>
      </c>
      <c r="N545" s="37" t="str">
        <f t="shared" si="48"/>
        <v>Debit Card</v>
      </c>
      <c r="O545" s="37" t="str" cm="1">
        <f t="array" ref="O545">IF(TRIM(N545)="",INDEX($N$2:$N$1500,MATCH(MAX(COUNTIF($N$2:$N$1500,$N$2:$N$1500)),COUNTIF($N$2:$N$1500,$N$2:$N$1500),0)),N545)</f>
        <v>Debit Card</v>
      </c>
      <c r="P545" s="38" cm="1">
        <f t="array" ref="P545">ROUND(IF(TRIM(H545)="",IFERROR(MEDIAN(IF($M$2:$M$1500=M545,$H$2:$H$1500)),MEDIAN($H$2:$H$1500)),H545),2)</f>
        <v>24.8</v>
      </c>
      <c r="Q545" s="38" t="str">
        <f t="shared" si="51"/>
        <v>0</v>
      </c>
      <c r="R545" s="39" cm="1">
        <f t="array" ref="R545">IF(OR(TRIM(J545)="",TRIM(J545)="-"),MEDIAN(IF($C$2:$C$1218=C545,$J$2:$J$1218)),VALUE(SUBSTITUTE(SUBSTITUTE(SUBSTITUTE(J545,"Rs. ",""),"₹",""),",","")))</f>
        <v>11268</v>
      </c>
      <c r="S545" s="40">
        <f t="shared" si="49"/>
        <v>5</v>
      </c>
      <c r="T545" s="41">
        <f t="shared" si="52"/>
        <v>5</v>
      </c>
      <c r="U545" s="42">
        <f t="shared" si="53"/>
        <v>10705</v>
      </c>
    </row>
    <row r="546" spans="1:21" x14ac:dyDescent="0.3">
      <c r="A546" s="37" t="s">
        <v>3729</v>
      </c>
      <c r="B546" s="37" t="s">
        <v>3730</v>
      </c>
      <c r="C546" s="37" t="s">
        <v>2469</v>
      </c>
      <c r="D546" s="37" t="s">
        <v>78</v>
      </c>
      <c r="E546" s="37" t="s">
        <v>203</v>
      </c>
      <c r="F546" s="37" t="s">
        <v>30</v>
      </c>
      <c r="G546" s="37" t="s">
        <v>2477</v>
      </c>
      <c r="H546" s="37">
        <v>24.28</v>
      </c>
      <c r="I546" s="37">
        <v>44</v>
      </c>
      <c r="J546" s="37" t="s">
        <v>3731</v>
      </c>
      <c r="K546" s="37" t="s">
        <v>34</v>
      </c>
      <c r="L546" s="37" t="s">
        <v>198</v>
      </c>
      <c r="M546" s="37" t="str">
        <f t="shared" si="50"/>
        <v>General</v>
      </c>
      <c r="N546" s="37" t="str">
        <f t="shared" si="48"/>
        <v>Cash</v>
      </c>
      <c r="O546" s="37" t="str" cm="1">
        <f t="array" ref="O546">IF(TRIM(N546)="",INDEX($N$2:$N$1500,MATCH(MAX(COUNTIF($N$2:$N$1500,$N$2:$N$1500)),COUNTIF($N$2:$N$1500,$N$2:$N$1500),0)),N546)</f>
        <v>Cash</v>
      </c>
      <c r="P546" s="38" cm="1">
        <f t="array" ref="P546">ROUND(IF(TRIM(H546)="",IFERROR(MEDIAN(IF($M$2:$M$1500=M546,$H$2:$H$1500)),MEDIAN($H$2:$H$1500)),H546),2)</f>
        <v>24.28</v>
      </c>
      <c r="Q546" s="38" t="str">
        <f t="shared" si="51"/>
        <v>0</v>
      </c>
      <c r="R546" s="39" cm="1">
        <f t="array" ref="R546">IF(OR(TRIM(J546)="",TRIM(J546)="-"),MEDIAN(IF($C$2:$C$1218=C546,$J$2:$J$1218)),VALUE(SUBSTITUTE(SUBSTITUTE(SUBSTITUTE(J546,"Rs. ",""),"₹",""),",","")))</f>
        <v>12504</v>
      </c>
      <c r="S546" s="40">
        <f t="shared" si="49"/>
        <v>5</v>
      </c>
      <c r="T546" s="41">
        <f t="shared" si="52"/>
        <v>5</v>
      </c>
      <c r="U546" s="42">
        <f t="shared" si="53"/>
        <v>11879</v>
      </c>
    </row>
    <row r="547" spans="1:21" x14ac:dyDescent="0.3">
      <c r="A547" s="37" t="s">
        <v>3732</v>
      </c>
      <c r="B547" s="37" t="s">
        <v>2729</v>
      </c>
      <c r="C547" s="37" t="s">
        <v>2730</v>
      </c>
      <c r="D547" s="37" t="s">
        <v>117</v>
      </c>
      <c r="E547" s="37" t="s">
        <v>127</v>
      </c>
      <c r="F547" s="37" t="s">
        <v>49</v>
      </c>
      <c r="G547" s="37" t="s">
        <v>2418</v>
      </c>
      <c r="H547" s="37">
        <v>23.49</v>
      </c>
      <c r="I547" s="37">
        <v>11</v>
      </c>
      <c r="J547" s="37" t="s">
        <v>3733</v>
      </c>
      <c r="K547" s="37" t="s">
        <v>104</v>
      </c>
      <c r="L547" s="37">
        <v>15</v>
      </c>
      <c r="M547" s="37" t="str">
        <f t="shared" si="50"/>
        <v>General</v>
      </c>
      <c r="N547" s="37" t="str">
        <f t="shared" si="48"/>
        <v>Insurance</v>
      </c>
      <c r="O547" s="37" t="str" cm="1">
        <f t="array" ref="O547">IF(TRIM(N547)="",INDEX($N$2:$N$1500,MATCH(MAX(COUNTIF($N$2:$N$1500,$N$2:$N$1500)),COUNTIF($N$2:$N$1500,$N$2:$N$1500),0)),N547)</f>
        <v>Insurance</v>
      </c>
      <c r="P547" s="38" cm="1">
        <f t="array" ref="P547">ROUND(IF(TRIM(H547)="",IFERROR(MEDIAN(IF($M$2:$M$1500=M547,$H$2:$H$1500)),MEDIAN($H$2:$H$1500)),H547),2)</f>
        <v>23.49</v>
      </c>
      <c r="Q547" s="38" t="str">
        <f t="shared" si="51"/>
        <v>1</v>
      </c>
      <c r="R547" s="39" cm="1">
        <f t="array" ref="R547">IF(OR(TRIM(J547)="",TRIM(J547)="-"),MEDIAN(IF($C$2:$C$1218=C547,$J$2:$J$1218)),VALUE(SUBSTITUTE(SUBSTITUTE(SUBSTITUTE(J547,"Rs. ",""),"₹",""),",","")))</f>
        <v>16612</v>
      </c>
      <c r="S547" s="40">
        <f t="shared" si="49"/>
        <v>15</v>
      </c>
      <c r="T547" s="41">
        <f t="shared" si="52"/>
        <v>15</v>
      </c>
      <c r="U547" s="42">
        <f t="shared" si="53"/>
        <v>14120</v>
      </c>
    </row>
    <row r="548" spans="1:21" x14ac:dyDescent="0.3">
      <c r="A548" s="37" t="s">
        <v>3734</v>
      </c>
      <c r="B548" s="37" t="s">
        <v>3575</v>
      </c>
      <c r="C548" s="37" t="s">
        <v>2504</v>
      </c>
      <c r="D548" s="37" t="s">
        <v>106</v>
      </c>
      <c r="E548" s="37" t="s">
        <v>107</v>
      </c>
      <c r="F548" s="37" t="s">
        <v>30</v>
      </c>
      <c r="G548" s="37" t="s">
        <v>2418</v>
      </c>
      <c r="H548" s="37">
        <v>16.46</v>
      </c>
      <c r="I548" s="37">
        <v>12</v>
      </c>
      <c r="J548" s="37">
        <v>4226</v>
      </c>
      <c r="K548" s="37"/>
      <c r="L548" s="37">
        <v>20</v>
      </c>
      <c r="M548" s="37" t="str">
        <f t="shared" si="50"/>
        <v>General</v>
      </c>
      <c r="N548" s="37" t="str">
        <f t="shared" si="48"/>
        <v>Unknown</v>
      </c>
      <c r="O548" s="37" t="str" cm="1">
        <f t="array" ref="O548">IF(TRIM(N548)="",INDEX($N$2:$N$1500,MATCH(MAX(COUNTIF($N$2:$N$1500,$N$2:$N$1500)),COUNTIF($N$2:$N$1500,$N$2:$N$1500),0)),N548)</f>
        <v>Unknown</v>
      </c>
      <c r="P548" s="38" cm="1">
        <f t="array" ref="P548">ROUND(IF(TRIM(H548)="",IFERROR(MEDIAN(IF($M$2:$M$1500=M548,$H$2:$H$1500)),MEDIAN($H$2:$H$1500)),H548),2)</f>
        <v>16.46</v>
      </c>
      <c r="Q548" s="38" t="str">
        <f t="shared" si="51"/>
        <v>1</v>
      </c>
      <c r="R548" s="39" cm="1">
        <f t="array" ref="R548">IF(OR(TRIM(J548)="",TRIM(J548)="-"),MEDIAN(IF($C$2:$C$1218=C548,$J$2:$J$1218)),VALUE(SUBSTITUTE(SUBSTITUTE(SUBSTITUTE(J548,"Rs. ",""),"₹",""),",","")))</f>
        <v>4226</v>
      </c>
      <c r="S548" s="40">
        <f t="shared" si="49"/>
        <v>20</v>
      </c>
      <c r="T548" s="41">
        <f t="shared" si="52"/>
        <v>20</v>
      </c>
      <c r="U548" s="42">
        <f t="shared" si="53"/>
        <v>3381</v>
      </c>
    </row>
    <row r="549" spans="1:21" x14ac:dyDescent="0.3">
      <c r="A549" s="37" t="s">
        <v>3735</v>
      </c>
      <c r="B549" s="37" t="s">
        <v>3533</v>
      </c>
      <c r="C549" s="37" t="s">
        <v>2514</v>
      </c>
      <c r="D549" s="37" t="s">
        <v>117</v>
      </c>
      <c r="E549" s="37" t="s">
        <v>182</v>
      </c>
      <c r="F549" s="37" t="s">
        <v>39</v>
      </c>
      <c r="G549" s="37" t="s">
        <v>2423</v>
      </c>
      <c r="H549" s="37">
        <v>10.98</v>
      </c>
      <c r="I549" s="37">
        <v>40</v>
      </c>
      <c r="J549" s="37" t="s">
        <v>3736</v>
      </c>
      <c r="K549" s="37" t="s">
        <v>87</v>
      </c>
      <c r="L549" s="37" t="s">
        <v>130</v>
      </c>
      <c r="M549" s="37" t="str">
        <f t="shared" si="50"/>
        <v>General</v>
      </c>
      <c r="N549" s="37" t="str">
        <f t="shared" si="48"/>
        <v>Credit Card</v>
      </c>
      <c r="O549" s="37" t="str" cm="1">
        <f t="array" ref="O549">IF(TRIM(N549)="",INDEX($N$2:$N$1500,MATCH(MAX(COUNTIF($N$2:$N$1500,$N$2:$N$1500)),COUNTIF($N$2:$N$1500,$N$2:$N$1500),0)),N549)</f>
        <v>Credit Card</v>
      </c>
      <c r="P549" s="38" cm="1">
        <f t="array" ref="P549">ROUND(IF(TRIM(H549)="",IFERROR(MEDIAN(IF($M$2:$M$1500=M549,$H$2:$H$1500)),MEDIAN($H$2:$H$1500)),H549),2)</f>
        <v>10.98</v>
      </c>
      <c r="Q549" s="38" t="str">
        <f t="shared" si="51"/>
        <v>0</v>
      </c>
      <c r="R549" s="39" cm="1">
        <f t="array" ref="R549">IF(OR(TRIM(J549)="",TRIM(J549)="-"),MEDIAN(IF($C$2:$C$1218=C549,$J$2:$J$1218)),VALUE(SUBSTITUTE(SUBSTITUTE(SUBSTITUTE(J549,"Rs. ",""),"₹",""),",","")))</f>
        <v>3612</v>
      </c>
      <c r="S549" s="40">
        <f t="shared" si="49"/>
        <v>0</v>
      </c>
      <c r="T549" s="41">
        <f t="shared" si="52"/>
        <v>0</v>
      </c>
      <c r="U549" s="42">
        <f t="shared" si="53"/>
        <v>3612</v>
      </c>
    </row>
    <row r="550" spans="1:21" x14ac:dyDescent="0.3">
      <c r="A550" s="37" t="s">
        <v>3737</v>
      </c>
      <c r="B550" s="37" t="s">
        <v>3738</v>
      </c>
      <c r="C550" s="37" t="s">
        <v>2459</v>
      </c>
      <c r="D550" s="37" t="s">
        <v>14</v>
      </c>
      <c r="E550" s="37" t="s">
        <v>60</v>
      </c>
      <c r="F550" s="37" t="s">
        <v>30</v>
      </c>
      <c r="G550" s="37" t="s">
        <v>2408</v>
      </c>
      <c r="H550" s="37">
        <v>14.77</v>
      </c>
      <c r="I550" s="37">
        <v>26</v>
      </c>
      <c r="J550" s="37" t="s">
        <v>3739</v>
      </c>
      <c r="K550" s="37" t="s">
        <v>52</v>
      </c>
      <c r="L550" s="37">
        <v>0</v>
      </c>
      <c r="M550" s="37" t="str">
        <f t="shared" si="50"/>
        <v>General</v>
      </c>
      <c r="N550" s="37" t="str">
        <f t="shared" si="48"/>
        <v>Credit Card</v>
      </c>
      <c r="O550" s="37" t="str" cm="1">
        <f t="array" ref="O550">IF(TRIM(N550)="",INDEX($N$2:$N$1500,MATCH(MAX(COUNTIF($N$2:$N$1500,$N$2:$N$1500)),COUNTIF($N$2:$N$1500,$N$2:$N$1500),0)),N550)</f>
        <v>Credit Card</v>
      </c>
      <c r="P550" s="38" cm="1">
        <f t="array" ref="P550">ROUND(IF(TRIM(H550)="",IFERROR(MEDIAN(IF($M$2:$M$1500=M550,$H$2:$H$1500)),MEDIAN($H$2:$H$1500)),H550),2)</f>
        <v>14.77</v>
      </c>
      <c r="Q550" s="38" t="str">
        <f t="shared" si="51"/>
        <v>0</v>
      </c>
      <c r="R550" s="39" cm="1">
        <f t="array" ref="R550">IF(OR(TRIM(J550)="",TRIM(J550)="-"),MEDIAN(IF($C$2:$C$1218=C550,$J$2:$J$1218)),VALUE(SUBSTITUTE(SUBSTITUTE(SUBSTITUTE(J550,"Rs. ",""),"₹",""),",","")))</f>
        <v>4497</v>
      </c>
      <c r="S550" s="40">
        <f t="shared" si="49"/>
        <v>0</v>
      </c>
      <c r="T550" s="41">
        <f t="shared" si="52"/>
        <v>0</v>
      </c>
      <c r="U550" s="42">
        <f t="shared" si="53"/>
        <v>4497</v>
      </c>
    </row>
    <row r="551" spans="1:21" x14ac:dyDescent="0.3">
      <c r="A551" s="37" t="s">
        <v>3740</v>
      </c>
      <c r="B551" s="37" t="s">
        <v>3307</v>
      </c>
      <c r="C551" s="37" t="s">
        <v>2485</v>
      </c>
      <c r="D551" s="37" t="s">
        <v>45</v>
      </c>
      <c r="E551" s="37" t="s">
        <v>46</v>
      </c>
      <c r="F551" s="37" t="s">
        <v>101</v>
      </c>
      <c r="G551" s="37" t="s">
        <v>2455</v>
      </c>
      <c r="H551" s="37">
        <v>2.31</v>
      </c>
      <c r="I551" s="37">
        <v>14</v>
      </c>
      <c r="J551" s="37">
        <v>42777</v>
      </c>
      <c r="K551" s="37" t="s">
        <v>167</v>
      </c>
      <c r="L551" s="37" t="s">
        <v>886</v>
      </c>
      <c r="M551" s="37" t="str">
        <f t="shared" si="50"/>
        <v>ICU</v>
      </c>
      <c r="N551" s="37" t="str">
        <f t="shared" si="48"/>
        <v>Insurance</v>
      </c>
      <c r="O551" s="37" t="str" cm="1">
        <f t="array" ref="O551">IF(TRIM(N551)="",INDEX($N$2:$N$1500,MATCH(MAX(COUNTIF($N$2:$N$1500,$N$2:$N$1500)),COUNTIF($N$2:$N$1500,$N$2:$N$1500),0)),N551)</f>
        <v>Insurance</v>
      </c>
      <c r="P551" s="38" cm="1">
        <f t="array" ref="P551">ROUND(IF(TRIM(H551)="",IFERROR(MEDIAN(IF($M$2:$M$1500=M551,$H$2:$H$1500)),MEDIAN($H$2:$H$1500)),H551),2)</f>
        <v>2.31</v>
      </c>
      <c r="Q551" s="38" t="str">
        <f t="shared" si="51"/>
        <v>1</v>
      </c>
      <c r="R551" s="39" cm="1">
        <f t="array" ref="R551">IF(OR(TRIM(J551)="",TRIM(J551)="-"),MEDIAN(IF($C$2:$C$1218=C551,$J$2:$J$1218)),VALUE(SUBSTITUTE(SUBSTITUTE(SUBSTITUTE(J551,"Rs. ",""),"₹",""),",","")))</f>
        <v>42777</v>
      </c>
      <c r="S551" s="40">
        <f t="shared" si="49"/>
        <v>15</v>
      </c>
      <c r="T551" s="41">
        <f t="shared" si="52"/>
        <v>15</v>
      </c>
      <c r="U551" s="42">
        <f t="shared" si="53"/>
        <v>36360</v>
      </c>
    </row>
    <row r="552" spans="1:21" x14ac:dyDescent="0.3">
      <c r="A552" s="37" t="s">
        <v>3741</v>
      </c>
      <c r="B552" s="37" t="s">
        <v>2960</v>
      </c>
      <c r="C552" s="37" t="s">
        <v>2411</v>
      </c>
      <c r="D552" s="37" t="s">
        <v>45</v>
      </c>
      <c r="E552" s="37" t="s">
        <v>46</v>
      </c>
      <c r="F552" s="37" t="s">
        <v>19</v>
      </c>
      <c r="G552" s="37" t="s">
        <v>2450</v>
      </c>
      <c r="H552" s="37">
        <v>17.829999999999998</v>
      </c>
      <c r="I552" s="37">
        <v>25</v>
      </c>
      <c r="J552" s="37">
        <v>9539</v>
      </c>
      <c r="K552" s="37" t="s">
        <v>72</v>
      </c>
      <c r="L552" s="37">
        <v>5</v>
      </c>
      <c r="M552" s="37" t="str">
        <f t="shared" si="50"/>
        <v>General</v>
      </c>
      <c r="N552" s="37" t="str">
        <f t="shared" si="48"/>
        <v>Cash</v>
      </c>
      <c r="O552" s="37" t="str" cm="1">
        <f t="array" ref="O552">IF(TRIM(N552)="",INDEX($N$2:$N$1500,MATCH(MAX(COUNTIF($N$2:$N$1500,$N$2:$N$1500)),COUNTIF($N$2:$N$1500,$N$2:$N$1500),0)),N552)</f>
        <v>Cash</v>
      </c>
      <c r="P552" s="38" cm="1">
        <f t="array" ref="P552">ROUND(IF(TRIM(H552)="",IFERROR(MEDIAN(IF($M$2:$M$1500=M552,$H$2:$H$1500)),MEDIAN($H$2:$H$1500)),H552),2)</f>
        <v>17.829999999999998</v>
      </c>
      <c r="Q552" s="38" t="str">
        <f t="shared" si="51"/>
        <v>1</v>
      </c>
      <c r="R552" s="39" cm="1">
        <f t="array" ref="R552">IF(OR(TRIM(J552)="",TRIM(J552)="-"),MEDIAN(IF($C$2:$C$1218=C552,$J$2:$J$1218)),VALUE(SUBSTITUTE(SUBSTITUTE(SUBSTITUTE(J552,"Rs. ",""),"₹",""),",","")))</f>
        <v>9539</v>
      </c>
      <c r="S552" s="40">
        <f t="shared" si="49"/>
        <v>5</v>
      </c>
      <c r="T552" s="41">
        <f t="shared" si="52"/>
        <v>5</v>
      </c>
      <c r="U552" s="42">
        <f t="shared" si="53"/>
        <v>9062</v>
      </c>
    </row>
    <row r="553" spans="1:21" x14ac:dyDescent="0.3">
      <c r="A553" s="37" t="s">
        <v>3742</v>
      </c>
      <c r="B553" s="37" t="s">
        <v>2992</v>
      </c>
      <c r="C553" s="37" t="s">
        <v>2532</v>
      </c>
      <c r="D553" s="37" t="s">
        <v>117</v>
      </c>
      <c r="E553" s="37" t="s">
        <v>182</v>
      </c>
      <c r="F553" s="37" t="s">
        <v>101</v>
      </c>
      <c r="G553" s="37" t="s">
        <v>2408</v>
      </c>
      <c r="H553" s="37">
        <v>6.97</v>
      </c>
      <c r="I553" s="37">
        <v>14</v>
      </c>
      <c r="J553" s="37" t="s">
        <v>3743</v>
      </c>
      <c r="K553" s="37" t="s">
        <v>104</v>
      </c>
      <c r="L553" s="37" t="s">
        <v>43</v>
      </c>
      <c r="M553" s="37" t="str">
        <f t="shared" si="50"/>
        <v>ICU</v>
      </c>
      <c r="N553" s="37" t="str">
        <f t="shared" si="48"/>
        <v>Insurance</v>
      </c>
      <c r="O553" s="37" t="str" cm="1">
        <f t="array" ref="O553">IF(TRIM(N553)="",INDEX($N$2:$N$1500,MATCH(MAX(COUNTIF($N$2:$N$1500,$N$2:$N$1500)),COUNTIF($N$2:$N$1500,$N$2:$N$1500),0)),N553)</f>
        <v>Insurance</v>
      </c>
      <c r="P553" s="38" cm="1">
        <f t="array" ref="P553">ROUND(IF(TRIM(H553)="",IFERROR(MEDIAN(IF($M$2:$M$1500=M553,$H$2:$H$1500)),MEDIAN($H$2:$H$1500)),H553),2)</f>
        <v>6.97</v>
      </c>
      <c r="Q553" s="38" t="str">
        <f t="shared" si="51"/>
        <v>0</v>
      </c>
      <c r="R553" s="39" cm="1">
        <f t="array" ref="R553">IF(OR(TRIM(J553)="",TRIM(J553)="-"),MEDIAN(IF($C$2:$C$1218=C553,$J$2:$J$1218)),VALUE(SUBSTITUTE(SUBSTITUTE(SUBSTITUTE(J553,"Rs. ",""),"₹",""),",","")))</f>
        <v>63717</v>
      </c>
      <c r="S553" s="40">
        <f t="shared" si="49"/>
        <v>18</v>
      </c>
      <c r="T553" s="41">
        <f t="shared" si="52"/>
        <v>18</v>
      </c>
      <c r="U553" s="42">
        <f t="shared" si="53"/>
        <v>52248</v>
      </c>
    </row>
    <row r="554" spans="1:21" x14ac:dyDescent="0.3">
      <c r="A554" s="37" t="s">
        <v>3744</v>
      </c>
      <c r="B554" s="37" t="s">
        <v>2726</v>
      </c>
      <c r="C554" s="37" t="s">
        <v>2481</v>
      </c>
      <c r="D554" s="37" t="s">
        <v>117</v>
      </c>
      <c r="E554" s="37" t="s">
        <v>127</v>
      </c>
      <c r="F554" s="37" t="s">
        <v>19</v>
      </c>
      <c r="G554" s="37" t="s">
        <v>2412</v>
      </c>
      <c r="H554" s="37">
        <v>15.93</v>
      </c>
      <c r="I554" s="37">
        <v>37</v>
      </c>
      <c r="J554" s="37">
        <v>10880</v>
      </c>
      <c r="K554" s="37" t="s">
        <v>34</v>
      </c>
      <c r="L554" s="37">
        <v>5</v>
      </c>
      <c r="M554" s="37" t="str">
        <f t="shared" si="50"/>
        <v>General</v>
      </c>
      <c r="N554" s="37" t="str">
        <f t="shared" si="48"/>
        <v>Cash</v>
      </c>
      <c r="O554" s="37" t="str" cm="1">
        <f t="array" ref="O554">IF(TRIM(N554)="",INDEX($N$2:$N$1500,MATCH(MAX(COUNTIF($N$2:$N$1500,$N$2:$N$1500)),COUNTIF($N$2:$N$1500,$N$2:$N$1500),0)),N554)</f>
        <v>Cash</v>
      </c>
      <c r="P554" s="38" cm="1">
        <f t="array" ref="P554">ROUND(IF(TRIM(H554)="",IFERROR(MEDIAN(IF($M$2:$M$1500=M554,$H$2:$H$1500)),MEDIAN($H$2:$H$1500)),H554),2)</f>
        <v>15.93</v>
      </c>
      <c r="Q554" s="38" t="str">
        <f t="shared" si="51"/>
        <v>1</v>
      </c>
      <c r="R554" s="39" cm="1">
        <f t="array" ref="R554">IF(OR(TRIM(J554)="",TRIM(J554)="-"),MEDIAN(IF($C$2:$C$1218=C554,$J$2:$J$1218)),VALUE(SUBSTITUTE(SUBSTITUTE(SUBSTITUTE(J554,"Rs. ",""),"₹",""),",","")))</f>
        <v>10880</v>
      </c>
      <c r="S554" s="40">
        <f t="shared" si="49"/>
        <v>5</v>
      </c>
      <c r="T554" s="41">
        <f t="shared" si="52"/>
        <v>5</v>
      </c>
      <c r="U554" s="42">
        <f t="shared" si="53"/>
        <v>10336</v>
      </c>
    </row>
    <row r="555" spans="1:21" x14ac:dyDescent="0.3">
      <c r="A555" s="37" t="s">
        <v>3745</v>
      </c>
      <c r="B555" s="37" t="s">
        <v>3746</v>
      </c>
      <c r="C555" s="37" t="s">
        <v>2454</v>
      </c>
      <c r="D555" s="37" t="s">
        <v>78</v>
      </c>
      <c r="E555" s="37" t="s">
        <v>79</v>
      </c>
      <c r="F555" s="37" t="s">
        <v>49</v>
      </c>
      <c r="G555" s="37" t="s">
        <v>2435</v>
      </c>
      <c r="H555" s="37">
        <v>24.13</v>
      </c>
      <c r="I555" s="37">
        <v>56</v>
      </c>
      <c r="J555" s="37">
        <v>9674</v>
      </c>
      <c r="K555" s="37" t="s">
        <v>97</v>
      </c>
      <c r="L555" s="37">
        <v>0.1</v>
      </c>
      <c r="M555" s="37" t="str">
        <f t="shared" si="50"/>
        <v>General</v>
      </c>
      <c r="N555" s="37" t="str">
        <f t="shared" si="48"/>
        <v>UPI</v>
      </c>
      <c r="O555" s="37" t="str" cm="1">
        <f t="array" ref="O555">IF(TRIM(N555)="",INDEX($N$2:$N$1500,MATCH(MAX(COUNTIF($N$2:$N$1500,$N$2:$N$1500)),COUNTIF($N$2:$N$1500,$N$2:$N$1500),0)),N555)</f>
        <v>UPI</v>
      </c>
      <c r="P555" s="38" cm="1">
        <f t="array" ref="P555">ROUND(IF(TRIM(H555)="",IFERROR(MEDIAN(IF($M$2:$M$1500=M555,$H$2:$H$1500)),MEDIAN($H$2:$H$1500)),H555),2)</f>
        <v>24.13</v>
      </c>
      <c r="Q555" s="38" t="str">
        <f t="shared" si="51"/>
        <v>0</v>
      </c>
      <c r="R555" s="39" cm="1">
        <f t="array" ref="R555">IF(OR(TRIM(J555)="",TRIM(J555)="-"),MEDIAN(IF($C$2:$C$1218=C555,$J$2:$J$1218)),VALUE(SUBSTITUTE(SUBSTITUTE(SUBSTITUTE(J555,"Rs. ",""),"₹",""),",","")))</f>
        <v>9674</v>
      </c>
      <c r="S555" s="40">
        <f t="shared" si="49"/>
        <v>0.1</v>
      </c>
      <c r="T555" s="41">
        <f t="shared" si="52"/>
        <v>0</v>
      </c>
      <c r="U555" s="42">
        <f t="shared" si="53"/>
        <v>9674</v>
      </c>
    </row>
    <row r="556" spans="1:21" x14ac:dyDescent="0.3">
      <c r="A556" s="37" t="s">
        <v>3747</v>
      </c>
      <c r="B556" s="37" t="s">
        <v>3581</v>
      </c>
      <c r="C556" s="37" t="s">
        <v>2427</v>
      </c>
      <c r="D556" s="37" t="s">
        <v>45</v>
      </c>
      <c r="E556" s="37" t="s">
        <v>46</v>
      </c>
      <c r="F556" s="37" t="s">
        <v>39</v>
      </c>
      <c r="G556" s="37" t="s">
        <v>2423</v>
      </c>
      <c r="H556" s="37">
        <v>12.64</v>
      </c>
      <c r="I556" s="37">
        <v>38</v>
      </c>
      <c r="J556" s="37" t="s">
        <v>3748</v>
      </c>
      <c r="K556" s="37" t="s">
        <v>83</v>
      </c>
      <c r="L556" s="37">
        <v>10</v>
      </c>
      <c r="M556" s="37" t="str">
        <f t="shared" si="50"/>
        <v>General</v>
      </c>
      <c r="N556" s="37" t="str">
        <f t="shared" si="48"/>
        <v>Debit Card</v>
      </c>
      <c r="O556" s="37" t="str" cm="1">
        <f t="array" ref="O556">IF(TRIM(N556)="",INDEX($N$2:$N$1500,MATCH(MAX(COUNTIF($N$2:$N$1500,$N$2:$N$1500)),COUNTIF($N$2:$N$1500,$N$2:$N$1500),0)),N556)</f>
        <v>Debit Card</v>
      </c>
      <c r="P556" s="38" cm="1">
        <f t="array" ref="P556">ROUND(IF(TRIM(H556)="",IFERROR(MEDIAN(IF($M$2:$M$1500=M556,$H$2:$H$1500)),MEDIAN($H$2:$H$1500)),H556),2)</f>
        <v>12.64</v>
      </c>
      <c r="Q556" s="38" t="str">
        <f t="shared" si="51"/>
        <v>0</v>
      </c>
      <c r="R556" s="39" cm="1">
        <f t="array" ref="R556">IF(OR(TRIM(J556)="",TRIM(J556)="-"),MEDIAN(IF($C$2:$C$1218=C556,$J$2:$J$1218)),VALUE(SUBSTITUTE(SUBSTITUTE(SUBSTITUTE(J556,"Rs. ",""),"₹",""),",","")))</f>
        <v>15937</v>
      </c>
      <c r="S556" s="40">
        <f t="shared" si="49"/>
        <v>10</v>
      </c>
      <c r="T556" s="41">
        <f t="shared" si="52"/>
        <v>10</v>
      </c>
      <c r="U556" s="42">
        <f t="shared" si="53"/>
        <v>14343</v>
      </c>
    </row>
    <row r="557" spans="1:21" x14ac:dyDescent="0.3">
      <c r="A557" s="37" t="s">
        <v>3749</v>
      </c>
      <c r="B557" s="37" t="s">
        <v>2582</v>
      </c>
      <c r="C557" s="37" t="s">
        <v>2434</v>
      </c>
      <c r="D557" s="37" t="s">
        <v>45</v>
      </c>
      <c r="E557" s="37" t="s">
        <v>46</v>
      </c>
      <c r="F557" s="37" t="s">
        <v>30</v>
      </c>
      <c r="G557" s="37" t="s">
        <v>2477</v>
      </c>
      <c r="H557" s="37">
        <v>4.42</v>
      </c>
      <c r="I557" s="37">
        <v>30</v>
      </c>
      <c r="J557" s="37" t="s">
        <v>3750</v>
      </c>
      <c r="K557" s="37" t="s">
        <v>115</v>
      </c>
      <c r="L557" s="37">
        <v>0</v>
      </c>
      <c r="M557" s="37" t="str">
        <f t="shared" si="50"/>
        <v>General</v>
      </c>
      <c r="N557" s="37" t="str">
        <f t="shared" si="48"/>
        <v>Cash</v>
      </c>
      <c r="O557" s="37" t="str" cm="1">
        <f t="array" ref="O557">IF(TRIM(N557)="",INDEX($N$2:$N$1500,MATCH(MAX(COUNTIF($N$2:$N$1500,$N$2:$N$1500)),COUNTIF($N$2:$N$1500,$N$2:$N$1500),0)),N557)</f>
        <v>Cash</v>
      </c>
      <c r="P557" s="38" cm="1">
        <f t="array" ref="P557">ROUND(IF(TRIM(H557)="",IFERROR(MEDIAN(IF($M$2:$M$1500=M557,$H$2:$H$1500)),MEDIAN($H$2:$H$1500)),H557),2)</f>
        <v>4.42</v>
      </c>
      <c r="Q557" s="38" t="str">
        <f t="shared" si="51"/>
        <v>0</v>
      </c>
      <c r="R557" s="39" cm="1">
        <f t="array" ref="R557">IF(OR(TRIM(J557)="",TRIM(J557)="-"),MEDIAN(IF($C$2:$C$1218=C557,$J$2:$J$1218)),VALUE(SUBSTITUTE(SUBSTITUTE(SUBSTITUTE(J557,"Rs. ",""),"₹",""),",","")))</f>
        <v>5771</v>
      </c>
      <c r="S557" s="40">
        <f t="shared" si="49"/>
        <v>0</v>
      </c>
      <c r="T557" s="41">
        <f t="shared" si="52"/>
        <v>0</v>
      </c>
      <c r="U557" s="42">
        <f t="shared" si="53"/>
        <v>5771</v>
      </c>
    </row>
    <row r="558" spans="1:21" x14ac:dyDescent="0.3">
      <c r="A558" s="37" t="s">
        <v>3751</v>
      </c>
      <c r="B558" s="37" t="s">
        <v>2684</v>
      </c>
      <c r="C558" s="37" t="s">
        <v>2577</v>
      </c>
      <c r="D558" s="37" t="s">
        <v>45</v>
      </c>
      <c r="E558" s="37" t="s">
        <v>46</v>
      </c>
      <c r="F558" s="37" t="s">
        <v>39</v>
      </c>
      <c r="G558" s="37" t="s">
        <v>2477</v>
      </c>
      <c r="H558" s="37">
        <v>3.07</v>
      </c>
      <c r="I558" s="37">
        <v>57</v>
      </c>
      <c r="J558" s="37">
        <v>14662</v>
      </c>
      <c r="K558" s="37" t="s">
        <v>211</v>
      </c>
      <c r="L558" s="37" t="s">
        <v>64</v>
      </c>
      <c r="M558" s="37" t="str">
        <f t="shared" si="50"/>
        <v>General</v>
      </c>
      <c r="N558" s="37" t="str">
        <f t="shared" si="48"/>
        <v>Credit Card</v>
      </c>
      <c r="O558" s="37" t="str" cm="1">
        <f t="array" ref="O558">IF(TRIM(N558)="",INDEX($N$2:$N$1500,MATCH(MAX(COUNTIF($N$2:$N$1500,$N$2:$N$1500)),COUNTIF($N$2:$N$1500,$N$2:$N$1500),0)),N558)</f>
        <v>Credit Card</v>
      </c>
      <c r="P558" s="38" cm="1">
        <f t="array" ref="P558">ROUND(IF(TRIM(H558)="",IFERROR(MEDIAN(IF($M$2:$M$1500=M558,$H$2:$H$1500)),MEDIAN($H$2:$H$1500)),H558),2)</f>
        <v>3.07</v>
      </c>
      <c r="Q558" s="38" t="str">
        <f t="shared" si="51"/>
        <v>0</v>
      </c>
      <c r="R558" s="39" cm="1">
        <f t="array" ref="R558">IF(OR(TRIM(J558)="",TRIM(J558)="-"),MEDIAN(IF($C$2:$C$1218=C558,$J$2:$J$1218)),VALUE(SUBSTITUTE(SUBSTITUTE(SUBSTITUTE(J558,"Rs. ",""),"₹",""),",","")))</f>
        <v>14662</v>
      </c>
      <c r="S558" s="40" t="str">
        <f t="shared" si="49"/>
        <v>NA</v>
      </c>
      <c r="T558" s="41">
        <f t="shared" si="52"/>
        <v>2</v>
      </c>
      <c r="U558" s="42">
        <f t="shared" si="53"/>
        <v>14369</v>
      </c>
    </row>
    <row r="559" spans="1:21" x14ac:dyDescent="0.3">
      <c r="A559" s="37" t="s">
        <v>3752</v>
      </c>
      <c r="B559" s="37" t="s">
        <v>3753</v>
      </c>
      <c r="C559" s="37" t="s">
        <v>2490</v>
      </c>
      <c r="D559" s="37" t="s">
        <v>106</v>
      </c>
      <c r="E559" s="37" t="s">
        <v>107</v>
      </c>
      <c r="F559" s="37" t="s">
        <v>49</v>
      </c>
      <c r="G559" s="37"/>
      <c r="H559" s="37">
        <v>3.12</v>
      </c>
      <c r="I559" s="37">
        <v>55</v>
      </c>
      <c r="J559" s="37" t="s">
        <v>3754</v>
      </c>
      <c r="K559" s="37" t="s">
        <v>23</v>
      </c>
      <c r="L559" s="37">
        <v>0</v>
      </c>
      <c r="M559" s="37" t="str">
        <f t="shared" si="50"/>
        <v>General</v>
      </c>
      <c r="N559" s="37" t="str">
        <f t="shared" si="48"/>
        <v>Credit Card</v>
      </c>
      <c r="O559" s="37" t="str" cm="1">
        <f t="array" ref="O559">IF(TRIM(N559)="",INDEX($N$2:$N$1500,MATCH(MAX(COUNTIF($N$2:$N$1500,$N$2:$N$1500)),COUNTIF($N$2:$N$1500,$N$2:$N$1500),0)),N559)</f>
        <v>Credit Card</v>
      </c>
      <c r="P559" s="38" cm="1">
        <f t="array" ref="P559">ROUND(IF(TRIM(H559)="",IFERROR(MEDIAN(IF($M$2:$M$1500=M559,$H$2:$H$1500)),MEDIAN($H$2:$H$1500)),H559),2)</f>
        <v>3.12</v>
      </c>
      <c r="Q559" s="38" t="str">
        <f t="shared" si="51"/>
        <v>Unknown</v>
      </c>
      <c r="R559" s="39" cm="1">
        <f t="array" ref="R559">IF(OR(TRIM(J559)="",TRIM(J559)="-"),MEDIAN(IF($C$2:$C$1218=C559,$J$2:$J$1218)),VALUE(SUBSTITUTE(SUBSTITUTE(SUBSTITUTE(J559,"Rs. ",""),"₹",""),",","")))</f>
        <v>10017</v>
      </c>
      <c r="S559" s="40">
        <f t="shared" si="49"/>
        <v>0</v>
      </c>
      <c r="T559" s="41">
        <f t="shared" si="52"/>
        <v>0</v>
      </c>
      <c r="U559" s="42">
        <f t="shared" si="53"/>
        <v>10017</v>
      </c>
    </row>
    <row r="560" spans="1:21" x14ac:dyDescent="0.3">
      <c r="A560" s="37" t="s">
        <v>3755</v>
      </c>
      <c r="B560" s="37" t="s">
        <v>3756</v>
      </c>
      <c r="C560" s="37" t="s">
        <v>2469</v>
      </c>
      <c r="D560" s="37" t="s">
        <v>106</v>
      </c>
      <c r="E560" s="37" t="s">
        <v>107</v>
      </c>
      <c r="F560" s="37" t="s">
        <v>39</v>
      </c>
      <c r="G560" s="37" t="s">
        <v>2993</v>
      </c>
      <c r="H560" s="37">
        <v>0.95</v>
      </c>
      <c r="I560" s="37">
        <v>26</v>
      </c>
      <c r="J560" s="37">
        <v>12016</v>
      </c>
      <c r="K560" s="37" t="s">
        <v>236</v>
      </c>
      <c r="L560" s="37" t="s">
        <v>76</v>
      </c>
      <c r="M560" s="37" t="str">
        <f t="shared" si="50"/>
        <v>General</v>
      </c>
      <c r="N560" s="37" t="str">
        <f t="shared" si="48"/>
        <v>Debit Card</v>
      </c>
      <c r="O560" s="37" t="str" cm="1">
        <f t="array" ref="O560">IF(TRIM(N560)="",INDEX($N$2:$N$1500,MATCH(MAX(COUNTIF($N$2:$N$1500,$N$2:$N$1500)),COUNTIF($N$2:$N$1500,$N$2:$N$1500),0)),N560)</f>
        <v>Debit Card</v>
      </c>
      <c r="P560" s="38" cm="1">
        <f t="array" ref="P560">ROUND(IF(TRIM(H560)="",IFERROR(MEDIAN(IF($M$2:$M$1500=M560,$H$2:$H$1500)),MEDIAN($H$2:$H$1500)),H560),2)</f>
        <v>0.95</v>
      </c>
      <c r="Q560" s="38" t="str">
        <f t="shared" si="51"/>
        <v>2+</v>
      </c>
      <c r="R560" s="39" cm="1">
        <f t="array" ref="R560">IF(OR(TRIM(J560)="",TRIM(J560)="-"),MEDIAN(IF($C$2:$C$1218=C560,$J$2:$J$1218)),VALUE(SUBSTITUTE(SUBSTITUTE(SUBSTITUTE(J560,"Rs. ",""),"₹",""),",","")))</f>
        <v>12016</v>
      </c>
      <c r="S560" s="40">
        <f t="shared" si="49"/>
        <v>10</v>
      </c>
      <c r="T560" s="41">
        <f t="shared" si="52"/>
        <v>10</v>
      </c>
      <c r="U560" s="42">
        <f t="shared" si="53"/>
        <v>10814</v>
      </c>
    </row>
    <row r="561" spans="1:21" x14ac:dyDescent="0.3">
      <c r="A561" s="37" t="s">
        <v>3757</v>
      </c>
      <c r="B561" s="37" t="s">
        <v>3758</v>
      </c>
      <c r="C561" s="37" t="s">
        <v>2427</v>
      </c>
      <c r="D561" s="37" t="s">
        <v>25</v>
      </c>
      <c r="E561" s="37" t="s">
        <v>26</v>
      </c>
      <c r="F561" s="37" t="s">
        <v>69</v>
      </c>
      <c r="G561" s="37" t="s">
        <v>2435</v>
      </c>
      <c r="H561" s="37">
        <v>11.71</v>
      </c>
      <c r="I561" s="37">
        <v>57</v>
      </c>
      <c r="J561" s="37" t="s">
        <v>3759</v>
      </c>
      <c r="K561" s="37" t="s">
        <v>91</v>
      </c>
      <c r="L561" s="37">
        <v>0</v>
      </c>
      <c r="M561" s="37" t="str">
        <f t="shared" si="50"/>
        <v>ICU</v>
      </c>
      <c r="N561" s="37" t="str">
        <f t="shared" si="48"/>
        <v>Debit Card</v>
      </c>
      <c r="O561" s="37" t="str" cm="1">
        <f t="array" ref="O561">IF(TRIM(N561)="",INDEX($N$2:$N$1500,MATCH(MAX(COUNTIF($N$2:$N$1500,$N$2:$N$1500)),COUNTIF($N$2:$N$1500,$N$2:$N$1500),0)),N561)</f>
        <v>Debit Card</v>
      </c>
      <c r="P561" s="38" cm="1">
        <f t="array" ref="P561">ROUND(IF(TRIM(H561)="",IFERROR(MEDIAN(IF($M$2:$M$1500=M561,$H$2:$H$1500)),MEDIAN($H$2:$H$1500)),H561),2)</f>
        <v>11.71</v>
      </c>
      <c r="Q561" s="38" t="str">
        <f t="shared" si="51"/>
        <v>0</v>
      </c>
      <c r="R561" s="39" cm="1">
        <f t="array" ref="R561">IF(OR(TRIM(J561)="",TRIM(J561)="-"),MEDIAN(IF($C$2:$C$1218=C561,$J$2:$J$1218)),VALUE(SUBSTITUTE(SUBSTITUTE(SUBSTITUTE(J561,"Rs. ",""),"₹",""),",","")))</f>
        <v>38802</v>
      </c>
      <c r="S561" s="40">
        <f t="shared" si="49"/>
        <v>0</v>
      </c>
      <c r="T561" s="41">
        <f t="shared" si="52"/>
        <v>0</v>
      </c>
      <c r="U561" s="42">
        <f t="shared" si="53"/>
        <v>38802</v>
      </c>
    </row>
    <row r="562" spans="1:21" x14ac:dyDescent="0.3">
      <c r="A562" s="37" t="s">
        <v>3760</v>
      </c>
      <c r="B562" s="37" t="s">
        <v>3761</v>
      </c>
      <c r="C562" s="37" t="s">
        <v>2449</v>
      </c>
      <c r="D562" s="37" t="s">
        <v>78</v>
      </c>
      <c r="E562" s="37" t="s">
        <v>79</v>
      </c>
      <c r="F562" s="37" t="s">
        <v>62</v>
      </c>
      <c r="G562" s="37" t="s">
        <v>2408</v>
      </c>
      <c r="H562" s="37">
        <v>0.9</v>
      </c>
      <c r="I562" s="37">
        <v>49</v>
      </c>
      <c r="J562" s="37" t="s">
        <v>3762</v>
      </c>
      <c r="K562" s="37" t="s">
        <v>236</v>
      </c>
      <c r="L562" s="37">
        <v>5</v>
      </c>
      <c r="M562" s="37" t="str">
        <f t="shared" si="50"/>
        <v>ICU</v>
      </c>
      <c r="N562" s="37" t="str">
        <f t="shared" si="48"/>
        <v>Debit Card</v>
      </c>
      <c r="O562" s="37" t="str" cm="1">
        <f t="array" ref="O562">IF(TRIM(N562)="",INDEX($N$2:$N$1500,MATCH(MAX(COUNTIF($N$2:$N$1500,$N$2:$N$1500)),COUNTIF($N$2:$N$1500,$N$2:$N$1500),0)),N562)</f>
        <v>Debit Card</v>
      </c>
      <c r="P562" s="38" cm="1">
        <f t="array" ref="P562">ROUND(IF(TRIM(H562)="",IFERROR(MEDIAN(IF($M$2:$M$1500=M562,$H$2:$H$1500)),MEDIAN($H$2:$H$1500)),H562),2)</f>
        <v>0.9</v>
      </c>
      <c r="Q562" s="38" t="str">
        <f t="shared" si="51"/>
        <v>0</v>
      </c>
      <c r="R562" s="39" cm="1">
        <f t="array" ref="R562">IF(OR(TRIM(J562)="",TRIM(J562)="-"),MEDIAN(IF($C$2:$C$1218=C562,$J$2:$J$1218)),VALUE(SUBSTITUTE(SUBSTITUTE(SUBSTITUTE(J562,"Rs. ",""),"₹",""),",","")))</f>
        <v>62376</v>
      </c>
      <c r="S562" s="40">
        <f t="shared" si="49"/>
        <v>5</v>
      </c>
      <c r="T562" s="41">
        <f t="shared" si="52"/>
        <v>5</v>
      </c>
      <c r="U562" s="42">
        <f t="shared" si="53"/>
        <v>59257</v>
      </c>
    </row>
    <row r="563" spans="1:21" x14ac:dyDescent="0.3">
      <c r="A563" s="37" t="s">
        <v>3763</v>
      </c>
      <c r="B563" s="37" t="s">
        <v>3764</v>
      </c>
      <c r="C563" s="37" t="s">
        <v>2415</v>
      </c>
      <c r="D563" s="37" t="s">
        <v>25</v>
      </c>
      <c r="E563" s="37" t="s">
        <v>54</v>
      </c>
      <c r="F563" s="37" t="s">
        <v>101</v>
      </c>
      <c r="G563" s="37" t="s">
        <v>2428</v>
      </c>
      <c r="H563" s="37">
        <v>0.96</v>
      </c>
      <c r="I563" s="37">
        <v>51</v>
      </c>
      <c r="J563" s="37" t="s">
        <v>3765</v>
      </c>
      <c r="K563" s="37" t="s">
        <v>72</v>
      </c>
      <c r="L563" s="37" t="s">
        <v>198</v>
      </c>
      <c r="M563" s="37" t="str">
        <f t="shared" si="50"/>
        <v>ICU</v>
      </c>
      <c r="N563" s="37" t="str">
        <f t="shared" si="48"/>
        <v>Cash</v>
      </c>
      <c r="O563" s="37" t="str" cm="1">
        <f t="array" ref="O563">IF(TRIM(N563)="",INDEX($N$2:$N$1500,MATCH(MAX(COUNTIF($N$2:$N$1500,$N$2:$N$1500)),COUNTIF($N$2:$N$1500,$N$2:$N$1500),0)),N563)</f>
        <v>Cash</v>
      </c>
      <c r="P563" s="38" cm="1">
        <f t="array" ref="P563">ROUND(IF(TRIM(H563)="",IFERROR(MEDIAN(IF($M$2:$M$1500=M563,$H$2:$H$1500)),MEDIAN($H$2:$H$1500)),H563),2)</f>
        <v>0.96</v>
      </c>
      <c r="Q563" s="38" t="str">
        <f t="shared" si="51"/>
        <v>2</v>
      </c>
      <c r="R563" s="39" cm="1">
        <f t="array" ref="R563">IF(OR(TRIM(J563)="",TRIM(J563)="-"),MEDIAN(IF($C$2:$C$1218=C563,$J$2:$J$1218)),VALUE(SUBSTITUTE(SUBSTITUTE(SUBSTITUTE(J563,"Rs. ",""),"₹",""),",","")))</f>
        <v>43114</v>
      </c>
      <c r="S563" s="40">
        <f t="shared" si="49"/>
        <v>5</v>
      </c>
      <c r="T563" s="41">
        <f t="shared" si="52"/>
        <v>5</v>
      </c>
      <c r="U563" s="42">
        <f t="shared" si="53"/>
        <v>40958</v>
      </c>
    </row>
    <row r="564" spans="1:21" x14ac:dyDescent="0.3">
      <c r="A564" s="37" t="s">
        <v>3766</v>
      </c>
      <c r="B564" s="37" t="s">
        <v>3767</v>
      </c>
      <c r="C564" s="37" t="s">
        <v>2514</v>
      </c>
      <c r="D564" s="37" t="s">
        <v>25</v>
      </c>
      <c r="E564" s="37" t="s">
        <v>54</v>
      </c>
      <c r="F564" s="37" t="s">
        <v>49</v>
      </c>
      <c r="G564" s="37"/>
      <c r="H564" s="37">
        <v>0.74</v>
      </c>
      <c r="I564" s="37">
        <v>18</v>
      </c>
      <c r="J564" s="37">
        <v>12517</v>
      </c>
      <c r="K564" s="37" t="s">
        <v>311</v>
      </c>
      <c r="L564" s="37">
        <v>0.05</v>
      </c>
      <c r="M564" s="37" t="str">
        <f t="shared" si="50"/>
        <v>General</v>
      </c>
      <c r="N564" s="37" t="str">
        <f t="shared" si="48"/>
        <v>UPI</v>
      </c>
      <c r="O564" s="37" t="str" cm="1">
        <f t="array" ref="O564">IF(TRIM(N564)="",INDEX($N$2:$N$1500,MATCH(MAX(COUNTIF($N$2:$N$1500,$N$2:$N$1500)),COUNTIF($N$2:$N$1500,$N$2:$N$1500),0)),N564)</f>
        <v>UPI</v>
      </c>
      <c r="P564" s="38" cm="1">
        <f t="array" ref="P564">ROUND(IF(TRIM(H564)="",IFERROR(MEDIAN(IF($M$2:$M$1500=M564,$H$2:$H$1500)),MEDIAN($H$2:$H$1500)),H564),2)</f>
        <v>0.74</v>
      </c>
      <c r="Q564" s="38" t="str">
        <f t="shared" si="51"/>
        <v>Unknown</v>
      </c>
      <c r="R564" s="39" cm="1">
        <f t="array" ref="R564">IF(OR(TRIM(J564)="",TRIM(J564)="-"),MEDIAN(IF($C$2:$C$1218=C564,$J$2:$J$1218)),VALUE(SUBSTITUTE(SUBSTITUTE(SUBSTITUTE(J564,"Rs. ",""),"₹",""),",","")))</f>
        <v>12517</v>
      </c>
      <c r="S564" s="40">
        <f t="shared" si="49"/>
        <v>0.05</v>
      </c>
      <c r="T564" s="41">
        <f t="shared" si="52"/>
        <v>0</v>
      </c>
      <c r="U564" s="42">
        <f t="shared" si="53"/>
        <v>12517</v>
      </c>
    </row>
    <row r="565" spans="1:21" x14ac:dyDescent="0.3">
      <c r="A565" s="37" t="s">
        <v>3768</v>
      </c>
      <c r="B565" s="37" t="s">
        <v>3769</v>
      </c>
      <c r="C565" s="37" t="s">
        <v>2463</v>
      </c>
      <c r="D565" s="37" t="s">
        <v>117</v>
      </c>
      <c r="E565" s="37" t="s">
        <v>118</v>
      </c>
      <c r="F565" s="37" t="s">
        <v>101</v>
      </c>
      <c r="G565" s="37" t="s">
        <v>2746</v>
      </c>
      <c r="H565" s="37">
        <v>11.1</v>
      </c>
      <c r="I565" s="37">
        <v>29</v>
      </c>
      <c r="J565" s="37" t="s">
        <v>3770</v>
      </c>
      <c r="K565" s="37" t="s">
        <v>23</v>
      </c>
      <c r="L565" s="37" t="s">
        <v>130</v>
      </c>
      <c r="M565" s="37" t="str">
        <f t="shared" si="50"/>
        <v>ICU</v>
      </c>
      <c r="N565" s="37" t="str">
        <f t="shared" si="48"/>
        <v>Credit Card</v>
      </c>
      <c r="O565" s="37" t="str" cm="1">
        <f t="array" ref="O565">IF(TRIM(N565)="",INDEX($N$2:$N$1500,MATCH(MAX(COUNTIF($N$2:$N$1500,$N$2:$N$1500)),COUNTIF($N$2:$N$1500,$N$2:$N$1500),0)),N565)</f>
        <v>Credit Card</v>
      </c>
      <c r="P565" s="38" cm="1">
        <f t="array" ref="P565">ROUND(IF(TRIM(H565)="",IFERROR(MEDIAN(IF($M$2:$M$1500=M565,$H$2:$H$1500)),MEDIAN($H$2:$H$1500)),H565),2)</f>
        <v>11.1</v>
      </c>
      <c r="Q565" s="38" t="str">
        <f t="shared" si="51"/>
        <v>2</v>
      </c>
      <c r="R565" s="39" cm="1">
        <f t="array" ref="R565">IF(OR(TRIM(J565)="",TRIM(J565)="-"),MEDIAN(IF($C$2:$C$1218=C565,$J$2:$J$1218)),VALUE(SUBSTITUTE(SUBSTITUTE(SUBSTITUTE(J565,"Rs. ",""),"₹",""),",","")))</f>
        <v>87557</v>
      </c>
      <c r="S565" s="40">
        <f t="shared" si="49"/>
        <v>0</v>
      </c>
      <c r="T565" s="41">
        <f t="shared" si="52"/>
        <v>0</v>
      </c>
      <c r="U565" s="42">
        <f t="shared" si="53"/>
        <v>87557</v>
      </c>
    </row>
    <row r="566" spans="1:21" x14ac:dyDescent="0.3">
      <c r="A566" s="37" t="s">
        <v>3771</v>
      </c>
      <c r="B566" s="37" t="s">
        <v>3772</v>
      </c>
      <c r="C566" s="37" t="s">
        <v>2518</v>
      </c>
      <c r="D566" s="37" t="s">
        <v>45</v>
      </c>
      <c r="E566" s="37" t="s">
        <v>46</v>
      </c>
      <c r="F566" s="37"/>
      <c r="G566" s="37" t="s">
        <v>2435</v>
      </c>
      <c r="H566" s="37">
        <v>24.25</v>
      </c>
      <c r="I566" s="37">
        <v>32</v>
      </c>
      <c r="J566" s="37" t="s">
        <v>3773</v>
      </c>
      <c r="K566" s="37" t="s">
        <v>83</v>
      </c>
      <c r="L566" s="37">
        <v>10</v>
      </c>
      <c r="M566" s="37" t="str">
        <f t="shared" si="50"/>
        <v>Unknown</v>
      </c>
      <c r="N566" s="37" t="str">
        <f t="shared" si="48"/>
        <v>Debit Card</v>
      </c>
      <c r="O566" s="37" t="str" cm="1">
        <f t="array" ref="O566">IF(TRIM(N566)="",INDEX($N$2:$N$1500,MATCH(MAX(COUNTIF($N$2:$N$1500,$N$2:$N$1500)),COUNTIF($N$2:$N$1500,$N$2:$N$1500),0)),N566)</f>
        <v>Debit Card</v>
      </c>
      <c r="P566" s="38" cm="1">
        <f t="array" ref="P566">ROUND(IF(TRIM(H566)="",IFERROR(MEDIAN(IF($M$2:$M$1500=M566,$H$2:$H$1500)),MEDIAN($H$2:$H$1500)),H566),2)</f>
        <v>24.25</v>
      </c>
      <c r="Q566" s="38" t="str">
        <f t="shared" si="51"/>
        <v>0</v>
      </c>
      <c r="R566" s="39" cm="1">
        <f t="array" ref="R566">IF(OR(TRIM(J566)="",TRIM(J566)="-"),MEDIAN(IF($C$2:$C$1218=C566,$J$2:$J$1218)),VALUE(SUBSTITUTE(SUBSTITUTE(SUBSTITUTE(J566,"Rs. ",""),"₹",""),",","")))</f>
        <v>11848</v>
      </c>
      <c r="S566" s="40">
        <f t="shared" si="49"/>
        <v>10</v>
      </c>
      <c r="T566" s="41">
        <f t="shared" si="52"/>
        <v>10</v>
      </c>
      <c r="U566" s="42">
        <f t="shared" si="53"/>
        <v>10663</v>
      </c>
    </row>
    <row r="567" spans="1:21" x14ac:dyDescent="0.3">
      <c r="A567" s="37" t="s">
        <v>3774</v>
      </c>
      <c r="B567" s="37" t="s">
        <v>3775</v>
      </c>
      <c r="C567" s="37" t="s">
        <v>2415</v>
      </c>
      <c r="D567" s="37" t="s">
        <v>14</v>
      </c>
      <c r="E567" s="37" t="s">
        <v>15</v>
      </c>
      <c r="F567" s="37" t="s">
        <v>39</v>
      </c>
      <c r="G567" s="37" t="s">
        <v>2455</v>
      </c>
      <c r="H567" s="37">
        <v>22.39</v>
      </c>
      <c r="I567" s="37">
        <v>38</v>
      </c>
      <c r="J567" s="37">
        <v>10246</v>
      </c>
      <c r="K567" s="37" t="s">
        <v>91</v>
      </c>
      <c r="L567" s="37">
        <v>0.05</v>
      </c>
      <c r="M567" s="37" t="str">
        <f t="shared" si="50"/>
        <v>General</v>
      </c>
      <c r="N567" s="37" t="str">
        <f t="shared" si="48"/>
        <v>Debit Card</v>
      </c>
      <c r="O567" s="37" t="str" cm="1">
        <f t="array" ref="O567">IF(TRIM(N567)="",INDEX($N$2:$N$1500,MATCH(MAX(COUNTIF($N$2:$N$1500,$N$2:$N$1500)),COUNTIF($N$2:$N$1500,$N$2:$N$1500),0)),N567)</f>
        <v>Debit Card</v>
      </c>
      <c r="P567" s="38" cm="1">
        <f t="array" ref="P567">ROUND(IF(TRIM(H567)="",IFERROR(MEDIAN(IF($M$2:$M$1500=M567,$H$2:$H$1500)),MEDIAN($H$2:$H$1500)),H567),2)</f>
        <v>22.39</v>
      </c>
      <c r="Q567" s="38" t="str">
        <f t="shared" si="51"/>
        <v>1</v>
      </c>
      <c r="R567" s="39" cm="1">
        <f t="array" ref="R567">IF(OR(TRIM(J567)="",TRIM(J567)="-"),MEDIAN(IF($C$2:$C$1218=C567,$J$2:$J$1218)),VALUE(SUBSTITUTE(SUBSTITUTE(SUBSTITUTE(J567,"Rs. ",""),"₹",""),",","")))</f>
        <v>10246</v>
      </c>
      <c r="S567" s="40">
        <f t="shared" si="49"/>
        <v>0.05</v>
      </c>
      <c r="T567" s="41">
        <f t="shared" si="52"/>
        <v>0</v>
      </c>
      <c r="U567" s="42">
        <f t="shared" si="53"/>
        <v>10246</v>
      </c>
    </row>
    <row r="568" spans="1:21" x14ac:dyDescent="0.3">
      <c r="A568" s="37" t="s">
        <v>3776</v>
      </c>
      <c r="B568" s="37" t="s">
        <v>3417</v>
      </c>
      <c r="C568" s="37" t="s">
        <v>2521</v>
      </c>
      <c r="D568" s="37" t="s">
        <v>25</v>
      </c>
      <c r="E568" s="37" t="s">
        <v>26</v>
      </c>
      <c r="F568" s="37" t="s">
        <v>39</v>
      </c>
      <c r="G568" s="37" t="s">
        <v>2435</v>
      </c>
      <c r="H568" s="37">
        <v>8.42</v>
      </c>
      <c r="I568" s="37">
        <v>48</v>
      </c>
      <c r="J568" s="37">
        <v>15604</v>
      </c>
      <c r="K568" s="37" t="s">
        <v>104</v>
      </c>
      <c r="L568" s="37" t="s">
        <v>187</v>
      </c>
      <c r="M568" s="37" t="str">
        <f t="shared" si="50"/>
        <v>General</v>
      </c>
      <c r="N568" s="37" t="str">
        <f t="shared" si="48"/>
        <v>Insurance</v>
      </c>
      <c r="O568" s="37" t="str" cm="1">
        <f t="array" ref="O568">IF(TRIM(N568)="",INDEX($N$2:$N$1500,MATCH(MAX(COUNTIF($N$2:$N$1500,$N$2:$N$1500)),COUNTIF($N$2:$N$1500,$N$2:$N$1500),0)),N568)</f>
        <v>Insurance</v>
      </c>
      <c r="P568" s="38" cm="1">
        <f t="array" ref="P568">ROUND(IF(TRIM(H568)="",IFERROR(MEDIAN(IF($M$2:$M$1500=M568,$H$2:$H$1500)),MEDIAN($H$2:$H$1500)),H568),2)</f>
        <v>8.42</v>
      </c>
      <c r="Q568" s="38" t="str">
        <f t="shared" si="51"/>
        <v>0</v>
      </c>
      <c r="R568" s="39" cm="1">
        <f t="array" ref="R568">IF(OR(TRIM(J568)="",TRIM(J568)="-"),MEDIAN(IF($C$2:$C$1218=C568,$J$2:$J$1218)),VALUE(SUBSTITUTE(SUBSTITUTE(SUBSTITUTE(J568,"Rs. ",""),"₹",""),",","")))</f>
        <v>15604</v>
      </c>
      <c r="S568" s="40">
        <f t="shared" si="49"/>
        <v>35</v>
      </c>
      <c r="T568" s="41">
        <f t="shared" si="52"/>
        <v>35</v>
      </c>
      <c r="U568" s="42">
        <f t="shared" si="53"/>
        <v>10143</v>
      </c>
    </row>
    <row r="569" spans="1:21" x14ac:dyDescent="0.3">
      <c r="A569" s="37" t="s">
        <v>3777</v>
      </c>
      <c r="B569" s="37" t="s">
        <v>3778</v>
      </c>
      <c r="C569" s="37" t="s">
        <v>2438</v>
      </c>
      <c r="D569" s="37" t="s">
        <v>78</v>
      </c>
      <c r="E569" s="37" t="s">
        <v>161</v>
      </c>
      <c r="F569" s="37" t="s">
        <v>49</v>
      </c>
      <c r="G569" s="37" t="s">
        <v>2450</v>
      </c>
      <c r="H569" s="37">
        <v>7.92</v>
      </c>
      <c r="I569" s="37">
        <v>1</v>
      </c>
      <c r="J569" s="37" t="s">
        <v>3779</v>
      </c>
      <c r="K569" s="37" t="s">
        <v>23</v>
      </c>
      <c r="L569" s="37">
        <v>0</v>
      </c>
      <c r="M569" s="37" t="str">
        <f t="shared" si="50"/>
        <v>General</v>
      </c>
      <c r="N569" s="37" t="str">
        <f t="shared" si="48"/>
        <v>Credit Card</v>
      </c>
      <c r="O569" s="37" t="str" cm="1">
        <f t="array" ref="O569">IF(TRIM(N569)="",INDEX($N$2:$N$1500,MATCH(MAX(COUNTIF($N$2:$N$1500,$N$2:$N$1500)),COUNTIF($N$2:$N$1500,$N$2:$N$1500),0)),N569)</f>
        <v>Credit Card</v>
      </c>
      <c r="P569" s="38" cm="1">
        <f t="array" ref="P569">ROUND(IF(TRIM(H569)="",IFERROR(MEDIAN(IF($M$2:$M$1500=M569,$H$2:$H$1500)),MEDIAN($H$2:$H$1500)),H569),2)</f>
        <v>7.92</v>
      </c>
      <c r="Q569" s="38" t="str">
        <f t="shared" si="51"/>
        <v>1</v>
      </c>
      <c r="R569" s="39" cm="1">
        <f t="array" ref="R569">IF(OR(TRIM(J569)="",TRIM(J569)="-"),MEDIAN(IF($C$2:$C$1218=C569,$J$2:$J$1218)),VALUE(SUBSTITUTE(SUBSTITUTE(SUBSTITUTE(J569,"Rs. ",""),"₹",""),",","")))</f>
        <v>10660</v>
      </c>
      <c r="S569" s="40">
        <f t="shared" si="49"/>
        <v>0</v>
      </c>
      <c r="T569" s="41">
        <f t="shared" si="52"/>
        <v>0</v>
      </c>
      <c r="U569" s="42">
        <f t="shared" si="53"/>
        <v>10660</v>
      </c>
    </row>
    <row r="570" spans="1:21" x14ac:dyDescent="0.3">
      <c r="A570" s="37" t="s">
        <v>3780</v>
      </c>
      <c r="B570" s="37" t="s">
        <v>3781</v>
      </c>
      <c r="C570" s="37" t="s">
        <v>2730</v>
      </c>
      <c r="D570" s="37" t="s">
        <v>45</v>
      </c>
      <c r="E570" s="37" t="s">
        <v>46</v>
      </c>
      <c r="F570" s="37" t="s">
        <v>19</v>
      </c>
      <c r="G570" s="37" t="s">
        <v>2450</v>
      </c>
      <c r="H570" s="37">
        <v>12.29</v>
      </c>
      <c r="I570" s="37">
        <v>24</v>
      </c>
      <c r="J570" s="37" t="s">
        <v>3782</v>
      </c>
      <c r="K570" s="37" t="s">
        <v>52</v>
      </c>
      <c r="L570" s="37" t="s">
        <v>130</v>
      </c>
      <c r="M570" s="37" t="str">
        <f t="shared" si="50"/>
        <v>General</v>
      </c>
      <c r="N570" s="37" t="str">
        <f t="shared" si="48"/>
        <v>Credit Card</v>
      </c>
      <c r="O570" s="37" t="str" cm="1">
        <f t="array" ref="O570">IF(TRIM(N570)="",INDEX($N$2:$N$1500,MATCH(MAX(COUNTIF($N$2:$N$1500,$N$2:$N$1500)),COUNTIF($N$2:$N$1500,$N$2:$N$1500),0)),N570)</f>
        <v>Credit Card</v>
      </c>
      <c r="P570" s="38" cm="1">
        <f t="array" ref="P570">ROUND(IF(TRIM(H570)="",IFERROR(MEDIAN(IF($M$2:$M$1500=M570,$H$2:$H$1500)),MEDIAN($H$2:$H$1500)),H570),2)</f>
        <v>12.29</v>
      </c>
      <c r="Q570" s="38" t="str">
        <f t="shared" si="51"/>
        <v>1</v>
      </c>
      <c r="R570" s="39" cm="1">
        <f t="array" ref="R570">IF(OR(TRIM(J570)="",TRIM(J570)="-"),MEDIAN(IF($C$2:$C$1218=C570,$J$2:$J$1218)),VALUE(SUBSTITUTE(SUBSTITUTE(SUBSTITUTE(J570,"Rs. ",""),"₹",""),",","")))</f>
        <v>8747</v>
      </c>
      <c r="S570" s="40">
        <f t="shared" si="49"/>
        <v>0</v>
      </c>
      <c r="T570" s="41">
        <f t="shared" si="52"/>
        <v>0</v>
      </c>
      <c r="U570" s="42">
        <f t="shared" si="53"/>
        <v>8747</v>
      </c>
    </row>
    <row r="571" spans="1:21" x14ac:dyDescent="0.3">
      <c r="A571" s="37" t="s">
        <v>3783</v>
      </c>
      <c r="B571" s="37" t="s">
        <v>3746</v>
      </c>
      <c r="C571" s="37" t="s">
        <v>2454</v>
      </c>
      <c r="D571" s="37" t="s">
        <v>78</v>
      </c>
      <c r="E571" s="37" t="s">
        <v>203</v>
      </c>
      <c r="F571" s="37" t="s">
        <v>19</v>
      </c>
      <c r="G571" s="37" t="s">
        <v>2477</v>
      </c>
      <c r="H571" s="37">
        <v>9.86</v>
      </c>
      <c r="I571" s="37">
        <v>1</v>
      </c>
      <c r="J571" s="37" t="s">
        <v>3784</v>
      </c>
      <c r="K571" s="37" t="s">
        <v>91</v>
      </c>
      <c r="L571" s="37">
        <v>0</v>
      </c>
      <c r="M571" s="37" t="str">
        <f t="shared" si="50"/>
        <v>General</v>
      </c>
      <c r="N571" s="37" t="str">
        <f t="shared" si="48"/>
        <v>Debit Card</v>
      </c>
      <c r="O571" s="37" t="str" cm="1">
        <f t="array" ref="O571">IF(TRIM(N571)="",INDEX($N$2:$N$1500,MATCH(MAX(COUNTIF($N$2:$N$1500,$N$2:$N$1500)),COUNTIF($N$2:$N$1500,$N$2:$N$1500),0)),N571)</f>
        <v>Debit Card</v>
      </c>
      <c r="P571" s="38" cm="1">
        <f t="array" ref="P571">ROUND(IF(TRIM(H571)="",IFERROR(MEDIAN(IF($M$2:$M$1500=M571,$H$2:$H$1500)),MEDIAN($H$2:$H$1500)),H571),2)</f>
        <v>9.86</v>
      </c>
      <c r="Q571" s="38" t="str">
        <f t="shared" si="51"/>
        <v>0</v>
      </c>
      <c r="R571" s="39" cm="1">
        <f t="array" ref="R571">IF(OR(TRIM(J571)="",TRIM(J571)="-"),MEDIAN(IF($C$2:$C$1218=C571,$J$2:$J$1218)),VALUE(SUBSTITUTE(SUBSTITUTE(SUBSTITUTE(J571,"Rs. ",""),"₹",""),",","")))</f>
        <v>6201</v>
      </c>
      <c r="S571" s="40">
        <f t="shared" si="49"/>
        <v>0</v>
      </c>
      <c r="T571" s="41">
        <f t="shared" si="52"/>
        <v>0</v>
      </c>
      <c r="U571" s="42">
        <f t="shared" si="53"/>
        <v>6201</v>
      </c>
    </row>
    <row r="572" spans="1:21" x14ac:dyDescent="0.3">
      <c r="A572" s="37" t="s">
        <v>3785</v>
      </c>
      <c r="B572" s="37" t="s">
        <v>3786</v>
      </c>
      <c r="C572" s="37" t="s">
        <v>2431</v>
      </c>
      <c r="D572" s="37" t="s">
        <v>106</v>
      </c>
      <c r="E572" s="37" t="s">
        <v>107</v>
      </c>
      <c r="F572" s="37" t="s">
        <v>19</v>
      </c>
      <c r="G572" s="37" t="s">
        <v>2746</v>
      </c>
      <c r="H572" s="37">
        <v>24.82</v>
      </c>
      <c r="I572" s="37">
        <v>27</v>
      </c>
      <c r="J572" s="37">
        <v>12318</v>
      </c>
      <c r="K572" s="37" t="s">
        <v>149</v>
      </c>
      <c r="L572" s="37"/>
      <c r="M572" s="37" t="str">
        <f t="shared" si="50"/>
        <v>General</v>
      </c>
      <c r="N572" s="37" t="str">
        <f t="shared" si="48"/>
        <v>Insurance</v>
      </c>
      <c r="O572" s="37" t="str" cm="1">
        <f t="array" ref="O572">IF(TRIM(N572)="",INDEX($N$2:$N$1500,MATCH(MAX(COUNTIF($N$2:$N$1500,$N$2:$N$1500)),COUNTIF($N$2:$N$1500,$N$2:$N$1500),0)),N572)</f>
        <v>Insurance</v>
      </c>
      <c r="P572" s="38" cm="1">
        <f t="array" ref="P572">ROUND(IF(TRIM(H572)="",IFERROR(MEDIAN(IF($M$2:$M$1500=M572,$H$2:$H$1500)),MEDIAN($H$2:$H$1500)),H572),2)</f>
        <v>24.82</v>
      </c>
      <c r="Q572" s="38" t="str">
        <f t="shared" si="51"/>
        <v>2</v>
      </c>
      <c r="R572" s="39" cm="1">
        <f t="array" ref="R572">IF(OR(TRIM(J572)="",TRIM(J572)="-"),MEDIAN(IF($C$2:$C$1218=C572,$J$2:$J$1218)),VALUE(SUBSTITUTE(SUBSTITUTE(SUBSTITUTE(J572,"Rs. ",""),"₹",""),",","")))</f>
        <v>12318</v>
      </c>
      <c r="S572" s="40">
        <f t="shared" si="49"/>
        <v>0</v>
      </c>
      <c r="T572" s="41">
        <f t="shared" si="52"/>
        <v>0</v>
      </c>
      <c r="U572" s="42">
        <f t="shared" si="53"/>
        <v>12318</v>
      </c>
    </row>
    <row r="573" spans="1:21" x14ac:dyDescent="0.3">
      <c r="A573" s="37" t="s">
        <v>3787</v>
      </c>
      <c r="B573" s="37" t="s">
        <v>3788</v>
      </c>
      <c r="C573" s="37" t="s">
        <v>2411</v>
      </c>
      <c r="D573" s="37" t="s">
        <v>78</v>
      </c>
      <c r="E573" s="37" t="s">
        <v>79</v>
      </c>
      <c r="F573" s="37" t="s">
        <v>62</v>
      </c>
      <c r="G573" s="37" t="s">
        <v>2455</v>
      </c>
      <c r="H573" s="37">
        <v>19.82</v>
      </c>
      <c r="I573" s="37">
        <v>43</v>
      </c>
      <c r="J573" s="37">
        <v>79549</v>
      </c>
      <c r="K573" s="37" t="s">
        <v>34</v>
      </c>
      <c r="L573" s="37" t="s">
        <v>140</v>
      </c>
      <c r="M573" s="37" t="str">
        <f t="shared" si="50"/>
        <v>ICU</v>
      </c>
      <c r="N573" s="37" t="str">
        <f t="shared" si="48"/>
        <v>Cash</v>
      </c>
      <c r="O573" s="37" t="str" cm="1">
        <f t="array" ref="O573">IF(TRIM(N573)="",INDEX($N$2:$N$1500,MATCH(MAX(COUNTIF($N$2:$N$1500,$N$2:$N$1500)),COUNTIF($N$2:$N$1500,$N$2:$N$1500),0)),N573)</f>
        <v>Cash</v>
      </c>
      <c r="P573" s="38" cm="1">
        <f t="array" ref="P573">ROUND(IF(TRIM(H573)="",IFERROR(MEDIAN(IF($M$2:$M$1500=M573,$H$2:$H$1500)),MEDIAN($H$2:$H$1500)),H573),2)</f>
        <v>19.82</v>
      </c>
      <c r="Q573" s="38" t="str">
        <f t="shared" si="51"/>
        <v>1</v>
      </c>
      <c r="R573" s="39" cm="1">
        <f t="array" ref="R573">IF(OR(TRIM(J573)="",TRIM(J573)="-"),MEDIAN(IF($C$2:$C$1218=C573,$J$2:$J$1218)),VALUE(SUBSTITUTE(SUBSTITUTE(SUBSTITUTE(J573,"Rs. ",""),"₹",""),",","")))</f>
        <v>79549</v>
      </c>
      <c r="S573" s="40" t="str">
        <f t="shared" si="49"/>
        <v>-</v>
      </c>
      <c r="T573" s="41">
        <f t="shared" si="52"/>
        <v>2</v>
      </c>
      <c r="U573" s="42">
        <f t="shared" si="53"/>
        <v>77958</v>
      </c>
    </row>
    <row r="574" spans="1:21" x14ac:dyDescent="0.3">
      <c r="A574" s="37" t="s">
        <v>3789</v>
      </c>
      <c r="B574" s="37" t="s">
        <v>3790</v>
      </c>
      <c r="C574" s="37" t="s">
        <v>2466</v>
      </c>
      <c r="D574" s="37" t="s">
        <v>106</v>
      </c>
      <c r="E574" s="37" t="s">
        <v>107</v>
      </c>
      <c r="F574" s="37" t="s">
        <v>30</v>
      </c>
      <c r="G574" s="37" t="s">
        <v>2450</v>
      </c>
      <c r="H574" s="37">
        <v>16.079999999999998</v>
      </c>
      <c r="I574" s="37">
        <v>51</v>
      </c>
      <c r="J574" s="37">
        <v>8263</v>
      </c>
      <c r="K574" s="37" t="s">
        <v>97</v>
      </c>
      <c r="L574" s="37" t="s">
        <v>130</v>
      </c>
      <c r="M574" s="37" t="str">
        <f t="shared" si="50"/>
        <v>General</v>
      </c>
      <c r="N574" s="37" t="str">
        <f t="shared" si="48"/>
        <v>UPI</v>
      </c>
      <c r="O574" s="37" t="str" cm="1">
        <f t="array" ref="O574">IF(TRIM(N574)="",INDEX($N$2:$N$1500,MATCH(MAX(COUNTIF($N$2:$N$1500,$N$2:$N$1500)),COUNTIF($N$2:$N$1500,$N$2:$N$1500),0)),N574)</f>
        <v>UPI</v>
      </c>
      <c r="P574" s="38" cm="1">
        <f t="array" ref="P574">ROUND(IF(TRIM(H574)="",IFERROR(MEDIAN(IF($M$2:$M$1500=M574,$H$2:$H$1500)),MEDIAN($H$2:$H$1500)),H574),2)</f>
        <v>16.079999999999998</v>
      </c>
      <c r="Q574" s="38" t="str">
        <f t="shared" si="51"/>
        <v>1</v>
      </c>
      <c r="R574" s="39" cm="1">
        <f t="array" ref="R574">IF(OR(TRIM(J574)="",TRIM(J574)="-"),MEDIAN(IF($C$2:$C$1218=C574,$J$2:$J$1218)),VALUE(SUBSTITUTE(SUBSTITUTE(SUBSTITUTE(J574,"Rs. ",""),"₹",""),",","")))</f>
        <v>8263</v>
      </c>
      <c r="S574" s="40">
        <f t="shared" si="49"/>
        <v>0</v>
      </c>
      <c r="T574" s="41">
        <f t="shared" si="52"/>
        <v>0</v>
      </c>
      <c r="U574" s="42">
        <f t="shared" si="53"/>
        <v>8263</v>
      </c>
    </row>
    <row r="575" spans="1:21" x14ac:dyDescent="0.3">
      <c r="A575" s="37" t="s">
        <v>3791</v>
      </c>
      <c r="B575" s="37" t="s">
        <v>3792</v>
      </c>
      <c r="C575" s="37" t="s">
        <v>2518</v>
      </c>
      <c r="D575" s="37" t="s">
        <v>78</v>
      </c>
      <c r="E575" s="37" t="s">
        <v>203</v>
      </c>
      <c r="F575" s="37" t="s">
        <v>101</v>
      </c>
      <c r="G575" s="37" t="s">
        <v>2412</v>
      </c>
      <c r="H575" s="37">
        <v>3.84</v>
      </c>
      <c r="I575" s="37">
        <v>33</v>
      </c>
      <c r="J575" s="37">
        <v>53210</v>
      </c>
      <c r="K575" s="37" t="s">
        <v>104</v>
      </c>
      <c r="L575" s="37">
        <v>25</v>
      </c>
      <c r="M575" s="37" t="str">
        <f t="shared" si="50"/>
        <v>ICU</v>
      </c>
      <c r="N575" s="37" t="str">
        <f t="shared" si="48"/>
        <v>Insurance</v>
      </c>
      <c r="O575" s="37" t="str" cm="1">
        <f t="array" ref="O575">IF(TRIM(N575)="",INDEX($N$2:$N$1500,MATCH(MAX(COUNTIF($N$2:$N$1500,$N$2:$N$1500)),COUNTIF($N$2:$N$1500,$N$2:$N$1500),0)),N575)</f>
        <v>Insurance</v>
      </c>
      <c r="P575" s="38" cm="1">
        <f t="array" ref="P575">ROUND(IF(TRIM(H575)="",IFERROR(MEDIAN(IF($M$2:$M$1500=M575,$H$2:$H$1500)),MEDIAN($H$2:$H$1500)),H575),2)</f>
        <v>3.84</v>
      </c>
      <c r="Q575" s="38" t="str">
        <f t="shared" si="51"/>
        <v>1</v>
      </c>
      <c r="R575" s="39" cm="1">
        <f t="array" ref="R575">IF(OR(TRIM(J575)="",TRIM(J575)="-"),MEDIAN(IF($C$2:$C$1218=C575,$J$2:$J$1218)),VALUE(SUBSTITUTE(SUBSTITUTE(SUBSTITUTE(J575,"Rs. ",""),"₹",""),",","")))</f>
        <v>53210</v>
      </c>
      <c r="S575" s="40">
        <f t="shared" si="49"/>
        <v>25</v>
      </c>
      <c r="T575" s="41">
        <f t="shared" si="52"/>
        <v>25</v>
      </c>
      <c r="U575" s="42">
        <f t="shared" si="53"/>
        <v>39908</v>
      </c>
    </row>
    <row r="576" spans="1:21" x14ac:dyDescent="0.3">
      <c r="A576" s="37" t="s">
        <v>3793</v>
      </c>
      <c r="B576" s="37" t="s">
        <v>3794</v>
      </c>
      <c r="C576" s="37" t="s">
        <v>2561</v>
      </c>
      <c r="D576" s="37" t="s">
        <v>45</v>
      </c>
      <c r="E576" s="37" t="s">
        <v>46</v>
      </c>
      <c r="F576" s="37" t="s">
        <v>39</v>
      </c>
      <c r="G576" s="37" t="s">
        <v>2408</v>
      </c>
      <c r="H576" s="37">
        <v>23.88</v>
      </c>
      <c r="I576" s="37">
        <v>2</v>
      </c>
      <c r="J576" s="37">
        <v>10643</v>
      </c>
      <c r="K576" s="37" t="s">
        <v>87</v>
      </c>
      <c r="L576" s="37">
        <v>0.05</v>
      </c>
      <c r="M576" s="37" t="str">
        <f t="shared" si="50"/>
        <v>General</v>
      </c>
      <c r="N576" s="37" t="str">
        <f t="shared" si="48"/>
        <v>Credit Card</v>
      </c>
      <c r="O576" s="37" t="str" cm="1">
        <f t="array" ref="O576">IF(TRIM(N576)="",INDEX($N$2:$N$1500,MATCH(MAX(COUNTIF($N$2:$N$1500,$N$2:$N$1500)),COUNTIF($N$2:$N$1500,$N$2:$N$1500),0)),N576)</f>
        <v>Credit Card</v>
      </c>
      <c r="P576" s="38" cm="1">
        <f t="array" ref="P576">ROUND(IF(TRIM(H576)="",IFERROR(MEDIAN(IF($M$2:$M$1500=M576,$H$2:$H$1500)),MEDIAN($H$2:$H$1500)),H576),2)</f>
        <v>23.88</v>
      </c>
      <c r="Q576" s="38" t="str">
        <f t="shared" si="51"/>
        <v>0</v>
      </c>
      <c r="R576" s="39" cm="1">
        <f t="array" ref="R576">IF(OR(TRIM(J576)="",TRIM(J576)="-"),MEDIAN(IF($C$2:$C$1218=C576,$J$2:$J$1218)),VALUE(SUBSTITUTE(SUBSTITUTE(SUBSTITUTE(J576,"Rs. ",""),"₹",""),",","")))</f>
        <v>10643</v>
      </c>
      <c r="S576" s="40">
        <f t="shared" si="49"/>
        <v>0.05</v>
      </c>
      <c r="T576" s="41">
        <f t="shared" si="52"/>
        <v>0</v>
      </c>
      <c r="U576" s="42">
        <f t="shared" si="53"/>
        <v>10643</v>
      </c>
    </row>
    <row r="577" spans="1:21" x14ac:dyDescent="0.3">
      <c r="A577" s="37" t="s">
        <v>3795</v>
      </c>
      <c r="B577" s="37" t="s">
        <v>3796</v>
      </c>
      <c r="C577" s="37" t="s">
        <v>2577</v>
      </c>
      <c r="D577" s="37" t="s">
        <v>25</v>
      </c>
      <c r="E577" s="37" t="s">
        <v>54</v>
      </c>
      <c r="F577" s="37" t="s">
        <v>62</v>
      </c>
      <c r="G577" s="37" t="s">
        <v>2408</v>
      </c>
      <c r="H577" s="37"/>
      <c r="I577" s="37">
        <v>37</v>
      </c>
      <c r="J577" s="37">
        <v>21149</v>
      </c>
      <c r="K577" s="37" t="s">
        <v>52</v>
      </c>
      <c r="L577" s="37">
        <v>5</v>
      </c>
      <c r="M577" s="37" t="str">
        <f t="shared" si="50"/>
        <v>ICU</v>
      </c>
      <c r="N577" s="37" t="str">
        <f t="shared" si="48"/>
        <v>Credit Card</v>
      </c>
      <c r="O577" s="37" t="str" cm="1">
        <f t="array" ref="O577">IF(TRIM(N577)="",INDEX($N$2:$N$1500,MATCH(MAX(COUNTIF($N$2:$N$1500,$N$2:$N$1500)),COUNTIF($N$2:$N$1500,$N$2:$N$1500),0)),N577)</f>
        <v>Credit Card</v>
      </c>
      <c r="P577" s="38" cm="1">
        <f t="array" ref="P577">ROUND(IF(TRIM(H577)="",IFERROR(MEDIAN(IF($M$2:$M$1500=M577,$H$2:$H$1500)),MEDIAN($H$2:$H$1500)),H577),2)</f>
        <v>12.21</v>
      </c>
      <c r="Q577" s="38" t="str">
        <f t="shared" si="51"/>
        <v>0</v>
      </c>
      <c r="R577" s="39" cm="1">
        <f t="array" ref="R577">IF(OR(TRIM(J577)="",TRIM(J577)="-"),MEDIAN(IF($C$2:$C$1218=C577,$J$2:$J$1218)),VALUE(SUBSTITUTE(SUBSTITUTE(SUBSTITUTE(J577,"Rs. ",""),"₹",""),",","")))</f>
        <v>21149</v>
      </c>
      <c r="S577" s="40">
        <f t="shared" si="49"/>
        <v>5</v>
      </c>
      <c r="T577" s="41">
        <f t="shared" si="52"/>
        <v>5</v>
      </c>
      <c r="U577" s="42">
        <f t="shared" si="53"/>
        <v>20092</v>
      </c>
    </row>
    <row r="578" spans="1:21" x14ac:dyDescent="0.3">
      <c r="A578" s="37" t="s">
        <v>3797</v>
      </c>
      <c r="B578" s="37" t="s">
        <v>3798</v>
      </c>
      <c r="C578" s="37" t="s">
        <v>2490</v>
      </c>
      <c r="D578" s="37" t="s">
        <v>117</v>
      </c>
      <c r="E578" s="37" t="s">
        <v>118</v>
      </c>
      <c r="F578" s="37" t="s">
        <v>30</v>
      </c>
      <c r="G578" s="37" t="s">
        <v>2423</v>
      </c>
      <c r="H578" s="37">
        <v>11.23</v>
      </c>
      <c r="I578" s="37">
        <v>14</v>
      </c>
      <c r="J578" s="37">
        <v>7278</v>
      </c>
      <c r="K578" s="37" t="s">
        <v>115</v>
      </c>
      <c r="L578" s="37" t="s">
        <v>130</v>
      </c>
      <c r="M578" s="37" t="str">
        <f t="shared" si="50"/>
        <v>General</v>
      </c>
      <c r="N578" s="37" t="str">
        <f t="shared" ref="N578:N641" si="54">IF(OR(UPPER(TRIM(K578))="CREDIT_CARD",UPPER(TRIM(K578))="CREDIT CARD",UPPER(TRIM(K578))="CC"),"Credit Card", IF(OR(UPPER(TRIM(K578))="DEBIT_CARD",UPPER(TRIM(K578))="DEBIT CARD",UPPER(TRIM(K578))="DC"),"Debit Card", IF(UPPER(TRIM(K578))="CASH","Cash", IF(UPPER(TRIM(K578))="UPI","UPI", IF(OR(UPPER(TRIM(K578))="INSURANCE",UPPER(TRIM(K578))="INS"),"Insurance", IF(TRIM(K578)="","Unknown","Unknown"))))))</f>
        <v>Cash</v>
      </c>
      <c r="O578" s="37" t="str" cm="1">
        <f t="array" ref="O578">IF(TRIM(N578)="",INDEX($N$2:$N$1500,MATCH(MAX(COUNTIF($N$2:$N$1500,$N$2:$N$1500)),COUNTIF($N$2:$N$1500,$N$2:$N$1500),0)),N578)</f>
        <v>Cash</v>
      </c>
      <c r="P578" s="38" cm="1">
        <f t="array" ref="P578">ROUND(IF(TRIM(H578)="",IFERROR(MEDIAN(IF($M$2:$M$1500=M578,$H$2:$H$1500)),MEDIAN($H$2:$H$1500)),H578),2)</f>
        <v>11.23</v>
      </c>
      <c r="Q578" s="38" t="str">
        <f t="shared" si="51"/>
        <v>0</v>
      </c>
      <c r="R578" s="39" cm="1">
        <f t="array" ref="R578">IF(OR(TRIM(J578)="",TRIM(J578)="-"),MEDIAN(IF($C$2:$C$1218=C578,$J$2:$J$1218)),VALUE(SUBSTITUTE(SUBSTITUTE(SUBSTITUTE(J578,"Rs. ",""),"₹",""),",","")))</f>
        <v>7278</v>
      </c>
      <c r="S578" s="40">
        <f t="shared" ref="S578:S641" si="55">IF(RIGHT(TRIM(L578),1)="%",VALUE(LEFT(TRIM(L578),LEN(TRIM(L578))-1)),IF(AND(ISNUMBER(L578),L578&lt;=1,,L578&gt;0),L578*100,L578))</f>
        <v>0</v>
      </c>
      <c r="T578" s="41">
        <f t="shared" si="52"/>
        <v>0</v>
      </c>
      <c r="U578" s="42">
        <f t="shared" si="53"/>
        <v>7278</v>
      </c>
    </row>
    <row r="579" spans="1:21" x14ac:dyDescent="0.3">
      <c r="A579" s="37" t="s">
        <v>3799</v>
      </c>
      <c r="B579" s="37" t="s">
        <v>3079</v>
      </c>
      <c r="C579" s="37" t="s">
        <v>2485</v>
      </c>
      <c r="D579" s="37" t="s">
        <v>106</v>
      </c>
      <c r="E579" s="37" t="s">
        <v>307</v>
      </c>
      <c r="F579" s="37" t="s">
        <v>49</v>
      </c>
      <c r="G579" s="37" t="s">
        <v>2477</v>
      </c>
      <c r="H579" s="37">
        <v>3.24</v>
      </c>
      <c r="I579" s="37">
        <v>49</v>
      </c>
      <c r="J579" s="37" t="s">
        <v>3800</v>
      </c>
      <c r="K579" s="37" t="s">
        <v>72</v>
      </c>
      <c r="L579" s="37" t="s">
        <v>130</v>
      </c>
      <c r="M579" s="37" t="str">
        <f t="shared" ref="M579:M642" si="56">IF(OR(UPPER(TRIM(F579))="GENERAL",UPPER(TRIM(F579))="GENRAL"),"General",IF(UPPER(TRIM(F579))="ICU","ICU","Unknown"))</f>
        <v>General</v>
      </c>
      <c r="N579" s="37" t="str">
        <f t="shared" si="54"/>
        <v>Cash</v>
      </c>
      <c r="O579" s="37" t="str" cm="1">
        <f t="array" ref="O579">IF(TRIM(N579)="",INDEX($N$2:$N$1500,MATCH(MAX(COUNTIF($N$2:$N$1500,$N$2:$N$1500)),COUNTIF($N$2:$N$1500,$N$2:$N$1500),0)),N579)</f>
        <v>Cash</v>
      </c>
      <c r="P579" s="38" cm="1">
        <f t="array" ref="P579">ROUND(IF(TRIM(H579)="",IFERROR(MEDIAN(IF($M$2:$M$1500=M579,$H$2:$H$1500)),MEDIAN($H$2:$H$1500)),H579),2)</f>
        <v>3.24</v>
      </c>
      <c r="Q579" s="38" t="str">
        <f t="shared" ref="Q579:Q642" si="57">IF(OR(LOWER(TRIM(G579))="0",LOWER(TRIM(G579))="zero"),"0", IF(OR(LOWER(TRIM(G579))="1",LOWER(TRIM(G579))="one"),"1", IF(OR(LOWER(TRIM(G579))="2",LOWER(TRIM(G579))="two"),"2", IF(OR(LOWER(TRIM(G579))="2+",LOWER(TRIM(G579))="two_or_more",LOWER(TRIM(G579))="multiple"),"2+", "Unknown"))))</f>
        <v>0</v>
      </c>
      <c r="R579" s="39" cm="1">
        <f t="array" ref="R579">IF(OR(TRIM(J579)="",TRIM(J579)="-"),MEDIAN(IF($C$2:$C$1218=C579,$J$2:$J$1218)),VALUE(SUBSTITUTE(SUBSTITUTE(SUBSTITUTE(J579,"Rs. ",""),"₹",""),",","")))</f>
        <v>17146</v>
      </c>
      <c r="S579" s="40">
        <f t="shared" si="55"/>
        <v>0</v>
      </c>
      <c r="T579" s="41">
        <f t="shared" ref="T579:T642" si="58">ROUND(IF(OR(TRIM(S579)="-",UPPER(TRIM(S579))="N/A",UPPER(TRIM(S579))="NA"),IFERROR(AVERAGEIF($O$2:$O$1500,O579,$S$2:$S$1500),AVERAGE($S$2:$S$1500)),S579),0)</f>
        <v>0</v>
      </c>
      <c r="U579" s="42">
        <f t="shared" ref="U579:U642" si="59">ROUND(R579*(1-T579/100),0)</f>
        <v>17146</v>
      </c>
    </row>
    <row r="580" spans="1:21" x14ac:dyDescent="0.3">
      <c r="A580" s="37" t="s">
        <v>3801</v>
      </c>
      <c r="B580" s="37" t="s">
        <v>2749</v>
      </c>
      <c r="C580" s="37" t="s">
        <v>2481</v>
      </c>
      <c r="D580" s="37" t="s">
        <v>117</v>
      </c>
      <c r="E580" s="37" t="s">
        <v>182</v>
      </c>
      <c r="F580" s="37" t="s">
        <v>49</v>
      </c>
      <c r="G580" s="37" t="s">
        <v>2455</v>
      </c>
      <c r="H580" s="37">
        <v>3.93</v>
      </c>
      <c r="I580" s="37">
        <v>2</v>
      </c>
      <c r="J580" s="37" t="s">
        <v>3802</v>
      </c>
      <c r="K580" s="37" t="s">
        <v>72</v>
      </c>
      <c r="L580" s="37">
        <v>0</v>
      </c>
      <c r="M580" s="37" t="str">
        <f t="shared" si="56"/>
        <v>General</v>
      </c>
      <c r="N580" s="37" t="str">
        <f t="shared" si="54"/>
        <v>Cash</v>
      </c>
      <c r="O580" s="37" t="str" cm="1">
        <f t="array" ref="O580">IF(TRIM(N580)="",INDEX($N$2:$N$1500,MATCH(MAX(COUNTIF($N$2:$N$1500,$N$2:$N$1500)),COUNTIF($N$2:$N$1500,$N$2:$N$1500),0)),N580)</f>
        <v>Cash</v>
      </c>
      <c r="P580" s="38" cm="1">
        <f t="array" ref="P580">ROUND(IF(TRIM(H580)="",IFERROR(MEDIAN(IF($M$2:$M$1500=M580,$H$2:$H$1500)),MEDIAN($H$2:$H$1500)),H580),2)</f>
        <v>3.93</v>
      </c>
      <c r="Q580" s="38" t="str">
        <f t="shared" si="57"/>
        <v>1</v>
      </c>
      <c r="R580" s="39" cm="1">
        <f t="array" ref="R580">IF(OR(TRIM(J580)="",TRIM(J580)="-"),MEDIAN(IF($C$2:$C$1218=C580,$J$2:$J$1218)),VALUE(SUBSTITUTE(SUBSTITUTE(SUBSTITUTE(J580,"Rs. ",""),"₹",""),",","")))</f>
        <v>18670</v>
      </c>
      <c r="S580" s="40">
        <f t="shared" si="55"/>
        <v>0</v>
      </c>
      <c r="T580" s="41">
        <f t="shared" si="58"/>
        <v>0</v>
      </c>
      <c r="U580" s="42">
        <f t="shared" si="59"/>
        <v>18670</v>
      </c>
    </row>
    <row r="581" spans="1:21" x14ac:dyDescent="0.3">
      <c r="A581" s="37" t="s">
        <v>3803</v>
      </c>
      <c r="B581" s="37" t="s">
        <v>3804</v>
      </c>
      <c r="C581" s="37" t="s">
        <v>2629</v>
      </c>
      <c r="D581" s="37" t="s">
        <v>14</v>
      </c>
      <c r="E581" s="37" t="s">
        <v>60</v>
      </c>
      <c r="F581" s="37" t="s">
        <v>19</v>
      </c>
      <c r="G581" s="37" t="s">
        <v>2455</v>
      </c>
      <c r="H581" s="37">
        <v>23.36</v>
      </c>
      <c r="I581" s="37">
        <v>20</v>
      </c>
      <c r="J581" s="37" t="s">
        <v>3805</v>
      </c>
      <c r="K581" s="37" t="s">
        <v>97</v>
      </c>
      <c r="L581" s="37">
        <v>5</v>
      </c>
      <c r="M581" s="37" t="str">
        <f t="shared" si="56"/>
        <v>General</v>
      </c>
      <c r="N581" s="37" t="str">
        <f t="shared" si="54"/>
        <v>UPI</v>
      </c>
      <c r="O581" s="37" t="str" cm="1">
        <f t="array" ref="O581">IF(TRIM(N581)="",INDEX($N$2:$N$1500,MATCH(MAX(COUNTIF($N$2:$N$1500,$N$2:$N$1500)),COUNTIF($N$2:$N$1500,$N$2:$N$1500),0)),N581)</f>
        <v>UPI</v>
      </c>
      <c r="P581" s="38" cm="1">
        <f t="array" ref="P581">ROUND(IF(TRIM(H581)="",IFERROR(MEDIAN(IF($M$2:$M$1500=M581,$H$2:$H$1500)),MEDIAN($H$2:$H$1500)),H581),2)</f>
        <v>23.36</v>
      </c>
      <c r="Q581" s="38" t="str">
        <f t="shared" si="57"/>
        <v>1</v>
      </c>
      <c r="R581" s="39" cm="1">
        <f t="array" ref="R581">IF(OR(TRIM(J581)="",TRIM(J581)="-"),MEDIAN(IF($C$2:$C$1218=C581,$J$2:$J$1218)),VALUE(SUBSTITUTE(SUBSTITUTE(SUBSTITUTE(J581,"Rs. ",""),"₹",""),",","")))</f>
        <v>14171</v>
      </c>
      <c r="S581" s="40">
        <f t="shared" si="55"/>
        <v>5</v>
      </c>
      <c r="T581" s="41">
        <f t="shared" si="58"/>
        <v>5</v>
      </c>
      <c r="U581" s="42">
        <f t="shared" si="59"/>
        <v>13462</v>
      </c>
    </row>
    <row r="582" spans="1:21" x14ac:dyDescent="0.3">
      <c r="A582" s="37" t="s">
        <v>3806</v>
      </c>
      <c r="B582" s="37" t="s">
        <v>3807</v>
      </c>
      <c r="C582" s="37" t="s">
        <v>2518</v>
      </c>
      <c r="D582" s="37" t="s">
        <v>106</v>
      </c>
      <c r="E582" s="37" t="s">
        <v>107</v>
      </c>
      <c r="F582" s="37" t="s">
        <v>39</v>
      </c>
      <c r="G582" s="37" t="s">
        <v>2423</v>
      </c>
      <c r="H582" s="37">
        <v>8.7799999999999994</v>
      </c>
      <c r="I582" s="37" t="s">
        <v>140</v>
      </c>
      <c r="J582" s="37" t="s">
        <v>3808</v>
      </c>
      <c r="K582" s="37" t="s">
        <v>87</v>
      </c>
      <c r="L582" s="37" t="s">
        <v>198</v>
      </c>
      <c r="M582" s="37" t="str">
        <f t="shared" si="56"/>
        <v>General</v>
      </c>
      <c r="N582" s="37" t="str">
        <f t="shared" si="54"/>
        <v>Credit Card</v>
      </c>
      <c r="O582" s="37" t="str" cm="1">
        <f t="array" ref="O582">IF(TRIM(N582)="",INDEX($N$2:$N$1500,MATCH(MAX(COUNTIF($N$2:$N$1500,$N$2:$N$1500)),COUNTIF($N$2:$N$1500,$N$2:$N$1500),0)),N582)</f>
        <v>Credit Card</v>
      </c>
      <c r="P582" s="38" cm="1">
        <f t="array" ref="P582">ROUND(IF(TRIM(H582)="",IFERROR(MEDIAN(IF($M$2:$M$1500=M582,$H$2:$H$1500)),MEDIAN($H$2:$H$1500)),H582),2)</f>
        <v>8.7799999999999994</v>
      </c>
      <c r="Q582" s="38" t="str">
        <f t="shared" si="57"/>
        <v>0</v>
      </c>
      <c r="R582" s="39" cm="1">
        <f t="array" ref="R582">IF(OR(TRIM(J582)="",TRIM(J582)="-"),MEDIAN(IF($C$2:$C$1218=C582,$J$2:$J$1218)),VALUE(SUBSTITUTE(SUBSTITUTE(SUBSTITUTE(J582,"Rs. ",""),"₹",""),",","")))</f>
        <v>7490</v>
      </c>
      <c r="S582" s="40">
        <f t="shared" si="55"/>
        <v>5</v>
      </c>
      <c r="T582" s="41">
        <f t="shared" si="58"/>
        <v>5</v>
      </c>
      <c r="U582" s="42">
        <f t="shared" si="59"/>
        <v>7116</v>
      </c>
    </row>
    <row r="583" spans="1:21" x14ac:dyDescent="0.3">
      <c r="A583" s="37" t="s">
        <v>3809</v>
      </c>
      <c r="B583" s="37" t="s">
        <v>3810</v>
      </c>
      <c r="C583" s="37" t="s">
        <v>2459</v>
      </c>
      <c r="D583" s="37" t="s">
        <v>25</v>
      </c>
      <c r="E583" s="37" t="s">
        <v>54</v>
      </c>
      <c r="F583" s="37" t="s">
        <v>30</v>
      </c>
      <c r="G583" s="37" t="s">
        <v>2408</v>
      </c>
      <c r="H583" s="37">
        <v>5.64</v>
      </c>
      <c r="I583" s="37">
        <v>46</v>
      </c>
      <c r="J583" s="37" t="s">
        <v>3811</v>
      </c>
      <c r="K583" s="37" t="s">
        <v>52</v>
      </c>
      <c r="L583" s="37">
        <v>0</v>
      </c>
      <c r="M583" s="37" t="str">
        <f t="shared" si="56"/>
        <v>General</v>
      </c>
      <c r="N583" s="37" t="str">
        <f t="shared" si="54"/>
        <v>Credit Card</v>
      </c>
      <c r="O583" s="37" t="str" cm="1">
        <f t="array" ref="O583">IF(TRIM(N583)="",INDEX($N$2:$N$1500,MATCH(MAX(COUNTIF($N$2:$N$1500,$N$2:$N$1500)),COUNTIF($N$2:$N$1500,$N$2:$N$1500),0)),N583)</f>
        <v>Credit Card</v>
      </c>
      <c r="P583" s="38" cm="1">
        <f t="array" ref="P583">ROUND(IF(TRIM(H583)="",IFERROR(MEDIAN(IF($M$2:$M$1500=M583,$H$2:$H$1500)),MEDIAN($H$2:$H$1500)),H583),2)</f>
        <v>5.64</v>
      </c>
      <c r="Q583" s="38" t="str">
        <f t="shared" si="57"/>
        <v>0</v>
      </c>
      <c r="R583" s="39" cm="1">
        <f t="array" ref="R583">IF(OR(TRIM(J583)="",TRIM(J583)="-"),MEDIAN(IF($C$2:$C$1218=C583,$J$2:$J$1218)),VALUE(SUBSTITUTE(SUBSTITUTE(SUBSTITUTE(J583,"Rs. ",""),"₹",""),",","")))</f>
        <v>7722</v>
      </c>
      <c r="S583" s="40">
        <f t="shared" si="55"/>
        <v>0</v>
      </c>
      <c r="T583" s="41">
        <f t="shared" si="58"/>
        <v>0</v>
      </c>
      <c r="U583" s="42">
        <f t="shared" si="59"/>
        <v>7722</v>
      </c>
    </row>
    <row r="584" spans="1:21" x14ac:dyDescent="0.3">
      <c r="A584" s="37" t="s">
        <v>3812</v>
      </c>
      <c r="B584" s="37" t="s">
        <v>3813</v>
      </c>
      <c r="C584" s="37" t="s">
        <v>2730</v>
      </c>
      <c r="D584" s="37" t="s">
        <v>78</v>
      </c>
      <c r="E584" s="37" t="s">
        <v>79</v>
      </c>
      <c r="F584" s="37" t="s">
        <v>101</v>
      </c>
      <c r="G584" s="37" t="s">
        <v>2455</v>
      </c>
      <c r="H584" s="37">
        <v>6.47</v>
      </c>
      <c r="I584" s="37">
        <v>60</v>
      </c>
      <c r="J584" s="37"/>
      <c r="K584" s="37" t="s">
        <v>115</v>
      </c>
      <c r="L584" s="37">
        <v>10</v>
      </c>
      <c r="M584" s="37" t="str">
        <f t="shared" si="56"/>
        <v>ICU</v>
      </c>
      <c r="N584" s="37" t="str">
        <f t="shared" si="54"/>
        <v>Cash</v>
      </c>
      <c r="O584" s="37" t="str" cm="1">
        <f t="array" ref="O584">IF(TRIM(N584)="",INDEX($N$2:$N$1500,MATCH(MAX(COUNTIF($N$2:$N$1500,$N$2:$N$1500)),COUNTIF($N$2:$N$1500,$N$2:$N$1500),0)),N584)</f>
        <v>Cash</v>
      </c>
      <c r="P584" s="38" cm="1">
        <f t="array" ref="P584">ROUND(IF(TRIM(H584)="",IFERROR(MEDIAN(IF($M$2:$M$1500=M584,$H$2:$H$1500)),MEDIAN($H$2:$H$1500)),H584),2)</f>
        <v>6.47</v>
      </c>
      <c r="Q584" s="38" t="str">
        <f t="shared" si="57"/>
        <v>1</v>
      </c>
      <c r="R584" s="39" cm="1">
        <f t="array" ref="R584">IF(OR(TRIM(J584)="",TRIM(J584)="-"),MEDIAN(IF($C$2:$C$1218=C584,$J$2:$J$1218)),VALUE(SUBSTITUTE(SUBSTITUTE(SUBSTITUTE(J584,"Rs. ",""),"₹",""),",","")))</f>
        <v>15947</v>
      </c>
      <c r="S584" s="40">
        <f t="shared" si="55"/>
        <v>10</v>
      </c>
      <c r="T584" s="41">
        <f t="shared" si="58"/>
        <v>10</v>
      </c>
      <c r="U584" s="42">
        <f t="shared" si="59"/>
        <v>14352</v>
      </c>
    </row>
    <row r="585" spans="1:21" x14ac:dyDescent="0.3">
      <c r="A585" s="37" t="s">
        <v>3814</v>
      </c>
      <c r="B585" s="37" t="s">
        <v>3815</v>
      </c>
      <c r="C585" s="37" t="s">
        <v>2514</v>
      </c>
      <c r="D585" s="37" t="s">
        <v>78</v>
      </c>
      <c r="E585" s="37" t="s">
        <v>161</v>
      </c>
      <c r="F585" s="37" t="s">
        <v>30</v>
      </c>
      <c r="G585" s="37" t="s">
        <v>2477</v>
      </c>
      <c r="H585" s="37">
        <v>19.12</v>
      </c>
      <c r="I585" s="37">
        <v>33</v>
      </c>
      <c r="J585" s="37" t="s">
        <v>3816</v>
      </c>
      <c r="K585" s="37" t="s">
        <v>211</v>
      </c>
      <c r="L585" s="37">
        <v>0.05</v>
      </c>
      <c r="M585" s="37" t="str">
        <f t="shared" si="56"/>
        <v>General</v>
      </c>
      <c r="N585" s="37" t="str">
        <f t="shared" si="54"/>
        <v>Credit Card</v>
      </c>
      <c r="O585" s="37" t="str" cm="1">
        <f t="array" ref="O585">IF(TRIM(N585)="",INDEX($N$2:$N$1500,MATCH(MAX(COUNTIF($N$2:$N$1500,$N$2:$N$1500)),COUNTIF($N$2:$N$1500,$N$2:$N$1500),0)),N585)</f>
        <v>Credit Card</v>
      </c>
      <c r="P585" s="38" cm="1">
        <f t="array" ref="P585">ROUND(IF(TRIM(H585)="",IFERROR(MEDIAN(IF($M$2:$M$1500=M585,$H$2:$H$1500)),MEDIAN($H$2:$H$1500)),H585),2)</f>
        <v>19.12</v>
      </c>
      <c r="Q585" s="38" t="str">
        <f t="shared" si="57"/>
        <v>0</v>
      </c>
      <c r="R585" s="39" cm="1">
        <f t="array" ref="R585">IF(OR(TRIM(J585)="",TRIM(J585)="-"),MEDIAN(IF($C$2:$C$1218=C585,$J$2:$J$1218)),VALUE(SUBSTITUTE(SUBSTITUTE(SUBSTITUTE(J585,"Rs. ",""),"₹",""),",","")))</f>
        <v>17048</v>
      </c>
      <c r="S585" s="40">
        <f t="shared" si="55"/>
        <v>0.05</v>
      </c>
      <c r="T585" s="41">
        <f t="shared" si="58"/>
        <v>0</v>
      </c>
      <c r="U585" s="42">
        <f t="shared" si="59"/>
        <v>17048</v>
      </c>
    </row>
    <row r="586" spans="1:21" x14ac:dyDescent="0.3">
      <c r="A586" s="37" t="s">
        <v>3817</v>
      </c>
      <c r="B586" s="37" t="s">
        <v>3818</v>
      </c>
      <c r="C586" s="37" t="s">
        <v>2532</v>
      </c>
      <c r="D586" s="37" t="s">
        <v>25</v>
      </c>
      <c r="E586" s="37" t="s">
        <v>54</v>
      </c>
      <c r="F586" s="37" t="s">
        <v>49</v>
      </c>
      <c r="G586" s="37" t="s">
        <v>2408</v>
      </c>
      <c r="H586" s="37">
        <v>13.56</v>
      </c>
      <c r="I586" s="37">
        <v>22</v>
      </c>
      <c r="J586" s="37">
        <v>9288</v>
      </c>
      <c r="K586" s="37" t="s">
        <v>149</v>
      </c>
      <c r="L586" s="37">
        <v>18</v>
      </c>
      <c r="M586" s="37" t="str">
        <f t="shared" si="56"/>
        <v>General</v>
      </c>
      <c r="N586" s="37" t="str">
        <f t="shared" si="54"/>
        <v>Insurance</v>
      </c>
      <c r="O586" s="37" t="str" cm="1">
        <f t="array" ref="O586">IF(TRIM(N586)="",INDEX($N$2:$N$1500,MATCH(MAX(COUNTIF($N$2:$N$1500,$N$2:$N$1500)),COUNTIF($N$2:$N$1500,$N$2:$N$1500),0)),N586)</f>
        <v>Insurance</v>
      </c>
      <c r="P586" s="38" cm="1">
        <f t="array" ref="P586">ROUND(IF(TRIM(H586)="",IFERROR(MEDIAN(IF($M$2:$M$1500=M586,$H$2:$H$1500)),MEDIAN($H$2:$H$1500)),H586),2)</f>
        <v>13.56</v>
      </c>
      <c r="Q586" s="38" t="str">
        <f t="shared" si="57"/>
        <v>0</v>
      </c>
      <c r="R586" s="39" cm="1">
        <f t="array" ref="R586">IF(OR(TRIM(J586)="",TRIM(J586)="-"),MEDIAN(IF($C$2:$C$1218=C586,$J$2:$J$1218)),VALUE(SUBSTITUTE(SUBSTITUTE(SUBSTITUTE(J586,"Rs. ",""),"₹",""),",","")))</f>
        <v>9288</v>
      </c>
      <c r="S586" s="40">
        <f t="shared" si="55"/>
        <v>18</v>
      </c>
      <c r="T586" s="41">
        <f t="shared" si="58"/>
        <v>18</v>
      </c>
      <c r="U586" s="42">
        <f t="shared" si="59"/>
        <v>7616</v>
      </c>
    </row>
    <row r="587" spans="1:21" x14ac:dyDescent="0.3">
      <c r="A587" s="37" t="s">
        <v>3819</v>
      </c>
      <c r="B587" s="37" t="s">
        <v>3413</v>
      </c>
      <c r="C587" s="37" t="s">
        <v>2431</v>
      </c>
      <c r="D587" s="37" t="s">
        <v>78</v>
      </c>
      <c r="E587" s="37" t="s">
        <v>79</v>
      </c>
      <c r="F587" s="37" t="s">
        <v>101</v>
      </c>
      <c r="G587" s="37" t="s">
        <v>2408</v>
      </c>
      <c r="H587" s="37">
        <v>4.6500000000000004</v>
      </c>
      <c r="I587" s="37">
        <v>48</v>
      </c>
      <c r="J587" s="37" t="s">
        <v>3820</v>
      </c>
      <c r="K587" s="37" t="s">
        <v>115</v>
      </c>
      <c r="L587" s="37">
        <v>5</v>
      </c>
      <c r="M587" s="37" t="str">
        <f t="shared" si="56"/>
        <v>ICU</v>
      </c>
      <c r="N587" s="37" t="str">
        <f t="shared" si="54"/>
        <v>Cash</v>
      </c>
      <c r="O587" s="37" t="str" cm="1">
        <f t="array" ref="O587">IF(TRIM(N587)="",INDEX($N$2:$N$1500,MATCH(MAX(COUNTIF($N$2:$N$1500,$N$2:$N$1500)),COUNTIF($N$2:$N$1500,$N$2:$N$1500),0)),N587)</f>
        <v>Cash</v>
      </c>
      <c r="P587" s="38" cm="1">
        <f t="array" ref="P587">ROUND(IF(TRIM(H587)="",IFERROR(MEDIAN(IF($M$2:$M$1500=M587,$H$2:$H$1500)),MEDIAN($H$2:$H$1500)),H587),2)</f>
        <v>4.6500000000000004</v>
      </c>
      <c r="Q587" s="38" t="str">
        <f t="shared" si="57"/>
        <v>0</v>
      </c>
      <c r="R587" s="39" cm="1">
        <f t="array" ref="R587">IF(OR(TRIM(J587)="",TRIM(J587)="-"),MEDIAN(IF($C$2:$C$1218=C587,$J$2:$J$1218)),VALUE(SUBSTITUTE(SUBSTITUTE(SUBSTITUTE(J587,"Rs. ",""),"₹",""),",","")))</f>
        <v>34305</v>
      </c>
      <c r="S587" s="40">
        <f t="shared" si="55"/>
        <v>5</v>
      </c>
      <c r="T587" s="41">
        <f t="shared" si="58"/>
        <v>5</v>
      </c>
      <c r="U587" s="42">
        <f t="shared" si="59"/>
        <v>32590</v>
      </c>
    </row>
    <row r="588" spans="1:21" x14ac:dyDescent="0.3">
      <c r="A588" s="37" t="s">
        <v>3821</v>
      </c>
      <c r="B588" s="37" t="s">
        <v>3822</v>
      </c>
      <c r="C588" s="37" t="s">
        <v>2518</v>
      </c>
      <c r="D588" s="37" t="s">
        <v>117</v>
      </c>
      <c r="E588" s="37" t="s">
        <v>118</v>
      </c>
      <c r="F588" s="37"/>
      <c r="G588" s="37" t="s">
        <v>2408</v>
      </c>
      <c r="H588" s="37"/>
      <c r="I588" s="37">
        <v>47</v>
      </c>
      <c r="J588" s="37">
        <v>15671</v>
      </c>
      <c r="K588" s="37" t="s">
        <v>236</v>
      </c>
      <c r="L588" s="37">
        <v>10</v>
      </c>
      <c r="M588" s="37" t="str">
        <f t="shared" si="56"/>
        <v>Unknown</v>
      </c>
      <c r="N588" s="37" t="str">
        <f t="shared" si="54"/>
        <v>Debit Card</v>
      </c>
      <c r="O588" s="37" t="str" cm="1">
        <f t="array" ref="O588">IF(TRIM(N588)="",INDEX($N$2:$N$1500,MATCH(MAX(COUNTIF($N$2:$N$1500,$N$2:$N$1500)),COUNTIF($N$2:$N$1500,$N$2:$N$1500),0)),N588)</f>
        <v>Debit Card</v>
      </c>
      <c r="P588" s="38" cm="1">
        <f t="array" ref="P588">ROUND(IF(TRIM(H588)="",IFERROR(MEDIAN(IF($M$2:$M$1500=M588,$H$2:$H$1500)),MEDIAN($H$2:$H$1500)),H588),2)</f>
        <v>13.05</v>
      </c>
      <c r="Q588" s="38" t="str">
        <f t="shared" si="57"/>
        <v>0</v>
      </c>
      <c r="R588" s="39" cm="1">
        <f t="array" ref="R588">IF(OR(TRIM(J588)="",TRIM(J588)="-"),MEDIAN(IF($C$2:$C$1218=C588,$J$2:$J$1218)),VALUE(SUBSTITUTE(SUBSTITUTE(SUBSTITUTE(J588,"Rs. ",""),"₹",""),",","")))</f>
        <v>15671</v>
      </c>
      <c r="S588" s="40">
        <f t="shared" si="55"/>
        <v>10</v>
      </c>
      <c r="T588" s="41">
        <f t="shared" si="58"/>
        <v>10</v>
      </c>
      <c r="U588" s="42">
        <f t="shared" si="59"/>
        <v>14104</v>
      </c>
    </row>
    <row r="589" spans="1:21" x14ac:dyDescent="0.3">
      <c r="A589" s="37" t="s">
        <v>3823</v>
      </c>
      <c r="B589" s="37" t="s">
        <v>3824</v>
      </c>
      <c r="C589" s="37" t="s">
        <v>2422</v>
      </c>
      <c r="D589" s="37" t="s">
        <v>78</v>
      </c>
      <c r="E589" s="37" t="s">
        <v>161</v>
      </c>
      <c r="F589" s="37" t="s">
        <v>19</v>
      </c>
      <c r="G589" s="37" t="s">
        <v>2486</v>
      </c>
      <c r="H589" s="37">
        <v>20.07</v>
      </c>
      <c r="I589" s="37"/>
      <c r="J589" s="37">
        <v>11163</v>
      </c>
      <c r="K589" s="37" t="s">
        <v>34</v>
      </c>
      <c r="L589" s="37" t="s">
        <v>76</v>
      </c>
      <c r="M589" s="37" t="str">
        <f t="shared" si="56"/>
        <v>General</v>
      </c>
      <c r="N589" s="37" t="str">
        <f t="shared" si="54"/>
        <v>Cash</v>
      </c>
      <c r="O589" s="37" t="str" cm="1">
        <f t="array" ref="O589">IF(TRIM(N589)="",INDEX($N$2:$N$1500,MATCH(MAX(COUNTIF($N$2:$N$1500,$N$2:$N$1500)),COUNTIF($N$2:$N$1500,$N$2:$N$1500),0)),N589)</f>
        <v>Cash</v>
      </c>
      <c r="P589" s="38" cm="1">
        <f t="array" ref="P589">ROUND(IF(TRIM(H589)="",IFERROR(MEDIAN(IF($M$2:$M$1500=M589,$H$2:$H$1500)),MEDIAN($H$2:$H$1500)),H589),2)</f>
        <v>20.07</v>
      </c>
      <c r="Q589" s="38" t="str">
        <f t="shared" si="57"/>
        <v>2+</v>
      </c>
      <c r="R589" s="39" cm="1">
        <f t="array" ref="R589">IF(OR(TRIM(J589)="",TRIM(J589)="-"),MEDIAN(IF($C$2:$C$1218=C589,$J$2:$J$1218)),VALUE(SUBSTITUTE(SUBSTITUTE(SUBSTITUTE(J589,"Rs. ",""),"₹",""),",","")))</f>
        <v>11163</v>
      </c>
      <c r="S589" s="40">
        <f t="shared" si="55"/>
        <v>10</v>
      </c>
      <c r="T589" s="41">
        <f t="shared" si="58"/>
        <v>10</v>
      </c>
      <c r="U589" s="42">
        <f t="shared" si="59"/>
        <v>10047</v>
      </c>
    </row>
    <row r="590" spans="1:21" x14ac:dyDescent="0.3">
      <c r="A590" s="37" t="s">
        <v>3825</v>
      </c>
      <c r="B590" s="37" t="s">
        <v>3357</v>
      </c>
      <c r="C590" s="37" t="s">
        <v>2434</v>
      </c>
      <c r="D590" s="37" t="s">
        <v>78</v>
      </c>
      <c r="E590" s="37" t="s">
        <v>79</v>
      </c>
      <c r="F590" s="37" t="s">
        <v>39</v>
      </c>
      <c r="G590" s="37" t="s">
        <v>2439</v>
      </c>
      <c r="H590" s="37">
        <v>1.22</v>
      </c>
      <c r="I590" s="37">
        <v>35</v>
      </c>
      <c r="J590" s="37" t="s">
        <v>3826</v>
      </c>
      <c r="K590" s="37" t="s">
        <v>236</v>
      </c>
      <c r="L590" s="37" t="s">
        <v>130</v>
      </c>
      <c r="M590" s="37" t="str">
        <f t="shared" si="56"/>
        <v>General</v>
      </c>
      <c r="N590" s="37" t="str">
        <f t="shared" si="54"/>
        <v>Debit Card</v>
      </c>
      <c r="O590" s="37" t="str" cm="1">
        <f t="array" ref="O590">IF(TRIM(N590)="",INDEX($N$2:$N$1500,MATCH(MAX(COUNTIF($N$2:$N$1500,$N$2:$N$1500)),COUNTIF($N$2:$N$1500,$N$2:$N$1500),0)),N590)</f>
        <v>Debit Card</v>
      </c>
      <c r="P590" s="38" cm="1">
        <f t="array" ref="P590">ROUND(IF(TRIM(H590)="",IFERROR(MEDIAN(IF($M$2:$M$1500=M590,$H$2:$H$1500)),MEDIAN($H$2:$H$1500)),H590),2)</f>
        <v>1.22</v>
      </c>
      <c r="Q590" s="38" t="str">
        <f t="shared" si="57"/>
        <v>2</v>
      </c>
      <c r="R590" s="39" cm="1">
        <f t="array" ref="R590">IF(OR(TRIM(J590)="",TRIM(J590)="-"),MEDIAN(IF($C$2:$C$1218=C590,$J$2:$J$1218)),VALUE(SUBSTITUTE(SUBSTITUTE(SUBSTITUTE(J590,"Rs. ",""),"₹",""),",","")))</f>
        <v>10032</v>
      </c>
      <c r="S590" s="40">
        <f t="shared" si="55"/>
        <v>0</v>
      </c>
      <c r="T590" s="41">
        <f t="shared" si="58"/>
        <v>0</v>
      </c>
      <c r="U590" s="42">
        <f t="shared" si="59"/>
        <v>10032</v>
      </c>
    </row>
    <row r="591" spans="1:21" x14ac:dyDescent="0.3">
      <c r="A591" s="37" t="s">
        <v>3827</v>
      </c>
      <c r="B591" s="37" t="s">
        <v>3828</v>
      </c>
      <c r="C591" s="37" t="s">
        <v>2449</v>
      </c>
      <c r="D591" s="37" t="s">
        <v>117</v>
      </c>
      <c r="E591" s="37" t="s">
        <v>118</v>
      </c>
      <c r="F591" s="37" t="s">
        <v>30</v>
      </c>
      <c r="G591" s="37" t="s">
        <v>2408</v>
      </c>
      <c r="H591" s="37">
        <v>23.29</v>
      </c>
      <c r="I591" s="37" t="s">
        <v>140</v>
      </c>
      <c r="J591" s="37" t="s">
        <v>3829</v>
      </c>
      <c r="K591" s="37" t="s">
        <v>72</v>
      </c>
      <c r="L591" s="37" t="s">
        <v>130</v>
      </c>
      <c r="M591" s="37" t="str">
        <f t="shared" si="56"/>
        <v>General</v>
      </c>
      <c r="N591" s="37" t="str">
        <f t="shared" si="54"/>
        <v>Cash</v>
      </c>
      <c r="O591" s="37" t="str" cm="1">
        <f t="array" ref="O591">IF(TRIM(N591)="",INDEX($N$2:$N$1500,MATCH(MAX(COUNTIF($N$2:$N$1500,$N$2:$N$1500)),COUNTIF($N$2:$N$1500,$N$2:$N$1500),0)),N591)</f>
        <v>Cash</v>
      </c>
      <c r="P591" s="38" cm="1">
        <f t="array" ref="P591">ROUND(IF(TRIM(H591)="",IFERROR(MEDIAN(IF($M$2:$M$1500=M591,$H$2:$H$1500)),MEDIAN($H$2:$H$1500)),H591),2)</f>
        <v>23.29</v>
      </c>
      <c r="Q591" s="38" t="str">
        <f t="shared" si="57"/>
        <v>0</v>
      </c>
      <c r="R591" s="39" cm="1">
        <f t="array" ref="R591">IF(OR(TRIM(J591)="",TRIM(J591)="-"),MEDIAN(IF($C$2:$C$1218=C591,$J$2:$J$1218)),VALUE(SUBSTITUTE(SUBSTITUTE(SUBSTITUTE(J591,"Rs. ",""),"₹",""),",","")))</f>
        <v>12811</v>
      </c>
      <c r="S591" s="40">
        <f t="shared" si="55"/>
        <v>0</v>
      </c>
      <c r="T591" s="41">
        <f t="shared" si="58"/>
        <v>0</v>
      </c>
      <c r="U591" s="42">
        <f t="shared" si="59"/>
        <v>12811</v>
      </c>
    </row>
    <row r="592" spans="1:21" x14ac:dyDescent="0.3">
      <c r="A592" s="37" t="s">
        <v>3830</v>
      </c>
      <c r="B592" s="37" t="s">
        <v>3831</v>
      </c>
      <c r="C592" s="37" t="s">
        <v>2415</v>
      </c>
      <c r="D592" s="37" t="s">
        <v>45</v>
      </c>
      <c r="E592" s="37" t="s">
        <v>46</v>
      </c>
      <c r="F592" s="37" t="s">
        <v>39</v>
      </c>
      <c r="G592" s="37" t="s">
        <v>2746</v>
      </c>
      <c r="H592" s="37">
        <v>7.54</v>
      </c>
      <c r="I592" s="37">
        <v>60</v>
      </c>
      <c r="J592" s="37">
        <v>19781</v>
      </c>
      <c r="K592" s="37" t="s">
        <v>34</v>
      </c>
      <c r="L592" s="37">
        <v>0</v>
      </c>
      <c r="M592" s="37" t="str">
        <f t="shared" si="56"/>
        <v>General</v>
      </c>
      <c r="N592" s="37" t="str">
        <f t="shared" si="54"/>
        <v>Cash</v>
      </c>
      <c r="O592" s="37" t="str" cm="1">
        <f t="array" ref="O592">IF(TRIM(N592)="",INDEX($N$2:$N$1500,MATCH(MAX(COUNTIF($N$2:$N$1500,$N$2:$N$1500)),COUNTIF($N$2:$N$1500,$N$2:$N$1500),0)),N592)</f>
        <v>Cash</v>
      </c>
      <c r="P592" s="38" cm="1">
        <f t="array" ref="P592">ROUND(IF(TRIM(H592)="",IFERROR(MEDIAN(IF($M$2:$M$1500=M592,$H$2:$H$1500)),MEDIAN($H$2:$H$1500)),H592),2)</f>
        <v>7.54</v>
      </c>
      <c r="Q592" s="38" t="str">
        <f t="shared" si="57"/>
        <v>2</v>
      </c>
      <c r="R592" s="39" cm="1">
        <f t="array" ref="R592">IF(OR(TRIM(J592)="",TRIM(J592)="-"),MEDIAN(IF($C$2:$C$1218=C592,$J$2:$J$1218)),VALUE(SUBSTITUTE(SUBSTITUTE(SUBSTITUTE(J592,"Rs. ",""),"₹",""),",","")))</f>
        <v>19781</v>
      </c>
      <c r="S592" s="40">
        <f t="shared" si="55"/>
        <v>0</v>
      </c>
      <c r="T592" s="41">
        <f t="shared" si="58"/>
        <v>0</v>
      </c>
      <c r="U592" s="42">
        <f t="shared" si="59"/>
        <v>19781</v>
      </c>
    </row>
    <row r="593" spans="1:21" x14ac:dyDescent="0.3">
      <c r="A593" s="37" t="s">
        <v>3832</v>
      </c>
      <c r="B593" s="37" t="s">
        <v>3833</v>
      </c>
      <c r="C593" s="37" t="s">
        <v>2427</v>
      </c>
      <c r="D593" s="37" t="s">
        <v>117</v>
      </c>
      <c r="E593" s="37" t="s">
        <v>182</v>
      </c>
      <c r="F593" s="37" t="s">
        <v>101</v>
      </c>
      <c r="G593" s="37" t="s">
        <v>2477</v>
      </c>
      <c r="H593" s="37">
        <v>14.84</v>
      </c>
      <c r="I593" s="37">
        <v>13</v>
      </c>
      <c r="J593" s="37" t="s">
        <v>3834</v>
      </c>
      <c r="K593" s="37" t="s">
        <v>87</v>
      </c>
      <c r="L593" s="37">
        <v>10</v>
      </c>
      <c r="M593" s="37" t="str">
        <f t="shared" si="56"/>
        <v>ICU</v>
      </c>
      <c r="N593" s="37" t="str">
        <f t="shared" si="54"/>
        <v>Credit Card</v>
      </c>
      <c r="O593" s="37" t="str" cm="1">
        <f t="array" ref="O593">IF(TRIM(N593)="",INDEX($N$2:$N$1500,MATCH(MAX(COUNTIF($N$2:$N$1500,$N$2:$N$1500)),COUNTIF($N$2:$N$1500,$N$2:$N$1500),0)),N593)</f>
        <v>Credit Card</v>
      </c>
      <c r="P593" s="38" cm="1">
        <f t="array" ref="P593">ROUND(IF(TRIM(H593)="",IFERROR(MEDIAN(IF($M$2:$M$1500=M593,$H$2:$H$1500)),MEDIAN($H$2:$H$1500)),H593),2)</f>
        <v>14.84</v>
      </c>
      <c r="Q593" s="38" t="str">
        <f t="shared" si="57"/>
        <v>0</v>
      </c>
      <c r="R593" s="39" cm="1">
        <f t="array" ref="R593">IF(OR(TRIM(J593)="",TRIM(J593)="-"),MEDIAN(IF($C$2:$C$1218=C593,$J$2:$J$1218)),VALUE(SUBSTITUTE(SUBSTITUTE(SUBSTITUTE(J593,"Rs. ",""),"₹",""),",","")))</f>
        <v>62803</v>
      </c>
      <c r="S593" s="40">
        <f t="shared" si="55"/>
        <v>10</v>
      </c>
      <c r="T593" s="41">
        <f t="shared" si="58"/>
        <v>10</v>
      </c>
      <c r="U593" s="42">
        <f t="shared" si="59"/>
        <v>56523</v>
      </c>
    </row>
    <row r="594" spans="1:21" x14ac:dyDescent="0.3">
      <c r="A594" s="37" t="s">
        <v>3835</v>
      </c>
      <c r="B594" s="37" t="s">
        <v>3836</v>
      </c>
      <c r="C594" s="37" t="s">
        <v>2431</v>
      </c>
      <c r="D594" s="37" t="s">
        <v>25</v>
      </c>
      <c r="E594" s="37" t="s">
        <v>54</v>
      </c>
      <c r="F594" s="37" t="s">
        <v>101</v>
      </c>
      <c r="G594" s="37" t="s">
        <v>2746</v>
      </c>
      <c r="H594" s="37">
        <v>10.11</v>
      </c>
      <c r="I594" s="37">
        <v>4</v>
      </c>
      <c r="J594" s="37" t="s">
        <v>3837</v>
      </c>
      <c r="K594" s="37" t="s">
        <v>34</v>
      </c>
      <c r="L594" s="37" t="s">
        <v>76</v>
      </c>
      <c r="M594" s="37" t="str">
        <f t="shared" si="56"/>
        <v>ICU</v>
      </c>
      <c r="N594" s="37" t="str">
        <f t="shared" si="54"/>
        <v>Cash</v>
      </c>
      <c r="O594" s="37" t="str" cm="1">
        <f t="array" ref="O594">IF(TRIM(N594)="",INDEX($N$2:$N$1500,MATCH(MAX(COUNTIF($N$2:$N$1500,$N$2:$N$1500)),COUNTIF($N$2:$N$1500,$N$2:$N$1500),0)),N594)</f>
        <v>Cash</v>
      </c>
      <c r="P594" s="38" cm="1">
        <f t="array" ref="P594">ROUND(IF(TRIM(H594)="",IFERROR(MEDIAN(IF($M$2:$M$1500=M594,$H$2:$H$1500)),MEDIAN($H$2:$H$1500)),H594),2)</f>
        <v>10.11</v>
      </c>
      <c r="Q594" s="38" t="str">
        <f t="shared" si="57"/>
        <v>2</v>
      </c>
      <c r="R594" s="39" cm="1">
        <f t="array" ref="R594">IF(OR(TRIM(J594)="",TRIM(J594)="-"),MEDIAN(IF($C$2:$C$1218=C594,$J$2:$J$1218)),VALUE(SUBSTITUTE(SUBSTITUTE(SUBSTITUTE(J594,"Rs. ",""),"₹",""),",","")))</f>
        <v>69841</v>
      </c>
      <c r="S594" s="40">
        <f t="shared" si="55"/>
        <v>10</v>
      </c>
      <c r="T594" s="41">
        <f t="shared" si="58"/>
        <v>10</v>
      </c>
      <c r="U594" s="42">
        <f t="shared" si="59"/>
        <v>62857</v>
      </c>
    </row>
    <row r="595" spans="1:21" x14ac:dyDescent="0.3">
      <c r="A595" s="37" t="s">
        <v>3838</v>
      </c>
      <c r="B595" s="37" t="s">
        <v>3839</v>
      </c>
      <c r="C595" s="37" t="s">
        <v>2469</v>
      </c>
      <c r="D595" s="37" t="s">
        <v>117</v>
      </c>
      <c r="E595" s="37" t="s">
        <v>118</v>
      </c>
      <c r="F595" s="37" t="s">
        <v>69</v>
      </c>
      <c r="G595" s="37" t="s">
        <v>2435</v>
      </c>
      <c r="H595" s="37">
        <v>0.51</v>
      </c>
      <c r="I595" s="37">
        <v>38</v>
      </c>
      <c r="J595" s="37">
        <v>64094</v>
      </c>
      <c r="K595" s="37" t="s">
        <v>34</v>
      </c>
      <c r="L595" s="37">
        <v>0</v>
      </c>
      <c r="M595" s="37" t="str">
        <f t="shared" si="56"/>
        <v>ICU</v>
      </c>
      <c r="N595" s="37" t="str">
        <f t="shared" si="54"/>
        <v>Cash</v>
      </c>
      <c r="O595" s="37" t="str" cm="1">
        <f t="array" ref="O595">IF(TRIM(N595)="",INDEX($N$2:$N$1500,MATCH(MAX(COUNTIF($N$2:$N$1500,$N$2:$N$1500)),COUNTIF($N$2:$N$1500,$N$2:$N$1500),0)),N595)</f>
        <v>Cash</v>
      </c>
      <c r="P595" s="38" cm="1">
        <f t="array" ref="P595">ROUND(IF(TRIM(H595)="",IFERROR(MEDIAN(IF($M$2:$M$1500=M595,$H$2:$H$1500)),MEDIAN($H$2:$H$1500)),H595),2)</f>
        <v>0.51</v>
      </c>
      <c r="Q595" s="38" t="str">
        <f t="shared" si="57"/>
        <v>0</v>
      </c>
      <c r="R595" s="39" cm="1">
        <f t="array" ref="R595">IF(OR(TRIM(J595)="",TRIM(J595)="-"),MEDIAN(IF($C$2:$C$1218=C595,$J$2:$J$1218)),VALUE(SUBSTITUTE(SUBSTITUTE(SUBSTITUTE(J595,"Rs. ",""),"₹",""),",","")))</f>
        <v>64094</v>
      </c>
      <c r="S595" s="40">
        <f t="shared" si="55"/>
        <v>0</v>
      </c>
      <c r="T595" s="41">
        <f t="shared" si="58"/>
        <v>0</v>
      </c>
      <c r="U595" s="42">
        <f t="shared" si="59"/>
        <v>64094</v>
      </c>
    </row>
    <row r="596" spans="1:21" x14ac:dyDescent="0.3">
      <c r="A596" s="37" t="s">
        <v>3840</v>
      </c>
      <c r="B596" s="37" t="s">
        <v>3841</v>
      </c>
      <c r="C596" s="37" t="s">
        <v>2422</v>
      </c>
      <c r="D596" s="37" t="s">
        <v>78</v>
      </c>
      <c r="E596" s="37" t="s">
        <v>161</v>
      </c>
      <c r="F596" s="37" t="s">
        <v>19</v>
      </c>
      <c r="G596" s="37" t="s">
        <v>2418</v>
      </c>
      <c r="H596" s="37">
        <v>23.53</v>
      </c>
      <c r="I596" s="37">
        <v>47</v>
      </c>
      <c r="J596" s="37">
        <v>19322</v>
      </c>
      <c r="K596" s="37" t="s">
        <v>236</v>
      </c>
      <c r="L596" s="37">
        <v>0</v>
      </c>
      <c r="M596" s="37" t="str">
        <f t="shared" si="56"/>
        <v>General</v>
      </c>
      <c r="N596" s="37" t="str">
        <f t="shared" si="54"/>
        <v>Debit Card</v>
      </c>
      <c r="O596" s="37" t="str" cm="1">
        <f t="array" ref="O596">IF(TRIM(N596)="",INDEX($N$2:$N$1500,MATCH(MAX(COUNTIF($N$2:$N$1500,$N$2:$N$1500)),COUNTIF($N$2:$N$1500,$N$2:$N$1500),0)),N596)</f>
        <v>Debit Card</v>
      </c>
      <c r="P596" s="38" cm="1">
        <f t="array" ref="P596">ROUND(IF(TRIM(H596)="",IFERROR(MEDIAN(IF($M$2:$M$1500=M596,$H$2:$H$1500)),MEDIAN($H$2:$H$1500)),H596),2)</f>
        <v>23.53</v>
      </c>
      <c r="Q596" s="38" t="str">
        <f t="shared" si="57"/>
        <v>1</v>
      </c>
      <c r="R596" s="39" cm="1">
        <f t="array" ref="R596">IF(OR(TRIM(J596)="",TRIM(J596)="-"),MEDIAN(IF($C$2:$C$1218=C596,$J$2:$J$1218)),VALUE(SUBSTITUTE(SUBSTITUTE(SUBSTITUTE(J596,"Rs. ",""),"₹",""),",","")))</f>
        <v>19322</v>
      </c>
      <c r="S596" s="40">
        <f t="shared" si="55"/>
        <v>0</v>
      </c>
      <c r="T596" s="41">
        <f t="shared" si="58"/>
        <v>0</v>
      </c>
      <c r="U596" s="42">
        <f t="shared" si="59"/>
        <v>19322</v>
      </c>
    </row>
    <row r="597" spans="1:21" x14ac:dyDescent="0.3">
      <c r="A597" s="37" t="s">
        <v>3842</v>
      </c>
      <c r="B597" s="37" t="s">
        <v>3528</v>
      </c>
      <c r="C597" s="37" t="s">
        <v>2514</v>
      </c>
      <c r="D597" s="37" t="s">
        <v>25</v>
      </c>
      <c r="E597" s="37" t="s">
        <v>54</v>
      </c>
      <c r="F597" s="37" t="s">
        <v>49</v>
      </c>
      <c r="G597" s="37" t="s">
        <v>2423</v>
      </c>
      <c r="H597" s="37">
        <v>16.54</v>
      </c>
      <c r="I597" s="37">
        <v>60</v>
      </c>
      <c r="J597" s="37" t="s">
        <v>3843</v>
      </c>
      <c r="K597" s="37" t="s">
        <v>167</v>
      </c>
      <c r="L597" s="37">
        <v>0.4</v>
      </c>
      <c r="M597" s="37" t="str">
        <f t="shared" si="56"/>
        <v>General</v>
      </c>
      <c r="N597" s="37" t="str">
        <f t="shared" si="54"/>
        <v>Insurance</v>
      </c>
      <c r="O597" s="37" t="str" cm="1">
        <f t="array" ref="O597">IF(TRIM(N597)="",INDEX($N$2:$N$1500,MATCH(MAX(COUNTIF($N$2:$N$1500,$N$2:$N$1500)),COUNTIF($N$2:$N$1500,$N$2:$N$1500),0)),N597)</f>
        <v>Insurance</v>
      </c>
      <c r="P597" s="38" cm="1">
        <f t="array" ref="P597">ROUND(IF(TRIM(H597)="",IFERROR(MEDIAN(IF($M$2:$M$1500=M597,$H$2:$H$1500)),MEDIAN($H$2:$H$1500)),H597),2)</f>
        <v>16.54</v>
      </c>
      <c r="Q597" s="38" t="str">
        <f t="shared" si="57"/>
        <v>0</v>
      </c>
      <c r="R597" s="39" cm="1">
        <f t="array" ref="R597">IF(OR(TRIM(J597)="",TRIM(J597)="-"),MEDIAN(IF($C$2:$C$1218=C597,$J$2:$J$1218)),VALUE(SUBSTITUTE(SUBSTITUTE(SUBSTITUTE(J597,"Rs. ",""),"₹",""),",","")))</f>
        <v>14600</v>
      </c>
      <c r="S597" s="40">
        <f t="shared" si="55"/>
        <v>0.4</v>
      </c>
      <c r="T597" s="41">
        <f t="shared" si="58"/>
        <v>0</v>
      </c>
      <c r="U597" s="42">
        <f t="shared" si="59"/>
        <v>14600</v>
      </c>
    </row>
    <row r="598" spans="1:21" x14ac:dyDescent="0.3">
      <c r="A598" s="37" t="s">
        <v>3844</v>
      </c>
      <c r="B598" s="37" t="s">
        <v>3845</v>
      </c>
      <c r="C598" s="37" t="s">
        <v>2438</v>
      </c>
      <c r="D598" s="37" t="s">
        <v>106</v>
      </c>
      <c r="E598" s="37" t="s">
        <v>107</v>
      </c>
      <c r="F598" s="37" t="s">
        <v>101</v>
      </c>
      <c r="G598" s="37" t="s">
        <v>2477</v>
      </c>
      <c r="H598" s="37">
        <v>11.13</v>
      </c>
      <c r="I598" s="37">
        <v>24</v>
      </c>
      <c r="J598" s="37" t="s">
        <v>3846</v>
      </c>
      <c r="K598" s="37" t="s">
        <v>104</v>
      </c>
      <c r="L598" s="37">
        <v>20</v>
      </c>
      <c r="M598" s="37" t="str">
        <f t="shared" si="56"/>
        <v>ICU</v>
      </c>
      <c r="N598" s="37" t="str">
        <f t="shared" si="54"/>
        <v>Insurance</v>
      </c>
      <c r="O598" s="37" t="str" cm="1">
        <f t="array" ref="O598">IF(TRIM(N598)="",INDEX($N$2:$N$1500,MATCH(MAX(COUNTIF($N$2:$N$1500,$N$2:$N$1500)),COUNTIF($N$2:$N$1500,$N$2:$N$1500),0)),N598)</f>
        <v>Insurance</v>
      </c>
      <c r="P598" s="38" cm="1">
        <f t="array" ref="P598">ROUND(IF(TRIM(H598)="",IFERROR(MEDIAN(IF($M$2:$M$1500=M598,$H$2:$H$1500)),MEDIAN($H$2:$H$1500)),H598),2)</f>
        <v>11.13</v>
      </c>
      <c r="Q598" s="38" t="str">
        <f t="shared" si="57"/>
        <v>0</v>
      </c>
      <c r="R598" s="39" cm="1">
        <f t="array" ref="R598">IF(OR(TRIM(J598)="",TRIM(J598)="-"),MEDIAN(IF($C$2:$C$1218=C598,$J$2:$J$1218)),VALUE(SUBSTITUTE(SUBSTITUTE(SUBSTITUTE(J598,"Rs. ",""),"₹",""),",","")))</f>
        <v>63416</v>
      </c>
      <c r="S598" s="40">
        <f t="shared" si="55"/>
        <v>20</v>
      </c>
      <c r="T598" s="41">
        <f t="shared" si="58"/>
        <v>20</v>
      </c>
      <c r="U598" s="42">
        <f t="shared" si="59"/>
        <v>50733</v>
      </c>
    </row>
    <row r="599" spans="1:21" x14ac:dyDescent="0.3">
      <c r="A599" s="37" t="s">
        <v>3847</v>
      </c>
      <c r="B599" s="37" t="s">
        <v>3848</v>
      </c>
      <c r="C599" s="37" t="s">
        <v>2449</v>
      </c>
      <c r="D599" s="37" t="s">
        <v>25</v>
      </c>
      <c r="E599" s="37" t="s">
        <v>54</v>
      </c>
      <c r="F599" s="37" t="s">
        <v>39</v>
      </c>
      <c r="G599" s="37" t="s">
        <v>2418</v>
      </c>
      <c r="H599" s="37">
        <v>11.21</v>
      </c>
      <c r="I599" s="37">
        <v>7</v>
      </c>
      <c r="J599" s="37">
        <v>19092</v>
      </c>
      <c r="K599" s="37" t="s">
        <v>167</v>
      </c>
      <c r="L599" s="37">
        <v>25</v>
      </c>
      <c r="M599" s="37" t="str">
        <f t="shared" si="56"/>
        <v>General</v>
      </c>
      <c r="N599" s="37" t="str">
        <f t="shared" si="54"/>
        <v>Insurance</v>
      </c>
      <c r="O599" s="37" t="str" cm="1">
        <f t="array" ref="O599">IF(TRIM(N599)="",INDEX($N$2:$N$1500,MATCH(MAX(COUNTIF($N$2:$N$1500,$N$2:$N$1500)),COUNTIF($N$2:$N$1500,$N$2:$N$1500),0)),N599)</f>
        <v>Insurance</v>
      </c>
      <c r="P599" s="38" cm="1">
        <f t="array" ref="P599">ROUND(IF(TRIM(H599)="",IFERROR(MEDIAN(IF($M$2:$M$1500=M599,$H$2:$H$1500)),MEDIAN($H$2:$H$1500)),H599),2)</f>
        <v>11.21</v>
      </c>
      <c r="Q599" s="38" t="str">
        <f t="shared" si="57"/>
        <v>1</v>
      </c>
      <c r="R599" s="39" cm="1">
        <f t="array" ref="R599">IF(OR(TRIM(J599)="",TRIM(J599)="-"),MEDIAN(IF($C$2:$C$1218=C599,$J$2:$J$1218)),VALUE(SUBSTITUTE(SUBSTITUTE(SUBSTITUTE(J599,"Rs. ",""),"₹",""),",","")))</f>
        <v>19092</v>
      </c>
      <c r="S599" s="40">
        <f t="shared" si="55"/>
        <v>25</v>
      </c>
      <c r="T599" s="41">
        <f t="shared" si="58"/>
        <v>25</v>
      </c>
      <c r="U599" s="42">
        <f t="shared" si="59"/>
        <v>14319</v>
      </c>
    </row>
    <row r="600" spans="1:21" x14ac:dyDescent="0.3">
      <c r="A600" s="37" t="s">
        <v>3849</v>
      </c>
      <c r="B600" s="37" t="s">
        <v>3850</v>
      </c>
      <c r="C600" s="37" t="s">
        <v>2454</v>
      </c>
      <c r="D600" s="37" t="s">
        <v>117</v>
      </c>
      <c r="E600" s="37" t="s">
        <v>118</v>
      </c>
      <c r="F600" s="37"/>
      <c r="G600" s="37" t="s">
        <v>2477</v>
      </c>
      <c r="H600" s="37">
        <v>4.16</v>
      </c>
      <c r="I600" s="37">
        <v>48</v>
      </c>
      <c r="J600" s="37" t="s">
        <v>3851</v>
      </c>
      <c r="K600" s="37" t="s">
        <v>97</v>
      </c>
      <c r="L600" s="37">
        <v>0</v>
      </c>
      <c r="M600" s="37" t="str">
        <f t="shared" si="56"/>
        <v>Unknown</v>
      </c>
      <c r="N600" s="37" t="str">
        <f t="shared" si="54"/>
        <v>UPI</v>
      </c>
      <c r="O600" s="37" t="str" cm="1">
        <f t="array" ref="O600">IF(TRIM(N600)="",INDEX($N$2:$N$1500,MATCH(MAX(COUNTIF($N$2:$N$1500,$N$2:$N$1500)),COUNTIF($N$2:$N$1500,$N$2:$N$1500),0)),N600)</f>
        <v>UPI</v>
      </c>
      <c r="P600" s="38" cm="1">
        <f t="array" ref="P600">ROUND(IF(TRIM(H600)="",IFERROR(MEDIAN(IF($M$2:$M$1500=M600,$H$2:$H$1500)),MEDIAN($H$2:$H$1500)),H600),2)</f>
        <v>4.16</v>
      </c>
      <c r="Q600" s="38" t="str">
        <f t="shared" si="57"/>
        <v>0</v>
      </c>
      <c r="R600" s="39" cm="1">
        <f t="array" ref="R600">IF(OR(TRIM(J600)="",TRIM(J600)="-"),MEDIAN(IF($C$2:$C$1218=C600,$J$2:$J$1218)),VALUE(SUBSTITUTE(SUBSTITUTE(SUBSTITUTE(J600,"Rs. ",""),"₹",""),",","")))</f>
        <v>89094</v>
      </c>
      <c r="S600" s="40">
        <f t="shared" si="55"/>
        <v>0</v>
      </c>
      <c r="T600" s="41">
        <f t="shared" si="58"/>
        <v>0</v>
      </c>
      <c r="U600" s="42">
        <f t="shared" si="59"/>
        <v>89094</v>
      </c>
    </row>
    <row r="601" spans="1:21" x14ac:dyDescent="0.3">
      <c r="A601" s="37" t="s">
        <v>3852</v>
      </c>
      <c r="B601" s="37" t="s">
        <v>3853</v>
      </c>
      <c r="C601" s="37" t="s">
        <v>2449</v>
      </c>
      <c r="D601" s="37" t="s">
        <v>78</v>
      </c>
      <c r="E601" s="37" t="s">
        <v>79</v>
      </c>
      <c r="F601" s="37" t="s">
        <v>101</v>
      </c>
      <c r="G601" s="37" t="s">
        <v>2435</v>
      </c>
      <c r="H601" s="37">
        <v>19.100000000000001</v>
      </c>
      <c r="I601" s="37">
        <v>24</v>
      </c>
      <c r="J601" s="37">
        <v>36639</v>
      </c>
      <c r="K601" s="37" t="s">
        <v>115</v>
      </c>
      <c r="L601" s="37"/>
      <c r="M601" s="37" t="str">
        <f t="shared" si="56"/>
        <v>ICU</v>
      </c>
      <c r="N601" s="37" t="str">
        <f t="shared" si="54"/>
        <v>Cash</v>
      </c>
      <c r="O601" s="37" t="str" cm="1">
        <f t="array" ref="O601">IF(TRIM(N601)="",INDEX($N$2:$N$1500,MATCH(MAX(COUNTIF($N$2:$N$1500,$N$2:$N$1500)),COUNTIF($N$2:$N$1500,$N$2:$N$1500),0)),N601)</f>
        <v>Cash</v>
      </c>
      <c r="P601" s="38" cm="1">
        <f t="array" ref="P601">ROUND(IF(TRIM(H601)="",IFERROR(MEDIAN(IF($M$2:$M$1500=M601,$H$2:$H$1500)),MEDIAN($H$2:$H$1500)),H601),2)</f>
        <v>19.100000000000001</v>
      </c>
      <c r="Q601" s="38" t="str">
        <f t="shared" si="57"/>
        <v>0</v>
      </c>
      <c r="R601" s="39" cm="1">
        <f t="array" ref="R601">IF(OR(TRIM(J601)="",TRIM(J601)="-"),MEDIAN(IF($C$2:$C$1218=C601,$J$2:$J$1218)),VALUE(SUBSTITUTE(SUBSTITUTE(SUBSTITUTE(J601,"Rs. ",""),"₹",""),",","")))</f>
        <v>36639</v>
      </c>
      <c r="S601" s="40">
        <f t="shared" si="55"/>
        <v>0</v>
      </c>
      <c r="T601" s="41">
        <f t="shared" si="58"/>
        <v>0</v>
      </c>
      <c r="U601" s="42">
        <f t="shared" si="59"/>
        <v>36639</v>
      </c>
    </row>
    <row r="602" spans="1:21" x14ac:dyDescent="0.3">
      <c r="A602" s="37" t="s">
        <v>3854</v>
      </c>
      <c r="B602" s="37" t="s">
        <v>3796</v>
      </c>
      <c r="C602" s="37" t="s">
        <v>2577</v>
      </c>
      <c r="D602" s="37" t="s">
        <v>25</v>
      </c>
      <c r="E602" s="37" t="s">
        <v>54</v>
      </c>
      <c r="F602" s="37" t="s">
        <v>30</v>
      </c>
      <c r="G602" s="37" t="s">
        <v>2455</v>
      </c>
      <c r="H602" s="37">
        <v>4.71</v>
      </c>
      <c r="I602" s="37">
        <v>15</v>
      </c>
      <c r="J602" s="37">
        <v>19857</v>
      </c>
      <c r="K602" s="37"/>
      <c r="L602" s="37" t="s">
        <v>1626</v>
      </c>
      <c r="M602" s="37" t="str">
        <f t="shared" si="56"/>
        <v>General</v>
      </c>
      <c r="N602" s="37" t="str">
        <f t="shared" si="54"/>
        <v>Unknown</v>
      </c>
      <c r="O602" s="37" t="str" cm="1">
        <f t="array" ref="O602">IF(TRIM(N602)="",INDEX($N$2:$N$1500,MATCH(MAX(COUNTIF($N$2:$N$1500,$N$2:$N$1500)),COUNTIF($N$2:$N$1500,$N$2:$N$1500),0)),N602)</f>
        <v>Unknown</v>
      </c>
      <c r="P602" s="38" cm="1">
        <f t="array" ref="P602">ROUND(IF(TRIM(H602)="",IFERROR(MEDIAN(IF($M$2:$M$1500=M602,$H$2:$H$1500)),MEDIAN($H$2:$H$1500)),H602),2)</f>
        <v>4.71</v>
      </c>
      <c r="Q602" s="38" t="str">
        <f t="shared" si="57"/>
        <v>1</v>
      </c>
      <c r="R602" s="39" cm="1">
        <f t="array" ref="R602">IF(OR(TRIM(J602)="",TRIM(J602)="-"),MEDIAN(IF($C$2:$C$1218=C602,$J$2:$J$1218)),VALUE(SUBSTITUTE(SUBSTITUTE(SUBSTITUTE(J602,"Rs. ",""),"₹",""),",","")))</f>
        <v>19857</v>
      </c>
      <c r="S602" s="40">
        <f t="shared" si="55"/>
        <v>40</v>
      </c>
      <c r="T602" s="41">
        <f t="shared" si="58"/>
        <v>40</v>
      </c>
      <c r="U602" s="42">
        <f t="shared" si="59"/>
        <v>11914</v>
      </c>
    </row>
    <row r="603" spans="1:21" x14ac:dyDescent="0.3">
      <c r="A603" s="37" t="s">
        <v>3855</v>
      </c>
      <c r="B603" s="37" t="s">
        <v>3856</v>
      </c>
      <c r="C603" s="37" t="s">
        <v>2730</v>
      </c>
      <c r="D603" s="37" t="s">
        <v>117</v>
      </c>
      <c r="E603" s="37" t="s">
        <v>118</v>
      </c>
      <c r="F603" s="37" t="s">
        <v>19</v>
      </c>
      <c r="G603" s="37" t="s">
        <v>2505</v>
      </c>
      <c r="H603" s="37">
        <v>10.33</v>
      </c>
      <c r="I603" s="37">
        <v>57</v>
      </c>
      <c r="J603" s="37" t="s">
        <v>3857</v>
      </c>
      <c r="K603" s="37" t="s">
        <v>115</v>
      </c>
      <c r="L603" s="37" t="s">
        <v>130</v>
      </c>
      <c r="M603" s="37" t="str">
        <f t="shared" si="56"/>
        <v>General</v>
      </c>
      <c r="N603" s="37" t="str">
        <f t="shared" si="54"/>
        <v>Cash</v>
      </c>
      <c r="O603" s="37" t="str" cm="1">
        <f t="array" ref="O603">IF(TRIM(N603)="",INDEX($N$2:$N$1500,MATCH(MAX(COUNTIF($N$2:$N$1500,$N$2:$N$1500)),COUNTIF($N$2:$N$1500,$N$2:$N$1500),0)),N603)</f>
        <v>Cash</v>
      </c>
      <c r="P603" s="38" cm="1">
        <f t="array" ref="P603">ROUND(IF(TRIM(H603)="",IFERROR(MEDIAN(IF($M$2:$M$1500=M603,$H$2:$H$1500)),MEDIAN($H$2:$H$1500)),H603),2)</f>
        <v>10.33</v>
      </c>
      <c r="Q603" s="38" t="str">
        <f t="shared" si="57"/>
        <v>2+</v>
      </c>
      <c r="R603" s="39" cm="1">
        <f t="array" ref="R603">IF(OR(TRIM(J603)="",TRIM(J603)="-"),MEDIAN(IF($C$2:$C$1218=C603,$J$2:$J$1218)),VALUE(SUBSTITUTE(SUBSTITUTE(SUBSTITUTE(J603,"Rs. ",""),"₹",""),",","")))</f>
        <v>19034</v>
      </c>
      <c r="S603" s="40">
        <f t="shared" si="55"/>
        <v>0</v>
      </c>
      <c r="T603" s="41">
        <f t="shared" si="58"/>
        <v>0</v>
      </c>
      <c r="U603" s="42">
        <f t="shared" si="59"/>
        <v>19034</v>
      </c>
    </row>
    <row r="604" spans="1:21" x14ac:dyDescent="0.3">
      <c r="A604" s="37" t="s">
        <v>3858</v>
      </c>
      <c r="B604" s="37" t="s">
        <v>3859</v>
      </c>
      <c r="C604" s="37" t="s">
        <v>2473</v>
      </c>
      <c r="D604" s="37" t="s">
        <v>45</v>
      </c>
      <c r="E604" s="37" t="s">
        <v>46</v>
      </c>
      <c r="F604" s="37" t="s">
        <v>39</v>
      </c>
      <c r="G604" s="37" t="s">
        <v>2435</v>
      </c>
      <c r="H604" s="37">
        <v>8.7100000000000009</v>
      </c>
      <c r="I604" s="37">
        <v>31</v>
      </c>
      <c r="J604" s="37">
        <v>19592</v>
      </c>
      <c r="K604" s="37"/>
      <c r="L604" s="37" t="s">
        <v>130</v>
      </c>
      <c r="M604" s="37" t="str">
        <f t="shared" si="56"/>
        <v>General</v>
      </c>
      <c r="N604" s="37" t="str">
        <f t="shared" si="54"/>
        <v>Unknown</v>
      </c>
      <c r="O604" s="37" t="str" cm="1">
        <f t="array" ref="O604">IF(TRIM(N604)="",INDEX($N$2:$N$1500,MATCH(MAX(COUNTIF($N$2:$N$1500,$N$2:$N$1500)),COUNTIF($N$2:$N$1500,$N$2:$N$1500),0)),N604)</f>
        <v>Unknown</v>
      </c>
      <c r="P604" s="38" cm="1">
        <f t="array" ref="P604">ROUND(IF(TRIM(H604)="",IFERROR(MEDIAN(IF($M$2:$M$1500=M604,$H$2:$H$1500)),MEDIAN($H$2:$H$1500)),H604),2)</f>
        <v>8.7100000000000009</v>
      </c>
      <c r="Q604" s="38" t="str">
        <f t="shared" si="57"/>
        <v>0</v>
      </c>
      <c r="R604" s="39" cm="1">
        <f t="array" ref="R604">IF(OR(TRIM(J604)="",TRIM(J604)="-"),MEDIAN(IF($C$2:$C$1218=C604,$J$2:$J$1218)),VALUE(SUBSTITUTE(SUBSTITUTE(SUBSTITUTE(J604,"Rs. ",""),"₹",""),",","")))</f>
        <v>19592</v>
      </c>
      <c r="S604" s="40">
        <f t="shared" si="55"/>
        <v>0</v>
      </c>
      <c r="T604" s="41">
        <f t="shared" si="58"/>
        <v>0</v>
      </c>
      <c r="U604" s="42">
        <f t="shared" si="59"/>
        <v>19592</v>
      </c>
    </row>
    <row r="605" spans="1:21" x14ac:dyDescent="0.3">
      <c r="A605" s="37" t="s">
        <v>3860</v>
      </c>
      <c r="B605" s="37" t="s">
        <v>3861</v>
      </c>
      <c r="C605" s="37" t="s">
        <v>2463</v>
      </c>
      <c r="D605" s="37" t="s">
        <v>14</v>
      </c>
      <c r="E605" s="37" t="s">
        <v>15</v>
      </c>
      <c r="F605" s="37" t="s">
        <v>69</v>
      </c>
      <c r="G605" s="37" t="s">
        <v>2418</v>
      </c>
      <c r="H605" s="37">
        <v>13.08</v>
      </c>
      <c r="I605" s="37">
        <v>60</v>
      </c>
      <c r="J605" s="37" t="s">
        <v>3862</v>
      </c>
      <c r="K605" s="37" t="s">
        <v>58</v>
      </c>
      <c r="L605" s="37">
        <v>0</v>
      </c>
      <c r="M605" s="37" t="str">
        <f t="shared" si="56"/>
        <v>ICU</v>
      </c>
      <c r="N605" s="37" t="str">
        <f t="shared" si="54"/>
        <v>UPI</v>
      </c>
      <c r="O605" s="37" t="str" cm="1">
        <f t="array" ref="O605">IF(TRIM(N605)="",INDEX($N$2:$N$1500,MATCH(MAX(COUNTIF($N$2:$N$1500,$N$2:$N$1500)),COUNTIF($N$2:$N$1500,$N$2:$N$1500),0)),N605)</f>
        <v>UPI</v>
      </c>
      <c r="P605" s="38" cm="1">
        <f t="array" ref="P605">ROUND(IF(TRIM(H605)="",IFERROR(MEDIAN(IF($M$2:$M$1500=M605,$H$2:$H$1500)),MEDIAN($H$2:$H$1500)),H605),2)</f>
        <v>13.08</v>
      </c>
      <c r="Q605" s="38" t="str">
        <f t="shared" si="57"/>
        <v>1</v>
      </c>
      <c r="R605" s="39" cm="1">
        <f t="array" ref="R605">IF(OR(TRIM(J605)="",TRIM(J605)="-"),MEDIAN(IF($C$2:$C$1218=C605,$J$2:$J$1218)),VALUE(SUBSTITUTE(SUBSTITUTE(SUBSTITUTE(J605,"Rs. ",""),"₹",""),",","")))</f>
        <v>29943</v>
      </c>
      <c r="S605" s="40">
        <f t="shared" si="55"/>
        <v>0</v>
      </c>
      <c r="T605" s="41">
        <f t="shared" si="58"/>
        <v>0</v>
      </c>
      <c r="U605" s="42">
        <f t="shared" si="59"/>
        <v>29943</v>
      </c>
    </row>
    <row r="606" spans="1:21" x14ac:dyDescent="0.3">
      <c r="A606" s="37" t="s">
        <v>3863</v>
      </c>
      <c r="B606" s="37" t="s">
        <v>3864</v>
      </c>
      <c r="C606" s="37" t="s">
        <v>2438</v>
      </c>
      <c r="D606" s="37" t="s">
        <v>45</v>
      </c>
      <c r="E606" s="37" t="s">
        <v>46</v>
      </c>
      <c r="F606" s="37" t="s">
        <v>62</v>
      </c>
      <c r="G606" s="37" t="s">
        <v>2423</v>
      </c>
      <c r="H606" s="37">
        <v>11.5</v>
      </c>
      <c r="I606" s="37">
        <v>35</v>
      </c>
      <c r="J606" s="37" t="s">
        <v>3865</v>
      </c>
      <c r="K606" s="37" t="s">
        <v>83</v>
      </c>
      <c r="L606" s="37" t="s">
        <v>130</v>
      </c>
      <c r="M606" s="37" t="str">
        <f t="shared" si="56"/>
        <v>ICU</v>
      </c>
      <c r="N606" s="37" t="str">
        <f t="shared" si="54"/>
        <v>Debit Card</v>
      </c>
      <c r="O606" s="37" t="str" cm="1">
        <f t="array" ref="O606">IF(TRIM(N606)="",INDEX($N$2:$N$1500,MATCH(MAX(COUNTIF($N$2:$N$1500,$N$2:$N$1500)),COUNTIF($N$2:$N$1500,$N$2:$N$1500),0)),N606)</f>
        <v>Debit Card</v>
      </c>
      <c r="P606" s="38" cm="1">
        <f t="array" ref="P606">ROUND(IF(TRIM(H606)="",IFERROR(MEDIAN(IF($M$2:$M$1500=M606,$H$2:$H$1500)),MEDIAN($H$2:$H$1500)),H606),2)</f>
        <v>11.5</v>
      </c>
      <c r="Q606" s="38" t="str">
        <f t="shared" si="57"/>
        <v>0</v>
      </c>
      <c r="R606" s="39" cm="1">
        <f t="array" ref="R606">IF(OR(TRIM(J606)="",TRIM(J606)="-"),MEDIAN(IF($C$2:$C$1218=C606,$J$2:$J$1218)),VALUE(SUBSTITUTE(SUBSTITUTE(SUBSTITUTE(J606,"Rs. ",""),"₹",""),",","")))</f>
        <v>85271</v>
      </c>
      <c r="S606" s="40">
        <f t="shared" si="55"/>
        <v>0</v>
      </c>
      <c r="T606" s="41">
        <f t="shared" si="58"/>
        <v>0</v>
      </c>
      <c r="U606" s="42">
        <f t="shared" si="59"/>
        <v>85271</v>
      </c>
    </row>
    <row r="607" spans="1:21" x14ac:dyDescent="0.3">
      <c r="A607" s="37" t="s">
        <v>3866</v>
      </c>
      <c r="B607" s="37" t="s">
        <v>3362</v>
      </c>
      <c r="C607" s="37" t="s">
        <v>2438</v>
      </c>
      <c r="D607" s="37" t="s">
        <v>78</v>
      </c>
      <c r="E607" s="37" t="s">
        <v>79</v>
      </c>
      <c r="F607" s="37" t="s">
        <v>101</v>
      </c>
      <c r="G607" s="37" t="s">
        <v>2408</v>
      </c>
      <c r="H607" s="37">
        <v>12.21</v>
      </c>
      <c r="I607" s="37">
        <v>8</v>
      </c>
      <c r="J607" s="37" t="s">
        <v>3867</v>
      </c>
      <c r="K607" s="37" t="s">
        <v>34</v>
      </c>
      <c r="L607" s="37" t="s">
        <v>130</v>
      </c>
      <c r="M607" s="37" t="str">
        <f t="shared" si="56"/>
        <v>ICU</v>
      </c>
      <c r="N607" s="37" t="str">
        <f t="shared" si="54"/>
        <v>Cash</v>
      </c>
      <c r="O607" s="37" t="str" cm="1">
        <f t="array" ref="O607">IF(TRIM(N607)="",INDEX($N$2:$N$1500,MATCH(MAX(COUNTIF($N$2:$N$1500,$N$2:$N$1500)),COUNTIF($N$2:$N$1500,$N$2:$N$1500),0)),N607)</f>
        <v>Cash</v>
      </c>
      <c r="P607" s="38" cm="1">
        <f t="array" ref="P607">ROUND(IF(TRIM(H607)="",IFERROR(MEDIAN(IF($M$2:$M$1500=M607,$H$2:$H$1500)),MEDIAN($H$2:$H$1500)),H607),2)</f>
        <v>12.21</v>
      </c>
      <c r="Q607" s="38" t="str">
        <f t="shared" si="57"/>
        <v>0</v>
      </c>
      <c r="R607" s="39" cm="1">
        <f t="array" ref="R607">IF(OR(TRIM(J607)="",TRIM(J607)="-"),MEDIAN(IF($C$2:$C$1218=C607,$J$2:$J$1218)),VALUE(SUBSTITUTE(SUBSTITUTE(SUBSTITUTE(J607,"Rs. ",""),"₹",""),",","")))</f>
        <v>71880</v>
      </c>
      <c r="S607" s="40">
        <f t="shared" si="55"/>
        <v>0</v>
      </c>
      <c r="T607" s="41">
        <f t="shared" si="58"/>
        <v>0</v>
      </c>
      <c r="U607" s="42">
        <f t="shared" si="59"/>
        <v>71880</v>
      </c>
    </row>
    <row r="608" spans="1:21" x14ac:dyDescent="0.3">
      <c r="A608" s="37" t="s">
        <v>3868</v>
      </c>
      <c r="B608" s="37" t="s">
        <v>3869</v>
      </c>
      <c r="C608" s="37" t="s">
        <v>2521</v>
      </c>
      <c r="D608" s="37" t="s">
        <v>106</v>
      </c>
      <c r="E608" s="37" t="s">
        <v>107</v>
      </c>
      <c r="F608" s="37"/>
      <c r="G608" s="37" t="s">
        <v>2477</v>
      </c>
      <c r="H608" s="37">
        <v>15.63</v>
      </c>
      <c r="I608" s="37"/>
      <c r="J608" s="37" t="s">
        <v>3870</v>
      </c>
      <c r="K608" s="37" t="s">
        <v>311</v>
      </c>
      <c r="L608" s="37">
        <v>0</v>
      </c>
      <c r="M608" s="37" t="str">
        <f t="shared" si="56"/>
        <v>Unknown</v>
      </c>
      <c r="N608" s="37" t="str">
        <f t="shared" si="54"/>
        <v>UPI</v>
      </c>
      <c r="O608" s="37" t="str" cm="1">
        <f t="array" ref="O608">IF(TRIM(N608)="",INDEX($N$2:$N$1500,MATCH(MAX(COUNTIF($N$2:$N$1500,$N$2:$N$1500)),COUNTIF($N$2:$N$1500,$N$2:$N$1500),0)),N608)</f>
        <v>UPI</v>
      </c>
      <c r="P608" s="38" cm="1">
        <f t="array" ref="P608">ROUND(IF(TRIM(H608)="",IFERROR(MEDIAN(IF($M$2:$M$1500=M608,$H$2:$H$1500)),MEDIAN($H$2:$H$1500)),H608),2)</f>
        <v>15.63</v>
      </c>
      <c r="Q608" s="38" t="str">
        <f t="shared" si="57"/>
        <v>0</v>
      </c>
      <c r="R608" s="39" cm="1">
        <f t="array" ref="R608">IF(OR(TRIM(J608)="",TRIM(J608)="-"),MEDIAN(IF($C$2:$C$1218=C608,$J$2:$J$1218)),VALUE(SUBSTITUTE(SUBSTITUTE(SUBSTITUTE(J608,"Rs. ",""),"₹",""),",","")))</f>
        <v>5259</v>
      </c>
      <c r="S608" s="40">
        <f t="shared" si="55"/>
        <v>0</v>
      </c>
      <c r="T608" s="41">
        <f t="shared" si="58"/>
        <v>0</v>
      </c>
      <c r="U608" s="42">
        <f t="shared" si="59"/>
        <v>5259</v>
      </c>
    </row>
    <row r="609" spans="1:21" x14ac:dyDescent="0.3">
      <c r="A609" s="37" t="s">
        <v>3871</v>
      </c>
      <c r="B609" s="37" t="s">
        <v>3872</v>
      </c>
      <c r="C609" s="37" t="s">
        <v>2521</v>
      </c>
      <c r="D609" s="37" t="s">
        <v>14</v>
      </c>
      <c r="E609" s="37" t="s">
        <v>60</v>
      </c>
      <c r="F609" s="37" t="s">
        <v>49</v>
      </c>
      <c r="G609" s="37" t="s">
        <v>2746</v>
      </c>
      <c r="H609" s="37">
        <v>9.74</v>
      </c>
      <c r="I609" s="37" t="s">
        <v>140</v>
      </c>
      <c r="J609" s="37" t="s">
        <v>3873</v>
      </c>
      <c r="K609" s="37" t="s">
        <v>236</v>
      </c>
      <c r="L609" s="37" t="s">
        <v>130</v>
      </c>
      <c r="M609" s="37" t="str">
        <f t="shared" si="56"/>
        <v>General</v>
      </c>
      <c r="N609" s="37" t="str">
        <f t="shared" si="54"/>
        <v>Debit Card</v>
      </c>
      <c r="O609" s="37" t="str" cm="1">
        <f t="array" ref="O609">IF(TRIM(N609)="",INDEX($N$2:$N$1500,MATCH(MAX(COUNTIF($N$2:$N$1500,$N$2:$N$1500)),COUNTIF($N$2:$N$1500,$N$2:$N$1500),0)),N609)</f>
        <v>Debit Card</v>
      </c>
      <c r="P609" s="38" cm="1">
        <f t="array" ref="P609">ROUND(IF(TRIM(H609)="",IFERROR(MEDIAN(IF($M$2:$M$1500=M609,$H$2:$H$1500)),MEDIAN($H$2:$H$1500)),H609),2)</f>
        <v>9.74</v>
      </c>
      <c r="Q609" s="38" t="str">
        <f t="shared" si="57"/>
        <v>2</v>
      </c>
      <c r="R609" s="39" cm="1">
        <f t="array" ref="R609">IF(OR(TRIM(J609)="",TRIM(J609)="-"),MEDIAN(IF($C$2:$C$1218=C609,$J$2:$J$1218)),VALUE(SUBSTITUTE(SUBSTITUTE(SUBSTITUTE(J609,"Rs. ",""),"₹",""),",","")))</f>
        <v>5248</v>
      </c>
      <c r="S609" s="40">
        <f t="shared" si="55"/>
        <v>0</v>
      </c>
      <c r="T609" s="41">
        <f t="shared" si="58"/>
        <v>0</v>
      </c>
      <c r="U609" s="42">
        <f t="shared" si="59"/>
        <v>5248</v>
      </c>
    </row>
    <row r="610" spans="1:21" x14ac:dyDescent="0.3">
      <c r="A610" s="37" t="s">
        <v>3874</v>
      </c>
      <c r="B610" s="37" t="s">
        <v>3875</v>
      </c>
      <c r="C610" s="37" t="s">
        <v>2469</v>
      </c>
      <c r="D610" s="37" t="s">
        <v>14</v>
      </c>
      <c r="E610" s="37" t="s">
        <v>60</v>
      </c>
      <c r="F610" s="37" t="s">
        <v>30</v>
      </c>
      <c r="G610" s="37" t="s">
        <v>2439</v>
      </c>
      <c r="H610" s="37">
        <v>17.170000000000002</v>
      </c>
      <c r="I610" s="37">
        <v>7</v>
      </c>
      <c r="J610" s="37" t="s">
        <v>3876</v>
      </c>
      <c r="K610" s="37" t="s">
        <v>311</v>
      </c>
      <c r="L610" s="37"/>
      <c r="M610" s="37" t="str">
        <f t="shared" si="56"/>
        <v>General</v>
      </c>
      <c r="N610" s="37" t="str">
        <f t="shared" si="54"/>
        <v>UPI</v>
      </c>
      <c r="O610" s="37" t="str" cm="1">
        <f t="array" ref="O610">IF(TRIM(N610)="",INDEX($N$2:$N$1500,MATCH(MAX(COUNTIF($N$2:$N$1500,$N$2:$N$1500)),COUNTIF($N$2:$N$1500,$N$2:$N$1500),0)),N610)</f>
        <v>UPI</v>
      </c>
      <c r="P610" s="38" cm="1">
        <f t="array" ref="P610">ROUND(IF(TRIM(H610)="",IFERROR(MEDIAN(IF($M$2:$M$1500=M610,$H$2:$H$1500)),MEDIAN($H$2:$H$1500)),H610),2)</f>
        <v>17.170000000000002</v>
      </c>
      <c r="Q610" s="38" t="str">
        <f t="shared" si="57"/>
        <v>2</v>
      </c>
      <c r="R610" s="39" cm="1">
        <f t="array" ref="R610">IF(OR(TRIM(J610)="",TRIM(J610)="-"),MEDIAN(IF($C$2:$C$1218=C610,$J$2:$J$1218)),VALUE(SUBSTITUTE(SUBSTITUTE(SUBSTITUTE(J610,"Rs. ",""),"₹",""),",","")))</f>
        <v>16547</v>
      </c>
      <c r="S610" s="40">
        <f t="shared" si="55"/>
        <v>0</v>
      </c>
      <c r="T610" s="41">
        <f t="shared" si="58"/>
        <v>0</v>
      </c>
      <c r="U610" s="42">
        <f t="shared" si="59"/>
        <v>16547</v>
      </c>
    </row>
    <row r="611" spans="1:21" x14ac:dyDescent="0.3">
      <c r="A611" s="37" t="s">
        <v>3877</v>
      </c>
      <c r="B611" s="37" t="s">
        <v>3878</v>
      </c>
      <c r="C611" s="37" t="s">
        <v>2481</v>
      </c>
      <c r="D611" s="37" t="s">
        <v>45</v>
      </c>
      <c r="E611" s="37" t="s">
        <v>46</v>
      </c>
      <c r="F611" s="37" t="s">
        <v>39</v>
      </c>
      <c r="G611" s="37" t="s">
        <v>2408</v>
      </c>
      <c r="H611" s="37">
        <v>20.69</v>
      </c>
      <c r="I611" s="37">
        <v>3</v>
      </c>
      <c r="J611" s="37" t="s">
        <v>3879</v>
      </c>
      <c r="K611" s="37" t="s">
        <v>42</v>
      </c>
      <c r="L611" s="37" t="s">
        <v>76</v>
      </c>
      <c r="M611" s="37" t="str">
        <f t="shared" si="56"/>
        <v>General</v>
      </c>
      <c r="N611" s="37" t="str">
        <f t="shared" si="54"/>
        <v>Insurance</v>
      </c>
      <c r="O611" s="37" t="str" cm="1">
        <f t="array" ref="O611">IF(TRIM(N611)="",INDEX($N$2:$N$1500,MATCH(MAX(COUNTIF($N$2:$N$1500,$N$2:$N$1500)),COUNTIF($N$2:$N$1500,$N$2:$N$1500),0)),N611)</f>
        <v>Insurance</v>
      </c>
      <c r="P611" s="38" cm="1">
        <f t="array" ref="P611">ROUND(IF(TRIM(H611)="",IFERROR(MEDIAN(IF($M$2:$M$1500=M611,$H$2:$H$1500)),MEDIAN($H$2:$H$1500)),H611),2)</f>
        <v>20.69</v>
      </c>
      <c r="Q611" s="38" t="str">
        <f t="shared" si="57"/>
        <v>0</v>
      </c>
      <c r="R611" s="39" cm="1">
        <f t="array" ref="R611">IF(OR(TRIM(J611)="",TRIM(J611)="-"),MEDIAN(IF($C$2:$C$1218=C611,$J$2:$J$1218)),VALUE(SUBSTITUTE(SUBSTITUTE(SUBSTITUTE(J611,"Rs. ",""),"₹",""),",","")))</f>
        <v>14623</v>
      </c>
      <c r="S611" s="40">
        <f t="shared" si="55"/>
        <v>10</v>
      </c>
      <c r="T611" s="41">
        <f t="shared" si="58"/>
        <v>10</v>
      </c>
      <c r="U611" s="42">
        <f t="shared" si="59"/>
        <v>13161</v>
      </c>
    </row>
    <row r="612" spans="1:21" x14ac:dyDescent="0.3">
      <c r="A612" s="37" t="s">
        <v>3880</v>
      </c>
      <c r="B612" s="37" t="s">
        <v>2853</v>
      </c>
      <c r="C612" s="37" t="s">
        <v>2514</v>
      </c>
      <c r="D612" s="37" t="s">
        <v>14</v>
      </c>
      <c r="E612" s="37" t="s">
        <v>60</v>
      </c>
      <c r="F612" s="37" t="s">
        <v>49</v>
      </c>
      <c r="G612" s="37" t="s">
        <v>2455</v>
      </c>
      <c r="H612" s="37">
        <v>16.82</v>
      </c>
      <c r="I612" s="37">
        <v>42</v>
      </c>
      <c r="J612" s="37">
        <v>14787</v>
      </c>
      <c r="K612" s="37" t="s">
        <v>87</v>
      </c>
      <c r="L612" s="37">
        <v>10</v>
      </c>
      <c r="M612" s="37" t="str">
        <f t="shared" si="56"/>
        <v>General</v>
      </c>
      <c r="N612" s="37" t="str">
        <f t="shared" si="54"/>
        <v>Credit Card</v>
      </c>
      <c r="O612" s="37" t="str" cm="1">
        <f t="array" ref="O612">IF(TRIM(N612)="",INDEX($N$2:$N$1500,MATCH(MAX(COUNTIF($N$2:$N$1500,$N$2:$N$1500)),COUNTIF($N$2:$N$1500,$N$2:$N$1500),0)),N612)</f>
        <v>Credit Card</v>
      </c>
      <c r="P612" s="38" cm="1">
        <f t="array" ref="P612">ROUND(IF(TRIM(H612)="",IFERROR(MEDIAN(IF($M$2:$M$1500=M612,$H$2:$H$1500)),MEDIAN($H$2:$H$1500)),H612),2)</f>
        <v>16.82</v>
      </c>
      <c r="Q612" s="38" t="str">
        <f t="shared" si="57"/>
        <v>1</v>
      </c>
      <c r="R612" s="39" cm="1">
        <f t="array" ref="R612">IF(OR(TRIM(J612)="",TRIM(J612)="-"),MEDIAN(IF($C$2:$C$1218=C612,$J$2:$J$1218)),VALUE(SUBSTITUTE(SUBSTITUTE(SUBSTITUTE(J612,"Rs. ",""),"₹",""),",","")))</f>
        <v>14787</v>
      </c>
      <c r="S612" s="40">
        <f t="shared" si="55"/>
        <v>10</v>
      </c>
      <c r="T612" s="41">
        <f t="shared" si="58"/>
        <v>10</v>
      </c>
      <c r="U612" s="42">
        <f t="shared" si="59"/>
        <v>13308</v>
      </c>
    </row>
    <row r="613" spans="1:21" x14ac:dyDescent="0.3">
      <c r="A613" s="37" t="s">
        <v>3881</v>
      </c>
      <c r="B613" s="37" t="s">
        <v>3882</v>
      </c>
      <c r="C613" s="37" t="s">
        <v>2466</v>
      </c>
      <c r="D613" s="37" t="s">
        <v>78</v>
      </c>
      <c r="E613" s="37" t="s">
        <v>203</v>
      </c>
      <c r="F613" s="37" t="s">
        <v>101</v>
      </c>
      <c r="G613" s="37" t="s">
        <v>2435</v>
      </c>
      <c r="H613" s="37">
        <v>19.760000000000002</v>
      </c>
      <c r="I613" s="37">
        <v>8</v>
      </c>
      <c r="J613" s="37" t="s">
        <v>3883</v>
      </c>
      <c r="K613" s="37" t="s">
        <v>149</v>
      </c>
      <c r="L613" s="37">
        <v>35</v>
      </c>
      <c r="M613" s="37" t="str">
        <f t="shared" si="56"/>
        <v>ICU</v>
      </c>
      <c r="N613" s="37" t="str">
        <f t="shared" si="54"/>
        <v>Insurance</v>
      </c>
      <c r="O613" s="37" t="str" cm="1">
        <f t="array" ref="O613">IF(TRIM(N613)="",INDEX($N$2:$N$1500,MATCH(MAX(COUNTIF($N$2:$N$1500,$N$2:$N$1500)),COUNTIF($N$2:$N$1500,$N$2:$N$1500),0)),N613)</f>
        <v>Insurance</v>
      </c>
      <c r="P613" s="38" cm="1">
        <f t="array" ref="P613">ROUND(IF(TRIM(H613)="",IFERROR(MEDIAN(IF($M$2:$M$1500=M613,$H$2:$H$1500)),MEDIAN($H$2:$H$1500)),H613),2)</f>
        <v>19.760000000000002</v>
      </c>
      <c r="Q613" s="38" t="str">
        <f t="shared" si="57"/>
        <v>0</v>
      </c>
      <c r="R613" s="39" cm="1">
        <f t="array" ref="R613">IF(OR(TRIM(J613)="",TRIM(J613)="-"),MEDIAN(IF($C$2:$C$1218=C613,$J$2:$J$1218)),VALUE(SUBSTITUTE(SUBSTITUTE(SUBSTITUTE(J613,"Rs. ",""),"₹",""),",","")))</f>
        <v>67507</v>
      </c>
      <c r="S613" s="40">
        <f t="shared" si="55"/>
        <v>35</v>
      </c>
      <c r="T613" s="41">
        <f t="shared" si="58"/>
        <v>35</v>
      </c>
      <c r="U613" s="42">
        <f t="shared" si="59"/>
        <v>43880</v>
      </c>
    </row>
    <row r="614" spans="1:21" x14ac:dyDescent="0.3">
      <c r="A614" s="37" t="s">
        <v>3884</v>
      </c>
      <c r="B614" s="37" t="s">
        <v>3570</v>
      </c>
      <c r="C614" s="37" t="s">
        <v>2504</v>
      </c>
      <c r="D614" s="37" t="s">
        <v>14</v>
      </c>
      <c r="E614" s="37" t="s">
        <v>60</v>
      </c>
      <c r="F614" s="37"/>
      <c r="G614" s="37" t="s">
        <v>2477</v>
      </c>
      <c r="H614" s="37">
        <v>22.73</v>
      </c>
      <c r="I614" s="37">
        <v>45</v>
      </c>
      <c r="J614" s="37">
        <v>12915</v>
      </c>
      <c r="K614" s="37" t="s">
        <v>104</v>
      </c>
      <c r="L614" s="37">
        <v>18</v>
      </c>
      <c r="M614" s="37" t="str">
        <f t="shared" si="56"/>
        <v>Unknown</v>
      </c>
      <c r="N614" s="37" t="str">
        <f t="shared" si="54"/>
        <v>Insurance</v>
      </c>
      <c r="O614" s="37" t="str" cm="1">
        <f t="array" ref="O614">IF(TRIM(N614)="",INDEX($N$2:$N$1500,MATCH(MAX(COUNTIF($N$2:$N$1500,$N$2:$N$1500)),COUNTIF($N$2:$N$1500,$N$2:$N$1500),0)),N614)</f>
        <v>Insurance</v>
      </c>
      <c r="P614" s="38" cm="1">
        <f t="array" ref="P614">ROUND(IF(TRIM(H614)="",IFERROR(MEDIAN(IF($M$2:$M$1500=M614,$H$2:$H$1500)),MEDIAN($H$2:$H$1500)),H614),2)</f>
        <v>22.73</v>
      </c>
      <c r="Q614" s="38" t="str">
        <f t="shared" si="57"/>
        <v>0</v>
      </c>
      <c r="R614" s="39" cm="1">
        <f t="array" ref="R614">IF(OR(TRIM(J614)="",TRIM(J614)="-"),MEDIAN(IF($C$2:$C$1218=C614,$J$2:$J$1218)),VALUE(SUBSTITUTE(SUBSTITUTE(SUBSTITUTE(J614,"Rs. ",""),"₹",""),",","")))</f>
        <v>12915</v>
      </c>
      <c r="S614" s="40">
        <f t="shared" si="55"/>
        <v>18</v>
      </c>
      <c r="T614" s="41">
        <f t="shared" si="58"/>
        <v>18</v>
      </c>
      <c r="U614" s="42">
        <f t="shared" si="59"/>
        <v>10590</v>
      </c>
    </row>
    <row r="615" spans="1:21" x14ac:dyDescent="0.3">
      <c r="A615" s="37" t="s">
        <v>3885</v>
      </c>
      <c r="B615" s="37" t="s">
        <v>3886</v>
      </c>
      <c r="C615" s="37" t="s">
        <v>2466</v>
      </c>
      <c r="D615" s="37" t="s">
        <v>25</v>
      </c>
      <c r="E615" s="37" t="s">
        <v>54</v>
      </c>
      <c r="F615" s="37" t="s">
        <v>69</v>
      </c>
      <c r="G615" s="37" t="s">
        <v>2477</v>
      </c>
      <c r="H615" s="37">
        <v>23.12</v>
      </c>
      <c r="I615" s="37">
        <v>51</v>
      </c>
      <c r="J615" s="37">
        <v>58186</v>
      </c>
      <c r="K615" s="37" t="s">
        <v>115</v>
      </c>
      <c r="L615" s="37">
        <v>0</v>
      </c>
      <c r="M615" s="37" t="str">
        <f t="shared" si="56"/>
        <v>ICU</v>
      </c>
      <c r="N615" s="37" t="str">
        <f t="shared" si="54"/>
        <v>Cash</v>
      </c>
      <c r="O615" s="37" t="str" cm="1">
        <f t="array" ref="O615">IF(TRIM(N615)="",INDEX($N$2:$N$1500,MATCH(MAX(COUNTIF($N$2:$N$1500,$N$2:$N$1500)),COUNTIF($N$2:$N$1500,$N$2:$N$1500),0)),N615)</f>
        <v>Cash</v>
      </c>
      <c r="P615" s="38" cm="1">
        <f t="array" ref="P615">ROUND(IF(TRIM(H615)="",IFERROR(MEDIAN(IF($M$2:$M$1500=M615,$H$2:$H$1500)),MEDIAN($H$2:$H$1500)),H615),2)</f>
        <v>23.12</v>
      </c>
      <c r="Q615" s="38" t="str">
        <f t="shared" si="57"/>
        <v>0</v>
      </c>
      <c r="R615" s="39" cm="1">
        <f t="array" ref="R615">IF(OR(TRIM(J615)="",TRIM(J615)="-"),MEDIAN(IF($C$2:$C$1218=C615,$J$2:$J$1218)),VALUE(SUBSTITUTE(SUBSTITUTE(SUBSTITUTE(J615,"Rs. ",""),"₹",""),",","")))</f>
        <v>58186</v>
      </c>
      <c r="S615" s="40">
        <f t="shared" si="55"/>
        <v>0</v>
      </c>
      <c r="T615" s="41">
        <f t="shared" si="58"/>
        <v>0</v>
      </c>
      <c r="U615" s="42">
        <f t="shared" si="59"/>
        <v>58186</v>
      </c>
    </row>
    <row r="616" spans="1:21" x14ac:dyDescent="0.3">
      <c r="A616" s="37" t="s">
        <v>3887</v>
      </c>
      <c r="B616" s="37" t="s">
        <v>2766</v>
      </c>
      <c r="C616" s="37" t="s">
        <v>2629</v>
      </c>
      <c r="D616" s="37" t="s">
        <v>106</v>
      </c>
      <c r="E616" s="37" t="s">
        <v>107</v>
      </c>
      <c r="F616" s="37" t="s">
        <v>30</v>
      </c>
      <c r="G616" s="37" t="s">
        <v>2418</v>
      </c>
      <c r="H616" s="37">
        <v>17.25</v>
      </c>
      <c r="I616" s="37">
        <v>46</v>
      </c>
      <c r="J616" s="37">
        <v>9933</v>
      </c>
      <c r="K616" s="37" t="s">
        <v>115</v>
      </c>
      <c r="L616" s="37" t="s">
        <v>130</v>
      </c>
      <c r="M616" s="37" t="str">
        <f t="shared" si="56"/>
        <v>General</v>
      </c>
      <c r="N616" s="37" t="str">
        <f t="shared" si="54"/>
        <v>Cash</v>
      </c>
      <c r="O616" s="37" t="str" cm="1">
        <f t="array" ref="O616">IF(TRIM(N616)="",INDEX($N$2:$N$1500,MATCH(MAX(COUNTIF($N$2:$N$1500,$N$2:$N$1500)),COUNTIF($N$2:$N$1500,$N$2:$N$1500),0)),N616)</f>
        <v>Cash</v>
      </c>
      <c r="P616" s="38" cm="1">
        <f t="array" ref="P616">ROUND(IF(TRIM(H616)="",IFERROR(MEDIAN(IF($M$2:$M$1500=M616,$H$2:$H$1500)),MEDIAN($H$2:$H$1500)),H616),2)</f>
        <v>17.25</v>
      </c>
      <c r="Q616" s="38" t="str">
        <f t="shared" si="57"/>
        <v>1</v>
      </c>
      <c r="R616" s="39" cm="1">
        <f t="array" ref="R616">IF(OR(TRIM(J616)="",TRIM(J616)="-"),MEDIAN(IF($C$2:$C$1218=C616,$J$2:$J$1218)),VALUE(SUBSTITUTE(SUBSTITUTE(SUBSTITUTE(J616,"Rs. ",""),"₹",""),",","")))</f>
        <v>9933</v>
      </c>
      <c r="S616" s="40">
        <f t="shared" si="55"/>
        <v>0</v>
      </c>
      <c r="T616" s="41">
        <f t="shared" si="58"/>
        <v>0</v>
      </c>
      <c r="U616" s="42">
        <f t="shared" si="59"/>
        <v>9933</v>
      </c>
    </row>
    <row r="617" spans="1:21" x14ac:dyDescent="0.3">
      <c r="A617" s="37" t="s">
        <v>3888</v>
      </c>
      <c r="B617" s="37" t="s">
        <v>3889</v>
      </c>
      <c r="C617" s="37" t="s">
        <v>2411</v>
      </c>
      <c r="D617" s="37" t="s">
        <v>45</v>
      </c>
      <c r="E617" s="37" t="s">
        <v>46</v>
      </c>
      <c r="F617" s="37" t="s">
        <v>49</v>
      </c>
      <c r="G617" s="37" t="s">
        <v>2423</v>
      </c>
      <c r="H617" s="37">
        <v>12.75</v>
      </c>
      <c r="I617" s="37">
        <v>11</v>
      </c>
      <c r="J617" s="37"/>
      <c r="K617" s="37" t="s">
        <v>87</v>
      </c>
      <c r="L617" s="37" t="s">
        <v>130</v>
      </c>
      <c r="M617" s="37" t="str">
        <f t="shared" si="56"/>
        <v>General</v>
      </c>
      <c r="N617" s="37" t="str">
        <f t="shared" si="54"/>
        <v>Credit Card</v>
      </c>
      <c r="O617" s="37" t="str" cm="1">
        <f t="array" ref="O617">IF(TRIM(N617)="",INDEX($N$2:$N$1500,MATCH(MAX(COUNTIF($N$2:$N$1500,$N$2:$N$1500)),COUNTIF($N$2:$N$1500,$N$2:$N$1500),0)),N617)</f>
        <v>Credit Card</v>
      </c>
      <c r="P617" s="38" cm="1">
        <f t="array" ref="P617">ROUND(IF(TRIM(H617)="",IFERROR(MEDIAN(IF($M$2:$M$1500=M617,$H$2:$H$1500)),MEDIAN($H$2:$H$1500)),H617),2)</f>
        <v>12.75</v>
      </c>
      <c r="Q617" s="38" t="str">
        <f t="shared" si="57"/>
        <v>0</v>
      </c>
      <c r="R617" s="39" cm="1">
        <f t="array" ref="R617">IF(OR(TRIM(J617)="",TRIM(J617)="-"),MEDIAN(IF($C$2:$C$1218=C617,$J$2:$J$1218)),VALUE(SUBSTITUTE(SUBSTITUTE(SUBSTITUTE(J617,"Rs. ",""),"₹",""),",","")))</f>
        <v>13759</v>
      </c>
      <c r="S617" s="40">
        <f t="shared" si="55"/>
        <v>0</v>
      </c>
      <c r="T617" s="41">
        <f t="shared" si="58"/>
        <v>0</v>
      </c>
      <c r="U617" s="42">
        <f t="shared" si="59"/>
        <v>13759</v>
      </c>
    </row>
    <row r="618" spans="1:21" x14ac:dyDescent="0.3">
      <c r="A618" s="37" t="s">
        <v>3890</v>
      </c>
      <c r="B618" s="37" t="s">
        <v>3891</v>
      </c>
      <c r="C618" s="37" t="s">
        <v>2536</v>
      </c>
      <c r="D618" s="37" t="s">
        <v>45</v>
      </c>
      <c r="E618" s="37" t="s">
        <v>334</v>
      </c>
      <c r="F618" s="37" t="s">
        <v>49</v>
      </c>
      <c r="G618" s="37" t="s">
        <v>2455</v>
      </c>
      <c r="H618" s="37">
        <v>11.87</v>
      </c>
      <c r="I618" s="37">
        <v>41</v>
      </c>
      <c r="J618" s="37" t="s">
        <v>3892</v>
      </c>
      <c r="K618" s="37" t="s">
        <v>104</v>
      </c>
      <c r="L618" s="37" t="s">
        <v>64</v>
      </c>
      <c r="M618" s="37" t="str">
        <f t="shared" si="56"/>
        <v>General</v>
      </c>
      <c r="N618" s="37" t="str">
        <f t="shared" si="54"/>
        <v>Insurance</v>
      </c>
      <c r="O618" s="37" t="str" cm="1">
        <f t="array" ref="O618">IF(TRIM(N618)="",INDEX($N$2:$N$1500,MATCH(MAX(COUNTIF($N$2:$N$1500,$N$2:$N$1500)),COUNTIF($N$2:$N$1500,$N$2:$N$1500),0)),N618)</f>
        <v>Insurance</v>
      </c>
      <c r="P618" s="38" cm="1">
        <f t="array" ref="P618">ROUND(IF(TRIM(H618)="",IFERROR(MEDIAN(IF($M$2:$M$1500=M618,$H$2:$H$1500)),MEDIAN($H$2:$H$1500)),H618),2)</f>
        <v>11.87</v>
      </c>
      <c r="Q618" s="38" t="str">
        <f t="shared" si="57"/>
        <v>1</v>
      </c>
      <c r="R618" s="39" cm="1">
        <f t="array" ref="R618">IF(OR(TRIM(J618)="",TRIM(J618)="-"),MEDIAN(IF($C$2:$C$1218=C618,$J$2:$J$1218)),VALUE(SUBSTITUTE(SUBSTITUTE(SUBSTITUTE(J618,"Rs. ",""),"₹",""),",","")))</f>
        <v>13633</v>
      </c>
      <c r="S618" s="40" t="str">
        <f t="shared" si="55"/>
        <v>NA</v>
      </c>
      <c r="T618" s="41">
        <f t="shared" si="58"/>
        <v>17</v>
      </c>
      <c r="U618" s="42">
        <f t="shared" si="59"/>
        <v>11315</v>
      </c>
    </row>
    <row r="619" spans="1:21" x14ac:dyDescent="0.3">
      <c r="A619" s="37" t="s">
        <v>3893</v>
      </c>
      <c r="B619" s="37" t="s">
        <v>3894</v>
      </c>
      <c r="C619" s="37" t="s">
        <v>2463</v>
      </c>
      <c r="D619" s="37" t="s">
        <v>78</v>
      </c>
      <c r="E619" s="37" t="s">
        <v>161</v>
      </c>
      <c r="F619" s="37" t="s">
        <v>30</v>
      </c>
      <c r="G619" s="37" t="s">
        <v>2455</v>
      </c>
      <c r="H619" s="37">
        <v>3.07</v>
      </c>
      <c r="I619" s="37">
        <v>60</v>
      </c>
      <c r="J619" s="37">
        <v>7071</v>
      </c>
      <c r="K619" s="37" t="s">
        <v>72</v>
      </c>
      <c r="L619" s="37">
        <v>0</v>
      </c>
      <c r="M619" s="37" t="str">
        <f t="shared" si="56"/>
        <v>General</v>
      </c>
      <c r="N619" s="37" t="str">
        <f t="shared" si="54"/>
        <v>Cash</v>
      </c>
      <c r="O619" s="37" t="str" cm="1">
        <f t="array" ref="O619">IF(TRIM(N619)="",INDEX($N$2:$N$1500,MATCH(MAX(COUNTIF($N$2:$N$1500,$N$2:$N$1500)),COUNTIF($N$2:$N$1500,$N$2:$N$1500),0)),N619)</f>
        <v>Cash</v>
      </c>
      <c r="P619" s="38" cm="1">
        <f t="array" ref="P619">ROUND(IF(TRIM(H619)="",IFERROR(MEDIAN(IF($M$2:$M$1500=M619,$H$2:$H$1500)),MEDIAN($H$2:$H$1500)),H619),2)</f>
        <v>3.07</v>
      </c>
      <c r="Q619" s="38" t="str">
        <f t="shared" si="57"/>
        <v>1</v>
      </c>
      <c r="R619" s="39" cm="1">
        <f t="array" ref="R619">IF(OR(TRIM(J619)="",TRIM(J619)="-"),MEDIAN(IF($C$2:$C$1218=C619,$J$2:$J$1218)),VALUE(SUBSTITUTE(SUBSTITUTE(SUBSTITUTE(J619,"Rs. ",""),"₹",""),",","")))</f>
        <v>7071</v>
      </c>
      <c r="S619" s="40">
        <f t="shared" si="55"/>
        <v>0</v>
      </c>
      <c r="T619" s="41">
        <f t="shared" si="58"/>
        <v>0</v>
      </c>
      <c r="U619" s="42">
        <f t="shared" si="59"/>
        <v>7071</v>
      </c>
    </row>
    <row r="620" spans="1:21" x14ac:dyDescent="0.3">
      <c r="A620" s="37" t="s">
        <v>3895</v>
      </c>
      <c r="B620" s="37" t="s">
        <v>3896</v>
      </c>
      <c r="C620" s="37" t="s">
        <v>2504</v>
      </c>
      <c r="D620" s="37" t="s">
        <v>14</v>
      </c>
      <c r="E620" s="37" t="s">
        <v>60</v>
      </c>
      <c r="F620" s="37" t="s">
        <v>62</v>
      </c>
      <c r="G620" s="37" t="s">
        <v>2423</v>
      </c>
      <c r="H620" s="37">
        <v>15.71</v>
      </c>
      <c r="I620" s="37">
        <v>35</v>
      </c>
      <c r="J620" s="37" t="s">
        <v>3897</v>
      </c>
      <c r="K620" s="37" t="s">
        <v>23</v>
      </c>
      <c r="L620" s="37" t="s">
        <v>140</v>
      </c>
      <c r="M620" s="37" t="str">
        <f t="shared" si="56"/>
        <v>ICU</v>
      </c>
      <c r="N620" s="37" t="str">
        <f t="shared" si="54"/>
        <v>Credit Card</v>
      </c>
      <c r="O620" s="37" t="str" cm="1">
        <f t="array" ref="O620">IF(TRIM(N620)="",INDEX($N$2:$N$1500,MATCH(MAX(COUNTIF($N$2:$N$1500,$N$2:$N$1500)),COUNTIF($N$2:$N$1500,$N$2:$N$1500),0)),N620)</f>
        <v>Credit Card</v>
      </c>
      <c r="P620" s="38" cm="1">
        <f t="array" ref="P620">ROUND(IF(TRIM(H620)="",IFERROR(MEDIAN(IF($M$2:$M$1500=M620,$H$2:$H$1500)),MEDIAN($H$2:$H$1500)),H620),2)</f>
        <v>15.71</v>
      </c>
      <c r="Q620" s="38" t="str">
        <f t="shared" si="57"/>
        <v>0</v>
      </c>
      <c r="R620" s="39" cm="1">
        <f t="array" ref="R620">IF(OR(TRIM(J620)="",TRIM(J620)="-"),MEDIAN(IF($C$2:$C$1218=C620,$J$2:$J$1218)),VALUE(SUBSTITUTE(SUBSTITUTE(SUBSTITUTE(J620,"Rs. ",""),"₹",""),",","")))</f>
        <v>44459</v>
      </c>
      <c r="S620" s="40" t="str">
        <f t="shared" si="55"/>
        <v>-</v>
      </c>
      <c r="T620" s="41">
        <f t="shared" si="58"/>
        <v>2</v>
      </c>
      <c r="U620" s="42">
        <f t="shared" si="59"/>
        <v>43570</v>
      </c>
    </row>
    <row r="621" spans="1:21" x14ac:dyDescent="0.3">
      <c r="A621" s="37" t="s">
        <v>3898</v>
      </c>
      <c r="B621" s="37" t="s">
        <v>2940</v>
      </c>
      <c r="C621" s="37" t="s">
        <v>2427</v>
      </c>
      <c r="D621" s="37" t="s">
        <v>106</v>
      </c>
      <c r="E621" s="37" t="s">
        <v>107</v>
      </c>
      <c r="F621" s="37" t="s">
        <v>39</v>
      </c>
      <c r="G621" s="37" t="s">
        <v>2477</v>
      </c>
      <c r="H621" s="37">
        <v>15.91</v>
      </c>
      <c r="I621" s="37">
        <v>10</v>
      </c>
      <c r="J621" s="37">
        <v>11348</v>
      </c>
      <c r="K621" s="37" t="s">
        <v>149</v>
      </c>
      <c r="L621" s="37"/>
      <c r="M621" s="37" t="str">
        <f t="shared" si="56"/>
        <v>General</v>
      </c>
      <c r="N621" s="37" t="str">
        <f t="shared" si="54"/>
        <v>Insurance</v>
      </c>
      <c r="O621" s="37" t="str" cm="1">
        <f t="array" ref="O621">IF(TRIM(N621)="",INDEX($N$2:$N$1500,MATCH(MAX(COUNTIF($N$2:$N$1500,$N$2:$N$1500)),COUNTIF($N$2:$N$1500,$N$2:$N$1500),0)),N621)</f>
        <v>Insurance</v>
      </c>
      <c r="P621" s="38" cm="1">
        <f t="array" ref="P621">ROUND(IF(TRIM(H621)="",IFERROR(MEDIAN(IF($M$2:$M$1500=M621,$H$2:$H$1500)),MEDIAN($H$2:$H$1500)),H621),2)</f>
        <v>15.91</v>
      </c>
      <c r="Q621" s="38" t="str">
        <f t="shared" si="57"/>
        <v>0</v>
      </c>
      <c r="R621" s="39" cm="1">
        <f t="array" ref="R621">IF(OR(TRIM(J621)="",TRIM(J621)="-"),MEDIAN(IF($C$2:$C$1218=C621,$J$2:$J$1218)),VALUE(SUBSTITUTE(SUBSTITUTE(SUBSTITUTE(J621,"Rs. ",""),"₹",""),",","")))</f>
        <v>11348</v>
      </c>
      <c r="S621" s="40">
        <f t="shared" si="55"/>
        <v>0</v>
      </c>
      <c r="T621" s="41">
        <f t="shared" si="58"/>
        <v>0</v>
      </c>
      <c r="U621" s="42">
        <f t="shared" si="59"/>
        <v>11348</v>
      </c>
    </row>
    <row r="622" spans="1:21" x14ac:dyDescent="0.3">
      <c r="A622" s="37" t="s">
        <v>3899</v>
      </c>
      <c r="B622" s="37" t="s">
        <v>3900</v>
      </c>
      <c r="C622" s="37" t="s">
        <v>2490</v>
      </c>
      <c r="D622" s="37" t="s">
        <v>117</v>
      </c>
      <c r="E622" s="37" t="s">
        <v>118</v>
      </c>
      <c r="F622" s="37" t="s">
        <v>19</v>
      </c>
      <c r="G622" s="37" t="s">
        <v>2412</v>
      </c>
      <c r="H622" s="37">
        <v>19.25</v>
      </c>
      <c r="I622" s="37">
        <v>28</v>
      </c>
      <c r="J622" s="37" t="s">
        <v>3901</v>
      </c>
      <c r="K622" s="37" t="s">
        <v>311</v>
      </c>
      <c r="L622" s="37">
        <v>5</v>
      </c>
      <c r="M622" s="37" t="str">
        <f t="shared" si="56"/>
        <v>General</v>
      </c>
      <c r="N622" s="37" t="str">
        <f t="shared" si="54"/>
        <v>UPI</v>
      </c>
      <c r="O622" s="37" t="str" cm="1">
        <f t="array" ref="O622">IF(TRIM(N622)="",INDEX($N$2:$N$1500,MATCH(MAX(COUNTIF($N$2:$N$1500,$N$2:$N$1500)),COUNTIF($N$2:$N$1500,$N$2:$N$1500),0)),N622)</f>
        <v>UPI</v>
      </c>
      <c r="P622" s="38" cm="1">
        <f t="array" ref="P622">ROUND(IF(TRIM(H622)="",IFERROR(MEDIAN(IF($M$2:$M$1500=M622,$H$2:$H$1500)),MEDIAN($H$2:$H$1500)),H622),2)</f>
        <v>19.25</v>
      </c>
      <c r="Q622" s="38" t="str">
        <f t="shared" si="57"/>
        <v>1</v>
      </c>
      <c r="R622" s="39" cm="1">
        <f t="array" ref="R622">IF(OR(TRIM(J622)="",TRIM(J622)="-"),MEDIAN(IF($C$2:$C$1218=C622,$J$2:$J$1218)),VALUE(SUBSTITUTE(SUBSTITUTE(SUBSTITUTE(J622,"Rs. ",""),"₹",""),",","")))</f>
        <v>19783</v>
      </c>
      <c r="S622" s="40">
        <f t="shared" si="55"/>
        <v>5</v>
      </c>
      <c r="T622" s="41">
        <f t="shared" si="58"/>
        <v>5</v>
      </c>
      <c r="U622" s="42">
        <f t="shared" si="59"/>
        <v>18794</v>
      </c>
    </row>
    <row r="623" spans="1:21" x14ac:dyDescent="0.3">
      <c r="A623" s="37" t="s">
        <v>3902</v>
      </c>
      <c r="B623" s="37" t="s">
        <v>3903</v>
      </c>
      <c r="C623" s="37" t="s">
        <v>2445</v>
      </c>
      <c r="D623" s="37" t="s">
        <v>14</v>
      </c>
      <c r="E623" s="37" t="s">
        <v>15</v>
      </c>
      <c r="F623" s="37"/>
      <c r="G623" s="37" t="s">
        <v>2408</v>
      </c>
      <c r="H623" s="37">
        <v>7</v>
      </c>
      <c r="I623" s="37">
        <v>21</v>
      </c>
      <c r="J623" s="37">
        <v>9584</v>
      </c>
      <c r="K623" s="37" t="s">
        <v>58</v>
      </c>
      <c r="L623" s="37" t="s">
        <v>130</v>
      </c>
      <c r="M623" s="37" t="str">
        <f t="shared" si="56"/>
        <v>Unknown</v>
      </c>
      <c r="N623" s="37" t="str">
        <f t="shared" si="54"/>
        <v>UPI</v>
      </c>
      <c r="O623" s="37" t="str" cm="1">
        <f t="array" ref="O623">IF(TRIM(N623)="",INDEX($N$2:$N$1500,MATCH(MAX(COUNTIF($N$2:$N$1500,$N$2:$N$1500)),COUNTIF($N$2:$N$1500,$N$2:$N$1500),0)),N623)</f>
        <v>UPI</v>
      </c>
      <c r="P623" s="38" cm="1">
        <f t="array" ref="P623">ROUND(IF(TRIM(H623)="",IFERROR(MEDIAN(IF($M$2:$M$1500=M623,$H$2:$H$1500)),MEDIAN($H$2:$H$1500)),H623),2)</f>
        <v>7</v>
      </c>
      <c r="Q623" s="38" t="str">
        <f t="shared" si="57"/>
        <v>0</v>
      </c>
      <c r="R623" s="39" cm="1">
        <f t="array" ref="R623">IF(OR(TRIM(J623)="",TRIM(J623)="-"),MEDIAN(IF($C$2:$C$1218=C623,$J$2:$J$1218)),VALUE(SUBSTITUTE(SUBSTITUTE(SUBSTITUTE(J623,"Rs. ",""),"₹",""),",","")))</f>
        <v>9584</v>
      </c>
      <c r="S623" s="40">
        <f t="shared" si="55"/>
        <v>0</v>
      </c>
      <c r="T623" s="41">
        <f t="shared" si="58"/>
        <v>0</v>
      </c>
      <c r="U623" s="42">
        <f t="shared" si="59"/>
        <v>9584</v>
      </c>
    </row>
    <row r="624" spans="1:21" x14ac:dyDescent="0.3">
      <c r="A624" s="37" t="s">
        <v>3904</v>
      </c>
      <c r="B624" s="37" t="s">
        <v>3905</v>
      </c>
      <c r="C624" s="37" t="s">
        <v>2422</v>
      </c>
      <c r="D624" s="37" t="s">
        <v>78</v>
      </c>
      <c r="E624" s="37" t="s">
        <v>79</v>
      </c>
      <c r="F624" s="37" t="s">
        <v>39</v>
      </c>
      <c r="G624" s="37" t="s">
        <v>2408</v>
      </c>
      <c r="H624" s="37">
        <v>24.23</v>
      </c>
      <c r="I624" s="37">
        <v>8</v>
      </c>
      <c r="J624" s="37">
        <v>4538</v>
      </c>
      <c r="K624" s="37" t="s">
        <v>72</v>
      </c>
      <c r="L624" s="37">
        <v>10</v>
      </c>
      <c r="M624" s="37" t="str">
        <f t="shared" si="56"/>
        <v>General</v>
      </c>
      <c r="N624" s="37" t="str">
        <f t="shared" si="54"/>
        <v>Cash</v>
      </c>
      <c r="O624" s="37" t="str" cm="1">
        <f t="array" ref="O624">IF(TRIM(N624)="",INDEX($N$2:$N$1500,MATCH(MAX(COUNTIF($N$2:$N$1500,$N$2:$N$1500)),COUNTIF($N$2:$N$1500,$N$2:$N$1500),0)),N624)</f>
        <v>Cash</v>
      </c>
      <c r="P624" s="38" cm="1">
        <f t="array" ref="P624">ROUND(IF(TRIM(H624)="",IFERROR(MEDIAN(IF($M$2:$M$1500=M624,$H$2:$H$1500)),MEDIAN($H$2:$H$1500)),H624),2)</f>
        <v>24.23</v>
      </c>
      <c r="Q624" s="38" t="str">
        <f t="shared" si="57"/>
        <v>0</v>
      </c>
      <c r="R624" s="39" cm="1">
        <f t="array" ref="R624">IF(OR(TRIM(J624)="",TRIM(J624)="-"),MEDIAN(IF($C$2:$C$1218=C624,$J$2:$J$1218)),VALUE(SUBSTITUTE(SUBSTITUTE(SUBSTITUTE(J624,"Rs. ",""),"₹",""),",","")))</f>
        <v>4538</v>
      </c>
      <c r="S624" s="40">
        <f t="shared" si="55"/>
        <v>10</v>
      </c>
      <c r="T624" s="41">
        <f t="shared" si="58"/>
        <v>10</v>
      </c>
      <c r="U624" s="42">
        <f t="shared" si="59"/>
        <v>4084</v>
      </c>
    </row>
    <row r="625" spans="1:21" x14ac:dyDescent="0.3">
      <c r="A625" s="37" t="s">
        <v>3906</v>
      </c>
      <c r="B625" s="37" t="s">
        <v>3907</v>
      </c>
      <c r="C625" s="37" t="s">
        <v>2536</v>
      </c>
      <c r="D625" s="37" t="s">
        <v>78</v>
      </c>
      <c r="E625" s="37" t="s">
        <v>203</v>
      </c>
      <c r="F625" s="37" t="s">
        <v>69</v>
      </c>
      <c r="G625" s="37" t="s">
        <v>2408</v>
      </c>
      <c r="H625" s="37">
        <v>20.79</v>
      </c>
      <c r="I625" s="37">
        <v>46</v>
      </c>
      <c r="J625" s="37" t="s">
        <v>3908</v>
      </c>
      <c r="K625" s="37" t="s">
        <v>58</v>
      </c>
      <c r="L625" s="37" t="s">
        <v>198</v>
      </c>
      <c r="M625" s="37" t="str">
        <f t="shared" si="56"/>
        <v>ICU</v>
      </c>
      <c r="N625" s="37" t="str">
        <f t="shared" si="54"/>
        <v>UPI</v>
      </c>
      <c r="O625" s="37" t="str" cm="1">
        <f t="array" ref="O625">IF(TRIM(N625)="",INDEX($N$2:$N$1500,MATCH(MAX(COUNTIF($N$2:$N$1500,$N$2:$N$1500)),COUNTIF($N$2:$N$1500,$N$2:$N$1500),0)),N625)</f>
        <v>UPI</v>
      </c>
      <c r="P625" s="38" cm="1">
        <f t="array" ref="P625">ROUND(IF(TRIM(H625)="",IFERROR(MEDIAN(IF($M$2:$M$1500=M625,$H$2:$H$1500)),MEDIAN($H$2:$H$1500)),H625),2)</f>
        <v>20.79</v>
      </c>
      <c r="Q625" s="38" t="str">
        <f t="shared" si="57"/>
        <v>0</v>
      </c>
      <c r="R625" s="39" cm="1">
        <f t="array" ref="R625">IF(OR(TRIM(J625)="",TRIM(J625)="-"),MEDIAN(IF($C$2:$C$1218=C625,$J$2:$J$1218)),VALUE(SUBSTITUTE(SUBSTITUTE(SUBSTITUTE(J625,"Rs. ",""),"₹",""),",","")))</f>
        <v>61118</v>
      </c>
      <c r="S625" s="40">
        <f t="shared" si="55"/>
        <v>5</v>
      </c>
      <c r="T625" s="41">
        <f t="shared" si="58"/>
        <v>5</v>
      </c>
      <c r="U625" s="42">
        <f t="shared" si="59"/>
        <v>58062</v>
      </c>
    </row>
    <row r="626" spans="1:21" x14ac:dyDescent="0.3">
      <c r="A626" s="37" t="s">
        <v>3909</v>
      </c>
      <c r="B626" s="37" t="s">
        <v>2740</v>
      </c>
      <c r="C626" s="37" t="s">
        <v>2466</v>
      </c>
      <c r="D626" s="37" t="s">
        <v>106</v>
      </c>
      <c r="E626" s="37" t="s">
        <v>307</v>
      </c>
      <c r="F626" s="37" t="s">
        <v>19</v>
      </c>
      <c r="G626" s="37" t="s">
        <v>2450</v>
      </c>
      <c r="H626" s="37">
        <v>19.34</v>
      </c>
      <c r="I626" s="37">
        <v>10</v>
      </c>
      <c r="J626" s="37" t="s">
        <v>3910</v>
      </c>
      <c r="K626" s="37" t="s">
        <v>83</v>
      </c>
      <c r="L626" s="37" t="s">
        <v>76</v>
      </c>
      <c r="M626" s="37" t="str">
        <f t="shared" si="56"/>
        <v>General</v>
      </c>
      <c r="N626" s="37" t="str">
        <f t="shared" si="54"/>
        <v>Debit Card</v>
      </c>
      <c r="O626" s="37" t="str" cm="1">
        <f t="array" ref="O626">IF(TRIM(N626)="",INDEX($N$2:$N$1500,MATCH(MAX(COUNTIF($N$2:$N$1500,$N$2:$N$1500)),COUNTIF($N$2:$N$1500,$N$2:$N$1500),0)),N626)</f>
        <v>Debit Card</v>
      </c>
      <c r="P626" s="38" cm="1">
        <f t="array" ref="P626">ROUND(IF(TRIM(H626)="",IFERROR(MEDIAN(IF($M$2:$M$1500=M626,$H$2:$H$1500)),MEDIAN($H$2:$H$1500)),H626),2)</f>
        <v>19.34</v>
      </c>
      <c r="Q626" s="38" t="str">
        <f t="shared" si="57"/>
        <v>1</v>
      </c>
      <c r="R626" s="39" cm="1">
        <f t="array" ref="R626">IF(OR(TRIM(J626)="",TRIM(J626)="-"),MEDIAN(IF($C$2:$C$1218=C626,$J$2:$J$1218)),VALUE(SUBSTITUTE(SUBSTITUTE(SUBSTITUTE(J626,"Rs. ",""),"₹",""),",","")))</f>
        <v>16918</v>
      </c>
      <c r="S626" s="40">
        <f t="shared" si="55"/>
        <v>10</v>
      </c>
      <c r="T626" s="41">
        <f t="shared" si="58"/>
        <v>10</v>
      </c>
      <c r="U626" s="42">
        <f t="shared" si="59"/>
        <v>15226</v>
      </c>
    </row>
    <row r="627" spans="1:21" x14ac:dyDescent="0.3">
      <c r="A627" s="37" t="s">
        <v>3911</v>
      </c>
      <c r="B627" s="37" t="s">
        <v>3775</v>
      </c>
      <c r="C627" s="37" t="s">
        <v>2415</v>
      </c>
      <c r="D627" s="37" t="s">
        <v>14</v>
      </c>
      <c r="E627" s="37" t="s">
        <v>60</v>
      </c>
      <c r="F627" s="37" t="s">
        <v>30</v>
      </c>
      <c r="G627" s="37" t="s">
        <v>2423</v>
      </c>
      <c r="H627" s="37">
        <v>18.8</v>
      </c>
      <c r="I627" s="37">
        <v>3</v>
      </c>
      <c r="J627" s="37">
        <v>10433</v>
      </c>
      <c r="K627" s="37" t="s">
        <v>97</v>
      </c>
      <c r="L627" s="37">
        <v>5</v>
      </c>
      <c r="M627" s="37" t="str">
        <f t="shared" si="56"/>
        <v>General</v>
      </c>
      <c r="N627" s="37" t="str">
        <f t="shared" si="54"/>
        <v>UPI</v>
      </c>
      <c r="O627" s="37" t="str" cm="1">
        <f t="array" ref="O627">IF(TRIM(N627)="",INDEX($N$2:$N$1500,MATCH(MAX(COUNTIF($N$2:$N$1500,$N$2:$N$1500)),COUNTIF($N$2:$N$1500,$N$2:$N$1500),0)),N627)</f>
        <v>UPI</v>
      </c>
      <c r="P627" s="38" cm="1">
        <f t="array" ref="P627">ROUND(IF(TRIM(H627)="",IFERROR(MEDIAN(IF($M$2:$M$1500=M627,$H$2:$H$1500)),MEDIAN($H$2:$H$1500)),H627),2)</f>
        <v>18.8</v>
      </c>
      <c r="Q627" s="38" t="str">
        <f t="shared" si="57"/>
        <v>0</v>
      </c>
      <c r="R627" s="39" cm="1">
        <f t="array" ref="R627">IF(OR(TRIM(J627)="",TRIM(J627)="-"),MEDIAN(IF($C$2:$C$1218=C627,$J$2:$J$1218)),VALUE(SUBSTITUTE(SUBSTITUTE(SUBSTITUTE(J627,"Rs. ",""),"₹",""),",","")))</f>
        <v>10433</v>
      </c>
      <c r="S627" s="40">
        <f t="shared" si="55"/>
        <v>5</v>
      </c>
      <c r="T627" s="41">
        <f t="shared" si="58"/>
        <v>5</v>
      </c>
      <c r="U627" s="42">
        <f t="shared" si="59"/>
        <v>9911</v>
      </c>
    </row>
    <row r="628" spans="1:21" x14ac:dyDescent="0.3">
      <c r="A628" s="37" t="s">
        <v>3912</v>
      </c>
      <c r="B628" s="37" t="s">
        <v>3913</v>
      </c>
      <c r="C628" s="37" t="s">
        <v>2407</v>
      </c>
      <c r="D628" s="37" t="s">
        <v>106</v>
      </c>
      <c r="E628" s="37" t="s">
        <v>107</v>
      </c>
      <c r="F628" s="37" t="s">
        <v>62</v>
      </c>
      <c r="G628" s="37" t="s">
        <v>2435</v>
      </c>
      <c r="H628" s="37">
        <v>15.16</v>
      </c>
      <c r="I628" s="37">
        <v>47</v>
      </c>
      <c r="J628" s="37" t="s">
        <v>3914</v>
      </c>
      <c r="K628" s="37" t="s">
        <v>91</v>
      </c>
      <c r="L628" s="37">
        <v>10</v>
      </c>
      <c r="M628" s="37" t="str">
        <f t="shared" si="56"/>
        <v>ICU</v>
      </c>
      <c r="N628" s="37" t="str">
        <f t="shared" si="54"/>
        <v>Debit Card</v>
      </c>
      <c r="O628" s="37" t="str" cm="1">
        <f t="array" ref="O628">IF(TRIM(N628)="",INDEX($N$2:$N$1500,MATCH(MAX(COUNTIF($N$2:$N$1500,$N$2:$N$1500)),COUNTIF($N$2:$N$1500,$N$2:$N$1500),0)),N628)</f>
        <v>Debit Card</v>
      </c>
      <c r="P628" s="38" cm="1">
        <f t="array" ref="P628">ROUND(IF(TRIM(H628)="",IFERROR(MEDIAN(IF($M$2:$M$1500=M628,$H$2:$H$1500)),MEDIAN($H$2:$H$1500)),H628),2)</f>
        <v>15.16</v>
      </c>
      <c r="Q628" s="38" t="str">
        <f t="shared" si="57"/>
        <v>0</v>
      </c>
      <c r="R628" s="39" cm="1">
        <f t="array" ref="R628">IF(OR(TRIM(J628)="",TRIM(J628)="-"),MEDIAN(IF($C$2:$C$1218=C628,$J$2:$J$1218)),VALUE(SUBSTITUTE(SUBSTITUTE(SUBSTITUTE(J628,"Rs. ",""),"₹",""),",","")))</f>
        <v>72632</v>
      </c>
      <c r="S628" s="40">
        <f t="shared" si="55"/>
        <v>10</v>
      </c>
      <c r="T628" s="41">
        <f t="shared" si="58"/>
        <v>10</v>
      </c>
      <c r="U628" s="42">
        <f t="shared" si="59"/>
        <v>65369</v>
      </c>
    </row>
    <row r="629" spans="1:21" x14ac:dyDescent="0.3">
      <c r="A629" s="37" t="s">
        <v>3915</v>
      </c>
      <c r="B629" s="37" t="s">
        <v>3916</v>
      </c>
      <c r="C629" s="37" t="s">
        <v>2490</v>
      </c>
      <c r="D629" s="37" t="s">
        <v>14</v>
      </c>
      <c r="E629" s="37" t="s">
        <v>60</v>
      </c>
      <c r="F629" s="37"/>
      <c r="G629" s="37" t="s">
        <v>2412</v>
      </c>
      <c r="H629" s="37">
        <v>11.63</v>
      </c>
      <c r="I629" s="37">
        <v>23</v>
      </c>
      <c r="J629" s="37">
        <v>16940</v>
      </c>
      <c r="K629" s="37" t="s">
        <v>58</v>
      </c>
      <c r="L629" s="37">
        <v>0</v>
      </c>
      <c r="M629" s="37" t="str">
        <f t="shared" si="56"/>
        <v>Unknown</v>
      </c>
      <c r="N629" s="37" t="str">
        <f t="shared" si="54"/>
        <v>UPI</v>
      </c>
      <c r="O629" s="37" t="str" cm="1">
        <f t="array" ref="O629">IF(TRIM(N629)="",INDEX($N$2:$N$1500,MATCH(MAX(COUNTIF($N$2:$N$1500,$N$2:$N$1500)),COUNTIF($N$2:$N$1500,$N$2:$N$1500),0)),N629)</f>
        <v>UPI</v>
      </c>
      <c r="P629" s="38" cm="1">
        <f t="array" ref="P629">ROUND(IF(TRIM(H629)="",IFERROR(MEDIAN(IF($M$2:$M$1500=M629,$H$2:$H$1500)),MEDIAN($H$2:$H$1500)),H629),2)</f>
        <v>11.63</v>
      </c>
      <c r="Q629" s="38" t="str">
        <f t="shared" si="57"/>
        <v>1</v>
      </c>
      <c r="R629" s="39" cm="1">
        <f t="array" ref="R629">IF(OR(TRIM(J629)="",TRIM(J629)="-"),MEDIAN(IF($C$2:$C$1218=C629,$J$2:$J$1218)),VALUE(SUBSTITUTE(SUBSTITUTE(SUBSTITUTE(J629,"Rs. ",""),"₹",""),",","")))</f>
        <v>16940</v>
      </c>
      <c r="S629" s="40">
        <f t="shared" si="55"/>
        <v>0</v>
      </c>
      <c r="T629" s="41">
        <f t="shared" si="58"/>
        <v>0</v>
      </c>
      <c r="U629" s="42">
        <f t="shared" si="59"/>
        <v>16940</v>
      </c>
    </row>
    <row r="630" spans="1:21" x14ac:dyDescent="0.3">
      <c r="A630" s="37" t="s">
        <v>3917</v>
      </c>
      <c r="B630" s="37" t="s">
        <v>2840</v>
      </c>
      <c r="C630" s="37" t="s">
        <v>2481</v>
      </c>
      <c r="D630" s="37" t="s">
        <v>106</v>
      </c>
      <c r="E630" s="37" t="s">
        <v>107</v>
      </c>
      <c r="F630" s="37" t="s">
        <v>62</v>
      </c>
      <c r="G630" s="37" t="s">
        <v>2408</v>
      </c>
      <c r="H630" s="37">
        <v>19.920000000000002</v>
      </c>
      <c r="I630" s="37">
        <v>42</v>
      </c>
      <c r="J630" s="37" t="s">
        <v>3918</v>
      </c>
      <c r="K630" s="37" t="s">
        <v>97</v>
      </c>
      <c r="L630" s="37">
        <v>10</v>
      </c>
      <c r="M630" s="37" t="str">
        <f t="shared" si="56"/>
        <v>ICU</v>
      </c>
      <c r="N630" s="37" t="str">
        <f t="shared" si="54"/>
        <v>UPI</v>
      </c>
      <c r="O630" s="37" t="str" cm="1">
        <f t="array" ref="O630">IF(TRIM(N630)="",INDEX($N$2:$N$1500,MATCH(MAX(COUNTIF($N$2:$N$1500,$N$2:$N$1500)),COUNTIF($N$2:$N$1500,$N$2:$N$1500),0)),N630)</f>
        <v>UPI</v>
      </c>
      <c r="P630" s="38" cm="1">
        <f t="array" ref="P630">ROUND(IF(TRIM(H630)="",IFERROR(MEDIAN(IF($M$2:$M$1500=M630,$H$2:$H$1500)),MEDIAN($H$2:$H$1500)),H630),2)</f>
        <v>19.920000000000002</v>
      </c>
      <c r="Q630" s="38" t="str">
        <f t="shared" si="57"/>
        <v>0</v>
      </c>
      <c r="R630" s="39" cm="1">
        <f t="array" ref="R630">IF(OR(TRIM(J630)="",TRIM(J630)="-"),MEDIAN(IF($C$2:$C$1218=C630,$J$2:$J$1218)),VALUE(SUBSTITUTE(SUBSTITUTE(SUBSTITUTE(J630,"Rs. ",""),"₹",""),",","")))</f>
        <v>49076</v>
      </c>
      <c r="S630" s="40">
        <f t="shared" si="55"/>
        <v>10</v>
      </c>
      <c r="T630" s="41">
        <f t="shared" si="58"/>
        <v>10</v>
      </c>
      <c r="U630" s="42">
        <f t="shared" si="59"/>
        <v>44168</v>
      </c>
    </row>
    <row r="631" spans="1:21" x14ac:dyDescent="0.3">
      <c r="A631" s="37" t="s">
        <v>3919</v>
      </c>
      <c r="B631" s="37" t="s">
        <v>3191</v>
      </c>
      <c r="C631" s="37" t="s">
        <v>2454</v>
      </c>
      <c r="D631" s="37" t="s">
        <v>106</v>
      </c>
      <c r="E631" s="37" t="s">
        <v>107</v>
      </c>
      <c r="F631" s="37" t="s">
        <v>62</v>
      </c>
      <c r="G631" s="37" t="s">
        <v>2486</v>
      </c>
      <c r="H631" s="37">
        <v>3.05</v>
      </c>
      <c r="I631" s="37">
        <v>22</v>
      </c>
      <c r="J631" s="37" t="s">
        <v>3920</v>
      </c>
      <c r="K631" s="37" t="s">
        <v>97</v>
      </c>
      <c r="L631" s="37">
        <v>0</v>
      </c>
      <c r="M631" s="37" t="str">
        <f t="shared" si="56"/>
        <v>ICU</v>
      </c>
      <c r="N631" s="37" t="str">
        <f t="shared" si="54"/>
        <v>UPI</v>
      </c>
      <c r="O631" s="37" t="str" cm="1">
        <f t="array" ref="O631">IF(TRIM(N631)="",INDEX($N$2:$N$1500,MATCH(MAX(COUNTIF($N$2:$N$1500,$N$2:$N$1500)),COUNTIF($N$2:$N$1500,$N$2:$N$1500),0)),N631)</f>
        <v>UPI</v>
      </c>
      <c r="P631" s="38" cm="1">
        <f t="array" ref="P631">ROUND(IF(TRIM(H631)="",IFERROR(MEDIAN(IF($M$2:$M$1500=M631,$H$2:$H$1500)),MEDIAN($H$2:$H$1500)),H631),2)</f>
        <v>3.05</v>
      </c>
      <c r="Q631" s="38" t="str">
        <f t="shared" si="57"/>
        <v>2+</v>
      </c>
      <c r="R631" s="39" cm="1">
        <f t="array" ref="R631">IF(OR(TRIM(J631)="",TRIM(J631)="-"),MEDIAN(IF($C$2:$C$1218=C631,$J$2:$J$1218)),VALUE(SUBSTITUTE(SUBSTITUTE(SUBSTITUTE(J631,"Rs. ",""),"₹",""),",","")))</f>
        <v>45965</v>
      </c>
      <c r="S631" s="40">
        <f t="shared" si="55"/>
        <v>0</v>
      </c>
      <c r="T631" s="41">
        <f t="shared" si="58"/>
        <v>0</v>
      </c>
      <c r="U631" s="42">
        <f t="shared" si="59"/>
        <v>45965</v>
      </c>
    </row>
    <row r="632" spans="1:21" x14ac:dyDescent="0.3">
      <c r="A632" s="37" t="s">
        <v>3921</v>
      </c>
      <c r="B632" s="37" t="s">
        <v>3922</v>
      </c>
      <c r="C632" s="37" t="s">
        <v>2449</v>
      </c>
      <c r="D632" s="37" t="s">
        <v>106</v>
      </c>
      <c r="E632" s="37" t="s">
        <v>107</v>
      </c>
      <c r="F632" s="37" t="s">
        <v>19</v>
      </c>
      <c r="G632" s="37" t="s">
        <v>2505</v>
      </c>
      <c r="H632" s="37">
        <v>7.67</v>
      </c>
      <c r="I632" s="37">
        <v>41</v>
      </c>
      <c r="J632" s="37" t="s">
        <v>3923</v>
      </c>
      <c r="K632" s="37" t="s">
        <v>104</v>
      </c>
      <c r="L632" s="37"/>
      <c r="M632" s="37" t="str">
        <f t="shared" si="56"/>
        <v>General</v>
      </c>
      <c r="N632" s="37" t="str">
        <f t="shared" si="54"/>
        <v>Insurance</v>
      </c>
      <c r="O632" s="37" t="str" cm="1">
        <f t="array" ref="O632">IF(TRIM(N632)="",INDEX($N$2:$N$1500,MATCH(MAX(COUNTIF($N$2:$N$1500,$N$2:$N$1500)),COUNTIF($N$2:$N$1500,$N$2:$N$1500),0)),N632)</f>
        <v>Insurance</v>
      </c>
      <c r="P632" s="38" cm="1">
        <f t="array" ref="P632">ROUND(IF(TRIM(H632)="",IFERROR(MEDIAN(IF($M$2:$M$1500=M632,$H$2:$H$1500)),MEDIAN($H$2:$H$1500)),H632),2)</f>
        <v>7.67</v>
      </c>
      <c r="Q632" s="38" t="str">
        <f t="shared" si="57"/>
        <v>2+</v>
      </c>
      <c r="R632" s="39" cm="1">
        <f t="array" ref="R632">IF(OR(TRIM(J632)="",TRIM(J632)="-"),MEDIAN(IF($C$2:$C$1218=C632,$J$2:$J$1218)),VALUE(SUBSTITUTE(SUBSTITUTE(SUBSTITUTE(J632,"Rs. ",""),"₹",""),",","")))</f>
        <v>19936</v>
      </c>
      <c r="S632" s="40">
        <f t="shared" si="55"/>
        <v>0</v>
      </c>
      <c r="T632" s="41">
        <f t="shared" si="58"/>
        <v>0</v>
      </c>
      <c r="U632" s="42">
        <f t="shared" si="59"/>
        <v>19936</v>
      </c>
    </row>
    <row r="633" spans="1:21" x14ac:dyDescent="0.3">
      <c r="A633" s="37" t="s">
        <v>3924</v>
      </c>
      <c r="B633" s="37" t="s">
        <v>3925</v>
      </c>
      <c r="C633" s="37" t="s">
        <v>2407</v>
      </c>
      <c r="D633" s="37" t="s">
        <v>14</v>
      </c>
      <c r="E633" s="37" t="s">
        <v>15</v>
      </c>
      <c r="F633" s="37" t="s">
        <v>39</v>
      </c>
      <c r="G633" s="37" t="s">
        <v>2428</v>
      </c>
      <c r="H633" s="37">
        <v>13.4</v>
      </c>
      <c r="I633" s="37">
        <v>59</v>
      </c>
      <c r="J633" s="37" t="s">
        <v>3926</v>
      </c>
      <c r="K633" s="37" t="s">
        <v>211</v>
      </c>
      <c r="L633" s="37">
        <v>0</v>
      </c>
      <c r="M633" s="37" t="str">
        <f t="shared" si="56"/>
        <v>General</v>
      </c>
      <c r="N633" s="37" t="str">
        <f t="shared" si="54"/>
        <v>Credit Card</v>
      </c>
      <c r="O633" s="37" t="str" cm="1">
        <f t="array" ref="O633">IF(TRIM(N633)="",INDEX($N$2:$N$1500,MATCH(MAX(COUNTIF($N$2:$N$1500,$N$2:$N$1500)),COUNTIF($N$2:$N$1500,$N$2:$N$1500),0)),N633)</f>
        <v>Credit Card</v>
      </c>
      <c r="P633" s="38" cm="1">
        <f t="array" ref="P633">ROUND(IF(TRIM(H633)="",IFERROR(MEDIAN(IF($M$2:$M$1500=M633,$H$2:$H$1500)),MEDIAN($H$2:$H$1500)),H633),2)</f>
        <v>13.4</v>
      </c>
      <c r="Q633" s="38" t="str">
        <f t="shared" si="57"/>
        <v>2</v>
      </c>
      <c r="R633" s="39" cm="1">
        <f t="array" ref="R633">IF(OR(TRIM(J633)="",TRIM(J633)="-"),MEDIAN(IF($C$2:$C$1218=C633,$J$2:$J$1218)),VALUE(SUBSTITUTE(SUBSTITUTE(SUBSTITUTE(J633,"Rs. ",""),"₹",""),",","")))</f>
        <v>17235</v>
      </c>
      <c r="S633" s="40">
        <f t="shared" si="55"/>
        <v>0</v>
      </c>
      <c r="T633" s="41">
        <f t="shared" si="58"/>
        <v>0</v>
      </c>
      <c r="U633" s="42">
        <f t="shared" si="59"/>
        <v>17235</v>
      </c>
    </row>
    <row r="634" spans="1:21" x14ac:dyDescent="0.3">
      <c r="A634" s="37" t="s">
        <v>3927</v>
      </c>
      <c r="B634" s="37" t="s">
        <v>3928</v>
      </c>
      <c r="C634" s="37" t="s">
        <v>2431</v>
      </c>
      <c r="D634" s="37" t="s">
        <v>45</v>
      </c>
      <c r="E634" s="37" t="s">
        <v>46</v>
      </c>
      <c r="F634" s="37" t="s">
        <v>69</v>
      </c>
      <c r="G634" s="37" t="s">
        <v>2418</v>
      </c>
      <c r="H634" s="37">
        <v>15.48</v>
      </c>
      <c r="I634" s="37">
        <v>59</v>
      </c>
      <c r="J634" s="37">
        <v>45422</v>
      </c>
      <c r="K634" s="37" t="s">
        <v>211</v>
      </c>
      <c r="L634" s="37" t="s">
        <v>140</v>
      </c>
      <c r="M634" s="37" t="str">
        <f t="shared" si="56"/>
        <v>ICU</v>
      </c>
      <c r="N634" s="37" t="str">
        <f t="shared" si="54"/>
        <v>Credit Card</v>
      </c>
      <c r="O634" s="37" t="str" cm="1">
        <f t="array" ref="O634">IF(TRIM(N634)="",INDEX($N$2:$N$1500,MATCH(MAX(COUNTIF($N$2:$N$1500,$N$2:$N$1500)),COUNTIF($N$2:$N$1500,$N$2:$N$1500),0)),N634)</f>
        <v>Credit Card</v>
      </c>
      <c r="P634" s="38" cm="1">
        <f t="array" ref="P634">ROUND(IF(TRIM(H634)="",IFERROR(MEDIAN(IF($M$2:$M$1500=M634,$H$2:$H$1500)),MEDIAN($H$2:$H$1500)),H634),2)</f>
        <v>15.48</v>
      </c>
      <c r="Q634" s="38" t="str">
        <f t="shared" si="57"/>
        <v>1</v>
      </c>
      <c r="R634" s="39" cm="1">
        <f t="array" ref="R634">IF(OR(TRIM(J634)="",TRIM(J634)="-"),MEDIAN(IF($C$2:$C$1218=C634,$J$2:$J$1218)),VALUE(SUBSTITUTE(SUBSTITUTE(SUBSTITUTE(J634,"Rs. ",""),"₹",""),",","")))</f>
        <v>45422</v>
      </c>
      <c r="S634" s="40" t="str">
        <f t="shared" si="55"/>
        <v>-</v>
      </c>
      <c r="T634" s="41">
        <f t="shared" si="58"/>
        <v>2</v>
      </c>
      <c r="U634" s="42">
        <f t="shared" si="59"/>
        <v>44514</v>
      </c>
    </row>
    <row r="635" spans="1:21" x14ac:dyDescent="0.3">
      <c r="A635" s="37" t="s">
        <v>3929</v>
      </c>
      <c r="B635" s="37" t="s">
        <v>3538</v>
      </c>
      <c r="C635" s="37" t="s">
        <v>2427</v>
      </c>
      <c r="D635" s="37" t="s">
        <v>14</v>
      </c>
      <c r="E635" s="37" t="s">
        <v>15</v>
      </c>
      <c r="F635" s="37" t="s">
        <v>19</v>
      </c>
      <c r="G635" s="37" t="s">
        <v>2412</v>
      </c>
      <c r="H635" s="37">
        <v>6.97</v>
      </c>
      <c r="I635" s="37">
        <v>19</v>
      </c>
      <c r="J635" s="37">
        <v>12320</v>
      </c>
      <c r="K635" s="37" t="s">
        <v>311</v>
      </c>
      <c r="L635" s="37">
        <v>5</v>
      </c>
      <c r="M635" s="37" t="str">
        <f t="shared" si="56"/>
        <v>General</v>
      </c>
      <c r="N635" s="37" t="str">
        <f t="shared" si="54"/>
        <v>UPI</v>
      </c>
      <c r="O635" s="37" t="str" cm="1">
        <f t="array" ref="O635">IF(TRIM(N635)="",INDEX($N$2:$N$1500,MATCH(MAX(COUNTIF($N$2:$N$1500,$N$2:$N$1500)),COUNTIF($N$2:$N$1500,$N$2:$N$1500),0)),N635)</f>
        <v>UPI</v>
      </c>
      <c r="P635" s="38" cm="1">
        <f t="array" ref="P635">ROUND(IF(TRIM(H635)="",IFERROR(MEDIAN(IF($M$2:$M$1500=M635,$H$2:$H$1500)),MEDIAN($H$2:$H$1500)),H635),2)</f>
        <v>6.97</v>
      </c>
      <c r="Q635" s="38" t="str">
        <f t="shared" si="57"/>
        <v>1</v>
      </c>
      <c r="R635" s="39" cm="1">
        <f t="array" ref="R635">IF(OR(TRIM(J635)="",TRIM(J635)="-"),MEDIAN(IF($C$2:$C$1218=C635,$J$2:$J$1218)),VALUE(SUBSTITUTE(SUBSTITUTE(SUBSTITUTE(J635,"Rs. ",""),"₹",""),",","")))</f>
        <v>12320</v>
      </c>
      <c r="S635" s="40">
        <f t="shared" si="55"/>
        <v>5</v>
      </c>
      <c r="T635" s="41">
        <f t="shared" si="58"/>
        <v>5</v>
      </c>
      <c r="U635" s="42">
        <f t="shared" si="59"/>
        <v>11704</v>
      </c>
    </row>
    <row r="636" spans="1:21" x14ac:dyDescent="0.3">
      <c r="A636" s="37" t="s">
        <v>3930</v>
      </c>
      <c r="B636" s="37" t="s">
        <v>3931</v>
      </c>
      <c r="C636" s="37" t="s">
        <v>2438</v>
      </c>
      <c r="D636" s="37" t="s">
        <v>78</v>
      </c>
      <c r="E636" s="37" t="s">
        <v>79</v>
      </c>
      <c r="F636" s="37" t="s">
        <v>19</v>
      </c>
      <c r="G636" s="37" t="s">
        <v>2477</v>
      </c>
      <c r="H636" s="37">
        <v>18.32</v>
      </c>
      <c r="I636" s="37">
        <v>6</v>
      </c>
      <c r="J636" s="37">
        <v>9207</v>
      </c>
      <c r="K636" s="37" t="s">
        <v>23</v>
      </c>
      <c r="L636" s="37" t="s">
        <v>140</v>
      </c>
      <c r="M636" s="37" t="str">
        <f t="shared" si="56"/>
        <v>General</v>
      </c>
      <c r="N636" s="37" t="str">
        <f t="shared" si="54"/>
        <v>Credit Card</v>
      </c>
      <c r="O636" s="37" t="str" cm="1">
        <f t="array" ref="O636">IF(TRIM(N636)="",INDEX($N$2:$N$1500,MATCH(MAX(COUNTIF($N$2:$N$1500,$N$2:$N$1500)),COUNTIF($N$2:$N$1500,$N$2:$N$1500),0)),N636)</f>
        <v>Credit Card</v>
      </c>
      <c r="P636" s="38" cm="1">
        <f t="array" ref="P636">ROUND(IF(TRIM(H636)="",IFERROR(MEDIAN(IF($M$2:$M$1500=M636,$H$2:$H$1500)),MEDIAN($H$2:$H$1500)),H636),2)</f>
        <v>18.32</v>
      </c>
      <c r="Q636" s="38" t="str">
        <f t="shared" si="57"/>
        <v>0</v>
      </c>
      <c r="R636" s="39" cm="1">
        <f t="array" ref="R636">IF(OR(TRIM(J636)="",TRIM(J636)="-"),MEDIAN(IF($C$2:$C$1218=C636,$J$2:$J$1218)),VALUE(SUBSTITUTE(SUBSTITUTE(SUBSTITUTE(J636,"Rs. ",""),"₹",""),",","")))</f>
        <v>9207</v>
      </c>
      <c r="S636" s="40" t="str">
        <f t="shared" si="55"/>
        <v>-</v>
      </c>
      <c r="T636" s="41">
        <f t="shared" si="58"/>
        <v>2</v>
      </c>
      <c r="U636" s="42">
        <f t="shared" si="59"/>
        <v>9023</v>
      </c>
    </row>
    <row r="637" spans="1:21" x14ac:dyDescent="0.3">
      <c r="A637" s="37" t="s">
        <v>3932</v>
      </c>
      <c r="B637" s="37" t="s">
        <v>3933</v>
      </c>
      <c r="C637" s="37" t="s">
        <v>2504</v>
      </c>
      <c r="D637" s="37" t="s">
        <v>78</v>
      </c>
      <c r="E637" s="37" t="s">
        <v>203</v>
      </c>
      <c r="F637" s="37" t="s">
        <v>101</v>
      </c>
      <c r="G637" s="37" t="s">
        <v>2423</v>
      </c>
      <c r="H637" s="37">
        <v>3.9</v>
      </c>
      <c r="I637" s="37">
        <v>58</v>
      </c>
      <c r="J637" s="37" t="s">
        <v>3934</v>
      </c>
      <c r="K637" s="37" t="s">
        <v>97</v>
      </c>
      <c r="L637" s="37">
        <v>0.05</v>
      </c>
      <c r="M637" s="37" t="str">
        <f t="shared" si="56"/>
        <v>ICU</v>
      </c>
      <c r="N637" s="37" t="str">
        <f t="shared" si="54"/>
        <v>UPI</v>
      </c>
      <c r="O637" s="37" t="str" cm="1">
        <f t="array" ref="O637">IF(TRIM(N637)="",INDEX($N$2:$N$1500,MATCH(MAX(COUNTIF($N$2:$N$1500,$N$2:$N$1500)),COUNTIF($N$2:$N$1500,$N$2:$N$1500),0)),N637)</f>
        <v>UPI</v>
      </c>
      <c r="P637" s="38" cm="1">
        <f t="array" ref="P637">ROUND(IF(TRIM(H637)="",IFERROR(MEDIAN(IF($M$2:$M$1500=M637,$H$2:$H$1500)),MEDIAN($H$2:$H$1500)),H637),2)</f>
        <v>3.9</v>
      </c>
      <c r="Q637" s="38" t="str">
        <f t="shared" si="57"/>
        <v>0</v>
      </c>
      <c r="R637" s="39" cm="1">
        <f t="array" ref="R637">IF(OR(TRIM(J637)="",TRIM(J637)="-"),MEDIAN(IF($C$2:$C$1218=C637,$J$2:$J$1218)),VALUE(SUBSTITUTE(SUBSTITUTE(SUBSTITUTE(J637,"Rs. ",""),"₹",""),",","")))</f>
        <v>29202</v>
      </c>
      <c r="S637" s="40">
        <f t="shared" si="55"/>
        <v>0.05</v>
      </c>
      <c r="T637" s="41">
        <f t="shared" si="58"/>
        <v>0</v>
      </c>
      <c r="U637" s="42">
        <f t="shared" si="59"/>
        <v>29202</v>
      </c>
    </row>
    <row r="638" spans="1:21" x14ac:dyDescent="0.3">
      <c r="A638" s="37" t="s">
        <v>3935</v>
      </c>
      <c r="B638" s="37" t="s">
        <v>2689</v>
      </c>
      <c r="C638" s="37" t="s">
        <v>2445</v>
      </c>
      <c r="D638" s="37" t="s">
        <v>25</v>
      </c>
      <c r="E638" s="37" t="s">
        <v>26</v>
      </c>
      <c r="F638" s="37" t="s">
        <v>19</v>
      </c>
      <c r="G638" s="37" t="s">
        <v>2450</v>
      </c>
      <c r="H638" s="37">
        <v>9.9600000000000009</v>
      </c>
      <c r="I638" s="37">
        <v>12</v>
      </c>
      <c r="J638" s="37">
        <v>8766</v>
      </c>
      <c r="K638" s="37" t="s">
        <v>236</v>
      </c>
      <c r="L638" s="37">
        <v>10</v>
      </c>
      <c r="M638" s="37" t="str">
        <f t="shared" si="56"/>
        <v>General</v>
      </c>
      <c r="N638" s="37" t="str">
        <f t="shared" si="54"/>
        <v>Debit Card</v>
      </c>
      <c r="O638" s="37" t="str" cm="1">
        <f t="array" ref="O638">IF(TRIM(N638)="",INDEX($N$2:$N$1500,MATCH(MAX(COUNTIF($N$2:$N$1500,$N$2:$N$1500)),COUNTIF($N$2:$N$1500,$N$2:$N$1500),0)),N638)</f>
        <v>Debit Card</v>
      </c>
      <c r="P638" s="38" cm="1">
        <f t="array" ref="P638">ROUND(IF(TRIM(H638)="",IFERROR(MEDIAN(IF($M$2:$M$1500=M638,$H$2:$H$1500)),MEDIAN($H$2:$H$1500)),H638),2)</f>
        <v>9.9600000000000009</v>
      </c>
      <c r="Q638" s="38" t="str">
        <f t="shared" si="57"/>
        <v>1</v>
      </c>
      <c r="R638" s="39" cm="1">
        <f t="array" ref="R638">IF(OR(TRIM(J638)="",TRIM(J638)="-"),MEDIAN(IF($C$2:$C$1218=C638,$J$2:$J$1218)),VALUE(SUBSTITUTE(SUBSTITUTE(SUBSTITUTE(J638,"Rs. ",""),"₹",""),",","")))</f>
        <v>8766</v>
      </c>
      <c r="S638" s="40">
        <f t="shared" si="55"/>
        <v>10</v>
      </c>
      <c r="T638" s="41">
        <f t="shared" si="58"/>
        <v>10</v>
      </c>
      <c r="U638" s="42">
        <f t="shared" si="59"/>
        <v>7889</v>
      </c>
    </row>
    <row r="639" spans="1:21" x14ac:dyDescent="0.3">
      <c r="A639" s="37" t="s">
        <v>3936</v>
      </c>
      <c r="B639" s="37" t="s">
        <v>3937</v>
      </c>
      <c r="C639" s="37" t="s">
        <v>2454</v>
      </c>
      <c r="D639" s="37" t="s">
        <v>45</v>
      </c>
      <c r="E639" s="37" t="s">
        <v>334</v>
      </c>
      <c r="F639" s="37" t="s">
        <v>19</v>
      </c>
      <c r="G639" s="37" t="s">
        <v>2418</v>
      </c>
      <c r="H639" s="37">
        <v>22.12</v>
      </c>
      <c r="I639" s="37">
        <v>55</v>
      </c>
      <c r="J639" s="37">
        <v>8560</v>
      </c>
      <c r="K639" s="37" t="s">
        <v>236</v>
      </c>
      <c r="L639" s="37">
        <v>0</v>
      </c>
      <c r="M639" s="37" t="str">
        <f t="shared" si="56"/>
        <v>General</v>
      </c>
      <c r="N639" s="37" t="str">
        <f t="shared" si="54"/>
        <v>Debit Card</v>
      </c>
      <c r="O639" s="37" t="str" cm="1">
        <f t="array" ref="O639">IF(TRIM(N639)="",INDEX($N$2:$N$1500,MATCH(MAX(COUNTIF($N$2:$N$1500,$N$2:$N$1500)),COUNTIF($N$2:$N$1500,$N$2:$N$1500),0)),N639)</f>
        <v>Debit Card</v>
      </c>
      <c r="P639" s="38" cm="1">
        <f t="array" ref="P639">ROUND(IF(TRIM(H639)="",IFERROR(MEDIAN(IF($M$2:$M$1500=M639,$H$2:$H$1500)),MEDIAN($H$2:$H$1500)),H639),2)</f>
        <v>22.12</v>
      </c>
      <c r="Q639" s="38" t="str">
        <f t="shared" si="57"/>
        <v>1</v>
      </c>
      <c r="R639" s="39" cm="1">
        <f t="array" ref="R639">IF(OR(TRIM(J639)="",TRIM(J639)="-"),MEDIAN(IF($C$2:$C$1218=C639,$J$2:$J$1218)),VALUE(SUBSTITUTE(SUBSTITUTE(SUBSTITUTE(J639,"Rs. ",""),"₹",""),",","")))</f>
        <v>8560</v>
      </c>
      <c r="S639" s="40">
        <f t="shared" si="55"/>
        <v>0</v>
      </c>
      <c r="T639" s="41">
        <f t="shared" si="58"/>
        <v>0</v>
      </c>
      <c r="U639" s="42">
        <f t="shared" si="59"/>
        <v>8560</v>
      </c>
    </row>
    <row r="640" spans="1:21" x14ac:dyDescent="0.3">
      <c r="A640" s="37" t="s">
        <v>3938</v>
      </c>
      <c r="B640" s="37" t="s">
        <v>3939</v>
      </c>
      <c r="C640" s="37" t="s">
        <v>2504</v>
      </c>
      <c r="D640" s="37" t="s">
        <v>106</v>
      </c>
      <c r="E640" s="37" t="s">
        <v>107</v>
      </c>
      <c r="F640" s="37" t="s">
        <v>69</v>
      </c>
      <c r="G640" s="37" t="s">
        <v>2993</v>
      </c>
      <c r="H640" s="37">
        <v>4.01</v>
      </c>
      <c r="I640" s="37">
        <v>42</v>
      </c>
      <c r="J640" s="37">
        <v>62662</v>
      </c>
      <c r="K640" s="37" t="s">
        <v>211</v>
      </c>
      <c r="L640" s="37">
        <v>0</v>
      </c>
      <c r="M640" s="37" t="str">
        <f t="shared" si="56"/>
        <v>ICU</v>
      </c>
      <c r="N640" s="37" t="str">
        <f t="shared" si="54"/>
        <v>Credit Card</v>
      </c>
      <c r="O640" s="37" t="str" cm="1">
        <f t="array" ref="O640">IF(TRIM(N640)="",INDEX($N$2:$N$1500,MATCH(MAX(COUNTIF($N$2:$N$1500,$N$2:$N$1500)),COUNTIF($N$2:$N$1500,$N$2:$N$1500),0)),N640)</f>
        <v>Credit Card</v>
      </c>
      <c r="P640" s="38" cm="1">
        <f t="array" ref="P640">ROUND(IF(TRIM(H640)="",IFERROR(MEDIAN(IF($M$2:$M$1500=M640,$H$2:$H$1500)),MEDIAN($H$2:$H$1500)),H640),2)</f>
        <v>4.01</v>
      </c>
      <c r="Q640" s="38" t="str">
        <f t="shared" si="57"/>
        <v>2+</v>
      </c>
      <c r="R640" s="39" cm="1">
        <f t="array" ref="R640">IF(OR(TRIM(J640)="",TRIM(J640)="-"),MEDIAN(IF($C$2:$C$1218=C640,$J$2:$J$1218)),VALUE(SUBSTITUTE(SUBSTITUTE(SUBSTITUTE(J640,"Rs. ",""),"₹",""),",","")))</f>
        <v>62662</v>
      </c>
      <c r="S640" s="40">
        <f t="shared" si="55"/>
        <v>0</v>
      </c>
      <c r="T640" s="41">
        <f t="shared" si="58"/>
        <v>0</v>
      </c>
      <c r="U640" s="42">
        <f t="shared" si="59"/>
        <v>62662</v>
      </c>
    </row>
    <row r="641" spans="1:21" x14ac:dyDescent="0.3">
      <c r="A641" s="37" t="s">
        <v>3940</v>
      </c>
      <c r="B641" s="37" t="s">
        <v>3941</v>
      </c>
      <c r="C641" s="37" t="s">
        <v>2561</v>
      </c>
      <c r="D641" s="37" t="s">
        <v>45</v>
      </c>
      <c r="E641" s="37" t="s">
        <v>46</v>
      </c>
      <c r="F641" s="37" t="s">
        <v>19</v>
      </c>
      <c r="G641" s="37" t="s">
        <v>2408</v>
      </c>
      <c r="H641" s="37">
        <v>9.02</v>
      </c>
      <c r="I641" s="37">
        <v>26</v>
      </c>
      <c r="J641" s="37" t="s">
        <v>140</v>
      </c>
      <c r="K641" s="37" t="s">
        <v>236</v>
      </c>
      <c r="L641" s="37">
        <v>10</v>
      </c>
      <c r="M641" s="37" t="str">
        <f t="shared" si="56"/>
        <v>General</v>
      </c>
      <c r="N641" s="37" t="str">
        <f t="shared" si="54"/>
        <v>Debit Card</v>
      </c>
      <c r="O641" s="37" t="str" cm="1">
        <f t="array" ref="O641">IF(TRIM(N641)="",INDEX($N$2:$N$1500,MATCH(MAX(COUNTIF($N$2:$N$1500,$N$2:$N$1500)),COUNTIF($N$2:$N$1500,$N$2:$N$1500),0)),N641)</f>
        <v>Debit Card</v>
      </c>
      <c r="P641" s="38" cm="1">
        <f t="array" ref="P641">ROUND(IF(TRIM(H641)="",IFERROR(MEDIAN(IF($M$2:$M$1500=M641,$H$2:$H$1500)),MEDIAN($H$2:$H$1500)),H641),2)</f>
        <v>9.02</v>
      </c>
      <c r="Q641" s="38" t="str">
        <f t="shared" si="57"/>
        <v>0</v>
      </c>
      <c r="R641" s="39" cm="1">
        <f t="array" ref="R641">IF(OR(TRIM(J641)="",TRIM(J641)="-"),MEDIAN(IF($C$2:$C$1218=C641,$J$2:$J$1218)),VALUE(SUBSTITUTE(SUBSTITUTE(SUBSTITUTE(J641,"Rs. ",""),"₹",""),",","")))</f>
        <v>13370.5</v>
      </c>
      <c r="S641" s="40">
        <f t="shared" si="55"/>
        <v>10</v>
      </c>
      <c r="T641" s="41">
        <f t="shared" si="58"/>
        <v>10</v>
      </c>
      <c r="U641" s="42">
        <f t="shared" si="59"/>
        <v>12033</v>
      </c>
    </row>
    <row r="642" spans="1:21" x14ac:dyDescent="0.3">
      <c r="A642" s="37" t="s">
        <v>3942</v>
      </c>
      <c r="B642" s="37" t="s">
        <v>3943</v>
      </c>
      <c r="C642" s="37" t="s">
        <v>2466</v>
      </c>
      <c r="D642" s="37" t="s">
        <v>25</v>
      </c>
      <c r="E642" s="37" t="s">
        <v>54</v>
      </c>
      <c r="F642" s="37" t="s">
        <v>39</v>
      </c>
      <c r="G642" s="37" t="s">
        <v>2455</v>
      </c>
      <c r="H642" s="37">
        <v>22.47</v>
      </c>
      <c r="I642" s="37">
        <v>5</v>
      </c>
      <c r="J642" s="37">
        <v>8642</v>
      </c>
      <c r="K642" s="37" t="s">
        <v>87</v>
      </c>
      <c r="L642" s="37">
        <v>0</v>
      </c>
      <c r="M642" s="37" t="str">
        <f t="shared" si="56"/>
        <v>General</v>
      </c>
      <c r="N642" s="37" t="str">
        <f t="shared" ref="N642:N705" si="60">IF(OR(UPPER(TRIM(K642))="CREDIT_CARD",UPPER(TRIM(K642))="CREDIT CARD",UPPER(TRIM(K642))="CC"),"Credit Card", IF(OR(UPPER(TRIM(K642))="DEBIT_CARD",UPPER(TRIM(K642))="DEBIT CARD",UPPER(TRIM(K642))="DC"),"Debit Card", IF(UPPER(TRIM(K642))="CASH","Cash", IF(UPPER(TRIM(K642))="UPI","UPI", IF(OR(UPPER(TRIM(K642))="INSURANCE",UPPER(TRIM(K642))="INS"),"Insurance", IF(TRIM(K642)="","Unknown","Unknown"))))))</f>
        <v>Credit Card</v>
      </c>
      <c r="O642" s="37" t="str" cm="1">
        <f t="array" ref="O642">IF(TRIM(N642)="",INDEX($N$2:$N$1500,MATCH(MAX(COUNTIF($N$2:$N$1500,$N$2:$N$1500)),COUNTIF($N$2:$N$1500,$N$2:$N$1500),0)),N642)</f>
        <v>Credit Card</v>
      </c>
      <c r="P642" s="38" cm="1">
        <f t="array" ref="P642">ROUND(IF(TRIM(H642)="",IFERROR(MEDIAN(IF($M$2:$M$1500=M642,$H$2:$H$1500)),MEDIAN($H$2:$H$1500)),H642),2)</f>
        <v>22.47</v>
      </c>
      <c r="Q642" s="38" t="str">
        <f t="shared" si="57"/>
        <v>1</v>
      </c>
      <c r="R642" s="39" cm="1">
        <f t="array" ref="R642">IF(OR(TRIM(J642)="",TRIM(J642)="-"),MEDIAN(IF($C$2:$C$1218=C642,$J$2:$J$1218)),VALUE(SUBSTITUTE(SUBSTITUTE(SUBSTITUTE(J642,"Rs. ",""),"₹",""),",","")))</f>
        <v>8642</v>
      </c>
      <c r="S642" s="40">
        <f t="shared" ref="S642:S705" si="61">IF(RIGHT(TRIM(L642),1)="%",VALUE(LEFT(TRIM(L642),LEN(TRIM(L642))-1)),IF(AND(ISNUMBER(L642),L642&lt;=1,,L642&gt;0),L642*100,L642))</f>
        <v>0</v>
      </c>
      <c r="T642" s="41">
        <f t="shared" si="58"/>
        <v>0</v>
      </c>
      <c r="U642" s="42">
        <f t="shared" si="59"/>
        <v>8642</v>
      </c>
    </row>
    <row r="643" spans="1:21" x14ac:dyDescent="0.3">
      <c r="A643" s="37" t="s">
        <v>3944</v>
      </c>
      <c r="B643" s="37" t="s">
        <v>3945</v>
      </c>
      <c r="C643" s="37" t="s">
        <v>2459</v>
      </c>
      <c r="D643" s="37" t="s">
        <v>25</v>
      </c>
      <c r="E643" s="37" t="s">
        <v>54</v>
      </c>
      <c r="F643" s="37" t="s">
        <v>19</v>
      </c>
      <c r="G643" s="37" t="s">
        <v>2477</v>
      </c>
      <c r="H643" s="37">
        <v>3.44</v>
      </c>
      <c r="I643" s="37">
        <v>46</v>
      </c>
      <c r="J643" s="37">
        <v>18978</v>
      </c>
      <c r="K643" s="37" t="s">
        <v>58</v>
      </c>
      <c r="L643" s="37">
        <v>0.05</v>
      </c>
      <c r="M643" s="37" t="str">
        <f t="shared" ref="M643:M706" si="62">IF(OR(UPPER(TRIM(F643))="GENERAL",UPPER(TRIM(F643))="GENRAL"),"General",IF(UPPER(TRIM(F643))="ICU","ICU","Unknown"))</f>
        <v>General</v>
      </c>
      <c r="N643" s="37" t="str">
        <f t="shared" si="60"/>
        <v>UPI</v>
      </c>
      <c r="O643" s="37" t="str" cm="1">
        <f t="array" ref="O643">IF(TRIM(N643)="",INDEX($N$2:$N$1500,MATCH(MAX(COUNTIF($N$2:$N$1500,$N$2:$N$1500)),COUNTIF($N$2:$N$1500,$N$2:$N$1500),0)),N643)</f>
        <v>UPI</v>
      </c>
      <c r="P643" s="38" cm="1">
        <f t="array" ref="P643">ROUND(IF(TRIM(H643)="",IFERROR(MEDIAN(IF($M$2:$M$1500=M643,$H$2:$H$1500)),MEDIAN($H$2:$H$1500)),H643),2)</f>
        <v>3.44</v>
      </c>
      <c r="Q643" s="38" t="str">
        <f t="shared" ref="Q643:Q706" si="63">IF(OR(LOWER(TRIM(G643))="0",LOWER(TRIM(G643))="zero"),"0", IF(OR(LOWER(TRIM(G643))="1",LOWER(TRIM(G643))="one"),"1", IF(OR(LOWER(TRIM(G643))="2",LOWER(TRIM(G643))="two"),"2", IF(OR(LOWER(TRIM(G643))="2+",LOWER(TRIM(G643))="two_or_more",LOWER(TRIM(G643))="multiple"),"2+", "Unknown"))))</f>
        <v>0</v>
      </c>
      <c r="R643" s="39" cm="1">
        <f t="array" ref="R643">IF(OR(TRIM(J643)="",TRIM(J643)="-"),MEDIAN(IF($C$2:$C$1218=C643,$J$2:$J$1218)),VALUE(SUBSTITUTE(SUBSTITUTE(SUBSTITUTE(J643,"Rs. ",""),"₹",""),",","")))</f>
        <v>18978</v>
      </c>
      <c r="S643" s="40">
        <f t="shared" si="61"/>
        <v>0.05</v>
      </c>
      <c r="T643" s="41">
        <f t="shared" ref="T643:T706" si="64">ROUND(IF(OR(TRIM(S643)="-",UPPER(TRIM(S643))="N/A",UPPER(TRIM(S643))="NA"),IFERROR(AVERAGEIF($O$2:$O$1500,O643,$S$2:$S$1500),AVERAGE($S$2:$S$1500)),S643),0)</f>
        <v>0</v>
      </c>
      <c r="U643" s="42">
        <f t="shared" ref="U643:U706" si="65">ROUND(R643*(1-T643/100),0)</f>
        <v>18978</v>
      </c>
    </row>
    <row r="644" spans="1:21" x14ac:dyDescent="0.3">
      <c r="A644" s="37" t="s">
        <v>3946</v>
      </c>
      <c r="B644" s="37" t="s">
        <v>3772</v>
      </c>
      <c r="C644" s="37" t="s">
        <v>2518</v>
      </c>
      <c r="D644" s="37" t="s">
        <v>45</v>
      </c>
      <c r="E644" s="37" t="s">
        <v>334</v>
      </c>
      <c r="F644" s="37" t="s">
        <v>49</v>
      </c>
      <c r="G644" s="37" t="s">
        <v>2408</v>
      </c>
      <c r="H644" s="37">
        <v>12.53</v>
      </c>
      <c r="I644" s="37">
        <v>22</v>
      </c>
      <c r="J644" s="37" t="s">
        <v>3947</v>
      </c>
      <c r="K644" s="37" t="s">
        <v>58</v>
      </c>
      <c r="L644" s="37">
        <v>0</v>
      </c>
      <c r="M644" s="37" t="str">
        <f t="shared" si="62"/>
        <v>General</v>
      </c>
      <c r="N644" s="37" t="str">
        <f t="shared" si="60"/>
        <v>UPI</v>
      </c>
      <c r="O644" s="37" t="str" cm="1">
        <f t="array" ref="O644">IF(TRIM(N644)="",INDEX($N$2:$N$1500,MATCH(MAX(COUNTIF($N$2:$N$1500,$N$2:$N$1500)),COUNTIF($N$2:$N$1500,$N$2:$N$1500),0)),N644)</f>
        <v>UPI</v>
      </c>
      <c r="P644" s="38" cm="1">
        <f t="array" ref="P644">ROUND(IF(TRIM(H644)="",IFERROR(MEDIAN(IF($M$2:$M$1500=M644,$H$2:$H$1500)),MEDIAN($H$2:$H$1500)),H644),2)</f>
        <v>12.53</v>
      </c>
      <c r="Q644" s="38" t="str">
        <f t="shared" si="63"/>
        <v>0</v>
      </c>
      <c r="R644" s="39" cm="1">
        <f t="array" ref="R644">IF(OR(TRIM(J644)="",TRIM(J644)="-"),MEDIAN(IF($C$2:$C$1218=C644,$J$2:$J$1218)),VALUE(SUBSTITUTE(SUBSTITUTE(SUBSTITUTE(J644,"Rs. ",""),"₹",""),",","")))</f>
        <v>15837</v>
      </c>
      <c r="S644" s="40">
        <f t="shared" si="61"/>
        <v>0</v>
      </c>
      <c r="T644" s="41">
        <f t="shared" si="64"/>
        <v>0</v>
      </c>
      <c r="U644" s="42">
        <f t="shared" si="65"/>
        <v>15837</v>
      </c>
    </row>
    <row r="645" spans="1:21" x14ac:dyDescent="0.3">
      <c r="A645" s="37" t="s">
        <v>3948</v>
      </c>
      <c r="B645" s="37" t="s">
        <v>3587</v>
      </c>
      <c r="C645" s="37" t="s">
        <v>2485</v>
      </c>
      <c r="D645" s="37" t="s">
        <v>117</v>
      </c>
      <c r="E645" s="37" t="s">
        <v>118</v>
      </c>
      <c r="F645" s="37" t="s">
        <v>19</v>
      </c>
      <c r="G645" s="37" t="s">
        <v>2423</v>
      </c>
      <c r="H645" s="37">
        <v>19.260000000000002</v>
      </c>
      <c r="I645" s="37">
        <v>18</v>
      </c>
      <c r="J645" s="37">
        <v>17056</v>
      </c>
      <c r="K645" s="37" t="s">
        <v>115</v>
      </c>
      <c r="L645" s="37">
        <v>5</v>
      </c>
      <c r="M645" s="37" t="str">
        <f t="shared" si="62"/>
        <v>General</v>
      </c>
      <c r="N645" s="37" t="str">
        <f t="shared" si="60"/>
        <v>Cash</v>
      </c>
      <c r="O645" s="37" t="str" cm="1">
        <f t="array" ref="O645">IF(TRIM(N645)="",INDEX($N$2:$N$1500,MATCH(MAX(COUNTIF($N$2:$N$1500,$N$2:$N$1500)),COUNTIF($N$2:$N$1500,$N$2:$N$1500),0)),N645)</f>
        <v>Cash</v>
      </c>
      <c r="P645" s="38" cm="1">
        <f t="array" ref="P645">ROUND(IF(TRIM(H645)="",IFERROR(MEDIAN(IF($M$2:$M$1500=M645,$H$2:$H$1500)),MEDIAN($H$2:$H$1500)),H645),2)</f>
        <v>19.260000000000002</v>
      </c>
      <c r="Q645" s="38" t="str">
        <f t="shared" si="63"/>
        <v>0</v>
      </c>
      <c r="R645" s="39" cm="1">
        <f t="array" ref="R645">IF(OR(TRIM(J645)="",TRIM(J645)="-"),MEDIAN(IF($C$2:$C$1218=C645,$J$2:$J$1218)),VALUE(SUBSTITUTE(SUBSTITUTE(SUBSTITUTE(J645,"Rs. ",""),"₹",""),",","")))</f>
        <v>17056</v>
      </c>
      <c r="S645" s="40">
        <f t="shared" si="61"/>
        <v>5</v>
      </c>
      <c r="T645" s="41">
        <f t="shared" si="64"/>
        <v>5</v>
      </c>
      <c r="U645" s="42">
        <f t="shared" si="65"/>
        <v>16203</v>
      </c>
    </row>
    <row r="646" spans="1:21" x14ac:dyDescent="0.3">
      <c r="A646" s="37" t="s">
        <v>3949</v>
      </c>
      <c r="B646" s="37" t="s">
        <v>3950</v>
      </c>
      <c r="C646" s="37" t="s">
        <v>2438</v>
      </c>
      <c r="D646" s="37" t="s">
        <v>45</v>
      </c>
      <c r="E646" s="37" t="s">
        <v>46</v>
      </c>
      <c r="F646" s="37" t="s">
        <v>49</v>
      </c>
      <c r="G646" s="37" t="s">
        <v>2408</v>
      </c>
      <c r="H646" s="37">
        <v>20.34</v>
      </c>
      <c r="I646" s="37">
        <v>10</v>
      </c>
      <c r="J646" s="37">
        <v>10643</v>
      </c>
      <c r="K646" s="37" t="s">
        <v>58</v>
      </c>
      <c r="L646" s="37">
        <v>0</v>
      </c>
      <c r="M646" s="37" t="str">
        <f t="shared" si="62"/>
        <v>General</v>
      </c>
      <c r="N646" s="37" t="str">
        <f t="shared" si="60"/>
        <v>UPI</v>
      </c>
      <c r="O646" s="37" t="str" cm="1">
        <f t="array" ref="O646">IF(TRIM(N646)="",INDEX($N$2:$N$1500,MATCH(MAX(COUNTIF($N$2:$N$1500,$N$2:$N$1500)),COUNTIF($N$2:$N$1500,$N$2:$N$1500),0)),N646)</f>
        <v>UPI</v>
      </c>
      <c r="P646" s="38" cm="1">
        <f t="array" ref="P646">ROUND(IF(TRIM(H646)="",IFERROR(MEDIAN(IF($M$2:$M$1500=M646,$H$2:$H$1500)),MEDIAN($H$2:$H$1500)),H646),2)</f>
        <v>20.34</v>
      </c>
      <c r="Q646" s="38" t="str">
        <f t="shared" si="63"/>
        <v>0</v>
      </c>
      <c r="R646" s="39" cm="1">
        <f t="array" ref="R646">IF(OR(TRIM(J646)="",TRIM(J646)="-"),MEDIAN(IF($C$2:$C$1218=C646,$J$2:$J$1218)),VALUE(SUBSTITUTE(SUBSTITUTE(SUBSTITUTE(J646,"Rs. ",""),"₹",""),",","")))</f>
        <v>10643</v>
      </c>
      <c r="S646" s="40">
        <f t="shared" si="61"/>
        <v>0</v>
      </c>
      <c r="T646" s="41">
        <f t="shared" si="64"/>
        <v>0</v>
      </c>
      <c r="U646" s="42">
        <f t="shared" si="65"/>
        <v>10643</v>
      </c>
    </row>
    <row r="647" spans="1:21" x14ac:dyDescent="0.3">
      <c r="A647" s="37" t="s">
        <v>3951</v>
      </c>
      <c r="B647" s="37" t="s">
        <v>2851</v>
      </c>
      <c r="C647" s="37" t="s">
        <v>2469</v>
      </c>
      <c r="D647" s="37" t="s">
        <v>14</v>
      </c>
      <c r="E647" s="37" t="s">
        <v>60</v>
      </c>
      <c r="F647" s="37" t="s">
        <v>30</v>
      </c>
      <c r="G647" s="37" t="s">
        <v>2477</v>
      </c>
      <c r="H647" s="37">
        <v>13.91</v>
      </c>
      <c r="I647" s="37">
        <v>3</v>
      </c>
      <c r="J647" s="37">
        <v>12580</v>
      </c>
      <c r="K647" s="37" t="s">
        <v>311</v>
      </c>
      <c r="L647" s="37" t="s">
        <v>64</v>
      </c>
      <c r="M647" s="37" t="str">
        <f t="shared" si="62"/>
        <v>General</v>
      </c>
      <c r="N647" s="37" t="str">
        <f t="shared" si="60"/>
        <v>UPI</v>
      </c>
      <c r="O647" s="37" t="str" cm="1">
        <f t="array" ref="O647">IF(TRIM(N647)="",INDEX($N$2:$N$1500,MATCH(MAX(COUNTIF($N$2:$N$1500,$N$2:$N$1500)),COUNTIF($N$2:$N$1500,$N$2:$N$1500),0)),N647)</f>
        <v>UPI</v>
      </c>
      <c r="P647" s="38" cm="1">
        <f t="array" ref="P647">ROUND(IF(TRIM(H647)="",IFERROR(MEDIAN(IF($M$2:$M$1500=M647,$H$2:$H$1500)),MEDIAN($H$2:$H$1500)),H647),2)</f>
        <v>13.91</v>
      </c>
      <c r="Q647" s="38" t="str">
        <f t="shared" si="63"/>
        <v>0</v>
      </c>
      <c r="R647" s="39" cm="1">
        <f t="array" ref="R647">IF(OR(TRIM(J647)="",TRIM(J647)="-"),MEDIAN(IF($C$2:$C$1218=C647,$J$2:$J$1218)),VALUE(SUBSTITUTE(SUBSTITUTE(SUBSTITUTE(J647,"Rs. ",""),"₹",""),",","")))</f>
        <v>12580</v>
      </c>
      <c r="S647" s="40" t="str">
        <f t="shared" si="61"/>
        <v>NA</v>
      </c>
      <c r="T647" s="41">
        <f t="shared" si="64"/>
        <v>2</v>
      </c>
      <c r="U647" s="42">
        <f t="shared" si="65"/>
        <v>12328</v>
      </c>
    </row>
    <row r="648" spans="1:21" x14ac:dyDescent="0.3">
      <c r="A648" s="37" t="s">
        <v>3952</v>
      </c>
      <c r="B648" s="37" t="s">
        <v>3436</v>
      </c>
      <c r="C648" s="37" t="s">
        <v>2463</v>
      </c>
      <c r="D648" s="37" t="s">
        <v>45</v>
      </c>
      <c r="E648" s="37" t="s">
        <v>46</v>
      </c>
      <c r="F648" s="37" t="s">
        <v>30</v>
      </c>
      <c r="G648" s="37" t="s">
        <v>2455</v>
      </c>
      <c r="H648" s="37">
        <v>19.739999999999998</v>
      </c>
      <c r="I648" s="37">
        <v>43</v>
      </c>
      <c r="J648" s="37">
        <v>9116</v>
      </c>
      <c r="K648" s="37" t="s">
        <v>149</v>
      </c>
      <c r="L648" s="37">
        <v>30</v>
      </c>
      <c r="M648" s="37" t="str">
        <f t="shared" si="62"/>
        <v>General</v>
      </c>
      <c r="N648" s="37" t="str">
        <f t="shared" si="60"/>
        <v>Insurance</v>
      </c>
      <c r="O648" s="37" t="str" cm="1">
        <f t="array" ref="O648">IF(TRIM(N648)="",INDEX($N$2:$N$1500,MATCH(MAX(COUNTIF($N$2:$N$1500,$N$2:$N$1500)),COUNTIF($N$2:$N$1500,$N$2:$N$1500),0)),N648)</f>
        <v>Insurance</v>
      </c>
      <c r="P648" s="38" cm="1">
        <f t="array" ref="P648">ROUND(IF(TRIM(H648)="",IFERROR(MEDIAN(IF($M$2:$M$1500=M648,$H$2:$H$1500)),MEDIAN($H$2:$H$1500)),H648),2)</f>
        <v>19.739999999999998</v>
      </c>
      <c r="Q648" s="38" t="str">
        <f t="shared" si="63"/>
        <v>1</v>
      </c>
      <c r="R648" s="39" cm="1">
        <f t="array" ref="R648">IF(OR(TRIM(J648)="",TRIM(J648)="-"),MEDIAN(IF($C$2:$C$1218=C648,$J$2:$J$1218)),VALUE(SUBSTITUTE(SUBSTITUTE(SUBSTITUTE(J648,"Rs. ",""),"₹",""),",","")))</f>
        <v>9116</v>
      </c>
      <c r="S648" s="40">
        <f t="shared" si="61"/>
        <v>30</v>
      </c>
      <c r="T648" s="41">
        <f t="shared" si="64"/>
        <v>30</v>
      </c>
      <c r="U648" s="42">
        <f t="shared" si="65"/>
        <v>6381</v>
      </c>
    </row>
    <row r="649" spans="1:21" x14ac:dyDescent="0.3">
      <c r="A649" s="37" t="s">
        <v>3953</v>
      </c>
      <c r="B649" s="37" t="s">
        <v>2877</v>
      </c>
      <c r="C649" s="37" t="s">
        <v>2532</v>
      </c>
      <c r="D649" s="37" t="s">
        <v>25</v>
      </c>
      <c r="E649" s="37" t="s">
        <v>54</v>
      </c>
      <c r="F649" s="37" t="s">
        <v>19</v>
      </c>
      <c r="G649" s="37" t="s">
        <v>2408</v>
      </c>
      <c r="H649" s="37">
        <v>4.04</v>
      </c>
      <c r="I649" s="37">
        <v>8</v>
      </c>
      <c r="J649" s="37" t="s">
        <v>3954</v>
      </c>
      <c r="K649" s="37" t="s">
        <v>104</v>
      </c>
      <c r="L649" s="37">
        <v>15</v>
      </c>
      <c r="M649" s="37" t="str">
        <f t="shared" si="62"/>
        <v>General</v>
      </c>
      <c r="N649" s="37" t="str">
        <f t="shared" si="60"/>
        <v>Insurance</v>
      </c>
      <c r="O649" s="37" t="str" cm="1">
        <f t="array" ref="O649">IF(TRIM(N649)="",INDEX($N$2:$N$1500,MATCH(MAX(COUNTIF($N$2:$N$1500,$N$2:$N$1500)),COUNTIF($N$2:$N$1500,$N$2:$N$1500),0)),N649)</f>
        <v>Insurance</v>
      </c>
      <c r="P649" s="38" cm="1">
        <f t="array" ref="P649">ROUND(IF(TRIM(H649)="",IFERROR(MEDIAN(IF($M$2:$M$1500=M649,$H$2:$H$1500)),MEDIAN($H$2:$H$1500)),H649),2)</f>
        <v>4.04</v>
      </c>
      <c r="Q649" s="38" t="str">
        <f t="shared" si="63"/>
        <v>0</v>
      </c>
      <c r="R649" s="39" cm="1">
        <f t="array" ref="R649">IF(OR(TRIM(J649)="",TRIM(J649)="-"),MEDIAN(IF($C$2:$C$1218=C649,$J$2:$J$1218)),VALUE(SUBSTITUTE(SUBSTITUTE(SUBSTITUTE(J649,"Rs. ",""),"₹",""),",","")))</f>
        <v>9928</v>
      </c>
      <c r="S649" s="40">
        <f t="shared" si="61"/>
        <v>15</v>
      </c>
      <c r="T649" s="41">
        <f t="shared" si="64"/>
        <v>15</v>
      </c>
      <c r="U649" s="42">
        <f t="shared" si="65"/>
        <v>8439</v>
      </c>
    </row>
    <row r="650" spans="1:21" x14ac:dyDescent="0.3">
      <c r="A650" s="37" t="s">
        <v>3955</v>
      </c>
      <c r="B650" s="37" t="s">
        <v>2591</v>
      </c>
      <c r="C650" s="37" t="s">
        <v>2445</v>
      </c>
      <c r="D650" s="37" t="s">
        <v>78</v>
      </c>
      <c r="E650" s="37" t="s">
        <v>203</v>
      </c>
      <c r="F650" s="37" t="s">
        <v>49</v>
      </c>
      <c r="G650" s="37" t="s">
        <v>2412</v>
      </c>
      <c r="H650" s="37">
        <v>17.170000000000002</v>
      </c>
      <c r="I650" s="37">
        <v>35</v>
      </c>
      <c r="J650" s="37" t="s">
        <v>2094</v>
      </c>
      <c r="K650" s="37" t="s">
        <v>87</v>
      </c>
      <c r="L650" s="37">
        <v>0</v>
      </c>
      <c r="M650" s="37" t="str">
        <f t="shared" si="62"/>
        <v>General</v>
      </c>
      <c r="N650" s="37" t="str">
        <f t="shared" si="60"/>
        <v>Credit Card</v>
      </c>
      <c r="O650" s="37" t="str" cm="1">
        <f t="array" ref="O650">IF(TRIM(N650)="",INDEX($N$2:$N$1500,MATCH(MAX(COUNTIF($N$2:$N$1500,$N$2:$N$1500)),COUNTIF($N$2:$N$1500,$N$2:$N$1500),0)),N650)</f>
        <v>Credit Card</v>
      </c>
      <c r="P650" s="38" cm="1">
        <f t="array" ref="P650">ROUND(IF(TRIM(H650)="",IFERROR(MEDIAN(IF($M$2:$M$1500=M650,$H$2:$H$1500)),MEDIAN($H$2:$H$1500)),H650),2)</f>
        <v>17.170000000000002</v>
      </c>
      <c r="Q650" s="38" t="str">
        <f t="shared" si="63"/>
        <v>1</v>
      </c>
      <c r="R650" s="39" cm="1">
        <f t="array" ref="R650">IF(OR(TRIM(J650)="",TRIM(J650)="-"),MEDIAN(IF($C$2:$C$1218=C650,$J$2:$J$1218)),VALUE(SUBSTITUTE(SUBSTITUTE(SUBSTITUTE(J650,"Rs. ",""),"₹",""),",","")))</f>
        <v>19553</v>
      </c>
      <c r="S650" s="40">
        <f t="shared" si="61"/>
        <v>0</v>
      </c>
      <c r="T650" s="41">
        <f t="shared" si="64"/>
        <v>0</v>
      </c>
      <c r="U650" s="42">
        <f t="shared" si="65"/>
        <v>19553</v>
      </c>
    </row>
    <row r="651" spans="1:21" x14ac:dyDescent="0.3">
      <c r="A651" s="37" t="s">
        <v>3956</v>
      </c>
      <c r="B651" s="37" t="s">
        <v>3344</v>
      </c>
      <c r="C651" s="37" t="s">
        <v>2561</v>
      </c>
      <c r="D651" s="37" t="s">
        <v>117</v>
      </c>
      <c r="E651" s="37" t="s">
        <v>118</v>
      </c>
      <c r="F651" s="37" t="s">
        <v>39</v>
      </c>
      <c r="G651" s="37" t="s">
        <v>2477</v>
      </c>
      <c r="H651" s="37">
        <v>20.45</v>
      </c>
      <c r="I651" s="37">
        <v>59</v>
      </c>
      <c r="J651" s="37">
        <v>15040</v>
      </c>
      <c r="K651" s="37" t="s">
        <v>34</v>
      </c>
      <c r="L651" s="37">
        <v>0</v>
      </c>
      <c r="M651" s="37" t="str">
        <f t="shared" si="62"/>
        <v>General</v>
      </c>
      <c r="N651" s="37" t="str">
        <f t="shared" si="60"/>
        <v>Cash</v>
      </c>
      <c r="O651" s="37" t="str" cm="1">
        <f t="array" ref="O651">IF(TRIM(N651)="",INDEX($N$2:$N$1500,MATCH(MAX(COUNTIF($N$2:$N$1500,$N$2:$N$1500)),COUNTIF($N$2:$N$1500,$N$2:$N$1500),0)),N651)</f>
        <v>Cash</v>
      </c>
      <c r="P651" s="38" cm="1">
        <f t="array" ref="P651">ROUND(IF(TRIM(H651)="",IFERROR(MEDIAN(IF($M$2:$M$1500=M651,$H$2:$H$1500)),MEDIAN($H$2:$H$1500)),H651),2)</f>
        <v>20.45</v>
      </c>
      <c r="Q651" s="38" t="str">
        <f t="shared" si="63"/>
        <v>0</v>
      </c>
      <c r="R651" s="39" cm="1">
        <f t="array" ref="R651">IF(OR(TRIM(J651)="",TRIM(J651)="-"),MEDIAN(IF($C$2:$C$1218=C651,$J$2:$J$1218)),VALUE(SUBSTITUTE(SUBSTITUTE(SUBSTITUTE(J651,"Rs. ",""),"₹",""),",","")))</f>
        <v>15040</v>
      </c>
      <c r="S651" s="40">
        <f t="shared" si="61"/>
        <v>0</v>
      </c>
      <c r="T651" s="41">
        <f t="shared" si="64"/>
        <v>0</v>
      </c>
      <c r="U651" s="42">
        <f t="shared" si="65"/>
        <v>15040</v>
      </c>
    </row>
    <row r="652" spans="1:21" x14ac:dyDescent="0.3">
      <c r="A652" s="37" t="s">
        <v>3957</v>
      </c>
      <c r="B652" s="37" t="s">
        <v>3869</v>
      </c>
      <c r="C652" s="37" t="s">
        <v>2521</v>
      </c>
      <c r="D652" s="37" t="s">
        <v>106</v>
      </c>
      <c r="E652" s="37" t="s">
        <v>107</v>
      </c>
      <c r="F652" s="37" t="s">
        <v>39</v>
      </c>
      <c r="G652" s="37" t="s">
        <v>2428</v>
      </c>
      <c r="H652" s="37">
        <v>18.149999999999999</v>
      </c>
      <c r="I652" s="37">
        <v>16</v>
      </c>
      <c r="J652" s="37"/>
      <c r="K652" s="37" t="s">
        <v>115</v>
      </c>
      <c r="L652" s="37">
        <v>0</v>
      </c>
      <c r="M652" s="37" t="str">
        <f t="shared" si="62"/>
        <v>General</v>
      </c>
      <c r="N652" s="37" t="str">
        <f t="shared" si="60"/>
        <v>Cash</v>
      </c>
      <c r="O652" s="37" t="str" cm="1">
        <f t="array" ref="O652">IF(TRIM(N652)="",INDEX($N$2:$N$1500,MATCH(MAX(COUNTIF($N$2:$N$1500,$N$2:$N$1500)),COUNTIF($N$2:$N$1500,$N$2:$N$1500),0)),N652)</f>
        <v>Cash</v>
      </c>
      <c r="P652" s="38" cm="1">
        <f t="array" ref="P652">ROUND(IF(TRIM(H652)="",IFERROR(MEDIAN(IF($M$2:$M$1500=M652,$H$2:$H$1500)),MEDIAN($H$2:$H$1500)),H652),2)</f>
        <v>18.149999999999999</v>
      </c>
      <c r="Q652" s="38" t="str">
        <f t="shared" si="63"/>
        <v>2</v>
      </c>
      <c r="R652" s="39" cm="1">
        <f t="array" ref="R652">IF(OR(TRIM(J652)="",TRIM(J652)="-"),MEDIAN(IF($C$2:$C$1218=C652,$J$2:$J$1218)),VALUE(SUBSTITUTE(SUBSTITUTE(SUBSTITUTE(J652,"Rs. ",""),"₹",""),",","")))</f>
        <v>8182.5</v>
      </c>
      <c r="S652" s="40">
        <f t="shared" si="61"/>
        <v>0</v>
      </c>
      <c r="T652" s="41">
        <f t="shared" si="64"/>
        <v>0</v>
      </c>
      <c r="U652" s="42">
        <f t="shared" si="65"/>
        <v>8183</v>
      </c>
    </row>
    <row r="653" spans="1:21" x14ac:dyDescent="0.3">
      <c r="A653" s="37" t="s">
        <v>3958</v>
      </c>
      <c r="B653" s="37" t="s">
        <v>3959</v>
      </c>
      <c r="C653" s="37" t="s">
        <v>2494</v>
      </c>
      <c r="D653" s="37" t="s">
        <v>106</v>
      </c>
      <c r="E653" s="37" t="s">
        <v>307</v>
      </c>
      <c r="F653" s="37" t="s">
        <v>30</v>
      </c>
      <c r="G653" s="37" t="s">
        <v>2746</v>
      </c>
      <c r="H653" s="37">
        <v>19.93</v>
      </c>
      <c r="I653" s="37">
        <v>39</v>
      </c>
      <c r="J653" s="37" t="s">
        <v>3960</v>
      </c>
      <c r="K653" s="37" t="s">
        <v>115</v>
      </c>
      <c r="L653" s="37">
        <v>0</v>
      </c>
      <c r="M653" s="37" t="str">
        <f t="shared" si="62"/>
        <v>General</v>
      </c>
      <c r="N653" s="37" t="str">
        <f t="shared" si="60"/>
        <v>Cash</v>
      </c>
      <c r="O653" s="37" t="str" cm="1">
        <f t="array" ref="O653">IF(TRIM(N653)="",INDEX($N$2:$N$1500,MATCH(MAX(COUNTIF($N$2:$N$1500,$N$2:$N$1500)),COUNTIF($N$2:$N$1500,$N$2:$N$1500),0)),N653)</f>
        <v>Cash</v>
      </c>
      <c r="P653" s="38" cm="1">
        <f t="array" ref="P653">ROUND(IF(TRIM(H653)="",IFERROR(MEDIAN(IF($M$2:$M$1500=M653,$H$2:$H$1500)),MEDIAN($H$2:$H$1500)),H653),2)</f>
        <v>19.93</v>
      </c>
      <c r="Q653" s="38" t="str">
        <f t="shared" si="63"/>
        <v>2</v>
      </c>
      <c r="R653" s="39" cm="1">
        <f t="array" ref="R653">IF(OR(TRIM(J653)="",TRIM(J653)="-"),MEDIAN(IF($C$2:$C$1218=C653,$J$2:$J$1218)),VALUE(SUBSTITUTE(SUBSTITUTE(SUBSTITUTE(J653,"Rs. ",""),"₹",""),",","")))</f>
        <v>10473</v>
      </c>
      <c r="S653" s="40">
        <f t="shared" si="61"/>
        <v>0</v>
      </c>
      <c r="T653" s="41">
        <f t="shared" si="64"/>
        <v>0</v>
      </c>
      <c r="U653" s="42">
        <f t="shared" si="65"/>
        <v>10473</v>
      </c>
    </row>
    <row r="654" spans="1:21" x14ac:dyDescent="0.3">
      <c r="A654" s="37" t="s">
        <v>3961</v>
      </c>
      <c r="B654" s="37" t="s">
        <v>3721</v>
      </c>
      <c r="C654" s="37" t="s">
        <v>2469</v>
      </c>
      <c r="D654" s="37" t="s">
        <v>45</v>
      </c>
      <c r="E654" s="37" t="s">
        <v>46</v>
      </c>
      <c r="F654" s="37" t="s">
        <v>101</v>
      </c>
      <c r="G654" s="37" t="s">
        <v>2505</v>
      </c>
      <c r="H654" s="37">
        <v>20.85</v>
      </c>
      <c r="I654" s="37">
        <v>46</v>
      </c>
      <c r="J654" s="37"/>
      <c r="K654" s="37" t="s">
        <v>91</v>
      </c>
      <c r="L654" s="37" t="s">
        <v>76</v>
      </c>
      <c r="M654" s="37" t="str">
        <f t="shared" si="62"/>
        <v>ICU</v>
      </c>
      <c r="N654" s="37" t="str">
        <f t="shared" si="60"/>
        <v>Debit Card</v>
      </c>
      <c r="O654" s="37" t="str" cm="1">
        <f t="array" ref="O654">IF(TRIM(N654)="",INDEX($N$2:$N$1500,MATCH(MAX(COUNTIF($N$2:$N$1500,$N$2:$N$1500)),COUNTIF($N$2:$N$1500,$N$2:$N$1500),0)),N654)</f>
        <v>Debit Card</v>
      </c>
      <c r="P654" s="38" cm="1">
        <f t="array" ref="P654">ROUND(IF(TRIM(H654)="",IFERROR(MEDIAN(IF($M$2:$M$1500=M654,$H$2:$H$1500)),MEDIAN($H$2:$H$1500)),H654),2)</f>
        <v>20.85</v>
      </c>
      <c r="Q654" s="38" t="str">
        <f t="shared" si="63"/>
        <v>2+</v>
      </c>
      <c r="R654" s="39" cm="1">
        <f t="array" ref="R654">IF(OR(TRIM(J654)="",TRIM(J654)="-"),MEDIAN(IF($C$2:$C$1218=C654,$J$2:$J$1218)),VALUE(SUBSTITUTE(SUBSTITUTE(SUBSTITUTE(J654,"Rs. ",""),"₹",""),",","")))</f>
        <v>15903.5</v>
      </c>
      <c r="S654" s="40">
        <f t="shared" si="61"/>
        <v>10</v>
      </c>
      <c r="T654" s="41">
        <f t="shared" si="64"/>
        <v>10</v>
      </c>
      <c r="U654" s="42">
        <f t="shared" si="65"/>
        <v>14313</v>
      </c>
    </row>
    <row r="655" spans="1:21" x14ac:dyDescent="0.3">
      <c r="A655" s="37" t="s">
        <v>3962</v>
      </c>
      <c r="B655" s="37" t="s">
        <v>3963</v>
      </c>
      <c r="C655" s="37" t="s">
        <v>2438</v>
      </c>
      <c r="D655" s="37" t="s">
        <v>106</v>
      </c>
      <c r="E655" s="37" t="s">
        <v>107</v>
      </c>
      <c r="F655" s="37" t="s">
        <v>30</v>
      </c>
      <c r="G655" s="37" t="s">
        <v>2746</v>
      </c>
      <c r="H655" s="37"/>
      <c r="I655" s="37">
        <v>57</v>
      </c>
      <c r="J655" s="37" t="s">
        <v>3964</v>
      </c>
      <c r="K655" s="37" t="s">
        <v>149</v>
      </c>
      <c r="L655" s="37">
        <v>35</v>
      </c>
      <c r="M655" s="37" t="str">
        <f t="shared" si="62"/>
        <v>General</v>
      </c>
      <c r="N655" s="37" t="str">
        <f t="shared" si="60"/>
        <v>Insurance</v>
      </c>
      <c r="O655" s="37" t="str" cm="1">
        <f t="array" ref="O655">IF(TRIM(N655)="",INDEX($N$2:$N$1500,MATCH(MAX(COUNTIF($N$2:$N$1500,$N$2:$N$1500)),COUNTIF($N$2:$N$1500,$N$2:$N$1500),0)),N655)</f>
        <v>Insurance</v>
      </c>
      <c r="P655" s="38" cm="1">
        <f t="array" ref="P655">ROUND(IF(TRIM(H655)="",IFERROR(MEDIAN(IF($M$2:$M$1500=M655,$H$2:$H$1500)),MEDIAN($H$2:$H$1500)),H655),2)</f>
        <v>12.02</v>
      </c>
      <c r="Q655" s="38" t="str">
        <f t="shared" si="63"/>
        <v>2</v>
      </c>
      <c r="R655" s="39" cm="1">
        <f t="array" ref="R655">IF(OR(TRIM(J655)="",TRIM(J655)="-"),MEDIAN(IF($C$2:$C$1218=C655,$J$2:$J$1218)),VALUE(SUBSTITUTE(SUBSTITUTE(SUBSTITUTE(J655,"Rs. ",""),"₹",""),",","")))</f>
        <v>18229</v>
      </c>
      <c r="S655" s="40">
        <f t="shared" si="61"/>
        <v>35</v>
      </c>
      <c r="T655" s="41">
        <f t="shared" si="64"/>
        <v>35</v>
      </c>
      <c r="U655" s="42">
        <f t="shared" si="65"/>
        <v>11849</v>
      </c>
    </row>
    <row r="656" spans="1:21" x14ac:dyDescent="0.3">
      <c r="A656" s="37" t="s">
        <v>3965</v>
      </c>
      <c r="B656" s="37" t="s">
        <v>3966</v>
      </c>
      <c r="C656" s="37" t="s">
        <v>2504</v>
      </c>
      <c r="D656" s="37" t="s">
        <v>45</v>
      </c>
      <c r="E656" s="37" t="s">
        <v>46</v>
      </c>
      <c r="F656" s="37" t="s">
        <v>62</v>
      </c>
      <c r="G656" s="37" t="s">
        <v>2435</v>
      </c>
      <c r="H656" s="37">
        <v>1.77</v>
      </c>
      <c r="I656" s="37">
        <v>12</v>
      </c>
      <c r="J656" s="37">
        <v>58485</v>
      </c>
      <c r="K656" s="37" t="s">
        <v>34</v>
      </c>
      <c r="L656" s="37">
        <v>5</v>
      </c>
      <c r="M656" s="37" t="str">
        <f t="shared" si="62"/>
        <v>ICU</v>
      </c>
      <c r="N656" s="37" t="str">
        <f t="shared" si="60"/>
        <v>Cash</v>
      </c>
      <c r="O656" s="37" t="str" cm="1">
        <f t="array" ref="O656">IF(TRIM(N656)="",INDEX($N$2:$N$1500,MATCH(MAX(COUNTIF($N$2:$N$1500,$N$2:$N$1500)),COUNTIF($N$2:$N$1500,$N$2:$N$1500),0)),N656)</f>
        <v>Cash</v>
      </c>
      <c r="P656" s="38" cm="1">
        <f t="array" ref="P656">ROUND(IF(TRIM(H656)="",IFERROR(MEDIAN(IF($M$2:$M$1500=M656,$H$2:$H$1500)),MEDIAN($H$2:$H$1500)),H656),2)</f>
        <v>1.77</v>
      </c>
      <c r="Q656" s="38" t="str">
        <f t="shared" si="63"/>
        <v>0</v>
      </c>
      <c r="R656" s="39" cm="1">
        <f t="array" ref="R656">IF(OR(TRIM(J656)="",TRIM(J656)="-"),MEDIAN(IF($C$2:$C$1218=C656,$J$2:$J$1218)),VALUE(SUBSTITUTE(SUBSTITUTE(SUBSTITUTE(J656,"Rs. ",""),"₹",""),",","")))</f>
        <v>58485</v>
      </c>
      <c r="S656" s="40">
        <f t="shared" si="61"/>
        <v>5</v>
      </c>
      <c r="T656" s="41">
        <f t="shared" si="64"/>
        <v>5</v>
      </c>
      <c r="U656" s="42">
        <f t="shared" si="65"/>
        <v>55561</v>
      </c>
    </row>
    <row r="657" spans="1:21" x14ac:dyDescent="0.3">
      <c r="A657" s="37" t="s">
        <v>3967</v>
      </c>
      <c r="B657" s="37" t="s">
        <v>3968</v>
      </c>
      <c r="C657" s="37" t="s">
        <v>2521</v>
      </c>
      <c r="D657" s="37" t="s">
        <v>14</v>
      </c>
      <c r="E657" s="37" t="s">
        <v>60</v>
      </c>
      <c r="F657" s="37" t="s">
        <v>39</v>
      </c>
      <c r="G657" s="37" t="s">
        <v>2455</v>
      </c>
      <c r="H657" s="37">
        <v>14.96</v>
      </c>
      <c r="I657" s="37">
        <v>23</v>
      </c>
      <c r="J657" s="37" t="s">
        <v>3969</v>
      </c>
      <c r="K657" s="37" t="s">
        <v>115</v>
      </c>
      <c r="L657" s="37">
        <v>0</v>
      </c>
      <c r="M657" s="37" t="str">
        <f t="shared" si="62"/>
        <v>General</v>
      </c>
      <c r="N657" s="37" t="str">
        <f t="shared" si="60"/>
        <v>Cash</v>
      </c>
      <c r="O657" s="37" t="str" cm="1">
        <f t="array" ref="O657">IF(TRIM(N657)="",INDEX($N$2:$N$1500,MATCH(MAX(COUNTIF($N$2:$N$1500,$N$2:$N$1500)),COUNTIF($N$2:$N$1500,$N$2:$N$1500),0)),N657)</f>
        <v>Cash</v>
      </c>
      <c r="P657" s="38" cm="1">
        <f t="array" ref="P657">ROUND(IF(TRIM(H657)="",IFERROR(MEDIAN(IF($M$2:$M$1500=M657,$H$2:$H$1500)),MEDIAN($H$2:$H$1500)),H657),2)</f>
        <v>14.96</v>
      </c>
      <c r="Q657" s="38" t="str">
        <f t="shared" si="63"/>
        <v>1</v>
      </c>
      <c r="R657" s="39" cm="1">
        <f t="array" ref="R657">IF(OR(TRIM(J657)="",TRIM(J657)="-"),MEDIAN(IF($C$2:$C$1218=C657,$J$2:$J$1218)),VALUE(SUBSTITUTE(SUBSTITUTE(SUBSTITUTE(J657,"Rs. ",""),"₹",""),",","")))</f>
        <v>18886</v>
      </c>
      <c r="S657" s="40">
        <f t="shared" si="61"/>
        <v>0</v>
      </c>
      <c r="T657" s="41">
        <f t="shared" si="64"/>
        <v>0</v>
      </c>
      <c r="U657" s="42">
        <f t="shared" si="65"/>
        <v>18886</v>
      </c>
    </row>
    <row r="658" spans="1:21" x14ac:dyDescent="0.3">
      <c r="A658" s="37" t="s">
        <v>3970</v>
      </c>
      <c r="B658" s="37" t="s">
        <v>2888</v>
      </c>
      <c r="C658" s="37" t="s">
        <v>2494</v>
      </c>
      <c r="D658" s="37" t="s">
        <v>45</v>
      </c>
      <c r="E658" s="37" t="s">
        <v>46</v>
      </c>
      <c r="F658" s="37" t="s">
        <v>69</v>
      </c>
      <c r="G658" s="37" t="s">
        <v>2993</v>
      </c>
      <c r="H658" s="37">
        <v>11.93</v>
      </c>
      <c r="I658" s="37">
        <v>25</v>
      </c>
      <c r="J658" s="37">
        <v>83450</v>
      </c>
      <c r="K658" s="37" t="s">
        <v>97</v>
      </c>
      <c r="L658" s="37">
        <v>0.05</v>
      </c>
      <c r="M658" s="37" t="str">
        <f t="shared" si="62"/>
        <v>ICU</v>
      </c>
      <c r="N658" s="37" t="str">
        <f t="shared" si="60"/>
        <v>UPI</v>
      </c>
      <c r="O658" s="37" t="str" cm="1">
        <f t="array" ref="O658">IF(TRIM(N658)="",INDEX($N$2:$N$1500,MATCH(MAX(COUNTIF($N$2:$N$1500,$N$2:$N$1500)),COUNTIF($N$2:$N$1500,$N$2:$N$1500),0)),N658)</f>
        <v>UPI</v>
      </c>
      <c r="P658" s="38" cm="1">
        <f t="array" ref="P658">ROUND(IF(TRIM(H658)="",IFERROR(MEDIAN(IF($M$2:$M$1500=M658,$H$2:$H$1500)),MEDIAN($H$2:$H$1500)),H658),2)</f>
        <v>11.93</v>
      </c>
      <c r="Q658" s="38" t="str">
        <f t="shared" si="63"/>
        <v>2+</v>
      </c>
      <c r="R658" s="39" cm="1">
        <f t="array" ref="R658">IF(OR(TRIM(J658)="",TRIM(J658)="-"),MEDIAN(IF($C$2:$C$1218=C658,$J$2:$J$1218)),VALUE(SUBSTITUTE(SUBSTITUTE(SUBSTITUTE(J658,"Rs. ",""),"₹",""),",","")))</f>
        <v>83450</v>
      </c>
      <c r="S658" s="40">
        <f t="shared" si="61"/>
        <v>0.05</v>
      </c>
      <c r="T658" s="41">
        <f t="shared" si="64"/>
        <v>0</v>
      </c>
      <c r="U658" s="42">
        <f t="shared" si="65"/>
        <v>83450</v>
      </c>
    </row>
    <row r="659" spans="1:21" x14ac:dyDescent="0.3">
      <c r="A659" s="37" t="s">
        <v>3971</v>
      </c>
      <c r="B659" s="37" t="s">
        <v>3972</v>
      </c>
      <c r="C659" s="37" t="s">
        <v>2445</v>
      </c>
      <c r="D659" s="37" t="s">
        <v>106</v>
      </c>
      <c r="E659" s="37" t="s">
        <v>107</v>
      </c>
      <c r="F659" s="37" t="s">
        <v>19</v>
      </c>
      <c r="G659" s="37" t="s">
        <v>2423</v>
      </c>
      <c r="H659" s="37">
        <v>0.56000000000000005</v>
      </c>
      <c r="I659" s="37">
        <v>43</v>
      </c>
      <c r="J659" s="37" t="s">
        <v>3973</v>
      </c>
      <c r="K659" s="37" t="s">
        <v>149</v>
      </c>
      <c r="L659" s="37">
        <v>40</v>
      </c>
      <c r="M659" s="37" t="str">
        <f t="shared" si="62"/>
        <v>General</v>
      </c>
      <c r="N659" s="37" t="str">
        <f t="shared" si="60"/>
        <v>Insurance</v>
      </c>
      <c r="O659" s="37" t="str" cm="1">
        <f t="array" ref="O659">IF(TRIM(N659)="",INDEX($N$2:$N$1500,MATCH(MAX(COUNTIF($N$2:$N$1500,$N$2:$N$1500)),COUNTIF($N$2:$N$1500,$N$2:$N$1500),0)),N659)</f>
        <v>Insurance</v>
      </c>
      <c r="P659" s="38" cm="1">
        <f t="array" ref="P659">ROUND(IF(TRIM(H659)="",IFERROR(MEDIAN(IF($M$2:$M$1500=M659,$H$2:$H$1500)),MEDIAN($H$2:$H$1500)),H659),2)</f>
        <v>0.56000000000000005</v>
      </c>
      <c r="Q659" s="38" t="str">
        <f t="shared" si="63"/>
        <v>0</v>
      </c>
      <c r="R659" s="39" cm="1">
        <f t="array" ref="R659">IF(OR(TRIM(J659)="",TRIM(J659)="-"),MEDIAN(IF($C$2:$C$1218=C659,$J$2:$J$1218)),VALUE(SUBSTITUTE(SUBSTITUTE(SUBSTITUTE(J659,"Rs. ",""),"₹",""),",","")))</f>
        <v>15100</v>
      </c>
      <c r="S659" s="40">
        <f t="shared" si="61"/>
        <v>40</v>
      </c>
      <c r="T659" s="41">
        <f t="shared" si="64"/>
        <v>40</v>
      </c>
      <c r="U659" s="42">
        <f t="shared" si="65"/>
        <v>9060</v>
      </c>
    </row>
    <row r="660" spans="1:21" x14ac:dyDescent="0.3">
      <c r="A660" s="37" t="s">
        <v>3974</v>
      </c>
      <c r="B660" s="37" t="s">
        <v>3975</v>
      </c>
      <c r="C660" s="37" t="s">
        <v>2473</v>
      </c>
      <c r="D660" s="37" t="s">
        <v>78</v>
      </c>
      <c r="E660" s="37" t="s">
        <v>79</v>
      </c>
      <c r="F660" s="37" t="s">
        <v>49</v>
      </c>
      <c r="G660" s="37" t="s">
        <v>2408</v>
      </c>
      <c r="H660" s="37">
        <v>14.61</v>
      </c>
      <c r="I660" s="37">
        <v>25</v>
      </c>
      <c r="J660" s="37" t="s">
        <v>3976</v>
      </c>
      <c r="K660" s="37" t="s">
        <v>42</v>
      </c>
      <c r="L660" s="37">
        <v>5</v>
      </c>
      <c r="M660" s="37" t="str">
        <f t="shared" si="62"/>
        <v>General</v>
      </c>
      <c r="N660" s="37" t="str">
        <f t="shared" si="60"/>
        <v>Insurance</v>
      </c>
      <c r="O660" s="37" t="str" cm="1">
        <f t="array" ref="O660">IF(TRIM(N660)="",INDEX($N$2:$N$1500,MATCH(MAX(COUNTIF($N$2:$N$1500,$N$2:$N$1500)),COUNTIF($N$2:$N$1500,$N$2:$N$1500),0)),N660)</f>
        <v>Insurance</v>
      </c>
      <c r="P660" s="38" cm="1">
        <f t="array" ref="P660">ROUND(IF(TRIM(H660)="",IFERROR(MEDIAN(IF($M$2:$M$1500=M660,$H$2:$H$1500)),MEDIAN($H$2:$H$1500)),H660),2)</f>
        <v>14.61</v>
      </c>
      <c r="Q660" s="38" t="str">
        <f t="shared" si="63"/>
        <v>0</v>
      </c>
      <c r="R660" s="39" cm="1">
        <f t="array" ref="R660">IF(OR(TRIM(J660)="",TRIM(J660)="-"),MEDIAN(IF($C$2:$C$1218=C660,$J$2:$J$1218)),VALUE(SUBSTITUTE(SUBSTITUTE(SUBSTITUTE(J660,"Rs. ",""),"₹",""),",","")))</f>
        <v>8434</v>
      </c>
      <c r="S660" s="40">
        <f t="shared" si="61"/>
        <v>5</v>
      </c>
      <c r="T660" s="41">
        <f t="shared" si="64"/>
        <v>5</v>
      </c>
      <c r="U660" s="42">
        <f t="shared" si="65"/>
        <v>8012</v>
      </c>
    </row>
    <row r="661" spans="1:21" x14ac:dyDescent="0.3">
      <c r="A661" s="37" t="s">
        <v>3977</v>
      </c>
      <c r="B661" s="37" t="s">
        <v>3978</v>
      </c>
      <c r="C661" s="37" t="s">
        <v>2521</v>
      </c>
      <c r="D661" s="37" t="s">
        <v>117</v>
      </c>
      <c r="E661" s="37" t="s">
        <v>118</v>
      </c>
      <c r="F661" s="37" t="s">
        <v>30</v>
      </c>
      <c r="G661" s="37" t="s">
        <v>2450</v>
      </c>
      <c r="H661" s="37">
        <v>5.55</v>
      </c>
      <c r="I661" s="37" t="s">
        <v>140</v>
      </c>
      <c r="J661" s="37" t="s">
        <v>3979</v>
      </c>
      <c r="K661" s="37" t="s">
        <v>72</v>
      </c>
      <c r="L661" s="37">
        <v>0</v>
      </c>
      <c r="M661" s="37" t="str">
        <f t="shared" si="62"/>
        <v>General</v>
      </c>
      <c r="N661" s="37" t="str">
        <f t="shared" si="60"/>
        <v>Cash</v>
      </c>
      <c r="O661" s="37" t="str" cm="1">
        <f t="array" ref="O661">IF(TRIM(N661)="",INDEX($N$2:$N$1500,MATCH(MAX(COUNTIF($N$2:$N$1500,$N$2:$N$1500)),COUNTIF($N$2:$N$1500,$N$2:$N$1500),0)),N661)</f>
        <v>Cash</v>
      </c>
      <c r="P661" s="38" cm="1">
        <f t="array" ref="P661">ROUND(IF(TRIM(H661)="",IFERROR(MEDIAN(IF($M$2:$M$1500=M661,$H$2:$H$1500)),MEDIAN($H$2:$H$1500)),H661),2)</f>
        <v>5.55</v>
      </c>
      <c r="Q661" s="38" t="str">
        <f t="shared" si="63"/>
        <v>1</v>
      </c>
      <c r="R661" s="39" cm="1">
        <f t="array" ref="R661">IF(OR(TRIM(J661)="",TRIM(J661)="-"),MEDIAN(IF($C$2:$C$1218=C661,$J$2:$J$1218)),VALUE(SUBSTITUTE(SUBSTITUTE(SUBSTITUTE(J661,"Rs. ",""),"₹",""),",","")))</f>
        <v>6027</v>
      </c>
      <c r="S661" s="40">
        <f t="shared" si="61"/>
        <v>0</v>
      </c>
      <c r="T661" s="41">
        <f t="shared" si="64"/>
        <v>0</v>
      </c>
      <c r="U661" s="42">
        <f t="shared" si="65"/>
        <v>6027</v>
      </c>
    </row>
    <row r="662" spans="1:21" x14ac:dyDescent="0.3">
      <c r="A662" s="37" t="s">
        <v>3980</v>
      </c>
      <c r="B662" s="37" t="s">
        <v>3152</v>
      </c>
      <c r="C662" s="37" t="s">
        <v>2485</v>
      </c>
      <c r="D662" s="37" t="s">
        <v>14</v>
      </c>
      <c r="E662" s="37" t="s">
        <v>15</v>
      </c>
      <c r="F662" s="37" t="s">
        <v>30</v>
      </c>
      <c r="G662" s="37" t="s">
        <v>2418</v>
      </c>
      <c r="H662" s="37">
        <v>8.61</v>
      </c>
      <c r="I662" s="37" t="s">
        <v>140</v>
      </c>
      <c r="J662" s="37" t="s">
        <v>3981</v>
      </c>
      <c r="K662" s="37" t="s">
        <v>236</v>
      </c>
      <c r="L662" s="37">
        <v>0.1</v>
      </c>
      <c r="M662" s="37" t="str">
        <f t="shared" si="62"/>
        <v>General</v>
      </c>
      <c r="N662" s="37" t="str">
        <f t="shared" si="60"/>
        <v>Debit Card</v>
      </c>
      <c r="O662" s="37" t="str" cm="1">
        <f t="array" ref="O662">IF(TRIM(N662)="",INDEX($N$2:$N$1500,MATCH(MAX(COUNTIF($N$2:$N$1500,$N$2:$N$1500)),COUNTIF($N$2:$N$1500,$N$2:$N$1500),0)),N662)</f>
        <v>Debit Card</v>
      </c>
      <c r="P662" s="38" cm="1">
        <f t="array" ref="P662">ROUND(IF(TRIM(H662)="",IFERROR(MEDIAN(IF($M$2:$M$1500=M662,$H$2:$H$1500)),MEDIAN($H$2:$H$1500)),H662),2)</f>
        <v>8.61</v>
      </c>
      <c r="Q662" s="38" t="str">
        <f t="shared" si="63"/>
        <v>1</v>
      </c>
      <c r="R662" s="39" cm="1">
        <f t="array" ref="R662">IF(OR(TRIM(J662)="",TRIM(J662)="-"),MEDIAN(IF($C$2:$C$1218=C662,$J$2:$J$1218)),VALUE(SUBSTITUTE(SUBSTITUTE(SUBSTITUTE(J662,"Rs. ",""),"₹",""),",","")))</f>
        <v>19154</v>
      </c>
      <c r="S662" s="40">
        <f t="shared" si="61"/>
        <v>0.1</v>
      </c>
      <c r="T662" s="41">
        <f t="shared" si="64"/>
        <v>0</v>
      </c>
      <c r="U662" s="42">
        <f t="shared" si="65"/>
        <v>19154</v>
      </c>
    </row>
    <row r="663" spans="1:21" x14ac:dyDescent="0.3">
      <c r="A663" s="37" t="s">
        <v>3982</v>
      </c>
      <c r="B663" s="37" t="s">
        <v>3983</v>
      </c>
      <c r="C663" s="37" t="s">
        <v>2415</v>
      </c>
      <c r="D663" s="37" t="s">
        <v>14</v>
      </c>
      <c r="E663" s="37" t="s">
        <v>60</v>
      </c>
      <c r="F663" s="37" t="s">
        <v>39</v>
      </c>
      <c r="G663" s="37" t="s">
        <v>2423</v>
      </c>
      <c r="H663" s="37"/>
      <c r="I663" s="37">
        <v>49</v>
      </c>
      <c r="J663" s="37" t="s">
        <v>3984</v>
      </c>
      <c r="K663" s="37" t="s">
        <v>52</v>
      </c>
      <c r="L663" s="37">
        <v>0.1</v>
      </c>
      <c r="M663" s="37" t="str">
        <f t="shared" si="62"/>
        <v>General</v>
      </c>
      <c r="N663" s="37" t="str">
        <f t="shared" si="60"/>
        <v>Credit Card</v>
      </c>
      <c r="O663" s="37" t="str" cm="1">
        <f t="array" ref="O663">IF(TRIM(N663)="",INDEX($N$2:$N$1500,MATCH(MAX(COUNTIF($N$2:$N$1500,$N$2:$N$1500)),COUNTIF($N$2:$N$1500,$N$2:$N$1500),0)),N663)</f>
        <v>Credit Card</v>
      </c>
      <c r="P663" s="38" cm="1">
        <f t="array" ref="P663">ROUND(IF(TRIM(H663)="",IFERROR(MEDIAN(IF($M$2:$M$1500=M663,$H$2:$H$1500)),MEDIAN($H$2:$H$1500)),H663),2)</f>
        <v>12.02</v>
      </c>
      <c r="Q663" s="38" t="str">
        <f t="shared" si="63"/>
        <v>0</v>
      </c>
      <c r="R663" s="39" cm="1">
        <f t="array" ref="R663">IF(OR(TRIM(J663)="",TRIM(J663)="-"),MEDIAN(IF($C$2:$C$1218=C663,$J$2:$J$1218)),VALUE(SUBSTITUTE(SUBSTITUTE(SUBSTITUTE(J663,"Rs. ",""),"₹",""),",","")))</f>
        <v>4575</v>
      </c>
      <c r="S663" s="40">
        <f t="shared" si="61"/>
        <v>0.1</v>
      </c>
      <c r="T663" s="41">
        <f t="shared" si="64"/>
        <v>0</v>
      </c>
      <c r="U663" s="42">
        <f t="shared" si="65"/>
        <v>4575</v>
      </c>
    </row>
    <row r="664" spans="1:21" x14ac:dyDescent="0.3">
      <c r="A664" s="37" t="s">
        <v>3985</v>
      </c>
      <c r="B664" s="37" t="s">
        <v>2523</v>
      </c>
      <c r="C664" s="37" t="s">
        <v>2454</v>
      </c>
      <c r="D664" s="37" t="s">
        <v>45</v>
      </c>
      <c r="E664" s="37" t="s">
        <v>334</v>
      </c>
      <c r="F664" s="37" t="s">
        <v>19</v>
      </c>
      <c r="G664" s="37"/>
      <c r="H664" s="37">
        <v>2.44</v>
      </c>
      <c r="I664" s="37">
        <v>3</v>
      </c>
      <c r="J664" s="37" t="s">
        <v>3986</v>
      </c>
      <c r="K664" s="37" t="s">
        <v>311</v>
      </c>
      <c r="L664" s="37"/>
      <c r="M664" s="37" t="str">
        <f t="shared" si="62"/>
        <v>General</v>
      </c>
      <c r="N664" s="37" t="str">
        <f t="shared" si="60"/>
        <v>UPI</v>
      </c>
      <c r="O664" s="37" t="str" cm="1">
        <f t="array" ref="O664">IF(TRIM(N664)="",INDEX($N$2:$N$1500,MATCH(MAX(COUNTIF($N$2:$N$1500,$N$2:$N$1500)),COUNTIF($N$2:$N$1500,$N$2:$N$1500),0)),N664)</f>
        <v>UPI</v>
      </c>
      <c r="P664" s="38" cm="1">
        <f t="array" ref="P664">ROUND(IF(TRIM(H664)="",IFERROR(MEDIAN(IF($M$2:$M$1500=M664,$H$2:$H$1500)),MEDIAN($H$2:$H$1500)),H664),2)</f>
        <v>2.44</v>
      </c>
      <c r="Q664" s="38" t="str">
        <f t="shared" si="63"/>
        <v>Unknown</v>
      </c>
      <c r="R664" s="39" cm="1">
        <f t="array" ref="R664">IF(OR(TRIM(J664)="",TRIM(J664)="-"),MEDIAN(IF($C$2:$C$1218=C664,$J$2:$J$1218)),VALUE(SUBSTITUTE(SUBSTITUTE(SUBSTITUTE(J664,"Rs. ",""),"₹",""),",","")))</f>
        <v>17291</v>
      </c>
      <c r="S664" s="40">
        <f t="shared" si="61"/>
        <v>0</v>
      </c>
      <c r="T664" s="41">
        <f t="shared" si="64"/>
        <v>0</v>
      </c>
      <c r="U664" s="42">
        <f t="shared" si="65"/>
        <v>17291</v>
      </c>
    </row>
    <row r="665" spans="1:21" x14ac:dyDescent="0.3">
      <c r="A665" s="37" t="s">
        <v>3987</v>
      </c>
      <c r="B665" s="37" t="s">
        <v>3988</v>
      </c>
      <c r="C665" s="37" t="s">
        <v>2427</v>
      </c>
      <c r="D665" s="37" t="s">
        <v>45</v>
      </c>
      <c r="E665" s="37" t="s">
        <v>334</v>
      </c>
      <c r="F665" s="37" t="s">
        <v>30</v>
      </c>
      <c r="G665" s="37" t="s">
        <v>2450</v>
      </c>
      <c r="H665" s="37">
        <v>5.61</v>
      </c>
      <c r="I665" s="37">
        <v>2</v>
      </c>
      <c r="J665" s="37">
        <v>19108</v>
      </c>
      <c r="K665" s="37" t="s">
        <v>52</v>
      </c>
      <c r="L665" s="37" t="s">
        <v>130</v>
      </c>
      <c r="M665" s="37" t="str">
        <f t="shared" si="62"/>
        <v>General</v>
      </c>
      <c r="N665" s="37" t="str">
        <f t="shared" si="60"/>
        <v>Credit Card</v>
      </c>
      <c r="O665" s="37" t="str" cm="1">
        <f t="array" ref="O665">IF(TRIM(N665)="",INDEX($N$2:$N$1500,MATCH(MAX(COUNTIF($N$2:$N$1500,$N$2:$N$1500)),COUNTIF($N$2:$N$1500,$N$2:$N$1500),0)),N665)</f>
        <v>Credit Card</v>
      </c>
      <c r="P665" s="38" cm="1">
        <f t="array" ref="P665">ROUND(IF(TRIM(H665)="",IFERROR(MEDIAN(IF($M$2:$M$1500=M665,$H$2:$H$1500)),MEDIAN($H$2:$H$1500)),H665),2)</f>
        <v>5.61</v>
      </c>
      <c r="Q665" s="38" t="str">
        <f t="shared" si="63"/>
        <v>1</v>
      </c>
      <c r="R665" s="39" cm="1">
        <f t="array" ref="R665">IF(OR(TRIM(J665)="",TRIM(J665)="-"),MEDIAN(IF($C$2:$C$1218=C665,$J$2:$J$1218)),VALUE(SUBSTITUTE(SUBSTITUTE(SUBSTITUTE(J665,"Rs. ",""),"₹",""),",","")))</f>
        <v>19108</v>
      </c>
      <c r="S665" s="40">
        <f t="shared" si="61"/>
        <v>0</v>
      </c>
      <c r="T665" s="41">
        <f t="shared" si="64"/>
        <v>0</v>
      </c>
      <c r="U665" s="42">
        <f t="shared" si="65"/>
        <v>19108</v>
      </c>
    </row>
    <row r="666" spans="1:21" x14ac:dyDescent="0.3">
      <c r="A666" s="37" t="s">
        <v>3989</v>
      </c>
      <c r="B666" s="37" t="s">
        <v>3060</v>
      </c>
      <c r="C666" s="37" t="s">
        <v>2490</v>
      </c>
      <c r="D666" s="37" t="s">
        <v>117</v>
      </c>
      <c r="E666" s="37" t="s">
        <v>118</v>
      </c>
      <c r="F666" s="37" t="s">
        <v>30</v>
      </c>
      <c r="G666" s="37" t="s">
        <v>2423</v>
      </c>
      <c r="H666" s="37">
        <v>5.61</v>
      </c>
      <c r="I666" s="37">
        <v>47</v>
      </c>
      <c r="J666" s="37">
        <v>14569</v>
      </c>
      <c r="K666" s="37" t="s">
        <v>34</v>
      </c>
      <c r="L666" s="37">
        <v>0</v>
      </c>
      <c r="M666" s="37" t="str">
        <f t="shared" si="62"/>
        <v>General</v>
      </c>
      <c r="N666" s="37" t="str">
        <f t="shared" si="60"/>
        <v>Cash</v>
      </c>
      <c r="O666" s="37" t="str" cm="1">
        <f t="array" ref="O666">IF(TRIM(N666)="",INDEX($N$2:$N$1500,MATCH(MAX(COUNTIF($N$2:$N$1500,$N$2:$N$1500)),COUNTIF($N$2:$N$1500,$N$2:$N$1500),0)),N666)</f>
        <v>Cash</v>
      </c>
      <c r="P666" s="38" cm="1">
        <f t="array" ref="P666">ROUND(IF(TRIM(H666)="",IFERROR(MEDIAN(IF($M$2:$M$1500=M666,$H$2:$H$1500)),MEDIAN($H$2:$H$1500)),H666),2)</f>
        <v>5.61</v>
      </c>
      <c r="Q666" s="38" t="str">
        <f t="shared" si="63"/>
        <v>0</v>
      </c>
      <c r="R666" s="39" cm="1">
        <f t="array" ref="R666">IF(OR(TRIM(J666)="",TRIM(J666)="-"),MEDIAN(IF($C$2:$C$1218=C666,$J$2:$J$1218)),VALUE(SUBSTITUTE(SUBSTITUTE(SUBSTITUTE(J666,"Rs. ",""),"₹",""),",","")))</f>
        <v>14569</v>
      </c>
      <c r="S666" s="40">
        <f t="shared" si="61"/>
        <v>0</v>
      </c>
      <c r="T666" s="41">
        <f t="shared" si="64"/>
        <v>0</v>
      </c>
      <c r="U666" s="42">
        <f t="shared" si="65"/>
        <v>14569</v>
      </c>
    </row>
    <row r="667" spans="1:21" x14ac:dyDescent="0.3">
      <c r="A667" s="37" t="s">
        <v>3990</v>
      </c>
      <c r="B667" s="37" t="s">
        <v>3991</v>
      </c>
      <c r="C667" s="37" t="s">
        <v>2438</v>
      </c>
      <c r="D667" s="37" t="s">
        <v>25</v>
      </c>
      <c r="E667" s="37" t="s">
        <v>54</v>
      </c>
      <c r="F667" s="37" t="s">
        <v>49</v>
      </c>
      <c r="G667" s="37" t="s">
        <v>2455</v>
      </c>
      <c r="H667" s="37">
        <v>4.53</v>
      </c>
      <c r="I667" s="37"/>
      <c r="J667" s="37">
        <v>8583</v>
      </c>
      <c r="K667" s="37" t="s">
        <v>58</v>
      </c>
      <c r="L667" s="37">
        <v>0</v>
      </c>
      <c r="M667" s="37" t="str">
        <f t="shared" si="62"/>
        <v>General</v>
      </c>
      <c r="N667" s="37" t="str">
        <f t="shared" si="60"/>
        <v>UPI</v>
      </c>
      <c r="O667" s="37" t="str" cm="1">
        <f t="array" ref="O667">IF(TRIM(N667)="",INDEX($N$2:$N$1500,MATCH(MAX(COUNTIF($N$2:$N$1500,$N$2:$N$1500)),COUNTIF($N$2:$N$1500,$N$2:$N$1500),0)),N667)</f>
        <v>UPI</v>
      </c>
      <c r="P667" s="38" cm="1">
        <f t="array" ref="P667">ROUND(IF(TRIM(H667)="",IFERROR(MEDIAN(IF($M$2:$M$1500=M667,$H$2:$H$1500)),MEDIAN($H$2:$H$1500)),H667),2)</f>
        <v>4.53</v>
      </c>
      <c r="Q667" s="38" t="str">
        <f t="shared" si="63"/>
        <v>1</v>
      </c>
      <c r="R667" s="39" cm="1">
        <f t="array" ref="R667">IF(OR(TRIM(J667)="",TRIM(J667)="-"),MEDIAN(IF($C$2:$C$1218=C667,$J$2:$J$1218)),VALUE(SUBSTITUTE(SUBSTITUTE(SUBSTITUTE(J667,"Rs. ",""),"₹",""),",","")))</f>
        <v>8583</v>
      </c>
      <c r="S667" s="40">
        <f t="shared" si="61"/>
        <v>0</v>
      </c>
      <c r="T667" s="41">
        <f t="shared" si="64"/>
        <v>0</v>
      </c>
      <c r="U667" s="42">
        <f t="shared" si="65"/>
        <v>8583</v>
      </c>
    </row>
    <row r="668" spans="1:21" x14ac:dyDescent="0.3">
      <c r="A668" s="37" t="s">
        <v>3992</v>
      </c>
      <c r="B668" s="37" t="s">
        <v>3993</v>
      </c>
      <c r="C668" s="37" t="s">
        <v>2438</v>
      </c>
      <c r="D668" s="37" t="s">
        <v>106</v>
      </c>
      <c r="E668" s="37" t="s">
        <v>107</v>
      </c>
      <c r="F668" s="37" t="s">
        <v>49</v>
      </c>
      <c r="G668" s="37" t="s">
        <v>2423</v>
      </c>
      <c r="H668" s="37">
        <v>18.57</v>
      </c>
      <c r="I668" s="37">
        <v>28</v>
      </c>
      <c r="J668" s="37">
        <v>5776</v>
      </c>
      <c r="K668" s="37" t="s">
        <v>72</v>
      </c>
      <c r="L668" s="37"/>
      <c r="M668" s="37" t="str">
        <f t="shared" si="62"/>
        <v>General</v>
      </c>
      <c r="N668" s="37" t="str">
        <f t="shared" si="60"/>
        <v>Cash</v>
      </c>
      <c r="O668" s="37" t="str" cm="1">
        <f t="array" ref="O668">IF(TRIM(N668)="",INDEX($N$2:$N$1500,MATCH(MAX(COUNTIF($N$2:$N$1500,$N$2:$N$1500)),COUNTIF($N$2:$N$1500,$N$2:$N$1500),0)),N668)</f>
        <v>Cash</v>
      </c>
      <c r="P668" s="38" cm="1">
        <f t="array" ref="P668">ROUND(IF(TRIM(H668)="",IFERROR(MEDIAN(IF($M$2:$M$1500=M668,$H$2:$H$1500)),MEDIAN($H$2:$H$1500)),H668),2)</f>
        <v>18.57</v>
      </c>
      <c r="Q668" s="38" t="str">
        <f t="shared" si="63"/>
        <v>0</v>
      </c>
      <c r="R668" s="39" cm="1">
        <f t="array" ref="R668">IF(OR(TRIM(J668)="",TRIM(J668)="-"),MEDIAN(IF($C$2:$C$1218=C668,$J$2:$J$1218)),VALUE(SUBSTITUTE(SUBSTITUTE(SUBSTITUTE(J668,"Rs. ",""),"₹",""),",","")))</f>
        <v>5776</v>
      </c>
      <c r="S668" s="40">
        <f t="shared" si="61"/>
        <v>0</v>
      </c>
      <c r="T668" s="41">
        <f t="shared" si="64"/>
        <v>0</v>
      </c>
      <c r="U668" s="42">
        <f t="shared" si="65"/>
        <v>5776</v>
      </c>
    </row>
    <row r="669" spans="1:21" x14ac:dyDescent="0.3">
      <c r="A669" s="37" t="s">
        <v>3994</v>
      </c>
      <c r="B669" s="37" t="s">
        <v>3995</v>
      </c>
      <c r="C669" s="37" t="s">
        <v>2431</v>
      </c>
      <c r="D669" s="37" t="s">
        <v>117</v>
      </c>
      <c r="E669" s="37" t="s">
        <v>127</v>
      </c>
      <c r="F669" s="37" t="s">
        <v>39</v>
      </c>
      <c r="G669" s="37" t="s">
        <v>2418</v>
      </c>
      <c r="H669" s="37">
        <v>18.399999999999999</v>
      </c>
      <c r="I669" s="37"/>
      <c r="J669" s="37" t="s">
        <v>3996</v>
      </c>
      <c r="K669" s="37" t="s">
        <v>91</v>
      </c>
      <c r="L669" s="37">
        <v>0</v>
      </c>
      <c r="M669" s="37" t="str">
        <f t="shared" si="62"/>
        <v>General</v>
      </c>
      <c r="N669" s="37" t="str">
        <f t="shared" si="60"/>
        <v>Debit Card</v>
      </c>
      <c r="O669" s="37" t="str" cm="1">
        <f t="array" ref="O669">IF(TRIM(N669)="",INDEX($N$2:$N$1500,MATCH(MAX(COUNTIF($N$2:$N$1500,$N$2:$N$1500)),COUNTIF($N$2:$N$1500,$N$2:$N$1500),0)),N669)</f>
        <v>Debit Card</v>
      </c>
      <c r="P669" s="38" cm="1">
        <f t="array" ref="P669">ROUND(IF(TRIM(H669)="",IFERROR(MEDIAN(IF($M$2:$M$1500=M669,$H$2:$H$1500)),MEDIAN($H$2:$H$1500)),H669),2)</f>
        <v>18.399999999999999</v>
      </c>
      <c r="Q669" s="38" t="str">
        <f t="shared" si="63"/>
        <v>1</v>
      </c>
      <c r="R669" s="39" cm="1">
        <f t="array" ref="R669">IF(OR(TRIM(J669)="",TRIM(J669)="-"),MEDIAN(IF($C$2:$C$1218=C669,$J$2:$J$1218)),VALUE(SUBSTITUTE(SUBSTITUTE(SUBSTITUTE(J669,"Rs. ",""),"₹",""),",","")))</f>
        <v>9447</v>
      </c>
      <c r="S669" s="40">
        <f t="shared" si="61"/>
        <v>0</v>
      </c>
      <c r="T669" s="41">
        <f t="shared" si="64"/>
        <v>0</v>
      </c>
      <c r="U669" s="42">
        <f t="shared" si="65"/>
        <v>9447</v>
      </c>
    </row>
    <row r="670" spans="1:21" x14ac:dyDescent="0.3">
      <c r="A670" s="37" t="s">
        <v>3997</v>
      </c>
      <c r="B670" s="37" t="s">
        <v>2856</v>
      </c>
      <c r="C670" s="37" t="s">
        <v>2469</v>
      </c>
      <c r="D670" s="37" t="s">
        <v>14</v>
      </c>
      <c r="E670" s="37" t="s">
        <v>60</v>
      </c>
      <c r="F670" s="37" t="s">
        <v>30</v>
      </c>
      <c r="G670" s="37" t="s">
        <v>2423</v>
      </c>
      <c r="H670" s="37">
        <v>13.24</v>
      </c>
      <c r="I670" s="37">
        <v>19</v>
      </c>
      <c r="J670" s="37">
        <v>3165</v>
      </c>
      <c r="K670" s="37" t="s">
        <v>42</v>
      </c>
      <c r="L670" s="37" t="s">
        <v>140</v>
      </c>
      <c r="M670" s="37" t="str">
        <f t="shared" si="62"/>
        <v>General</v>
      </c>
      <c r="N670" s="37" t="str">
        <f t="shared" si="60"/>
        <v>Insurance</v>
      </c>
      <c r="O670" s="37" t="str" cm="1">
        <f t="array" ref="O670">IF(TRIM(N670)="",INDEX($N$2:$N$1500,MATCH(MAX(COUNTIF($N$2:$N$1500,$N$2:$N$1500)),COUNTIF($N$2:$N$1500,$N$2:$N$1500),0)),N670)</f>
        <v>Insurance</v>
      </c>
      <c r="P670" s="38" cm="1">
        <f t="array" ref="P670">ROUND(IF(TRIM(H670)="",IFERROR(MEDIAN(IF($M$2:$M$1500=M670,$H$2:$H$1500)),MEDIAN($H$2:$H$1500)),H670),2)</f>
        <v>13.24</v>
      </c>
      <c r="Q670" s="38" t="str">
        <f t="shared" si="63"/>
        <v>0</v>
      </c>
      <c r="R670" s="39" cm="1">
        <f t="array" ref="R670">IF(OR(TRIM(J670)="",TRIM(J670)="-"),MEDIAN(IF($C$2:$C$1218=C670,$J$2:$J$1218)),VALUE(SUBSTITUTE(SUBSTITUTE(SUBSTITUTE(J670,"Rs. ",""),"₹",""),",","")))</f>
        <v>3165</v>
      </c>
      <c r="S670" s="40" t="str">
        <f t="shared" si="61"/>
        <v>-</v>
      </c>
      <c r="T670" s="41">
        <f t="shared" si="64"/>
        <v>17</v>
      </c>
      <c r="U670" s="42">
        <f t="shared" si="65"/>
        <v>2627</v>
      </c>
    </row>
    <row r="671" spans="1:21" x14ac:dyDescent="0.3">
      <c r="A671" s="37" t="s">
        <v>3998</v>
      </c>
      <c r="B671" s="37" t="s">
        <v>3999</v>
      </c>
      <c r="C671" s="37" t="s">
        <v>2445</v>
      </c>
      <c r="D671" s="37" t="s">
        <v>14</v>
      </c>
      <c r="E671" s="37" t="s">
        <v>60</v>
      </c>
      <c r="F671" s="37" t="s">
        <v>19</v>
      </c>
      <c r="G671" s="37" t="s">
        <v>2435</v>
      </c>
      <c r="H671" s="37">
        <v>23.33</v>
      </c>
      <c r="I671" s="37">
        <v>38</v>
      </c>
      <c r="J671" s="37">
        <v>16918</v>
      </c>
      <c r="K671" s="37" t="s">
        <v>23</v>
      </c>
      <c r="L671" s="37" t="s">
        <v>64</v>
      </c>
      <c r="M671" s="37" t="str">
        <f t="shared" si="62"/>
        <v>General</v>
      </c>
      <c r="N671" s="37" t="str">
        <f t="shared" si="60"/>
        <v>Credit Card</v>
      </c>
      <c r="O671" s="37" t="str" cm="1">
        <f t="array" ref="O671">IF(TRIM(N671)="",INDEX($N$2:$N$1500,MATCH(MAX(COUNTIF($N$2:$N$1500,$N$2:$N$1500)),COUNTIF($N$2:$N$1500,$N$2:$N$1500),0)),N671)</f>
        <v>Credit Card</v>
      </c>
      <c r="P671" s="38" cm="1">
        <f t="array" ref="P671">ROUND(IF(TRIM(H671)="",IFERROR(MEDIAN(IF($M$2:$M$1500=M671,$H$2:$H$1500)),MEDIAN($H$2:$H$1500)),H671),2)</f>
        <v>23.33</v>
      </c>
      <c r="Q671" s="38" t="str">
        <f t="shared" si="63"/>
        <v>0</v>
      </c>
      <c r="R671" s="39" cm="1">
        <f t="array" ref="R671">IF(OR(TRIM(J671)="",TRIM(J671)="-"),MEDIAN(IF($C$2:$C$1218=C671,$J$2:$J$1218)),VALUE(SUBSTITUTE(SUBSTITUTE(SUBSTITUTE(J671,"Rs. ",""),"₹",""),",","")))</f>
        <v>16918</v>
      </c>
      <c r="S671" s="40" t="str">
        <f t="shared" si="61"/>
        <v>NA</v>
      </c>
      <c r="T671" s="41">
        <f t="shared" si="64"/>
        <v>2</v>
      </c>
      <c r="U671" s="42">
        <f t="shared" si="65"/>
        <v>16580</v>
      </c>
    </row>
    <row r="672" spans="1:21" x14ac:dyDescent="0.3">
      <c r="A672" s="37" t="s">
        <v>4000</v>
      </c>
      <c r="B672" s="37" t="s">
        <v>3671</v>
      </c>
      <c r="C672" s="37" t="s">
        <v>2561</v>
      </c>
      <c r="D672" s="37" t="s">
        <v>78</v>
      </c>
      <c r="E672" s="37" t="s">
        <v>203</v>
      </c>
      <c r="F672" s="37" t="s">
        <v>101</v>
      </c>
      <c r="G672" s="37" t="s">
        <v>2412</v>
      </c>
      <c r="H672" s="37"/>
      <c r="I672" s="37">
        <v>47</v>
      </c>
      <c r="J672" s="37">
        <v>67185</v>
      </c>
      <c r="K672" s="37" t="s">
        <v>42</v>
      </c>
      <c r="L672" s="37"/>
      <c r="M672" s="37" t="str">
        <f t="shared" si="62"/>
        <v>ICU</v>
      </c>
      <c r="N672" s="37" t="str">
        <f t="shared" si="60"/>
        <v>Insurance</v>
      </c>
      <c r="O672" s="37" t="str" cm="1">
        <f t="array" ref="O672">IF(TRIM(N672)="",INDEX($N$2:$N$1500,MATCH(MAX(COUNTIF($N$2:$N$1500,$N$2:$N$1500)),COUNTIF($N$2:$N$1500,$N$2:$N$1500),0)),N672)</f>
        <v>Insurance</v>
      </c>
      <c r="P672" s="38" cm="1">
        <f t="array" ref="P672">ROUND(IF(TRIM(H672)="",IFERROR(MEDIAN(IF($M$2:$M$1500=M672,$H$2:$H$1500)),MEDIAN($H$2:$H$1500)),H672),2)</f>
        <v>12.21</v>
      </c>
      <c r="Q672" s="38" t="str">
        <f t="shared" si="63"/>
        <v>1</v>
      </c>
      <c r="R672" s="39" cm="1">
        <f t="array" ref="R672">IF(OR(TRIM(J672)="",TRIM(J672)="-"),MEDIAN(IF($C$2:$C$1218=C672,$J$2:$J$1218)),VALUE(SUBSTITUTE(SUBSTITUTE(SUBSTITUTE(J672,"Rs. ",""),"₹",""),",","")))</f>
        <v>67185</v>
      </c>
      <c r="S672" s="40">
        <f t="shared" si="61"/>
        <v>0</v>
      </c>
      <c r="T672" s="41">
        <f t="shared" si="64"/>
        <v>0</v>
      </c>
      <c r="U672" s="42">
        <f t="shared" si="65"/>
        <v>67185</v>
      </c>
    </row>
    <row r="673" spans="1:21" x14ac:dyDescent="0.3">
      <c r="A673" s="37" t="s">
        <v>4001</v>
      </c>
      <c r="B673" s="37" t="s">
        <v>4002</v>
      </c>
      <c r="C673" s="37" t="s">
        <v>2466</v>
      </c>
      <c r="D673" s="37" t="s">
        <v>78</v>
      </c>
      <c r="E673" s="37" t="s">
        <v>79</v>
      </c>
      <c r="F673" s="37"/>
      <c r="G673" s="37" t="s">
        <v>2455</v>
      </c>
      <c r="H673" s="37">
        <v>19.71</v>
      </c>
      <c r="I673" s="37">
        <v>53</v>
      </c>
      <c r="J673" s="37">
        <v>46040</v>
      </c>
      <c r="K673" s="37" t="s">
        <v>97</v>
      </c>
      <c r="L673" s="37" t="s">
        <v>130</v>
      </c>
      <c r="M673" s="37" t="str">
        <f t="shared" si="62"/>
        <v>Unknown</v>
      </c>
      <c r="N673" s="37" t="str">
        <f t="shared" si="60"/>
        <v>UPI</v>
      </c>
      <c r="O673" s="37" t="str" cm="1">
        <f t="array" ref="O673">IF(TRIM(N673)="",INDEX($N$2:$N$1500,MATCH(MAX(COUNTIF($N$2:$N$1500,$N$2:$N$1500)),COUNTIF($N$2:$N$1500,$N$2:$N$1500),0)),N673)</f>
        <v>UPI</v>
      </c>
      <c r="P673" s="38" cm="1">
        <f t="array" ref="P673">ROUND(IF(TRIM(H673)="",IFERROR(MEDIAN(IF($M$2:$M$1500=M673,$H$2:$H$1500)),MEDIAN($H$2:$H$1500)),H673),2)</f>
        <v>19.71</v>
      </c>
      <c r="Q673" s="38" t="str">
        <f t="shared" si="63"/>
        <v>1</v>
      </c>
      <c r="R673" s="39" cm="1">
        <f t="array" ref="R673">IF(OR(TRIM(J673)="",TRIM(J673)="-"),MEDIAN(IF($C$2:$C$1218=C673,$J$2:$J$1218)),VALUE(SUBSTITUTE(SUBSTITUTE(SUBSTITUTE(J673,"Rs. ",""),"₹",""),",","")))</f>
        <v>46040</v>
      </c>
      <c r="S673" s="40">
        <f t="shared" si="61"/>
        <v>0</v>
      </c>
      <c r="T673" s="41">
        <f t="shared" si="64"/>
        <v>0</v>
      </c>
      <c r="U673" s="42">
        <f t="shared" si="65"/>
        <v>46040</v>
      </c>
    </row>
    <row r="674" spans="1:21" x14ac:dyDescent="0.3">
      <c r="A674" s="37" t="s">
        <v>4003</v>
      </c>
      <c r="B674" s="37" t="s">
        <v>4004</v>
      </c>
      <c r="C674" s="37" t="s">
        <v>2431</v>
      </c>
      <c r="D674" s="37" t="s">
        <v>14</v>
      </c>
      <c r="E674" s="37" t="s">
        <v>60</v>
      </c>
      <c r="F674" s="37" t="s">
        <v>69</v>
      </c>
      <c r="G674" s="37" t="s">
        <v>2439</v>
      </c>
      <c r="H674" s="37">
        <v>10.86</v>
      </c>
      <c r="I674" s="37">
        <v>44</v>
      </c>
      <c r="J674" s="37">
        <v>43824</v>
      </c>
      <c r="K674" s="37" t="s">
        <v>34</v>
      </c>
      <c r="L674" s="37">
        <v>0</v>
      </c>
      <c r="M674" s="37" t="str">
        <f t="shared" si="62"/>
        <v>ICU</v>
      </c>
      <c r="N674" s="37" t="str">
        <f t="shared" si="60"/>
        <v>Cash</v>
      </c>
      <c r="O674" s="37" t="str" cm="1">
        <f t="array" ref="O674">IF(TRIM(N674)="",INDEX($N$2:$N$1500,MATCH(MAX(COUNTIF($N$2:$N$1500,$N$2:$N$1500)),COUNTIF($N$2:$N$1500,$N$2:$N$1500),0)),N674)</f>
        <v>Cash</v>
      </c>
      <c r="P674" s="38" cm="1">
        <f t="array" ref="P674">ROUND(IF(TRIM(H674)="",IFERROR(MEDIAN(IF($M$2:$M$1500=M674,$H$2:$H$1500)),MEDIAN($H$2:$H$1500)),H674),2)</f>
        <v>10.86</v>
      </c>
      <c r="Q674" s="38" t="str">
        <f t="shared" si="63"/>
        <v>2</v>
      </c>
      <c r="R674" s="39" cm="1">
        <f t="array" ref="R674">IF(OR(TRIM(J674)="",TRIM(J674)="-"),MEDIAN(IF($C$2:$C$1218=C674,$J$2:$J$1218)),VALUE(SUBSTITUTE(SUBSTITUTE(SUBSTITUTE(J674,"Rs. ",""),"₹",""),",","")))</f>
        <v>43824</v>
      </c>
      <c r="S674" s="40">
        <f t="shared" si="61"/>
        <v>0</v>
      </c>
      <c r="T674" s="41">
        <f t="shared" si="64"/>
        <v>0</v>
      </c>
      <c r="U674" s="42">
        <f t="shared" si="65"/>
        <v>43824</v>
      </c>
    </row>
    <row r="675" spans="1:21" x14ac:dyDescent="0.3">
      <c r="A675" s="37" t="s">
        <v>4005</v>
      </c>
      <c r="B675" s="37" t="s">
        <v>4006</v>
      </c>
      <c r="C675" s="37" t="s">
        <v>2427</v>
      </c>
      <c r="D675" s="37" t="s">
        <v>14</v>
      </c>
      <c r="E675" s="37" t="s">
        <v>60</v>
      </c>
      <c r="F675" s="37" t="s">
        <v>69</v>
      </c>
      <c r="G675" s="37" t="s">
        <v>2412</v>
      </c>
      <c r="H675" s="37">
        <v>3.69</v>
      </c>
      <c r="I675" s="37">
        <v>53</v>
      </c>
      <c r="J675" s="37">
        <v>43191</v>
      </c>
      <c r="K675" s="37" t="s">
        <v>58</v>
      </c>
      <c r="L675" s="37" t="s">
        <v>76</v>
      </c>
      <c r="M675" s="37" t="str">
        <f t="shared" si="62"/>
        <v>ICU</v>
      </c>
      <c r="N675" s="37" t="str">
        <f t="shared" si="60"/>
        <v>UPI</v>
      </c>
      <c r="O675" s="37" t="str" cm="1">
        <f t="array" ref="O675">IF(TRIM(N675)="",INDEX($N$2:$N$1500,MATCH(MAX(COUNTIF($N$2:$N$1500,$N$2:$N$1500)),COUNTIF($N$2:$N$1500,$N$2:$N$1500),0)),N675)</f>
        <v>UPI</v>
      </c>
      <c r="P675" s="38" cm="1">
        <f t="array" ref="P675">ROUND(IF(TRIM(H675)="",IFERROR(MEDIAN(IF($M$2:$M$1500=M675,$H$2:$H$1500)),MEDIAN($H$2:$H$1500)),H675),2)</f>
        <v>3.69</v>
      </c>
      <c r="Q675" s="38" t="str">
        <f t="shared" si="63"/>
        <v>1</v>
      </c>
      <c r="R675" s="39" cm="1">
        <f t="array" ref="R675">IF(OR(TRIM(J675)="",TRIM(J675)="-"),MEDIAN(IF($C$2:$C$1218=C675,$J$2:$J$1218)),VALUE(SUBSTITUTE(SUBSTITUTE(SUBSTITUTE(J675,"Rs. ",""),"₹",""),",","")))</f>
        <v>43191</v>
      </c>
      <c r="S675" s="40">
        <f t="shared" si="61"/>
        <v>10</v>
      </c>
      <c r="T675" s="41">
        <f t="shared" si="64"/>
        <v>10</v>
      </c>
      <c r="U675" s="42">
        <f t="shared" si="65"/>
        <v>38872</v>
      </c>
    </row>
    <row r="676" spans="1:21" x14ac:dyDescent="0.3">
      <c r="A676" s="37" t="s">
        <v>4007</v>
      </c>
      <c r="B676" s="37" t="s">
        <v>4008</v>
      </c>
      <c r="C676" s="37" t="s">
        <v>2415</v>
      </c>
      <c r="D676" s="37" t="s">
        <v>78</v>
      </c>
      <c r="E676" s="37" t="s">
        <v>203</v>
      </c>
      <c r="F676" s="37" t="s">
        <v>69</v>
      </c>
      <c r="G676" s="37"/>
      <c r="H676" s="37">
        <v>24.97</v>
      </c>
      <c r="I676" s="37"/>
      <c r="J676" s="37" t="s">
        <v>4009</v>
      </c>
      <c r="K676" s="37" t="s">
        <v>83</v>
      </c>
      <c r="L676" s="37">
        <v>0</v>
      </c>
      <c r="M676" s="37" t="str">
        <f t="shared" si="62"/>
        <v>ICU</v>
      </c>
      <c r="N676" s="37" t="str">
        <f t="shared" si="60"/>
        <v>Debit Card</v>
      </c>
      <c r="O676" s="37" t="str" cm="1">
        <f t="array" ref="O676">IF(TRIM(N676)="",INDEX($N$2:$N$1500,MATCH(MAX(COUNTIF($N$2:$N$1500,$N$2:$N$1500)),COUNTIF($N$2:$N$1500,$N$2:$N$1500),0)),N676)</f>
        <v>Debit Card</v>
      </c>
      <c r="P676" s="38" cm="1">
        <f t="array" ref="P676">ROUND(IF(TRIM(H676)="",IFERROR(MEDIAN(IF($M$2:$M$1500=M676,$H$2:$H$1500)),MEDIAN($H$2:$H$1500)),H676),2)</f>
        <v>24.97</v>
      </c>
      <c r="Q676" s="38" t="str">
        <f t="shared" si="63"/>
        <v>Unknown</v>
      </c>
      <c r="R676" s="39" cm="1">
        <f t="array" ref="R676">IF(OR(TRIM(J676)="",TRIM(J676)="-"),MEDIAN(IF($C$2:$C$1218=C676,$J$2:$J$1218)),VALUE(SUBSTITUTE(SUBSTITUTE(SUBSTITUTE(J676,"Rs. ",""),"₹",""),",","")))</f>
        <v>83066</v>
      </c>
      <c r="S676" s="40">
        <f t="shared" si="61"/>
        <v>0</v>
      </c>
      <c r="T676" s="41">
        <f t="shared" si="64"/>
        <v>0</v>
      </c>
      <c r="U676" s="42">
        <f t="shared" si="65"/>
        <v>83066</v>
      </c>
    </row>
    <row r="677" spans="1:21" x14ac:dyDescent="0.3">
      <c r="A677" s="37" t="s">
        <v>4010</v>
      </c>
      <c r="B677" s="37" t="s">
        <v>4011</v>
      </c>
      <c r="C677" s="37" t="s">
        <v>2466</v>
      </c>
      <c r="D677" s="37" t="s">
        <v>45</v>
      </c>
      <c r="E677" s="37" t="s">
        <v>46</v>
      </c>
      <c r="F677" s="37" t="s">
        <v>101</v>
      </c>
      <c r="G677" s="37" t="s">
        <v>2408</v>
      </c>
      <c r="H677" s="37">
        <v>11.21</v>
      </c>
      <c r="I677" s="37">
        <v>34</v>
      </c>
      <c r="J677" s="37" t="s">
        <v>4012</v>
      </c>
      <c r="K677" s="37" t="s">
        <v>115</v>
      </c>
      <c r="L677" s="37" t="s">
        <v>130</v>
      </c>
      <c r="M677" s="37" t="str">
        <f t="shared" si="62"/>
        <v>ICU</v>
      </c>
      <c r="N677" s="37" t="str">
        <f t="shared" si="60"/>
        <v>Cash</v>
      </c>
      <c r="O677" s="37" t="str" cm="1">
        <f t="array" ref="O677">IF(TRIM(N677)="",INDEX($N$2:$N$1500,MATCH(MAX(COUNTIF($N$2:$N$1500,$N$2:$N$1500)),COUNTIF($N$2:$N$1500,$N$2:$N$1500),0)),N677)</f>
        <v>Cash</v>
      </c>
      <c r="P677" s="38" cm="1">
        <f t="array" ref="P677">ROUND(IF(TRIM(H677)="",IFERROR(MEDIAN(IF($M$2:$M$1500=M677,$H$2:$H$1500)),MEDIAN($H$2:$H$1500)),H677),2)</f>
        <v>11.21</v>
      </c>
      <c r="Q677" s="38" t="str">
        <f t="shared" si="63"/>
        <v>0</v>
      </c>
      <c r="R677" s="39" cm="1">
        <f t="array" ref="R677">IF(OR(TRIM(J677)="",TRIM(J677)="-"),MEDIAN(IF($C$2:$C$1218=C677,$J$2:$J$1218)),VALUE(SUBSTITUTE(SUBSTITUTE(SUBSTITUTE(J677,"Rs. ",""),"₹",""),",","")))</f>
        <v>31527</v>
      </c>
      <c r="S677" s="40">
        <f t="shared" si="61"/>
        <v>0</v>
      </c>
      <c r="T677" s="41">
        <f t="shared" si="64"/>
        <v>0</v>
      </c>
      <c r="U677" s="42">
        <f t="shared" si="65"/>
        <v>31527</v>
      </c>
    </row>
    <row r="678" spans="1:21" x14ac:dyDescent="0.3">
      <c r="A678" s="37" t="s">
        <v>4013</v>
      </c>
      <c r="B678" s="37" t="s">
        <v>4014</v>
      </c>
      <c r="C678" s="37" t="s">
        <v>2490</v>
      </c>
      <c r="D678" s="37" t="s">
        <v>45</v>
      </c>
      <c r="E678" s="37" t="s">
        <v>334</v>
      </c>
      <c r="F678" s="37" t="s">
        <v>30</v>
      </c>
      <c r="G678" s="37" t="s">
        <v>2477</v>
      </c>
      <c r="H678" s="37">
        <v>6.22</v>
      </c>
      <c r="I678" s="37">
        <v>1</v>
      </c>
      <c r="J678" s="37">
        <v>5398</v>
      </c>
      <c r="K678" s="37" t="s">
        <v>83</v>
      </c>
      <c r="L678" s="37">
        <v>0</v>
      </c>
      <c r="M678" s="37" t="str">
        <f t="shared" si="62"/>
        <v>General</v>
      </c>
      <c r="N678" s="37" t="str">
        <f t="shared" si="60"/>
        <v>Debit Card</v>
      </c>
      <c r="O678" s="37" t="str" cm="1">
        <f t="array" ref="O678">IF(TRIM(N678)="",INDEX($N$2:$N$1500,MATCH(MAX(COUNTIF($N$2:$N$1500,$N$2:$N$1500)),COUNTIF($N$2:$N$1500,$N$2:$N$1500),0)),N678)</f>
        <v>Debit Card</v>
      </c>
      <c r="P678" s="38" cm="1">
        <f t="array" ref="P678">ROUND(IF(TRIM(H678)="",IFERROR(MEDIAN(IF($M$2:$M$1500=M678,$H$2:$H$1500)),MEDIAN($H$2:$H$1500)),H678),2)</f>
        <v>6.22</v>
      </c>
      <c r="Q678" s="38" t="str">
        <f t="shared" si="63"/>
        <v>0</v>
      </c>
      <c r="R678" s="39" cm="1">
        <f t="array" ref="R678">IF(OR(TRIM(J678)="",TRIM(J678)="-"),MEDIAN(IF($C$2:$C$1218=C678,$J$2:$J$1218)),VALUE(SUBSTITUTE(SUBSTITUTE(SUBSTITUTE(J678,"Rs. ",""),"₹",""),",","")))</f>
        <v>5398</v>
      </c>
      <c r="S678" s="40">
        <f t="shared" si="61"/>
        <v>0</v>
      </c>
      <c r="T678" s="41">
        <f t="shared" si="64"/>
        <v>0</v>
      </c>
      <c r="U678" s="42">
        <f t="shared" si="65"/>
        <v>5398</v>
      </c>
    </row>
    <row r="679" spans="1:21" x14ac:dyDescent="0.3">
      <c r="A679" s="37" t="s">
        <v>4015</v>
      </c>
      <c r="B679" s="37" t="s">
        <v>4016</v>
      </c>
      <c r="C679" s="37" t="s">
        <v>2422</v>
      </c>
      <c r="D679" s="37" t="s">
        <v>14</v>
      </c>
      <c r="E679" s="37" t="s">
        <v>60</v>
      </c>
      <c r="F679" s="37" t="s">
        <v>39</v>
      </c>
      <c r="G679" s="37" t="s">
        <v>2423</v>
      </c>
      <c r="H679" s="37">
        <v>0.67</v>
      </c>
      <c r="I679" s="37">
        <v>16</v>
      </c>
      <c r="J679" s="37" t="s">
        <v>4017</v>
      </c>
      <c r="K679" s="37" t="s">
        <v>23</v>
      </c>
      <c r="L679" s="37">
        <v>10</v>
      </c>
      <c r="M679" s="37" t="str">
        <f t="shared" si="62"/>
        <v>General</v>
      </c>
      <c r="N679" s="37" t="str">
        <f t="shared" si="60"/>
        <v>Credit Card</v>
      </c>
      <c r="O679" s="37" t="str" cm="1">
        <f t="array" ref="O679">IF(TRIM(N679)="",INDEX($N$2:$N$1500,MATCH(MAX(COUNTIF($N$2:$N$1500,$N$2:$N$1500)),COUNTIF($N$2:$N$1500,$N$2:$N$1500),0)),N679)</f>
        <v>Credit Card</v>
      </c>
      <c r="P679" s="38" cm="1">
        <f t="array" ref="P679">ROUND(IF(TRIM(H679)="",IFERROR(MEDIAN(IF($M$2:$M$1500=M679,$H$2:$H$1500)),MEDIAN($H$2:$H$1500)),H679),2)</f>
        <v>0.67</v>
      </c>
      <c r="Q679" s="38" t="str">
        <f t="shared" si="63"/>
        <v>0</v>
      </c>
      <c r="R679" s="39" cm="1">
        <f t="array" ref="R679">IF(OR(TRIM(J679)="",TRIM(J679)="-"),MEDIAN(IF($C$2:$C$1218=C679,$J$2:$J$1218)),VALUE(SUBSTITUTE(SUBSTITUTE(SUBSTITUTE(J679,"Rs. ",""),"₹",""),",","")))</f>
        <v>6722</v>
      </c>
      <c r="S679" s="40">
        <f t="shared" si="61"/>
        <v>10</v>
      </c>
      <c r="T679" s="41">
        <f t="shared" si="64"/>
        <v>10</v>
      </c>
      <c r="U679" s="42">
        <f t="shared" si="65"/>
        <v>6050</v>
      </c>
    </row>
    <row r="680" spans="1:21" x14ac:dyDescent="0.3">
      <c r="A680" s="37" t="s">
        <v>4018</v>
      </c>
      <c r="B680" s="37" t="s">
        <v>4019</v>
      </c>
      <c r="C680" s="37" t="s">
        <v>2561</v>
      </c>
      <c r="D680" s="37" t="s">
        <v>78</v>
      </c>
      <c r="E680" s="37" t="s">
        <v>79</v>
      </c>
      <c r="F680" s="37" t="s">
        <v>101</v>
      </c>
      <c r="G680" s="37" t="s">
        <v>2450</v>
      </c>
      <c r="H680" s="37">
        <v>7.69</v>
      </c>
      <c r="I680" s="37">
        <v>21</v>
      </c>
      <c r="J680" s="37">
        <v>72941</v>
      </c>
      <c r="K680" s="37" t="s">
        <v>115</v>
      </c>
      <c r="L680" s="37">
        <v>0</v>
      </c>
      <c r="M680" s="37" t="str">
        <f t="shared" si="62"/>
        <v>ICU</v>
      </c>
      <c r="N680" s="37" t="str">
        <f t="shared" si="60"/>
        <v>Cash</v>
      </c>
      <c r="O680" s="37" t="str" cm="1">
        <f t="array" ref="O680">IF(TRIM(N680)="",INDEX($N$2:$N$1500,MATCH(MAX(COUNTIF($N$2:$N$1500,$N$2:$N$1500)),COUNTIF($N$2:$N$1500,$N$2:$N$1500),0)),N680)</f>
        <v>Cash</v>
      </c>
      <c r="P680" s="38" cm="1">
        <f t="array" ref="P680">ROUND(IF(TRIM(H680)="",IFERROR(MEDIAN(IF($M$2:$M$1500=M680,$H$2:$H$1500)),MEDIAN($H$2:$H$1500)),H680),2)</f>
        <v>7.69</v>
      </c>
      <c r="Q680" s="38" t="str">
        <f t="shared" si="63"/>
        <v>1</v>
      </c>
      <c r="R680" s="39" cm="1">
        <f t="array" ref="R680">IF(OR(TRIM(J680)="",TRIM(J680)="-"),MEDIAN(IF($C$2:$C$1218=C680,$J$2:$J$1218)),VALUE(SUBSTITUTE(SUBSTITUTE(SUBSTITUTE(J680,"Rs. ",""),"₹",""),",","")))</f>
        <v>72941</v>
      </c>
      <c r="S680" s="40">
        <f t="shared" si="61"/>
        <v>0</v>
      </c>
      <c r="T680" s="41">
        <f t="shared" si="64"/>
        <v>0</v>
      </c>
      <c r="U680" s="42">
        <f t="shared" si="65"/>
        <v>72941</v>
      </c>
    </row>
    <row r="681" spans="1:21" x14ac:dyDescent="0.3">
      <c r="A681" s="37" t="s">
        <v>4020</v>
      </c>
      <c r="B681" s="37" t="s">
        <v>4021</v>
      </c>
      <c r="C681" s="37" t="s">
        <v>2490</v>
      </c>
      <c r="D681" s="37" t="s">
        <v>14</v>
      </c>
      <c r="E681" s="37" t="s">
        <v>15</v>
      </c>
      <c r="F681" s="37" t="s">
        <v>39</v>
      </c>
      <c r="G681" s="37" t="s">
        <v>2993</v>
      </c>
      <c r="H681" s="37">
        <v>17.7</v>
      </c>
      <c r="I681" s="37">
        <v>9</v>
      </c>
      <c r="J681" s="37">
        <v>17914</v>
      </c>
      <c r="K681" s="37" t="s">
        <v>58</v>
      </c>
      <c r="L681" s="37" t="s">
        <v>198</v>
      </c>
      <c r="M681" s="37" t="str">
        <f t="shared" si="62"/>
        <v>General</v>
      </c>
      <c r="N681" s="37" t="str">
        <f t="shared" si="60"/>
        <v>UPI</v>
      </c>
      <c r="O681" s="37" t="str" cm="1">
        <f t="array" ref="O681">IF(TRIM(N681)="",INDEX($N$2:$N$1500,MATCH(MAX(COUNTIF($N$2:$N$1500,$N$2:$N$1500)),COUNTIF($N$2:$N$1500,$N$2:$N$1500),0)),N681)</f>
        <v>UPI</v>
      </c>
      <c r="P681" s="38" cm="1">
        <f t="array" ref="P681">ROUND(IF(TRIM(H681)="",IFERROR(MEDIAN(IF($M$2:$M$1500=M681,$H$2:$H$1500)),MEDIAN($H$2:$H$1500)),H681),2)</f>
        <v>17.7</v>
      </c>
      <c r="Q681" s="38" t="str">
        <f t="shared" si="63"/>
        <v>2+</v>
      </c>
      <c r="R681" s="39" cm="1">
        <f t="array" ref="R681">IF(OR(TRIM(J681)="",TRIM(J681)="-"),MEDIAN(IF($C$2:$C$1218=C681,$J$2:$J$1218)),VALUE(SUBSTITUTE(SUBSTITUTE(SUBSTITUTE(J681,"Rs. ",""),"₹",""),",","")))</f>
        <v>17914</v>
      </c>
      <c r="S681" s="40">
        <f t="shared" si="61"/>
        <v>5</v>
      </c>
      <c r="T681" s="41">
        <f t="shared" si="64"/>
        <v>5</v>
      </c>
      <c r="U681" s="42">
        <f t="shared" si="65"/>
        <v>17018</v>
      </c>
    </row>
    <row r="682" spans="1:21" x14ac:dyDescent="0.3">
      <c r="A682" s="37" t="s">
        <v>4022</v>
      </c>
      <c r="B682" s="37" t="s">
        <v>3690</v>
      </c>
      <c r="C682" s="37" t="s">
        <v>2407</v>
      </c>
      <c r="D682" s="37" t="s">
        <v>106</v>
      </c>
      <c r="E682" s="37" t="s">
        <v>107</v>
      </c>
      <c r="F682" s="37" t="s">
        <v>39</v>
      </c>
      <c r="G682" s="37" t="s">
        <v>2435</v>
      </c>
      <c r="H682" s="37">
        <v>8.6300000000000008</v>
      </c>
      <c r="I682" s="37">
        <v>7</v>
      </c>
      <c r="J682" s="37">
        <v>18585</v>
      </c>
      <c r="K682" s="37" t="s">
        <v>211</v>
      </c>
      <c r="L682" s="37">
        <v>0</v>
      </c>
      <c r="M682" s="37" t="str">
        <f t="shared" si="62"/>
        <v>General</v>
      </c>
      <c r="N682" s="37" t="str">
        <f t="shared" si="60"/>
        <v>Credit Card</v>
      </c>
      <c r="O682" s="37" t="str" cm="1">
        <f t="array" ref="O682">IF(TRIM(N682)="",INDEX($N$2:$N$1500,MATCH(MAX(COUNTIF($N$2:$N$1500,$N$2:$N$1500)),COUNTIF($N$2:$N$1500,$N$2:$N$1500),0)),N682)</f>
        <v>Credit Card</v>
      </c>
      <c r="P682" s="38" cm="1">
        <f t="array" ref="P682">ROUND(IF(TRIM(H682)="",IFERROR(MEDIAN(IF($M$2:$M$1500=M682,$H$2:$H$1500)),MEDIAN($H$2:$H$1500)),H682),2)</f>
        <v>8.6300000000000008</v>
      </c>
      <c r="Q682" s="38" t="str">
        <f t="shared" si="63"/>
        <v>0</v>
      </c>
      <c r="R682" s="39" cm="1">
        <f t="array" ref="R682">IF(OR(TRIM(J682)="",TRIM(J682)="-"),MEDIAN(IF($C$2:$C$1218=C682,$J$2:$J$1218)),VALUE(SUBSTITUTE(SUBSTITUTE(SUBSTITUTE(J682,"Rs. ",""),"₹",""),",","")))</f>
        <v>18585</v>
      </c>
      <c r="S682" s="40">
        <f t="shared" si="61"/>
        <v>0</v>
      </c>
      <c r="T682" s="41">
        <f t="shared" si="64"/>
        <v>0</v>
      </c>
      <c r="U682" s="42">
        <f t="shared" si="65"/>
        <v>18585</v>
      </c>
    </row>
    <row r="683" spans="1:21" x14ac:dyDescent="0.3">
      <c r="A683" s="37" t="s">
        <v>4023</v>
      </c>
      <c r="B683" s="37" t="s">
        <v>3177</v>
      </c>
      <c r="C683" s="37" t="s">
        <v>2415</v>
      </c>
      <c r="D683" s="37" t="s">
        <v>106</v>
      </c>
      <c r="E683" s="37" t="s">
        <v>307</v>
      </c>
      <c r="F683" s="37" t="s">
        <v>101</v>
      </c>
      <c r="G683" s="37" t="s">
        <v>2477</v>
      </c>
      <c r="H683" s="37">
        <v>8.19</v>
      </c>
      <c r="I683" s="37">
        <v>38</v>
      </c>
      <c r="J683" s="37">
        <v>22045</v>
      </c>
      <c r="K683" s="37" t="s">
        <v>83</v>
      </c>
      <c r="L683" s="37">
        <v>0</v>
      </c>
      <c r="M683" s="37" t="str">
        <f t="shared" si="62"/>
        <v>ICU</v>
      </c>
      <c r="N683" s="37" t="str">
        <f t="shared" si="60"/>
        <v>Debit Card</v>
      </c>
      <c r="O683" s="37" t="str" cm="1">
        <f t="array" ref="O683">IF(TRIM(N683)="",INDEX($N$2:$N$1500,MATCH(MAX(COUNTIF($N$2:$N$1500,$N$2:$N$1500)),COUNTIF($N$2:$N$1500,$N$2:$N$1500),0)),N683)</f>
        <v>Debit Card</v>
      </c>
      <c r="P683" s="38" cm="1">
        <f t="array" ref="P683">ROUND(IF(TRIM(H683)="",IFERROR(MEDIAN(IF($M$2:$M$1500=M683,$H$2:$H$1500)),MEDIAN($H$2:$H$1500)),H683),2)</f>
        <v>8.19</v>
      </c>
      <c r="Q683" s="38" t="str">
        <f t="shared" si="63"/>
        <v>0</v>
      </c>
      <c r="R683" s="39" cm="1">
        <f t="array" ref="R683">IF(OR(TRIM(J683)="",TRIM(J683)="-"),MEDIAN(IF($C$2:$C$1218=C683,$J$2:$J$1218)),VALUE(SUBSTITUTE(SUBSTITUTE(SUBSTITUTE(J683,"Rs. ",""),"₹",""),",","")))</f>
        <v>22045</v>
      </c>
      <c r="S683" s="40">
        <f t="shared" si="61"/>
        <v>0</v>
      </c>
      <c r="T683" s="41">
        <f t="shared" si="64"/>
        <v>0</v>
      </c>
      <c r="U683" s="42">
        <f t="shared" si="65"/>
        <v>22045</v>
      </c>
    </row>
    <row r="684" spans="1:21" x14ac:dyDescent="0.3">
      <c r="A684" s="37" t="s">
        <v>4024</v>
      </c>
      <c r="B684" s="37" t="s">
        <v>4025</v>
      </c>
      <c r="C684" s="37" t="s">
        <v>2449</v>
      </c>
      <c r="D684" s="37" t="s">
        <v>14</v>
      </c>
      <c r="E684" s="37" t="s">
        <v>60</v>
      </c>
      <c r="F684" s="37"/>
      <c r="G684" s="37" t="s">
        <v>2993</v>
      </c>
      <c r="H684" s="37">
        <v>2.0299999999999998</v>
      </c>
      <c r="I684" s="37">
        <v>29</v>
      </c>
      <c r="J684" s="37">
        <v>59600</v>
      </c>
      <c r="K684" s="37" t="s">
        <v>236</v>
      </c>
      <c r="L684" s="37"/>
      <c r="M684" s="37" t="str">
        <f t="shared" si="62"/>
        <v>Unknown</v>
      </c>
      <c r="N684" s="37" t="str">
        <f t="shared" si="60"/>
        <v>Debit Card</v>
      </c>
      <c r="O684" s="37" t="str" cm="1">
        <f t="array" ref="O684">IF(TRIM(N684)="",INDEX($N$2:$N$1500,MATCH(MAX(COUNTIF($N$2:$N$1500,$N$2:$N$1500)),COUNTIF($N$2:$N$1500,$N$2:$N$1500),0)),N684)</f>
        <v>Debit Card</v>
      </c>
      <c r="P684" s="38" cm="1">
        <f t="array" ref="P684">ROUND(IF(TRIM(H684)="",IFERROR(MEDIAN(IF($M$2:$M$1500=M684,$H$2:$H$1500)),MEDIAN($H$2:$H$1500)),H684),2)</f>
        <v>2.0299999999999998</v>
      </c>
      <c r="Q684" s="38" t="str">
        <f t="shared" si="63"/>
        <v>2+</v>
      </c>
      <c r="R684" s="39" cm="1">
        <f t="array" ref="R684">IF(OR(TRIM(J684)="",TRIM(J684)="-"),MEDIAN(IF($C$2:$C$1218=C684,$J$2:$J$1218)),VALUE(SUBSTITUTE(SUBSTITUTE(SUBSTITUTE(J684,"Rs. ",""),"₹",""),",","")))</f>
        <v>59600</v>
      </c>
      <c r="S684" s="40">
        <f t="shared" si="61"/>
        <v>0</v>
      </c>
      <c r="T684" s="41">
        <f t="shared" si="64"/>
        <v>0</v>
      </c>
      <c r="U684" s="42">
        <f t="shared" si="65"/>
        <v>59600</v>
      </c>
    </row>
    <row r="685" spans="1:21" x14ac:dyDescent="0.3">
      <c r="A685" s="37" t="s">
        <v>4026</v>
      </c>
      <c r="B685" s="37" t="s">
        <v>4027</v>
      </c>
      <c r="C685" s="37" t="s">
        <v>2561</v>
      </c>
      <c r="D685" s="37" t="s">
        <v>78</v>
      </c>
      <c r="E685" s="37" t="s">
        <v>161</v>
      </c>
      <c r="F685" s="37"/>
      <c r="G685" s="37" t="s">
        <v>2408</v>
      </c>
      <c r="H685" s="37">
        <v>9.59</v>
      </c>
      <c r="I685" s="37">
        <v>31</v>
      </c>
      <c r="J685" s="37" t="s">
        <v>4028</v>
      </c>
      <c r="K685" s="37" t="s">
        <v>23</v>
      </c>
      <c r="L685" s="37">
        <v>5</v>
      </c>
      <c r="M685" s="37" t="str">
        <f t="shared" si="62"/>
        <v>Unknown</v>
      </c>
      <c r="N685" s="37" t="str">
        <f t="shared" si="60"/>
        <v>Credit Card</v>
      </c>
      <c r="O685" s="37" t="str" cm="1">
        <f t="array" ref="O685">IF(TRIM(N685)="",INDEX($N$2:$N$1500,MATCH(MAX(COUNTIF($N$2:$N$1500,$N$2:$N$1500)),COUNTIF($N$2:$N$1500,$N$2:$N$1500),0)),N685)</f>
        <v>Credit Card</v>
      </c>
      <c r="P685" s="38" cm="1">
        <f t="array" ref="P685">ROUND(IF(TRIM(H685)="",IFERROR(MEDIAN(IF($M$2:$M$1500=M685,$H$2:$H$1500)),MEDIAN($H$2:$H$1500)),H685),2)</f>
        <v>9.59</v>
      </c>
      <c r="Q685" s="38" t="str">
        <f t="shared" si="63"/>
        <v>0</v>
      </c>
      <c r="R685" s="39" cm="1">
        <f t="array" ref="R685">IF(OR(TRIM(J685)="",TRIM(J685)="-"),MEDIAN(IF($C$2:$C$1218=C685,$J$2:$J$1218)),VALUE(SUBSTITUTE(SUBSTITUTE(SUBSTITUTE(J685,"Rs. ",""),"₹",""),",","")))</f>
        <v>18384</v>
      </c>
      <c r="S685" s="40">
        <f t="shared" si="61"/>
        <v>5</v>
      </c>
      <c r="T685" s="41">
        <f t="shared" si="64"/>
        <v>5</v>
      </c>
      <c r="U685" s="42">
        <f t="shared" si="65"/>
        <v>17465</v>
      </c>
    </row>
    <row r="686" spans="1:21" x14ac:dyDescent="0.3">
      <c r="A686" s="37" t="s">
        <v>4029</v>
      </c>
      <c r="B686" s="37" t="s">
        <v>4030</v>
      </c>
      <c r="C686" s="37" t="s">
        <v>2494</v>
      </c>
      <c r="D686" s="37" t="s">
        <v>45</v>
      </c>
      <c r="E686" s="37" t="s">
        <v>46</v>
      </c>
      <c r="F686" s="37" t="s">
        <v>101</v>
      </c>
      <c r="G686" s="37" t="s">
        <v>2408</v>
      </c>
      <c r="H686" s="37">
        <v>1.76</v>
      </c>
      <c r="I686" s="37">
        <v>48</v>
      </c>
      <c r="J686" s="37" t="s">
        <v>4031</v>
      </c>
      <c r="K686" s="37" t="s">
        <v>104</v>
      </c>
      <c r="L686" s="37">
        <v>20</v>
      </c>
      <c r="M686" s="37" t="str">
        <f t="shared" si="62"/>
        <v>ICU</v>
      </c>
      <c r="N686" s="37" t="str">
        <f t="shared" si="60"/>
        <v>Insurance</v>
      </c>
      <c r="O686" s="37" t="str" cm="1">
        <f t="array" ref="O686">IF(TRIM(N686)="",INDEX($N$2:$N$1500,MATCH(MAX(COUNTIF($N$2:$N$1500,$N$2:$N$1500)),COUNTIF($N$2:$N$1500,$N$2:$N$1500),0)),N686)</f>
        <v>Insurance</v>
      </c>
      <c r="P686" s="38" cm="1">
        <f t="array" ref="P686">ROUND(IF(TRIM(H686)="",IFERROR(MEDIAN(IF($M$2:$M$1500=M686,$H$2:$H$1500)),MEDIAN($H$2:$H$1500)),H686),2)</f>
        <v>1.76</v>
      </c>
      <c r="Q686" s="38" t="str">
        <f t="shared" si="63"/>
        <v>0</v>
      </c>
      <c r="R686" s="39" cm="1">
        <f t="array" ref="R686">IF(OR(TRIM(J686)="",TRIM(J686)="-"),MEDIAN(IF($C$2:$C$1218=C686,$J$2:$J$1218)),VALUE(SUBSTITUTE(SUBSTITUTE(SUBSTITUTE(J686,"Rs. ",""),"₹",""),",","")))</f>
        <v>24408</v>
      </c>
      <c r="S686" s="40">
        <f t="shared" si="61"/>
        <v>20</v>
      </c>
      <c r="T686" s="41">
        <f t="shared" si="64"/>
        <v>20</v>
      </c>
      <c r="U686" s="42">
        <f t="shared" si="65"/>
        <v>19526</v>
      </c>
    </row>
    <row r="687" spans="1:21" x14ac:dyDescent="0.3">
      <c r="A687" s="37" t="s">
        <v>4032</v>
      </c>
      <c r="B687" s="37" t="s">
        <v>4033</v>
      </c>
      <c r="C687" s="37" t="s">
        <v>2494</v>
      </c>
      <c r="D687" s="37" t="s">
        <v>14</v>
      </c>
      <c r="E687" s="37" t="s">
        <v>60</v>
      </c>
      <c r="F687" s="37" t="s">
        <v>30</v>
      </c>
      <c r="G687" s="37" t="s">
        <v>2435</v>
      </c>
      <c r="H687" s="37">
        <v>14.85</v>
      </c>
      <c r="I687" s="37"/>
      <c r="J687" s="37" t="s">
        <v>4034</v>
      </c>
      <c r="K687" s="37" t="s">
        <v>42</v>
      </c>
      <c r="L687" s="37" t="s">
        <v>187</v>
      </c>
      <c r="M687" s="37" t="str">
        <f t="shared" si="62"/>
        <v>General</v>
      </c>
      <c r="N687" s="37" t="str">
        <f t="shared" si="60"/>
        <v>Insurance</v>
      </c>
      <c r="O687" s="37" t="str" cm="1">
        <f t="array" ref="O687">IF(TRIM(N687)="",INDEX($N$2:$N$1500,MATCH(MAX(COUNTIF($N$2:$N$1500,$N$2:$N$1500)),COUNTIF($N$2:$N$1500,$N$2:$N$1500),0)),N687)</f>
        <v>Insurance</v>
      </c>
      <c r="P687" s="38" cm="1">
        <f t="array" ref="P687">ROUND(IF(TRIM(H687)="",IFERROR(MEDIAN(IF($M$2:$M$1500=M687,$H$2:$H$1500)),MEDIAN($H$2:$H$1500)),H687),2)</f>
        <v>14.85</v>
      </c>
      <c r="Q687" s="38" t="str">
        <f t="shared" si="63"/>
        <v>0</v>
      </c>
      <c r="R687" s="39" cm="1">
        <f t="array" ref="R687">IF(OR(TRIM(J687)="",TRIM(J687)="-"),MEDIAN(IF($C$2:$C$1218=C687,$J$2:$J$1218)),VALUE(SUBSTITUTE(SUBSTITUTE(SUBSTITUTE(J687,"Rs. ",""),"₹",""),",","")))</f>
        <v>15682</v>
      </c>
      <c r="S687" s="40">
        <f t="shared" si="61"/>
        <v>35</v>
      </c>
      <c r="T687" s="41">
        <f t="shared" si="64"/>
        <v>35</v>
      </c>
      <c r="U687" s="42">
        <f t="shared" si="65"/>
        <v>10193</v>
      </c>
    </row>
    <row r="688" spans="1:21" x14ac:dyDescent="0.3">
      <c r="A688" s="37" t="s">
        <v>4035</v>
      </c>
      <c r="B688" s="37" t="s">
        <v>4036</v>
      </c>
      <c r="C688" s="37" t="s">
        <v>2494</v>
      </c>
      <c r="D688" s="37" t="s">
        <v>14</v>
      </c>
      <c r="E688" s="37" t="s">
        <v>60</v>
      </c>
      <c r="F688" s="37" t="s">
        <v>49</v>
      </c>
      <c r="G688" s="37" t="s">
        <v>2455</v>
      </c>
      <c r="H688" s="37">
        <v>12.12</v>
      </c>
      <c r="I688" s="37">
        <v>48</v>
      </c>
      <c r="J688" s="37">
        <v>9175</v>
      </c>
      <c r="K688" s="37" t="s">
        <v>97</v>
      </c>
      <c r="L688" s="37" t="s">
        <v>130</v>
      </c>
      <c r="M688" s="37" t="str">
        <f t="shared" si="62"/>
        <v>General</v>
      </c>
      <c r="N688" s="37" t="str">
        <f t="shared" si="60"/>
        <v>UPI</v>
      </c>
      <c r="O688" s="37" t="str" cm="1">
        <f t="array" ref="O688">IF(TRIM(N688)="",INDEX($N$2:$N$1500,MATCH(MAX(COUNTIF($N$2:$N$1500,$N$2:$N$1500)),COUNTIF($N$2:$N$1500,$N$2:$N$1500),0)),N688)</f>
        <v>UPI</v>
      </c>
      <c r="P688" s="38" cm="1">
        <f t="array" ref="P688">ROUND(IF(TRIM(H688)="",IFERROR(MEDIAN(IF($M$2:$M$1500=M688,$H$2:$H$1500)),MEDIAN($H$2:$H$1500)),H688),2)</f>
        <v>12.12</v>
      </c>
      <c r="Q688" s="38" t="str">
        <f t="shared" si="63"/>
        <v>1</v>
      </c>
      <c r="R688" s="39" cm="1">
        <f t="array" ref="R688">IF(OR(TRIM(J688)="",TRIM(J688)="-"),MEDIAN(IF($C$2:$C$1218=C688,$J$2:$J$1218)),VALUE(SUBSTITUTE(SUBSTITUTE(SUBSTITUTE(J688,"Rs. ",""),"₹",""),",","")))</f>
        <v>9175</v>
      </c>
      <c r="S688" s="40">
        <f t="shared" si="61"/>
        <v>0</v>
      </c>
      <c r="T688" s="41">
        <f t="shared" si="64"/>
        <v>0</v>
      </c>
      <c r="U688" s="42">
        <f t="shared" si="65"/>
        <v>9175</v>
      </c>
    </row>
    <row r="689" spans="1:21" x14ac:dyDescent="0.3">
      <c r="A689" s="37" t="s">
        <v>4037</v>
      </c>
      <c r="B689" s="37" t="s">
        <v>4038</v>
      </c>
      <c r="C689" s="37" t="s">
        <v>2730</v>
      </c>
      <c r="D689" s="37" t="s">
        <v>25</v>
      </c>
      <c r="E689" s="37" t="s">
        <v>54</v>
      </c>
      <c r="F689" s="37" t="s">
        <v>49</v>
      </c>
      <c r="G689" s="37" t="s">
        <v>2505</v>
      </c>
      <c r="H689" s="37">
        <v>2.66</v>
      </c>
      <c r="I689" s="37" t="s">
        <v>140</v>
      </c>
      <c r="J689" s="37" t="s">
        <v>4039</v>
      </c>
      <c r="K689" s="37" t="s">
        <v>72</v>
      </c>
      <c r="L689" s="37">
        <v>10</v>
      </c>
      <c r="M689" s="37" t="str">
        <f t="shared" si="62"/>
        <v>General</v>
      </c>
      <c r="N689" s="37" t="str">
        <f t="shared" si="60"/>
        <v>Cash</v>
      </c>
      <c r="O689" s="37" t="str" cm="1">
        <f t="array" ref="O689">IF(TRIM(N689)="",INDEX($N$2:$N$1500,MATCH(MAX(COUNTIF($N$2:$N$1500,$N$2:$N$1500)),COUNTIF($N$2:$N$1500,$N$2:$N$1500),0)),N689)</f>
        <v>Cash</v>
      </c>
      <c r="P689" s="38" cm="1">
        <f t="array" ref="P689">ROUND(IF(TRIM(H689)="",IFERROR(MEDIAN(IF($M$2:$M$1500=M689,$H$2:$H$1500)),MEDIAN($H$2:$H$1500)),H689),2)</f>
        <v>2.66</v>
      </c>
      <c r="Q689" s="38" t="str">
        <f t="shared" si="63"/>
        <v>2+</v>
      </c>
      <c r="R689" s="39" cm="1">
        <f t="array" ref="R689">IF(OR(TRIM(J689)="",TRIM(J689)="-"),MEDIAN(IF($C$2:$C$1218=C689,$J$2:$J$1218)),VALUE(SUBSTITUTE(SUBSTITUTE(SUBSTITUTE(J689,"Rs. ",""),"₹",""),",","")))</f>
        <v>9449</v>
      </c>
      <c r="S689" s="40">
        <f t="shared" si="61"/>
        <v>10</v>
      </c>
      <c r="T689" s="41">
        <f t="shared" si="64"/>
        <v>10</v>
      </c>
      <c r="U689" s="42">
        <f t="shared" si="65"/>
        <v>8504</v>
      </c>
    </row>
    <row r="690" spans="1:21" x14ac:dyDescent="0.3">
      <c r="A690" s="37" t="s">
        <v>4040</v>
      </c>
      <c r="B690" s="37" t="s">
        <v>4041</v>
      </c>
      <c r="C690" s="37" t="s">
        <v>2463</v>
      </c>
      <c r="D690" s="37" t="s">
        <v>45</v>
      </c>
      <c r="E690" s="37" t="s">
        <v>334</v>
      </c>
      <c r="F690" s="37" t="s">
        <v>62</v>
      </c>
      <c r="G690" s="37" t="s">
        <v>2993</v>
      </c>
      <c r="H690" s="37">
        <v>19.260000000000002</v>
      </c>
      <c r="I690" s="37" t="s">
        <v>140</v>
      </c>
      <c r="J690" s="37" t="s">
        <v>4042</v>
      </c>
      <c r="K690" s="37" t="s">
        <v>236</v>
      </c>
      <c r="L690" s="37">
        <v>5</v>
      </c>
      <c r="M690" s="37" t="str">
        <f t="shared" si="62"/>
        <v>ICU</v>
      </c>
      <c r="N690" s="37" t="str">
        <f t="shared" si="60"/>
        <v>Debit Card</v>
      </c>
      <c r="O690" s="37" t="str" cm="1">
        <f t="array" ref="O690">IF(TRIM(N690)="",INDEX($N$2:$N$1500,MATCH(MAX(COUNTIF($N$2:$N$1500,$N$2:$N$1500)),COUNTIF($N$2:$N$1500,$N$2:$N$1500),0)),N690)</f>
        <v>Debit Card</v>
      </c>
      <c r="P690" s="38" cm="1">
        <f t="array" ref="P690">ROUND(IF(TRIM(H690)="",IFERROR(MEDIAN(IF($M$2:$M$1500=M690,$H$2:$H$1500)),MEDIAN($H$2:$H$1500)),H690),2)</f>
        <v>19.260000000000002</v>
      </c>
      <c r="Q690" s="38" t="str">
        <f t="shared" si="63"/>
        <v>2+</v>
      </c>
      <c r="R690" s="39" cm="1">
        <f t="array" ref="R690">IF(OR(TRIM(J690)="",TRIM(J690)="-"),MEDIAN(IF($C$2:$C$1218=C690,$J$2:$J$1218)),VALUE(SUBSTITUTE(SUBSTITUTE(SUBSTITUTE(J690,"Rs. ",""),"₹",""),",","")))</f>
        <v>72878</v>
      </c>
      <c r="S690" s="40">
        <f t="shared" si="61"/>
        <v>5</v>
      </c>
      <c r="T690" s="41">
        <f t="shared" si="64"/>
        <v>5</v>
      </c>
      <c r="U690" s="42">
        <f t="shared" si="65"/>
        <v>69234</v>
      </c>
    </row>
    <row r="691" spans="1:21" x14ac:dyDescent="0.3">
      <c r="A691" s="37" t="s">
        <v>4043</v>
      </c>
      <c r="B691" s="37" t="s">
        <v>4044</v>
      </c>
      <c r="C691" s="37" t="s">
        <v>2445</v>
      </c>
      <c r="D691" s="37" t="s">
        <v>106</v>
      </c>
      <c r="E691" s="37" t="s">
        <v>107</v>
      </c>
      <c r="F691" s="37" t="s">
        <v>101</v>
      </c>
      <c r="G691" s="37" t="s">
        <v>2423</v>
      </c>
      <c r="H691" s="37">
        <v>18.690000000000001</v>
      </c>
      <c r="I691" s="37">
        <v>42</v>
      </c>
      <c r="J691" s="37" t="s">
        <v>4045</v>
      </c>
      <c r="K691" s="37" t="s">
        <v>167</v>
      </c>
      <c r="L691" s="37">
        <v>35</v>
      </c>
      <c r="M691" s="37" t="str">
        <f t="shared" si="62"/>
        <v>ICU</v>
      </c>
      <c r="N691" s="37" t="str">
        <f t="shared" si="60"/>
        <v>Insurance</v>
      </c>
      <c r="O691" s="37" t="str" cm="1">
        <f t="array" ref="O691">IF(TRIM(N691)="",INDEX($N$2:$N$1500,MATCH(MAX(COUNTIF($N$2:$N$1500,$N$2:$N$1500)),COUNTIF($N$2:$N$1500,$N$2:$N$1500),0)),N691)</f>
        <v>Insurance</v>
      </c>
      <c r="P691" s="38" cm="1">
        <f t="array" ref="P691">ROUND(IF(TRIM(H691)="",IFERROR(MEDIAN(IF($M$2:$M$1500=M691,$H$2:$H$1500)),MEDIAN($H$2:$H$1500)),H691),2)</f>
        <v>18.690000000000001</v>
      </c>
      <c r="Q691" s="38" t="str">
        <f t="shared" si="63"/>
        <v>0</v>
      </c>
      <c r="R691" s="39" cm="1">
        <f t="array" ref="R691">IF(OR(TRIM(J691)="",TRIM(J691)="-"),MEDIAN(IF($C$2:$C$1218=C691,$J$2:$J$1218)),VALUE(SUBSTITUTE(SUBSTITUTE(SUBSTITUTE(J691,"Rs. ",""),"₹",""),",","")))</f>
        <v>53862</v>
      </c>
      <c r="S691" s="40">
        <f t="shared" si="61"/>
        <v>35</v>
      </c>
      <c r="T691" s="41">
        <f t="shared" si="64"/>
        <v>35</v>
      </c>
      <c r="U691" s="42">
        <f t="shared" si="65"/>
        <v>35010</v>
      </c>
    </row>
    <row r="692" spans="1:21" x14ac:dyDescent="0.3">
      <c r="A692" s="37" t="s">
        <v>4046</v>
      </c>
      <c r="B692" s="37" t="s">
        <v>4047</v>
      </c>
      <c r="C692" s="37" t="s">
        <v>2514</v>
      </c>
      <c r="D692" s="37" t="s">
        <v>45</v>
      </c>
      <c r="E692" s="37" t="s">
        <v>46</v>
      </c>
      <c r="F692" s="37" t="s">
        <v>39</v>
      </c>
      <c r="G692" s="37" t="s">
        <v>2418</v>
      </c>
      <c r="H692" s="37">
        <v>3.86</v>
      </c>
      <c r="I692" s="37">
        <v>21</v>
      </c>
      <c r="J692" s="37" t="s">
        <v>4048</v>
      </c>
      <c r="K692" s="37" t="s">
        <v>97</v>
      </c>
      <c r="L692" s="37" t="s">
        <v>64</v>
      </c>
      <c r="M692" s="37" t="str">
        <f t="shared" si="62"/>
        <v>General</v>
      </c>
      <c r="N692" s="37" t="str">
        <f t="shared" si="60"/>
        <v>UPI</v>
      </c>
      <c r="O692" s="37" t="str" cm="1">
        <f t="array" ref="O692">IF(TRIM(N692)="",INDEX($N$2:$N$1500,MATCH(MAX(COUNTIF($N$2:$N$1500,$N$2:$N$1500)),COUNTIF($N$2:$N$1500,$N$2:$N$1500),0)),N692)</f>
        <v>UPI</v>
      </c>
      <c r="P692" s="38" cm="1">
        <f t="array" ref="P692">ROUND(IF(TRIM(H692)="",IFERROR(MEDIAN(IF($M$2:$M$1500=M692,$H$2:$H$1500)),MEDIAN($H$2:$H$1500)),H692),2)</f>
        <v>3.86</v>
      </c>
      <c r="Q692" s="38" t="str">
        <f t="shared" si="63"/>
        <v>1</v>
      </c>
      <c r="R692" s="39" cm="1">
        <f t="array" ref="R692">IF(OR(TRIM(J692)="",TRIM(J692)="-"),MEDIAN(IF($C$2:$C$1218=C692,$J$2:$J$1218)),VALUE(SUBSTITUTE(SUBSTITUTE(SUBSTITUTE(J692,"Rs. ",""),"₹",""),",","")))</f>
        <v>17365</v>
      </c>
      <c r="S692" s="40" t="str">
        <f t="shared" si="61"/>
        <v>NA</v>
      </c>
      <c r="T692" s="41">
        <f t="shared" si="64"/>
        <v>2</v>
      </c>
      <c r="U692" s="42">
        <f t="shared" si="65"/>
        <v>17018</v>
      </c>
    </row>
    <row r="693" spans="1:21" x14ac:dyDescent="0.3">
      <c r="A693" s="37" t="s">
        <v>4049</v>
      </c>
      <c r="B693" s="37" t="s">
        <v>4050</v>
      </c>
      <c r="C693" s="37" t="s">
        <v>2463</v>
      </c>
      <c r="D693" s="37" t="s">
        <v>78</v>
      </c>
      <c r="E693" s="37" t="s">
        <v>203</v>
      </c>
      <c r="F693" s="37" t="s">
        <v>39</v>
      </c>
      <c r="G693" s="37" t="s">
        <v>2423</v>
      </c>
      <c r="H693" s="37">
        <v>13.75</v>
      </c>
      <c r="I693" s="37">
        <v>47</v>
      </c>
      <c r="J693" s="37" t="s">
        <v>4051</v>
      </c>
      <c r="K693" s="37" t="s">
        <v>167</v>
      </c>
      <c r="L693" s="37">
        <v>25</v>
      </c>
      <c r="M693" s="37" t="str">
        <f t="shared" si="62"/>
        <v>General</v>
      </c>
      <c r="N693" s="37" t="str">
        <f t="shared" si="60"/>
        <v>Insurance</v>
      </c>
      <c r="O693" s="37" t="str" cm="1">
        <f t="array" ref="O693">IF(TRIM(N693)="",INDEX($N$2:$N$1500,MATCH(MAX(COUNTIF($N$2:$N$1500,$N$2:$N$1500)),COUNTIF($N$2:$N$1500,$N$2:$N$1500),0)),N693)</f>
        <v>Insurance</v>
      </c>
      <c r="P693" s="38" cm="1">
        <f t="array" ref="P693">ROUND(IF(TRIM(H693)="",IFERROR(MEDIAN(IF($M$2:$M$1500=M693,$H$2:$H$1500)),MEDIAN($H$2:$H$1500)),H693),2)</f>
        <v>13.75</v>
      </c>
      <c r="Q693" s="38" t="str">
        <f t="shared" si="63"/>
        <v>0</v>
      </c>
      <c r="R693" s="39" cm="1">
        <f t="array" ref="R693">IF(OR(TRIM(J693)="",TRIM(J693)="-"),MEDIAN(IF($C$2:$C$1218=C693,$J$2:$J$1218)),VALUE(SUBSTITUTE(SUBSTITUTE(SUBSTITUTE(J693,"Rs. ",""),"₹",""),",","")))</f>
        <v>9810</v>
      </c>
      <c r="S693" s="40">
        <f t="shared" si="61"/>
        <v>25</v>
      </c>
      <c r="T693" s="41">
        <f t="shared" si="64"/>
        <v>25</v>
      </c>
      <c r="U693" s="42">
        <f t="shared" si="65"/>
        <v>7358</v>
      </c>
    </row>
    <row r="694" spans="1:21" x14ac:dyDescent="0.3">
      <c r="A694" s="37" t="s">
        <v>4052</v>
      </c>
      <c r="B694" s="37" t="s">
        <v>3205</v>
      </c>
      <c r="C694" s="37" t="s">
        <v>2730</v>
      </c>
      <c r="D694" s="37" t="s">
        <v>25</v>
      </c>
      <c r="E694" s="37" t="s">
        <v>54</v>
      </c>
      <c r="F694" s="37" t="s">
        <v>39</v>
      </c>
      <c r="G694" s="37" t="s">
        <v>2423</v>
      </c>
      <c r="H694" s="37">
        <v>8.39</v>
      </c>
      <c r="I694" s="37">
        <v>4</v>
      </c>
      <c r="J694" s="37" t="s">
        <v>4053</v>
      </c>
      <c r="K694" s="37" t="s">
        <v>58</v>
      </c>
      <c r="L694" s="37" t="s">
        <v>130</v>
      </c>
      <c r="M694" s="37" t="str">
        <f t="shared" si="62"/>
        <v>General</v>
      </c>
      <c r="N694" s="37" t="str">
        <f t="shared" si="60"/>
        <v>UPI</v>
      </c>
      <c r="O694" s="37" t="str" cm="1">
        <f t="array" ref="O694">IF(TRIM(N694)="",INDEX($N$2:$N$1500,MATCH(MAX(COUNTIF($N$2:$N$1500,$N$2:$N$1500)),COUNTIF($N$2:$N$1500,$N$2:$N$1500),0)),N694)</f>
        <v>UPI</v>
      </c>
      <c r="P694" s="38" cm="1">
        <f t="array" ref="P694">ROUND(IF(TRIM(H694)="",IFERROR(MEDIAN(IF($M$2:$M$1500=M694,$H$2:$H$1500)),MEDIAN($H$2:$H$1500)),H694),2)</f>
        <v>8.39</v>
      </c>
      <c r="Q694" s="38" t="str">
        <f t="shared" si="63"/>
        <v>0</v>
      </c>
      <c r="R694" s="39" cm="1">
        <f t="array" ref="R694">IF(OR(TRIM(J694)="",TRIM(J694)="-"),MEDIAN(IF($C$2:$C$1218=C694,$J$2:$J$1218)),VALUE(SUBSTITUTE(SUBSTITUTE(SUBSTITUTE(J694,"Rs. ",""),"₹",""),",","")))</f>
        <v>6955</v>
      </c>
      <c r="S694" s="40">
        <f t="shared" si="61"/>
        <v>0</v>
      </c>
      <c r="T694" s="41">
        <f t="shared" si="64"/>
        <v>0</v>
      </c>
      <c r="U694" s="42">
        <f t="shared" si="65"/>
        <v>6955</v>
      </c>
    </row>
    <row r="695" spans="1:21" x14ac:dyDescent="0.3">
      <c r="A695" s="37" t="s">
        <v>4054</v>
      </c>
      <c r="B695" s="37" t="s">
        <v>4055</v>
      </c>
      <c r="C695" s="37" t="s">
        <v>2434</v>
      </c>
      <c r="D695" s="37" t="s">
        <v>14</v>
      </c>
      <c r="E695" s="37" t="s">
        <v>60</v>
      </c>
      <c r="F695" s="37" t="s">
        <v>49</v>
      </c>
      <c r="G695" s="37" t="s">
        <v>2418</v>
      </c>
      <c r="H695" s="37">
        <v>20.36</v>
      </c>
      <c r="I695" s="37">
        <v>37</v>
      </c>
      <c r="J695" s="37">
        <v>14363</v>
      </c>
      <c r="K695" s="37" t="s">
        <v>311</v>
      </c>
      <c r="L695" s="37">
        <v>10</v>
      </c>
      <c r="M695" s="37" t="str">
        <f t="shared" si="62"/>
        <v>General</v>
      </c>
      <c r="N695" s="37" t="str">
        <f t="shared" si="60"/>
        <v>UPI</v>
      </c>
      <c r="O695" s="37" t="str" cm="1">
        <f t="array" ref="O695">IF(TRIM(N695)="",INDEX($N$2:$N$1500,MATCH(MAX(COUNTIF($N$2:$N$1500,$N$2:$N$1500)),COUNTIF($N$2:$N$1500,$N$2:$N$1500),0)),N695)</f>
        <v>UPI</v>
      </c>
      <c r="P695" s="38" cm="1">
        <f t="array" ref="P695">ROUND(IF(TRIM(H695)="",IFERROR(MEDIAN(IF($M$2:$M$1500=M695,$H$2:$H$1500)),MEDIAN($H$2:$H$1500)),H695),2)</f>
        <v>20.36</v>
      </c>
      <c r="Q695" s="38" t="str">
        <f t="shared" si="63"/>
        <v>1</v>
      </c>
      <c r="R695" s="39" cm="1">
        <f t="array" ref="R695">IF(OR(TRIM(J695)="",TRIM(J695)="-"),MEDIAN(IF($C$2:$C$1218=C695,$J$2:$J$1218)),VALUE(SUBSTITUTE(SUBSTITUTE(SUBSTITUTE(J695,"Rs. ",""),"₹",""),",","")))</f>
        <v>14363</v>
      </c>
      <c r="S695" s="40">
        <f t="shared" si="61"/>
        <v>10</v>
      </c>
      <c r="T695" s="41">
        <f t="shared" si="64"/>
        <v>10</v>
      </c>
      <c r="U695" s="42">
        <f t="shared" si="65"/>
        <v>12927</v>
      </c>
    </row>
    <row r="696" spans="1:21" x14ac:dyDescent="0.3">
      <c r="A696" s="37" t="s">
        <v>4056</v>
      </c>
      <c r="B696" s="37" t="s">
        <v>4057</v>
      </c>
      <c r="C696" s="37" t="s">
        <v>2407</v>
      </c>
      <c r="D696" s="37" t="s">
        <v>45</v>
      </c>
      <c r="E696" s="37" t="s">
        <v>334</v>
      </c>
      <c r="F696" s="37" t="s">
        <v>30</v>
      </c>
      <c r="G696" s="37" t="s">
        <v>2418</v>
      </c>
      <c r="H696" s="37">
        <v>4.09</v>
      </c>
      <c r="I696" s="37">
        <v>44</v>
      </c>
      <c r="J696" s="37">
        <v>13532</v>
      </c>
      <c r="K696" s="37" t="s">
        <v>97</v>
      </c>
      <c r="L696" s="37">
        <v>0</v>
      </c>
      <c r="M696" s="37" t="str">
        <f t="shared" si="62"/>
        <v>General</v>
      </c>
      <c r="N696" s="37" t="str">
        <f t="shared" si="60"/>
        <v>UPI</v>
      </c>
      <c r="O696" s="37" t="str" cm="1">
        <f t="array" ref="O696">IF(TRIM(N696)="",INDEX($N$2:$N$1500,MATCH(MAX(COUNTIF($N$2:$N$1500,$N$2:$N$1500)),COUNTIF($N$2:$N$1500,$N$2:$N$1500),0)),N696)</f>
        <v>UPI</v>
      </c>
      <c r="P696" s="38" cm="1">
        <f t="array" ref="P696">ROUND(IF(TRIM(H696)="",IFERROR(MEDIAN(IF($M$2:$M$1500=M696,$H$2:$H$1500)),MEDIAN($H$2:$H$1500)),H696),2)</f>
        <v>4.09</v>
      </c>
      <c r="Q696" s="38" t="str">
        <f t="shared" si="63"/>
        <v>1</v>
      </c>
      <c r="R696" s="39" cm="1">
        <f t="array" ref="R696">IF(OR(TRIM(J696)="",TRIM(J696)="-"),MEDIAN(IF($C$2:$C$1218=C696,$J$2:$J$1218)),VALUE(SUBSTITUTE(SUBSTITUTE(SUBSTITUTE(J696,"Rs. ",""),"₹",""),",","")))</f>
        <v>13532</v>
      </c>
      <c r="S696" s="40">
        <f t="shared" si="61"/>
        <v>0</v>
      </c>
      <c r="T696" s="41">
        <f t="shared" si="64"/>
        <v>0</v>
      </c>
      <c r="U696" s="42">
        <f t="shared" si="65"/>
        <v>13532</v>
      </c>
    </row>
    <row r="697" spans="1:21" x14ac:dyDescent="0.3">
      <c r="A697" s="37" t="s">
        <v>4058</v>
      </c>
      <c r="B697" s="37" t="s">
        <v>3528</v>
      </c>
      <c r="C697" s="37" t="s">
        <v>2514</v>
      </c>
      <c r="D697" s="37" t="s">
        <v>25</v>
      </c>
      <c r="E697" s="37" t="s">
        <v>26</v>
      </c>
      <c r="F697" s="37" t="s">
        <v>30</v>
      </c>
      <c r="G697" s="37" t="s">
        <v>2477</v>
      </c>
      <c r="H697" s="37">
        <v>4.05</v>
      </c>
      <c r="I697" s="37">
        <v>33</v>
      </c>
      <c r="J697" s="37">
        <v>8833</v>
      </c>
      <c r="K697" s="37" t="s">
        <v>34</v>
      </c>
      <c r="L697" s="37">
        <v>0</v>
      </c>
      <c r="M697" s="37" t="str">
        <f t="shared" si="62"/>
        <v>General</v>
      </c>
      <c r="N697" s="37" t="str">
        <f t="shared" si="60"/>
        <v>Cash</v>
      </c>
      <c r="O697" s="37" t="str" cm="1">
        <f t="array" ref="O697">IF(TRIM(N697)="",INDEX($N$2:$N$1500,MATCH(MAX(COUNTIF($N$2:$N$1500,$N$2:$N$1500)),COUNTIF($N$2:$N$1500,$N$2:$N$1500),0)),N697)</f>
        <v>Cash</v>
      </c>
      <c r="P697" s="38" cm="1">
        <f t="array" ref="P697">ROUND(IF(TRIM(H697)="",IFERROR(MEDIAN(IF($M$2:$M$1500=M697,$H$2:$H$1500)),MEDIAN($H$2:$H$1500)),H697),2)</f>
        <v>4.05</v>
      </c>
      <c r="Q697" s="38" t="str">
        <f t="shared" si="63"/>
        <v>0</v>
      </c>
      <c r="R697" s="39" cm="1">
        <f t="array" ref="R697">IF(OR(TRIM(J697)="",TRIM(J697)="-"),MEDIAN(IF($C$2:$C$1218=C697,$J$2:$J$1218)),VALUE(SUBSTITUTE(SUBSTITUTE(SUBSTITUTE(J697,"Rs. ",""),"₹",""),",","")))</f>
        <v>8833</v>
      </c>
      <c r="S697" s="40">
        <f t="shared" si="61"/>
        <v>0</v>
      </c>
      <c r="T697" s="41">
        <f t="shared" si="64"/>
        <v>0</v>
      </c>
      <c r="U697" s="42">
        <f t="shared" si="65"/>
        <v>8833</v>
      </c>
    </row>
    <row r="698" spans="1:21" x14ac:dyDescent="0.3">
      <c r="A698" s="37" t="s">
        <v>4059</v>
      </c>
      <c r="B698" s="37" t="s">
        <v>3158</v>
      </c>
      <c r="C698" s="37" t="s">
        <v>2415</v>
      </c>
      <c r="D698" s="37" t="s">
        <v>14</v>
      </c>
      <c r="E698" s="37" t="s">
        <v>60</v>
      </c>
      <c r="F698" s="37" t="s">
        <v>19</v>
      </c>
      <c r="G698" s="37" t="s">
        <v>2450</v>
      </c>
      <c r="H698" s="37">
        <v>24.2</v>
      </c>
      <c r="I698" s="37">
        <v>41</v>
      </c>
      <c r="J698" s="37">
        <v>14427</v>
      </c>
      <c r="K698" s="37" t="s">
        <v>115</v>
      </c>
      <c r="L698" s="37">
        <v>0.05</v>
      </c>
      <c r="M698" s="37" t="str">
        <f t="shared" si="62"/>
        <v>General</v>
      </c>
      <c r="N698" s="37" t="str">
        <f t="shared" si="60"/>
        <v>Cash</v>
      </c>
      <c r="O698" s="37" t="str" cm="1">
        <f t="array" ref="O698">IF(TRIM(N698)="",INDEX($N$2:$N$1500,MATCH(MAX(COUNTIF($N$2:$N$1500,$N$2:$N$1500)),COUNTIF($N$2:$N$1500,$N$2:$N$1500),0)),N698)</f>
        <v>Cash</v>
      </c>
      <c r="P698" s="38" cm="1">
        <f t="array" ref="P698">ROUND(IF(TRIM(H698)="",IFERROR(MEDIAN(IF($M$2:$M$1500=M698,$H$2:$H$1500)),MEDIAN($H$2:$H$1500)),H698),2)</f>
        <v>24.2</v>
      </c>
      <c r="Q698" s="38" t="str">
        <f t="shared" si="63"/>
        <v>1</v>
      </c>
      <c r="R698" s="39" cm="1">
        <f t="array" ref="R698">IF(OR(TRIM(J698)="",TRIM(J698)="-"),MEDIAN(IF($C$2:$C$1218=C698,$J$2:$J$1218)),VALUE(SUBSTITUTE(SUBSTITUTE(SUBSTITUTE(J698,"Rs. ",""),"₹",""),",","")))</f>
        <v>14427</v>
      </c>
      <c r="S698" s="40">
        <f t="shared" si="61"/>
        <v>0.05</v>
      </c>
      <c r="T698" s="41">
        <f t="shared" si="64"/>
        <v>0</v>
      </c>
      <c r="U698" s="42">
        <f t="shared" si="65"/>
        <v>14427</v>
      </c>
    </row>
    <row r="699" spans="1:21" x14ac:dyDescent="0.3">
      <c r="A699" s="37" t="s">
        <v>4060</v>
      </c>
      <c r="B699" s="37" t="s">
        <v>4061</v>
      </c>
      <c r="C699" s="37" t="s">
        <v>2427</v>
      </c>
      <c r="D699" s="37" t="s">
        <v>117</v>
      </c>
      <c r="E699" s="37" t="s">
        <v>127</v>
      </c>
      <c r="F699" s="37" t="s">
        <v>49</v>
      </c>
      <c r="G699" s="37" t="s">
        <v>2435</v>
      </c>
      <c r="H699" s="37">
        <v>21.22</v>
      </c>
      <c r="I699" s="37">
        <v>29</v>
      </c>
      <c r="J699" s="37" t="s">
        <v>4062</v>
      </c>
      <c r="K699" s="37" t="s">
        <v>23</v>
      </c>
      <c r="L699" s="37">
        <v>0</v>
      </c>
      <c r="M699" s="37" t="str">
        <f t="shared" si="62"/>
        <v>General</v>
      </c>
      <c r="N699" s="37" t="str">
        <f t="shared" si="60"/>
        <v>Credit Card</v>
      </c>
      <c r="O699" s="37" t="str" cm="1">
        <f t="array" ref="O699">IF(TRIM(N699)="",INDEX($N$2:$N$1500,MATCH(MAX(COUNTIF($N$2:$N$1500,$N$2:$N$1500)),COUNTIF($N$2:$N$1500,$N$2:$N$1500),0)),N699)</f>
        <v>Credit Card</v>
      </c>
      <c r="P699" s="38" cm="1">
        <f t="array" ref="P699">ROUND(IF(TRIM(H699)="",IFERROR(MEDIAN(IF($M$2:$M$1500=M699,$H$2:$H$1500)),MEDIAN($H$2:$H$1500)),H699),2)</f>
        <v>21.22</v>
      </c>
      <c r="Q699" s="38" t="str">
        <f t="shared" si="63"/>
        <v>0</v>
      </c>
      <c r="R699" s="39" cm="1">
        <f t="array" ref="R699">IF(OR(TRIM(J699)="",TRIM(J699)="-"),MEDIAN(IF($C$2:$C$1218=C699,$J$2:$J$1218)),VALUE(SUBSTITUTE(SUBSTITUTE(SUBSTITUTE(J699,"Rs. ",""),"₹",""),",","")))</f>
        <v>5541</v>
      </c>
      <c r="S699" s="40">
        <f t="shared" si="61"/>
        <v>0</v>
      </c>
      <c r="T699" s="41">
        <f t="shared" si="64"/>
        <v>0</v>
      </c>
      <c r="U699" s="42">
        <f t="shared" si="65"/>
        <v>5541</v>
      </c>
    </row>
    <row r="700" spans="1:21" x14ac:dyDescent="0.3">
      <c r="A700" s="37" t="s">
        <v>4063</v>
      </c>
      <c r="B700" s="37" t="s">
        <v>4064</v>
      </c>
      <c r="C700" s="37" t="s">
        <v>2463</v>
      </c>
      <c r="D700" s="37" t="s">
        <v>106</v>
      </c>
      <c r="E700" s="37" t="s">
        <v>107</v>
      </c>
      <c r="F700" s="37" t="s">
        <v>49</v>
      </c>
      <c r="G700" s="37" t="s">
        <v>2450</v>
      </c>
      <c r="H700" s="37">
        <v>13.4</v>
      </c>
      <c r="I700" s="37">
        <v>9</v>
      </c>
      <c r="J700" s="37" t="s">
        <v>4065</v>
      </c>
      <c r="K700" s="37" t="s">
        <v>23</v>
      </c>
      <c r="L700" s="37" t="s">
        <v>130</v>
      </c>
      <c r="M700" s="37" t="str">
        <f t="shared" si="62"/>
        <v>General</v>
      </c>
      <c r="N700" s="37" t="str">
        <f t="shared" si="60"/>
        <v>Credit Card</v>
      </c>
      <c r="O700" s="37" t="str" cm="1">
        <f t="array" ref="O700">IF(TRIM(N700)="",INDEX($N$2:$N$1500,MATCH(MAX(COUNTIF($N$2:$N$1500,$N$2:$N$1500)),COUNTIF($N$2:$N$1500,$N$2:$N$1500),0)),N700)</f>
        <v>Credit Card</v>
      </c>
      <c r="P700" s="38" cm="1">
        <f t="array" ref="P700">ROUND(IF(TRIM(H700)="",IFERROR(MEDIAN(IF($M$2:$M$1500=M700,$H$2:$H$1500)),MEDIAN($H$2:$H$1500)),H700),2)</f>
        <v>13.4</v>
      </c>
      <c r="Q700" s="38" t="str">
        <f t="shared" si="63"/>
        <v>1</v>
      </c>
      <c r="R700" s="39" cm="1">
        <f t="array" ref="R700">IF(OR(TRIM(J700)="",TRIM(J700)="-"),MEDIAN(IF($C$2:$C$1218=C700,$J$2:$J$1218)),VALUE(SUBSTITUTE(SUBSTITUTE(SUBSTITUTE(J700,"Rs. ",""),"₹",""),",","")))</f>
        <v>6524</v>
      </c>
      <c r="S700" s="40">
        <f t="shared" si="61"/>
        <v>0</v>
      </c>
      <c r="T700" s="41">
        <f t="shared" si="64"/>
        <v>0</v>
      </c>
      <c r="U700" s="42">
        <f t="shared" si="65"/>
        <v>6524</v>
      </c>
    </row>
    <row r="701" spans="1:21" x14ac:dyDescent="0.3">
      <c r="A701" s="37" t="s">
        <v>4066</v>
      </c>
      <c r="B701" s="37" t="s">
        <v>4067</v>
      </c>
      <c r="C701" s="37" t="s">
        <v>2466</v>
      </c>
      <c r="D701" s="37" t="s">
        <v>45</v>
      </c>
      <c r="E701" s="37" t="s">
        <v>334</v>
      </c>
      <c r="F701" s="37" t="s">
        <v>19</v>
      </c>
      <c r="G701" s="37" t="s">
        <v>2418</v>
      </c>
      <c r="H701" s="37">
        <v>7.59</v>
      </c>
      <c r="I701" s="37">
        <v>2</v>
      </c>
      <c r="J701" s="37" t="s">
        <v>4068</v>
      </c>
      <c r="K701" s="37" t="s">
        <v>97</v>
      </c>
      <c r="L701" s="37">
        <v>0.1</v>
      </c>
      <c r="M701" s="37" t="str">
        <f t="shared" si="62"/>
        <v>General</v>
      </c>
      <c r="N701" s="37" t="str">
        <f t="shared" si="60"/>
        <v>UPI</v>
      </c>
      <c r="O701" s="37" t="str" cm="1">
        <f t="array" ref="O701">IF(TRIM(N701)="",INDEX($N$2:$N$1500,MATCH(MAX(COUNTIF($N$2:$N$1500,$N$2:$N$1500)),COUNTIF($N$2:$N$1500,$N$2:$N$1500),0)),N701)</f>
        <v>UPI</v>
      </c>
      <c r="P701" s="38" cm="1">
        <f t="array" ref="P701">ROUND(IF(TRIM(H701)="",IFERROR(MEDIAN(IF($M$2:$M$1500=M701,$H$2:$H$1500)),MEDIAN($H$2:$H$1500)),H701),2)</f>
        <v>7.59</v>
      </c>
      <c r="Q701" s="38" t="str">
        <f t="shared" si="63"/>
        <v>1</v>
      </c>
      <c r="R701" s="39" cm="1">
        <f t="array" ref="R701">IF(OR(TRIM(J701)="",TRIM(J701)="-"),MEDIAN(IF($C$2:$C$1218=C701,$J$2:$J$1218)),VALUE(SUBSTITUTE(SUBSTITUTE(SUBSTITUTE(J701,"Rs. ",""),"₹",""),",","")))</f>
        <v>18556</v>
      </c>
      <c r="S701" s="40">
        <f t="shared" si="61"/>
        <v>0.1</v>
      </c>
      <c r="T701" s="41">
        <f t="shared" si="64"/>
        <v>0</v>
      </c>
      <c r="U701" s="42">
        <f t="shared" si="65"/>
        <v>18556</v>
      </c>
    </row>
    <row r="702" spans="1:21" x14ac:dyDescent="0.3">
      <c r="A702" s="37" t="s">
        <v>4069</v>
      </c>
      <c r="B702" s="37" t="s">
        <v>4070</v>
      </c>
      <c r="C702" s="37" t="s">
        <v>2481</v>
      </c>
      <c r="D702" s="37" t="s">
        <v>117</v>
      </c>
      <c r="E702" s="37" t="s">
        <v>182</v>
      </c>
      <c r="F702" s="37"/>
      <c r="G702" s="37" t="s">
        <v>2423</v>
      </c>
      <c r="H702" s="37">
        <v>23.64</v>
      </c>
      <c r="I702" s="37">
        <v>5</v>
      </c>
      <c r="J702" s="37">
        <v>19990</v>
      </c>
      <c r="K702" s="37" t="s">
        <v>34</v>
      </c>
      <c r="L702" s="37" t="s">
        <v>130</v>
      </c>
      <c r="M702" s="37" t="str">
        <f t="shared" si="62"/>
        <v>Unknown</v>
      </c>
      <c r="N702" s="37" t="str">
        <f t="shared" si="60"/>
        <v>Cash</v>
      </c>
      <c r="O702" s="37" t="str" cm="1">
        <f t="array" ref="O702">IF(TRIM(N702)="",INDEX($N$2:$N$1500,MATCH(MAX(COUNTIF($N$2:$N$1500,$N$2:$N$1500)),COUNTIF($N$2:$N$1500,$N$2:$N$1500),0)),N702)</f>
        <v>Cash</v>
      </c>
      <c r="P702" s="38" cm="1">
        <f t="array" ref="P702">ROUND(IF(TRIM(H702)="",IFERROR(MEDIAN(IF($M$2:$M$1500=M702,$H$2:$H$1500)),MEDIAN($H$2:$H$1500)),H702),2)</f>
        <v>23.64</v>
      </c>
      <c r="Q702" s="38" t="str">
        <f t="shared" si="63"/>
        <v>0</v>
      </c>
      <c r="R702" s="39" cm="1">
        <f t="array" ref="R702">IF(OR(TRIM(J702)="",TRIM(J702)="-"),MEDIAN(IF($C$2:$C$1218=C702,$J$2:$J$1218)),VALUE(SUBSTITUTE(SUBSTITUTE(SUBSTITUTE(J702,"Rs. ",""),"₹",""),",","")))</f>
        <v>19990</v>
      </c>
      <c r="S702" s="40">
        <f t="shared" si="61"/>
        <v>0</v>
      </c>
      <c r="T702" s="41">
        <f t="shared" si="64"/>
        <v>0</v>
      </c>
      <c r="U702" s="42">
        <f t="shared" si="65"/>
        <v>19990</v>
      </c>
    </row>
    <row r="703" spans="1:21" x14ac:dyDescent="0.3">
      <c r="A703" s="37" t="s">
        <v>4071</v>
      </c>
      <c r="B703" s="37" t="s">
        <v>3036</v>
      </c>
      <c r="C703" s="37" t="s">
        <v>2466</v>
      </c>
      <c r="D703" s="37" t="s">
        <v>78</v>
      </c>
      <c r="E703" s="37" t="s">
        <v>161</v>
      </c>
      <c r="F703" s="37" t="s">
        <v>39</v>
      </c>
      <c r="G703" s="37" t="s">
        <v>2423</v>
      </c>
      <c r="H703" s="37">
        <v>17.91</v>
      </c>
      <c r="I703" s="37">
        <v>41</v>
      </c>
      <c r="J703" s="37">
        <v>3332</v>
      </c>
      <c r="K703" s="37" t="s">
        <v>167</v>
      </c>
      <c r="L703" s="37" t="s">
        <v>187</v>
      </c>
      <c r="M703" s="37" t="str">
        <f t="shared" si="62"/>
        <v>General</v>
      </c>
      <c r="N703" s="37" t="str">
        <f t="shared" si="60"/>
        <v>Insurance</v>
      </c>
      <c r="O703" s="37" t="str" cm="1">
        <f t="array" ref="O703">IF(TRIM(N703)="",INDEX($N$2:$N$1500,MATCH(MAX(COUNTIF($N$2:$N$1500,$N$2:$N$1500)),COUNTIF($N$2:$N$1500,$N$2:$N$1500),0)),N703)</f>
        <v>Insurance</v>
      </c>
      <c r="P703" s="38" cm="1">
        <f t="array" ref="P703">ROUND(IF(TRIM(H703)="",IFERROR(MEDIAN(IF($M$2:$M$1500=M703,$H$2:$H$1500)),MEDIAN($H$2:$H$1500)),H703),2)</f>
        <v>17.91</v>
      </c>
      <c r="Q703" s="38" t="str">
        <f t="shared" si="63"/>
        <v>0</v>
      </c>
      <c r="R703" s="39" cm="1">
        <f t="array" ref="R703">IF(OR(TRIM(J703)="",TRIM(J703)="-"),MEDIAN(IF($C$2:$C$1218=C703,$J$2:$J$1218)),VALUE(SUBSTITUTE(SUBSTITUTE(SUBSTITUTE(J703,"Rs. ",""),"₹",""),",","")))</f>
        <v>3332</v>
      </c>
      <c r="S703" s="40">
        <f t="shared" si="61"/>
        <v>35</v>
      </c>
      <c r="T703" s="41">
        <f t="shared" si="64"/>
        <v>35</v>
      </c>
      <c r="U703" s="42">
        <f t="shared" si="65"/>
        <v>2166</v>
      </c>
    </row>
    <row r="704" spans="1:21" x14ac:dyDescent="0.3">
      <c r="A704" s="37" t="s">
        <v>4072</v>
      </c>
      <c r="B704" s="37" t="s">
        <v>4073</v>
      </c>
      <c r="C704" s="37" t="s">
        <v>2536</v>
      </c>
      <c r="D704" s="37" t="s">
        <v>14</v>
      </c>
      <c r="E704" s="37" t="s">
        <v>60</v>
      </c>
      <c r="F704" s="37" t="s">
        <v>39</v>
      </c>
      <c r="G704" s="37" t="s">
        <v>2435</v>
      </c>
      <c r="H704" s="37">
        <v>16.98</v>
      </c>
      <c r="I704" s="37">
        <v>2</v>
      </c>
      <c r="J704" s="37">
        <v>9062</v>
      </c>
      <c r="K704" s="37" t="s">
        <v>115</v>
      </c>
      <c r="L704" s="37"/>
      <c r="M704" s="37" t="str">
        <f t="shared" si="62"/>
        <v>General</v>
      </c>
      <c r="N704" s="37" t="str">
        <f t="shared" si="60"/>
        <v>Cash</v>
      </c>
      <c r="O704" s="37" t="str" cm="1">
        <f t="array" ref="O704">IF(TRIM(N704)="",INDEX($N$2:$N$1500,MATCH(MAX(COUNTIF($N$2:$N$1500,$N$2:$N$1500)),COUNTIF($N$2:$N$1500,$N$2:$N$1500),0)),N704)</f>
        <v>Cash</v>
      </c>
      <c r="P704" s="38" cm="1">
        <f t="array" ref="P704">ROUND(IF(TRIM(H704)="",IFERROR(MEDIAN(IF($M$2:$M$1500=M704,$H$2:$H$1500)),MEDIAN($H$2:$H$1500)),H704),2)</f>
        <v>16.98</v>
      </c>
      <c r="Q704" s="38" t="str">
        <f t="shared" si="63"/>
        <v>0</v>
      </c>
      <c r="R704" s="39" cm="1">
        <f t="array" ref="R704">IF(OR(TRIM(J704)="",TRIM(J704)="-"),MEDIAN(IF($C$2:$C$1218=C704,$J$2:$J$1218)),VALUE(SUBSTITUTE(SUBSTITUTE(SUBSTITUTE(J704,"Rs. ",""),"₹",""),",","")))</f>
        <v>9062</v>
      </c>
      <c r="S704" s="40">
        <f t="shared" si="61"/>
        <v>0</v>
      </c>
      <c r="T704" s="41">
        <f t="shared" si="64"/>
        <v>0</v>
      </c>
      <c r="U704" s="42">
        <f t="shared" si="65"/>
        <v>9062</v>
      </c>
    </row>
    <row r="705" spans="1:21" x14ac:dyDescent="0.3">
      <c r="A705" s="37" t="s">
        <v>4074</v>
      </c>
      <c r="B705" s="37" t="s">
        <v>4075</v>
      </c>
      <c r="C705" s="37" t="s">
        <v>2577</v>
      </c>
      <c r="D705" s="37" t="s">
        <v>14</v>
      </c>
      <c r="E705" s="37" t="s">
        <v>60</v>
      </c>
      <c r="F705" s="37" t="s">
        <v>39</v>
      </c>
      <c r="G705" s="37" t="s">
        <v>2435</v>
      </c>
      <c r="H705" s="37">
        <v>4.55</v>
      </c>
      <c r="I705" s="37">
        <v>55</v>
      </c>
      <c r="J705" s="37" t="s">
        <v>140</v>
      </c>
      <c r="K705" s="37" t="s">
        <v>58</v>
      </c>
      <c r="L705" s="37" t="s">
        <v>130</v>
      </c>
      <c r="M705" s="37" t="str">
        <f t="shared" si="62"/>
        <v>General</v>
      </c>
      <c r="N705" s="37" t="str">
        <f t="shared" si="60"/>
        <v>UPI</v>
      </c>
      <c r="O705" s="37" t="str" cm="1">
        <f t="array" ref="O705">IF(TRIM(N705)="",INDEX($N$2:$N$1500,MATCH(MAX(COUNTIF($N$2:$N$1500,$N$2:$N$1500)),COUNTIF($N$2:$N$1500,$N$2:$N$1500),0)),N705)</f>
        <v>UPI</v>
      </c>
      <c r="P705" s="38" cm="1">
        <f t="array" ref="P705">ROUND(IF(TRIM(H705)="",IFERROR(MEDIAN(IF($M$2:$M$1500=M705,$H$2:$H$1500)),MEDIAN($H$2:$H$1500)),H705),2)</f>
        <v>4.55</v>
      </c>
      <c r="Q705" s="38" t="str">
        <f t="shared" si="63"/>
        <v>0</v>
      </c>
      <c r="R705" s="39" cm="1">
        <f t="array" ref="R705">IF(OR(TRIM(J705)="",TRIM(J705)="-"),MEDIAN(IF($C$2:$C$1218=C705,$J$2:$J$1218)),VALUE(SUBSTITUTE(SUBSTITUTE(SUBSTITUTE(J705,"Rs. ",""),"₹",""),",","")))</f>
        <v>15441</v>
      </c>
      <c r="S705" s="40">
        <f t="shared" si="61"/>
        <v>0</v>
      </c>
      <c r="T705" s="41">
        <f t="shared" si="64"/>
        <v>0</v>
      </c>
      <c r="U705" s="42">
        <f t="shared" si="65"/>
        <v>15441</v>
      </c>
    </row>
    <row r="706" spans="1:21" x14ac:dyDescent="0.3">
      <c r="A706" s="37" t="s">
        <v>4076</v>
      </c>
      <c r="B706" s="37" t="s">
        <v>4077</v>
      </c>
      <c r="C706" s="37" t="s">
        <v>2577</v>
      </c>
      <c r="D706" s="37" t="s">
        <v>106</v>
      </c>
      <c r="E706" s="37" t="s">
        <v>107</v>
      </c>
      <c r="F706" s="37" t="s">
        <v>62</v>
      </c>
      <c r="G706" s="37" t="s">
        <v>2423</v>
      </c>
      <c r="H706" s="37">
        <v>8.02</v>
      </c>
      <c r="I706" s="37" t="s">
        <v>140</v>
      </c>
      <c r="J706" s="37"/>
      <c r="K706" s="37" t="s">
        <v>167</v>
      </c>
      <c r="L706" s="37">
        <v>15</v>
      </c>
      <c r="M706" s="37" t="str">
        <f t="shared" si="62"/>
        <v>ICU</v>
      </c>
      <c r="N706" s="37" t="str">
        <f t="shared" ref="N706:N769" si="66">IF(OR(UPPER(TRIM(K706))="CREDIT_CARD",UPPER(TRIM(K706))="CREDIT CARD",UPPER(TRIM(K706))="CC"),"Credit Card", IF(OR(UPPER(TRIM(K706))="DEBIT_CARD",UPPER(TRIM(K706))="DEBIT CARD",UPPER(TRIM(K706))="DC"),"Debit Card", IF(UPPER(TRIM(K706))="CASH","Cash", IF(UPPER(TRIM(K706))="UPI","UPI", IF(OR(UPPER(TRIM(K706))="INSURANCE",UPPER(TRIM(K706))="INS"),"Insurance", IF(TRIM(K706)="","Unknown","Unknown"))))))</f>
        <v>Insurance</v>
      </c>
      <c r="O706" s="37" t="str" cm="1">
        <f t="array" ref="O706">IF(TRIM(N706)="",INDEX($N$2:$N$1500,MATCH(MAX(COUNTIF($N$2:$N$1500,$N$2:$N$1500)),COUNTIF($N$2:$N$1500,$N$2:$N$1500),0)),N706)</f>
        <v>Insurance</v>
      </c>
      <c r="P706" s="38" cm="1">
        <f t="array" ref="P706">ROUND(IF(TRIM(H706)="",IFERROR(MEDIAN(IF($M$2:$M$1500=M706,$H$2:$H$1500)),MEDIAN($H$2:$H$1500)),H706),2)</f>
        <v>8.02</v>
      </c>
      <c r="Q706" s="38" t="str">
        <f t="shared" si="63"/>
        <v>0</v>
      </c>
      <c r="R706" s="39" cm="1">
        <f t="array" ref="R706">IF(OR(TRIM(J706)="",TRIM(J706)="-"),MEDIAN(IF($C$2:$C$1218=C706,$J$2:$J$1218)),VALUE(SUBSTITUTE(SUBSTITUTE(SUBSTITUTE(J706,"Rs. ",""),"₹",""),",","")))</f>
        <v>15441</v>
      </c>
      <c r="S706" s="40">
        <f t="shared" ref="S706:S769" si="67">IF(RIGHT(TRIM(L706),1)="%",VALUE(LEFT(TRIM(L706),LEN(TRIM(L706))-1)),IF(AND(ISNUMBER(L706),L706&lt;=1,,L706&gt;0),L706*100,L706))</f>
        <v>15</v>
      </c>
      <c r="T706" s="41">
        <f t="shared" si="64"/>
        <v>15</v>
      </c>
      <c r="U706" s="42">
        <f t="shared" si="65"/>
        <v>13125</v>
      </c>
    </row>
    <row r="707" spans="1:21" x14ac:dyDescent="0.3">
      <c r="A707" s="37" t="s">
        <v>4078</v>
      </c>
      <c r="B707" s="37" t="s">
        <v>4079</v>
      </c>
      <c r="C707" s="37" t="s">
        <v>2494</v>
      </c>
      <c r="D707" s="37" t="s">
        <v>25</v>
      </c>
      <c r="E707" s="37" t="s">
        <v>26</v>
      </c>
      <c r="F707" s="37" t="s">
        <v>39</v>
      </c>
      <c r="G707" s="37" t="s">
        <v>2418</v>
      </c>
      <c r="H707" s="37">
        <v>16.260000000000002</v>
      </c>
      <c r="I707" s="37">
        <v>59</v>
      </c>
      <c r="J707" s="37" t="s">
        <v>4080</v>
      </c>
      <c r="K707" s="37" t="s">
        <v>42</v>
      </c>
      <c r="L707" s="37">
        <v>10</v>
      </c>
      <c r="M707" s="37" t="str">
        <f t="shared" ref="M707:M770" si="68">IF(OR(UPPER(TRIM(F707))="GENERAL",UPPER(TRIM(F707))="GENRAL"),"General",IF(UPPER(TRIM(F707))="ICU","ICU","Unknown"))</f>
        <v>General</v>
      </c>
      <c r="N707" s="37" t="str">
        <f t="shared" si="66"/>
        <v>Insurance</v>
      </c>
      <c r="O707" s="37" t="str" cm="1">
        <f t="array" ref="O707">IF(TRIM(N707)="",INDEX($N$2:$N$1500,MATCH(MAX(COUNTIF($N$2:$N$1500,$N$2:$N$1500)),COUNTIF($N$2:$N$1500,$N$2:$N$1500),0)),N707)</f>
        <v>Insurance</v>
      </c>
      <c r="P707" s="38" cm="1">
        <f t="array" ref="P707">ROUND(IF(TRIM(H707)="",IFERROR(MEDIAN(IF($M$2:$M$1500=M707,$H$2:$H$1500)),MEDIAN($H$2:$H$1500)),H707),2)</f>
        <v>16.260000000000002</v>
      </c>
      <c r="Q707" s="38" t="str">
        <f t="shared" ref="Q707:Q770" si="69">IF(OR(LOWER(TRIM(G707))="0",LOWER(TRIM(G707))="zero"),"0", IF(OR(LOWER(TRIM(G707))="1",LOWER(TRIM(G707))="one"),"1", IF(OR(LOWER(TRIM(G707))="2",LOWER(TRIM(G707))="two"),"2", IF(OR(LOWER(TRIM(G707))="2+",LOWER(TRIM(G707))="two_or_more",LOWER(TRIM(G707))="multiple"),"2+", "Unknown"))))</f>
        <v>1</v>
      </c>
      <c r="R707" s="39" cm="1">
        <f t="array" ref="R707">IF(OR(TRIM(J707)="",TRIM(J707)="-"),MEDIAN(IF($C$2:$C$1218=C707,$J$2:$J$1218)),VALUE(SUBSTITUTE(SUBSTITUTE(SUBSTITUTE(J707,"Rs. ",""),"₹",""),",","")))</f>
        <v>18913</v>
      </c>
      <c r="S707" s="40">
        <f t="shared" si="67"/>
        <v>10</v>
      </c>
      <c r="T707" s="41">
        <f t="shared" ref="T707:T770" si="70">ROUND(IF(OR(TRIM(S707)="-",UPPER(TRIM(S707))="N/A",UPPER(TRIM(S707))="NA"),IFERROR(AVERAGEIF($O$2:$O$1500,O707,$S$2:$S$1500),AVERAGE($S$2:$S$1500)),S707),0)</f>
        <v>10</v>
      </c>
      <c r="U707" s="42">
        <f t="shared" ref="U707:U770" si="71">ROUND(R707*(1-T707/100),0)</f>
        <v>17022</v>
      </c>
    </row>
    <row r="708" spans="1:21" x14ac:dyDescent="0.3">
      <c r="A708" s="37" t="s">
        <v>4081</v>
      </c>
      <c r="B708" s="37" t="s">
        <v>4082</v>
      </c>
      <c r="C708" s="37" t="s">
        <v>2415</v>
      </c>
      <c r="D708" s="37" t="s">
        <v>117</v>
      </c>
      <c r="E708" s="37" t="s">
        <v>118</v>
      </c>
      <c r="F708" s="37" t="s">
        <v>30</v>
      </c>
      <c r="G708" s="37" t="s">
        <v>2423</v>
      </c>
      <c r="H708" s="37">
        <v>7.02</v>
      </c>
      <c r="I708" s="37">
        <v>56</v>
      </c>
      <c r="J708" s="37" t="s">
        <v>4083</v>
      </c>
      <c r="K708" s="37" t="s">
        <v>83</v>
      </c>
      <c r="L708" s="37">
        <v>0</v>
      </c>
      <c r="M708" s="37" t="str">
        <f t="shared" si="68"/>
        <v>General</v>
      </c>
      <c r="N708" s="37" t="str">
        <f t="shared" si="66"/>
        <v>Debit Card</v>
      </c>
      <c r="O708" s="37" t="str" cm="1">
        <f t="array" ref="O708">IF(TRIM(N708)="",INDEX($N$2:$N$1500,MATCH(MAX(COUNTIF($N$2:$N$1500,$N$2:$N$1500)),COUNTIF($N$2:$N$1500,$N$2:$N$1500),0)),N708)</f>
        <v>Debit Card</v>
      </c>
      <c r="P708" s="38" cm="1">
        <f t="array" ref="P708">ROUND(IF(TRIM(H708)="",IFERROR(MEDIAN(IF($M$2:$M$1500=M708,$H$2:$H$1500)),MEDIAN($H$2:$H$1500)),H708),2)</f>
        <v>7.02</v>
      </c>
      <c r="Q708" s="38" t="str">
        <f t="shared" si="69"/>
        <v>0</v>
      </c>
      <c r="R708" s="39" cm="1">
        <f t="array" ref="R708">IF(OR(TRIM(J708)="",TRIM(J708)="-"),MEDIAN(IF($C$2:$C$1218=C708,$J$2:$J$1218)),VALUE(SUBSTITUTE(SUBSTITUTE(SUBSTITUTE(J708,"Rs. ",""),"₹",""),",","")))</f>
        <v>17470</v>
      </c>
      <c r="S708" s="40">
        <f t="shared" si="67"/>
        <v>0</v>
      </c>
      <c r="T708" s="41">
        <f t="shared" si="70"/>
        <v>0</v>
      </c>
      <c r="U708" s="42">
        <f t="shared" si="71"/>
        <v>17470</v>
      </c>
    </row>
    <row r="709" spans="1:21" x14ac:dyDescent="0.3">
      <c r="A709" s="37" t="s">
        <v>4084</v>
      </c>
      <c r="B709" s="37" t="s">
        <v>4085</v>
      </c>
      <c r="C709" s="37" t="s">
        <v>2463</v>
      </c>
      <c r="D709" s="37" t="s">
        <v>25</v>
      </c>
      <c r="E709" s="37" t="s">
        <v>54</v>
      </c>
      <c r="F709" s="37" t="s">
        <v>39</v>
      </c>
      <c r="G709" s="37" t="s">
        <v>2423</v>
      </c>
      <c r="H709" s="37">
        <v>22.66</v>
      </c>
      <c r="I709" s="37">
        <v>11</v>
      </c>
      <c r="J709" s="37" t="s">
        <v>4086</v>
      </c>
      <c r="K709" s="37" t="s">
        <v>236</v>
      </c>
      <c r="L709" s="37">
        <v>0</v>
      </c>
      <c r="M709" s="37" t="str">
        <f t="shared" si="68"/>
        <v>General</v>
      </c>
      <c r="N709" s="37" t="str">
        <f t="shared" si="66"/>
        <v>Debit Card</v>
      </c>
      <c r="O709" s="37" t="str" cm="1">
        <f t="array" ref="O709">IF(TRIM(N709)="",INDEX($N$2:$N$1500,MATCH(MAX(COUNTIF($N$2:$N$1500,$N$2:$N$1500)),COUNTIF($N$2:$N$1500,$N$2:$N$1500),0)),N709)</f>
        <v>Debit Card</v>
      </c>
      <c r="P709" s="38" cm="1">
        <f t="array" ref="P709">ROUND(IF(TRIM(H709)="",IFERROR(MEDIAN(IF($M$2:$M$1500=M709,$H$2:$H$1500)),MEDIAN($H$2:$H$1500)),H709),2)</f>
        <v>22.66</v>
      </c>
      <c r="Q709" s="38" t="str">
        <f t="shared" si="69"/>
        <v>0</v>
      </c>
      <c r="R709" s="39" cm="1">
        <f t="array" ref="R709">IF(OR(TRIM(J709)="",TRIM(J709)="-"),MEDIAN(IF($C$2:$C$1218=C709,$J$2:$J$1218)),VALUE(SUBSTITUTE(SUBSTITUTE(SUBSTITUTE(J709,"Rs. ",""),"₹",""),",","")))</f>
        <v>15103</v>
      </c>
      <c r="S709" s="40">
        <f t="shared" si="67"/>
        <v>0</v>
      </c>
      <c r="T709" s="41">
        <f t="shared" si="70"/>
        <v>0</v>
      </c>
      <c r="U709" s="42">
        <f t="shared" si="71"/>
        <v>15103</v>
      </c>
    </row>
    <row r="710" spans="1:21" x14ac:dyDescent="0.3">
      <c r="A710" s="37" t="s">
        <v>4087</v>
      </c>
      <c r="B710" s="37" t="s">
        <v>4088</v>
      </c>
      <c r="C710" s="37" t="s">
        <v>2629</v>
      </c>
      <c r="D710" s="37" t="s">
        <v>25</v>
      </c>
      <c r="E710" s="37" t="s">
        <v>54</v>
      </c>
      <c r="F710" s="37" t="s">
        <v>30</v>
      </c>
      <c r="G710" s="37" t="s">
        <v>2408</v>
      </c>
      <c r="H710" s="37">
        <v>14.72</v>
      </c>
      <c r="I710" s="37">
        <v>5</v>
      </c>
      <c r="J710" s="37" t="s">
        <v>4089</v>
      </c>
      <c r="K710" s="37" t="s">
        <v>83</v>
      </c>
      <c r="L710" s="37" t="s">
        <v>130</v>
      </c>
      <c r="M710" s="37" t="str">
        <f t="shared" si="68"/>
        <v>General</v>
      </c>
      <c r="N710" s="37" t="str">
        <f t="shared" si="66"/>
        <v>Debit Card</v>
      </c>
      <c r="O710" s="37" t="str" cm="1">
        <f t="array" ref="O710">IF(TRIM(N710)="",INDEX($N$2:$N$1500,MATCH(MAX(COUNTIF($N$2:$N$1500,$N$2:$N$1500)),COUNTIF($N$2:$N$1500,$N$2:$N$1500),0)),N710)</f>
        <v>Debit Card</v>
      </c>
      <c r="P710" s="38" cm="1">
        <f t="array" ref="P710">ROUND(IF(TRIM(H710)="",IFERROR(MEDIAN(IF($M$2:$M$1500=M710,$H$2:$H$1500)),MEDIAN($H$2:$H$1500)),H710),2)</f>
        <v>14.72</v>
      </c>
      <c r="Q710" s="38" t="str">
        <f t="shared" si="69"/>
        <v>0</v>
      </c>
      <c r="R710" s="39" cm="1">
        <f t="array" ref="R710">IF(OR(TRIM(J710)="",TRIM(J710)="-"),MEDIAN(IF($C$2:$C$1218=C710,$J$2:$J$1218)),VALUE(SUBSTITUTE(SUBSTITUTE(SUBSTITUTE(J710,"Rs. ",""),"₹",""),",","")))</f>
        <v>8304</v>
      </c>
      <c r="S710" s="40">
        <f t="shared" si="67"/>
        <v>0</v>
      </c>
      <c r="T710" s="41">
        <f t="shared" si="70"/>
        <v>0</v>
      </c>
      <c r="U710" s="42">
        <f t="shared" si="71"/>
        <v>8304</v>
      </c>
    </row>
    <row r="711" spans="1:21" x14ac:dyDescent="0.3">
      <c r="A711" s="37" t="s">
        <v>4090</v>
      </c>
      <c r="B711" s="37" t="s">
        <v>4079</v>
      </c>
      <c r="C711" s="37" t="s">
        <v>2494</v>
      </c>
      <c r="D711" s="37" t="s">
        <v>25</v>
      </c>
      <c r="E711" s="37" t="s">
        <v>54</v>
      </c>
      <c r="F711" s="37" t="s">
        <v>101</v>
      </c>
      <c r="G711" s="37" t="s">
        <v>2450</v>
      </c>
      <c r="H711" s="37">
        <v>6.31</v>
      </c>
      <c r="I711" s="37">
        <v>47</v>
      </c>
      <c r="J711" s="37">
        <v>70670</v>
      </c>
      <c r="K711" s="37" t="s">
        <v>311</v>
      </c>
      <c r="L711" s="37" t="s">
        <v>130</v>
      </c>
      <c r="M711" s="37" t="str">
        <f t="shared" si="68"/>
        <v>ICU</v>
      </c>
      <c r="N711" s="37" t="str">
        <f t="shared" si="66"/>
        <v>UPI</v>
      </c>
      <c r="O711" s="37" t="str" cm="1">
        <f t="array" ref="O711">IF(TRIM(N711)="",INDEX($N$2:$N$1500,MATCH(MAX(COUNTIF($N$2:$N$1500,$N$2:$N$1500)),COUNTIF($N$2:$N$1500,$N$2:$N$1500),0)),N711)</f>
        <v>UPI</v>
      </c>
      <c r="P711" s="38" cm="1">
        <f t="array" ref="P711">ROUND(IF(TRIM(H711)="",IFERROR(MEDIAN(IF($M$2:$M$1500=M711,$H$2:$H$1500)),MEDIAN($H$2:$H$1500)),H711),2)</f>
        <v>6.31</v>
      </c>
      <c r="Q711" s="38" t="str">
        <f t="shared" si="69"/>
        <v>1</v>
      </c>
      <c r="R711" s="39" cm="1">
        <f t="array" ref="R711">IF(OR(TRIM(J711)="",TRIM(J711)="-"),MEDIAN(IF($C$2:$C$1218=C711,$J$2:$J$1218)),VALUE(SUBSTITUTE(SUBSTITUTE(SUBSTITUTE(J711,"Rs. ",""),"₹",""),",","")))</f>
        <v>70670</v>
      </c>
      <c r="S711" s="40">
        <f t="shared" si="67"/>
        <v>0</v>
      </c>
      <c r="T711" s="41">
        <f t="shared" si="70"/>
        <v>0</v>
      </c>
      <c r="U711" s="42">
        <f t="shared" si="71"/>
        <v>70670</v>
      </c>
    </row>
    <row r="712" spans="1:21" x14ac:dyDescent="0.3">
      <c r="A712" s="37" t="s">
        <v>4091</v>
      </c>
      <c r="B712" s="37" t="s">
        <v>4092</v>
      </c>
      <c r="C712" s="37" t="s">
        <v>2454</v>
      </c>
      <c r="D712" s="37" t="s">
        <v>106</v>
      </c>
      <c r="E712" s="37" t="s">
        <v>307</v>
      </c>
      <c r="F712" s="37" t="s">
        <v>19</v>
      </c>
      <c r="G712" s="37" t="s">
        <v>2435</v>
      </c>
      <c r="H712" s="37">
        <v>10.52</v>
      </c>
      <c r="I712" s="37" t="s">
        <v>140</v>
      </c>
      <c r="J712" s="37">
        <v>5408</v>
      </c>
      <c r="K712" s="37" t="s">
        <v>83</v>
      </c>
      <c r="L712" s="37">
        <v>0</v>
      </c>
      <c r="M712" s="37" t="str">
        <f t="shared" si="68"/>
        <v>General</v>
      </c>
      <c r="N712" s="37" t="str">
        <f t="shared" si="66"/>
        <v>Debit Card</v>
      </c>
      <c r="O712" s="37" t="str" cm="1">
        <f t="array" ref="O712">IF(TRIM(N712)="",INDEX($N$2:$N$1500,MATCH(MAX(COUNTIF($N$2:$N$1500,$N$2:$N$1500)),COUNTIF($N$2:$N$1500,$N$2:$N$1500),0)),N712)</f>
        <v>Debit Card</v>
      </c>
      <c r="P712" s="38" cm="1">
        <f t="array" ref="P712">ROUND(IF(TRIM(H712)="",IFERROR(MEDIAN(IF($M$2:$M$1500=M712,$H$2:$H$1500)),MEDIAN($H$2:$H$1500)),H712),2)</f>
        <v>10.52</v>
      </c>
      <c r="Q712" s="38" t="str">
        <f t="shared" si="69"/>
        <v>0</v>
      </c>
      <c r="R712" s="39" cm="1">
        <f t="array" ref="R712">IF(OR(TRIM(J712)="",TRIM(J712)="-"),MEDIAN(IF($C$2:$C$1218=C712,$J$2:$J$1218)),VALUE(SUBSTITUTE(SUBSTITUTE(SUBSTITUTE(J712,"Rs. ",""),"₹",""),",","")))</f>
        <v>5408</v>
      </c>
      <c r="S712" s="40">
        <f t="shared" si="67"/>
        <v>0</v>
      </c>
      <c r="T712" s="41">
        <f t="shared" si="70"/>
        <v>0</v>
      </c>
      <c r="U712" s="42">
        <f t="shared" si="71"/>
        <v>5408</v>
      </c>
    </row>
    <row r="713" spans="1:21" x14ac:dyDescent="0.3">
      <c r="A713" s="37" t="s">
        <v>4093</v>
      </c>
      <c r="B713" s="37" t="s">
        <v>3598</v>
      </c>
      <c r="C713" s="37" t="s">
        <v>2494</v>
      </c>
      <c r="D713" s="37" t="s">
        <v>25</v>
      </c>
      <c r="E713" s="37" t="s">
        <v>54</v>
      </c>
      <c r="F713" s="37" t="s">
        <v>62</v>
      </c>
      <c r="G713" s="37" t="s">
        <v>2450</v>
      </c>
      <c r="H713" s="37">
        <v>20.350000000000001</v>
      </c>
      <c r="I713" s="37">
        <v>6</v>
      </c>
      <c r="J713" s="37">
        <v>25939</v>
      </c>
      <c r="K713" s="37" t="s">
        <v>211</v>
      </c>
      <c r="L713" s="37">
        <v>0</v>
      </c>
      <c r="M713" s="37" t="str">
        <f t="shared" si="68"/>
        <v>ICU</v>
      </c>
      <c r="N713" s="37" t="str">
        <f t="shared" si="66"/>
        <v>Credit Card</v>
      </c>
      <c r="O713" s="37" t="str" cm="1">
        <f t="array" ref="O713">IF(TRIM(N713)="",INDEX($N$2:$N$1500,MATCH(MAX(COUNTIF($N$2:$N$1500,$N$2:$N$1500)),COUNTIF($N$2:$N$1500,$N$2:$N$1500),0)),N713)</f>
        <v>Credit Card</v>
      </c>
      <c r="P713" s="38" cm="1">
        <f t="array" ref="P713">ROUND(IF(TRIM(H713)="",IFERROR(MEDIAN(IF($M$2:$M$1500=M713,$H$2:$H$1500)),MEDIAN($H$2:$H$1500)),H713),2)</f>
        <v>20.350000000000001</v>
      </c>
      <c r="Q713" s="38" t="str">
        <f t="shared" si="69"/>
        <v>1</v>
      </c>
      <c r="R713" s="39" cm="1">
        <f t="array" ref="R713">IF(OR(TRIM(J713)="",TRIM(J713)="-"),MEDIAN(IF($C$2:$C$1218=C713,$J$2:$J$1218)),VALUE(SUBSTITUTE(SUBSTITUTE(SUBSTITUTE(J713,"Rs. ",""),"₹",""),",","")))</f>
        <v>25939</v>
      </c>
      <c r="S713" s="40">
        <f t="shared" si="67"/>
        <v>0</v>
      </c>
      <c r="T713" s="41">
        <f t="shared" si="70"/>
        <v>0</v>
      </c>
      <c r="U713" s="42">
        <f t="shared" si="71"/>
        <v>25939</v>
      </c>
    </row>
    <row r="714" spans="1:21" x14ac:dyDescent="0.3">
      <c r="A714" s="37" t="s">
        <v>4094</v>
      </c>
      <c r="B714" s="37" t="s">
        <v>2791</v>
      </c>
      <c r="C714" s="37" t="s">
        <v>2466</v>
      </c>
      <c r="D714" s="37" t="s">
        <v>106</v>
      </c>
      <c r="E714" s="37" t="s">
        <v>307</v>
      </c>
      <c r="F714" s="37" t="s">
        <v>30</v>
      </c>
      <c r="G714" s="37" t="s">
        <v>2423</v>
      </c>
      <c r="H714" s="37">
        <v>7.82</v>
      </c>
      <c r="I714" s="37">
        <v>8</v>
      </c>
      <c r="J714" s="37">
        <v>19818</v>
      </c>
      <c r="K714" s="37" t="s">
        <v>34</v>
      </c>
      <c r="L714" s="37" t="s">
        <v>198</v>
      </c>
      <c r="M714" s="37" t="str">
        <f t="shared" si="68"/>
        <v>General</v>
      </c>
      <c r="N714" s="37" t="str">
        <f t="shared" si="66"/>
        <v>Cash</v>
      </c>
      <c r="O714" s="37" t="str" cm="1">
        <f t="array" ref="O714">IF(TRIM(N714)="",INDEX($N$2:$N$1500,MATCH(MAX(COUNTIF($N$2:$N$1500,$N$2:$N$1500)),COUNTIF($N$2:$N$1500,$N$2:$N$1500),0)),N714)</f>
        <v>Cash</v>
      </c>
      <c r="P714" s="38" cm="1">
        <f t="array" ref="P714">ROUND(IF(TRIM(H714)="",IFERROR(MEDIAN(IF($M$2:$M$1500=M714,$H$2:$H$1500)),MEDIAN($H$2:$H$1500)),H714),2)</f>
        <v>7.82</v>
      </c>
      <c r="Q714" s="38" t="str">
        <f t="shared" si="69"/>
        <v>0</v>
      </c>
      <c r="R714" s="39" cm="1">
        <f t="array" ref="R714">IF(OR(TRIM(J714)="",TRIM(J714)="-"),MEDIAN(IF($C$2:$C$1218=C714,$J$2:$J$1218)),VALUE(SUBSTITUTE(SUBSTITUTE(SUBSTITUTE(J714,"Rs. ",""),"₹",""),",","")))</f>
        <v>19818</v>
      </c>
      <c r="S714" s="40">
        <f t="shared" si="67"/>
        <v>5</v>
      </c>
      <c r="T714" s="41">
        <f t="shared" si="70"/>
        <v>5</v>
      </c>
      <c r="U714" s="42">
        <f t="shared" si="71"/>
        <v>18827</v>
      </c>
    </row>
    <row r="715" spans="1:21" x14ac:dyDescent="0.3">
      <c r="A715" s="37" t="s">
        <v>4095</v>
      </c>
      <c r="B715" s="37" t="s">
        <v>4096</v>
      </c>
      <c r="C715" s="37" t="s">
        <v>2504</v>
      </c>
      <c r="D715" s="37" t="s">
        <v>78</v>
      </c>
      <c r="E715" s="37" t="s">
        <v>203</v>
      </c>
      <c r="F715" s="37" t="s">
        <v>39</v>
      </c>
      <c r="G715" s="37" t="s">
        <v>2408</v>
      </c>
      <c r="H715" s="37">
        <v>22.26</v>
      </c>
      <c r="I715" s="37">
        <v>52</v>
      </c>
      <c r="J715" s="37" t="s">
        <v>4097</v>
      </c>
      <c r="K715" s="37" t="s">
        <v>83</v>
      </c>
      <c r="L715" s="37" t="s">
        <v>130</v>
      </c>
      <c r="M715" s="37" t="str">
        <f t="shared" si="68"/>
        <v>General</v>
      </c>
      <c r="N715" s="37" t="str">
        <f t="shared" si="66"/>
        <v>Debit Card</v>
      </c>
      <c r="O715" s="37" t="str" cm="1">
        <f t="array" ref="O715">IF(TRIM(N715)="",INDEX($N$2:$N$1500,MATCH(MAX(COUNTIF($N$2:$N$1500,$N$2:$N$1500)),COUNTIF($N$2:$N$1500,$N$2:$N$1500),0)),N715)</f>
        <v>Debit Card</v>
      </c>
      <c r="P715" s="38" cm="1">
        <f t="array" ref="P715">ROUND(IF(TRIM(H715)="",IFERROR(MEDIAN(IF($M$2:$M$1500=M715,$H$2:$H$1500)),MEDIAN($H$2:$H$1500)),H715),2)</f>
        <v>22.26</v>
      </c>
      <c r="Q715" s="38" t="str">
        <f t="shared" si="69"/>
        <v>0</v>
      </c>
      <c r="R715" s="39" cm="1">
        <f t="array" ref="R715">IF(OR(TRIM(J715)="",TRIM(J715)="-"),MEDIAN(IF($C$2:$C$1218=C715,$J$2:$J$1218)),VALUE(SUBSTITUTE(SUBSTITUTE(SUBSTITUTE(J715,"Rs. ",""),"₹",""),",","")))</f>
        <v>18086</v>
      </c>
      <c r="S715" s="40">
        <f t="shared" si="67"/>
        <v>0</v>
      </c>
      <c r="T715" s="41">
        <f t="shared" si="70"/>
        <v>0</v>
      </c>
      <c r="U715" s="42">
        <f t="shared" si="71"/>
        <v>18086</v>
      </c>
    </row>
    <row r="716" spans="1:21" x14ac:dyDescent="0.3">
      <c r="A716" s="37" t="s">
        <v>4098</v>
      </c>
      <c r="B716" s="37" t="s">
        <v>4099</v>
      </c>
      <c r="C716" s="37" t="s">
        <v>2407</v>
      </c>
      <c r="D716" s="37" t="s">
        <v>25</v>
      </c>
      <c r="E716" s="37" t="s">
        <v>26</v>
      </c>
      <c r="F716" s="37"/>
      <c r="G716" s="37" t="s">
        <v>2477</v>
      </c>
      <c r="H716" s="37">
        <v>9.35</v>
      </c>
      <c r="I716" s="37"/>
      <c r="J716" s="37">
        <v>4643</v>
      </c>
      <c r="K716" s="37" t="s">
        <v>72</v>
      </c>
      <c r="L716" s="37" t="s">
        <v>130</v>
      </c>
      <c r="M716" s="37" t="str">
        <f t="shared" si="68"/>
        <v>Unknown</v>
      </c>
      <c r="N716" s="37" t="str">
        <f t="shared" si="66"/>
        <v>Cash</v>
      </c>
      <c r="O716" s="37" t="str" cm="1">
        <f t="array" ref="O716">IF(TRIM(N716)="",INDEX($N$2:$N$1500,MATCH(MAX(COUNTIF($N$2:$N$1500,$N$2:$N$1500)),COUNTIF($N$2:$N$1500,$N$2:$N$1500),0)),N716)</f>
        <v>Cash</v>
      </c>
      <c r="P716" s="38" cm="1">
        <f t="array" ref="P716">ROUND(IF(TRIM(H716)="",IFERROR(MEDIAN(IF($M$2:$M$1500=M716,$H$2:$H$1500)),MEDIAN($H$2:$H$1500)),H716),2)</f>
        <v>9.35</v>
      </c>
      <c r="Q716" s="38" t="str">
        <f t="shared" si="69"/>
        <v>0</v>
      </c>
      <c r="R716" s="39" cm="1">
        <f t="array" ref="R716">IF(OR(TRIM(J716)="",TRIM(J716)="-"),MEDIAN(IF($C$2:$C$1218=C716,$J$2:$J$1218)),VALUE(SUBSTITUTE(SUBSTITUTE(SUBSTITUTE(J716,"Rs. ",""),"₹",""),",","")))</f>
        <v>4643</v>
      </c>
      <c r="S716" s="40">
        <f t="shared" si="67"/>
        <v>0</v>
      </c>
      <c r="T716" s="41">
        <f t="shared" si="70"/>
        <v>0</v>
      </c>
      <c r="U716" s="42">
        <f t="shared" si="71"/>
        <v>4643</v>
      </c>
    </row>
    <row r="717" spans="1:21" x14ac:dyDescent="0.3">
      <c r="A717" s="37" t="s">
        <v>4100</v>
      </c>
      <c r="B717" s="37" t="s">
        <v>4101</v>
      </c>
      <c r="C717" s="37" t="s">
        <v>2438</v>
      </c>
      <c r="D717" s="37" t="s">
        <v>45</v>
      </c>
      <c r="E717" s="37" t="s">
        <v>46</v>
      </c>
      <c r="F717" s="37" t="s">
        <v>30</v>
      </c>
      <c r="G717" s="37" t="s">
        <v>2412</v>
      </c>
      <c r="H717" s="37">
        <v>22.03</v>
      </c>
      <c r="I717" s="37">
        <v>44</v>
      </c>
      <c r="J717" s="37" t="s">
        <v>4102</v>
      </c>
      <c r="K717" s="37" t="s">
        <v>167</v>
      </c>
      <c r="L717" s="37">
        <v>25</v>
      </c>
      <c r="M717" s="37" t="str">
        <f t="shared" si="68"/>
        <v>General</v>
      </c>
      <c r="N717" s="37" t="str">
        <f t="shared" si="66"/>
        <v>Insurance</v>
      </c>
      <c r="O717" s="37" t="str" cm="1">
        <f t="array" ref="O717">IF(TRIM(N717)="",INDEX($N$2:$N$1500,MATCH(MAX(COUNTIF($N$2:$N$1500,$N$2:$N$1500)),COUNTIF($N$2:$N$1500,$N$2:$N$1500),0)),N717)</f>
        <v>Insurance</v>
      </c>
      <c r="P717" s="38" cm="1">
        <f t="array" ref="P717">ROUND(IF(TRIM(H717)="",IFERROR(MEDIAN(IF($M$2:$M$1500=M717,$H$2:$H$1500)),MEDIAN($H$2:$H$1500)),H717),2)</f>
        <v>22.03</v>
      </c>
      <c r="Q717" s="38" t="str">
        <f t="shared" si="69"/>
        <v>1</v>
      </c>
      <c r="R717" s="39" cm="1">
        <f t="array" ref="R717">IF(OR(TRIM(J717)="",TRIM(J717)="-"),MEDIAN(IF($C$2:$C$1218=C717,$J$2:$J$1218)),VALUE(SUBSTITUTE(SUBSTITUTE(SUBSTITUTE(J717,"Rs. ",""),"₹",""),",","")))</f>
        <v>17466</v>
      </c>
      <c r="S717" s="40">
        <f t="shared" si="67"/>
        <v>25</v>
      </c>
      <c r="T717" s="41">
        <f t="shared" si="70"/>
        <v>25</v>
      </c>
      <c r="U717" s="42">
        <f t="shared" si="71"/>
        <v>13100</v>
      </c>
    </row>
    <row r="718" spans="1:21" x14ac:dyDescent="0.3">
      <c r="A718" s="37" t="s">
        <v>4103</v>
      </c>
      <c r="B718" s="37" t="s">
        <v>3928</v>
      </c>
      <c r="C718" s="37" t="s">
        <v>2431</v>
      </c>
      <c r="D718" s="37" t="s">
        <v>45</v>
      </c>
      <c r="E718" s="37" t="s">
        <v>46</v>
      </c>
      <c r="F718" s="37" t="s">
        <v>30</v>
      </c>
      <c r="G718" s="37" t="s">
        <v>2455</v>
      </c>
      <c r="H718" s="37">
        <v>1.55</v>
      </c>
      <c r="I718" s="37">
        <v>21</v>
      </c>
      <c r="J718" s="37" t="s">
        <v>4104</v>
      </c>
      <c r="K718" s="37"/>
      <c r="L718" s="37" t="s">
        <v>198</v>
      </c>
      <c r="M718" s="37" t="str">
        <f t="shared" si="68"/>
        <v>General</v>
      </c>
      <c r="N718" s="37" t="str">
        <f t="shared" si="66"/>
        <v>Unknown</v>
      </c>
      <c r="O718" s="37" t="str" cm="1">
        <f t="array" ref="O718">IF(TRIM(N718)="",INDEX($N$2:$N$1500,MATCH(MAX(COUNTIF($N$2:$N$1500,$N$2:$N$1500)),COUNTIF($N$2:$N$1500,$N$2:$N$1500),0)),N718)</f>
        <v>Unknown</v>
      </c>
      <c r="P718" s="38" cm="1">
        <f t="array" ref="P718">ROUND(IF(TRIM(H718)="",IFERROR(MEDIAN(IF($M$2:$M$1500=M718,$H$2:$H$1500)),MEDIAN($H$2:$H$1500)),H718),2)</f>
        <v>1.55</v>
      </c>
      <c r="Q718" s="38" t="str">
        <f t="shared" si="69"/>
        <v>1</v>
      </c>
      <c r="R718" s="39" cm="1">
        <f t="array" ref="R718">IF(OR(TRIM(J718)="",TRIM(J718)="-"),MEDIAN(IF($C$2:$C$1218=C718,$J$2:$J$1218)),VALUE(SUBSTITUTE(SUBSTITUTE(SUBSTITUTE(J718,"Rs. ",""),"₹",""),",","")))</f>
        <v>7567</v>
      </c>
      <c r="S718" s="40">
        <f t="shared" si="67"/>
        <v>5</v>
      </c>
      <c r="T718" s="41">
        <f t="shared" si="70"/>
        <v>5</v>
      </c>
      <c r="U718" s="42">
        <f t="shared" si="71"/>
        <v>7189</v>
      </c>
    </row>
    <row r="719" spans="1:21" x14ac:dyDescent="0.3">
      <c r="A719" s="37" t="s">
        <v>4105</v>
      </c>
      <c r="B719" s="37" t="s">
        <v>4106</v>
      </c>
      <c r="C719" s="37" t="s">
        <v>2427</v>
      </c>
      <c r="D719" s="37" t="s">
        <v>106</v>
      </c>
      <c r="E719" s="37" t="s">
        <v>107</v>
      </c>
      <c r="F719" s="37" t="s">
        <v>19</v>
      </c>
      <c r="G719" s="37" t="s">
        <v>2423</v>
      </c>
      <c r="H719" s="37">
        <v>16.63</v>
      </c>
      <c r="I719" s="37">
        <v>51</v>
      </c>
      <c r="J719" s="37"/>
      <c r="K719" s="37" t="s">
        <v>311</v>
      </c>
      <c r="L719" s="37" t="s">
        <v>198</v>
      </c>
      <c r="M719" s="37" t="str">
        <f t="shared" si="68"/>
        <v>General</v>
      </c>
      <c r="N719" s="37" t="str">
        <f t="shared" si="66"/>
        <v>UPI</v>
      </c>
      <c r="O719" s="37" t="str" cm="1">
        <f t="array" ref="O719">IF(TRIM(N719)="",INDEX($N$2:$N$1500,MATCH(MAX(COUNTIF($N$2:$N$1500,$N$2:$N$1500)),COUNTIF($N$2:$N$1500,$N$2:$N$1500),0)),N719)</f>
        <v>UPI</v>
      </c>
      <c r="P719" s="38" cm="1">
        <f t="array" ref="P719">ROUND(IF(TRIM(H719)="",IFERROR(MEDIAN(IF($M$2:$M$1500=M719,$H$2:$H$1500)),MEDIAN($H$2:$H$1500)),H719),2)</f>
        <v>16.63</v>
      </c>
      <c r="Q719" s="38" t="str">
        <f t="shared" si="69"/>
        <v>0</v>
      </c>
      <c r="R719" s="39" cm="1">
        <f t="array" ref="R719">IF(OR(TRIM(J719)="",TRIM(J719)="-"),MEDIAN(IF($C$2:$C$1218=C719,$J$2:$J$1218)),VALUE(SUBSTITUTE(SUBSTITUTE(SUBSTITUTE(J719,"Rs. ",""),"₹",""),",","")))</f>
        <v>16745.5</v>
      </c>
      <c r="S719" s="40">
        <f t="shared" si="67"/>
        <v>5</v>
      </c>
      <c r="T719" s="41">
        <f t="shared" si="70"/>
        <v>5</v>
      </c>
      <c r="U719" s="42">
        <f t="shared" si="71"/>
        <v>15908</v>
      </c>
    </row>
    <row r="720" spans="1:21" x14ac:dyDescent="0.3">
      <c r="A720" s="37" t="s">
        <v>4107</v>
      </c>
      <c r="B720" s="37" t="s">
        <v>4108</v>
      </c>
      <c r="C720" s="37" t="s">
        <v>2561</v>
      </c>
      <c r="D720" s="37" t="s">
        <v>45</v>
      </c>
      <c r="E720" s="37" t="s">
        <v>46</v>
      </c>
      <c r="F720" s="37" t="s">
        <v>39</v>
      </c>
      <c r="G720" s="37" t="s">
        <v>2435</v>
      </c>
      <c r="H720" s="37">
        <v>10.38</v>
      </c>
      <c r="I720" s="37">
        <v>54</v>
      </c>
      <c r="J720" s="37" t="s">
        <v>4109</v>
      </c>
      <c r="K720" s="37" t="s">
        <v>115</v>
      </c>
      <c r="L720" s="37">
        <v>0.05</v>
      </c>
      <c r="M720" s="37" t="str">
        <f t="shared" si="68"/>
        <v>General</v>
      </c>
      <c r="N720" s="37" t="str">
        <f t="shared" si="66"/>
        <v>Cash</v>
      </c>
      <c r="O720" s="37" t="str" cm="1">
        <f t="array" ref="O720">IF(TRIM(N720)="",INDEX($N$2:$N$1500,MATCH(MAX(COUNTIF($N$2:$N$1500,$N$2:$N$1500)),COUNTIF($N$2:$N$1500,$N$2:$N$1500),0)),N720)</f>
        <v>Cash</v>
      </c>
      <c r="P720" s="38" cm="1">
        <f t="array" ref="P720">ROUND(IF(TRIM(H720)="",IFERROR(MEDIAN(IF($M$2:$M$1500=M720,$H$2:$H$1500)),MEDIAN($H$2:$H$1500)),H720),2)</f>
        <v>10.38</v>
      </c>
      <c r="Q720" s="38" t="str">
        <f t="shared" si="69"/>
        <v>0</v>
      </c>
      <c r="R720" s="39" cm="1">
        <f t="array" ref="R720">IF(OR(TRIM(J720)="",TRIM(J720)="-"),MEDIAN(IF($C$2:$C$1218=C720,$J$2:$J$1218)),VALUE(SUBSTITUTE(SUBSTITUTE(SUBSTITUTE(J720,"Rs. ",""),"₹",""),",","")))</f>
        <v>5966</v>
      </c>
      <c r="S720" s="40">
        <f t="shared" si="67"/>
        <v>0.05</v>
      </c>
      <c r="T720" s="41">
        <f t="shared" si="70"/>
        <v>0</v>
      </c>
      <c r="U720" s="42">
        <f t="shared" si="71"/>
        <v>5966</v>
      </c>
    </row>
    <row r="721" spans="1:21" x14ac:dyDescent="0.3">
      <c r="A721" s="37" t="s">
        <v>4110</v>
      </c>
      <c r="B721" s="37" t="s">
        <v>2489</v>
      </c>
      <c r="C721" s="37" t="s">
        <v>2490</v>
      </c>
      <c r="D721" s="37" t="s">
        <v>14</v>
      </c>
      <c r="E721" s="37" t="s">
        <v>60</v>
      </c>
      <c r="F721" s="37" t="s">
        <v>19</v>
      </c>
      <c r="G721" s="37" t="s">
        <v>2455</v>
      </c>
      <c r="H721" s="37">
        <v>18.91</v>
      </c>
      <c r="I721" s="37">
        <v>26</v>
      </c>
      <c r="J721" s="37" t="s">
        <v>4111</v>
      </c>
      <c r="K721" s="37" t="s">
        <v>83</v>
      </c>
      <c r="L721" s="37">
        <v>5</v>
      </c>
      <c r="M721" s="37" t="str">
        <f t="shared" si="68"/>
        <v>General</v>
      </c>
      <c r="N721" s="37" t="str">
        <f t="shared" si="66"/>
        <v>Debit Card</v>
      </c>
      <c r="O721" s="37" t="str" cm="1">
        <f t="array" ref="O721">IF(TRIM(N721)="",INDEX($N$2:$N$1500,MATCH(MAX(COUNTIF($N$2:$N$1500,$N$2:$N$1500)),COUNTIF($N$2:$N$1500,$N$2:$N$1500),0)),N721)</f>
        <v>Debit Card</v>
      </c>
      <c r="P721" s="38" cm="1">
        <f t="array" ref="P721">ROUND(IF(TRIM(H721)="",IFERROR(MEDIAN(IF($M$2:$M$1500=M721,$H$2:$H$1500)),MEDIAN($H$2:$H$1500)),H721),2)</f>
        <v>18.91</v>
      </c>
      <c r="Q721" s="38" t="str">
        <f t="shared" si="69"/>
        <v>1</v>
      </c>
      <c r="R721" s="39" cm="1">
        <f t="array" ref="R721">IF(OR(TRIM(J721)="",TRIM(J721)="-"),MEDIAN(IF($C$2:$C$1218=C721,$J$2:$J$1218)),VALUE(SUBSTITUTE(SUBSTITUTE(SUBSTITUTE(J721,"Rs. ",""),"₹",""),",","")))</f>
        <v>6610</v>
      </c>
      <c r="S721" s="40">
        <f t="shared" si="67"/>
        <v>5</v>
      </c>
      <c r="T721" s="41">
        <f t="shared" si="70"/>
        <v>5</v>
      </c>
      <c r="U721" s="42">
        <f t="shared" si="71"/>
        <v>6280</v>
      </c>
    </row>
    <row r="722" spans="1:21" x14ac:dyDescent="0.3">
      <c r="A722" s="37" t="s">
        <v>4112</v>
      </c>
      <c r="B722" s="37" t="s">
        <v>2966</v>
      </c>
      <c r="C722" s="37" t="s">
        <v>2422</v>
      </c>
      <c r="D722" s="37" t="s">
        <v>25</v>
      </c>
      <c r="E722" s="37" t="s">
        <v>54</v>
      </c>
      <c r="F722" s="37" t="s">
        <v>62</v>
      </c>
      <c r="G722" s="37"/>
      <c r="H722" s="37">
        <v>17.899999999999999</v>
      </c>
      <c r="I722" s="37">
        <v>45</v>
      </c>
      <c r="J722" s="37">
        <v>43291</v>
      </c>
      <c r="K722" s="37" t="s">
        <v>236</v>
      </c>
      <c r="L722" s="37" t="s">
        <v>198</v>
      </c>
      <c r="M722" s="37" t="str">
        <f t="shared" si="68"/>
        <v>ICU</v>
      </c>
      <c r="N722" s="37" t="str">
        <f t="shared" si="66"/>
        <v>Debit Card</v>
      </c>
      <c r="O722" s="37" t="str" cm="1">
        <f t="array" ref="O722">IF(TRIM(N722)="",INDEX($N$2:$N$1500,MATCH(MAX(COUNTIF($N$2:$N$1500,$N$2:$N$1500)),COUNTIF($N$2:$N$1500,$N$2:$N$1500),0)),N722)</f>
        <v>Debit Card</v>
      </c>
      <c r="P722" s="38" cm="1">
        <f t="array" ref="P722">ROUND(IF(TRIM(H722)="",IFERROR(MEDIAN(IF($M$2:$M$1500=M722,$H$2:$H$1500)),MEDIAN($H$2:$H$1500)),H722),2)</f>
        <v>17.899999999999999</v>
      </c>
      <c r="Q722" s="38" t="str">
        <f t="shared" si="69"/>
        <v>Unknown</v>
      </c>
      <c r="R722" s="39" cm="1">
        <f t="array" ref="R722">IF(OR(TRIM(J722)="",TRIM(J722)="-"),MEDIAN(IF($C$2:$C$1218=C722,$J$2:$J$1218)),VALUE(SUBSTITUTE(SUBSTITUTE(SUBSTITUTE(J722,"Rs. ",""),"₹",""),",","")))</f>
        <v>43291</v>
      </c>
      <c r="S722" s="40">
        <f t="shared" si="67"/>
        <v>5</v>
      </c>
      <c r="T722" s="41">
        <f t="shared" si="70"/>
        <v>5</v>
      </c>
      <c r="U722" s="42">
        <f t="shared" si="71"/>
        <v>41126</v>
      </c>
    </row>
    <row r="723" spans="1:21" x14ac:dyDescent="0.3">
      <c r="A723" s="37" t="s">
        <v>4113</v>
      </c>
      <c r="B723" s="37" t="s">
        <v>4114</v>
      </c>
      <c r="C723" s="37" t="s">
        <v>2469</v>
      </c>
      <c r="D723" s="37" t="s">
        <v>14</v>
      </c>
      <c r="E723" s="37" t="s">
        <v>60</v>
      </c>
      <c r="F723" s="37" t="s">
        <v>19</v>
      </c>
      <c r="G723" s="37" t="s">
        <v>2408</v>
      </c>
      <c r="H723" s="37">
        <v>8.3699999999999992</v>
      </c>
      <c r="I723" s="37">
        <v>5</v>
      </c>
      <c r="J723" s="37">
        <v>18127</v>
      </c>
      <c r="K723" s="37" t="s">
        <v>311</v>
      </c>
      <c r="L723" s="37" t="s">
        <v>64</v>
      </c>
      <c r="M723" s="37" t="str">
        <f t="shared" si="68"/>
        <v>General</v>
      </c>
      <c r="N723" s="37" t="str">
        <f t="shared" si="66"/>
        <v>UPI</v>
      </c>
      <c r="O723" s="37" t="str" cm="1">
        <f t="array" ref="O723">IF(TRIM(N723)="",INDEX($N$2:$N$1500,MATCH(MAX(COUNTIF($N$2:$N$1500,$N$2:$N$1500)),COUNTIF($N$2:$N$1500,$N$2:$N$1500),0)),N723)</f>
        <v>UPI</v>
      </c>
      <c r="P723" s="38" cm="1">
        <f t="array" ref="P723">ROUND(IF(TRIM(H723)="",IFERROR(MEDIAN(IF($M$2:$M$1500=M723,$H$2:$H$1500)),MEDIAN($H$2:$H$1500)),H723),2)</f>
        <v>8.3699999999999992</v>
      </c>
      <c r="Q723" s="38" t="str">
        <f t="shared" si="69"/>
        <v>0</v>
      </c>
      <c r="R723" s="39" cm="1">
        <f t="array" ref="R723">IF(OR(TRIM(J723)="",TRIM(J723)="-"),MEDIAN(IF($C$2:$C$1218=C723,$J$2:$J$1218)),VALUE(SUBSTITUTE(SUBSTITUTE(SUBSTITUTE(J723,"Rs. ",""),"₹",""),",","")))</f>
        <v>18127</v>
      </c>
      <c r="S723" s="40" t="str">
        <f t="shared" si="67"/>
        <v>NA</v>
      </c>
      <c r="T723" s="41">
        <f t="shared" si="70"/>
        <v>2</v>
      </c>
      <c r="U723" s="42">
        <f t="shared" si="71"/>
        <v>17764</v>
      </c>
    </row>
    <row r="724" spans="1:21" x14ac:dyDescent="0.3">
      <c r="A724" s="37" t="s">
        <v>4115</v>
      </c>
      <c r="B724" s="37" t="s">
        <v>3533</v>
      </c>
      <c r="C724" s="37" t="s">
        <v>2514</v>
      </c>
      <c r="D724" s="37" t="s">
        <v>117</v>
      </c>
      <c r="E724" s="37" t="s">
        <v>182</v>
      </c>
      <c r="F724" s="37" t="s">
        <v>39</v>
      </c>
      <c r="G724" s="37" t="s">
        <v>2455</v>
      </c>
      <c r="H724" s="37">
        <v>1.92</v>
      </c>
      <c r="I724" s="37">
        <v>46</v>
      </c>
      <c r="J724" s="37" t="s">
        <v>4116</v>
      </c>
      <c r="K724" s="37" t="s">
        <v>115</v>
      </c>
      <c r="L724" s="37">
        <v>0</v>
      </c>
      <c r="M724" s="37" t="str">
        <f t="shared" si="68"/>
        <v>General</v>
      </c>
      <c r="N724" s="37" t="str">
        <f t="shared" si="66"/>
        <v>Cash</v>
      </c>
      <c r="O724" s="37" t="str" cm="1">
        <f t="array" ref="O724">IF(TRIM(N724)="",INDEX($N$2:$N$1500,MATCH(MAX(COUNTIF($N$2:$N$1500,$N$2:$N$1500)),COUNTIF($N$2:$N$1500,$N$2:$N$1500),0)),N724)</f>
        <v>Cash</v>
      </c>
      <c r="P724" s="38" cm="1">
        <f t="array" ref="P724">ROUND(IF(TRIM(H724)="",IFERROR(MEDIAN(IF($M$2:$M$1500=M724,$H$2:$H$1500)),MEDIAN($H$2:$H$1500)),H724),2)</f>
        <v>1.92</v>
      </c>
      <c r="Q724" s="38" t="str">
        <f t="shared" si="69"/>
        <v>1</v>
      </c>
      <c r="R724" s="39" cm="1">
        <f t="array" ref="R724">IF(OR(TRIM(J724)="",TRIM(J724)="-"),MEDIAN(IF($C$2:$C$1218=C724,$J$2:$J$1218)),VALUE(SUBSTITUTE(SUBSTITUTE(SUBSTITUTE(J724,"Rs. ",""),"₹",""),",","")))</f>
        <v>10338</v>
      </c>
      <c r="S724" s="40">
        <f t="shared" si="67"/>
        <v>0</v>
      </c>
      <c r="T724" s="41">
        <f t="shared" si="70"/>
        <v>0</v>
      </c>
      <c r="U724" s="42">
        <f t="shared" si="71"/>
        <v>10338</v>
      </c>
    </row>
    <row r="725" spans="1:21" x14ac:dyDescent="0.3">
      <c r="A725" s="37" t="s">
        <v>4117</v>
      </c>
      <c r="B725" s="37" t="s">
        <v>4118</v>
      </c>
      <c r="C725" s="37" t="s">
        <v>2466</v>
      </c>
      <c r="D725" s="37" t="s">
        <v>45</v>
      </c>
      <c r="E725" s="37" t="s">
        <v>46</v>
      </c>
      <c r="F725" s="37" t="s">
        <v>30</v>
      </c>
      <c r="G725" s="37" t="s">
        <v>2455</v>
      </c>
      <c r="H725" s="37">
        <v>1.2</v>
      </c>
      <c r="I725" s="37">
        <v>49</v>
      </c>
      <c r="J725" s="37">
        <v>4119</v>
      </c>
      <c r="K725" s="37" t="s">
        <v>23</v>
      </c>
      <c r="L725" s="37" t="s">
        <v>198</v>
      </c>
      <c r="M725" s="37" t="str">
        <f t="shared" si="68"/>
        <v>General</v>
      </c>
      <c r="N725" s="37" t="str">
        <f t="shared" si="66"/>
        <v>Credit Card</v>
      </c>
      <c r="O725" s="37" t="str" cm="1">
        <f t="array" ref="O725">IF(TRIM(N725)="",INDEX($N$2:$N$1500,MATCH(MAX(COUNTIF($N$2:$N$1500,$N$2:$N$1500)),COUNTIF($N$2:$N$1500,$N$2:$N$1500),0)),N725)</f>
        <v>Credit Card</v>
      </c>
      <c r="P725" s="38" cm="1">
        <f t="array" ref="P725">ROUND(IF(TRIM(H725)="",IFERROR(MEDIAN(IF($M$2:$M$1500=M725,$H$2:$H$1500)),MEDIAN($H$2:$H$1500)),H725),2)</f>
        <v>1.2</v>
      </c>
      <c r="Q725" s="38" t="str">
        <f t="shared" si="69"/>
        <v>1</v>
      </c>
      <c r="R725" s="39" cm="1">
        <f t="array" ref="R725">IF(OR(TRIM(J725)="",TRIM(J725)="-"),MEDIAN(IF($C$2:$C$1218=C725,$J$2:$J$1218)),VALUE(SUBSTITUTE(SUBSTITUTE(SUBSTITUTE(J725,"Rs. ",""),"₹",""),",","")))</f>
        <v>4119</v>
      </c>
      <c r="S725" s="40">
        <f t="shared" si="67"/>
        <v>5</v>
      </c>
      <c r="T725" s="41">
        <f t="shared" si="70"/>
        <v>5</v>
      </c>
      <c r="U725" s="42">
        <f t="shared" si="71"/>
        <v>3913</v>
      </c>
    </row>
    <row r="726" spans="1:21" x14ac:dyDescent="0.3">
      <c r="A726" s="37" t="s">
        <v>4119</v>
      </c>
      <c r="B726" s="37" t="s">
        <v>4120</v>
      </c>
      <c r="C726" s="37" t="s">
        <v>2514</v>
      </c>
      <c r="D726" s="37" t="s">
        <v>45</v>
      </c>
      <c r="E726" s="37" t="s">
        <v>46</v>
      </c>
      <c r="F726" s="37" t="s">
        <v>49</v>
      </c>
      <c r="G726" s="37" t="s">
        <v>2408</v>
      </c>
      <c r="H726" s="37">
        <v>16.91</v>
      </c>
      <c r="I726" s="37">
        <v>44</v>
      </c>
      <c r="J726" s="37" t="s">
        <v>4121</v>
      </c>
      <c r="K726" s="37" t="s">
        <v>311</v>
      </c>
      <c r="L726" s="37" t="s">
        <v>64</v>
      </c>
      <c r="M726" s="37" t="str">
        <f t="shared" si="68"/>
        <v>General</v>
      </c>
      <c r="N726" s="37" t="str">
        <f t="shared" si="66"/>
        <v>UPI</v>
      </c>
      <c r="O726" s="37" t="str" cm="1">
        <f t="array" ref="O726">IF(TRIM(N726)="",INDEX($N$2:$N$1500,MATCH(MAX(COUNTIF($N$2:$N$1500,$N$2:$N$1500)),COUNTIF($N$2:$N$1500,$N$2:$N$1500),0)),N726)</f>
        <v>UPI</v>
      </c>
      <c r="P726" s="38" cm="1">
        <f t="array" ref="P726">ROUND(IF(TRIM(H726)="",IFERROR(MEDIAN(IF($M$2:$M$1500=M726,$H$2:$H$1500)),MEDIAN($H$2:$H$1500)),H726),2)</f>
        <v>16.91</v>
      </c>
      <c r="Q726" s="38" t="str">
        <f t="shared" si="69"/>
        <v>0</v>
      </c>
      <c r="R726" s="39" cm="1">
        <f t="array" ref="R726">IF(OR(TRIM(J726)="",TRIM(J726)="-"),MEDIAN(IF($C$2:$C$1218=C726,$J$2:$J$1218)),VALUE(SUBSTITUTE(SUBSTITUTE(SUBSTITUTE(J726,"Rs. ",""),"₹",""),",","")))</f>
        <v>3032</v>
      </c>
      <c r="S726" s="40" t="str">
        <f t="shared" si="67"/>
        <v>NA</v>
      </c>
      <c r="T726" s="41">
        <f t="shared" si="70"/>
        <v>2</v>
      </c>
      <c r="U726" s="42">
        <f t="shared" si="71"/>
        <v>2971</v>
      </c>
    </row>
    <row r="727" spans="1:21" x14ac:dyDescent="0.3">
      <c r="A727" s="37" t="s">
        <v>4122</v>
      </c>
      <c r="B727" s="37" t="s">
        <v>2599</v>
      </c>
      <c r="C727" s="37" t="s">
        <v>2577</v>
      </c>
      <c r="D727" s="37" t="s">
        <v>117</v>
      </c>
      <c r="E727" s="37" t="s">
        <v>118</v>
      </c>
      <c r="F727" s="37" t="s">
        <v>49</v>
      </c>
      <c r="G727" s="37" t="s">
        <v>2412</v>
      </c>
      <c r="H727" s="37">
        <v>7.28</v>
      </c>
      <c r="I727" s="37">
        <v>20</v>
      </c>
      <c r="J727" s="37">
        <v>4576</v>
      </c>
      <c r="K727" s="37" t="s">
        <v>42</v>
      </c>
      <c r="L727" s="37" t="s">
        <v>240</v>
      </c>
      <c r="M727" s="37" t="str">
        <f t="shared" si="68"/>
        <v>General</v>
      </c>
      <c r="N727" s="37" t="str">
        <f t="shared" si="66"/>
        <v>Insurance</v>
      </c>
      <c r="O727" s="37" t="str" cm="1">
        <f t="array" ref="O727">IF(TRIM(N727)="",INDEX($N$2:$N$1500,MATCH(MAX(COUNTIF($N$2:$N$1500,$N$2:$N$1500)),COUNTIF($N$2:$N$1500,$N$2:$N$1500),0)),N727)</f>
        <v>Insurance</v>
      </c>
      <c r="P727" s="38" cm="1">
        <f t="array" ref="P727">ROUND(IF(TRIM(H727)="",IFERROR(MEDIAN(IF($M$2:$M$1500=M727,$H$2:$H$1500)),MEDIAN($H$2:$H$1500)),H727),2)</f>
        <v>7.28</v>
      </c>
      <c r="Q727" s="38" t="str">
        <f t="shared" si="69"/>
        <v>1</v>
      </c>
      <c r="R727" s="39" cm="1">
        <f t="array" ref="R727">IF(OR(TRIM(J727)="",TRIM(J727)="-"),MEDIAN(IF($C$2:$C$1218=C727,$J$2:$J$1218)),VALUE(SUBSTITUTE(SUBSTITUTE(SUBSTITUTE(J727,"Rs. ",""),"₹",""),",","")))</f>
        <v>4576</v>
      </c>
      <c r="S727" s="40">
        <f t="shared" si="67"/>
        <v>12</v>
      </c>
      <c r="T727" s="41">
        <f t="shared" si="70"/>
        <v>12</v>
      </c>
      <c r="U727" s="42">
        <f t="shared" si="71"/>
        <v>4027</v>
      </c>
    </row>
    <row r="728" spans="1:21" x14ac:dyDescent="0.3">
      <c r="A728" s="37" t="s">
        <v>4123</v>
      </c>
      <c r="B728" s="37" t="s">
        <v>4124</v>
      </c>
      <c r="C728" s="37" t="s">
        <v>2514</v>
      </c>
      <c r="D728" s="37" t="s">
        <v>25</v>
      </c>
      <c r="E728" s="37" t="s">
        <v>26</v>
      </c>
      <c r="F728" s="37" t="s">
        <v>39</v>
      </c>
      <c r="G728" s="37" t="s">
        <v>2418</v>
      </c>
      <c r="H728" s="37"/>
      <c r="I728" s="37">
        <v>54</v>
      </c>
      <c r="J728" s="37">
        <v>17126</v>
      </c>
      <c r="K728" s="37" t="s">
        <v>211</v>
      </c>
      <c r="L728" s="37" t="s">
        <v>76</v>
      </c>
      <c r="M728" s="37" t="str">
        <f t="shared" si="68"/>
        <v>General</v>
      </c>
      <c r="N728" s="37" t="str">
        <f t="shared" si="66"/>
        <v>Credit Card</v>
      </c>
      <c r="O728" s="37" t="str" cm="1">
        <f t="array" ref="O728">IF(TRIM(N728)="",INDEX($N$2:$N$1500,MATCH(MAX(COUNTIF($N$2:$N$1500,$N$2:$N$1500)),COUNTIF($N$2:$N$1500,$N$2:$N$1500),0)),N728)</f>
        <v>Credit Card</v>
      </c>
      <c r="P728" s="38" cm="1">
        <f t="array" ref="P728">ROUND(IF(TRIM(H728)="",IFERROR(MEDIAN(IF($M$2:$M$1500=M728,$H$2:$H$1500)),MEDIAN($H$2:$H$1500)),H728),2)</f>
        <v>12.02</v>
      </c>
      <c r="Q728" s="38" t="str">
        <f t="shared" si="69"/>
        <v>1</v>
      </c>
      <c r="R728" s="39" cm="1">
        <f t="array" ref="R728">IF(OR(TRIM(J728)="",TRIM(J728)="-"),MEDIAN(IF($C$2:$C$1218=C728,$J$2:$J$1218)),VALUE(SUBSTITUTE(SUBSTITUTE(SUBSTITUTE(J728,"Rs. ",""),"₹",""),",","")))</f>
        <v>17126</v>
      </c>
      <c r="S728" s="40">
        <f t="shared" si="67"/>
        <v>10</v>
      </c>
      <c r="T728" s="41">
        <f t="shared" si="70"/>
        <v>10</v>
      </c>
      <c r="U728" s="42">
        <f t="shared" si="71"/>
        <v>15413</v>
      </c>
    </row>
    <row r="729" spans="1:21" x14ac:dyDescent="0.3">
      <c r="A729" s="37" t="s">
        <v>4125</v>
      </c>
      <c r="B729" s="37" t="s">
        <v>4126</v>
      </c>
      <c r="C729" s="37" t="s">
        <v>2730</v>
      </c>
      <c r="D729" s="37" t="s">
        <v>78</v>
      </c>
      <c r="E729" s="37" t="s">
        <v>203</v>
      </c>
      <c r="F729" s="37" t="s">
        <v>30</v>
      </c>
      <c r="G729" s="37" t="s">
        <v>2435</v>
      </c>
      <c r="H729" s="37">
        <v>15.4</v>
      </c>
      <c r="I729" s="37">
        <v>35</v>
      </c>
      <c r="J729" s="37" t="s">
        <v>4127</v>
      </c>
      <c r="K729" s="37" t="s">
        <v>311</v>
      </c>
      <c r="L729" s="37" t="s">
        <v>76</v>
      </c>
      <c r="M729" s="37" t="str">
        <f t="shared" si="68"/>
        <v>General</v>
      </c>
      <c r="N729" s="37" t="str">
        <f t="shared" si="66"/>
        <v>UPI</v>
      </c>
      <c r="O729" s="37" t="str" cm="1">
        <f t="array" ref="O729">IF(TRIM(N729)="",INDEX($N$2:$N$1500,MATCH(MAX(COUNTIF($N$2:$N$1500,$N$2:$N$1500)),COUNTIF($N$2:$N$1500,$N$2:$N$1500),0)),N729)</f>
        <v>UPI</v>
      </c>
      <c r="P729" s="38" cm="1">
        <f t="array" ref="P729">ROUND(IF(TRIM(H729)="",IFERROR(MEDIAN(IF($M$2:$M$1500=M729,$H$2:$H$1500)),MEDIAN($H$2:$H$1500)),H729),2)</f>
        <v>15.4</v>
      </c>
      <c r="Q729" s="38" t="str">
        <f t="shared" si="69"/>
        <v>0</v>
      </c>
      <c r="R729" s="39" cm="1">
        <f t="array" ref="R729">IF(OR(TRIM(J729)="",TRIM(J729)="-"),MEDIAN(IF($C$2:$C$1218=C729,$J$2:$J$1218)),VALUE(SUBSTITUTE(SUBSTITUTE(SUBSTITUTE(J729,"Rs. ",""),"₹",""),",","")))</f>
        <v>11226</v>
      </c>
      <c r="S729" s="40">
        <f t="shared" si="67"/>
        <v>10</v>
      </c>
      <c r="T729" s="41">
        <f t="shared" si="70"/>
        <v>10</v>
      </c>
      <c r="U729" s="42">
        <f t="shared" si="71"/>
        <v>10103</v>
      </c>
    </row>
    <row r="730" spans="1:21" x14ac:dyDescent="0.3">
      <c r="A730" s="37" t="s">
        <v>4128</v>
      </c>
      <c r="B730" s="37" t="s">
        <v>3550</v>
      </c>
      <c r="C730" s="37" t="s">
        <v>2629</v>
      </c>
      <c r="D730" s="37" t="s">
        <v>14</v>
      </c>
      <c r="E730" s="37" t="s">
        <v>60</v>
      </c>
      <c r="F730" s="37" t="s">
        <v>19</v>
      </c>
      <c r="G730" s="37" t="s">
        <v>2418</v>
      </c>
      <c r="H730" s="37">
        <v>3.63</v>
      </c>
      <c r="I730" s="37">
        <v>46</v>
      </c>
      <c r="J730" s="37">
        <v>18661</v>
      </c>
      <c r="K730" s="37" t="s">
        <v>58</v>
      </c>
      <c r="L730" s="37">
        <v>5</v>
      </c>
      <c r="M730" s="37" t="str">
        <f t="shared" si="68"/>
        <v>General</v>
      </c>
      <c r="N730" s="37" t="str">
        <f t="shared" si="66"/>
        <v>UPI</v>
      </c>
      <c r="O730" s="37" t="str" cm="1">
        <f t="array" ref="O730">IF(TRIM(N730)="",INDEX($N$2:$N$1500,MATCH(MAX(COUNTIF($N$2:$N$1500,$N$2:$N$1500)),COUNTIF($N$2:$N$1500,$N$2:$N$1500),0)),N730)</f>
        <v>UPI</v>
      </c>
      <c r="P730" s="38" cm="1">
        <f t="array" ref="P730">ROUND(IF(TRIM(H730)="",IFERROR(MEDIAN(IF($M$2:$M$1500=M730,$H$2:$H$1500)),MEDIAN($H$2:$H$1500)),H730),2)</f>
        <v>3.63</v>
      </c>
      <c r="Q730" s="38" t="str">
        <f t="shared" si="69"/>
        <v>1</v>
      </c>
      <c r="R730" s="39" cm="1">
        <f t="array" ref="R730">IF(OR(TRIM(J730)="",TRIM(J730)="-"),MEDIAN(IF($C$2:$C$1218=C730,$J$2:$J$1218)),VALUE(SUBSTITUTE(SUBSTITUTE(SUBSTITUTE(J730,"Rs. ",""),"₹",""),",","")))</f>
        <v>18661</v>
      </c>
      <c r="S730" s="40">
        <f t="shared" si="67"/>
        <v>5</v>
      </c>
      <c r="T730" s="41">
        <f t="shared" si="70"/>
        <v>5</v>
      </c>
      <c r="U730" s="42">
        <f t="shared" si="71"/>
        <v>17728</v>
      </c>
    </row>
    <row r="731" spans="1:21" x14ac:dyDescent="0.3">
      <c r="A731" s="37" t="s">
        <v>4129</v>
      </c>
      <c r="B731" s="37" t="s">
        <v>3764</v>
      </c>
      <c r="C731" s="37" t="s">
        <v>2415</v>
      </c>
      <c r="D731" s="37" t="s">
        <v>25</v>
      </c>
      <c r="E731" s="37" t="s">
        <v>54</v>
      </c>
      <c r="F731" s="37" t="s">
        <v>62</v>
      </c>
      <c r="G731" s="37" t="s">
        <v>2435</v>
      </c>
      <c r="H731" s="37"/>
      <c r="I731" s="37">
        <v>57</v>
      </c>
      <c r="J731" s="37">
        <v>40555</v>
      </c>
      <c r="K731" s="37" t="s">
        <v>167</v>
      </c>
      <c r="L731" s="37">
        <v>12</v>
      </c>
      <c r="M731" s="37" t="str">
        <f t="shared" si="68"/>
        <v>ICU</v>
      </c>
      <c r="N731" s="37" t="str">
        <f t="shared" si="66"/>
        <v>Insurance</v>
      </c>
      <c r="O731" s="37" t="str" cm="1">
        <f t="array" ref="O731">IF(TRIM(N731)="",INDEX($N$2:$N$1500,MATCH(MAX(COUNTIF($N$2:$N$1500,$N$2:$N$1500)),COUNTIF($N$2:$N$1500,$N$2:$N$1500),0)),N731)</f>
        <v>Insurance</v>
      </c>
      <c r="P731" s="38" cm="1">
        <f t="array" ref="P731">ROUND(IF(TRIM(H731)="",IFERROR(MEDIAN(IF($M$2:$M$1500=M731,$H$2:$H$1500)),MEDIAN($H$2:$H$1500)),H731),2)</f>
        <v>12.21</v>
      </c>
      <c r="Q731" s="38" t="str">
        <f t="shared" si="69"/>
        <v>0</v>
      </c>
      <c r="R731" s="39" cm="1">
        <f t="array" ref="R731">IF(OR(TRIM(J731)="",TRIM(J731)="-"),MEDIAN(IF($C$2:$C$1218=C731,$J$2:$J$1218)),VALUE(SUBSTITUTE(SUBSTITUTE(SUBSTITUTE(J731,"Rs. ",""),"₹",""),",","")))</f>
        <v>40555</v>
      </c>
      <c r="S731" s="40">
        <f t="shared" si="67"/>
        <v>12</v>
      </c>
      <c r="T731" s="41">
        <f t="shared" si="70"/>
        <v>12</v>
      </c>
      <c r="U731" s="42">
        <f t="shared" si="71"/>
        <v>35688</v>
      </c>
    </row>
    <row r="732" spans="1:21" x14ac:dyDescent="0.3">
      <c r="A732" s="37" t="s">
        <v>4130</v>
      </c>
      <c r="B732" s="37" t="s">
        <v>2462</v>
      </c>
      <c r="C732" s="37" t="s">
        <v>2463</v>
      </c>
      <c r="D732" s="37" t="s">
        <v>117</v>
      </c>
      <c r="E732" s="37" t="s">
        <v>118</v>
      </c>
      <c r="F732" s="37" t="s">
        <v>49</v>
      </c>
      <c r="G732" s="37" t="s">
        <v>2418</v>
      </c>
      <c r="H732" s="37">
        <v>14.38</v>
      </c>
      <c r="I732" s="37">
        <v>56</v>
      </c>
      <c r="J732" s="37" t="s">
        <v>4131</v>
      </c>
      <c r="K732" s="37" t="s">
        <v>87</v>
      </c>
      <c r="L732" s="37">
        <v>0</v>
      </c>
      <c r="M732" s="37" t="str">
        <f t="shared" si="68"/>
        <v>General</v>
      </c>
      <c r="N732" s="37" t="str">
        <f t="shared" si="66"/>
        <v>Credit Card</v>
      </c>
      <c r="O732" s="37" t="str" cm="1">
        <f t="array" ref="O732">IF(TRIM(N732)="",INDEX($N$2:$N$1500,MATCH(MAX(COUNTIF($N$2:$N$1500,$N$2:$N$1500)),COUNTIF($N$2:$N$1500,$N$2:$N$1500),0)),N732)</f>
        <v>Credit Card</v>
      </c>
      <c r="P732" s="38" cm="1">
        <f t="array" ref="P732">ROUND(IF(TRIM(H732)="",IFERROR(MEDIAN(IF($M$2:$M$1500=M732,$H$2:$H$1500)),MEDIAN($H$2:$H$1500)),H732),2)</f>
        <v>14.38</v>
      </c>
      <c r="Q732" s="38" t="str">
        <f t="shared" si="69"/>
        <v>1</v>
      </c>
      <c r="R732" s="39" cm="1">
        <f t="array" ref="R732">IF(OR(TRIM(J732)="",TRIM(J732)="-"),MEDIAN(IF($C$2:$C$1218=C732,$J$2:$J$1218)),VALUE(SUBSTITUTE(SUBSTITUTE(SUBSTITUTE(J732,"Rs. ",""),"₹",""),",","")))</f>
        <v>16286</v>
      </c>
      <c r="S732" s="40">
        <f t="shared" si="67"/>
        <v>0</v>
      </c>
      <c r="T732" s="41">
        <f t="shared" si="70"/>
        <v>0</v>
      </c>
      <c r="U732" s="42">
        <f t="shared" si="71"/>
        <v>16286</v>
      </c>
    </row>
    <row r="733" spans="1:21" x14ac:dyDescent="0.3">
      <c r="A733" s="37" t="s">
        <v>4132</v>
      </c>
      <c r="B733" s="37" t="s">
        <v>4133</v>
      </c>
      <c r="C733" s="37" t="s">
        <v>2629</v>
      </c>
      <c r="D733" s="37" t="s">
        <v>117</v>
      </c>
      <c r="E733" s="37" t="s">
        <v>127</v>
      </c>
      <c r="F733" s="37" t="s">
        <v>49</v>
      </c>
      <c r="G733" s="37" t="s">
        <v>2418</v>
      </c>
      <c r="H733" s="37">
        <v>13.94</v>
      </c>
      <c r="I733" s="37">
        <v>17</v>
      </c>
      <c r="J733" s="37" t="s">
        <v>4134</v>
      </c>
      <c r="K733" s="37" t="s">
        <v>72</v>
      </c>
      <c r="L733" s="37">
        <v>0.05</v>
      </c>
      <c r="M733" s="37" t="str">
        <f t="shared" si="68"/>
        <v>General</v>
      </c>
      <c r="N733" s="37" t="str">
        <f t="shared" si="66"/>
        <v>Cash</v>
      </c>
      <c r="O733" s="37" t="str" cm="1">
        <f t="array" ref="O733">IF(TRIM(N733)="",INDEX($N$2:$N$1500,MATCH(MAX(COUNTIF($N$2:$N$1500,$N$2:$N$1500)),COUNTIF($N$2:$N$1500,$N$2:$N$1500),0)),N733)</f>
        <v>Cash</v>
      </c>
      <c r="P733" s="38" cm="1">
        <f t="array" ref="P733">ROUND(IF(TRIM(H733)="",IFERROR(MEDIAN(IF($M$2:$M$1500=M733,$H$2:$H$1500)),MEDIAN($H$2:$H$1500)),H733),2)</f>
        <v>13.94</v>
      </c>
      <c r="Q733" s="38" t="str">
        <f t="shared" si="69"/>
        <v>1</v>
      </c>
      <c r="R733" s="39" cm="1">
        <f t="array" ref="R733">IF(OR(TRIM(J733)="",TRIM(J733)="-"),MEDIAN(IF($C$2:$C$1218=C733,$J$2:$J$1218)),VALUE(SUBSTITUTE(SUBSTITUTE(SUBSTITUTE(J733,"Rs. ",""),"₹",""),",","")))</f>
        <v>8979</v>
      </c>
      <c r="S733" s="40">
        <f t="shared" si="67"/>
        <v>0.05</v>
      </c>
      <c r="T733" s="41">
        <f t="shared" si="70"/>
        <v>0</v>
      </c>
      <c r="U733" s="42">
        <f t="shared" si="71"/>
        <v>8979</v>
      </c>
    </row>
    <row r="734" spans="1:21" x14ac:dyDescent="0.3">
      <c r="A734" s="37" t="s">
        <v>4135</v>
      </c>
      <c r="B734" s="37" t="s">
        <v>3558</v>
      </c>
      <c r="C734" s="37" t="s">
        <v>2481</v>
      </c>
      <c r="D734" s="37" t="s">
        <v>14</v>
      </c>
      <c r="E734" s="37" t="s">
        <v>60</v>
      </c>
      <c r="F734" s="37" t="s">
        <v>19</v>
      </c>
      <c r="G734" s="37" t="s">
        <v>2450</v>
      </c>
      <c r="H734" s="37">
        <v>3.44</v>
      </c>
      <c r="I734" s="37">
        <v>54</v>
      </c>
      <c r="J734" s="37" t="s">
        <v>4136</v>
      </c>
      <c r="K734" s="37" t="s">
        <v>87</v>
      </c>
      <c r="L734" s="37" t="s">
        <v>130</v>
      </c>
      <c r="M734" s="37" t="str">
        <f t="shared" si="68"/>
        <v>General</v>
      </c>
      <c r="N734" s="37" t="str">
        <f t="shared" si="66"/>
        <v>Credit Card</v>
      </c>
      <c r="O734" s="37" t="str" cm="1">
        <f t="array" ref="O734">IF(TRIM(N734)="",INDEX($N$2:$N$1500,MATCH(MAX(COUNTIF($N$2:$N$1500,$N$2:$N$1500)),COUNTIF($N$2:$N$1500,$N$2:$N$1500),0)),N734)</f>
        <v>Credit Card</v>
      </c>
      <c r="P734" s="38" cm="1">
        <f t="array" ref="P734">ROUND(IF(TRIM(H734)="",IFERROR(MEDIAN(IF($M$2:$M$1500=M734,$H$2:$H$1500)),MEDIAN($H$2:$H$1500)),H734),2)</f>
        <v>3.44</v>
      </c>
      <c r="Q734" s="38" t="str">
        <f t="shared" si="69"/>
        <v>1</v>
      </c>
      <c r="R734" s="39" cm="1">
        <f t="array" ref="R734">IF(OR(TRIM(J734)="",TRIM(J734)="-"),MEDIAN(IF($C$2:$C$1218=C734,$J$2:$J$1218)),VALUE(SUBSTITUTE(SUBSTITUTE(SUBSTITUTE(J734,"Rs. ",""),"₹",""),",","")))</f>
        <v>3749</v>
      </c>
      <c r="S734" s="40">
        <f t="shared" si="67"/>
        <v>0</v>
      </c>
      <c r="T734" s="41">
        <f t="shared" si="70"/>
        <v>0</v>
      </c>
      <c r="U734" s="42">
        <f t="shared" si="71"/>
        <v>3749</v>
      </c>
    </row>
    <row r="735" spans="1:21" x14ac:dyDescent="0.3">
      <c r="A735" s="37" t="s">
        <v>4137</v>
      </c>
      <c r="B735" s="37" t="s">
        <v>4138</v>
      </c>
      <c r="C735" s="37" t="s">
        <v>2427</v>
      </c>
      <c r="D735" s="37" t="s">
        <v>14</v>
      </c>
      <c r="E735" s="37" t="s">
        <v>15</v>
      </c>
      <c r="F735" s="37" t="s">
        <v>19</v>
      </c>
      <c r="G735" s="37" t="s">
        <v>2439</v>
      </c>
      <c r="H735" s="37">
        <v>5.67</v>
      </c>
      <c r="I735" s="37">
        <v>9</v>
      </c>
      <c r="J735" s="37" t="s">
        <v>4139</v>
      </c>
      <c r="K735" s="37" t="s">
        <v>34</v>
      </c>
      <c r="L735" s="37">
        <v>0.05</v>
      </c>
      <c r="M735" s="37" t="str">
        <f t="shared" si="68"/>
        <v>General</v>
      </c>
      <c r="N735" s="37" t="str">
        <f t="shared" si="66"/>
        <v>Cash</v>
      </c>
      <c r="O735" s="37" t="str" cm="1">
        <f t="array" ref="O735">IF(TRIM(N735)="",INDEX($N$2:$N$1500,MATCH(MAX(COUNTIF($N$2:$N$1500,$N$2:$N$1500)),COUNTIF($N$2:$N$1500,$N$2:$N$1500),0)),N735)</f>
        <v>Cash</v>
      </c>
      <c r="P735" s="38" cm="1">
        <f t="array" ref="P735">ROUND(IF(TRIM(H735)="",IFERROR(MEDIAN(IF($M$2:$M$1500=M735,$H$2:$H$1500)),MEDIAN($H$2:$H$1500)),H735),2)</f>
        <v>5.67</v>
      </c>
      <c r="Q735" s="38" t="str">
        <f t="shared" si="69"/>
        <v>2</v>
      </c>
      <c r="R735" s="39" cm="1">
        <f t="array" ref="R735">IF(OR(TRIM(J735)="",TRIM(J735)="-"),MEDIAN(IF($C$2:$C$1218=C735,$J$2:$J$1218)),VALUE(SUBSTITUTE(SUBSTITUTE(SUBSTITUTE(J735,"Rs. ",""),"₹",""),",","")))</f>
        <v>17692</v>
      </c>
      <c r="S735" s="40">
        <f t="shared" si="67"/>
        <v>0.05</v>
      </c>
      <c r="T735" s="41">
        <f t="shared" si="70"/>
        <v>0</v>
      </c>
      <c r="U735" s="42">
        <f t="shared" si="71"/>
        <v>17692</v>
      </c>
    </row>
    <row r="736" spans="1:21" x14ac:dyDescent="0.3">
      <c r="A736" s="37" t="s">
        <v>4140</v>
      </c>
      <c r="B736" s="37" t="s">
        <v>4141</v>
      </c>
      <c r="C736" s="37" t="s">
        <v>2431</v>
      </c>
      <c r="D736" s="37" t="s">
        <v>106</v>
      </c>
      <c r="E736" s="37" t="s">
        <v>107</v>
      </c>
      <c r="F736" s="37" t="s">
        <v>101</v>
      </c>
      <c r="G736" s="37" t="s">
        <v>2746</v>
      </c>
      <c r="H736" s="37">
        <v>24.81</v>
      </c>
      <c r="I736" s="37">
        <v>36</v>
      </c>
      <c r="J736" s="37">
        <v>56682</v>
      </c>
      <c r="K736" s="37" t="s">
        <v>211</v>
      </c>
      <c r="L736" s="37" t="s">
        <v>76</v>
      </c>
      <c r="M736" s="37" t="str">
        <f t="shared" si="68"/>
        <v>ICU</v>
      </c>
      <c r="N736" s="37" t="str">
        <f t="shared" si="66"/>
        <v>Credit Card</v>
      </c>
      <c r="O736" s="37" t="str" cm="1">
        <f t="array" ref="O736">IF(TRIM(N736)="",INDEX($N$2:$N$1500,MATCH(MAX(COUNTIF($N$2:$N$1500,$N$2:$N$1500)),COUNTIF($N$2:$N$1500,$N$2:$N$1500),0)),N736)</f>
        <v>Credit Card</v>
      </c>
      <c r="P736" s="38" cm="1">
        <f t="array" ref="P736">ROUND(IF(TRIM(H736)="",IFERROR(MEDIAN(IF($M$2:$M$1500=M736,$H$2:$H$1500)),MEDIAN($H$2:$H$1500)),H736),2)</f>
        <v>24.81</v>
      </c>
      <c r="Q736" s="38" t="str">
        <f t="shared" si="69"/>
        <v>2</v>
      </c>
      <c r="R736" s="39" cm="1">
        <f t="array" ref="R736">IF(OR(TRIM(J736)="",TRIM(J736)="-"),MEDIAN(IF($C$2:$C$1218=C736,$J$2:$J$1218)),VALUE(SUBSTITUTE(SUBSTITUTE(SUBSTITUTE(J736,"Rs. ",""),"₹",""),",","")))</f>
        <v>56682</v>
      </c>
      <c r="S736" s="40">
        <f t="shared" si="67"/>
        <v>10</v>
      </c>
      <c r="T736" s="41">
        <f t="shared" si="70"/>
        <v>10</v>
      </c>
      <c r="U736" s="42">
        <f t="shared" si="71"/>
        <v>51014</v>
      </c>
    </row>
    <row r="737" spans="1:21" x14ac:dyDescent="0.3">
      <c r="A737" s="37" t="s">
        <v>4142</v>
      </c>
      <c r="B737" s="37" t="s">
        <v>4143</v>
      </c>
      <c r="C737" s="37" t="s">
        <v>2473</v>
      </c>
      <c r="D737" s="37" t="s">
        <v>45</v>
      </c>
      <c r="E737" s="37" t="s">
        <v>46</v>
      </c>
      <c r="F737" s="37" t="s">
        <v>101</v>
      </c>
      <c r="G737" s="37" t="s">
        <v>2477</v>
      </c>
      <c r="H737" s="37">
        <v>22.12</v>
      </c>
      <c r="I737" s="37">
        <v>60</v>
      </c>
      <c r="J737" s="37" t="s">
        <v>4144</v>
      </c>
      <c r="K737" s="37" t="s">
        <v>115</v>
      </c>
      <c r="L737" s="37" t="s">
        <v>140</v>
      </c>
      <c r="M737" s="37" t="str">
        <f t="shared" si="68"/>
        <v>ICU</v>
      </c>
      <c r="N737" s="37" t="str">
        <f t="shared" si="66"/>
        <v>Cash</v>
      </c>
      <c r="O737" s="37" t="str" cm="1">
        <f t="array" ref="O737">IF(TRIM(N737)="",INDEX($N$2:$N$1500,MATCH(MAX(COUNTIF($N$2:$N$1500,$N$2:$N$1500)),COUNTIF($N$2:$N$1500,$N$2:$N$1500),0)),N737)</f>
        <v>Cash</v>
      </c>
      <c r="P737" s="38" cm="1">
        <f t="array" ref="P737">ROUND(IF(TRIM(H737)="",IFERROR(MEDIAN(IF($M$2:$M$1500=M737,$H$2:$H$1500)),MEDIAN($H$2:$H$1500)),H737),2)</f>
        <v>22.12</v>
      </c>
      <c r="Q737" s="38" t="str">
        <f t="shared" si="69"/>
        <v>0</v>
      </c>
      <c r="R737" s="39" cm="1">
        <f t="array" ref="R737">IF(OR(TRIM(J737)="",TRIM(J737)="-"),MEDIAN(IF($C$2:$C$1218=C737,$J$2:$J$1218)),VALUE(SUBSTITUTE(SUBSTITUTE(SUBSTITUTE(J737,"Rs. ",""),"₹",""),",","")))</f>
        <v>66958</v>
      </c>
      <c r="S737" s="40" t="str">
        <f t="shared" si="67"/>
        <v>-</v>
      </c>
      <c r="T737" s="41">
        <f t="shared" si="70"/>
        <v>2</v>
      </c>
      <c r="U737" s="42">
        <f t="shared" si="71"/>
        <v>65619</v>
      </c>
    </row>
    <row r="738" spans="1:21" x14ac:dyDescent="0.3">
      <c r="A738" s="37" t="s">
        <v>4145</v>
      </c>
      <c r="B738" s="37" t="s">
        <v>4146</v>
      </c>
      <c r="C738" s="37" t="s">
        <v>2532</v>
      </c>
      <c r="D738" s="37" t="s">
        <v>45</v>
      </c>
      <c r="E738" s="37" t="s">
        <v>46</v>
      </c>
      <c r="F738" s="37" t="s">
        <v>39</v>
      </c>
      <c r="G738" s="37" t="s">
        <v>2423</v>
      </c>
      <c r="H738" s="37">
        <v>11.58</v>
      </c>
      <c r="I738" s="37">
        <v>36</v>
      </c>
      <c r="J738" s="37">
        <v>16909</v>
      </c>
      <c r="K738" s="37" t="s">
        <v>72</v>
      </c>
      <c r="L738" s="37">
        <v>0</v>
      </c>
      <c r="M738" s="37" t="str">
        <f t="shared" si="68"/>
        <v>General</v>
      </c>
      <c r="N738" s="37" t="str">
        <f t="shared" si="66"/>
        <v>Cash</v>
      </c>
      <c r="O738" s="37" t="str" cm="1">
        <f t="array" ref="O738">IF(TRIM(N738)="",INDEX($N$2:$N$1500,MATCH(MAX(COUNTIF($N$2:$N$1500,$N$2:$N$1500)),COUNTIF($N$2:$N$1500,$N$2:$N$1500),0)),N738)</f>
        <v>Cash</v>
      </c>
      <c r="P738" s="38" cm="1">
        <f t="array" ref="P738">ROUND(IF(TRIM(H738)="",IFERROR(MEDIAN(IF($M$2:$M$1500=M738,$H$2:$H$1500)),MEDIAN($H$2:$H$1500)),H738),2)</f>
        <v>11.58</v>
      </c>
      <c r="Q738" s="38" t="str">
        <f t="shared" si="69"/>
        <v>0</v>
      </c>
      <c r="R738" s="39" cm="1">
        <f t="array" ref="R738">IF(OR(TRIM(J738)="",TRIM(J738)="-"),MEDIAN(IF($C$2:$C$1218=C738,$J$2:$J$1218)),VALUE(SUBSTITUTE(SUBSTITUTE(SUBSTITUTE(J738,"Rs. ",""),"₹",""),",","")))</f>
        <v>16909</v>
      </c>
      <c r="S738" s="40">
        <f t="shared" si="67"/>
        <v>0</v>
      </c>
      <c r="T738" s="41">
        <f t="shared" si="70"/>
        <v>0</v>
      </c>
      <c r="U738" s="42">
        <f t="shared" si="71"/>
        <v>16909</v>
      </c>
    </row>
    <row r="739" spans="1:21" x14ac:dyDescent="0.3">
      <c r="A739" s="37" t="s">
        <v>4147</v>
      </c>
      <c r="B739" s="37" t="s">
        <v>4148</v>
      </c>
      <c r="C739" s="37" t="s">
        <v>2532</v>
      </c>
      <c r="D739" s="37" t="s">
        <v>14</v>
      </c>
      <c r="E739" s="37" t="s">
        <v>60</v>
      </c>
      <c r="F739" s="37" t="s">
        <v>19</v>
      </c>
      <c r="G739" s="37" t="s">
        <v>2408</v>
      </c>
      <c r="H739" s="37">
        <v>4.87</v>
      </c>
      <c r="I739" s="37">
        <v>25</v>
      </c>
      <c r="J739" s="37">
        <v>5173</v>
      </c>
      <c r="K739" s="37" t="s">
        <v>115</v>
      </c>
      <c r="L739" s="37" t="s">
        <v>130</v>
      </c>
      <c r="M739" s="37" t="str">
        <f t="shared" si="68"/>
        <v>General</v>
      </c>
      <c r="N739" s="37" t="str">
        <f t="shared" si="66"/>
        <v>Cash</v>
      </c>
      <c r="O739" s="37" t="str" cm="1">
        <f t="array" ref="O739">IF(TRIM(N739)="",INDEX($N$2:$N$1500,MATCH(MAX(COUNTIF($N$2:$N$1500,$N$2:$N$1500)),COUNTIF($N$2:$N$1500,$N$2:$N$1500),0)),N739)</f>
        <v>Cash</v>
      </c>
      <c r="P739" s="38" cm="1">
        <f t="array" ref="P739">ROUND(IF(TRIM(H739)="",IFERROR(MEDIAN(IF($M$2:$M$1500=M739,$H$2:$H$1500)),MEDIAN($H$2:$H$1500)),H739),2)</f>
        <v>4.87</v>
      </c>
      <c r="Q739" s="38" t="str">
        <f t="shared" si="69"/>
        <v>0</v>
      </c>
      <c r="R739" s="39" cm="1">
        <f t="array" ref="R739">IF(OR(TRIM(J739)="",TRIM(J739)="-"),MEDIAN(IF($C$2:$C$1218=C739,$J$2:$J$1218)),VALUE(SUBSTITUTE(SUBSTITUTE(SUBSTITUTE(J739,"Rs. ",""),"₹",""),",","")))</f>
        <v>5173</v>
      </c>
      <c r="S739" s="40">
        <f t="shared" si="67"/>
        <v>0</v>
      </c>
      <c r="T739" s="41">
        <f t="shared" si="70"/>
        <v>0</v>
      </c>
      <c r="U739" s="42">
        <f t="shared" si="71"/>
        <v>5173</v>
      </c>
    </row>
    <row r="740" spans="1:21" x14ac:dyDescent="0.3">
      <c r="A740" s="37" t="s">
        <v>4149</v>
      </c>
      <c r="B740" s="37" t="s">
        <v>2776</v>
      </c>
      <c r="C740" s="37" t="s">
        <v>2504</v>
      </c>
      <c r="D740" s="37" t="s">
        <v>14</v>
      </c>
      <c r="E740" s="37" t="s">
        <v>60</v>
      </c>
      <c r="F740" s="37" t="s">
        <v>19</v>
      </c>
      <c r="G740" s="37" t="s">
        <v>2408</v>
      </c>
      <c r="H740" s="37">
        <v>3.02</v>
      </c>
      <c r="I740" s="37">
        <v>16</v>
      </c>
      <c r="J740" s="37">
        <v>3612</v>
      </c>
      <c r="K740" s="37" t="s">
        <v>211</v>
      </c>
      <c r="L740" s="37" t="s">
        <v>130</v>
      </c>
      <c r="M740" s="37" t="str">
        <f t="shared" si="68"/>
        <v>General</v>
      </c>
      <c r="N740" s="37" t="str">
        <f t="shared" si="66"/>
        <v>Credit Card</v>
      </c>
      <c r="O740" s="37" t="str" cm="1">
        <f t="array" ref="O740">IF(TRIM(N740)="",INDEX($N$2:$N$1500,MATCH(MAX(COUNTIF($N$2:$N$1500,$N$2:$N$1500)),COUNTIF($N$2:$N$1500,$N$2:$N$1500),0)),N740)</f>
        <v>Credit Card</v>
      </c>
      <c r="P740" s="38" cm="1">
        <f t="array" ref="P740">ROUND(IF(TRIM(H740)="",IFERROR(MEDIAN(IF($M$2:$M$1500=M740,$H$2:$H$1500)),MEDIAN($H$2:$H$1500)),H740),2)</f>
        <v>3.02</v>
      </c>
      <c r="Q740" s="38" t="str">
        <f t="shared" si="69"/>
        <v>0</v>
      </c>
      <c r="R740" s="39" cm="1">
        <f t="array" ref="R740">IF(OR(TRIM(J740)="",TRIM(J740)="-"),MEDIAN(IF($C$2:$C$1218=C740,$J$2:$J$1218)),VALUE(SUBSTITUTE(SUBSTITUTE(SUBSTITUTE(J740,"Rs. ",""),"₹",""),",","")))</f>
        <v>3612</v>
      </c>
      <c r="S740" s="40">
        <f t="shared" si="67"/>
        <v>0</v>
      </c>
      <c r="T740" s="41">
        <f t="shared" si="70"/>
        <v>0</v>
      </c>
      <c r="U740" s="42">
        <f t="shared" si="71"/>
        <v>3612</v>
      </c>
    </row>
    <row r="741" spans="1:21" x14ac:dyDescent="0.3">
      <c r="A741" s="37" t="s">
        <v>4150</v>
      </c>
      <c r="B741" s="37" t="s">
        <v>4016</v>
      </c>
      <c r="C741" s="37" t="s">
        <v>2422</v>
      </c>
      <c r="D741" s="37" t="s">
        <v>14</v>
      </c>
      <c r="E741" s="37" t="s">
        <v>60</v>
      </c>
      <c r="F741" s="37" t="s">
        <v>39</v>
      </c>
      <c r="G741" s="37" t="s">
        <v>2450</v>
      </c>
      <c r="H741" s="37">
        <v>23.45</v>
      </c>
      <c r="I741" s="37">
        <v>47</v>
      </c>
      <c r="J741" s="37"/>
      <c r="K741" s="37" t="s">
        <v>115</v>
      </c>
      <c r="L741" s="37">
        <v>0</v>
      </c>
      <c r="M741" s="37" t="str">
        <f t="shared" si="68"/>
        <v>General</v>
      </c>
      <c r="N741" s="37" t="str">
        <f t="shared" si="66"/>
        <v>Cash</v>
      </c>
      <c r="O741" s="37" t="str" cm="1">
        <f t="array" ref="O741">IF(TRIM(N741)="",INDEX($N$2:$N$1500,MATCH(MAX(COUNTIF($N$2:$N$1500,$N$2:$N$1500)),COUNTIF($N$2:$N$1500,$N$2:$N$1500),0)),N741)</f>
        <v>Cash</v>
      </c>
      <c r="P741" s="38" cm="1">
        <f t="array" ref="P741">ROUND(IF(TRIM(H741)="",IFERROR(MEDIAN(IF($M$2:$M$1500=M741,$H$2:$H$1500)),MEDIAN($H$2:$H$1500)),H741),2)</f>
        <v>23.45</v>
      </c>
      <c r="Q741" s="38" t="str">
        <f t="shared" si="69"/>
        <v>1</v>
      </c>
      <c r="R741" s="39" cm="1">
        <f t="array" ref="R741">IF(OR(TRIM(J741)="",TRIM(J741)="-"),MEDIAN(IF($C$2:$C$1218=C741,$J$2:$J$1218)),VALUE(SUBSTITUTE(SUBSTITUTE(SUBSTITUTE(J741,"Rs. ",""),"₹",""),",","")))</f>
        <v>11363</v>
      </c>
      <c r="S741" s="40">
        <f t="shared" si="67"/>
        <v>0</v>
      </c>
      <c r="T741" s="41">
        <f t="shared" si="70"/>
        <v>0</v>
      </c>
      <c r="U741" s="42">
        <f t="shared" si="71"/>
        <v>11363</v>
      </c>
    </row>
    <row r="742" spans="1:21" x14ac:dyDescent="0.3">
      <c r="A742" s="37" t="s">
        <v>4151</v>
      </c>
      <c r="B742" s="37" t="s">
        <v>4152</v>
      </c>
      <c r="C742" s="37" t="s">
        <v>2514</v>
      </c>
      <c r="D742" s="37" t="s">
        <v>117</v>
      </c>
      <c r="E742" s="37" t="s">
        <v>127</v>
      </c>
      <c r="F742" s="37" t="s">
        <v>39</v>
      </c>
      <c r="G742" s="37" t="s">
        <v>2435</v>
      </c>
      <c r="H742" s="37">
        <v>3.34</v>
      </c>
      <c r="I742" s="37">
        <v>17</v>
      </c>
      <c r="J742" s="37">
        <v>18453</v>
      </c>
      <c r="K742" s="37" t="s">
        <v>115</v>
      </c>
      <c r="L742" s="37" t="s">
        <v>76</v>
      </c>
      <c r="M742" s="37" t="str">
        <f t="shared" si="68"/>
        <v>General</v>
      </c>
      <c r="N742" s="37" t="str">
        <f t="shared" si="66"/>
        <v>Cash</v>
      </c>
      <c r="O742" s="37" t="str" cm="1">
        <f t="array" ref="O742">IF(TRIM(N742)="",INDEX($N$2:$N$1500,MATCH(MAX(COUNTIF($N$2:$N$1500,$N$2:$N$1500)),COUNTIF($N$2:$N$1500,$N$2:$N$1500),0)),N742)</f>
        <v>Cash</v>
      </c>
      <c r="P742" s="38" cm="1">
        <f t="array" ref="P742">ROUND(IF(TRIM(H742)="",IFERROR(MEDIAN(IF($M$2:$M$1500=M742,$H$2:$H$1500)),MEDIAN($H$2:$H$1500)),H742),2)</f>
        <v>3.34</v>
      </c>
      <c r="Q742" s="38" t="str">
        <f t="shared" si="69"/>
        <v>0</v>
      </c>
      <c r="R742" s="39" cm="1">
        <f t="array" ref="R742">IF(OR(TRIM(J742)="",TRIM(J742)="-"),MEDIAN(IF($C$2:$C$1218=C742,$J$2:$J$1218)),VALUE(SUBSTITUTE(SUBSTITUTE(SUBSTITUTE(J742,"Rs. ",""),"₹",""),",","")))</f>
        <v>18453</v>
      </c>
      <c r="S742" s="40">
        <f t="shared" si="67"/>
        <v>10</v>
      </c>
      <c r="T742" s="41">
        <f t="shared" si="70"/>
        <v>10</v>
      </c>
      <c r="U742" s="42">
        <f t="shared" si="71"/>
        <v>16608</v>
      </c>
    </row>
    <row r="743" spans="1:21" x14ac:dyDescent="0.3">
      <c r="A743" s="37" t="s">
        <v>4153</v>
      </c>
      <c r="B743" s="37" t="s">
        <v>4154</v>
      </c>
      <c r="C743" s="37" t="s">
        <v>2454</v>
      </c>
      <c r="D743" s="37" t="s">
        <v>117</v>
      </c>
      <c r="E743" s="37" t="s">
        <v>127</v>
      </c>
      <c r="F743" s="37" t="s">
        <v>19</v>
      </c>
      <c r="G743" s="37" t="s">
        <v>2477</v>
      </c>
      <c r="H743" s="37">
        <v>5.27</v>
      </c>
      <c r="I743" s="37">
        <v>40</v>
      </c>
      <c r="J743" s="37">
        <v>8489</v>
      </c>
      <c r="K743" s="37" t="s">
        <v>83</v>
      </c>
      <c r="L743" s="37" t="s">
        <v>130</v>
      </c>
      <c r="M743" s="37" t="str">
        <f t="shared" si="68"/>
        <v>General</v>
      </c>
      <c r="N743" s="37" t="str">
        <f t="shared" si="66"/>
        <v>Debit Card</v>
      </c>
      <c r="O743" s="37" t="str" cm="1">
        <f t="array" ref="O743">IF(TRIM(N743)="",INDEX($N$2:$N$1500,MATCH(MAX(COUNTIF($N$2:$N$1500,$N$2:$N$1500)),COUNTIF($N$2:$N$1500,$N$2:$N$1500),0)),N743)</f>
        <v>Debit Card</v>
      </c>
      <c r="P743" s="38" cm="1">
        <f t="array" ref="P743">ROUND(IF(TRIM(H743)="",IFERROR(MEDIAN(IF($M$2:$M$1500=M743,$H$2:$H$1500)),MEDIAN($H$2:$H$1500)),H743),2)</f>
        <v>5.27</v>
      </c>
      <c r="Q743" s="38" t="str">
        <f t="shared" si="69"/>
        <v>0</v>
      </c>
      <c r="R743" s="39" cm="1">
        <f t="array" ref="R743">IF(OR(TRIM(J743)="",TRIM(J743)="-"),MEDIAN(IF($C$2:$C$1218=C743,$J$2:$J$1218)),VALUE(SUBSTITUTE(SUBSTITUTE(SUBSTITUTE(J743,"Rs. ",""),"₹",""),",","")))</f>
        <v>8489</v>
      </c>
      <c r="S743" s="40">
        <f t="shared" si="67"/>
        <v>0</v>
      </c>
      <c r="T743" s="41">
        <f t="shared" si="70"/>
        <v>0</v>
      </c>
      <c r="U743" s="42">
        <f t="shared" si="71"/>
        <v>8489</v>
      </c>
    </row>
    <row r="744" spans="1:21" x14ac:dyDescent="0.3">
      <c r="A744" s="37" t="s">
        <v>4155</v>
      </c>
      <c r="B744" s="37" t="s">
        <v>4156</v>
      </c>
      <c r="C744" s="37" t="s">
        <v>2411</v>
      </c>
      <c r="D744" s="37" t="s">
        <v>106</v>
      </c>
      <c r="E744" s="37" t="s">
        <v>307</v>
      </c>
      <c r="F744" s="37" t="s">
        <v>19</v>
      </c>
      <c r="G744" s="37"/>
      <c r="H744" s="37">
        <v>16.04</v>
      </c>
      <c r="I744" s="37">
        <v>46</v>
      </c>
      <c r="J744" s="37">
        <v>8739</v>
      </c>
      <c r="K744" s="37" t="s">
        <v>34</v>
      </c>
      <c r="L744" s="37">
        <v>0</v>
      </c>
      <c r="M744" s="37" t="str">
        <f t="shared" si="68"/>
        <v>General</v>
      </c>
      <c r="N744" s="37" t="str">
        <f t="shared" si="66"/>
        <v>Cash</v>
      </c>
      <c r="O744" s="37" t="str" cm="1">
        <f t="array" ref="O744">IF(TRIM(N744)="",INDEX($N$2:$N$1500,MATCH(MAX(COUNTIF($N$2:$N$1500,$N$2:$N$1500)),COUNTIF($N$2:$N$1500,$N$2:$N$1500),0)),N744)</f>
        <v>Cash</v>
      </c>
      <c r="P744" s="38" cm="1">
        <f t="array" ref="P744">ROUND(IF(TRIM(H744)="",IFERROR(MEDIAN(IF($M$2:$M$1500=M744,$H$2:$H$1500)),MEDIAN($H$2:$H$1500)),H744),2)</f>
        <v>16.04</v>
      </c>
      <c r="Q744" s="38" t="str">
        <f t="shared" si="69"/>
        <v>Unknown</v>
      </c>
      <c r="R744" s="39" cm="1">
        <f t="array" ref="R744">IF(OR(TRIM(J744)="",TRIM(J744)="-"),MEDIAN(IF($C$2:$C$1218=C744,$J$2:$J$1218)),VALUE(SUBSTITUTE(SUBSTITUTE(SUBSTITUTE(J744,"Rs. ",""),"₹",""),",","")))</f>
        <v>8739</v>
      </c>
      <c r="S744" s="40">
        <f t="shared" si="67"/>
        <v>0</v>
      </c>
      <c r="T744" s="41">
        <f t="shared" si="70"/>
        <v>0</v>
      </c>
      <c r="U744" s="42">
        <f t="shared" si="71"/>
        <v>8739</v>
      </c>
    </row>
    <row r="745" spans="1:21" x14ac:dyDescent="0.3">
      <c r="A745" s="37" t="s">
        <v>4157</v>
      </c>
      <c r="B745" s="37" t="s">
        <v>4158</v>
      </c>
      <c r="C745" s="37" t="s">
        <v>2469</v>
      </c>
      <c r="D745" s="37" t="s">
        <v>14</v>
      </c>
      <c r="E745" s="37" t="s">
        <v>60</v>
      </c>
      <c r="F745" s="37" t="s">
        <v>39</v>
      </c>
      <c r="G745" s="37" t="s">
        <v>2505</v>
      </c>
      <c r="H745" s="37">
        <v>19.11</v>
      </c>
      <c r="I745" s="37">
        <v>1</v>
      </c>
      <c r="J745" s="37">
        <v>14704</v>
      </c>
      <c r="K745" s="37"/>
      <c r="L745" s="37" t="s">
        <v>64</v>
      </c>
      <c r="M745" s="37" t="str">
        <f t="shared" si="68"/>
        <v>General</v>
      </c>
      <c r="N745" s="37" t="str">
        <f t="shared" si="66"/>
        <v>Unknown</v>
      </c>
      <c r="O745" s="37" t="str" cm="1">
        <f t="array" ref="O745">IF(TRIM(N745)="",INDEX($N$2:$N$1500,MATCH(MAX(COUNTIF($N$2:$N$1500,$N$2:$N$1500)),COUNTIF($N$2:$N$1500,$N$2:$N$1500),0)),N745)</f>
        <v>Unknown</v>
      </c>
      <c r="P745" s="38" cm="1">
        <f t="array" ref="P745">ROUND(IF(TRIM(H745)="",IFERROR(MEDIAN(IF($M$2:$M$1500=M745,$H$2:$H$1500)),MEDIAN($H$2:$H$1500)),H745),2)</f>
        <v>19.11</v>
      </c>
      <c r="Q745" s="38" t="str">
        <f t="shared" si="69"/>
        <v>2+</v>
      </c>
      <c r="R745" s="39" cm="1">
        <f t="array" ref="R745">IF(OR(TRIM(J745)="",TRIM(J745)="-"),MEDIAN(IF($C$2:$C$1218=C745,$J$2:$J$1218)),VALUE(SUBSTITUTE(SUBSTITUTE(SUBSTITUTE(J745,"Rs. ",""),"₹",""),",","")))</f>
        <v>14704</v>
      </c>
      <c r="S745" s="40" t="str">
        <f t="shared" si="67"/>
        <v>NA</v>
      </c>
      <c r="T745" s="41">
        <f t="shared" si="70"/>
        <v>7</v>
      </c>
      <c r="U745" s="42">
        <f t="shared" si="71"/>
        <v>13675</v>
      </c>
    </row>
    <row r="746" spans="1:21" x14ac:dyDescent="0.3">
      <c r="A746" s="37" t="s">
        <v>4159</v>
      </c>
      <c r="B746" s="37" t="s">
        <v>4160</v>
      </c>
      <c r="C746" s="37" t="s">
        <v>2577</v>
      </c>
      <c r="D746" s="37" t="s">
        <v>117</v>
      </c>
      <c r="E746" s="37" t="s">
        <v>118</v>
      </c>
      <c r="F746" s="37" t="s">
        <v>19</v>
      </c>
      <c r="G746" s="37"/>
      <c r="H746" s="37">
        <v>21.89</v>
      </c>
      <c r="I746" s="37">
        <v>17</v>
      </c>
      <c r="J746" s="37">
        <v>15093</v>
      </c>
      <c r="K746" s="37" t="s">
        <v>97</v>
      </c>
      <c r="L746" s="37">
        <v>10</v>
      </c>
      <c r="M746" s="37" t="str">
        <f t="shared" si="68"/>
        <v>General</v>
      </c>
      <c r="N746" s="37" t="str">
        <f t="shared" si="66"/>
        <v>UPI</v>
      </c>
      <c r="O746" s="37" t="str" cm="1">
        <f t="array" ref="O746">IF(TRIM(N746)="",INDEX($N$2:$N$1500,MATCH(MAX(COUNTIF($N$2:$N$1500,$N$2:$N$1500)),COUNTIF($N$2:$N$1500,$N$2:$N$1500),0)),N746)</f>
        <v>UPI</v>
      </c>
      <c r="P746" s="38" cm="1">
        <f t="array" ref="P746">ROUND(IF(TRIM(H746)="",IFERROR(MEDIAN(IF($M$2:$M$1500=M746,$H$2:$H$1500)),MEDIAN($H$2:$H$1500)),H746),2)</f>
        <v>21.89</v>
      </c>
      <c r="Q746" s="38" t="str">
        <f t="shared" si="69"/>
        <v>Unknown</v>
      </c>
      <c r="R746" s="39" cm="1">
        <f t="array" ref="R746">IF(OR(TRIM(J746)="",TRIM(J746)="-"),MEDIAN(IF($C$2:$C$1218=C746,$J$2:$J$1218)),VALUE(SUBSTITUTE(SUBSTITUTE(SUBSTITUTE(J746,"Rs. ",""),"₹",""),",","")))</f>
        <v>15093</v>
      </c>
      <c r="S746" s="40">
        <f t="shared" si="67"/>
        <v>10</v>
      </c>
      <c r="T746" s="41">
        <f t="shared" si="70"/>
        <v>10</v>
      </c>
      <c r="U746" s="42">
        <f t="shared" si="71"/>
        <v>13584</v>
      </c>
    </row>
    <row r="747" spans="1:21" x14ac:dyDescent="0.3">
      <c r="A747" s="37" t="s">
        <v>4161</v>
      </c>
      <c r="B747" s="37" t="s">
        <v>3788</v>
      </c>
      <c r="C747" s="37" t="s">
        <v>2411</v>
      </c>
      <c r="D747" s="37" t="s">
        <v>78</v>
      </c>
      <c r="E747" s="37" t="s">
        <v>161</v>
      </c>
      <c r="F747" s="37"/>
      <c r="G747" s="37" t="s">
        <v>2477</v>
      </c>
      <c r="H747" s="37">
        <v>15.63</v>
      </c>
      <c r="I747" s="37">
        <v>4</v>
      </c>
      <c r="J747" s="37">
        <v>17749</v>
      </c>
      <c r="K747" s="37" t="s">
        <v>104</v>
      </c>
      <c r="L747" s="37">
        <v>0.25</v>
      </c>
      <c r="M747" s="37" t="str">
        <f t="shared" si="68"/>
        <v>Unknown</v>
      </c>
      <c r="N747" s="37" t="str">
        <f t="shared" si="66"/>
        <v>Insurance</v>
      </c>
      <c r="O747" s="37" t="str" cm="1">
        <f t="array" ref="O747">IF(TRIM(N747)="",INDEX($N$2:$N$1500,MATCH(MAX(COUNTIF($N$2:$N$1500,$N$2:$N$1500)),COUNTIF($N$2:$N$1500,$N$2:$N$1500),0)),N747)</f>
        <v>Insurance</v>
      </c>
      <c r="P747" s="38" cm="1">
        <f t="array" ref="P747">ROUND(IF(TRIM(H747)="",IFERROR(MEDIAN(IF($M$2:$M$1500=M747,$H$2:$H$1500)),MEDIAN($H$2:$H$1500)),H747),2)</f>
        <v>15.63</v>
      </c>
      <c r="Q747" s="38" t="str">
        <f t="shared" si="69"/>
        <v>0</v>
      </c>
      <c r="R747" s="39" cm="1">
        <f t="array" ref="R747">IF(OR(TRIM(J747)="",TRIM(J747)="-"),MEDIAN(IF($C$2:$C$1218=C747,$J$2:$J$1218)),VALUE(SUBSTITUTE(SUBSTITUTE(SUBSTITUTE(J747,"Rs. ",""),"₹",""),",","")))</f>
        <v>17749</v>
      </c>
      <c r="S747" s="40">
        <f t="shared" si="67"/>
        <v>0.25</v>
      </c>
      <c r="T747" s="41">
        <f t="shared" si="70"/>
        <v>0</v>
      </c>
      <c r="U747" s="42">
        <f t="shared" si="71"/>
        <v>17749</v>
      </c>
    </row>
    <row r="748" spans="1:21" x14ac:dyDescent="0.3">
      <c r="A748" s="37" t="s">
        <v>4162</v>
      </c>
      <c r="B748" s="37" t="s">
        <v>4163</v>
      </c>
      <c r="C748" s="37" t="s">
        <v>2454</v>
      </c>
      <c r="D748" s="37" t="s">
        <v>117</v>
      </c>
      <c r="E748" s="37" t="s">
        <v>127</v>
      </c>
      <c r="F748" s="37" t="s">
        <v>101</v>
      </c>
      <c r="G748" s="37"/>
      <c r="H748" s="37">
        <v>1.49</v>
      </c>
      <c r="I748" s="37">
        <v>50</v>
      </c>
      <c r="J748" s="37">
        <v>41643</v>
      </c>
      <c r="K748" s="37" t="s">
        <v>149</v>
      </c>
      <c r="L748" s="37" t="s">
        <v>1626</v>
      </c>
      <c r="M748" s="37" t="str">
        <f t="shared" si="68"/>
        <v>ICU</v>
      </c>
      <c r="N748" s="37" t="str">
        <f t="shared" si="66"/>
        <v>Insurance</v>
      </c>
      <c r="O748" s="37" t="str" cm="1">
        <f t="array" ref="O748">IF(TRIM(N748)="",INDEX($N$2:$N$1500,MATCH(MAX(COUNTIF($N$2:$N$1500,$N$2:$N$1500)),COUNTIF($N$2:$N$1500,$N$2:$N$1500),0)),N748)</f>
        <v>Insurance</v>
      </c>
      <c r="P748" s="38" cm="1">
        <f t="array" ref="P748">ROUND(IF(TRIM(H748)="",IFERROR(MEDIAN(IF($M$2:$M$1500=M748,$H$2:$H$1500)),MEDIAN($H$2:$H$1500)),H748),2)</f>
        <v>1.49</v>
      </c>
      <c r="Q748" s="38" t="str">
        <f t="shared" si="69"/>
        <v>Unknown</v>
      </c>
      <c r="R748" s="39" cm="1">
        <f t="array" ref="R748">IF(OR(TRIM(J748)="",TRIM(J748)="-"),MEDIAN(IF($C$2:$C$1218=C748,$J$2:$J$1218)),VALUE(SUBSTITUTE(SUBSTITUTE(SUBSTITUTE(J748,"Rs. ",""),"₹",""),",","")))</f>
        <v>41643</v>
      </c>
      <c r="S748" s="40">
        <f t="shared" si="67"/>
        <v>40</v>
      </c>
      <c r="T748" s="41">
        <f t="shared" si="70"/>
        <v>40</v>
      </c>
      <c r="U748" s="42">
        <f t="shared" si="71"/>
        <v>24986</v>
      </c>
    </row>
    <row r="749" spans="1:21" x14ac:dyDescent="0.3">
      <c r="A749" s="37" t="s">
        <v>4164</v>
      </c>
      <c r="B749" s="37" t="s">
        <v>4165</v>
      </c>
      <c r="C749" s="37" t="s">
        <v>2490</v>
      </c>
      <c r="D749" s="37" t="s">
        <v>117</v>
      </c>
      <c r="E749" s="37" t="s">
        <v>127</v>
      </c>
      <c r="F749" s="37" t="s">
        <v>49</v>
      </c>
      <c r="G749" s="37" t="s">
        <v>2435</v>
      </c>
      <c r="H749" s="37">
        <v>2.93</v>
      </c>
      <c r="I749" s="37">
        <v>40</v>
      </c>
      <c r="J749" s="37">
        <v>19271</v>
      </c>
      <c r="K749" s="37" t="s">
        <v>149</v>
      </c>
      <c r="L749" s="37">
        <v>35</v>
      </c>
      <c r="M749" s="37" t="str">
        <f t="shared" si="68"/>
        <v>General</v>
      </c>
      <c r="N749" s="37" t="str">
        <f t="shared" si="66"/>
        <v>Insurance</v>
      </c>
      <c r="O749" s="37" t="str" cm="1">
        <f t="array" ref="O749">IF(TRIM(N749)="",INDEX($N$2:$N$1500,MATCH(MAX(COUNTIF($N$2:$N$1500,$N$2:$N$1500)),COUNTIF($N$2:$N$1500,$N$2:$N$1500),0)),N749)</f>
        <v>Insurance</v>
      </c>
      <c r="P749" s="38" cm="1">
        <f t="array" ref="P749">ROUND(IF(TRIM(H749)="",IFERROR(MEDIAN(IF($M$2:$M$1500=M749,$H$2:$H$1500)),MEDIAN($H$2:$H$1500)),H749),2)</f>
        <v>2.93</v>
      </c>
      <c r="Q749" s="38" t="str">
        <f t="shared" si="69"/>
        <v>0</v>
      </c>
      <c r="R749" s="39" cm="1">
        <f t="array" ref="R749">IF(OR(TRIM(J749)="",TRIM(J749)="-"),MEDIAN(IF($C$2:$C$1218=C749,$J$2:$J$1218)),VALUE(SUBSTITUTE(SUBSTITUTE(SUBSTITUTE(J749,"Rs. ",""),"₹",""),",","")))</f>
        <v>19271</v>
      </c>
      <c r="S749" s="40">
        <f t="shared" si="67"/>
        <v>35</v>
      </c>
      <c r="T749" s="41">
        <f t="shared" si="70"/>
        <v>35</v>
      </c>
      <c r="U749" s="42">
        <f t="shared" si="71"/>
        <v>12526</v>
      </c>
    </row>
    <row r="750" spans="1:21" x14ac:dyDescent="0.3">
      <c r="A750" s="37" t="s">
        <v>4166</v>
      </c>
      <c r="B750" s="37" t="s">
        <v>3719</v>
      </c>
      <c r="C750" s="37" t="s">
        <v>2518</v>
      </c>
      <c r="D750" s="37" t="s">
        <v>25</v>
      </c>
      <c r="E750" s="37" t="s">
        <v>26</v>
      </c>
      <c r="F750" s="37" t="s">
        <v>39</v>
      </c>
      <c r="G750" s="37" t="s">
        <v>2418</v>
      </c>
      <c r="H750" s="37">
        <v>1.82</v>
      </c>
      <c r="I750" s="37">
        <v>10</v>
      </c>
      <c r="J750" s="37" t="s">
        <v>4167</v>
      </c>
      <c r="K750" s="37" t="s">
        <v>87</v>
      </c>
      <c r="L750" s="37">
        <v>5</v>
      </c>
      <c r="M750" s="37" t="str">
        <f t="shared" si="68"/>
        <v>General</v>
      </c>
      <c r="N750" s="37" t="str">
        <f t="shared" si="66"/>
        <v>Credit Card</v>
      </c>
      <c r="O750" s="37" t="str" cm="1">
        <f t="array" ref="O750">IF(TRIM(N750)="",INDEX($N$2:$N$1500,MATCH(MAX(COUNTIF($N$2:$N$1500,$N$2:$N$1500)),COUNTIF($N$2:$N$1500,$N$2:$N$1500),0)),N750)</f>
        <v>Credit Card</v>
      </c>
      <c r="P750" s="38" cm="1">
        <f t="array" ref="P750">ROUND(IF(TRIM(H750)="",IFERROR(MEDIAN(IF($M$2:$M$1500=M750,$H$2:$H$1500)),MEDIAN($H$2:$H$1500)),H750),2)</f>
        <v>1.82</v>
      </c>
      <c r="Q750" s="38" t="str">
        <f t="shared" si="69"/>
        <v>1</v>
      </c>
      <c r="R750" s="39" cm="1">
        <f t="array" ref="R750">IF(OR(TRIM(J750)="",TRIM(J750)="-"),MEDIAN(IF($C$2:$C$1218=C750,$J$2:$J$1218)),VALUE(SUBSTITUTE(SUBSTITUTE(SUBSTITUTE(J750,"Rs. ",""),"₹",""),",","")))</f>
        <v>4188</v>
      </c>
      <c r="S750" s="40">
        <f t="shared" si="67"/>
        <v>5</v>
      </c>
      <c r="T750" s="41">
        <f t="shared" si="70"/>
        <v>5</v>
      </c>
      <c r="U750" s="42">
        <f t="shared" si="71"/>
        <v>3979</v>
      </c>
    </row>
    <row r="751" spans="1:21" x14ac:dyDescent="0.3">
      <c r="A751" s="37" t="s">
        <v>4168</v>
      </c>
      <c r="B751" s="37" t="s">
        <v>4169</v>
      </c>
      <c r="C751" s="37" t="s">
        <v>2730</v>
      </c>
      <c r="D751" s="37" t="s">
        <v>25</v>
      </c>
      <c r="E751" s="37" t="s">
        <v>54</v>
      </c>
      <c r="F751" s="37" t="s">
        <v>49</v>
      </c>
      <c r="G751" s="37"/>
      <c r="H751" s="37">
        <v>14.46</v>
      </c>
      <c r="I751" s="37">
        <v>18</v>
      </c>
      <c r="J751" s="37">
        <v>15947</v>
      </c>
      <c r="K751" s="37" t="s">
        <v>83</v>
      </c>
      <c r="L751" s="37">
        <v>0</v>
      </c>
      <c r="M751" s="37" t="str">
        <f t="shared" si="68"/>
        <v>General</v>
      </c>
      <c r="N751" s="37" t="str">
        <f t="shared" si="66"/>
        <v>Debit Card</v>
      </c>
      <c r="O751" s="37" t="str" cm="1">
        <f t="array" ref="O751">IF(TRIM(N751)="",INDEX($N$2:$N$1500,MATCH(MAX(COUNTIF($N$2:$N$1500,$N$2:$N$1500)),COUNTIF($N$2:$N$1500,$N$2:$N$1500),0)),N751)</f>
        <v>Debit Card</v>
      </c>
      <c r="P751" s="38" cm="1">
        <f t="array" ref="P751">ROUND(IF(TRIM(H751)="",IFERROR(MEDIAN(IF($M$2:$M$1500=M751,$H$2:$H$1500)),MEDIAN($H$2:$H$1500)),H751),2)</f>
        <v>14.46</v>
      </c>
      <c r="Q751" s="38" t="str">
        <f t="shared" si="69"/>
        <v>Unknown</v>
      </c>
      <c r="R751" s="39" cm="1">
        <f t="array" ref="R751">IF(OR(TRIM(J751)="",TRIM(J751)="-"),MEDIAN(IF($C$2:$C$1218=C751,$J$2:$J$1218)),VALUE(SUBSTITUTE(SUBSTITUTE(SUBSTITUTE(J751,"Rs. ",""),"₹",""),",","")))</f>
        <v>15947</v>
      </c>
      <c r="S751" s="40">
        <f t="shared" si="67"/>
        <v>0</v>
      </c>
      <c r="T751" s="41">
        <f t="shared" si="70"/>
        <v>0</v>
      </c>
      <c r="U751" s="42">
        <f t="shared" si="71"/>
        <v>15947</v>
      </c>
    </row>
    <row r="752" spans="1:21" x14ac:dyDescent="0.3">
      <c r="A752" s="37" t="s">
        <v>4170</v>
      </c>
      <c r="B752" s="37" t="s">
        <v>4171</v>
      </c>
      <c r="C752" s="37" t="s">
        <v>2536</v>
      </c>
      <c r="D752" s="37" t="s">
        <v>14</v>
      </c>
      <c r="E752" s="37" t="s">
        <v>60</v>
      </c>
      <c r="F752" s="37" t="s">
        <v>19</v>
      </c>
      <c r="G752" s="37" t="s">
        <v>2477</v>
      </c>
      <c r="H752" s="37">
        <v>9.2799999999999994</v>
      </c>
      <c r="I752" s="37">
        <v>46</v>
      </c>
      <c r="J752" s="37">
        <v>12182</v>
      </c>
      <c r="K752" s="37" t="s">
        <v>149</v>
      </c>
      <c r="L752" s="37">
        <v>0.12</v>
      </c>
      <c r="M752" s="37" t="str">
        <f t="shared" si="68"/>
        <v>General</v>
      </c>
      <c r="N752" s="37" t="str">
        <f t="shared" si="66"/>
        <v>Insurance</v>
      </c>
      <c r="O752" s="37" t="str" cm="1">
        <f t="array" ref="O752">IF(TRIM(N752)="",INDEX($N$2:$N$1500,MATCH(MAX(COUNTIF($N$2:$N$1500,$N$2:$N$1500)),COUNTIF($N$2:$N$1500,$N$2:$N$1500),0)),N752)</f>
        <v>Insurance</v>
      </c>
      <c r="P752" s="38" cm="1">
        <f t="array" ref="P752">ROUND(IF(TRIM(H752)="",IFERROR(MEDIAN(IF($M$2:$M$1500=M752,$H$2:$H$1500)),MEDIAN($H$2:$H$1500)),H752),2)</f>
        <v>9.2799999999999994</v>
      </c>
      <c r="Q752" s="38" t="str">
        <f t="shared" si="69"/>
        <v>0</v>
      </c>
      <c r="R752" s="39" cm="1">
        <f t="array" ref="R752">IF(OR(TRIM(J752)="",TRIM(J752)="-"),MEDIAN(IF($C$2:$C$1218=C752,$J$2:$J$1218)),VALUE(SUBSTITUTE(SUBSTITUTE(SUBSTITUTE(J752,"Rs. ",""),"₹",""),",","")))</f>
        <v>12182</v>
      </c>
      <c r="S752" s="40">
        <f t="shared" si="67"/>
        <v>0.12</v>
      </c>
      <c r="T752" s="41">
        <f t="shared" si="70"/>
        <v>0</v>
      </c>
      <c r="U752" s="42">
        <f t="shared" si="71"/>
        <v>12182</v>
      </c>
    </row>
    <row r="753" spans="1:21" x14ac:dyDescent="0.3">
      <c r="A753" s="37" t="s">
        <v>4172</v>
      </c>
      <c r="B753" s="37" t="s">
        <v>4173</v>
      </c>
      <c r="C753" s="37" t="s">
        <v>2504</v>
      </c>
      <c r="D753" s="37" t="s">
        <v>78</v>
      </c>
      <c r="E753" s="37" t="s">
        <v>203</v>
      </c>
      <c r="F753" s="37" t="s">
        <v>30</v>
      </c>
      <c r="G753" s="37" t="s">
        <v>2746</v>
      </c>
      <c r="H753" s="37">
        <v>1.05</v>
      </c>
      <c r="I753" s="37">
        <v>60</v>
      </c>
      <c r="J753" s="37" t="s">
        <v>4174</v>
      </c>
      <c r="K753" s="37" t="s">
        <v>58</v>
      </c>
      <c r="L753" s="37">
        <v>0</v>
      </c>
      <c r="M753" s="37" t="str">
        <f t="shared" si="68"/>
        <v>General</v>
      </c>
      <c r="N753" s="37" t="str">
        <f t="shared" si="66"/>
        <v>UPI</v>
      </c>
      <c r="O753" s="37" t="str" cm="1">
        <f t="array" ref="O753">IF(TRIM(N753)="",INDEX($N$2:$N$1500,MATCH(MAX(COUNTIF($N$2:$N$1500,$N$2:$N$1500)),COUNTIF($N$2:$N$1500,$N$2:$N$1500),0)),N753)</f>
        <v>UPI</v>
      </c>
      <c r="P753" s="38" cm="1">
        <f t="array" ref="P753">ROUND(IF(TRIM(H753)="",IFERROR(MEDIAN(IF($M$2:$M$1500=M753,$H$2:$H$1500)),MEDIAN($H$2:$H$1500)),H753),2)</f>
        <v>1.05</v>
      </c>
      <c r="Q753" s="38" t="str">
        <f t="shared" si="69"/>
        <v>2</v>
      </c>
      <c r="R753" s="39" cm="1">
        <f t="array" ref="R753">IF(OR(TRIM(J753)="",TRIM(J753)="-"),MEDIAN(IF($C$2:$C$1218=C753,$J$2:$J$1218)),VALUE(SUBSTITUTE(SUBSTITUTE(SUBSTITUTE(J753,"Rs. ",""),"₹",""),",","")))</f>
        <v>5625</v>
      </c>
      <c r="S753" s="40">
        <f t="shared" si="67"/>
        <v>0</v>
      </c>
      <c r="T753" s="41">
        <f t="shared" si="70"/>
        <v>0</v>
      </c>
      <c r="U753" s="42">
        <f t="shared" si="71"/>
        <v>5625</v>
      </c>
    </row>
    <row r="754" spans="1:21" x14ac:dyDescent="0.3">
      <c r="A754" s="37" t="s">
        <v>4175</v>
      </c>
      <c r="B754" s="37" t="s">
        <v>4176</v>
      </c>
      <c r="C754" s="37" t="s">
        <v>2561</v>
      </c>
      <c r="D754" s="37" t="s">
        <v>14</v>
      </c>
      <c r="E754" s="37" t="s">
        <v>60</v>
      </c>
      <c r="F754" s="37" t="s">
        <v>101</v>
      </c>
      <c r="G754" s="37"/>
      <c r="H754" s="37">
        <v>23.88</v>
      </c>
      <c r="I754" s="37">
        <v>28</v>
      </c>
      <c r="J754" s="37" t="s">
        <v>4177</v>
      </c>
      <c r="K754" s="37" t="s">
        <v>115</v>
      </c>
      <c r="L754" s="37">
        <v>0</v>
      </c>
      <c r="M754" s="37" t="str">
        <f t="shared" si="68"/>
        <v>ICU</v>
      </c>
      <c r="N754" s="37" t="str">
        <f t="shared" si="66"/>
        <v>Cash</v>
      </c>
      <c r="O754" s="37" t="str" cm="1">
        <f t="array" ref="O754">IF(TRIM(N754)="",INDEX($N$2:$N$1500,MATCH(MAX(COUNTIF($N$2:$N$1500,$N$2:$N$1500)),COUNTIF($N$2:$N$1500,$N$2:$N$1500),0)),N754)</f>
        <v>Cash</v>
      </c>
      <c r="P754" s="38" cm="1">
        <f t="array" ref="P754">ROUND(IF(TRIM(H754)="",IFERROR(MEDIAN(IF($M$2:$M$1500=M754,$H$2:$H$1500)),MEDIAN($H$2:$H$1500)),H754),2)</f>
        <v>23.88</v>
      </c>
      <c r="Q754" s="38" t="str">
        <f t="shared" si="69"/>
        <v>Unknown</v>
      </c>
      <c r="R754" s="39" cm="1">
        <f t="array" ref="R754">IF(OR(TRIM(J754)="",TRIM(J754)="-"),MEDIAN(IF($C$2:$C$1218=C754,$J$2:$J$1218)),VALUE(SUBSTITUTE(SUBSTITUTE(SUBSTITUTE(J754,"Rs. ",""),"₹",""),",","")))</f>
        <v>56135</v>
      </c>
      <c r="S754" s="40">
        <f t="shared" si="67"/>
        <v>0</v>
      </c>
      <c r="T754" s="41">
        <f t="shared" si="70"/>
        <v>0</v>
      </c>
      <c r="U754" s="42">
        <f t="shared" si="71"/>
        <v>56135</v>
      </c>
    </row>
    <row r="755" spans="1:21" x14ac:dyDescent="0.3">
      <c r="A755" s="37" t="s">
        <v>4178</v>
      </c>
      <c r="B755" s="37" t="s">
        <v>4179</v>
      </c>
      <c r="C755" s="37" t="s">
        <v>2536</v>
      </c>
      <c r="D755" s="37" t="s">
        <v>45</v>
      </c>
      <c r="E755" s="37" t="s">
        <v>46</v>
      </c>
      <c r="F755" s="37" t="s">
        <v>19</v>
      </c>
      <c r="G755" s="37" t="s">
        <v>2993</v>
      </c>
      <c r="H755" s="37">
        <v>20.49</v>
      </c>
      <c r="I755" s="37">
        <v>17</v>
      </c>
      <c r="J755" s="37" t="s">
        <v>4180</v>
      </c>
      <c r="K755" s="37" t="s">
        <v>104</v>
      </c>
      <c r="L755" s="37" t="s">
        <v>1626</v>
      </c>
      <c r="M755" s="37" t="str">
        <f t="shared" si="68"/>
        <v>General</v>
      </c>
      <c r="N755" s="37" t="str">
        <f t="shared" si="66"/>
        <v>Insurance</v>
      </c>
      <c r="O755" s="37" t="str" cm="1">
        <f t="array" ref="O755">IF(TRIM(N755)="",INDEX($N$2:$N$1500,MATCH(MAX(COUNTIF($N$2:$N$1500,$N$2:$N$1500)),COUNTIF($N$2:$N$1500,$N$2:$N$1500),0)),N755)</f>
        <v>Insurance</v>
      </c>
      <c r="P755" s="38" cm="1">
        <f t="array" ref="P755">ROUND(IF(TRIM(H755)="",IFERROR(MEDIAN(IF($M$2:$M$1500=M755,$H$2:$H$1500)),MEDIAN($H$2:$H$1500)),H755),2)</f>
        <v>20.49</v>
      </c>
      <c r="Q755" s="38" t="str">
        <f t="shared" si="69"/>
        <v>2+</v>
      </c>
      <c r="R755" s="39" cm="1">
        <f t="array" ref="R755">IF(OR(TRIM(J755)="",TRIM(J755)="-"),MEDIAN(IF($C$2:$C$1218=C755,$J$2:$J$1218)),VALUE(SUBSTITUTE(SUBSTITUTE(SUBSTITUTE(J755,"Rs. ",""),"₹",""),",","")))</f>
        <v>8297</v>
      </c>
      <c r="S755" s="40">
        <f t="shared" si="67"/>
        <v>40</v>
      </c>
      <c r="T755" s="41">
        <f t="shared" si="70"/>
        <v>40</v>
      </c>
      <c r="U755" s="42">
        <f t="shared" si="71"/>
        <v>4978</v>
      </c>
    </row>
    <row r="756" spans="1:21" x14ac:dyDescent="0.3">
      <c r="A756" s="37" t="s">
        <v>4181</v>
      </c>
      <c r="B756" s="37" t="s">
        <v>4182</v>
      </c>
      <c r="C756" s="37" t="s">
        <v>2454</v>
      </c>
      <c r="D756" s="37" t="s">
        <v>45</v>
      </c>
      <c r="E756" s="37" t="s">
        <v>46</v>
      </c>
      <c r="F756" s="37" t="s">
        <v>69</v>
      </c>
      <c r="G756" s="37" t="s">
        <v>2435</v>
      </c>
      <c r="H756" s="37">
        <v>18.64</v>
      </c>
      <c r="I756" s="37">
        <v>58</v>
      </c>
      <c r="J756" s="37">
        <v>41752</v>
      </c>
      <c r="K756" s="37" t="s">
        <v>42</v>
      </c>
      <c r="L756" s="37">
        <v>15</v>
      </c>
      <c r="M756" s="37" t="str">
        <f t="shared" si="68"/>
        <v>ICU</v>
      </c>
      <c r="N756" s="37" t="str">
        <f t="shared" si="66"/>
        <v>Insurance</v>
      </c>
      <c r="O756" s="37" t="str" cm="1">
        <f t="array" ref="O756">IF(TRIM(N756)="",INDEX($N$2:$N$1500,MATCH(MAX(COUNTIF($N$2:$N$1500,$N$2:$N$1500)),COUNTIF($N$2:$N$1500,$N$2:$N$1500),0)),N756)</f>
        <v>Insurance</v>
      </c>
      <c r="P756" s="38" cm="1">
        <f t="array" ref="P756">ROUND(IF(TRIM(H756)="",IFERROR(MEDIAN(IF($M$2:$M$1500=M756,$H$2:$H$1500)),MEDIAN($H$2:$H$1500)),H756),2)</f>
        <v>18.64</v>
      </c>
      <c r="Q756" s="38" t="str">
        <f t="shared" si="69"/>
        <v>0</v>
      </c>
      <c r="R756" s="39" cm="1">
        <f t="array" ref="R756">IF(OR(TRIM(J756)="",TRIM(J756)="-"),MEDIAN(IF($C$2:$C$1218=C756,$J$2:$J$1218)),VALUE(SUBSTITUTE(SUBSTITUTE(SUBSTITUTE(J756,"Rs. ",""),"₹",""),",","")))</f>
        <v>41752</v>
      </c>
      <c r="S756" s="40">
        <f t="shared" si="67"/>
        <v>15</v>
      </c>
      <c r="T756" s="41">
        <f t="shared" si="70"/>
        <v>15</v>
      </c>
      <c r="U756" s="42">
        <f t="shared" si="71"/>
        <v>35489</v>
      </c>
    </row>
    <row r="757" spans="1:21" x14ac:dyDescent="0.3">
      <c r="A757" s="37" t="s">
        <v>4183</v>
      </c>
      <c r="B757" s="37" t="s">
        <v>2663</v>
      </c>
      <c r="C757" s="37" t="s">
        <v>2459</v>
      </c>
      <c r="D757" s="37" t="s">
        <v>14</v>
      </c>
      <c r="E757" s="37" t="s">
        <v>60</v>
      </c>
      <c r="F757" s="37" t="s">
        <v>101</v>
      </c>
      <c r="G757" s="37" t="s">
        <v>2455</v>
      </c>
      <c r="H757" s="37">
        <v>21.54</v>
      </c>
      <c r="I757" s="37" t="s">
        <v>140</v>
      </c>
      <c r="J757" s="37">
        <v>86838</v>
      </c>
      <c r="K757" s="37" t="s">
        <v>34</v>
      </c>
      <c r="L757" s="37">
        <v>0</v>
      </c>
      <c r="M757" s="37" t="str">
        <f t="shared" si="68"/>
        <v>ICU</v>
      </c>
      <c r="N757" s="37" t="str">
        <f t="shared" si="66"/>
        <v>Cash</v>
      </c>
      <c r="O757" s="37" t="str" cm="1">
        <f t="array" ref="O757">IF(TRIM(N757)="",INDEX($N$2:$N$1500,MATCH(MAX(COUNTIF($N$2:$N$1500,$N$2:$N$1500)),COUNTIF($N$2:$N$1500,$N$2:$N$1500),0)),N757)</f>
        <v>Cash</v>
      </c>
      <c r="P757" s="38" cm="1">
        <f t="array" ref="P757">ROUND(IF(TRIM(H757)="",IFERROR(MEDIAN(IF($M$2:$M$1500=M757,$H$2:$H$1500)),MEDIAN($H$2:$H$1500)),H757),2)</f>
        <v>21.54</v>
      </c>
      <c r="Q757" s="38" t="str">
        <f t="shared" si="69"/>
        <v>1</v>
      </c>
      <c r="R757" s="39" cm="1">
        <f t="array" ref="R757">IF(OR(TRIM(J757)="",TRIM(J757)="-"),MEDIAN(IF($C$2:$C$1218=C757,$J$2:$J$1218)),VALUE(SUBSTITUTE(SUBSTITUTE(SUBSTITUTE(J757,"Rs. ",""),"₹",""),",","")))</f>
        <v>86838</v>
      </c>
      <c r="S757" s="40">
        <f t="shared" si="67"/>
        <v>0</v>
      </c>
      <c r="T757" s="41">
        <f t="shared" si="70"/>
        <v>0</v>
      </c>
      <c r="U757" s="42">
        <f t="shared" si="71"/>
        <v>86838</v>
      </c>
    </row>
    <row r="758" spans="1:21" x14ac:dyDescent="0.3">
      <c r="A758" s="37" t="s">
        <v>4184</v>
      </c>
      <c r="B758" s="37" t="s">
        <v>4185</v>
      </c>
      <c r="C758" s="37" t="s">
        <v>2463</v>
      </c>
      <c r="D758" s="37" t="s">
        <v>117</v>
      </c>
      <c r="E758" s="37" t="s">
        <v>118</v>
      </c>
      <c r="F758" s="37" t="s">
        <v>101</v>
      </c>
      <c r="G758" s="37" t="s">
        <v>2486</v>
      </c>
      <c r="H758" s="37">
        <v>21.8</v>
      </c>
      <c r="I758" s="37">
        <v>57</v>
      </c>
      <c r="J758" s="37">
        <v>76308</v>
      </c>
      <c r="K758" s="37" t="s">
        <v>23</v>
      </c>
      <c r="L758" s="37">
        <v>5</v>
      </c>
      <c r="M758" s="37" t="str">
        <f t="shared" si="68"/>
        <v>ICU</v>
      </c>
      <c r="N758" s="37" t="str">
        <f t="shared" si="66"/>
        <v>Credit Card</v>
      </c>
      <c r="O758" s="37" t="str" cm="1">
        <f t="array" ref="O758">IF(TRIM(N758)="",INDEX($N$2:$N$1500,MATCH(MAX(COUNTIF($N$2:$N$1500,$N$2:$N$1500)),COUNTIF($N$2:$N$1500,$N$2:$N$1500),0)),N758)</f>
        <v>Credit Card</v>
      </c>
      <c r="P758" s="38" cm="1">
        <f t="array" ref="P758">ROUND(IF(TRIM(H758)="",IFERROR(MEDIAN(IF($M$2:$M$1500=M758,$H$2:$H$1500)),MEDIAN($H$2:$H$1500)),H758),2)</f>
        <v>21.8</v>
      </c>
      <c r="Q758" s="38" t="str">
        <f t="shared" si="69"/>
        <v>2+</v>
      </c>
      <c r="R758" s="39" cm="1">
        <f t="array" ref="R758">IF(OR(TRIM(J758)="",TRIM(J758)="-"),MEDIAN(IF($C$2:$C$1218=C758,$J$2:$J$1218)),VALUE(SUBSTITUTE(SUBSTITUTE(SUBSTITUTE(J758,"Rs. ",""),"₹",""),",","")))</f>
        <v>76308</v>
      </c>
      <c r="S758" s="40">
        <f t="shared" si="67"/>
        <v>5</v>
      </c>
      <c r="T758" s="41">
        <f t="shared" si="70"/>
        <v>5</v>
      </c>
      <c r="U758" s="42">
        <f t="shared" si="71"/>
        <v>72493</v>
      </c>
    </row>
    <row r="759" spans="1:21" x14ac:dyDescent="0.3">
      <c r="A759" s="37" t="s">
        <v>4186</v>
      </c>
      <c r="B759" s="37" t="s">
        <v>2689</v>
      </c>
      <c r="C759" s="37" t="s">
        <v>2445</v>
      </c>
      <c r="D759" s="37" t="s">
        <v>25</v>
      </c>
      <c r="E759" s="37" t="s">
        <v>54</v>
      </c>
      <c r="F759" s="37" t="s">
        <v>39</v>
      </c>
      <c r="G759" s="37" t="s">
        <v>2455</v>
      </c>
      <c r="H759" s="37">
        <v>19.34</v>
      </c>
      <c r="I759" s="37">
        <v>14</v>
      </c>
      <c r="J759" s="37">
        <v>14325</v>
      </c>
      <c r="K759" s="37" t="s">
        <v>23</v>
      </c>
      <c r="L759" s="37"/>
      <c r="M759" s="37" t="str">
        <f t="shared" si="68"/>
        <v>General</v>
      </c>
      <c r="N759" s="37" t="str">
        <f t="shared" si="66"/>
        <v>Credit Card</v>
      </c>
      <c r="O759" s="37" t="str" cm="1">
        <f t="array" ref="O759">IF(TRIM(N759)="",INDEX($N$2:$N$1500,MATCH(MAX(COUNTIF($N$2:$N$1500,$N$2:$N$1500)),COUNTIF($N$2:$N$1500,$N$2:$N$1500),0)),N759)</f>
        <v>Credit Card</v>
      </c>
      <c r="P759" s="38" cm="1">
        <f t="array" ref="P759">ROUND(IF(TRIM(H759)="",IFERROR(MEDIAN(IF($M$2:$M$1500=M759,$H$2:$H$1500)),MEDIAN($H$2:$H$1500)),H759),2)</f>
        <v>19.34</v>
      </c>
      <c r="Q759" s="38" t="str">
        <f t="shared" si="69"/>
        <v>1</v>
      </c>
      <c r="R759" s="39" cm="1">
        <f t="array" ref="R759">IF(OR(TRIM(J759)="",TRIM(J759)="-"),MEDIAN(IF($C$2:$C$1218=C759,$J$2:$J$1218)),VALUE(SUBSTITUTE(SUBSTITUTE(SUBSTITUTE(J759,"Rs. ",""),"₹",""),",","")))</f>
        <v>14325</v>
      </c>
      <c r="S759" s="40">
        <f t="shared" si="67"/>
        <v>0</v>
      </c>
      <c r="T759" s="41">
        <f t="shared" si="70"/>
        <v>0</v>
      </c>
      <c r="U759" s="42">
        <f t="shared" si="71"/>
        <v>14325</v>
      </c>
    </row>
    <row r="760" spans="1:21" x14ac:dyDescent="0.3">
      <c r="A760" s="37" t="s">
        <v>4187</v>
      </c>
      <c r="B760" s="37" t="s">
        <v>3694</v>
      </c>
      <c r="C760" s="37" t="s">
        <v>2434</v>
      </c>
      <c r="D760" s="37" t="s">
        <v>14</v>
      </c>
      <c r="E760" s="37" t="s">
        <v>15</v>
      </c>
      <c r="F760" s="37" t="s">
        <v>30</v>
      </c>
      <c r="G760" s="37" t="s">
        <v>2435</v>
      </c>
      <c r="H760" s="37">
        <v>3.49</v>
      </c>
      <c r="I760" s="37">
        <v>30</v>
      </c>
      <c r="J760" s="37" t="s">
        <v>4188</v>
      </c>
      <c r="K760" s="37" t="s">
        <v>91</v>
      </c>
      <c r="L760" s="37">
        <v>0</v>
      </c>
      <c r="M760" s="37" t="str">
        <f t="shared" si="68"/>
        <v>General</v>
      </c>
      <c r="N760" s="37" t="str">
        <f t="shared" si="66"/>
        <v>Debit Card</v>
      </c>
      <c r="O760" s="37" t="str" cm="1">
        <f t="array" ref="O760">IF(TRIM(N760)="",INDEX($N$2:$N$1500,MATCH(MAX(COUNTIF($N$2:$N$1500,$N$2:$N$1500)),COUNTIF($N$2:$N$1500,$N$2:$N$1500),0)),N760)</f>
        <v>Debit Card</v>
      </c>
      <c r="P760" s="38" cm="1">
        <f t="array" ref="P760">ROUND(IF(TRIM(H760)="",IFERROR(MEDIAN(IF($M$2:$M$1500=M760,$H$2:$H$1500)),MEDIAN($H$2:$H$1500)),H760),2)</f>
        <v>3.49</v>
      </c>
      <c r="Q760" s="38" t="str">
        <f t="shared" si="69"/>
        <v>0</v>
      </c>
      <c r="R760" s="39" cm="1">
        <f t="array" ref="R760">IF(OR(TRIM(J760)="",TRIM(J760)="-"),MEDIAN(IF($C$2:$C$1218=C760,$J$2:$J$1218)),VALUE(SUBSTITUTE(SUBSTITUTE(SUBSTITUTE(J760,"Rs. ",""),"₹",""),",","")))</f>
        <v>6016</v>
      </c>
      <c r="S760" s="40">
        <f t="shared" si="67"/>
        <v>0</v>
      </c>
      <c r="T760" s="41">
        <f t="shared" si="70"/>
        <v>0</v>
      </c>
      <c r="U760" s="42">
        <f t="shared" si="71"/>
        <v>6016</v>
      </c>
    </row>
    <row r="761" spans="1:21" x14ac:dyDescent="0.3">
      <c r="A761" s="37" t="s">
        <v>4189</v>
      </c>
      <c r="B761" s="37" t="s">
        <v>4190</v>
      </c>
      <c r="C761" s="37" t="s">
        <v>2730</v>
      </c>
      <c r="D761" s="37" t="s">
        <v>45</v>
      </c>
      <c r="E761" s="37" t="s">
        <v>46</v>
      </c>
      <c r="F761" s="37" t="s">
        <v>30</v>
      </c>
      <c r="G761" s="37" t="s">
        <v>2423</v>
      </c>
      <c r="H761" s="37">
        <v>9.4700000000000006</v>
      </c>
      <c r="I761" s="37">
        <v>48</v>
      </c>
      <c r="J761" s="37" t="s">
        <v>4191</v>
      </c>
      <c r="K761" s="37" t="s">
        <v>149</v>
      </c>
      <c r="L761" s="37"/>
      <c r="M761" s="37" t="str">
        <f t="shared" si="68"/>
        <v>General</v>
      </c>
      <c r="N761" s="37" t="str">
        <f t="shared" si="66"/>
        <v>Insurance</v>
      </c>
      <c r="O761" s="37" t="str" cm="1">
        <f t="array" ref="O761">IF(TRIM(N761)="",INDEX($N$2:$N$1500,MATCH(MAX(COUNTIF($N$2:$N$1500,$N$2:$N$1500)),COUNTIF($N$2:$N$1500,$N$2:$N$1500),0)),N761)</f>
        <v>Insurance</v>
      </c>
      <c r="P761" s="38" cm="1">
        <f t="array" ref="P761">ROUND(IF(TRIM(H761)="",IFERROR(MEDIAN(IF($M$2:$M$1500=M761,$H$2:$H$1500)),MEDIAN($H$2:$H$1500)),H761),2)</f>
        <v>9.4700000000000006</v>
      </c>
      <c r="Q761" s="38" t="str">
        <f t="shared" si="69"/>
        <v>0</v>
      </c>
      <c r="R761" s="39" cm="1">
        <f t="array" ref="R761">IF(OR(TRIM(J761)="",TRIM(J761)="-"),MEDIAN(IF($C$2:$C$1218=C761,$J$2:$J$1218)),VALUE(SUBSTITUTE(SUBSTITUTE(SUBSTITUTE(J761,"Rs. ",""),"₹",""),",","")))</f>
        <v>19057</v>
      </c>
      <c r="S761" s="40">
        <f t="shared" si="67"/>
        <v>0</v>
      </c>
      <c r="T761" s="41">
        <f t="shared" si="70"/>
        <v>0</v>
      </c>
      <c r="U761" s="42">
        <f t="shared" si="71"/>
        <v>19057</v>
      </c>
    </row>
    <row r="762" spans="1:21" x14ac:dyDescent="0.3">
      <c r="A762" s="37" t="s">
        <v>4192</v>
      </c>
      <c r="B762" s="37" t="s">
        <v>2430</v>
      </c>
      <c r="C762" s="37" t="s">
        <v>2431</v>
      </c>
      <c r="D762" s="37" t="s">
        <v>106</v>
      </c>
      <c r="E762" s="37" t="s">
        <v>107</v>
      </c>
      <c r="F762" s="37" t="s">
        <v>30</v>
      </c>
      <c r="G762" s="37" t="s">
        <v>2505</v>
      </c>
      <c r="H762" s="37">
        <v>13.84</v>
      </c>
      <c r="I762" s="37">
        <v>19</v>
      </c>
      <c r="J762" s="37" t="s">
        <v>4193</v>
      </c>
      <c r="K762" s="37" t="s">
        <v>72</v>
      </c>
      <c r="L762" s="37"/>
      <c r="M762" s="37" t="str">
        <f t="shared" si="68"/>
        <v>General</v>
      </c>
      <c r="N762" s="37" t="str">
        <f t="shared" si="66"/>
        <v>Cash</v>
      </c>
      <c r="O762" s="37" t="str" cm="1">
        <f t="array" ref="O762">IF(TRIM(N762)="",INDEX($N$2:$N$1500,MATCH(MAX(COUNTIF($N$2:$N$1500,$N$2:$N$1500)),COUNTIF($N$2:$N$1500,$N$2:$N$1500),0)),N762)</f>
        <v>Cash</v>
      </c>
      <c r="P762" s="38" cm="1">
        <f t="array" ref="P762">ROUND(IF(TRIM(H762)="",IFERROR(MEDIAN(IF($M$2:$M$1500=M762,$H$2:$H$1500)),MEDIAN($H$2:$H$1500)),H762),2)</f>
        <v>13.84</v>
      </c>
      <c r="Q762" s="38" t="str">
        <f t="shared" si="69"/>
        <v>2+</v>
      </c>
      <c r="R762" s="39" cm="1">
        <f t="array" ref="R762">IF(OR(TRIM(J762)="",TRIM(J762)="-"),MEDIAN(IF($C$2:$C$1218=C762,$J$2:$J$1218)),VALUE(SUBSTITUTE(SUBSTITUTE(SUBSTITUTE(J762,"Rs. ",""),"₹",""),",","")))</f>
        <v>8215</v>
      </c>
      <c r="S762" s="40">
        <f t="shared" si="67"/>
        <v>0</v>
      </c>
      <c r="T762" s="41">
        <f t="shared" si="70"/>
        <v>0</v>
      </c>
      <c r="U762" s="42">
        <f t="shared" si="71"/>
        <v>8215</v>
      </c>
    </row>
    <row r="763" spans="1:21" x14ac:dyDescent="0.3">
      <c r="A763" s="37" t="s">
        <v>4194</v>
      </c>
      <c r="B763" s="37" t="s">
        <v>4195</v>
      </c>
      <c r="C763" s="37" t="s">
        <v>2431</v>
      </c>
      <c r="D763" s="37" t="s">
        <v>78</v>
      </c>
      <c r="E763" s="37" t="s">
        <v>79</v>
      </c>
      <c r="F763" s="37" t="s">
        <v>49</v>
      </c>
      <c r="G763" s="37" t="s">
        <v>2423</v>
      </c>
      <c r="H763" s="37">
        <v>24.73</v>
      </c>
      <c r="I763" s="37">
        <v>37</v>
      </c>
      <c r="J763" s="37">
        <v>18789</v>
      </c>
      <c r="K763" s="37" t="s">
        <v>83</v>
      </c>
      <c r="L763" s="37" t="s">
        <v>140</v>
      </c>
      <c r="M763" s="37" t="str">
        <f t="shared" si="68"/>
        <v>General</v>
      </c>
      <c r="N763" s="37" t="str">
        <f t="shared" si="66"/>
        <v>Debit Card</v>
      </c>
      <c r="O763" s="37" t="str" cm="1">
        <f t="array" ref="O763">IF(TRIM(N763)="",INDEX($N$2:$N$1500,MATCH(MAX(COUNTIF($N$2:$N$1500,$N$2:$N$1500)),COUNTIF($N$2:$N$1500,$N$2:$N$1500),0)),N763)</f>
        <v>Debit Card</v>
      </c>
      <c r="P763" s="38" cm="1">
        <f t="array" ref="P763">ROUND(IF(TRIM(H763)="",IFERROR(MEDIAN(IF($M$2:$M$1500=M763,$H$2:$H$1500)),MEDIAN($H$2:$H$1500)),H763),2)</f>
        <v>24.73</v>
      </c>
      <c r="Q763" s="38" t="str">
        <f t="shared" si="69"/>
        <v>0</v>
      </c>
      <c r="R763" s="39" cm="1">
        <f t="array" ref="R763">IF(OR(TRIM(J763)="",TRIM(J763)="-"),MEDIAN(IF($C$2:$C$1218=C763,$J$2:$J$1218)),VALUE(SUBSTITUTE(SUBSTITUTE(SUBSTITUTE(J763,"Rs. ",""),"₹",""),",","")))</f>
        <v>18789</v>
      </c>
      <c r="S763" s="40" t="str">
        <f t="shared" si="67"/>
        <v>-</v>
      </c>
      <c r="T763" s="41">
        <f t="shared" si="70"/>
        <v>3</v>
      </c>
      <c r="U763" s="42">
        <f t="shared" si="71"/>
        <v>18225</v>
      </c>
    </row>
    <row r="764" spans="1:21" x14ac:dyDescent="0.3">
      <c r="A764" s="37" t="s">
        <v>4196</v>
      </c>
      <c r="B764" s="37" t="s">
        <v>2782</v>
      </c>
      <c r="C764" s="37" t="s">
        <v>2469</v>
      </c>
      <c r="D764" s="37" t="s">
        <v>106</v>
      </c>
      <c r="E764" s="37" t="s">
        <v>107</v>
      </c>
      <c r="F764" s="37" t="s">
        <v>39</v>
      </c>
      <c r="G764" s="37" t="s">
        <v>2418</v>
      </c>
      <c r="H764" s="37">
        <v>18.170000000000002</v>
      </c>
      <c r="I764" s="37">
        <v>18</v>
      </c>
      <c r="J764" s="37">
        <v>17103</v>
      </c>
      <c r="K764" s="37" t="s">
        <v>97</v>
      </c>
      <c r="L764" s="37">
        <v>0</v>
      </c>
      <c r="M764" s="37" t="str">
        <f t="shared" si="68"/>
        <v>General</v>
      </c>
      <c r="N764" s="37" t="str">
        <f t="shared" si="66"/>
        <v>UPI</v>
      </c>
      <c r="O764" s="37" t="str" cm="1">
        <f t="array" ref="O764">IF(TRIM(N764)="",INDEX($N$2:$N$1500,MATCH(MAX(COUNTIF($N$2:$N$1500,$N$2:$N$1500)),COUNTIF($N$2:$N$1500,$N$2:$N$1500),0)),N764)</f>
        <v>UPI</v>
      </c>
      <c r="P764" s="38" cm="1">
        <f t="array" ref="P764">ROUND(IF(TRIM(H764)="",IFERROR(MEDIAN(IF($M$2:$M$1500=M764,$H$2:$H$1500)),MEDIAN($H$2:$H$1500)),H764),2)</f>
        <v>18.170000000000002</v>
      </c>
      <c r="Q764" s="38" t="str">
        <f t="shared" si="69"/>
        <v>1</v>
      </c>
      <c r="R764" s="39" cm="1">
        <f t="array" ref="R764">IF(OR(TRIM(J764)="",TRIM(J764)="-"),MEDIAN(IF($C$2:$C$1218=C764,$J$2:$J$1218)),VALUE(SUBSTITUTE(SUBSTITUTE(SUBSTITUTE(J764,"Rs. ",""),"₹",""),",","")))</f>
        <v>17103</v>
      </c>
      <c r="S764" s="40">
        <f t="shared" si="67"/>
        <v>0</v>
      </c>
      <c r="T764" s="41">
        <f t="shared" si="70"/>
        <v>0</v>
      </c>
      <c r="U764" s="42">
        <f t="shared" si="71"/>
        <v>17103</v>
      </c>
    </row>
    <row r="765" spans="1:21" x14ac:dyDescent="0.3">
      <c r="A765" s="37" t="s">
        <v>4197</v>
      </c>
      <c r="B765" s="37" t="s">
        <v>4198</v>
      </c>
      <c r="C765" s="37" t="s">
        <v>2422</v>
      </c>
      <c r="D765" s="37" t="s">
        <v>117</v>
      </c>
      <c r="E765" s="37" t="s">
        <v>118</v>
      </c>
      <c r="F765" s="37" t="s">
        <v>39</v>
      </c>
      <c r="G765" s="37" t="s">
        <v>2428</v>
      </c>
      <c r="H765" s="37">
        <v>6.48</v>
      </c>
      <c r="I765" s="37">
        <v>43</v>
      </c>
      <c r="J765" s="37">
        <v>18227</v>
      </c>
      <c r="K765" s="37" t="s">
        <v>104</v>
      </c>
      <c r="L765" s="37" t="s">
        <v>886</v>
      </c>
      <c r="M765" s="37" t="str">
        <f t="shared" si="68"/>
        <v>General</v>
      </c>
      <c r="N765" s="37" t="str">
        <f t="shared" si="66"/>
        <v>Insurance</v>
      </c>
      <c r="O765" s="37" t="str" cm="1">
        <f t="array" ref="O765">IF(TRIM(N765)="",INDEX($N$2:$N$1500,MATCH(MAX(COUNTIF($N$2:$N$1500,$N$2:$N$1500)),COUNTIF($N$2:$N$1500,$N$2:$N$1500),0)),N765)</f>
        <v>Insurance</v>
      </c>
      <c r="P765" s="38" cm="1">
        <f t="array" ref="P765">ROUND(IF(TRIM(H765)="",IFERROR(MEDIAN(IF($M$2:$M$1500=M765,$H$2:$H$1500)),MEDIAN($H$2:$H$1500)),H765),2)</f>
        <v>6.48</v>
      </c>
      <c r="Q765" s="38" t="str">
        <f t="shared" si="69"/>
        <v>2</v>
      </c>
      <c r="R765" s="39" cm="1">
        <f t="array" ref="R765">IF(OR(TRIM(J765)="",TRIM(J765)="-"),MEDIAN(IF($C$2:$C$1218=C765,$J$2:$J$1218)),VALUE(SUBSTITUTE(SUBSTITUTE(SUBSTITUTE(J765,"Rs. ",""),"₹",""),",","")))</f>
        <v>18227</v>
      </c>
      <c r="S765" s="40">
        <f t="shared" si="67"/>
        <v>15</v>
      </c>
      <c r="T765" s="41">
        <f t="shared" si="70"/>
        <v>15</v>
      </c>
      <c r="U765" s="42">
        <f t="shared" si="71"/>
        <v>15493</v>
      </c>
    </row>
    <row r="766" spans="1:21" x14ac:dyDescent="0.3">
      <c r="A766" s="37" t="s">
        <v>4199</v>
      </c>
      <c r="B766" s="37" t="s">
        <v>4200</v>
      </c>
      <c r="C766" s="37" t="s">
        <v>2459</v>
      </c>
      <c r="D766" s="37" t="s">
        <v>14</v>
      </c>
      <c r="E766" s="37" t="s">
        <v>15</v>
      </c>
      <c r="F766" s="37" t="s">
        <v>19</v>
      </c>
      <c r="G766" s="37" t="s">
        <v>2450</v>
      </c>
      <c r="H766" s="37">
        <v>19.739999999999998</v>
      </c>
      <c r="I766" s="37">
        <v>24</v>
      </c>
      <c r="J766" s="37" t="s">
        <v>4201</v>
      </c>
      <c r="K766" s="37" t="s">
        <v>42</v>
      </c>
      <c r="L766" s="37">
        <v>35</v>
      </c>
      <c r="M766" s="37" t="str">
        <f t="shared" si="68"/>
        <v>General</v>
      </c>
      <c r="N766" s="37" t="str">
        <f t="shared" si="66"/>
        <v>Insurance</v>
      </c>
      <c r="O766" s="37" t="str" cm="1">
        <f t="array" ref="O766">IF(TRIM(N766)="",INDEX($N$2:$N$1500,MATCH(MAX(COUNTIF($N$2:$N$1500,$N$2:$N$1500)),COUNTIF($N$2:$N$1500,$N$2:$N$1500),0)),N766)</f>
        <v>Insurance</v>
      </c>
      <c r="P766" s="38" cm="1">
        <f t="array" ref="P766">ROUND(IF(TRIM(H766)="",IFERROR(MEDIAN(IF($M$2:$M$1500=M766,$H$2:$H$1500)),MEDIAN($H$2:$H$1500)),H766),2)</f>
        <v>19.739999999999998</v>
      </c>
      <c r="Q766" s="38" t="str">
        <f t="shared" si="69"/>
        <v>1</v>
      </c>
      <c r="R766" s="39" cm="1">
        <f t="array" ref="R766">IF(OR(TRIM(J766)="",TRIM(J766)="-"),MEDIAN(IF($C$2:$C$1218=C766,$J$2:$J$1218)),VALUE(SUBSTITUTE(SUBSTITUTE(SUBSTITUTE(J766,"Rs. ",""),"₹",""),",","")))</f>
        <v>9558</v>
      </c>
      <c r="S766" s="40">
        <f t="shared" si="67"/>
        <v>35</v>
      </c>
      <c r="T766" s="41">
        <f t="shared" si="70"/>
        <v>35</v>
      </c>
      <c r="U766" s="42">
        <f t="shared" si="71"/>
        <v>6213</v>
      </c>
    </row>
    <row r="767" spans="1:21" x14ac:dyDescent="0.3">
      <c r="A767" s="37" t="s">
        <v>4202</v>
      </c>
      <c r="B767" s="37" t="s">
        <v>4203</v>
      </c>
      <c r="C767" s="37" t="s">
        <v>2481</v>
      </c>
      <c r="D767" s="37" t="s">
        <v>117</v>
      </c>
      <c r="E767" s="37" t="s">
        <v>118</v>
      </c>
      <c r="F767" s="37" t="s">
        <v>49</v>
      </c>
      <c r="G767" s="37" t="s">
        <v>2408</v>
      </c>
      <c r="H767" s="37">
        <v>23.53</v>
      </c>
      <c r="I767" s="37">
        <v>10</v>
      </c>
      <c r="J767" s="37">
        <v>11312</v>
      </c>
      <c r="K767" s="37" t="s">
        <v>115</v>
      </c>
      <c r="L767" s="37"/>
      <c r="M767" s="37" t="str">
        <f t="shared" si="68"/>
        <v>General</v>
      </c>
      <c r="N767" s="37" t="str">
        <f t="shared" si="66"/>
        <v>Cash</v>
      </c>
      <c r="O767" s="37" t="str" cm="1">
        <f t="array" ref="O767">IF(TRIM(N767)="",INDEX($N$2:$N$1500,MATCH(MAX(COUNTIF($N$2:$N$1500,$N$2:$N$1500)),COUNTIF($N$2:$N$1500,$N$2:$N$1500),0)),N767)</f>
        <v>Cash</v>
      </c>
      <c r="P767" s="38" cm="1">
        <f t="array" ref="P767">ROUND(IF(TRIM(H767)="",IFERROR(MEDIAN(IF($M$2:$M$1500=M767,$H$2:$H$1500)),MEDIAN($H$2:$H$1500)),H767),2)</f>
        <v>23.53</v>
      </c>
      <c r="Q767" s="38" t="str">
        <f t="shared" si="69"/>
        <v>0</v>
      </c>
      <c r="R767" s="39" cm="1">
        <f t="array" ref="R767">IF(OR(TRIM(J767)="",TRIM(J767)="-"),MEDIAN(IF($C$2:$C$1218=C767,$J$2:$J$1218)),VALUE(SUBSTITUTE(SUBSTITUTE(SUBSTITUTE(J767,"Rs. ",""),"₹",""),",","")))</f>
        <v>11312</v>
      </c>
      <c r="S767" s="40">
        <f t="shared" si="67"/>
        <v>0</v>
      </c>
      <c r="T767" s="41">
        <f t="shared" si="70"/>
        <v>0</v>
      </c>
      <c r="U767" s="42">
        <f t="shared" si="71"/>
        <v>11312</v>
      </c>
    </row>
    <row r="768" spans="1:21" x14ac:dyDescent="0.3">
      <c r="A768" s="37" t="s">
        <v>4204</v>
      </c>
      <c r="B768" s="37" t="s">
        <v>4205</v>
      </c>
      <c r="C768" s="37" t="s">
        <v>2407</v>
      </c>
      <c r="D768" s="37" t="s">
        <v>25</v>
      </c>
      <c r="E768" s="37" t="s">
        <v>54</v>
      </c>
      <c r="F768" s="37" t="s">
        <v>49</v>
      </c>
      <c r="G768" s="37" t="s">
        <v>2450</v>
      </c>
      <c r="H768" s="37">
        <v>9.23</v>
      </c>
      <c r="I768" s="37">
        <v>13</v>
      </c>
      <c r="J768" s="37" t="s">
        <v>4206</v>
      </c>
      <c r="K768" s="37" t="s">
        <v>83</v>
      </c>
      <c r="L768" s="37">
        <v>0</v>
      </c>
      <c r="M768" s="37" t="str">
        <f t="shared" si="68"/>
        <v>General</v>
      </c>
      <c r="N768" s="37" t="str">
        <f t="shared" si="66"/>
        <v>Debit Card</v>
      </c>
      <c r="O768" s="37" t="str" cm="1">
        <f t="array" ref="O768">IF(TRIM(N768)="",INDEX($N$2:$N$1500,MATCH(MAX(COUNTIF($N$2:$N$1500,$N$2:$N$1500)),COUNTIF($N$2:$N$1500,$N$2:$N$1500),0)),N768)</f>
        <v>Debit Card</v>
      </c>
      <c r="P768" s="38" cm="1">
        <f t="array" ref="P768">ROUND(IF(TRIM(H768)="",IFERROR(MEDIAN(IF($M$2:$M$1500=M768,$H$2:$H$1500)),MEDIAN($H$2:$H$1500)),H768),2)</f>
        <v>9.23</v>
      </c>
      <c r="Q768" s="38" t="str">
        <f t="shared" si="69"/>
        <v>1</v>
      </c>
      <c r="R768" s="39" cm="1">
        <f t="array" ref="R768">IF(OR(TRIM(J768)="",TRIM(J768)="-"),MEDIAN(IF($C$2:$C$1218=C768,$J$2:$J$1218)),VALUE(SUBSTITUTE(SUBSTITUTE(SUBSTITUTE(J768,"Rs. ",""),"₹",""),",","")))</f>
        <v>7557</v>
      </c>
      <c r="S768" s="40">
        <f t="shared" si="67"/>
        <v>0</v>
      </c>
      <c r="T768" s="41">
        <f t="shared" si="70"/>
        <v>0</v>
      </c>
      <c r="U768" s="42">
        <f t="shared" si="71"/>
        <v>7557</v>
      </c>
    </row>
    <row r="769" spans="1:21" x14ac:dyDescent="0.3">
      <c r="A769" s="37" t="s">
        <v>4207</v>
      </c>
      <c r="B769" s="37" t="s">
        <v>3434</v>
      </c>
      <c r="C769" s="37" t="s">
        <v>2521</v>
      </c>
      <c r="D769" s="37" t="s">
        <v>25</v>
      </c>
      <c r="E769" s="37" t="s">
        <v>54</v>
      </c>
      <c r="F769" s="37" t="s">
        <v>49</v>
      </c>
      <c r="G769" s="37" t="s">
        <v>2408</v>
      </c>
      <c r="H769" s="37">
        <v>0.74</v>
      </c>
      <c r="I769" s="37">
        <v>38</v>
      </c>
      <c r="J769" s="37" t="s">
        <v>4208</v>
      </c>
      <c r="K769" s="37" t="s">
        <v>311</v>
      </c>
      <c r="L769" s="37" t="s">
        <v>130</v>
      </c>
      <c r="M769" s="37" t="str">
        <f t="shared" si="68"/>
        <v>General</v>
      </c>
      <c r="N769" s="37" t="str">
        <f t="shared" si="66"/>
        <v>UPI</v>
      </c>
      <c r="O769" s="37" t="str" cm="1">
        <f t="array" ref="O769">IF(TRIM(N769)="",INDEX($N$2:$N$1500,MATCH(MAX(COUNTIF($N$2:$N$1500,$N$2:$N$1500)),COUNTIF($N$2:$N$1500,$N$2:$N$1500),0)),N769)</f>
        <v>UPI</v>
      </c>
      <c r="P769" s="38" cm="1">
        <f t="array" ref="P769">ROUND(IF(TRIM(H769)="",IFERROR(MEDIAN(IF($M$2:$M$1500=M769,$H$2:$H$1500)),MEDIAN($H$2:$H$1500)),H769),2)</f>
        <v>0.74</v>
      </c>
      <c r="Q769" s="38" t="str">
        <f t="shared" si="69"/>
        <v>0</v>
      </c>
      <c r="R769" s="39" cm="1">
        <f t="array" ref="R769">IF(OR(TRIM(J769)="",TRIM(J769)="-"),MEDIAN(IF($C$2:$C$1218=C769,$J$2:$J$1218)),VALUE(SUBSTITUTE(SUBSTITUTE(SUBSTITUTE(J769,"Rs. ",""),"₹",""),",","")))</f>
        <v>15985</v>
      </c>
      <c r="S769" s="40">
        <f t="shared" si="67"/>
        <v>0</v>
      </c>
      <c r="T769" s="41">
        <f t="shared" si="70"/>
        <v>0</v>
      </c>
      <c r="U769" s="42">
        <f t="shared" si="71"/>
        <v>15985</v>
      </c>
    </row>
    <row r="770" spans="1:21" x14ac:dyDescent="0.3">
      <c r="A770" s="37" t="s">
        <v>4209</v>
      </c>
      <c r="B770" s="37" t="s">
        <v>4210</v>
      </c>
      <c r="C770" s="37" t="s">
        <v>2485</v>
      </c>
      <c r="D770" s="37" t="s">
        <v>78</v>
      </c>
      <c r="E770" s="37" t="s">
        <v>161</v>
      </c>
      <c r="F770" s="37" t="s">
        <v>69</v>
      </c>
      <c r="G770" s="37"/>
      <c r="H770" s="37">
        <v>7.33</v>
      </c>
      <c r="I770" s="37"/>
      <c r="J770" s="37" t="s">
        <v>4211</v>
      </c>
      <c r="K770" s="37"/>
      <c r="L770" s="37">
        <v>0</v>
      </c>
      <c r="M770" s="37" t="str">
        <f t="shared" si="68"/>
        <v>ICU</v>
      </c>
      <c r="N770" s="37" t="str">
        <f t="shared" ref="N770:N833" si="72">IF(OR(UPPER(TRIM(K770))="CREDIT_CARD",UPPER(TRIM(K770))="CREDIT CARD",UPPER(TRIM(K770))="CC"),"Credit Card", IF(OR(UPPER(TRIM(K770))="DEBIT_CARD",UPPER(TRIM(K770))="DEBIT CARD",UPPER(TRIM(K770))="DC"),"Debit Card", IF(UPPER(TRIM(K770))="CASH","Cash", IF(UPPER(TRIM(K770))="UPI","UPI", IF(OR(UPPER(TRIM(K770))="INSURANCE",UPPER(TRIM(K770))="INS"),"Insurance", IF(TRIM(K770)="","Unknown","Unknown"))))))</f>
        <v>Unknown</v>
      </c>
      <c r="O770" s="37" t="str" cm="1">
        <f t="array" ref="O770">IF(TRIM(N770)="",INDEX($N$2:$N$1500,MATCH(MAX(COUNTIF($N$2:$N$1500,$N$2:$N$1500)),COUNTIF($N$2:$N$1500,$N$2:$N$1500),0)),N770)</f>
        <v>Unknown</v>
      </c>
      <c r="P770" s="38" cm="1">
        <f t="array" ref="P770">ROUND(IF(TRIM(H770)="",IFERROR(MEDIAN(IF($M$2:$M$1500=M770,$H$2:$H$1500)),MEDIAN($H$2:$H$1500)),H770),2)</f>
        <v>7.33</v>
      </c>
      <c r="Q770" s="38" t="str">
        <f t="shared" si="69"/>
        <v>Unknown</v>
      </c>
      <c r="R770" s="39" cm="1">
        <f t="array" ref="R770">IF(OR(TRIM(J770)="",TRIM(J770)="-"),MEDIAN(IF($C$2:$C$1218=C770,$J$2:$J$1218)),VALUE(SUBSTITUTE(SUBSTITUTE(SUBSTITUTE(J770,"Rs. ",""),"₹",""),",","")))</f>
        <v>55794</v>
      </c>
      <c r="S770" s="40">
        <f t="shared" ref="S770:S833" si="73">IF(RIGHT(TRIM(L770),1)="%",VALUE(LEFT(TRIM(L770),LEN(TRIM(L770))-1)),IF(AND(ISNUMBER(L770),L770&lt;=1,,L770&gt;0),L770*100,L770))</f>
        <v>0</v>
      </c>
      <c r="T770" s="41">
        <f t="shared" si="70"/>
        <v>0</v>
      </c>
      <c r="U770" s="42">
        <f t="shared" si="71"/>
        <v>55794</v>
      </c>
    </row>
    <row r="771" spans="1:21" x14ac:dyDescent="0.3">
      <c r="A771" s="37" t="s">
        <v>4212</v>
      </c>
      <c r="B771" s="37" t="s">
        <v>4213</v>
      </c>
      <c r="C771" s="37" t="s">
        <v>2494</v>
      </c>
      <c r="D771" s="37" t="s">
        <v>117</v>
      </c>
      <c r="E771" s="37" t="s">
        <v>127</v>
      </c>
      <c r="F771" s="37" t="s">
        <v>30</v>
      </c>
      <c r="G771" s="37" t="s">
        <v>2435</v>
      </c>
      <c r="H771" s="37">
        <v>13.88</v>
      </c>
      <c r="I771" s="37">
        <v>15</v>
      </c>
      <c r="J771" s="37" t="s">
        <v>4214</v>
      </c>
      <c r="K771" s="37" t="s">
        <v>149</v>
      </c>
      <c r="L771" s="37" t="s">
        <v>76</v>
      </c>
      <c r="M771" s="37" t="str">
        <f t="shared" ref="M771:M834" si="74">IF(OR(UPPER(TRIM(F771))="GENERAL",UPPER(TRIM(F771))="GENRAL"),"General",IF(UPPER(TRIM(F771))="ICU","ICU","Unknown"))</f>
        <v>General</v>
      </c>
      <c r="N771" s="37" t="str">
        <f t="shared" si="72"/>
        <v>Insurance</v>
      </c>
      <c r="O771" s="37" t="str" cm="1">
        <f t="array" ref="O771">IF(TRIM(N771)="",INDEX($N$2:$N$1500,MATCH(MAX(COUNTIF($N$2:$N$1500,$N$2:$N$1500)),COUNTIF($N$2:$N$1500,$N$2:$N$1500),0)),N771)</f>
        <v>Insurance</v>
      </c>
      <c r="P771" s="38" cm="1">
        <f t="array" ref="P771">ROUND(IF(TRIM(H771)="",IFERROR(MEDIAN(IF($M$2:$M$1500=M771,$H$2:$H$1500)),MEDIAN($H$2:$H$1500)),H771),2)</f>
        <v>13.88</v>
      </c>
      <c r="Q771" s="38" t="str">
        <f t="shared" ref="Q771:Q834" si="75">IF(OR(LOWER(TRIM(G771))="0",LOWER(TRIM(G771))="zero"),"0", IF(OR(LOWER(TRIM(G771))="1",LOWER(TRIM(G771))="one"),"1", IF(OR(LOWER(TRIM(G771))="2",LOWER(TRIM(G771))="two"),"2", IF(OR(LOWER(TRIM(G771))="2+",LOWER(TRIM(G771))="two_or_more",LOWER(TRIM(G771))="multiple"),"2+", "Unknown"))))</f>
        <v>0</v>
      </c>
      <c r="R771" s="39" cm="1">
        <f t="array" ref="R771">IF(OR(TRIM(J771)="",TRIM(J771)="-"),MEDIAN(IF($C$2:$C$1218=C771,$J$2:$J$1218)),VALUE(SUBSTITUTE(SUBSTITUTE(SUBSTITUTE(J771,"Rs. ",""),"₹",""),",","")))</f>
        <v>18510</v>
      </c>
      <c r="S771" s="40">
        <f t="shared" si="73"/>
        <v>10</v>
      </c>
      <c r="T771" s="41">
        <f t="shared" ref="T771:T834" si="76">ROUND(IF(OR(TRIM(S771)="-",UPPER(TRIM(S771))="N/A",UPPER(TRIM(S771))="NA"),IFERROR(AVERAGEIF($O$2:$O$1500,O771,$S$2:$S$1500),AVERAGE($S$2:$S$1500)),S771),0)</f>
        <v>10</v>
      </c>
      <c r="U771" s="42">
        <f t="shared" ref="U771:U834" si="77">ROUND(R771*(1-T771/100),0)</f>
        <v>16659</v>
      </c>
    </row>
    <row r="772" spans="1:21" x14ac:dyDescent="0.3">
      <c r="A772" s="37" t="s">
        <v>4215</v>
      </c>
      <c r="B772" s="37" t="s">
        <v>3503</v>
      </c>
      <c r="C772" s="37" t="s">
        <v>2431</v>
      </c>
      <c r="D772" s="37" t="s">
        <v>25</v>
      </c>
      <c r="E772" s="37" t="s">
        <v>54</v>
      </c>
      <c r="F772" s="37" t="s">
        <v>39</v>
      </c>
      <c r="G772" s="37"/>
      <c r="H772" s="37">
        <v>4.1100000000000003</v>
      </c>
      <c r="I772" s="37">
        <v>13</v>
      </c>
      <c r="J772" s="37" t="s">
        <v>4216</v>
      </c>
      <c r="K772" s="37" t="s">
        <v>58</v>
      </c>
      <c r="L772" s="37" t="s">
        <v>130</v>
      </c>
      <c r="M772" s="37" t="str">
        <f t="shared" si="74"/>
        <v>General</v>
      </c>
      <c r="N772" s="37" t="str">
        <f t="shared" si="72"/>
        <v>UPI</v>
      </c>
      <c r="O772" s="37" t="str" cm="1">
        <f t="array" ref="O772">IF(TRIM(N772)="",INDEX($N$2:$N$1500,MATCH(MAX(COUNTIF($N$2:$N$1500,$N$2:$N$1500)),COUNTIF($N$2:$N$1500,$N$2:$N$1500),0)),N772)</f>
        <v>UPI</v>
      </c>
      <c r="P772" s="38" cm="1">
        <f t="array" ref="P772">ROUND(IF(TRIM(H772)="",IFERROR(MEDIAN(IF($M$2:$M$1500=M772,$H$2:$H$1500)),MEDIAN($H$2:$H$1500)),H772),2)</f>
        <v>4.1100000000000003</v>
      </c>
      <c r="Q772" s="38" t="str">
        <f t="shared" si="75"/>
        <v>Unknown</v>
      </c>
      <c r="R772" s="39" cm="1">
        <f t="array" ref="R772">IF(OR(TRIM(J772)="",TRIM(J772)="-"),MEDIAN(IF($C$2:$C$1218=C772,$J$2:$J$1218)),VALUE(SUBSTITUTE(SUBSTITUTE(SUBSTITUTE(J772,"Rs. ",""),"₹",""),",","")))</f>
        <v>11553</v>
      </c>
      <c r="S772" s="40">
        <f t="shared" si="73"/>
        <v>0</v>
      </c>
      <c r="T772" s="41">
        <f t="shared" si="76"/>
        <v>0</v>
      </c>
      <c r="U772" s="42">
        <f t="shared" si="77"/>
        <v>11553</v>
      </c>
    </row>
    <row r="773" spans="1:21" x14ac:dyDescent="0.3">
      <c r="A773" s="37" t="s">
        <v>4217</v>
      </c>
      <c r="B773" s="37" t="s">
        <v>2932</v>
      </c>
      <c r="C773" s="37" t="s">
        <v>2463</v>
      </c>
      <c r="D773" s="37" t="s">
        <v>106</v>
      </c>
      <c r="E773" s="37" t="s">
        <v>107</v>
      </c>
      <c r="F773" s="37" t="s">
        <v>39</v>
      </c>
      <c r="G773" s="37" t="s">
        <v>2412</v>
      </c>
      <c r="H773" s="37">
        <v>3.55</v>
      </c>
      <c r="I773" s="37">
        <v>19</v>
      </c>
      <c r="J773" s="37" t="s">
        <v>4218</v>
      </c>
      <c r="K773" s="37" t="s">
        <v>34</v>
      </c>
      <c r="L773" s="37" t="s">
        <v>130</v>
      </c>
      <c r="M773" s="37" t="str">
        <f t="shared" si="74"/>
        <v>General</v>
      </c>
      <c r="N773" s="37" t="str">
        <f t="shared" si="72"/>
        <v>Cash</v>
      </c>
      <c r="O773" s="37" t="str" cm="1">
        <f t="array" ref="O773">IF(TRIM(N773)="",INDEX($N$2:$N$1500,MATCH(MAX(COUNTIF($N$2:$N$1500,$N$2:$N$1500)),COUNTIF($N$2:$N$1500,$N$2:$N$1500),0)),N773)</f>
        <v>Cash</v>
      </c>
      <c r="P773" s="38" cm="1">
        <f t="array" ref="P773">ROUND(IF(TRIM(H773)="",IFERROR(MEDIAN(IF($M$2:$M$1500=M773,$H$2:$H$1500)),MEDIAN($H$2:$H$1500)),H773),2)</f>
        <v>3.55</v>
      </c>
      <c r="Q773" s="38" t="str">
        <f t="shared" si="75"/>
        <v>1</v>
      </c>
      <c r="R773" s="39" cm="1">
        <f t="array" ref="R773">IF(OR(TRIM(J773)="",TRIM(J773)="-"),MEDIAN(IF($C$2:$C$1218=C773,$J$2:$J$1218)),VALUE(SUBSTITUTE(SUBSTITUTE(SUBSTITUTE(J773,"Rs. ",""),"₹",""),",","")))</f>
        <v>9978</v>
      </c>
      <c r="S773" s="40">
        <f t="shared" si="73"/>
        <v>0</v>
      </c>
      <c r="T773" s="41">
        <f t="shared" si="76"/>
        <v>0</v>
      </c>
      <c r="U773" s="42">
        <f t="shared" si="77"/>
        <v>9978</v>
      </c>
    </row>
    <row r="774" spans="1:21" x14ac:dyDescent="0.3">
      <c r="A774" s="37" t="s">
        <v>4219</v>
      </c>
      <c r="B774" s="37" t="s">
        <v>4220</v>
      </c>
      <c r="C774" s="37" t="s">
        <v>2494</v>
      </c>
      <c r="D774" s="37" t="s">
        <v>117</v>
      </c>
      <c r="E774" s="37" t="s">
        <v>127</v>
      </c>
      <c r="F774" s="37" t="s">
        <v>69</v>
      </c>
      <c r="G774" s="37" t="s">
        <v>2418</v>
      </c>
      <c r="H774" s="37">
        <v>23.25</v>
      </c>
      <c r="I774" s="37">
        <v>13</v>
      </c>
      <c r="J774" s="37" t="s">
        <v>4221</v>
      </c>
      <c r="K774" s="37" t="s">
        <v>58</v>
      </c>
      <c r="L774" s="37" t="s">
        <v>140</v>
      </c>
      <c r="M774" s="37" t="str">
        <f t="shared" si="74"/>
        <v>ICU</v>
      </c>
      <c r="N774" s="37" t="str">
        <f t="shared" si="72"/>
        <v>UPI</v>
      </c>
      <c r="O774" s="37" t="str" cm="1">
        <f t="array" ref="O774">IF(TRIM(N774)="",INDEX($N$2:$N$1500,MATCH(MAX(COUNTIF($N$2:$N$1500,$N$2:$N$1500)),COUNTIF($N$2:$N$1500,$N$2:$N$1500),0)),N774)</f>
        <v>UPI</v>
      </c>
      <c r="P774" s="38" cm="1">
        <f t="array" ref="P774">ROUND(IF(TRIM(H774)="",IFERROR(MEDIAN(IF($M$2:$M$1500=M774,$H$2:$H$1500)),MEDIAN($H$2:$H$1500)),H774),2)</f>
        <v>23.25</v>
      </c>
      <c r="Q774" s="38" t="str">
        <f t="shared" si="75"/>
        <v>1</v>
      </c>
      <c r="R774" s="39" cm="1">
        <f t="array" ref="R774">IF(OR(TRIM(J774)="",TRIM(J774)="-"),MEDIAN(IF($C$2:$C$1218=C774,$J$2:$J$1218)),VALUE(SUBSTITUTE(SUBSTITUTE(SUBSTITUTE(J774,"Rs. ",""),"₹",""),",","")))</f>
        <v>68878</v>
      </c>
      <c r="S774" s="40" t="str">
        <f t="shared" si="73"/>
        <v>-</v>
      </c>
      <c r="T774" s="41">
        <f t="shared" si="76"/>
        <v>2</v>
      </c>
      <c r="U774" s="42">
        <f t="shared" si="77"/>
        <v>67500</v>
      </c>
    </row>
    <row r="775" spans="1:21" x14ac:dyDescent="0.3">
      <c r="A775" s="37" t="s">
        <v>4222</v>
      </c>
      <c r="B775" s="37" t="s">
        <v>3624</v>
      </c>
      <c r="C775" s="37" t="s">
        <v>2494</v>
      </c>
      <c r="D775" s="37" t="s">
        <v>78</v>
      </c>
      <c r="E775" s="37" t="s">
        <v>79</v>
      </c>
      <c r="F775" s="37" t="s">
        <v>19</v>
      </c>
      <c r="G775" s="37" t="s">
        <v>2477</v>
      </c>
      <c r="H775" s="37">
        <v>7.31</v>
      </c>
      <c r="I775" s="37">
        <v>53</v>
      </c>
      <c r="J775" s="37">
        <v>3469</v>
      </c>
      <c r="K775" s="37" t="s">
        <v>87</v>
      </c>
      <c r="L775" s="37">
        <v>10</v>
      </c>
      <c r="M775" s="37" t="str">
        <f t="shared" si="74"/>
        <v>General</v>
      </c>
      <c r="N775" s="37" t="str">
        <f t="shared" si="72"/>
        <v>Credit Card</v>
      </c>
      <c r="O775" s="37" t="str" cm="1">
        <f t="array" ref="O775">IF(TRIM(N775)="",INDEX($N$2:$N$1500,MATCH(MAX(COUNTIF($N$2:$N$1500,$N$2:$N$1500)),COUNTIF($N$2:$N$1500,$N$2:$N$1500),0)),N775)</f>
        <v>Credit Card</v>
      </c>
      <c r="P775" s="38" cm="1">
        <f t="array" ref="P775">ROUND(IF(TRIM(H775)="",IFERROR(MEDIAN(IF($M$2:$M$1500=M775,$H$2:$H$1500)),MEDIAN($H$2:$H$1500)),H775),2)</f>
        <v>7.31</v>
      </c>
      <c r="Q775" s="38" t="str">
        <f t="shared" si="75"/>
        <v>0</v>
      </c>
      <c r="R775" s="39" cm="1">
        <f t="array" ref="R775">IF(OR(TRIM(J775)="",TRIM(J775)="-"),MEDIAN(IF($C$2:$C$1218=C775,$J$2:$J$1218)),VALUE(SUBSTITUTE(SUBSTITUTE(SUBSTITUTE(J775,"Rs. ",""),"₹",""),",","")))</f>
        <v>3469</v>
      </c>
      <c r="S775" s="40">
        <f t="shared" si="73"/>
        <v>10</v>
      </c>
      <c r="T775" s="41">
        <f t="shared" si="76"/>
        <v>10</v>
      </c>
      <c r="U775" s="42">
        <f t="shared" si="77"/>
        <v>3122</v>
      </c>
    </row>
    <row r="776" spans="1:21" x14ac:dyDescent="0.3">
      <c r="A776" s="37" t="s">
        <v>4223</v>
      </c>
      <c r="B776" s="37" t="s">
        <v>3073</v>
      </c>
      <c r="C776" s="37" t="s">
        <v>2415</v>
      </c>
      <c r="D776" s="37" t="s">
        <v>25</v>
      </c>
      <c r="E776" s="37" t="s">
        <v>54</v>
      </c>
      <c r="F776" s="37" t="s">
        <v>19</v>
      </c>
      <c r="G776" s="37" t="s">
        <v>2412</v>
      </c>
      <c r="H776" s="37">
        <v>15.4</v>
      </c>
      <c r="I776" s="37">
        <v>29</v>
      </c>
      <c r="J776" s="37">
        <v>15444</v>
      </c>
      <c r="K776" s="37" t="s">
        <v>104</v>
      </c>
      <c r="L776" s="37">
        <v>5</v>
      </c>
      <c r="M776" s="37" t="str">
        <f t="shared" si="74"/>
        <v>General</v>
      </c>
      <c r="N776" s="37" t="str">
        <f t="shared" si="72"/>
        <v>Insurance</v>
      </c>
      <c r="O776" s="37" t="str" cm="1">
        <f t="array" ref="O776">IF(TRIM(N776)="",INDEX($N$2:$N$1500,MATCH(MAX(COUNTIF($N$2:$N$1500,$N$2:$N$1500)),COUNTIF($N$2:$N$1500,$N$2:$N$1500),0)),N776)</f>
        <v>Insurance</v>
      </c>
      <c r="P776" s="38" cm="1">
        <f t="array" ref="P776">ROUND(IF(TRIM(H776)="",IFERROR(MEDIAN(IF($M$2:$M$1500=M776,$H$2:$H$1500)),MEDIAN($H$2:$H$1500)),H776),2)</f>
        <v>15.4</v>
      </c>
      <c r="Q776" s="38" t="str">
        <f t="shared" si="75"/>
        <v>1</v>
      </c>
      <c r="R776" s="39" cm="1">
        <f t="array" ref="R776">IF(OR(TRIM(J776)="",TRIM(J776)="-"),MEDIAN(IF($C$2:$C$1218=C776,$J$2:$J$1218)),VALUE(SUBSTITUTE(SUBSTITUTE(SUBSTITUTE(J776,"Rs. ",""),"₹",""),",","")))</f>
        <v>15444</v>
      </c>
      <c r="S776" s="40">
        <f t="shared" si="73"/>
        <v>5</v>
      </c>
      <c r="T776" s="41">
        <f t="shared" si="76"/>
        <v>5</v>
      </c>
      <c r="U776" s="42">
        <f t="shared" si="77"/>
        <v>14672</v>
      </c>
    </row>
    <row r="777" spans="1:21" x14ac:dyDescent="0.3">
      <c r="A777" s="37" t="s">
        <v>4224</v>
      </c>
      <c r="B777" s="37" t="s">
        <v>4225</v>
      </c>
      <c r="C777" s="37" t="s">
        <v>2481</v>
      </c>
      <c r="D777" s="37" t="s">
        <v>45</v>
      </c>
      <c r="E777" s="37" t="s">
        <v>46</v>
      </c>
      <c r="F777" s="37" t="s">
        <v>30</v>
      </c>
      <c r="G777" s="37" t="s">
        <v>2435</v>
      </c>
      <c r="H777" s="37">
        <v>4.6500000000000004</v>
      </c>
      <c r="I777" s="37">
        <v>40</v>
      </c>
      <c r="J777" s="37">
        <v>7795</v>
      </c>
      <c r="K777" s="37" t="s">
        <v>87</v>
      </c>
      <c r="L777" s="37" t="s">
        <v>130</v>
      </c>
      <c r="M777" s="37" t="str">
        <f t="shared" si="74"/>
        <v>General</v>
      </c>
      <c r="N777" s="37" t="str">
        <f t="shared" si="72"/>
        <v>Credit Card</v>
      </c>
      <c r="O777" s="37" t="str" cm="1">
        <f t="array" ref="O777">IF(TRIM(N777)="",INDEX($N$2:$N$1500,MATCH(MAX(COUNTIF($N$2:$N$1500,$N$2:$N$1500)),COUNTIF($N$2:$N$1500,$N$2:$N$1500),0)),N777)</f>
        <v>Credit Card</v>
      </c>
      <c r="P777" s="38" cm="1">
        <f t="array" ref="P777">ROUND(IF(TRIM(H777)="",IFERROR(MEDIAN(IF($M$2:$M$1500=M777,$H$2:$H$1500)),MEDIAN($H$2:$H$1500)),H777),2)</f>
        <v>4.6500000000000004</v>
      </c>
      <c r="Q777" s="38" t="str">
        <f t="shared" si="75"/>
        <v>0</v>
      </c>
      <c r="R777" s="39" cm="1">
        <f t="array" ref="R777">IF(OR(TRIM(J777)="",TRIM(J777)="-"),MEDIAN(IF($C$2:$C$1218=C777,$J$2:$J$1218)),VALUE(SUBSTITUTE(SUBSTITUTE(SUBSTITUTE(J777,"Rs. ",""),"₹",""),",","")))</f>
        <v>7795</v>
      </c>
      <c r="S777" s="40">
        <f t="shared" si="73"/>
        <v>0</v>
      </c>
      <c r="T777" s="41">
        <f t="shared" si="76"/>
        <v>0</v>
      </c>
      <c r="U777" s="42">
        <f t="shared" si="77"/>
        <v>7795</v>
      </c>
    </row>
    <row r="778" spans="1:21" x14ac:dyDescent="0.3">
      <c r="A778" s="37" t="s">
        <v>4226</v>
      </c>
      <c r="B778" s="37" t="s">
        <v>4227</v>
      </c>
      <c r="C778" s="37" t="s">
        <v>2463</v>
      </c>
      <c r="D778" s="37" t="s">
        <v>78</v>
      </c>
      <c r="E778" s="37" t="s">
        <v>161</v>
      </c>
      <c r="F778" s="37" t="s">
        <v>49</v>
      </c>
      <c r="G778" s="37" t="s">
        <v>2477</v>
      </c>
      <c r="H778" s="37">
        <v>7.09</v>
      </c>
      <c r="I778" s="37">
        <v>55</v>
      </c>
      <c r="J778" s="37">
        <v>8681</v>
      </c>
      <c r="K778" s="37" t="s">
        <v>211</v>
      </c>
      <c r="L778" s="37">
        <v>10</v>
      </c>
      <c r="M778" s="37" t="str">
        <f t="shared" si="74"/>
        <v>General</v>
      </c>
      <c r="N778" s="37" t="str">
        <f t="shared" si="72"/>
        <v>Credit Card</v>
      </c>
      <c r="O778" s="37" t="str" cm="1">
        <f t="array" ref="O778">IF(TRIM(N778)="",INDEX($N$2:$N$1500,MATCH(MAX(COUNTIF($N$2:$N$1500,$N$2:$N$1500)),COUNTIF($N$2:$N$1500,$N$2:$N$1500),0)),N778)</f>
        <v>Credit Card</v>
      </c>
      <c r="P778" s="38" cm="1">
        <f t="array" ref="P778">ROUND(IF(TRIM(H778)="",IFERROR(MEDIAN(IF($M$2:$M$1500=M778,$H$2:$H$1500)),MEDIAN($H$2:$H$1500)),H778),2)</f>
        <v>7.09</v>
      </c>
      <c r="Q778" s="38" t="str">
        <f t="shared" si="75"/>
        <v>0</v>
      </c>
      <c r="R778" s="39" cm="1">
        <f t="array" ref="R778">IF(OR(TRIM(J778)="",TRIM(J778)="-"),MEDIAN(IF($C$2:$C$1218=C778,$J$2:$J$1218)),VALUE(SUBSTITUTE(SUBSTITUTE(SUBSTITUTE(J778,"Rs. ",""),"₹",""),",","")))</f>
        <v>8681</v>
      </c>
      <c r="S778" s="40">
        <f t="shared" si="73"/>
        <v>10</v>
      </c>
      <c r="T778" s="41">
        <f t="shared" si="76"/>
        <v>10</v>
      </c>
      <c r="U778" s="42">
        <f t="shared" si="77"/>
        <v>7813</v>
      </c>
    </row>
    <row r="779" spans="1:21" x14ac:dyDescent="0.3">
      <c r="A779" s="37" t="s">
        <v>4228</v>
      </c>
      <c r="B779" s="37" t="s">
        <v>4229</v>
      </c>
      <c r="C779" s="37" t="s">
        <v>2629</v>
      </c>
      <c r="D779" s="37" t="s">
        <v>78</v>
      </c>
      <c r="E779" s="37" t="s">
        <v>161</v>
      </c>
      <c r="F779" s="37" t="s">
        <v>30</v>
      </c>
      <c r="G779" s="37" t="s">
        <v>2435</v>
      </c>
      <c r="H779" s="37">
        <v>15.88</v>
      </c>
      <c r="I779" s="37">
        <v>6</v>
      </c>
      <c r="J779" s="37" t="s">
        <v>4230</v>
      </c>
      <c r="K779" s="37" t="s">
        <v>104</v>
      </c>
      <c r="L779" s="37" t="s">
        <v>240</v>
      </c>
      <c r="M779" s="37" t="str">
        <f t="shared" si="74"/>
        <v>General</v>
      </c>
      <c r="N779" s="37" t="str">
        <f t="shared" si="72"/>
        <v>Insurance</v>
      </c>
      <c r="O779" s="37" t="str" cm="1">
        <f t="array" ref="O779">IF(TRIM(N779)="",INDEX($N$2:$N$1500,MATCH(MAX(COUNTIF($N$2:$N$1500,$N$2:$N$1500)),COUNTIF($N$2:$N$1500,$N$2:$N$1500),0)),N779)</f>
        <v>Insurance</v>
      </c>
      <c r="P779" s="38" cm="1">
        <f t="array" ref="P779">ROUND(IF(TRIM(H779)="",IFERROR(MEDIAN(IF($M$2:$M$1500=M779,$H$2:$H$1500)),MEDIAN($H$2:$H$1500)),H779),2)</f>
        <v>15.88</v>
      </c>
      <c r="Q779" s="38" t="str">
        <f t="shared" si="75"/>
        <v>0</v>
      </c>
      <c r="R779" s="39" cm="1">
        <f t="array" ref="R779">IF(OR(TRIM(J779)="",TRIM(J779)="-"),MEDIAN(IF($C$2:$C$1218=C779,$J$2:$J$1218)),VALUE(SUBSTITUTE(SUBSTITUTE(SUBSTITUTE(J779,"Rs. ",""),"₹",""),",","")))</f>
        <v>10136</v>
      </c>
      <c r="S779" s="40">
        <f t="shared" si="73"/>
        <v>12</v>
      </c>
      <c r="T779" s="41">
        <f t="shared" si="76"/>
        <v>12</v>
      </c>
      <c r="U779" s="42">
        <f t="shared" si="77"/>
        <v>8920</v>
      </c>
    </row>
    <row r="780" spans="1:21" x14ac:dyDescent="0.3">
      <c r="A780" s="37" t="s">
        <v>4231</v>
      </c>
      <c r="B780" s="37" t="s">
        <v>4232</v>
      </c>
      <c r="C780" s="37" t="s">
        <v>2463</v>
      </c>
      <c r="D780" s="37" t="s">
        <v>78</v>
      </c>
      <c r="E780" s="37" t="s">
        <v>79</v>
      </c>
      <c r="F780" s="37" t="s">
        <v>30</v>
      </c>
      <c r="G780" s="37" t="s">
        <v>2418</v>
      </c>
      <c r="H780" s="37">
        <v>24.34</v>
      </c>
      <c r="I780" s="37">
        <v>50</v>
      </c>
      <c r="J780" s="37">
        <v>14699</v>
      </c>
      <c r="K780" s="37" t="s">
        <v>104</v>
      </c>
      <c r="L780" s="37">
        <v>0.1</v>
      </c>
      <c r="M780" s="37" t="str">
        <f t="shared" si="74"/>
        <v>General</v>
      </c>
      <c r="N780" s="37" t="str">
        <f t="shared" si="72"/>
        <v>Insurance</v>
      </c>
      <c r="O780" s="37" t="str" cm="1">
        <f t="array" ref="O780">IF(TRIM(N780)="",INDEX($N$2:$N$1500,MATCH(MAX(COUNTIF($N$2:$N$1500,$N$2:$N$1500)),COUNTIF($N$2:$N$1500,$N$2:$N$1500),0)),N780)</f>
        <v>Insurance</v>
      </c>
      <c r="P780" s="38" cm="1">
        <f t="array" ref="P780">ROUND(IF(TRIM(H780)="",IFERROR(MEDIAN(IF($M$2:$M$1500=M780,$H$2:$H$1500)),MEDIAN($H$2:$H$1500)),H780),2)</f>
        <v>24.34</v>
      </c>
      <c r="Q780" s="38" t="str">
        <f t="shared" si="75"/>
        <v>1</v>
      </c>
      <c r="R780" s="39" cm="1">
        <f t="array" ref="R780">IF(OR(TRIM(J780)="",TRIM(J780)="-"),MEDIAN(IF($C$2:$C$1218=C780,$J$2:$J$1218)),VALUE(SUBSTITUTE(SUBSTITUTE(SUBSTITUTE(J780,"Rs. ",""),"₹",""),",","")))</f>
        <v>14699</v>
      </c>
      <c r="S780" s="40">
        <f t="shared" si="73"/>
        <v>0.1</v>
      </c>
      <c r="T780" s="41">
        <f t="shared" si="76"/>
        <v>0</v>
      </c>
      <c r="U780" s="42">
        <f t="shared" si="77"/>
        <v>14699</v>
      </c>
    </row>
    <row r="781" spans="1:21" x14ac:dyDescent="0.3">
      <c r="A781" s="37" t="s">
        <v>4233</v>
      </c>
      <c r="B781" s="37" t="s">
        <v>4234</v>
      </c>
      <c r="C781" s="37" t="s">
        <v>2411</v>
      </c>
      <c r="D781" s="37" t="s">
        <v>25</v>
      </c>
      <c r="E781" s="37" t="s">
        <v>26</v>
      </c>
      <c r="F781" s="37" t="s">
        <v>101</v>
      </c>
      <c r="G781" s="37" t="s">
        <v>2993</v>
      </c>
      <c r="H781" s="37">
        <v>15.07</v>
      </c>
      <c r="I781" s="37">
        <v>39</v>
      </c>
      <c r="J781" s="37" t="s">
        <v>4235</v>
      </c>
      <c r="K781" s="37" t="s">
        <v>115</v>
      </c>
      <c r="L781" s="37">
        <v>0</v>
      </c>
      <c r="M781" s="37" t="str">
        <f t="shared" si="74"/>
        <v>ICU</v>
      </c>
      <c r="N781" s="37" t="str">
        <f t="shared" si="72"/>
        <v>Cash</v>
      </c>
      <c r="O781" s="37" t="str" cm="1">
        <f t="array" ref="O781">IF(TRIM(N781)="",INDEX($N$2:$N$1500,MATCH(MAX(COUNTIF($N$2:$N$1500,$N$2:$N$1500)),COUNTIF($N$2:$N$1500,$N$2:$N$1500),0)),N781)</f>
        <v>Cash</v>
      </c>
      <c r="P781" s="38" cm="1">
        <f t="array" ref="P781">ROUND(IF(TRIM(H781)="",IFERROR(MEDIAN(IF($M$2:$M$1500=M781,$H$2:$H$1500)),MEDIAN($H$2:$H$1500)),H781),2)</f>
        <v>15.07</v>
      </c>
      <c r="Q781" s="38" t="str">
        <f t="shared" si="75"/>
        <v>2+</v>
      </c>
      <c r="R781" s="39" cm="1">
        <f t="array" ref="R781">IF(OR(TRIM(J781)="",TRIM(J781)="-"),MEDIAN(IF($C$2:$C$1218=C781,$J$2:$J$1218)),VALUE(SUBSTITUTE(SUBSTITUTE(SUBSTITUTE(J781,"Rs. ",""),"₹",""),",","")))</f>
        <v>78003</v>
      </c>
      <c r="S781" s="40">
        <f t="shared" si="73"/>
        <v>0</v>
      </c>
      <c r="T781" s="41">
        <f t="shared" si="76"/>
        <v>0</v>
      </c>
      <c r="U781" s="42">
        <f t="shared" si="77"/>
        <v>78003</v>
      </c>
    </row>
    <row r="782" spans="1:21" x14ac:dyDescent="0.3">
      <c r="A782" s="37" t="s">
        <v>4236</v>
      </c>
      <c r="B782" s="37" t="s">
        <v>2453</v>
      </c>
      <c r="C782" s="37" t="s">
        <v>2454</v>
      </c>
      <c r="D782" s="37" t="s">
        <v>14</v>
      </c>
      <c r="E782" s="37" t="s">
        <v>60</v>
      </c>
      <c r="F782" s="37" t="s">
        <v>49</v>
      </c>
      <c r="G782" s="37" t="s">
        <v>2412</v>
      </c>
      <c r="H782" s="37">
        <v>18.34</v>
      </c>
      <c r="I782" s="37">
        <v>51</v>
      </c>
      <c r="J782" s="37" t="s">
        <v>4237</v>
      </c>
      <c r="K782" s="37" t="s">
        <v>236</v>
      </c>
      <c r="L782" s="37">
        <v>0.1</v>
      </c>
      <c r="M782" s="37" t="str">
        <f t="shared" si="74"/>
        <v>General</v>
      </c>
      <c r="N782" s="37" t="str">
        <f t="shared" si="72"/>
        <v>Debit Card</v>
      </c>
      <c r="O782" s="37" t="str" cm="1">
        <f t="array" ref="O782">IF(TRIM(N782)="",INDEX($N$2:$N$1500,MATCH(MAX(COUNTIF($N$2:$N$1500,$N$2:$N$1500)),COUNTIF($N$2:$N$1500,$N$2:$N$1500),0)),N782)</f>
        <v>Debit Card</v>
      </c>
      <c r="P782" s="38" cm="1">
        <f t="array" ref="P782">ROUND(IF(TRIM(H782)="",IFERROR(MEDIAN(IF($M$2:$M$1500=M782,$H$2:$H$1500)),MEDIAN($H$2:$H$1500)),H782),2)</f>
        <v>18.34</v>
      </c>
      <c r="Q782" s="38" t="str">
        <f t="shared" si="75"/>
        <v>1</v>
      </c>
      <c r="R782" s="39" cm="1">
        <f t="array" ref="R782">IF(OR(TRIM(J782)="",TRIM(J782)="-"),MEDIAN(IF($C$2:$C$1218=C782,$J$2:$J$1218)),VALUE(SUBSTITUTE(SUBSTITUTE(SUBSTITUTE(J782,"Rs. ",""),"₹",""),",","")))</f>
        <v>17441</v>
      </c>
      <c r="S782" s="40">
        <f t="shared" si="73"/>
        <v>0.1</v>
      </c>
      <c r="T782" s="41">
        <f t="shared" si="76"/>
        <v>0</v>
      </c>
      <c r="U782" s="42">
        <f t="shared" si="77"/>
        <v>17441</v>
      </c>
    </row>
    <row r="783" spans="1:21" x14ac:dyDescent="0.3">
      <c r="A783" s="37" t="s">
        <v>4238</v>
      </c>
      <c r="B783" s="37" t="s">
        <v>4239</v>
      </c>
      <c r="C783" s="37" t="s">
        <v>2518</v>
      </c>
      <c r="D783" s="37" t="s">
        <v>45</v>
      </c>
      <c r="E783" s="37" t="s">
        <v>46</v>
      </c>
      <c r="F783" s="37" t="s">
        <v>39</v>
      </c>
      <c r="G783" s="37" t="s">
        <v>2477</v>
      </c>
      <c r="H783" s="37">
        <v>23.24</v>
      </c>
      <c r="I783" s="37">
        <v>54</v>
      </c>
      <c r="J783" s="37" t="s">
        <v>4240</v>
      </c>
      <c r="K783" s="37" t="s">
        <v>42</v>
      </c>
      <c r="L783" s="37">
        <v>10</v>
      </c>
      <c r="M783" s="37" t="str">
        <f t="shared" si="74"/>
        <v>General</v>
      </c>
      <c r="N783" s="37" t="str">
        <f t="shared" si="72"/>
        <v>Insurance</v>
      </c>
      <c r="O783" s="37" t="str" cm="1">
        <f t="array" ref="O783">IF(TRIM(N783)="",INDEX($N$2:$N$1500,MATCH(MAX(COUNTIF($N$2:$N$1500,$N$2:$N$1500)),COUNTIF($N$2:$N$1500,$N$2:$N$1500),0)),N783)</f>
        <v>Insurance</v>
      </c>
      <c r="P783" s="38" cm="1">
        <f t="array" ref="P783">ROUND(IF(TRIM(H783)="",IFERROR(MEDIAN(IF($M$2:$M$1500=M783,$H$2:$H$1500)),MEDIAN($H$2:$H$1500)),H783),2)</f>
        <v>23.24</v>
      </c>
      <c r="Q783" s="38" t="str">
        <f t="shared" si="75"/>
        <v>0</v>
      </c>
      <c r="R783" s="39" cm="1">
        <f t="array" ref="R783">IF(OR(TRIM(J783)="",TRIM(J783)="-"),MEDIAN(IF($C$2:$C$1218=C783,$J$2:$J$1218)),VALUE(SUBSTITUTE(SUBSTITUTE(SUBSTITUTE(J783,"Rs. ",""),"₹",""),",","")))</f>
        <v>9530</v>
      </c>
      <c r="S783" s="40">
        <f t="shared" si="73"/>
        <v>10</v>
      </c>
      <c r="T783" s="41">
        <f t="shared" si="76"/>
        <v>10</v>
      </c>
      <c r="U783" s="42">
        <f t="shared" si="77"/>
        <v>8577</v>
      </c>
    </row>
    <row r="784" spans="1:21" x14ac:dyDescent="0.3">
      <c r="A784" s="37" t="s">
        <v>4241</v>
      </c>
      <c r="B784" s="37" t="s">
        <v>4242</v>
      </c>
      <c r="C784" s="37" t="s">
        <v>2490</v>
      </c>
      <c r="D784" s="37" t="s">
        <v>106</v>
      </c>
      <c r="E784" s="37" t="s">
        <v>307</v>
      </c>
      <c r="F784" s="37" t="s">
        <v>101</v>
      </c>
      <c r="G784" s="37" t="s">
        <v>2477</v>
      </c>
      <c r="H784" s="37">
        <v>8.86</v>
      </c>
      <c r="I784" s="37">
        <v>56</v>
      </c>
      <c r="J784" s="37">
        <v>80703</v>
      </c>
      <c r="K784" s="37" t="s">
        <v>115</v>
      </c>
      <c r="L784" s="37">
        <v>0</v>
      </c>
      <c r="M784" s="37" t="str">
        <f t="shared" si="74"/>
        <v>ICU</v>
      </c>
      <c r="N784" s="37" t="str">
        <f t="shared" si="72"/>
        <v>Cash</v>
      </c>
      <c r="O784" s="37" t="str" cm="1">
        <f t="array" ref="O784">IF(TRIM(N784)="",INDEX($N$2:$N$1500,MATCH(MAX(COUNTIF($N$2:$N$1500,$N$2:$N$1500)),COUNTIF($N$2:$N$1500,$N$2:$N$1500),0)),N784)</f>
        <v>Cash</v>
      </c>
      <c r="P784" s="38" cm="1">
        <f t="array" ref="P784">ROUND(IF(TRIM(H784)="",IFERROR(MEDIAN(IF($M$2:$M$1500=M784,$H$2:$H$1500)),MEDIAN($H$2:$H$1500)),H784),2)</f>
        <v>8.86</v>
      </c>
      <c r="Q784" s="38" t="str">
        <f t="shared" si="75"/>
        <v>0</v>
      </c>
      <c r="R784" s="39" cm="1">
        <f t="array" ref="R784">IF(OR(TRIM(J784)="",TRIM(J784)="-"),MEDIAN(IF($C$2:$C$1218=C784,$J$2:$J$1218)),VALUE(SUBSTITUTE(SUBSTITUTE(SUBSTITUTE(J784,"Rs. ",""),"₹",""),",","")))</f>
        <v>80703</v>
      </c>
      <c r="S784" s="40">
        <f t="shared" si="73"/>
        <v>0</v>
      </c>
      <c r="T784" s="41">
        <f t="shared" si="76"/>
        <v>0</v>
      </c>
      <c r="U784" s="42">
        <f t="shared" si="77"/>
        <v>80703</v>
      </c>
    </row>
    <row r="785" spans="1:21" x14ac:dyDescent="0.3">
      <c r="A785" s="37" t="s">
        <v>4243</v>
      </c>
      <c r="B785" s="37" t="s">
        <v>4244</v>
      </c>
      <c r="C785" s="37" t="s">
        <v>2561</v>
      </c>
      <c r="D785" s="37" t="s">
        <v>106</v>
      </c>
      <c r="E785" s="37" t="s">
        <v>107</v>
      </c>
      <c r="F785" s="37" t="s">
        <v>39</v>
      </c>
      <c r="G785" s="37" t="s">
        <v>2477</v>
      </c>
      <c r="H785" s="37">
        <v>4.01</v>
      </c>
      <c r="I785" s="37"/>
      <c r="J785" s="37" t="s">
        <v>4245</v>
      </c>
      <c r="K785" s="37" t="s">
        <v>34</v>
      </c>
      <c r="L785" s="37">
        <v>0</v>
      </c>
      <c r="M785" s="37" t="str">
        <f t="shared" si="74"/>
        <v>General</v>
      </c>
      <c r="N785" s="37" t="str">
        <f t="shared" si="72"/>
        <v>Cash</v>
      </c>
      <c r="O785" s="37" t="str" cm="1">
        <f t="array" ref="O785">IF(TRIM(N785)="",INDEX($N$2:$N$1500,MATCH(MAX(COUNTIF($N$2:$N$1500,$N$2:$N$1500)),COUNTIF($N$2:$N$1500,$N$2:$N$1500),0)),N785)</f>
        <v>Cash</v>
      </c>
      <c r="P785" s="38" cm="1">
        <f t="array" ref="P785">ROUND(IF(TRIM(H785)="",IFERROR(MEDIAN(IF($M$2:$M$1500=M785,$H$2:$H$1500)),MEDIAN($H$2:$H$1500)),H785),2)</f>
        <v>4.01</v>
      </c>
      <c r="Q785" s="38" t="str">
        <f t="shared" si="75"/>
        <v>0</v>
      </c>
      <c r="R785" s="39" cm="1">
        <f t="array" ref="R785">IF(OR(TRIM(J785)="",TRIM(J785)="-"),MEDIAN(IF($C$2:$C$1218=C785,$J$2:$J$1218)),VALUE(SUBSTITUTE(SUBSTITUTE(SUBSTITUTE(J785,"Rs. ",""),"₹",""),",","")))</f>
        <v>16550</v>
      </c>
      <c r="S785" s="40">
        <f t="shared" si="73"/>
        <v>0</v>
      </c>
      <c r="T785" s="41">
        <f t="shared" si="76"/>
        <v>0</v>
      </c>
      <c r="U785" s="42">
        <f t="shared" si="77"/>
        <v>16550</v>
      </c>
    </row>
    <row r="786" spans="1:21" x14ac:dyDescent="0.3">
      <c r="A786" s="37" t="s">
        <v>4246</v>
      </c>
      <c r="B786" s="37" t="s">
        <v>4247</v>
      </c>
      <c r="C786" s="37" t="s">
        <v>2434</v>
      </c>
      <c r="D786" s="37" t="s">
        <v>117</v>
      </c>
      <c r="E786" s="37" t="s">
        <v>182</v>
      </c>
      <c r="F786" s="37"/>
      <c r="G786" s="37" t="s">
        <v>2408</v>
      </c>
      <c r="H786" s="37">
        <v>21.44</v>
      </c>
      <c r="I786" s="37">
        <v>11</v>
      </c>
      <c r="J786" s="37">
        <v>7358</v>
      </c>
      <c r="K786" s="37" t="s">
        <v>42</v>
      </c>
      <c r="L786" s="37">
        <v>0.1</v>
      </c>
      <c r="M786" s="37" t="str">
        <f t="shared" si="74"/>
        <v>Unknown</v>
      </c>
      <c r="N786" s="37" t="str">
        <f t="shared" si="72"/>
        <v>Insurance</v>
      </c>
      <c r="O786" s="37" t="str" cm="1">
        <f t="array" ref="O786">IF(TRIM(N786)="",INDEX($N$2:$N$1500,MATCH(MAX(COUNTIF($N$2:$N$1500,$N$2:$N$1500)),COUNTIF($N$2:$N$1500,$N$2:$N$1500),0)),N786)</f>
        <v>Insurance</v>
      </c>
      <c r="P786" s="38" cm="1">
        <f t="array" ref="P786">ROUND(IF(TRIM(H786)="",IFERROR(MEDIAN(IF($M$2:$M$1500=M786,$H$2:$H$1500)),MEDIAN($H$2:$H$1500)),H786),2)</f>
        <v>21.44</v>
      </c>
      <c r="Q786" s="38" t="str">
        <f t="shared" si="75"/>
        <v>0</v>
      </c>
      <c r="R786" s="39" cm="1">
        <f t="array" ref="R786">IF(OR(TRIM(J786)="",TRIM(J786)="-"),MEDIAN(IF($C$2:$C$1218=C786,$J$2:$J$1218)),VALUE(SUBSTITUTE(SUBSTITUTE(SUBSTITUTE(J786,"Rs. ",""),"₹",""),",","")))</f>
        <v>7358</v>
      </c>
      <c r="S786" s="40">
        <f t="shared" si="73"/>
        <v>0.1</v>
      </c>
      <c r="T786" s="41">
        <f t="shared" si="76"/>
        <v>0</v>
      </c>
      <c r="U786" s="42">
        <f t="shared" si="77"/>
        <v>7358</v>
      </c>
    </row>
    <row r="787" spans="1:21" x14ac:dyDescent="0.3">
      <c r="A787" s="37" t="s">
        <v>4248</v>
      </c>
      <c r="B787" s="37" t="s">
        <v>4249</v>
      </c>
      <c r="C787" s="37" t="s">
        <v>2490</v>
      </c>
      <c r="D787" s="37" t="s">
        <v>117</v>
      </c>
      <c r="E787" s="37" t="s">
        <v>118</v>
      </c>
      <c r="F787" s="37" t="s">
        <v>49</v>
      </c>
      <c r="G787" s="37" t="s">
        <v>2423</v>
      </c>
      <c r="H787" s="37">
        <v>13.15</v>
      </c>
      <c r="I787" s="37">
        <v>38</v>
      </c>
      <c r="J787" s="37">
        <v>11985</v>
      </c>
      <c r="K787" s="37" t="s">
        <v>311</v>
      </c>
      <c r="L787" s="37">
        <v>0</v>
      </c>
      <c r="M787" s="37" t="str">
        <f t="shared" si="74"/>
        <v>General</v>
      </c>
      <c r="N787" s="37" t="str">
        <f t="shared" si="72"/>
        <v>UPI</v>
      </c>
      <c r="O787" s="37" t="str" cm="1">
        <f t="array" ref="O787">IF(TRIM(N787)="",INDEX($N$2:$N$1500,MATCH(MAX(COUNTIF($N$2:$N$1500,$N$2:$N$1500)),COUNTIF($N$2:$N$1500,$N$2:$N$1500),0)),N787)</f>
        <v>UPI</v>
      </c>
      <c r="P787" s="38" cm="1">
        <f t="array" ref="P787">ROUND(IF(TRIM(H787)="",IFERROR(MEDIAN(IF($M$2:$M$1500=M787,$H$2:$H$1500)),MEDIAN($H$2:$H$1500)),H787),2)</f>
        <v>13.15</v>
      </c>
      <c r="Q787" s="38" t="str">
        <f t="shared" si="75"/>
        <v>0</v>
      </c>
      <c r="R787" s="39" cm="1">
        <f t="array" ref="R787">IF(OR(TRIM(J787)="",TRIM(J787)="-"),MEDIAN(IF($C$2:$C$1218=C787,$J$2:$J$1218)),VALUE(SUBSTITUTE(SUBSTITUTE(SUBSTITUTE(J787,"Rs. ",""),"₹",""),",","")))</f>
        <v>11985</v>
      </c>
      <c r="S787" s="40">
        <f t="shared" si="73"/>
        <v>0</v>
      </c>
      <c r="T787" s="41">
        <f t="shared" si="76"/>
        <v>0</v>
      </c>
      <c r="U787" s="42">
        <f t="shared" si="77"/>
        <v>11985</v>
      </c>
    </row>
    <row r="788" spans="1:21" x14ac:dyDescent="0.3">
      <c r="A788" s="37" t="s">
        <v>4250</v>
      </c>
      <c r="B788" s="37" t="s">
        <v>4088</v>
      </c>
      <c r="C788" s="37" t="s">
        <v>2629</v>
      </c>
      <c r="D788" s="37" t="s">
        <v>25</v>
      </c>
      <c r="E788" s="37" t="s">
        <v>54</v>
      </c>
      <c r="F788" s="37" t="s">
        <v>69</v>
      </c>
      <c r="G788" s="37" t="s">
        <v>2423</v>
      </c>
      <c r="H788" s="37">
        <v>1.06</v>
      </c>
      <c r="I788" s="37">
        <v>45</v>
      </c>
      <c r="J788" s="37">
        <v>69556</v>
      </c>
      <c r="K788" s="37" t="s">
        <v>34</v>
      </c>
      <c r="L788" s="37"/>
      <c r="M788" s="37" t="str">
        <f t="shared" si="74"/>
        <v>ICU</v>
      </c>
      <c r="N788" s="37" t="str">
        <f t="shared" si="72"/>
        <v>Cash</v>
      </c>
      <c r="O788" s="37" t="str" cm="1">
        <f t="array" ref="O788">IF(TRIM(N788)="",INDEX($N$2:$N$1500,MATCH(MAX(COUNTIF($N$2:$N$1500,$N$2:$N$1500)),COUNTIF($N$2:$N$1500,$N$2:$N$1500),0)),N788)</f>
        <v>Cash</v>
      </c>
      <c r="P788" s="38" cm="1">
        <f t="array" ref="P788">ROUND(IF(TRIM(H788)="",IFERROR(MEDIAN(IF($M$2:$M$1500=M788,$H$2:$H$1500)),MEDIAN($H$2:$H$1500)),H788),2)</f>
        <v>1.06</v>
      </c>
      <c r="Q788" s="38" t="str">
        <f t="shared" si="75"/>
        <v>0</v>
      </c>
      <c r="R788" s="39" cm="1">
        <f t="array" ref="R788">IF(OR(TRIM(J788)="",TRIM(J788)="-"),MEDIAN(IF($C$2:$C$1218=C788,$J$2:$J$1218)),VALUE(SUBSTITUTE(SUBSTITUTE(SUBSTITUTE(J788,"Rs. ",""),"₹",""),",","")))</f>
        <v>69556</v>
      </c>
      <c r="S788" s="40">
        <f t="shared" si="73"/>
        <v>0</v>
      </c>
      <c r="T788" s="41">
        <f t="shared" si="76"/>
        <v>0</v>
      </c>
      <c r="U788" s="42">
        <f t="shared" si="77"/>
        <v>69556</v>
      </c>
    </row>
    <row r="789" spans="1:21" x14ac:dyDescent="0.3">
      <c r="A789" s="37" t="s">
        <v>4251</v>
      </c>
      <c r="B789" s="37" t="s">
        <v>4252</v>
      </c>
      <c r="C789" s="37" t="s">
        <v>2514</v>
      </c>
      <c r="D789" s="37" t="s">
        <v>45</v>
      </c>
      <c r="E789" s="37" t="s">
        <v>334</v>
      </c>
      <c r="F789" s="37" t="s">
        <v>101</v>
      </c>
      <c r="G789" s="37" t="s">
        <v>2423</v>
      </c>
      <c r="H789" s="37">
        <v>23.71</v>
      </c>
      <c r="I789" s="37">
        <v>25</v>
      </c>
      <c r="J789" s="37" t="s">
        <v>4253</v>
      </c>
      <c r="K789" s="37" t="s">
        <v>211</v>
      </c>
      <c r="L789" s="37">
        <v>5</v>
      </c>
      <c r="M789" s="37" t="str">
        <f t="shared" si="74"/>
        <v>ICU</v>
      </c>
      <c r="N789" s="37" t="str">
        <f t="shared" si="72"/>
        <v>Credit Card</v>
      </c>
      <c r="O789" s="37" t="str" cm="1">
        <f t="array" ref="O789">IF(TRIM(N789)="",INDEX($N$2:$N$1500,MATCH(MAX(COUNTIF($N$2:$N$1500,$N$2:$N$1500)),COUNTIF($N$2:$N$1500,$N$2:$N$1500),0)),N789)</f>
        <v>Credit Card</v>
      </c>
      <c r="P789" s="38" cm="1">
        <f t="array" ref="P789">ROUND(IF(TRIM(H789)="",IFERROR(MEDIAN(IF($M$2:$M$1500=M789,$H$2:$H$1500)),MEDIAN($H$2:$H$1500)),H789),2)</f>
        <v>23.71</v>
      </c>
      <c r="Q789" s="38" t="str">
        <f t="shared" si="75"/>
        <v>0</v>
      </c>
      <c r="R789" s="39" cm="1">
        <f t="array" ref="R789">IF(OR(TRIM(J789)="",TRIM(J789)="-"),MEDIAN(IF($C$2:$C$1218=C789,$J$2:$J$1218)),VALUE(SUBSTITUTE(SUBSTITUTE(SUBSTITUTE(J789,"Rs. ",""),"₹",""),",","")))</f>
        <v>33717</v>
      </c>
      <c r="S789" s="40">
        <f t="shared" si="73"/>
        <v>5</v>
      </c>
      <c r="T789" s="41">
        <f t="shared" si="76"/>
        <v>5</v>
      </c>
      <c r="U789" s="42">
        <f t="shared" si="77"/>
        <v>32031</v>
      </c>
    </row>
    <row r="790" spans="1:21" x14ac:dyDescent="0.3">
      <c r="A790" s="37" t="s">
        <v>4254</v>
      </c>
      <c r="B790" s="37" t="s">
        <v>2851</v>
      </c>
      <c r="C790" s="37" t="s">
        <v>2469</v>
      </c>
      <c r="D790" s="37" t="s">
        <v>14</v>
      </c>
      <c r="E790" s="37" t="s">
        <v>60</v>
      </c>
      <c r="F790" s="37" t="s">
        <v>39</v>
      </c>
      <c r="G790" s="37" t="s">
        <v>2412</v>
      </c>
      <c r="H790" s="37">
        <v>18.89</v>
      </c>
      <c r="I790" s="37">
        <v>3</v>
      </c>
      <c r="J790" s="37" t="s">
        <v>4255</v>
      </c>
      <c r="K790" s="37"/>
      <c r="L790" s="37" t="s">
        <v>130</v>
      </c>
      <c r="M790" s="37" t="str">
        <f t="shared" si="74"/>
        <v>General</v>
      </c>
      <c r="N790" s="37" t="str">
        <f t="shared" si="72"/>
        <v>Unknown</v>
      </c>
      <c r="O790" s="37" t="str" cm="1">
        <f t="array" ref="O790">IF(TRIM(N790)="",INDEX($N$2:$N$1500,MATCH(MAX(COUNTIF($N$2:$N$1500,$N$2:$N$1500)),COUNTIF($N$2:$N$1500,$N$2:$N$1500),0)),N790)</f>
        <v>Unknown</v>
      </c>
      <c r="P790" s="38" cm="1">
        <f t="array" ref="P790">ROUND(IF(TRIM(H790)="",IFERROR(MEDIAN(IF($M$2:$M$1500=M790,$H$2:$H$1500)),MEDIAN($H$2:$H$1500)),H790),2)</f>
        <v>18.89</v>
      </c>
      <c r="Q790" s="38" t="str">
        <f t="shared" si="75"/>
        <v>1</v>
      </c>
      <c r="R790" s="39" cm="1">
        <f t="array" ref="R790">IF(OR(TRIM(J790)="",TRIM(J790)="-"),MEDIAN(IF($C$2:$C$1218=C790,$J$2:$J$1218)),VALUE(SUBSTITUTE(SUBSTITUTE(SUBSTITUTE(J790,"Rs. ",""),"₹",""),",","")))</f>
        <v>14839</v>
      </c>
      <c r="S790" s="40">
        <f t="shared" si="73"/>
        <v>0</v>
      </c>
      <c r="T790" s="41">
        <f t="shared" si="76"/>
        <v>0</v>
      </c>
      <c r="U790" s="42">
        <f t="shared" si="77"/>
        <v>14839</v>
      </c>
    </row>
    <row r="791" spans="1:21" x14ac:dyDescent="0.3">
      <c r="A791" s="37" t="s">
        <v>4256</v>
      </c>
      <c r="B791" s="37" t="s">
        <v>4257</v>
      </c>
      <c r="C791" s="37" t="s">
        <v>2536</v>
      </c>
      <c r="D791" s="37" t="s">
        <v>117</v>
      </c>
      <c r="E791" s="37" t="s">
        <v>127</v>
      </c>
      <c r="F791" s="37" t="s">
        <v>30</v>
      </c>
      <c r="G791" s="37" t="s">
        <v>2408</v>
      </c>
      <c r="H791" s="37">
        <v>4.5199999999999996</v>
      </c>
      <c r="I791" s="37">
        <v>34</v>
      </c>
      <c r="J791" s="37" t="s">
        <v>4258</v>
      </c>
      <c r="K791" s="37" t="s">
        <v>23</v>
      </c>
      <c r="L791" s="37" t="s">
        <v>76</v>
      </c>
      <c r="M791" s="37" t="str">
        <f t="shared" si="74"/>
        <v>General</v>
      </c>
      <c r="N791" s="37" t="str">
        <f t="shared" si="72"/>
        <v>Credit Card</v>
      </c>
      <c r="O791" s="37" t="str" cm="1">
        <f t="array" ref="O791">IF(TRIM(N791)="",INDEX($N$2:$N$1500,MATCH(MAX(COUNTIF($N$2:$N$1500,$N$2:$N$1500)),COUNTIF($N$2:$N$1500,$N$2:$N$1500),0)),N791)</f>
        <v>Credit Card</v>
      </c>
      <c r="P791" s="38" cm="1">
        <f t="array" ref="P791">ROUND(IF(TRIM(H791)="",IFERROR(MEDIAN(IF($M$2:$M$1500=M791,$H$2:$H$1500)),MEDIAN($H$2:$H$1500)),H791),2)</f>
        <v>4.5199999999999996</v>
      </c>
      <c r="Q791" s="38" t="str">
        <f t="shared" si="75"/>
        <v>0</v>
      </c>
      <c r="R791" s="39" cm="1">
        <f t="array" ref="R791">IF(OR(TRIM(J791)="",TRIM(J791)="-"),MEDIAN(IF($C$2:$C$1218=C791,$J$2:$J$1218)),VALUE(SUBSTITUTE(SUBSTITUTE(SUBSTITUTE(J791,"Rs. ",""),"₹",""),",","")))</f>
        <v>5012</v>
      </c>
      <c r="S791" s="40">
        <f t="shared" si="73"/>
        <v>10</v>
      </c>
      <c r="T791" s="41">
        <f t="shared" si="76"/>
        <v>10</v>
      </c>
      <c r="U791" s="42">
        <f t="shared" si="77"/>
        <v>4511</v>
      </c>
    </row>
    <row r="792" spans="1:21" x14ac:dyDescent="0.3">
      <c r="A792" s="37" t="s">
        <v>4259</v>
      </c>
      <c r="B792" s="37" t="s">
        <v>4079</v>
      </c>
      <c r="C792" s="37" t="s">
        <v>2494</v>
      </c>
      <c r="D792" s="37" t="s">
        <v>25</v>
      </c>
      <c r="E792" s="37" t="s">
        <v>54</v>
      </c>
      <c r="F792" s="37" t="s">
        <v>62</v>
      </c>
      <c r="G792" s="37" t="s">
        <v>2486</v>
      </c>
      <c r="H792" s="37">
        <v>6.28</v>
      </c>
      <c r="I792" s="37">
        <v>14</v>
      </c>
      <c r="J792" s="37" t="s">
        <v>4260</v>
      </c>
      <c r="K792" s="37" t="s">
        <v>87</v>
      </c>
      <c r="L792" s="37">
        <v>5</v>
      </c>
      <c r="M792" s="37" t="str">
        <f t="shared" si="74"/>
        <v>ICU</v>
      </c>
      <c r="N792" s="37" t="str">
        <f t="shared" si="72"/>
        <v>Credit Card</v>
      </c>
      <c r="O792" s="37" t="str" cm="1">
        <f t="array" ref="O792">IF(TRIM(N792)="",INDEX($N$2:$N$1500,MATCH(MAX(COUNTIF($N$2:$N$1500,$N$2:$N$1500)),COUNTIF($N$2:$N$1500,$N$2:$N$1500),0)),N792)</f>
        <v>Credit Card</v>
      </c>
      <c r="P792" s="38" cm="1">
        <f t="array" ref="P792">ROUND(IF(TRIM(H792)="",IFERROR(MEDIAN(IF($M$2:$M$1500=M792,$H$2:$H$1500)),MEDIAN($H$2:$H$1500)),H792),2)</f>
        <v>6.28</v>
      </c>
      <c r="Q792" s="38" t="str">
        <f t="shared" si="75"/>
        <v>2+</v>
      </c>
      <c r="R792" s="39" cm="1">
        <f t="array" ref="R792">IF(OR(TRIM(J792)="",TRIM(J792)="-"),MEDIAN(IF($C$2:$C$1218=C792,$J$2:$J$1218)),VALUE(SUBSTITUTE(SUBSTITUTE(SUBSTITUTE(J792,"Rs. ",""),"₹",""),",","")))</f>
        <v>54217</v>
      </c>
      <c r="S792" s="40">
        <f t="shared" si="73"/>
        <v>5</v>
      </c>
      <c r="T792" s="41">
        <f t="shared" si="76"/>
        <v>5</v>
      </c>
      <c r="U792" s="42">
        <f t="shared" si="77"/>
        <v>51506</v>
      </c>
    </row>
    <row r="793" spans="1:21" x14ac:dyDescent="0.3">
      <c r="A793" s="37" t="s">
        <v>4261</v>
      </c>
      <c r="B793" s="37" t="s">
        <v>4262</v>
      </c>
      <c r="C793" s="37" t="s">
        <v>2494</v>
      </c>
      <c r="D793" s="37" t="s">
        <v>117</v>
      </c>
      <c r="E793" s="37" t="s">
        <v>127</v>
      </c>
      <c r="F793" s="37" t="s">
        <v>19</v>
      </c>
      <c r="G793" s="37" t="s">
        <v>2418</v>
      </c>
      <c r="H793" s="37">
        <v>15.87</v>
      </c>
      <c r="I793" s="37">
        <v>49</v>
      </c>
      <c r="J793" s="37" t="s">
        <v>4263</v>
      </c>
      <c r="K793" s="37" t="s">
        <v>34</v>
      </c>
      <c r="L793" s="37" t="s">
        <v>198</v>
      </c>
      <c r="M793" s="37" t="str">
        <f t="shared" si="74"/>
        <v>General</v>
      </c>
      <c r="N793" s="37" t="str">
        <f t="shared" si="72"/>
        <v>Cash</v>
      </c>
      <c r="O793" s="37" t="str" cm="1">
        <f t="array" ref="O793">IF(TRIM(N793)="",INDEX($N$2:$N$1500,MATCH(MAX(COUNTIF($N$2:$N$1500,$N$2:$N$1500)),COUNTIF($N$2:$N$1500,$N$2:$N$1500),0)),N793)</f>
        <v>Cash</v>
      </c>
      <c r="P793" s="38" cm="1">
        <f t="array" ref="P793">ROUND(IF(TRIM(H793)="",IFERROR(MEDIAN(IF($M$2:$M$1500=M793,$H$2:$H$1500)),MEDIAN($H$2:$H$1500)),H793),2)</f>
        <v>15.87</v>
      </c>
      <c r="Q793" s="38" t="str">
        <f t="shared" si="75"/>
        <v>1</v>
      </c>
      <c r="R793" s="39" cm="1">
        <f t="array" ref="R793">IF(OR(TRIM(J793)="",TRIM(J793)="-"),MEDIAN(IF($C$2:$C$1218=C793,$J$2:$J$1218)),VALUE(SUBSTITUTE(SUBSTITUTE(SUBSTITUTE(J793,"Rs. ",""),"₹",""),",","")))</f>
        <v>8317</v>
      </c>
      <c r="S793" s="40">
        <f t="shared" si="73"/>
        <v>5</v>
      </c>
      <c r="T793" s="41">
        <f t="shared" si="76"/>
        <v>5</v>
      </c>
      <c r="U793" s="42">
        <f t="shared" si="77"/>
        <v>7901</v>
      </c>
    </row>
    <row r="794" spans="1:21" x14ac:dyDescent="0.3">
      <c r="A794" s="37" t="s">
        <v>4264</v>
      </c>
      <c r="B794" s="37" t="s">
        <v>4265</v>
      </c>
      <c r="C794" s="37" t="s">
        <v>2463</v>
      </c>
      <c r="D794" s="37" t="s">
        <v>106</v>
      </c>
      <c r="E794" s="37" t="s">
        <v>107</v>
      </c>
      <c r="F794" s="37" t="s">
        <v>49</v>
      </c>
      <c r="G794" s="37" t="s">
        <v>2428</v>
      </c>
      <c r="H794" s="37">
        <v>7.6</v>
      </c>
      <c r="I794" s="37" t="s">
        <v>140</v>
      </c>
      <c r="J794" s="37" t="s">
        <v>473</v>
      </c>
      <c r="K794" s="37" t="s">
        <v>83</v>
      </c>
      <c r="L794" s="37">
        <v>0</v>
      </c>
      <c r="M794" s="37" t="str">
        <f t="shared" si="74"/>
        <v>General</v>
      </c>
      <c r="N794" s="37" t="str">
        <f t="shared" si="72"/>
        <v>Debit Card</v>
      </c>
      <c r="O794" s="37" t="str" cm="1">
        <f t="array" ref="O794">IF(TRIM(N794)="",INDEX($N$2:$N$1500,MATCH(MAX(COUNTIF($N$2:$N$1500,$N$2:$N$1500)),COUNTIF($N$2:$N$1500,$N$2:$N$1500),0)),N794)</f>
        <v>Debit Card</v>
      </c>
      <c r="P794" s="38" cm="1">
        <f t="array" ref="P794">ROUND(IF(TRIM(H794)="",IFERROR(MEDIAN(IF($M$2:$M$1500=M794,$H$2:$H$1500)),MEDIAN($H$2:$H$1500)),H794),2)</f>
        <v>7.6</v>
      </c>
      <c r="Q794" s="38" t="str">
        <f t="shared" si="75"/>
        <v>2</v>
      </c>
      <c r="R794" s="39" cm="1">
        <f t="array" ref="R794">IF(OR(TRIM(J794)="",TRIM(J794)="-"),MEDIAN(IF($C$2:$C$1218=C794,$J$2:$J$1218)),VALUE(SUBSTITUTE(SUBSTITUTE(SUBSTITUTE(J794,"Rs. ",""),"₹",""),",","")))</f>
        <v>15693</v>
      </c>
      <c r="S794" s="40">
        <f t="shared" si="73"/>
        <v>0</v>
      </c>
      <c r="T794" s="41">
        <f t="shared" si="76"/>
        <v>0</v>
      </c>
      <c r="U794" s="42">
        <f t="shared" si="77"/>
        <v>15693</v>
      </c>
    </row>
    <row r="795" spans="1:21" x14ac:dyDescent="0.3">
      <c r="A795" s="37" t="s">
        <v>4266</v>
      </c>
      <c r="B795" s="37" t="s">
        <v>4205</v>
      </c>
      <c r="C795" s="37" t="s">
        <v>2407</v>
      </c>
      <c r="D795" s="37" t="s">
        <v>25</v>
      </c>
      <c r="E795" s="37" t="s">
        <v>54</v>
      </c>
      <c r="F795" s="37" t="s">
        <v>49</v>
      </c>
      <c r="G795" s="37" t="s">
        <v>2423</v>
      </c>
      <c r="H795" s="37">
        <v>21.51</v>
      </c>
      <c r="I795" s="37">
        <v>10</v>
      </c>
      <c r="J795" s="37" t="s">
        <v>4267</v>
      </c>
      <c r="K795" s="37" t="s">
        <v>104</v>
      </c>
      <c r="L795" s="37">
        <v>25</v>
      </c>
      <c r="M795" s="37" t="str">
        <f t="shared" si="74"/>
        <v>General</v>
      </c>
      <c r="N795" s="37" t="str">
        <f t="shared" si="72"/>
        <v>Insurance</v>
      </c>
      <c r="O795" s="37" t="str" cm="1">
        <f t="array" ref="O795">IF(TRIM(N795)="",INDEX($N$2:$N$1500,MATCH(MAX(COUNTIF($N$2:$N$1500,$N$2:$N$1500)),COUNTIF($N$2:$N$1500,$N$2:$N$1500),0)),N795)</f>
        <v>Insurance</v>
      </c>
      <c r="P795" s="38" cm="1">
        <f t="array" ref="P795">ROUND(IF(TRIM(H795)="",IFERROR(MEDIAN(IF($M$2:$M$1500=M795,$H$2:$H$1500)),MEDIAN($H$2:$H$1500)),H795),2)</f>
        <v>21.51</v>
      </c>
      <c r="Q795" s="38" t="str">
        <f t="shared" si="75"/>
        <v>0</v>
      </c>
      <c r="R795" s="39" cm="1">
        <f t="array" ref="R795">IF(OR(TRIM(J795)="",TRIM(J795)="-"),MEDIAN(IF($C$2:$C$1218=C795,$J$2:$J$1218)),VALUE(SUBSTITUTE(SUBSTITUTE(SUBSTITUTE(J795,"Rs. ",""),"₹",""),",","")))</f>
        <v>11713</v>
      </c>
      <c r="S795" s="40">
        <f t="shared" si="73"/>
        <v>25</v>
      </c>
      <c r="T795" s="41">
        <f t="shared" si="76"/>
        <v>25</v>
      </c>
      <c r="U795" s="42">
        <f t="shared" si="77"/>
        <v>8785</v>
      </c>
    </row>
    <row r="796" spans="1:21" x14ac:dyDescent="0.3">
      <c r="A796" s="37" t="s">
        <v>4268</v>
      </c>
      <c r="B796" s="37" t="s">
        <v>4269</v>
      </c>
      <c r="C796" s="37" t="s">
        <v>2518</v>
      </c>
      <c r="D796" s="37" t="s">
        <v>106</v>
      </c>
      <c r="E796" s="37" t="s">
        <v>107</v>
      </c>
      <c r="F796" s="37" t="s">
        <v>62</v>
      </c>
      <c r="G796" s="37" t="s">
        <v>2477</v>
      </c>
      <c r="H796" s="37">
        <v>19.309999999999999</v>
      </c>
      <c r="I796" s="37">
        <v>37</v>
      </c>
      <c r="J796" s="37" t="s">
        <v>4270</v>
      </c>
      <c r="K796" s="37" t="s">
        <v>91</v>
      </c>
      <c r="L796" s="37">
        <v>0</v>
      </c>
      <c r="M796" s="37" t="str">
        <f t="shared" si="74"/>
        <v>ICU</v>
      </c>
      <c r="N796" s="37" t="str">
        <f t="shared" si="72"/>
        <v>Debit Card</v>
      </c>
      <c r="O796" s="37" t="str" cm="1">
        <f t="array" ref="O796">IF(TRIM(N796)="",INDEX($N$2:$N$1500,MATCH(MAX(COUNTIF($N$2:$N$1500,$N$2:$N$1500)),COUNTIF($N$2:$N$1500,$N$2:$N$1500),0)),N796)</f>
        <v>Debit Card</v>
      </c>
      <c r="P796" s="38" cm="1">
        <f t="array" ref="P796">ROUND(IF(TRIM(H796)="",IFERROR(MEDIAN(IF($M$2:$M$1500=M796,$H$2:$H$1500)),MEDIAN($H$2:$H$1500)),H796),2)</f>
        <v>19.309999999999999</v>
      </c>
      <c r="Q796" s="38" t="str">
        <f t="shared" si="75"/>
        <v>0</v>
      </c>
      <c r="R796" s="39" cm="1">
        <f t="array" ref="R796">IF(OR(TRIM(J796)="",TRIM(J796)="-"),MEDIAN(IF($C$2:$C$1218=C796,$J$2:$J$1218)),VALUE(SUBSTITUTE(SUBSTITUTE(SUBSTITUTE(J796,"Rs. ",""),"₹",""),",","")))</f>
        <v>48884</v>
      </c>
      <c r="S796" s="40">
        <f t="shared" si="73"/>
        <v>0</v>
      </c>
      <c r="T796" s="41">
        <f t="shared" si="76"/>
        <v>0</v>
      </c>
      <c r="U796" s="42">
        <f t="shared" si="77"/>
        <v>48884</v>
      </c>
    </row>
    <row r="797" spans="1:21" x14ac:dyDescent="0.3">
      <c r="A797" s="37" t="s">
        <v>4271</v>
      </c>
      <c r="B797" s="37" t="s">
        <v>4272</v>
      </c>
      <c r="C797" s="37" t="s">
        <v>2431</v>
      </c>
      <c r="D797" s="37" t="s">
        <v>14</v>
      </c>
      <c r="E797" s="37" t="s">
        <v>60</v>
      </c>
      <c r="F797" s="37"/>
      <c r="G797" s="37" t="s">
        <v>2486</v>
      </c>
      <c r="H797" s="37">
        <v>17.13</v>
      </c>
      <c r="I797" s="37">
        <v>37</v>
      </c>
      <c r="J797" s="37">
        <v>15471</v>
      </c>
      <c r="K797" s="37" t="s">
        <v>72</v>
      </c>
      <c r="L797" s="37">
        <v>10</v>
      </c>
      <c r="M797" s="37" t="str">
        <f t="shared" si="74"/>
        <v>Unknown</v>
      </c>
      <c r="N797" s="37" t="str">
        <f t="shared" si="72"/>
        <v>Cash</v>
      </c>
      <c r="O797" s="37" t="str" cm="1">
        <f t="array" ref="O797">IF(TRIM(N797)="",INDEX($N$2:$N$1500,MATCH(MAX(COUNTIF($N$2:$N$1500,$N$2:$N$1500)),COUNTIF($N$2:$N$1500,$N$2:$N$1500),0)),N797)</f>
        <v>Cash</v>
      </c>
      <c r="P797" s="38" cm="1">
        <f t="array" ref="P797">ROUND(IF(TRIM(H797)="",IFERROR(MEDIAN(IF($M$2:$M$1500=M797,$H$2:$H$1500)),MEDIAN($H$2:$H$1500)),H797),2)</f>
        <v>17.13</v>
      </c>
      <c r="Q797" s="38" t="str">
        <f t="shared" si="75"/>
        <v>2+</v>
      </c>
      <c r="R797" s="39" cm="1">
        <f t="array" ref="R797">IF(OR(TRIM(J797)="",TRIM(J797)="-"),MEDIAN(IF($C$2:$C$1218=C797,$J$2:$J$1218)),VALUE(SUBSTITUTE(SUBSTITUTE(SUBSTITUTE(J797,"Rs. ",""),"₹",""),",","")))</f>
        <v>15471</v>
      </c>
      <c r="S797" s="40">
        <f t="shared" si="73"/>
        <v>10</v>
      </c>
      <c r="T797" s="41">
        <f t="shared" si="76"/>
        <v>10</v>
      </c>
      <c r="U797" s="42">
        <f t="shared" si="77"/>
        <v>13924</v>
      </c>
    </row>
    <row r="798" spans="1:21" x14ac:dyDescent="0.3">
      <c r="A798" s="37" t="s">
        <v>4273</v>
      </c>
      <c r="B798" s="37" t="s">
        <v>3738</v>
      </c>
      <c r="C798" s="37" t="s">
        <v>2459</v>
      </c>
      <c r="D798" s="37" t="s">
        <v>14</v>
      </c>
      <c r="E798" s="37" t="s">
        <v>60</v>
      </c>
      <c r="F798" s="37"/>
      <c r="G798" s="37" t="s">
        <v>2423</v>
      </c>
      <c r="H798" s="37">
        <v>7.24</v>
      </c>
      <c r="I798" s="37">
        <v>36</v>
      </c>
      <c r="J798" s="37">
        <v>17738</v>
      </c>
      <c r="K798" s="37" t="s">
        <v>52</v>
      </c>
      <c r="L798" s="37">
        <v>0</v>
      </c>
      <c r="M798" s="37" t="str">
        <f t="shared" si="74"/>
        <v>Unknown</v>
      </c>
      <c r="N798" s="37" t="str">
        <f t="shared" si="72"/>
        <v>Credit Card</v>
      </c>
      <c r="O798" s="37" t="str" cm="1">
        <f t="array" ref="O798">IF(TRIM(N798)="",INDEX($N$2:$N$1500,MATCH(MAX(COUNTIF($N$2:$N$1500,$N$2:$N$1500)),COUNTIF($N$2:$N$1500,$N$2:$N$1500),0)),N798)</f>
        <v>Credit Card</v>
      </c>
      <c r="P798" s="38" cm="1">
        <f t="array" ref="P798">ROUND(IF(TRIM(H798)="",IFERROR(MEDIAN(IF($M$2:$M$1500=M798,$H$2:$H$1500)),MEDIAN($H$2:$H$1500)),H798),2)</f>
        <v>7.24</v>
      </c>
      <c r="Q798" s="38" t="str">
        <f t="shared" si="75"/>
        <v>0</v>
      </c>
      <c r="R798" s="39" cm="1">
        <f t="array" ref="R798">IF(OR(TRIM(J798)="",TRIM(J798)="-"),MEDIAN(IF($C$2:$C$1218=C798,$J$2:$J$1218)),VALUE(SUBSTITUTE(SUBSTITUTE(SUBSTITUTE(J798,"Rs. ",""),"₹",""),",","")))</f>
        <v>17738</v>
      </c>
      <c r="S798" s="40">
        <f t="shared" si="73"/>
        <v>0</v>
      </c>
      <c r="T798" s="41">
        <f t="shared" si="76"/>
        <v>0</v>
      </c>
      <c r="U798" s="42">
        <f t="shared" si="77"/>
        <v>17738</v>
      </c>
    </row>
    <row r="799" spans="1:21" x14ac:dyDescent="0.3">
      <c r="A799" s="37" t="s">
        <v>4274</v>
      </c>
      <c r="B799" s="37" t="s">
        <v>2849</v>
      </c>
      <c r="C799" s="37" t="s">
        <v>2629</v>
      </c>
      <c r="D799" s="37" t="s">
        <v>45</v>
      </c>
      <c r="E799" s="37" t="s">
        <v>46</v>
      </c>
      <c r="F799" s="37" t="s">
        <v>30</v>
      </c>
      <c r="G799" s="37" t="s">
        <v>2477</v>
      </c>
      <c r="H799" s="37">
        <v>20.149999999999999</v>
      </c>
      <c r="I799" s="37">
        <v>27</v>
      </c>
      <c r="J799" s="37">
        <v>6279</v>
      </c>
      <c r="K799" s="37" t="s">
        <v>58</v>
      </c>
      <c r="L799" s="37">
        <v>0</v>
      </c>
      <c r="M799" s="37" t="str">
        <f t="shared" si="74"/>
        <v>General</v>
      </c>
      <c r="N799" s="37" t="str">
        <f t="shared" si="72"/>
        <v>UPI</v>
      </c>
      <c r="O799" s="37" t="str" cm="1">
        <f t="array" ref="O799">IF(TRIM(N799)="",INDEX($N$2:$N$1500,MATCH(MAX(COUNTIF($N$2:$N$1500,$N$2:$N$1500)),COUNTIF($N$2:$N$1500,$N$2:$N$1500),0)),N799)</f>
        <v>UPI</v>
      </c>
      <c r="P799" s="38" cm="1">
        <f t="array" ref="P799">ROUND(IF(TRIM(H799)="",IFERROR(MEDIAN(IF($M$2:$M$1500=M799,$H$2:$H$1500)),MEDIAN($H$2:$H$1500)),H799),2)</f>
        <v>20.149999999999999</v>
      </c>
      <c r="Q799" s="38" t="str">
        <f t="shared" si="75"/>
        <v>0</v>
      </c>
      <c r="R799" s="39" cm="1">
        <f t="array" ref="R799">IF(OR(TRIM(J799)="",TRIM(J799)="-"),MEDIAN(IF($C$2:$C$1218=C799,$J$2:$J$1218)),VALUE(SUBSTITUTE(SUBSTITUTE(SUBSTITUTE(J799,"Rs. ",""),"₹",""),",","")))</f>
        <v>6279</v>
      </c>
      <c r="S799" s="40">
        <f t="shared" si="73"/>
        <v>0</v>
      </c>
      <c r="T799" s="41">
        <f t="shared" si="76"/>
        <v>0</v>
      </c>
      <c r="U799" s="42">
        <f t="shared" si="77"/>
        <v>6279</v>
      </c>
    </row>
    <row r="800" spans="1:21" x14ac:dyDescent="0.3">
      <c r="A800" s="37" t="s">
        <v>4275</v>
      </c>
      <c r="B800" s="37" t="s">
        <v>3696</v>
      </c>
      <c r="C800" s="37" t="s">
        <v>2463</v>
      </c>
      <c r="D800" s="37" t="s">
        <v>25</v>
      </c>
      <c r="E800" s="37" t="s">
        <v>26</v>
      </c>
      <c r="F800" s="37" t="s">
        <v>39</v>
      </c>
      <c r="G800" s="37" t="s">
        <v>2455</v>
      </c>
      <c r="H800" s="37">
        <v>4.2300000000000004</v>
      </c>
      <c r="I800" s="37">
        <v>45</v>
      </c>
      <c r="J800" s="37" t="s">
        <v>4276</v>
      </c>
      <c r="K800" s="37"/>
      <c r="L800" s="37" t="s">
        <v>130</v>
      </c>
      <c r="M800" s="37" t="str">
        <f t="shared" si="74"/>
        <v>General</v>
      </c>
      <c r="N800" s="37" t="str">
        <f t="shared" si="72"/>
        <v>Unknown</v>
      </c>
      <c r="O800" s="37" t="str" cm="1">
        <f t="array" ref="O800">IF(TRIM(N800)="",INDEX($N$2:$N$1500,MATCH(MAX(COUNTIF($N$2:$N$1500,$N$2:$N$1500)),COUNTIF($N$2:$N$1500,$N$2:$N$1500),0)),N800)</f>
        <v>Unknown</v>
      </c>
      <c r="P800" s="38" cm="1">
        <f t="array" ref="P800">ROUND(IF(TRIM(H800)="",IFERROR(MEDIAN(IF($M$2:$M$1500=M800,$H$2:$H$1500)),MEDIAN($H$2:$H$1500)),H800),2)</f>
        <v>4.2300000000000004</v>
      </c>
      <c r="Q800" s="38" t="str">
        <f t="shared" si="75"/>
        <v>1</v>
      </c>
      <c r="R800" s="39" cm="1">
        <f t="array" ref="R800">IF(OR(TRIM(J800)="",TRIM(J800)="-"),MEDIAN(IF($C$2:$C$1218=C800,$J$2:$J$1218)),VALUE(SUBSTITUTE(SUBSTITUTE(SUBSTITUTE(J800,"Rs. ",""),"₹",""),",","")))</f>
        <v>17979</v>
      </c>
      <c r="S800" s="40">
        <f t="shared" si="73"/>
        <v>0</v>
      </c>
      <c r="T800" s="41">
        <f t="shared" si="76"/>
        <v>0</v>
      </c>
      <c r="U800" s="42">
        <f t="shared" si="77"/>
        <v>17979</v>
      </c>
    </row>
    <row r="801" spans="1:21" x14ac:dyDescent="0.3">
      <c r="A801" s="37" t="s">
        <v>4277</v>
      </c>
      <c r="B801" s="37" t="s">
        <v>2910</v>
      </c>
      <c r="C801" s="37" t="s">
        <v>2577</v>
      </c>
      <c r="D801" s="37" t="s">
        <v>78</v>
      </c>
      <c r="E801" s="37" t="s">
        <v>79</v>
      </c>
      <c r="F801" s="37" t="s">
        <v>30</v>
      </c>
      <c r="G801" s="37" t="s">
        <v>2455</v>
      </c>
      <c r="H801" s="37">
        <v>24.14</v>
      </c>
      <c r="I801" s="37">
        <v>57</v>
      </c>
      <c r="J801" s="37" t="s">
        <v>4278</v>
      </c>
      <c r="K801" s="37" t="s">
        <v>72</v>
      </c>
      <c r="L801" s="37">
        <v>0</v>
      </c>
      <c r="M801" s="37" t="str">
        <f t="shared" si="74"/>
        <v>General</v>
      </c>
      <c r="N801" s="37" t="str">
        <f t="shared" si="72"/>
        <v>Cash</v>
      </c>
      <c r="O801" s="37" t="str" cm="1">
        <f t="array" ref="O801">IF(TRIM(N801)="",INDEX($N$2:$N$1500,MATCH(MAX(COUNTIF($N$2:$N$1500,$N$2:$N$1500)),COUNTIF($N$2:$N$1500,$N$2:$N$1500),0)),N801)</f>
        <v>Cash</v>
      </c>
      <c r="P801" s="38" cm="1">
        <f t="array" ref="P801">ROUND(IF(TRIM(H801)="",IFERROR(MEDIAN(IF($M$2:$M$1500=M801,$H$2:$H$1500)),MEDIAN($H$2:$H$1500)),H801),2)</f>
        <v>24.14</v>
      </c>
      <c r="Q801" s="38" t="str">
        <f t="shared" si="75"/>
        <v>1</v>
      </c>
      <c r="R801" s="39" cm="1">
        <f t="array" ref="R801">IF(OR(TRIM(J801)="",TRIM(J801)="-"),MEDIAN(IF($C$2:$C$1218=C801,$J$2:$J$1218)),VALUE(SUBSTITUTE(SUBSTITUTE(SUBSTITUTE(J801,"Rs. ",""),"₹",""),",","")))</f>
        <v>3898</v>
      </c>
      <c r="S801" s="40">
        <f t="shared" si="73"/>
        <v>0</v>
      </c>
      <c r="T801" s="41">
        <f t="shared" si="76"/>
        <v>0</v>
      </c>
      <c r="U801" s="42">
        <f t="shared" si="77"/>
        <v>3898</v>
      </c>
    </row>
    <row r="802" spans="1:21" x14ac:dyDescent="0.3">
      <c r="A802" s="37" t="s">
        <v>4279</v>
      </c>
      <c r="B802" s="37" t="s">
        <v>3933</v>
      </c>
      <c r="C802" s="37" t="s">
        <v>2504</v>
      </c>
      <c r="D802" s="37" t="s">
        <v>78</v>
      </c>
      <c r="E802" s="37" t="s">
        <v>161</v>
      </c>
      <c r="F802" s="37" t="s">
        <v>101</v>
      </c>
      <c r="G802" s="37" t="s">
        <v>2746</v>
      </c>
      <c r="H802" s="37">
        <v>9.52</v>
      </c>
      <c r="I802" s="37">
        <v>28</v>
      </c>
      <c r="J802" s="37" t="s">
        <v>4280</v>
      </c>
      <c r="K802" s="37" t="s">
        <v>87</v>
      </c>
      <c r="L802" s="37">
        <v>0</v>
      </c>
      <c r="M802" s="37" t="str">
        <f t="shared" si="74"/>
        <v>ICU</v>
      </c>
      <c r="N802" s="37" t="str">
        <f t="shared" si="72"/>
        <v>Credit Card</v>
      </c>
      <c r="O802" s="37" t="str" cm="1">
        <f t="array" ref="O802">IF(TRIM(N802)="",INDEX($N$2:$N$1500,MATCH(MAX(COUNTIF($N$2:$N$1500,$N$2:$N$1500)),COUNTIF($N$2:$N$1500,$N$2:$N$1500),0)),N802)</f>
        <v>Credit Card</v>
      </c>
      <c r="P802" s="38" cm="1">
        <f t="array" ref="P802">ROUND(IF(TRIM(H802)="",IFERROR(MEDIAN(IF($M$2:$M$1500=M802,$H$2:$H$1500)),MEDIAN($H$2:$H$1500)),H802),2)</f>
        <v>9.52</v>
      </c>
      <c r="Q802" s="38" t="str">
        <f t="shared" si="75"/>
        <v>2</v>
      </c>
      <c r="R802" s="39" cm="1">
        <f t="array" ref="R802">IF(OR(TRIM(J802)="",TRIM(J802)="-"),MEDIAN(IF($C$2:$C$1218=C802,$J$2:$J$1218)),VALUE(SUBSTITUTE(SUBSTITUTE(SUBSTITUTE(J802,"Rs. ",""),"₹",""),",","")))</f>
        <v>20742</v>
      </c>
      <c r="S802" s="40">
        <f t="shared" si="73"/>
        <v>0</v>
      </c>
      <c r="T802" s="41">
        <f t="shared" si="76"/>
        <v>0</v>
      </c>
      <c r="U802" s="42">
        <f t="shared" si="77"/>
        <v>20742</v>
      </c>
    </row>
    <row r="803" spans="1:21" x14ac:dyDescent="0.3">
      <c r="A803" s="37" t="s">
        <v>4281</v>
      </c>
      <c r="B803" s="37" t="s">
        <v>4282</v>
      </c>
      <c r="C803" s="37" t="s">
        <v>2561</v>
      </c>
      <c r="D803" s="37" t="s">
        <v>14</v>
      </c>
      <c r="E803" s="37" t="s">
        <v>60</v>
      </c>
      <c r="F803" s="37" t="s">
        <v>62</v>
      </c>
      <c r="G803" s="37" t="s">
        <v>2418</v>
      </c>
      <c r="H803" s="37">
        <v>4.9400000000000004</v>
      </c>
      <c r="I803" s="37">
        <v>2</v>
      </c>
      <c r="J803" s="37" t="s">
        <v>4283</v>
      </c>
      <c r="K803" s="37" t="s">
        <v>87</v>
      </c>
      <c r="L803" s="37" t="s">
        <v>198</v>
      </c>
      <c r="M803" s="37" t="str">
        <f t="shared" si="74"/>
        <v>ICU</v>
      </c>
      <c r="N803" s="37" t="str">
        <f t="shared" si="72"/>
        <v>Credit Card</v>
      </c>
      <c r="O803" s="37" t="str" cm="1">
        <f t="array" ref="O803">IF(TRIM(N803)="",INDEX($N$2:$N$1500,MATCH(MAX(COUNTIF($N$2:$N$1500,$N$2:$N$1500)),COUNTIF($N$2:$N$1500,$N$2:$N$1500),0)),N803)</f>
        <v>Credit Card</v>
      </c>
      <c r="P803" s="38" cm="1">
        <f t="array" ref="P803">ROUND(IF(TRIM(H803)="",IFERROR(MEDIAN(IF($M$2:$M$1500=M803,$H$2:$H$1500)),MEDIAN($H$2:$H$1500)),H803),2)</f>
        <v>4.9400000000000004</v>
      </c>
      <c r="Q803" s="38" t="str">
        <f t="shared" si="75"/>
        <v>1</v>
      </c>
      <c r="R803" s="39" cm="1">
        <f t="array" ref="R803">IF(OR(TRIM(J803)="",TRIM(J803)="-"),MEDIAN(IF($C$2:$C$1218=C803,$J$2:$J$1218)),VALUE(SUBSTITUTE(SUBSTITUTE(SUBSTITUTE(J803,"Rs. ",""),"₹",""),",","")))</f>
        <v>48358</v>
      </c>
      <c r="S803" s="40">
        <f t="shared" si="73"/>
        <v>5</v>
      </c>
      <c r="T803" s="41">
        <f t="shared" si="76"/>
        <v>5</v>
      </c>
      <c r="U803" s="42">
        <f t="shared" si="77"/>
        <v>45940</v>
      </c>
    </row>
    <row r="804" spans="1:21" x14ac:dyDescent="0.3">
      <c r="A804" s="37" t="s">
        <v>4284</v>
      </c>
      <c r="B804" s="37" t="s">
        <v>4285</v>
      </c>
      <c r="C804" s="37" t="s">
        <v>2481</v>
      </c>
      <c r="D804" s="37" t="s">
        <v>25</v>
      </c>
      <c r="E804" s="37" t="s">
        <v>54</v>
      </c>
      <c r="F804" s="37" t="s">
        <v>19</v>
      </c>
      <c r="G804" s="37" t="s">
        <v>2423</v>
      </c>
      <c r="H804" s="37">
        <v>16.920000000000002</v>
      </c>
      <c r="I804" s="37">
        <v>14</v>
      </c>
      <c r="J804" s="37" t="s">
        <v>4286</v>
      </c>
      <c r="K804" s="37" t="s">
        <v>211</v>
      </c>
      <c r="L804" s="37" t="s">
        <v>130</v>
      </c>
      <c r="M804" s="37" t="str">
        <f t="shared" si="74"/>
        <v>General</v>
      </c>
      <c r="N804" s="37" t="str">
        <f t="shared" si="72"/>
        <v>Credit Card</v>
      </c>
      <c r="O804" s="37" t="str" cm="1">
        <f t="array" ref="O804">IF(TRIM(N804)="",INDEX($N$2:$N$1500,MATCH(MAX(COUNTIF($N$2:$N$1500,$N$2:$N$1500)),COUNTIF($N$2:$N$1500,$N$2:$N$1500),0)),N804)</f>
        <v>Credit Card</v>
      </c>
      <c r="P804" s="38" cm="1">
        <f t="array" ref="P804">ROUND(IF(TRIM(H804)="",IFERROR(MEDIAN(IF($M$2:$M$1500=M804,$H$2:$H$1500)),MEDIAN($H$2:$H$1500)),H804),2)</f>
        <v>16.920000000000002</v>
      </c>
      <c r="Q804" s="38" t="str">
        <f t="shared" si="75"/>
        <v>0</v>
      </c>
      <c r="R804" s="39" cm="1">
        <f t="array" ref="R804">IF(OR(TRIM(J804)="",TRIM(J804)="-"),MEDIAN(IF($C$2:$C$1218=C804,$J$2:$J$1218)),VALUE(SUBSTITUTE(SUBSTITUTE(SUBSTITUTE(J804,"Rs. ",""),"₹",""),",","")))</f>
        <v>10976</v>
      </c>
      <c r="S804" s="40">
        <f t="shared" si="73"/>
        <v>0</v>
      </c>
      <c r="T804" s="41">
        <f t="shared" si="76"/>
        <v>0</v>
      </c>
      <c r="U804" s="42">
        <f t="shared" si="77"/>
        <v>10976</v>
      </c>
    </row>
    <row r="805" spans="1:21" x14ac:dyDescent="0.3">
      <c r="A805" s="37" t="s">
        <v>4287</v>
      </c>
      <c r="B805" s="37" t="s">
        <v>4288</v>
      </c>
      <c r="C805" s="37" t="s">
        <v>2454</v>
      </c>
      <c r="D805" s="37" t="s">
        <v>117</v>
      </c>
      <c r="E805" s="37" t="s">
        <v>182</v>
      </c>
      <c r="F805" s="37" t="s">
        <v>49</v>
      </c>
      <c r="G805" s="37" t="s">
        <v>2435</v>
      </c>
      <c r="H805" s="37">
        <v>4</v>
      </c>
      <c r="I805" s="37">
        <v>47</v>
      </c>
      <c r="J805" s="37">
        <v>15551</v>
      </c>
      <c r="K805" s="37" t="s">
        <v>311</v>
      </c>
      <c r="L805" s="37">
        <v>10</v>
      </c>
      <c r="M805" s="37" t="str">
        <f t="shared" si="74"/>
        <v>General</v>
      </c>
      <c r="N805" s="37" t="str">
        <f t="shared" si="72"/>
        <v>UPI</v>
      </c>
      <c r="O805" s="37" t="str" cm="1">
        <f t="array" ref="O805">IF(TRIM(N805)="",INDEX($N$2:$N$1500,MATCH(MAX(COUNTIF($N$2:$N$1500,$N$2:$N$1500)),COUNTIF($N$2:$N$1500,$N$2:$N$1500),0)),N805)</f>
        <v>UPI</v>
      </c>
      <c r="P805" s="38" cm="1">
        <f t="array" ref="P805">ROUND(IF(TRIM(H805)="",IFERROR(MEDIAN(IF($M$2:$M$1500=M805,$H$2:$H$1500)),MEDIAN($H$2:$H$1500)),H805),2)</f>
        <v>4</v>
      </c>
      <c r="Q805" s="38" t="str">
        <f t="shared" si="75"/>
        <v>0</v>
      </c>
      <c r="R805" s="39" cm="1">
        <f t="array" ref="R805">IF(OR(TRIM(J805)="",TRIM(J805)="-"),MEDIAN(IF($C$2:$C$1218=C805,$J$2:$J$1218)),VALUE(SUBSTITUTE(SUBSTITUTE(SUBSTITUTE(J805,"Rs. ",""),"₹",""),",","")))</f>
        <v>15551</v>
      </c>
      <c r="S805" s="40">
        <f t="shared" si="73"/>
        <v>10</v>
      </c>
      <c r="T805" s="41">
        <f t="shared" si="76"/>
        <v>10</v>
      </c>
      <c r="U805" s="42">
        <f t="shared" si="77"/>
        <v>13996</v>
      </c>
    </row>
    <row r="806" spans="1:21" x14ac:dyDescent="0.3">
      <c r="A806" s="37" t="s">
        <v>4289</v>
      </c>
      <c r="B806" s="37" t="s">
        <v>4290</v>
      </c>
      <c r="C806" s="37" t="s">
        <v>2415</v>
      </c>
      <c r="D806" s="37" t="s">
        <v>78</v>
      </c>
      <c r="E806" s="37" t="s">
        <v>79</v>
      </c>
      <c r="F806" s="37" t="s">
        <v>49</v>
      </c>
      <c r="G806" s="37" t="s">
        <v>2408</v>
      </c>
      <c r="H806" s="37">
        <v>24.4</v>
      </c>
      <c r="I806" s="37">
        <v>49</v>
      </c>
      <c r="J806" s="37">
        <v>5593</v>
      </c>
      <c r="K806" s="37" t="s">
        <v>91</v>
      </c>
      <c r="L806" s="37" t="s">
        <v>130</v>
      </c>
      <c r="M806" s="37" t="str">
        <f t="shared" si="74"/>
        <v>General</v>
      </c>
      <c r="N806" s="37" t="str">
        <f t="shared" si="72"/>
        <v>Debit Card</v>
      </c>
      <c r="O806" s="37" t="str" cm="1">
        <f t="array" ref="O806">IF(TRIM(N806)="",INDEX($N$2:$N$1500,MATCH(MAX(COUNTIF($N$2:$N$1500,$N$2:$N$1500)),COUNTIF($N$2:$N$1500,$N$2:$N$1500),0)),N806)</f>
        <v>Debit Card</v>
      </c>
      <c r="P806" s="38" cm="1">
        <f t="array" ref="P806">ROUND(IF(TRIM(H806)="",IFERROR(MEDIAN(IF($M$2:$M$1500=M806,$H$2:$H$1500)),MEDIAN($H$2:$H$1500)),H806),2)</f>
        <v>24.4</v>
      </c>
      <c r="Q806" s="38" t="str">
        <f t="shared" si="75"/>
        <v>0</v>
      </c>
      <c r="R806" s="39" cm="1">
        <f t="array" ref="R806">IF(OR(TRIM(J806)="",TRIM(J806)="-"),MEDIAN(IF($C$2:$C$1218=C806,$J$2:$J$1218)),VALUE(SUBSTITUTE(SUBSTITUTE(SUBSTITUTE(J806,"Rs. ",""),"₹",""),",","")))</f>
        <v>5593</v>
      </c>
      <c r="S806" s="40">
        <f t="shared" si="73"/>
        <v>0</v>
      </c>
      <c r="T806" s="41">
        <f t="shared" si="76"/>
        <v>0</v>
      </c>
      <c r="U806" s="42">
        <f t="shared" si="77"/>
        <v>5593</v>
      </c>
    </row>
    <row r="807" spans="1:21" x14ac:dyDescent="0.3">
      <c r="A807" s="37" t="s">
        <v>4291</v>
      </c>
      <c r="B807" s="37" t="s">
        <v>4292</v>
      </c>
      <c r="C807" s="37" t="s">
        <v>2730</v>
      </c>
      <c r="D807" s="37" t="s">
        <v>14</v>
      </c>
      <c r="E807" s="37" t="s">
        <v>60</v>
      </c>
      <c r="F807" s="37" t="s">
        <v>49</v>
      </c>
      <c r="G807" s="37" t="s">
        <v>2435</v>
      </c>
      <c r="H807" s="37">
        <v>3.93</v>
      </c>
      <c r="I807" s="37">
        <v>49</v>
      </c>
      <c r="J807" s="37" t="s">
        <v>4293</v>
      </c>
      <c r="K807" s="37" t="s">
        <v>23</v>
      </c>
      <c r="L807" s="37">
        <v>10</v>
      </c>
      <c r="M807" s="37" t="str">
        <f t="shared" si="74"/>
        <v>General</v>
      </c>
      <c r="N807" s="37" t="str">
        <f t="shared" si="72"/>
        <v>Credit Card</v>
      </c>
      <c r="O807" s="37" t="str" cm="1">
        <f t="array" ref="O807">IF(TRIM(N807)="",INDEX($N$2:$N$1500,MATCH(MAX(COUNTIF($N$2:$N$1500,$N$2:$N$1500)),COUNTIF($N$2:$N$1500,$N$2:$N$1500),0)),N807)</f>
        <v>Credit Card</v>
      </c>
      <c r="P807" s="38" cm="1">
        <f t="array" ref="P807">ROUND(IF(TRIM(H807)="",IFERROR(MEDIAN(IF($M$2:$M$1500=M807,$H$2:$H$1500)),MEDIAN($H$2:$H$1500)),H807),2)</f>
        <v>3.93</v>
      </c>
      <c r="Q807" s="38" t="str">
        <f t="shared" si="75"/>
        <v>0</v>
      </c>
      <c r="R807" s="39" cm="1">
        <f t="array" ref="R807">IF(OR(TRIM(J807)="",TRIM(J807)="-"),MEDIAN(IF($C$2:$C$1218=C807,$J$2:$J$1218)),VALUE(SUBSTITUTE(SUBSTITUTE(SUBSTITUTE(J807,"Rs. ",""),"₹",""),",","")))</f>
        <v>6331</v>
      </c>
      <c r="S807" s="40">
        <f t="shared" si="73"/>
        <v>10</v>
      </c>
      <c r="T807" s="41">
        <f t="shared" si="76"/>
        <v>10</v>
      </c>
      <c r="U807" s="42">
        <f t="shared" si="77"/>
        <v>5698</v>
      </c>
    </row>
    <row r="808" spans="1:21" x14ac:dyDescent="0.3">
      <c r="A808" s="37" t="s">
        <v>4294</v>
      </c>
      <c r="B808" s="37" t="s">
        <v>4295</v>
      </c>
      <c r="C808" s="37" t="s">
        <v>2466</v>
      </c>
      <c r="D808" s="37" t="s">
        <v>14</v>
      </c>
      <c r="E808" s="37" t="s">
        <v>60</v>
      </c>
      <c r="F808" s="37" t="s">
        <v>19</v>
      </c>
      <c r="G808" s="37" t="s">
        <v>2450</v>
      </c>
      <c r="H808" s="37">
        <v>9.0500000000000007</v>
      </c>
      <c r="I808" s="37">
        <v>22</v>
      </c>
      <c r="J808" s="37" t="s">
        <v>4296</v>
      </c>
      <c r="K808" s="37" t="s">
        <v>58</v>
      </c>
      <c r="L808" s="37"/>
      <c r="M808" s="37" t="str">
        <f t="shared" si="74"/>
        <v>General</v>
      </c>
      <c r="N808" s="37" t="str">
        <f t="shared" si="72"/>
        <v>UPI</v>
      </c>
      <c r="O808" s="37" t="str" cm="1">
        <f t="array" ref="O808">IF(TRIM(N808)="",INDEX($N$2:$N$1500,MATCH(MAX(COUNTIF($N$2:$N$1500,$N$2:$N$1500)),COUNTIF($N$2:$N$1500,$N$2:$N$1500),0)),N808)</f>
        <v>UPI</v>
      </c>
      <c r="P808" s="38" cm="1">
        <f t="array" ref="P808">ROUND(IF(TRIM(H808)="",IFERROR(MEDIAN(IF($M$2:$M$1500=M808,$H$2:$H$1500)),MEDIAN($H$2:$H$1500)),H808),2)</f>
        <v>9.0500000000000007</v>
      </c>
      <c r="Q808" s="38" t="str">
        <f t="shared" si="75"/>
        <v>1</v>
      </c>
      <c r="R808" s="39" cm="1">
        <f t="array" ref="R808">IF(OR(TRIM(J808)="",TRIM(J808)="-"),MEDIAN(IF($C$2:$C$1218=C808,$J$2:$J$1218)),VALUE(SUBSTITUTE(SUBSTITUTE(SUBSTITUTE(J808,"Rs. ",""),"₹",""),",","")))</f>
        <v>5904</v>
      </c>
      <c r="S808" s="40">
        <f t="shared" si="73"/>
        <v>0</v>
      </c>
      <c r="T808" s="41">
        <f t="shared" si="76"/>
        <v>0</v>
      </c>
      <c r="U808" s="42">
        <f t="shared" si="77"/>
        <v>5904</v>
      </c>
    </row>
    <row r="809" spans="1:21" x14ac:dyDescent="0.3">
      <c r="A809" s="37" t="s">
        <v>4297</v>
      </c>
      <c r="B809" s="37" t="s">
        <v>4298</v>
      </c>
      <c r="C809" s="37" t="s">
        <v>2415</v>
      </c>
      <c r="D809" s="37" t="s">
        <v>14</v>
      </c>
      <c r="E809" s="37" t="s">
        <v>60</v>
      </c>
      <c r="F809" s="37" t="s">
        <v>39</v>
      </c>
      <c r="G809" s="37" t="s">
        <v>2486</v>
      </c>
      <c r="H809" s="37">
        <v>5.53</v>
      </c>
      <c r="I809" s="37">
        <v>43</v>
      </c>
      <c r="J809" s="37">
        <v>4572</v>
      </c>
      <c r="K809" s="37" t="s">
        <v>236</v>
      </c>
      <c r="L809" s="37" t="s">
        <v>64</v>
      </c>
      <c r="M809" s="37" t="str">
        <f t="shared" si="74"/>
        <v>General</v>
      </c>
      <c r="N809" s="37" t="str">
        <f t="shared" si="72"/>
        <v>Debit Card</v>
      </c>
      <c r="O809" s="37" t="str" cm="1">
        <f t="array" ref="O809">IF(TRIM(N809)="",INDEX($N$2:$N$1500,MATCH(MAX(COUNTIF($N$2:$N$1500,$N$2:$N$1500)),COUNTIF($N$2:$N$1500,$N$2:$N$1500),0)),N809)</f>
        <v>Debit Card</v>
      </c>
      <c r="P809" s="38" cm="1">
        <f t="array" ref="P809">ROUND(IF(TRIM(H809)="",IFERROR(MEDIAN(IF($M$2:$M$1500=M809,$H$2:$H$1500)),MEDIAN($H$2:$H$1500)),H809),2)</f>
        <v>5.53</v>
      </c>
      <c r="Q809" s="38" t="str">
        <f t="shared" si="75"/>
        <v>2+</v>
      </c>
      <c r="R809" s="39" cm="1">
        <f t="array" ref="R809">IF(OR(TRIM(J809)="",TRIM(J809)="-"),MEDIAN(IF($C$2:$C$1218=C809,$J$2:$J$1218)),VALUE(SUBSTITUTE(SUBSTITUTE(SUBSTITUTE(J809,"Rs. ",""),"₹",""),",","")))</f>
        <v>4572</v>
      </c>
      <c r="S809" s="40" t="str">
        <f t="shared" si="73"/>
        <v>NA</v>
      </c>
      <c r="T809" s="41">
        <f t="shared" si="76"/>
        <v>3</v>
      </c>
      <c r="U809" s="42">
        <f t="shared" si="77"/>
        <v>4435</v>
      </c>
    </row>
    <row r="810" spans="1:21" x14ac:dyDescent="0.3">
      <c r="A810" s="37" t="s">
        <v>4299</v>
      </c>
      <c r="B810" s="37" t="s">
        <v>4300</v>
      </c>
      <c r="C810" s="37" t="s">
        <v>2445</v>
      </c>
      <c r="D810" s="37" t="s">
        <v>14</v>
      </c>
      <c r="E810" s="37" t="s">
        <v>60</v>
      </c>
      <c r="F810" s="37" t="s">
        <v>39</v>
      </c>
      <c r="G810" s="37" t="s">
        <v>2435</v>
      </c>
      <c r="H810" s="37">
        <v>1.67</v>
      </c>
      <c r="I810" s="37">
        <v>20</v>
      </c>
      <c r="J810" s="37" t="s">
        <v>4301</v>
      </c>
      <c r="K810" s="37" t="s">
        <v>211</v>
      </c>
      <c r="L810" s="37">
        <v>0</v>
      </c>
      <c r="M810" s="37" t="str">
        <f t="shared" si="74"/>
        <v>General</v>
      </c>
      <c r="N810" s="37" t="str">
        <f t="shared" si="72"/>
        <v>Credit Card</v>
      </c>
      <c r="O810" s="37" t="str" cm="1">
        <f t="array" ref="O810">IF(TRIM(N810)="",INDEX($N$2:$N$1500,MATCH(MAX(COUNTIF($N$2:$N$1500,$N$2:$N$1500)),COUNTIF($N$2:$N$1500,$N$2:$N$1500),0)),N810)</f>
        <v>Credit Card</v>
      </c>
      <c r="P810" s="38" cm="1">
        <f t="array" ref="P810">ROUND(IF(TRIM(H810)="",IFERROR(MEDIAN(IF($M$2:$M$1500=M810,$H$2:$H$1500)),MEDIAN($H$2:$H$1500)),H810),2)</f>
        <v>1.67</v>
      </c>
      <c r="Q810" s="38" t="str">
        <f t="shared" si="75"/>
        <v>0</v>
      </c>
      <c r="R810" s="39" cm="1">
        <f t="array" ref="R810">IF(OR(TRIM(J810)="",TRIM(J810)="-"),MEDIAN(IF($C$2:$C$1218=C810,$J$2:$J$1218)),VALUE(SUBSTITUTE(SUBSTITUTE(SUBSTITUTE(J810,"Rs. ",""),"₹",""),",","")))</f>
        <v>12833</v>
      </c>
      <c r="S810" s="40">
        <f t="shared" si="73"/>
        <v>0</v>
      </c>
      <c r="T810" s="41">
        <f t="shared" si="76"/>
        <v>0</v>
      </c>
      <c r="U810" s="42">
        <f t="shared" si="77"/>
        <v>12833</v>
      </c>
    </row>
    <row r="811" spans="1:21" x14ac:dyDescent="0.3">
      <c r="A811" s="37" t="s">
        <v>4302</v>
      </c>
      <c r="B811" s="37" t="s">
        <v>4303</v>
      </c>
      <c r="C811" s="37" t="s">
        <v>2415</v>
      </c>
      <c r="D811" s="37" t="s">
        <v>25</v>
      </c>
      <c r="E811" s="37" t="s">
        <v>54</v>
      </c>
      <c r="F811" s="37" t="s">
        <v>19</v>
      </c>
      <c r="G811" s="37" t="s">
        <v>2477</v>
      </c>
      <c r="H811" s="37">
        <v>11.03</v>
      </c>
      <c r="I811" s="37">
        <v>2</v>
      </c>
      <c r="J811" s="37">
        <v>15279</v>
      </c>
      <c r="K811" s="37" t="s">
        <v>58</v>
      </c>
      <c r="L811" s="37">
        <v>0</v>
      </c>
      <c r="M811" s="37" t="str">
        <f t="shared" si="74"/>
        <v>General</v>
      </c>
      <c r="N811" s="37" t="str">
        <f t="shared" si="72"/>
        <v>UPI</v>
      </c>
      <c r="O811" s="37" t="str" cm="1">
        <f t="array" ref="O811">IF(TRIM(N811)="",INDEX($N$2:$N$1500,MATCH(MAX(COUNTIF($N$2:$N$1500,$N$2:$N$1500)),COUNTIF($N$2:$N$1500,$N$2:$N$1500),0)),N811)</f>
        <v>UPI</v>
      </c>
      <c r="P811" s="38" cm="1">
        <f t="array" ref="P811">ROUND(IF(TRIM(H811)="",IFERROR(MEDIAN(IF($M$2:$M$1500=M811,$H$2:$H$1500)),MEDIAN($H$2:$H$1500)),H811),2)</f>
        <v>11.03</v>
      </c>
      <c r="Q811" s="38" t="str">
        <f t="shared" si="75"/>
        <v>0</v>
      </c>
      <c r="R811" s="39" cm="1">
        <f t="array" ref="R811">IF(OR(TRIM(J811)="",TRIM(J811)="-"),MEDIAN(IF($C$2:$C$1218=C811,$J$2:$J$1218)),VALUE(SUBSTITUTE(SUBSTITUTE(SUBSTITUTE(J811,"Rs. ",""),"₹",""),",","")))</f>
        <v>15279</v>
      </c>
      <c r="S811" s="40">
        <f t="shared" si="73"/>
        <v>0</v>
      </c>
      <c r="T811" s="41">
        <f t="shared" si="76"/>
        <v>0</v>
      </c>
      <c r="U811" s="42">
        <f t="shared" si="77"/>
        <v>15279</v>
      </c>
    </row>
    <row r="812" spans="1:21" x14ac:dyDescent="0.3">
      <c r="A812" s="37" t="s">
        <v>4304</v>
      </c>
      <c r="B812" s="37" t="s">
        <v>4305</v>
      </c>
      <c r="C812" s="37" t="s">
        <v>2449</v>
      </c>
      <c r="D812" s="37" t="s">
        <v>14</v>
      </c>
      <c r="E812" s="37" t="s">
        <v>15</v>
      </c>
      <c r="F812" s="37" t="s">
        <v>19</v>
      </c>
      <c r="G812" s="37" t="s">
        <v>2408</v>
      </c>
      <c r="H812" s="37">
        <v>16.47</v>
      </c>
      <c r="I812" s="37">
        <v>56</v>
      </c>
      <c r="J812" s="37" t="s">
        <v>4306</v>
      </c>
      <c r="K812" s="37" t="s">
        <v>72</v>
      </c>
      <c r="L812" s="37">
        <v>0</v>
      </c>
      <c r="M812" s="37" t="str">
        <f t="shared" si="74"/>
        <v>General</v>
      </c>
      <c r="N812" s="37" t="str">
        <f t="shared" si="72"/>
        <v>Cash</v>
      </c>
      <c r="O812" s="37" t="str" cm="1">
        <f t="array" ref="O812">IF(TRIM(N812)="",INDEX($N$2:$N$1500,MATCH(MAX(COUNTIF($N$2:$N$1500,$N$2:$N$1500)),COUNTIF($N$2:$N$1500,$N$2:$N$1500),0)),N812)</f>
        <v>Cash</v>
      </c>
      <c r="P812" s="38" cm="1">
        <f t="array" ref="P812">ROUND(IF(TRIM(H812)="",IFERROR(MEDIAN(IF($M$2:$M$1500=M812,$H$2:$H$1500)),MEDIAN($H$2:$H$1500)),H812),2)</f>
        <v>16.47</v>
      </c>
      <c r="Q812" s="38" t="str">
        <f t="shared" si="75"/>
        <v>0</v>
      </c>
      <c r="R812" s="39" cm="1">
        <f t="array" ref="R812">IF(OR(TRIM(J812)="",TRIM(J812)="-"),MEDIAN(IF($C$2:$C$1218=C812,$J$2:$J$1218)),VALUE(SUBSTITUTE(SUBSTITUTE(SUBSTITUTE(J812,"Rs. ",""),"₹",""),",","")))</f>
        <v>19087</v>
      </c>
      <c r="S812" s="40">
        <f t="shared" si="73"/>
        <v>0</v>
      </c>
      <c r="T812" s="41">
        <f t="shared" si="76"/>
        <v>0</v>
      </c>
      <c r="U812" s="42">
        <f t="shared" si="77"/>
        <v>19087</v>
      </c>
    </row>
    <row r="813" spans="1:21" x14ac:dyDescent="0.3">
      <c r="A813" s="37" t="s">
        <v>4307</v>
      </c>
      <c r="B813" s="37" t="s">
        <v>4308</v>
      </c>
      <c r="C813" s="37" t="s">
        <v>2407</v>
      </c>
      <c r="D813" s="37" t="s">
        <v>106</v>
      </c>
      <c r="E813" s="37" t="s">
        <v>107</v>
      </c>
      <c r="F813" s="37" t="s">
        <v>39</v>
      </c>
      <c r="G813" s="37" t="s">
        <v>2418</v>
      </c>
      <c r="H813" s="37">
        <v>19.48</v>
      </c>
      <c r="I813" s="37">
        <v>13</v>
      </c>
      <c r="J813" s="37" t="s">
        <v>4309</v>
      </c>
      <c r="K813" s="37" t="s">
        <v>211</v>
      </c>
      <c r="L813" s="37" t="s">
        <v>130</v>
      </c>
      <c r="M813" s="37" t="str">
        <f t="shared" si="74"/>
        <v>General</v>
      </c>
      <c r="N813" s="37" t="str">
        <f t="shared" si="72"/>
        <v>Credit Card</v>
      </c>
      <c r="O813" s="37" t="str" cm="1">
        <f t="array" ref="O813">IF(TRIM(N813)="",INDEX($N$2:$N$1500,MATCH(MAX(COUNTIF($N$2:$N$1500,$N$2:$N$1500)),COUNTIF($N$2:$N$1500,$N$2:$N$1500),0)),N813)</f>
        <v>Credit Card</v>
      </c>
      <c r="P813" s="38" cm="1">
        <f t="array" ref="P813">ROUND(IF(TRIM(H813)="",IFERROR(MEDIAN(IF($M$2:$M$1500=M813,$H$2:$H$1500)),MEDIAN($H$2:$H$1500)),H813),2)</f>
        <v>19.48</v>
      </c>
      <c r="Q813" s="38" t="str">
        <f t="shared" si="75"/>
        <v>1</v>
      </c>
      <c r="R813" s="39" cm="1">
        <f t="array" ref="R813">IF(OR(TRIM(J813)="",TRIM(J813)="-"),MEDIAN(IF($C$2:$C$1218=C813,$J$2:$J$1218)),VALUE(SUBSTITUTE(SUBSTITUTE(SUBSTITUTE(J813,"Rs. ",""),"₹",""),",","")))</f>
        <v>6000</v>
      </c>
      <c r="S813" s="40">
        <f t="shared" si="73"/>
        <v>0</v>
      </c>
      <c r="T813" s="41">
        <f t="shared" si="76"/>
        <v>0</v>
      </c>
      <c r="U813" s="42">
        <f t="shared" si="77"/>
        <v>6000</v>
      </c>
    </row>
    <row r="814" spans="1:21" x14ac:dyDescent="0.3">
      <c r="A814" s="37" t="s">
        <v>4310</v>
      </c>
      <c r="B814" s="37" t="s">
        <v>4082</v>
      </c>
      <c r="C814" s="37" t="s">
        <v>2415</v>
      </c>
      <c r="D814" s="37" t="s">
        <v>117</v>
      </c>
      <c r="E814" s="37" t="s">
        <v>182</v>
      </c>
      <c r="F814" s="37" t="s">
        <v>49</v>
      </c>
      <c r="G814" s="37" t="s">
        <v>2477</v>
      </c>
      <c r="H814" s="37">
        <v>8.32</v>
      </c>
      <c r="I814" s="37">
        <v>17</v>
      </c>
      <c r="J814" s="37" t="s">
        <v>4311</v>
      </c>
      <c r="K814" s="37" t="s">
        <v>34</v>
      </c>
      <c r="L814" s="37" t="s">
        <v>198</v>
      </c>
      <c r="M814" s="37" t="str">
        <f t="shared" si="74"/>
        <v>General</v>
      </c>
      <c r="N814" s="37" t="str">
        <f t="shared" si="72"/>
        <v>Cash</v>
      </c>
      <c r="O814" s="37" t="str" cm="1">
        <f t="array" ref="O814">IF(TRIM(N814)="",INDEX($N$2:$N$1500,MATCH(MAX(COUNTIF($N$2:$N$1500,$N$2:$N$1500)),COUNTIF($N$2:$N$1500,$N$2:$N$1500),0)),N814)</f>
        <v>Cash</v>
      </c>
      <c r="P814" s="38" cm="1">
        <f t="array" ref="P814">ROUND(IF(TRIM(H814)="",IFERROR(MEDIAN(IF($M$2:$M$1500=M814,$H$2:$H$1500)),MEDIAN($H$2:$H$1500)),H814),2)</f>
        <v>8.32</v>
      </c>
      <c r="Q814" s="38" t="str">
        <f t="shared" si="75"/>
        <v>0</v>
      </c>
      <c r="R814" s="39" cm="1">
        <f t="array" ref="R814">IF(OR(TRIM(J814)="",TRIM(J814)="-"),MEDIAN(IF($C$2:$C$1218=C814,$J$2:$J$1218)),VALUE(SUBSTITUTE(SUBSTITUTE(SUBSTITUTE(J814,"Rs. ",""),"₹",""),",","")))</f>
        <v>9347</v>
      </c>
      <c r="S814" s="40">
        <f t="shared" si="73"/>
        <v>5</v>
      </c>
      <c r="T814" s="41">
        <f t="shared" si="76"/>
        <v>5</v>
      </c>
      <c r="U814" s="42">
        <f t="shared" si="77"/>
        <v>8880</v>
      </c>
    </row>
    <row r="815" spans="1:21" x14ac:dyDescent="0.3">
      <c r="A815" s="37" t="s">
        <v>4312</v>
      </c>
      <c r="B815" s="37" t="s">
        <v>4313</v>
      </c>
      <c r="C815" s="37" t="s">
        <v>2454</v>
      </c>
      <c r="D815" s="37" t="s">
        <v>14</v>
      </c>
      <c r="E815" s="37" t="s">
        <v>60</v>
      </c>
      <c r="F815" s="37"/>
      <c r="G815" s="37" t="s">
        <v>2408</v>
      </c>
      <c r="H815" s="37">
        <v>10.130000000000001</v>
      </c>
      <c r="I815" s="37">
        <v>33</v>
      </c>
      <c r="J815" s="37" t="s">
        <v>4314</v>
      </c>
      <c r="K815" s="37" t="s">
        <v>34</v>
      </c>
      <c r="L815" s="37" t="s">
        <v>140</v>
      </c>
      <c r="M815" s="37" t="str">
        <f t="shared" si="74"/>
        <v>Unknown</v>
      </c>
      <c r="N815" s="37" t="str">
        <f t="shared" si="72"/>
        <v>Cash</v>
      </c>
      <c r="O815" s="37" t="str" cm="1">
        <f t="array" ref="O815">IF(TRIM(N815)="",INDEX($N$2:$N$1500,MATCH(MAX(COUNTIF($N$2:$N$1500,$N$2:$N$1500)),COUNTIF($N$2:$N$1500,$N$2:$N$1500),0)),N815)</f>
        <v>Cash</v>
      </c>
      <c r="P815" s="38" cm="1">
        <f t="array" ref="P815">ROUND(IF(TRIM(H815)="",IFERROR(MEDIAN(IF($M$2:$M$1500=M815,$H$2:$H$1500)),MEDIAN($H$2:$H$1500)),H815),2)</f>
        <v>10.130000000000001</v>
      </c>
      <c r="Q815" s="38" t="str">
        <f t="shared" si="75"/>
        <v>0</v>
      </c>
      <c r="R815" s="39" cm="1">
        <f t="array" ref="R815">IF(OR(TRIM(J815)="",TRIM(J815)="-"),MEDIAN(IF($C$2:$C$1218=C815,$J$2:$J$1218)),VALUE(SUBSTITUTE(SUBSTITUTE(SUBSTITUTE(J815,"Rs. ",""),"₹",""),",","")))</f>
        <v>16050</v>
      </c>
      <c r="S815" s="40" t="str">
        <f t="shared" si="73"/>
        <v>-</v>
      </c>
      <c r="T815" s="41">
        <f t="shared" si="76"/>
        <v>2</v>
      </c>
      <c r="U815" s="42">
        <f t="shared" si="77"/>
        <v>15729</v>
      </c>
    </row>
    <row r="816" spans="1:21" x14ac:dyDescent="0.3">
      <c r="A816" s="37" t="s">
        <v>4315</v>
      </c>
      <c r="B816" s="37" t="s">
        <v>4316</v>
      </c>
      <c r="C816" s="37" t="s">
        <v>2438</v>
      </c>
      <c r="D816" s="37" t="s">
        <v>45</v>
      </c>
      <c r="E816" s="37" t="s">
        <v>334</v>
      </c>
      <c r="F816" s="37" t="s">
        <v>62</v>
      </c>
      <c r="G816" s="37" t="s">
        <v>2423</v>
      </c>
      <c r="H816" s="37">
        <v>8.52</v>
      </c>
      <c r="I816" s="37">
        <v>13</v>
      </c>
      <c r="J816" s="37"/>
      <c r="K816" s="37" t="s">
        <v>72</v>
      </c>
      <c r="L816" s="37" t="s">
        <v>130</v>
      </c>
      <c r="M816" s="37" t="str">
        <f t="shared" si="74"/>
        <v>ICU</v>
      </c>
      <c r="N816" s="37" t="str">
        <f t="shared" si="72"/>
        <v>Cash</v>
      </c>
      <c r="O816" s="37" t="str" cm="1">
        <f t="array" ref="O816">IF(TRIM(N816)="",INDEX($N$2:$N$1500,MATCH(MAX(COUNTIF($N$2:$N$1500,$N$2:$N$1500)),COUNTIF($N$2:$N$1500,$N$2:$N$1500),0)),N816)</f>
        <v>Cash</v>
      </c>
      <c r="P816" s="38" cm="1">
        <f t="array" ref="P816">ROUND(IF(TRIM(H816)="",IFERROR(MEDIAN(IF($M$2:$M$1500=M816,$H$2:$H$1500)),MEDIAN($H$2:$H$1500)),H816),2)</f>
        <v>8.52</v>
      </c>
      <c r="Q816" s="38" t="str">
        <f t="shared" si="75"/>
        <v>0</v>
      </c>
      <c r="R816" s="39" cm="1">
        <f t="array" ref="R816">IF(OR(TRIM(J816)="",TRIM(J816)="-"),MEDIAN(IF($C$2:$C$1218=C816,$J$2:$J$1218)),VALUE(SUBSTITUTE(SUBSTITUTE(SUBSTITUTE(J816,"Rs. ",""),"₹",""),",","")))</f>
        <v>13244</v>
      </c>
      <c r="S816" s="40">
        <f t="shared" si="73"/>
        <v>0</v>
      </c>
      <c r="T816" s="41">
        <f t="shared" si="76"/>
        <v>0</v>
      </c>
      <c r="U816" s="42">
        <f t="shared" si="77"/>
        <v>13244</v>
      </c>
    </row>
    <row r="817" spans="1:21" x14ac:dyDescent="0.3">
      <c r="A817" s="37" t="s">
        <v>4317</v>
      </c>
      <c r="B817" s="37" t="s">
        <v>2498</v>
      </c>
      <c r="C817" s="37" t="s">
        <v>2494</v>
      </c>
      <c r="D817" s="37" t="s">
        <v>25</v>
      </c>
      <c r="E817" s="37" t="s">
        <v>26</v>
      </c>
      <c r="F817" s="37" t="s">
        <v>49</v>
      </c>
      <c r="G817" s="37" t="s">
        <v>2408</v>
      </c>
      <c r="H817" s="37">
        <v>21.23</v>
      </c>
      <c r="I817" s="37">
        <v>23</v>
      </c>
      <c r="J817" s="37">
        <v>18796</v>
      </c>
      <c r="K817" s="37" t="s">
        <v>23</v>
      </c>
      <c r="L817" s="37">
        <v>0</v>
      </c>
      <c r="M817" s="37" t="str">
        <f t="shared" si="74"/>
        <v>General</v>
      </c>
      <c r="N817" s="37" t="str">
        <f t="shared" si="72"/>
        <v>Credit Card</v>
      </c>
      <c r="O817" s="37" t="str" cm="1">
        <f t="array" ref="O817">IF(TRIM(N817)="",INDEX($N$2:$N$1500,MATCH(MAX(COUNTIF($N$2:$N$1500,$N$2:$N$1500)),COUNTIF($N$2:$N$1500,$N$2:$N$1500),0)),N817)</f>
        <v>Credit Card</v>
      </c>
      <c r="P817" s="38" cm="1">
        <f t="array" ref="P817">ROUND(IF(TRIM(H817)="",IFERROR(MEDIAN(IF($M$2:$M$1500=M817,$H$2:$H$1500)),MEDIAN($H$2:$H$1500)),H817),2)</f>
        <v>21.23</v>
      </c>
      <c r="Q817" s="38" t="str">
        <f t="shared" si="75"/>
        <v>0</v>
      </c>
      <c r="R817" s="39" cm="1">
        <f t="array" ref="R817">IF(OR(TRIM(J817)="",TRIM(J817)="-"),MEDIAN(IF($C$2:$C$1218=C817,$J$2:$J$1218)),VALUE(SUBSTITUTE(SUBSTITUTE(SUBSTITUTE(J817,"Rs. ",""),"₹",""),",","")))</f>
        <v>18796</v>
      </c>
      <c r="S817" s="40">
        <f t="shared" si="73"/>
        <v>0</v>
      </c>
      <c r="T817" s="41">
        <f t="shared" si="76"/>
        <v>0</v>
      </c>
      <c r="U817" s="42">
        <f t="shared" si="77"/>
        <v>18796</v>
      </c>
    </row>
    <row r="818" spans="1:21" x14ac:dyDescent="0.3">
      <c r="A818" s="37" t="s">
        <v>4318</v>
      </c>
      <c r="B818" s="37" t="s">
        <v>4319</v>
      </c>
      <c r="C818" s="37" t="s">
        <v>2481</v>
      </c>
      <c r="D818" s="37" t="s">
        <v>25</v>
      </c>
      <c r="E818" s="37" t="s">
        <v>54</v>
      </c>
      <c r="F818" s="37"/>
      <c r="G818" s="37" t="s">
        <v>2435</v>
      </c>
      <c r="H818" s="37">
        <v>12.94</v>
      </c>
      <c r="I818" s="37">
        <v>23</v>
      </c>
      <c r="J818" s="37">
        <v>11067</v>
      </c>
      <c r="K818" s="37"/>
      <c r="L818" s="37" t="s">
        <v>64</v>
      </c>
      <c r="M818" s="37" t="str">
        <f t="shared" si="74"/>
        <v>Unknown</v>
      </c>
      <c r="N818" s="37" t="str">
        <f t="shared" si="72"/>
        <v>Unknown</v>
      </c>
      <c r="O818" s="37" t="str" cm="1">
        <f t="array" ref="O818">IF(TRIM(N818)="",INDEX($N$2:$N$1500,MATCH(MAX(COUNTIF($N$2:$N$1500,$N$2:$N$1500)),COUNTIF($N$2:$N$1500,$N$2:$N$1500),0)),N818)</f>
        <v>Unknown</v>
      </c>
      <c r="P818" s="38" cm="1">
        <f t="array" ref="P818">ROUND(IF(TRIM(H818)="",IFERROR(MEDIAN(IF($M$2:$M$1500=M818,$H$2:$H$1500)),MEDIAN($H$2:$H$1500)),H818),2)</f>
        <v>12.94</v>
      </c>
      <c r="Q818" s="38" t="str">
        <f t="shared" si="75"/>
        <v>0</v>
      </c>
      <c r="R818" s="39" cm="1">
        <f t="array" ref="R818">IF(OR(TRIM(J818)="",TRIM(J818)="-"),MEDIAN(IF($C$2:$C$1218=C818,$J$2:$J$1218)),VALUE(SUBSTITUTE(SUBSTITUTE(SUBSTITUTE(J818,"Rs. ",""),"₹",""),",","")))</f>
        <v>11067</v>
      </c>
      <c r="S818" s="40" t="str">
        <f t="shared" si="73"/>
        <v>NA</v>
      </c>
      <c r="T818" s="41">
        <f t="shared" si="76"/>
        <v>7</v>
      </c>
      <c r="U818" s="42">
        <f>ROUND(R818*(1-T818/100),0)</f>
        <v>10292</v>
      </c>
    </row>
    <row r="819" spans="1:21" x14ac:dyDescent="0.3">
      <c r="A819" s="37" t="s">
        <v>4320</v>
      </c>
      <c r="B819" s="37" t="s">
        <v>3293</v>
      </c>
      <c r="C819" s="37" t="s">
        <v>2518</v>
      </c>
      <c r="D819" s="37" t="s">
        <v>78</v>
      </c>
      <c r="E819" s="37" t="s">
        <v>79</v>
      </c>
      <c r="F819" s="37" t="s">
        <v>30</v>
      </c>
      <c r="G819" s="37" t="s">
        <v>2435</v>
      </c>
      <c r="H819" s="37">
        <v>2.2200000000000002</v>
      </c>
      <c r="I819" s="37">
        <v>26</v>
      </c>
      <c r="J819" s="37" t="s">
        <v>4321</v>
      </c>
      <c r="K819" s="37" t="s">
        <v>23</v>
      </c>
      <c r="L819" s="37"/>
      <c r="M819" s="37" t="str">
        <f t="shared" si="74"/>
        <v>General</v>
      </c>
      <c r="N819" s="37" t="str">
        <f t="shared" si="72"/>
        <v>Credit Card</v>
      </c>
      <c r="O819" s="37" t="str" cm="1">
        <f t="array" ref="O819">IF(TRIM(N819)="",INDEX($N$2:$N$1500,MATCH(MAX(COUNTIF($N$2:$N$1500,$N$2:$N$1500)),COUNTIF($N$2:$N$1500,$N$2:$N$1500),0)),N819)</f>
        <v>Credit Card</v>
      </c>
      <c r="P819" s="38" cm="1">
        <f t="array" ref="P819">ROUND(IF(TRIM(H819)="",IFERROR(MEDIAN(IF($M$2:$M$1500=M819,$H$2:$H$1500)),MEDIAN($H$2:$H$1500)),H819),2)</f>
        <v>2.2200000000000002</v>
      </c>
      <c r="Q819" s="38" t="str">
        <f t="shared" si="75"/>
        <v>0</v>
      </c>
      <c r="R819" s="39" cm="1">
        <f t="array" ref="R819">IF(OR(TRIM(J819)="",TRIM(J819)="-"),MEDIAN(IF($C$2:$C$1218=C819,$J$2:$J$1218)),VALUE(SUBSTITUTE(SUBSTITUTE(SUBSTITUTE(J819,"Rs. ",""),"₹",""),",","")))</f>
        <v>10811</v>
      </c>
      <c r="S819" s="40">
        <f t="shared" si="73"/>
        <v>0</v>
      </c>
      <c r="T819" s="41">
        <f t="shared" si="76"/>
        <v>0</v>
      </c>
      <c r="U819" s="42">
        <f t="shared" si="77"/>
        <v>10811</v>
      </c>
    </row>
    <row r="820" spans="1:21" x14ac:dyDescent="0.3">
      <c r="A820" s="37" t="s">
        <v>4322</v>
      </c>
      <c r="B820" s="37" t="s">
        <v>4323</v>
      </c>
      <c r="C820" s="37" t="s">
        <v>2536</v>
      </c>
      <c r="D820" s="37" t="s">
        <v>106</v>
      </c>
      <c r="E820" s="37" t="s">
        <v>307</v>
      </c>
      <c r="F820" s="37" t="s">
        <v>30</v>
      </c>
      <c r="G820" s="37" t="s">
        <v>2423</v>
      </c>
      <c r="H820" s="37">
        <v>22.58</v>
      </c>
      <c r="I820" s="37" t="s">
        <v>140</v>
      </c>
      <c r="J820" s="37" t="s">
        <v>4324</v>
      </c>
      <c r="K820" s="37" t="s">
        <v>72</v>
      </c>
      <c r="L820" s="37">
        <v>5</v>
      </c>
      <c r="M820" s="37" t="str">
        <f t="shared" si="74"/>
        <v>General</v>
      </c>
      <c r="N820" s="37" t="str">
        <f t="shared" si="72"/>
        <v>Cash</v>
      </c>
      <c r="O820" s="37" t="str" cm="1">
        <f t="array" ref="O820">IF(TRIM(N820)="",INDEX($N$2:$N$1500,MATCH(MAX(COUNTIF($N$2:$N$1500,$N$2:$N$1500)),COUNTIF($N$2:$N$1500,$N$2:$N$1500),0)),N820)</f>
        <v>Cash</v>
      </c>
      <c r="P820" s="38" cm="1">
        <f t="array" ref="P820">ROUND(IF(TRIM(H820)="",IFERROR(MEDIAN(IF($M$2:$M$1500=M820,$H$2:$H$1500)),MEDIAN($H$2:$H$1500)),H820),2)</f>
        <v>22.58</v>
      </c>
      <c r="Q820" s="38" t="str">
        <f t="shared" si="75"/>
        <v>0</v>
      </c>
      <c r="R820" s="39" cm="1">
        <f t="array" ref="R820">IF(OR(TRIM(J820)="",TRIM(J820)="-"),MEDIAN(IF($C$2:$C$1218=C820,$J$2:$J$1218)),VALUE(SUBSTITUTE(SUBSTITUTE(SUBSTITUTE(J820,"Rs. ",""),"₹",""),",","")))</f>
        <v>7591</v>
      </c>
      <c r="S820" s="40">
        <f t="shared" si="73"/>
        <v>5</v>
      </c>
      <c r="T820" s="41">
        <f t="shared" si="76"/>
        <v>5</v>
      </c>
      <c r="U820" s="42">
        <f t="shared" si="77"/>
        <v>7211</v>
      </c>
    </row>
    <row r="821" spans="1:21" x14ac:dyDescent="0.3">
      <c r="A821" s="37" t="s">
        <v>4325</v>
      </c>
      <c r="B821" s="37" t="s">
        <v>4326</v>
      </c>
      <c r="C821" s="37" t="s">
        <v>2518</v>
      </c>
      <c r="D821" s="37" t="s">
        <v>14</v>
      </c>
      <c r="E821" s="37" t="s">
        <v>60</v>
      </c>
      <c r="F821" s="37" t="s">
        <v>39</v>
      </c>
      <c r="G821" s="37" t="s">
        <v>2418</v>
      </c>
      <c r="H821" s="37">
        <v>7.32</v>
      </c>
      <c r="I821" s="37">
        <v>32</v>
      </c>
      <c r="J821" s="37" t="s">
        <v>4327</v>
      </c>
      <c r="K821" s="37" t="s">
        <v>58</v>
      </c>
      <c r="L821" s="37">
        <v>0</v>
      </c>
      <c r="M821" s="37" t="str">
        <f t="shared" si="74"/>
        <v>General</v>
      </c>
      <c r="N821" s="37" t="str">
        <f t="shared" si="72"/>
        <v>UPI</v>
      </c>
      <c r="O821" s="37" t="str" cm="1">
        <f t="array" ref="O821">IF(TRIM(N821)="",INDEX($N$2:$N$1500,MATCH(MAX(COUNTIF($N$2:$N$1500,$N$2:$N$1500)),COUNTIF($N$2:$N$1500,$N$2:$N$1500),0)),N821)</f>
        <v>UPI</v>
      </c>
      <c r="P821" s="38" cm="1">
        <f t="array" ref="P821">ROUND(IF(TRIM(H821)="",IFERROR(MEDIAN(IF($M$2:$M$1500=M821,$H$2:$H$1500)),MEDIAN($H$2:$H$1500)),H821),2)</f>
        <v>7.32</v>
      </c>
      <c r="Q821" s="38" t="str">
        <f t="shared" si="75"/>
        <v>1</v>
      </c>
      <c r="R821" s="39" cm="1">
        <f t="array" ref="R821">IF(OR(TRIM(J821)="",TRIM(J821)="-"),MEDIAN(IF($C$2:$C$1218=C821,$J$2:$J$1218)),VALUE(SUBSTITUTE(SUBSTITUTE(SUBSTITUTE(J821,"Rs. ",""),"₹",""),",","")))</f>
        <v>10009</v>
      </c>
      <c r="S821" s="40">
        <f t="shared" si="73"/>
        <v>0</v>
      </c>
      <c r="T821" s="41">
        <f t="shared" si="76"/>
        <v>0</v>
      </c>
      <c r="U821" s="42">
        <f t="shared" si="77"/>
        <v>10009</v>
      </c>
    </row>
    <row r="822" spans="1:21" x14ac:dyDescent="0.3">
      <c r="A822" s="37" t="s">
        <v>4328</v>
      </c>
      <c r="B822" s="37" t="s">
        <v>3891</v>
      </c>
      <c r="C822" s="37" t="s">
        <v>2536</v>
      </c>
      <c r="D822" s="37" t="s">
        <v>45</v>
      </c>
      <c r="E822" s="37" t="s">
        <v>334</v>
      </c>
      <c r="F822" s="37" t="s">
        <v>30</v>
      </c>
      <c r="G822" s="37" t="s">
        <v>2418</v>
      </c>
      <c r="H822" s="37">
        <v>21.96</v>
      </c>
      <c r="I822" s="37">
        <v>50</v>
      </c>
      <c r="J822" s="37">
        <v>5098</v>
      </c>
      <c r="K822" s="37" t="s">
        <v>91</v>
      </c>
      <c r="L822" s="37" t="s">
        <v>64</v>
      </c>
      <c r="M822" s="37" t="str">
        <f t="shared" si="74"/>
        <v>General</v>
      </c>
      <c r="N822" s="37" t="str">
        <f t="shared" si="72"/>
        <v>Debit Card</v>
      </c>
      <c r="O822" s="37" t="str" cm="1">
        <f t="array" ref="O822">IF(TRIM(N822)="",INDEX($N$2:$N$1500,MATCH(MAX(COUNTIF($N$2:$N$1500,$N$2:$N$1500)),COUNTIF($N$2:$N$1500,$N$2:$N$1500),0)),N822)</f>
        <v>Debit Card</v>
      </c>
      <c r="P822" s="38" cm="1">
        <f t="array" ref="P822">ROUND(IF(TRIM(H822)="",IFERROR(MEDIAN(IF($M$2:$M$1500=M822,$H$2:$H$1500)),MEDIAN($H$2:$H$1500)),H822),2)</f>
        <v>21.96</v>
      </c>
      <c r="Q822" s="38" t="str">
        <f t="shared" si="75"/>
        <v>1</v>
      </c>
      <c r="R822" s="39" cm="1">
        <f t="array" ref="R822">IF(OR(TRIM(J822)="",TRIM(J822)="-"),MEDIAN(IF($C$2:$C$1218=C822,$J$2:$J$1218)),VALUE(SUBSTITUTE(SUBSTITUTE(SUBSTITUTE(J822,"Rs. ",""),"₹",""),",","")))</f>
        <v>5098</v>
      </c>
      <c r="S822" s="40" t="str">
        <f t="shared" si="73"/>
        <v>NA</v>
      </c>
      <c r="T822" s="41">
        <f t="shared" si="76"/>
        <v>3</v>
      </c>
      <c r="U822" s="42">
        <f t="shared" si="77"/>
        <v>4945</v>
      </c>
    </row>
    <row r="823" spans="1:21" x14ac:dyDescent="0.3">
      <c r="A823" s="37" t="s">
        <v>4329</v>
      </c>
      <c r="B823" s="37" t="s">
        <v>4330</v>
      </c>
      <c r="C823" s="37" t="s">
        <v>2469</v>
      </c>
      <c r="D823" s="37" t="s">
        <v>106</v>
      </c>
      <c r="E823" s="37" t="s">
        <v>107</v>
      </c>
      <c r="F823" s="37" t="s">
        <v>69</v>
      </c>
      <c r="G823" s="37" t="s">
        <v>2423</v>
      </c>
      <c r="H823" s="37">
        <v>3.6</v>
      </c>
      <c r="I823" s="37">
        <v>27</v>
      </c>
      <c r="J823" s="37" t="s">
        <v>4331</v>
      </c>
      <c r="K823" s="37" t="s">
        <v>72</v>
      </c>
      <c r="L823" s="37">
        <v>10</v>
      </c>
      <c r="M823" s="37" t="str">
        <f t="shared" si="74"/>
        <v>ICU</v>
      </c>
      <c r="N823" s="37" t="str">
        <f t="shared" si="72"/>
        <v>Cash</v>
      </c>
      <c r="O823" s="37" t="str" cm="1">
        <f t="array" ref="O823">IF(TRIM(N823)="",INDEX($N$2:$N$1500,MATCH(MAX(COUNTIF($N$2:$N$1500,$N$2:$N$1500)),COUNTIF($N$2:$N$1500,$N$2:$N$1500),0)),N823)</f>
        <v>Cash</v>
      </c>
      <c r="P823" s="38" cm="1">
        <f t="array" ref="P823">ROUND(IF(TRIM(H823)="",IFERROR(MEDIAN(IF($M$2:$M$1500=M823,$H$2:$H$1500)),MEDIAN($H$2:$H$1500)),H823),2)</f>
        <v>3.6</v>
      </c>
      <c r="Q823" s="38" t="str">
        <f t="shared" si="75"/>
        <v>0</v>
      </c>
      <c r="R823" s="39" cm="1">
        <f t="array" ref="R823">IF(OR(TRIM(J823)="",TRIM(J823)="-"),MEDIAN(IF($C$2:$C$1218=C823,$J$2:$J$1218)),VALUE(SUBSTITUTE(SUBSTITUTE(SUBSTITUTE(J823,"Rs. ",""),"₹",""),",","")))</f>
        <v>33282</v>
      </c>
      <c r="S823" s="40">
        <f t="shared" si="73"/>
        <v>10</v>
      </c>
      <c r="T823" s="41">
        <f t="shared" si="76"/>
        <v>10</v>
      </c>
      <c r="U823" s="42">
        <f t="shared" si="77"/>
        <v>29954</v>
      </c>
    </row>
    <row r="824" spans="1:21" x14ac:dyDescent="0.3">
      <c r="A824" s="37" t="s">
        <v>4332</v>
      </c>
      <c r="B824" s="37" t="s">
        <v>4333</v>
      </c>
      <c r="C824" s="37" t="s">
        <v>2463</v>
      </c>
      <c r="D824" s="37" t="s">
        <v>45</v>
      </c>
      <c r="E824" s="37" t="s">
        <v>46</v>
      </c>
      <c r="F824" s="37" t="s">
        <v>30</v>
      </c>
      <c r="G824" s="37" t="s">
        <v>2477</v>
      </c>
      <c r="H824" s="37">
        <v>6.59</v>
      </c>
      <c r="I824" s="37">
        <v>41</v>
      </c>
      <c r="J824" s="37" t="s">
        <v>1298</v>
      </c>
      <c r="K824" s="37" t="s">
        <v>115</v>
      </c>
      <c r="L824" s="37">
        <v>0</v>
      </c>
      <c r="M824" s="37" t="str">
        <f t="shared" si="74"/>
        <v>General</v>
      </c>
      <c r="N824" s="37" t="str">
        <f t="shared" si="72"/>
        <v>Cash</v>
      </c>
      <c r="O824" s="37" t="str" cm="1">
        <f t="array" ref="O824">IF(TRIM(N824)="",INDEX($N$2:$N$1500,MATCH(MAX(COUNTIF($N$2:$N$1500,$N$2:$N$1500)),COUNTIF($N$2:$N$1500,$N$2:$N$1500),0)),N824)</f>
        <v>Cash</v>
      </c>
      <c r="P824" s="38" cm="1">
        <f t="array" ref="P824">ROUND(IF(TRIM(H824)="",IFERROR(MEDIAN(IF($M$2:$M$1500=M824,$H$2:$H$1500)),MEDIAN($H$2:$H$1500)),H824),2)</f>
        <v>6.59</v>
      </c>
      <c r="Q824" s="38" t="str">
        <f t="shared" si="75"/>
        <v>0</v>
      </c>
      <c r="R824" s="39" cm="1">
        <f t="array" ref="R824">IF(OR(TRIM(J824)="",TRIM(J824)="-"),MEDIAN(IF($C$2:$C$1218=C824,$J$2:$J$1218)),VALUE(SUBSTITUTE(SUBSTITUTE(SUBSTITUTE(J824,"Rs. ",""),"₹",""),",","")))</f>
        <v>6435</v>
      </c>
      <c r="S824" s="40">
        <f t="shared" si="73"/>
        <v>0</v>
      </c>
      <c r="T824" s="41">
        <f t="shared" si="76"/>
        <v>0</v>
      </c>
      <c r="U824" s="42">
        <f t="shared" si="77"/>
        <v>6435</v>
      </c>
    </row>
    <row r="825" spans="1:21" x14ac:dyDescent="0.3">
      <c r="A825" s="37" t="s">
        <v>4334</v>
      </c>
      <c r="B825" s="37" t="s">
        <v>4335</v>
      </c>
      <c r="C825" s="37" t="s">
        <v>2422</v>
      </c>
      <c r="D825" s="37" t="s">
        <v>117</v>
      </c>
      <c r="E825" s="37" t="s">
        <v>182</v>
      </c>
      <c r="F825" s="37" t="s">
        <v>49</v>
      </c>
      <c r="G825" s="37" t="s">
        <v>2455</v>
      </c>
      <c r="H825" s="37">
        <v>16.8</v>
      </c>
      <c r="I825" s="37">
        <v>1</v>
      </c>
      <c r="J825" s="37">
        <v>10650</v>
      </c>
      <c r="K825" s="37" t="s">
        <v>34</v>
      </c>
      <c r="L825" s="37">
        <v>0</v>
      </c>
      <c r="M825" s="37" t="str">
        <f t="shared" si="74"/>
        <v>General</v>
      </c>
      <c r="N825" s="37" t="str">
        <f t="shared" si="72"/>
        <v>Cash</v>
      </c>
      <c r="O825" s="37" t="str" cm="1">
        <f t="array" ref="O825">IF(TRIM(N825)="",INDEX($N$2:$N$1500,MATCH(MAX(COUNTIF($N$2:$N$1500,$N$2:$N$1500)),COUNTIF($N$2:$N$1500,$N$2:$N$1500),0)),N825)</f>
        <v>Cash</v>
      </c>
      <c r="P825" s="38" cm="1">
        <f t="array" ref="P825">ROUND(IF(TRIM(H825)="",IFERROR(MEDIAN(IF($M$2:$M$1500=M825,$H$2:$H$1500)),MEDIAN($H$2:$H$1500)),H825),2)</f>
        <v>16.8</v>
      </c>
      <c r="Q825" s="38" t="str">
        <f t="shared" si="75"/>
        <v>1</v>
      </c>
      <c r="R825" s="39" cm="1">
        <f t="array" ref="R825">IF(OR(TRIM(J825)="",TRIM(J825)="-"),MEDIAN(IF($C$2:$C$1218=C825,$J$2:$J$1218)),VALUE(SUBSTITUTE(SUBSTITUTE(SUBSTITUTE(J825,"Rs. ",""),"₹",""),",","")))</f>
        <v>10650</v>
      </c>
      <c r="S825" s="40">
        <f t="shared" si="73"/>
        <v>0</v>
      </c>
      <c r="T825" s="41">
        <f t="shared" si="76"/>
        <v>0</v>
      </c>
      <c r="U825" s="42">
        <f t="shared" si="77"/>
        <v>10650</v>
      </c>
    </row>
    <row r="826" spans="1:21" x14ac:dyDescent="0.3">
      <c r="A826" s="37" t="s">
        <v>4336</v>
      </c>
      <c r="B826" s="37" t="s">
        <v>4337</v>
      </c>
      <c r="C826" s="37" t="s">
        <v>2438</v>
      </c>
      <c r="D826" s="37" t="s">
        <v>78</v>
      </c>
      <c r="E826" s="37" t="s">
        <v>161</v>
      </c>
      <c r="F826" s="37" t="s">
        <v>19</v>
      </c>
      <c r="G826" s="37" t="s">
        <v>2477</v>
      </c>
      <c r="H826" s="37">
        <v>7.1</v>
      </c>
      <c r="I826" s="37">
        <v>35</v>
      </c>
      <c r="J826" s="37" t="s">
        <v>4338</v>
      </c>
      <c r="K826" s="37" t="s">
        <v>23</v>
      </c>
      <c r="L826" s="37" t="s">
        <v>76</v>
      </c>
      <c r="M826" s="37" t="str">
        <f t="shared" si="74"/>
        <v>General</v>
      </c>
      <c r="N826" s="37" t="str">
        <f t="shared" si="72"/>
        <v>Credit Card</v>
      </c>
      <c r="O826" s="37" t="str" cm="1">
        <f t="array" ref="O826">IF(TRIM(N826)="",INDEX($N$2:$N$1500,MATCH(MAX(COUNTIF($N$2:$N$1500,$N$2:$N$1500)),COUNTIF($N$2:$N$1500,$N$2:$N$1500),0)),N826)</f>
        <v>Credit Card</v>
      </c>
      <c r="P826" s="38" cm="1">
        <f t="array" ref="P826">ROUND(IF(TRIM(H826)="",IFERROR(MEDIAN(IF($M$2:$M$1500=M826,$H$2:$H$1500)),MEDIAN($H$2:$H$1500)),H826),2)</f>
        <v>7.1</v>
      </c>
      <c r="Q826" s="38" t="str">
        <f t="shared" si="75"/>
        <v>0</v>
      </c>
      <c r="R826" s="39" cm="1">
        <f t="array" ref="R826">IF(OR(TRIM(J826)="",TRIM(J826)="-"),MEDIAN(IF($C$2:$C$1218=C826,$J$2:$J$1218)),VALUE(SUBSTITUTE(SUBSTITUTE(SUBSTITUTE(J826,"Rs. ",""),"₹",""),",","")))</f>
        <v>4092</v>
      </c>
      <c r="S826" s="40">
        <f t="shared" si="73"/>
        <v>10</v>
      </c>
      <c r="T826" s="41">
        <f t="shared" si="76"/>
        <v>10</v>
      </c>
      <c r="U826" s="42">
        <f t="shared" si="77"/>
        <v>3683</v>
      </c>
    </row>
    <row r="827" spans="1:21" x14ac:dyDescent="0.3">
      <c r="A827" s="37" t="s">
        <v>4339</v>
      </c>
      <c r="B827" s="37" t="s">
        <v>2930</v>
      </c>
      <c r="C827" s="37" t="s">
        <v>2490</v>
      </c>
      <c r="D827" s="37" t="s">
        <v>106</v>
      </c>
      <c r="E827" s="37" t="s">
        <v>307</v>
      </c>
      <c r="F827" s="37" t="s">
        <v>62</v>
      </c>
      <c r="G827" s="37" t="s">
        <v>2450</v>
      </c>
      <c r="H827" s="37">
        <v>9.32</v>
      </c>
      <c r="I827" s="37" t="s">
        <v>140</v>
      </c>
      <c r="J827" s="37" t="s">
        <v>4340</v>
      </c>
      <c r="K827" s="37" t="s">
        <v>87</v>
      </c>
      <c r="L827" s="37">
        <v>0</v>
      </c>
      <c r="M827" s="37" t="str">
        <f t="shared" si="74"/>
        <v>ICU</v>
      </c>
      <c r="N827" s="37" t="str">
        <f t="shared" si="72"/>
        <v>Credit Card</v>
      </c>
      <c r="O827" s="37" t="str" cm="1">
        <f t="array" ref="O827">IF(TRIM(N827)="",INDEX($N$2:$N$1500,MATCH(MAX(COUNTIF($N$2:$N$1500,$N$2:$N$1500)),COUNTIF($N$2:$N$1500,$N$2:$N$1500),0)),N827)</f>
        <v>Credit Card</v>
      </c>
      <c r="P827" s="38" cm="1">
        <f t="array" ref="P827">ROUND(IF(TRIM(H827)="",IFERROR(MEDIAN(IF($M$2:$M$1500=M827,$H$2:$H$1500)),MEDIAN($H$2:$H$1500)),H827),2)</f>
        <v>9.32</v>
      </c>
      <c r="Q827" s="38" t="str">
        <f t="shared" si="75"/>
        <v>1</v>
      </c>
      <c r="R827" s="39" cm="1">
        <f t="array" ref="R827">IF(OR(TRIM(J827)="",TRIM(J827)="-"),MEDIAN(IF($C$2:$C$1218=C827,$J$2:$J$1218)),VALUE(SUBSTITUTE(SUBSTITUTE(SUBSTITUTE(J827,"Rs. ",""),"₹",""),",","")))</f>
        <v>57360</v>
      </c>
      <c r="S827" s="40">
        <f t="shared" si="73"/>
        <v>0</v>
      </c>
      <c r="T827" s="41">
        <f t="shared" si="76"/>
        <v>0</v>
      </c>
      <c r="U827" s="42">
        <f t="shared" si="77"/>
        <v>57360</v>
      </c>
    </row>
    <row r="828" spans="1:21" x14ac:dyDescent="0.3">
      <c r="A828" s="37" t="s">
        <v>4341</v>
      </c>
      <c r="B828" s="37" t="s">
        <v>3683</v>
      </c>
      <c r="C828" s="37" t="s">
        <v>2514</v>
      </c>
      <c r="D828" s="37" t="s">
        <v>14</v>
      </c>
      <c r="E828" s="37" t="s">
        <v>60</v>
      </c>
      <c r="F828" s="37" t="s">
        <v>19</v>
      </c>
      <c r="G828" s="37" t="s">
        <v>2450</v>
      </c>
      <c r="H828" s="37">
        <v>21.56</v>
      </c>
      <c r="I828" s="37" t="s">
        <v>140</v>
      </c>
      <c r="J828" s="37">
        <v>9102</v>
      </c>
      <c r="K828" s="37" t="s">
        <v>52</v>
      </c>
      <c r="L828" s="37">
        <v>0</v>
      </c>
      <c r="M828" s="37" t="str">
        <f t="shared" si="74"/>
        <v>General</v>
      </c>
      <c r="N828" s="37" t="str">
        <f t="shared" si="72"/>
        <v>Credit Card</v>
      </c>
      <c r="O828" s="37" t="str" cm="1">
        <f t="array" ref="O828">IF(TRIM(N828)="",INDEX($N$2:$N$1500,MATCH(MAX(COUNTIF($N$2:$N$1500,$N$2:$N$1500)),COUNTIF($N$2:$N$1500,$N$2:$N$1500),0)),N828)</f>
        <v>Credit Card</v>
      </c>
      <c r="P828" s="38" cm="1">
        <f t="array" ref="P828">ROUND(IF(TRIM(H828)="",IFERROR(MEDIAN(IF($M$2:$M$1500=M828,$H$2:$H$1500)),MEDIAN($H$2:$H$1500)),H828),2)</f>
        <v>21.56</v>
      </c>
      <c r="Q828" s="38" t="str">
        <f t="shared" si="75"/>
        <v>1</v>
      </c>
      <c r="R828" s="39" cm="1">
        <f t="array" ref="R828">IF(OR(TRIM(J828)="",TRIM(J828)="-"),MEDIAN(IF($C$2:$C$1218=C828,$J$2:$J$1218)),VALUE(SUBSTITUTE(SUBSTITUTE(SUBSTITUTE(J828,"Rs. ",""),"₹",""),",","")))</f>
        <v>9102</v>
      </c>
      <c r="S828" s="40">
        <f t="shared" si="73"/>
        <v>0</v>
      </c>
      <c r="T828" s="41">
        <f t="shared" si="76"/>
        <v>0</v>
      </c>
      <c r="U828" s="42">
        <f t="shared" si="77"/>
        <v>9102</v>
      </c>
    </row>
    <row r="829" spans="1:21" x14ac:dyDescent="0.3">
      <c r="A829" s="37" t="s">
        <v>4342</v>
      </c>
      <c r="B829" s="37" t="s">
        <v>4343</v>
      </c>
      <c r="C829" s="37" t="s">
        <v>2514</v>
      </c>
      <c r="D829" s="37" t="s">
        <v>45</v>
      </c>
      <c r="E829" s="37" t="s">
        <v>46</v>
      </c>
      <c r="F829" s="37" t="s">
        <v>62</v>
      </c>
      <c r="G829" s="37" t="s">
        <v>2477</v>
      </c>
      <c r="H829" s="37">
        <v>1.87</v>
      </c>
      <c r="I829" s="37">
        <v>38</v>
      </c>
      <c r="J829" s="37" t="s">
        <v>4344</v>
      </c>
      <c r="K829" s="37" t="s">
        <v>115</v>
      </c>
      <c r="L829" s="37">
        <v>0</v>
      </c>
      <c r="M829" s="37" t="str">
        <f t="shared" si="74"/>
        <v>ICU</v>
      </c>
      <c r="N829" s="37" t="str">
        <f t="shared" si="72"/>
        <v>Cash</v>
      </c>
      <c r="O829" s="37" t="str" cm="1">
        <f t="array" ref="O829">IF(TRIM(N829)="",INDEX($N$2:$N$1500,MATCH(MAX(COUNTIF($N$2:$N$1500,$N$2:$N$1500)),COUNTIF($N$2:$N$1500,$N$2:$N$1500),0)),N829)</f>
        <v>Cash</v>
      </c>
      <c r="P829" s="38" cm="1">
        <f t="array" ref="P829">ROUND(IF(TRIM(H829)="",IFERROR(MEDIAN(IF($M$2:$M$1500=M829,$H$2:$H$1500)),MEDIAN($H$2:$H$1500)),H829),2)</f>
        <v>1.87</v>
      </c>
      <c r="Q829" s="38" t="str">
        <f t="shared" si="75"/>
        <v>0</v>
      </c>
      <c r="R829" s="39" cm="1">
        <f t="array" ref="R829">IF(OR(TRIM(J829)="",TRIM(J829)="-"),MEDIAN(IF($C$2:$C$1218=C829,$J$2:$J$1218)),VALUE(SUBSTITUTE(SUBSTITUTE(SUBSTITUTE(J829,"Rs. ",""),"₹",""),",","")))</f>
        <v>67755</v>
      </c>
      <c r="S829" s="40">
        <f t="shared" si="73"/>
        <v>0</v>
      </c>
      <c r="T829" s="41">
        <f t="shared" si="76"/>
        <v>0</v>
      </c>
      <c r="U829" s="42">
        <f t="shared" si="77"/>
        <v>67755</v>
      </c>
    </row>
    <row r="830" spans="1:21" x14ac:dyDescent="0.3">
      <c r="A830" s="37" t="s">
        <v>4345</v>
      </c>
      <c r="B830" s="37" t="s">
        <v>2717</v>
      </c>
      <c r="C830" s="37" t="s">
        <v>2407</v>
      </c>
      <c r="D830" s="37" t="s">
        <v>25</v>
      </c>
      <c r="E830" s="37" t="s">
        <v>26</v>
      </c>
      <c r="F830" s="37" t="s">
        <v>62</v>
      </c>
      <c r="G830" s="37" t="s">
        <v>2505</v>
      </c>
      <c r="H830" s="37">
        <v>21.58</v>
      </c>
      <c r="I830" s="37">
        <v>22</v>
      </c>
      <c r="J830" s="37" t="s">
        <v>4346</v>
      </c>
      <c r="K830" s="37" t="s">
        <v>115</v>
      </c>
      <c r="L830" s="37" t="s">
        <v>130</v>
      </c>
      <c r="M830" s="37" t="str">
        <f t="shared" si="74"/>
        <v>ICU</v>
      </c>
      <c r="N830" s="37" t="str">
        <f t="shared" si="72"/>
        <v>Cash</v>
      </c>
      <c r="O830" s="37" t="str" cm="1">
        <f t="array" ref="O830">IF(TRIM(N830)="",INDEX($N$2:$N$1500,MATCH(MAX(COUNTIF($N$2:$N$1500,$N$2:$N$1500)),COUNTIF($N$2:$N$1500,$N$2:$N$1500),0)),N830)</f>
        <v>Cash</v>
      </c>
      <c r="P830" s="38" cm="1">
        <f t="array" ref="P830">ROUND(IF(TRIM(H830)="",IFERROR(MEDIAN(IF($M$2:$M$1500=M830,$H$2:$H$1500)),MEDIAN($H$2:$H$1500)),H830),2)</f>
        <v>21.58</v>
      </c>
      <c r="Q830" s="38" t="str">
        <f t="shared" si="75"/>
        <v>2+</v>
      </c>
      <c r="R830" s="39" cm="1">
        <f t="array" ref="R830">IF(OR(TRIM(J830)="",TRIM(J830)="-"),MEDIAN(IF($C$2:$C$1218=C830,$J$2:$J$1218)),VALUE(SUBSTITUTE(SUBSTITUTE(SUBSTITUTE(J830,"Rs. ",""),"₹",""),",","")))</f>
        <v>39741</v>
      </c>
      <c r="S830" s="40">
        <f t="shared" si="73"/>
        <v>0</v>
      </c>
      <c r="T830" s="41">
        <f t="shared" si="76"/>
        <v>0</v>
      </c>
      <c r="U830" s="42">
        <f t="shared" si="77"/>
        <v>39741</v>
      </c>
    </row>
    <row r="831" spans="1:21" x14ac:dyDescent="0.3">
      <c r="A831" s="37" t="s">
        <v>4347</v>
      </c>
      <c r="B831" s="37" t="s">
        <v>2888</v>
      </c>
      <c r="C831" s="37" t="s">
        <v>2494</v>
      </c>
      <c r="D831" s="37" t="s">
        <v>45</v>
      </c>
      <c r="E831" s="37" t="s">
        <v>46</v>
      </c>
      <c r="F831" s="37" t="s">
        <v>39</v>
      </c>
      <c r="G831" s="37" t="s">
        <v>2423</v>
      </c>
      <c r="H831" s="37">
        <v>8.74</v>
      </c>
      <c r="I831" s="37">
        <v>28</v>
      </c>
      <c r="J831" s="37" t="s">
        <v>4348</v>
      </c>
      <c r="K831" s="37" t="s">
        <v>42</v>
      </c>
      <c r="L831" s="37">
        <v>10</v>
      </c>
      <c r="M831" s="37" t="str">
        <f t="shared" si="74"/>
        <v>General</v>
      </c>
      <c r="N831" s="37" t="str">
        <f t="shared" si="72"/>
        <v>Insurance</v>
      </c>
      <c r="O831" s="37" t="str" cm="1">
        <f t="array" ref="O831">IF(TRIM(N831)="",INDEX($N$2:$N$1500,MATCH(MAX(COUNTIF($N$2:$N$1500,$N$2:$N$1500)),COUNTIF($N$2:$N$1500,$N$2:$N$1500),0)),N831)</f>
        <v>Insurance</v>
      </c>
      <c r="P831" s="38" cm="1">
        <f t="array" ref="P831">ROUND(IF(TRIM(H831)="",IFERROR(MEDIAN(IF($M$2:$M$1500=M831,$H$2:$H$1500)),MEDIAN($H$2:$H$1500)),H831),2)</f>
        <v>8.74</v>
      </c>
      <c r="Q831" s="38" t="str">
        <f t="shared" si="75"/>
        <v>0</v>
      </c>
      <c r="R831" s="39" cm="1">
        <f t="array" ref="R831">IF(OR(TRIM(J831)="",TRIM(J831)="-"),MEDIAN(IF($C$2:$C$1218=C831,$J$2:$J$1218)),VALUE(SUBSTITUTE(SUBSTITUTE(SUBSTITUTE(J831,"Rs. ",""),"₹",""),",","")))</f>
        <v>7452</v>
      </c>
      <c r="S831" s="40">
        <f t="shared" si="73"/>
        <v>10</v>
      </c>
      <c r="T831" s="41">
        <f t="shared" si="76"/>
        <v>10</v>
      </c>
      <c r="U831" s="42">
        <f t="shared" si="77"/>
        <v>6707</v>
      </c>
    </row>
    <row r="832" spans="1:21" x14ac:dyDescent="0.3">
      <c r="A832" s="37" t="s">
        <v>4349</v>
      </c>
      <c r="B832" s="37" t="s">
        <v>3155</v>
      </c>
      <c r="C832" s="37" t="s">
        <v>2518</v>
      </c>
      <c r="D832" s="37" t="s">
        <v>45</v>
      </c>
      <c r="E832" s="37" t="s">
        <v>46</v>
      </c>
      <c r="F832" s="37" t="s">
        <v>19</v>
      </c>
      <c r="G832" s="37" t="s">
        <v>2477</v>
      </c>
      <c r="H832" s="37">
        <v>22.51</v>
      </c>
      <c r="I832" s="37">
        <v>24</v>
      </c>
      <c r="J832" s="37">
        <v>5440</v>
      </c>
      <c r="K832" s="37" t="s">
        <v>52</v>
      </c>
      <c r="L832" s="37">
        <v>0</v>
      </c>
      <c r="M832" s="37" t="str">
        <f t="shared" si="74"/>
        <v>General</v>
      </c>
      <c r="N832" s="37" t="str">
        <f t="shared" si="72"/>
        <v>Credit Card</v>
      </c>
      <c r="O832" s="37" t="str" cm="1">
        <f t="array" ref="O832">IF(TRIM(N832)="",INDEX($N$2:$N$1500,MATCH(MAX(COUNTIF($N$2:$N$1500,$N$2:$N$1500)),COUNTIF($N$2:$N$1500,$N$2:$N$1500),0)),N832)</f>
        <v>Credit Card</v>
      </c>
      <c r="P832" s="38" cm="1">
        <f t="array" ref="P832">ROUND(IF(TRIM(H832)="",IFERROR(MEDIAN(IF($M$2:$M$1500=M832,$H$2:$H$1500)),MEDIAN($H$2:$H$1500)),H832),2)</f>
        <v>22.51</v>
      </c>
      <c r="Q832" s="38" t="str">
        <f t="shared" si="75"/>
        <v>0</v>
      </c>
      <c r="R832" s="39" cm="1">
        <f t="array" ref="R832">IF(OR(TRIM(J832)="",TRIM(J832)="-"),MEDIAN(IF($C$2:$C$1218=C832,$J$2:$J$1218)),VALUE(SUBSTITUTE(SUBSTITUTE(SUBSTITUTE(J832,"Rs. ",""),"₹",""),",","")))</f>
        <v>5440</v>
      </c>
      <c r="S832" s="40">
        <f t="shared" si="73"/>
        <v>0</v>
      </c>
      <c r="T832" s="41">
        <f t="shared" si="76"/>
        <v>0</v>
      </c>
      <c r="U832" s="42">
        <f t="shared" si="77"/>
        <v>5440</v>
      </c>
    </row>
    <row r="833" spans="1:21" x14ac:dyDescent="0.3">
      <c r="A833" s="37" t="s">
        <v>4350</v>
      </c>
      <c r="B833" s="37" t="s">
        <v>3410</v>
      </c>
      <c r="C833" s="37" t="s">
        <v>2504</v>
      </c>
      <c r="D833" s="37" t="s">
        <v>117</v>
      </c>
      <c r="E833" s="37" t="s">
        <v>182</v>
      </c>
      <c r="F833" s="37" t="s">
        <v>49</v>
      </c>
      <c r="G833" s="37" t="s">
        <v>2505</v>
      </c>
      <c r="H833" s="37">
        <v>4.62</v>
      </c>
      <c r="I833" s="37">
        <v>36</v>
      </c>
      <c r="J833" s="37">
        <v>19534</v>
      </c>
      <c r="K833" s="37" t="s">
        <v>236</v>
      </c>
      <c r="L833" s="37"/>
      <c r="M833" s="37" t="str">
        <f t="shared" si="74"/>
        <v>General</v>
      </c>
      <c r="N833" s="37" t="str">
        <f t="shared" si="72"/>
        <v>Debit Card</v>
      </c>
      <c r="O833" s="37" t="str" cm="1">
        <f t="array" ref="O833">IF(TRIM(N833)="",INDEX($N$2:$N$1500,MATCH(MAX(COUNTIF($N$2:$N$1500,$N$2:$N$1500)),COUNTIF($N$2:$N$1500,$N$2:$N$1500),0)),N833)</f>
        <v>Debit Card</v>
      </c>
      <c r="P833" s="38" cm="1">
        <f t="array" ref="P833">ROUND(IF(TRIM(H833)="",IFERROR(MEDIAN(IF($M$2:$M$1500=M833,$H$2:$H$1500)),MEDIAN($H$2:$H$1500)),H833),2)</f>
        <v>4.62</v>
      </c>
      <c r="Q833" s="38" t="str">
        <f t="shared" si="75"/>
        <v>2+</v>
      </c>
      <c r="R833" s="39" cm="1">
        <f t="array" ref="R833">IF(OR(TRIM(J833)="",TRIM(J833)="-"),MEDIAN(IF($C$2:$C$1218=C833,$J$2:$J$1218)),VALUE(SUBSTITUTE(SUBSTITUTE(SUBSTITUTE(J833,"Rs. ",""),"₹",""),",","")))</f>
        <v>19534</v>
      </c>
      <c r="S833" s="40">
        <f t="shared" si="73"/>
        <v>0</v>
      </c>
      <c r="T833" s="41">
        <f t="shared" si="76"/>
        <v>0</v>
      </c>
      <c r="U833" s="42">
        <f t="shared" si="77"/>
        <v>19534</v>
      </c>
    </row>
    <row r="834" spans="1:21" x14ac:dyDescent="0.3">
      <c r="A834" s="37" t="s">
        <v>4351</v>
      </c>
      <c r="B834" s="37" t="s">
        <v>3798</v>
      </c>
      <c r="C834" s="37" t="s">
        <v>2490</v>
      </c>
      <c r="D834" s="37" t="s">
        <v>117</v>
      </c>
      <c r="E834" s="37" t="s">
        <v>118</v>
      </c>
      <c r="F834" s="37" t="s">
        <v>49</v>
      </c>
      <c r="G834" s="37" t="s">
        <v>2412</v>
      </c>
      <c r="H834" s="37">
        <v>3.97</v>
      </c>
      <c r="I834" s="37">
        <v>38</v>
      </c>
      <c r="J834" s="37" t="s">
        <v>4352</v>
      </c>
      <c r="K834" s="37" t="s">
        <v>97</v>
      </c>
      <c r="L834" s="37">
        <v>0.05</v>
      </c>
      <c r="M834" s="37" t="str">
        <f t="shared" si="74"/>
        <v>General</v>
      </c>
      <c r="N834" s="37" t="str">
        <f t="shared" ref="N834:N897" si="78">IF(OR(UPPER(TRIM(K834))="CREDIT_CARD",UPPER(TRIM(K834))="CREDIT CARD",UPPER(TRIM(K834))="CC"),"Credit Card", IF(OR(UPPER(TRIM(K834))="DEBIT_CARD",UPPER(TRIM(K834))="DEBIT CARD",UPPER(TRIM(K834))="DC"),"Debit Card", IF(UPPER(TRIM(K834))="CASH","Cash", IF(UPPER(TRIM(K834))="UPI","UPI", IF(OR(UPPER(TRIM(K834))="INSURANCE",UPPER(TRIM(K834))="INS"),"Insurance", IF(TRIM(K834)="","Unknown","Unknown"))))))</f>
        <v>UPI</v>
      </c>
      <c r="O834" s="37" t="str" cm="1">
        <f t="array" ref="O834">IF(TRIM(N834)="",INDEX($N$2:$N$1500,MATCH(MAX(COUNTIF($N$2:$N$1500,$N$2:$N$1500)),COUNTIF($N$2:$N$1500,$N$2:$N$1500),0)),N834)</f>
        <v>UPI</v>
      </c>
      <c r="P834" s="38" cm="1">
        <f t="array" ref="P834">ROUND(IF(TRIM(H834)="",IFERROR(MEDIAN(IF($M$2:$M$1500=M834,$H$2:$H$1500)),MEDIAN($H$2:$H$1500)),H834),2)</f>
        <v>3.97</v>
      </c>
      <c r="Q834" s="38" t="str">
        <f t="shared" si="75"/>
        <v>1</v>
      </c>
      <c r="R834" s="39" cm="1">
        <f t="array" ref="R834">IF(OR(TRIM(J834)="",TRIM(J834)="-"),MEDIAN(IF($C$2:$C$1218=C834,$J$2:$J$1218)),VALUE(SUBSTITUTE(SUBSTITUTE(SUBSTITUTE(J834,"Rs. ",""),"₹",""),",","")))</f>
        <v>15830</v>
      </c>
      <c r="S834" s="40">
        <f t="shared" ref="S834:S897" si="79">IF(RIGHT(TRIM(L834),1)="%",VALUE(LEFT(TRIM(L834),LEN(TRIM(L834))-1)),IF(AND(ISNUMBER(L834),L834&lt;=1,,L834&gt;0),L834*100,L834))</f>
        <v>0.05</v>
      </c>
      <c r="T834" s="41">
        <f t="shared" si="76"/>
        <v>0</v>
      </c>
      <c r="U834" s="42">
        <f t="shared" si="77"/>
        <v>15830</v>
      </c>
    </row>
    <row r="835" spans="1:21" x14ac:dyDescent="0.3">
      <c r="A835" s="37" t="s">
        <v>4353</v>
      </c>
      <c r="B835" s="37" t="s">
        <v>3889</v>
      </c>
      <c r="C835" s="37" t="s">
        <v>2411</v>
      </c>
      <c r="D835" s="37" t="s">
        <v>45</v>
      </c>
      <c r="E835" s="37" t="s">
        <v>334</v>
      </c>
      <c r="F835" s="37" t="s">
        <v>30</v>
      </c>
      <c r="G835" s="37" t="s">
        <v>2746</v>
      </c>
      <c r="H835" s="37">
        <v>23.11</v>
      </c>
      <c r="I835" s="37">
        <v>40</v>
      </c>
      <c r="J835" s="37" t="s">
        <v>4354</v>
      </c>
      <c r="K835" s="37"/>
      <c r="L835" s="37"/>
      <c r="M835" s="37" t="str">
        <f t="shared" ref="M835:M898" si="80">IF(OR(UPPER(TRIM(F835))="GENERAL",UPPER(TRIM(F835))="GENRAL"),"General",IF(UPPER(TRIM(F835))="ICU","ICU","Unknown"))</f>
        <v>General</v>
      </c>
      <c r="N835" s="37" t="str">
        <f t="shared" si="78"/>
        <v>Unknown</v>
      </c>
      <c r="O835" s="37" t="str" cm="1">
        <f t="array" ref="O835">IF(TRIM(N835)="",INDEX($N$2:$N$1500,MATCH(MAX(COUNTIF($N$2:$N$1500,$N$2:$N$1500)),COUNTIF($N$2:$N$1500,$N$2:$N$1500),0)),N835)</f>
        <v>Unknown</v>
      </c>
      <c r="P835" s="38" cm="1">
        <f t="array" ref="P835">ROUND(IF(TRIM(H835)="",IFERROR(MEDIAN(IF($M$2:$M$1500=M835,$H$2:$H$1500)),MEDIAN($H$2:$H$1500)),H835),2)</f>
        <v>23.11</v>
      </c>
      <c r="Q835" s="38" t="str">
        <f t="shared" ref="Q835:Q898" si="81">IF(OR(LOWER(TRIM(G835))="0",LOWER(TRIM(G835))="zero"),"0", IF(OR(LOWER(TRIM(G835))="1",LOWER(TRIM(G835))="one"),"1", IF(OR(LOWER(TRIM(G835))="2",LOWER(TRIM(G835))="two"),"2", IF(OR(LOWER(TRIM(G835))="2+",LOWER(TRIM(G835))="two_or_more",LOWER(TRIM(G835))="multiple"),"2+", "Unknown"))))</f>
        <v>2</v>
      </c>
      <c r="R835" s="39" cm="1">
        <f t="array" ref="R835">IF(OR(TRIM(J835)="",TRIM(J835)="-"),MEDIAN(IF($C$2:$C$1218=C835,$J$2:$J$1218)),VALUE(SUBSTITUTE(SUBSTITUTE(SUBSTITUTE(J835,"Rs. ",""),"₹",""),",","")))</f>
        <v>10584</v>
      </c>
      <c r="S835" s="40">
        <f t="shared" si="79"/>
        <v>0</v>
      </c>
      <c r="T835" s="41">
        <f t="shared" ref="T835:T898" si="82">ROUND(IF(OR(TRIM(S835)="-",UPPER(TRIM(S835))="N/A",UPPER(TRIM(S835))="NA"),IFERROR(AVERAGEIF($O$2:$O$1500,O835,$S$2:$S$1500),AVERAGE($S$2:$S$1500)),S835),0)</f>
        <v>0</v>
      </c>
      <c r="U835" s="42">
        <f t="shared" ref="U835:U898" si="83">ROUND(R835*(1-T835/100),0)</f>
        <v>10584</v>
      </c>
    </row>
    <row r="836" spans="1:21" x14ac:dyDescent="0.3">
      <c r="A836" s="37" t="s">
        <v>4355</v>
      </c>
      <c r="B836" s="37" t="s">
        <v>4356</v>
      </c>
      <c r="C836" s="37" t="s">
        <v>2407</v>
      </c>
      <c r="D836" s="37" t="s">
        <v>45</v>
      </c>
      <c r="E836" s="37" t="s">
        <v>46</v>
      </c>
      <c r="F836" s="37" t="s">
        <v>19</v>
      </c>
      <c r="G836" s="37" t="s">
        <v>2412</v>
      </c>
      <c r="H836" s="37">
        <v>23.7</v>
      </c>
      <c r="I836" s="37">
        <v>55</v>
      </c>
      <c r="J836" s="37">
        <v>13219</v>
      </c>
      <c r="K836" s="37" t="s">
        <v>23</v>
      </c>
      <c r="L836" s="37">
        <v>0</v>
      </c>
      <c r="M836" s="37" t="str">
        <f t="shared" si="80"/>
        <v>General</v>
      </c>
      <c r="N836" s="37" t="str">
        <f t="shared" si="78"/>
        <v>Credit Card</v>
      </c>
      <c r="O836" s="37" t="str" cm="1">
        <f t="array" ref="O836">IF(TRIM(N836)="",INDEX($N$2:$N$1500,MATCH(MAX(COUNTIF($N$2:$N$1500,$N$2:$N$1500)),COUNTIF($N$2:$N$1500,$N$2:$N$1500),0)),N836)</f>
        <v>Credit Card</v>
      </c>
      <c r="P836" s="38" cm="1">
        <f t="array" ref="P836">ROUND(IF(TRIM(H836)="",IFERROR(MEDIAN(IF($M$2:$M$1500=M836,$H$2:$H$1500)),MEDIAN($H$2:$H$1500)),H836),2)</f>
        <v>23.7</v>
      </c>
      <c r="Q836" s="38" t="str">
        <f t="shared" si="81"/>
        <v>1</v>
      </c>
      <c r="R836" s="39" cm="1">
        <f t="array" ref="R836">IF(OR(TRIM(J836)="",TRIM(J836)="-"),MEDIAN(IF($C$2:$C$1218=C836,$J$2:$J$1218)),VALUE(SUBSTITUTE(SUBSTITUTE(SUBSTITUTE(J836,"Rs. ",""),"₹",""),",","")))</f>
        <v>13219</v>
      </c>
      <c r="S836" s="40">
        <f t="shared" si="79"/>
        <v>0</v>
      </c>
      <c r="T836" s="41">
        <f t="shared" si="82"/>
        <v>0</v>
      </c>
      <c r="U836" s="42">
        <f t="shared" si="83"/>
        <v>13219</v>
      </c>
    </row>
    <row r="837" spans="1:21" x14ac:dyDescent="0.3">
      <c r="A837" s="37" t="s">
        <v>4357</v>
      </c>
      <c r="B837" s="37" t="s">
        <v>2789</v>
      </c>
      <c r="C837" s="37" t="s">
        <v>2427</v>
      </c>
      <c r="D837" s="37" t="s">
        <v>117</v>
      </c>
      <c r="E837" s="37" t="s">
        <v>118</v>
      </c>
      <c r="F837" s="37" t="s">
        <v>101</v>
      </c>
      <c r="G837" s="37" t="s">
        <v>2418</v>
      </c>
      <c r="H837" s="37">
        <v>1.59</v>
      </c>
      <c r="I837" s="37">
        <v>3</v>
      </c>
      <c r="J837" s="37" t="s">
        <v>4358</v>
      </c>
      <c r="K837" s="37" t="s">
        <v>91</v>
      </c>
      <c r="L837" s="37">
        <v>0</v>
      </c>
      <c r="M837" s="37" t="str">
        <f t="shared" si="80"/>
        <v>ICU</v>
      </c>
      <c r="N837" s="37" t="str">
        <f t="shared" si="78"/>
        <v>Debit Card</v>
      </c>
      <c r="O837" s="37" t="str" cm="1">
        <f t="array" ref="O837">IF(TRIM(N837)="",INDEX($N$2:$N$1500,MATCH(MAX(COUNTIF($N$2:$N$1500,$N$2:$N$1500)),COUNTIF($N$2:$N$1500,$N$2:$N$1500),0)),N837)</f>
        <v>Debit Card</v>
      </c>
      <c r="P837" s="38" cm="1">
        <f t="array" ref="P837">ROUND(IF(TRIM(H837)="",IFERROR(MEDIAN(IF($M$2:$M$1500=M837,$H$2:$H$1500)),MEDIAN($H$2:$H$1500)),H837),2)</f>
        <v>1.59</v>
      </c>
      <c r="Q837" s="38" t="str">
        <f t="shared" si="81"/>
        <v>1</v>
      </c>
      <c r="R837" s="39" cm="1">
        <f t="array" ref="R837">IF(OR(TRIM(J837)="",TRIM(J837)="-"),MEDIAN(IF($C$2:$C$1218=C837,$J$2:$J$1218)),VALUE(SUBSTITUTE(SUBSTITUTE(SUBSTITUTE(J837,"Rs. ",""),"₹",""),",","")))</f>
        <v>87887</v>
      </c>
      <c r="S837" s="40">
        <f t="shared" si="79"/>
        <v>0</v>
      </c>
      <c r="T837" s="41">
        <f t="shared" si="82"/>
        <v>0</v>
      </c>
      <c r="U837" s="42">
        <f t="shared" si="83"/>
        <v>87887</v>
      </c>
    </row>
    <row r="838" spans="1:21" x14ac:dyDescent="0.3">
      <c r="A838" s="37" t="s">
        <v>4359</v>
      </c>
      <c r="B838" s="37" t="s">
        <v>4200</v>
      </c>
      <c r="C838" s="37" t="s">
        <v>2459</v>
      </c>
      <c r="D838" s="37" t="s">
        <v>14</v>
      </c>
      <c r="E838" s="37" t="s">
        <v>60</v>
      </c>
      <c r="F838" s="37" t="s">
        <v>30</v>
      </c>
      <c r="G838" s="37" t="s">
        <v>2408</v>
      </c>
      <c r="H838" s="37">
        <v>6.47</v>
      </c>
      <c r="I838" s="37">
        <v>34</v>
      </c>
      <c r="J838" s="37">
        <v>15728</v>
      </c>
      <c r="K838" s="37" t="s">
        <v>34</v>
      </c>
      <c r="L838" s="37" t="s">
        <v>76</v>
      </c>
      <c r="M838" s="37" t="str">
        <f t="shared" si="80"/>
        <v>General</v>
      </c>
      <c r="N838" s="37" t="str">
        <f t="shared" si="78"/>
        <v>Cash</v>
      </c>
      <c r="O838" s="37" t="str" cm="1">
        <f t="array" ref="O838">IF(TRIM(N838)="",INDEX($N$2:$N$1500,MATCH(MAX(COUNTIF($N$2:$N$1500,$N$2:$N$1500)),COUNTIF($N$2:$N$1500,$N$2:$N$1500),0)),N838)</f>
        <v>Cash</v>
      </c>
      <c r="P838" s="38" cm="1">
        <f t="array" ref="P838">ROUND(IF(TRIM(H838)="",IFERROR(MEDIAN(IF($M$2:$M$1500=M838,$H$2:$H$1500)),MEDIAN($H$2:$H$1500)),H838),2)</f>
        <v>6.47</v>
      </c>
      <c r="Q838" s="38" t="str">
        <f t="shared" si="81"/>
        <v>0</v>
      </c>
      <c r="R838" s="39" cm="1">
        <f t="array" ref="R838">IF(OR(TRIM(J838)="",TRIM(J838)="-"),MEDIAN(IF($C$2:$C$1218=C838,$J$2:$J$1218)),VALUE(SUBSTITUTE(SUBSTITUTE(SUBSTITUTE(J838,"Rs. ",""),"₹",""),",","")))</f>
        <v>15728</v>
      </c>
      <c r="S838" s="40">
        <f t="shared" si="79"/>
        <v>10</v>
      </c>
      <c r="T838" s="41">
        <f t="shared" si="82"/>
        <v>10</v>
      </c>
      <c r="U838" s="42">
        <f t="shared" si="83"/>
        <v>14155</v>
      </c>
    </row>
    <row r="839" spans="1:21" x14ac:dyDescent="0.3">
      <c r="A839" s="37" t="s">
        <v>4360</v>
      </c>
      <c r="B839" s="37" t="s">
        <v>4361</v>
      </c>
      <c r="C839" s="37" t="s">
        <v>2490</v>
      </c>
      <c r="D839" s="37" t="s">
        <v>25</v>
      </c>
      <c r="E839" s="37" t="s">
        <v>54</v>
      </c>
      <c r="F839" s="37" t="s">
        <v>69</v>
      </c>
      <c r="G839" s="37" t="s">
        <v>2412</v>
      </c>
      <c r="H839" s="37">
        <v>20.96</v>
      </c>
      <c r="I839" s="37">
        <v>17</v>
      </c>
      <c r="J839" s="37">
        <v>57170</v>
      </c>
      <c r="K839" s="37" t="s">
        <v>72</v>
      </c>
      <c r="L839" s="37">
        <v>0</v>
      </c>
      <c r="M839" s="37" t="str">
        <f t="shared" si="80"/>
        <v>ICU</v>
      </c>
      <c r="N839" s="37" t="str">
        <f t="shared" si="78"/>
        <v>Cash</v>
      </c>
      <c r="O839" s="37" t="str" cm="1">
        <f t="array" ref="O839">IF(TRIM(N839)="",INDEX($N$2:$N$1500,MATCH(MAX(COUNTIF($N$2:$N$1500,$N$2:$N$1500)),COUNTIF($N$2:$N$1500,$N$2:$N$1500),0)),N839)</f>
        <v>Cash</v>
      </c>
      <c r="P839" s="38" cm="1">
        <f t="array" ref="P839">ROUND(IF(TRIM(H839)="",IFERROR(MEDIAN(IF($M$2:$M$1500=M839,$H$2:$H$1500)),MEDIAN($H$2:$H$1500)),H839),2)</f>
        <v>20.96</v>
      </c>
      <c r="Q839" s="38" t="str">
        <f t="shared" si="81"/>
        <v>1</v>
      </c>
      <c r="R839" s="39" cm="1">
        <f t="array" ref="R839">IF(OR(TRIM(J839)="",TRIM(J839)="-"),MEDIAN(IF($C$2:$C$1218=C839,$J$2:$J$1218)),VALUE(SUBSTITUTE(SUBSTITUTE(SUBSTITUTE(J839,"Rs. ",""),"₹",""),",","")))</f>
        <v>57170</v>
      </c>
      <c r="S839" s="40">
        <f t="shared" si="79"/>
        <v>0</v>
      </c>
      <c r="T839" s="41">
        <f t="shared" si="82"/>
        <v>0</v>
      </c>
      <c r="U839" s="42">
        <f t="shared" si="83"/>
        <v>57170</v>
      </c>
    </row>
    <row r="840" spans="1:21" x14ac:dyDescent="0.3">
      <c r="A840" s="37" t="s">
        <v>4362</v>
      </c>
      <c r="B840" s="37" t="s">
        <v>4295</v>
      </c>
      <c r="C840" s="37" t="s">
        <v>2466</v>
      </c>
      <c r="D840" s="37" t="s">
        <v>14</v>
      </c>
      <c r="E840" s="37" t="s">
        <v>60</v>
      </c>
      <c r="F840" s="37" t="s">
        <v>19</v>
      </c>
      <c r="G840" s="37" t="s">
        <v>2423</v>
      </c>
      <c r="H840" s="37">
        <v>9.93</v>
      </c>
      <c r="I840" s="37">
        <v>6</v>
      </c>
      <c r="J840" s="37">
        <v>8619</v>
      </c>
      <c r="K840" s="37" t="s">
        <v>115</v>
      </c>
      <c r="L840" s="37">
        <v>0.1</v>
      </c>
      <c r="M840" s="37" t="str">
        <f t="shared" si="80"/>
        <v>General</v>
      </c>
      <c r="N840" s="37" t="str">
        <f t="shared" si="78"/>
        <v>Cash</v>
      </c>
      <c r="O840" s="37" t="str" cm="1">
        <f t="array" ref="O840">IF(TRIM(N840)="",INDEX($N$2:$N$1500,MATCH(MAX(COUNTIF($N$2:$N$1500,$N$2:$N$1500)),COUNTIF($N$2:$N$1500,$N$2:$N$1500),0)),N840)</f>
        <v>Cash</v>
      </c>
      <c r="P840" s="38" cm="1">
        <f t="array" ref="P840">ROUND(IF(TRIM(H840)="",IFERROR(MEDIAN(IF($M$2:$M$1500=M840,$H$2:$H$1500)),MEDIAN($H$2:$H$1500)),H840),2)</f>
        <v>9.93</v>
      </c>
      <c r="Q840" s="38" t="str">
        <f t="shared" si="81"/>
        <v>0</v>
      </c>
      <c r="R840" s="39" cm="1">
        <f t="array" ref="R840">IF(OR(TRIM(J840)="",TRIM(J840)="-"),MEDIAN(IF($C$2:$C$1218=C840,$J$2:$J$1218)),VALUE(SUBSTITUTE(SUBSTITUTE(SUBSTITUTE(J840,"Rs. ",""),"₹",""),",","")))</f>
        <v>8619</v>
      </c>
      <c r="S840" s="40">
        <f t="shared" si="79"/>
        <v>0.1</v>
      </c>
      <c r="T840" s="41">
        <f t="shared" si="82"/>
        <v>0</v>
      </c>
      <c r="U840" s="42">
        <f t="shared" si="83"/>
        <v>8619</v>
      </c>
    </row>
    <row r="841" spans="1:21" x14ac:dyDescent="0.3">
      <c r="A841" s="37" t="s">
        <v>4363</v>
      </c>
      <c r="B841" s="37" t="s">
        <v>3907</v>
      </c>
      <c r="C841" s="37" t="s">
        <v>2536</v>
      </c>
      <c r="D841" s="37" t="s">
        <v>78</v>
      </c>
      <c r="E841" s="37" t="s">
        <v>79</v>
      </c>
      <c r="F841" s="37" t="s">
        <v>19</v>
      </c>
      <c r="G841" s="37" t="s">
        <v>2408</v>
      </c>
      <c r="H841" s="37">
        <v>4.08</v>
      </c>
      <c r="I841" s="37">
        <v>58</v>
      </c>
      <c r="J841" s="37" t="s">
        <v>4364</v>
      </c>
      <c r="K841" s="37" t="s">
        <v>91</v>
      </c>
      <c r="L841" s="37">
        <v>0</v>
      </c>
      <c r="M841" s="37" t="str">
        <f t="shared" si="80"/>
        <v>General</v>
      </c>
      <c r="N841" s="37" t="str">
        <f t="shared" si="78"/>
        <v>Debit Card</v>
      </c>
      <c r="O841" s="37" t="str" cm="1">
        <f t="array" ref="O841">IF(TRIM(N841)="",INDEX($N$2:$N$1500,MATCH(MAX(COUNTIF($N$2:$N$1500,$N$2:$N$1500)),COUNTIF($N$2:$N$1500,$N$2:$N$1500),0)),N841)</f>
        <v>Debit Card</v>
      </c>
      <c r="P841" s="38" cm="1">
        <f t="array" ref="P841">ROUND(IF(TRIM(H841)="",IFERROR(MEDIAN(IF($M$2:$M$1500=M841,$H$2:$H$1500)),MEDIAN($H$2:$H$1500)),H841),2)</f>
        <v>4.08</v>
      </c>
      <c r="Q841" s="38" t="str">
        <f t="shared" si="81"/>
        <v>0</v>
      </c>
      <c r="R841" s="39" cm="1">
        <f t="array" ref="R841">IF(OR(TRIM(J841)="",TRIM(J841)="-"),MEDIAN(IF($C$2:$C$1218=C841,$J$2:$J$1218)),VALUE(SUBSTITUTE(SUBSTITUTE(SUBSTITUTE(J841,"Rs. ",""),"₹",""),",","")))</f>
        <v>16832</v>
      </c>
      <c r="S841" s="40">
        <f t="shared" si="79"/>
        <v>0</v>
      </c>
      <c r="T841" s="41">
        <f t="shared" si="82"/>
        <v>0</v>
      </c>
      <c r="U841" s="42">
        <f t="shared" si="83"/>
        <v>16832</v>
      </c>
    </row>
    <row r="842" spans="1:21" x14ac:dyDescent="0.3">
      <c r="A842" s="37" t="s">
        <v>4365</v>
      </c>
      <c r="B842" s="37" t="s">
        <v>3950</v>
      </c>
      <c r="C842" s="37" t="s">
        <v>2438</v>
      </c>
      <c r="D842" s="37" t="s">
        <v>45</v>
      </c>
      <c r="E842" s="37" t="s">
        <v>46</v>
      </c>
      <c r="F842" s="37" t="s">
        <v>69</v>
      </c>
      <c r="G842" s="37" t="s">
        <v>2418</v>
      </c>
      <c r="H842" s="37">
        <v>7.36</v>
      </c>
      <c r="I842" s="37">
        <v>47</v>
      </c>
      <c r="J842" s="37">
        <v>76625</v>
      </c>
      <c r="K842" s="37" t="s">
        <v>72</v>
      </c>
      <c r="L842" s="37" t="s">
        <v>130</v>
      </c>
      <c r="M842" s="37" t="str">
        <f t="shared" si="80"/>
        <v>ICU</v>
      </c>
      <c r="N842" s="37" t="str">
        <f t="shared" si="78"/>
        <v>Cash</v>
      </c>
      <c r="O842" s="37" t="str" cm="1">
        <f t="array" ref="O842">IF(TRIM(N842)="",INDEX($N$2:$N$1500,MATCH(MAX(COUNTIF($N$2:$N$1500,$N$2:$N$1500)),COUNTIF($N$2:$N$1500,$N$2:$N$1500),0)),N842)</f>
        <v>Cash</v>
      </c>
      <c r="P842" s="38" cm="1">
        <f t="array" ref="P842">ROUND(IF(TRIM(H842)="",IFERROR(MEDIAN(IF($M$2:$M$1500=M842,$H$2:$H$1500)),MEDIAN($H$2:$H$1500)),H842),2)</f>
        <v>7.36</v>
      </c>
      <c r="Q842" s="38" t="str">
        <f t="shared" si="81"/>
        <v>1</v>
      </c>
      <c r="R842" s="39" cm="1">
        <f t="array" ref="R842">IF(OR(TRIM(J842)="",TRIM(J842)="-"),MEDIAN(IF($C$2:$C$1218=C842,$J$2:$J$1218)),VALUE(SUBSTITUTE(SUBSTITUTE(SUBSTITUTE(J842,"Rs. ",""),"₹",""),",","")))</f>
        <v>76625</v>
      </c>
      <c r="S842" s="40">
        <f t="shared" si="79"/>
        <v>0</v>
      </c>
      <c r="T842" s="41">
        <f t="shared" si="82"/>
        <v>0</v>
      </c>
      <c r="U842" s="42">
        <f t="shared" si="83"/>
        <v>76625</v>
      </c>
    </row>
    <row r="843" spans="1:21" x14ac:dyDescent="0.3">
      <c r="A843" s="37" t="s">
        <v>4366</v>
      </c>
      <c r="B843" s="37" t="s">
        <v>2752</v>
      </c>
      <c r="C843" s="37" t="s">
        <v>2427</v>
      </c>
      <c r="D843" s="37" t="s">
        <v>45</v>
      </c>
      <c r="E843" s="37" t="s">
        <v>46</v>
      </c>
      <c r="F843" s="37" t="s">
        <v>101</v>
      </c>
      <c r="G843" s="37"/>
      <c r="H843" s="37">
        <v>11.71</v>
      </c>
      <c r="I843" s="37">
        <v>37</v>
      </c>
      <c r="J843" s="37"/>
      <c r="K843" s="37" t="s">
        <v>211</v>
      </c>
      <c r="L843" s="37">
        <v>0</v>
      </c>
      <c r="M843" s="37" t="str">
        <f t="shared" si="80"/>
        <v>ICU</v>
      </c>
      <c r="N843" s="37" t="str">
        <f t="shared" si="78"/>
        <v>Credit Card</v>
      </c>
      <c r="O843" s="37" t="str" cm="1">
        <f t="array" ref="O843">IF(TRIM(N843)="",INDEX($N$2:$N$1500,MATCH(MAX(COUNTIF($N$2:$N$1500,$N$2:$N$1500)),COUNTIF($N$2:$N$1500,$N$2:$N$1500),0)),N843)</f>
        <v>Credit Card</v>
      </c>
      <c r="P843" s="38" cm="1">
        <f t="array" ref="P843">ROUND(IF(TRIM(H843)="",IFERROR(MEDIAN(IF($M$2:$M$1500=M843,$H$2:$H$1500)),MEDIAN($H$2:$H$1500)),H843),2)</f>
        <v>11.71</v>
      </c>
      <c r="Q843" s="38" t="str">
        <f t="shared" si="81"/>
        <v>Unknown</v>
      </c>
      <c r="R843" s="39" cm="1">
        <f t="array" ref="R843">IF(OR(TRIM(J843)="",TRIM(J843)="-"),MEDIAN(IF($C$2:$C$1218=C843,$J$2:$J$1218)),VALUE(SUBSTITUTE(SUBSTITUTE(SUBSTITUTE(J843,"Rs. ",""),"₹",""),",","")))</f>
        <v>16745.5</v>
      </c>
      <c r="S843" s="40">
        <f t="shared" si="79"/>
        <v>0</v>
      </c>
      <c r="T843" s="41">
        <f t="shared" si="82"/>
        <v>0</v>
      </c>
      <c r="U843" s="42">
        <f t="shared" si="83"/>
        <v>16746</v>
      </c>
    </row>
    <row r="844" spans="1:21" x14ac:dyDescent="0.3">
      <c r="A844" s="37" t="s">
        <v>4367</v>
      </c>
      <c r="B844" s="37" t="s">
        <v>2617</v>
      </c>
      <c r="C844" s="37" t="s">
        <v>2473</v>
      </c>
      <c r="D844" s="37" t="s">
        <v>14</v>
      </c>
      <c r="E844" s="37" t="s">
        <v>60</v>
      </c>
      <c r="F844" s="37" t="s">
        <v>69</v>
      </c>
      <c r="G844" s="37" t="s">
        <v>2412</v>
      </c>
      <c r="H844" s="37">
        <v>16.62</v>
      </c>
      <c r="I844" s="37">
        <v>50</v>
      </c>
      <c r="J844" s="37">
        <v>74609</v>
      </c>
      <c r="K844" s="37" t="s">
        <v>211</v>
      </c>
      <c r="L844" s="37">
        <v>0</v>
      </c>
      <c r="M844" s="37" t="str">
        <f t="shared" si="80"/>
        <v>ICU</v>
      </c>
      <c r="N844" s="37" t="str">
        <f t="shared" si="78"/>
        <v>Credit Card</v>
      </c>
      <c r="O844" s="37" t="str" cm="1">
        <f t="array" ref="O844">IF(TRIM(N844)="",INDEX($N$2:$N$1500,MATCH(MAX(COUNTIF($N$2:$N$1500,$N$2:$N$1500)),COUNTIF($N$2:$N$1500,$N$2:$N$1500),0)),N844)</f>
        <v>Credit Card</v>
      </c>
      <c r="P844" s="38" cm="1">
        <f t="array" ref="P844">ROUND(IF(TRIM(H844)="",IFERROR(MEDIAN(IF($M$2:$M$1500=M844,$H$2:$H$1500)),MEDIAN($H$2:$H$1500)),H844),2)</f>
        <v>16.62</v>
      </c>
      <c r="Q844" s="38" t="str">
        <f t="shared" si="81"/>
        <v>1</v>
      </c>
      <c r="R844" s="39" cm="1">
        <f t="array" ref="R844">IF(OR(TRIM(J844)="",TRIM(J844)="-"),MEDIAN(IF($C$2:$C$1218=C844,$J$2:$J$1218)),VALUE(SUBSTITUTE(SUBSTITUTE(SUBSTITUTE(J844,"Rs. ",""),"₹",""),",","")))</f>
        <v>74609</v>
      </c>
      <c r="S844" s="40">
        <f t="shared" si="79"/>
        <v>0</v>
      </c>
      <c r="T844" s="41">
        <f t="shared" si="82"/>
        <v>0</v>
      </c>
      <c r="U844" s="42">
        <f t="shared" si="83"/>
        <v>74609</v>
      </c>
    </row>
    <row r="845" spans="1:21" x14ac:dyDescent="0.3">
      <c r="A845" s="37" t="s">
        <v>4368</v>
      </c>
      <c r="B845" s="37" t="s">
        <v>4369</v>
      </c>
      <c r="C845" s="37" t="s">
        <v>2473</v>
      </c>
      <c r="D845" s="37" t="s">
        <v>25</v>
      </c>
      <c r="E845" s="37" t="s">
        <v>26</v>
      </c>
      <c r="F845" s="37" t="s">
        <v>39</v>
      </c>
      <c r="G845" s="37" t="s">
        <v>2428</v>
      </c>
      <c r="H845" s="37">
        <v>21.17</v>
      </c>
      <c r="I845" s="37">
        <v>44</v>
      </c>
      <c r="J845" s="37" t="s">
        <v>4370</v>
      </c>
      <c r="K845" s="37" t="s">
        <v>104</v>
      </c>
      <c r="L845" s="37" t="s">
        <v>140</v>
      </c>
      <c r="M845" s="37" t="str">
        <f t="shared" si="80"/>
        <v>General</v>
      </c>
      <c r="N845" s="37" t="str">
        <f t="shared" si="78"/>
        <v>Insurance</v>
      </c>
      <c r="O845" s="37" t="str" cm="1">
        <f t="array" ref="O845">IF(TRIM(N845)="",INDEX($N$2:$N$1500,MATCH(MAX(COUNTIF($N$2:$N$1500,$N$2:$N$1500)),COUNTIF($N$2:$N$1500,$N$2:$N$1500),0)),N845)</f>
        <v>Insurance</v>
      </c>
      <c r="P845" s="38" cm="1">
        <f t="array" ref="P845">ROUND(IF(TRIM(H845)="",IFERROR(MEDIAN(IF($M$2:$M$1500=M845,$H$2:$H$1500)),MEDIAN($H$2:$H$1500)),H845),2)</f>
        <v>21.17</v>
      </c>
      <c r="Q845" s="38" t="str">
        <f t="shared" si="81"/>
        <v>2</v>
      </c>
      <c r="R845" s="39" cm="1">
        <f t="array" ref="R845">IF(OR(TRIM(J845)="",TRIM(J845)="-"),MEDIAN(IF($C$2:$C$1218=C845,$J$2:$J$1218)),VALUE(SUBSTITUTE(SUBSTITUTE(SUBSTITUTE(J845,"Rs. ",""),"₹",""),",","")))</f>
        <v>4251</v>
      </c>
      <c r="S845" s="40" t="str">
        <f t="shared" si="79"/>
        <v>-</v>
      </c>
      <c r="T845" s="41">
        <f t="shared" si="82"/>
        <v>17</v>
      </c>
      <c r="U845" s="42">
        <f t="shared" si="83"/>
        <v>3528</v>
      </c>
    </row>
    <row r="846" spans="1:21" x14ac:dyDescent="0.3">
      <c r="A846" s="37" t="s">
        <v>4371</v>
      </c>
      <c r="B846" s="37" t="s">
        <v>4372</v>
      </c>
      <c r="C846" s="37" t="s">
        <v>2459</v>
      </c>
      <c r="D846" s="37" t="s">
        <v>14</v>
      </c>
      <c r="E846" s="37" t="s">
        <v>60</v>
      </c>
      <c r="F846" s="37" t="s">
        <v>49</v>
      </c>
      <c r="G846" s="37" t="s">
        <v>2412</v>
      </c>
      <c r="H846" s="37">
        <v>21.57</v>
      </c>
      <c r="I846" s="37">
        <v>24</v>
      </c>
      <c r="J846" s="37" t="s">
        <v>4373</v>
      </c>
      <c r="K846" s="37" t="s">
        <v>115</v>
      </c>
      <c r="L846" s="37">
        <v>0</v>
      </c>
      <c r="M846" s="37" t="str">
        <f t="shared" si="80"/>
        <v>General</v>
      </c>
      <c r="N846" s="37" t="str">
        <f t="shared" si="78"/>
        <v>Cash</v>
      </c>
      <c r="O846" s="37" t="str" cm="1">
        <f t="array" ref="O846">IF(TRIM(N846)="",INDEX($N$2:$N$1500,MATCH(MAX(COUNTIF($N$2:$N$1500,$N$2:$N$1500)),COUNTIF($N$2:$N$1500,$N$2:$N$1500),0)),N846)</f>
        <v>Cash</v>
      </c>
      <c r="P846" s="38" cm="1">
        <f t="array" ref="P846">ROUND(IF(TRIM(H846)="",IFERROR(MEDIAN(IF($M$2:$M$1500=M846,$H$2:$H$1500)),MEDIAN($H$2:$H$1500)),H846),2)</f>
        <v>21.57</v>
      </c>
      <c r="Q846" s="38" t="str">
        <f t="shared" si="81"/>
        <v>1</v>
      </c>
      <c r="R846" s="39" cm="1">
        <f t="array" ref="R846">IF(OR(TRIM(J846)="",TRIM(J846)="-"),MEDIAN(IF($C$2:$C$1218=C846,$J$2:$J$1218)),VALUE(SUBSTITUTE(SUBSTITUTE(SUBSTITUTE(J846,"Rs. ",""),"₹",""),",","")))</f>
        <v>11810</v>
      </c>
      <c r="S846" s="40">
        <f t="shared" si="79"/>
        <v>0</v>
      </c>
      <c r="T846" s="41">
        <f t="shared" si="82"/>
        <v>0</v>
      </c>
      <c r="U846" s="42">
        <f t="shared" si="83"/>
        <v>11810</v>
      </c>
    </row>
    <row r="847" spans="1:21" x14ac:dyDescent="0.3">
      <c r="A847" s="37" t="s">
        <v>4374</v>
      </c>
      <c r="B847" s="37" t="s">
        <v>4375</v>
      </c>
      <c r="C847" s="37" t="s">
        <v>2466</v>
      </c>
      <c r="D847" s="37" t="s">
        <v>14</v>
      </c>
      <c r="E847" s="37" t="s">
        <v>60</v>
      </c>
      <c r="F847" s="37" t="s">
        <v>39</v>
      </c>
      <c r="G847" s="37"/>
      <c r="H847" s="37">
        <v>21.12</v>
      </c>
      <c r="I847" s="37">
        <v>5</v>
      </c>
      <c r="J847" s="37" t="s">
        <v>4376</v>
      </c>
      <c r="K847" s="37" t="s">
        <v>72</v>
      </c>
      <c r="L847" s="37">
        <v>10</v>
      </c>
      <c r="M847" s="37" t="str">
        <f t="shared" si="80"/>
        <v>General</v>
      </c>
      <c r="N847" s="37" t="str">
        <f t="shared" si="78"/>
        <v>Cash</v>
      </c>
      <c r="O847" s="37" t="str" cm="1">
        <f t="array" ref="O847">IF(TRIM(N847)="",INDEX($N$2:$N$1500,MATCH(MAX(COUNTIF($N$2:$N$1500,$N$2:$N$1500)),COUNTIF($N$2:$N$1500,$N$2:$N$1500),0)),N847)</f>
        <v>Cash</v>
      </c>
      <c r="P847" s="38" cm="1">
        <f t="array" ref="P847">ROUND(IF(TRIM(H847)="",IFERROR(MEDIAN(IF($M$2:$M$1500=M847,$H$2:$H$1500)),MEDIAN($H$2:$H$1500)),H847),2)</f>
        <v>21.12</v>
      </c>
      <c r="Q847" s="38" t="str">
        <f t="shared" si="81"/>
        <v>Unknown</v>
      </c>
      <c r="R847" s="39" cm="1">
        <f t="array" ref="R847">IF(OR(TRIM(J847)="",TRIM(J847)="-"),MEDIAN(IF($C$2:$C$1218=C847,$J$2:$J$1218)),VALUE(SUBSTITUTE(SUBSTITUTE(SUBSTITUTE(J847,"Rs. ",""),"₹",""),",","")))</f>
        <v>19261</v>
      </c>
      <c r="S847" s="40">
        <f t="shared" si="79"/>
        <v>10</v>
      </c>
      <c r="T847" s="41">
        <f t="shared" si="82"/>
        <v>10</v>
      </c>
      <c r="U847" s="42">
        <f t="shared" si="83"/>
        <v>17335</v>
      </c>
    </row>
    <row r="848" spans="1:21" x14ac:dyDescent="0.3">
      <c r="A848" s="37" t="s">
        <v>4377</v>
      </c>
      <c r="B848" s="37" t="s">
        <v>4378</v>
      </c>
      <c r="C848" s="37" t="s">
        <v>2434</v>
      </c>
      <c r="D848" s="37" t="s">
        <v>14</v>
      </c>
      <c r="E848" s="37" t="s">
        <v>60</v>
      </c>
      <c r="F848" s="37" t="s">
        <v>19</v>
      </c>
      <c r="G848" s="37" t="s">
        <v>2993</v>
      </c>
      <c r="H848" s="37">
        <v>21.3</v>
      </c>
      <c r="I848" s="37">
        <v>9</v>
      </c>
      <c r="J848" s="37" t="s">
        <v>4379</v>
      </c>
      <c r="K848" s="37" t="s">
        <v>91</v>
      </c>
      <c r="L848" s="37" t="s">
        <v>198</v>
      </c>
      <c r="M848" s="37" t="str">
        <f t="shared" si="80"/>
        <v>General</v>
      </c>
      <c r="N848" s="37" t="str">
        <f t="shared" si="78"/>
        <v>Debit Card</v>
      </c>
      <c r="O848" s="37" t="str" cm="1">
        <f t="array" ref="O848">IF(TRIM(N848)="",INDEX($N$2:$N$1500,MATCH(MAX(COUNTIF($N$2:$N$1500,$N$2:$N$1500)),COUNTIF($N$2:$N$1500,$N$2:$N$1500),0)),N848)</f>
        <v>Debit Card</v>
      </c>
      <c r="P848" s="38" cm="1">
        <f t="array" ref="P848">ROUND(IF(TRIM(H848)="",IFERROR(MEDIAN(IF($M$2:$M$1500=M848,$H$2:$H$1500)),MEDIAN($H$2:$H$1500)),H848),2)</f>
        <v>21.3</v>
      </c>
      <c r="Q848" s="38" t="str">
        <f t="shared" si="81"/>
        <v>2+</v>
      </c>
      <c r="R848" s="39" cm="1">
        <f t="array" ref="R848">IF(OR(TRIM(J848)="",TRIM(J848)="-"),MEDIAN(IF($C$2:$C$1218=C848,$J$2:$J$1218)),VALUE(SUBSTITUTE(SUBSTITUTE(SUBSTITUTE(J848,"Rs. ",""),"₹",""),",","")))</f>
        <v>9721</v>
      </c>
      <c r="S848" s="40">
        <f t="shared" si="79"/>
        <v>5</v>
      </c>
      <c r="T848" s="41">
        <f t="shared" si="82"/>
        <v>5</v>
      </c>
      <c r="U848" s="42">
        <f t="shared" si="83"/>
        <v>9235</v>
      </c>
    </row>
    <row r="849" spans="1:21" x14ac:dyDescent="0.3">
      <c r="A849" s="37" t="s">
        <v>4380</v>
      </c>
      <c r="B849" s="37" t="s">
        <v>4381</v>
      </c>
      <c r="C849" s="37" t="s">
        <v>2504</v>
      </c>
      <c r="D849" s="37" t="s">
        <v>106</v>
      </c>
      <c r="E849" s="37" t="s">
        <v>107</v>
      </c>
      <c r="F849" s="37" t="s">
        <v>39</v>
      </c>
      <c r="G849" s="37" t="s">
        <v>2477</v>
      </c>
      <c r="H849" s="37">
        <v>14.27</v>
      </c>
      <c r="I849" s="37">
        <v>45</v>
      </c>
      <c r="J849" s="37" t="s">
        <v>4382</v>
      </c>
      <c r="K849" s="37" t="s">
        <v>311</v>
      </c>
      <c r="L849" s="37">
        <v>10</v>
      </c>
      <c r="M849" s="37" t="str">
        <f t="shared" si="80"/>
        <v>General</v>
      </c>
      <c r="N849" s="37" t="str">
        <f t="shared" si="78"/>
        <v>UPI</v>
      </c>
      <c r="O849" s="37" t="str" cm="1">
        <f t="array" ref="O849">IF(TRIM(N849)="",INDEX($N$2:$N$1500,MATCH(MAX(COUNTIF($N$2:$N$1500,$N$2:$N$1500)),COUNTIF($N$2:$N$1500,$N$2:$N$1500),0)),N849)</f>
        <v>UPI</v>
      </c>
      <c r="P849" s="38" cm="1">
        <f t="array" ref="P849">ROUND(IF(TRIM(H849)="",IFERROR(MEDIAN(IF($M$2:$M$1500=M849,$H$2:$H$1500)),MEDIAN($H$2:$H$1500)),H849),2)</f>
        <v>14.27</v>
      </c>
      <c r="Q849" s="38" t="str">
        <f t="shared" si="81"/>
        <v>0</v>
      </c>
      <c r="R849" s="39" cm="1">
        <f t="array" ref="R849">IF(OR(TRIM(J849)="",TRIM(J849)="-"),MEDIAN(IF($C$2:$C$1218=C849,$J$2:$J$1218)),VALUE(SUBSTITUTE(SUBSTITUTE(SUBSTITUTE(J849,"Rs. ",""),"₹",""),",","")))</f>
        <v>3092</v>
      </c>
      <c r="S849" s="40">
        <f t="shared" si="79"/>
        <v>10</v>
      </c>
      <c r="T849" s="41">
        <f t="shared" si="82"/>
        <v>10</v>
      </c>
      <c r="U849" s="42">
        <f t="shared" si="83"/>
        <v>2783</v>
      </c>
    </row>
    <row r="850" spans="1:21" x14ac:dyDescent="0.3">
      <c r="A850" s="37" t="s">
        <v>4383</v>
      </c>
      <c r="B850" s="37" t="s">
        <v>4171</v>
      </c>
      <c r="C850" s="37" t="s">
        <v>2536</v>
      </c>
      <c r="D850" s="37" t="s">
        <v>14</v>
      </c>
      <c r="E850" s="37" t="s">
        <v>60</v>
      </c>
      <c r="F850" s="37" t="s">
        <v>30</v>
      </c>
      <c r="G850" s="37" t="s">
        <v>2423</v>
      </c>
      <c r="H850" s="37">
        <v>4.6900000000000004</v>
      </c>
      <c r="I850" s="37">
        <v>60</v>
      </c>
      <c r="J850" s="37" t="s">
        <v>4384</v>
      </c>
      <c r="K850" s="37" t="s">
        <v>72</v>
      </c>
      <c r="L850" s="37" t="s">
        <v>64</v>
      </c>
      <c r="M850" s="37" t="str">
        <f t="shared" si="80"/>
        <v>General</v>
      </c>
      <c r="N850" s="37" t="str">
        <f t="shared" si="78"/>
        <v>Cash</v>
      </c>
      <c r="O850" s="37" t="str" cm="1">
        <f t="array" ref="O850">IF(TRIM(N850)="",INDEX($N$2:$N$1500,MATCH(MAX(COUNTIF($N$2:$N$1500,$N$2:$N$1500)),COUNTIF($N$2:$N$1500,$N$2:$N$1500),0)),N850)</f>
        <v>Cash</v>
      </c>
      <c r="P850" s="38" cm="1">
        <f t="array" ref="P850">ROUND(IF(TRIM(H850)="",IFERROR(MEDIAN(IF($M$2:$M$1500=M850,$H$2:$H$1500)),MEDIAN($H$2:$H$1500)),H850),2)</f>
        <v>4.6900000000000004</v>
      </c>
      <c r="Q850" s="38" t="str">
        <f t="shared" si="81"/>
        <v>0</v>
      </c>
      <c r="R850" s="39" cm="1">
        <f t="array" ref="R850">IF(OR(TRIM(J850)="",TRIM(J850)="-"),MEDIAN(IF($C$2:$C$1218=C850,$J$2:$J$1218)),VALUE(SUBSTITUTE(SUBSTITUTE(SUBSTITUTE(J850,"Rs. ",""),"₹",""),",","")))</f>
        <v>8946</v>
      </c>
      <c r="S850" s="40" t="str">
        <f t="shared" si="79"/>
        <v>NA</v>
      </c>
      <c r="T850" s="41">
        <f t="shared" si="82"/>
        <v>2</v>
      </c>
      <c r="U850" s="42">
        <f t="shared" si="83"/>
        <v>8767</v>
      </c>
    </row>
    <row r="851" spans="1:21" x14ac:dyDescent="0.3">
      <c r="A851" s="37" t="s">
        <v>4385</v>
      </c>
      <c r="B851" s="37" t="s">
        <v>4386</v>
      </c>
      <c r="C851" s="37" t="s">
        <v>2504</v>
      </c>
      <c r="D851" s="37" t="s">
        <v>106</v>
      </c>
      <c r="E851" s="37" t="s">
        <v>107</v>
      </c>
      <c r="F851" s="37" t="s">
        <v>69</v>
      </c>
      <c r="G851" s="37" t="s">
        <v>2423</v>
      </c>
      <c r="H851" s="37">
        <v>14.27</v>
      </c>
      <c r="I851" s="37">
        <v>40</v>
      </c>
      <c r="J851" s="37">
        <v>71114</v>
      </c>
      <c r="K851" s="37" t="s">
        <v>87</v>
      </c>
      <c r="L851" s="37">
        <v>0</v>
      </c>
      <c r="M851" s="37" t="str">
        <f t="shared" si="80"/>
        <v>ICU</v>
      </c>
      <c r="N851" s="37" t="str">
        <f t="shared" si="78"/>
        <v>Credit Card</v>
      </c>
      <c r="O851" s="37" t="str" cm="1">
        <f t="array" ref="O851">IF(TRIM(N851)="",INDEX($N$2:$N$1500,MATCH(MAX(COUNTIF($N$2:$N$1500,$N$2:$N$1500)),COUNTIF($N$2:$N$1500,$N$2:$N$1500),0)),N851)</f>
        <v>Credit Card</v>
      </c>
      <c r="P851" s="38" cm="1">
        <f t="array" ref="P851">ROUND(IF(TRIM(H851)="",IFERROR(MEDIAN(IF($M$2:$M$1500=M851,$H$2:$H$1500)),MEDIAN($H$2:$H$1500)),H851),2)</f>
        <v>14.27</v>
      </c>
      <c r="Q851" s="38" t="str">
        <f t="shared" si="81"/>
        <v>0</v>
      </c>
      <c r="R851" s="39" cm="1">
        <f t="array" ref="R851">IF(OR(TRIM(J851)="",TRIM(J851)="-"),MEDIAN(IF($C$2:$C$1218=C851,$J$2:$J$1218)),VALUE(SUBSTITUTE(SUBSTITUTE(SUBSTITUTE(J851,"Rs. ",""),"₹",""),",","")))</f>
        <v>71114</v>
      </c>
      <c r="S851" s="40">
        <f t="shared" si="79"/>
        <v>0</v>
      </c>
      <c r="T851" s="41">
        <f t="shared" si="82"/>
        <v>0</v>
      </c>
      <c r="U851" s="42">
        <f t="shared" si="83"/>
        <v>71114</v>
      </c>
    </row>
    <row r="852" spans="1:21" x14ac:dyDescent="0.3">
      <c r="A852" s="37" t="s">
        <v>4387</v>
      </c>
      <c r="B852" s="37" t="s">
        <v>4179</v>
      </c>
      <c r="C852" s="37" t="s">
        <v>2536</v>
      </c>
      <c r="D852" s="37" t="s">
        <v>45</v>
      </c>
      <c r="E852" s="37" t="s">
        <v>334</v>
      </c>
      <c r="F852" s="37" t="s">
        <v>49</v>
      </c>
      <c r="G852" s="37" t="s">
        <v>2435</v>
      </c>
      <c r="H852" s="37">
        <v>8.2100000000000009</v>
      </c>
      <c r="I852" s="37">
        <v>5</v>
      </c>
      <c r="J852" s="37">
        <v>4351</v>
      </c>
      <c r="K852" s="37" t="s">
        <v>149</v>
      </c>
      <c r="L852" s="37">
        <v>18</v>
      </c>
      <c r="M852" s="37" t="str">
        <f t="shared" si="80"/>
        <v>General</v>
      </c>
      <c r="N852" s="37" t="str">
        <f t="shared" si="78"/>
        <v>Insurance</v>
      </c>
      <c r="O852" s="37" t="str" cm="1">
        <f t="array" ref="O852">IF(TRIM(N852)="",INDEX($N$2:$N$1500,MATCH(MAX(COUNTIF($N$2:$N$1500,$N$2:$N$1500)),COUNTIF($N$2:$N$1500,$N$2:$N$1500),0)),N852)</f>
        <v>Insurance</v>
      </c>
      <c r="P852" s="38" cm="1">
        <f t="array" ref="P852">ROUND(IF(TRIM(H852)="",IFERROR(MEDIAN(IF($M$2:$M$1500=M852,$H$2:$H$1500)),MEDIAN($H$2:$H$1500)),H852),2)</f>
        <v>8.2100000000000009</v>
      </c>
      <c r="Q852" s="38" t="str">
        <f t="shared" si="81"/>
        <v>0</v>
      </c>
      <c r="R852" s="39" cm="1">
        <f t="array" ref="R852">IF(OR(TRIM(J852)="",TRIM(J852)="-"),MEDIAN(IF($C$2:$C$1218=C852,$J$2:$J$1218)),VALUE(SUBSTITUTE(SUBSTITUTE(SUBSTITUTE(J852,"Rs. ",""),"₹",""),",","")))</f>
        <v>4351</v>
      </c>
      <c r="S852" s="40">
        <f t="shared" si="79"/>
        <v>18</v>
      </c>
      <c r="T852" s="41">
        <f t="shared" si="82"/>
        <v>18</v>
      </c>
      <c r="U852" s="42">
        <f t="shared" si="83"/>
        <v>3568</v>
      </c>
    </row>
    <row r="853" spans="1:21" x14ac:dyDescent="0.3">
      <c r="A853" s="37" t="s">
        <v>4388</v>
      </c>
      <c r="B853" s="37" t="s">
        <v>4389</v>
      </c>
      <c r="C853" s="37" t="s">
        <v>2431</v>
      </c>
      <c r="D853" s="37" t="s">
        <v>14</v>
      </c>
      <c r="E853" s="37" t="s">
        <v>15</v>
      </c>
      <c r="F853" s="37" t="s">
        <v>19</v>
      </c>
      <c r="G853" s="37" t="s">
        <v>2418</v>
      </c>
      <c r="H853" s="37">
        <v>8.98</v>
      </c>
      <c r="I853" s="37">
        <v>20</v>
      </c>
      <c r="J853" s="37">
        <v>16813</v>
      </c>
      <c r="K853" s="37" t="s">
        <v>72</v>
      </c>
      <c r="L853" s="37">
        <v>5</v>
      </c>
      <c r="M853" s="37" t="str">
        <f t="shared" si="80"/>
        <v>General</v>
      </c>
      <c r="N853" s="37" t="str">
        <f t="shared" si="78"/>
        <v>Cash</v>
      </c>
      <c r="O853" s="37" t="str" cm="1">
        <f t="array" ref="O853">IF(TRIM(N853)="",INDEX($N$2:$N$1500,MATCH(MAX(COUNTIF($N$2:$N$1500,$N$2:$N$1500)),COUNTIF($N$2:$N$1500,$N$2:$N$1500),0)),N853)</f>
        <v>Cash</v>
      </c>
      <c r="P853" s="38" cm="1">
        <f t="array" ref="P853">ROUND(IF(TRIM(H853)="",IFERROR(MEDIAN(IF($M$2:$M$1500=M853,$H$2:$H$1500)),MEDIAN($H$2:$H$1500)),H853),2)</f>
        <v>8.98</v>
      </c>
      <c r="Q853" s="38" t="str">
        <f t="shared" si="81"/>
        <v>1</v>
      </c>
      <c r="R853" s="39" cm="1">
        <f t="array" ref="R853">IF(OR(TRIM(J853)="",TRIM(J853)="-"),MEDIAN(IF($C$2:$C$1218=C853,$J$2:$J$1218)),VALUE(SUBSTITUTE(SUBSTITUTE(SUBSTITUTE(J853,"Rs. ",""),"₹",""),",","")))</f>
        <v>16813</v>
      </c>
      <c r="S853" s="40">
        <f t="shared" si="79"/>
        <v>5</v>
      </c>
      <c r="T853" s="41">
        <f t="shared" si="82"/>
        <v>5</v>
      </c>
      <c r="U853" s="42">
        <f t="shared" si="83"/>
        <v>15972</v>
      </c>
    </row>
    <row r="854" spans="1:21" x14ac:dyDescent="0.3">
      <c r="A854" s="37" t="s">
        <v>4390</v>
      </c>
      <c r="B854" s="37" t="s">
        <v>4391</v>
      </c>
      <c r="C854" s="37" t="s">
        <v>2485</v>
      </c>
      <c r="D854" s="37" t="s">
        <v>25</v>
      </c>
      <c r="E854" s="37" t="s">
        <v>26</v>
      </c>
      <c r="F854" s="37" t="s">
        <v>30</v>
      </c>
      <c r="G854" s="37" t="s">
        <v>2408</v>
      </c>
      <c r="H854" s="37">
        <v>17.920000000000002</v>
      </c>
      <c r="I854" s="37">
        <v>30</v>
      </c>
      <c r="J854" s="37">
        <v>12307</v>
      </c>
      <c r="K854" s="37" t="s">
        <v>167</v>
      </c>
      <c r="L854" s="37" t="s">
        <v>43</v>
      </c>
      <c r="M854" s="37" t="str">
        <f t="shared" si="80"/>
        <v>General</v>
      </c>
      <c r="N854" s="37" t="str">
        <f t="shared" si="78"/>
        <v>Insurance</v>
      </c>
      <c r="O854" s="37" t="str" cm="1">
        <f t="array" ref="O854">IF(TRIM(N854)="",INDEX($N$2:$N$1500,MATCH(MAX(COUNTIF($N$2:$N$1500,$N$2:$N$1500)),COUNTIF($N$2:$N$1500,$N$2:$N$1500),0)),N854)</f>
        <v>Insurance</v>
      </c>
      <c r="P854" s="38" cm="1">
        <f t="array" ref="P854">ROUND(IF(TRIM(H854)="",IFERROR(MEDIAN(IF($M$2:$M$1500=M854,$H$2:$H$1500)),MEDIAN($H$2:$H$1500)),H854),2)</f>
        <v>17.920000000000002</v>
      </c>
      <c r="Q854" s="38" t="str">
        <f t="shared" si="81"/>
        <v>0</v>
      </c>
      <c r="R854" s="39" cm="1">
        <f t="array" ref="R854">IF(OR(TRIM(J854)="",TRIM(J854)="-"),MEDIAN(IF($C$2:$C$1218=C854,$J$2:$J$1218)),VALUE(SUBSTITUTE(SUBSTITUTE(SUBSTITUTE(J854,"Rs. ",""),"₹",""),",","")))</f>
        <v>12307</v>
      </c>
      <c r="S854" s="40">
        <f t="shared" si="79"/>
        <v>18</v>
      </c>
      <c r="T854" s="41">
        <f t="shared" si="82"/>
        <v>18</v>
      </c>
      <c r="U854" s="42">
        <f t="shared" si="83"/>
        <v>10092</v>
      </c>
    </row>
    <row r="855" spans="1:21" x14ac:dyDescent="0.3">
      <c r="A855" s="37" t="s">
        <v>4392</v>
      </c>
      <c r="B855" s="37" t="s">
        <v>4393</v>
      </c>
      <c r="C855" s="37" t="s">
        <v>2407</v>
      </c>
      <c r="D855" s="37" t="s">
        <v>117</v>
      </c>
      <c r="E855" s="37" t="s">
        <v>182</v>
      </c>
      <c r="F855" s="37" t="s">
        <v>101</v>
      </c>
      <c r="G855" s="37" t="s">
        <v>2450</v>
      </c>
      <c r="H855" s="37">
        <v>14.94</v>
      </c>
      <c r="I855" s="37">
        <v>53</v>
      </c>
      <c r="J855" s="37"/>
      <c r="K855" s="37" t="s">
        <v>34</v>
      </c>
      <c r="L855" s="37">
        <v>0</v>
      </c>
      <c r="M855" s="37" t="str">
        <f t="shared" si="80"/>
        <v>ICU</v>
      </c>
      <c r="N855" s="37" t="str">
        <f t="shared" si="78"/>
        <v>Cash</v>
      </c>
      <c r="O855" s="37" t="str" cm="1">
        <f t="array" ref="O855">IF(TRIM(N855)="",INDEX($N$2:$N$1500,MATCH(MAX(COUNTIF($N$2:$N$1500,$N$2:$N$1500)),COUNTIF($N$2:$N$1500,$N$2:$N$1500),0)),N855)</f>
        <v>Cash</v>
      </c>
      <c r="P855" s="38" cm="1">
        <f t="array" ref="P855">ROUND(IF(TRIM(H855)="",IFERROR(MEDIAN(IF($M$2:$M$1500=M855,$H$2:$H$1500)),MEDIAN($H$2:$H$1500)),H855),2)</f>
        <v>14.94</v>
      </c>
      <c r="Q855" s="38" t="str">
        <f t="shared" si="81"/>
        <v>1</v>
      </c>
      <c r="R855" s="39" cm="1">
        <f t="array" ref="R855">IF(OR(TRIM(J855)="",TRIM(J855)="-"),MEDIAN(IF($C$2:$C$1218=C855,$J$2:$J$1218)),VALUE(SUBSTITUTE(SUBSTITUTE(SUBSTITUTE(J855,"Rs. ",""),"₹",""),",","")))</f>
        <v>16690</v>
      </c>
      <c r="S855" s="40">
        <f t="shared" si="79"/>
        <v>0</v>
      </c>
      <c r="T855" s="41">
        <f t="shared" si="82"/>
        <v>0</v>
      </c>
      <c r="U855" s="42">
        <f t="shared" si="83"/>
        <v>16690</v>
      </c>
    </row>
    <row r="856" spans="1:21" x14ac:dyDescent="0.3">
      <c r="A856" s="37" t="s">
        <v>4394</v>
      </c>
      <c r="B856" s="37" t="s">
        <v>4395</v>
      </c>
      <c r="C856" s="37" t="s">
        <v>2469</v>
      </c>
      <c r="D856" s="37" t="s">
        <v>14</v>
      </c>
      <c r="E856" s="37" t="s">
        <v>15</v>
      </c>
      <c r="F856" s="37" t="s">
        <v>19</v>
      </c>
      <c r="G856" s="37" t="s">
        <v>2423</v>
      </c>
      <c r="H856" s="37">
        <v>9.7799999999999994</v>
      </c>
      <c r="I856" s="37">
        <v>39</v>
      </c>
      <c r="J856" s="37">
        <v>18569</v>
      </c>
      <c r="K856" s="37" t="s">
        <v>87</v>
      </c>
      <c r="L856" s="37">
        <v>0</v>
      </c>
      <c r="M856" s="37" t="str">
        <f t="shared" si="80"/>
        <v>General</v>
      </c>
      <c r="N856" s="37" t="str">
        <f t="shared" si="78"/>
        <v>Credit Card</v>
      </c>
      <c r="O856" s="37" t="str" cm="1">
        <f t="array" ref="O856">IF(TRIM(N856)="",INDEX($N$2:$N$1500,MATCH(MAX(COUNTIF($N$2:$N$1500,$N$2:$N$1500)),COUNTIF($N$2:$N$1500,$N$2:$N$1500),0)),N856)</f>
        <v>Credit Card</v>
      </c>
      <c r="P856" s="38" cm="1">
        <f t="array" ref="P856">ROUND(IF(TRIM(H856)="",IFERROR(MEDIAN(IF($M$2:$M$1500=M856,$H$2:$H$1500)),MEDIAN($H$2:$H$1500)),H856),2)</f>
        <v>9.7799999999999994</v>
      </c>
      <c r="Q856" s="38" t="str">
        <f t="shared" si="81"/>
        <v>0</v>
      </c>
      <c r="R856" s="39" cm="1">
        <f t="array" ref="R856">IF(OR(TRIM(J856)="",TRIM(J856)="-"),MEDIAN(IF($C$2:$C$1218=C856,$J$2:$J$1218)),VALUE(SUBSTITUTE(SUBSTITUTE(SUBSTITUTE(J856,"Rs. ",""),"₹",""),",","")))</f>
        <v>18569</v>
      </c>
      <c r="S856" s="40">
        <f t="shared" si="79"/>
        <v>0</v>
      </c>
      <c r="T856" s="41">
        <f t="shared" si="82"/>
        <v>0</v>
      </c>
      <c r="U856" s="42">
        <f t="shared" si="83"/>
        <v>18569</v>
      </c>
    </row>
    <row r="857" spans="1:21" x14ac:dyDescent="0.3">
      <c r="A857" s="37" t="s">
        <v>4396</v>
      </c>
      <c r="B857" s="37" t="s">
        <v>3939</v>
      </c>
      <c r="C857" s="37" t="s">
        <v>2504</v>
      </c>
      <c r="D857" s="37" t="s">
        <v>106</v>
      </c>
      <c r="E857" s="37" t="s">
        <v>307</v>
      </c>
      <c r="F857" s="37" t="s">
        <v>19</v>
      </c>
      <c r="G857" s="37" t="s">
        <v>2455</v>
      </c>
      <c r="H857" s="37">
        <v>3.54</v>
      </c>
      <c r="I857" s="37">
        <v>41</v>
      </c>
      <c r="J857" s="37">
        <v>4302</v>
      </c>
      <c r="K857" s="37" t="s">
        <v>115</v>
      </c>
      <c r="L857" s="37" t="s">
        <v>64</v>
      </c>
      <c r="M857" s="37" t="str">
        <f t="shared" si="80"/>
        <v>General</v>
      </c>
      <c r="N857" s="37" t="str">
        <f t="shared" si="78"/>
        <v>Cash</v>
      </c>
      <c r="O857" s="37" t="str" cm="1">
        <f t="array" ref="O857">IF(TRIM(N857)="",INDEX($N$2:$N$1500,MATCH(MAX(COUNTIF($N$2:$N$1500,$N$2:$N$1500)),COUNTIF($N$2:$N$1500,$N$2:$N$1500),0)),N857)</f>
        <v>Cash</v>
      </c>
      <c r="P857" s="38" cm="1">
        <f t="array" ref="P857">ROUND(IF(TRIM(H857)="",IFERROR(MEDIAN(IF($M$2:$M$1500=M857,$H$2:$H$1500)),MEDIAN($H$2:$H$1500)),H857),2)</f>
        <v>3.54</v>
      </c>
      <c r="Q857" s="38" t="str">
        <f t="shared" si="81"/>
        <v>1</v>
      </c>
      <c r="R857" s="39" cm="1">
        <f t="array" ref="R857">IF(OR(TRIM(J857)="",TRIM(J857)="-"),MEDIAN(IF($C$2:$C$1218=C857,$J$2:$J$1218)),VALUE(SUBSTITUTE(SUBSTITUTE(SUBSTITUTE(J857,"Rs. ",""),"₹",""),",","")))</f>
        <v>4302</v>
      </c>
      <c r="S857" s="40" t="str">
        <f t="shared" si="79"/>
        <v>NA</v>
      </c>
      <c r="T857" s="41">
        <f t="shared" si="82"/>
        <v>2</v>
      </c>
      <c r="U857" s="42">
        <f t="shared" si="83"/>
        <v>4216</v>
      </c>
    </row>
    <row r="858" spans="1:21" x14ac:dyDescent="0.3">
      <c r="A858" s="37" t="s">
        <v>4397</v>
      </c>
      <c r="B858" s="37" t="s">
        <v>3453</v>
      </c>
      <c r="C858" s="37" t="s">
        <v>2422</v>
      </c>
      <c r="D858" s="37" t="s">
        <v>14</v>
      </c>
      <c r="E858" s="37" t="s">
        <v>15</v>
      </c>
      <c r="F858" s="37" t="s">
        <v>19</v>
      </c>
      <c r="G858" s="37" t="s">
        <v>2455</v>
      </c>
      <c r="H858" s="37">
        <v>18</v>
      </c>
      <c r="I858" s="37">
        <v>19</v>
      </c>
      <c r="J858" s="37">
        <v>11363</v>
      </c>
      <c r="K858" s="37" t="s">
        <v>83</v>
      </c>
      <c r="L858" s="37" t="s">
        <v>64</v>
      </c>
      <c r="M858" s="37" t="str">
        <f t="shared" si="80"/>
        <v>General</v>
      </c>
      <c r="N858" s="37" t="str">
        <f t="shared" si="78"/>
        <v>Debit Card</v>
      </c>
      <c r="O858" s="37" t="str" cm="1">
        <f t="array" ref="O858">IF(TRIM(N858)="",INDEX($N$2:$N$1500,MATCH(MAX(COUNTIF($N$2:$N$1500,$N$2:$N$1500)),COUNTIF($N$2:$N$1500,$N$2:$N$1500),0)),N858)</f>
        <v>Debit Card</v>
      </c>
      <c r="P858" s="38" cm="1">
        <f t="array" ref="P858">ROUND(IF(TRIM(H858)="",IFERROR(MEDIAN(IF($M$2:$M$1500=M858,$H$2:$H$1500)),MEDIAN($H$2:$H$1500)),H858),2)</f>
        <v>18</v>
      </c>
      <c r="Q858" s="38" t="str">
        <f t="shared" si="81"/>
        <v>1</v>
      </c>
      <c r="R858" s="39" cm="1">
        <f t="array" ref="R858">IF(OR(TRIM(J858)="",TRIM(J858)="-"),MEDIAN(IF($C$2:$C$1218=C858,$J$2:$J$1218)),VALUE(SUBSTITUTE(SUBSTITUTE(SUBSTITUTE(J858,"Rs. ",""),"₹",""),",","")))</f>
        <v>11363</v>
      </c>
      <c r="S858" s="40" t="str">
        <f t="shared" si="79"/>
        <v>NA</v>
      </c>
      <c r="T858" s="41">
        <f t="shared" si="82"/>
        <v>3</v>
      </c>
      <c r="U858" s="42">
        <f t="shared" si="83"/>
        <v>11022</v>
      </c>
    </row>
    <row r="859" spans="1:21" x14ac:dyDescent="0.3">
      <c r="A859" s="37" t="s">
        <v>4398</v>
      </c>
      <c r="B859" s="37" t="s">
        <v>4399</v>
      </c>
      <c r="C859" s="37" t="s">
        <v>2536</v>
      </c>
      <c r="D859" s="37" t="s">
        <v>25</v>
      </c>
      <c r="E859" s="37" t="s">
        <v>54</v>
      </c>
      <c r="F859" s="37" t="s">
        <v>69</v>
      </c>
      <c r="G859" s="37" t="s">
        <v>2412</v>
      </c>
      <c r="H859" s="37">
        <v>22.39</v>
      </c>
      <c r="I859" s="37">
        <v>4</v>
      </c>
      <c r="J859" s="37">
        <v>59581</v>
      </c>
      <c r="K859" s="37" t="s">
        <v>311</v>
      </c>
      <c r="L859" s="37"/>
      <c r="M859" s="37" t="str">
        <f t="shared" si="80"/>
        <v>ICU</v>
      </c>
      <c r="N859" s="37" t="str">
        <f t="shared" si="78"/>
        <v>UPI</v>
      </c>
      <c r="O859" s="37" t="str" cm="1">
        <f t="array" ref="O859">IF(TRIM(N859)="",INDEX($N$2:$N$1500,MATCH(MAX(COUNTIF($N$2:$N$1500,$N$2:$N$1500)),COUNTIF($N$2:$N$1500,$N$2:$N$1500),0)),N859)</f>
        <v>UPI</v>
      </c>
      <c r="P859" s="38" cm="1">
        <f t="array" ref="P859">ROUND(IF(TRIM(H859)="",IFERROR(MEDIAN(IF($M$2:$M$1500=M859,$H$2:$H$1500)),MEDIAN($H$2:$H$1500)),H859),2)</f>
        <v>22.39</v>
      </c>
      <c r="Q859" s="38" t="str">
        <f t="shared" si="81"/>
        <v>1</v>
      </c>
      <c r="R859" s="39" cm="1">
        <f t="array" ref="R859">IF(OR(TRIM(J859)="",TRIM(J859)="-"),MEDIAN(IF($C$2:$C$1218=C859,$J$2:$J$1218)),VALUE(SUBSTITUTE(SUBSTITUTE(SUBSTITUTE(J859,"Rs. ",""),"₹",""),",","")))</f>
        <v>59581</v>
      </c>
      <c r="S859" s="40">
        <f t="shared" si="79"/>
        <v>0</v>
      </c>
      <c r="T859" s="41">
        <f t="shared" si="82"/>
        <v>0</v>
      </c>
      <c r="U859" s="42">
        <f t="shared" si="83"/>
        <v>59581</v>
      </c>
    </row>
    <row r="860" spans="1:21" x14ac:dyDescent="0.3">
      <c r="A860" s="37" t="s">
        <v>4400</v>
      </c>
      <c r="B860" s="37" t="s">
        <v>3407</v>
      </c>
      <c r="C860" s="37" t="s">
        <v>2629</v>
      </c>
      <c r="D860" s="37" t="s">
        <v>14</v>
      </c>
      <c r="E860" s="37" t="s">
        <v>60</v>
      </c>
      <c r="F860" s="37" t="s">
        <v>49</v>
      </c>
      <c r="G860" s="37" t="s">
        <v>2477</v>
      </c>
      <c r="H860" s="37">
        <v>15.46</v>
      </c>
      <c r="I860" s="37">
        <v>58</v>
      </c>
      <c r="J860" s="37">
        <v>17948</v>
      </c>
      <c r="K860" s="37" t="s">
        <v>83</v>
      </c>
      <c r="L860" s="37">
        <v>5</v>
      </c>
      <c r="M860" s="37" t="str">
        <f t="shared" si="80"/>
        <v>General</v>
      </c>
      <c r="N860" s="37" t="str">
        <f t="shared" si="78"/>
        <v>Debit Card</v>
      </c>
      <c r="O860" s="37" t="str" cm="1">
        <f t="array" ref="O860">IF(TRIM(N860)="",INDEX($N$2:$N$1500,MATCH(MAX(COUNTIF($N$2:$N$1500,$N$2:$N$1500)),COUNTIF($N$2:$N$1500,$N$2:$N$1500),0)),N860)</f>
        <v>Debit Card</v>
      </c>
      <c r="P860" s="38" cm="1">
        <f t="array" ref="P860">ROUND(IF(TRIM(H860)="",IFERROR(MEDIAN(IF($M$2:$M$1500=M860,$H$2:$H$1500)),MEDIAN($H$2:$H$1500)),H860),2)</f>
        <v>15.46</v>
      </c>
      <c r="Q860" s="38" t="str">
        <f t="shared" si="81"/>
        <v>0</v>
      </c>
      <c r="R860" s="39" cm="1">
        <f t="array" ref="R860">IF(OR(TRIM(J860)="",TRIM(J860)="-"),MEDIAN(IF($C$2:$C$1218=C860,$J$2:$J$1218)),VALUE(SUBSTITUTE(SUBSTITUTE(SUBSTITUTE(J860,"Rs. ",""),"₹",""),",","")))</f>
        <v>17948</v>
      </c>
      <c r="S860" s="40">
        <f t="shared" si="79"/>
        <v>5</v>
      </c>
      <c r="T860" s="41">
        <f t="shared" si="82"/>
        <v>5</v>
      </c>
      <c r="U860" s="42">
        <f t="shared" si="83"/>
        <v>17051</v>
      </c>
    </row>
    <row r="861" spans="1:21" x14ac:dyDescent="0.3">
      <c r="A861" s="37" t="s">
        <v>4401</v>
      </c>
      <c r="B861" s="37" t="s">
        <v>4402</v>
      </c>
      <c r="C861" s="37" t="s">
        <v>2521</v>
      </c>
      <c r="D861" s="37" t="s">
        <v>117</v>
      </c>
      <c r="E861" s="37" t="s">
        <v>182</v>
      </c>
      <c r="F861" s="37" t="s">
        <v>101</v>
      </c>
      <c r="G861" s="37" t="s">
        <v>2423</v>
      </c>
      <c r="H861" s="37">
        <v>21.56</v>
      </c>
      <c r="I861" s="37">
        <v>22</v>
      </c>
      <c r="J861" s="37" t="s">
        <v>4403</v>
      </c>
      <c r="K861" s="37" t="s">
        <v>236</v>
      </c>
      <c r="L861" s="37" t="s">
        <v>76</v>
      </c>
      <c r="M861" s="37" t="str">
        <f t="shared" si="80"/>
        <v>ICU</v>
      </c>
      <c r="N861" s="37" t="str">
        <f t="shared" si="78"/>
        <v>Debit Card</v>
      </c>
      <c r="O861" s="37" t="str" cm="1">
        <f t="array" ref="O861">IF(TRIM(N861)="",INDEX($N$2:$N$1500,MATCH(MAX(COUNTIF($N$2:$N$1500,$N$2:$N$1500)),COUNTIF($N$2:$N$1500,$N$2:$N$1500),0)),N861)</f>
        <v>Debit Card</v>
      </c>
      <c r="P861" s="38" cm="1">
        <f t="array" ref="P861">ROUND(IF(TRIM(H861)="",IFERROR(MEDIAN(IF($M$2:$M$1500=M861,$H$2:$H$1500)),MEDIAN($H$2:$H$1500)),H861),2)</f>
        <v>21.56</v>
      </c>
      <c r="Q861" s="38" t="str">
        <f t="shared" si="81"/>
        <v>0</v>
      </c>
      <c r="R861" s="39" cm="1">
        <f t="array" ref="R861">IF(OR(TRIM(J861)="",TRIM(J861)="-"),MEDIAN(IF($C$2:$C$1218=C861,$J$2:$J$1218)),VALUE(SUBSTITUTE(SUBSTITUTE(SUBSTITUTE(J861,"Rs. ",""),"₹",""),",","")))</f>
        <v>89537</v>
      </c>
      <c r="S861" s="40">
        <f t="shared" si="79"/>
        <v>10</v>
      </c>
      <c r="T861" s="41">
        <f t="shared" si="82"/>
        <v>10</v>
      </c>
      <c r="U861" s="42">
        <f t="shared" si="83"/>
        <v>80583</v>
      </c>
    </row>
    <row r="862" spans="1:21" x14ac:dyDescent="0.3">
      <c r="A862" s="37" t="s">
        <v>4404</v>
      </c>
      <c r="B862" s="37" t="s">
        <v>4335</v>
      </c>
      <c r="C862" s="37" t="s">
        <v>2422</v>
      </c>
      <c r="D862" s="37" t="s">
        <v>117</v>
      </c>
      <c r="E862" s="37" t="s">
        <v>182</v>
      </c>
      <c r="F862" s="37" t="s">
        <v>49</v>
      </c>
      <c r="G862" s="37" t="s">
        <v>2439</v>
      </c>
      <c r="H862" s="37">
        <v>18.149999999999999</v>
      </c>
      <c r="I862" s="37">
        <v>48</v>
      </c>
      <c r="J862" s="37">
        <v>16380</v>
      </c>
      <c r="K862" s="37" t="s">
        <v>34</v>
      </c>
      <c r="L862" s="37" t="s">
        <v>64</v>
      </c>
      <c r="M862" s="37" t="str">
        <f t="shared" si="80"/>
        <v>General</v>
      </c>
      <c r="N862" s="37" t="str">
        <f t="shared" si="78"/>
        <v>Cash</v>
      </c>
      <c r="O862" s="37" t="str" cm="1">
        <f t="array" ref="O862">IF(TRIM(N862)="",INDEX($N$2:$N$1500,MATCH(MAX(COUNTIF($N$2:$N$1500,$N$2:$N$1500)),COUNTIF($N$2:$N$1500,$N$2:$N$1500),0)),N862)</f>
        <v>Cash</v>
      </c>
      <c r="P862" s="38" cm="1">
        <f t="array" ref="P862">ROUND(IF(TRIM(H862)="",IFERROR(MEDIAN(IF($M$2:$M$1500=M862,$H$2:$H$1500)),MEDIAN($H$2:$H$1500)),H862),2)</f>
        <v>18.149999999999999</v>
      </c>
      <c r="Q862" s="38" t="str">
        <f t="shared" si="81"/>
        <v>2</v>
      </c>
      <c r="R862" s="39" cm="1">
        <f t="array" ref="R862">IF(OR(TRIM(J862)="",TRIM(J862)="-"),MEDIAN(IF($C$2:$C$1218=C862,$J$2:$J$1218)),VALUE(SUBSTITUTE(SUBSTITUTE(SUBSTITUTE(J862,"Rs. ",""),"₹",""),",","")))</f>
        <v>16380</v>
      </c>
      <c r="S862" s="40" t="str">
        <f t="shared" si="79"/>
        <v>NA</v>
      </c>
      <c r="T862" s="41">
        <f t="shared" si="82"/>
        <v>2</v>
      </c>
      <c r="U862" s="42">
        <f t="shared" si="83"/>
        <v>16052</v>
      </c>
    </row>
    <row r="863" spans="1:21" x14ac:dyDescent="0.3">
      <c r="A863" s="37" t="s">
        <v>4405</v>
      </c>
      <c r="B863" s="37" t="s">
        <v>2462</v>
      </c>
      <c r="C863" s="37" t="s">
        <v>2463</v>
      </c>
      <c r="D863" s="37" t="s">
        <v>117</v>
      </c>
      <c r="E863" s="37" t="s">
        <v>118</v>
      </c>
      <c r="F863" s="37" t="s">
        <v>39</v>
      </c>
      <c r="G863" s="37" t="s">
        <v>2412</v>
      </c>
      <c r="H863" s="37">
        <v>7.62</v>
      </c>
      <c r="I863" s="37">
        <v>59</v>
      </c>
      <c r="J863" s="37">
        <v>5120</v>
      </c>
      <c r="K863" s="37" t="s">
        <v>58</v>
      </c>
      <c r="L863" s="37">
        <v>5</v>
      </c>
      <c r="M863" s="37" t="str">
        <f t="shared" si="80"/>
        <v>General</v>
      </c>
      <c r="N863" s="37" t="str">
        <f t="shared" si="78"/>
        <v>UPI</v>
      </c>
      <c r="O863" s="37" t="str" cm="1">
        <f t="array" ref="O863">IF(TRIM(N863)="",INDEX($N$2:$N$1500,MATCH(MAX(COUNTIF($N$2:$N$1500,$N$2:$N$1500)),COUNTIF($N$2:$N$1500,$N$2:$N$1500),0)),N863)</f>
        <v>UPI</v>
      </c>
      <c r="P863" s="38" cm="1">
        <f t="array" ref="P863">ROUND(IF(TRIM(H863)="",IFERROR(MEDIAN(IF($M$2:$M$1500=M863,$H$2:$H$1500)),MEDIAN($H$2:$H$1500)),H863),2)</f>
        <v>7.62</v>
      </c>
      <c r="Q863" s="38" t="str">
        <f t="shared" si="81"/>
        <v>1</v>
      </c>
      <c r="R863" s="39" cm="1">
        <f t="array" ref="R863">IF(OR(TRIM(J863)="",TRIM(J863)="-"),MEDIAN(IF($C$2:$C$1218=C863,$J$2:$J$1218)),VALUE(SUBSTITUTE(SUBSTITUTE(SUBSTITUTE(J863,"Rs. ",""),"₹",""),",","")))</f>
        <v>5120</v>
      </c>
      <c r="S863" s="40">
        <f t="shared" si="79"/>
        <v>5</v>
      </c>
      <c r="T863" s="41">
        <f t="shared" si="82"/>
        <v>5</v>
      </c>
      <c r="U863" s="42">
        <f t="shared" si="83"/>
        <v>4864</v>
      </c>
    </row>
    <row r="864" spans="1:21" x14ac:dyDescent="0.3">
      <c r="A864" s="37" t="s">
        <v>4406</v>
      </c>
      <c r="B864" s="37" t="s">
        <v>3397</v>
      </c>
      <c r="C864" s="37" t="s">
        <v>2431</v>
      </c>
      <c r="D864" s="37" t="s">
        <v>117</v>
      </c>
      <c r="E864" s="37" t="s">
        <v>118</v>
      </c>
      <c r="F864" s="37" t="s">
        <v>69</v>
      </c>
      <c r="G864" s="37" t="s">
        <v>2408</v>
      </c>
      <c r="H864" s="37">
        <v>11.36</v>
      </c>
      <c r="I864" s="37">
        <v>37</v>
      </c>
      <c r="J864" s="37">
        <v>20182</v>
      </c>
      <c r="K864" s="37" t="s">
        <v>211</v>
      </c>
      <c r="L864" s="37">
        <v>0</v>
      </c>
      <c r="M864" s="37" t="str">
        <f t="shared" si="80"/>
        <v>ICU</v>
      </c>
      <c r="N864" s="37" t="str">
        <f t="shared" si="78"/>
        <v>Credit Card</v>
      </c>
      <c r="O864" s="37" t="str" cm="1">
        <f t="array" ref="O864">IF(TRIM(N864)="",INDEX($N$2:$N$1500,MATCH(MAX(COUNTIF($N$2:$N$1500,$N$2:$N$1500)),COUNTIF($N$2:$N$1500,$N$2:$N$1500),0)),N864)</f>
        <v>Credit Card</v>
      </c>
      <c r="P864" s="38" cm="1">
        <f t="array" ref="P864">ROUND(IF(TRIM(H864)="",IFERROR(MEDIAN(IF($M$2:$M$1500=M864,$H$2:$H$1500)),MEDIAN($H$2:$H$1500)),H864),2)</f>
        <v>11.36</v>
      </c>
      <c r="Q864" s="38" t="str">
        <f t="shared" si="81"/>
        <v>0</v>
      </c>
      <c r="R864" s="39" cm="1">
        <f t="array" ref="R864">IF(OR(TRIM(J864)="",TRIM(J864)="-"),MEDIAN(IF($C$2:$C$1218=C864,$J$2:$J$1218)),VALUE(SUBSTITUTE(SUBSTITUTE(SUBSTITUTE(J864,"Rs. ",""),"₹",""),",","")))</f>
        <v>20182</v>
      </c>
      <c r="S864" s="40">
        <f t="shared" si="79"/>
        <v>0</v>
      </c>
      <c r="T864" s="41">
        <f t="shared" si="82"/>
        <v>0</v>
      </c>
      <c r="U864" s="42">
        <f t="shared" si="83"/>
        <v>20182</v>
      </c>
    </row>
    <row r="865" spans="1:21" x14ac:dyDescent="0.3">
      <c r="A865" s="37" t="s">
        <v>4407</v>
      </c>
      <c r="B865" s="37" t="s">
        <v>4408</v>
      </c>
      <c r="C865" s="37" t="s">
        <v>2407</v>
      </c>
      <c r="D865" s="37" t="s">
        <v>117</v>
      </c>
      <c r="E865" s="37" t="s">
        <v>118</v>
      </c>
      <c r="F865" s="37" t="s">
        <v>49</v>
      </c>
      <c r="G865" s="37" t="s">
        <v>2412</v>
      </c>
      <c r="H865" s="37">
        <v>2.5299999999999998</v>
      </c>
      <c r="I865" s="37" t="s">
        <v>140</v>
      </c>
      <c r="J865" s="37" t="s">
        <v>4409</v>
      </c>
      <c r="K865" s="37" t="s">
        <v>149</v>
      </c>
      <c r="L865" s="37">
        <v>0.3</v>
      </c>
      <c r="M865" s="37" t="str">
        <f t="shared" si="80"/>
        <v>General</v>
      </c>
      <c r="N865" s="37" t="str">
        <f t="shared" si="78"/>
        <v>Insurance</v>
      </c>
      <c r="O865" s="37" t="str" cm="1">
        <f t="array" ref="O865">IF(TRIM(N865)="",INDEX($N$2:$N$1500,MATCH(MAX(COUNTIF($N$2:$N$1500,$N$2:$N$1500)),COUNTIF($N$2:$N$1500,$N$2:$N$1500),0)),N865)</f>
        <v>Insurance</v>
      </c>
      <c r="P865" s="38" cm="1">
        <f t="array" ref="P865">ROUND(IF(TRIM(H865)="",IFERROR(MEDIAN(IF($M$2:$M$1500=M865,$H$2:$H$1500)),MEDIAN($H$2:$H$1500)),H865),2)</f>
        <v>2.5299999999999998</v>
      </c>
      <c r="Q865" s="38" t="str">
        <f t="shared" si="81"/>
        <v>1</v>
      </c>
      <c r="R865" s="39" cm="1">
        <f t="array" ref="R865">IF(OR(TRIM(J865)="",TRIM(J865)="-"),MEDIAN(IF($C$2:$C$1218=C865,$J$2:$J$1218)),VALUE(SUBSTITUTE(SUBSTITUTE(SUBSTITUTE(J865,"Rs. ",""),"₹",""),",","")))</f>
        <v>19832</v>
      </c>
      <c r="S865" s="40">
        <f t="shared" si="79"/>
        <v>0.3</v>
      </c>
      <c r="T865" s="41">
        <f t="shared" si="82"/>
        <v>0</v>
      </c>
      <c r="U865" s="42">
        <f t="shared" si="83"/>
        <v>19832</v>
      </c>
    </row>
    <row r="866" spans="1:21" x14ac:dyDescent="0.3">
      <c r="A866" s="37" t="s">
        <v>4410</v>
      </c>
      <c r="B866" s="37" t="s">
        <v>4411</v>
      </c>
      <c r="C866" s="37" t="s">
        <v>2434</v>
      </c>
      <c r="D866" s="37" t="s">
        <v>117</v>
      </c>
      <c r="E866" s="37" t="s">
        <v>182</v>
      </c>
      <c r="F866" s="37" t="s">
        <v>19</v>
      </c>
      <c r="G866" s="37" t="s">
        <v>2423</v>
      </c>
      <c r="H866" s="37">
        <v>12.87</v>
      </c>
      <c r="I866" s="37">
        <v>49</v>
      </c>
      <c r="J866" s="37">
        <v>10024</v>
      </c>
      <c r="K866" s="37" t="s">
        <v>72</v>
      </c>
      <c r="L866" s="37" t="s">
        <v>198</v>
      </c>
      <c r="M866" s="37" t="str">
        <f t="shared" si="80"/>
        <v>General</v>
      </c>
      <c r="N866" s="37" t="str">
        <f t="shared" si="78"/>
        <v>Cash</v>
      </c>
      <c r="O866" s="37" t="str" cm="1">
        <f t="array" ref="O866">IF(TRIM(N866)="",INDEX($N$2:$N$1500,MATCH(MAX(COUNTIF($N$2:$N$1500,$N$2:$N$1500)),COUNTIF($N$2:$N$1500,$N$2:$N$1500),0)),N866)</f>
        <v>Cash</v>
      </c>
      <c r="P866" s="38" cm="1">
        <f t="array" ref="P866">ROUND(IF(TRIM(H866)="",IFERROR(MEDIAN(IF($M$2:$M$1500=M866,$H$2:$H$1500)),MEDIAN($H$2:$H$1500)),H866),2)</f>
        <v>12.87</v>
      </c>
      <c r="Q866" s="38" t="str">
        <f t="shared" si="81"/>
        <v>0</v>
      </c>
      <c r="R866" s="39" cm="1">
        <f t="array" ref="R866">IF(OR(TRIM(J866)="",TRIM(J866)="-"),MEDIAN(IF($C$2:$C$1218=C866,$J$2:$J$1218)),VALUE(SUBSTITUTE(SUBSTITUTE(SUBSTITUTE(J866,"Rs. ",""),"₹",""),",","")))</f>
        <v>10024</v>
      </c>
      <c r="S866" s="40">
        <f t="shared" si="79"/>
        <v>5</v>
      </c>
      <c r="T866" s="41">
        <f t="shared" si="82"/>
        <v>5</v>
      </c>
      <c r="U866" s="42">
        <f t="shared" si="83"/>
        <v>9523</v>
      </c>
    </row>
    <row r="867" spans="1:21" x14ac:dyDescent="0.3">
      <c r="A867" s="37" t="s">
        <v>4412</v>
      </c>
      <c r="B867" s="37" t="s">
        <v>2667</v>
      </c>
      <c r="C867" s="37" t="s">
        <v>2449</v>
      </c>
      <c r="D867" s="37" t="s">
        <v>78</v>
      </c>
      <c r="E867" s="37" t="s">
        <v>79</v>
      </c>
      <c r="F867" s="37" t="s">
        <v>30</v>
      </c>
      <c r="G867" s="37" t="s">
        <v>2450</v>
      </c>
      <c r="H867" s="37">
        <v>6.95</v>
      </c>
      <c r="I867" s="37">
        <v>32</v>
      </c>
      <c r="J867" s="37">
        <v>10669</v>
      </c>
      <c r="K867" s="37" t="s">
        <v>236</v>
      </c>
      <c r="L867" s="37" t="s">
        <v>76</v>
      </c>
      <c r="M867" s="37" t="str">
        <f t="shared" si="80"/>
        <v>General</v>
      </c>
      <c r="N867" s="37" t="str">
        <f t="shared" si="78"/>
        <v>Debit Card</v>
      </c>
      <c r="O867" s="37" t="str" cm="1">
        <f t="array" ref="O867">IF(TRIM(N867)="",INDEX($N$2:$N$1500,MATCH(MAX(COUNTIF($N$2:$N$1500,$N$2:$N$1500)),COUNTIF($N$2:$N$1500,$N$2:$N$1500),0)),N867)</f>
        <v>Debit Card</v>
      </c>
      <c r="P867" s="38" cm="1">
        <f t="array" ref="P867">ROUND(IF(TRIM(H867)="",IFERROR(MEDIAN(IF($M$2:$M$1500=M867,$H$2:$H$1500)),MEDIAN($H$2:$H$1500)),H867),2)</f>
        <v>6.95</v>
      </c>
      <c r="Q867" s="38" t="str">
        <f t="shared" si="81"/>
        <v>1</v>
      </c>
      <c r="R867" s="39" cm="1">
        <f t="array" ref="R867">IF(OR(TRIM(J867)="",TRIM(J867)="-"),MEDIAN(IF($C$2:$C$1218=C867,$J$2:$J$1218)),VALUE(SUBSTITUTE(SUBSTITUTE(SUBSTITUTE(J867,"Rs. ",""),"₹",""),",","")))</f>
        <v>10669</v>
      </c>
      <c r="S867" s="40">
        <f t="shared" si="79"/>
        <v>10</v>
      </c>
      <c r="T867" s="41">
        <f t="shared" si="82"/>
        <v>10</v>
      </c>
      <c r="U867" s="42">
        <f t="shared" si="83"/>
        <v>9602</v>
      </c>
    </row>
    <row r="868" spans="1:21" x14ac:dyDescent="0.3">
      <c r="A868" s="37" t="s">
        <v>4413</v>
      </c>
      <c r="B868" s="37" t="s">
        <v>4414</v>
      </c>
      <c r="C868" s="37" t="s">
        <v>2536</v>
      </c>
      <c r="D868" s="37" t="s">
        <v>106</v>
      </c>
      <c r="E868" s="37" t="s">
        <v>307</v>
      </c>
      <c r="F868" s="37" t="s">
        <v>19</v>
      </c>
      <c r="G868" s="37" t="s">
        <v>2435</v>
      </c>
      <c r="H868" s="37">
        <v>13.01</v>
      </c>
      <c r="I868" s="37">
        <v>17</v>
      </c>
      <c r="J868" s="37" t="s">
        <v>4415</v>
      </c>
      <c r="K868" s="37" t="s">
        <v>52</v>
      </c>
      <c r="L868" s="37" t="s">
        <v>198</v>
      </c>
      <c r="M868" s="37" t="str">
        <f t="shared" si="80"/>
        <v>General</v>
      </c>
      <c r="N868" s="37" t="str">
        <f t="shared" si="78"/>
        <v>Credit Card</v>
      </c>
      <c r="O868" s="37" t="str" cm="1">
        <f t="array" ref="O868">IF(TRIM(N868)="",INDEX($N$2:$N$1500,MATCH(MAX(COUNTIF($N$2:$N$1500,$N$2:$N$1500)),COUNTIF($N$2:$N$1500,$N$2:$N$1500),0)),N868)</f>
        <v>Credit Card</v>
      </c>
      <c r="P868" s="38" cm="1">
        <f t="array" ref="P868">ROUND(IF(TRIM(H868)="",IFERROR(MEDIAN(IF($M$2:$M$1500=M868,$H$2:$H$1500)),MEDIAN($H$2:$H$1500)),H868),2)</f>
        <v>13.01</v>
      </c>
      <c r="Q868" s="38" t="str">
        <f t="shared" si="81"/>
        <v>0</v>
      </c>
      <c r="R868" s="39" cm="1">
        <f t="array" ref="R868">IF(OR(TRIM(J868)="",TRIM(J868)="-"),MEDIAN(IF($C$2:$C$1218=C868,$J$2:$J$1218)),VALUE(SUBSTITUTE(SUBSTITUTE(SUBSTITUTE(J868,"Rs. ",""),"₹",""),",","")))</f>
        <v>3256</v>
      </c>
      <c r="S868" s="40">
        <f t="shared" si="79"/>
        <v>5</v>
      </c>
      <c r="T868" s="41">
        <f t="shared" si="82"/>
        <v>5</v>
      </c>
      <c r="U868" s="42">
        <f t="shared" si="83"/>
        <v>3093</v>
      </c>
    </row>
    <row r="869" spans="1:21" x14ac:dyDescent="0.3">
      <c r="A869" s="37" t="s">
        <v>4416</v>
      </c>
      <c r="B869" s="37" t="s">
        <v>3810</v>
      </c>
      <c r="C869" s="37" t="s">
        <v>2459</v>
      </c>
      <c r="D869" s="37" t="s">
        <v>25</v>
      </c>
      <c r="E869" s="37" t="s">
        <v>54</v>
      </c>
      <c r="F869" s="37" t="s">
        <v>30</v>
      </c>
      <c r="G869" s="37" t="s">
        <v>2435</v>
      </c>
      <c r="H869" s="37">
        <v>9.43</v>
      </c>
      <c r="I869" s="37">
        <v>51</v>
      </c>
      <c r="J869" s="37" t="s">
        <v>823</v>
      </c>
      <c r="K869" s="37" t="s">
        <v>115</v>
      </c>
      <c r="L869" s="37">
        <v>0</v>
      </c>
      <c r="M869" s="37" t="str">
        <f t="shared" si="80"/>
        <v>General</v>
      </c>
      <c r="N869" s="37" t="str">
        <f t="shared" si="78"/>
        <v>Cash</v>
      </c>
      <c r="O869" s="37" t="str" cm="1">
        <f t="array" ref="O869">IF(TRIM(N869)="",INDEX($N$2:$N$1500,MATCH(MAX(COUNTIF($N$2:$N$1500,$N$2:$N$1500)),COUNTIF($N$2:$N$1500,$N$2:$N$1500),0)),N869)</f>
        <v>Cash</v>
      </c>
      <c r="P869" s="38" cm="1">
        <f t="array" ref="P869">ROUND(IF(TRIM(H869)="",IFERROR(MEDIAN(IF($M$2:$M$1500=M869,$H$2:$H$1500)),MEDIAN($H$2:$H$1500)),H869),2)</f>
        <v>9.43</v>
      </c>
      <c r="Q869" s="38" t="str">
        <f t="shared" si="81"/>
        <v>0</v>
      </c>
      <c r="R869" s="39" cm="1">
        <f t="array" ref="R869">IF(OR(TRIM(J869)="",TRIM(J869)="-"),MEDIAN(IF($C$2:$C$1218=C869,$J$2:$J$1218)),VALUE(SUBSTITUTE(SUBSTITUTE(SUBSTITUTE(J869,"Rs. ",""),"₹",""),",","")))</f>
        <v>17266</v>
      </c>
      <c r="S869" s="40">
        <f t="shared" si="79"/>
        <v>0</v>
      </c>
      <c r="T869" s="41">
        <f t="shared" si="82"/>
        <v>0</v>
      </c>
      <c r="U869" s="42">
        <f t="shared" si="83"/>
        <v>17266</v>
      </c>
    </row>
    <row r="870" spans="1:21" x14ac:dyDescent="0.3">
      <c r="A870" s="37" t="s">
        <v>4417</v>
      </c>
      <c r="B870" s="37" t="s">
        <v>4418</v>
      </c>
      <c r="C870" s="37" t="s">
        <v>2463</v>
      </c>
      <c r="D870" s="37" t="s">
        <v>78</v>
      </c>
      <c r="E870" s="37" t="s">
        <v>161</v>
      </c>
      <c r="F870" s="37" t="s">
        <v>62</v>
      </c>
      <c r="G870" s="37" t="s">
        <v>2418</v>
      </c>
      <c r="H870" s="37">
        <v>21.3</v>
      </c>
      <c r="I870" s="37">
        <v>36</v>
      </c>
      <c r="J870" s="37">
        <v>85433</v>
      </c>
      <c r="K870" s="37" t="s">
        <v>97</v>
      </c>
      <c r="L870" s="37">
        <v>0</v>
      </c>
      <c r="M870" s="37" t="str">
        <f t="shared" si="80"/>
        <v>ICU</v>
      </c>
      <c r="N870" s="37" t="str">
        <f t="shared" si="78"/>
        <v>UPI</v>
      </c>
      <c r="O870" s="37" t="str" cm="1">
        <f t="array" ref="O870">IF(TRIM(N870)="",INDEX($N$2:$N$1500,MATCH(MAX(COUNTIF($N$2:$N$1500,$N$2:$N$1500)),COUNTIF($N$2:$N$1500,$N$2:$N$1500),0)),N870)</f>
        <v>UPI</v>
      </c>
      <c r="P870" s="38" cm="1">
        <f t="array" ref="P870">ROUND(IF(TRIM(H870)="",IFERROR(MEDIAN(IF($M$2:$M$1500=M870,$H$2:$H$1500)),MEDIAN($H$2:$H$1500)),H870),2)</f>
        <v>21.3</v>
      </c>
      <c r="Q870" s="38" t="str">
        <f t="shared" si="81"/>
        <v>1</v>
      </c>
      <c r="R870" s="39" cm="1">
        <f t="array" ref="R870">IF(OR(TRIM(J870)="",TRIM(J870)="-"),MEDIAN(IF($C$2:$C$1218=C870,$J$2:$J$1218)),VALUE(SUBSTITUTE(SUBSTITUTE(SUBSTITUTE(J870,"Rs. ",""),"₹",""),",","")))</f>
        <v>85433</v>
      </c>
      <c r="S870" s="40">
        <f t="shared" si="79"/>
        <v>0</v>
      </c>
      <c r="T870" s="41">
        <f t="shared" si="82"/>
        <v>0</v>
      </c>
      <c r="U870" s="42">
        <f t="shared" si="83"/>
        <v>85433</v>
      </c>
    </row>
    <row r="871" spans="1:21" x14ac:dyDescent="0.3">
      <c r="A871" s="37" t="s">
        <v>4419</v>
      </c>
      <c r="B871" s="37" t="s">
        <v>4011</v>
      </c>
      <c r="C871" s="37" t="s">
        <v>2466</v>
      </c>
      <c r="D871" s="37" t="s">
        <v>45</v>
      </c>
      <c r="E871" s="37" t="s">
        <v>334</v>
      </c>
      <c r="F871" s="37" t="s">
        <v>19</v>
      </c>
      <c r="G871" s="37" t="s">
        <v>2418</v>
      </c>
      <c r="H871" s="37"/>
      <c r="I871" s="37">
        <v>49</v>
      </c>
      <c r="J871" s="37" t="s">
        <v>4420</v>
      </c>
      <c r="K871" s="37" t="s">
        <v>34</v>
      </c>
      <c r="L871" s="37">
        <v>0</v>
      </c>
      <c r="M871" s="37" t="str">
        <f t="shared" si="80"/>
        <v>General</v>
      </c>
      <c r="N871" s="37" t="str">
        <f t="shared" si="78"/>
        <v>Cash</v>
      </c>
      <c r="O871" s="37" t="str" cm="1">
        <f t="array" ref="O871">IF(TRIM(N871)="",INDEX($N$2:$N$1500,MATCH(MAX(COUNTIF($N$2:$N$1500,$N$2:$N$1500)),COUNTIF($N$2:$N$1500,$N$2:$N$1500),0)),N871)</f>
        <v>Cash</v>
      </c>
      <c r="P871" s="38" cm="1">
        <f t="array" ref="P871">ROUND(IF(TRIM(H871)="",IFERROR(MEDIAN(IF($M$2:$M$1500=M871,$H$2:$H$1500)),MEDIAN($H$2:$H$1500)),H871),2)</f>
        <v>12.02</v>
      </c>
      <c r="Q871" s="38" t="str">
        <f t="shared" si="81"/>
        <v>1</v>
      </c>
      <c r="R871" s="39" cm="1">
        <f t="array" ref="R871">IF(OR(TRIM(J871)="",TRIM(J871)="-"),MEDIAN(IF($C$2:$C$1218=C871,$J$2:$J$1218)),VALUE(SUBSTITUTE(SUBSTITUTE(SUBSTITUTE(J871,"Rs. ",""),"₹",""),",","")))</f>
        <v>17474</v>
      </c>
      <c r="S871" s="40">
        <f t="shared" si="79"/>
        <v>0</v>
      </c>
      <c r="T871" s="41">
        <f t="shared" si="82"/>
        <v>0</v>
      </c>
      <c r="U871" s="42">
        <f t="shared" si="83"/>
        <v>17474</v>
      </c>
    </row>
    <row r="872" spans="1:21" x14ac:dyDescent="0.3">
      <c r="A872" s="37" t="s">
        <v>4421</v>
      </c>
      <c r="B872" s="37" t="s">
        <v>4422</v>
      </c>
      <c r="C872" s="37" t="s">
        <v>2407</v>
      </c>
      <c r="D872" s="37" t="s">
        <v>117</v>
      </c>
      <c r="E872" s="37" t="s">
        <v>118</v>
      </c>
      <c r="F872" s="37" t="s">
        <v>62</v>
      </c>
      <c r="G872" s="37" t="s">
        <v>2408</v>
      </c>
      <c r="H872" s="37">
        <v>22.12</v>
      </c>
      <c r="I872" s="37">
        <v>40</v>
      </c>
      <c r="J872" s="37">
        <v>52168</v>
      </c>
      <c r="K872" s="37" t="s">
        <v>52</v>
      </c>
      <c r="L872" s="37">
        <v>0</v>
      </c>
      <c r="M872" s="37" t="str">
        <f t="shared" si="80"/>
        <v>ICU</v>
      </c>
      <c r="N872" s="37" t="str">
        <f t="shared" si="78"/>
        <v>Credit Card</v>
      </c>
      <c r="O872" s="37" t="str" cm="1">
        <f t="array" ref="O872">IF(TRIM(N872)="",INDEX($N$2:$N$1500,MATCH(MAX(COUNTIF($N$2:$N$1500,$N$2:$N$1500)),COUNTIF($N$2:$N$1500,$N$2:$N$1500),0)),N872)</f>
        <v>Credit Card</v>
      </c>
      <c r="P872" s="38" cm="1">
        <f t="array" ref="P872">ROUND(IF(TRIM(H872)="",IFERROR(MEDIAN(IF($M$2:$M$1500=M872,$H$2:$H$1500)),MEDIAN($H$2:$H$1500)),H872),2)</f>
        <v>22.12</v>
      </c>
      <c r="Q872" s="38" t="str">
        <f t="shared" si="81"/>
        <v>0</v>
      </c>
      <c r="R872" s="39" cm="1">
        <f t="array" ref="R872">IF(OR(TRIM(J872)="",TRIM(J872)="-"),MEDIAN(IF($C$2:$C$1218=C872,$J$2:$J$1218)),VALUE(SUBSTITUTE(SUBSTITUTE(SUBSTITUTE(J872,"Rs. ",""),"₹",""),",","")))</f>
        <v>52168</v>
      </c>
      <c r="S872" s="40">
        <f t="shared" si="79"/>
        <v>0</v>
      </c>
      <c r="T872" s="41">
        <f t="shared" si="82"/>
        <v>0</v>
      </c>
      <c r="U872" s="42">
        <f t="shared" si="83"/>
        <v>52168</v>
      </c>
    </row>
    <row r="873" spans="1:21" x14ac:dyDescent="0.3">
      <c r="A873" s="37" t="s">
        <v>4423</v>
      </c>
      <c r="B873" s="37" t="s">
        <v>4424</v>
      </c>
      <c r="C873" s="37" t="s">
        <v>2504</v>
      </c>
      <c r="D873" s="37" t="s">
        <v>106</v>
      </c>
      <c r="E873" s="37" t="s">
        <v>307</v>
      </c>
      <c r="F873" s="37" t="s">
        <v>39</v>
      </c>
      <c r="G873" s="37" t="s">
        <v>2408</v>
      </c>
      <c r="H873" s="37">
        <v>13.56</v>
      </c>
      <c r="I873" s="37">
        <v>53</v>
      </c>
      <c r="J873" s="37" t="s">
        <v>4425</v>
      </c>
      <c r="K873" s="37" t="s">
        <v>72</v>
      </c>
      <c r="L873" s="37" t="s">
        <v>64</v>
      </c>
      <c r="M873" s="37" t="str">
        <f t="shared" si="80"/>
        <v>General</v>
      </c>
      <c r="N873" s="37" t="str">
        <f t="shared" si="78"/>
        <v>Cash</v>
      </c>
      <c r="O873" s="37" t="str" cm="1">
        <f t="array" ref="O873">IF(TRIM(N873)="",INDEX($N$2:$N$1500,MATCH(MAX(COUNTIF($N$2:$N$1500,$N$2:$N$1500)),COUNTIF($N$2:$N$1500,$N$2:$N$1500),0)),N873)</f>
        <v>Cash</v>
      </c>
      <c r="P873" s="38" cm="1">
        <f t="array" ref="P873">ROUND(IF(TRIM(H873)="",IFERROR(MEDIAN(IF($M$2:$M$1500=M873,$H$2:$H$1500)),MEDIAN($H$2:$H$1500)),H873),2)</f>
        <v>13.56</v>
      </c>
      <c r="Q873" s="38" t="str">
        <f t="shared" si="81"/>
        <v>0</v>
      </c>
      <c r="R873" s="39" cm="1">
        <f t="array" ref="R873">IF(OR(TRIM(J873)="",TRIM(J873)="-"),MEDIAN(IF($C$2:$C$1218=C873,$J$2:$J$1218)),VALUE(SUBSTITUTE(SUBSTITUTE(SUBSTITUTE(J873,"Rs. ",""),"₹",""),",","")))</f>
        <v>11896</v>
      </c>
      <c r="S873" s="40" t="str">
        <f t="shared" si="79"/>
        <v>NA</v>
      </c>
      <c r="T873" s="41">
        <f t="shared" si="82"/>
        <v>2</v>
      </c>
      <c r="U873" s="42">
        <f t="shared" si="83"/>
        <v>11658</v>
      </c>
    </row>
    <row r="874" spans="1:21" x14ac:dyDescent="0.3">
      <c r="A874" s="37" t="s">
        <v>4426</v>
      </c>
      <c r="B874" s="37" t="s">
        <v>4120</v>
      </c>
      <c r="C874" s="37" t="s">
        <v>2514</v>
      </c>
      <c r="D874" s="37" t="s">
        <v>45</v>
      </c>
      <c r="E874" s="37" t="s">
        <v>46</v>
      </c>
      <c r="F874" s="37" t="s">
        <v>49</v>
      </c>
      <c r="G874" s="37" t="s">
        <v>2423</v>
      </c>
      <c r="H874" s="37">
        <v>21.24</v>
      </c>
      <c r="I874" s="37">
        <v>20</v>
      </c>
      <c r="J874" s="37">
        <v>17567</v>
      </c>
      <c r="K874" s="37" t="s">
        <v>34</v>
      </c>
      <c r="L874" s="37" t="s">
        <v>64</v>
      </c>
      <c r="M874" s="37" t="str">
        <f t="shared" si="80"/>
        <v>General</v>
      </c>
      <c r="N874" s="37" t="str">
        <f t="shared" si="78"/>
        <v>Cash</v>
      </c>
      <c r="O874" s="37" t="str" cm="1">
        <f t="array" ref="O874">IF(TRIM(N874)="",INDEX($N$2:$N$1500,MATCH(MAX(COUNTIF($N$2:$N$1500,$N$2:$N$1500)),COUNTIF($N$2:$N$1500,$N$2:$N$1500),0)),N874)</f>
        <v>Cash</v>
      </c>
      <c r="P874" s="38" cm="1">
        <f t="array" ref="P874">ROUND(IF(TRIM(H874)="",IFERROR(MEDIAN(IF($M$2:$M$1500=M874,$H$2:$H$1500)),MEDIAN($H$2:$H$1500)),H874),2)</f>
        <v>21.24</v>
      </c>
      <c r="Q874" s="38" t="str">
        <f t="shared" si="81"/>
        <v>0</v>
      </c>
      <c r="R874" s="39" cm="1">
        <f t="array" ref="R874">IF(OR(TRIM(J874)="",TRIM(J874)="-"),MEDIAN(IF($C$2:$C$1218=C874,$J$2:$J$1218)),VALUE(SUBSTITUTE(SUBSTITUTE(SUBSTITUTE(J874,"Rs. ",""),"₹",""),",","")))</f>
        <v>17567</v>
      </c>
      <c r="S874" s="40" t="str">
        <f t="shared" si="79"/>
        <v>NA</v>
      </c>
      <c r="T874" s="41">
        <f t="shared" si="82"/>
        <v>2</v>
      </c>
      <c r="U874" s="42">
        <f t="shared" si="83"/>
        <v>17216</v>
      </c>
    </row>
    <row r="875" spans="1:21" x14ac:dyDescent="0.3">
      <c r="A875" s="37" t="s">
        <v>4427</v>
      </c>
      <c r="B875" s="37" t="s">
        <v>4428</v>
      </c>
      <c r="C875" s="37" t="s">
        <v>2577</v>
      </c>
      <c r="D875" s="37" t="s">
        <v>45</v>
      </c>
      <c r="E875" s="37" t="s">
        <v>46</v>
      </c>
      <c r="F875" s="37" t="s">
        <v>69</v>
      </c>
      <c r="G875" s="37" t="s">
        <v>2486</v>
      </c>
      <c r="H875" s="37">
        <v>15.45</v>
      </c>
      <c r="I875" s="37">
        <v>9</v>
      </c>
      <c r="J875" s="37" t="s">
        <v>4429</v>
      </c>
      <c r="K875" s="37" t="s">
        <v>211</v>
      </c>
      <c r="L875" s="37">
        <v>0</v>
      </c>
      <c r="M875" s="37" t="str">
        <f t="shared" si="80"/>
        <v>ICU</v>
      </c>
      <c r="N875" s="37" t="str">
        <f t="shared" si="78"/>
        <v>Credit Card</v>
      </c>
      <c r="O875" s="37" t="str" cm="1">
        <f t="array" ref="O875">IF(TRIM(N875)="",INDEX($N$2:$N$1500,MATCH(MAX(COUNTIF($N$2:$N$1500,$N$2:$N$1500)),COUNTIF($N$2:$N$1500,$N$2:$N$1500),0)),N875)</f>
        <v>Credit Card</v>
      </c>
      <c r="P875" s="38" cm="1">
        <f t="array" ref="P875">ROUND(IF(TRIM(H875)="",IFERROR(MEDIAN(IF($M$2:$M$1500=M875,$H$2:$H$1500)),MEDIAN($H$2:$H$1500)),H875),2)</f>
        <v>15.45</v>
      </c>
      <c r="Q875" s="38" t="str">
        <f t="shared" si="81"/>
        <v>2+</v>
      </c>
      <c r="R875" s="39" cm="1">
        <f t="array" ref="R875">IF(OR(TRIM(J875)="",TRIM(J875)="-"),MEDIAN(IF($C$2:$C$1218=C875,$J$2:$J$1218)),VALUE(SUBSTITUTE(SUBSTITUTE(SUBSTITUTE(J875,"Rs. ",""),"₹",""),",","")))</f>
        <v>28578</v>
      </c>
      <c r="S875" s="40">
        <f t="shared" si="79"/>
        <v>0</v>
      </c>
      <c r="T875" s="41">
        <f t="shared" si="82"/>
        <v>0</v>
      </c>
      <c r="U875" s="42">
        <f t="shared" si="83"/>
        <v>28578</v>
      </c>
    </row>
    <row r="876" spans="1:21" x14ac:dyDescent="0.3">
      <c r="A876" s="37" t="s">
        <v>4430</v>
      </c>
      <c r="B876" s="37" t="s">
        <v>4431</v>
      </c>
      <c r="C876" s="37" t="s">
        <v>2494</v>
      </c>
      <c r="D876" s="37" t="s">
        <v>117</v>
      </c>
      <c r="E876" s="37" t="s">
        <v>127</v>
      </c>
      <c r="F876" s="37" t="s">
        <v>49</v>
      </c>
      <c r="G876" s="37" t="s">
        <v>2993</v>
      </c>
      <c r="H876" s="37">
        <v>17.32</v>
      </c>
      <c r="I876" s="37">
        <v>3</v>
      </c>
      <c r="J876" s="37" t="s">
        <v>4432</v>
      </c>
      <c r="K876" s="37" t="s">
        <v>72</v>
      </c>
      <c r="L876" s="37" t="s">
        <v>140</v>
      </c>
      <c r="M876" s="37" t="str">
        <f t="shared" si="80"/>
        <v>General</v>
      </c>
      <c r="N876" s="37" t="str">
        <f t="shared" si="78"/>
        <v>Cash</v>
      </c>
      <c r="O876" s="37" t="str" cm="1">
        <f t="array" ref="O876">IF(TRIM(N876)="",INDEX($N$2:$N$1500,MATCH(MAX(COUNTIF($N$2:$N$1500,$N$2:$N$1500)),COUNTIF($N$2:$N$1500,$N$2:$N$1500),0)),N876)</f>
        <v>Cash</v>
      </c>
      <c r="P876" s="38" cm="1">
        <f t="array" ref="P876">ROUND(IF(TRIM(H876)="",IFERROR(MEDIAN(IF($M$2:$M$1500=M876,$H$2:$H$1500)),MEDIAN($H$2:$H$1500)),H876),2)</f>
        <v>17.32</v>
      </c>
      <c r="Q876" s="38" t="str">
        <f t="shared" si="81"/>
        <v>2+</v>
      </c>
      <c r="R876" s="39" cm="1">
        <f t="array" ref="R876">IF(OR(TRIM(J876)="",TRIM(J876)="-"),MEDIAN(IF($C$2:$C$1218=C876,$J$2:$J$1218)),VALUE(SUBSTITUTE(SUBSTITUTE(SUBSTITUTE(J876,"Rs. ",""),"₹",""),",","")))</f>
        <v>17977</v>
      </c>
      <c r="S876" s="40" t="str">
        <f t="shared" si="79"/>
        <v>-</v>
      </c>
      <c r="T876" s="41">
        <f t="shared" si="82"/>
        <v>2</v>
      </c>
      <c r="U876" s="42">
        <f t="shared" si="83"/>
        <v>17617</v>
      </c>
    </row>
    <row r="877" spans="1:21" x14ac:dyDescent="0.3">
      <c r="A877" s="37" t="s">
        <v>4433</v>
      </c>
      <c r="B877" s="37" t="s">
        <v>3690</v>
      </c>
      <c r="C877" s="37" t="s">
        <v>2407</v>
      </c>
      <c r="D877" s="37" t="s">
        <v>106</v>
      </c>
      <c r="E877" s="37" t="s">
        <v>107</v>
      </c>
      <c r="F877" s="37" t="s">
        <v>49</v>
      </c>
      <c r="G877" s="37" t="s">
        <v>2455</v>
      </c>
      <c r="H877" s="37">
        <v>20.52</v>
      </c>
      <c r="I877" s="37"/>
      <c r="J877" s="37">
        <v>13416</v>
      </c>
      <c r="K877" s="37" t="s">
        <v>91</v>
      </c>
      <c r="L877" s="37" t="s">
        <v>64</v>
      </c>
      <c r="M877" s="37" t="str">
        <f t="shared" si="80"/>
        <v>General</v>
      </c>
      <c r="N877" s="37" t="str">
        <f t="shared" si="78"/>
        <v>Debit Card</v>
      </c>
      <c r="O877" s="37" t="str" cm="1">
        <f t="array" ref="O877">IF(TRIM(N877)="",INDEX($N$2:$N$1500,MATCH(MAX(COUNTIF($N$2:$N$1500,$N$2:$N$1500)),COUNTIF($N$2:$N$1500,$N$2:$N$1500),0)),N877)</f>
        <v>Debit Card</v>
      </c>
      <c r="P877" s="38" cm="1">
        <f t="array" ref="P877">ROUND(IF(TRIM(H877)="",IFERROR(MEDIAN(IF($M$2:$M$1500=M877,$H$2:$H$1500)),MEDIAN($H$2:$H$1500)),H877),2)</f>
        <v>20.52</v>
      </c>
      <c r="Q877" s="38" t="str">
        <f t="shared" si="81"/>
        <v>1</v>
      </c>
      <c r="R877" s="39" cm="1">
        <f t="array" ref="R877">IF(OR(TRIM(J877)="",TRIM(J877)="-"),MEDIAN(IF($C$2:$C$1218=C877,$J$2:$J$1218)),VALUE(SUBSTITUTE(SUBSTITUTE(SUBSTITUTE(J877,"Rs. ",""),"₹",""),",","")))</f>
        <v>13416</v>
      </c>
      <c r="S877" s="40" t="str">
        <f t="shared" si="79"/>
        <v>NA</v>
      </c>
      <c r="T877" s="41">
        <f t="shared" si="82"/>
        <v>3</v>
      </c>
      <c r="U877" s="42">
        <f t="shared" si="83"/>
        <v>13014</v>
      </c>
    </row>
    <row r="878" spans="1:21" x14ac:dyDescent="0.3">
      <c r="A878" s="37" t="s">
        <v>4434</v>
      </c>
      <c r="B878" s="37" t="s">
        <v>4435</v>
      </c>
      <c r="C878" s="37" t="s">
        <v>2730</v>
      </c>
      <c r="D878" s="37" t="s">
        <v>106</v>
      </c>
      <c r="E878" s="37" t="s">
        <v>107</v>
      </c>
      <c r="F878" s="37" t="s">
        <v>39</v>
      </c>
      <c r="G878" s="37" t="s">
        <v>2455</v>
      </c>
      <c r="H878" s="37">
        <v>5.99</v>
      </c>
      <c r="I878" s="37"/>
      <c r="J878" s="37" t="s">
        <v>4436</v>
      </c>
      <c r="K878" s="37" t="s">
        <v>42</v>
      </c>
      <c r="L878" s="37">
        <v>25</v>
      </c>
      <c r="M878" s="37" t="str">
        <f t="shared" si="80"/>
        <v>General</v>
      </c>
      <c r="N878" s="37" t="str">
        <f t="shared" si="78"/>
        <v>Insurance</v>
      </c>
      <c r="O878" s="37" t="str" cm="1">
        <f t="array" ref="O878">IF(TRIM(N878)="",INDEX($N$2:$N$1500,MATCH(MAX(COUNTIF($N$2:$N$1500,$N$2:$N$1500)),COUNTIF($N$2:$N$1500,$N$2:$N$1500),0)),N878)</f>
        <v>Insurance</v>
      </c>
      <c r="P878" s="38" cm="1">
        <f t="array" ref="P878">ROUND(IF(TRIM(H878)="",IFERROR(MEDIAN(IF($M$2:$M$1500=M878,$H$2:$H$1500)),MEDIAN($H$2:$H$1500)),H878),2)</f>
        <v>5.99</v>
      </c>
      <c r="Q878" s="38" t="str">
        <f t="shared" si="81"/>
        <v>1</v>
      </c>
      <c r="R878" s="39" cm="1">
        <f t="array" ref="R878">IF(OR(TRIM(J878)="",TRIM(J878)="-"),MEDIAN(IF($C$2:$C$1218=C878,$J$2:$J$1218)),VALUE(SUBSTITUTE(SUBSTITUTE(SUBSTITUTE(J878,"Rs. ",""),"₹",""),",","")))</f>
        <v>8974</v>
      </c>
      <c r="S878" s="40">
        <f t="shared" si="79"/>
        <v>25</v>
      </c>
      <c r="T878" s="41">
        <f t="shared" si="82"/>
        <v>25</v>
      </c>
      <c r="U878" s="42">
        <f t="shared" si="83"/>
        <v>6731</v>
      </c>
    </row>
    <row r="879" spans="1:21" x14ac:dyDescent="0.3">
      <c r="A879" s="37" t="s">
        <v>4437</v>
      </c>
      <c r="B879" s="37" t="s">
        <v>4146</v>
      </c>
      <c r="C879" s="37" t="s">
        <v>2532</v>
      </c>
      <c r="D879" s="37" t="s">
        <v>45</v>
      </c>
      <c r="E879" s="37" t="s">
        <v>334</v>
      </c>
      <c r="F879" s="37" t="s">
        <v>19</v>
      </c>
      <c r="G879" s="37" t="s">
        <v>2505</v>
      </c>
      <c r="H879" s="37">
        <v>2.57</v>
      </c>
      <c r="I879" s="37">
        <v>25</v>
      </c>
      <c r="J879" s="37">
        <v>15381</v>
      </c>
      <c r="K879" s="37" t="s">
        <v>87</v>
      </c>
      <c r="L879" s="37">
        <v>0</v>
      </c>
      <c r="M879" s="37" t="str">
        <f t="shared" si="80"/>
        <v>General</v>
      </c>
      <c r="N879" s="37" t="str">
        <f t="shared" si="78"/>
        <v>Credit Card</v>
      </c>
      <c r="O879" s="37" t="str" cm="1">
        <f t="array" ref="O879">IF(TRIM(N879)="",INDEX($N$2:$N$1500,MATCH(MAX(COUNTIF($N$2:$N$1500,$N$2:$N$1500)),COUNTIF($N$2:$N$1500,$N$2:$N$1500),0)),N879)</f>
        <v>Credit Card</v>
      </c>
      <c r="P879" s="38" cm="1">
        <f t="array" ref="P879">ROUND(IF(TRIM(H879)="",IFERROR(MEDIAN(IF($M$2:$M$1500=M879,$H$2:$H$1500)),MEDIAN($H$2:$H$1500)),H879),2)</f>
        <v>2.57</v>
      </c>
      <c r="Q879" s="38" t="str">
        <f t="shared" si="81"/>
        <v>2+</v>
      </c>
      <c r="R879" s="39" cm="1">
        <f t="array" ref="R879">IF(OR(TRIM(J879)="",TRIM(J879)="-"),MEDIAN(IF($C$2:$C$1218=C879,$J$2:$J$1218)),VALUE(SUBSTITUTE(SUBSTITUTE(SUBSTITUTE(J879,"Rs. ",""),"₹",""),",","")))</f>
        <v>15381</v>
      </c>
      <c r="S879" s="40">
        <f t="shared" si="79"/>
        <v>0</v>
      </c>
      <c r="T879" s="41">
        <f t="shared" si="82"/>
        <v>0</v>
      </c>
      <c r="U879" s="42">
        <f t="shared" si="83"/>
        <v>15381</v>
      </c>
    </row>
    <row r="880" spans="1:21" x14ac:dyDescent="0.3">
      <c r="A880" s="37" t="s">
        <v>4438</v>
      </c>
      <c r="B880" s="37" t="s">
        <v>4439</v>
      </c>
      <c r="C880" s="37" t="s">
        <v>2473</v>
      </c>
      <c r="D880" s="37" t="s">
        <v>106</v>
      </c>
      <c r="E880" s="37" t="s">
        <v>107</v>
      </c>
      <c r="F880" s="37" t="s">
        <v>19</v>
      </c>
      <c r="G880" s="37" t="s">
        <v>2408</v>
      </c>
      <c r="H880" s="37">
        <v>4.32</v>
      </c>
      <c r="I880" s="37">
        <v>31</v>
      </c>
      <c r="J880" s="37" t="s">
        <v>4440</v>
      </c>
      <c r="K880" s="37" t="s">
        <v>58</v>
      </c>
      <c r="L880" s="37">
        <v>0</v>
      </c>
      <c r="M880" s="37" t="str">
        <f t="shared" si="80"/>
        <v>General</v>
      </c>
      <c r="N880" s="37" t="str">
        <f t="shared" si="78"/>
        <v>UPI</v>
      </c>
      <c r="O880" s="37" t="str" cm="1">
        <f t="array" ref="O880">IF(TRIM(N880)="",INDEX($N$2:$N$1500,MATCH(MAX(COUNTIF($N$2:$N$1500,$N$2:$N$1500)),COUNTIF($N$2:$N$1500,$N$2:$N$1500),0)),N880)</f>
        <v>UPI</v>
      </c>
      <c r="P880" s="38" cm="1">
        <f t="array" ref="P880">ROUND(IF(TRIM(H880)="",IFERROR(MEDIAN(IF($M$2:$M$1500=M880,$H$2:$H$1500)),MEDIAN($H$2:$H$1500)),H880),2)</f>
        <v>4.32</v>
      </c>
      <c r="Q880" s="38" t="str">
        <f t="shared" si="81"/>
        <v>0</v>
      </c>
      <c r="R880" s="39" cm="1">
        <f t="array" ref="R880">IF(OR(TRIM(J880)="",TRIM(J880)="-"),MEDIAN(IF($C$2:$C$1218=C880,$J$2:$J$1218)),VALUE(SUBSTITUTE(SUBSTITUTE(SUBSTITUTE(J880,"Rs. ",""),"₹",""),",","")))</f>
        <v>7450</v>
      </c>
      <c r="S880" s="40">
        <f t="shared" si="79"/>
        <v>0</v>
      </c>
      <c r="T880" s="41">
        <f t="shared" si="82"/>
        <v>0</v>
      </c>
      <c r="U880" s="42">
        <f t="shared" si="83"/>
        <v>7450</v>
      </c>
    </row>
    <row r="881" spans="1:21" x14ac:dyDescent="0.3">
      <c r="A881" s="37" t="s">
        <v>4441</v>
      </c>
      <c r="B881" s="37" t="s">
        <v>3182</v>
      </c>
      <c r="C881" s="37" t="s">
        <v>2521</v>
      </c>
      <c r="D881" s="37" t="s">
        <v>14</v>
      </c>
      <c r="E881" s="37" t="s">
        <v>60</v>
      </c>
      <c r="F881" s="37"/>
      <c r="G881" s="37" t="s">
        <v>2418</v>
      </c>
      <c r="H881" s="37">
        <v>1.94</v>
      </c>
      <c r="I881" s="37">
        <v>26</v>
      </c>
      <c r="J881" s="37" t="s">
        <v>4442</v>
      </c>
      <c r="K881" s="37" t="s">
        <v>211</v>
      </c>
      <c r="L881" s="37">
        <v>0.05</v>
      </c>
      <c r="M881" s="37" t="str">
        <f t="shared" si="80"/>
        <v>Unknown</v>
      </c>
      <c r="N881" s="37" t="str">
        <f t="shared" si="78"/>
        <v>Credit Card</v>
      </c>
      <c r="O881" s="37" t="str" cm="1">
        <f t="array" ref="O881">IF(TRIM(N881)="",INDEX($N$2:$N$1500,MATCH(MAX(COUNTIF($N$2:$N$1500,$N$2:$N$1500)),COUNTIF($N$2:$N$1500,$N$2:$N$1500),0)),N881)</f>
        <v>Credit Card</v>
      </c>
      <c r="P881" s="38" cm="1">
        <f t="array" ref="P881">ROUND(IF(TRIM(H881)="",IFERROR(MEDIAN(IF($M$2:$M$1500=M881,$H$2:$H$1500)),MEDIAN($H$2:$H$1500)),H881),2)</f>
        <v>1.94</v>
      </c>
      <c r="Q881" s="38" t="str">
        <f t="shared" si="81"/>
        <v>1</v>
      </c>
      <c r="R881" s="39" cm="1">
        <f t="array" ref="R881">IF(OR(TRIM(J881)="",TRIM(J881)="-"),MEDIAN(IF($C$2:$C$1218=C881,$J$2:$J$1218)),VALUE(SUBSTITUTE(SUBSTITUTE(SUBSTITUTE(J881,"Rs. ",""),"₹",""),",","")))</f>
        <v>5700</v>
      </c>
      <c r="S881" s="40">
        <f t="shared" si="79"/>
        <v>0.05</v>
      </c>
      <c r="T881" s="41">
        <f t="shared" si="82"/>
        <v>0</v>
      </c>
      <c r="U881" s="42">
        <f t="shared" si="83"/>
        <v>5700</v>
      </c>
    </row>
    <row r="882" spans="1:21" x14ac:dyDescent="0.3">
      <c r="A882" s="37" t="s">
        <v>4443</v>
      </c>
      <c r="B882" s="37" t="s">
        <v>3931</v>
      </c>
      <c r="C882" s="37" t="s">
        <v>2438</v>
      </c>
      <c r="D882" s="37" t="s">
        <v>78</v>
      </c>
      <c r="E882" s="37" t="s">
        <v>203</v>
      </c>
      <c r="F882" s="37" t="s">
        <v>49</v>
      </c>
      <c r="G882" s="37" t="s">
        <v>2423</v>
      </c>
      <c r="H882" s="37">
        <v>14.69</v>
      </c>
      <c r="I882" s="37">
        <v>58</v>
      </c>
      <c r="J882" s="37" t="s">
        <v>4444</v>
      </c>
      <c r="K882" s="37"/>
      <c r="L882" s="37">
        <v>0</v>
      </c>
      <c r="M882" s="37" t="str">
        <f t="shared" si="80"/>
        <v>General</v>
      </c>
      <c r="N882" s="37" t="str">
        <f t="shared" si="78"/>
        <v>Unknown</v>
      </c>
      <c r="O882" s="37" t="str" cm="1">
        <f t="array" ref="O882">IF(TRIM(N882)="",INDEX($N$2:$N$1500,MATCH(MAX(COUNTIF($N$2:$N$1500,$N$2:$N$1500)),COUNTIF($N$2:$N$1500,$N$2:$N$1500),0)),N882)</f>
        <v>Unknown</v>
      </c>
      <c r="P882" s="38" cm="1">
        <f t="array" ref="P882">ROUND(IF(TRIM(H882)="",IFERROR(MEDIAN(IF($M$2:$M$1500=M882,$H$2:$H$1500)),MEDIAN($H$2:$H$1500)),H882),2)</f>
        <v>14.69</v>
      </c>
      <c r="Q882" s="38" t="str">
        <f t="shared" si="81"/>
        <v>0</v>
      </c>
      <c r="R882" s="39" cm="1">
        <f t="array" ref="R882">IF(OR(TRIM(J882)="",TRIM(J882)="-"),MEDIAN(IF($C$2:$C$1218=C882,$J$2:$J$1218)),VALUE(SUBSTITUTE(SUBSTITUTE(SUBSTITUTE(J882,"Rs. ",""),"₹",""),",","")))</f>
        <v>11136</v>
      </c>
      <c r="S882" s="40">
        <f t="shared" si="79"/>
        <v>0</v>
      </c>
      <c r="T882" s="41">
        <f t="shared" si="82"/>
        <v>0</v>
      </c>
      <c r="U882" s="42">
        <f t="shared" si="83"/>
        <v>11136</v>
      </c>
    </row>
    <row r="883" spans="1:21" x14ac:dyDescent="0.3">
      <c r="A883" s="37" t="s">
        <v>4445</v>
      </c>
      <c r="B883" s="37" t="s">
        <v>4446</v>
      </c>
      <c r="C883" s="37" t="s">
        <v>2411</v>
      </c>
      <c r="D883" s="37" t="s">
        <v>25</v>
      </c>
      <c r="E883" s="37" t="s">
        <v>54</v>
      </c>
      <c r="F883" s="37" t="s">
        <v>39</v>
      </c>
      <c r="G883" s="37" t="s">
        <v>2423</v>
      </c>
      <c r="H883" s="37">
        <v>11.84</v>
      </c>
      <c r="I883" s="37">
        <v>40</v>
      </c>
      <c r="J883" s="37">
        <v>7287</v>
      </c>
      <c r="K883" s="37" t="s">
        <v>149</v>
      </c>
      <c r="L883" s="37">
        <v>15</v>
      </c>
      <c r="M883" s="37" t="str">
        <f t="shared" si="80"/>
        <v>General</v>
      </c>
      <c r="N883" s="37" t="str">
        <f t="shared" si="78"/>
        <v>Insurance</v>
      </c>
      <c r="O883" s="37" t="str" cm="1">
        <f t="array" ref="O883">IF(TRIM(N883)="",INDEX($N$2:$N$1500,MATCH(MAX(COUNTIF($N$2:$N$1500,$N$2:$N$1500)),COUNTIF($N$2:$N$1500,$N$2:$N$1500),0)),N883)</f>
        <v>Insurance</v>
      </c>
      <c r="P883" s="38" cm="1">
        <f t="array" ref="P883">ROUND(IF(TRIM(H883)="",IFERROR(MEDIAN(IF($M$2:$M$1500=M883,$H$2:$H$1500)),MEDIAN($H$2:$H$1500)),H883),2)</f>
        <v>11.84</v>
      </c>
      <c r="Q883" s="38" t="str">
        <f t="shared" si="81"/>
        <v>0</v>
      </c>
      <c r="R883" s="39" cm="1">
        <f t="array" ref="R883">IF(OR(TRIM(J883)="",TRIM(J883)="-"),MEDIAN(IF($C$2:$C$1218=C883,$J$2:$J$1218)),VALUE(SUBSTITUTE(SUBSTITUTE(SUBSTITUTE(J883,"Rs. ",""),"₹",""),",","")))</f>
        <v>7287</v>
      </c>
      <c r="S883" s="40">
        <f t="shared" si="79"/>
        <v>15</v>
      </c>
      <c r="T883" s="41">
        <f t="shared" si="82"/>
        <v>15</v>
      </c>
      <c r="U883" s="42">
        <f t="shared" si="83"/>
        <v>6194</v>
      </c>
    </row>
    <row r="884" spans="1:21" x14ac:dyDescent="0.3">
      <c r="A884" s="37" t="s">
        <v>4447</v>
      </c>
      <c r="B884" s="37" t="s">
        <v>3193</v>
      </c>
      <c r="C884" s="37" t="s">
        <v>2422</v>
      </c>
      <c r="D884" s="37" t="s">
        <v>117</v>
      </c>
      <c r="E884" s="37" t="s">
        <v>182</v>
      </c>
      <c r="F884" s="37" t="s">
        <v>30</v>
      </c>
      <c r="G884" s="37" t="s">
        <v>2993</v>
      </c>
      <c r="H884" s="37">
        <v>17.309999999999999</v>
      </c>
      <c r="I884" s="37">
        <v>42</v>
      </c>
      <c r="J884" s="37">
        <v>16573</v>
      </c>
      <c r="K884" s="37" t="s">
        <v>211</v>
      </c>
      <c r="L884" s="37">
        <v>5</v>
      </c>
      <c r="M884" s="37" t="str">
        <f t="shared" si="80"/>
        <v>General</v>
      </c>
      <c r="N884" s="37" t="str">
        <f t="shared" si="78"/>
        <v>Credit Card</v>
      </c>
      <c r="O884" s="37" t="str" cm="1">
        <f t="array" ref="O884">IF(TRIM(N884)="",INDEX($N$2:$N$1500,MATCH(MAX(COUNTIF($N$2:$N$1500,$N$2:$N$1500)),COUNTIF($N$2:$N$1500,$N$2:$N$1500),0)),N884)</f>
        <v>Credit Card</v>
      </c>
      <c r="P884" s="38" cm="1">
        <f t="array" ref="P884">ROUND(IF(TRIM(H884)="",IFERROR(MEDIAN(IF($M$2:$M$1500=M884,$H$2:$H$1500)),MEDIAN($H$2:$H$1500)),H884),2)</f>
        <v>17.309999999999999</v>
      </c>
      <c r="Q884" s="38" t="str">
        <f t="shared" si="81"/>
        <v>2+</v>
      </c>
      <c r="R884" s="39" cm="1">
        <f t="array" ref="R884">IF(OR(TRIM(J884)="",TRIM(J884)="-"),MEDIAN(IF($C$2:$C$1218=C884,$J$2:$J$1218)),VALUE(SUBSTITUTE(SUBSTITUTE(SUBSTITUTE(J884,"Rs. ",""),"₹",""),",","")))</f>
        <v>16573</v>
      </c>
      <c r="S884" s="40">
        <f t="shared" si="79"/>
        <v>5</v>
      </c>
      <c r="T884" s="41">
        <f t="shared" si="82"/>
        <v>5</v>
      </c>
      <c r="U884" s="42">
        <f t="shared" si="83"/>
        <v>15744</v>
      </c>
    </row>
    <row r="885" spans="1:21" x14ac:dyDescent="0.3">
      <c r="A885" s="37" t="s">
        <v>4448</v>
      </c>
      <c r="B885" s="37" t="s">
        <v>3170</v>
      </c>
      <c r="C885" s="37" t="s">
        <v>2438</v>
      </c>
      <c r="D885" s="37" t="s">
        <v>14</v>
      </c>
      <c r="E885" s="37" t="s">
        <v>60</v>
      </c>
      <c r="F885" s="37" t="s">
        <v>49</v>
      </c>
      <c r="G885" s="37" t="s">
        <v>2408</v>
      </c>
      <c r="H885" s="37">
        <v>18.32</v>
      </c>
      <c r="I885" s="37">
        <v>5</v>
      </c>
      <c r="J885" s="37" t="s">
        <v>4449</v>
      </c>
      <c r="K885" s="37" t="s">
        <v>115</v>
      </c>
      <c r="L885" s="37">
        <v>0</v>
      </c>
      <c r="M885" s="37" t="str">
        <f t="shared" si="80"/>
        <v>General</v>
      </c>
      <c r="N885" s="37" t="str">
        <f t="shared" si="78"/>
        <v>Cash</v>
      </c>
      <c r="O885" s="37" t="str" cm="1">
        <f t="array" ref="O885">IF(TRIM(N885)="",INDEX($N$2:$N$1500,MATCH(MAX(COUNTIF($N$2:$N$1500,$N$2:$N$1500)),COUNTIF($N$2:$N$1500,$N$2:$N$1500),0)),N885)</f>
        <v>Cash</v>
      </c>
      <c r="P885" s="38" cm="1">
        <f t="array" ref="P885">ROUND(IF(TRIM(H885)="",IFERROR(MEDIAN(IF($M$2:$M$1500=M885,$H$2:$H$1500)),MEDIAN($H$2:$H$1500)),H885),2)</f>
        <v>18.32</v>
      </c>
      <c r="Q885" s="38" t="str">
        <f t="shared" si="81"/>
        <v>0</v>
      </c>
      <c r="R885" s="39" cm="1">
        <f t="array" ref="R885">IF(OR(TRIM(J885)="",TRIM(J885)="-"),MEDIAN(IF($C$2:$C$1218=C885,$J$2:$J$1218)),VALUE(SUBSTITUTE(SUBSTITUTE(SUBSTITUTE(J885,"Rs. ",""),"₹",""),",","")))</f>
        <v>8386</v>
      </c>
      <c r="S885" s="40">
        <f t="shared" si="79"/>
        <v>0</v>
      </c>
      <c r="T885" s="41">
        <f t="shared" si="82"/>
        <v>0</v>
      </c>
      <c r="U885" s="42">
        <f t="shared" si="83"/>
        <v>8386</v>
      </c>
    </row>
    <row r="886" spans="1:21" x14ac:dyDescent="0.3">
      <c r="A886" s="37" t="s">
        <v>4450</v>
      </c>
      <c r="B886" s="37" t="s">
        <v>4451</v>
      </c>
      <c r="C886" s="37" t="s">
        <v>2434</v>
      </c>
      <c r="D886" s="37" t="s">
        <v>45</v>
      </c>
      <c r="E886" s="37" t="s">
        <v>46</v>
      </c>
      <c r="F886" s="37" t="s">
        <v>30</v>
      </c>
      <c r="G886" s="37"/>
      <c r="H886" s="37">
        <v>10.4</v>
      </c>
      <c r="I886" s="37">
        <v>3</v>
      </c>
      <c r="J886" s="37" t="s">
        <v>4452</v>
      </c>
      <c r="K886" s="37" t="s">
        <v>91</v>
      </c>
      <c r="L886" s="37">
        <v>10</v>
      </c>
      <c r="M886" s="37" t="str">
        <f t="shared" si="80"/>
        <v>General</v>
      </c>
      <c r="N886" s="37" t="str">
        <f t="shared" si="78"/>
        <v>Debit Card</v>
      </c>
      <c r="O886" s="37" t="str" cm="1">
        <f t="array" ref="O886">IF(TRIM(N886)="",INDEX($N$2:$N$1500,MATCH(MAX(COUNTIF($N$2:$N$1500,$N$2:$N$1500)),COUNTIF($N$2:$N$1500,$N$2:$N$1500),0)),N886)</f>
        <v>Debit Card</v>
      </c>
      <c r="P886" s="38" cm="1">
        <f t="array" ref="P886">ROUND(IF(TRIM(H886)="",IFERROR(MEDIAN(IF($M$2:$M$1500=M886,$H$2:$H$1500)),MEDIAN($H$2:$H$1500)),H886),2)</f>
        <v>10.4</v>
      </c>
      <c r="Q886" s="38" t="str">
        <f t="shared" si="81"/>
        <v>Unknown</v>
      </c>
      <c r="R886" s="39" cm="1">
        <f t="array" ref="R886">IF(OR(TRIM(J886)="",TRIM(J886)="-"),MEDIAN(IF($C$2:$C$1218=C886,$J$2:$J$1218)),VALUE(SUBSTITUTE(SUBSTITUTE(SUBSTITUTE(J886,"Rs. ",""),"₹",""),",","")))</f>
        <v>16148</v>
      </c>
      <c r="S886" s="40">
        <f t="shared" si="79"/>
        <v>10</v>
      </c>
      <c r="T886" s="41">
        <f t="shared" si="82"/>
        <v>10</v>
      </c>
      <c r="U886" s="42">
        <f t="shared" si="83"/>
        <v>14533</v>
      </c>
    </row>
    <row r="887" spans="1:21" x14ac:dyDescent="0.3">
      <c r="A887" s="37" t="s">
        <v>4453</v>
      </c>
      <c r="B887" s="37" t="s">
        <v>4454</v>
      </c>
      <c r="C887" s="37" t="s">
        <v>2469</v>
      </c>
      <c r="D887" s="37" t="s">
        <v>14</v>
      </c>
      <c r="E887" s="37" t="s">
        <v>15</v>
      </c>
      <c r="F887" s="37" t="s">
        <v>19</v>
      </c>
      <c r="G887" s="37" t="s">
        <v>2993</v>
      </c>
      <c r="H887" s="37">
        <v>1.34</v>
      </c>
      <c r="I887" s="37">
        <v>52</v>
      </c>
      <c r="J887" s="37">
        <v>17424</v>
      </c>
      <c r="K887" s="37" t="s">
        <v>83</v>
      </c>
      <c r="L887" s="37">
        <v>0</v>
      </c>
      <c r="M887" s="37" t="str">
        <f t="shared" si="80"/>
        <v>General</v>
      </c>
      <c r="N887" s="37" t="str">
        <f t="shared" si="78"/>
        <v>Debit Card</v>
      </c>
      <c r="O887" s="37" t="str" cm="1">
        <f t="array" ref="O887">IF(TRIM(N887)="",INDEX($N$2:$N$1500,MATCH(MAX(COUNTIF($N$2:$N$1500,$N$2:$N$1500)),COUNTIF($N$2:$N$1500,$N$2:$N$1500),0)),N887)</f>
        <v>Debit Card</v>
      </c>
      <c r="P887" s="38" cm="1">
        <f t="array" ref="P887">ROUND(IF(TRIM(H887)="",IFERROR(MEDIAN(IF($M$2:$M$1500=M887,$H$2:$H$1500)),MEDIAN($H$2:$H$1500)),H887),2)</f>
        <v>1.34</v>
      </c>
      <c r="Q887" s="38" t="str">
        <f t="shared" si="81"/>
        <v>2+</v>
      </c>
      <c r="R887" s="39" cm="1">
        <f t="array" ref="R887">IF(OR(TRIM(J887)="",TRIM(J887)="-"),MEDIAN(IF($C$2:$C$1218=C887,$J$2:$J$1218)),VALUE(SUBSTITUTE(SUBSTITUTE(SUBSTITUTE(J887,"Rs. ",""),"₹",""),",","")))</f>
        <v>17424</v>
      </c>
      <c r="S887" s="40">
        <f t="shared" si="79"/>
        <v>0</v>
      </c>
      <c r="T887" s="41">
        <f t="shared" si="82"/>
        <v>0</v>
      </c>
      <c r="U887" s="42">
        <f t="shared" si="83"/>
        <v>17424</v>
      </c>
    </row>
    <row r="888" spans="1:21" x14ac:dyDescent="0.3">
      <c r="A888" s="37" t="s">
        <v>4455</v>
      </c>
      <c r="B888" s="37" t="s">
        <v>3595</v>
      </c>
      <c r="C888" s="37" t="s">
        <v>2454</v>
      </c>
      <c r="D888" s="37" t="s">
        <v>117</v>
      </c>
      <c r="E888" s="37" t="s">
        <v>182</v>
      </c>
      <c r="F888" s="37" t="s">
        <v>19</v>
      </c>
      <c r="G888" s="37" t="s">
        <v>2746</v>
      </c>
      <c r="H888" s="37">
        <v>4.07</v>
      </c>
      <c r="I888" s="37">
        <v>38</v>
      </c>
      <c r="J888" s="37" t="s">
        <v>4456</v>
      </c>
      <c r="K888" s="37" t="s">
        <v>23</v>
      </c>
      <c r="L888" s="37" t="s">
        <v>76</v>
      </c>
      <c r="M888" s="37" t="str">
        <f t="shared" si="80"/>
        <v>General</v>
      </c>
      <c r="N888" s="37" t="str">
        <f t="shared" si="78"/>
        <v>Credit Card</v>
      </c>
      <c r="O888" s="37" t="str" cm="1">
        <f t="array" ref="O888">IF(TRIM(N888)="",INDEX($N$2:$N$1500,MATCH(MAX(COUNTIF($N$2:$N$1500,$N$2:$N$1500)),COUNTIF($N$2:$N$1500,$N$2:$N$1500),0)),N888)</f>
        <v>Credit Card</v>
      </c>
      <c r="P888" s="38" cm="1">
        <f t="array" ref="P888">ROUND(IF(TRIM(H888)="",IFERROR(MEDIAN(IF($M$2:$M$1500=M888,$H$2:$H$1500)),MEDIAN($H$2:$H$1500)),H888),2)</f>
        <v>4.07</v>
      </c>
      <c r="Q888" s="38" t="str">
        <f t="shared" si="81"/>
        <v>2</v>
      </c>
      <c r="R888" s="39" cm="1">
        <f t="array" ref="R888">IF(OR(TRIM(J888)="",TRIM(J888)="-"),MEDIAN(IF($C$2:$C$1218=C888,$J$2:$J$1218)),VALUE(SUBSTITUTE(SUBSTITUTE(SUBSTITUTE(J888,"Rs. ",""),"₹",""),",","")))</f>
        <v>5182</v>
      </c>
      <c r="S888" s="40">
        <f t="shared" si="79"/>
        <v>10</v>
      </c>
      <c r="T888" s="41">
        <f t="shared" si="82"/>
        <v>10</v>
      </c>
      <c r="U888" s="42">
        <f t="shared" si="83"/>
        <v>4664</v>
      </c>
    </row>
    <row r="889" spans="1:21" x14ac:dyDescent="0.3">
      <c r="A889" s="37" t="s">
        <v>4457</v>
      </c>
      <c r="B889" s="37" t="s">
        <v>4458</v>
      </c>
      <c r="C889" s="37" t="s">
        <v>2445</v>
      </c>
      <c r="D889" s="37" t="s">
        <v>25</v>
      </c>
      <c r="E889" s="37" t="s">
        <v>54</v>
      </c>
      <c r="F889" s="37" t="s">
        <v>30</v>
      </c>
      <c r="G889" s="37" t="s">
        <v>2450</v>
      </c>
      <c r="H889" s="37">
        <v>13.44</v>
      </c>
      <c r="I889" s="37">
        <v>43</v>
      </c>
      <c r="J889" s="37">
        <v>5021</v>
      </c>
      <c r="K889" s="37" t="s">
        <v>236</v>
      </c>
      <c r="L889" s="37">
        <v>0</v>
      </c>
      <c r="M889" s="37" t="str">
        <f t="shared" si="80"/>
        <v>General</v>
      </c>
      <c r="N889" s="37" t="str">
        <f t="shared" si="78"/>
        <v>Debit Card</v>
      </c>
      <c r="O889" s="37" t="str" cm="1">
        <f t="array" ref="O889">IF(TRIM(N889)="",INDEX($N$2:$N$1500,MATCH(MAX(COUNTIF($N$2:$N$1500,$N$2:$N$1500)),COUNTIF($N$2:$N$1500,$N$2:$N$1500),0)),N889)</f>
        <v>Debit Card</v>
      </c>
      <c r="P889" s="38" cm="1">
        <f t="array" ref="P889">ROUND(IF(TRIM(H889)="",IFERROR(MEDIAN(IF($M$2:$M$1500=M889,$H$2:$H$1500)),MEDIAN($H$2:$H$1500)),H889),2)</f>
        <v>13.44</v>
      </c>
      <c r="Q889" s="38" t="str">
        <f t="shared" si="81"/>
        <v>1</v>
      </c>
      <c r="R889" s="39" cm="1">
        <f t="array" ref="R889">IF(OR(TRIM(J889)="",TRIM(J889)="-"),MEDIAN(IF($C$2:$C$1218=C889,$J$2:$J$1218)),VALUE(SUBSTITUTE(SUBSTITUTE(SUBSTITUTE(J889,"Rs. ",""),"₹",""),",","")))</f>
        <v>5021</v>
      </c>
      <c r="S889" s="40">
        <f t="shared" si="79"/>
        <v>0</v>
      </c>
      <c r="T889" s="41">
        <f t="shared" si="82"/>
        <v>0</v>
      </c>
      <c r="U889" s="42">
        <f t="shared" si="83"/>
        <v>5021</v>
      </c>
    </row>
    <row r="890" spans="1:21" x14ac:dyDescent="0.3">
      <c r="A890" s="37" t="s">
        <v>4459</v>
      </c>
      <c r="B890" s="37" t="s">
        <v>4460</v>
      </c>
      <c r="C890" s="37" t="s">
        <v>2485</v>
      </c>
      <c r="D890" s="37" t="s">
        <v>14</v>
      </c>
      <c r="E890" s="37" t="s">
        <v>60</v>
      </c>
      <c r="F890" s="37" t="s">
        <v>30</v>
      </c>
      <c r="G890" s="37" t="s">
        <v>2418</v>
      </c>
      <c r="H890" s="37">
        <v>9.49</v>
      </c>
      <c r="I890" s="37">
        <v>30</v>
      </c>
      <c r="J890" s="37">
        <v>16833</v>
      </c>
      <c r="K890" s="37" t="s">
        <v>52</v>
      </c>
      <c r="L890" s="37" t="s">
        <v>64</v>
      </c>
      <c r="M890" s="37" t="str">
        <f t="shared" si="80"/>
        <v>General</v>
      </c>
      <c r="N890" s="37" t="str">
        <f t="shared" si="78"/>
        <v>Credit Card</v>
      </c>
      <c r="O890" s="37" t="str" cm="1">
        <f t="array" ref="O890">IF(TRIM(N890)="",INDEX($N$2:$N$1500,MATCH(MAX(COUNTIF($N$2:$N$1500,$N$2:$N$1500)),COUNTIF($N$2:$N$1500,$N$2:$N$1500),0)),N890)</f>
        <v>Credit Card</v>
      </c>
      <c r="P890" s="38" cm="1">
        <f t="array" ref="P890">ROUND(IF(TRIM(H890)="",IFERROR(MEDIAN(IF($M$2:$M$1500=M890,$H$2:$H$1500)),MEDIAN($H$2:$H$1500)),H890),2)</f>
        <v>9.49</v>
      </c>
      <c r="Q890" s="38" t="str">
        <f t="shared" si="81"/>
        <v>1</v>
      </c>
      <c r="R890" s="39" cm="1">
        <f t="array" ref="R890">IF(OR(TRIM(J890)="",TRIM(J890)="-"),MEDIAN(IF($C$2:$C$1218=C890,$J$2:$J$1218)),VALUE(SUBSTITUTE(SUBSTITUTE(SUBSTITUTE(J890,"Rs. ",""),"₹",""),",","")))</f>
        <v>16833</v>
      </c>
      <c r="S890" s="40" t="str">
        <f t="shared" si="79"/>
        <v>NA</v>
      </c>
      <c r="T890" s="41">
        <f t="shared" si="82"/>
        <v>2</v>
      </c>
      <c r="U890" s="42">
        <f t="shared" si="83"/>
        <v>16496</v>
      </c>
    </row>
    <row r="891" spans="1:21" x14ac:dyDescent="0.3">
      <c r="A891" s="37" t="s">
        <v>4461</v>
      </c>
      <c r="B891" s="37" t="s">
        <v>2414</v>
      </c>
      <c r="C891" s="37" t="s">
        <v>2415</v>
      </c>
      <c r="D891" s="37" t="s">
        <v>14</v>
      </c>
      <c r="E891" s="37" t="s">
        <v>15</v>
      </c>
      <c r="F891" s="37" t="s">
        <v>39</v>
      </c>
      <c r="G891" s="37" t="s">
        <v>2418</v>
      </c>
      <c r="H891" s="37">
        <v>11.76</v>
      </c>
      <c r="I891" s="37">
        <v>28</v>
      </c>
      <c r="J891" s="37">
        <v>3755</v>
      </c>
      <c r="K891" s="37" t="s">
        <v>115</v>
      </c>
      <c r="L891" s="37">
        <v>0</v>
      </c>
      <c r="M891" s="37" t="str">
        <f t="shared" si="80"/>
        <v>General</v>
      </c>
      <c r="N891" s="37" t="str">
        <f t="shared" si="78"/>
        <v>Cash</v>
      </c>
      <c r="O891" s="37" t="str" cm="1">
        <f t="array" ref="O891">IF(TRIM(N891)="",INDEX($N$2:$N$1500,MATCH(MAX(COUNTIF($N$2:$N$1500,$N$2:$N$1500)),COUNTIF($N$2:$N$1500,$N$2:$N$1500),0)),N891)</f>
        <v>Cash</v>
      </c>
      <c r="P891" s="38" cm="1">
        <f t="array" ref="P891">ROUND(IF(TRIM(H891)="",IFERROR(MEDIAN(IF($M$2:$M$1500=M891,$H$2:$H$1500)),MEDIAN($H$2:$H$1500)),H891),2)</f>
        <v>11.76</v>
      </c>
      <c r="Q891" s="38" t="str">
        <f t="shared" si="81"/>
        <v>1</v>
      </c>
      <c r="R891" s="39" cm="1">
        <f t="array" ref="R891">IF(OR(TRIM(J891)="",TRIM(J891)="-"),MEDIAN(IF($C$2:$C$1218=C891,$J$2:$J$1218)),VALUE(SUBSTITUTE(SUBSTITUTE(SUBSTITUTE(J891,"Rs. ",""),"₹",""),",","")))</f>
        <v>3755</v>
      </c>
      <c r="S891" s="40">
        <f t="shared" si="79"/>
        <v>0</v>
      </c>
      <c r="T891" s="41">
        <f t="shared" si="82"/>
        <v>0</v>
      </c>
      <c r="U891" s="42">
        <f t="shared" si="83"/>
        <v>3755</v>
      </c>
    </row>
    <row r="892" spans="1:21" x14ac:dyDescent="0.3">
      <c r="A892" s="37" t="s">
        <v>4462</v>
      </c>
      <c r="B892" s="37" t="s">
        <v>4463</v>
      </c>
      <c r="C892" s="37" t="s">
        <v>2504</v>
      </c>
      <c r="D892" s="37" t="s">
        <v>78</v>
      </c>
      <c r="E892" s="37" t="s">
        <v>79</v>
      </c>
      <c r="F892" s="37" t="s">
        <v>39</v>
      </c>
      <c r="G892" s="37" t="s">
        <v>2455</v>
      </c>
      <c r="H892" s="37">
        <v>16.43</v>
      </c>
      <c r="I892" s="37">
        <v>10</v>
      </c>
      <c r="J892" s="37" t="s">
        <v>4464</v>
      </c>
      <c r="K892" s="37" t="s">
        <v>167</v>
      </c>
      <c r="L892" s="37"/>
      <c r="M892" s="37" t="str">
        <f t="shared" si="80"/>
        <v>General</v>
      </c>
      <c r="N892" s="37" t="str">
        <f t="shared" si="78"/>
        <v>Insurance</v>
      </c>
      <c r="O892" s="37" t="str" cm="1">
        <f t="array" ref="O892">IF(TRIM(N892)="",INDEX($N$2:$N$1500,MATCH(MAX(COUNTIF($N$2:$N$1500,$N$2:$N$1500)),COUNTIF($N$2:$N$1500,$N$2:$N$1500),0)),N892)</f>
        <v>Insurance</v>
      </c>
      <c r="P892" s="38" cm="1">
        <f t="array" ref="P892">ROUND(IF(TRIM(H892)="",IFERROR(MEDIAN(IF($M$2:$M$1500=M892,$H$2:$H$1500)),MEDIAN($H$2:$H$1500)),H892),2)</f>
        <v>16.43</v>
      </c>
      <c r="Q892" s="38" t="str">
        <f t="shared" si="81"/>
        <v>1</v>
      </c>
      <c r="R892" s="39" cm="1">
        <f t="array" ref="R892">IF(OR(TRIM(J892)="",TRIM(J892)="-"),MEDIAN(IF($C$2:$C$1218=C892,$J$2:$J$1218)),VALUE(SUBSTITUTE(SUBSTITUTE(SUBSTITUTE(J892,"Rs. ",""),"₹",""),",","")))</f>
        <v>15915</v>
      </c>
      <c r="S892" s="40">
        <f t="shared" si="79"/>
        <v>0</v>
      </c>
      <c r="T892" s="41">
        <f t="shared" si="82"/>
        <v>0</v>
      </c>
      <c r="U892" s="42">
        <f t="shared" si="83"/>
        <v>15915</v>
      </c>
    </row>
    <row r="893" spans="1:21" x14ac:dyDescent="0.3">
      <c r="A893" s="37" t="s">
        <v>4465</v>
      </c>
      <c r="B893" s="37" t="s">
        <v>3134</v>
      </c>
      <c r="C893" s="37" t="s">
        <v>2438</v>
      </c>
      <c r="D893" s="37" t="s">
        <v>14</v>
      </c>
      <c r="E893" s="37" t="s">
        <v>60</v>
      </c>
      <c r="F893" s="37" t="s">
        <v>101</v>
      </c>
      <c r="G893" s="37" t="s">
        <v>2423</v>
      </c>
      <c r="H893" s="37">
        <v>20.149999999999999</v>
      </c>
      <c r="I893" s="37">
        <v>7</v>
      </c>
      <c r="J893" s="37">
        <v>33483</v>
      </c>
      <c r="K893" s="37" t="s">
        <v>52</v>
      </c>
      <c r="L893" s="37" t="s">
        <v>130</v>
      </c>
      <c r="M893" s="37" t="str">
        <f t="shared" si="80"/>
        <v>ICU</v>
      </c>
      <c r="N893" s="37" t="str">
        <f t="shared" si="78"/>
        <v>Credit Card</v>
      </c>
      <c r="O893" s="37" t="str" cm="1">
        <f t="array" ref="O893">IF(TRIM(N893)="",INDEX($N$2:$N$1500,MATCH(MAX(COUNTIF($N$2:$N$1500,$N$2:$N$1500)),COUNTIF($N$2:$N$1500,$N$2:$N$1500),0)),N893)</f>
        <v>Credit Card</v>
      </c>
      <c r="P893" s="38" cm="1">
        <f t="array" ref="P893">ROUND(IF(TRIM(H893)="",IFERROR(MEDIAN(IF($M$2:$M$1500=M893,$H$2:$H$1500)),MEDIAN($H$2:$H$1500)),H893),2)</f>
        <v>20.149999999999999</v>
      </c>
      <c r="Q893" s="38" t="str">
        <f t="shared" si="81"/>
        <v>0</v>
      </c>
      <c r="R893" s="39" cm="1">
        <f t="array" ref="R893">IF(OR(TRIM(J893)="",TRIM(J893)="-"),MEDIAN(IF($C$2:$C$1218=C893,$J$2:$J$1218)),VALUE(SUBSTITUTE(SUBSTITUTE(SUBSTITUTE(J893,"Rs. ",""),"₹",""),",","")))</f>
        <v>33483</v>
      </c>
      <c r="S893" s="40">
        <f t="shared" si="79"/>
        <v>0</v>
      </c>
      <c r="T893" s="41">
        <f t="shared" si="82"/>
        <v>0</v>
      </c>
      <c r="U893" s="42">
        <f t="shared" si="83"/>
        <v>33483</v>
      </c>
    </row>
    <row r="894" spans="1:21" x14ac:dyDescent="0.3">
      <c r="A894" s="37" t="s">
        <v>4466</v>
      </c>
      <c r="B894" s="37" t="s">
        <v>4467</v>
      </c>
      <c r="C894" s="37" t="s">
        <v>2730</v>
      </c>
      <c r="D894" s="37" t="s">
        <v>45</v>
      </c>
      <c r="E894" s="37" t="s">
        <v>46</v>
      </c>
      <c r="F894" s="37" t="s">
        <v>30</v>
      </c>
      <c r="G894" s="37" t="s">
        <v>2477</v>
      </c>
      <c r="H894" s="37">
        <v>10.199999999999999</v>
      </c>
      <c r="I894" s="37">
        <v>19</v>
      </c>
      <c r="J894" s="37" t="s">
        <v>4468</v>
      </c>
      <c r="K894" s="37" t="s">
        <v>311</v>
      </c>
      <c r="L894" s="37" t="s">
        <v>130</v>
      </c>
      <c r="M894" s="37" t="str">
        <f t="shared" si="80"/>
        <v>General</v>
      </c>
      <c r="N894" s="37" t="str">
        <f t="shared" si="78"/>
        <v>UPI</v>
      </c>
      <c r="O894" s="37" t="str" cm="1">
        <f t="array" ref="O894">IF(TRIM(N894)="",INDEX($N$2:$N$1500,MATCH(MAX(COUNTIF($N$2:$N$1500,$N$2:$N$1500)),COUNTIF($N$2:$N$1500,$N$2:$N$1500),0)),N894)</f>
        <v>UPI</v>
      </c>
      <c r="P894" s="38" cm="1">
        <f t="array" ref="P894">ROUND(IF(TRIM(H894)="",IFERROR(MEDIAN(IF($M$2:$M$1500=M894,$H$2:$H$1500)),MEDIAN($H$2:$H$1500)),H894),2)</f>
        <v>10.199999999999999</v>
      </c>
      <c r="Q894" s="38" t="str">
        <f t="shared" si="81"/>
        <v>0</v>
      </c>
      <c r="R894" s="39" cm="1">
        <f t="array" ref="R894">IF(OR(TRIM(J894)="",TRIM(J894)="-"),MEDIAN(IF($C$2:$C$1218=C894,$J$2:$J$1218)),VALUE(SUBSTITUTE(SUBSTITUTE(SUBSTITUTE(J894,"Rs. ",""),"₹",""),",","")))</f>
        <v>19641</v>
      </c>
      <c r="S894" s="40">
        <f t="shared" si="79"/>
        <v>0</v>
      </c>
      <c r="T894" s="41">
        <f t="shared" si="82"/>
        <v>0</v>
      </c>
      <c r="U894" s="42">
        <f t="shared" si="83"/>
        <v>19641</v>
      </c>
    </row>
    <row r="895" spans="1:21" x14ac:dyDescent="0.3">
      <c r="A895" s="37" t="s">
        <v>4469</v>
      </c>
      <c r="B895" s="37" t="s">
        <v>4470</v>
      </c>
      <c r="C895" s="37" t="s">
        <v>2454</v>
      </c>
      <c r="D895" s="37" t="s">
        <v>117</v>
      </c>
      <c r="E895" s="37" t="s">
        <v>127</v>
      </c>
      <c r="F895" s="37" t="s">
        <v>62</v>
      </c>
      <c r="G895" s="37" t="s">
        <v>2993</v>
      </c>
      <c r="H895" s="37">
        <v>8.36</v>
      </c>
      <c r="I895" s="37">
        <v>28</v>
      </c>
      <c r="J895" s="37" t="s">
        <v>4471</v>
      </c>
      <c r="K895" s="37" t="s">
        <v>42</v>
      </c>
      <c r="L895" s="37">
        <v>5</v>
      </c>
      <c r="M895" s="37" t="str">
        <f t="shared" si="80"/>
        <v>ICU</v>
      </c>
      <c r="N895" s="37" t="str">
        <f t="shared" si="78"/>
        <v>Insurance</v>
      </c>
      <c r="O895" s="37" t="str" cm="1">
        <f t="array" ref="O895">IF(TRIM(N895)="",INDEX($N$2:$N$1500,MATCH(MAX(COUNTIF($N$2:$N$1500,$N$2:$N$1500)),COUNTIF($N$2:$N$1500,$N$2:$N$1500),0)),N895)</f>
        <v>Insurance</v>
      </c>
      <c r="P895" s="38" cm="1">
        <f t="array" ref="P895">ROUND(IF(TRIM(H895)="",IFERROR(MEDIAN(IF($M$2:$M$1500=M895,$H$2:$H$1500)),MEDIAN($H$2:$H$1500)),H895),2)</f>
        <v>8.36</v>
      </c>
      <c r="Q895" s="38" t="str">
        <f t="shared" si="81"/>
        <v>2+</v>
      </c>
      <c r="R895" s="39" cm="1">
        <f t="array" ref="R895">IF(OR(TRIM(J895)="",TRIM(J895)="-"),MEDIAN(IF($C$2:$C$1218=C895,$J$2:$J$1218)),VALUE(SUBSTITUTE(SUBSTITUTE(SUBSTITUTE(J895,"Rs. ",""),"₹",""),",","")))</f>
        <v>52063</v>
      </c>
      <c r="S895" s="40">
        <f t="shared" si="79"/>
        <v>5</v>
      </c>
      <c r="T895" s="41">
        <f t="shared" si="82"/>
        <v>5</v>
      </c>
      <c r="U895" s="42">
        <f t="shared" si="83"/>
        <v>49460</v>
      </c>
    </row>
    <row r="896" spans="1:21" x14ac:dyDescent="0.3">
      <c r="A896" s="37" t="s">
        <v>4472</v>
      </c>
      <c r="B896" s="37" t="s">
        <v>3861</v>
      </c>
      <c r="C896" s="37" t="s">
        <v>2463</v>
      </c>
      <c r="D896" s="37" t="s">
        <v>14</v>
      </c>
      <c r="E896" s="37" t="s">
        <v>60</v>
      </c>
      <c r="F896" s="37" t="s">
        <v>39</v>
      </c>
      <c r="G896" s="37" t="s">
        <v>2435</v>
      </c>
      <c r="H896" s="37">
        <v>2.81</v>
      </c>
      <c r="I896" s="37">
        <v>43</v>
      </c>
      <c r="J896" s="37">
        <v>14160</v>
      </c>
      <c r="K896" s="37" t="s">
        <v>52</v>
      </c>
      <c r="L896" s="37">
        <v>0</v>
      </c>
      <c r="M896" s="37" t="str">
        <f t="shared" si="80"/>
        <v>General</v>
      </c>
      <c r="N896" s="37" t="str">
        <f t="shared" si="78"/>
        <v>Credit Card</v>
      </c>
      <c r="O896" s="37" t="str" cm="1">
        <f t="array" ref="O896">IF(TRIM(N896)="",INDEX($N$2:$N$1500,MATCH(MAX(COUNTIF($N$2:$N$1500,$N$2:$N$1500)),COUNTIF($N$2:$N$1500,$N$2:$N$1500),0)),N896)</f>
        <v>Credit Card</v>
      </c>
      <c r="P896" s="38" cm="1">
        <f t="array" ref="P896">ROUND(IF(TRIM(H896)="",IFERROR(MEDIAN(IF($M$2:$M$1500=M896,$H$2:$H$1500)),MEDIAN($H$2:$H$1500)),H896),2)</f>
        <v>2.81</v>
      </c>
      <c r="Q896" s="38" t="str">
        <f t="shared" si="81"/>
        <v>0</v>
      </c>
      <c r="R896" s="39" cm="1">
        <f t="array" ref="R896">IF(OR(TRIM(J896)="",TRIM(J896)="-"),MEDIAN(IF($C$2:$C$1218=C896,$J$2:$J$1218)),VALUE(SUBSTITUTE(SUBSTITUTE(SUBSTITUTE(J896,"Rs. ",""),"₹",""),",","")))</f>
        <v>14160</v>
      </c>
      <c r="S896" s="40">
        <f t="shared" si="79"/>
        <v>0</v>
      </c>
      <c r="T896" s="41">
        <f t="shared" si="82"/>
        <v>0</v>
      </c>
      <c r="U896" s="42">
        <f t="shared" si="83"/>
        <v>14160</v>
      </c>
    </row>
    <row r="897" spans="1:21" x14ac:dyDescent="0.3">
      <c r="A897" s="37" t="s">
        <v>4473</v>
      </c>
      <c r="B897" s="37" t="s">
        <v>4474</v>
      </c>
      <c r="C897" s="37" t="s">
        <v>2561</v>
      </c>
      <c r="D897" s="37" t="s">
        <v>117</v>
      </c>
      <c r="E897" s="37" t="s">
        <v>118</v>
      </c>
      <c r="F897" s="37" t="s">
        <v>19</v>
      </c>
      <c r="G897" s="37" t="s">
        <v>2435</v>
      </c>
      <c r="H897" s="37">
        <v>7.4</v>
      </c>
      <c r="I897" s="37">
        <v>46</v>
      </c>
      <c r="J897" s="37" t="s">
        <v>4475</v>
      </c>
      <c r="K897" s="37" t="s">
        <v>91</v>
      </c>
      <c r="L897" s="37">
        <v>10</v>
      </c>
      <c r="M897" s="37" t="str">
        <f t="shared" si="80"/>
        <v>General</v>
      </c>
      <c r="N897" s="37" t="str">
        <f t="shared" si="78"/>
        <v>Debit Card</v>
      </c>
      <c r="O897" s="37" t="str" cm="1">
        <f t="array" ref="O897">IF(TRIM(N897)="",INDEX($N$2:$N$1500,MATCH(MAX(COUNTIF($N$2:$N$1500,$N$2:$N$1500)),COUNTIF($N$2:$N$1500,$N$2:$N$1500),0)),N897)</f>
        <v>Debit Card</v>
      </c>
      <c r="P897" s="38" cm="1">
        <f t="array" ref="P897">ROUND(IF(TRIM(H897)="",IFERROR(MEDIAN(IF($M$2:$M$1500=M897,$H$2:$H$1500)),MEDIAN($H$2:$H$1500)),H897),2)</f>
        <v>7.4</v>
      </c>
      <c r="Q897" s="38" t="str">
        <f t="shared" si="81"/>
        <v>0</v>
      </c>
      <c r="R897" s="39" cm="1">
        <f t="array" ref="R897">IF(OR(TRIM(J897)="",TRIM(J897)="-"),MEDIAN(IF($C$2:$C$1218=C897,$J$2:$J$1218)),VALUE(SUBSTITUTE(SUBSTITUTE(SUBSTITUTE(J897,"Rs. ",""),"₹",""),",","")))</f>
        <v>15490</v>
      </c>
      <c r="S897" s="40">
        <f t="shared" si="79"/>
        <v>10</v>
      </c>
      <c r="T897" s="41">
        <f t="shared" si="82"/>
        <v>10</v>
      </c>
      <c r="U897" s="42">
        <f t="shared" si="83"/>
        <v>13941</v>
      </c>
    </row>
    <row r="898" spans="1:21" x14ac:dyDescent="0.3">
      <c r="A898" s="37" t="s">
        <v>4476</v>
      </c>
      <c r="B898" s="37" t="s">
        <v>3187</v>
      </c>
      <c r="C898" s="37" t="s">
        <v>2449</v>
      </c>
      <c r="D898" s="37" t="s">
        <v>78</v>
      </c>
      <c r="E898" s="37" t="s">
        <v>161</v>
      </c>
      <c r="F898" s="37" t="s">
        <v>101</v>
      </c>
      <c r="G898" s="37" t="s">
        <v>2412</v>
      </c>
      <c r="H898" s="37">
        <v>19.670000000000002</v>
      </c>
      <c r="I898" s="37" t="s">
        <v>140</v>
      </c>
      <c r="J898" s="37">
        <v>75332</v>
      </c>
      <c r="K898" s="37" t="s">
        <v>311</v>
      </c>
      <c r="L898" s="37" t="s">
        <v>198</v>
      </c>
      <c r="M898" s="37" t="str">
        <f t="shared" si="80"/>
        <v>ICU</v>
      </c>
      <c r="N898" s="37" t="str">
        <f t="shared" ref="N898:N961" si="84">IF(OR(UPPER(TRIM(K898))="CREDIT_CARD",UPPER(TRIM(K898))="CREDIT CARD",UPPER(TRIM(K898))="CC"),"Credit Card", IF(OR(UPPER(TRIM(K898))="DEBIT_CARD",UPPER(TRIM(K898))="DEBIT CARD",UPPER(TRIM(K898))="DC"),"Debit Card", IF(UPPER(TRIM(K898))="CASH","Cash", IF(UPPER(TRIM(K898))="UPI","UPI", IF(OR(UPPER(TRIM(K898))="INSURANCE",UPPER(TRIM(K898))="INS"),"Insurance", IF(TRIM(K898)="","Unknown","Unknown"))))))</f>
        <v>UPI</v>
      </c>
      <c r="O898" s="37" t="str" cm="1">
        <f t="array" ref="O898">IF(TRIM(N898)="",INDEX($N$2:$N$1500,MATCH(MAX(COUNTIF($N$2:$N$1500,$N$2:$N$1500)),COUNTIF($N$2:$N$1500,$N$2:$N$1500),0)),N898)</f>
        <v>UPI</v>
      </c>
      <c r="P898" s="38" cm="1">
        <f t="array" ref="P898">ROUND(IF(TRIM(H898)="",IFERROR(MEDIAN(IF($M$2:$M$1500=M898,$H$2:$H$1500)),MEDIAN($H$2:$H$1500)),H898),2)</f>
        <v>19.670000000000002</v>
      </c>
      <c r="Q898" s="38" t="str">
        <f t="shared" si="81"/>
        <v>1</v>
      </c>
      <c r="R898" s="39" cm="1">
        <f t="array" ref="R898">IF(OR(TRIM(J898)="",TRIM(J898)="-"),MEDIAN(IF($C$2:$C$1218=C898,$J$2:$J$1218)),VALUE(SUBSTITUTE(SUBSTITUTE(SUBSTITUTE(J898,"Rs. ",""),"₹",""),",","")))</f>
        <v>75332</v>
      </c>
      <c r="S898" s="40">
        <f t="shared" ref="S898:S961" si="85">IF(RIGHT(TRIM(L898),1)="%",VALUE(LEFT(TRIM(L898),LEN(TRIM(L898))-1)),IF(AND(ISNUMBER(L898),L898&lt;=1,,L898&gt;0),L898*100,L898))</f>
        <v>5</v>
      </c>
      <c r="T898" s="41">
        <f t="shared" si="82"/>
        <v>5</v>
      </c>
      <c r="U898" s="42">
        <f t="shared" si="83"/>
        <v>71565</v>
      </c>
    </row>
    <row r="899" spans="1:21" x14ac:dyDescent="0.3">
      <c r="A899" s="37" t="s">
        <v>4477</v>
      </c>
      <c r="B899" s="37" t="s">
        <v>2871</v>
      </c>
      <c r="C899" s="37" t="s">
        <v>2459</v>
      </c>
      <c r="D899" s="37" t="s">
        <v>117</v>
      </c>
      <c r="E899" s="37" t="s">
        <v>118</v>
      </c>
      <c r="F899" s="37" t="s">
        <v>19</v>
      </c>
      <c r="G899" s="37" t="s">
        <v>2477</v>
      </c>
      <c r="H899" s="37"/>
      <c r="I899" s="37">
        <v>51</v>
      </c>
      <c r="J899" s="37" t="s">
        <v>4478</v>
      </c>
      <c r="K899" s="37" t="s">
        <v>83</v>
      </c>
      <c r="L899" s="37" t="s">
        <v>130</v>
      </c>
      <c r="M899" s="37" t="str">
        <f t="shared" ref="M899:M962" si="86">IF(OR(UPPER(TRIM(F899))="GENERAL",UPPER(TRIM(F899))="GENRAL"),"General",IF(UPPER(TRIM(F899))="ICU","ICU","Unknown"))</f>
        <v>General</v>
      </c>
      <c r="N899" s="37" t="str">
        <f t="shared" si="84"/>
        <v>Debit Card</v>
      </c>
      <c r="O899" s="37" t="str" cm="1">
        <f t="array" ref="O899">IF(TRIM(N899)="",INDEX($N$2:$N$1500,MATCH(MAX(COUNTIF($N$2:$N$1500,$N$2:$N$1500)),COUNTIF($N$2:$N$1500,$N$2:$N$1500),0)),N899)</f>
        <v>Debit Card</v>
      </c>
      <c r="P899" s="38" cm="1">
        <f t="array" ref="P899">ROUND(IF(TRIM(H899)="",IFERROR(MEDIAN(IF($M$2:$M$1500=M899,$H$2:$H$1500)),MEDIAN($H$2:$H$1500)),H899),2)</f>
        <v>12.02</v>
      </c>
      <c r="Q899" s="38" t="str">
        <f t="shared" ref="Q899:Q962" si="87">IF(OR(LOWER(TRIM(G899))="0",LOWER(TRIM(G899))="zero"),"0", IF(OR(LOWER(TRIM(G899))="1",LOWER(TRIM(G899))="one"),"1", IF(OR(LOWER(TRIM(G899))="2",LOWER(TRIM(G899))="two"),"2", IF(OR(LOWER(TRIM(G899))="2+",LOWER(TRIM(G899))="two_or_more",LOWER(TRIM(G899))="multiple"),"2+", "Unknown"))))</f>
        <v>0</v>
      </c>
      <c r="R899" s="39" cm="1">
        <f t="array" ref="R899">IF(OR(TRIM(J899)="",TRIM(J899)="-"),MEDIAN(IF($C$2:$C$1218=C899,$J$2:$J$1218)),VALUE(SUBSTITUTE(SUBSTITUTE(SUBSTITUTE(J899,"Rs. ",""),"₹",""),",","")))</f>
        <v>19062</v>
      </c>
      <c r="S899" s="40">
        <f t="shared" si="85"/>
        <v>0</v>
      </c>
      <c r="T899" s="41">
        <f t="shared" ref="T899:T962" si="88">ROUND(IF(OR(TRIM(S899)="-",UPPER(TRIM(S899))="N/A",UPPER(TRIM(S899))="NA"),IFERROR(AVERAGEIF($O$2:$O$1500,O899,$S$2:$S$1500),AVERAGE($S$2:$S$1500)),S899),0)</f>
        <v>0</v>
      </c>
      <c r="U899" s="42">
        <f t="shared" ref="U899:U962" si="89">ROUND(R899*(1-T899/100),0)</f>
        <v>19062</v>
      </c>
    </row>
    <row r="900" spans="1:21" x14ac:dyDescent="0.3">
      <c r="A900" s="37" t="s">
        <v>4479</v>
      </c>
      <c r="B900" s="37" t="s">
        <v>2660</v>
      </c>
      <c r="C900" s="37" t="s">
        <v>2407</v>
      </c>
      <c r="D900" s="37" t="s">
        <v>117</v>
      </c>
      <c r="E900" s="37" t="s">
        <v>118</v>
      </c>
      <c r="F900" s="37" t="s">
        <v>30</v>
      </c>
      <c r="G900" s="37" t="s">
        <v>2408</v>
      </c>
      <c r="H900" s="37">
        <v>19.670000000000002</v>
      </c>
      <c r="I900" s="37">
        <v>50</v>
      </c>
      <c r="J900" s="37" t="s">
        <v>4480</v>
      </c>
      <c r="K900" s="37" t="s">
        <v>34</v>
      </c>
      <c r="L900" s="37" t="s">
        <v>198</v>
      </c>
      <c r="M900" s="37" t="str">
        <f t="shared" si="86"/>
        <v>General</v>
      </c>
      <c r="N900" s="37" t="str">
        <f t="shared" si="84"/>
        <v>Cash</v>
      </c>
      <c r="O900" s="37" t="str" cm="1">
        <f t="array" ref="O900">IF(TRIM(N900)="",INDEX($N$2:$N$1500,MATCH(MAX(COUNTIF($N$2:$N$1500,$N$2:$N$1500)),COUNTIF($N$2:$N$1500,$N$2:$N$1500),0)),N900)</f>
        <v>Cash</v>
      </c>
      <c r="P900" s="38" cm="1">
        <f t="array" ref="P900">ROUND(IF(TRIM(H900)="",IFERROR(MEDIAN(IF($M$2:$M$1500=M900,$H$2:$H$1500)),MEDIAN($H$2:$H$1500)),H900),2)</f>
        <v>19.670000000000002</v>
      </c>
      <c r="Q900" s="38" t="str">
        <f t="shared" si="87"/>
        <v>0</v>
      </c>
      <c r="R900" s="39" cm="1">
        <f t="array" ref="R900">IF(OR(TRIM(J900)="",TRIM(J900)="-"),MEDIAN(IF($C$2:$C$1218=C900,$J$2:$J$1218)),VALUE(SUBSTITUTE(SUBSTITUTE(SUBSTITUTE(J900,"Rs. ",""),"₹",""),",","")))</f>
        <v>6460</v>
      </c>
      <c r="S900" s="40">
        <f t="shared" si="85"/>
        <v>5</v>
      </c>
      <c r="T900" s="41">
        <f t="shared" si="88"/>
        <v>5</v>
      </c>
      <c r="U900" s="42">
        <f t="shared" si="89"/>
        <v>6137</v>
      </c>
    </row>
    <row r="901" spans="1:21" x14ac:dyDescent="0.3">
      <c r="A901" s="37" t="s">
        <v>4481</v>
      </c>
      <c r="B901" s="37" t="s">
        <v>4482</v>
      </c>
      <c r="C901" s="37" t="s">
        <v>2449</v>
      </c>
      <c r="D901" s="37" t="s">
        <v>106</v>
      </c>
      <c r="E901" s="37" t="s">
        <v>107</v>
      </c>
      <c r="F901" s="37" t="s">
        <v>39</v>
      </c>
      <c r="G901" s="37" t="s">
        <v>2423</v>
      </c>
      <c r="H901" s="37">
        <v>15.21</v>
      </c>
      <c r="I901" s="37">
        <v>32</v>
      </c>
      <c r="J901" s="37" t="s">
        <v>4483</v>
      </c>
      <c r="K901" s="37" t="s">
        <v>311</v>
      </c>
      <c r="L901" s="37">
        <v>0</v>
      </c>
      <c r="M901" s="37" t="str">
        <f t="shared" si="86"/>
        <v>General</v>
      </c>
      <c r="N901" s="37" t="str">
        <f t="shared" si="84"/>
        <v>UPI</v>
      </c>
      <c r="O901" s="37" t="str" cm="1">
        <f t="array" ref="O901">IF(TRIM(N901)="",INDEX($N$2:$N$1500,MATCH(MAX(COUNTIF($N$2:$N$1500,$N$2:$N$1500)),COUNTIF($N$2:$N$1500,$N$2:$N$1500),0)),N901)</f>
        <v>UPI</v>
      </c>
      <c r="P901" s="38" cm="1">
        <f t="array" ref="P901">ROUND(IF(TRIM(H901)="",IFERROR(MEDIAN(IF($M$2:$M$1500=M901,$H$2:$H$1500)),MEDIAN($H$2:$H$1500)),H901),2)</f>
        <v>15.21</v>
      </c>
      <c r="Q901" s="38" t="str">
        <f t="shared" si="87"/>
        <v>0</v>
      </c>
      <c r="R901" s="39" cm="1">
        <f t="array" ref="R901">IF(OR(TRIM(J901)="",TRIM(J901)="-"),MEDIAN(IF($C$2:$C$1218=C901,$J$2:$J$1218)),VALUE(SUBSTITUTE(SUBSTITUTE(SUBSTITUTE(J901,"Rs. ",""),"₹",""),",","")))</f>
        <v>16443</v>
      </c>
      <c r="S901" s="40">
        <f t="shared" si="85"/>
        <v>0</v>
      </c>
      <c r="T901" s="41">
        <f t="shared" si="88"/>
        <v>0</v>
      </c>
      <c r="U901" s="42">
        <f t="shared" si="89"/>
        <v>16443</v>
      </c>
    </row>
    <row r="902" spans="1:21" x14ac:dyDescent="0.3">
      <c r="A902" s="37" t="s">
        <v>4484</v>
      </c>
      <c r="B902" s="37" t="s">
        <v>4485</v>
      </c>
      <c r="C902" s="37" t="s">
        <v>2485</v>
      </c>
      <c r="D902" s="37" t="s">
        <v>106</v>
      </c>
      <c r="E902" s="37" t="s">
        <v>107</v>
      </c>
      <c r="F902" s="37" t="s">
        <v>19</v>
      </c>
      <c r="G902" s="37" t="s">
        <v>2408</v>
      </c>
      <c r="H902" s="37">
        <v>9.9600000000000009</v>
      </c>
      <c r="I902" s="37">
        <v>26</v>
      </c>
      <c r="J902" s="37">
        <v>18179</v>
      </c>
      <c r="K902" s="37" t="s">
        <v>167</v>
      </c>
      <c r="L902" s="37">
        <v>0.3</v>
      </c>
      <c r="M902" s="37" t="str">
        <f t="shared" si="86"/>
        <v>General</v>
      </c>
      <c r="N902" s="37" t="str">
        <f t="shared" si="84"/>
        <v>Insurance</v>
      </c>
      <c r="O902" s="37" t="str" cm="1">
        <f t="array" ref="O902">IF(TRIM(N902)="",INDEX($N$2:$N$1500,MATCH(MAX(COUNTIF($N$2:$N$1500,$N$2:$N$1500)),COUNTIF($N$2:$N$1500,$N$2:$N$1500),0)),N902)</f>
        <v>Insurance</v>
      </c>
      <c r="P902" s="38" cm="1">
        <f t="array" ref="P902">ROUND(IF(TRIM(H902)="",IFERROR(MEDIAN(IF($M$2:$M$1500=M902,$H$2:$H$1500)),MEDIAN($H$2:$H$1500)),H902),2)</f>
        <v>9.9600000000000009</v>
      </c>
      <c r="Q902" s="38" t="str">
        <f t="shared" si="87"/>
        <v>0</v>
      </c>
      <c r="R902" s="39" cm="1">
        <f t="array" ref="R902">IF(OR(TRIM(J902)="",TRIM(J902)="-"),MEDIAN(IF($C$2:$C$1218=C902,$J$2:$J$1218)),VALUE(SUBSTITUTE(SUBSTITUTE(SUBSTITUTE(J902,"Rs. ",""),"₹",""),",","")))</f>
        <v>18179</v>
      </c>
      <c r="S902" s="40">
        <f t="shared" si="85"/>
        <v>0.3</v>
      </c>
      <c r="T902" s="41">
        <f t="shared" si="88"/>
        <v>0</v>
      </c>
      <c r="U902" s="42">
        <f t="shared" si="89"/>
        <v>18179</v>
      </c>
    </row>
    <row r="903" spans="1:21" x14ac:dyDescent="0.3">
      <c r="A903" s="37" t="s">
        <v>4486</v>
      </c>
      <c r="B903" s="37" t="s">
        <v>4487</v>
      </c>
      <c r="C903" s="37" t="s">
        <v>2445</v>
      </c>
      <c r="D903" s="37" t="s">
        <v>106</v>
      </c>
      <c r="E903" s="37" t="s">
        <v>307</v>
      </c>
      <c r="F903" s="37" t="s">
        <v>39</v>
      </c>
      <c r="G903" s="37" t="s">
        <v>2450</v>
      </c>
      <c r="H903" s="37">
        <v>16.59</v>
      </c>
      <c r="I903" s="37">
        <v>12</v>
      </c>
      <c r="J903" s="37">
        <v>3653</v>
      </c>
      <c r="K903" s="37" t="s">
        <v>52</v>
      </c>
      <c r="L903" s="37" t="s">
        <v>130</v>
      </c>
      <c r="M903" s="37" t="str">
        <f t="shared" si="86"/>
        <v>General</v>
      </c>
      <c r="N903" s="37" t="str">
        <f t="shared" si="84"/>
        <v>Credit Card</v>
      </c>
      <c r="O903" s="37" t="str" cm="1">
        <f t="array" ref="O903">IF(TRIM(N903)="",INDEX($N$2:$N$1500,MATCH(MAX(COUNTIF($N$2:$N$1500,$N$2:$N$1500)),COUNTIF($N$2:$N$1500,$N$2:$N$1500),0)),N903)</f>
        <v>Credit Card</v>
      </c>
      <c r="P903" s="38" cm="1">
        <f t="array" ref="P903">ROUND(IF(TRIM(H903)="",IFERROR(MEDIAN(IF($M$2:$M$1500=M903,$H$2:$H$1500)),MEDIAN($H$2:$H$1500)),H903),2)</f>
        <v>16.59</v>
      </c>
      <c r="Q903" s="38" t="str">
        <f t="shared" si="87"/>
        <v>1</v>
      </c>
      <c r="R903" s="39" cm="1">
        <f t="array" ref="R903">IF(OR(TRIM(J903)="",TRIM(J903)="-"),MEDIAN(IF($C$2:$C$1218=C903,$J$2:$J$1218)),VALUE(SUBSTITUTE(SUBSTITUTE(SUBSTITUTE(J903,"Rs. ",""),"₹",""),",","")))</f>
        <v>3653</v>
      </c>
      <c r="S903" s="40">
        <f t="shared" si="85"/>
        <v>0</v>
      </c>
      <c r="T903" s="41">
        <f t="shared" si="88"/>
        <v>0</v>
      </c>
      <c r="U903" s="42">
        <f t="shared" si="89"/>
        <v>3653</v>
      </c>
    </row>
    <row r="904" spans="1:21" x14ac:dyDescent="0.3">
      <c r="A904" s="37" t="s">
        <v>4488</v>
      </c>
      <c r="B904" s="37" t="s">
        <v>4055</v>
      </c>
      <c r="C904" s="37" t="s">
        <v>2434</v>
      </c>
      <c r="D904" s="37" t="s">
        <v>14</v>
      </c>
      <c r="E904" s="37" t="s">
        <v>60</v>
      </c>
      <c r="F904" s="37" t="s">
        <v>62</v>
      </c>
      <c r="G904" s="37" t="s">
        <v>2450</v>
      </c>
      <c r="H904" s="37">
        <v>19.239999999999998</v>
      </c>
      <c r="I904" s="37">
        <v>16</v>
      </c>
      <c r="J904" s="37" t="s">
        <v>4489</v>
      </c>
      <c r="K904" s="37" t="s">
        <v>34</v>
      </c>
      <c r="L904" s="37">
        <v>10</v>
      </c>
      <c r="M904" s="37" t="str">
        <f t="shared" si="86"/>
        <v>ICU</v>
      </c>
      <c r="N904" s="37" t="str">
        <f t="shared" si="84"/>
        <v>Cash</v>
      </c>
      <c r="O904" s="37" t="str" cm="1">
        <f t="array" ref="O904">IF(TRIM(N904)="",INDEX($N$2:$N$1500,MATCH(MAX(COUNTIF($N$2:$N$1500,$N$2:$N$1500)),COUNTIF($N$2:$N$1500,$N$2:$N$1500),0)),N904)</f>
        <v>Cash</v>
      </c>
      <c r="P904" s="38" cm="1">
        <f t="array" ref="P904">ROUND(IF(TRIM(H904)="",IFERROR(MEDIAN(IF($M$2:$M$1500=M904,$H$2:$H$1500)),MEDIAN($H$2:$H$1500)),H904),2)</f>
        <v>19.239999999999998</v>
      </c>
      <c r="Q904" s="38" t="str">
        <f t="shared" si="87"/>
        <v>1</v>
      </c>
      <c r="R904" s="39" cm="1">
        <f t="array" ref="R904">IF(OR(TRIM(J904)="",TRIM(J904)="-"),MEDIAN(IF($C$2:$C$1218=C904,$J$2:$J$1218)),VALUE(SUBSTITUTE(SUBSTITUTE(SUBSTITUTE(J904,"Rs. ",""),"₹",""),",","")))</f>
        <v>64615</v>
      </c>
      <c r="S904" s="40">
        <f t="shared" si="85"/>
        <v>10</v>
      </c>
      <c r="T904" s="41">
        <f t="shared" si="88"/>
        <v>10</v>
      </c>
      <c r="U904" s="42">
        <f t="shared" si="89"/>
        <v>58154</v>
      </c>
    </row>
    <row r="905" spans="1:21" x14ac:dyDescent="0.3">
      <c r="A905" s="37" t="s">
        <v>4490</v>
      </c>
      <c r="B905" s="37" t="s">
        <v>4491</v>
      </c>
      <c r="C905" s="37" t="s">
        <v>2536</v>
      </c>
      <c r="D905" s="37" t="s">
        <v>45</v>
      </c>
      <c r="E905" s="37" t="s">
        <v>46</v>
      </c>
      <c r="F905" s="37" t="s">
        <v>19</v>
      </c>
      <c r="G905" s="37" t="s">
        <v>2408</v>
      </c>
      <c r="H905" s="37">
        <v>20.98</v>
      </c>
      <c r="I905" s="37">
        <v>21</v>
      </c>
      <c r="J905" s="37" t="s">
        <v>4492</v>
      </c>
      <c r="K905" s="37" t="s">
        <v>104</v>
      </c>
      <c r="L905" s="37">
        <v>0.1</v>
      </c>
      <c r="M905" s="37" t="str">
        <f t="shared" si="86"/>
        <v>General</v>
      </c>
      <c r="N905" s="37" t="str">
        <f t="shared" si="84"/>
        <v>Insurance</v>
      </c>
      <c r="O905" s="37" t="str" cm="1">
        <f t="array" ref="O905">IF(TRIM(N905)="",INDEX($N$2:$N$1500,MATCH(MAX(COUNTIF($N$2:$N$1500,$N$2:$N$1500)),COUNTIF($N$2:$N$1500,$N$2:$N$1500),0)),N905)</f>
        <v>Insurance</v>
      </c>
      <c r="P905" s="38" cm="1">
        <f t="array" ref="P905">ROUND(IF(TRIM(H905)="",IFERROR(MEDIAN(IF($M$2:$M$1500=M905,$H$2:$H$1500)),MEDIAN($H$2:$H$1500)),H905),2)</f>
        <v>20.98</v>
      </c>
      <c r="Q905" s="38" t="str">
        <f t="shared" si="87"/>
        <v>0</v>
      </c>
      <c r="R905" s="39" cm="1">
        <f t="array" ref="R905">IF(OR(TRIM(J905)="",TRIM(J905)="-"),MEDIAN(IF($C$2:$C$1218=C905,$J$2:$J$1218)),VALUE(SUBSTITUTE(SUBSTITUTE(SUBSTITUTE(J905,"Rs. ",""),"₹",""),",","")))</f>
        <v>11086</v>
      </c>
      <c r="S905" s="40">
        <f t="shared" si="85"/>
        <v>0.1</v>
      </c>
      <c r="T905" s="41">
        <f t="shared" si="88"/>
        <v>0</v>
      </c>
      <c r="U905" s="42">
        <f t="shared" si="89"/>
        <v>11086</v>
      </c>
    </row>
    <row r="906" spans="1:21" x14ac:dyDescent="0.3">
      <c r="A906" s="37" t="s">
        <v>4493</v>
      </c>
      <c r="B906" s="37" t="s">
        <v>3486</v>
      </c>
      <c r="C906" s="37" t="s">
        <v>2730</v>
      </c>
      <c r="D906" s="37" t="s">
        <v>45</v>
      </c>
      <c r="E906" s="37" t="s">
        <v>46</v>
      </c>
      <c r="F906" s="37" t="s">
        <v>39</v>
      </c>
      <c r="G906" s="37" t="s">
        <v>2418</v>
      </c>
      <c r="H906" s="37">
        <v>15.21</v>
      </c>
      <c r="I906" s="37">
        <v>15</v>
      </c>
      <c r="J906" s="37" t="s">
        <v>2363</v>
      </c>
      <c r="K906" s="37" t="s">
        <v>115</v>
      </c>
      <c r="L906" s="37">
        <v>0.1</v>
      </c>
      <c r="M906" s="37" t="str">
        <f t="shared" si="86"/>
        <v>General</v>
      </c>
      <c r="N906" s="37" t="str">
        <f t="shared" si="84"/>
        <v>Cash</v>
      </c>
      <c r="O906" s="37" t="str" cm="1">
        <f t="array" ref="O906">IF(TRIM(N906)="",INDEX($N$2:$N$1500,MATCH(MAX(COUNTIF($N$2:$N$1500,$N$2:$N$1500)),COUNTIF($N$2:$N$1500,$N$2:$N$1500),0)),N906)</f>
        <v>Cash</v>
      </c>
      <c r="P906" s="38" cm="1">
        <f t="array" ref="P906">ROUND(IF(TRIM(H906)="",IFERROR(MEDIAN(IF($M$2:$M$1500=M906,$H$2:$H$1500)),MEDIAN($H$2:$H$1500)),H906),2)</f>
        <v>15.21</v>
      </c>
      <c r="Q906" s="38" t="str">
        <f t="shared" si="87"/>
        <v>1</v>
      </c>
      <c r="R906" s="39" cm="1">
        <f t="array" ref="R906">IF(OR(TRIM(J906)="",TRIM(J906)="-"),MEDIAN(IF($C$2:$C$1218=C906,$J$2:$J$1218)),VALUE(SUBSTITUTE(SUBSTITUTE(SUBSTITUTE(J906,"Rs. ",""),"₹",""),",","")))</f>
        <v>9623</v>
      </c>
      <c r="S906" s="40">
        <f t="shared" si="85"/>
        <v>0.1</v>
      </c>
      <c r="T906" s="41">
        <f t="shared" si="88"/>
        <v>0</v>
      </c>
      <c r="U906" s="42">
        <f t="shared" si="89"/>
        <v>9623</v>
      </c>
    </row>
    <row r="907" spans="1:21" x14ac:dyDescent="0.3">
      <c r="A907" s="37" t="s">
        <v>4494</v>
      </c>
      <c r="B907" s="37" t="s">
        <v>4252</v>
      </c>
      <c r="C907" s="37" t="s">
        <v>2514</v>
      </c>
      <c r="D907" s="37" t="s">
        <v>45</v>
      </c>
      <c r="E907" s="37" t="s">
        <v>46</v>
      </c>
      <c r="F907" s="37" t="s">
        <v>30</v>
      </c>
      <c r="G907" s="37" t="s">
        <v>2477</v>
      </c>
      <c r="H907" s="37">
        <v>18.87</v>
      </c>
      <c r="I907" s="37">
        <v>37</v>
      </c>
      <c r="J907" s="37"/>
      <c r="K907" s="37"/>
      <c r="L907" s="37" t="s">
        <v>76</v>
      </c>
      <c r="M907" s="37" t="str">
        <f t="shared" si="86"/>
        <v>General</v>
      </c>
      <c r="N907" s="37" t="str">
        <f t="shared" si="84"/>
        <v>Unknown</v>
      </c>
      <c r="O907" s="37" t="str" cm="1">
        <f t="array" ref="O907">IF(TRIM(N907)="",INDEX($N$2:$N$1500,MATCH(MAX(COUNTIF($N$2:$N$1500,$N$2:$N$1500)),COUNTIF($N$2:$N$1500,$N$2:$N$1500),0)),N907)</f>
        <v>Unknown</v>
      </c>
      <c r="P907" s="38" cm="1">
        <f t="array" ref="P907">ROUND(IF(TRIM(H907)="",IFERROR(MEDIAN(IF($M$2:$M$1500=M907,$H$2:$H$1500)),MEDIAN($H$2:$H$1500)),H907),2)</f>
        <v>18.87</v>
      </c>
      <c r="Q907" s="38" t="str">
        <f t="shared" si="87"/>
        <v>0</v>
      </c>
      <c r="R907" s="39" cm="1">
        <f t="array" ref="R907">IF(OR(TRIM(J907)="",TRIM(J907)="-"),MEDIAN(IF($C$2:$C$1218=C907,$J$2:$J$1218)),VALUE(SUBSTITUTE(SUBSTITUTE(SUBSTITUTE(J907,"Rs. ",""),"₹",""),",","")))</f>
        <v>14841.5</v>
      </c>
      <c r="S907" s="40">
        <f t="shared" si="85"/>
        <v>10</v>
      </c>
      <c r="T907" s="41">
        <f t="shared" si="88"/>
        <v>10</v>
      </c>
      <c r="U907" s="42">
        <f t="shared" si="89"/>
        <v>13357</v>
      </c>
    </row>
    <row r="908" spans="1:21" x14ac:dyDescent="0.3">
      <c r="A908" s="37" t="s">
        <v>4495</v>
      </c>
      <c r="B908" s="37" t="s">
        <v>4496</v>
      </c>
      <c r="C908" s="37" t="s">
        <v>2490</v>
      </c>
      <c r="D908" s="37" t="s">
        <v>25</v>
      </c>
      <c r="E908" s="37" t="s">
        <v>54</v>
      </c>
      <c r="F908" s="37" t="s">
        <v>39</v>
      </c>
      <c r="G908" s="37" t="s">
        <v>2486</v>
      </c>
      <c r="H908" s="37">
        <v>2.5299999999999998</v>
      </c>
      <c r="I908" s="37">
        <v>43</v>
      </c>
      <c r="J908" s="37"/>
      <c r="K908" s="37" t="s">
        <v>87</v>
      </c>
      <c r="L908" s="37" t="s">
        <v>198</v>
      </c>
      <c r="M908" s="37" t="str">
        <f t="shared" si="86"/>
        <v>General</v>
      </c>
      <c r="N908" s="37" t="str">
        <f t="shared" si="84"/>
        <v>Credit Card</v>
      </c>
      <c r="O908" s="37" t="str" cm="1">
        <f t="array" ref="O908">IF(TRIM(N908)="",INDEX($N$2:$N$1500,MATCH(MAX(COUNTIF($N$2:$N$1500,$N$2:$N$1500)),COUNTIF($N$2:$N$1500,$N$2:$N$1500),0)),N908)</f>
        <v>Credit Card</v>
      </c>
      <c r="P908" s="38" cm="1">
        <f t="array" ref="P908">ROUND(IF(TRIM(H908)="",IFERROR(MEDIAN(IF($M$2:$M$1500=M908,$H$2:$H$1500)),MEDIAN($H$2:$H$1500)),H908),2)</f>
        <v>2.5299999999999998</v>
      </c>
      <c r="Q908" s="38" t="str">
        <f t="shared" si="87"/>
        <v>2+</v>
      </c>
      <c r="R908" s="39" cm="1">
        <f t="array" ref="R908">IF(OR(TRIM(J908)="",TRIM(J908)="-"),MEDIAN(IF($C$2:$C$1218=C908,$J$2:$J$1218)),VALUE(SUBSTITUTE(SUBSTITUTE(SUBSTITUTE(J908,"Rs. ",""),"₹",""),",","")))</f>
        <v>15057.5</v>
      </c>
      <c r="S908" s="40">
        <f t="shared" si="85"/>
        <v>5</v>
      </c>
      <c r="T908" s="41">
        <f t="shared" si="88"/>
        <v>5</v>
      </c>
      <c r="U908" s="42">
        <f t="shared" si="89"/>
        <v>14305</v>
      </c>
    </row>
    <row r="909" spans="1:21" x14ac:dyDescent="0.3">
      <c r="A909" s="37" t="s">
        <v>4497</v>
      </c>
      <c r="B909" s="37" t="s">
        <v>3928</v>
      </c>
      <c r="C909" s="37" t="s">
        <v>2431</v>
      </c>
      <c r="D909" s="37" t="s">
        <v>45</v>
      </c>
      <c r="E909" s="37" t="s">
        <v>46</v>
      </c>
      <c r="F909" s="37" t="s">
        <v>69</v>
      </c>
      <c r="G909" s="37" t="s">
        <v>2746</v>
      </c>
      <c r="H909" s="37">
        <v>20.64</v>
      </c>
      <c r="I909" s="37">
        <v>45</v>
      </c>
      <c r="J909" s="37" t="s">
        <v>4498</v>
      </c>
      <c r="K909" s="37" t="s">
        <v>58</v>
      </c>
      <c r="L909" s="37" t="s">
        <v>76</v>
      </c>
      <c r="M909" s="37" t="str">
        <f t="shared" si="86"/>
        <v>ICU</v>
      </c>
      <c r="N909" s="37" t="str">
        <f t="shared" si="84"/>
        <v>UPI</v>
      </c>
      <c r="O909" s="37" t="str" cm="1">
        <f t="array" ref="O909">IF(TRIM(N909)="",INDEX($N$2:$N$1500,MATCH(MAX(COUNTIF($N$2:$N$1500,$N$2:$N$1500)),COUNTIF($N$2:$N$1500,$N$2:$N$1500),0)),N909)</f>
        <v>UPI</v>
      </c>
      <c r="P909" s="38" cm="1">
        <f t="array" ref="P909">ROUND(IF(TRIM(H909)="",IFERROR(MEDIAN(IF($M$2:$M$1500=M909,$H$2:$H$1500)),MEDIAN($H$2:$H$1500)),H909),2)</f>
        <v>20.64</v>
      </c>
      <c r="Q909" s="38" t="str">
        <f t="shared" si="87"/>
        <v>2</v>
      </c>
      <c r="R909" s="39" cm="1">
        <f t="array" ref="R909">IF(OR(TRIM(J909)="",TRIM(J909)="-"),MEDIAN(IF($C$2:$C$1218=C909,$J$2:$J$1218)),VALUE(SUBSTITUTE(SUBSTITUTE(SUBSTITUTE(J909,"Rs. ",""),"₹",""),",","")))</f>
        <v>47919</v>
      </c>
      <c r="S909" s="40">
        <f t="shared" si="85"/>
        <v>10</v>
      </c>
      <c r="T909" s="41">
        <f t="shared" si="88"/>
        <v>10</v>
      </c>
      <c r="U909" s="42">
        <f t="shared" si="89"/>
        <v>43127</v>
      </c>
    </row>
    <row r="910" spans="1:21" x14ac:dyDescent="0.3">
      <c r="A910" s="37" t="s">
        <v>4499</v>
      </c>
      <c r="B910" s="37" t="s">
        <v>3993</v>
      </c>
      <c r="C910" s="37" t="s">
        <v>2438</v>
      </c>
      <c r="D910" s="37" t="s">
        <v>106</v>
      </c>
      <c r="E910" s="37" t="s">
        <v>107</v>
      </c>
      <c r="F910" s="37" t="s">
        <v>19</v>
      </c>
      <c r="G910" s="37" t="s">
        <v>2412</v>
      </c>
      <c r="H910" s="37">
        <v>10.31</v>
      </c>
      <c r="I910" s="37">
        <v>32</v>
      </c>
      <c r="J910" s="37">
        <v>5941</v>
      </c>
      <c r="K910" s="37" t="s">
        <v>72</v>
      </c>
      <c r="L910" s="37">
        <v>5</v>
      </c>
      <c r="M910" s="37" t="str">
        <f t="shared" si="86"/>
        <v>General</v>
      </c>
      <c r="N910" s="37" t="str">
        <f t="shared" si="84"/>
        <v>Cash</v>
      </c>
      <c r="O910" s="37" t="str" cm="1">
        <f t="array" ref="O910">IF(TRIM(N910)="",INDEX($N$2:$N$1500,MATCH(MAX(COUNTIF($N$2:$N$1500,$N$2:$N$1500)),COUNTIF($N$2:$N$1500,$N$2:$N$1500),0)),N910)</f>
        <v>Cash</v>
      </c>
      <c r="P910" s="38" cm="1">
        <f t="array" ref="P910">ROUND(IF(TRIM(H910)="",IFERROR(MEDIAN(IF($M$2:$M$1500=M910,$H$2:$H$1500)),MEDIAN($H$2:$H$1500)),H910),2)</f>
        <v>10.31</v>
      </c>
      <c r="Q910" s="38" t="str">
        <f t="shared" si="87"/>
        <v>1</v>
      </c>
      <c r="R910" s="39" cm="1">
        <f t="array" ref="R910">IF(OR(TRIM(J910)="",TRIM(J910)="-"),MEDIAN(IF($C$2:$C$1218=C910,$J$2:$J$1218)),VALUE(SUBSTITUTE(SUBSTITUTE(SUBSTITUTE(J910,"Rs. ",""),"₹",""),",","")))</f>
        <v>5941</v>
      </c>
      <c r="S910" s="40">
        <f t="shared" si="85"/>
        <v>5</v>
      </c>
      <c r="T910" s="41">
        <f t="shared" si="88"/>
        <v>5</v>
      </c>
      <c r="U910" s="42">
        <f t="shared" si="89"/>
        <v>5644</v>
      </c>
    </row>
    <row r="911" spans="1:21" x14ac:dyDescent="0.3">
      <c r="A911" s="37" t="s">
        <v>4500</v>
      </c>
      <c r="B911" s="37" t="s">
        <v>2791</v>
      </c>
      <c r="C911" s="37" t="s">
        <v>2466</v>
      </c>
      <c r="D911" s="37" t="s">
        <v>106</v>
      </c>
      <c r="E911" s="37" t="s">
        <v>107</v>
      </c>
      <c r="F911" s="37" t="s">
        <v>39</v>
      </c>
      <c r="G911" s="37" t="s">
        <v>2435</v>
      </c>
      <c r="H911" s="37">
        <v>4.7</v>
      </c>
      <c r="I911" s="37">
        <v>46</v>
      </c>
      <c r="J911" s="37" t="s">
        <v>4501</v>
      </c>
      <c r="K911" s="37" t="s">
        <v>211</v>
      </c>
      <c r="L911" s="37">
        <v>0</v>
      </c>
      <c r="M911" s="37" t="str">
        <f t="shared" si="86"/>
        <v>General</v>
      </c>
      <c r="N911" s="37" t="str">
        <f t="shared" si="84"/>
        <v>Credit Card</v>
      </c>
      <c r="O911" s="37" t="str" cm="1">
        <f t="array" ref="O911">IF(TRIM(N911)="",INDEX($N$2:$N$1500,MATCH(MAX(COUNTIF($N$2:$N$1500,$N$2:$N$1500)),COUNTIF($N$2:$N$1500,$N$2:$N$1500),0)),N911)</f>
        <v>Credit Card</v>
      </c>
      <c r="P911" s="38" cm="1">
        <f t="array" ref="P911">ROUND(IF(TRIM(H911)="",IFERROR(MEDIAN(IF($M$2:$M$1500=M911,$H$2:$H$1500)),MEDIAN($H$2:$H$1500)),H911),2)</f>
        <v>4.7</v>
      </c>
      <c r="Q911" s="38" t="str">
        <f t="shared" si="87"/>
        <v>0</v>
      </c>
      <c r="R911" s="39" cm="1">
        <f t="array" ref="R911">IF(OR(TRIM(J911)="",TRIM(J911)="-"),MEDIAN(IF($C$2:$C$1218=C911,$J$2:$J$1218)),VALUE(SUBSTITUTE(SUBSTITUTE(SUBSTITUTE(J911,"Rs. ",""),"₹",""),",","")))</f>
        <v>18190</v>
      </c>
      <c r="S911" s="40">
        <f t="shared" si="85"/>
        <v>0</v>
      </c>
      <c r="T911" s="41">
        <f t="shared" si="88"/>
        <v>0</v>
      </c>
      <c r="U911" s="42">
        <f t="shared" si="89"/>
        <v>18190</v>
      </c>
    </row>
    <row r="912" spans="1:21" x14ac:dyDescent="0.3">
      <c r="A912" s="37" t="s">
        <v>4502</v>
      </c>
      <c r="B912" s="37" t="s">
        <v>4503</v>
      </c>
      <c r="C912" s="37" t="s">
        <v>2459</v>
      </c>
      <c r="D912" s="37" t="s">
        <v>14</v>
      </c>
      <c r="E912" s="37" t="s">
        <v>60</v>
      </c>
      <c r="F912" s="37" t="s">
        <v>49</v>
      </c>
      <c r="G912" s="37" t="s">
        <v>2418</v>
      </c>
      <c r="H912" s="37">
        <v>7.24</v>
      </c>
      <c r="I912" s="37">
        <v>11</v>
      </c>
      <c r="J912" s="37" t="s">
        <v>4504</v>
      </c>
      <c r="K912" s="37"/>
      <c r="L912" s="37">
        <v>5</v>
      </c>
      <c r="M912" s="37" t="str">
        <f t="shared" si="86"/>
        <v>General</v>
      </c>
      <c r="N912" s="37" t="str">
        <f t="shared" si="84"/>
        <v>Unknown</v>
      </c>
      <c r="O912" s="37" t="str" cm="1">
        <f t="array" ref="O912">IF(TRIM(N912)="",INDEX($N$2:$N$1500,MATCH(MAX(COUNTIF($N$2:$N$1500,$N$2:$N$1500)),COUNTIF($N$2:$N$1500,$N$2:$N$1500),0)),N912)</f>
        <v>Unknown</v>
      </c>
      <c r="P912" s="38" cm="1">
        <f t="array" ref="P912">ROUND(IF(TRIM(H912)="",IFERROR(MEDIAN(IF($M$2:$M$1500=M912,$H$2:$H$1500)),MEDIAN($H$2:$H$1500)),H912),2)</f>
        <v>7.24</v>
      </c>
      <c r="Q912" s="38" t="str">
        <f t="shared" si="87"/>
        <v>1</v>
      </c>
      <c r="R912" s="39" cm="1">
        <f t="array" ref="R912">IF(OR(TRIM(J912)="",TRIM(J912)="-"),MEDIAN(IF($C$2:$C$1218=C912,$J$2:$J$1218)),VALUE(SUBSTITUTE(SUBSTITUTE(SUBSTITUTE(J912,"Rs. ",""),"₹",""),",","")))</f>
        <v>5640</v>
      </c>
      <c r="S912" s="40">
        <f t="shared" si="85"/>
        <v>5</v>
      </c>
      <c r="T912" s="41">
        <f t="shared" si="88"/>
        <v>5</v>
      </c>
      <c r="U912" s="42">
        <f t="shared" si="89"/>
        <v>5358</v>
      </c>
    </row>
    <row r="913" spans="1:21" x14ac:dyDescent="0.3">
      <c r="A913" s="37" t="s">
        <v>4505</v>
      </c>
      <c r="B913" s="37" t="s">
        <v>4506</v>
      </c>
      <c r="C913" s="37" t="s">
        <v>2577</v>
      </c>
      <c r="D913" s="37" t="s">
        <v>14</v>
      </c>
      <c r="E913" s="37" t="s">
        <v>60</v>
      </c>
      <c r="F913" s="37" t="s">
        <v>49</v>
      </c>
      <c r="G913" s="37" t="s">
        <v>2477</v>
      </c>
      <c r="H913" s="37">
        <v>6.33</v>
      </c>
      <c r="I913" s="37">
        <v>1</v>
      </c>
      <c r="J913" s="37">
        <v>18099</v>
      </c>
      <c r="K913" s="37" t="s">
        <v>83</v>
      </c>
      <c r="L913" s="37">
        <v>5</v>
      </c>
      <c r="M913" s="37" t="str">
        <f t="shared" si="86"/>
        <v>General</v>
      </c>
      <c r="N913" s="37" t="str">
        <f t="shared" si="84"/>
        <v>Debit Card</v>
      </c>
      <c r="O913" s="37" t="str" cm="1">
        <f t="array" ref="O913">IF(TRIM(N913)="",INDEX($N$2:$N$1500,MATCH(MAX(COUNTIF($N$2:$N$1500,$N$2:$N$1500)),COUNTIF($N$2:$N$1500,$N$2:$N$1500),0)),N913)</f>
        <v>Debit Card</v>
      </c>
      <c r="P913" s="38" cm="1">
        <f t="array" ref="P913">ROUND(IF(TRIM(H913)="",IFERROR(MEDIAN(IF($M$2:$M$1500=M913,$H$2:$H$1500)),MEDIAN($H$2:$H$1500)),H913),2)</f>
        <v>6.33</v>
      </c>
      <c r="Q913" s="38" t="str">
        <f t="shared" si="87"/>
        <v>0</v>
      </c>
      <c r="R913" s="39" cm="1">
        <f t="array" ref="R913">IF(OR(TRIM(J913)="",TRIM(J913)="-"),MEDIAN(IF($C$2:$C$1218=C913,$J$2:$J$1218)),VALUE(SUBSTITUTE(SUBSTITUTE(SUBSTITUTE(J913,"Rs. ",""),"₹",""),",","")))</f>
        <v>18099</v>
      </c>
      <c r="S913" s="40">
        <f t="shared" si="85"/>
        <v>5</v>
      </c>
      <c r="T913" s="41">
        <f t="shared" si="88"/>
        <v>5</v>
      </c>
      <c r="U913" s="42">
        <f t="shared" si="89"/>
        <v>17194</v>
      </c>
    </row>
    <row r="914" spans="1:21" x14ac:dyDescent="0.3">
      <c r="A914" s="37" t="s">
        <v>4507</v>
      </c>
      <c r="B914" s="37" t="s">
        <v>4220</v>
      </c>
      <c r="C914" s="37" t="s">
        <v>2494</v>
      </c>
      <c r="D914" s="37" t="s">
        <v>117</v>
      </c>
      <c r="E914" s="37" t="s">
        <v>118</v>
      </c>
      <c r="F914" s="37" t="s">
        <v>30</v>
      </c>
      <c r="G914" s="37" t="s">
        <v>2418</v>
      </c>
      <c r="H914" s="37">
        <v>16.920000000000002</v>
      </c>
      <c r="I914" s="37">
        <v>46</v>
      </c>
      <c r="J914" s="37" t="s">
        <v>4508</v>
      </c>
      <c r="K914" s="37" t="s">
        <v>34</v>
      </c>
      <c r="L914" s="37">
        <v>0</v>
      </c>
      <c r="M914" s="37" t="str">
        <f t="shared" si="86"/>
        <v>General</v>
      </c>
      <c r="N914" s="37" t="str">
        <f t="shared" si="84"/>
        <v>Cash</v>
      </c>
      <c r="O914" s="37" t="str" cm="1">
        <f t="array" ref="O914">IF(TRIM(N914)="",INDEX($N$2:$N$1500,MATCH(MAX(COUNTIF($N$2:$N$1500,$N$2:$N$1500)),COUNTIF($N$2:$N$1500,$N$2:$N$1500),0)),N914)</f>
        <v>Cash</v>
      </c>
      <c r="P914" s="38" cm="1">
        <f t="array" ref="P914">ROUND(IF(TRIM(H914)="",IFERROR(MEDIAN(IF($M$2:$M$1500=M914,$H$2:$H$1500)),MEDIAN($H$2:$H$1500)),H914),2)</f>
        <v>16.920000000000002</v>
      </c>
      <c r="Q914" s="38" t="str">
        <f t="shared" si="87"/>
        <v>1</v>
      </c>
      <c r="R914" s="39" cm="1">
        <f t="array" ref="R914">IF(OR(TRIM(J914)="",TRIM(J914)="-"),MEDIAN(IF($C$2:$C$1218=C914,$J$2:$J$1218)),VALUE(SUBSTITUTE(SUBSTITUTE(SUBSTITUTE(J914,"Rs. ",""),"₹",""),",","")))</f>
        <v>7020</v>
      </c>
      <c r="S914" s="40">
        <f t="shared" si="85"/>
        <v>0</v>
      </c>
      <c r="T914" s="41">
        <f t="shared" si="88"/>
        <v>0</v>
      </c>
      <c r="U914" s="42">
        <f t="shared" si="89"/>
        <v>7020</v>
      </c>
    </row>
    <row r="915" spans="1:21" x14ac:dyDescent="0.3">
      <c r="A915" s="37" t="s">
        <v>4509</v>
      </c>
      <c r="B915" s="37" t="s">
        <v>4169</v>
      </c>
      <c r="C915" s="37" t="s">
        <v>2730</v>
      </c>
      <c r="D915" s="37" t="s">
        <v>25</v>
      </c>
      <c r="E915" s="37" t="s">
        <v>54</v>
      </c>
      <c r="F915" s="37" t="s">
        <v>19</v>
      </c>
      <c r="G915" s="37"/>
      <c r="H915" s="37"/>
      <c r="I915" s="37">
        <v>11</v>
      </c>
      <c r="J915" s="37">
        <v>19986</v>
      </c>
      <c r="K915" s="37" t="s">
        <v>23</v>
      </c>
      <c r="L915" s="37"/>
      <c r="M915" s="37" t="str">
        <f t="shared" si="86"/>
        <v>General</v>
      </c>
      <c r="N915" s="37" t="str">
        <f t="shared" si="84"/>
        <v>Credit Card</v>
      </c>
      <c r="O915" s="37" t="str" cm="1">
        <f t="array" ref="O915">IF(TRIM(N915)="",INDEX($N$2:$N$1500,MATCH(MAX(COUNTIF($N$2:$N$1500,$N$2:$N$1500)),COUNTIF($N$2:$N$1500,$N$2:$N$1500),0)),N915)</f>
        <v>Credit Card</v>
      </c>
      <c r="P915" s="38" cm="1">
        <f t="array" ref="P915">ROUND(IF(TRIM(H915)="",IFERROR(MEDIAN(IF($M$2:$M$1500=M915,$H$2:$H$1500)),MEDIAN($H$2:$H$1500)),H915),2)</f>
        <v>12.02</v>
      </c>
      <c r="Q915" s="38" t="str">
        <f t="shared" si="87"/>
        <v>Unknown</v>
      </c>
      <c r="R915" s="39" cm="1">
        <f t="array" ref="R915">IF(OR(TRIM(J915)="",TRIM(J915)="-"),MEDIAN(IF($C$2:$C$1218=C915,$J$2:$J$1218)),VALUE(SUBSTITUTE(SUBSTITUTE(SUBSTITUTE(J915,"Rs. ",""),"₹",""),",","")))</f>
        <v>19986</v>
      </c>
      <c r="S915" s="40">
        <f t="shared" si="85"/>
        <v>0</v>
      </c>
      <c r="T915" s="41">
        <f t="shared" si="88"/>
        <v>0</v>
      </c>
      <c r="U915" s="42">
        <f t="shared" si="89"/>
        <v>19986</v>
      </c>
    </row>
    <row r="916" spans="1:21" x14ac:dyDescent="0.3">
      <c r="A916" s="37" t="s">
        <v>4510</v>
      </c>
      <c r="B916" s="37" t="s">
        <v>3778</v>
      </c>
      <c r="C916" s="37" t="s">
        <v>2438</v>
      </c>
      <c r="D916" s="37" t="s">
        <v>78</v>
      </c>
      <c r="E916" s="37" t="s">
        <v>161</v>
      </c>
      <c r="F916" s="37" t="s">
        <v>30</v>
      </c>
      <c r="G916" s="37" t="s">
        <v>2412</v>
      </c>
      <c r="H916" s="37">
        <v>15.99</v>
      </c>
      <c r="I916" s="37">
        <v>2</v>
      </c>
      <c r="J916" s="37" t="s">
        <v>4511</v>
      </c>
      <c r="K916" s="37" t="s">
        <v>104</v>
      </c>
      <c r="L916" s="37">
        <v>35</v>
      </c>
      <c r="M916" s="37" t="str">
        <f t="shared" si="86"/>
        <v>General</v>
      </c>
      <c r="N916" s="37" t="str">
        <f t="shared" si="84"/>
        <v>Insurance</v>
      </c>
      <c r="O916" s="37" t="str" cm="1">
        <f t="array" ref="O916">IF(TRIM(N916)="",INDEX($N$2:$N$1500,MATCH(MAX(COUNTIF($N$2:$N$1500,$N$2:$N$1500)),COUNTIF($N$2:$N$1500,$N$2:$N$1500),0)),N916)</f>
        <v>Insurance</v>
      </c>
      <c r="P916" s="38" cm="1">
        <f t="array" ref="P916">ROUND(IF(TRIM(H916)="",IFERROR(MEDIAN(IF($M$2:$M$1500=M916,$H$2:$H$1500)),MEDIAN($H$2:$H$1500)),H916),2)</f>
        <v>15.99</v>
      </c>
      <c r="Q916" s="38" t="str">
        <f t="shared" si="87"/>
        <v>1</v>
      </c>
      <c r="R916" s="39" cm="1">
        <f t="array" ref="R916">IF(OR(TRIM(J916)="",TRIM(J916)="-"),MEDIAN(IF($C$2:$C$1218=C916,$J$2:$J$1218)),VALUE(SUBSTITUTE(SUBSTITUTE(SUBSTITUTE(J916,"Rs. ",""),"₹",""),",","")))</f>
        <v>3400</v>
      </c>
      <c r="S916" s="40">
        <f t="shared" si="85"/>
        <v>35</v>
      </c>
      <c r="T916" s="41">
        <f t="shared" si="88"/>
        <v>35</v>
      </c>
      <c r="U916" s="42">
        <f t="shared" si="89"/>
        <v>2210</v>
      </c>
    </row>
    <row r="917" spans="1:21" x14ac:dyDescent="0.3">
      <c r="A917" s="37" t="s">
        <v>4512</v>
      </c>
      <c r="B917" s="37" t="s">
        <v>4513</v>
      </c>
      <c r="C917" s="37" t="s">
        <v>2422</v>
      </c>
      <c r="D917" s="37" t="s">
        <v>25</v>
      </c>
      <c r="E917" s="37" t="s">
        <v>54</v>
      </c>
      <c r="F917" s="37" t="s">
        <v>49</v>
      </c>
      <c r="G917" s="37" t="s">
        <v>2477</v>
      </c>
      <c r="H917" s="37">
        <v>2.54</v>
      </c>
      <c r="I917" s="37">
        <v>51</v>
      </c>
      <c r="J917" s="37">
        <v>15162</v>
      </c>
      <c r="K917" s="37" t="s">
        <v>83</v>
      </c>
      <c r="L917" s="37">
        <v>0</v>
      </c>
      <c r="M917" s="37" t="str">
        <f t="shared" si="86"/>
        <v>General</v>
      </c>
      <c r="N917" s="37" t="str">
        <f t="shared" si="84"/>
        <v>Debit Card</v>
      </c>
      <c r="O917" s="37" t="str" cm="1">
        <f t="array" ref="O917">IF(TRIM(N917)="",INDEX($N$2:$N$1500,MATCH(MAX(COUNTIF($N$2:$N$1500,$N$2:$N$1500)),COUNTIF($N$2:$N$1500,$N$2:$N$1500),0)),N917)</f>
        <v>Debit Card</v>
      </c>
      <c r="P917" s="38" cm="1">
        <f t="array" ref="P917">ROUND(IF(TRIM(H917)="",IFERROR(MEDIAN(IF($M$2:$M$1500=M917,$H$2:$H$1500)),MEDIAN($H$2:$H$1500)),H917),2)</f>
        <v>2.54</v>
      </c>
      <c r="Q917" s="38" t="str">
        <f t="shared" si="87"/>
        <v>0</v>
      </c>
      <c r="R917" s="39" cm="1">
        <f t="array" ref="R917">IF(OR(TRIM(J917)="",TRIM(J917)="-"),MEDIAN(IF($C$2:$C$1218=C917,$J$2:$J$1218)),VALUE(SUBSTITUTE(SUBSTITUTE(SUBSTITUTE(J917,"Rs. ",""),"₹",""),",","")))</f>
        <v>15162</v>
      </c>
      <c r="S917" s="40">
        <f t="shared" si="85"/>
        <v>0</v>
      </c>
      <c r="T917" s="41">
        <f t="shared" si="88"/>
        <v>0</v>
      </c>
      <c r="U917" s="42">
        <f t="shared" si="89"/>
        <v>15162</v>
      </c>
    </row>
    <row r="918" spans="1:21" x14ac:dyDescent="0.3">
      <c r="A918" s="37" t="s">
        <v>4514</v>
      </c>
      <c r="B918" s="37" t="s">
        <v>2493</v>
      </c>
      <c r="C918" s="37" t="s">
        <v>2494</v>
      </c>
      <c r="D918" s="37" t="s">
        <v>106</v>
      </c>
      <c r="E918" s="37" t="s">
        <v>107</v>
      </c>
      <c r="F918" s="37" t="s">
        <v>19</v>
      </c>
      <c r="G918" s="37" t="s">
        <v>2412</v>
      </c>
      <c r="H918" s="37">
        <v>9.11</v>
      </c>
      <c r="I918" s="37">
        <v>8</v>
      </c>
      <c r="J918" s="37">
        <v>15966</v>
      </c>
      <c r="K918" s="37" t="s">
        <v>23</v>
      </c>
      <c r="L918" s="37"/>
      <c r="M918" s="37" t="str">
        <f t="shared" si="86"/>
        <v>General</v>
      </c>
      <c r="N918" s="37" t="str">
        <f t="shared" si="84"/>
        <v>Credit Card</v>
      </c>
      <c r="O918" s="37" t="str" cm="1">
        <f t="array" ref="O918">IF(TRIM(N918)="",INDEX($N$2:$N$1500,MATCH(MAX(COUNTIF($N$2:$N$1500,$N$2:$N$1500)),COUNTIF($N$2:$N$1500,$N$2:$N$1500),0)),N918)</f>
        <v>Credit Card</v>
      </c>
      <c r="P918" s="38" cm="1">
        <f t="array" ref="P918">ROUND(IF(TRIM(H918)="",IFERROR(MEDIAN(IF($M$2:$M$1500=M918,$H$2:$H$1500)),MEDIAN($H$2:$H$1500)),H918),2)</f>
        <v>9.11</v>
      </c>
      <c r="Q918" s="38" t="str">
        <f t="shared" si="87"/>
        <v>1</v>
      </c>
      <c r="R918" s="39" cm="1">
        <f t="array" ref="R918">IF(OR(TRIM(J918)="",TRIM(J918)="-"),MEDIAN(IF($C$2:$C$1218=C918,$J$2:$J$1218)),VALUE(SUBSTITUTE(SUBSTITUTE(SUBSTITUTE(J918,"Rs. ",""),"₹",""),",","")))</f>
        <v>15966</v>
      </c>
      <c r="S918" s="40">
        <f t="shared" si="85"/>
        <v>0</v>
      </c>
      <c r="T918" s="41">
        <f t="shared" si="88"/>
        <v>0</v>
      </c>
      <c r="U918" s="42">
        <f t="shared" si="89"/>
        <v>15966</v>
      </c>
    </row>
    <row r="919" spans="1:21" x14ac:dyDescent="0.3">
      <c r="A919" s="37" t="s">
        <v>4515</v>
      </c>
      <c r="B919" s="37" t="s">
        <v>3619</v>
      </c>
      <c r="C919" s="37" t="s">
        <v>2536</v>
      </c>
      <c r="D919" s="37" t="s">
        <v>117</v>
      </c>
      <c r="E919" s="37" t="s">
        <v>118</v>
      </c>
      <c r="F919" s="37" t="s">
        <v>19</v>
      </c>
      <c r="G919" s="37" t="s">
        <v>2412</v>
      </c>
      <c r="H919" s="37">
        <v>22.28</v>
      </c>
      <c r="I919" s="37">
        <v>16</v>
      </c>
      <c r="J919" s="37">
        <v>3329</v>
      </c>
      <c r="K919" s="37" t="s">
        <v>115</v>
      </c>
      <c r="L919" s="37">
        <v>0.1</v>
      </c>
      <c r="M919" s="37" t="str">
        <f t="shared" si="86"/>
        <v>General</v>
      </c>
      <c r="N919" s="37" t="str">
        <f t="shared" si="84"/>
        <v>Cash</v>
      </c>
      <c r="O919" s="37" t="str" cm="1">
        <f t="array" ref="O919">IF(TRIM(N919)="",INDEX($N$2:$N$1500,MATCH(MAX(COUNTIF($N$2:$N$1500,$N$2:$N$1500)),COUNTIF($N$2:$N$1500,$N$2:$N$1500),0)),N919)</f>
        <v>Cash</v>
      </c>
      <c r="P919" s="38" cm="1">
        <f t="array" ref="P919">ROUND(IF(TRIM(H919)="",IFERROR(MEDIAN(IF($M$2:$M$1500=M919,$H$2:$H$1500)),MEDIAN($H$2:$H$1500)),H919),2)</f>
        <v>22.28</v>
      </c>
      <c r="Q919" s="38" t="str">
        <f t="shared" si="87"/>
        <v>1</v>
      </c>
      <c r="R919" s="39" cm="1">
        <f t="array" ref="R919">IF(OR(TRIM(J919)="",TRIM(J919)="-"),MEDIAN(IF($C$2:$C$1218=C919,$J$2:$J$1218)),VALUE(SUBSTITUTE(SUBSTITUTE(SUBSTITUTE(J919,"Rs. ",""),"₹",""),",","")))</f>
        <v>3329</v>
      </c>
      <c r="S919" s="40">
        <f t="shared" si="85"/>
        <v>0.1</v>
      </c>
      <c r="T919" s="41">
        <f t="shared" si="88"/>
        <v>0</v>
      </c>
      <c r="U919" s="42">
        <f t="shared" si="89"/>
        <v>3329</v>
      </c>
    </row>
    <row r="920" spans="1:21" x14ac:dyDescent="0.3">
      <c r="A920" s="37" t="s">
        <v>4516</v>
      </c>
      <c r="B920" s="37" t="s">
        <v>2489</v>
      </c>
      <c r="C920" s="37" t="s">
        <v>2490</v>
      </c>
      <c r="D920" s="37" t="s">
        <v>14</v>
      </c>
      <c r="E920" s="37" t="s">
        <v>60</v>
      </c>
      <c r="F920" s="37" t="s">
        <v>30</v>
      </c>
      <c r="G920" s="37" t="s">
        <v>2408</v>
      </c>
      <c r="H920" s="37"/>
      <c r="I920" s="37">
        <v>55</v>
      </c>
      <c r="J920" s="37" t="s">
        <v>4517</v>
      </c>
      <c r="K920" s="37" t="s">
        <v>91</v>
      </c>
      <c r="L920" s="37">
        <v>0.1</v>
      </c>
      <c r="M920" s="37" t="str">
        <f t="shared" si="86"/>
        <v>General</v>
      </c>
      <c r="N920" s="37" t="str">
        <f t="shared" si="84"/>
        <v>Debit Card</v>
      </c>
      <c r="O920" s="37" t="str" cm="1">
        <f t="array" ref="O920">IF(TRIM(N920)="",INDEX($N$2:$N$1500,MATCH(MAX(COUNTIF($N$2:$N$1500,$N$2:$N$1500)),COUNTIF($N$2:$N$1500,$N$2:$N$1500),0)),N920)</f>
        <v>Debit Card</v>
      </c>
      <c r="P920" s="38" cm="1">
        <f t="array" ref="P920">ROUND(IF(TRIM(H920)="",IFERROR(MEDIAN(IF($M$2:$M$1500=M920,$H$2:$H$1500)),MEDIAN($H$2:$H$1500)),H920),2)</f>
        <v>12.02</v>
      </c>
      <c r="Q920" s="38" t="str">
        <f t="shared" si="87"/>
        <v>0</v>
      </c>
      <c r="R920" s="39" cm="1">
        <f t="array" ref="R920">IF(OR(TRIM(J920)="",TRIM(J920)="-"),MEDIAN(IF($C$2:$C$1218=C920,$J$2:$J$1218)),VALUE(SUBSTITUTE(SUBSTITUTE(SUBSTITUTE(J920,"Rs. ",""),"₹",""),",","")))</f>
        <v>12017</v>
      </c>
      <c r="S920" s="40">
        <f t="shared" si="85"/>
        <v>0.1</v>
      </c>
      <c r="T920" s="41">
        <f t="shared" si="88"/>
        <v>0</v>
      </c>
      <c r="U920" s="42">
        <f t="shared" si="89"/>
        <v>12017</v>
      </c>
    </row>
    <row r="921" spans="1:21" x14ac:dyDescent="0.3">
      <c r="A921" s="37" t="s">
        <v>4518</v>
      </c>
      <c r="B921" s="37" t="s">
        <v>3217</v>
      </c>
      <c r="C921" s="37" t="s">
        <v>2449</v>
      </c>
      <c r="D921" s="37" t="s">
        <v>106</v>
      </c>
      <c r="E921" s="37" t="s">
        <v>107</v>
      </c>
      <c r="F921" s="37" t="s">
        <v>49</v>
      </c>
      <c r="G921" s="37" t="s">
        <v>2418</v>
      </c>
      <c r="H921" s="37">
        <v>21.87</v>
      </c>
      <c r="I921" s="37">
        <v>26</v>
      </c>
      <c r="J921" s="37">
        <v>9431</v>
      </c>
      <c r="K921" s="37" t="s">
        <v>87</v>
      </c>
      <c r="L921" s="37" t="s">
        <v>130</v>
      </c>
      <c r="M921" s="37" t="str">
        <f t="shared" si="86"/>
        <v>General</v>
      </c>
      <c r="N921" s="37" t="str">
        <f t="shared" si="84"/>
        <v>Credit Card</v>
      </c>
      <c r="O921" s="37" t="str" cm="1">
        <f t="array" ref="O921">IF(TRIM(N921)="",INDEX($N$2:$N$1500,MATCH(MAX(COUNTIF($N$2:$N$1500,$N$2:$N$1500)),COUNTIF($N$2:$N$1500,$N$2:$N$1500),0)),N921)</f>
        <v>Credit Card</v>
      </c>
      <c r="P921" s="38" cm="1">
        <f t="array" ref="P921">ROUND(IF(TRIM(H921)="",IFERROR(MEDIAN(IF($M$2:$M$1500=M921,$H$2:$H$1500)),MEDIAN($H$2:$H$1500)),H921),2)</f>
        <v>21.87</v>
      </c>
      <c r="Q921" s="38" t="str">
        <f t="shared" si="87"/>
        <v>1</v>
      </c>
      <c r="R921" s="39" cm="1">
        <f t="array" ref="R921">IF(OR(TRIM(J921)="",TRIM(J921)="-"),MEDIAN(IF($C$2:$C$1218=C921,$J$2:$J$1218)),VALUE(SUBSTITUTE(SUBSTITUTE(SUBSTITUTE(J921,"Rs. ",""),"₹",""),",","")))</f>
        <v>9431</v>
      </c>
      <c r="S921" s="40">
        <f t="shared" si="85"/>
        <v>0</v>
      </c>
      <c r="T921" s="41">
        <f t="shared" si="88"/>
        <v>0</v>
      </c>
      <c r="U921" s="42">
        <f t="shared" si="89"/>
        <v>9431</v>
      </c>
    </row>
    <row r="922" spans="1:21" x14ac:dyDescent="0.3">
      <c r="A922" s="37" t="s">
        <v>4519</v>
      </c>
      <c r="B922" s="37" t="s">
        <v>4520</v>
      </c>
      <c r="C922" s="37" t="s">
        <v>2561</v>
      </c>
      <c r="D922" s="37" t="s">
        <v>45</v>
      </c>
      <c r="E922" s="37" t="s">
        <v>46</v>
      </c>
      <c r="F922" s="37" t="s">
        <v>49</v>
      </c>
      <c r="G922" s="37" t="s">
        <v>2412</v>
      </c>
      <c r="H922" s="37">
        <v>24</v>
      </c>
      <c r="I922" s="37">
        <v>19</v>
      </c>
      <c r="J922" s="37">
        <v>8624</v>
      </c>
      <c r="K922" s="37" t="s">
        <v>58</v>
      </c>
      <c r="L922" s="37">
        <v>0</v>
      </c>
      <c r="M922" s="37" t="str">
        <f t="shared" si="86"/>
        <v>General</v>
      </c>
      <c r="N922" s="37" t="str">
        <f t="shared" si="84"/>
        <v>UPI</v>
      </c>
      <c r="O922" s="37" t="str" cm="1">
        <f t="array" ref="O922">IF(TRIM(N922)="",INDEX($N$2:$N$1500,MATCH(MAX(COUNTIF($N$2:$N$1500,$N$2:$N$1500)),COUNTIF($N$2:$N$1500,$N$2:$N$1500),0)),N922)</f>
        <v>UPI</v>
      </c>
      <c r="P922" s="38" cm="1">
        <f t="array" ref="P922">ROUND(IF(TRIM(H922)="",IFERROR(MEDIAN(IF($M$2:$M$1500=M922,$H$2:$H$1500)),MEDIAN($H$2:$H$1500)),H922),2)</f>
        <v>24</v>
      </c>
      <c r="Q922" s="38" t="str">
        <f t="shared" si="87"/>
        <v>1</v>
      </c>
      <c r="R922" s="39" cm="1">
        <f t="array" ref="R922">IF(OR(TRIM(J922)="",TRIM(J922)="-"),MEDIAN(IF($C$2:$C$1218=C922,$J$2:$J$1218)),VALUE(SUBSTITUTE(SUBSTITUTE(SUBSTITUTE(J922,"Rs. ",""),"₹",""),",","")))</f>
        <v>8624</v>
      </c>
      <c r="S922" s="40">
        <f t="shared" si="85"/>
        <v>0</v>
      </c>
      <c r="T922" s="41">
        <f t="shared" si="88"/>
        <v>0</v>
      </c>
      <c r="U922" s="42">
        <f t="shared" si="89"/>
        <v>8624</v>
      </c>
    </row>
    <row r="923" spans="1:21" x14ac:dyDescent="0.3">
      <c r="A923" s="37" t="s">
        <v>4521</v>
      </c>
      <c r="B923" s="37" t="s">
        <v>3399</v>
      </c>
      <c r="C923" s="37" t="s">
        <v>2532</v>
      </c>
      <c r="D923" s="37" t="s">
        <v>117</v>
      </c>
      <c r="E923" s="37" t="s">
        <v>127</v>
      </c>
      <c r="F923" s="37" t="s">
        <v>62</v>
      </c>
      <c r="G923" s="37" t="s">
        <v>2418</v>
      </c>
      <c r="H923" s="37">
        <v>4.04</v>
      </c>
      <c r="I923" s="37">
        <v>41</v>
      </c>
      <c r="J923" s="37">
        <v>57821</v>
      </c>
      <c r="K923" s="37" t="s">
        <v>104</v>
      </c>
      <c r="L923" s="37" t="s">
        <v>886</v>
      </c>
      <c r="M923" s="37" t="str">
        <f t="shared" si="86"/>
        <v>ICU</v>
      </c>
      <c r="N923" s="37" t="str">
        <f t="shared" si="84"/>
        <v>Insurance</v>
      </c>
      <c r="O923" s="37" t="str" cm="1">
        <f t="array" ref="O923">IF(TRIM(N923)="",INDEX($N$2:$N$1500,MATCH(MAX(COUNTIF($N$2:$N$1500,$N$2:$N$1500)),COUNTIF($N$2:$N$1500,$N$2:$N$1500),0)),N923)</f>
        <v>Insurance</v>
      </c>
      <c r="P923" s="38" cm="1">
        <f t="array" ref="P923">ROUND(IF(TRIM(H923)="",IFERROR(MEDIAN(IF($M$2:$M$1500=M923,$H$2:$H$1500)),MEDIAN($H$2:$H$1500)),H923),2)</f>
        <v>4.04</v>
      </c>
      <c r="Q923" s="38" t="str">
        <f t="shared" si="87"/>
        <v>1</v>
      </c>
      <c r="R923" s="39" cm="1">
        <f t="array" ref="R923">IF(OR(TRIM(J923)="",TRIM(J923)="-"),MEDIAN(IF($C$2:$C$1218=C923,$J$2:$J$1218)),VALUE(SUBSTITUTE(SUBSTITUTE(SUBSTITUTE(J923,"Rs. ",""),"₹",""),",","")))</f>
        <v>57821</v>
      </c>
      <c r="S923" s="40">
        <f t="shared" si="85"/>
        <v>15</v>
      </c>
      <c r="T923" s="41">
        <f t="shared" si="88"/>
        <v>15</v>
      </c>
      <c r="U923" s="42">
        <f t="shared" si="89"/>
        <v>49148</v>
      </c>
    </row>
    <row r="924" spans="1:21" x14ac:dyDescent="0.3">
      <c r="A924" s="37" t="s">
        <v>4522</v>
      </c>
      <c r="B924" s="37" t="s">
        <v>3547</v>
      </c>
      <c r="C924" s="37" t="s">
        <v>2481</v>
      </c>
      <c r="D924" s="37" t="s">
        <v>106</v>
      </c>
      <c r="E924" s="37" t="s">
        <v>107</v>
      </c>
      <c r="F924" s="37" t="s">
        <v>101</v>
      </c>
      <c r="G924" s="37" t="s">
        <v>2746</v>
      </c>
      <c r="H924" s="37">
        <v>24.6</v>
      </c>
      <c r="I924" s="37">
        <v>9</v>
      </c>
      <c r="J924" s="37" t="s">
        <v>4523</v>
      </c>
      <c r="K924" s="37" t="s">
        <v>236</v>
      </c>
      <c r="L924" s="37">
        <v>0</v>
      </c>
      <c r="M924" s="37" t="str">
        <f t="shared" si="86"/>
        <v>ICU</v>
      </c>
      <c r="N924" s="37" t="str">
        <f t="shared" si="84"/>
        <v>Debit Card</v>
      </c>
      <c r="O924" s="37" t="str" cm="1">
        <f t="array" ref="O924">IF(TRIM(N924)="",INDEX($N$2:$N$1500,MATCH(MAX(COUNTIF($N$2:$N$1500,$N$2:$N$1500)),COUNTIF($N$2:$N$1500,$N$2:$N$1500),0)),N924)</f>
        <v>Debit Card</v>
      </c>
      <c r="P924" s="38" cm="1">
        <f t="array" ref="P924">ROUND(IF(TRIM(H924)="",IFERROR(MEDIAN(IF($M$2:$M$1500=M924,$H$2:$H$1500)),MEDIAN($H$2:$H$1500)),H924),2)</f>
        <v>24.6</v>
      </c>
      <c r="Q924" s="38" t="str">
        <f t="shared" si="87"/>
        <v>2</v>
      </c>
      <c r="R924" s="39" cm="1">
        <f t="array" ref="R924">IF(OR(TRIM(J924)="",TRIM(J924)="-"),MEDIAN(IF($C$2:$C$1218=C924,$J$2:$J$1218)),VALUE(SUBSTITUTE(SUBSTITUTE(SUBSTITUTE(J924,"Rs. ",""),"₹",""),",","")))</f>
        <v>79705</v>
      </c>
      <c r="S924" s="40">
        <f t="shared" si="85"/>
        <v>0</v>
      </c>
      <c r="T924" s="41">
        <f t="shared" si="88"/>
        <v>0</v>
      </c>
      <c r="U924" s="42">
        <f t="shared" si="89"/>
        <v>79705</v>
      </c>
    </row>
    <row r="925" spans="1:21" x14ac:dyDescent="0.3">
      <c r="A925" s="37" t="s">
        <v>4524</v>
      </c>
      <c r="B925" s="37" t="s">
        <v>3261</v>
      </c>
      <c r="C925" s="37" t="s">
        <v>2561</v>
      </c>
      <c r="D925" s="37" t="s">
        <v>14</v>
      </c>
      <c r="E925" s="37" t="s">
        <v>60</v>
      </c>
      <c r="F925" s="37" t="s">
        <v>19</v>
      </c>
      <c r="G925" s="37" t="s">
        <v>2418</v>
      </c>
      <c r="H925" s="37">
        <v>18.37</v>
      </c>
      <c r="I925" s="37">
        <v>25</v>
      </c>
      <c r="J925" s="37" t="s">
        <v>4525</v>
      </c>
      <c r="K925" s="37" t="s">
        <v>52</v>
      </c>
      <c r="L925" s="37">
        <v>0</v>
      </c>
      <c r="M925" s="37" t="str">
        <f t="shared" si="86"/>
        <v>General</v>
      </c>
      <c r="N925" s="37" t="str">
        <f t="shared" si="84"/>
        <v>Credit Card</v>
      </c>
      <c r="O925" s="37" t="str" cm="1">
        <f t="array" ref="O925">IF(TRIM(N925)="",INDEX($N$2:$N$1500,MATCH(MAX(COUNTIF($N$2:$N$1500,$N$2:$N$1500)),COUNTIF($N$2:$N$1500,$N$2:$N$1500),0)),N925)</f>
        <v>Credit Card</v>
      </c>
      <c r="P925" s="38" cm="1">
        <f t="array" ref="P925">ROUND(IF(TRIM(H925)="",IFERROR(MEDIAN(IF($M$2:$M$1500=M925,$H$2:$H$1500)),MEDIAN($H$2:$H$1500)),H925),2)</f>
        <v>18.37</v>
      </c>
      <c r="Q925" s="38" t="str">
        <f t="shared" si="87"/>
        <v>1</v>
      </c>
      <c r="R925" s="39" cm="1">
        <f t="array" ref="R925">IF(OR(TRIM(J925)="",TRIM(J925)="-"),MEDIAN(IF($C$2:$C$1218=C925,$J$2:$J$1218)),VALUE(SUBSTITUTE(SUBSTITUTE(SUBSTITUTE(J925,"Rs. ",""),"₹",""),",","")))</f>
        <v>15953</v>
      </c>
      <c r="S925" s="40">
        <f t="shared" si="85"/>
        <v>0</v>
      </c>
      <c r="T925" s="41">
        <f t="shared" si="88"/>
        <v>0</v>
      </c>
      <c r="U925" s="42">
        <f t="shared" si="89"/>
        <v>15953</v>
      </c>
    </row>
    <row r="926" spans="1:21" x14ac:dyDescent="0.3">
      <c r="A926" s="37" t="s">
        <v>4526</v>
      </c>
      <c r="B926" s="37" t="s">
        <v>4527</v>
      </c>
      <c r="C926" s="37" t="s">
        <v>2504</v>
      </c>
      <c r="D926" s="37" t="s">
        <v>78</v>
      </c>
      <c r="E926" s="37" t="s">
        <v>79</v>
      </c>
      <c r="F926" s="37" t="s">
        <v>19</v>
      </c>
      <c r="G926" s="37" t="s">
        <v>2455</v>
      </c>
      <c r="H926" s="37">
        <v>15.21</v>
      </c>
      <c r="I926" s="37">
        <v>21</v>
      </c>
      <c r="J926" s="37" t="s">
        <v>4528</v>
      </c>
      <c r="K926" s="37" t="s">
        <v>34</v>
      </c>
      <c r="L926" s="37"/>
      <c r="M926" s="37" t="str">
        <f t="shared" si="86"/>
        <v>General</v>
      </c>
      <c r="N926" s="37" t="str">
        <f t="shared" si="84"/>
        <v>Cash</v>
      </c>
      <c r="O926" s="37" t="str" cm="1">
        <f t="array" ref="O926">IF(TRIM(N926)="",INDEX($N$2:$N$1500,MATCH(MAX(COUNTIF($N$2:$N$1500,$N$2:$N$1500)),COUNTIF($N$2:$N$1500,$N$2:$N$1500),0)),N926)</f>
        <v>Cash</v>
      </c>
      <c r="P926" s="38" cm="1">
        <f t="array" ref="P926">ROUND(IF(TRIM(H926)="",IFERROR(MEDIAN(IF($M$2:$M$1500=M926,$H$2:$H$1500)),MEDIAN($H$2:$H$1500)),H926),2)</f>
        <v>15.21</v>
      </c>
      <c r="Q926" s="38" t="str">
        <f t="shared" si="87"/>
        <v>1</v>
      </c>
      <c r="R926" s="39" cm="1">
        <f t="array" ref="R926">IF(OR(TRIM(J926)="",TRIM(J926)="-"),MEDIAN(IF($C$2:$C$1218=C926,$J$2:$J$1218)),VALUE(SUBSTITUTE(SUBSTITUTE(SUBSTITUTE(J926,"Rs. ",""),"₹",""),",","")))</f>
        <v>12701</v>
      </c>
      <c r="S926" s="40">
        <f t="shared" si="85"/>
        <v>0</v>
      </c>
      <c r="T926" s="41">
        <f t="shared" si="88"/>
        <v>0</v>
      </c>
      <c r="U926" s="42">
        <f t="shared" si="89"/>
        <v>12701</v>
      </c>
    </row>
    <row r="927" spans="1:21" x14ac:dyDescent="0.3">
      <c r="A927" s="37" t="s">
        <v>4529</v>
      </c>
      <c r="B927" s="37" t="s">
        <v>4395</v>
      </c>
      <c r="C927" s="37" t="s">
        <v>2469</v>
      </c>
      <c r="D927" s="37" t="s">
        <v>14</v>
      </c>
      <c r="E927" s="37" t="s">
        <v>15</v>
      </c>
      <c r="F927" s="37" t="s">
        <v>49</v>
      </c>
      <c r="G927" s="37" t="s">
        <v>2412</v>
      </c>
      <c r="H927" s="37">
        <v>10.11</v>
      </c>
      <c r="I927" s="37" t="s">
        <v>140</v>
      </c>
      <c r="J927" s="37" t="s">
        <v>4530</v>
      </c>
      <c r="K927" s="37" t="s">
        <v>72</v>
      </c>
      <c r="L927" s="37"/>
      <c r="M927" s="37" t="str">
        <f t="shared" si="86"/>
        <v>General</v>
      </c>
      <c r="N927" s="37" t="str">
        <f t="shared" si="84"/>
        <v>Cash</v>
      </c>
      <c r="O927" s="37" t="str" cm="1">
        <f t="array" ref="O927">IF(TRIM(N927)="",INDEX($N$2:$N$1500,MATCH(MAX(COUNTIF($N$2:$N$1500,$N$2:$N$1500)),COUNTIF($N$2:$N$1500,$N$2:$N$1500),0)),N927)</f>
        <v>Cash</v>
      </c>
      <c r="P927" s="38" cm="1">
        <f t="array" ref="P927">ROUND(IF(TRIM(H927)="",IFERROR(MEDIAN(IF($M$2:$M$1500=M927,$H$2:$H$1500)),MEDIAN($H$2:$H$1500)),H927),2)</f>
        <v>10.11</v>
      </c>
      <c r="Q927" s="38" t="str">
        <f t="shared" si="87"/>
        <v>1</v>
      </c>
      <c r="R927" s="39" cm="1">
        <f t="array" ref="R927">IF(OR(TRIM(J927)="",TRIM(J927)="-"),MEDIAN(IF($C$2:$C$1218=C927,$J$2:$J$1218)),VALUE(SUBSTITUTE(SUBSTITUTE(SUBSTITUTE(J927,"Rs. ",""),"₹",""),",","")))</f>
        <v>8129</v>
      </c>
      <c r="S927" s="40">
        <f t="shared" si="85"/>
        <v>0</v>
      </c>
      <c r="T927" s="41">
        <f t="shared" si="88"/>
        <v>0</v>
      </c>
      <c r="U927" s="42">
        <f t="shared" si="89"/>
        <v>8129</v>
      </c>
    </row>
    <row r="928" spans="1:21" x14ac:dyDescent="0.3">
      <c r="A928" s="37" t="s">
        <v>4531</v>
      </c>
      <c r="B928" s="37" t="s">
        <v>4470</v>
      </c>
      <c r="C928" s="37" t="s">
        <v>2454</v>
      </c>
      <c r="D928" s="37" t="s">
        <v>117</v>
      </c>
      <c r="E928" s="37" t="s">
        <v>182</v>
      </c>
      <c r="F928" s="37" t="s">
        <v>19</v>
      </c>
      <c r="G928" s="37" t="s">
        <v>2450</v>
      </c>
      <c r="H928" s="37"/>
      <c r="I928" s="37">
        <v>18</v>
      </c>
      <c r="J928" s="37" t="s">
        <v>4532</v>
      </c>
      <c r="K928" s="37" t="s">
        <v>23</v>
      </c>
      <c r="L928" s="37">
        <v>10</v>
      </c>
      <c r="M928" s="37" t="str">
        <f t="shared" si="86"/>
        <v>General</v>
      </c>
      <c r="N928" s="37" t="str">
        <f t="shared" si="84"/>
        <v>Credit Card</v>
      </c>
      <c r="O928" s="37" t="str" cm="1">
        <f t="array" ref="O928">IF(TRIM(N928)="",INDEX($N$2:$N$1500,MATCH(MAX(COUNTIF($N$2:$N$1500,$N$2:$N$1500)),COUNTIF($N$2:$N$1500,$N$2:$N$1500),0)),N928)</f>
        <v>Credit Card</v>
      </c>
      <c r="P928" s="38" cm="1">
        <f t="array" ref="P928">ROUND(IF(TRIM(H928)="",IFERROR(MEDIAN(IF($M$2:$M$1500=M928,$H$2:$H$1500)),MEDIAN($H$2:$H$1500)),H928),2)</f>
        <v>12.02</v>
      </c>
      <c r="Q928" s="38" t="str">
        <f t="shared" si="87"/>
        <v>1</v>
      </c>
      <c r="R928" s="39" cm="1">
        <f t="array" ref="R928">IF(OR(TRIM(J928)="",TRIM(J928)="-"),MEDIAN(IF($C$2:$C$1218=C928,$J$2:$J$1218)),VALUE(SUBSTITUTE(SUBSTITUTE(SUBSTITUTE(J928,"Rs. ",""),"₹",""),",","")))</f>
        <v>3544</v>
      </c>
      <c r="S928" s="40">
        <f t="shared" si="85"/>
        <v>10</v>
      </c>
      <c r="T928" s="41">
        <f t="shared" si="88"/>
        <v>10</v>
      </c>
      <c r="U928" s="42">
        <f t="shared" si="89"/>
        <v>3190</v>
      </c>
    </row>
    <row r="929" spans="1:21" x14ac:dyDescent="0.3">
      <c r="A929" s="37" t="s">
        <v>4533</v>
      </c>
      <c r="B929" s="37" t="s">
        <v>4200</v>
      </c>
      <c r="C929" s="37" t="s">
        <v>2459</v>
      </c>
      <c r="D929" s="37" t="s">
        <v>14</v>
      </c>
      <c r="E929" s="37" t="s">
        <v>60</v>
      </c>
      <c r="F929" s="37" t="s">
        <v>62</v>
      </c>
      <c r="G929" s="37" t="s">
        <v>2435</v>
      </c>
      <c r="H929" s="37">
        <v>18.190000000000001</v>
      </c>
      <c r="I929" s="37">
        <v>60</v>
      </c>
      <c r="J929" s="37">
        <v>86693</v>
      </c>
      <c r="K929" s="37" t="s">
        <v>211</v>
      </c>
      <c r="L929" s="37">
        <v>0</v>
      </c>
      <c r="M929" s="37" t="str">
        <f t="shared" si="86"/>
        <v>ICU</v>
      </c>
      <c r="N929" s="37" t="str">
        <f t="shared" si="84"/>
        <v>Credit Card</v>
      </c>
      <c r="O929" s="37" t="str" cm="1">
        <f t="array" ref="O929">IF(TRIM(N929)="",INDEX($N$2:$N$1500,MATCH(MAX(COUNTIF($N$2:$N$1500,$N$2:$N$1500)),COUNTIF($N$2:$N$1500,$N$2:$N$1500),0)),N929)</f>
        <v>Credit Card</v>
      </c>
      <c r="P929" s="38" cm="1">
        <f t="array" ref="P929">ROUND(IF(TRIM(H929)="",IFERROR(MEDIAN(IF($M$2:$M$1500=M929,$H$2:$H$1500)),MEDIAN($H$2:$H$1500)),H929),2)</f>
        <v>18.190000000000001</v>
      </c>
      <c r="Q929" s="38" t="str">
        <f t="shared" si="87"/>
        <v>0</v>
      </c>
      <c r="R929" s="39" cm="1">
        <f t="array" ref="R929">IF(OR(TRIM(J929)="",TRIM(J929)="-"),MEDIAN(IF($C$2:$C$1218=C929,$J$2:$J$1218)),VALUE(SUBSTITUTE(SUBSTITUTE(SUBSTITUTE(J929,"Rs. ",""),"₹",""),",","")))</f>
        <v>86693</v>
      </c>
      <c r="S929" s="40">
        <f t="shared" si="85"/>
        <v>0</v>
      </c>
      <c r="T929" s="41">
        <f t="shared" si="88"/>
        <v>0</v>
      </c>
      <c r="U929" s="42">
        <f t="shared" si="89"/>
        <v>86693</v>
      </c>
    </row>
    <row r="930" spans="1:21" x14ac:dyDescent="0.3">
      <c r="A930" s="37" t="s">
        <v>4534</v>
      </c>
      <c r="B930" s="37" t="s">
        <v>4535</v>
      </c>
      <c r="C930" s="37" t="s">
        <v>2485</v>
      </c>
      <c r="D930" s="37" t="s">
        <v>45</v>
      </c>
      <c r="E930" s="37" t="s">
        <v>334</v>
      </c>
      <c r="F930" s="37" t="s">
        <v>49</v>
      </c>
      <c r="G930" s="37" t="s">
        <v>2439</v>
      </c>
      <c r="H930" s="37">
        <v>4.29</v>
      </c>
      <c r="I930" s="37">
        <v>35</v>
      </c>
      <c r="J930" s="37">
        <v>5914</v>
      </c>
      <c r="K930" s="37" t="s">
        <v>42</v>
      </c>
      <c r="L930" s="37">
        <v>10</v>
      </c>
      <c r="M930" s="37" t="str">
        <f t="shared" si="86"/>
        <v>General</v>
      </c>
      <c r="N930" s="37" t="str">
        <f t="shared" si="84"/>
        <v>Insurance</v>
      </c>
      <c r="O930" s="37" t="str" cm="1">
        <f t="array" ref="O930">IF(TRIM(N930)="",INDEX($N$2:$N$1500,MATCH(MAX(COUNTIF($N$2:$N$1500,$N$2:$N$1500)),COUNTIF($N$2:$N$1500,$N$2:$N$1500),0)),N930)</f>
        <v>Insurance</v>
      </c>
      <c r="P930" s="38" cm="1">
        <f t="array" ref="P930">ROUND(IF(TRIM(H930)="",IFERROR(MEDIAN(IF($M$2:$M$1500=M930,$H$2:$H$1500)),MEDIAN($H$2:$H$1500)),H930),2)</f>
        <v>4.29</v>
      </c>
      <c r="Q930" s="38" t="str">
        <f t="shared" si="87"/>
        <v>2</v>
      </c>
      <c r="R930" s="39" cm="1">
        <f t="array" ref="R930">IF(OR(TRIM(J930)="",TRIM(J930)="-"),MEDIAN(IF($C$2:$C$1218=C930,$J$2:$J$1218)),VALUE(SUBSTITUTE(SUBSTITUTE(SUBSTITUTE(J930,"Rs. ",""),"₹",""),",","")))</f>
        <v>5914</v>
      </c>
      <c r="S930" s="40">
        <f t="shared" si="85"/>
        <v>10</v>
      </c>
      <c r="T930" s="41">
        <f t="shared" si="88"/>
        <v>10</v>
      </c>
      <c r="U930" s="42">
        <f t="shared" si="89"/>
        <v>5323</v>
      </c>
    </row>
    <row r="931" spans="1:21" x14ac:dyDescent="0.3">
      <c r="A931" s="37" t="s">
        <v>4536</v>
      </c>
      <c r="B931" s="37" t="s">
        <v>2649</v>
      </c>
      <c r="C931" s="37" t="s">
        <v>2521</v>
      </c>
      <c r="D931" s="37" t="s">
        <v>78</v>
      </c>
      <c r="E931" s="37" t="s">
        <v>79</v>
      </c>
      <c r="F931" s="37" t="s">
        <v>101</v>
      </c>
      <c r="G931" s="37" t="s">
        <v>2505</v>
      </c>
      <c r="H931" s="37">
        <v>20.63</v>
      </c>
      <c r="I931" s="37">
        <v>12</v>
      </c>
      <c r="J931" s="37">
        <v>29502</v>
      </c>
      <c r="K931" s="37" t="s">
        <v>72</v>
      </c>
      <c r="L931" s="37">
        <v>0</v>
      </c>
      <c r="M931" s="37" t="str">
        <f t="shared" si="86"/>
        <v>ICU</v>
      </c>
      <c r="N931" s="37" t="str">
        <f t="shared" si="84"/>
        <v>Cash</v>
      </c>
      <c r="O931" s="37" t="str" cm="1">
        <f t="array" ref="O931">IF(TRIM(N931)="",INDEX($N$2:$N$1500,MATCH(MAX(COUNTIF($N$2:$N$1500,$N$2:$N$1500)),COUNTIF($N$2:$N$1500,$N$2:$N$1500),0)),N931)</f>
        <v>Cash</v>
      </c>
      <c r="P931" s="38" cm="1">
        <f t="array" ref="P931">ROUND(IF(TRIM(H931)="",IFERROR(MEDIAN(IF($M$2:$M$1500=M931,$H$2:$H$1500)),MEDIAN($H$2:$H$1500)),H931),2)</f>
        <v>20.63</v>
      </c>
      <c r="Q931" s="38" t="str">
        <f t="shared" si="87"/>
        <v>2+</v>
      </c>
      <c r="R931" s="39" cm="1">
        <f t="array" ref="R931">IF(OR(TRIM(J931)="",TRIM(J931)="-"),MEDIAN(IF($C$2:$C$1218=C931,$J$2:$J$1218)),VALUE(SUBSTITUTE(SUBSTITUTE(SUBSTITUTE(J931,"Rs. ",""),"₹",""),",","")))</f>
        <v>29502</v>
      </c>
      <c r="S931" s="40">
        <f t="shared" si="85"/>
        <v>0</v>
      </c>
      <c r="T931" s="41">
        <f t="shared" si="88"/>
        <v>0</v>
      </c>
      <c r="U931" s="42">
        <f t="shared" si="89"/>
        <v>29502</v>
      </c>
    </row>
    <row r="932" spans="1:21" x14ac:dyDescent="0.3">
      <c r="A932" s="37" t="s">
        <v>4537</v>
      </c>
      <c r="B932" s="37" t="s">
        <v>3362</v>
      </c>
      <c r="C932" s="37" t="s">
        <v>2438</v>
      </c>
      <c r="D932" s="37" t="s">
        <v>78</v>
      </c>
      <c r="E932" s="37" t="s">
        <v>79</v>
      </c>
      <c r="F932" s="37" t="s">
        <v>39</v>
      </c>
      <c r="G932" s="37"/>
      <c r="H932" s="37">
        <v>10.85</v>
      </c>
      <c r="I932" s="37">
        <v>31</v>
      </c>
      <c r="J932" s="37">
        <v>8268</v>
      </c>
      <c r="K932" s="37" t="s">
        <v>52</v>
      </c>
      <c r="L932" s="37"/>
      <c r="M932" s="37" t="str">
        <f t="shared" si="86"/>
        <v>General</v>
      </c>
      <c r="N932" s="37" t="str">
        <f t="shared" si="84"/>
        <v>Credit Card</v>
      </c>
      <c r="O932" s="37" t="str" cm="1">
        <f t="array" ref="O932">IF(TRIM(N932)="",INDEX($N$2:$N$1500,MATCH(MAX(COUNTIF($N$2:$N$1500,$N$2:$N$1500)),COUNTIF($N$2:$N$1500,$N$2:$N$1500),0)),N932)</f>
        <v>Credit Card</v>
      </c>
      <c r="P932" s="38" cm="1">
        <f t="array" ref="P932">ROUND(IF(TRIM(H932)="",IFERROR(MEDIAN(IF($M$2:$M$1500=M932,$H$2:$H$1500)),MEDIAN($H$2:$H$1500)),H932),2)</f>
        <v>10.85</v>
      </c>
      <c r="Q932" s="38" t="str">
        <f t="shared" si="87"/>
        <v>Unknown</v>
      </c>
      <c r="R932" s="39" cm="1">
        <f t="array" ref="R932">IF(OR(TRIM(J932)="",TRIM(J932)="-"),MEDIAN(IF($C$2:$C$1218=C932,$J$2:$J$1218)),VALUE(SUBSTITUTE(SUBSTITUTE(SUBSTITUTE(J932,"Rs. ",""),"₹",""),",","")))</f>
        <v>8268</v>
      </c>
      <c r="S932" s="40">
        <f t="shared" si="85"/>
        <v>0</v>
      </c>
      <c r="T932" s="41">
        <f t="shared" si="88"/>
        <v>0</v>
      </c>
      <c r="U932" s="42">
        <f t="shared" si="89"/>
        <v>8268</v>
      </c>
    </row>
    <row r="933" spans="1:21" x14ac:dyDescent="0.3">
      <c r="A933" s="37" t="s">
        <v>4538</v>
      </c>
      <c r="B933" s="37" t="s">
        <v>4539</v>
      </c>
      <c r="C933" s="37" t="s">
        <v>2445</v>
      </c>
      <c r="D933" s="37" t="s">
        <v>25</v>
      </c>
      <c r="E933" s="37" t="s">
        <v>54</v>
      </c>
      <c r="F933" s="37" t="s">
        <v>49</v>
      </c>
      <c r="G933" s="37" t="s">
        <v>2477</v>
      </c>
      <c r="H933" s="37"/>
      <c r="I933" s="37">
        <v>1</v>
      </c>
      <c r="J933" s="37" t="s">
        <v>4540</v>
      </c>
      <c r="K933" s="37" t="s">
        <v>91</v>
      </c>
      <c r="L933" s="37">
        <v>5</v>
      </c>
      <c r="M933" s="37" t="str">
        <f t="shared" si="86"/>
        <v>General</v>
      </c>
      <c r="N933" s="37" t="str">
        <f t="shared" si="84"/>
        <v>Debit Card</v>
      </c>
      <c r="O933" s="37" t="str" cm="1">
        <f t="array" ref="O933">IF(TRIM(N933)="",INDEX($N$2:$N$1500,MATCH(MAX(COUNTIF($N$2:$N$1500,$N$2:$N$1500)),COUNTIF($N$2:$N$1500,$N$2:$N$1500),0)),N933)</f>
        <v>Debit Card</v>
      </c>
      <c r="P933" s="38" cm="1">
        <f t="array" ref="P933">ROUND(IF(TRIM(H933)="",IFERROR(MEDIAN(IF($M$2:$M$1500=M933,$H$2:$H$1500)),MEDIAN($H$2:$H$1500)),H933),2)</f>
        <v>12.02</v>
      </c>
      <c r="Q933" s="38" t="str">
        <f t="shared" si="87"/>
        <v>0</v>
      </c>
      <c r="R933" s="39" cm="1">
        <f t="array" ref="R933">IF(OR(TRIM(J933)="",TRIM(J933)="-"),MEDIAN(IF($C$2:$C$1218=C933,$J$2:$J$1218)),VALUE(SUBSTITUTE(SUBSTITUTE(SUBSTITUTE(J933,"Rs. ",""),"₹",""),",","")))</f>
        <v>3992</v>
      </c>
      <c r="S933" s="40">
        <f t="shared" si="85"/>
        <v>5</v>
      </c>
      <c r="T933" s="41">
        <f t="shared" si="88"/>
        <v>5</v>
      </c>
      <c r="U933" s="42">
        <f t="shared" si="89"/>
        <v>3792</v>
      </c>
    </row>
    <row r="934" spans="1:21" x14ac:dyDescent="0.3">
      <c r="A934" s="37" t="s">
        <v>4541</v>
      </c>
      <c r="B934" s="37" t="s">
        <v>2723</v>
      </c>
      <c r="C934" s="37" t="s">
        <v>2459</v>
      </c>
      <c r="D934" s="37" t="s">
        <v>14</v>
      </c>
      <c r="E934" s="37" t="s">
        <v>15</v>
      </c>
      <c r="F934" s="37" t="s">
        <v>19</v>
      </c>
      <c r="G934" s="37" t="s">
        <v>2486</v>
      </c>
      <c r="H934" s="37">
        <v>5.88</v>
      </c>
      <c r="I934" s="37">
        <v>19</v>
      </c>
      <c r="J934" s="37" t="s">
        <v>4542</v>
      </c>
      <c r="K934" s="37" t="s">
        <v>211</v>
      </c>
      <c r="L934" s="37">
        <v>10</v>
      </c>
      <c r="M934" s="37" t="str">
        <f t="shared" si="86"/>
        <v>General</v>
      </c>
      <c r="N934" s="37" t="str">
        <f t="shared" si="84"/>
        <v>Credit Card</v>
      </c>
      <c r="O934" s="37" t="str" cm="1">
        <f t="array" ref="O934">IF(TRIM(N934)="",INDEX($N$2:$N$1500,MATCH(MAX(COUNTIF($N$2:$N$1500,$N$2:$N$1500)),COUNTIF($N$2:$N$1500,$N$2:$N$1500),0)),N934)</f>
        <v>Credit Card</v>
      </c>
      <c r="P934" s="38" cm="1">
        <f t="array" ref="P934">ROUND(IF(TRIM(H934)="",IFERROR(MEDIAN(IF($M$2:$M$1500=M934,$H$2:$H$1500)),MEDIAN($H$2:$H$1500)),H934),2)</f>
        <v>5.88</v>
      </c>
      <c r="Q934" s="38" t="str">
        <f t="shared" si="87"/>
        <v>2+</v>
      </c>
      <c r="R934" s="39" cm="1">
        <f t="array" ref="R934">IF(OR(TRIM(J934)="",TRIM(J934)="-"),MEDIAN(IF($C$2:$C$1218=C934,$J$2:$J$1218)),VALUE(SUBSTITUTE(SUBSTITUTE(SUBSTITUTE(J934,"Rs. ",""),"₹",""),",","")))</f>
        <v>14940</v>
      </c>
      <c r="S934" s="40">
        <f t="shared" si="85"/>
        <v>10</v>
      </c>
      <c r="T934" s="41">
        <f t="shared" si="88"/>
        <v>10</v>
      </c>
      <c r="U934" s="42">
        <f t="shared" si="89"/>
        <v>13446</v>
      </c>
    </row>
    <row r="935" spans="1:21" x14ac:dyDescent="0.3">
      <c r="A935" s="37" t="s">
        <v>4543</v>
      </c>
      <c r="B935" s="37" t="s">
        <v>2906</v>
      </c>
      <c r="C935" s="37" t="s">
        <v>2577</v>
      </c>
      <c r="D935" s="37" t="s">
        <v>106</v>
      </c>
      <c r="E935" s="37" t="s">
        <v>107</v>
      </c>
      <c r="F935" s="37" t="s">
        <v>49</v>
      </c>
      <c r="G935" s="37" t="s">
        <v>2435</v>
      </c>
      <c r="H935" s="37">
        <v>13</v>
      </c>
      <c r="I935" s="37">
        <v>41</v>
      </c>
      <c r="J935" s="37">
        <v>8339</v>
      </c>
      <c r="K935" s="37" t="s">
        <v>72</v>
      </c>
      <c r="L935" s="37" t="s">
        <v>130</v>
      </c>
      <c r="M935" s="37" t="str">
        <f t="shared" si="86"/>
        <v>General</v>
      </c>
      <c r="N935" s="37" t="str">
        <f t="shared" si="84"/>
        <v>Cash</v>
      </c>
      <c r="O935" s="37" t="str" cm="1">
        <f t="array" ref="O935">IF(TRIM(N935)="",INDEX($N$2:$N$1500,MATCH(MAX(COUNTIF($N$2:$N$1500,$N$2:$N$1500)),COUNTIF($N$2:$N$1500,$N$2:$N$1500),0)),N935)</f>
        <v>Cash</v>
      </c>
      <c r="P935" s="38" cm="1">
        <f t="array" ref="P935">ROUND(IF(TRIM(H935)="",IFERROR(MEDIAN(IF($M$2:$M$1500=M935,$H$2:$H$1500)),MEDIAN($H$2:$H$1500)),H935),2)</f>
        <v>13</v>
      </c>
      <c r="Q935" s="38" t="str">
        <f t="shared" si="87"/>
        <v>0</v>
      </c>
      <c r="R935" s="39" cm="1">
        <f t="array" ref="R935">IF(OR(TRIM(J935)="",TRIM(J935)="-"),MEDIAN(IF($C$2:$C$1218=C935,$J$2:$J$1218)),VALUE(SUBSTITUTE(SUBSTITUTE(SUBSTITUTE(J935,"Rs. ",""),"₹",""),",","")))</f>
        <v>8339</v>
      </c>
      <c r="S935" s="40">
        <f t="shared" si="85"/>
        <v>0</v>
      </c>
      <c r="T935" s="41">
        <f t="shared" si="88"/>
        <v>0</v>
      </c>
      <c r="U935" s="42">
        <f t="shared" si="89"/>
        <v>8339</v>
      </c>
    </row>
    <row r="936" spans="1:21" x14ac:dyDescent="0.3">
      <c r="A936" s="37" t="s">
        <v>4544</v>
      </c>
      <c r="B936" s="37" t="s">
        <v>4169</v>
      </c>
      <c r="C936" s="37" t="s">
        <v>2730</v>
      </c>
      <c r="D936" s="37" t="s">
        <v>25</v>
      </c>
      <c r="E936" s="37" t="s">
        <v>26</v>
      </c>
      <c r="F936" s="37" t="s">
        <v>49</v>
      </c>
      <c r="G936" s="37" t="s">
        <v>2423</v>
      </c>
      <c r="H936" s="37">
        <v>24.49</v>
      </c>
      <c r="I936" s="37">
        <v>14</v>
      </c>
      <c r="J936" s="37">
        <v>11510</v>
      </c>
      <c r="K936" s="37" t="s">
        <v>104</v>
      </c>
      <c r="L936" s="37">
        <v>10</v>
      </c>
      <c r="M936" s="37" t="str">
        <f t="shared" si="86"/>
        <v>General</v>
      </c>
      <c r="N936" s="37" t="str">
        <f t="shared" si="84"/>
        <v>Insurance</v>
      </c>
      <c r="O936" s="37" t="str" cm="1">
        <f t="array" ref="O936">IF(TRIM(N936)="",INDEX($N$2:$N$1500,MATCH(MAX(COUNTIF($N$2:$N$1500,$N$2:$N$1500)),COUNTIF($N$2:$N$1500,$N$2:$N$1500),0)),N936)</f>
        <v>Insurance</v>
      </c>
      <c r="P936" s="38" cm="1">
        <f t="array" ref="P936">ROUND(IF(TRIM(H936)="",IFERROR(MEDIAN(IF($M$2:$M$1500=M936,$H$2:$H$1500)),MEDIAN($H$2:$H$1500)),H936),2)</f>
        <v>24.49</v>
      </c>
      <c r="Q936" s="38" t="str">
        <f t="shared" si="87"/>
        <v>0</v>
      </c>
      <c r="R936" s="39" cm="1">
        <f t="array" ref="R936">IF(OR(TRIM(J936)="",TRIM(J936)="-"),MEDIAN(IF($C$2:$C$1218=C936,$J$2:$J$1218)),VALUE(SUBSTITUTE(SUBSTITUTE(SUBSTITUTE(J936,"Rs. ",""),"₹",""),",","")))</f>
        <v>11510</v>
      </c>
      <c r="S936" s="40">
        <f t="shared" si="85"/>
        <v>10</v>
      </c>
      <c r="T936" s="41">
        <f t="shared" si="88"/>
        <v>10</v>
      </c>
      <c r="U936" s="42">
        <f t="shared" si="89"/>
        <v>10359</v>
      </c>
    </row>
    <row r="937" spans="1:21" x14ac:dyDescent="0.3">
      <c r="A937" s="37" t="s">
        <v>4545</v>
      </c>
      <c r="B937" s="37" t="s">
        <v>4546</v>
      </c>
      <c r="C937" s="37" t="s">
        <v>2518</v>
      </c>
      <c r="D937" s="37" t="s">
        <v>78</v>
      </c>
      <c r="E937" s="37" t="s">
        <v>203</v>
      </c>
      <c r="F937" s="37" t="s">
        <v>49</v>
      </c>
      <c r="G937" s="37" t="s">
        <v>2423</v>
      </c>
      <c r="H937" s="37">
        <v>2.72</v>
      </c>
      <c r="I937" s="37">
        <v>18</v>
      </c>
      <c r="J937" s="37" t="s">
        <v>4547</v>
      </c>
      <c r="K937" s="37" t="s">
        <v>115</v>
      </c>
      <c r="L937" s="37" t="s">
        <v>76</v>
      </c>
      <c r="M937" s="37" t="str">
        <f t="shared" si="86"/>
        <v>General</v>
      </c>
      <c r="N937" s="37" t="str">
        <f t="shared" si="84"/>
        <v>Cash</v>
      </c>
      <c r="O937" s="37" t="str" cm="1">
        <f t="array" ref="O937">IF(TRIM(N937)="",INDEX($N$2:$N$1500,MATCH(MAX(COUNTIF($N$2:$N$1500,$N$2:$N$1500)),COUNTIF($N$2:$N$1500,$N$2:$N$1500),0)),N937)</f>
        <v>Cash</v>
      </c>
      <c r="P937" s="38" cm="1">
        <f t="array" ref="P937">ROUND(IF(TRIM(H937)="",IFERROR(MEDIAN(IF($M$2:$M$1500=M937,$H$2:$H$1500)),MEDIAN($H$2:$H$1500)),H937),2)</f>
        <v>2.72</v>
      </c>
      <c r="Q937" s="38" t="str">
        <f t="shared" si="87"/>
        <v>0</v>
      </c>
      <c r="R937" s="39" cm="1">
        <f t="array" ref="R937">IF(OR(TRIM(J937)="",TRIM(J937)="-"),MEDIAN(IF($C$2:$C$1218=C937,$J$2:$J$1218)),VALUE(SUBSTITUTE(SUBSTITUTE(SUBSTITUTE(J937,"Rs. ",""),"₹",""),",","")))</f>
        <v>18807</v>
      </c>
      <c r="S937" s="40">
        <f t="shared" si="85"/>
        <v>10</v>
      </c>
      <c r="T937" s="41">
        <f t="shared" si="88"/>
        <v>10</v>
      </c>
      <c r="U937" s="42">
        <f t="shared" si="89"/>
        <v>16926</v>
      </c>
    </row>
    <row r="938" spans="1:21" x14ac:dyDescent="0.3">
      <c r="A938" s="37" t="s">
        <v>4548</v>
      </c>
      <c r="B938" s="37" t="s">
        <v>2906</v>
      </c>
      <c r="C938" s="37" t="s">
        <v>2577</v>
      </c>
      <c r="D938" s="37" t="s">
        <v>106</v>
      </c>
      <c r="E938" s="37" t="s">
        <v>107</v>
      </c>
      <c r="F938" s="37" t="s">
        <v>49</v>
      </c>
      <c r="G938" s="37" t="s">
        <v>2408</v>
      </c>
      <c r="H938" s="37">
        <v>5.95</v>
      </c>
      <c r="I938" s="37">
        <v>32</v>
      </c>
      <c r="J938" s="37">
        <v>17952</v>
      </c>
      <c r="K938" s="37" t="s">
        <v>236</v>
      </c>
      <c r="L938" s="37"/>
      <c r="M938" s="37" t="str">
        <f t="shared" si="86"/>
        <v>General</v>
      </c>
      <c r="N938" s="37" t="str">
        <f t="shared" si="84"/>
        <v>Debit Card</v>
      </c>
      <c r="O938" s="37" t="str" cm="1">
        <f t="array" ref="O938">IF(TRIM(N938)="",INDEX($N$2:$N$1500,MATCH(MAX(COUNTIF($N$2:$N$1500,$N$2:$N$1500)),COUNTIF($N$2:$N$1500,$N$2:$N$1500),0)),N938)</f>
        <v>Debit Card</v>
      </c>
      <c r="P938" s="38" cm="1">
        <f t="array" ref="P938">ROUND(IF(TRIM(H938)="",IFERROR(MEDIAN(IF($M$2:$M$1500=M938,$H$2:$H$1500)),MEDIAN($H$2:$H$1500)),H938),2)</f>
        <v>5.95</v>
      </c>
      <c r="Q938" s="38" t="str">
        <f t="shared" si="87"/>
        <v>0</v>
      </c>
      <c r="R938" s="39" cm="1">
        <f t="array" ref="R938">IF(OR(TRIM(J938)="",TRIM(J938)="-"),MEDIAN(IF($C$2:$C$1218=C938,$J$2:$J$1218)),VALUE(SUBSTITUTE(SUBSTITUTE(SUBSTITUTE(J938,"Rs. ",""),"₹",""),",","")))</f>
        <v>17952</v>
      </c>
      <c r="S938" s="40">
        <f t="shared" si="85"/>
        <v>0</v>
      </c>
      <c r="T938" s="41">
        <f t="shared" si="88"/>
        <v>0</v>
      </c>
      <c r="U938" s="42">
        <f t="shared" si="89"/>
        <v>17952</v>
      </c>
    </row>
    <row r="939" spans="1:21" x14ac:dyDescent="0.3">
      <c r="A939" s="37" t="s">
        <v>4549</v>
      </c>
      <c r="B939" s="37" t="s">
        <v>4550</v>
      </c>
      <c r="C939" s="37" t="s">
        <v>2438</v>
      </c>
      <c r="D939" s="37" t="s">
        <v>106</v>
      </c>
      <c r="E939" s="37" t="s">
        <v>107</v>
      </c>
      <c r="F939" s="37" t="s">
        <v>101</v>
      </c>
      <c r="G939" s="37" t="s">
        <v>2412</v>
      </c>
      <c r="H939" s="37">
        <v>24.07</v>
      </c>
      <c r="I939" s="37">
        <v>36</v>
      </c>
      <c r="J939" s="37">
        <v>71668</v>
      </c>
      <c r="K939" s="37" t="s">
        <v>34</v>
      </c>
      <c r="L939" s="37" t="s">
        <v>76</v>
      </c>
      <c r="M939" s="37" t="str">
        <f t="shared" si="86"/>
        <v>ICU</v>
      </c>
      <c r="N939" s="37" t="str">
        <f t="shared" si="84"/>
        <v>Cash</v>
      </c>
      <c r="O939" s="37" t="str" cm="1">
        <f t="array" ref="O939">IF(TRIM(N939)="",INDEX($N$2:$N$1500,MATCH(MAX(COUNTIF($N$2:$N$1500,$N$2:$N$1500)),COUNTIF($N$2:$N$1500,$N$2:$N$1500),0)),N939)</f>
        <v>Cash</v>
      </c>
      <c r="P939" s="38" cm="1">
        <f t="array" ref="P939">ROUND(IF(TRIM(H939)="",IFERROR(MEDIAN(IF($M$2:$M$1500=M939,$H$2:$H$1500)),MEDIAN($H$2:$H$1500)),H939),2)</f>
        <v>24.07</v>
      </c>
      <c r="Q939" s="38" t="str">
        <f t="shared" si="87"/>
        <v>1</v>
      </c>
      <c r="R939" s="39" cm="1">
        <f t="array" ref="R939">IF(OR(TRIM(J939)="",TRIM(J939)="-"),MEDIAN(IF($C$2:$C$1218=C939,$J$2:$J$1218)),VALUE(SUBSTITUTE(SUBSTITUTE(SUBSTITUTE(J939,"Rs. ",""),"₹",""),",","")))</f>
        <v>71668</v>
      </c>
      <c r="S939" s="40">
        <f t="shared" si="85"/>
        <v>10</v>
      </c>
      <c r="T939" s="41">
        <f t="shared" si="88"/>
        <v>10</v>
      </c>
      <c r="U939" s="42">
        <f t="shared" si="89"/>
        <v>64501</v>
      </c>
    </row>
    <row r="940" spans="1:21" x14ac:dyDescent="0.3">
      <c r="A940" s="37" t="s">
        <v>4551</v>
      </c>
      <c r="B940" s="37" t="s">
        <v>4552</v>
      </c>
      <c r="C940" s="37" t="s">
        <v>2434</v>
      </c>
      <c r="D940" s="37" t="s">
        <v>106</v>
      </c>
      <c r="E940" s="37" t="s">
        <v>107</v>
      </c>
      <c r="F940" s="37" t="s">
        <v>39</v>
      </c>
      <c r="G940" s="37" t="s">
        <v>2450</v>
      </c>
      <c r="H940" s="37">
        <v>19.86</v>
      </c>
      <c r="I940" s="37">
        <v>53</v>
      </c>
      <c r="J940" s="37">
        <v>16415</v>
      </c>
      <c r="K940" s="37" t="s">
        <v>42</v>
      </c>
      <c r="L940" s="37">
        <v>12</v>
      </c>
      <c r="M940" s="37" t="str">
        <f t="shared" si="86"/>
        <v>General</v>
      </c>
      <c r="N940" s="37" t="str">
        <f t="shared" si="84"/>
        <v>Insurance</v>
      </c>
      <c r="O940" s="37" t="str" cm="1">
        <f t="array" ref="O940">IF(TRIM(N940)="",INDEX($N$2:$N$1500,MATCH(MAX(COUNTIF($N$2:$N$1500,$N$2:$N$1500)),COUNTIF($N$2:$N$1500,$N$2:$N$1500),0)),N940)</f>
        <v>Insurance</v>
      </c>
      <c r="P940" s="38" cm="1">
        <f t="array" ref="P940">ROUND(IF(TRIM(H940)="",IFERROR(MEDIAN(IF($M$2:$M$1500=M940,$H$2:$H$1500)),MEDIAN($H$2:$H$1500)),H940),2)</f>
        <v>19.86</v>
      </c>
      <c r="Q940" s="38" t="str">
        <f t="shared" si="87"/>
        <v>1</v>
      </c>
      <c r="R940" s="39" cm="1">
        <f t="array" ref="R940">IF(OR(TRIM(J940)="",TRIM(J940)="-"),MEDIAN(IF($C$2:$C$1218=C940,$J$2:$J$1218)),VALUE(SUBSTITUTE(SUBSTITUTE(SUBSTITUTE(J940,"Rs. ",""),"₹",""),",","")))</f>
        <v>16415</v>
      </c>
      <c r="S940" s="40">
        <f t="shared" si="85"/>
        <v>12</v>
      </c>
      <c r="T940" s="41">
        <f t="shared" si="88"/>
        <v>12</v>
      </c>
      <c r="U940" s="42">
        <f t="shared" si="89"/>
        <v>14445</v>
      </c>
    </row>
    <row r="941" spans="1:21" x14ac:dyDescent="0.3">
      <c r="A941" s="37" t="s">
        <v>4553</v>
      </c>
      <c r="B941" s="37" t="s">
        <v>4554</v>
      </c>
      <c r="C941" s="37" t="s">
        <v>2532</v>
      </c>
      <c r="D941" s="37" t="s">
        <v>117</v>
      </c>
      <c r="E941" s="37" t="s">
        <v>127</v>
      </c>
      <c r="F941" s="37" t="s">
        <v>69</v>
      </c>
      <c r="G941" s="37" t="s">
        <v>2428</v>
      </c>
      <c r="H941" s="37">
        <v>0.86</v>
      </c>
      <c r="I941" s="37">
        <v>56</v>
      </c>
      <c r="J941" s="37" t="s">
        <v>4555</v>
      </c>
      <c r="K941" s="37" t="s">
        <v>211</v>
      </c>
      <c r="L941" s="37" t="s">
        <v>198</v>
      </c>
      <c r="M941" s="37" t="str">
        <f t="shared" si="86"/>
        <v>ICU</v>
      </c>
      <c r="N941" s="37" t="str">
        <f t="shared" si="84"/>
        <v>Credit Card</v>
      </c>
      <c r="O941" s="37" t="str" cm="1">
        <f t="array" ref="O941">IF(TRIM(N941)="",INDEX($N$2:$N$1500,MATCH(MAX(COUNTIF($N$2:$N$1500,$N$2:$N$1500)),COUNTIF($N$2:$N$1500,$N$2:$N$1500),0)),N941)</f>
        <v>Credit Card</v>
      </c>
      <c r="P941" s="38" cm="1">
        <f t="array" ref="P941">ROUND(IF(TRIM(H941)="",IFERROR(MEDIAN(IF($M$2:$M$1500=M941,$H$2:$H$1500)),MEDIAN($H$2:$H$1500)),H941),2)</f>
        <v>0.86</v>
      </c>
      <c r="Q941" s="38" t="str">
        <f t="shared" si="87"/>
        <v>2</v>
      </c>
      <c r="R941" s="39" cm="1">
        <f t="array" ref="R941">IF(OR(TRIM(J941)="",TRIM(J941)="-"),MEDIAN(IF($C$2:$C$1218=C941,$J$2:$J$1218)),VALUE(SUBSTITUTE(SUBSTITUTE(SUBSTITUTE(J941,"Rs. ",""),"₹",""),",","")))</f>
        <v>44010</v>
      </c>
      <c r="S941" s="40">
        <f t="shared" si="85"/>
        <v>5</v>
      </c>
      <c r="T941" s="41">
        <f t="shared" si="88"/>
        <v>5</v>
      </c>
      <c r="U941" s="42">
        <f t="shared" si="89"/>
        <v>41810</v>
      </c>
    </row>
    <row r="942" spans="1:21" x14ac:dyDescent="0.3">
      <c r="A942" s="37" t="s">
        <v>4556</v>
      </c>
      <c r="B942" s="37" t="s">
        <v>4557</v>
      </c>
      <c r="C942" s="37" t="s">
        <v>2459</v>
      </c>
      <c r="D942" s="37" t="s">
        <v>14</v>
      </c>
      <c r="E942" s="37" t="s">
        <v>60</v>
      </c>
      <c r="F942" s="37" t="s">
        <v>19</v>
      </c>
      <c r="G942" s="37" t="s">
        <v>2477</v>
      </c>
      <c r="H942" s="37"/>
      <c r="I942" s="37">
        <v>57</v>
      </c>
      <c r="J942" s="37">
        <v>16819</v>
      </c>
      <c r="K942" s="37" t="s">
        <v>52</v>
      </c>
      <c r="L942" s="37" t="s">
        <v>130</v>
      </c>
      <c r="M942" s="37" t="str">
        <f t="shared" si="86"/>
        <v>General</v>
      </c>
      <c r="N942" s="37" t="str">
        <f t="shared" si="84"/>
        <v>Credit Card</v>
      </c>
      <c r="O942" s="37" t="str" cm="1">
        <f t="array" ref="O942">IF(TRIM(N942)="",INDEX($N$2:$N$1500,MATCH(MAX(COUNTIF($N$2:$N$1500,$N$2:$N$1500)),COUNTIF($N$2:$N$1500,$N$2:$N$1500),0)),N942)</f>
        <v>Credit Card</v>
      </c>
      <c r="P942" s="38" cm="1">
        <f t="array" ref="P942">ROUND(IF(TRIM(H942)="",IFERROR(MEDIAN(IF($M$2:$M$1500=M942,$H$2:$H$1500)),MEDIAN($H$2:$H$1500)),H942),2)</f>
        <v>12.02</v>
      </c>
      <c r="Q942" s="38" t="str">
        <f t="shared" si="87"/>
        <v>0</v>
      </c>
      <c r="R942" s="39" cm="1">
        <f t="array" ref="R942">IF(OR(TRIM(J942)="",TRIM(J942)="-"),MEDIAN(IF($C$2:$C$1218=C942,$J$2:$J$1218)),VALUE(SUBSTITUTE(SUBSTITUTE(SUBSTITUTE(J942,"Rs. ",""),"₹",""),",","")))</f>
        <v>16819</v>
      </c>
      <c r="S942" s="40">
        <f t="shared" si="85"/>
        <v>0</v>
      </c>
      <c r="T942" s="41">
        <f t="shared" si="88"/>
        <v>0</v>
      </c>
      <c r="U942" s="42">
        <f t="shared" si="89"/>
        <v>16819</v>
      </c>
    </row>
    <row r="943" spans="1:21" x14ac:dyDescent="0.3">
      <c r="A943" s="37" t="s">
        <v>4558</v>
      </c>
      <c r="B943" s="37" t="s">
        <v>4559</v>
      </c>
      <c r="C943" s="37" t="s">
        <v>2514</v>
      </c>
      <c r="D943" s="37" t="s">
        <v>117</v>
      </c>
      <c r="E943" s="37" t="s">
        <v>127</v>
      </c>
      <c r="F943" s="37" t="s">
        <v>39</v>
      </c>
      <c r="G943" s="37" t="s">
        <v>2423</v>
      </c>
      <c r="H943" s="37">
        <v>16.5</v>
      </c>
      <c r="I943" s="37">
        <v>1</v>
      </c>
      <c r="J943" s="37">
        <v>9365</v>
      </c>
      <c r="K943" s="37" t="s">
        <v>311</v>
      </c>
      <c r="L943" s="37">
        <v>0</v>
      </c>
      <c r="M943" s="37" t="str">
        <f t="shared" si="86"/>
        <v>General</v>
      </c>
      <c r="N943" s="37" t="str">
        <f t="shared" si="84"/>
        <v>UPI</v>
      </c>
      <c r="O943" s="37" t="str" cm="1">
        <f t="array" ref="O943">IF(TRIM(N943)="",INDEX($N$2:$N$1500,MATCH(MAX(COUNTIF($N$2:$N$1500,$N$2:$N$1500)),COUNTIF($N$2:$N$1500,$N$2:$N$1500),0)),N943)</f>
        <v>UPI</v>
      </c>
      <c r="P943" s="38" cm="1">
        <f t="array" ref="P943">ROUND(IF(TRIM(H943)="",IFERROR(MEDIAN(IF($M$2:$M$1500=M943,$H$2:$H$1500)),MEDIAN($H$2:$H$1500)),H943),2)</f>
        <v>16.5</v>
      </c>
      <c r="Q943" s="38" t="str">
        <f t="shared" si="87"/>
        <v>0</v>
      </c>
      <c r="R943" s="39" cm="1">
        <f t="array" ref="R943">IF(OR(TRIM(J943)="",TRIM(J943)="-"),MEDIAN(IF($C$2:$C$1218=C943,$J$2:$J$1218)),VALUE(SUBSTITUTE(SUBSTITUTE(SUBSTITUTE(J943,"Rs. ",""),"₹",""),",","")))</f>
        <v>9365</v>
      </c>
      <c r="S943" s="40">
        <f t="shared" si="85"/>
        <v>0</v>
      </c>
      <c r="T943" s="41">
        <f t="shared" si="88"/>
        <v>0</v>
      </c>
      <c r="U943" s="42">
        <f t="shared" si="89"/>
        <v>9365</v>
      </c>
    </row>
    <row r="944" spans="1:21" x14ac:dyDescent="0.3">
      <c r="A944" s="37" t="s">
        <v>4560</v>
      </c>
      <c r="B944" s="37" t="s">
        <v>3082</v>
      </c>
      <c r="C944" s="37" t="s">
        <v>2415</v>
      </c>
      <c r="D944" s="37" t="s">
        <v>78</v>
      </c>
      <c r="E944" s="37" t="s">
        <v>79</v>
      </c>
      <c r="F944" s="37" t="s">
        <v>30</v>
      </c>
      <c r="G944" s="37" t="s">
        <v>2412</v>
      </c>
      <c r="H944" s="37">
        <v>6.72</v>
      </c>
      <c r="I944" s="37">
        <v>6</v>
      </c>
      <c r="J944" s="37" t="s">
        <v>4561</v>
      </c>
      <c r="K944" s="37" t="s">
        <v>115</v>
      </c>
      <c r="L944" s="37">
        <v>0</v>
      </c>
      <c r="M944" s="37" t="str">
        <f t="shared" si="86"/>
        <v>General</v>
      </c>
      <c r="N944" s="37" t="str">
        <f t="shared" si="84"/>
        <v>Cash</v>
      </c>
      <c r="O944" s="37" t="str" cm="1">
        <f t="array" ref="O944">IF(TRIM(N944)="",INDEX($N$2:$N$1500,MATCH(MAX(COUNTIF($N$2:$N$1500,$N$2:$N$1500)),COUNTIF($N$2:$N$1500,$N$2:$N$1500),0)),N944)</f>
        <v>Cash</v>
      </c>
      <c r="P944" s="38" cm="1">
        <f t="array" ref="P944">ROUND(IF(TRIM(H944)="",IFERROR(MEDIAN(IF($M$2:$M$1500=M944,$H$2:$H$1500)),MEDIAN($H$2:$H$1500)),H944),2)</f>
        <v>6.72</v>
      </c>
      <c r="Q944" s="38" t="str">
        <f t="shared" si="87"/>
        <v>1</v>
      </c>
      <c r="R944" s="39" cm="1">
        <f t="array" ref="R944">IF(OR(TRIM(J944)="",TRIM(J944)="-"),MEDIAN(IF($C$2:$C$1218=C944,$J$2:$J$1218)),VALUE(SUBSTITUTE(SUBSTITUTE(SUBSTITUTE(J944,"Rs. ",""),"₹",""),",","")))</f>
        <v>5109</v>
      </c>
      <c r="S944" s="40">
        <f t="shared" si="85"/>
        <v>0</v>
      </c>
      <c r="T944" s="41">
        <f t="shared" si="88"/>
        <v>0</v>
      </c>
      <c r="U944" s="42">
        <f t="shared" si="89"/>
        <v>5109</v>
      </c>
    </row>
    <row r="945" spans="1:21" x14ac:dyDescent="0.3">
      <c r="A945" s="37" t="s">
        <v>4562</v>
      </c>
      <c r="B945" s="37" t="s">
        <v>3331</v>
      </c>
      <c r="C945" s="37" t="s">
        <v>2629</v>
      </c>
      <c r="D945" s="37" t="s">
        <v>25</v>
      </c>
      <c r="E945" s="37" t="s">
        <v>54</v>
      </c>
      <c r="F945" s="37" t="s">
        <v>49</v>
      </c>
      <c r="G945" s="37" t="s">
        <v>2418</v>
      </c>
      <c r="H945" s="37">
        <v>10.95</v>
      </c>
      <c r="I945" s="37">
        <v>25</v>
      </c>
      <c r="J945" s="37">
        <v>16391</v>
      </c>
      <c r="K945" s="37" t="s">
        <v>115</v>
      </c>
      <c r="L945" s="37"/>
      <c r="M945" s="37" t="str">
        <f t="shared" si="86"/>
        <v>General</v>
      </c>
      <c r="N945" s="37" t="str">
        <f t="shared" si="84"/>
        <v>Cash</v>
      </c>
      <c r="O945" s="37" t="str" cm="1">
        <f t="array" ref="O945">IF(TRIM(N945)="",INDEX($N$2:$N$1500,MATCH(MAX(COUNTIF($N$2:$N$1500,$N$2:$N$1500)),COUNTIF($N$2:$N$1500,$N$2:$N$1500),0)),N945)</f>
        <v>Cash</v>
      </c>
      <c r="P945" s="38" cm="1">
        <f t="array" ref="P945">ROUND(IF(TRIM(H945)="",IFERROR(MEDIAN(IF($M$2:$M$1500=M945,$H$2:$H$1500)),MEDIAN($H$2:$H$1500)),H945),2)</f>
        <v>10.95</v>
      </c>
      <c r="Q945" s="38" t="str">
        <f t="shared" si="87"/>
        <v>1</v>
      </c>
      <c r="R945" s="39" cm="1">
        <f t="array" ref="R945">IF(OR(TRIM(J945)="",TRIM(J945)="-"),MEDIAN(IF($C$2:$C$1218=C945,$J$2:$J$1218)),VALUE(SUBSTITUTE(SUBSTITUTE(SUBSTITUTE(J945,"Rs. ",""),"₹",""),",","")))</f>
        <v>16391</v>
      </c>
      <c r="S945" s="40">
        <f t="shared" si="85"/>
        <v>0</v>
      </c>
      <c r="T945" s="41">
        <f t="shared" si="88"/>
        <v>0</v>
      </c>
      <c r="U945" s="42">
        <f t="shared" si="89"/>
        <v>16391</v>
      </c>
    </row>
    <row r="946" spans="1:21" x14ac:dyDescent="0.3">
      <c r="A946" s="37" t="s">
        <v>4563</v>
      </c>
      <c r="B946" s="37" t="s">
        <v>4564</v>
      </c>
      <c r="C946" s="37" t="s">
        <v>2411</v>
      </c>
      <c r="D946" s="37" t="s">
        <v>45</v>
      </c>
      <c r="E946" s="37" t="s">
        <v>46</v>
      </c>
      <c r="F946" s="37" t="s">
        <v>19</v>
      </c>
      <c r="G946" s="37" t="s">
        <v>2477</v>
      </c>
      <c r="H946" s="37">
        <v>20.170000000000002</v>
      </c>
      <c r="I946" s="37">
        <v>33</v>
      </c>
      <c r="J946" s="37">
        <v>5902</v>
      </c>
      <c r="K946" s="37" t="s">
        <v>115</v>
      </c>
      <c r="L946" s="37">
        <v>0</v>
      </c>
      <c r="M946" s="37" t="str">
        <f t="shared" si="86"/>
        <v>General</v>
      </c>
      <c r="N946" s="37" t="str">
        <f t="shared" si="84"/>
        <v>Cash</v>
      </c>
      <c r="O946" s="37" t="str" cm="1">
        <f t="array" ref="O946">IF(TRIM(N946)="",INDEX($N$2:$N$1500,MATCH(MAX(COUNTIF($N$2:$N$1500,$N$2:$N$1500)),COUNTIF($N$2:$N$1500,$N$2:$N$1500),0)),N946)</f>
        <v>Cash</v>
      </c>
      <c r="P946" s="38" cm="1">
        <f t="array" ref="P946">ROUND(IF(TRIM(H946)="",IFERROR(MEDIAN(IF($M$2:$M$1500=M946,$H$2:$H$1500)),MEDIAN($H$2:$H$1500)),H946),2)</f>
        <v>20.170000000000002</v>
      </c>
      <c r="Q946" s="38" t="str">
        <f t="shared" si="87"/>
        <v>0</v>
      </c>
      <c r="R946" s="39" cm="1">
        <f t="array" ref="R946">IF(OR(TRIM(J946)="",TRIM(J946)="-"),MEDIAN(IF($C$2:$C$1218=C946,$J$2:$J$1218)),VALUE(SUBSTITUTE(SUBSTITUTE(SUBSTITUTE(J946,"Rs. ",""),"₹",""),",","")))</f>
        <v>5902</v>
      </c>
      <c r="S946" s="40">
        <f t="shared" si="85"/>
        <v>0</v>
      </c>
      <c r="T946" s="41">
        <f t="shared" si="88"/>
        <v>0</v>
      </c>
      <c r="U946" s="42">
        <f t="shared" si="89"/>
        <v>5902</v>
      </c>
    </row>
    <row r="947" spans="1:21" x14ac:dyDescent="0.3">
      <c r="A947" s="37" t="s">
        <v>4565</v>
      </c>
      <c r="B947" s="37" t="s">
        <v>3149</v>
      </c>
      <c r="C947" s="37" t="s">
        <v>2422</v>
      </c>
      <c r="D947" s="37" t="s">
        <v>106</v>
      </c>
      <c r="E947" s="37" t="s">
        <v>307</v>
      </c>
      <c r="F947" s="37" t="s">
        <v>49</v>
      </c>
      <c r="G947" s="37" t="s">
        <v>2408</v>
      </c>
      <c r="H947" s="37">
        <v>16.34</v>
      </c>
      <c r="I947" s="37">
        <v>4</v>
      </c>
      <c r="J947" s="37" t="s">
        <v>4566</v>
      </c>
      <c r="K947" s="37" t="s">
        <v>115</v>
      </c>
      <c r="L947" s="37" t="s">
        <v>64</v>
      </c>
      <c r="M947" s="37" t="str">
        <f t="shared" si="86"/>
        <v>General</v>
      </c>
      <c r="N947" s="37" t="str">
        <f t="shared" si="84"/>
        <v>Cash</v>
      </c>
      <c r="O947" s="37" t="str" cm="1">
        <f t="array" ref="O947">IF(TRIM(N947)="",INDEX($N$2:$N$1500,MATCH(MAX(COUNTIF($N$2:$N$1500,$N$2:$N$1500)),COUNTIF($N$2:$N$1500,$N$2:$N$1500),0)),N947)</f>
        <v>Cash</v>
      </c>
      <c r="P947" s="38" cm="1">
        <f t="array" ref="P947">ROUND(IF(TRIM(H947)="",IFERROR(MEDIAN(IF($M$2:$M$1500=M947,$H$2:$H$1500)),MEDIAN($H$2:$H$1500)),H947),2)</f>
        <v>16.34</v>
      </c>
      <c r="Q947" s="38" t="str">
        <f t="shared" si="87"/>
        <v>0</v>
      </c>
      <c r="R947" s="39" cm="1">
        <f t="array" ref="R947">IF(OR(TRIM(J947)="",TRIM(J947)="-"),MEDIAN(IF($C$2:$C$1218=C947,$J$2:$J$1218)),VALUE(SUBSTITUTE(SUBSTITUTE(SUBSTITUTE(J947,"Rs. ",""),"₹",""),",","")))</f>
        <v>18213</v>
      </c>
      <c r="S947" s="40" t="str">
        <f t="shared" si="85"/>
        <v>NA</v>
      </c>
      <c r="T947" s="41">
        <f t="shared" si="88"/>
        <v>2</v>
      </c>
      <c r="U947" s="42">
        <f t="shared" si="89"/>
        <v>17849</v>
      </c>
    </row>
    <row r="948" spans="1:21" x14ac:dyDescent="0.3">
      <c r="A948" s="37" t="s">
        <v>4567</v>
      </c>
      <c r="B948" s="37" t="s">
        <v>3164</v>
      </c>
      <c r="C948" s="37" t="s">
        <v>2577</v>
      </c>
      <c r="D948" s="37" t="s">
        <v>25</v>
      </c>
      <c r="E948" s="37" t="s">
        <v>54</v>
      </c>
      <c r="F948" s="37" t="s">
        <v>39</v>
      </c>
      <c r="G948" s="37" t="s">
        <v>2746</v>
      </c>
      <c r="H948" s="37"/>
      <c r="I948" s="37">
        <v>28</v>
      </c>
      <c r="J948" s="37">
        <v>8260</v>
      </c>
      <c r="K948" s="37" t="s">
        <v>34</v>
      </c>
      <c r="L948" s="37" t="s">
        <v>198</v>
      </c>
      <c r="M948" s="37" t="str">
        <f t="shared" si="86"/>
        <v>General</v>
      </c>
      <c r="N948" s="37" t="str">
        <f t="shared" si="84"/>
        <v>Cash</v>
      </c>
      <c r="O948" s="37" t="str" cm="1">
        <f t="array" ref="O948">IF(TRIM(N948)="",INDEX($N$2:$N$1500,MATCH(MAX(COUNTIF($N$2:$N$1500,$N$2:$N$1500)),COUNTIF($N$2:$N$1500,$N$2:$N$1500),0)),N948)</f>
        <v>Cash</v>
      </c>
      <c r="P948" s="38" cm="1">
        <f t="array" ref="P948">ROUND(IF(TRIM(H948)="",IFERROR(MEDIAN(IF($M$2:$M$1500=M948,$H$2:$H$1500)),MEDIAN($H$2:$H$1500)),H948),2)</f>
        <v>12.02</v>
      </c>
      <c r="Q948" s="38" t="str">
        <f t="shared" si="87"/>
        <v>2</v>
      </c>
      <c r="R948" s="39" cm="1">
        <f t="array" ref="R948">IF(OR(TRIM(J948)="",TRIM(J948)="-"),MEDIAN(IF($C$2:$C$1218=C948,$J$2:$J$1218)),VALUE(SUBSTITUTE(SUBSTITUTE(SUBSTITUTE(J948,"Rs. ",""),"₹",""),",","")))</f>
        <v>8260</v>
      </c>
      <c r="S948" s="40">
        <f t="shared" si="85"/>
        <v>5</v>
      </c>
      <c r="T948" s="41">
        <f t="shared" si="88"/>
        <v>5</v>
      </c>
      <c r="U948" s="42">
        <f t="shared" si="89"/>
        <v>7847</v>
      </c>
    </row>
    <row r="949" spans="1:21" x14ac:dyDescent="0.3">
      <c r="A949" s="37" t="s">
        <v>4568</v>
      </c>
      <c r="B949" s="37" t="s">
        <v>2853</v>
      </c>
      <c r="C949" s="37" t="s">
        <v>2514</v>
      </c>
      <c r="D949" s="37" t="s">
        <v>14</v>
      </c>
      <c r="E949" s="37" t="s">
        <v>60</v>
      </c>
      <c r="F949" s="37" t="s">
        <v>49</v>
      </c>
      <c r="G949" s="37" t="s">
        <v>2477</v>
      </c>
      <c r="H949" s="37"/>
      <c r="I949" s="37">
        <v>27</v>
      </c>
      <c r="J949" s="37" t="s">
        <v>4569</v>
      </c>
      <c r="K949" s="37" t="s">
        <v>23</v>
      </c>
      <c r="L949" s="37">
        <v>0</v>
      </c>
      <c r="M949" s="37" t="str">
        <f t="shared" si="86"/>
        <v>General</v>
      </c>
      <c r="N949" s="37" t="str">
        <f t="shared" si="84"/>
        <v>Credit Card</v>
      </c>
      <c r="O949" s="37" t="str" cm="1">
        <f t="array" ref="O949">IF(TRIM(N949)="",INDEX($N$2:$N$1500,MATCH(MAX(COUNTIF($N$2:$N$1500,$N$2:$N$1500)),COUNTIF($N$2:$N$1500,$N$2:$N$1500),0)),N949)</f>
        <v>Credit Card</v>
      </c>
      <c r="P949" s="38" cm="1">
        <f t="array" ref="P949">ROUND(IF(TRIM(H949)="",IFERROR(MEDIAN(IF($M$2:$M$1500=M949,$H$2:$H$1500)),MEDIAN($H$2:$H$1500)),H949),2)</f>
        <v>12.02</v>
      </c>
      <c r="Q949" s="38" t="str">
        <f t="shared" si="87"/>
        <v>0</v>
      </c>
      <c r="R949" s="39" cm="1">
        <f t="array" ref="R949">IF(OR(TRIM(J949)="",TRIM(J949)="-"),MEDIAN(IF($C$2:$C$1218=C949,$J$2:$J$1218)),VALUE(SUBSTITUTE(SUBSTITUTE(SUBSTITUTE(J949,"Rs. ",""),"₹",""),",","")))</f>
        <v>10260</v>
      </c>
      <c r="S949" s="40">
        <f t="shared" si="85"/>
        <v>0</v>
      </c>
      <c r="T949" s="41">
        <f t="shared" si="88"/>
        <v>0</v>
      </c>
      <c r="U949" s="42">
        <f t="shared" si="89"/>
        <v>10260</v>
      </c>
    </row>
    <row r="950" spans="1:21" x14ac:dyDescent="0.3">
      <c r="A950" s="37" t="s">
        <v>4570</v>
      </c>
      <c r="B950" s="37" t="s">
        <v>4571</v>
      </c>
      <c r="C950" s="37" t="s">
        <v>2494</v>
      </c>
      <c r="D950" s="37" t="s">
        <v>78</v>
      </c>
      <c r="E950" s="37" t="s">
        <v>203</v>
      </c>
      <c r="F950" s="37" t="s">
        <v>30</v>
      </c>
      <c r="G950" s="37" t="s">
        <v>2435</v>
      </c>
      <c r="H950" s="37"/>
      <c r="I950" s="37">
        <v>19</v>
      </c>
      <c r="J950" s="37">
        <v>13710</v>
      </c>
      <c r="K950" s="37" t="s">
        <v>23</v>
      </c>
      <c r="L950" s="37">
        <v>0</v>
      </c>
      <c r="M950" s="37" t="str">
        <f t="shared" si="86"/>
        <v>General</v>
      </c>
      <c r="N950" s="37" t="str">
        <f t="shared" si="84"/>
        <v>Credit Card</v>
      </c>
      <c r="O950" s="37" t="str" cm="1">
        <f t="array" ref="O950">IF(TRIM(N950)="",INDEX($N$2:$N$1500,MATCH(MAX(COUNTIF($N$2:$N$1500,$N$2:$N$1500)),COUNTIF($N$2:$N$1500,$N$2:$N$1500),0)),N950)</f>
        <v>Credit Card</v>
      </c>
      <c r="P950" s="38" cm="1">
        <f t="array" ref="P950">ROUND(IF(TRIM(H950)="",IFERROR(MEDIAN(IF($M$2:$M$1500=M950,$H$2:$H$1500)),MEDIAN($H$2:$H$1500)),H950),2)</f>
        <v>12.02</v>
      </c>
      <c r="Q950" s="38" t="str">
        <f t="shared" si="87"/>
        <v>0</v>
      </c>
      <c r="R950" s="39" cm="1">
        <f t="array" ref="R950">IF(OR(TRIM(J950)="",TRIM(J950)="-"),MEDIAN(IF($C$2:$C$1218=C950,$J$2:$J$1218)),VALUE(SUBSTITUTE(SUBSTITUTE(SUBSTITUTE(J950,"Rs. ",""),"₹",""),",","")))</f>
        <v>13710</v>
      </c>
      <c r="S950" s="40">
        <f t="shared" si="85"/>
        <v>0</v>
      </c>
      <c r="T950" s="41">
        <f t="shared" si="88"/>
        <v>0</v>
      </c>
      <c r="U950" s="42">
        <f t="shared" si="89"/>
        <v>13710</v>
      </c>
    </row>
    <row r="951" spans="1:21" x14ac:dyDescent="0.3">
      <c r="A951" s="37" t="s">
        <v>4572</v>
      </c>
      <c r="B951" s="37" t="s">
        <v>3380</v>
      </c>
      <c r="C951" s="37" t="s">
        <v>2463</v>
      </c>
      <c r="D951" s="37" t="s">
        <v>25</v>
      </c>
      <c r="E951" s="37" t="s">
        <v>54</v>
      </c>
      <c r="F951" s="37" t="s">
        <v>30</v>
      </c>
      <c r="G951" s="37" t="s">
        <v>2477</v>
      </c>
      <c r="H951" s="37">
        <v>19.79</v>
      </c>
      <c r="I951" s="37">
        <v>17</v>
      </c>
      <c r="J951" s="37">
        <v>7759</v>
      </c>
      <c r="K951" s="37" t="s">
        <v>97</v>
      </c>
      <c r="L951" s="37" t="s">
        <v>130</v>
      </c>
      <c r="M951" s="37" t="str">
        <f t="shared" si="86"/>
        <v>General</v>
      </c>
      <c r="N951" s="37" t="str">
        <f t="shared" si="84"/>
        <v>UPI</v>
      </c>
      <c r="O951" s="37" t="str" cm="1">
        <f t="array" ref="O951">IF(TRIM(N951)="",INDEX($N$2:$N$1500,MATCH(MAX(COUNTIF($N$2:$N$1500,$N$2:$N$1500)),COUNTIF($N$2:$N$1500,$N$2:$N$1500),0)),N951)</f>
        <v>UPI</v>
      </c>
      <c r="P951" s="38" cm="1">
        <f t="array" ref="P951">ROUND(IF(TRIM(H951)="",IFERROR(MEDIAN(IF($M$2:$M$1500=M951,$H$2:$H$1500)),MEDIAN($H$2:$H$1500)),H951),2)</f>
        <v>19.79</v>
      </c>
      <c r="Q951" s="38" t="str">
        <f t="shared" si="87"/>
        <v>0</v>
      </c>
      <c r="R951" s="39" cm="1">
        <f t="array" ref="R951">IF(OR(TRIM(J951)="",TRIM(J951)="-"),MEDIAN(IF($C$2:$C$1218=C951,$J$2:$J$1218)),VALUE(SUBSTITUTE(SUBSTITUTE(SUBSTITUTE(J951,"Rs. ",""),"₹",""),",","")))</f>
        <v>7759</v>
      </c>
      <c r="S951" s="40">
        <f t="shared" si="85"/>
        <v>0</v>
      </c>
      <c r="T951" s="41">
        <f t="shared" si="88"/>
        <v>0</v>
      </c>
      <c r="U951" s="42">
        <f t="shared" si="89"/>
        <v>7759</v>
      </c>
    </row>
    <row r="952" spans="1:21" x14ac:dyDescent="0.3">
      <c r="A952" s="37" t="s">
        <v>4573</v>
      </c>
      <c r="B952" s="37" t="s">
        <v>2940</v>
      </c>
      <c r="C952" s="37" t="s">
        <v>2427</v>
      </c>
      <c r="D952" s="37" t="s">
        <v>106</v>
      </c>
      <c r="E952" s="37" t="s">
        <v>107</v>
      </c>
      <c r="F952" s="37" t="s">
        <v>101</v>
      </c>
      <c r="G952" s="37" t="s">
        <v>2423</v>
      </c>
      <c r="H952" s="37">
        <v>23.77</v>
      </c>
      <c r="I952" s="37">
        <v>53</v>
      </c>
      <c r="J952" s="37">
        <v>31443</v>
      </c>
      <c r="K952" s="37" t="s">
        <v>52</v>
      </c>
      <c r="L952" s="37"/>
      <c r="M952" s="37" t="str">
        <f t="shared" si="86"/>
        <v>ICU</v>
      </c>
      <c r="N952" s="37" t="str">
        <f t="shared" si="84"/>
        <v>Credit Card</v>
      </c>
      <c r="O952" s="37" t="str" cm="1">
        <f t="array" ref="O952">IF(TRIM(N952)="",INDEX($N$2:$N$1500,MATCH(MAX(COUNTIF($N$2:$N$1500,$N$2:$N$1500)),COUNTIF($N$2:$N$1500,$N$2:$N$1500),0)),N952)</f>
        <v>Credit Card</v>
      </c>
      <c r="P952" s="38" cm="1">
        <f t="array" ref="P952">ROUND(IF(TRIM(H952)="",IFERROR(MEDIAN(IF($M$2:$M$1500=M952,$H$2:$H$1500)),MEDIAN($H$2:$H$1500)),H952),2)</f>
        <v>23.77</v>
      </c>
      <c r="Q952" s="38" t="str">
        <f t="shared" si="87"/>
        <v>0</v>
      </c>
      <c r="R952" s="39" cm="1">
        <f t="array" ref="R952">IF(OR(TRIM(J952)="",TRIM(J952)="-"),MEDIAN(IF($C$2:$C$1218=C952,$J$2:$J$1218)),VALUE(SUBSTITUTE(SUBSTITUTE(SUBSTITUTE(J952,"Rs. ",""),"₹",""),",","")))</f>
        <v>31443</v>
      </c>
      <c r="S952" s="40">
        <f t="shared" si="85"/>
        <v>0</v>
      </c>
      <c r="T952" s="41">
        <f t="shared" si="88"/>
        <v>0</v>
      </c>
      <c r="U952" s="42">
        <f t="shared" si="89"/>
        <v>31443</v>
      </c>
    </row>
    <row r="953" spans="1:21" x14ac:dyDescent="0.3">
      <c r="A953" s="37" t="s">
        <v>4574</v>
      </c>
      <c r="B953" s="37" t="s">
        <v>4575</v>
      </c>
      <c r="C953" s="37" t="s">
        <v>2536</v>
      </c>
      <c r="D953" s="37" t="s">
        <v>117</v>
      </c>
      <c r="E953" s="37" t="s">
        <v>182</v>
      </c>
      <c r="F953" s="37" t="s">
        <v>19</v>
      </c>
      <c r="G953" s="37" t="s">
        <v>2439</v>
      </c>
      <c r="H953" s="37">
        <v>5.76</v>
      </c>
      <c r="I953" s="37">
        <v>42</v>
      </c>
      <c r="J953" s="37" t="s">
        <v>4576</v>
      </c>
      <c r="K953" s="37" t="s">
        <v>211</v>
      </c>
      <c r="L953" s="37" t="s">
        <v>198</v>
      </c>
      <c r="M953" s="37" t="str">
        <f t="shared" si="86"/>
        <v>General</v>
      </c>
      <c r="N953" s="37" t="str">
        <f t="shared" si="84"/>
        <v>Credit Card</v>
      </c>
      <c r="O953" s="37" t="str" cm="1">
        <f t="array" ref="O953">IF(TRIM(N953)="",INDEX($N$2:$N$1500,MATCH(MAX(COUNTIF($N$2:$N$1500,$N$2:$N$1500)),COUNTIF($N$2:$N$1500,$N$2:$N$1500),0)),N953)</f>
        <v>Credit Card</v>
      </c>
      <c r="P953" s="38" cm="1">
        <f t="array" ref="P953">ROUND(IF(TRIM(H953)="",IFERROR(MEDIAN(IF($M$2:$M$1500=M953,$H$2:$H$1500)),MEDIAN($H$2:$H$1500)),H953),2)</f>
        <v>5.76</v>
      </c>
      <c r="Q953" s="38" t="str">
        <f t="shared" si="87"/>
        <v>2</v>
      </c>
      <c r="R953" s="39" cm="1">
        <f t="array" ref="R953">IF(OR(TRIM(J953)="",TRIM(J953)="-"),MEDIAN(IF($C$2:$C$1218=C953,$J$2:$J$1218)),VALUE(SUBSTITUTE(SUBSTITUTE(SUBSTITUTE(J953,"Rs. ",""),"₹",""),",","")))</f>
        <v>16184</v>
      </c>
      <c r="S953" s="40">
        <f t="shared" si="85"/>
        <v>5</v>
      </c>
      <c r="T953" s="41">
        <f t="shared" si="88"/>
        <v>5</v>
      </c>
      <c r="U953" s="42">
        <f t="shared" si="89"/>
        <v>15375</v>
      </c>
    </row>
    <row r="954" spans="1:21" x14ac:dyDescent="0.3">
      <c r="A954" s="37" t="s">
        <v>4577</v>
      </c>
      <c r="B954" s="37" t="s">
        <v>4578</v>
      </c>
      <c r="C954" s="37" t="s">
        <v>2411</v>
      </c>
      <c r="D954" s="37" t="s">
        <v>45</v>
      </c>
      <c r="E954" s="37" t="s">
        <v>334</v>
      </c>
      <c r="F954" s="37" t="s">
        <v>49</v>
      </c>
      <c r="G954" s="37" t="s">
        <v>2423</v>
      </c>
      <c r="H954" s="37">
        <v>1.23</v>
      </c>
      <c r="I954" s="37">
        <v>6</v>
      </c>
      <c r="J954" s="37">
        <v>18723</v>
      </c>
      <c r="K954" s="37" t="s">
        <v>115</v>
      </c>
      <c r="L954" s="37">
        <v>0</v>
      </c>
      <c r="M954" s="37" t="str">
        <f t="shared" si="86"/>
        <v>General</v>
      </c>
      <c r="N954" s="37" t="str">
        <f t="shared" si="84"/>
        <v>Cash</v>
      </c>
      <c r="O954" s="37" t="str" cm="1">
        <f t="array" ref="O954">IF(TRIM(N954)="",INDEX($N$2:$N$1500,MATCH(MAX(COUNTIF($N$2:$N$1500,$N$2:$N$1500)),COUNTIF($N$2:$N$1500,$N$2:$N$1500),0)),N954)</f>
        <v>Cash</v>
      </c>
      <c r="P954" s="38" cm="1">
        <f t="array" ref="P954">ROUND(IF(TRIM(H954)="",IFERROR(MEDIAN(IF($M$2:$M$1500=M954,$H$2:$H$1500)),MEDIAN($H$2:$H$1500)),H954),2)</f>
        <v>1.23</v>
      </c>
      <c r="Q954" s="38" t="str">
        <f t="shared" si="87"/>
        <v>0</v>
      </c>
      <c r="R954" s="39" cm="1">
        <f t="array" ref="R954">IF(OR(TRIM(J954)="",TRIM(J954)="-"),MEDIAN(IF($C$2:$C$1218=C954,$J$2:$J$1218)),VALUE(SUBSTITUTE(SUBSTITUTE(SUBSTITUTE(J954,"Rs. ",""),"₹",""),",","")))</f>
        <v>18723</v>
      </c>
      <c r="S954" s="40">
        <f t="shared" si="85"/>
        <v>0</v>
      </c>
      <c r="T954" s="41">
        <f t="shared" si="88"/>
        <v>0</v>
      </c>
      <c r="U954" s="42">
        <f t="shared" si="89"/>
        <v>18723</v>
      </c>
    </row>
    <row r="955" spans="1:21" x14ac:dyDescent="0.3">
      <c r="A955" s="37" t="s">
        <v>4579</v>
      </c>
      <c r="B955" s="37" t="s">
        <v>3575</v>
      </c>
      <c r="C955" s="37" t="s">
        <v>2504</v>
      </c>
      <c r="D955" s="37" t="s">
        <v>106</v>
      </c>
      <c r="E955" s="37" t="s">
        <v>107</v>
      </c>
      <c r="F955" s="37" t="s">
        <v>30</v>
      </c>
      <c r="G955" s="37" t="s">
        <v>2418</v>
      </c>
      <c r="H955" s="37">
        <v>11.86</v>
      </c>
      <c r="I955" s="37">
        <v>10</v>
      </c>
      <c r="J955" s="37" t="s">
        <v>4580</v>
      </c>
      <c r="K955" s="37"/>
      <c r="L955" s="37">
        <v>10</v>
      </c>
      <c r="M955" s="37" t="str">
        <f t="shared" si="86"/>
        <v>General</v>
      </c>
      <c r="N955" s="37" t="str">
        <f t="shared" si="84"/>
        <v>Unknown</v>
      </c>
      <c r="O955" s="37" t="str" cm="1">
        <f t="array" ref="O955">IF(TRIM(N955)="",INDEX($N$2:$N$1500,MATCH(MAX(COUNTIF($N$2:$N$1500,$N$2:$N$1500)),COUNTIF($N$2:$N$1500,$N$2:$N$1500),0)),N955)</f>
        <v>Unknown</v>
      </c>
      <c r="P955" s="38" cm="1">
        <f t="array" ref="P955">ROUND(IF(TRIM(H955)="",IFERROR(MEDIAN(IF($M$2:$M$1500=M955,$H$2:$H$1500)),MEDIAN($H$2:$H$1500)),H955),2)</f>
        <v>11.86</v>
      </c>
      <c r="Q955" s="38" t="str">
        <f t="shared" si="87"/>
        <v>1</v>
      </c>
      <c r="R955" s="39" cm="1">
        <f t="array" ref="R955">IF(OR(TRIM(J955)="",TRIM(J955)="-"),MEDIAN(IF($C$2:$C$1218=C955,$J$2:$J$1218)),VALUE(SUBSTITUTE(SUBSTITUTE(SUBSTITUTE(J955,"Rs. ",""),"₹",""),",","")))</f>
        <v>16440</v>
      </c>
      <c r="S955" s="40">
        <f t="shared" si="85"/>
        <v>10</v>
      </c>
      <c r="T955" s="41">
        <f t="shared" si="88"/>
        <v>10</v>
      </c>
      <c r="U955" s="42">
        <f t="shared" si="89"/>
        <v>14796</v>
      </c>
    </row>
    <row r="956" spans="1:21" x14ac:dyDescent="0.3">
      <c r="A956" s="37" t="s">
        <v>4581</v>
      </c>
      <c r="B956" s="37" t="s">
        <v>4582</v>
      </c>
      <c r="C956" s="37" t="s">
        <v>2561</v>
      </c>
      <c r="D956" s="37" t="s">
        <v>106</v>
      </c>
      <c r="E956" s="37" t="s">
        <v>107</v>
      </c>
      <c r="F956" s="37" t="s">
        <v>19</v>
      </c>
      <c r="G956" s="37" t="s">
        <v>2423</v>
      </c>
      <c r="H956" s="37">
        <v>8.19</v>
      </c>
      <c r="I956" s="37">
        <v>18</v>
      </c>
      <c r="J956" s="37">
        <v>8565</v>
      </c>
      <c r="K956" s="37" t="s">
        <v>97</v>
      </c>
      <c r="L956" s="37"/>
      <c r="M956" s="37" t="str">
        <f t="shared" si="86"/>
        <v>General</v>
      </c>
      <c r="N956" s="37" t="str">
        <f t="shared" si="84"/>
        <v>UPI</v>
      </c>
      <c r="O956" s="37" t="str" cm="1">
        <f t="array" ref="O956">IF(TRIM(N956)="",INDEX($N$2:$N$1500,MATCH(MAX(COUNTIF($N$2:$N$1500,$N$2:$N$1500)),COUNTIF($N$2:$N$1500,$N$2:$N$1500),0)),N956)</f>
        <v>UPI</v>
      </c>
      <c r="P956" s="38" cm="1">
        <f t="array" ref="P956">ROUND(IF(TRIM(H956)="",IFERROR(MEDIAN(IF($M$2:$M$1500=M956,$H$2:$H$1500)),MEDIAN($H$2:$H$1500)),H956),2)</f>
        <v>8.19</v>
      </c>
      <c r="Q956" s="38" t="str">
        <f t="shared" si="87"/>
        <v>0</v>
      </c>
      <c r="R956" s="39" cm="1">
        <f t="array" ref="R956">IF(OR(TRIM(J956)="",TRIM(J956)="-"),MEDIAN(IF($C$2:$C$1218=C956,$J$2:$J$1218)),VALUE(SUBSTITUTE(SUBSTITUTE(SUBSTITUTE(J956,"Rs. ",""),"₹",""),",","")))</f>
        <v>8565</v>
      </c>
      <c r="S956" s="40">
        <f t="shared" si="85"/>
        <v>0</v>
      </c>
      <c r="T956" s="41">
        <f t="shared" si="88"/>
        <v>0</v>
      </c>
      <c r="U956" s="42">
        <f t="shared" si="89"/>
        <v>8565</v>
      </c>
    </row>
    <row r="957" spans="1:21" x14ac:dyDescent="0.3">
      <c r="A957" s="37" t="s">
        <v>4583</v>
      </c>
      <c r="B957" s="37" t="s">
        <v>4584</v>
      </c>
      <c r="C957" s="37" t="s">
        <v>2427</v>
      </c>
      <c r="D957" s="37" t="s">
        <v>106</v>
      </c>
      <c r="E957" s="37" t="s">
        <v>107</v>
      </c>
      <c r="F957" s="37" t="s">
        <v>49</v>
      </c>
      <c r="G957" s="37" t="s">
        <v>2477</v>
      </c>
      <c r="H957" s="37">
        <v>6.59</v>
      </c>
      <c r="I957" s="37">
        <v>10</v>
      </c>
      <c r="J957" s="37" t="s">
        <v>4585</v>
      </c>
      <c r="K957" s="37" t="s">
        <v>34</v>
      </c>
      <c r="L957" s="37">
        <v>0</v>
      </c>
      <c r="M957" s="37" t="str">
        <f t="shared" si="86"/>
        <v>General</v>
      </c>
      <c r="N957" s="37" t="str">
        <f t="shared" si="84"/>
        <v>Cash</v>
      </c>
      <c r="O957" s="37" t="str" cm="1">
        <f t="array" ref="O957">IF(TRIM(N957)="",INDEX($N$2:$N$1500,MATCH(MAX(COUNTIF($N$2:$N$1500,$N$2:$N$1500)),COUNTIF($N$2:$N$1500,$N$2:$N$1500),0)),N957)</f>
        <v>Cash</v>
      </c>
      <c r="P957" s="38" cm="1">
        <f t="array" ref="P957">ROUND(IF(TRIM(H957)="",IFERROR(MEDIAN(IF($M$2:$M$1500=M957,$H$2:$H$1500)),MEDIAN($H$2:$H$1500)),H957),2)</f>
        <v>6.59</v>
      </c>
      <c r="Q957" s="38" t="str">
        <f t="shared" si="87"/>
        <v>0</v>
      </c>
      <c r="R957" s="39" cm="1">
        <f t="array" ref="R957">IF(OR(TRIM(J957)="",TRIM(J957)="-"),MEDIAN(IF($C$2:$C$1218=C957,$J$2:$J$1218)),VALUE(SUBSTITUTE(SUBSTITUTE(SUBSTITUTE(J957,"Rs. ",""),"₹",""),",","")))</f>
        <v>7464</v>
      </c>
      <c r="S957" s="40">
        <f t="shared" si="85"/>
        <v>0</v>
      </c>
      <c r="T957" s="41">
        <f t="shared" si="88"/>
        <v>0</v>
      </c>
      <c r="U957" s="42">
        <f t="shared" si="89"/>
        <v>7464</v>
      </c>
    </row>
    <row r="958" spans="1:21" x14ac:dyDescent="0.3">
      <c r="A958" s="37" t="s">
        <v>4586</v>
      </c>
      <c r="B958" s="37" t="s">
        <v>2729</v>
      </c>
      <c r="C958" s="37" t="s">
        <v>2730</v>
      </c>
      <c r="D958" s="37" t="s">
        <v>117</v>
      </c>
      <c r="E958" s="37" t="s">
        <v>118</v>
      </c>
      <c r="F958" s="37" t="s">
        <v>39</v>
      </c>
      <c r="G958" s="37" t="s">
        <v>2450</v>
      </c>
      <c r="H958" s="37"/>
      <c r="I958" s="37">
        <v>26</v>
      </c>
      <c r="J958" s="37" t="s">
        <v>4587</v>
      </c>
      <c r="K958" s="37" t="s">
        <v>52</v>
      </c>
      <c r="L958" s="37">
        <v>0</v>
      </c>
      <c r="M958" s="37" t="str">
        <f t="shared" si="86"/>
        <v>General</v>
      </c>
      <c r="N958" s="37" t="str">
        <f t="shared" si="84"/>
        <v>Credit Card</v>
      </c>
      <c r="O958" s="37" t="str" cm="1">
        <f t="array" ref="O958">IF(TRIM(N958)="",INDEX($N$2:$N$1500,MATCH(MAX(COUNTIF($N$2:$N$1500,$N$2:$N$1500)),COUNTIF($N$2:$N$1500,$N$2:$N$1500),0)),N958)</f>
        <v>Credit Card</v>
      </c>
      <c r="P958" s="38" cm="1">
        <f t="array" ref="P958">ROUND(IF(TRIM(H958)="",IFERROR(MEDIAN(IF($M$2:$M$1500=M958,$H$2:$H$1500)),MEDIAN($H$2:$H$1500)),H958),2)</f>
        <v>12.02</v>
      </c>
      <c r="Q958" s="38" t="str">
        <f t="shared" si="87"/>
        <v>1</v>
      </c>
      <c r="R958" s="39" cm="1">
        <f t="array" ref="R958">IF(OR(TRIM(J958)="",TRIM(J958)="-"),MEDIAN(IF($C$2:$C$1218=C958,$J$2:$J$1218)),VALUE(SUBSTITUTE(SUBSTITUTE(SUBSTITUTE(J958,"Rs. ",""),"₹",""),",","")))</f>
        <v>8883</v>
      </c>
      <c r="S958" s="40">
        <f t="shared" si="85"/>
        <v>0</v>
      </c>
      <c r="T958" s="41">
        <f t="shared" si="88"/>
        <v>0</v>
      </c>
      <c r="U958" s="42">
        <f t="shared" si="89"/>
        <v>8883</v>
      </c>
    </row>
    <row r="959" spans="1:21" x14ac:dyDescent="0.3">
      <c r="A959" s="37" t="s">
        <v>4588</v>
      </c>
      <c r="B959" s="37" t="s">
        <v>2937</v>
      </c>
      <c r="C959" s="37" t="s">
        <v>2518</v>
      </c>
      <c r="D959" s="37" t="s">
        <v>78</v>
      </c>
      <c r="E959" s="37" t="s">
        <v>79</v>
      </c>
      <c r="F959" s="37" t="s">
        <v>19</v>
      </c>
      <c r="G959" s="37" t="s">
        <v>2450</v>
      </c>
      <c r="H959" s="37">
        <v>7.12</v>
      </c>
      <c r="I959" s="37">
        <v>18</v>
      </c>
      <c r="J959" s="37">
        <v>8972</v>
      </c>
      <c r="K959" s="37" t="s">
        <v>83</v>
      </c>
      <c r="L959" s="37">
        <v>5</v>
      </c>
      <c r="M959" s="37" t="str">
        <f t="shared" si="86"/>
        <v>General</v>
      </c>
      <c r="N959" s="37" t="str">
        <f t="shared" si="84"/>
        <v>Debit Card</v>
      </c>
      <c r="O959" s="37" t="str" cm="1">
        <f t="array" ref="O959">IF(TRIM(N959)="",INDEX($N$2:$N$1500,MATCH(MAX(COUNTIF($N$2:$N$1500,$N$2:$N$1500)),COUNTIF($N$2:$N$1500,$N$2:$N$1500),0)),N959)</f>
        <v>Debit Card</v>
      </c>
      <c r="P959" s="38" cm="1">
        <f t="array" ref="P959">ROUND(IF(TRIM(H959)="",IFERROR(MEDIAN(IF($M$2:$M$1500=M959,$H$2:$H$1500)),MEDIAN($H$2:$H$1500)),H959),2)</f>
        <v>7.12</v>
      </c>
      <c r="Q959" s="38" t="str">
        <f t="shared" si="87"/>
        <v>1</v>
      </c>
      <c r="R959" s="39" cm="1">
        <f t="array" ref="R959">IF(OR(TRIM(J959)="",TRIM(J959)="-"),MEDIAN(IF($C$2:$C$1218=C959,$J$2:$J$1218)),VALUE(SUBSTITUTE(SUBSTITUTE(SUBSTITUTE(J959,"Rs. ",""),"₹",""),",","")))</f>
        <v>8972</v>
      </c>
      <c r="S959" s="40">
        <f t="shared" si="85"/>
        <v>5</v>
      </c>
      <c r="T959" s="41">
        <f t="shared" si="88"/>
        <v>5</v>
      </c>
      <c r="U959" s="42">
        <f t="shared" si="89"/>
        <v>8523</v>
      </c>
    </row>
    <row r="960" spans="1:21" x14ac:dyDescent="0.3">
      <c r="A960" s="37" t="s">
        <v>4589</v>
      </c>
      <c r="B960" s="37" t="s">
        <v>4451</v>
      </c>
      <c r="C960" s="37" t="s">
        <v>2434</v>
      </c>
      <c r="D960" s="37" t="s">
        <v>45</v>
      </c>
      <c r="E960" s="37" t="s">
        <v>46</v>
      </c>
      <c r="F960" s="37" t="s">
        <v>30</v>
      </c>
      <c r="G960" s="37"/>
      <c r="H960" s="37">
        <v>17.420000000000002</v>
      </c>
      <c r="I960" s="37">
        <v>29</v>
      </c>
      <c r="J960" s="37">
        <v>16373</v>
      </c>
      <c r="K960" s="37" t="s">
        <v>34</v>
      </c>
      <c r="L960" s="37">
        <v>10</v>
      </c>
      <c r="M960" s="37" t="str">
        <f t="shared" si="86"/>
        <v>General</v>
      </c>
      <c r="N960" s="37" t="str">
        <f t="shared" si="84"/>
        <v>Cash</v>
      </c>
      <c r="O960" s="37" t="str" cm="1">
        <f t="array" ref="O960">IF(TRIM(N960)="",INDEX($N$2:$N$1500,MATCH(MAX(COUNTIF($N$2:$N$1500,$N$2:$N$1500)),COUNTIF($N$2:$N$1500,$N$2:$N$1500),0)),N960)</f>
        <v>Cash</v>
      </c>
      <c r="P960" s="38" cm="1">
        <f t="array" ref="P960">ROUND(IF(TRIM(H960)="",IFERROR(MEDIAN(IF($M$2:$M$1500=M960,$H$2:$H$1500)),MEDIAN($H$2:$H$1500)),H960),2)</f>
        <v>17.420000000000002</v>
      </c>
      <c r="Q960" s="38" t="str">
        <f t="shared" si="87"/>
        <v>Unknown</v>
      </c>
      <c r="R960" s="39" cm="1">
        <f t="array" ref="R960">IF(OR(TRIM(J960)="",TRIM(J960)="-"),MEDIAN(IF($C$2:$C$1218=C960,$J$2:$J$1218)),VALUE(SUBSTITUTE(SUBSTITUTE(SUBSTITUTE(J960,"Rs. ",""),"₹",""),",","")))</f>
        <v>16373</v>
      </c>
      <c r="S960" s="40">
        <f t="shared" si="85"/>
        <v>10</v>
      </c>
      <c r="T960" s="41">
        <f t="shared" si="88"/>
        <v>10</v>
      </c>
      <c r="U960" s="42">
        <f t="shared" si="89"/>
        <v>14736</v>
      </c>
    </row>
    <row r="961" spans="1:21" x14ac:dyDescent="0.3">
      <c r="A961" s="37" t="s">
        <v>4590</v>
      </c>
      <c r="B961" s="37" t="s">
        <v>2784</v>
      </c>
      <c r="C961" s="37" t="s">
        <v>2629</v>
      </c>
      <c r="D961" s="37" t="s">
        <v>45</v>
      </c>
      <c r="E961" s="37" t="s">
        <v>46</v>
      </c>
      <c r="F961" s="37" t="s">
        <v>49</v>
      </c>
      <c r="G961" s="37" t="s">
        <v>2412</v>
      </c>
      <c r="H961" s="37">
        <v>4.5</v>
      </c>
      <c r="I961" s="37">
        <v>37</v>
      </c>
      <c r="J961" s="37">
        <v>4449</v>
      </c>
      <c r="K961" s="37" t="s">
        <v>34</v>
      </c>
      <c r="L961" s="37">
        <v>0</v>
      </c>
      <c r="M961" s="37" t="str">
        <f t="shared" si="86"/>
        <v>General</v>
      </c>
      <c r="N961" s="37" t="str">
        <f t="shared" si="84"/>
        <v>Cash</v>
      </c>
      <c r="O961" s="37" t="str" cm="1">
        <f t="array" ref="O961">IF(TRIM(N961)="",INDEX($N$2:$N$1500,MATCH(MAX(COUNTIF($N$2:$N$1500,$N$2:$N$1500)),COUNTIF($N$2:$N$1500,$N$2:$N$1500),0)),N961)</f>
        <v>Cash</v>
      </c>
      <c r="P961" s="38" cm="1">
        <f t="array" ref="P961">ROUND(IF(TRIM(H961)="",IFERROR(MEDIAN(IF($M$2:$M$1500=M961,$H$2:$H$1500)),MEDIAN($H$2:$H$1500)),H961),2)</f>
        <v>4.5</v>
      </c>
      <c r="Q961" s="38" t="str">
        <f t="shared" si="87"/>
        <v>1</v>
      </c>
      <c r="R961" s="39" cm="1">
        <f t="array" ref="R961">IF(OR(TRIM(J961)="",TRIM(J961)="-"),MEDIAN(IF($C$2:$C$1218=C961,$J$2:$J$1218)),VALUE(SUBSTITUTE(SUBSTITUTE(SUBSTITUTE(J961,"Rs. ",""),"₹",""),",","")))</f>
        <v>4449</v>
      </c>
      <c r="S961" s="40">
        <f t="shared" si="85"/>
        <v>0</v>
      </c>
      <c r="T961" s="41">
        <f t="shared" si="88"/>
        <v>0</v>
      </c>
      <c r="U961" s="42">
        <f t="shared" si="89"/>
        <v>4449</v>
      </c>
    </row>
    <row r="962" spans="1:21" x14ac:dyDescent="0.3">
      <c r="A962" s="37" t="s">
        <v>4591</v>
      </c>
      <c r="B962" s="37" t="s">
        <v>4520</v>
      </c>
      <c r="C962" s="37" t="s">
        <v>2561</v>
      </c>
      <c r="D962" s="37" t="s">
        <v>45</v>
      </c>
      <c r="E962" s="37" t="s">
        <v>46</v>
      </c>
      <c r="F962" s="37" t="s">
        <v>19</v>
      </c>
      <c r="G962" s="37" t="s">
        <v>2505</v>
      </c>
      <c r="H962" s="37">
        <v>5.04</v>
      </c>
      <c r="I962" s="37">
        <v>43</v>
      </c>
      <c r="J962" s="37">
        <v>19531</v>
      </c>
      <c r="K962" s="37" t="s">
        <v>115</v>
      </c>
      <c r="L962" s="37">
        <v>0</v>
      </c>
      <c r="M962" s="37" t="str">
        <f t="shared" si="86"/>
        <v>General</v>
      </c>
      <c r="N962" s="37" t="str">
        <f t="shared" ref="N962:N1025" si="90">IF(OR(UPPER(TRIM(K962))="CREDIT_CARD",UPPER(TRIM(K962))="CREDIT CARD",UPPER(TRIM(K962))="CC"),"Credit Card", IF(OR(UPPER(TRIM(K962))="DEBIT_CARD",UPPER(TRIM(K962))="DEBIT CARD",UPPER(TRIM(K962))="DC"),"Debit Card", IF(UPPER(TRIM(K962))="CASH","Cash", IF(UPPER(TRIM(K962))="UPI","UPI", IF(OR(UPPER(TRIM(K962))="INSURANCE",UPPER(TRIM(K962))="INS"),"Insurance", IF(TRIM(K962)="","Unknown","Unknown"))))))</f>
        <v>Cash</v>
      </c>
      <c r="O962" s="37" t="str" cm="1">
        <f t="array" ref="O962">IF(TRIM(N962)="",INDEX($N$2:$N$1500,MATCH(MAX(COUNTIF($N$2:$N$1500,$N$2:$N$1500)),COUNTIF($N$2:$N$1500,$N$2:$N$1500),0)),N962)</f>
        <v>Cash</v>
      </c>
      <c r="P962" s="38" cm="1">
        <f t="array" ref="P962">ROUND(IF(TRIM(H962)="",IFERROR(MEDIAN(IF($M$2:$M$1500=M962,$H$2:$H$1500)),MEDIAN($H$2:$H$1500)),H962),2)</f>
        <v>5.04</v>
      </c>
      <c r="Q962" s="38" t="str">
        <f t="shared" si="87"/>
        <v>2+</v>
      </c>
      <c r="R962" s="39" cm="1">
        <f t="array" ref="R962">IF(OR(TRIM(J962)="",TRIM(J962)="-"),MEDIAN(IF($C$2:$C$1218=C962,$J$2:$J$1218)),VALUE(SUBSTITUTE(SUBSTITUTE(SUBSTITUTE(J962,"Rs. ",""),"₹",""),",","")))</f>
        <v>19531</v>
      </c>
      <c r="S962" s="40">
        <f t="shared" ref="S962:S1025" si="91">IF(RIGHT(TRIM(L962),1)="%",VALUE(LEFT(TRIM(L962),LEN(TRIM(L962))-1)),IF(AND(ISNUMBER(L962),L962&lt;=1,,L962&gt;0),L962*100,L962))</f>
        <v>0</v>
      </c>
      <c r="T962" s="41">
        <f t="shared" si="88"/>
        <v>0</v>
      </c>
      <c r="U962" s="42">
        <f t="shared" si="89"/>
        <v>19531</v>
      </c>
    </row>
    <row r="963" spans="1:21" x14ac:dyDescent="0.3">
      <c r="A963" s="37" t="s">
        <v>4592</v>
      </c>
      <c r="B963" s="37" t="s">
        <v>4593</v>
      </c>
      <c r="C963" s="37" t="s">
        <v>2445</v>
      </c>
      <c r="D963" s="37" t="s">
        <v>106</v>
      </c>
      <c r="E963" s="37" t="s">
        <v>107</v>
      </c>
      <c r="F963" s="37" t="s">
        <v>49</v>
      </c>
      <c r="G963" s="37" t="s">
        <v>2477</v>
      </c>
      <c r="H963" s="37">
        <v>18.809999999999999</v>
      </c>
      <c r="I963" s="37">
        <v>6</v>
      </c>
      <c r="J963" s="37" t="s">
        <v>4594</v>
      </c>
      <c r="K963" s="37" t="s">
        <v>58</v>
      </c>
      <c r="L963" s="37">
        <v>0.05</v>
      </c>
      <c r="M963" s="37" t="str">
        <f t="shared" ref="M963:M1026" si="92">IF(OR(UPPER(TRIM(F963))="GENERAL",UPPER(TRIM(F963))="GENRAL"),"General",IF(UPPER(TRIM(F963))="ICU","ICU","Unknown"))</f>
        <v>General</v>
      </c>
      <c r="N963" s="37" t="str">
        <f t="shared" si="90"/>
        <v>UPI</v>
      </c>
      <c r="O963" s="37" t="str" cm="1">
        <f t="array" ref="O963">IF(TRIM(N963)="",INDEX($N$2:$N$1500,MATCH(MAX(COUNTIF($N$2:$N$1500,$N$2:$N$1500)),COUNTIF($N$2:$N$1500,$N$2:$N$1500),0)),N963)</f>
        <v>UPI</v>
      </c>
      <c r="P963" s="38" cm="1">
        <f t="array" ref="P963">ROUND(IF(TRIM(H963)="",IFERROR(MEDIAN(IF($M$2:$M$1500=M963,$H$2:$H$1500)),MEDIAN($H$2:$H$1500)),H963),2)</f>
        <v>18.809999999999999</v>
      </c>
      <c r="Q963" s="38" t="str">
        <f t="shared" ref="Q963:Q1026" si="93">IF(OR(LOWER(TRIM(G963))="0",LOWER(TRIM(G963))="zero"),"0", IF(OR(LOWER(TRIM(G963))="1",LOWER(TRIM(G963))="one"),"1", IF(OR(LOWER(TRIM(G963))="2",LOWER(TRIM(G963))="two"),"2", IF(OR(LOWER(TRIM(G963))="2+",LOWER(TRIM(G963))="two_or_more",LOWER(TRIM(G963))="multiple"),"2+", "Unknown"))))</f>
        <v>0</v>
      </c>
      <c r="R963" s="39" cm="1">
        <f t="array" ref="R963">IF(OR(TRIM(J963)="",TRIM(J963)="-"),MEDIAN(IF($C$2:$C$1218=C963,$J$2:$J$1218)),VALUE(SUBSTITUTE(SUBSTITUTE(SUBSTITUTE(J963,"Rs. ",""),"₹",""),",","")))</f>
        <v>14747</v>
      </c>
      <c r="S963" s="40">
        <f t="shared" si="91"/>
        <v>0.05</v>
      </c>
      <c r="T963" s="41">
        <f t="shared" ref="T963:T1026" si="94">ROUND(IF(OR(TRIM(S963)="-",UPPER(TRIM(S963))="N/A",UPPER(TRIM(S963))="NA"),IFERROR(AVERAGEIF($O$2:$O$1500,O963,$S$2:$S$1500),AVERAGE($S$2:$S$1500)),S963),0)</f>
        <v>0</v>
      </c>
      <c r="U963" s="42">
        <f t="shared" ref="U963:U1026" si="95">ROUND(R963*(1-T963/100),0)</f>
        <v>14747</v>
      </c>
    </row>
    <row r="964" spans="1:21" x14ac:dyDescent="0.3">
      <c r="A964" s="37" t="s">
        <v>4595</v>
      </c>
      <c r="B964" s="37" t="s">
        <v>3172</v>
      </c>
      <c r="C964" s="37" t="s">
        <v>2532</v>
      </c>
      <c r="D964" s="37" t="s">
        <v>14</v>
      </c>
      <c r="E964" s="37" t="s">
        <v>60</v>
      </c>
      <c r="F964" s="37" t="s">
        <v>30</v>
      </c>
      <c r="G964" s="37" t="s">
        <v>2428</v>
      </c>
      <c r="H964" s="37">
        <v>7.86</v>
      </c>
      <c r="I964" s="37">
        <v>30</v>
      </c>
      <c r="J964" s="37">
        <v>8449</v>
      </c>
      <c r="K964" s="37" t="s">
        <v>87</v>
      </c>
      <c r="L964" s="37">
        <v>0</v>
      </c>
      <c r="M964" s="37" t="str">
        <f t="shared" si="92"/>
        <v>General</v>
      </c>
      <c r="N964" s="37" t="str">
        <f t="shared" si="90"/>
        <v>Credit Card</v>
      </c>
      <c r="O964" s="37" t="str" cm="1">
        <f t="array" ref="O964">IF(TRIM(N964)="",INDEX($N$2:$N$1500,MATCH(MAX(COUNTIF($N$2:$N$1500,$N$2:$N$1500)),COUNTIF($N$2:$N$1500,$N$2:$N$1500),0)),N964)</f>
        <v>Credit Card</v>
      </c>
      <c r="P964" s="38" cm="1">
        <f t="array" ref="P964">ROUND(IF(TRIM(H964)="",IFERROR(MEDIAN(IF($M$2:$M$1500=M964,$H$2:$H$1500)),MEDIAN($H$2:$H$1500)),H964),2)</f>
        <v>7.86</v>
      </c>
      <c r="Q964" s="38" t="str">
        <f t="shared" si="93"/>
        <v>2</v>
      </c>
      <c r="R964" s="39" cm="1">
        <f t="array" ref="R964">IF(OR(TRIM(J964)="",TRIM(J964)="-"),MEDIAN(IF($C$2:$C$1218=C964,$J$2:$J$1218)),VALUE(SUBSTITUTE(SUBSTITUTE(SUBSTITUTE(J964,"Rs. ",""),"₹",""),",","")))</f>
        <v>8449</v>
      </c>
      <c r="S964" s="40">
        <f t="shared" si="91"/>
        <v>0</v>
      </c>
      <c r="T964" s="41">
        <f t="shared" si="94"/>
        <v>0</v>
      </c>
      <c r="U964" s="42">
        <f t="shared" si="95"/>
        <v>8449</v>
      </c>
    </row>
    <row r="965" spans="1:21" x14ac:dyDescent="0.3">
      <c r="A965" s="37" t="s">
        <v>4596</v>
      </c>
      <c r="B965" s="37" t="s">
        <v>3164</v>
      </c>
      <c r="C965" s="37" t="s">
        <v>2577</v>
      </c>
      <c r="D965" s="37" t="s">
        <v>25</v>
      </c>
      <c r="E965" s="37" t="s">
        <v>54</v>
      </c>
      <c r="F965" s="37"/>
      <c r="G965" s="37" t="s">
        <v>2408</v>
      </c>
      <c r="H965" s="37">
        <v>11.92</v>
      </c>
      <c r="I965" s="37">
        <v>33</v>
      </c>
      <c r="J965" s="37" t="s">
        <v>4597</v>
      </c>
      <c r="K965" s="37" t="s">
        <v>34</v>
      </c>
      <c r="L965" s="37">
        <v>0</v>
      </c>
      <c r="M965" s="37" t="str">
        <f t="shared" si="92"/>
        <v>Unknown</v>
      </c>
      <c r="N965" s="37" t="str">
        <f t="shared" si="90"/>
        <v>Cash</v>
      </c>
      <c r="O965" s="37" t="str" cm="1">
        <f t="array" ref="O965">IF(TRIM(N965)="",INDEX($N$2:$N$1500,MATCH(MAX(COUNTIF($N$2:$N$1500,$N$2:$N$1500)),COUNTIF($N$2:$N$1500,$N$2:$N$1500),0)),N965)</f>
        <v>Cash</v>
      </c>
      <c r="P965" s="38" cm="1">
        <f t="array" ref="P965">ROUND(IF(TRIM(H965)="",IFERROR(MEDIAN(IF($M$2:$M$1500=M965,$H$2:$H$1500)),MEDIAN($H$2:$H$1500)),H965),2)</f>
        <v>11.92</v>
      </c>
      <c r="Q965" s="38" t="str">
        <f t="shared" si="93"/>
        <v>0</v>
      </c>
      <c r="R965" s="39" cm="1">
        <f t="array" ref="R965">IF(OR(TRIM(J965)="",TRIM(J965)="-"),MEDIAN(IF($C$2:$C$1218=C965,$J$2:$J$1218)),VALUE(SUBSTITUTE(SUBSTITUTE(SUBSTITUTE(J965,"Rs. ",""),"₹",""),",","")))</f>
        <v>15488</v>
      </c>
      <c r="S965" s="40">
        <f t="shared" si="91"/>
        <v>0</v>
      </c>
      <c r="T965" s="41">
        <f t="shared" si="94"/>
        <v>0</v>
      </c>
      <c r="U965" s="42">
        <f t="shared" si="95"/>
        <v>15488</v>
      </c>
    </row>
    <row r="966" spans="1:21" x14ac:dyDescent="0.3">
      <c r="A966" s="37" t="s">
        <v>4598</v>
      </c>
      <c r="B966" s="37" t="s">
        <v>4599</v>
      </c>
      <c r="C966" s="37" t="s">
        <v>2463</v>
      </c>
      <c r="D966" s="37" t="s">
        <v>25</v>
      </c>
      <c r="E966" s="37" t="s">
        <v>54</v>
      </c>
      <c r="F966" s="37" t="s">
        <v>19</v>
      </c>
      <c r="G966" s="37" t="s">
        <v>2477</v>
      </c>
      <c r="H966" s="37">
        <v>19.489999999999998</v>
      </c>
      <c r="I966" s="37">
        <v>11</v>
      </c>
      <c r="J966" s="37" t="s">
        <v>4600</v>
      </c>
      <c r="K966" s="37" t="s">
        <v>83</v>
      </c>
      <c r="L966" s="37"/>
      <c r="M966" s="37" t="str">
        <f t="shared" si="92"/>
        <v>General</v>
      </c>
      <c r="N966" s="37" t="str">
        <f t="shared" si="90"/>
        <v>Debit Card</v>
      </c>
      <c r="O966" s="37" t="str" cm="1">
        <f t="array" ref="O966">IF(TRIM(N966)="",INDEX($N$2:$N$1500,MATCH(MAX(COUNTIF($N$2:$N$1500,$N$2:$N$1500)),COUNTIF($N$2:$N$1500,$N$2:$N$1500),0)),N966)</f>
        <v>Debit Card</v>
      </c>
      <c r="P966" s="38" cm="1">
        <f t="array" ref="P966">ROUND(IF(TRIM(H966)="",IFERROR(MEDIAN(IF($M$2:$M$1500=M966,$H$2:$H$1500)),MEDIAN($H$2:$H$1500)),H966),2)</f>
        <v>19.489999999999998</v>
      </c>
      <c r="Q966" s="38" t="str">
        <f t="shared" si="93"/>
        <v>0</v>
      </c>
      <c r="R966" s="39" cm="1">
        <f t="array" ref="R966">IF(OR(TRIM(J966)="",TRIM(J966)="-"),MEDIAN(IF($C$2:$C$1218=C966,$J$2:$J$1218)),VALUE(SUBSTITUTE(SUBSTITUTE(SUBSTITUTE(J966,"Rs. ",""),"₹",""),",","")))</f>
        <v>18734</v>
      </c>
      <c r="S966" s="40">
        <f t="shared" si="91"/>
        <v>0</v>
      </c>
      <c r="T966" s="41">
        <f t="shared" si="94"/>
        <v>0</v>
      </c>
      <c r="U966" s="42">
        <f t="shared" si="95"/>
        <v>18734</v>
      </c>
    </row>
    <row r="967" spans="1:21" x14ac:dyDescent="0.3">
      <c r="A967" s="37" t="s">
        <v>4601</v>
      </c>
      <c r="B967" s="37" t="s">
        <v>4602</v>
      </c>
      <c r="C967" s="37" t="s">
        <v>2427</v>
      </c>
      <c r="D967" s="37" t="s">
        <v>45</v>
      </c>
      <c r="E967" s="37" t="s">
        <v>46</v>
      </c>
      <c r="F967" s="37" t="s">
        <v>19</v>
      </c>
      <c r="G967" s="37" t="s">
        <v>2423</v>
      </c>
      <c r="H967" s="37"/>
      <c r="I967" s="37">
        <v>20</v>
      </c>
      <c r="J967" s="37" t="s">
        <v>4603</v>
      </c>
      <c r="K967" s="37" t="s">
        <v>149</v>
      </c>
      <c r="L967" s="37">
        <v>12</v>
      </c>
      <c r="M967" s="37" t="str">
        <f t="shared" si="92"/>
        <v>General</v>
      </c>
      <c r="N967" s="37" t="str">
        <f t="shared" si="90"/>
        <v>Insurance</v>
      </c>
      <c r="O967" s="37" t="str" cm="1">
        <f t="array" ref="O967">IF(TRIM(N967)="",INDEX($N$2:$N$1500,MATCH(MAX(COUNTIF($N$2:$N$1500,$N$2:$N$1500)),COUNTIF($N$2:$N$1500,$N$2:$N$1500),0)),N967)</f>
        <v>Insurance</v>
      </c>
      <c r="P967" s="38" cm="1">
        <f t="array" ref="P967">ROUND(IF(TRIM(H967)="",IFERROR(MEDIAN(IF($M$2:$M$1500=M967,$H$2:$H$1500)),MEDIAN($H$2:$H$1500)),H967),2)</f>
        <v>12.02</v>
      </c>
      <c r="Q967" s="38" t="str">
        <f t="shared" si="93"/>
        <v>0</v>
      </c>
      <c r="R967" s="39" cm="1">
        <f t="array" ref="R967">IF(OR(TRIM(J967)="",TRIM(J967)="-"),MEDIAN(IF($C$2:$C$1218=C967,$J$2:$J$1218)),VALUE(SUBSTITUTE(SUBSTITUTE(SUBSTITUTE(J967,"Rs. ",""),"₹",""),",","")))</f>
        <v>6254</v>
      </c>
      <c r="S967" s="40">
        <f t="shared" si="91"/>
        <v>12</v>
      </c>
      <c r="T967" s="41">
        <f t="shared" si="94"/>
        <v>12</v>
      </c>
      <c r="U967" s="42">
        <f t="shared" si="95"/>
        <v>5504</v>
      </c>
    </row>
    <row r="968" spans="1:21" x14ac:dyDescent="0.3">
      <c r="A968" s="37" t="s">
        <v>4604</v>
      </c>
      <c r="B968" s="37" t="s">
        <v>2604</v>
      </c>
      <c r="C968" s="37" t="s">
        <v>2504</v>
      </c>
      <c r="D968" s="37" t="s">
        <v>117</v>
      </c>
      <c r="E968" s="37" t="s">
        <v>127</v>
      </c>
      <c r="F968" s="37" t="s">
        <v>49</v>
      </c>
      <c r="G968" s="37" t="s">
        <v>2477</v>
      </c>
      <c r="H968" s="37">
        <v>14.71</v>
      </c>
      <c r="I968" s="37">
        <v>49</v>
      </c>
      <c r="J968" s="37" t="s">
        <v>4605</v>
      </c>
      <c r="K968" s="37" t="s">
        <v>34</v>
      </c>
      <c r="L968" s="37" t="s">
        <v>64</v>
      </c>
      <c r="M968" s="37" t="str">
        <f t="shared" si="92"/>
        <v>General</v>
      </c>
      <c r="N968" s="37" t="str">
        <f t="shared" si="90"/>
        <v>Cash</v>
      </c>
      <c r="O968" s="37" t="str" cm="1">
        <f t="array" ref="O968">IF(TRIM(N968)="",INDEX($N$2:$N$1500,MATCH(MAX(COUNTIF($N$2:$N$1500,$N$2:$N$1500)),COUNTIF($N$2:$N$1500,$N$2:$N$1500),0)),N968)</f>
        <v>Cash</v>
      </c>
      <c r="P968" s="38" cm="1">
        <f t="array" ref="P968">ROUND(IF(TRIM(H968)="",IFERROR(MEDIAN(IF($M$2:$M$1500=M968,$H$2:$H$1500)),MEDIAN($H$2:$H$1500)),H968),2)</f>
        <v>14.71</v>
      </c>
      <c r="Q968" s="38" t="str">
        <f t="shared" si="93"/>
        <v>0</v>
      </c>
      <c r="R968" s="39" cm="1">
        <f t="array" ref="R968">IF(OR(TRIM(J968)="",TRIM(J968)="-"),MEDIAN(IF($C$2:$C$1218=C968,$J$2:$J$1218)),VALUE(SUBSTITUTE(SUBSTITUTE(SUBSTITUTE(J968,"Rs. ",""),"₹",""),",","")))</f>
        <v>3958</v>
      </c>
      <c r="S968" s="40" t="str">
        <f t="shared" si="91"/>
        <v>NA</v>
      </c>
      <c r="T968" s="41">
        <f t="shared" si="94"/>
        <v>2</v>
      </c>
      <c r="U968" s="42">
        <f t="shared" si="95"/>
        <v>3879</v>
      </c>
    </row>
    <row r="969" spans="1:21" x14ac:dyDescent="0.3">
      <c r="A969" s="37" t="s">
        <v>4606</v>
      </c>
      <c r="B969" s="37" t="s">
        <v>4088</v>
      </c>
      <c r="C969" s="37" t="s">
        <v>2629</v>
      </c>
      <c r="D969" s="37" t="s">
        <v>25</v>
      </c>
      <c r="E969" s="37" t="s">
        <v>54</v>
      </c>
      <c r="F969" s="37" t="s">
        <v>101</v>
      </c>
      <c r="G969" s="37" t="s">
        <v>2435</v>
      </c>
      <c r="H969" s="37">
        <v>8.0299999999999994</v>
      </c>
      <c r="I969" s="37" t="s">
        <v>140</v>
      </c>
      <c r="J969" s="37">
        <v>58512</v>
      </c>
      <c r="K969" s="37" t="s">
        <v>72</v>
      </c>
      <c r="L969" s="37">
        <v>0</v>
      </c>
      <c r="M969" s="37" t="str">
        <f t="shared" si="92"/>
        <v>ICU</v>
      </c>
      <c r="N969" s="37" t="str">
        <f t="shared" si="90"/>
        <v>Cash</v>
      </c>
      <c r="O969" s="37" t="str" cm="1">
        <f t="array" ref="O969">IF(TRIM(N969)="",INDEX($N$2:$N$1500,MATCH(MAX(COUNTIF($N$2:$N$1500,$N$2:$N$1500)),COUNTIF($N$2:$N$1500,$N$2:$N$1500),0)),N969)</f>
        <v>Cash</v>
      </c>
      <c r="P969" s="38" cm="1">
        <f t="array" ref="P969">ROUND(IF(TRIM(H969)="",IFERROR(MEDIAN(IF($M$2:$M$1500=M969,$H$2:$H$1500)),MEDIAN($H$2:$H$1500)),H969),2)</f>
        <v>8.0299999999999994</v>
      </c>
      <c r="Q969" s="38" t="str">
        <f t="shared" si="93"/>
        <v>0</v>
      </c>
      <c r="R969" s="39" cm="1">
        <f t="array" ref="R969">IF(OR(TRIM(J969)="",TRIM(J969)="-"),MEDIAN(IF($C$2:$C$1218=C969,$J$2:$J$1218)),VALUE(SUBSTITUTE(SUBSTITUTE(SUBSTITUTE(J969,"Rs. ",""),"₹",""),",","")))</f>
        <v>58512</v>
      </c>
      <c r="S969" s="40">
        <f t="shared" si="91"/>
        <v>0</v>
      </c>
      <c r="T969" s="41">
        <f t="shared" si="94"/>
        <v>0</v>
      </c>
      <c r="U969" s="42">
        <f t="shared" si="95"/>
        <v>58512</v>
      </c>
    </row>
    <row r="970" spans="1:21" x14ac:dyDescent="0.3">
      <c r="A970" s="37" t="s">
        <v>4607</v>
      </c>
      <c r="B970" s="37" t="s">
        <v>4608</v>
      </c>
      <c r="C970" s="37" t="s">
        <v>2561</v>
      </c>
      <c r="D970" s="37" t="s">
        <v>117</v>
      </c>
      <c r="E970" s="37" t="s">
        <v>118</v>
      </c>
      <c r="F970" s="37" t="s">
        <v>69</v>
      </c>
      <c r="G970" s="37" t="s">
        <v>2412</v>
      </c>
      <c r="H970" s="37">
        <v>24.03</v>
      </c>
      <c r="I970" s="37">
        <v>15</v>
      </c>
      <c r="J970" s="37" t="s">
        <v>4609</v>
      </c>
      <c r="K970" s="37" t="s">
        <v>91</v>
      </c>
      <c r="L970" s="37" t="s">
        <v>76</v>
      </c>
      <c r="M970" s="37" t="str">
        <f t="shared" si="92"/>
        <v>ICU</v>
      </c>
      <c r="N970" s="37" t="str">
        <f t="shared" si="90"/>
        <v>Debit Card</v>
      </c>
      <c r="O970" s="37" t="str" cm="1">
        <f t="array" ref="O970">IF(TRIM(N970)="",INDEX($N$2:$N$1500,MATCH(MAX(COUNTIF($N$2:$N$1500,$N$2:$N$1500)),COUNTIF($N$2:$N$1500,$N$2:$N$1500),0)),N970)</f>
        <v>Debit Card</v>
      </c>
      <c r="P970" s="38" cm="1">
        <f t="array" ref="P970">ROUND(IF(TRIM(H970)="",IFERROR(MEDIAN(IF($M$2:$M$1500=M970,$H$2:$H$1500)),MEDIAN($H$2:$H$1500)),H970),2)</f>
        <v>24.03</v>
      </c>
      <c r="Q970" s="38" t="str">
        <f t="shared" si="93"/>
        <v>1</v>
      </c>
      <c r="R970" s="39" cm="1">
        <f t="array" ref="R970">IF(OR(TRIM(J970)="",TRIM(J970)="-"),MEDIAN(IF($C$2:$C$1218=C970,$J$2:$J$1218)),VALUE(SUBSTITUTE(SUBSTITUTE(SUBSTITUTE(J970,"Rs. ",""),"₹",""),",","")))</f>
        <v>55311</v>
      </c>
      <c r="S970" s="40">
        <f t="shared" si="91"/>
        <v>10</v>
      </c>
      <c r="T970" s="41">
        <f t="shared" si="94"/>
        <v>10</v>
      </c>
      <c r="U970" s="42">
        <f t="shared" si="95"/>
        <v>49780</v>
      </c>
    </row>
    <row r="971" spans="1:21" x14ac:dyDescent="0.3">
      <c r="A971" s="37" t="s">
        <v>4610</v>
      </c>
      <c r="B971" s="37" t="s">
        <v>4611</v>
      </c>
      <c r="C971" s="37" t="s">
        <v>2466</v>
      </c>
      <c r="D971" s="37" t="s">
        <v>45</v>
      </c>
      <c r="E971" s="37" t="s">
        <v>46</v>
      </c>
      <c r="F971" s="37" t="s">
        <v>30</v>
      </c>
      <c r="G971" s="37" t="s">
        <v>2408</v>
      </c>
      <c r="H971" s="37">
        <v>4.68</v>
      </c>
      <c r="I971" s="37">
        <v>1</v>
      </c>
      <c r="J971" s="37">
        <v>19682</v>
      </c>
      <c r="K971" s="37" t="s">
        <v>91</v>
      </c>
      <c r="L971" s="37" t="s">
        <v>64</v>
      </c>
      <c r="M971" s="37" t="str">
        <f t="shared" si="92"/>
        <v>General</v>
      </c>
      <c r="N971" s="37" t="str">
        <f t="shared" si="90"/>
        <v>Debit Card</v>
      </c>
      <c r="O971" s="37" t="str" cm="1">
        <f t="array" ref="O971">IF(TRIM(N971)="",INDEX($N$2:$N$1500,MATCH(MAX(COUNTIF($N$2:$N$1500,$N$2:$N$1500)),COUNTIF($N$2:$N$1500,$N$2:$N$1500),0)),N971)</f>
        <v>Debit Card</v>
      </c>
      <c r="P971" s="38" cm="1">
        <f t="array" ref="P971">ROUND(IF(TRIM(H971)="",IFERROR(MEDIAN(IF($M$2:$M$1500=M971,$H$2:$H$1500)),MEDIAN($H$2:$H$1500)),H971),2)</f>
        <v>4.68</v>
      </c>
      <c r="Q971" s="38" t="str">
        <f t="shared" si="93"/>
        <v>0</v>
      </c>
      <c r="R971" s="39" cm="1">
        <f t="array" ref="R971">IF(OR(TRIM(J971)="",TRIM(J971)="-"),MEDIAN(IF($C$2:$C$1218=C971,$J$2:$J$1218)),VALUE(SUBSTITUTE(SUBSTITUTE(SUBSTITUTE(J971,"Rs. ",""),"₹",""),",","")))</f>
        <v>19682</v>
      </c>
      <c r="S971" s="40" t="str">
        <f t="shared" si="91"/>
        <v>NA</v>
      </c>
      <c r="T971" s="41">
        <f t="shared" si="94"/>
        <v>3</v>
      </c>
      <c r="U971" s="42">
        <f t="shared" si="95"/>
        <v>19092</v>
      </c>
    </row>
    <row r="972" spans="1:21" x14ac:dyDescent="0.3">
      <c r="A972" s="37" t="s">
        <v>4612</v>
      </c>
      <c r="B972" s="37" t="s">
        <v>4613</v>
      </c>
      <c r="C972" s="37" t="s">
        <v>2407</v>
      </c>
      <c r="D972" s="37" t="s">
        <v>14</v>
      </c>
      <c r="E972" s="37" t="s">
        <v>15</v>
      </c>
      <c r="F972" s="37" t="s">
        <v>69</v>
      </c>
      <c r="G972" s="37" t="s">
        <v>2746</v>
      </c>
      <c r="H972" s="37">
        <v>21.37</v>
      </c>
      <c r="I972" s="37">
        <v>35</v>
      </c>
      <c r="J972" s="37">
        <v>60624</v>
      </c>
      <c r="K972" s="37"/>
      <c r="L972" s="37" t="s">
        <v>198</v>
      </c>
      <c r="M972" s="37" t="str">
        <f t="shared" si="92"/>
        <v>ICU</v>
      </c>
      <c r="N972" s="37" t="str">
        <f t="shared" si="90"/>
        <v>Unknown</v>
      </c>
      <c r="O972" s="37" t="str" cm="1">
        <f t="array" ref="O972">IF(TRIM(N972)="",INDEX($N$2:$N$1500,MATCH(MAX(COUNTIF($N$2:$N$1500,$N$2:$N$1500)),COUNTIF($N$2:$N$1500,$N$2:$N$1500),0)),N972)</f>
        <v>Unknown</v>
      </c>
      <c r="P972" s="38" cm="1">
        <f t="array" ref="P972">ROUND(IF(TRIM(H972)="",IFERROR(MEDIAN(IF($M$2:$M$1500=M972,$H$2:$H$1500)),MEDIAN($H$2:$H$1500)),H972),2)</f>
        <v>21.37</v>
      </c>
      <c r="Q972" s="38" t="str">
        <f t="shared" si="93"/>
        <v>2</v>
      </c>
      <c r="R972" s="39" cm="1">
        <f t="array" ref="R972">IF(OR(TRIM(J972)="",TRIM(J972)="-"),MEDIAN(IF($C$2:$C$1218=C972,$J$2:$J$1218)),VALUE(SUBSTITUTE(SUBSTITUTE(SUBSTITUTE(J972,"Rs. ",""),"₹",""),",","")))</f>
        <v>60624</v>
      </c>
      <c r="S972" s="40">
        <f t="shared" si="91"/>
        <v>5</v>
      </c>
      <c r="T972" s="41">
        <f t="shared" si="94"/>
        <v>5</v>
      </c>
      <c r="U972" s="42">
        <f t="shared" si="95"/>
        <v>57593</v>
      </c>
    </row>
    <row r="973" spans="1:21" x14ac:dyDescent="0.3">
      <c r="A973" s="37" t="s">
        <v>4614</v>
      </c>
      <c r="B973" s="37" t="s">
        <v>4615</v>
      </c>
      <c r="C973" s="37" t="s">
        <v>2730</v>
      </c>
      <c r="D973" s="37" t="s">
        <v>25</v>
      </c>
      <c r="E973" s="37" t="s">
        <v>54</v>
      </c>
      <c r="F973" s="37" t="s">
        <v>30</v>
      </c>
      <c r="G973" s="37" t="s">
        <v>2486</v>
      </c>
      <c r="H973" s="37">
        <v>10.42</v>
      </c>
      <c r="I973" s="37">
        <v>60</v>
      </c>
      <c r="J973" s="37" t="s">
        <v>4616</v>
      </c>
      <c r="K973" s="37" t="s">
        <v>52</v>
      </c>
      <c r="L973" s="37">
        <v>0.1</v>
      </c>
      <c r="M973" s="37" t="str">
        <f t="shared" si="92"/>
        <v>General</v>
      </c>
      <c r="N973" s="37" t="str">
        <f t="shared" si="90"/>
        <v>Credit Card</v>
      </c>
      <c r="O973" s="37" t="str" cm="1">
        <f t="array" ref="O973">IF(TRIM(N973)="",INDEX($N$2:$N$1500,MATCH(MAX(COUNTIF($N$2:$N$1500,$N$2:$N$1500)),COUNTIF($N$2:$N$1500,$N$2:$N$1500),0)),N973)</f>
        <v>Credit Card</v>
      </c>
      <c r="P973" s="38" cm="1">
        <f t="array" ref="P973">ROUND(IF(TRIM(H973)="",IFERROR(MEDIAN(IF($M$2:$M$1500=M973,$H$2:$H$1500)),MEDIAN($H$2:$H$1500)),H973),2)</f>
        <v>10.42</v>
      </c>
      <c r="Q973" s="38" t="str">
        <f t="shared" si="93"/>
        <v>2+</v>
      </c>
      <c r="R973" s="39" cm="1">
        <f t="array" ref="R973">IF(OR(TRIM(J973)="",TRIM(J973)="-"),MEDIAN(IF($C$2:$C$1218=C973,$J$2:$J$1218)),VALUE(SUBSTITUTE(SUBSTITUTE(SUBSTITUTE(J973,"Rs. ",""),"₹",""),",","")))</f>
        <v>17468</v>
      </c>
      <c r="S973" s="40">
        <f t="shared" si="91"/>
        <v>0.1</v>
      </c>
      <c r="T973" s="41">
        <f t="shared" si="94"/>
        <v>0</v>
      </c>
      <c r="U973" s="42">
        <f t="shared" si="95"/>
        <v>17468</v>
      </c>
    </row>
    <row r="974" spans="1:21" x14ac:dyDescent="0.3">
      <c r="A974" s="37" t="s">
        <v>4617</v>
      </c>
      <c r="B974" s="37" t="s">
        <v>4618</v>
      </c>
      <c r="C974" s="37" t="s">
        <v>2629</v>
      </c>
      <c r="D974" s="37" t="s">
        <v>45</v>
      </c>
      <c r="E974" s="37" t="s">
        <v>334</v>
      </c>
      <c r="F974" s="37" t="s">
        <v>19</v>
      </c>
      <c r="G974" s="37" t="s">
        <v>2408</v>
      </c>
      <c r="H974" s="37">
        <v>10.7</v>
      </c>
      <c r="I974" s="37">
        <v>23</v>
      </c>
      <c r="J974" s="37">
        <v>17843</v>
      </c>
      <c r="K974" s="37" t="s">
        <v>52</v>
      </c>
      <c r="L974" s="37" t="s">
        <v>130</v>
      </c>
      <c r="M974" s="37" t="str">
        <f t="shared" si="92"/>
        <v>General</v>
      </c>
      <c r="N974" s="37" t="str">
        <f t="shared" si="90"/>
        <v>Credit Card</v>
      </c>
      <c r="O974" s="37" t="str" cm="1">
        <f t="array" ref="O974">IF(TRIM(N974)="",INDEX($N$2:$N$1500,MATCH(MAX(COUNTIF($N$2:$N$1500,$N$2:$N$1500)),COUNTIF($N$2:$N$1500,$N$2:$N$1500),0)),N974)</f>
        <v>Credit Card</v>
      </c>
      <c r="P974" s="38" cm="1">
        <f t="array" ref="P974">ROUND(IF(TRIM(H974)="",IFERROR(MEDIAN(IF($M$2:$M$1500=M974,$H$2:$H$1500)),MEDIAN($H$2:$H$1500)),H974),2)</f>
        <v>10.7</v>
      </c>
      <c r="Q974" s="38" t="str">
        <f t="shared" si="93"/>
        <v>0</v>
      </c>
      <c r="R974" s="39" cm="1">
        <f t="array" ref="R974">IF(OR(TRIM(J974)="",TRIM(J974)="-"),MEDIAN(IF($C$2:$C$1218=C974,$J$2:$J$1218)),VALUE(SUBSTITUTE(SUBSTITUTE(SUBSTITUTE(J974,"Rs. ",""),"₹",""),",","")))</f>
        <v>17843</v>
      </c>
      <c r="S974" s="40">
        <f t="shared" si="91"/>
        <v>0</v>
      </c>
      <c r="T974" s="41">
        <f t="shared" si="94"/>
        <v>0</v>
      </c>
      <c r="U974" s="42">
        <f t="shared" si="95"/>
        <v>17843</v>
      </c>
    </row>
    <row r="975" spans="1:21" x14ac:dyDescent="0.3">
      <c r="A975" s="37" t="s">
        <v>4619</v>
      </c>
      <c r="B975" s="37" t="s">
        <v>3807</v>
      </c>
      <c r="C975" s="37" t="s">
        <v>2518</v>
      </c>
      <c r="D975" s="37" t="s">
        <v>106</v>
      </c>
      <c r="E975" s="37" t="s">
        <v>107</v>
      </c>
      <c r="F975" s="37" t="s">
        <v>62</v>
      </c>
      <c r="G975" s="37" t="s">
        <v>2412</v>
      </c>
      <c r="H975" s="37">
        <v>22.79</v>
      </c>
      <c r="I975" s="37">
        <v>45</v>
      </c>
      <c r="J975" s="37">
        <v>85692</v>
      </c>
      <c r="K975" s="37" t="s">
        <v>236</v>
      </c>
      <c r="L975" s="37">
        <v>5</v>
      </c>
      <c r="M975" s="37" t="str">
        <f t="shared" si="92"/>
        <v>ICU</v>
      </c>
      <c r="N975" s="37" t="str">
        <f t="shared" si="90"/>
        <v>Debit Card</v>
      </c>
      <c r="O975" s="37" t="str" cm="1">
        <f t="array" ref="O975">IF(TRIM(N975)="",INDEX($N$2:$N$1500,MATCH(MAX(COUNTIF($N$2:$N$1500,$N$2:$N$1500)),COUNTIF($N$2:$N$1500,$N$2:$N$1500),0)),N975)</f>
        <v>Debit Card</v>
      </c>
      <c r="P975" s="38" cm="1">
        <f t="array" ref="P975">ROUND(IF(TRIM(H975)="",IFERROR(MEDIAN(IF($M$2:$M$1500=M975,$H$2:$H$1500)),MEDIAN($H$2:$H$1500)),H975),2)</f>
        <v>22.79</v>
      </c>
      <c r="Q975" s="38" t="str">
        <f t="shared" si="93"/>
        <v>1</v>
      </c>
      <c r="R975" s="39" cm="1">
        <f t="array" ref="R975">IF(OR(TRIM(J975)="",TRIM(J975)="-"),MEDIAN(IF($C$2:$C$1218=C975,$J$2:$J$1218)),VALUE(SUBSTITUTE(SUBSTITUTE(SUBSTITUTE(J975,"Rs. ",""),"₹",""),",","")))</f>
        <v>85692</v>
      </c>
      <c r="S975" s="40">
        <f t="shared" si="91"/>
        <v>5</v>
      </c>
      <c r="T975" s="41">
        <f t="shared" si="94"/>
        <v>5</v>
      </c>
      <c r="U975" s="42">
        <f t="shared" si="95"/>
        <v>81407</v>
      </c>
    </row>
    <row r="976" spans="1:21" x14ac:dyDescent="0.3">
      <c r="A976" s="37" t="s">
        <v>4620</v>
      </c>
      <c r="B976" s="37" t="s">
        <v>2645</v>
      </c>
      <c r="C976" s="37" t="s">
        <v>2459</v>
      </c>
      <c r="D976" s="37" t="s">
        <v>14</v>
      </c>
      <c r="E976" s="37" t="s">
        <v>60</v>
      </c>
      <c r="F976" s="37"/>
      <c r="G976" s="37" t="s">
        <v>2477</v>
      </c>
      <c r="H976" s="37">
        <v>17.37</v>
      </c>
      <c r="I976" s="37">
        <v>25</v>
      </c>
      <c r="J976" s="37">
        <v>55838</v>
      </c>
      <c r="K976" s="37" t="s">
        <v>91</v>
      </c>
      <c r="L976" s="37">
        <v>0</v>
      </c>
      <c r="M976" s="37" t="str">
        <f t="shared" si="92"/>
        <v>Unknown</v>
      </c>
      <c r="N976" s="37" t="str">
        <f t="shared" si="90"/>
        <v>Debit Card</v>
      </c>
      <c r="O976" s="37" t="str" cm="1">
        <f t="array" ref="O976">IF(TRIM(N976)="",INDEX($N$2:$N$1500,MATCH(MAX(COUNTIF($N$2:$N$1500,$N$2:$N$1500)),COUNTIF($N$2:$N$1500,$N$2:$N$1500),0)),N976)</f>
        <v>Debit Card</v>
      </c>
      <c r="P976" s="38" cm="1">
        <f t="array" ref="P976">ROUND(IF(TRIM(H976)="",IFERROR(MEDIAN(IF($M$2:$M$1500=M976,$H$2:$H$1500)),MEDIAN($H$2:$H$1500)),H976),2)</f>
        <v>17.37</v>
      </c>
      <c r="Q976" s="38" t="str">
        <f t="shared" si="93"/>
        <v>0</v>
      </c>
      <c r="R976" s="39" cm="1">
        <f t="array" ref="R976">IF(OR(TRIM(J976)="",TRIM(J976)="-"),MEDIAN(IF($C$2:$C$1218=C976,$J$2:$J$1218)),VALUE(SUBSTITUTE(SUBSTITUTE(SUBSTITUTE(J976,"Rs. ",""),"₹",""),",","")))</f>
        <v>55838</v>
      </c>
      <c r="S976" s="40">
        <f t="shared" si="91"/>
        <v>0</v>
      </c>
      <c r="T976" s="41">
        <f t="shared" si="94"/>
        <v>0</v>
      </c>
      <c r="U976" s="42">
        <f t="shared" si="95"/>
        <v>55838</v>
      </c>
    </row>
    <row r="977" spans="1:21" x14ac:dyDescent="0.3">
      <c r="A977" s="37" t="s">
        <v>4621</v>
      </c>
      <c r="B977" s="37" t="s">
        <v>4622</v>
      </c>
      <c r="C977" s="37" t="s">
        <v>2514</v>
      </c>
      <c r="D977" s="37" t="s">
        <v>117</v>
      </c>
      <c r="E977" s="37" t="s">
        <v>127</v>
      </c>
      <c r="F977" s="37" t="s">
        <v>62</v>
      </c>
      <c r="G977" s="37" t="s">
        <v>2412</v>
      </c>
      <c r="H977" s="37">
        <v>17.149999999999999</v>
      </c>
      <c r="I977" s="37">
        <v>43</v>
      </c>
      <c r="J977" s="37" t="s">
        <v>4623</v>
      </c>
      <c r="K977" s="37" t="s">
        <v>83</v>
      </c>
      <c r="L977" s="37" t="s">
        <v>64</v>
      </c>
      <c r="M977" s="37" t="str">
        <f t="shared" si="92"/>
        <v>ICU</v>
      </c>
      <c r="N977" s="37" t="str">
        <f t="shared" si="90"/>
        <v>Debit Card</v>
      </c>
      <c r="O977" s="37" t="str" cm="1">
        <f t="array" ref="O977">IF(TRIM(N977)="",INDEX($N$2:$N$1500,MATCH(MAX(COUNTIF($N$2:$N$1500,$N$2:$N$1500)),COUNTIF($N$2:$N$1500,$N$2:$N$1500),0)),N977)</f>
        <v>Debit Card</v>
      </c>
      <c r="P977" s="38" cm="1">
        <f t="array" ref="P977">ROUND(IF(TRIM(H977)="",IFERROR(MEDIAN(IF($M$2:$M$1500=M977,$H$2:$H$1500)),MEDIAN($H$2:$H$1500)),H977),2)</f>
        <v>17.149999999999999</v>
      </c>
      <c r="Q977" s="38" t="str">
        <f t="shared" si="93"/>
        <v>1</v>
      </c>
      <c r="R977" s="39" cm="1">
        <f t="array" ref="R977">IF(OR(TRIM(J977)="",TRIM(J977)="-"),MEDIAN(IF($C$2:$C$1218=C977,$J$2:$J$1218)),VALUE(SUBSTITUTE(SUBSTITUTE(SUBSTITUTE(J977,"Rs. ",""),"₹",""),",","")))</f>
        <v>56210</v>
      </c>
      <c r="S977" s="40" t="str">
        <f t="shared" si="91"/>
        <v>NA</v>
      </c>
      <c r="T977" s="41">
        <f t="shared" si="94"/>
        <v>3</v>
      </c>
      <c r="U977" s="42">
        <f t="shared" si="95"/>
        <v>54524</v>
      </c>
    </row>
    <row r="978" spans="1:21" x14ac:dyDescent="0.3">
      <c r="A978" s="37" t="s">
        <v>4624</v>
      </c>
      <c r="B978" s="37" t="s">
        <v>4148</v>
      </c>
      <c r="C978" s="37" t="s">
        <v>2532</v>
      </c>
      <c r="D978" s="37" t="s">
        <v>14</v>
      </c>
      <c r="E978" s="37" t="s">
        <v>60</v>
      </c>
      <c r="F978" s="37" t="s">
        <v>30</v>
      </c>
      <c r="G978" s="37" t="s">
        <v>2408</v>
      </c>
      <c r="H978" s="37">
        <v>8.5299999999999994</v>
      </c>
      <c r="I978" s="37">
        <v>46</v>
      </c>
      <c r="J978" s="37" t="s">
        <v>4625</v>
      </c>
      <c r="K978" s="37" t="s">
        <v>211</v>
      </c>
      <c r="L978" s="37">
        <v>5</v>
      </c>
      <c r="M978" s="37" t="str">
        <f t="shared" si="92"/>
        <v>General</v>
      </c>
      <c r="N978" s="37" t="str">
        <f t="shared" si="90"/>
        <v>Credit Card</v>
      </c>
      <c r="O978" s="37" t="str" cm="1">
        <f t="array" ref="O978">IF(TRIM(N978)="",INDEX($N$2:$N$1500,MATCH(MAX(COUNTIF($N$2:$N$1500,$N$2:$N$1500)),COUNTIF($N$2:$N$1500,$N$2:$N$1500),0)),N978)</f>
        <v>Credit Card</v>
      </c>
      <c r="P978" s="38" cm="1">
        <f t="array" ref="P978">ROUND(IF(TRIM(H978)="",IFERROR(MEDIAN(IF($M$2:$M$1500=M978,$H$2:$H$1500)),MEDIAN($H$2:$H$1500)),H978),2)</f>
        <v>8.5299999999999994</v>
      </c>
      <c r="Q978" s="38" t="str">
        <f t="shared" si="93"/>
        <v>0</v>
      </c>
      <c r="R978" s="39" cm="1">
        <f t="array" ref="R978">IF(OR(TRIM(J978)="",TRIM(J978)="-"),MEDIAN(IF($C$2:$C$1218=C978,$J$2:$J$1218)),VALUE(SUBSTITUTE(SUBSTITUTE(SUBSTITUTE(J978,"Rs. ",""),"₹",""),",","")))</f>
        <v>10794</v>
      </c>
      <c r="S978" s="40">
        <f t="shared" si="91"/>
        <v>5</v>
      </c>
      <c r="T978" s="41">
        <f t="shared" si="94"/>
        <v>5</v>
      </c>
      <c r="U978" s="42">
        <f t="shared" si="95"/>
        <v>10254</v>
      </c>
    </row>
    <row r="979" spans="1:21" x14ac:dyDescent="0.3">
      <c r="A979" s="37" t="s">
        <v>4626</v>
      </c>
      <c r="B979" s="37" t="s">
        <v>3818</v>
      </c>
      <c r="C979" s="37" t="s">
        <v>2532</v>
      </c>
      <c r="D979" s="37" t="s">
        <v>25</v>
      </c>
      <c r="E979" s="37" t="s">
        <v>54</v>
      </c>
      <c r="F979" s="37" t="s">
        <v>49</v>
      </c>
      <c r="G979" s="37" t="s">
        <v>2993</v>
      </c>
      <c r="H979" s="37">
        <v>19.41</v>
      </c>
      <c r="I979" s="37">
        <v>49</v>
      </c>
      <c r="J979" s="37" t="s">
        <v>4627</v>
      </c>
      <c r="K979" s="37"/>
      <c r="L979" s="37">
        <v>0</v>
      </c>
      <c r="M979" s="37" t="str">
        <f t="shared" si="92"/>
        <v>General</v>
      </c>
      <c r="N979" s="37" t="str">
        <f t="shared" si="90"/>
        <v>Unknown</v>
      </c>
      <c r="O979" s="37" t="str" cm="1">
        <f t="array" ref="O979">IF(TRIM(N979)="",INDEX($N$2:$N$1500,MATCH(MAX(COUNTIF($N$2:$N$1500,$N$2:$N$1500)),COUNTIF($N$2:$N$1500,$N$2:$N$1500),0)),N979)</f>
        <v>Unknown</v>
      </c>
      <c r="P979" s="38" cm="1">
        <f t="array" ref="P979">ROUND(IF(TRIM(H979)="",IFERROR(MEDIAN(IF($M$2:$M$1500=M979,$H$2:$H$1500)),MEDIAN($H$2:$H$1500)),H979),2)</f>
        <v>19.41</v>
      </c>
      <c r="Q979" s="38" t="str">
        <f t="shared" si="93"/>
        <v>2+</v>
      </c>
      <c r="R979" s="39" cm="1">
        <f t="array" ref="R979">IF(OR(TRIM(J979)="",TRIM(J979)="-"),MEDIAN(IF($C$2:$C$1218=C979,$J$2:$J$1218)),VALUE(SUBSTITUTE(SUBSTITUTE(SUBSTITUTE(J979,"Rs. ",""),"₹",""),",","")))</f>
        <v>16089</v>
      </c>
      <c r="S979" s="40">
        <f t="shared" si="91"/>
        <v>0</v>
      </c>
      <c r="T979" s="41">
        <f t="shared" si="94"/>
        <v>0</v>
      </c>
      <c r="U979" s="42">
        <f t="shared" si="95"/>
        <v>16089</v>
      </c>
    </row>
    <row r="980" spans="1:21" x14ac:dyDescent="0.3">
      <c r="A980" s="37" t="s">
        <v>4628</v>
      </c>
      <c r="B980" s="37" t="s">
        <v>4629</v>
      </c>
      <c r="C980" s="37" t="s">
        <v>2473</v>
      </c>
      <c r="D980" s="37" t="s">
        <v>25</v>
      </c>
      <c r="E980" s="37" t="s">
        <v>54</v>
      </c>
      <c r="F980" s="37" t="s">
        <v>49</v>
      </c>
      <c r="G980" s="37" t="s">
        <v>2477</v>
      </c>
      <c r="H980" s="37">
        <v>5.39</v>
      </c>
      <c r="I980" s="37">
        <v>20</v>
      </c>
      <c r="J980" s="37" t="s">
        <v>4630</v>
      </c>
      <c r="K980" s="37" t="s">
        <v>211</v>
      </c>
      <c r="L980" s="37">
        <v>0</v>
      </c>
      <c r="M980" s="37" t="str">
        <f t="shared" si="92"/>
        <v>General</v>
      </c>
      <c r="N980" s="37" t="str">
        <f t="shared" si="90"/>
        <v>Credit Card</v>
      </c>
      <c r="O980" s="37" t="str" cm="1">
        <f t="array" ref="O980">IF(TRIM(N980)="",INDEX($N$2:$N$1500,MATCH(MAX(COUNTIF($N$2:$N$1500,$N$2:$N$1500)),COUNTIF($N$2:$N$1500,$N$2:$N$1500),0)),N980)</f>
        <v>Credit Card</v>
      </c>
      <c r="P980" s="38" cm="1">
        <f t="array" ref="P980">ROUND(IF(TRIM(H980)="",IFERROR(MEDIAN(IF($M$2:$M$1500=M980,$H$2:$H$1500)),MEDIAN($H$2:$H$1500)),H980),2)</f>
        <v>5.39</v>
      </c>
      <c r="Q980" s="38" t="str">
        <f t="shared" si="93"/>
        <v>0</v>
      </c>
      <c r="R980" s="39" cm="1">
        <f t="array" ref="R980">IF(OR(TRIM(J980)="",TRIM(J980)="-"),MEDIAN(IF($C$2:$C$1218=C980,$J$2:$J$1218)),VALUE(SUBSTITUTE(SUBSTITUTE(SUBSTITUTE(J980,"Rs. ",""),"₹",""),",","")))</f>
        <v>11785</v>
      </c>
      <c r="S980" s="40">
        <f t="shared" si="91"/>
        <v>0</v>
      </c>
      <c r="T980" s="41">
        <f t="shared" si="94"/>
        <v>0</v>
      </c>
      <c r="U980" s="42">
        <f t="shared" si="95"/>
        <v>11785</v>
      </c>
    </row>
    <row r="981" spans="1:21" x14ac:dyDescent="0.3">
      <c r="A981" s="37" t="s">
        <v>4631</v>
      </c>
      <c r="B981" s="37" t="s">
        <v>2441</v>
      </c>
      <c r="C981" s="37" t="s">
        <v>2411</v>
      </c>
      <c r="D981" s="37" t="s">
        <v>78</v>
      </c>
      <c r="E981" s="37" t="s">
        <v>161</v>
      </c>
      <c r="F981" s="37" t="s">
        <v>30</v>
      </c>
      <c r="G981" s="37" t="s">
        <v>2450</v>
      </c>
      <c r="H981" s="37">
        <v>3.83</v>
      </c>
      <c r="I981" s="37">
        <v>24</v>
      </c>
      <c r="J981" s="37" t="s">
        <v>4632</v>
      </c>
      <c r="K981" s="37" t="s">
        <v>52</v>
      </c>
      <c r="L981" s="37" t="s">
        <v>140</v>
      </c>
      <c r="M981" s="37" t="str">
        <f t="shared" si="92"/>
        <v>General</v>
      </c>
      <c r="N981" s="37" t="str">
        <f t="shared" si="90"/>
        <v>Credit Card</v>
      </c>
      <c r="O981" s="37" t="str" cm="1">
        <f t="array" ref="O981">IF(TRIM(N981)="",INDEX($N$2:$N$1500,MATCH(MAX(COUNTIF($N$2:$N$1500,$N$2:$N$1500)),COUNTIF($N$2:$N$1500,$N$2:$N$1500),0)),N981)</f>
        <v>Credit Card</v>
      </c>
      <c r="P981" s="38" cm="1">
        <f t="array" ref="P981">ROUND(IF(TRIM(H981)="",IFERROR(MEDIAN(IF($M$2:$M$1500=M981,$H$2:$H$1500)),MEDIAN($H$2:$H$1500)),H981),2)</f>
        <v>3.83</v>
      </c>
      <c r="Q981" s="38" t="str">
        <f t="shared" si="93"/>
        <v>1</v>
      </c>
      <c r="R981" s="39" cm="1">
        <f t="array" ref="R981">IF(OR(TRIM(J981)="",TRIM(J981)="-"),MEDIAN(IF($C$2:$C$1218=C981,$J$2:$J$1218)),VALUE(SUBSTITUTE(SUBSTITUTE(SUBSTITUTE(J981,"Rs. ",""),"₹",""),",","")))</f>
        <v>17678</v>
      </c>
      <c r="S981" s="40" t="str">
        <f t="shared" si="91"/>
        <v>-</v>
      </c>
      <c r="T981" s="41">
        <f t="shared" si="94"/>
        <v>2</v>
      </c>
      <c r="U981" s="42">
        <f t="shared" si="95"/>
        <v>17324</v>
      </c>
    </row>
    <row r="982" spans="1:21" x14ac:dyDescent="0.3">
      <c r="A982" s="37" t="s">
        <v>4633</v>
      </c>
      <c r="B982" s="37" t="s">
        <v>4634</v>
      </c>
      <c r="C982" s="37" t="s">
        <v>2521</v>
      </c>
      <c r="D982" s="37" t="s">
        <v>117</v>
      </c>
      <c r="E982" s="37" t="s">
        <v>118</v>
      </c>
      <c r="F982" s="37" t="s">
        <v>49</v>
      </c>
      <c r="G982" s="37" t="s">
        <v>2418</v>
      </c>
      <c r="H982" s="37">
        <v>23.99</v>
      </c>
      <c r="I982" s="37">
        <v>20</v>
      </c>
      <c r="J982" s="37" t="s">
        <v>4635</v>
      </c>
      <c r="K982" s="37" t="s">
        <v>34</v>
      </c>
      <c r="L982" s="37" t="s">
        <v>76</v>
      </c>
      <c r="M982" s="37" t="str">
        <f t="shared" si="92"/>
        <v>General</v>
      </c>
      <c r="N982" s="37" t="str">
        <f t="shared" si="90"/>
        <v>Cash</v>
      </c>
      <c r="O982" s="37" t="str" cm="1">
        <f t="array" ref="O982">IF(TRIM(N982)="",INDEX($N$2:$N$1500,MATCH(MAX(COUNTIF($N$2:$N$1500,$N$2:$N$1500)),COUNTIF($N$2:$N$1500,$N$2:$N$1500),0)),N982)</f>
        <v>Cash</v>
      </c>
      <c r="P982" s="38" cm="1">
        <f t="array" ref="P982">ROUND(IF(TRIM(H982)="",IFERROR(MEDIAN(IF($M$2:$M$1500=M982,$H$2:$H$1500)),MEDIAN($H$2:$H$1500)),H982),2)</f>
        <v>23.99</v>
      </c>
      <c r="Q982" s="38" t="str">
        <f t="shared" si="93"/>
        <v>1</v>
      </c>
      <c r="R982" s="39" cm="1">
        <f t="array" ref="R982">IF(OR(TRIM(J982)="",TRIM(J982)="-"),MEDIAN(IF($C$2:$C$1218=C982,$J$2:$J$1218)),VALUE(SUBSTITUTE(SUBSTITUTE(SUBSTITUTE(J982,"Rs. ",""),"₹",""),",","")))</f>
        <v>13339</v>
      </c>
      <c r="S982" s="40">
        <f t="shared" si="91"/>
        <v>10</v>
      </c>
      <c r="T982" s="41">
        <f t="shared" si="94"/>
        <v>10</v>
      </c>
      <c r="U982" s="42">
        <f t="shared" si="95"/>
        <v>12005</v>
      </c>
    </row>
    <row r="983" spans="1:21" x14ac:dyDescent="0.3">
      <c r="A983" s="37" t="s">
        <v>4636</v>
      </c>
      <c r="B983" s="37" t="s">
        <v>3999</v>
      </c>
      <c r="C983" s="37" t="s">
        <v>2445</v>
      </c>
      <c r="D983" s="37" t="s">
        <v>14</v>
      </c>
      <c r="E983" s="37" t="s">
        <v>60</v>
      </c>
      <c r="F983" s="37" t="s">
        <v>39</v>
      </c>
      <c r="G983" s="37" t="s">
        <v>2428</v>
      </c>
      <c r="H983" s="37"/>
      <c r="I983" s="37">
        <v>5</v>
      </c>
      <c r="J983" s="37">
        <v>15058</v>
      </c>
      <c r="K983" s="37" t="s">
        <v>34</v>
      </c>
      <c r="L983" s="37" t="s">
        <v>76</v>
      </c>
      <c r="M983" s="37" t="str">
        <f t="shared" si="92"/>
        <v>General</v>
      </c>
      <c r="N983" s="37" t="str">
        <f t="shared" si="90"/>
        <v>Cash</v>
      </c>
      <c r="O983" s="37" t="str" cm="1">
        <f t="array" ref="O983">IF(TRIM(N983)="",INDEX($N$2:$N$1500,MATCH(MAX(COUNTIF($N$2:$N$1500,$N$2:$N$1500)),COUNTIF($N$2:$N$1500,$N$2:$N$1500),0)),N983)</f>
        <v>Cash</v>
      </c>
      <c r="P983" s="38" cm="1">
        <f t="array" ref="P983">ROUND(IF(TRIM(H983)="",IFERROR(MEDIAN(IF($M$2:$M$1500=M983,$H$2:$H$1500)),MEDIAN($H$2:$H$1500)),H983),2)</f>
        <v>12.02</v>
      </c>
      <c r="Q983" s="38" t="str">
        <f t="shared" si="93"/>
        <v>2</v>
      </c>
      <c r="R983" s="39" cm="1">
        <f t="array" ref="R983">IF(OR(TRIM(J983)="",TRIM(J983)="-"),MEDIAN(IF($C$2:$C$1218=C983,$J$2:$J$1218)),VALUE(SUBSTITUTE(SUBSTITUTE(SUBSTITUTE(J983,"Rs. ",""),"₹",""),",","")))</f>
        <v>15058</v>
      </c>
      <c r="S983" s="40">
        <f t="shared" si="91"/>
        <v>10</v>
      </c>
      <c r="T983" s="41">
        <f t="shared" si="94"/>
        <v>10</v>
      </c>
      <c r="U983" s="42">
        <f t="shared" si="95"/>
        <v>13552</v>
      </c>
    </row>
    <row r="984" spans="1:21" x14ac:dyDescent="0.3">
      <c r="A984" s="37" t="s">
        <v>4637</v>
      </c>
      <c r="B984" s="37" t="s">
        <v>4638</v>
      </c>
      <c r="C984" s="37" t="s">
        <v>2481</v>
      </c>
      <c r="D984" s="37" t="s">
        <v>25</v>
      </c>
      <c r="E984" s="37" t="s">
        <v>54</v>
      </c>
      <c r="F984" s="37" t="s">
        <v>69</v>
      </c>
      <c r="G984" s="37" t="s">
        <v>2408</v>
      </c>
      <c r="H984" s="37">
        <v>3.47</v>
      </c>
      <c r="I984" s="37">
        <v>50</v>
      </c>
      <c r="J984" s="37">
        <v>65365</v>
      </c>
      <c r="K984" s="37" t="s">
        <v>72</v>
      </c>
      <c r="L984" s="37">
        <v>5</v>
      </c>
      <c r="M984" s="37" t="str">
        <f t="shared" si="92"/>
        <v>ICU</v>
      </c>
      <c r="N984" s="37" t="str">
        <f t="shared" si="90"/>
        <v>Cash</v>
      </c>
      <c r="O984" s="37" t="str" cm="1">
        <f t="array" ref="O984">IF(TRIM(N984)="",INDEX($N$2:$N$1500,MATCH(MAX(COUNTIF($N$2:$N$1500,$N$2:$N$1500)),COUNTIF($N$2:$N$1500,$N$2:$N$1500),0)),N984)</f>
        <v>Cash</v>
      </c>
      <c r="P984" s="38" cm="1">
        <f t="array" ref="P984">ROUND(IF(TRIM(H984)="",IFERROR(MEDIAN(IF($M$2:$M$1500=M984,$H$2:$H$1500)),MEDIAN($H$2:$H$1500)),H984),2)</f>
        <v>3.47</v>
      </c>
      <c r="Q984" s="38" t="str">
        <f t="shared" si="93"/>
        <v>0</v>
      </c>
      <c r="R984" s="39" cm="1">
        <f t="array" ref="R984">IF(OR(TRIM(J984)="",TRIM(J984)="-"),MEDIAN(IF($C$2:$C$1218=C984,$J$2:$J$1218)),VALUE(SUBSTITUTE(SUBSTITUTE(SUBSTITUTE(J984,"Rs. ",""),"₹",""),",","")))</f>
        <v>65365</v>
      </c>
      <c r="S984" s="40">
        <f t="shared" si="91"/>
        <v>5</v>
      </c>
      <c r="T984" s="41">
        <f t="shared" si="94"/>
        <v>5</v>
      </c>
      <c r="U984" s="42">
        <f t="shared" si="95"/>
        <v>62097</v>
      </c>
    </row>
    <row r="985" spans="1:21" x14ac:dyDescent="0.3">
      <c r="A985" s="37" t="s">
        <v>4639</v>
      </c>
      <c r="B985" s="37" t="s">
        <v>4640</v>
      </c>
      <c r="C985" s="37" t="s">
        <v>2532</v>
      </c>
      <c r="D985" s="37" t="s">
        <v>106</v>
      </c>
      <c r="E985" s="37" t="s">
        <v>107</v>
      </c>
      <c r="F985" s="37" t="s">
        <v>30</v>
      </c>
      <c r="G985" s="37" t="s">
        <v>2423</v>
      </c>
      <c r="H985" s="37"/>
      <c r="I985" s="37">
        <v>51</v>
      </c>
      <c r="J985" s="37" t="s">
        <v>4641</v>
      </c>
      <c r="K985" s="37" t="s">
        <v>311</v>
      </c>
      <c r="L985" s="37">
        <v>0.05</v>
      </c>
      <c r="M985" s="37" t="str">
        <f t="shared" si="92"/>
        <v>General</v>
      </c>
      <c r="N985" s="37" t="str">
        <f t="shared" si="90"/>
        <v>UPI</v>
      </c>
      <c r="O985" s="37" t="str" cm="1">
        <f t="array" ref="O985">IF(TRIM(N985)="",INDEX($N$2:$N$1500,MATCH(MAX(COUNTIF($N$2:$N$1500,$N$2:$N$1500)),COUNTIF($N$2:$N$1500,$N$2:$N$1500),0)),N985)</f>
        <v>UPI</v>
      </c>
      <c r="P985" s="38" cm="1">
        <f t="array" ref="P985">ROUND(IF(TRIM(H985)="",IFERROR(MEDIAN(IF($M$2:$M$1500=M985,$H$2:$H$1500)),MEDIAN($H$2:$H$1500)),H985),2)</f>
        <v>12.02</v>
      </c>
      <c r="Q985" s="38" t="str">
        <f t="shared" si="93"/>
        <v>0</v>
      </c>
      <c r="R985" s="39" cm="1">
        <f t="array" ref="R985">IF(OR(TRIM(J985)="",TRIM(J985)="-"),MEDIAN(IF($C$2:$C$1218=C985,$J$2:$J$1218)),VALUE(SUBSTITUTE(SUBSTITUTE(SUBSTITUTE(J985,"Rs. ",""),"₹",""),",","")))</f>
        <v>12789</v>
      </c>
      <c r="S985" s="40">
        <f t="shared" si="91"/>
        <v>0.05</v>
      </c>
      <c r="T985" s="41">
        <f t="shared" si="94"/>
        <v>0</v>
      </c>
      <c r="U985" s="42">
        <f t="shared" si="95"/>
        <v>12789</v>
      </c>
    </row>
    <row r="986" spans="1:21" x14ac:dyDescent="0.3">
      <c r="A986" s="37" t="s">
        <v>4642</v>
      </c>
      <c r="B986" s="37" t="s">
        <v>4643</v>
      </c>
      <c r="C986" s="37" t="s">
        <v>2469</v>
      </c>
      <c r="D986" s="37" t="s">
        <v>45</v>
      </c>
      <c r="E986" s="37" t="s">
        <v>46</v>
      </c>
      <c r="F986" s="37" t="s">
        <v>101</v>
      </c>
      <c r="G986" s="37" t="s">
        <v>2746</v>
      </c>
      <c r="H986" s="37">
        <v>3.46</v>
      </c>
      <c r="I986" s="37"/>
      <c r="J986" s="37" t="s">
        <v>4644</v>
      </c>
      <c r="K986" s="37" t="s">
        <v>52</v>
      </c>
      <c r="L986" s="37">
        <v>10</v>
      </c>
      <c r="M986" s="37" t="str">
        <f t="shared" si="92"/>
        <v>ICU</v>
      </c>
      <c r="N986" s="37" t="str">
        <f t="shared" si="90"/>
        <v>Credit Card</v>
      </c>
      <c r="O986" s="37" t="str" cm="1">
        <f t="array" ref="O986">IF(TRIM(N986)="",INDEX($N$2:$N$1500,MATCH(MAX(COUNTIF($N$2:$N$1500,$N$2:$N$1500)),COUNTIF($N$2:$N$1500,$N$2:$N$1500),0)),N986)</f>
        <v>Credit Card</v>
      </c>
      <c r="P986" s="38" cm="1">
        <f t="array" ref="P986">ROUND(IF(TRIM(H986)="",IFERROR(MEDIAN(IF($M$2:$M$1500=M986,$H$2:$H$1500)),MEDIAN($H$2:$H$1500)),H986),2)</f>
        <v>3.46</v>
      </c>
      <c r="Q986" s="38" t="str">
        <f t="shared" si="93"/>
        <v>2</v>
      </c>
      <c r="R986" s="39" cm="1">
        <f t="array" ref="R986">IF(OR(TRIM(J986)="",TRIM(J986)="-"),MEDIAN(IF($C$2:$C$1218=C986,$J$2:$J$1218)),VALUE(SUBSTITUTE(SUBSTITUTE(SUBSTITUTE(J986,"Rs. ",""),"₹",""),",","")))</f>
        <v>43387</v>
      </c>
      <c r="S986" s="40">
        <f t="shared" si="91"/>
        <v>10</v>
      </c>
      <c r="T986" s="41">
        <f t="shared" si="94"/>
        <v>10</v>
      </c>
      <c r="U986" s="42">
        <f t="shared" si="95"/>
        <v>39048</v>
      </c>
    </row>
    <row r="987" spans="1:21" x14ac:dyDescent="0.3">
      <c r="A987" s="37" t="s">
        <v>4645</v>
      </c>
      <c r="B987" s="37" t="s">
        <v>3581</v>
      </c>
      <c r="C987" s="37" t="s">
        <v>2427</v>
      </c>
      <c r="D987" s="37" t="s">
        <v>45</v>
      </c>
      <c r="E987" s="37" t="s">
        <v>334</v>
      </c>
      <c r="F987" s="37" t="s">
        <v>39</v>
      </c>
      <c r="G987" s="37" t="s">
        <v>2412</v>
      </c>
      <c r="H987" s="37"/>
      <c r="I987" s="37">
        <v>1</v>
      </c>
      <c r="J987" s="37" t="s">
        <v>4646</v>
      </c>
      <c r="K987" s="37" t="s">
        <v>58</v>
      </c>
      <c r="L987" s="37" t="s">
        <v>130</v>
      </c>
      <c r="M987" s="37" t="str">
        <f t="shared" si="92"/>
        <v>General</v>
      </c>
      <c r="N987" s="37" t="str">
        <f t="shared" si="90"/>
        <v>UPI</v>
      </c>
      <c r="O987" s="37" t="str" cm="1">
        <f t="array" ref="O987">IF(TRIM(N987)="",INDEX($N$2:$N$1500,MATCH(MAX(COUNTIF($N$2:$N$1500,$N$2:$N$1500)),COUNTIF($N$2:$N$1500,$N$2:$N$1500),0)),N987)</f>
        <v>UPI</v>
      </c>
      <c r="P987" s="38" cm="1">
        <f t="array" ref="P987">ROUND(IF(TRIM(H987)="",IFERROR(MEDIAN(IF($M$2:$M$1500=M987,$H$2:$H$1500)),MEDIAN($H$2:$H$1500)),H987),2)</f>
        <v>12.02</v>
      </c>
      <c r="Q987" s="38" t="str">
        <f t="shared" si="93"/>
        <v>1</v>
      </c>
      <c r="R987" s="39" cm="1">
        <f t="array" ref="R987">IF(OR(TRIM(J987)="",TRIM(J987)="-"),MEDIAN(IF($C$2:$C$1218=C987,$J$2:$J$1218)),VALUE(SUBSTITUTE(SUBSTITUTE(SUBSTITUTE(J987,"Rs. ",""),"₹",""),",","")))</f>
        <v>7280</v>
      </c>
      <c r="S987" s="40">
        <f t="shared" si="91"/>
        <v>0</v>
      </c>
      <c r="T987" s="41">
        <f t="shared" si="94"/>
        <v>0</v>
      </c>
      <c r="U987" s="42">
        <f t="shared" si="95"/>
        <v>7280</v>
      </c>
    </row>
    <row r="988" spans="1:21" x14ac:dyDescent="0.3">
      <c r="A988" s="37" t="s">
        <v>4647</v>
      </c>
      <c r="B988" s="37" t="s">
        <v>4648</v>
      </c>
      <c r="C988" s="37" t="s">
        <v>2411</v>
      </c>
      <c r="D988" s="37" t="s">
        <v>25</v>
      </c>
      <c r="E988" s="37" t="s">
        <v>54</v>
      </c>
      <c r="F988" s="37" t="s">
        <v>101</v>
      </c>
      <c r="G988" s="37" t="s">
        <v>2450</v>
      </c>
      <c r="H988" s="37">
        <v>20.27</v>
      </c>
      <c r="I988" s="37" t="s">
        <v>140</v>
      </c>
      <c r="J988" s="37">
        <v>50095</v>
      </c>
      <c r="K988" s="37" t="s">
        <v>34</v>
      </c>
      <c r="L988" s="37">
        <v>0</v>
      </c>
      <c r="M988" s="37" t="str">
        <f t="shared" si="92"/>
        <v>ICU</v>
      </c>
      <c r="N988" s="37" t="str">
        <f t="shared" si="90"/>
        <v>Cash</v>
      </c>
      <c r="O988" s="37" t="str" cm="1">
        <f t="array" ref="O988">IF(TRIM(N988)="",INDEX($N$2:$N$1500,MATCH(MAX(COUNTIF($N$2:$N$1500,$N$2:$N$1500)),COUNTIF($N$2:$N$1500,$N$2:$N$1500),0)),N988)</f>
        <v>Cash</v>
      </c>
      <c r="P988" s="38" cm="1">
        <f t="array" ref="P988">ROUND(IF(TRIM(H988)="",IFERROR(MEDIAN(IF($M$2:$M$1500=M988,$H$2:$H$1500)),MEDIAN($H$2:$H$1500)),H988),2)</f>
        <v>20.27</v>
      </c>
      <c r="Q988" s="38" t="str">
        <f t="shared" si="93"/>
        <v>1</v>
      </c>
      <c r="R988" s="39" cm="1">
        <f t="array" ref="R988">IF(OR(TRIM(J988)="",TRIM(J988)="-"),MEDIAN(IF($C$2:$C$1218=C988,$J$2:$J$1218)),VALUE(SUBSTITUTE(SUBSTITUTE(SUBSTITUTE(J988,"Rs. ",""),"₹",""),",","")))</f>
        <v>50095</v>
      </c>
      <c r="S988" s="40">
        <f t="shared" si="91"/>
        <v>0</v>
      </c>
      <c r="T988" s="41">
        <f t="shared" si="94"/>
        <v>0</v>
      </c>
      <c r="U988" s="42">
        <f t="shared" si="95"/>
        <v>50095</v>
      </c>
    </row>
    <row r="989" spans="1:21" x14ac:dyDescent="0.3">
      <c r="A989" s="37" t="s">
        <v>4649</v>
      </c>
      <c r="B989" s="37" t="s">
        <v>4014</v>
      </c>
      <c r="C989" s="37" t="s">
        <v>2490</v>
      </c>
      <c r="D989" s="37" t="s">
        <v>45</v>
      </c>
      <c r="E989" s="37" t="s">
        <v>334</v>
      </c>
      <c r="F989" s="37" t="s">
        <v>49</v>
      </c>
      <c r="G989" s="37" t="s">
        <v>2455</v>
      </c>
      <c r="H989" s="37">
        <v>13.23</v>
      </c>
      <c r="I989" s="37">
        <v>21</v>
      </c>
      <c r="J989" s="37" t="s">
        <v>4650</v>
      </c>
      <c r="K989" s="37" t="s">
        <v>23</v>
      </c>
      <c r="L989" s="37">
        <v>0</v>
      </c>
      <c r="M989" s="37" t="str">
        <f t="shared" si="92"/>
        <v>General</v>
      </c>
      <c r="N989" s="37" t="str">
        <f t="shared" si="90"/>
        <v>Credit Card</v>
      </c>
      <c r="O989" s="37" t="str" cm="1">
        <f t="array" ref="O989">IF(TRIM(N989)="",INDEX($N$2:$N$1500,MATCH(MAX(COUNTIF($N$2:$N$1500,$N$2:$N$1500)),COUNTIF($N$2:$N$1500,$N$2:$N$1500),0)),N989)</f>
        <v>Credit Card</v>
      </c>
      <c r="P989" s="38" cm="1">
        <f t="array" ref="P989">ROUND(IF(TRIM(H989)="",IFERROR(MEDIAN(IF($M$2:$M$1500=M989,$H$2:$H$1500)),MEDIAN($H$2:$H$1500)),H989),2)</f>
        <v>13.23</v>
      </c>
      <c r="Q989" s="38" t="str">
        <f t="shared" si="93"/>
        <v>1</v>
      </c>
      <c r="R989" s="39" cm="1">
        <f t="array" ref="R989">IF(OR(TRIM(J989)="",TRIM(J989)="-"),MEDIAN(IF($C$2:$C$1218=C989,$J$2:$J$1218)),VALUE(SUBSTITUTE(SUBSTITUTE(SUBSTITUTE(J989,"Rs. ",""),"₹",""),",","")))</f>
        <v>10884</v>
      </c>
      <c r="S989" s="40">
        <f t="shared" si="91"/>
        <v>0</v>
      </c>
      <c r="T989" s="41">
        <f t="shared" si="94"/>
        <v>0</v>
      </c>
      <c r="U989" s="42">
        <f t="shared" si="95"/>
        <v>10884</v>
      </c>
    </row>
    <row r="990" spans="1:21" x14ac:dyDescent="0.3">
      <c r="A990" s="37" t="s">
        <v>4651</v>
      </c>
      <c r="B990" s="37" t="s">
        <v>3298</v>
      </c>
      <c r="C990" s="37" t="s">
        <v>2463</v>
      </c>
      <c r="D990" s="37" t="s">
        <v>78</v>
      </c>
      <c r="E990" s="37" t="s">
        <v>203</v>
      </c>
      <c r="F990" s="37" t="s">
        <v>49</v>
      </c>
      <c r="G990" s="37" t="s">
        <v>2408</v>
      </c>
      <c r="H990" s="37">
        <v>1.7</v>
      </c>
      <c r="I990" s="37"/>
      <c r="J990" s="37" t="s">
        <v>4652</v>
      </c>
      <c r="K990" s="37" t="s">
        <v>167</v>
      </c>
      <c r="L990" s="37">
        <v>20</v>
      </c>
      <c r="M990" s="37" t="str">
        <f t="shared" si="92"/>
        <v>General</v>
      </c>
      <c r="N990" s="37" t="str">
        <f t="shared" si="90"/>
        <v>Insurance</v>
      </c>
      <c r="O990" s="37" t="str" cm="1">
        <f t="array" ref="O990">IF(TRIM(N990)="",INDEX($N$2:$N$1500,MATCH(MAX(COUNTIF($N$2:$N$1500,$N$2:$N$1500)),COUNTIF($N$2:$N$1500,$N$2:$N$1500),0)),N990)</f>
        <v>Insurance</v>
      </c>
      <c r="P990" s="38" cm="1">
        <f t="array" ref="P990">ROUND(IF(TRIM(H990)="",IFERROR(MEDIAN(IF($M$2:$M$1500=M990,$H$2:$H$1500)),MEDIAN($H$2:$H$1500)),H990),2)</f>
        <v>1.7</v>
      </c>
      <c r="Q990" s="38" t="str">
        <f t="shared" si="93"/>
        <v>0</v>
      </c>
      <c r="R990" s="39" cm="1">
        <f t="array" ref="R990">IF(OR(TRIM(J990)="",TRIM(J990)="-"),MEDIAN(IF($C$2:$C$1218=C990,$J$2:$J$1218)),VALUE(SUBSTITUTE(SUBSTITUTE(SUBSTITUTE(J990,"Rs. ",""),"₹",""),",","")))</f>
        <v>16558</v>
      </c>
      <c r="S990" s="40">
        <f t="shared" si="91"/>
        <v>20</v>
      </c>
      <c r="T990" s="41">
        <f t="shared" si="94"/>
        <v>20</v>
      </c>
      <c r="U990" s="42">
        <f t="shared" si="95"/>
        <v>13246</v>
      </c>
    </row>
    <row r="991" spans="1:21" x14ac:dyDescent="0.3">
      <c r="A991" s="37" t="s">
        <v>4653</v>
      </c>
      <c r="B991" s="37" t="s">
        <v>2426</v>
      </c>
      <c r="C991" s="37" t="s">
        <v>2427</v>
      </c>
      <c r="D991" s="37" t="s">
        <v>25</v>
      </c>
      <c r="E991" s="37" t="s">
        <v>54</v>
      </c>
      <c r="F991" s="37" t="s">
        <v>49</v>
      </c>
      <c r="G991" s="37" t="s">
        <v>2423</v>
      </c>
      <c r="H991" s="37">
        <v>24.91</v>
      </c>
      <c r="I991" s="37">
        <v>52</v>
      </c>
      <c r="J991" s="37" t="s">
        <v>4654</v>
      </c>
      <c r="K991" s="37" t="s">
        <v>34</v>
      </c>
      <c r="L991" s="37">
        <v>10</v>
      </c>
      <c r="M991" s="37" t="str">
        <f t="shared" si="92"/>
        <v>General</v>
      </c>
      <c r="N991" s="37" t="str">
        <f t="shared" si="90"/>
        <v>Cash</v>
      </c>
      <c r="O991" s="37" t="str" cm="1">
        <f t="array" ref="O991">IF(TRIM(N991)="",INDEX($N$2:$N$1500,MATCH(MAX(COUNTIF($N$2:$N$1500,$N$2:$N$1500)),COUNTIF($N$2:$N$1500,$N$2:$N$1500),0)),N991)</f>
        <v>Cash</v>
      </c>
      <c r="P991" s="38" cm="1">
        <f t="array" ref="P991">ROUND(IF(TRIM(H991)="",IFERROR(MEDIAN(IF($M$2:$M$1500=M991,$H$2:$H$1500)),MEDIAN($H$2:$H$1500)),H991),2)</f>
        <v>24.91</v>
      </c>
      <c r="Q991" s="38" t="str">
        <f t="shared" si="93"/>
        <v>0</v>
      </c>
      <c r="R991" s="39" cm="1">
        <f t="array" ref="R991">IF(OR(TRIM(J991)="",TRIM(J991)="-"),MEDIAN(IF($C$2:$C$1218=C991,$J$2:$J$1218)),VALUE(SUBSTITUTE(SUBSTITUTE(SUBSTITUTE(J991,"Rs. ",""),"₹",""),",","")))</f>
        <v>15441</v>
      </c>
      <c r="S991" s="40">
        <f t="shared" si="91"/>
        <v>10</v>
      </c>
      <c r="T991" s="41">
        <f t="shared" si="94"/>
        <v>10</v>
      </c>
      <c r="U991" s="42">
        <f t="shared" si="95"/>
        <v>13897</v>
      </c>
    </row>
    <row r="992" spans="1:21" x14ac:dyDescent="0.3">
      <c r="A992" s="37" t="s">
        <v>4655</v>
      </c>
      <c r="B992" s="37" t="s">
        <v>4656</v>
      </c>
      <c r="C992" s="37" t="s">
        <v>2485</v>
      </c>
      <c r="D992" s="37" t="s">
        <v>106</v>
      </c>
      <c r="E992" s="37" t="s">
        <v>107</v>
      </c>
      <c r="F992" s="37" t="s">
        <v>39</v>
      </c>
      <c r="G992" s="37" t="s">
        <v>2408</v>
      </c>
      <c r="H992" s="37">
        <v>14.05</v>
      </c>
      <c r="I992" s="37">
        <v>13</v>
      </c>
      <c r="J992" s="37" t="s">
        <v>4657</v>
      </c>
      <c r="K992" s="37" t="s">
        <v>311</v>
      </c>
      <c r="L992" s="37">
        <v>0</v>
      </c>
      <c r="M992" s="37" t="str">
        <f t="shared" si="92"/>
        <v>General</v>
      </c>
      <c r="N992" s="37" t="str">
        <f t="shared" si="90"/>
        <v>UPI</v>
      </c>
      <c r="O992" s="37" t="str" cm="1">
        <f t="array" ref="O992">IF(TRIM(N992)="",INDEX($N$2:$N$1500,MATCH(MAX(COUNTIF($N$2:$N$1500,$N$2:$N$1500)),COUNTIF($N$2:$N$1500,$N$2:$N$1500),0)),N992)</f>
        <v>UPI</v>
      </c>
      <c r="P992" s="38" cm="1">
        <f t="array" ref="P992">ROUND(IF(TRIM(H992)="",IFERROR(MEDIAN(IF($M$2:$M$1500=M992,$H$2:$H$1500)),MEDIAN($H$2:$H$1500)),H992),2)</f>
        <v>14.05</v>
      </c>
      <c r="Q992" s="38" t="str">
        <f t="shared" si="93"/>
        <v>0</v>
      </c>
      <c r="R992" s="39" cm="1">
        <f t="array" ref="R992">IF(OR(TRIM(J992)="",TRIM(J992)="-"),MEDIAN(IF($C$2:$C$1218=C992,$J$2:$J$1218)),VALUE(SUBSTITUTE(SUBSTITUTE(SUBSTITUTE(J992,"Rs. ",""),"₹",""),",","")))</f>
        <v>9350</v>
      </c>
      <c r="S992" s="40">
        <f t="shared" si="91"/>
        <v>0</v>
      </c>
      <c r="T992" s="41">
        <f t="shared" si="94"/>
        <v>0</v>
      </c>
      <c r="U992" s="42">
        <f t="shared" si="95"/>
        <v>9350</v>
      </c>
    </row>
    <row r="993" spans="1:21" x14ac:dyDescent="0.3">
      <c r="A993" s="37" t="s">
        <v>4658</v>
      </c>
      <c r="B993" s="37" t="s">
        <v>4659</v>
      </c>
      <c r="C993" s="37" t="s">
        <v>2730</v>
      </c>
      <c r="D993" s="37" t="s">
        <v>25</v>
      </c>
      <c r="E993" s="37" t="s">
        <v>54</v>
      </c>
      <c r="F993" s="37" t="s">
        <v>19</v>
      </c>
      <c r="G993" s="37" t="s">
        <v>2455</v>
      </c>
      <c r="H993" s="37">
        <v>16.61</v>
      </c>
      <c r="I993" s="37"/>
      <c r="J993" s="37">
        <v>18936</v>
      </c>
      <c r="K993" s="37" t="s">
        <v>236</v>
      </c>
      <c r="L993" s="37">
        <v>5</v>
      </c>
      <c r="M993" s="37" t="str">
        <f t="shared" si="92"/>
        <v>General</v>
      </c>
      <c r="N993" s="37" t="str">
        <f t="shared" si="90"/>
        <v>Debit Card</v>
      </c>
      <c r="O993" s="37" t="str" cm="1">
        <f t="array" ref="O993">IF(TRIM(N993)="",INDEX($N$2:$N$1500,MATCH(MAX(COUNTIF($N$2:$N$1500,$N$2:$N$1500)),COUNTIF($N$2:$N$1500,$N$2:$N$1500),0)),N993)</f>
        <v>Debit Card</v>
      </c>
      <c r="P993" s="38" cm="1">
        <f t="array" ref="P993">ROUND(IF(TRIM(H993)="",IFERROR(MEDIAN(IF($M$2:$M$1500=M993,$H$2:$H$1500)),MEDIAN($H$2:$H$1500)),H993),2)</f>
        <v>16.61</v>
      </c>
      <c r="Q993" s="38" t="str">
        <f t="shared" si="93"/>
        <v>1</v>
      </c>
      <c r="R993" s="39" cm="1">
        <f t="array" ref="R993">IF(OR(TRIM(J993)="",TRIM(J993)="-"),MEDIAN(IF($C$2:$C$1218=C993,$J$2:$J$1218)),VALUE(SUBSTITUTE(SUBSTITUTE(SUBSTITUTE(J993,"Rs. ",""),"₹",""),",","")))</f>
        <v>18936</v>
      </c>
      <c r="S993" s="40">
        <f t="shared" si="91"/>
        <v>5</v>
      </c>
      <c r="T993" s="41">
        <f t="shared" si="94"/>
        <v>5</v>
      </c>
      <c r="U993" s="42">
        <f t="shared" si="95"/>
        <v>17989</v>
      </c>
    </row>
    <row r="994" spans="1:21" x14ac:dyDescent="0.3">
      <c r="A994" s="37" t="s">
        <v>4660</v>
      </c>
      <c r="B994" s="37" t="s">
        <v>3624</v>
      </c>
      <c r="C994" s="37" t="s">
        <v>2494</v>
      </c>
      <c r="D994" s="37" t="s">
        <v>78</v>
      </c>
      <c r="E994" s="37" t="s">
        <v>79</v>
      </c>
      <c r="F994" s="37" t="s">
        <v>19</v>
      </c>
      <c r="G994" s="37" t="s">
        <v>2486</v>
      </c>
      <c r="H994" s="37">
        <v>3.16</v>
      </c>
      <c r="I994" s="37">
        <v>1</v>
      </c>
      <c r="J994" s="37" t="s">
        <v>4661</v>
      </c>
      <c r="K994" s="37" t="s">
        <v>72</v>
      </c>
      <c r="L994" s="37" t="s">
        <v>140</v>
      </c>
      <c r="M994" s="37" t="str">
        <f t="shared" si="92"/>
        <v>General</v>
      </c>
      <c r="N994" s="37" t="str">
        <f t="shared" si="90"/>
        <v>Cash</v>
      </c>
      <c r="O994" s="37" t="str" cm="1">
        <f t="array" ref="O994">IF(TRIM(N994)="",INDEX($N$2:$N$1500,MATCH(MAX(COUNTIF($N$2:$N$1500,$N$2:$N$1500)),COUNTIF($N$2:$N$1500,$N$2:$N$1500),0)),N994)</f>
        <v>Cash</v>
      </c>
      <c r="P994" s="38" cm="1">
        <f t="array" ref="P994">ROUND(IF(TRIM(H994)="",IFERROR(MEDIAN(IF($M$2:$M$1500=M994,$H$2:$H$1500)),MEDIAN($H$2:$H$1500)),H994),2)</f>
        <v>3.16</v>
      </c>
      <c r="Q994" s="38" t="str">
        <f t="shared" si="93"/>
        <v>2+</v>
      </c>
      <c r="R994" s="39" cm="1">
        <f t="array" ref="R994">IF(OR(TRIM(J994)="",TRIM(J994)="-"),MEDIAN(IF($C$2:$C$1218=C994,$J$2:$J$1218)),VALUE(SUBSTITUTE(SUBSTITUTE(SUBSTITUTE(J994,"Rs. ",""),"₹",""),",","")))</f>
        <v>12942</v>
      </c>
      <c r="S994" s="40" t="str">
        <f t="shared" si="91"/>
        <v>-</v>
      </c>
      <c r="T994" s="41">
        <f t="shared" si="94"/>
        <v>2</v>
      </c>
      <c r="U994" s="42">
        <f t="shared" si="95"/>
        <v>12683</v>
      </c>
    </row>
    <row r="995" spans="1:21" x14ac:dyDescent="0.3">
      <c r="A995" s="37" t="s">
        <v>4662</v>
      </c>
      <c r="B995" s="37" t="s">
        <v>4663</v>
      </c>
      <c r="C995" s="37" t="s">
        <v>2494</v>
      </c>
      <c r="D995" s="37" t="s">
        <v>106</v>
      </c>
      <c r="E995" s="37" t="s">
        <v>107</v>
      </c>
      <c r="F995" s="37" t="s">
        <v>49</v>
      </c>
      <c r="G995" s="37" t="s">
        <v>2435</v>
      </c>
      <c r="H995" s="37">
        <v>5.01</v>
      </c>
      <c r="I995" s="37">
        <v>50</v>
      </c>
      <c r="J995" s="37">
        <v>15261</v>
      </c>
      <c r="K995" s="37" t="s">
        <v>52</v>
      </c>
      <c r="L995" s="37" t="s">
        <v>140</v>
      </c>
      <c r="M995" s="37" t="str">
        <f t="shared" si="92"/>
        <v>General</v>
      </c>
      <c r="N995" s="37" t="str">
        <f t="shared" si="90"/>
        <v>Credit Card</v>
      </c>
      <c r="O995" s="37" t="str" cm="1">
        <f t="array" ref="O995">IF(TRIM(N995)="",INDEX($N$2:$N$1500,MATCH(MAX(COUNTIF($N$2:$N$1500,$N$2:$N$1500)),COUNTIF($N$2:$N$1500,$N$2:$N$1500),0)),N995)</f>
        <v>Credit Card</v>
      </c>
      <c r="P995" s="38" cm="1">
        <f t="array" ref="P995">ROUND(IF(TRIM(H995)="",IFERROR(MEDIAN(IF($M$2:$M$1500=M995,$H$2:$H$1500)),MEDIAN($H$2:$H$1500)),H995),2)</f>
        <v>5.01</v>
      </c>
      <c r="Q995" s="38" t="str">
        <f t="shared" si="93"/>
        <v>0</v>
      </c>
      <c r="R995" s="39" cm="1">
        <f t="array" ref="R995">IF(OR(TRIM(J995)="",TRIM(J995)="-"),MEDIAN(IF($C$2:$C$1218=C995,$J$2:$J$1218)),VALUE(SUBSTITUTE(SUBSTITUTE(SUBSTITUTE(J995,"Rs. ",""),"₹",""),",","")))</f>
        <v>15261</v>
      </c>
      <c r="S995" s="40" t="str">
        <f t="shared" si="91"/>
        <v>-</v>
      </c>
      <c r="T995" s="41">
        <f t="shared" si="94"/>
        <v>2</v>
      </c>
      <c r="U995" s="42">
        <f t="shared" si="95"/>
        <v>14956</v>
      </c>
    </row>
    <row r="996" spans="1:21" x14ac:dyDescent="0.3">
      <c r="A996" s="37" t="s">
        <v>4664</v>
      </c>
      <c r="B996" s="37" t="s">
        <v>4036</v>
      </c>
      <c r="C996" s="37" t="s">
        <v>2494</v>
      </c>
      <c r="D996" s="37" t="s">
        <v>14</v>
      </c>
      <c r="E996" s="37" t="s">
        <v>15</v>
      </c>
      <c r="F996" s="37" t="s">
        <v>19</v>
      </c>
      <c r="G996" s="37" t="s">
        <v>2439</v>
      </c>
      <c r="H996" s="37">
        <v>17.760000000000002</v>
      </c>
      <c r="I996" s="37">
        <v>47</v>
      </c>
      <c r="J996" s="37">
        <v>12005</v>
      </c>
      <c r="K996" s="37" t="s">
        <v>236</v>
      </c>
      <c r="L996" s="37" t="s">
        <v>76</v>
      </c>
      <c r="M996" s="37" t="str">
        <f t="shared" si="92"/>
        <v>General</v>
      </c>
      <c r="N996" s="37" t="str">
        <f t="shared" si="90"/>
        <v>Debit Card</v>
      </c>
      <c r="O996" s="37" t="str" cm="1">
        <f t="array" ref="O996">IF(TRIM(N996)="",INDEX($N$2:$N$1500,MATCH(MAX(COUNTIF($N$2:$N$1500,$N$2:$N$1500)),COUNTIF($N$2:$N$1500,$N$2:$N$1500),0)),N996)</f>
        <v>Debit Card</v>
      </c>
      <c r="P996" s="38" cm="1">
        <f t="array" ref="P996">ROUND(IF(TRIM(H996)="",IFERROR(MEDIAN(IF($M$2:$M$1500=M996,$H$2:$H$1500)),MEDIAN($H$2:$H$1500)),H996),2)</f>
        <v>17.760000000000002</v>
      </c>
      <c r="Q996" s="38" t="str">
        <f t="shared" si="93"/>
        <v>2</v>
      </c>
      <c r="R996" s="39" cm="1">
        <f t="array" ref="R996">IF(OR(TRIM(J996)="",TRIM(J996)="-"),MEDIAN(IF($C$2:$C$1218=C996,$J$2:$J$1218)),VALUE(SUBSTITUTE(SUBSTITUTE(SUBSTITUTE(J996,"Rs. ",""),"₹",""),",","")))</f>
        <v>12005</v>
      </c>
      <c r="S996" s="40">
        <f t="shared" si="91"/>
        <v>10</v>
      </c>
      <c r="T996" s="41">
        <f t="shared" si="94"/>
        <v>10</v>
      </c>
      <c r="U996" s="42">
        <f t="shared" si="95"/>
        <v>10805</v>
      </c>
    </row>
    <row r="997" spans="1:21" x14ac:dyDescent="0.3">
      <c r="A997" s="37" t="s">
        <v>4665</v>
      </c>
      <c r="B997" s="37" t="s">
        <v>4343</v>
      </c>
      <c r="C997" s="37" t="s">
        <v>2514</v>
      </c>
      <c r="D997" s="37" t="s">
        <v>45</v>
      </c>
      <c r="E997" s="37" t="s">
        <v>46</v>
      </c>
      <c r="F997" s="37" t="s">
        <v>49</v>
      </c>
      <c r="G997" s="37" t="s">
        <v>2435</v>
      </c>
      <c r="H997" s="37">
        <v>1.97</v>
      </c>
      <c r="I997" s="37">
        <v>2</v>
      </c>
      <c r="J997" s="37" t="s">
        <v>4666</v>
      </c>
      <c r="K997" s="37" t="s">
        <v>58</v>
      </c>
      <c r="L997" s="37">
        <v>0</v>
      </c>
      <c r="M997" s="37" t="str">
        <f t="shared" si="92"/>
        <v>General</v>
      </c>
      <c r="N997" s="37" t="str">
        <f t="shared" si="90"/>
        <v>UPI</v>
      </c>
      <c r="O997" s="37" t="str" cm="1">
        <f t="array" ref="O997">IF(TRIM(N997)="",INDEX($N$2:$N$1500,MATCH(MAX(COUNTIF($N$2:$N$1500,$N$2:$N$1500)),COUNTIF($N$2:$N$1500,$N$2:$N$1500),0)),N997)</f>
        <v>UPI</v>
      </c>
      <c r="P997" s="38" cm="1">
        <f t="array" ref="P997">ROUND(IF(TRIM(H997)="",IFERROR(MEDIAN(IF($M$2:$M$1500=M997,$H$2:$H$1500)),MEDIAN($H$2:$H$1500)),H997),2)</f>
        <v>1.97</v>
      </c>
      <c r="Q997" s="38" t="str">
        <f t="shared" si="93"/>
        <v>0</v>
      </c>
      <c r="R997" s="39" cm="1">
        <f t="array" ref="R997">IF(OR(TRIM(J997)="",TRIM(J997)="-"),MEDIAN(IF($C$2:$C$1218=C997,$J$2:$J$1218)),VALUE(SUBSTITUTE(SUBSTITUTE(SUBSTITUTE(J997,"Rs. ",""),"₹",""),",","")))</f>
        <v>12779</v>
      </c>
      <c r="S997" s="40">
        <f t="shared" si="91"/>
        <v>0</v>
      </c>
      <c r="T997" s="41">
        <f t="shared" si="94"/>
        <v>0</v>
      </c>
      <c r="U997" s="42">
        <f t="shared" si="95"/>
        <v>12779</v>
      </c>
    </row>
    <row r="998" spans="1:21" x14ac:dyDescent="0.3">
      <c r="A998" s="37" t="s">
        <v>4667</v>
      </c>
      <c r="B998" s="37" t="s">
        <v>4198</v>
      </c>
      <c r="C998" s="37" t="s">
        <v>2422</v>
      </c>
      <c r="D998" s="37" t="s">
        <v>117</v>
      </c>
      <c r="E998" s="37" t="s">
        <v>182</v>
      </c>
      <c r="F998" s="37" t="s">
        <v>62</v>
      </c>
      <c r="G998" s="37" t="s">
        <v>2477</v>
      </c>
      <c r="H998" s="37">
        <v>13.62</v>
      </c>
      <c r="I998" s="37"/>
      <c r="J998" s="37">
        <v>23138</v>
      </c>
      <c r="K998" s="37" t="s">
        <v>58</v>
      </c>
      <c r="L998" s="37"/>
      <c r="M998" s="37" t="str">
        <f t="shared" si="92"/>
        <v>ICU</v>
      </c>
      <c r="N998" s="37" t="str">
        <f t="shared" si="90"/>
        <v>UPI</v>
      </c>
      <c r="O998" s="37" t="str" cm="1">
        <f t="array" ref="O998">IF(TRIM(N998)="",INDEX($N$2:$N$1500,MATCH(MAX(COUNTIF($N$2:$N$1500,$N$2:$N$1500)),COUNTIF($N$2:$N$1500,$N$2:$N$1500),0)),N998)</f>
        <v>UPI</v>
      </c>
      <c r="P998" s="38" cm="1">
        <f t="array" ref="P998">ROUND(IF(TRIM(H998)="",IFERROR(MEDIAN(IF($M$2:$M$1500=M998,$H$2:$H$1500)),MEDIAN($H$2:$H$1500)),H998),2)</f>
        <v>13.62</v>
      </c>
      <c r="Q998" s="38" t="str">
        <f t="shared" si="93"/>
        <v>0</v>
      </c>
      <c r="R998" s="39" cm="1">
        <f t="array" ref="R998">IF(OR(TRIM(J998)="",TRIM(J998)="-"),MEDIAN(IF($C$2:$C$1218=C998,$J$2:$J$1218)),VALUE(SUBSTITUTE(SUBSTITUTE(SUBSTITUTE(J998,"Rs. ",""),"₹",""),",","")))</f>
        <v>23138</v>
      </c>
      <c r="S998" s="40">
        <f t="shared" si="91"/>
        <v>0</v>
      </c>
      <c r="T998" s="41">
        <f t="shared" si="94"/>
        <v>0</v>
      </c>
      <c r="U998" s="42">
        <f t="shared" si="95"/>
        <v>23138</v>
      </c>
    </row>
    <row r="999" spans="1:21" x14ac:dyDescent="0.3">
      <c r="A999" s="37" t="s">
        <v>4668</v>
      </c>
      <c r="B999" s="37" t="s">
        <v>4564</v>
      </c>
      <c r="C999" s="37" t="s">
        <v>2411</v>
      </c>
      <c r="D999" s="37" t="s">
        <v>45</v>
      </c>
      <c r="E999" s="37" t="s">
        <v>46</v>
      </c>
      <c r="F999" s="37" t="s">
        <v>62</v>
      </c>
      <c r="G999" s="37" t="s">
        <v>2418</v>
      </c>
      <c r="H999" s="37">
        <v>0.67</v>
      </c>
      <c r="I999" s="37">
        <v>49</v>
      </c>
      <c r="J999" s="37"/>
      <c r="K999" s="37" t="s">
        <v>72</v>
      </c>
      <c r="L999" s="37" t="s">
        <v>130</v>
      </c>
      <c r="M999" s="37" t="str">
        <f t="shared" si="92"/>
        <v>ICU</v>
      </c>
      <c r="N999" s="37" t="str">
        <f t="shared" si="90"/>
        <v>Cash</v>
      </c>
      <c r="O999" s="37" t="str" cm="1">
        <f t="array" ref="O999">IF(TRIM(N999)="",INDEX($N$2:$N$1500,MATCH(MAX(COUNTIF($N$2:$N$1500,$N$2:$N$1500)),COUNTIF($N$2:$N$1500,$N$2:$N$1500),0)),N999)</f>
        <v>Cash</v>
      </c>
      <c r="P999" s="38" cm="1">
        <f t="array" ref="P999">ROUND(IF(TRIM(H999)="",IFERROR(MEDIAN(IF($M$2:$M$1500=M999,$H$2:$H$1500)),MEDIAN($H$2:$H$1500)),H999),2)</f>
        <v>0.67</v>
      </c>
      <c r="Q999" s="38" t="str">
        <f t="shared" si="93"/>
        <v>1</v>
      </c>
      <c r="R999" s="39" cm="1">
        <f t="array" ref="R999">IF(OR(TRIM(J999)="",TRIM(J999)="-"),MEDIAN(IF($C$2:$C$1218=C999,$J$2:$J$1218)),VALUE(SUBSTITUTE(SUBSTITUTE(SUBSTITUTE(J999,"Rs. ",""),"₹",""),",","")))</f>
        <v>13759</v>
      </c>
      <c r="S999" s="40">
        <f t="shared" si="91"/>
        <v>0</v>
      </c>
      <c r="T999" s="41">
        <f t="shared" si="94"/>
        <v>0</v>
      </c>
      <c r="U999" s="42">
        <f t="shared" si="95"/>
        <v>13759</v>
      </c>
    </row>
    <row r="1000" spans="1:21" x14ac:dyDescent="0.3">
      <c r="A1000" s="37" t="s">
        <v>4669</v>
      </c>
      <c r="B1000" s="37" t="s">
        <v>4670</v>
      </c>
      <c r="C1000" s="37" t="s">
        <v>2629</v>
      </c>
      <c r="D1000" s="37" t="s">
        <v>14</v>
      </c>
      <c r="E1000" s="37" t="s">
        <v>60</v>
      </c>
      <c r="F1000" s="37"/>
      <c r="G1000" s="37" t="s">
        <v>2412</v>
      </c>
      <c r="H1000" s="37">
        <v>6.98</v>
      </c>
      <c r="I1000" s="37">
        <v>29</v>
      </c>
      <c r="J1000" s="37">
        <v>82176</v>
      </c>
      <c r="K1000" s="37" t="s">
        <v>34</v>
      </c>
      <c r="L1000" s="37">
        <v>0</v>
      </c>
      <c r="M1000" s="37" t="str">
        <f t="shared" si="92"/>
        <v>Unknown</v>
      </c>
      <c r="N1000" s="37" t="str">
        <f t="shared" si="90"/>
        <v>Cash</v>
      </c>
      <c r="O1000" s="37" t="str" cm="1">
        <f t="array" ref="O1000">IF(TRIM(N1000)="",INDEX($N$2:$N$1500,MATCH(MAX(COUNTIF($N$2:$N$1500,$N$2:$N$1500)),COUNTIF($N$2:$N$1500,$N$2:$N$1500),0)),N1000)</f>
        <v>Cash</v>
      </c>
      <c r="P1000" s="38" cm="1">
        <f t="array" ref="P1000">ROUND(IF(TRIM(H1000)="",IFERROR(MEDIAN(IF($M$2:$M$1500=M1000,$H$2:$H$1500)),MEDIAN($H$2:$H$1500)),H1000),2)</f>
        <v>6.98</v>
      </c>
      <c r="Q1000" s="38" t="str">
        <f t="shared" si="93"/>
        <v>1</v>
      </c>
      <c r="R1000" s="39" cm="1">
        <f t="array" ref="R1000">IF(OR(TRIM(J1000)="",TRIM(J1000)="-"),MEDIAN(IF($C$2:$C$1218=C1000,$J$2:$J$1218)),VALUE(SUBSTITUTE(SUBSTITUTE(SUBSTITUTE(J1000,"Rs. ",""),"₹",""),",","")))</f>
        <v>82176</v>
      </c>
      <c r="S1000" s="40">
        <f t="shared" si="91"/>
        <v>0</v>
      </c>
      <c r="T1000" s="41">
        <f t="shared" si="94"/>
        <v>0</v>
      </c>
      <c r="U1000" s="42">
        <f t="shared" si="95"/>
        <v>82176</v>
      </c>
    </row>
    <row r="1001" spans="1:21" x14ac:dyDescent="0.3">
      <c r="A1001" s="37" t="s">
        <v>4671</v>
      </c>
      <c r="B1001" s="37" t="s">
        <v>3788</v>
      </c>
      <c r="C1001" s="37" t="s">
        <v>2411</v>
      </c>
      <c r="D1001" s="37" t="s">
        <v>78</v>
      </c>
      <c r="E1001" s="37" t="s">
        <v>203</v>
      </c>
      <c r="F1001" s="37" t="s">
        <v>101</v>
      </c>
      <c r="G1001" s="37" t="s">
        <v>2408</v>
      </c>
      <c r="H1001" s="37">
        <v>24.9</v>
      </c>
      <c r="I1001" s="37">
        <v>46</v>
      </c>
      <c r="J1001" s="37">
        <v>54523</v>
      </c>
      <c r="K1001" s="37" t="s">
        <v>72</v>
      </c>
      <c r="L1001" s="37">
        <v>10</v>
      </c>
      <c r="M1001" s="37" t="str">
        <f t="shared" si="92"/>
        <v>ICU</v>
      </c>
      <c r="N1001" s="37" t="str">
        <f t="shared" si="90"/>
        <v>Cash</v>
      </c>
      <c r="O1001" s="37" t="str" cm="1">
        <f t="array" ref="O1001">IF(TRIM(N1001)="",INDEX($N$2:$N$1500,MATCH(MAX(COUNTIF($N$2:$N$1500,$N$2:$N$1500)),COUNTIF($N$2:$N$1500,$N$2:$N$1500),0)),N1001)</f>
        <v>Cash</v>
      </c>
      <c r="P1001" s="38" cm="1">
        <f t="array" ref="P1001">ROUND(IF(TRIM(H1001)="",IFERROR(MEDIAN(IF($M$2:$M$1500=M1001,$H$2:$H$1500)),MEDIAN($H$2:$H$1500)),H1001),2)</f>
        <v>24.9</v>
      </c>
      <c r="Q1001" s="38" t="str">
        <f t="shared" si="93"/>
        <v>0</v>
      </c>
      <c r="R1001" s="39" cm="1">
        <f t="array" ref="R1001">IF(OR(TRIM(J1001)="",TRIM(J1001)="-"),MEDIAN(IF($C$2:$C$1218=C1001,$J$2:$J$1218)),VALUE(SUBSTITUTE(SUBSTITUTE(SUBSTITUTE(J1001,"Rs. ",""),"₹",""),",","")))</f>
        <v>54523</v>
      </c>
      <c r="S1001" s="40">
        <f t="shared" si="91"/>
        <v>10</v>
      </c>
      <c r="T1001" s="41">
        <f t="shared" si="94"/>
        <v>10</v>
      </c>
      <c r="U1001" s="42">
        <f t="shared" si="95"/>
        <v>49071</v>
      </c>
    </row>
    <row r="1002" spans="1:21" x14ac:dyDescent="0.3">
      <c r="A1002" s="37" t="s">
        <v>4672</v>
      </c>
      <c r="B1002" s="37" t="s">
        <v>3060</v>
      </c>
      <c r="C1002" s="37" t="s">
        <v>2490</v>
      </c>
      <c r="D1002" s="37" t="s">
        <v>117</v>
      </c>
      <c r="E1002" s="37" t="s">
        <v>118</v>
      </c>
      <c r="F1002" s="37"/>
      <c r="G1002" s="37" t="s">
        <v>2455</v>
      </c>
      <c r="H1002" s="37">
        <v>13.37</v>
      </c>
      <c r="I1002" s="37">
        <v>43</v>
      </c>
      <c r="J1002" s="37" t="s">
        <v>4673</v>
      </c>
      <c r="K1002" s="37" t="s">
        <v>52</v>
      </c>
      <c r="L1002" s="37" t="s">
        <v>198</v>
      </c>
      <c r="M1002" s="37" t="str">
        <f t="shared" si="92"/>
        <v>Unknown</v>
      </c>
      <c r="N1002" s="37" t="str">
        <f t="shared" si="90"/>
        <v>Credit Card</v>
      </c>
      <c r="O1002" s="37" t="str" cm="1">
        <f t="array" ref="O1002">IF(TRIM(N1002)="",INDEX($N$2:$N$1500,MATCH(MAX(COUNTIF($N$2:$N$1500,$N$2:$N$1500)),COUNTIF($N$2:$N$1500,$N$2:$N$1500),0)),N1002)</f>
        <v>Credit Card</v>
      </c>
      <c r="P1002" s="38" cm="1">
        <f t="array" ref="P1002">ROUND(IF(TRIM(H1002)="",IFERROR(MEDIAN(IF($M$2:$M$1500=M1002,$H$2:$H$1500)),MEDIAN($H$2:$H$1500)),H1002),2)</f>
        <v>13.37</v>
      </c>
      <c r="Q1002" s="38" t="str">
        <f t="shared" si="93"/>
        <v>1</v>
      </c>
      <c r="R1002" s="39" cm="1">
        <f t="array" ref="R1002">IF(OR(TRIM(J1002)="",TRIM(J1002)="-"),MEDIAN(IF($C$2:$C$1218=C1002,$J$2:$J$1218)),VALUE(SUBSTITUTE(SUBSTITUTE(SUBSTITUTE(J1002,"Rs. ",""),"₹",""),",","")))</f>
        <v>38254</v>
      </c>
      <c r="S1002" s="40">
        <f t="shared" si="91"/>
        <v>5</v>
      </c>
      <c r="T1002" s="41">
        <f t="shared" si="94"/>
        <v>5</v>
      </c>
      <c r="U1002" s="42">
        <f t="shared" si="95"/>
        <v>36341</v>
      </c>
    </row>
    <row r="1003" spans="1:21" x14ac:dyDescent="0.3">
      <c r="A1003" s="37" t="s">
        <v>4674</v>
      </c>
      <c r="B1003" s="37" t="s">
        <v>2906</v>
      </c>
      <c r="C1003" s="37" t="s">
        <v>2577</v>
      </c>
      <c r="D1003" s="37" t="s">
        <v>106</v>
      </c>
      <c r="E1003" s="37" t="s">
        <v>107</v>
      </c>
      <c r="F1003" s="37" t="s">
        <v>19</v>
      </c>
      <c r="G1003" s="37" t="s">
        <v>2455</v>
      </c>
      <c r="H1003" s="37">
        <v>23.31</v>
      </c>
      <c r="I1003" s="37">
        <v>28</v>
      </c>
      <c r="J1003" s="37">
        <v>19174</v>
      </c>
      <c r="K1003" s="37" t="s">
        <v>34</v>
      </c>
      <c r="L1003" s="37"/>
      <c r="M1003" s="37" t="str">
        <f t="shared" si="92"/>
        <v>General</v>
      </c>
      <c r="N1003" s="37" t="str">
        <f t="shared" si="90"/>
        <v>Cash</v>
      </c>
      <c r="O1003" s="37" t="str" cm="1">
        <f t="array" ref="O1003">IF(TRIM(N1003)="",INDEX($N$2:$N$1500,MATCH(MAX(COUNTIF($N$2:$N$1500,$N$2:$N$1500)),COUNTIF($N$2:$N$1500,$N$2:$N$1500),0)),N1003)</f>
        <v>Cash</v>
      </c>
      <c r="P1003" s="38" cm="1">
        <f t="array" ref="P1003">ROUND(IF(TRIM(H1003)="",IFERROR(MEDIAN(IF($M$2:$M$1500=M1003,$H$2:$H$1500)),MEDIAN($H$2:$H$1500)),H1003),2)</f>
        <v>23.31</v>
      </c>
      <c r="Q1003" s="38" t="str">
        <f t="shared" si="93"/>
        <v>1</v>
      </c>
      <c r="R1003" s="39" cm="1">
        <f t="array" ref="R1003">IF(OR(TRIM(J1003)="",TRIM(J1003)="-"),MEDIAN(IF($C$2:$C$1218=C1003,$J$2:$J$1218)),VALUE(SUBSTITUTE(SUBSTITUTE(SUBSTITUTE(J1003,"Rs. ",""),"₹",""),",","")))</f>
        <v>19174</v>
      </c>
      <c r="S1003" s="40">
        <f t="shared" si="91"/>
        <v>0</v>
      </c>
      <c r="T1003" s="41">
        <f t="shared" si="94"/>
        <v>0</v>
      </c>
      <c r="U1003" s="42">
        <f t="shared" si="95"/>
        <v>19174</v>
      </c>
    </row>
    <row r="1004" spans="1:21" x14ac:dyDescent="0.3">
      <c r="A1004" s="37" t="s">
        <v>4675</v>
      </c>
      <c r="B1004" s="37" t="s">
        <v>4676</v>
      </c>
      <c r="C1004" s="37" t="s">
        <v>2504</v>
      </c>
      <c r="D1004" s="37" t="s">
        <v>106</v>
      </c>
      <c r="E1004" s="37" t="s">
        <v>307</v>
      </c>
      <c r="F1004" s="37" t="s">
        <v>62</v>
      </c>
      <c r="G1004" s="37" t="s">
        <v>2477</v>
      </c>
      <c r="H1004" s="37">
        <v>5.37</v>
      </c>
      <c r="I1004" s="37">
        <v>18</v>
      </c>
      <c r="J1004" s="37">
        <v>28583</v>
      </c>
      <c r="K1004" s="37" t="s">
        <v>34</v>
      </c>
      <c r="L1004" s="37">
        <v>0</v>
      </c>
      <c r="M1004" s="37" t="str">
        <f t="shared" si="92"/>
        <v>ICU</v>
      </c>
      <c r="N1004" s="37" t="str">
        <f t="shared" si="90"/>
        <v>Cash</v>
      </c>
      <c r="O1004" s="37" t="str" cm="1">
        <f t="array" ref="O1004">IF(TRIM(N1004)="",INDEX($N$2:$N$1500,MATCH(MAX(COUNTIF($N$2:$N$1500,$N$2:$N$1500)),COUNTIF($N$2:$N$1500,$N$2:$N$1500),0)),N1004)</f>
        <v>Cash</v>
      </c>
      <c r="P1004" s="38" cm="1">
        <f t="array" ref="P1004">ROUND(IF(TRIM(H1004)="",IFERROR(MEDIAN(IF($M$2:$M$1500=M1004,$H$2:$H$1500)),MEDIAN($H$2:$H$1500)),H1004),2)</f>
        <v>5.37</v>
      </c>
      <c r="Q1004" s="38" t="str">
        <f t="shared" si="93"/>
        <v>0</v>
      </c>
      <c r="R1004" s="39" cm="1">
        <f t="array" ref="R1004">IF(OR(TRIM(J1004)="",TRIM(J1004)="-"),MEDIAN(IF($C$2:$C$1218=C1004,$J$2:$J$1218)),VALUE(SUBSTITUTE(SUBSTITUTE(SUBSTITUTE(J1004,"Rs. ",""),"₹",""),",","")))</f>
        <v>28583</v>
      </c>
      <c r="S1004" s="40">
        <f t="shared" si="91"/>
        <v>0</v>
      </c>
      <c r="T1004" s="41">
        <f t="shared" si="94"/>
        <v>0</v>
      </c>
      <c r="U1004" s="42">
        <f t="shared" si="95"/>
        <v>28583</v>
      </c>
    </row>
    <row r="1005" spans="1:21" x14ac:dyDescent="0.3">
      <c r="A1005" s="37" t="s">
        <v>4677</v>
      </c>
      <c r="B1005" s="37" t="s">
        <v>3878</v>
      </c>
      <c r="C1005" s="37" t="s">
        <v>2481</v>
      </c>
      <c r="D1005" s="37" t="s">
        <v>45</v>
      </c>
      <c r="E1005" s="37" t="s">
        <v>46</v>
      </c>
      <c r="F1005" s="37" t="s">
        <v>39</v>
      </c>
      <c r="G1005" s="37" t="s">
        <v>2435</v>
      </c>
      <c r="H1005" s="37">
        <v>20.329999999999998</v>
      </c>
      <c r="I1005" s="37">
        <v>35</v>
      </c>
      <c r="J1005" s="37">
        <v>10799</v>
      </c>
      <c r="K1005" s="37" t="s">
        <v>236</v>
      </c>
      <c r="L1005" s="37">
        <v>0</v>
      </c>
      <c r="M1005" s="37" t="str">
        <f t="shared" si="92"/>
        <v>General</v>
      </c>
      <c r="N1005" s="37" t="str">
        <f t="shared" si="90"/>
        <v>Debit Card</v>
      </c>
      <c r="O1005" s="37" t="str" cm="1">
        <f t="array" ref="O1005">IF(TRIM(N1005)="",INDEX($N$2:$N$1500,MATCH(MAX(COUNTIF($N$2:$N$1500,$N$2:$N$1500)),COUNTIF($N$2:$N$1500,$N$2:$N$1500),0)),N1005)</f>
        <v>Debit Card</v>
      </c>
      <c r="P1005" s="38" cm="1">
        <f t="array" ref="P1005">ROUND(IF(TRIM(H1005)="",IFERROR(MEDIAN(IF($M$2:$M$1500=M1005,$H$2:$H$1500)),MEDIAN($H$2:$H$1500)),H1005),2)</f>
        <v>20.329999999999998</v>
      </c>
      <c r="Q1005" s="38" t="str">
        <f t="shared" si="93"/>
        <v>0</v>
      </c>
      <c r="R1005" s="39" cm="1">
        <f t="array" ref="R1005">IF(OR(TRIM(J1005)="",TRIM(J1005)="-"),MEDIAN(IF($C$2:$C$1218=C1005,$J$2:$J$1218)),VALUE(SUBSTITUTE(SUBSTITUTE(SUBSTITUTE(J1005,"Rs. ",""),"₹",""),",","")))</f>
        <v>10799</v>
      </c>
      <c r="S1005" s="40">
        <f t="shared" si="91"/>
        <v>0</v>
      </c>
      <c r="T1005" s="41">
        <f t="shared" si="94"/>
        <v>0</v>
      </c>
      <c r="U1005" s="42">
        <f t="shared" si="95"/>
        <v>10799</v>
      </c>
    </row>
    <row r="1006" spans="1:21" x14ac:dyDescent="0.3">
      <c r="A1006" s="37" t="s">
        <v>4678</v>
      </c>
      <c r="B1006" s="37" t="s">
        <v>4679</v>
      </c>
      <c r="C1006" s="37" t="s">
        <v>2504</v>
      </c>
      <c r="D1006" s="37" t="s">
        <v>25</v>
      </c>
      <c r="E1006" s="37" t="s">
        <v>54</v>
      </c>
      <c r="F1006" s="37" t="s">
        <v>30</v>
      </c>
      <c r="G1006" s="37" t="s">
        <v>2486</v>
      </c>
      <c r="H1006" s="37">
        <v>9.61</v>
      </c>
      <c r="I1006" s="37">
        <v>7</v>
      </c>
      <c r="J1006" s="37">
        <v>4530</v>
      </c>
      <c r="K1006" s="37" t="s">
        <v>149</v>
      </c>
      <c r="L1006" s="37" t="s">
        <v>227</v>
      </c>
      <c r="M1006" s="37" t="str">
        <f t="shared" si="92"/>
        <v>General</v>
      </c>
      <c r="N1006" s="37" t="str">
        <f t="shared" si="90"/>
        <v>Insurance</v>
      </c>
      <c r="O1006" s="37" t="str" cm="1">
        <f t="array" ref="O1006">IF(TRIM(N1006)="",INDEX($N$2:$N$1500,MATCH(MAX(COUNTIF($N$2:$N$1500,$N$2:$N$1500)),COUNTIF($N$2:$N$1500,$N$2:$N$1500),0)),N1006)</f>
        <v>Insurance</v>
      </c>
      <c r="P1006" s="38" cm="1">
        <f t="array" ref="P1006">ROUND(IF(TRIM(H1006)="",IFERROR(MEDIAN(IF($M$2:$M$1500=M1006,$H$2:$H$1500)),MEDIAN($H$2:$H$1500)),H1006),2)</f>
        <v>9.61</v>
      </c>
      <c r="Q1006" s="38" t="str">
        <f t="shared" si="93"/>
        <v>2+</v>
      </c>
      <c r="R1006" s="39" cm="1">
        <f t="array" ref="R1006">IF(OR(TRIM(J1006)="",TRIM(J1006)="-"),MEDIAN(IF($C$2:$C$1218=C1006,$J$2:$J$1218)),VALUE(SUBSTITUTE(SUBSTITUTE(SUBSTITUTE(J1006,"Rs. ",""),"₹",""),",","")))</f>
        <v>4530</v>
      </c>
      <c r="S1006" s="40">
        <f t="shared" si="91"/>
        <v>25</v>
      </c>
      <c r="T1006" s="41">
        <f t="shared" si="94"/>
        <v>25</v>
      </c>
      <c r="U1006" s="42">
        <f t="shared" si="95"/>
        <v>3398</v>
      </c>
    </row>
    <row r="1007" spans="1:21" x14ac:dyDescent="0.3">
      <c r="A1007" s="37" t="s">
        <v>4680</v>
      </c>
      <c r="B1007" s="37" t="s">
        <v>2584</v>
      </c>
      <c r="C1007" s="37" t="s">
        <v>2473</v>
      </c>
      <c r="D1007" s="37" t="s">
        <v>45</v>
      </c>
      <c r="E1007" s="37" t="s">
        <v>334</v>
      </c>
      <c r="F1007" s="37" t="s">
        <v>19</v>
      </c>
      <c r="G1007" s="37" t="s">
        <v>2435</v>
      </c>
      <c r="H1007" s="37">
        <v>23.24</v>
      </c>
      <c r="I1007" s="37">
        <v>3</v>
      </c>
      <c r="J1007" s="37" t="s">
        <v>4681</v>
      </c>
      <c r="K1007" s="37" t="s">
        <v>236</v>
      </c>
      <c r="L1007" s="37">
        <v>5</v>
      </c>
      <c r="M1007" s="37" t="str">
        <f t="shared" si="92"/>
        <v>General</v>
      </c>
      <c r="N1007" s="37" t="str">
        <f t="shared" si="90"/>
        <v>Debit Card</v>
      </c>
      <c r="O1007" s="37" t="str" cm="1">
        <f t="array" ref="O1007">IF(TRIM(N1007)="",INDEX($N$2:$N$1500,MATCH(MAX(COUNTIF($N$2:$N$1500,$N$2:$N$1500)),COUNTIF($N$2:$N$1500,$N$2:$N$1500),0)),N1007)</f>
        <v>Debit Card</v>
      </c>
      <c r="P1007" s="38" cm="1">
        <f t="array" ref="P1007">ROUND(IF(TRIM(H1007)="",IFERROR(MEDIAN(IF($M$2:$M$1500=M1007,$H$2:$H$1500)),MEDIAN($H$2:$H$1500)),H1007),2)</f>
        <v>23.24</v>
      </c>
      <c r="Q1007" s="38" t="str">
        <f t="shared" si="93"/>
        <v>0</v>
      </c>
      <c r="R1007" s="39" cm="1">
        <f t="array" ref="R1007">IF(OR(TRIM(J1007)="",TRIM(J1007)="-"),MEDIAN(IF($C$2:$C$1218=C1007,$J$2:$J$1218)),VALUE(SUBSTITUTE(SUBSTITUTE(SUBSTITUTE(J1007,"Rs. ",""),"₹",""),",","")))</f>
        <v>14019</v>
      </c>
      <c r="S1007" s="40">
        <f t="shared" si="91"/>
        <v>5</v>
      </c>
      <c r="T1007" s="41">
        <f t="shared" si="94"/>
        <v>5</v>
      </c>
      <c r="U1007" s="42">
        <f t="shared" si="95"/>
        <v>13318</v>
      </c>
    </row>
    <row r="1008" spans="1:21" x14ac:dyDescent="0.3">
      <c r="A1008" s="37" t="s">
        <v>4682</v>
      </c>
      <c r="B1008" s="37" t="s">
        <v>4195</v>
      </c>
      <c r="C1008" s="37" t="s">
        <v>2431</v>
      </c>
      <c r="D1008" s="37" t="s">
        <v>78</v>
      </c>
      <c r="E1008" s="37" t="s">
        <v>161</v>
      </c>
      <c r="F1008" s="37" t="s">
        <v>49</v>
      </c>
      <c r="G1008" s="37" t="s">
        <v>2435</v>
      </c>
      <c r="H1008" s="37">
        <v>2.0499999999999998</v>
      </c>
      <c r="I1008" s="37">
        <v>1</v>
      </c>
      <c r="J1008" s="37" t="s">
        <v>4683</v>
      </c>
      <c r="K1008" s="37" t="s">
        <v>72</v>
      </c>
      <c r="L1008" s="37">
        <v>10</v>
      </c>
      <c r="M1008" s="37" t="str">
        <f t="shared" si="92"/>
        <v>General</v>
      </c>
      <c r="N1008" s="37" t="str">
        <f t="shared" si="90"/>
        <v>Cash</v>
      </c>
      <c r="O1008" s="37" t="str" cm="1">
        <f t="array" ref="O1008">IF(TRIM(N1008)="",INDEX($N$2:$N$1500,MATCH(MAX(COUNTIF($N$2:$N$1500,$N$2:$N$1500)),COUNTIF($N$2:$N$1500,$N$2:$N$1500),0)),N1008)</f>
        <v>Cash</v>
      </c>
      <c r="P1008" s="38" cm="1">
        <f t="array" ref="P1008">ROUND(IF(TRIM(H1008)="",IFERROR(MEDIAN(IF($M$2:$M$1500=M1008,$H$2:$H$1500)),MEDIAN($H$2:$H$1500)),H1008),2)</f>
        <v>2.0499999999999998</v>
      </c>
      <c r="Q1008" s="38" t="str">
        <f t="shared" si="93"/>
        <v>0</v>
      </c>
      <c r="R1008" s="39" cm="1">
        <f t="array" ref="R1008">IF(OR(TRIM(J1008)="",TRIM(J1008)="-"),MEDIAN(IF($C$2:$C$1218=C1008,$J$2:$J$1218)),VALUE(SUBSTITUTE(SUBSTITUTE(SUBSTITUTE(J1008,"Rs. ",""),"₹",""),",","")))</f>
        <v>10735</v>
      </c>
      <c r="S1008" s="40">
        <f t="shared" si="91"/>
        <v>10</v>
      </c>
      <c r="T1008" s="41">
        <f t="shared" si="94"/>
        <v>10</v>
      </c>
      <c r="U1008" s="42">
        <f t="shared" si="95"/>
        <v>9662</v>
      </c>
    </row>
    <row r="1009" spans="1:21" x14ac:dyDescent="0.3">
      <c r="A1009" s="37" t="s">
        <v>4684</v>
      </c>
      <c r="B1009" s="37" t="s">
        <v>2558</v>
      </c>
      <c r="C1009" s="37" t="s">
        <v>2407</v>
      </c>
      <c r="D1009" s="37" t="s">
        <v>78</v>
      </c>
      <c r="E1009" s="37" t="s">
        <v>161</v>
      </c>
      <c r="F1009" s="37" t="s">
        <v>30</v>
      </c>
      <c r="G1009" s="37" t="s">
        <v>2450</v>
      </c>
      <c r="H1009" s="37">
        <v>13.11</v>
      </c>
      <c r="I1009" s="37">
        <v>7</v>
      </c>
      <c r="J1009" s="37">
        <v>16893</v>
      </c>
      <c r="K1009" s="37"/>
      <c r="L1009" s="37">
        <v>25</v>
      </c>
      <c r="M1009" s="37" t="str">
        <f t="shared" si="92"/>
        <v>General</v>
      </c>
      <c r="N1009" s="37" t="str">
        <f t="shared" si="90"/>
        <v>Unknown</v>
      </c>
      <c r="O1009" s="37" t="str" cm="1">
        <f t="array" ref="O1009">IF(TRIM(N1009)="",INDEX($N$2:$N$1500,MATCH(MAX(COUNTIF($N$2:$N$1500,$N$2:$N$1500)),COUNTIF($N$2:$N$1500,$N$2:$N$1500),0)),N1009)</f>
        <v>Unknown</v>
      </c>
      <c r="P1009" s="38" cm="1">
        <f t="array" ref="P1009">ROUND(IF(TRIM(H1009)="",IFERROR(MEDIAN(IF($M$2:$M$1500=M1009,$H$2:$H$1500)),MEDIAN($H$2:$H$1500)),H1009),2)</f>
        <v>13.11</v>
      </c>
      <c r="Q1009" s="38" t="str">
        <f t="shared" si="93"/>
        <v>1</v>
      </c>
      <c r="R1009" s="39" cm="1">
        <f t="array" ref="R1009">IF(OR(TRIM(J1009)="",TRIM(J1009)="-"),MEDIAN(IF($C$2:$C$1218=C1009,$J$2:$J$1218)),VALUE(SUBSTITUTE(SUBSTITUTE(SUBSTITUTE(J1009,"Rs. ",""),"₹",""),",","")))</f>
        <v>16893</v>
      </c>
      <c r="S1009" s="40">
        <f t="shared" si="91"/>
        <v>25</v>
      </c>
      <c r="T1009" s="41">
        <f t="shared" si="94"/>
        <v>25</v>
      </c>
      <c r="U1009" s="42">
        <f t="shared" si="95"/>
        <v>12670</v>
      </c>
    </row>
    <row r="1010" spans="1:21" x14ac:dyDescent="0.3">
      <c r="A1010" s="37" t="s">
        <v>4685</v>
      </c>
      <c r="B1010" s="37" t="s">
        <v>4686</v>
      </c>
      <c r="C1010" s="37" t="s">
        <v>2485</v>
      </c>
      <c r="D1010" s="37" t="s">
        <v>14</v>
      </c>
      <c r="E1010" s="37" t="s">
        <v>60</v>
      </c>
      <c r="F1010" s="37" t="s">
        <v>30</v>
      </c>
      <c r="G1010" s="37" t="s">
        <v>2455</v>
      </c>
      <c r="H1010" s="37">
        <v>16.399999999999999</v>
      </c>
      <c r="I1010" s="37">
        <v>13</v>
      </c>
      <c r="J1010" s="37" t="s">
        <v>4687</v>
      </c>
      <c r="K1010" s="37" t="s">
        <v>311</v>
      </c>
      <c r="L1010" s="37"/>
      <c r="M1010" s="37" t="str">
        <f t="shared" si="92"/>
        <v>General</v>
      </c>
      <c r="N1010" s="37" t="str">
        <f t="shared" si="90"/>
        <v>UPI</v>
      </c>
      <c r="O1010" s="37" t="str" cm="1">
        <f t="array" ref="O1010">IF(TRIM(N1010)="",INDEX($N$2:$N$1500,MATCH(MAX(COUNTIF($N$2:$N$1500,$N$2:$N$1500)),COUNTIF($N$2:$N$1500,$N$2:$N$1500),0)),N1010)</f>
        <v>UPI</v>
      </c>
      <c r="P1010" s="38" cm="1">
        <f t="array" ref="P1010">ROUND(IF(TRIM(H1010)="",IFERROR(MEDIAN(IF($M$2:$M$1500=M1010,$H$2:$H$1500)),MEDIAN($H$2:$H$1500)),H1010),2)</f>
        <v>16.399999999999999</v>
      </c>
      <c r="Q1010" s="38" t="str">
        <f t="shared" si="93"/>
        <v>1</v>
      </c>
      <c r="R1010" s="39" cm="1">
        <f t="array" ref="R1010">IF(OR(TRIM(J1010)="",TRIM(J1010)="-"),MEDIAN(IF($C$2:$C$1218=C1010,$J$2:$J$1218)),VALUE(SUBSTITUTE(SUBSTITUTE(SUBSTITUTE(J1010,"Rs. ",""),"₹",""),",","")))</f>
        <v>17032</v>
      </c>
      <c r="S1010" s="40">
        <f t="shared" si="91"/>
        <v>0</v>
      </c>
      <c r="T1010" s="41">
        <f t="shared" si="94"/>
        <v>0</v>
      </c>
      <c r="U1010" s="42">
        <f t="shared" si="95"/>
        <v>17032</v>
      </c>
    </row>
    <row r="1011" spans="1:21" x14ac:dyDescent="0.3">
      <c r="A1011" s="37" t="s">
        <v>4688</v>
      </c>
      <c r="B1011" s="37" t="s">
        <v>3119</v>
      </c>
      <c r="C1011" s="37" t="s">
        <v>2730</v>
      </c>
      <c r="D1011" s="37" t="s">
        <v>106</v>
      </c>
      <c r="E1011" s="37" t="s">
        <v>107</v>
      </c>
      <c r="F1011" s="37" t="s">
        <v>49</v>
      </c>
      <c r="G1011" s="37" t="s">
        <v>2435</v>
      </c>
      <c r="H1011" s="37">
        <v>22.11</v>
      </c>
      <c r="I1011" s="37">
        <v>4</v>
      </c>
      <c r="J1011" s="37">
        <v>11826</v>
      </c>
      <c r="K1011" s="37" t="s">
        <v>87</v>
      </c>
      <c r="L1011" s="37" t="s">
        <v>130</v>
      </c>
      <c r="M1011" s="37" t="str">
        <f t="shared" si="92"/>
        <v>General</v>
      </c>
      <c r="N1011" s="37" t="str">
        <f t="shared" si="90"/>
        <v>Credit Card</v>
      </c>
      <c r="O1011" s="37" t="str" cm="1">
        <f t="array" ref="O1011">IF(TRIM(N1011)="",INDEX($N$2:$N$1500,MATCH(MAX(COUNTIF($N$2:$N$1500,$N$2:$N$1500)),COUNTIF($N$2:$N$1500,$N$2:$N$1500),0)),N1011)</f>
        <v>Credit Card</v>
      </c>
      <c r="P1011" s="38" cm="1">
        <f t="array" ref="P1011">ROUND(IF(TRIM(H1011)="",IFERROR(MEDIAN(IF($M$2:$M$1500=M1011,$H$2:$H$1500)),MEDIAN($H$2:$H$1500)),H1011),2)</f>
        <v>22.11</v>
      </c>
      <c r="Q1011" s="38" t="str">
        <f t="shared" si="93"/>
        <v>0</v>
      </c>
      <c r="R1011" s="39" cm="1">
        <f t="array" ref="R1011">IF(OR(TRIM(J1011)="",TRIM(J1011)="-"),MEDIAN(IF($C$2:$C$1218=C1011,$J$2:$J$1218)),VALUE(SUBSTITUTE(SUBSTITUTE(SUBSTITUTE(J1011,"Rs. ",""),"₹",""),",","")))</f>
        <v>11826</v>
      </c>
      <c r="S1011" s="40">
        <f t="shared" si="91"/>
        <v>0</v>
      </c>
      <c r="T1011" s="41">
        <f t="shared" si="94"/>
        <v>0</v>
      </c>
      <c r="U1011" s="42">
        <f t="shared" si="95"/>
        <v>11826</v>
      </c>
    </row>
    <row r="1012" spans="1:21" x14ac:dyDescent="0.3">
      <c r="A1012" s="37" t="s">
        <v>4689</v>
      </c>
      <c r="B1012" s="37" t="s">
        <v>4690</v>
      </c>
      <c r="C1012" s="37" t="s">
        <v>2532</v>
      </c>
      <c r="D1012" s="37" t="s">
        <v>117</v>
      </c>
      <c r="E1012" s="37" t="s">
        <v>118</v>
      </c>
      <c r="F1012" s="37" t="s">
        <v>39</v>
      </c>
      <c r="G1012" s="37" t="s">
        <v>2423</v>
      </c>
      <c r="H1012" s="37">
        <v>18.43</v>
      </c>
      <c r="I1012" s="37">
        <v>33</v>
      </c>
      <c r="J1012" s="37">
        <v>19496</v>
      </c>
      <c r="K1012" s="37" t="s">
        <v>97</v>
      </c>
      <c r="L1012" s="37">
        <v>0.1</v>
      </c>
      <c r="M1012" s="37" t="str">
        <f t="shared" si="92"/>
        <v>General</v>
      </c>
      <c r="N1012" s="37" t="str">
        <f t="shared" si="90"/>
        <v>UPI</v>
      </c>
      <c r="O1012" s="37" t="str" cm="1">
        <f t="array" ref="O1012">IF(TRIM(N1012)="",INDEX($N$2:$N$1500,MATCH(MAX(COUNTIF($N$2:$N$1500,$N$2:$N$1500)),COUNTIF($N$2:$N$1500,$N$2:$N$1500),0)),N1012)</f>
        <v>UPI</v>
      </c>
      <c r="P1012" s="38" cm="1">
        <f t="array" ref="P1012">ROUND(IF(TRIM(H1012)="",IFERROR(MEDIAN(IF($M$2:$M$1500=M1012,$H$2:$H$1500)),MEDIAN($H$2:$H$1500)),H1012),2)</f>
        <v>18.43</v>
      </c>
      <c r="Q1012" s="38" t="str">
        <f t="shared" si="93"/>
        <v>0</v>
      </c>
      <c r="R1012" s="39" cm="1">
        <f t="array" ref="R1012">IF(OR(TRIM(J1012)="",TRIM(J1012)="-"),MEDIAN(IF($C$2:$C$1218=C1012,$J$2:$J$1218)),VALUE(SUBSTITUTE(SUBSTITUTE(SUBSTITUTE(J1012,"Rs. ",""),"₹",""),",","")))</f>
        <v>19496</v>
      </c>
      <c r="S1012" s="40">
        <f t="shared" si="91"/>
        <v>0.1</v>
      </c>
      <c r="T1012" s="41">
        <f t="shared" si="94"/>
        <v>0</v>
      </c>
      <c r="U1012" s="42">
        <f t="shared" si="95"/>
        <v>19496</v>
      </c>
    </row>
    <row r="1013" spans="1:21" x14ac:dyDescent="0.3">
      <c r="A1013" s="37" t="s">
        <v>4691</v>
      </c>
      <c r="B1013" s="37" t="s">
        <v>4692</v>
      </c>
      <c r="C1013" s="37" t="s">
        <v>2730</v>
      </c>
      <c r="D1013" s="37" t="s">
        <v>106</v>
      </c>
      <c r="E1013" s="37" t="s">
        <v>107</v>
      </c>
      <c r="F1013" s="37" t="s">
        <v>62</v>
      </c>
      <c r="G1013" s="37" t="s">
        <v>2418</v>
      </c>
      <c r="H1013" s="37">
        <v>20.74</v>
      </c>
      <c r="I1013" s="37">
        <v>23</v>
      </c>
      <c r="J1013" s="37" t="s">
        <v>4693</v>
      </c>
      <c r="K1013" s="37" t="s">
        <v>311</v>
      </c>
      <c r="L1013" s="37" t="s">
        <v>130</v>
      </c>
      <c r="M1013" s="37" t="str">
        <f t="shared" si="92"/>
        <v>ICU</v>
      </c>
      <c r="N1013" s="37" t="str">
        <f t="shared" si="90"/>
        <v>UPI</v>
      </c>
      <c r="O1013" s="37" t="str" cm="1">
        <f t="array" ref="O1013">IF(TRIM(N1013)="",INDEX($N$2:$N$1500,MATCH(MAX(COUNTIF($N$2:$N$1500,$N$2:$N$1500)),COUNTIF($N$2:$N$1500,$N$2:$N$1500),0)),N1013)</f>
        <v>UPI</v>
      </c>
      <c r="P1013" s="38" cm="1">
        <f t="array" ref="P1013">ROUND(IF(TRIM(H1013)="",IFERROR(MEDIAN(IF($M$2:$M$1500=M1013,$H$2:$H$1500)),MEDIAN($H$2:$H$1500)),H1013),2)</f>
        <v>20.74</v>
      </c>
      <c r="Q1013" s="38" t="str">
        <f t="shared" si="93"/>
        <v>1</v>
      </c>
      <c r="R1013" s="39" cm="1">
        <f t="array" ref="R1013">IF(OR(TRIM(J1013)="",TRIM(J1013)="-"),MEDIAN(IF($C$2:$C$1218=C1013,$J$2:$J$1218)),VALUE(SUBSTITUTE(SUBSTITUTE(SUBSTITUTE(J1013,"Rs. ",""),"₹",""),",","")))</f>
        <v>31785</v>
      </c>
      <c r="S1013" s="40">
        <f t="shared" si="91"/>
        <v>0</v>
      </c>
      <c r="T1013" s="41">
        <f t="shared" si="94"/>
        <v>0</v>
      </c>
      <c r="U1013" s="42">
        <f t="shared" si="95"/>
        <v>31785</v>
      </c>
    </row>
    <row r="1014" spans="1:21" x14ac:dyDescent="0.3">
      <c r="A1014" s="37" t="s">
        <v>4694</v>
      </c>
      <c r="B1014" s="37" t="s">
        <v>2633</v>
      </c>
      <c r="C1014" s="37" t="s">
        <v>2494</v>
      </c>
      <c r="D1014" s="37" t="s">
        <v>106</v>
      </c>
      <c r="E1014" s="37" t="s">
        <v>107</v>
      </c>
      <c r="F1014" s="37" t="s">
        <v>49</v>
      </c>
      <c r="G1014" s="37" t="s">
        <v>2477</v>
      </c>
      <c r="H1014" s="37">
        <v>16.93</v>
      </c>
      <c r="I1014" s="37">
        <v>15</v>
      </c>
      <c r="J1014" s="37" t="s">
        <v>2908</v>
      </c>
      <c r="K1014" s="37" t="s">
        <v>58</v>
      </c>
      <c r="L1014" s="37">
        <v>10</v>
      </c>
      <c r="M1014" s="37" t="str">
        <f t="shared" si="92"/>
        <v>General</v>
      </c>
      <c r="N1014" s="37" t="str">
        <f t="shared" si="90"/>
        <v>UPI</v>
      </c>
      <c r="O1014" s="37" t="str" cm="1">
        <f t="array" ref="O1014">IF(TRIM(N1014)="",INDEX($N$2:$N$1500,MATCH(MAX(COUNTIF($N$2:$N$1500,$N$2:$N$1500)),COUNTIF($N$2:$N$1500,$N$2:$N$1500),0)),N1014)</f>
        <v>UPI</v>
      </c>
      <c r="P1014" s="38" cm="1">
        <f t="array" ref="P1014">ROUND(IF(TRIM(H1014)="",IFERROR(MEDIAN(IF($M$2:$M$1500=M1014,$H$2:$H$1500)),MEDIAN($H$2:$H$1500)),H1014),2)</f>
        <v>16.93</v>
      </c>
      <c r="Q1014" s="38" t="str">
        <f t="shared" si="93"/>
        <v>0</v>
      </c>
      <c r="R1014" s="39" cm="1">
        <f t="array" ref="R1014">IF(OR(TRIM(J1014)="",TRIM(J1014)="-"),MEDIAN(IF($C$2:$C$1218=C1014,$J$2:$J$1218)),VALUE(SUBSTITUTE(SUBSTITUTE(SUBSTITUTE(J1014,"Rs. ",""),"₹",""),",","")))</f>
        <v>3255</v>
      </c>
      <c r="S1014" s="40">
        <f t="shared" si="91"/>
        <v>10</v>
      </c>
      <c r="T1014" s="41">
        <f t="shared" si="94"/>
        <v>10</v>
      </c>
      <c r="U1014" s="42">
        <f t="shared" si="95"/>
        <v>2930</v>
      </c>
    </row>
    <row r="1015" spans="1:21" x14ac:dyDescent="0.3">
      <c r="A1015" s="37" t="s">
        <v>4695</v>
      </c>
      <c r="B1015" s="37" t="s">
        <v>3659</v>
      </c>
      <c r="C1015" s="37" t="s">
        <v>2415</v>
      </c>
      <c r="D1015" s="37" t="s">
        <v>25</v>
      </c>
      <c r="E1015" s="37" t="s">
        <v>54</v>
      </c>
      <c r="F1015" s="37" t="s">
        <v>69</v>
      </c>
      <c r="G1015" s="37" t="s">
        <v>2435</v>
      </c>
      <c r="H1015" s="37">
        <v>20.23</v>
      </c>
      <c r="I1015" s="37">
        <v>13</v>
      </c>
      <c r="J1015" s="37" t="s">
        <v>140</v>
      </c>
      <c r="K1015" s="37" t="s">
        <v>87</v>
      </c>
      <c r="L1015" s="37">
        <v>0</v>
      </c>
      <c r="M1015" s="37" t="str">
        <f t="shared" si="92"/>
        <v>ICU</v>
      </c>
      <c r="N1015" s="37" t="str">
        <f t="shared" si="90"/>
        <v>Credit Card</v>
      </c>
      <c r="O1015" s="37" t="str" cm="1">
        <f t="array" ref="O1015">IF(TRIM(N1015)="",INDEX($N$2:$N$1500,MATCH(MAX(COUNTIF($N$2:$N$1500,$N$2:$N$1500)),COUNTIF($N$2:$N$1500,$N$2:$N$1500),0)),N1015)</f>
        <v>Credit Card</v>
      </c>
      <c r="P1015" s="38" cm="1">
        <f t="array" ref="P1015">ROUND(IF(TRIM(H1015)="",IFERROR(MEDIAN(IF($M$2:$M$1500=M1015,$H$2:$H$1500)),MEDIAN($H$2:$H$1500)),H1015),2)</f>
        <v>20.23</v>
      </c>
      <c r="Q1015" s="38" t="str">
        <f t="shared" si="93"/>
        <v>0</v>
      </c>
      <c r="R1015" s="39" cm="1">
        <f t="array" ref="R1015">IF(OR(TRIM(J1015)="",TRIM(J1015)="-"),MEDIAN(IF($C$2:$C$1218=C1015,$J$2:$J$1218)),VALUE(SUBSTITUTE(SUBSTITUTE(SUBSTITUTE(J1015,"Rs. ",""),"₹",""),",","")))</f>
        <v>14853</v>
      </c>
      <c r="S1015" s="40">
        <f t="shared" si="91"/>
        <v>0</v>
      </c>
      <c r="T1015" s="41">
        <f t="shared" si="94"/>
        <v>0</v>
      </c>
      <c r="U1015" s="42">
        <f t="shared" si="95"/>
        <v>14853</v>
      </c>
    </row>
    <row r="1016" spans="1:21" x14ac:dyDescent="0.3">
      <c r="A1016" s="37" t="s">
        <v>4696</v>
      </c>
      <c r="B1016" s="37" t="s">
        <v>4428</v>
      </c>
      <c r="C1016" s="37" t="s">
        <v>2577</v>
      </c>
      <c r="D1016" s="37" t="s">
        <v>45</v>
      </c>
      <c r="E1016" s="37" t="s">
        <v>46</v>
      </c>
      <c r="F1016" s="37" t="s">
        <v>19</v>
      </c>
      <c r="G1016" s="37" t="s">
        <v>2408</v>
      </c>
      <c r="H1016" s="37">
        <v>24.46</v>
      </c>
      <c r="I1016" s="37">
        <v>21</v>
      </c>
      <c r="J1016" s="37" t="s">
        <v>4697</v>
      </c>
      <c r="K1016" s="37" t="s">
        <v>104</v>
      </c>
      <c r="L1016" s="37" t="s">
        <v>76</v>
      </c>
      <c r="M1016" s="37" t="str">
        <f t="shared" si="92"/>
        <v>General</v>
      </c>
      <c r="N1016" s="37" t="str">
        <f t="shared" si="90"/>
        <v>Insurance</v>
      </c>
      <c r="O1016" s="37" t="str" cm="1">
        <f t="array" ref="O1016">IF(TRIM(N1016)="",INDEX($N$2:$N$1500,MATCH(MAX(COUNTIF($N$2:$N$1500,$N$2:$N$1500)),COUNTIF($N$2:$N$1500,$N$2:$N$1500),0)),N1016)</f>
        <v>Insurance</v>
      </c>
      <c r="P1016" s="38" cm="1">
        <f t="array" ref="P1016">ROUND(IF(TRIM(H1016)="",IFERROR(MEDIAN(IF($M$2:$M$1500=M1016,$H$2:$H$1500)),MEDIAN($H$2:$H$1500)),H1016),2)</f>
        <v>24.46</v>
      </c>
      <c r="Q1016" s="38" t="str">
        <f t="shared" si="93"/>
        <v>0</v>
      </c>
      <c r="R1016" s="39" cm="1">
        <f t="array" ref="R1016">IF(OR(TRIM(J1016)="",TRIM(J1016)="-"),MEDIAN(IF($C$2:$C$1218=C1016,$J$2:$J$1218)),VALUE(SUBSTITUTE(SUBSTITUTE(SUBSTITUTE(J1016,"Rs. ",""),"₹",""),",","")))</f>
        <v>7670</v>
      </c>
      <c r="S1016" s="40">
        <f t="shared" si="91"/>
        <v>10</v>
      </c>
      <c r="T1016" s="41">
        <f t="shared" si="94"/>
        <v>10</v>
      </c>
      <c r="U1016" s="42">
        <f t="shared" si="95"/>
        <v>6903</v>
      </c>
    </row>
    <row r="1017" spans="1:21" x14ac:dyDescent="0.3">
      <c r="A1017" s="37" t="s">
        <v>4698</v>
      </c>
      <c r="B1017" s="37" t="s">
        <v>4699</v>
      </c>
      <c r="C1017" s="37" t="s">
        <v>2407</v>
      </c>
      <c r="D1017" s="37" t="s">
        <v>45</v>
      </c>
      <c r="E1017" s="37" t="s">
        <v>46</v>
      </c>
      <c r="F1017" s="37" t="s">
        <v>30</v>
      </c>
      <c r="G1017" s="37" t="s">
        <v>2423</v>
      </c>
      <c r="H1017" s="37">
        <v>10.66</v>
      </c>
      <c r="I1017" s="37">
        <v>25</v>
      </c>
      <c r="J1017" s="37" t="s">
        <v>4700</v>
      </c>
      <c r="K1017" s="37" t="s">
        <v>23</v>
      </c>
      <c r="L1017" s="37" t="s">
        <v>130</v>
      </c>
      <c r="M1017" s="37" t="str">
        <f t="shared" si="92"/>
        <v>General</v>
      </c>
      <c r="N1017" s="37" t="str">
        <f t="shared" si="90"/>
        <v>Credit Card</v>
      </c>
      <c r="O1017" s="37" t="str" cm="1">
        <f t="array" ref="O1017">IF(TRIM(N1017)="",INDEX($N$2:$N$1500,MATCH(MAX(COUNTIF($N$2:$N$1500,$N$2:$N$1500)),COUNTIF($N$2:$N$1500,$N$2:$N$1500),0)),N1017)</f>
        <v>Credit Card</v>
      </c>
      <c r="P1017" s="38" cm="1">
        <f t="array" ref="P1017">ROUND(IF(TRIM(H1017)="",IFERROR(MEDIAN(IF($M$2:$M$1500=M1017,$H$2:$H$1500)),MEDIAN($H$2:$H$1500)),H1017),2)</f>
        <v>10.66</v>
      </c>
      <c r="Q1017" s="38" t="str">
        <f t="shared" si="93"/>
        <v>0</v>
      </c>
      <c r="R1017" s="39" cm="1">
        <f t="array" ref="R1017">IF(OR(TRIM(J1017)="",TRIM(J1017)="-"),MEDIAN(IF($C$2:$C$1218=C1017,$J$2:$J$1218)),VALUE(SUBSTITUTE(SUBSTITUTE(SUBSTITUTE(J1017,"Rs. ",""),"₹",""),",","")))</f>
        <v>9676</v>
      </c>
      <c r="S1017" s="40">
        <f t="shared" si="91"/>
        <v>0</v>
      </c>
      <c r="T1017" s="41">
        <f t="shared" si="94"/>
        <v>0</v>
      </c>
      <c r="U1017" s="42">
        <f t="shared" si="95"/>
        <v>9676</v>
      </c>
    </row>
    <row r="1018" spans="1:21" x14ac:dyDescent="0.3">
      <c r="A1018" s="37" t="s">
        <v>4701</v>
      </c>
      <c r="B1018" s="37" t="s">
        <v>3285</v>
      </c>
      <c r="C1018" s="37" t="s">
        <v>2518</v>
      </c>
      <c r="D1018" s="37" t="s">
        <v>45</v>
      </c>
      <c r="E1018" s="37" t="s">
        <v>46</v>
      </c>
      <c r="F1018" s="37" t="s">
        <v>69</v>
      </c>
      <c r="G1018" s="37" t="s">
        <v>2418</v>
      </c>
      <c r="H1018" s="37">
        <v>7.01</v>
      </c>
      <c r="I1018" s="37">
        <v>21</v>
      </c>
      <c r="J1018" s="37">
        <v>23906</v>
      </c>
      <c r="K1018" s="37" t="s">
        <v>52</v>
      </c>
      <c r="L1018" s="37">
        <v>0</v>
      </c>
      <c r="M1018" s="37" t="str">
        <f t="shared" si="92"/>
        <v>ICU</v>
      </c>
      <c r="N1018" s="37" t="str">
        <f t="shared" si="90"/>
        <v>Credit Card</v>
      </c>
      <c r="O1018" s="37" t="str" cm="1">
        <f t="array" ref="O1018">IF(TRIM(N1018)="",INDEX($N$2:$N$1500,MATCH(MAX(COUNTIF($N$2:$N$1500,$N$2:$N$1500)),COUNTIF($N$2:$N$1500,$N$2:$N$1500),0)),N1018)</f>
        <v>Credit Card</v>
      </c>
      <c r="P1018" s="38" cm="1">
        <f t="array" ref="P1018">ROUND(IF(TRIM(H1018)="",IFERROR(MEDIAN(IF($M$2:$M$1500=M1018,$H$2:$H$1500)),MEDIAN($H$2:$H$1500)),H1018),2)</f>
        <v>7.01</v>
      </c>
      <c r="Q1018" s="38" t="str">
        <f t="shared" si="93"/>
        <v>1</v>
      </c>
      <c r="R1018" s="39" cm="1">
        <f t="array" ref="R1018">IF(OR(TRIM(J1018)="",TRIM(J1018)="-"),MEDIAN(IF($C$2:$C$1218=C1018,$J$2:$J$1218)),VALUE(SUBSTITUTE(SUBSTITUTE(SUBSTITUTE(J1018,"Rs. ",""),"₹",""),",","")))</f>
        <v>23906</v>
      </c>
      <c r="S1018" s="40">
        <f t="shared" si="91"/>
        <v>0</v>
      </c>
      <c r="T1018" s="41">
        <f t="shared" si="94"/>
        <v>0</v>
      </c>
      <c r="U1018" s="42">
        <f t="shared" si="95"/>
        <v>23906</v>
      </c>
    </row>
    <row r="1019" spans="1:21" x14ac:dyDescent="0.3">
      <c r="A1019" s="37" t="s">
        <v>4702</v>
      </c>
      <c r="B1019" s="37" t="s">
        <v>3469</v>
      </c>
      <c r="C1019" s="37" t="s">
        <v>2473</v>
      </c>
      <c r="D1019" s="37" t="s">
        <v>106</v>
      </c>
      <c r="E1019" s="37" t="s">
        <v>107</v>
      </c>
      <c r="F1019" s="37" t="s">
        <v>30</v>
      </c>
      <c r="G1019" s="37" t="s">
        <v>2435</v>
      </c>
      <c r="H1019" s="37">
        <v>3.81</v>
      </c>
      <c r="I1019" s="37">
        <v>22</v>
      </c>
      <c r="J1019" s="37">
        <v>5413</v>
      </c>
      <c r="K1019" s="37" t="s">
        <v>91</v>
      </c>
      <c r="L1019" s="37"/>
      <c r="M1019" s="37" t="str">
        <f t="shared" si="92"/>
        <v>General</v>
      </c>
      <c r="N1019" s="37" t="str">
        <f t="shared" si="90"/>
        <v>Debit Card</v>
      </c>
      <c r="O1019" s="37" t="str" cm="1">
        <f t="array" ref="O1019">IF(TRIM(N1019)="",INDEX($N$2:$N$1500,MATCH(MAX(COUNTIF($N$2:$N$1500,$N$2:$N$1500)),COUNTIF($N$2:$N$1500,$N$2:$N$1500),0)),N1019)</f>
        <v>Debit Card</v>
      </c>
      <c r="P1019" s="38" cm="1">
        <f t="array" ref="P1019">ROUND(IF(TRIM(H1019)="",IFERROR(MEDIAN(IF($M$2:$M$1500=M1019,$H$2:$H$1500)),MEDIAN($H$2:$H$1500)),H1019),2)</f>
        <v>3.81</v>
      </c>
      <c r="Q1019" s="38" t="str">
        <f t="shared" si="93"/>
        <v>0</v>
      </c>
      <c r="R1019" s="39" cm="1">
        <f t="array" ref="R1019">IF(OR(TRIM(J1019)="",TRIM(J1019)="-"),MEDIAN(IF($C$2:$C$1218=C1019,$J$2:$J$1218)),VALUE(SUBSTITUTE(SUBSTITUTE(SUBSTITUTE(J1019,"Rs. ",""),"₹",""),",","")))</f>
        <v>5413</v>
      </c>
      <c r="S1019" s="40">
        <f t="shared" si="91"/>
        <v>0</v>
      </c>
      <c r="T1019" s="41">
        <f t="shared" si="94"/>
        <v>0</v>
      </c>
      <c r="U1019" s="42">
        <f t="shared" si="95"/>
        <v>5413</v>
      </c>
    </row>
    <row r="1020" spans="1:21" x14ac:dyDescent="0.3">
      <c r="A1020" s="37" t="s">
        <v>4703</v>
      </c>
      <c r="B1020" s="37" t="s">
        <v>4704</v>
      </c>
      <c r="C1020" s="37" t="s">
        <v>2454</v>
      </c>
      <c r="D1020" s="37" t="s">
        <v>106</v>
      </c>
      <c r="E1020" s="37" t="s">
        <v>107</v>
      </c>
      <c r="F1020" s="37" t="s">
        <v>19</v>
      </c>
      <c r="G1020" s="37" t="s">
        <v>2455</v>
      </c>
      <c r="H1020" s="37">
        <v>10.41</v>
      </c>
      <c r="I1020" s="37">
        <v>57</v>
      </c>
      <c r="J1020" s="37" t="s">
        <v>4705</v>
      </c>
      <c r="K1020" s="37" t="s">
        <v>97</v>
      </c>
      <c r="L1020" s="37" t="s">
        <v>198</v>
      </c>
      <c r="M1020" s="37" t="str">
        <f t="shared" si="92"/>
        <v>General</v>
      </c>
      <c r="N1020" s="37" t="str">
        <f t="shared" si="90"/>
        <v>UPI</v>
      </c>
      <c r="O1020" s="37" t="str" cm="1">
        <f t="array" ref="O1020">IF(TRIM(N1020)="",INDEX($N$2:$N$1500,MATCH(MAX(COUNTIF($N$2:$N$1500,$N$2:$N$1500)),COUNTIF($N$2:$N$1500,$N$2:$N$1500),0)),N1020)</f>
        <v>UPI</v>
      </c>
      <c r="P1020" s="38" cm="1">
        <f t="array" ref="P1020">ROUND(IF(TRIM(H1020)="",IFERROR(MEDIAN(IF($M$2:$M$1500=M1020,$H$2:$H$1500)),MEDIAN($H$2:$H$1500)),H1020),2)</f>
        <v>10.41</v>
      </c>
      <c r="Q1020" s="38" t="str">
        <f t="shared" si="93"/>
        <v>1</v>
      </c>
      <c r="R1020" s="39" cm="1">
        <f t="array" ref="R1020">IF(OR(TRIM(J1020)="",TRIM(J1020)="-"),MEDIAN(IF($C$2:$C$1218=C1020,$J$2:$J$1218)),VALUE(SUBSTITUTE(SUBSTITUTE(SUBSTITUTE(J1020,"Rs. ",""),"₹",""),",","")))</f>
        <v>5459</v>
      </c>
      <c r="S1020" s="40">
        <f t="shared" si="91"/>
        <v>5</v>
      </c>
      <c r="T1020" s="41">
        <f t="shared" si="94"/>
        <v>5</v>
      </c>
      <c r="U1020" s="42">
        <f t="shared" si="95"/>
        <v>5186</v>
      </c>
    </row>
    <row r="1021" spans="1:21" x14ac:dyDescent="0.3">
      <c r="A1021" s="37" t="s">
        <v>4706</v>
      </c>
      <c r="B1021" s="37" t="s">
        <v>4707</v>
      </c>
      <c r="C1021" s="37" t="s">
        <v>2494</v>
      </c>
      <c r="D1021" s="37" t="s">
        <v>117</v>
      </c>
      <c r="E1021" s="37" t="s">
        <v>118</v>
      </c>
      <c r="F1021" s="37" t="s">
        <v>39</v>
      </c>
      <c r="G1021" s="37" t="s">
        <v>2505</v>
      </c>
      <c r="H1021" s="37">
        <v>11.32</v>
      </c>
      <c r="I1021" s="37">
        <v>42</v>
      </c>
      <c r="J1021" s="37" t="s">
        <v>4708</v>
      </c>
      <c r="K1021" s="37" t="s">
        <v>91</v>
      </c>
      <c r="L1021" s="37">
        <v>5</v>
      </c>
      <c r="M1021" s="37" t="str">
        <f t="shared" si="92"/>
        <v>General</v>
      </c>
      <c r="N1021" s="37" t="str">
        <f t="shared" si="90"/>
        <v>Debit Card</v>
      </c>
      <c r="O1021" s="37" t="str" cm="1">
        <f t="array" ref="O1021">IF(TRIM(N1021)="",INDEX($N$2:$N$1500,MATCH(MAX(COUNTIF($N$2:$N$1500,$N$2:$N$1500)),COUNTIF($N$2:$N$1500,$N$2:$N$1500),0)),N1021)</f>
        <v>Debit Card</v>
      </c>
      <c r="P1021" s="38" cm="1">
        <f t="array" ref="P1021">ROUND(IF(TRIM(H1021)="",IFERROR(MEDIAN(IF($M$2:$M$1500=M1021,$H$2:$H$1500)),MEDIAN($H$2:$H$1500)),H1021),2)</f>
        <v>11.32</v>
      </c>
      <c r="Q1021" s="38" t="str">
        <f t="shared" si="93"/>
        <v>2+</v>
      </c>
      <c r="R1021" s="39" cm="1">
        <f t="array" ref="R1021">IF(OR(TRIM(J1021)="",TRIM(J1021)="-"),MEDIAN(IF($C$2:$C$1218=C1021,$J$2:$J$1218)),VALUE(SUBSTITUTE(SUBSTITUTE(SUBSTITUTE(J1021,"Rs. ",""),"₹",""),",","")))</f>
        <v>11449</v>
      </c>
      <c r="S1021" s="40">
        <f t="shared" si="91"/>
        <v>5</v>
      </c>
      <c r="T1021" s="41">
        <f t="shared" si="94"/>
        <v>5</v>
      </c>
      <c r="U1021" s="42">
        <f t="shared" si="95"/>
        <v>10877</v>
      </c>
    </row>
    <row r="1022" spans="1:21" x14ac:dyDescent="0.3">
      <c r="A1022" s="37" t="s">
        <v>4709</v>
      </c>
      <c r="B1022" s="37" t="s">
        <v>4710</v>
      </c>
      <c r="C1022" s="37" t="s">
        <v>2490</v>
      </c>
      <c r="D1022" s="37" t="s">
        <v>45</v>
      </c>
      <c r="E1022" s="37" t="s">
        <v>46</v>
      </c>
      <c r="F1022" s="37"/>
      <c r="G1022" s="37" t="s">
        <v>2477</v>
      </c>
      <c r="H1022" s="37">
        <v>7.34</v>
      </c>
      <c r="I1022" s="37">
        <v>14</v>
      </c>
      <c r="J1022" s="37">
        <v>7881</v>
      </c>
      <c r="K1022" s="37" t="s">
        <v>115</v>
      </c>
      <c r="L1022" s="37" t="s">
        <v>130</v>
      </c>
      <c r="M1022" s="37" t="str">
        <f t="shared" si="92"/>
        <v>Unknown</v>
      </c>
      <c r="N1022" s="37" t="str">
        <f t="shared" si="90"/>
        <v>Cash</v>
      </c>
      <c r="O1022" s="37" t="str" cm="1">
        <f t="array" ref="O1022">IF(TRIM(N1022)="",INDEX($N$2:$N$1500,MATCH(MAX(COUNTIF($N$2:$N$1500,$N$2:$N$1500)),COUNTIF($N$2:$N$1500,$N$2:$N$1500),0)),N1022)</f>
        <v>Cash</v>
      </c>
      <c r="P1022" s="38" cm="1">
        <f t="array" ref="P1022">ROUND(IF(TRIM(H1022)="",IFERROR(MEDIAN(IF($M$2:$M$1500=M1022,$H$2:$H$1500)),MEDIAN($H$2:$H$1500)),H1022),2)</f>
        <v>7.34</v>
      </c>
      <c r="Q1022" s="38" t="str">
        <f t="shared" si="93"/>
        <v>0</v>
      </c>
      <c r="R1022" s="39" cm="1">
        <f t="array" ref="R1022">IF(OR(TRIM(J1022)="",TRIM(J1022)="-"),MEDIAN(IF($C$2:$C$1218=C1022,$J$2:$J$1218)),VALUE(SUBSTITUTE(SUBSTITUTE(SUBSTITUTE(J1022,"Rs. ",""),"₹",""),",","")))</f>
        <v>7881</v>
      </c>
      <c r="S1022" s="40">
        <f t="shared" si="91"/>
        <v>0</v>
      </c>
      <c r="T1022" s="41">
        <f t="shared" si="94"/>
        <v>0</v>
      </c>
      <c r="U1022" s="42">
        <f t="shared" si="95"/>
        <v>7881</v>
      </c>
    </row>
    <row r="1023" spans="1:21" x14ac:dyDescent="0.3">
      <c r="A1023" s="37" t="s">
        <v>4711</v>
      </c>
      <c r="B1023" s="37" t="s">
        <v>3848</v>
      </c>
      <c r="C1023" s="37" t="s">
        <v>2449</v>
      </c>
      <c r="D1023" s="37" t="s">
        <v>25</v>
      </c>
      <c r="E1023" s="37" t="s">
        <v>26</v>
      </c>
      <c r="F1023" s="37" t="s">
        <v>49</v>
      </c>
      <c r="G1023" s="37" t="s">
        <v>2505</v>
      </c>
      <c r="H1023" s="37">
        <v>9.42</v>
      </c>
      <c r="I1023" s="37">
        <v>47</v>
      </c>
      <c r="J1023" s="37">
        <v>5019</v>
      </c>
      <c r="K1023" s="37" t="s">
        <v>72</v>
      </c>
      <c r="L1023" s="37" t="s">
        <v>130</v>
      </c>
      <c r="M1023" s="37" t="str">
        <f t="shared" si="92"/>
        <v>General</v>
      </c>
      <c r="N1023" s="37" t="str">
        <f t="shared" si="90"/>
        <v>Cash</v>
      </c>
      <c r="O1023" s="37" t="str" cm="1">
        <f t="array" ref="O1023">IF(TRIM(N1023)="",INDEX($N$2:$N$1500,MATCH(MAX(COUNTIF($N$2:$N$1500,$N$2:$N$1500)),COUNTIF($N$2:$N$1500,$N$2:$N$1500),0)),N1023)</f>
        <v>Cash</v>
      </c>
      <c r="P1023" s="38" cm="1">
        <f t="array" ref="P1023">ROUND(IF(TRIM(H1023)="",IFERROR(MEDIAN(IF($M$2:$M$1500=M1023,$H$2:$H$1500)),MEDIAN($H$2:$H$1500)),H1023),2)</f>
        <v>9.42</v>
      </c>
      <c r="Q1023" s="38" t="str">
        <f t="shared" si="93"/>
        <v>2+</v>
      </c>
      <c r="R1023" s="39" cm="1">
        <f t="array" ref="R1023">IF(OR(TRIM(J1023)="",TRIM(J1023)="-"),MEDIAN(IF($C$2:$C$1218=C1023,$J$2:$J$1218)),VALUE(SUBSTITUTE(SUBSTITUTE(SUBSTITUTE(J1023,"Rs. ",""),"₹",""),",","")))</f>
        <v>5019</v>
      </c>
      <c r="S1023" s="40">
        <f t="shared" si="91"/>
        <v>0</v>
      </c>
      <c r="T1023" s="41">
        <f t="shared" si="94"/>
        <v>0</v>
      </c>
      <c r="U1023" s="42">
        <f t="shared" si="95"/>
        <v>5019</v>
      </c>
    </row>
    <row r="1024" spans="1:21" x14ac:dyDescent="0.3">
      <c r="A1024" s="37" t="s">
        <v>4712</v>
      </c>
      <c r="B1024" s="37" t="s">
        <v>3508</v>
      </c>
      <c r="C1024" s="37" t="s">
        <v>2466</v>
      </c>
      <c r="D1024" s="37" t="s">
        <v>25</v>
      </c>
      <c r="E1024" s="37" t="s">
        <v>54</v>
      </c>
      <c r="F1024" s="37" t="s">
        <v>49</v>
      </c>
      <c r="G1024" s="37" t="s">
        <v>2477</v>
      </c>
      <c r="H1024" s="37">
        <v>12.54</v>
      </c>
      <c r="I1024" s="37">
        <v>24</v>
      </c>
      <c r="J1024" s="37" t="s">
        <v>4713</v>
      </c>
      <c r="K1024" s="37" t="s">
        <v>149</v>
      </c>
      <c r="L1024" s="37" t="s">
        <v>198</v>
      </c>
      <c r="M1024" s="37" t="str">
        <f t="shared" si="92"/>
        <v>General</v>
      </c>
      <c r="N1024" s="37" t="str">
        <f t="shared" si="90"/>
        <v>Insurance</v>
      </c>
      <c r="O1024" s="37" t="str" cm="1">
        <f t="array" ref="O1024">IF(TRIM(N1024)="",INDEX($N$2:$N$1500,MATCH(MAX(COUNTIF($N$2:$N$1500,$N$2:$N$1500)),COUNTIF($N$2:$N$1500,$N$2:$N$1500),0)),N1024)</f>
        <v>Insurance</v>
      </c>
      <c r="P1024" s="38" cm="1">
        <f t="array" ref="P1024">ROUND(IF(TRIM(H1024)="",IFERROR(MEDIAN(IF($M$2:$M$1500=M1024,$H$2:$H$1500)),MEDIAN($H$2:$H$1500)),H1024),2)</f>
        <v>12.54</v>
      </c>
      <c r="Q1024" s="38" t="str">
        <f t="shared" si="93"/>
        <v>0</v>
      </c>
      <c r="R1024" s="39" cm="1">
        <f t="array" ref="R1024">IF(OR(TRIM(J1024)="",TRIM(J1024)="-"),MEDIAN(IF($C$2:$C$1218=C1024,$J$2:$J$1218)),VALUE(SUBSTITUTE(SUBSTITUTE(SUBSTITUTE(J1024,"Rs. ",""),"₹",""),",","")))</f>
        <v>15653</v>
      </c>
      <c r="S1024" s="40">
        <f t="shared" si="91"/>
        <v>5</v>
      </c>
      <c r="T1024" s="41">
        <f t="shared" si="94"/>
        <v>5</v>
      </c>
      <c r="U1024" s="42">
        <f t="shared" si="95"/>
        <v>14870</v>
      </c>
    </row>
    <row r="1025" spans="1:21" x14ac:dyDescent="0.3">
      <c r="A1025" s="37" t="s">
        <v>4714</v>
      </c>
      <c r="B1025" s="37" t="s">
        <v>3182</v>
      </c>
      <c r="C1025" s="37" t="s">
        <v>2521</v>
      </c>
      <c r="D1025" s="37" t="s">
        <v>14</v>
      </c>
      <c r="E1025" s="37" t="s">
        <v>15</v>
      </c>
      <c r="F1025" s="37" t="s">
        <v>69</v>
      </c>
      <c r="G1025" s="37" t="s">
        <v>2435</v>
      </c>
      <c r="H1025" s="37">
        <v>21.82</v>
      </c>
      <c r="I1025" s="37">
        <v>17</v>
      </c>
      <c r="J1025" s="37" t="s">
        <v>4715</v>
      </c>
      <c r="K1025" s="37" t="s">
        <v>91</v>
      </c>
      <c r="L1025" s="37">
        <v>0</v>
      </c>
      <c r="M1025" s="37" t="str">
        <f t="shared" si="92"/>
        <v>ICU</v>
      </c>
      <c r="N1025" s="37" t="str">
        <f t="shared" si="90"/>
        <v>Debit Card</v>
      </c>
      <c r="O1025" s="37" t="str" cm="1">
        <f t="array" ref="O1025">IF(TRIM(N1025)="",INDEX($N$2:$N$1500,MATCH(MAX(COUNTIF($N$2:$N$1500,$N$2:$N$1500)),COUNTIF($N$2:$N$1500,$N$2:$N$1500),0)),N1025)</f>
        <v>Debit Card</v>
      </c>
      <c r="P1025" s="38" cm="1">
        <f t="array" ref="P1025">ROUND(IF(TRIM(H1025)="",IFERROR(MEDIAN(IF($M$2:$M$1500=M1025,$H$2:$H$1500)),MEDIAN($H$2:$H$1500)),H1025),2)</f>
        <v>21.82</v>
      </c>
      <c r="Q1025" s="38" t="str">
        <f t="shared" si="93"/>
        <v>0</v>
      </c>
      <c r="R1025" s="39" cm="1">
        <f t="array" ref="R1025">IF(OR(TRIM(J1025)="",TRIM(J1025)="-"),MEDIAN(IF($C$2:$C$1218=C1025,$J$2:$J$1218)),VALUE(SUBSTITUTE(SUBSTITUTE(SUBSTITUTE(J1025,"Rs. ",""),"₹",""),",","")))</f>
        <v>33211</v>
      </c>
      <c r="S1025" s="40">
        <f t="shared" si="91"/>
        <v>0</v>
      </c>
      <c r="T1025" s="41">
        <f t="shared" si="94"/>
        <v>0</v>
      </c>
      <c r="U1025" s="42">
        <f t="shared" si="95"/>
        <v>33211</v>
      </c>
    </row>
    <row r="1026" spans="1:21" x14ac:dyDescent="0.3">
      <c r="A1026" s="37" t="s">
        <v>4716</v>
      </c>
      <c r="B1026" s="37" t="s">
        <v>3071</v>
      </c>
      <c r="C1026" s="37" t="s">
        <v>2473</v>
      </c>
      <c r="D1026" s="37" t="s">
        <v>45</v>
      </c>
      <c r="E1026" s="37" t="s">
        <v>46</v>
      </c>
      <c r="F1026" s="37" t="s">
        <v>101</v>
      </c>
      <c r="G1026" s="37" t="s">
        <v>2450</v>
      </c>
      <c r="H1026" s="37">
        <v>11.73</v>
      </c>
      <c r="I1026" s="37" t="s">
        <v>140</v>
      </c>
      <c r="J1026" s="37" t="s">
        <v>4717</v>
      </c>
      <c r="K1026" s="37" t="s">
        <v>52</v>
      </c>
      <c r="L1026" s="37">
        <v>5</v>
      </c>
      <c r="M1026" s="37" t="str">
        <f t="shared" si="92"/>
        <v>ICU</v>
      </c>
      <c r="N1026" s="37" t="str">
        <f t="shared" ref="N1026:N1089" si="96">IF(OR(UPPER(TRIM(K1026))="CREDIT_CARD",UPPER(TRIM(K1026))="CREDIT CARD",UPPER(TRIM(K1026))="CC"),"Credit Card", IF(OR(UPPER(TRIM(K1026))="DEBIT_CARD",UPPER(TRIM(K1026))="DEBIT CARD",UPPER(TRIM(K1026))="DC"),"Debit Card", IF(UPPER(TRIM(K1026))="CASH","Cash", IF(UPPER(TRIM(K1026))="UPI","UPI", IF(OR(UPPER(TRIM(K1026))="INSURANCE",UPPER(TRIM(K1026))="INS"),"Insurance", IF(TRIM(K1026)="","Unknown","Unknown"))))))</f>
        <v>Credit Card</v>
      </c>
      <c r="O1026" s="37" t="str" cm="1">
        <f t="array" ref="O1026">IF(TRIM(N1026)="",INDEX($N$2:$N$1500,MATCH(MAX(COUNTIF($N$2:$N$1500,$N$2:$N$1500)),COUNTIF($N$2:$N$1500,$N$2:$N$1500),0)),N1026)</f>
        <v>Credit Card</v>
      </c>
      <c r="P1026" s="38" cm="1">
        <f t="array" ref="P1026">ROUND(IF(TRIM(H1026)="",IFERROR(MEDIAN(IF($M$2:$M$1500=M1026,$H$2:$H$1500)),MEDIAN($H$2:$H$1500)),H1026),2)</f>
        <v>11.73</v>
      </c>
      <c r="Q1026" s="38" t="str">
        <f t="shared" si="93"/>
        <v>1</v>
      </c>
      <c r="R1026" s="39" cm="1">
        <f t="array" ref="R1026">IF(OR(TRIM(J1026)="",TRIM(J1026)="-"),MEDIAN(IF($C$2:$C$1218=C1026,$J$2:$J$1218)),VALUE(SUBSTITUTE(SUBSTITUTE(SUBSTITUTE(J1026,"Rs. ",""),"₹",""),",","")))</f>
        <v>34960</v>
      </c>
      <c r="S1026" s="40">
        <f t="shared" ref="S1026:S1089" si="97">IF(RIGHT(TRIM(L1026),1)="%",VALUE(LEFT(TRIM(L1026),LEN(TRIM(L1026))-1)),IF(AND(ISNUMBER(L1026),L1026&lt;=1,,L1026&gt;0),L1026*100,L1026))</f>
        <v>5</v>
      </c>
      <c r="T1026" s="41">
        <f t="shared" si="94"/>
        <v>5</v>
      </c>
      <c r="U1026" s="42">
        <f t="shared" si="95"/>
        <v>33212</v>
      </c>
    </row>
    <row r="1027" spans="1:21" x14ac:dyDescent="0.3">
      <c r="A1027" s="37" t="s">
        <v>4718</v>
      </c>
      <c r="B1027" s="37" t="s">
        <v>4148</v>
      </c>
      <c r="C1027" s="37" t="s">
        <v>2532</v>
      </c>
      <c r="D1027" s="37" t="s">
        <v>14</v>
      </c>
      <c r="E1027" s="37" t="s">
        <v>60</v>
      </c>
      <c r="F1027" s="37" t="s">
        <v>19</v>
      </c>
      <c r="G1027" s="37" t="s">
        <v>2408</v>
      </c>
      <c r="H1027" s="37">
        <v>24.88</v>
      </c>
      <c r="I1027" s="37">
        <v>41</v>
      </c>
      <c r="J1027" s="37" t="s">
        <v>4719</v>
      </c>
      <c r="K1027" s="37" t="s">
        <v>42</v>
      </c>
      <c r="L1027" s="37">
        <v>18</v>
      </c>
      <c r="M1027" s="37" t="str">
        <f t="shared" ref="M1027:M1090" si="98">IF(OR(UPPER(TRIM(F1027))="GENERAL",UPPER(TRIM(F1027))="GENRAL"),"General",IF(UPPER(TRIM(F1027))="ICU","ICU","Unknown"))</f>
        <v>General</v>
      </c>
      <c r="N1027" s="37" t="str">
        <f t="shared" si="96"/>
        <v>Insurance</v>
      </c>
      <c r="O1027" s="37" t="str" cm="1">
        <f t="array" ref="O1027">IF(TRIM(N1027)="",INDEX($N$2:$N$1500,MATCH(MAX(COUNTIF($N$2:$N$1500,$N$2:$N$1500)),COUNTIF($N$2:$N$1500,$N$2:$N$1500),0)),N1027)</f>
        <v>Insurance</v>
      </c>
      <c r="P1027" s="38" cm="1">
        <f t="array" ref="P1027">ROUND(IF(TRIM(H1027)="",IFERROR(MEDIAN(IF($M$2:$M$1500=M1027,$H$2:$H$1500)),MEDIAN($H$2:$H$1500)),H1027),2)</f>
        <v>24.88</v>
      </c>
      <c r="Q1027" s="38" t="str">
        <f t="shared" ref="Q1027:Q1090" si="99">IF(OR(LOWER(TRIM(G1027))="0",LOWER(TRIM(G1027))="zero"),"0", IF(OR(LOWER(TRIM(G1027))="1",LOWER(TRIM(G1027))="one"),"1", IF(OR(LOWER(TRIM(G1027))="2",LOWER(TRIM(G1027))="two"),"2", IF(OR(LOWER(TRIM(G1027))="2+",LOWER(TRIM(G1027))="two_or_more",LOWER(TRIM(G1027))="multiple"),"2+", "Unknown"))))</f>
        <v>0</v>
      </c>
      <c r="R1027" s="39" cm="1">
        <f t="array" ref="R1027">IF(OR(TRIM(J1027)="",TRIM(J1027)="-"),MEDIAN(IF($C$2:$C$1218=C1027,$J$2:$J$1218)),VALUE(SUBSTITUTE(SUBSTITUTE(SUBSTITUTE(J1027,"Rs. ",""),"₹",""),",","")))</f>
        <v>14983</v>
      </c>
      <c r="S1027" s="40">
        <f t="shared" si="97"/>
        <v>18</v>
      </c>
      <c r="T1027" s="41">
        <f t="shared" ref="T1027:T1090" si="100">ROUND(IF(OR(TRIM(S1027)="-",UPPER(TRIM(S1027))="N/A",UPPER(TRIM(S1027))="NA"),IFERROR(AVERAGEIF($O$2:$O$1500,O1027,$S$2:$S$1500),AVERAGE($S$2:$S$1500)),S1027),0)</f>
        <v>18</v>
      </c>
      <c r="U1027" s="42">
        <f t="shared" ref="U1027:U1090" si="101">ROUND(R1027*(1-T1027/100),0)</f>
        <v>12286</v>
      </c>
    </row>
    <row r="1028" spans="1:21" x14ac:dyDescent="0.3">
      <c r="A1028" s="37" t="s">
        <v>4720</v>
      </c>
      <c r="B1028" s="37" t="s">
        <v>2729</v>
      </c>
      <c r="C1028" s="37" t="s">
        <v>2730</v>
      </c>
      <c r="D1028" s="37" t="s">
        <v>117</v>
      </c>
      <c r="E1028" s="37" t="s">
        <v>182</v>
      </c>
      <c r="F1028" s="37" t="s">
        <v>62</v>
      </c>
      <c r="G1028" s="37" t="s">
        <v>2746</v>
      </c>
      <c r="H1028" s="37"/>
      <c r="I1028" s="37"/>
      <c r="J1028" s="37">
        <v>28283</v>
      </c>
      <c r="K1028" s="37" t="s">
        <v>72</v>
      </c>
      <c r="L1028" s="37">
        <v>0</v>
      </c>
      <c r="M1028" s="37" t="str">
        <f t="shared" si="98"/>
        <v>ICU</v>
      </c>
      <c r="N1028" s="37" t="str">
        <f t="shared" si="96"/>
        <v>Cash</v>
      </c>
      <c r="O1028" s="37" t="str" cm="1">
        <f t="array" ref="O1028">IF(TRIM(N1028)="",INDEX($N$2:$N$1500,MATCH(MAX(COUNTIF($N$2:$N$1500,$N$2:$N$1500)),COUNTIF($N$2:$N$1500,$N$2:$N$1500),0)),N1028)</f>
        <v>Cash</v>
      </c>
      <c r="P1028" s="38" cm="1">
        <f t="array" ref="P1028">ROUND(IF(TRIM(H1028)="",IFERROR(MEDIAN(IF($M$2:$M$1500=M1028,$H$2:$H$1500)),MEDIAN($H$2:$H$1500)),H1028),2)</f>
        <v>12.21</v>
      </c>
      <c r="Q1028" s="38" t="str">
        <f t="shared" si="99"/>
        <v>2</v>
      </c>
      <c r="R1028" s="39" cm="1">
        <f t="array" ref="R1028">IF(OR(TRIM(J1028)="",TRIM(J1028)="-"),MEDIAN(IF($C$2:$C$1218=C1028,$J$2:$J$1218)),VALUE(SUBSTITUTE(SUBSTITUTE(SUBSTITUTE(J1028,"Rs. ",""),"₹",""),",","")))</f>
        <v>28283</v>
      </c>
      <c r="S1028" s="40">
        <f t="shared" si="97"/>
        <v>0</v>
      </c>
      <c r="T1028" s="41">
        <f t="shared" si="100"/>
        <v>0</v>
      </c>
      <c r="U1028" s="42">
        <f t="shared" si="101"/>
        <v>28283</v>
      </c>
    </row>
    <row r="1029" spans="1:21" x14ac:dyDescent="0.3">
      <c r="A1029" s="37" t="s">
        <v>4721</v>
      </c>
      <c r="B1029" s="37" t="s">
        <v>4722</v>
      </c>
      <c r="C1029" s="37" t="s">
        <v>2459</v>
      </c>
      <c r="D1029" s="37" t="s">
        <v>25</v>
      </c>
      <c r="E1029" s="37" t="s">
        <v>54</v>
      </c>
      <c r="F1029" s="37"/>
      <c r="G1029" s="37" t="s">
        <v>2486</v>
      </c>
      <c r="H1029" s="37">
        <v>5.5</v>
      </c>
      <c r="I1029" s="37">
        <v>53</v>
      </c>
      <c r="J1029" s="37">
        <v>16989</v>
      </c>
      <c r="K1029" s="37" t="s">
        <v>52</v>
      </c>
      <c r="L1029" s="37" t="s">
        <v>130</v>
      </c>
      <c r="M1029" s="37" t="str">
        <f t="shared" si="98"/>
        <v>Unknown</v>
      </c>
      <c r="N1029" s="37" t="str">
        <f t="shared" si="96"/>
        <v>Credit Card</v>
      </c>
      <c r="O1029" s="37" t="str" cm="1">
        <f t="array" ref="O1029">IF(TRIM(N1029)="",INDEX($N$2:$N$1500,MATCH(MAX(COUNTIF($N$2:$N$1500,$N$2:$N$1500)),COUNTIF($N$2:$N$1500,$N$2:$N$1500),0)),N1029)</f>
        <v>Credit Card</v>
      </c>
      <c r="P1029" s="38" cm="1">
        <f t="array" ref="P1029">ROUND(IF(TRIM(H1029)="",IFERROR(MEDIAN(IF($M$2:$M$1500=M1029,$H$2:$H$1500)),MEDIAN($H$2:$H$1500)),H1029),2)</f>
        <v>5.5</v>
      </c>
      <c r="Q1029" s="38" t="str">
        <f t="shared" si="99"/>
        <v>2+</v>
      </c>
      <c r="R1029" s="39" cm="1">
        <f t="array" ref="R1029">IF(OR(TRIM(J1029)="",TRIM(J1029)="-"),MEDIAN(IF($C$2:$C$1218=C1029,$J$2:$J$1218)),VALUE(SUBSTITUTE(SUBSTITUTE(SUBSTITUTE(J1029,"Rs. ",""),"₹",""),",","")))</f>
        <v>16989</v>
      </c>
      <c r="S1029" s="40">
        <f t="shared" si="97"/>
        <v>0</v>
      </c>
      <c r="T1029" s="41">
        <f t="shared" si="100"/>
        <v>0</v>
      </c>
      <c r="U1029" s="42">
        <f t="shared" si="101"/>
        <v>16989</v>
      </c>
    </row>
    <row r="1030" spans="1:21" x14ac:dyDescent="0.3">
      <c r="A1030" s="37" t="s">
        <v>4723</v>
      </c>
      <c r="B1030" s="37" t="s">
        <v>4724</v>
      </c>
      <c r="C1030" s="37" t="s">
        <v>2407</v>
      </c>
      <c r="D1030" s="37" t="s">
        <v>78</v>
      </c>
      <c r="E1030" s="37" t="s">
        <v>79</v>
      </c>
      <c r="F1030" s="37" t="s">
        <v>39</v>
      </c>
      <c r="G1030" s="37" t="s">
        <v>2435</v>
      </c>
      <c r="H1030" s="37">
        <v>15.45</v>
      </c>
      <c r="I1030" s="37">
        <v>2</v>
      </c>
      <c r="J1030" s="37" t="s">
        <v>4725</v>
      </c>
      <c r="K1030" s="37" t="s">
        <v>87</v>
      </c>
      <c r="L1030" s="37">
        <v>5</v>
      </c>
      <c r="M1030" s="37" t="str">
        <f t="shared" si="98"/>
        <v>General</v>
      </c>
      <c r="N1030" s="37" t="str">
        <f t="shared" si="96"/>
        <v>Credit Card</v>
      </c>
      <c r="O1030" s="37" t="str" cm="1">
        <f t="array" ref="O1030">IF(TRIM(N1030)="",INDEX($N$2:$N$1500,MATCH(MAX(COUNTIF($N$2:$N$1500,$N$2:$N$1500)),COUNTIF($N$2:$N$1500,$N$2:$N$1500),0)),N1030)</f>
        <v>Credit Card</v>
      </c>
      <c r="P1030" s="38" cm="1">
        <f t="array" ref="P1030">ROUND(IF(TRIM(H1030)="",IFERROR(MEDIAN(IF($M$2:$M$1500=M1030,$H$2:$H$1500)),MEDIAN($H$2:$H$1500)),H1030),2)</f>
        <v>15.45</v>
      </c>
      <c r="Q1030" s="38" t="str">
        <f t="shared" si="99"/>
        <v>0</v>
      </c>
      <c r="R1030" s="39" cm="1">
        <f t="array" ref="R1030">IF(OR(TRIM(J1030)="",TRIM(J1030)="-"),MEDIAN(IF($C$2:$C$1218=C1030,$J$2:$J$1218)),VALUE(SUBSTITUTE(SUBSTITUTE(SUBSTITUTE(J1030,"Rs. ",""),"₹",""),",","")))</f>
        <v>18236</v>
      </c>
      <c r="S1030" s="40">
        <f t="shared" si="97"/>
        <v>5</v>
      </c>
      <c r="T1030" s="41">
        <f t="shared" si="100"/>
        <v>5</v>
      </c>
      <c r="U1030" s="42">
        <f t="shared" si="101"/>
        <v>17324</v>
      </c>
    </row>
    <row r="1031" spans="1:21" x14ac:dyDescent="0.3">
      <c r="A1031" s="37" t="s">
        <v>4726</v>
      </c>
      <c r="B1031" s="37" t="s">
        <v>4727</v>
      </c>
      <c r="C1031" s="37" t="s">
        <v>2577</v>
      </c>
      <c r="D1031" s="37" t="s">
        <v>14</v>
      </c>
      <c r="E1031" s="37" t="s">
        <v>60</v>
      </c>
      <c r="F1031" s="37" t="s">
        <v>69</v>
      </c>
      <c r="G1031" s="37" t="s">
        <v>2477</v>
      </c>
      <c r="H1031" s="37">
        <v>3.39</v>
      </c>
      <c r="I1031" s="37">
        <v>44</v>
      </c>
      <c r="J1031" s="37"/>
      <c r="K1031" s="37" t="s">
        <v>58</v>
      </c>
      <c r="L1031" s="37">
        <v>0.1</v>
      </c>
      <c r="M1031" s="37" t="str">
        <f t="shared" si="98"/>
        <v>ICU</v>
      </c>
      <c r="N1031" s="37" t="str">
        <f t="shared" si="96"/>
        <v>UPI</v>
      </c>
      <c r="O1031" s="37" t="str" cm="1">
        <f t="array" ref="O1031">IF(TRIM(N1031)="",INDEX($N$2:$N$1500,MATCH(MAX(COUNTIF($N$2:$N$1500,$N$2:$N$1500)),COUNTIF($N$2:$N$1500,$N$2:$N$1500),0)),N1031)</f>
        <v>UPI</v>
      </c>
      <c r="P1031" s="38" cm="1">
        <f t="array" ref="P1031">ROUND(IF(TRIM(H1031)="",IFERROR(MEDIAN(IF($M$2:$M$1500=M1031,$H$2:$H$1500)),MEDIAN($H$2:$H$1500)),H1031),2)</f>
        <v>3.39</v>
      </c>
      <c r="Q1031" s="38" t="str">
        <f t="shared" si="99"/>
        <v>0</v>
      </c>
      <c r="R1031" s="39" cm="1">
        <f t="array" ref="R1031">IF(OR(TRIM(J1031)="",TRIM(J1031)="-"),MEDIAN(IF($C$2:$C$1218=C1031,$J$2:$J$1218)),VALUE(SUBSTITUTE(SUBSTITUTE(SUBSTITUTE(J1031,"Rs. ",""),"₹",""),",","")))</f>
        <v>15441</v>
      </c>
      <c r="S1031" s="40">
        <f t="shared" si="97"/>
        <v>0.1</v>
      </c>
      <c r="T1031" s="41">
        <f t="shared" si="100"/>
        <v>0</v>
      </c>
      <c r="U1031" s="42">
        <f t="shared" si="101"/>
        <v>15441</v>
      </c>
    </row>
    <row r="1032" spans="1:21" x14ac:dyDescent="0.3">
      <c r="A1032" s="37" t="s">
        <v>4728</v>
      </c>
      <c r="B1032" s="37" t="s">
        <v>4431</v>
      </c>
      <c r="C1032" s="37" t="s">
        <v>2494</v>
      </c>
      <c r="D1032" s="37" t="s">
        <v>117</v>
      </c>
      <c r="E1032" s="37" t="s">
        <v>118</v>
      </c>
      <c r="F1032" s="37" t="s">
        <v>69</v>
      </c>
      <c r="G1032" s="37" t="s">
        <v>2408</v>
      </c>
      <c r="H1032" s="37">
        <v>5.78</v>
      </c>
      <c r="I1032" s="37">
        <v>12</v>
      </c>
      <c r="J1032" s="37">
        <v>61140</v>
      </c>
      <c r="K1032" s="37" t="s">
        <v>52</v>
      </c>
      <c r="L1032" s="37" t="s">
        <v>76</v>
      </c>
      <c r="M1032" s="37" t="str">
        <f t="shared" si="98"/>
        <v>ICU</v>
      </c>
      <c r="N1032" s="37" t="str">
        <f t="shared" si="96"/>
        <v>Credit Card</v>
      </c>
      <c r="O1032" s="37" t="str" cm="1">
        <f t="array" ref="O1032">IF(TRIM(N1032)="",INDEX($N$2:$N$1500,MATCH(MAX(COUNTIF($N$2:$N$1500,$N$2:$N$1500)),COUNTIF($N$2:$N$1500,$N$2:$N$1500),0)),N1032)</f>
        <v>Credit Card</v>
      </c>
      <c r="P1032" s="38" cm="1">
        <f t="array" ref="P1032">ROUND(IF(TRIM(H1032)="",IFERROR(MEDIAN(IF($M$2:$M$1500=M1032,$H$2:$H$1500)),MEDIAN($H$2:$H$1500)),H1032),2)</f>
        <v>5.78</v>
      </c>
      <c r="Q1032" s="38" t="str">
        <f t="shared" si="99"/>
        <v>0</v>
      </c>
      <c r="R1032" s="39" cm="1">
        <f t="array" ref="R1032">IF(OR(TRIM(J1032)="",TRIM(J1032)="-"),MEDIAN(IF($C$2:$C$1218=C1032,$J$2:$J$1218)),VALUE(SUBSTITUTE(SUBSTITUTE(SUBSTITUTE(J1032,"Rs. ",""),"₹",""),",","")))</f>
        <v>61140</v>
      </c>
      <c r="S1032" s="40">
        <f t="shared" si="97"/>
        <v>10</v>
      </c>
      <c r="T1032" s="41">
        <f t="shared" si="100"/>
        <v>10</v>
      </c>
      <c r="U1032" s="42">
        <f t="shared" si="101"/>
        <v>55026</v>
      </c>
    </row>
    <row r="1033" spans="1:21" x14ac:dyDescent="0.3">
      <c r="A1033" s="37" t="s">
        <v>4729</v>
      </c>
      <c r="B1033" s="37" t="s">
        <v>2804</v>
      </c>
      <c r="C1033" s="37" t="s">
        <v>2730</v>
      </c>
      <c r="D1033" s="37" t="s">
        <v>14</v>
      </c>
      <c r="E1033" s="37" t="s">
        <v>60</v>
      </c>
      <c r="F1033" s="37" t="s">
        <v>39</v>
      </c>
      <c r="G1033" s="37" t="s">
        <v>2412</v>
      </c>
      <c r="H1033" s="37">
        <v>7.96</v>
      </c>
      <c r="I1033" s="37">
        <v>46</v>
      </c>
      <c r="J1033" s="37">
        <v>15799</v>
      </c>
      <c r="K1033" s="37" t="s">
        <v>83</v>
      </c>
      <c r="L1033" s="37">
        <v>0</v>
      </c>
      <c r="M1033" s="37" t="str">
        <f t="shared" si="98"/>
        <v>General</v>
      </c>
      <c r="N1033" s="37" t="str">
        <f t="shared" si="96"/>
        <v>Debit Card</v>
      </c>
      <c r="O1033" s="37" t="str" cm="1">
        <f t="array" ref="O1033">IF(TRIM(N1033)="",INDEX($N$2:$N$1500,MATCH(MAX(COUNTIF($N$2:$N$1500,$N$2:$N$1500)),COUNTIF($N$2:$N$1500,$N$2:$N$1500),0)),N1033)</f>
        <v>Debit Card</v>
      </c>
      <c r="P1033" s="38" cm="1">
        <f t="array" ref="P1033">ROUND(IF(TRIM(H1033)="",IFERROR(MEDIAN(IF($M$2:$M$1500=M1033,$H$2:$H$1500)),MEDIAN($H$2:$H$1500)),H1033),2)</f>
        <v>7.96</v>
      </c>
      <c r="Q1033" s="38" t="str">
        <f t="shared" si="99"/>
        <v>1</v>
      </c>
      <c r="R1033" s="39" cm="1">
        <f t="array" ref="R1033">IF(OR(TRIM(J1033)="",TRIM(J1033)="-"),MEDIAN(IF($C$2:$C$1218=C1033,$J$2:$J$1218)),VALUE(SUBSTITUTE(SUBSTITUTE(SUBSTITUTE(J1033,"Rs. ",""),"₹",""),",","")))</f>
        <v>15799</v>
      </c>
      <c r="S1033" s="40">
        <f t="shared" si="97"/>
        <v>0</v>
      </c>
      <c r="T1033" s="41">
        <f t="shared" si="100"/>
        <v>0</v>
      </c>
      <c r="U1033" s="42">
        <f t="shared" si="101"/>
        <v>15799</v>
      </c>
    </row>
    <row r="1034" spans="1:21" x14ac:dyDescent="0.3">
      <c r="A1034" s="37" t="s">
        <v>4730</v>
      </c>
      <c r="B1034" s="37" t="s">
        <v>4025</v>
      </c>
      <c r="C1034" s="37" t="s">
        <v>2449</v>
      </c>
      <c r="D1034" s="37" t="s">
        <v>14</v>
      </c>
      <c r="E1034" s="37" t="s">
        <v>60</v>
      </c>
      <c r="F1034" s="37" t="s">
        <v>62</v>
      </c>
      <c r="G1034" s="37" t="s">
        <v>2439</v>
      </c>
      <c r="H1034" s="37">
        <v>10.09</v>
      </c>
      <c r="I1034" s="37">
        <v>4</v>
      </c>
      <c r="J1034" s="37" t="s">
        <v>4731</v>
      </c>
      <c r="K1034" s="37" t="s">
        <v>58</v>
      </c>
      <c r="L1034" s="37">
        <v>5</v>
      </c>
      <c r="M1034" s="37" t="str">
        <f t="shared" si="98"/>
        <v>ICU</v>
      </c>
      <c r="N1034" s="37" t="str">
        <f t="shared" si="96"/>
        <v>UPI</v>
      </c>
      <c r="O1034" s="37" t="str" cm="1">
        <f t="array" ref="O1034">IF(TRIM(N1034)="",INDEX($N$2:$N$1500,MATCH(MAX(COUNTIF($N$2:$N$1500,$N$2:$N$1500)),COUNTIF($N$2:$N$1500,$N$2:$N$1500),0)),N1034)</f>
        <v>UPI</v>
      </c>
      <c r="P1034" s="38" cm="1">
        <f t="array" ref="P1034">ROUND(IF(TRIM(H1034)="",IFERROR(MEDIAN(IF($M$2:$M$1500=M1034,$H$2:$H$1500)),MEDIAN($H$2:$H$1500)),H1034),2)</f>
        <v>10.09</v>
      </c>
      <c r="Q1034" s="38" t="str">
        <f t="shared" si="99"/>
        <v>2</v>
      </c>
      <c r="R1034" s="39" cm="1">
        <f t="array" ref="R1034">IF(OR(TRIM(J1034)="",TRIM(J1034)="-"),MEDIAN(IF($C$2:$C$1218=C1034,$J$2:$J$1218)),VALUE(SUBSTITUTE(SUBSTITUTE(SUBSTITUTE(J1034,"Rs. ",""),"₹",""),",","")))</f>
        <v>22745</v>
      </c>
      <c r="S1034" s="40">
        <f t="shared" si="97"/>
        <v>5</v>
      </c>
      <c r="T1034" s="41">
        <f t="shared" si="100"/>
        <v>5</v>
      </c>
      <c r="U1034" s="42">
        <f t="shared" si="101"/>
        <v>21608</v>
      </c>
    </row>
    <row r="1035" spans="1:21" x14ac:dyDescent="0.3">
      <c r="A1035" s="37" t="s">
        <v>4732</v>
      </c>
      <c r="B1035" s="37" t="s">
        <v>4733</v>
      </c>
      <c r="C1035" s="37" t="s">
        <v>2431</v>
      </c>
      <c r="D1035" s="37" t="s">
        <v>78</v>
      </c>
      <c r="E1035" s="37" t="s">
        <v>203</v>
      </c>
      <c r="F1035" s="37" t="s">
        <v>49</v>
      </c>
      <c r="G1035" s="37" t="s">
        <v>2746</v>
      </c>
      <c r="H1035" s="37">
        <v>15.97</v>
      </c>
      <c r="I1035" s="37">
        <v>34</v>
      </c>
      <c r="J1035" s="37">
        <v>5085</v>
      </c>
      <c r="K1035" s="37" t="s">
        <v>115</v>
      </c>
      <c r="L1035" s="37">
        <v>0</v>
      </c>
      <c r="M1035" s="37" t="str">
        <f t="shared" si="98"/>
        <v>General</v>
      </c>
      <c r="N1035" s="37" t="str">
        <f t="shared" si="96"/>
        <v>Cash</v>
      </c>
      <c r="O1035" s="37" t="str" cm="1">
        <f t="array" ref="O1035">IF(TRIM(N1035)="",INDEX($N$2:$N$1500,MATCH(MAX(COUNTIF($N$2:$N$1500,$N$2:$N$1500)),COUNTIF($N$2:$N$1500,$N$2:$N$1500),0)),N1035)</f>
        <v>Cash</v>
      </c>
      <c r="P1035" s="38" cm="1">
        <f t="array" ref="P1035">ROUND(IF(TRIM(H1035)="",IFERROR(MEDIAN(IF($M$2:$M$1500=M1035,$H$2:$H$1500)),MEDIAN($H$2:$H$1500)),H1035),2)</f>
        <v>15.97</v>
      </c>
      <c r="Q1035" s="38" t="str">
        <f t="shared" si="99"/>
        <v>2</v>
      </c>
      <c r="R1035" s="39" cm="1">
        <f t="array" ref="R1035">IF(OR(TRIM(J1035)="",TRIM(J1035)="-"),MEDIAN(IF($C$2:$C$1218=C1035,$J$2:$J$1218)),VALUE(SUBSTITUTE(SUBSTITUTE(SUBSTITUTE(J1035,"Rs. ",""),"₹",""),",","")))</f>
        <v>5085</v>
      </c>
      <c r="S1035" s="40">
        <f t="shared" si="97"/>
        <v>0</v>
      </c>
      <c r="T1035" s="41">
        <f t="shared" si="100"/>
        <v>0</v>
      </c>
      <c r="U1035" s="42">
        <f t="shared" si="101"/>
        <v>5085</v>
      </c>
    </row>
    <row r="1036" spans="1:21" x14ac:dyDescent="0.3">
      <c r="A1036" s="37" t="s">
        <v>4734</v>
      </c>
      <c r="B1036" s="37" t="s">
        <v>4027</v>
      </c>
      <c r="C1036" s="37" t="s">
        <v>2561</v>
      </c>
      <c r="D1036" s="37" t="s">
        <v>78</v>
      </c>
      <c r="E1036" s="37" t="s">
        <v>79</v>
      </c>
      <c r="F1036" s="37" t="s">
        <v>30</v>
      </c>
      <c r="G1036" s="37" t="s">
        <v>2423</v>
      </c>
      <c r="H1036" s="37">
        <v>1.99</v>
      </c>
      <c r="I1036" s="37">
        <v>31</v>
      </c>
      <c r="J1036" s="37" t="s">
        <v>4735</v>
      </c>
      <c r="K1036" s="37" t="s">
        <v>72</v>
      </c>
      <c r="L1036" s="37">
        <v>5</v>
      </c>
      <c r="M1036" s="37" t="str">
        <f t="shared" si="98"/>
        <v>General</v>
      </c>
      <c r="N1036" s="37" t="str">
        <f t="shared" si="96"/>
        <v>Cash</v>
      </c>
      <c r="O1036" s="37" t="str" cm="1">
        <f t="array" ref="O1036">IF(TRIM(N1036)="",INDEX($N$2:$N$1500,MATCH(MAX(COUNTIF($N$2:$N$1500,$N$2:$N$1500)),COUNTIF($N$2:$N$1500,$N$2:$N$1500),0)),N1036)</f>
        <v>Cash</v>
      </c>
      <c r="P1036" s="38" cm="1">
        <f t="array" ref="P1036">ROUND(IF(TRIM(H1036)="",IFERROR(MEDIAN(IF($M$2:$M$1500=M1036,$H$2:$H$1500)),MEDIAN($H$2:$H$1500)),H1036),2)</f>
        <v>1.99</v>
      </c>
      <c r="Q1036" s="38" t="str">
        <f t="shared" si="99"/>
        <v>0</v>
      </c>
      <c r="R1036" s="39" cm="1">
        <f t="array" ref="R1036">IF(OR(TRIM(J1036)="",TRIM(J1036)="-"),MEDIAN(IF($C$2:$C$1218=C1036,$J$2:$J$1218)),VALUE(SUBSTITUTE(SUBSTITUTE(SUBSTITUTE(J1036,"Rs. ",""),"₹",""),",","")))</f>
        <v>14343</v>
      </c>
      <c r="S1036" s="40">
        <f t="shared" si="97"/>
        <v>5</v>
      </c>
      <c r="T1036" s="41">
        <f t="shared" si="100"/>
        <v>5</v>
      </c>
      <c r="U1036" s="42">
        <f t="shared" si="101"/>
        <v>13626</v>
      </c>
    </row>
    <row r="1037" spans="1:21" x14ac:dyDescent="0.3">
      <c r="A1037" s="37" t="s">
        <v>4736</v>
      </c>
      <c r="B1037" s="37" t="s">
        <v>4227</v>
      </c>
      <c r="C1037" s="37" t="s">
        <v>2463</v>
      </c>
      <c r="D1037" s="37" t="s">
        <v>78</v>
      </c>
      <c r="E1037" s="37" t="s">
        <v>79</v>
      </c>
      <c r="F1037" s="37" t="s">
        <v>39</v>
      </c>
      <c r="G1037" s="37" t="s">
        <v>2412</v>
      </c>
      <c r="H1037" s="37">
        <v>6.87</v>
      </c>
      <c r="I1037" s="37">
        <v>40</v>
      </c>
      <c r="J1037" s="37" t="s">
        <v>4737</v>
      </c>
      <c r="K1037" s="37" t="s">
        <v>104</v>
      </c>
      <c r="L1037" s="37">
        <v>15</v>
      </c>
      <c r="M1037" s="37" t="str">
        <f t="shared" si="98"/>
        <v>General</v>
      </c>
      <c r="N1037" s="37" t="str">
        <f t="shared" si="96"/>
        <v>Insurance</v>
      </c>
      <c r="O1037" s="37" t="str" cm="1">
        <f t="array" ref="O1037">IF(TRIM(N1037)="",INDEX($N$2:$N$1500,MATCH(MAX(COUNTIF($N$2:$N$1500,$N$2:$N$1500)),COUNTIF($N$2:$N$1500,$N$2:$N$1500),0)),N1037)</f>
        <v>Insurance</v>
      </c>
      <c r="P1037" s="38" cm="1">
        <f t="array" ref="P1037">ROUND(IF(TRIM(H1037)="",IFERROR(MEDIAN(IF($M$2:$M$1500=M1037,$H$2:$H$1500)),MEDIAN($H$2:$H$1500)),H1037),2)</f>
        <v>6.87</v>
      </c>
      <c r="Q1037" s="38" t="str">
        <f t="shared" si="99"/>
        <v>1</v>
      </c>
      <c r="R1037" s="39" cm="1">
        <f t="array" ref="R1037">IF(OR(TRIM(J1037)="",TRIM(J1037)="-"),MEDIAN(IF($C$2:$C$1218=C1037,$J$2:$J$1218)),VALUE(SUBSTITUTE(SUBSTITUTE(SUBSTITUTE(J1037,"Rs. ",""),"₹",""),",","")))</f>
        <v>15663</v>
      </c>
      <c r="S1037" s="40">
        <f t="shared" si="97"/>
        <v>15</v>
      </c>
      <c r="T1037" s="41">
        <f t="shared" si="100"/>
        <v>15</v>
      </c>
      <c r="U1037" s="42">
        <f t="shared" si="101"/>
        <v>13314</v>
      </c>
    </row>
    <row r="1038" spans="1:21" x14ac:dyDescent="0.3">
      <c r="A1038" s="37" t="s">
        <v>4738</v>
      </c>
      <c r="B1038" s="37" t="s">
        <v>3721</v>
      </c>
      <c r="C1038" s="37" t="s">
        <v>2469</v>
      </c>
      <c r="D1038" s="37" t="s">
        <v>45</v>
      </c>
      <c r="E1038" s="37" t="s">
        <v>334</v>
      </c>
      <c r="F1038" s="37" t="s">
        <v>49</v>
      </c>
      <c r="G1038" s="37" t="s">
        <v>2408</v>
      </c>
      <c r="H1038" s="37">
        <v>10.73</v>
      </c>
      <c r="I1038" s="37">
        <v>7</v>
      </c>
      <c r="J1038" s="37" t="s">
        <v>4739</v>
      </c>
      <c r="K1038" s="37" t="s">
        <v>236</v>
      </c>
      <c r="L1038" s="37" t="s">
        <v>140</v>
      </c>
      <c r="M1038" s="37" t="str">
        <f t="shared" si="98"/>
        <v>General</v>
      </c>
      <c r="N1038" s="37" t="str">
        <f t="shared" si="96"/>
        <v>Debit Card</v>
      </c>
      <c r="O1038" s="37" t="str" cm="1">
        <f t="array" ref="O1038">IF(TRIM(N1038)="",INDEX($N$2:$N$1500,MATCH(MAX(COUNTIF($N$2:$N$1500,$N$2:$N$1500)),COUNTIF($N$2:$N$1500,$N$2:$N$1500),0)),N1038)</f>
        <v>Debit Card</v>
      </c>
      <c r="P1038" s="38" cm="1">
        <f t="array" ref="P1038">ROUND(IF(TRIM(H1038)="",IFERROR(MEDIAN(IF($M$2:$M$1500=M1038,$H$2:$H$1500)),MEDIAN($H$2:$H$1500)),H1038),2)</f>
        <v>10.73</v>
      </c>
      <c r="Q1038" s="38" t="str">
        <f t="shared" si="99"/>
        <v>0</v>
      </c>
      <c r="R1038" s="39" cm="1">
        <f t="array" ref="R1038">IF(OR(TRIM(J1038)="",TRIM(J1038)="-"),MEDIAN(IF($C$2:$C$1218=C1038,$J$2:$J$1218)),VALUE(SUBSTITUTE(SUBSTITUTE(SUBSTITUTE(J1038,"Rs. ",""),"₹",""),",","")))</f>
        <v>6933</v>
      </c>
      <c r="S1038" s="40" t="str">
        <f t="shared" si="97"/>
        <v>-</v>
      </c>
      <c r="T1038" s="41">
        <f t="shared" si="100"/>
        <v>3</v>
      </c>
      <c r="U1038" s="42">
        <f t="shared" si="101"/>
        <v>6725</v>
      </c>
    </row>
    <row r="1039" spans="1:21" x14ac:dyDescent="0.3">
      <c r="A1039" s="37" t="s">
        <v>4740</v>
      </c>
      <c r="B1039" s="37" t="s">
        <v>4741</v>
      </c>
      <c r="C1039" s="37" t="s">
        <v>2561</v>
      </c>
      <c r="D1039" s="37" t="s">
        <v>106</v>
      </c>
      <c r="E1039" s="37" t="s">
        <v>107</v>
      </c>
      <c r="F1039" s="37" t="s">
        <v>30</v>
      </c>
      <c r="G1039" s="37" t="s">
        <v>2450</v>
      </c>
      <c r="H1039" s="37">
        <v>7.28</v>
      </c>
      <c r="I1039" s="37">
        <v>41</v>
      </c>
      <c r="J1039" s="37" t="s">
        <v>4742</v>
      </c>
      <c r="K1039" s="37" t="s">
        <v>34</v>
      </c>
      <c r="L1039" s="37" t="s">
        <v>198</v>
      </c>
      <c r="M1039" s="37" t="str">
        <f t="shared" si="98"/>
        <v>General</v>
      </c>
      <c r="N1039" s="37" t="str">
        <f t="shared" si="96"/>
        <v>Cash</v>
      </c>
      <c r="O1039" s="37" t="str" cm="1">
        <f t="array" ref="O1039">IF(TRIM(N1039)="",INDEX($N$2:$N$1500,MATCH(MAX(COUNTIF($N$2:$N$1500,$N$2:$N$1500)),COUNTIF($N$2:$N$1500,$N$2:$N$1500),0)),N1039)</f>
        <v>Cash</v>
      </c>
      <c r="P1039" s="38" cm="1">
        <f t="array" ref="P1039">ROUND(IF(TRIM(H1039)="",IFERROR(MEDIAN(IF($M$2:$M$1500=M1039,$H$2:$H$1500)),MEDIAN($H$2:$H$1500)),H1039),2)</f>
        <v>7.28</v>
      </c>
      <c r="Q1039" s="38" t="str">
        <f t="shared" si="99"/>
        <v>1</v>
      </c>
      <c r="R1039" s="39" cm="1">
        <f t="array" ref="R1039">IF(OR(TRIM(J1039)="",TRIM(J1039)="-"),MEDIAN(IF($C$2:$C$1218=C1039,$J$2:$J$1218)),VALUE(SUBSTITUTE(SUBSTITUTE(SUBSTITUTE(J1039,"Rs. ",""),"₹",""),",","")))</f>
        <v>4733</v>
      </c>
      <c r="S1039" s="40">
        <f t="shared" si="97"/>
        <v>5</v>
      </c>
      <c r="T1039" s="41">
        <f t="shared" si="100"/>
        <v>5</v>
      </c>
      <c r="U1039" s="42">
        <f t="shared" si="101"/>
        <v>4496</v>
      </c>
    </row>
    <row r="1040" spans="1:21" x14ac:dyDescent="0.3">
      <c r="A1040" s="37" t="s">
        <v>4743</v>
      </c>
      <c r="B1040" s="37" t="s">
        <v>2782</v>
      </c>
      <c r="C1040" s="37" t="s">
        <v>2469</v>
      </c>
      <c r="D1040" s="37" t="s">
        <v>106</v>
      </c>
      <c r="E1040" s="37" t="s">
        <v>107</v>
      </c>
      <c r="F1040" s="37" t="s">
        <v>49</v>
      </c>
      <c r="G1040" s="37" t="s">
        <v>2412</v>
      </c>
      <c r="H1040" s="37">
        <v>11.88</v>
      </c>
      <c r="I1040" s="37">
        <v>22</v>
      </c>
      <c r="J1040" s="37" t="s">
        <v>4744</v>
      </c>
      <c r="K1040" s="37" t="s">
        <v>72</v>
      </c>
      <c r="L1040" s="37"/>
      <c r="M1040" s="37" t="str">
        <f t="shared" si="98"/>
        <v>General</v>
      </c>
      <c r="N1040" s="37" t="str">
        <f t="shared" si="96"/>
        <v>Cash</v>
      </c>
      <c r="O1040" s="37" t="str" cm="1">
        <f t="array" ref="O1040">IF(TRIM(N1040)="",INDEX($N$2:$N$1500,MATCH(MAX(COUNTIF($N$2:$N$1500,$N$2:$N$1500)),COUNTIF($N$2:$N$1500,$N$2:$N$1500),0)),N1040)</f>
        <v>Cash</v>
      </c>
      <c r="P1040" s="38" cm="1">
        <f t="array" ref="P1040">ROUND(IF(TRIM(H1040)="",IFERROR(MEDIAN(IF($M$2:$M$1500=M1040,$H$2:$H$1500)),MEDIAN($H$2:$H$1500)),H1040),2)</f>
        <v>11.88</v>
      </c>
      <c r="Q1040" s="38" t="str">
        <f t="shared" si="99"/>
        <v>1</v>
      </c>
      <c r="R1040" s="39" cm="1">
        <f t="array" ref="R1040">IF(OR(TRIM(J1040)="",TRIM(J1040)="-"),MEDIAN(IF($C$2:$C$1218=C1040,$J$2:$J$1218)),VALUE(SUBSTITUTE(SUBSTITUTE(SUBSTITUTE(J1040,"Rs. ",""),"₹",""),",","")))</f>
        <v>13527</v>
      </c>
      <c r="S1040" s="40">
        <f t="shared" si="97"/>
        <v>0</v>
      </c>
      <c r="T1040" s="41">
        <f t="shared" si="100"/>
        <v>0</v>
      </c>
      <c r="U1040" s="42">
        <f t="shared" si="101"/>
        <v>13527</v>
      </c>
    </row>
    <row r="1041" spans="1:21" x14ac:dyDescent="0.3">
      <c r="A1041" s="37" t="s">
        <v>4745</v>
      </c>
      <c r="B1041" s="37" t="s">
        <v>3427</v>
      </c>
      <c r="C1041" s="37" t="s">
        <v>2411</v>
      </c>
      <c r="D1041" s="37" t="s">
        <v>78</v>
      </c>
      <c r="E1041" s="37" t="s">
        <v>79</v>
      </c>
      <c r="F1041" s="37" t="s">
        <v>39</v>
      </c>
      <c r="G1041" s="37" t="s">
        <v>2746</v>
      </c>
      <c r="H1041" s="37">
        <v>5.76</v>
      </c>
      <c r="I1041" s="37">
        <v>36</v>
      </c>
      <c r="J1041" s="37" t="s">
        <v>4746</v>
      </c>
      <c r="K1041" s="37" t="s">
        <v>97</v>
      </c>
      <c r="L1041" s="37" t="s">
        <v>130</v>
      </c>
      <c r="M1041" s="37" t="str">
        <f t="shared" si="98"/>
        <v>General</v>
      </c>
      <c r="N1041" s="37" t="str">
        <f t="shared" si="96"/>
        <v>UPI</v>
      </c>
      <c r="O1041" s="37" t="str" cm="1">
        <f t="array" ref="O1041">IF(TRIM(N1041)="",INDEX($N$2:$N$1500,MATCH(MAX(COUNTIF($N$2:$N$1500,$N$2:$N$1500)),COUNTIF($N$2:$N$1500,$N$2:$N$1500),0)),N1041)</f>
        <v>UPI</v>
      </c>
      <c r="P1041" s="38" cm="1">
        <f t="array" ref="P1041">ROUND(IF(TRIM(H1041)="",IFERROR(MEDIAN(IF($M$2:$M$1500=M1041,$H$2:$H$1500)),MEDIAN($H$2:$H$1500)),H1041),2)</f>
        <v>5.76</v>
      </c>
      <c r="Q1041" s="38" t="str">
        <f t="shared" si="99"/>
        <v>2</v>
      </c>
      <c r="R1041" s="39" cm="1">
        <f t="array" ref="R1041">IF(OR(TRIM(J1041)="",TRIM(J1041)="-"),MEDIAN(IF($C$2:$C$1218=C1041,$J$2:$J$1218)),VALUE(SUBSTITUTE(SUBSTITUTE(SUBSTITUTE(J1041,"Rs. ",""),"₹",""),",","")))</f>
        <v>4473</v>
      </c>
      <c r="S1041" s="40">
        <f t="shared" si="97"/>
        <v>0</v>
      </c>
      <c r="T1041" s="41">
        <f t="shared" si="100"/>
        <v>0</v>
      </c>
      <c r="U1041" s="42">
        <f t="shared" si="101"/>
        <v>4473</v>
      </c>
    </row>
    <row r="1042" spans="1:21" x14ac:dyDescent="0.3">
      <c r="A1042" s="37" t="s">
        <v>4747</v>
      </c>
      <c r="B1042" s="37" t="s">
        <v>4295</v>
      </c>
      <c r="C1042" s="37" t="s">
        <v>2466</v>
      </c>
      <c r="D1042" s="37" t="s">
        <v>14</v>
      </c>
      <c r="E1042" s="37" t="s">
        <v>60</v>
      </c>
      <c r="F1042" s="37" t="s">
        <v>19</v>
      </c>
      <c r="G1042" s="37" t="s">
        <v>2412</v>
      </c>
      <c r="H1042" s="37">
        <v>1.1200000000000001</v>
      </c>
      <c r="I1042" s="37" t="s">
        <v>140</v>
      </c>
      <c r="J1042" s="37" t="s">
        <v>4748</v>
      </c>
      <c r="K1042" s="37" t="s">
        <v>97</v>
      </c>
      <c r="L1042" s="37" t="s">
        <v>130</v>
      </c>
      <c r="M1042" s="37" t="str">
        <f t="shared" si="98"/>
        <v>General</v>
      </c>
      <c r="N1042" s="37" t="str">
        <f t="shared" si="96"/>
        <v>UPI</v>
      </c>
      <c r="O1042" s="37" t="str" cm="1">
        <f t="array" ref="O1042">IF(TRIM(N1042)="",INDEX($N$2:$N$1500,MATCH(MAX(COUNTIF($N$2:$N$1500,$N$2:$N$1500)),COUNTIF($N$2:$N$1500,$N$2:$N$1500),0)),N1042)</f>
        <v>UPI</v>
      </c>
      <c r="P1042" s="38" cm="1">
        <f t="array" ref="P1042">ROUND(IF(TRIM(H1042)="",IFERROR(MEDIAN(IF($M$2:$M$1500=M1042,$H$2:$H$1500)),MEDIAN($H$2:$H$1500)),H1042),2)</f>
        <v>1.1200000000000001</v>
      </c>
      <c r="Q1042" s="38" t="str">
        <f t="shared" si="99"/>
        <v>1</v>
      </c>
      <c r="R1042" s="39" cm="1">
        <f t="array" ref="R1042">IF(OR(TRIM(J1042)="",TRIM(J1042)="-"),MEDIAN(IF($C$2:$C$1218=C1042,$J$2:$J$1218)),VALUE(SUBSTITUTE(SUBSTITUTE(SUBSTITUTE(J1042,"Rs. ",""),"₹",""),",","")))</f>
        <v>17086</v>
      </c>
      <c r="S1042" s="40">
        <f t="shared" si="97"/>
        <v>0</v>
      </c>
      <c r="T1042" s="41">
        <f t="shared" si="100"/>
        <v>0</v>
      </c>
      <c r="U1042" s="42">
        <f t="shared" si="101"/>
        <v>17086</v>
      </c>
    </row>
    <row r="1043" spans="1:21" x14ac:dyDescent="0.3">
      <c r="A1043" s="37" t="s">
        <v>4749</v>
      </c>
      <c r="B1043" s="37" t="s">
        <v>2982</v>
      </c>
      <c r="C1043" s="37" t="s">
        <v>2454</v>
      </c>
      <c r="D1043" s="37" t="s">
        <v>106</v>
      </c>
      <c r="E1043" s="37" t="s">
        <v>307</v>
      </c>
      <c r="F1043" s="37" t="s">
        <v>69</v>
      </c>
      <c r="G1043" s="37" t="s">
        <v>2412</v>
      </c>
      <c r="H1043" s="37">
        <v>15.8</v>
      </c>
      <c r="I1043" s="37">
        <v>54</v>
      </c>
      <c r="J1043" s="37">
        <v>82742</v>
      </c>
      <c r="K1043" s="37" t="s">
        <v>97</v>
      </c>
      <c r="L1043" s="37">
        <v>0</v>
      </c>
      <c r="M1043" s="37" t="str">
        <f t="shared" si="98"/>
        <v>ICU</v>
      </c>
      <c r="N1043" s="37" t="str">
        <f t="shared" si="96"/>
        <v>UPI</v>
      </c>
      <c r="O1043" s="37" t="str" cm="1">
        <f t="array" ref="O1043">IF(TRIM(N1043)="",INDEX($N$2:$N$1500,MATCH(MAX(COUNTIF($N$2:$N$1500,$N$2:$N$1500)),COUNTIF($N$2:$N$1500,$N$2:$N$1500),0)),N1043)</f>
        <v>UPI</v>
      </c>
      <c r="P1043" s="38" cm="1">
        <f t="array" ref="P1043">ROUND(IF(TRIM(H1043)="",IFERROR(MEDIAN(IF($M$2:$M$1500=M1043,$H$2:$H$1500)),MEDIAN($H$2:$H$1500)),H1043),2)</f>
        <v>15.8</v>
      </c>
      <c r="Q1043" s="38" t="str">
        <f t="shared" si="99"/>
        <v>1</v>
      </c>
      <c r="R1043" s="39" cm="1">
        <f t="array" ref="R1043">IF(OR(TRIM(J1043)="",TRIM(J1043)="-"),MEDIAN(IF($C$2:$C$1218=C1043,$J$2:$J$1218)),VALUE(SUBSTITUTE(SUBSTITUTE(SUBSTITUTE(J1043,"Rs. ",""),"₹",""),",","")))</f>
        <v>82742</v>
      </c>
      <c r="S1043" s="40">
        <f t="shared" si="97"/>
        <v>0</v>
      </c>
      <c r="T1043" s="41">
        <f t="shared" si="100"/>
        <v>0</v>
      </c>
      <c r="U1043" s="42">
        <f t="shared" si="101"/>
        <v>82742</v>
      </c>
    </row>
    <row r="1044" spans="1:21" x14ac:dyDescent="0.3">
      <c r="A1044" s="37" t="s">
        <v>4750</v>
      </c>
      <c r="B1044" s="37" t="s">
        <v>4751</v>
      </c>
      <c r="C1044" s="37" t="s">
        <v>2514</v>
      </c>
      <c r="D1044" s="37" t="s">
        <v>14</v>
      </c>
      <c r="E1044" s="37" t="s">
        <v>15</v>
      </c>
      <c r="F1044" s="37" t="s">
        <v>49</v>
      </c>
      <c r="G1044" s="37" t="s">
        <v>2408</v>
      </c>
      <c r="H1044" s="37">
        <v>13.46</v>
      </c>
      <c r="I1044" s="37">
        <v>6</v>
      </c>
      <c r="J1044" s="37" t="s">
        <v>4752</v>
      </c>
      <c r="K1044" s="37" t="s">
        <v>83</v>
      </c>
      <c r="L1044" s="37">
        <v>5</v>
      </c>
      <c r="M1044" s="37" t="str">
        <f t="shared" si="98"/>
        <v>General</v>
      </c>
      <c r="N1044" s="37" t="str">
        <f t="shared" si="96"/>
        <v>Debit Card</v>
      </c>
      <c r="O1044" s="37" t="str" cm="1">
        <f t="array" ref="O1044">IF(TRIM(N1044)="",INDEX($N$2:$N$1500,MATCH(MAX(COUNTIF($N$2:$N$1500,$N$2:$N$1500)),COUNTIF($N$2:$N$1500,$N$2:$N$1500),0)),N1044)</f>
        <v>Debit Card</v>
      </c>
      <c r="P1044" s="38" cm="1">
        <f t="array" ref="P1044">ROUND(IF(TRIM(H1044)="",IFERROR(MEDIAN(IF($M$2:$M$1500=M1044,$H$2:$H$1500)),MEDIAN($H$2:$H$1500)),H1044),2)</f>
        <v>13.46</v>
      </c>
      <c r="Q1044" s="38" t="str">
        <f t="shared" si="99"/>
        <v>0</v>
      </c>
      <c r="R1044" s="39" cm="1">
        <f t="array" ref="R1044">IF(OR(TRIM(J1044)="",TRIM(J1044)="-"),MEDIAN(IF($C$2:$C$1218=C1044,$J$2:$J$1218)),VALUE(SUBSTITUTE(SUBSTITUTE(SUBSTITUTE(J1044,"Rs. ",""),"₹",""),",","")))</f>
        <v>5171</v>
      </c>
      <c r="S1044" s="40">
        <f t="shared" si="97"/>
        <v>5</v>
      </c>
      <c r="T1044" s="41">
        <f t="shared" si="100"/>
        <v>5</v>
      </c>
      <c r="U1044" s="42">
        <f t="shared" si="101"/>
        <v>4912</v>
      </c>
    </row>
    <row r="1045" spans="1:21" x14ac:dyDescent="0.3">
      <c r="A1045" s="37" t="s">
        <v>4753</v>
      </c>
      <c r="B1045" s="37" t="s">
        <v>2707</v>
      </c>
      <c r="C1045" s="37" t="s">
        <v>2514</v>
      </c>
      <c r="D1045" s="37" t="s">
        <v>14</v>
      </c>
      <c r="E1045" s="37" t="s">
        <v>60</v>
      </c>
      <c r="F1045" s="37" t="s">
        <v>30</v>
      </c>
      <c r="G1045" s="37" t="s">
        <v>2412</v>
      </c>
      <c r="H1045" s="37">
        <v>21.95</v>
      </c>
      <c r="I1045" s="37">
        <v>45</v>
      </c>
      <c r="J1045" s="37">
        <v>6422</v>
      </c>
      <c r="K1045" s="37" t="s">
        <v>115</v>
      </c>
      <c r="L1045" s="37" t="s">
        <v>140</v>
      </c>
      <c r="M1045" s="37" t="str">
        <f t="shared" si="98"/>
        <v>General</v>
      </c>
      <c r="N1045" s="37" t="str">
        <f t="shared" si="96"/>
        <v>Cash</v>
      </c>
      <c r="O1045" s="37" t="str" cm="1">
        <f t="array" ref="O1045">IF(TRIM(N1045)="",INDEX($N$2:$N$1500,MATCH(MAX(COUNTIF($N$2:$N$1500,$N$2:$N$1500)),COUNTIF($N$2:$N$1500,$N$2:$N$1500),0)),N1045)</f>
        <v>Cash</v>
      </c>
      <c r="P1045" s="38" cm="1">
        <f t="array" ref="P1045">ROUND(IF(TRIM(H1045)="",IFERROR(MEDIAN(IF($M$2:$M$1500=M1045,$H$2:$H$1500)),MEDIAN($H$2:$H$1500)),H1045),2)</f>
        <v>21.95</v>
      </c>
      <c r="Q1045" s="38" t="str">
        <f t="shared" si="99"/>
        <v>1</v>
      </c>
      <c r="R1045" s="39" cm="1">
        <f t="array" ref="R1045">IF(OR(TRIM(J1045)="",TRIM(J1045)="-"),MEDIAN(IF($C$2:$C$1218=C1045,$J$2:$J$1218)),VALUE(SUBSTITUTE(SUBSTITUTE(SUBSTITUTE(J1045,"Rs. ",""),"₹",""),",","")))</f>
        <v>6422</v>
      </c>
      <c r="S1045" s="40" t="str">
        <f t="shared" si="97"/>
        <v>-</v>
      </c>
      <c r="T1045" s="41">
        <f t="shared" si="100"/>
        <v>2</v>
      </c>
      <c r="U1045" s="42">
        <f t="shared" si="101"/>
        <v>6294</v>
      </c>
    </row>
    <row r="1046" spans="1:21" x14ac:dyDescent="0.3">
      <c r="A1046" s="37" t="s">
        <v>4754</v>
      </c>
      <c r="B1046" s="37" t="s">
        <v>3383</v>
      </c>
      <c r="C1046" s="37" t="s">
        <v>2445</v>
      </c>
      <c r="D1046" s="37" t="s">
        <v>117</v>
      </c>
      <c r="E1046" s="37" t="s">
        <v>118</v>
      </c>
      <c r="F1046" s="37" t="s">
        <v>62</v>
      </c>
      <c r="G1046" s="37" t="s">
        <v>2477</v>
      </c>
      <c r="H1046" s="37">
        <v>18.920000000000002</v>
      </c>
      <c r="I1046" s="37">
        <v>4</v>
      </c>
      <c r="J1046" s="37">
        <v>23963</v>
      </c>
      <c r="K1046" s="37" t="s">
        <v>115</v>
      </c>
      <c r="L1046" s="37">
        <v>0</v>
      </c>
      <c r="M1046" s="37" t="str">
        <f t="shared" si="98"/>
        <v>ICU</v>
      </c>
      <c r="N1046" s="37" t="str">
        <f t="shared" si="96"/>
        <v>Cash</v>
      </c>
      <c r="O1046" s="37" t="str" cm="1">
        <f t="array" ref="O1046">IF(TRIM(N1046)="",INDEX($N$2:$N$1500,MATCH(MAX(COUNTIF($N$2:$N$1500,$N$2:$N$1500)),COUNTIF($N$2:$N$1500,$N$2:$N$1500),0)),N1046)</f>
        <v>Cash</v>
      </c>
      <c r="P1046" s="38" cm="1">
        <f t="array" ref="P1046">ROUND(IF(TRIM(H1046)="",IFERROR(MEDIAN(IF($M$2:$M$1500=M1046,$H$2:$H$1500)),MEDIAN($H$2:$H$1500)),H1046),2)</f>
        <v>18.920000000000002</v>
      </c>
      <c r="Q1046" s="38" t="str">
        <f t="shared" si="99"/>
        <v>0</v>
      </c>
      <c r="R1046" s="39" cm="1">
        <f t="array" ref="R1046">IF(OR(TRIM(J1046)="",TRIM(J1046)="-"),MEDIAN(IF($C$2:$C$1218=C1046,$J$2:$J$1218)),VALUE(SUBSTITUTE(SUBSTITUTE(SUBSTITUTE(J1046,"Rs. ",""),"₹",""),",","")))</f>
        <v>23963</v>
      </c>
      <c r="S1046" s="40">
        <f t="shared" si="97"/>
        <v>0</v>
      </c>
      <c r="T1046" s="41">
        <f t="shared" si="100"/>
        <v>0</v>
      </c>
      <c r="U1046" s="42">
        <f t="shared" si="101"/>
        <v>23963</v>
      </c>
    </row>
    <row r="1047" spans="1:21" x14ac:dyDescent="0.3">
      <c r="A1047" s="37" t="s">
        <v>4755</v>
      </c>
      <c r="B1047" s="37" t="s">
        <v>3950</v>
      </c>
      <c r="C1047" s="37" t="s">
        <v>2438</v>
      </c>
      <c r="D1047" s="37" t="s">
        <v>45</v>
      </c>
      <c r="E1047" s="37" t="s">
        <v>46</v>
      </c>
      <c r="F1047" s="37" t="s">
        <v>69</v>
      </c>
      <c r="G1047" s="37" t="s">
        <v>2455</v>
      </c>
      <c r="H1047" s="37">
        <v>23.53</v>
      </c>
      <c r="I1047" s="37">
        <v>12</v>
      </c>
      <c r="J1047" s="37">
        <v>70139</v>
      </c>
      <c r="K1047" s="37" t="s">
        <v>34</v>
      </c>
      <c r="L1047" s="37">
        <v>0</v>
      </c>
      <c r="M1047" s="37" t="str">
        <f t="shared" si="98"/>
        <v>ICU</v>
      </c>
      <c r="N1047" s="37" t="str">
        <f t="shared" si="96"/>
        <v>Cash</v>
      </c>
      <c r="O1047" s="37" t="str" cm="1">
        <f t="array" ref="O1047">IF(TRIM(N1047)="",INDEX($N$2:$N$1500,MATCH(MAX(COUNTIF($N$2:$N$1500,$N$2:$N$1500)),COUNTIF($N$2:$N$1500,$N$2:$N$1500),0)),N1047)</f>
        <v>Cash</v>
      </c>
      <c r="P1047" s="38" cm="1">
        <f t="array" ref="P1047">ROUND(IF(TRIM(H1047)="",IFERROR(MEDIAN(IF($M$2:$M$1500=M1047,$H$2:$H$1500)),MEDIAN($H$2:$H$1500)),H1047),2)</f>
        <v>23.53</v>
      </c>
      <c r="Q1047" s="38" t="str">
        <f t="shared" si="99"/>
        <v>1</v>
      </c>
      <c r="R1047" s="39" cm="1">
        <f t="array" ref="R1047">IF(OR(TRIM(J1047)="",TRIM(J1047)="-"),MEDIAN(IF($C$2:$C$1218=C1047,$J$2:$J$1218)),VALUE(SUBSTITUTE(SUBSTITUTE(SUBSTITUTE(J1047,"Rs. ",""),"₹",""),",","")))</f>
        <v>70139</v>
      </c>
      <c r="S1047" s="40">
        <f t="shared" si="97"/>
        <v>0</v>
      </c>
      <c r="T1047" s="41">
        <f t="shared" si="100"/>
        <v>0</v>
      </c>
      <c r="U1047" s="42">
        <f t="shared" si="101"/>
        <v>70139</v>
      </c>
    </row>
    <row r="1048" spans="1:21" x14ac:dyDescent="0.3">
      <c r="A1048" s="37" t="s">
        <v>4756</v>
      </c>
      <c r="B1048" s="37" t="s">
        <v>4757</v>
      </c>
      <c r="C1048" s="37" t="s">
        <v>2577</v>
      </c>
      <c r="D1048" s="37" t="s">
        <v>117</v>
      </c>
      <c r="E1048" s="37" t="s">
        <v>118</v>
      </c>
      <c r="F1048" s="37" t="s">
        <v>30</v>
      </c>
      <c r="G1048" s="37" t="s">
        <v>2423</v>
      </c>
      <c r="H1048" s="37">
        <v>21.31</v>
      </c>
      <c r="I1048" s="37">
        <v>59</v>
      </c>
      <c r="J1048" s="37" t="s">
        <v>140</v>
      </c>
      <c r="K1048" s="37" t="s">
        <v>91</v>
      </c>
      <c r="L1048" s="37">
        <v>0</v>
      </c>
      <c r="M1048" s="37" t="str">
        <f t="shared" si="98"/>
        <v>General</v>
      </c>
      <c r="N1048" s="37" t="str">
        <f t="shared" si="96"/>
        <v>Debit Card</v>
      </c>
      <c r="O1048" s="37" t="str" cm="1">
        <f t="array" ref="O1048">IF(TRIM(N1048)="",INDEX($N$2:$N$1500,MATCH(MAX(COUNTIF($N$2:$N$1500,$N$2:$N$1500)),COUNTIF($N$2:$N$1500,$N$2:$N$1500),0)),N1048)</f>
        <v>Debit Card</v>
      </c>
      <c r="P1048" s="38" cm="1">
        <f t="array" ref="P1048">ROUND(IF(TRIM(H1048)="",IFERROR(MEDIAN(IF($M$2:$M$1500=M1048,$H$2:$H$1500)),MEDIAN($H$2:$H$1500)),H1048),2)</f>
        <v>21.31</v>
      </c>
      <c r="Q1048" s="38" t="str">
        <f t="shared" si="99"/>
        <v>0</v>
      </c>
      <c r="R1048" s="39" cm="1">
        <f t="array" ref="R1048">IF(OR(TRIM(J1048)="",TRIM(J1048)="-"),MEDIAN(IF($C$2:$C$1218=C1048,$J$2:$J$1218)),VALUE(SUBSTITUTE(SUBSTITUTE(SUBSTITUTE(J1048,"Rs. ",""),"₹",""),",","")))</f>
        <v>15441</v>
      </c>
      <c r="S1048" s="40">
        <f t="shared" si="97"/>
        <v>0</v>
      </c>
      <c r="T1048" s="41">
        <f t="shared" si="100"/>
        <v>0</v>
      </c>
      <c r="U1048" s="42">
        <f t="shared" si="101"/>
        <v>15441</v>
      </c>
    </row>
    <row r="1049" spans="1:21" x14ac:dyDescent="0.3">
      <c r="A1049" s="37" t="s">
        <v>4758</v>
      </c>
      <c r="B1049" s="37" t="s">
        <v>4759</v>
      </c>
      <c r="C1049" s="37" t="s">
        <v>2577</v>
      </c>
      <c r="D1049" s="37" t="s">
        <v>78</v>
      </c>
      <c r="E1049" s="37" t="s">
        <v>79</v>
      </c>
      <c r="F1049" s="37" t="s">
        <v>19</v>
      </c>
      <c r="G1049" s="37" t="s">
        <v>2993</v>
      </c>
      <c r="H1049" s="37">
        <v>11.87</v>
      </c>
      <c r="I1049" s="37">
        <v>4</v>
      </c>
      <c r="J1049" s="37" t="s">
        <v>140</v>
      </c>
      <c r="K1049" s="37" t="s">
        <v>87</v>
      </c>
      <c r="L1049" s="37" t="s">
        <v>76</v>
      </c>
      <c r="M1049" s="37" t="str">
        <f t="shared" si="98"/>
        <v>General</v>
      </c>
      <c r="N1049" s="37" t="str">
        <f t="shared" si="96"/>
        <v>Credit Card</v>
      </c>
      <c r="O1049" s="37" t="str" cm="1">
        <f t="array" ref="O1049">IF(TRIM(N1049)="",INDEX($N$2:$N$1500,MATCH(MAX(COUNTIF($N$2:$N$1500,$N$2:$N$1500)),COUNTIF($N$2:$N$1500,$N$2:$N$1500),0)),N1049)</f>
        <v>Credit Card</v>
      </c>
      <c r="P1049" s="38" cm="1">
        <f t="array" ref="P1049">ROUND(IF(TRIM(H1049)="",IFERROR(MEDIAN(IF($M$2:$M$1500=M1049,$H$2:$H$1500)),MEDIAN($H$2:$H$1500)),H1049),2)</f>
        <v>11.87</v>
      </c>
      <c r="Q1049" s="38" t="str">
        <f t="shared" si="99"/>
        <v>2+</v>
      </c>
      <c r="R1049" s="39" cm="1">
        <f t="array" ref="R1049">IF(OR(TRIM(J1049)="",TRIM(J1049)="-"),MEDIAN(IF($C$2:$C$1218=C1049,$J$2:$J$1218)),VALUE(SUBSTITUTE(SUBSTITUTE(SUBSTITUTE(J1049,"Rs. ",""),"₹",""),",","")))</f>
        <v>15441</v>
      </c>
      <c r="S1049" s="40">
        <f t="shared" si="97"/>
        <v>10</v>
      </c>
      <c r="T1049" s="41">
        <f t="shared" si="100"/>
        <v>10</v>
      </c>
      <c r="U1049" s="42">
        <f t="shared" si="101"/>
        <v>13897</v>
      </c>
    </row>
    <row r="1050" spans="1:21" x14ac:dyDescent="0.3">
      <c r="A1050" s="37" t="s">
        <v>4760</v>
      </c>
      <c r="B1050" s="37" t="s">
        <v>3276</v>
      </c>
      <c r="C1050" s="37" t="s">
        <v>2459</v>
      </c>
      <c r="D1050" s="37" t="s">
        <v>14</v>
      </c>
      <c r="E1050" s="37" t="s">
        <v>60</v>
      </c>
      <c r="F1050" s="37" t="s">
        <v>30</v>
      </c>
      <c r="G1050" s="37" t="s">
        <v>2423</v>
      </c>
      <c r="H1050" s="37">
        <v>13.42</v>
      </c>
      <c r="I1050" s="37">
        <v>42</v>
      </c>
      <c r="J1050" s="37" t="s">
        <v>4761</v>
      </c>
      <c r="K1050" s="37" t="s">
        <v>311</v>
      </c>
      <c r="L1050" s="37"/>
      <c r="M1050" s="37" t="str">
        <f t="shared" si="98"/>
        <v>General</v>
      </c>
      <c r="N1050" s="37" t="str">
        <f t="shared" si="96"/>
        <v>UPI</v>
      </c>
      <c r="O1050" s="37" t="str" cm="1">
        <f t="array" ref="O1050">IF(TRIM(N1050)="",INDEX($N$2:$N$1500,MATCH(MAX(COUNTIF($N$2:$N$1500,$N$2:$N$1500)),COUNTIF($N$2:$N$1500,$N$2:$N$1500),0)),N1050)</f>
        <v>UPI</v>
      </c>
      <c r="P1050" s="38" cm="1">
        <f t="array" ref="P1050">ROUND(IF(TRIM(H1050)="",IFERROR(MEDIAN(IF($M$2:$M$1500=M1050,$H$2:$H$1500)),MEDIAN($H$2:$H$1500)),H1050),2)</f>
        <v>13.42</v>
      </c>
      <c r="Q1050" s="38" t="str">
        <f t="shared" si="99"/>
        <v>0</v>
      </c>
      <c r="R1050" s="39" cm="1">
        <f t="array" ref="R1050">IF(OR(TRIM(J1050)="",TRIM(J1050)="-"),MEDIAN(IF($C$2:$C$1218=C1050,$J$2:$J$1218)),VALUE(SUBSTITUTE(SUBSTITUTE(SUBSTITUTE(J1050,"Rs. ",""),"₹",""),",","")))</f>
        <v>8926</v>
      </c>
      <c r="S1050" s="40">
        <f t="shared" si="97"/>
        <v>0</v>
      </c>
      <c r="T1050" s="41">
        <f t="shared" si="100"/>
        <v>0</v>
      </c>
      <c r="U1050" s="42">
        <f t="shared" si="101"/>
        <v>8926</v>
      </c>
    </row>
    <row r="1051" spans="1:21" x14ac:dyDescent="0.3">
      <c r="A1051" s="37" t="s">
        <v>4762</v>
      </c>
      <c r="B1051" s="37" t="s">
        <v>4195</v>
      </c>
      <c r="C1051" s="37" t="s">
        <v>2431</v>
      </c>
      <c r="D1051" s="37" t="s">
        <v>78</v>
      </c>
      <c r="E1051" s="37" t="s">
        <v>161</v>
      </c>
      <c r="F1051" s="37" t="s">
        <v>19</v>
      </c>
      <c r="G1051" s="37" t="s">
        <v>2418</v>
      </c>
      <c r="H1051" s="37">
        <v>9.26</v>
      </c>
      <c r="I1051" s="37">
        <v>53</v>
      </c>
      <c r="J1051" s="37">
        <v>8772</v>
      </c>
      <c r="K1051" s="37" t="s">
        <v>91</v>
      </c>
      <c r="L1051" s="37" t="s">
        <v>130</v>
      </c>
      <c r="M1051" s="37" t="str">
        <f t="shared" si="98"/>
        <v>General</v>
      </c>
      <c r="N1051" s="37" t="str">
        <f t="shared" si="96"/>
        <v>Debit Card</v>
      </c>
      <c r="O1051" s="37" t="str" cm="1">
        <f t="array" ref="O1051">IF(TRIM(N1051)="",INDEX($N$2:$N$1500,MATCH(MAX(COUNTIF($N$2:$N$1500,$N$2:$N$1500)),COUNTIF($N$2:$N$1500,$N$2:$N$1500),0)),N1051)</f>
        <v>Debit Card</v>
      </c>
      <c r="P1051" s="38" cm="1">
        <f t="array" ref="P1051">ROUND(IF(TRIM(H1051)="",IFERROR(MEDIAN(IF($M$2:$M$1500=M1051,$H$2:$H$1500)),MEDIAN($H$2:$H$1500)),H1051),2)</f>
        <v>9.26</v>
      </c>
      <c r="Q1051" s="38" t="str">
        <f t="shared" si="99"/>
        <v>1</v>
      </c>
      <c r="R1051" s="39" cm="1">
        <f t="array" ref="R1051">IF(OR(TRIM(J1051)="",TRIM(J1051)="-"),MEDIAN(IF($C$2:$C$1218=C1051,$J$2:$J$1218)),VALUE(SUBSTITUTE(SUBSTITUTE(SUBSTITUTE(J1051,"Rs. ",""),"₹",""),",","")))</f>
        <v>8772</v>
      </c>
      <c r="S1051" s="40">
        <f t="shared" si="97"/>
        <v>0</v>
      </c>
      <c r="T1051" s="41">
        <f t="shared" si="100"/>
        <v>0</v>
      </c>
      <c r="U1051" s="42">
        <f t="shared" si="101"/>
        <v>8772</v>
      </c>
    </row>
    <row r="1052" spans="1:21" x14ac:dyDescent="0.3">
      <c r="A1052" s="37" t="s">
        <v>4763</v>
      </c>
      <c r="B1052" s="37" t="s">
        <v>2802</v>
      </c>
      <c r="C1052" s="37" t="s">
        <v>2629</v>
      </c>
      <c r="D1052" s="37" t="s">
        <v>78</v>
      </c>
      <c r="E1052" s="37" t="s">
        <v>79</v>
      </c>
      <c r="F1052" s="37" t="s">
        <v>39</v>
      </c>
      <c r="G1052" s="37" t="s">
        <v>2455</v>
      </c>
      <c r="H1052" s="37">
        <v>1.83</v>
      </c>
      <c r="I1052" s="37">
        <v>33</v>
      </c>
      <c r="J1052" s="37" t="s">
        <v>4764</v>
      </c>
      <c r="K1052" s="37" t="s">
        <v>91</v>
      </c>
      <c r="L1052" s="37">
        <v>10</v>
      </c>
      <c r="M1052" s="37" t="str">
        <f t="shared" si="98"/>
        <v>General</v>
      </c>
      <c r="N1052" s="37" t="str">
        <f t="shared" si="96"/>
        <v>Debit Card</v>
      </c>
      <c r="O1052" s="37" t="str" cm="1">
        <f t="array" ref="O1052">IF(TRIM(N1052)="",INDEX($N$2:$N$1500,MATCH(MAX(COUNTIF($N$2:$N$1500,$N$2:$N$1500)),COUNTIF($N$2:$N$1500,$N$2:$N$1500),0)),N1052)</f>
        <v>Debit Card</v>
      </c>
      <c r="P1052" s="38" cm="1">
        <f t="array" ref="P1052">ROUND(IF(TRIM(H1052)="",IFERROR(MEDIAN(IF($M$2:$M$1500=M1052,$H$2:$H$1500)),MEDIAN($H$2:$H$1500)),H1052),2)</f>
        <v>1.83</v>
      </c>
      <c r="Q1052" s="38" t="str">
        <f t="shared" si="99"/>
        <v>1</v>
      </c>
      <c r="R1052" s="39" cm="1">
        <f t="array" ref="R1052">IF(OR(TRIM(J1052)="",TRIM(J1052)="-"),MEDIAN(IF($C$2:$C$1218=C1052,$J$2:$J$1218)),VALUE(SUBSTITUTE(SUBSTITUTE(SUBSTITUTE(J1052,"Rs. ",""),"₹",""),",","")))</f>
        <v>17433</v>
      </c>
      <c r="S1052" s="40">
        <f t="shared" si="97"/>
        <v>10</v>
      </c>
      <c r="T1052" s="41">
        <f t="shared" si="100"/>
        <v>10</v>
      </c>
      <c r="U1052" s="42">
        <f t="shared" si="101"/>
        <v>15690</v>
      </c>
    </row>
    <row r="1053" spans="1:21" x14ac:dyDescent="0.3">
      <c r="A1053" s="37" t="s">
        <v>4765</v>
      </c>
      <c r="B1053" s="37" t="s">
        <v>3483</v>
      </c>
      <c r="C1053" s="37" t="s">
        <v>2730</v>
      </c>
      <c r="D1053" s="37" t="s">
        <v>117</v>
      </c>
      <c r="E1053" s="37" t="s">
        <v>182</v>
      </c>
      <c r="F1053" s="37" t="s">
        <v>62</v>
      </c>
      <c r="G1053" s="37" t="s">
        <v>2418</v>
      </c>
      <c r="H1053" s="37">
        <v>18.47</v>
      </c>
      <c r="I1053" s="37">
        <v>24</v>
      </c>
      <c r="J1053" s="37" t="s">
        <v>4766</v>
      </c>
      <c r="K1053" s="37"/>
      <c r="L1053" s="37">
        <v>10</v>
      </c>
      <c r="M1053" s="37" t="str">
        <f t="shared" si="98"/>
        <v>ICU</v>
      </c>
      <c r="N1053" s="37" t="str">
        <f t="shared" si="96"/>
        <v>Unknown</v>
      </c>
      <c r="O1053" s="37" t="str" cm="1">
        <f t="array" ref="O1053">IF(TRIM(N1053)="",INDEX($N$2:$N$1500,MATCH(MAX(COUNTIF($N$2:$N$1500,$N$2:$N$1500)),COUNTIF($N$2:$N$1500,$N$2:$N$1500),0)),N1053)</f>
        <v>Unknown</v>
      </c>
      <c r="P1053" s="38" cm="1">
        <f t="array" ref="P1053">ROUND(IF(TRIM(H1053)="",IFERROR(MEDIAN(IF($M$2:$M$1500=M1053,$H$2:$H$1500)),MEDIAN($H$2:$H$1500)),H1053),2)</f>
        <v>18.47</v>
      </c>
      <c r="Q1053" s="38" t="str">
        <f t="shared" si="99"/>
        <v>1</v>
      </c>
      <c r="R1053" s="39" cm="1">
        <f t="array" ref="R1053">IF(OR(TRIM(J1053)="",TRIM(J1053)="-"),MEDIAN(IF($C$2:$C$1218=C1053,$J$2:$J$1218)),VALUE(SUBSTITUTE(SUBSTITUTE(SUBSTITUTE(J1053,"Rs. ",""),"₹",""),",","")))</f>
        <v>68260</v>
      </c>
      <c r="S1053" s="40">
        <f t="shared" si="97"/>
        <v>10</v>
      </c>
      <c r="T1053" s="41">
        <f t="shared" si="100"/>
        <v>10</v>
      </c>
      <c r="U1053" s="42">
        <f t="shared" si="101"/>
        <v>61434</v>
      </c>
    </row>
    <row r="1054" spans="1:21" x14ac:dyDescent="0.3">
      <c r="A1054" s="37" t="s">
        <v>4767</v>
      </c>
      <c r="B1054" s="37" t="s">
        <v>4092</v>
      </c>
      <c r="C1054" s="37" t="s">
        <v>2454</v>
      </c>
      <c r="D1054" s="37" t="s">
        <v>106</v>
      </c>
      <c r="E1054" s="37" t="s">
        <v>107</v>
      </c>
      <c r="F1054" s="37" t="s">
        <v>101</v>
      </c>
      <c r="G1054" s="37" t="s">
        <v>2477</v>
      </c>
      <c r="H1054" s="37">
        <v>18.739999999999998</v>
      </c>
      <c r="I1054" s="37">
        <v>23</v>
      </c>
      <c r="J1054" s="37">
        <v>68229</v>
      </c>
      <c r="K1054" s="37" t="s">
        <v>115</v>
      </c>
      <c r="L1054" s="37" t="s">
        <v>130</v>
      </c>
      <c r="M1054" s="37" t="str">
        <f t="shared" si="98"/>
        <v>ICU</v>
      </c>
      <c r="N1054" s="37" t="str">
        <f t="shared" si="96"/>
        <v>Cash</v>
      </c>
      <c r="O1054" s="37" t="str" cm="1">
        <f t="array" ref="O1054">IF(TRIM(N1054)="",INDEX($N$2:$N$1500,MATCH(MAX(COUNTIF($N$2:$N$1500,$N$2:$N$1500)),COUNTIF($N$2:$N$1500,$N$2:$N$1500),0)),N1054)</f>
        <v>Cash</v>
      </c>
      <c r="P1054" s="38" cm="1">
        <f t="array" ref="P1054">ROUND(IF(TRIM(H1054)="",IFERROR(MEDIAN(IF($M$2:$M$1500=M1054,$H$2:$H$1500)),MEDIAN($H$2:$H$1500)),H1054),2)</f>
        <v>18.739999999999998</v>
      </c>
      <c r="Q1054" s="38" t="str">
        <f t="shared" si="99"/>
        <v>0</v>
      </c>
      <c r="R1054" s="39" cm="1">
        <f t="array" ref="R1054">IF(OR(TRIM(J1054)="",TRIM(J1054)="-"),MEDIAN(IF($C$2:$C$1218=C1054,$J$2:$J$1218)),VALUE(SUBSTITUTE(SUBSTITUTE(SUBSTITUTE(J1054,"Rs. ",""),"₹",""),",","")))</f>
        <v>68229</v>
      </c>
      <c r="S1054" s="40">
        <f t="shared" si="97"/>
        <v>0</v>
      </c>
      <c r="T1054" s="41">
        <f t="shared" si="100"/>
        <v>0</v>
      </c>
      <c r="U1054" s="42">
        <f t="shared" si="101"/>
        <v>68229</v>
      </c>
    </row>
    <row r="1055" spans="1:21" x14ac:dyDescent="0.3">
      <c r="A1055" s="37" t="s">
        <v>4768</v>
      </c>
      <c r="B1055" s="37" t="s">
        <v>3492</v>
      </c>
      <c r="C1055" s="37" t="s">
        <v>2473</v>
      </c>
      <c r="D1055" s="37" t="s">
        <v>45</v>
      </c>
      <c r="E1055" s="37" t="s">
        <v>334</v>
      </c>
      <c r="F1055" s="37" t="s">
        <v>39</v>
      </c>
      <c r="G1055" s="37" t="s">
        <v>2423</v>
      </c>
      <c r="H1055" s="37">
        <v>20.38</v>
      </c>
      <c r="I1055" s="37">
        <v>60</v>
      </c>
      <c r="J1055" s="37" t="s">
        <v>4769</v>
      </c>
      <c r="K1055" s="37" t="s">
        <v>72</v>
      </c>
      <c r="L1055" s="37">
        <v>0</v>
      </c>
      <c r="M1055" s="37" t="str">
        <f t="shared" si="98"/>
        <v>General</v>
      </c>
      <c r="N1055" s="37" t="str">
        <f t="shared" si="96"/>
        <v>Cash</v>
      </c>
      <c r="O1055" s="37" t="str" cm="1">
        <f t="array" ref="O1055">IF(TRIM(N1055)="",INDEX($N$2:$N$1500,MATCH(MAX(COUNTIF($N$2:$N$1500,$N$2:$N$1500)),COUNTIF($N$2:$N$1500,$N$2:$N$1500),0)),N1055)</f>
        <v>Cash</v>
      </c>
      <c r="P1055" s="38" cm="1">
        <f t="array" ref="P1055">ROUND(IF(TRIM(H1055)="",IFERROR(MEDIAN(IF($M$2:$M$1500=M1055,$H$2:$H$1500)),MEDIAN($H$2:$H$1500)),H1055),2)</f>
        <v>20.38</v>
      </c>
      <c r="Q1055" s="38" t="str">
        <f t="shared" si="99"/>
        <v>0</v>
      </c>
      <c r="R1055" s="39" cm="1">
        <f t="array" ref="R1055">IF(OR(TRIM(J1055)="",TRIM(J1055)="-"),MEDIAN(IF($C$2:$C$1218=C1055,$J$2:$J$1218)),VALUE(SUBSTITUTE(SUBSTITUTE(SUBSTITUTE(J1055,"Rs. ",""),"₹",""),",","")))</f>
        <v>18599</v>
      </c>
      <c r="S1055" s="40">
        <f t="shared" si="97"/>
        <v>0</v>
      </c>
      <c r="T1055" s="41">
        <f t="shared" si="100"/>
        <v>0</v>
      </c>
      <c r="U1055" s="42">
        <f t="shared" si="101"/>
        <v>18599</v>
      </c>
    </row>
    <row r="1056" spans="1:21" x14ac:dyDescent="0.3">
      <c r="A1056" s="37" t="s">
        <v>4770</v>
      </c>
      <c r="B1056" s="37" t="s">
        <v>4138</v>
      </c>
      <c r="C1056" s="37" t="s">
        <v>2427</v>
      </c>
      <c r="D1056" s="37" t="s">
        <v>14</v>
      </c>
      <c r="E1056" s="37" t="s">
        <v>60</v>
      </c>
      <c r="F1056" s="37" t="s">
        <v>30</v>
      </c>
      <c r="G1056" s="37" t="s">
        <v>2423</v>
      </c>
      <c r="H1056" s="37">
        <v>4.83</v>
      </c>
      <c r="I1056" s="37">
        <v>53</v>
      </c>
      <c r="J1056" s="37">
        <v>15830</v>
      </c>
      <c r="K1056" s="37" t="s">
        <v>34</v>
      </c>
      <c r="L1056" s="37">
        <v>0</v>
      </c>
      <c r="M1056" s="37" t="str">
        <f t="shared" si="98"/>
        <v>General</v>
      </c>
      <c r="N1056" s="37" t="str">
        <f t="shared" si="96"/>
        <v>Cash</v>
      </c>
      <c r="O1056" s="37" t="str" cm="1">
        <f t="array" ref="O1056">IF(TRIM(N1056)="",INDEX($N$2:$N$1500,MATCH(MAX(COUNTIF($N$2:$N$1500,$N$2:$N$1500)),COUNTIF($N$2:$N$1500,$N$2:$N$1500),0)),N1056)</f>
        <v>Cash</v>
      </c>
      <c r="P1056" s="38" cm="1">
        <f t="array" ref="P1056">ROUND(IF(TRIM(H1056)="",IFERROR(MEDIAN(IF($M$2:$M$1500=M1056,$H$2:$H$1500)),MEDIAN($H$2:$H$1500)),H1056),2)</f>
        <v>4.83</v>
      </c>
      <c r="Q1056" s="38" t="str">
        <f t="shared" si="99"/>
        <v>0</v>
      </c>
      <c r="R1056" s="39" cm="1">
        <f t="array" ref="R1056">IF(OR(TRIM(J1056)="",TRIM(J1056)="-"),MEDIAN(IF($C$2:$C$1218=C1056,$J$2:$J$1218)),VALUE(SUBSTITUTE(SUBSTITUTE(SUBSTITUTE(J1056,"Rs. ",""),"₹",""),",","")))</f>
        <v>15830</v>
      </c>
      <c r="S1056" s="40">
        <f t="shared" si="97"/>
        <v>0</v>
      </c>
      <c r="T1056" s="41">
        <f t="shared" si="100"/>
        <v>0</v>
      </c>
      <c r="U1056" s="42">
        <f t="shared" si="101"/>
        <v>15830</v>
      </c>
    </row>
    <row r="1057" spans="1:21" x14ac:dyDescent="0.3">
      <c r="A1057" s="37" t="s">
        <v>4771</v>
      </c>
      <c r="B1057" s="37" t="s">
        <v>3172</v>
      </c>
      <c r="C1057" s="37" t="s">
        <v>2532</v>
      </c>
      <c r="D1057" s="37" t="s">
        <v>14</v>
      </c>
      <c r="E1057" s="37" t="s">
        <v>60</v>
      </c>
      <c r="F1057" s="37" t="s">
        <v>30</v>
      </c>
      <c r="G1057" s="37" t="s">
        <v>2412</v>
      </c>
      <c r="H1057" s="37">
        <v>2.9</v>
      </c>
      <c r="I1057" s="37" t="s">
        <v>140</v>
      </c>
      <c r="J1057" s="37" t="s">
        <v>4772</v>
      </c>
      <c r="K1057" s="37" t="s">
        <v>167</v>
      </c>
      <c r="L1057" s="37" t="s">
        <v>713</v>
      </c>
      <c r="M1057" s="37" t="str">
        <f t="shared" si="98"/>
        <v>General</v>
      </c>
      <c r="N1057" s="37" t="str">
        <f t="shared" si="96"/>
        <v>Insurance</v>
      </c>
      <c r="O1057" s="37" t="str" cm="1">
        <f t="array" ref="O1057">IF(TRIM(N1057)="",INDEX($N$2:$N$1500,MATCH(MAX(COUNTIF($N$2:$N$1500,$N$2:$N$1500)),COUNTIF($N$2:$N$1500,$N$2:$N$1500),0)),N1057)</f>
        <v>Insurance</v>
      </c>
      <c r="P1057" s="38" cm="1">
        <f t="array" ref="P1057">ROUND(IF(TRIM(H1057)="",IFERROR(MEDIAN(IF($M$2:$M$1500=M1057,$H$2:$H$1500)),MEDIAN($H$2:$H$1500)),H1057),2)</f>
        <v>2.9</v>
      </c>
      <c r="Q1057" s="38" t="str">
        <f t="shared" si="99"/>
        <v>1</v>
      </c>
      <c r="R1057" s="39" cm="1">
        <f t="array" ref="R1057">IF(OR(TRIM(J1057)="",TRIM(J1057)="-"),MEDIAN(IF($C$2:$C$1218=C1057,$J$2:$J$1218)),VALUE(SUBSTITUTE(SUBSTITUTE(SUBSTITUTE(J1057,"Rs. ",""),"₹",""),",","")))</f>
        <v>8162</v>
      </c>
      <c r="S1057" s="40">
        <f t="shared" si="97"/>
        <v>30</v>
      </c>
      <c r="T1057" s="41">
        <f t="shared" si="100"/>
        <v>30</v>
      </c>
      <c r="U1057" s="42">
        <f t="shared" si="101"/>
        <v>5713</v>
      </c>
    </row>
    <row r="1058" spans="1:21" x14ac:dyDescent="0.3">
      <c r="A1058" s="37" t="s">
        <v>4773</v>
      </c>
      <c r="B1058" s="37" t="s">
        <v>4513</v>
      </c>
      <c r="C1058" s="37" t="s">
        <v>2422</v>
      </c>
      <c r="D1058" s="37" t="s">
        <v>25</v>
      </c>
      <c r="E1058" s="37" t="s">
        <v>26</v>
      </c>
      <c r="F1058" s="37" t="s">
        <v>30</v>
      </c>
      <c r="G1058" s="37" t="s">
        <v>2412</v>
      </c>
      <c r="H1058" s="37">
        <v>12.2</v>
      </c>
      <c r="I1058" s="37">
        <v>20</v>
      </c>
      <c r="J1058" s="37">
        <v>3232</v>
      </c>
      <c r="K1058" s="37" t="s">
        <v>58</v>
      </c>
      <c r="L1058" s="37" t="s">
        <v>140</v>
      </c>
      <c r="M1058" s="37" t="str">
        <f t="shared" si="98"/>
        <v>General</v>
      </c>
      <c r="N1058" s="37" t="str">
        <f t="shared" si="96"/>
        <v>UPI</v>
      </c>
      <c r="O1058" s="37" t="str" cm="1">
        <f t="array" ref="O1058">IF(TRIM(N1058)="",INDEX($N$2:$N$1500,MATCH(MAX(COUNTIF($N$2:$N$1500,$N$2:$N$1500)),COUNTIF($N$2:$N$1500,$N$2:$N$1500),0)),N1058)</f>
        <v>UPI</v>
      </c>
      <c r="P1058" s="38" cm="1">
        <f t="array" ref="P1058">ROUND(IF(TRIM(H1058)="",IFERROR(MEDIAN(IF($M$2:$M$1500=M1058,$H$2:$H$1500)),MEDIAN($H$2:$H$1500)),H1058),2)</f>
        <v>12.2</v>
      </c>
      <c r="Q1058" s="38" t="str">
        <f t="shared" si="99"/>
        <v>1</v>
      </c>
      <c r="R1058" s="39" cm="1">
        <f t="array" ref="R1058">IF(OR(TRIM(J1058)="",TRIM(J1058)="-"),MEDIAN(IF($C$2:$C$1218=C1058,$J$2:$J$1218)),VALUE(SUBSTITUTE(SUBSTITUTE(SUBSTITUTE(J1058,"Rs. ",""),"₹",""),",","")))</f>
        <v>3232</v>
      </c>
      <c r="S1058" s="40" t="str">
        <f t="shared" si="97"/>
        <v>-</v>
      </c>
      <c r="T1058" s="41">
        <f t="shared" si="100"/>
        <v>2</v>
      </c>
      <c r="U1058" s="42">
        <f t="shared" si="101"/>
        <v>3167</v>
      </c>
    </row>
    <row r="1059" spans="1:21" x14ac:dyDescent="0.3">
      <c r="A1059" s="37" t="s">
        <v>4774</v>
      </c>
      <c r="B1059" s="37" t="s">
        <v>4775</v>
      </c>
      <c r="C1059" s="37" t="s">
        <v>2422</v>
      </c>
      <c r="D1059" s="37" t="s">
        <v>78</v>
      </c>
      <c r="E1059" s="37" t="s">
        <v>203</v>
      </c>
      <c r="F1059" s="37" t="s">
        <v>19</v>
      </c>
      <c r="G1059" s="37" t="s">
        <v>2435</v>
      </c>
      <c r="H1059" s="37">
        <v>8.2899999999999991</v>
      </c>
      <c r="I1059" s="37">
        <v>2</v>
      </c>
      <c r="J1059" s="37" t="s">
        <v>4776</v>
      </c>
      <c r="K1059" s="37" t="s">
        <v>97</v>
      </c>
      <c r="L1059" s="37"/>
      <c r="M1059" s="37" t="str">
        <f t="shared" si="98"/>
        <v>General</v>
      </c>
      <c r="N1059" s="37" t="str">
        <f t="shared" si="96"/>
        <v>UPI</v>
      </c>
      <c r="O1059" s="37" t="str" cm="1">
        <f t="array" ref="O1059">IF(TRIM(N1059)="",INDEX($N$2:$N$1500,MATCH(MAX(COUNTIF($N$2:$N$1500,$N$2:$N$1500)),COUNTIF($N$2:$N$1500,$N$2:$N$1500),0)),N1059)</f>
        <v>UPI</v>
      </c>
      <c r="P1059" s="38" cm="1">
        <f t="array" ref="P1059">ROUND(IF(TRIM(H1059)="",IFERROR(MEDIAN(IF($M$2:$M$1500=M1059,$H$2:$H$1500)),MEDIAN($H$2:$H$1500)),H1059),2)</f>
        <v>8.2899999999999991</v>
      </c>
      <c r="Q1059" s="38" t="str">
        <f t="shared" si="99"/>
        <v>0</v>
      </c>
      <c r="R1059" s="39" cm="1">
        <f t="array" ref="R1059">IF(OR(TRIM(J1059)="",TRIM(J1059)="-"),MEDIAN(IF($C$2:$C$1218=C1059,$J$2:$J$1218)),VALUE(SUBSTITUTE(SUBSTITUTE(SUBSTITUTE(J1059,"Rs. ",""),"₹",""),",","")))</f>
        <v>3787</v>
      </c>
      <c r="S1059" s="40">
        <f t="shared" si="97"/>
        <v>0</v>
      </c>
      <c r="T1059" s="41">
        <f t="shared" si="100"/>
        <v>0</v>
      </c>
      <c r="U1059" s="42">
        <f t="shared" si="101"/>
        <v>3787</v>
      </c>
    </row>
    <row r="1060" spans="1:21" x14ac:dyDescent="0.3">
      <c r="A1060" s="37" t="s">
        <v>4777</v>
      </c>
      <c r="B1060" s="37" t="s">
        <v>4778</v>
      </c>
      <c r="C1060" s="37" t="s">
        <v>2407</v>
      </c>
      <c r="D1060" s="37" t="s">
        <v>45</v>
      </c>
      <c r="E1060" s="37" t="s">
        <v>334</v>
      </c>
      <c r="F1060" s="37" t="s">
        <v>49</v>
      </c>
      <c r="G1060" s="37" t="s">
        <v>2435</v>
      </c>
      <c r="H1060" s="37"/>
      <c r="I1060" s="37">
        <v>22</v>
      </c>
      <c r="J1060" s="37">
        <v>13634</v>
      </c>
      <c r="K1060" s="37" t="s">
        <v>83</v>
      </c>
      <c r="L1060" s="37">
        <v>0</v>
      </c>
      <c r="M1060" s="37" t="str">
        <f t="shared" si="98"/>
        <v>General</v>
      </c>
      <c r="N1060" s="37" t="str">
        <f t="shared" si="96"/>
        <v>Debit Card</v>
      </c>
      <c r="O1060" s="37" t="str" cm="1">
        <f t="array" ref="O1060">IF(TRIM(N1060)="",INDEX($N$2:$N$1500,MATCH(MAX(COUNTIF($N$2:$N$1500,$N$2:$N$1500)),COUNTIF($N$2:$N$1500,$N$2:$N$1500),0)),N1060)</f>
        <v>Debit Card</v>
      </c>
      <c r="P1060" s="38" cm="1">
        <f t="array" ref="P1060">ROUND(IF(TRIM(H1060)="",IFERROR(MEDIAN(IF($M$2:$M$1500=M1060,$H$2:$H$1500)),MEDIAN($H$2:$H$1500)),H1060),2)</f>
        <v>12.02</v>
      </c>
      <c r="Q1060" s="38" t="str">
        <f t="shared" si="99"/>
        <v>0</v>
      </c>
      <c r="R1060" s="39" cm="1">
        <f t="array" ref="R1060">IF(OR(TRIM(J1060)="",TRIM(J1060)="-"),MEDIAN(IF($C$2:$C$1218=C1060,$J$2:$J$1218)),VALUE(SUBSTITUTE(SUBSTITUTE(SUBSTITUTE(J1060,"Rs. ",""),"₹",""),",","")))</f>
        <v>13634</v>
      </c>
      <c r="S1060" s="40">
        <f t="shared" si="97"/>
        <v>0</v>
      </c>
      <c r="T1060" s="41">
        <f t="shared" si="100"/>
        <v>0</v>
      </c>
      <c r="U1060" s="42">
        <f t="shared" si="101"/>
        <v>13634</v>
      </c>
    </row>
    <row r="1061" spans="1:21" x14ac:dyDescent="0.3">
      <c r="A1061" s="37" t="s">
        <v>4779</v>
      </c>
      <c r="B1061" s="37" t="s">
        <v>4780</v>
      </c>
      <c r="C1061" s="37" t="s">
        <v>2445</v>
      </c>
      <c r="D1061" s="37" t="s">
        <v>106</v>
      </c>
      <c r="E1061" s="37" t="s">
        <v>107</v>
      </c>
      <c r="F1061" s="37" t="s">
        <v>19</v>
      </c>
      <c r="G1061" s="37" t="s">
        <v>2450</v>
      </c>
      <c r="H1061" s="37">
        <v>2.58</v>
      </c>
      <c r="I1061" s="37">
        <v>39</v>
      </c>
      <c r="J1061" s="37" t="s">
        <v>4781</v>
      </c>
      <c r="K1061" s="37" t="s">
        <v>87</v>
      </c>
      <c r="L1061" s="37"/>
      <c r="M1061" s="37" t="str">
        <f t="shared" si="98"/>
        <v>General</v>
      </c>
      <c r="N1061" s="37" t="str">
        <f t="shared" si="96"/>
        <v>Credit Card</v>
      </c>
      <c r="O1061" s="37" t="str" cm="1">
        <f t="array" ref="O1061">IF(TRIM(N1061)="",INDEX($N$2:$N$1500,MATCH(MAX(COUNTIF($N$2:$N$1500,$N$2:$N$1500)),COUNTIF($N$2:$N$1500,$N$2:$N$1500),0)),N1061)</f>
        <v>Credit Card</v>
      </c>
      <c r="P1061" s="38" cm="1">
        <f t="array" ref="P1061">ROUND(IF(TRIM(H1061)="",IFERROR(MEDIAN(IF($M$2:$M$1500=M1061,$H$2:$H$1500)),MEDIAN($H$2:$H$1500)),H1061),2)</f>
        <v>2.58</v>
      </c>
      <c r="Q1061" s="38" t="str">
        <f t="shared" si="99"/>
        <v>1</v>
      </c>
      <c r="R1061" s="39" cm="1">
        <f t="array" ref="R1061">IF(OR(TRIM(J1061)="",TRIM(J1061)="-"),MEDIAN(IF($C$2:$C$1218=C1061,$J$2:$J$1218)),VALUE(SUBSTITUTE(SUBSTITUTE(SUBSTITUTE(J1061,"Rs. ",""),"₹",""),",","")))</f>
        <v>10417</v>
      </c>
      <c r="S1061" s="40">
        <f t="shared" si="97"/>
        <v>0</v>
      </c>
      <c r="T1061" s="41">
        <f t="shared" si="100"/>
        <v>0</v>
      </c>
      <c r="U1061" s="42">
        <f t="shared" si="101"/>
        <v>10417</v>
      </c>
    </row>
    <row r="1062" spans="1:21" x14ac:dyDescent="0.3">
      <c r="A1062" s="37" t="s">
        <v>4782</v>
      </c>
      <c r="B1062" s="37" t="s">
        <v>4640</v>
      </c>
      <c r="C1062" s="37" t="s">
        <v>2532</v>
      </c>
      <c r="D1062" s="37" t="s">
        <v>106</v>
      </c>
      <c r="E1062" s="37" t="s">
        <v>107</v>
      </c>
      <c r="F1062" s="37" t="s">
        <v>49</v>
      </c>
      <c r="G1062" s="37" t="s">
        <v>2423</v>
      </c>
      <c r="H1062" s="37">
        <v>2.56</v>
      </c>
      <c r="I1062" s="37">
        <v>57</v>
      </c>
      <c r="J1062" s="37">
        <v>8405</v>
      </c>
      <c r="K1062" s="37" t="s">
        <v>42</v>
      </c>
      <c r="L1062" s="37"/>
      <c r="M1062" s="37" t="str">
        <f t="shared" si="98"/>
        <v>General</v>
      </c>
      <c r="N1062" s="37" t="str">
        <f t="shared" si="96"/>
        <v>Insurance</v>
      </c>
      <c r="O1062" s="37" t="str" cm="1">
        <f t="array" ref="O1062">IF(TRIM(N1062)="",INDEX($N$2:$N$1500,MATCH(MAX(COUNTIF($N$2:$N$1500,$N$2:$N$1500)),COUNTIF($N$2:$N$1500,$N$2:$N$1500),0)),N1062)</f>
        <v>Insurance</v>
      </c>
      <c r="P1062" s="38" cm="1">
        <f t="array" ref="P1062">ROUND(IF(TRIM(H1062)="",IFERROR(MEDIAN(IF($M$2:$M$1500=M1062,$H$2:$H$1500)),MEDIAN($H$2:$H$1500)),H1062),2)</f>
        <v>2.56</v>
      </c>
      <c r="Q1062" s="38" t="str">
        <f t="shared" si="99"/>
        <v>0</v>
      </c>
      <c r="R1062" s="39" cm="1">
        <f t="array" ref="R1062">IF(OR(TRIM(J1062)="",TRIM(J1062)="-"),MEDIAN(IF($C$2:$C$1218=C1062,$J$2:$J$1218)),VALUE(SUBSTITUTE(SUBSTITUTE(SUBSTITUTE(J1062,"Rs. ",""),"₹",""),",","")))</f>
        <v>8405</v>
      </c>
      <c r="S1062" s="40">
        <f t="shared" si="97"/>
        <v>0</v>
      </c>
      <c r="T1062" s="41">
        <f t="shared" si="100"/>
        <v>0</v>
      </c>
      <c r="U1062" s="42">
        <f t="shared" si="101"/>
        <v>8405</v>
      </c>
    </row>
    <row r="1063" spans="1:21" x14ac:dyDescent="0.3">
      <c r="A1063" s="37" t="s">
        <v>4783</v>
      </c>
      <c r="B1063" s="37" t="s">
        <v>4784</v>
      </c>
      <c r="C1063" s="37" t="s">
        <v>2730</v>
      </c>
      <c r="D1063" s="37" t="s">
        <v>117</v>
      </c>
      <c r="E1063" s="37" t="s">
        <v>118</v>
      </c>
      <c r="F1063" s="37" t="s">
        <v>69</v>
      </c>
      <c r="G1063" s="37" t="s">
        <v>2477</v>
      </c>
      <c r="H1063" s="37">
        <v>23.8</v>
      </c>
      <c r="I1063" s="37">
        <v>12</v>
      </c>
      <c r="J1063" s="37">
        <v>72722</v>
      </c>
      <c r="K1063" s="37" t="s">
        <v>115</v>
      </c>
      <c r="L1063" s="37">
        <v>0</v>
      </c>
      <c r="M1063" s="37" t="str">
        <f t="shared" si="98"/>
        <v>ICU</v>
      </c>
      <c r="N1063" s="37" t="str">
        <f t="shared" si="96"/>
        <v>Cash</v>
      </c>
      <c r="O1063" s="37" t="str" cm="1">
        <f t="array" ref="O1063">IF(TRIM(N1063)="",INDEX($N$2:$N$1500,MATCH(MAX(COUNTIF($N$2:$N$1500,$N$2:$N$1500)),COUNTIF($N$2:$N$1500,$N$2:$N$1500),0)),N1063)</f>
        <v>Cash</v>
      </c>
      <c r="P1063" s="38" cm="1">
        <f t="array" ref="P1063">ROUND(IF(TRIM(H1063)="",IFERROR(MEDIAN(IF($M$2:$M$1500=M1063,$H$2:$H$1500)),MEDIAN($H$2:$H$1500)),H1063),2)</f>
        <v>23.8</v>
      </c>
      <c r="Q1063" s="38" t="str">
        <f t="shared" si="99"/>
        <v>0</v>
      </c>
      <c r="R1063" s="39" cm="1">
        <f t="array" ref="R1063">IF(OR(TRIM(J1063)="",TRIM(J1063)="-"),MEDIAN(IF($C$2:$C$1218=C1063,$J$2:$J$1218)),VALUE(SUBSTITUTE(SUBSTITUTE(SUBSTITUTE(J1063,"Rs. ",""),"₹",""),",","")))</f>
        <v>72722</v>
      </c>
      <c r="S1063" s="40">
        <f t="shared" si="97"/>
        <v>0</v>
      </c>
      <c r="T1063" s="41">
        <f t="shared" si="100"/>
        <v>0</v>
      </c>
      <c r="U1063" s="42">
        <f t="shared" si="101"/>
        <v>72722</v>
      </c>
    </row>
    <row r="1064" spans="1:21" x14ac:dyDescent="0.3">
      <c r="A1064" s="37" t="s">
        <v>4785</v>
      </c>
      <c r="B1064" s="37" t="s">
        <v>3048</v>
      </c>
      <c r="C1064" s="37" t="s">
        <v>2481</v>
      </c>
      <c r="D1064" s="37" t="s">
        <v>25</v>
      </c>
      <c r="E1064" s="37" t="s">
        <v>54</v>
      </c>
      <c r="F1064" s="37" t="s">
        <v>49</v>
      </c>
      <c r="G1064" s="37" t="s">
        <v>2423</v>
      </c>
      <c r="H1064" s="37">
        <v>19.03</v>
      </c>
      <c r="I1064" s="37">
        <v>1</v>
      </c>
      <c r="J1064" s="37">
        <v>10316</v>
      </c>
      <c r="K1064" s="37" t="s">
        <v>23</v>
      </c>
      <c r="L1064" s="37">
        <v>0</v>
      </c>
      <c r="M1064" s="37" t="str">
        <f t="shared" si="98"/>
        <v>General</v>
      </c>
      <c r="N1064" s="37" t="str">
        <f t="shared" si="96"/>
        <v>Credit Card</v>
      </c>
      <c r="O1064" s="37" t="str" cm="1">
        <f t="array" ref="O1064">IF(TRIM(N1064)="",INDEX($N$2:$N$1500,MATCH(MAX(COUNTIF($N$2:$N$1500,$N$2:$N$1500)),COUNTIF($N$2:$N$1500,$N$2:$N$1500),0)),N1064)</f>
        <v>Credit Card</v>
      </c>
      <c r="P1064" s="38" cm="1">
        <f t="array" ref="P1064">ROUND(IF(TRIM(H1064)="",IFERROR(MEDIAN(IF($M$2:$M$1500=M1064,$H$2:$H$1500)),MEDIAN($H$2:$H$1500)),H1064),2)</f>
        <v>19.03</v>
      </c>
      <c r="Q1064" s="38" t="str">
        <f t="shared" si="99"/>
        <v>0</v>
      </c>
      <c r="R1064" s="39" cm="1">
        <f t="array" ref="R1064">IF(OR(TRIM(J1064)="",TRIM(J1064)="-"),MEDIAN(IF($C$2:$C$1218=C1064,$J$2:$J$1218)),VALUE(SUBSTITUTE(SUBSTITUTE(SUBSTITUTE(J1064,"Rs. ",""),"₹",""),",","")))</f>
        <v>10316</v>
      </c>
      <c r="S1064" s="40">
        <f t="shared" si="97"/>
        <v>0</v>
      </c>
      <c r="T1064" s="41">
        <f t="shared" si="100"/>
        <v>0</v>
      </c>
      <c r="U1064" s="42">
        <f t="shared" si="101"/>
        <v>10316</v>
      </c>
    </row>
    <row r="1065" spans="1:21" x14ac:dyDescent="0.3">
      <c r="A1065" s="37" t="s">
        <v>4786</v>
      </c>
      <c r="B1065" s="37" t="s">
        <v>3746</v>
      </c>
      <c r="C1065" s="37" t="s">
        <v>2454</v>
      </c>
      <c r="D1065" s="37" t="s">
        <v>78</v>
      </c>
      <c r="E1065" s="37" t="s">
        <v>203</v>
      </c>
      <c r="F1065" s="37" t="s">
        <v>30</v>
      </c>
      <c r="G1065" s="37" t="s">
        <v>2408</v>
      </c>
      <c r="H1065" s="37">
        <v>23.13</v>
      </c>
      <c r="I1065" s="37">
        <v>59</v>
      </c>
      <c r="J1065" s="37" t="s">
        <v>4787</v>
      </c>
      <c r="K1065" s="37" t="s">
        <v>149</v>
      </c>
      <c r="L1065" s="37">
        <v>18</v>
      </c>
      <c r="M1065" s="37" t="str">
        <f t="shared" si="98"/>
        <v>General</v>
      </c>
      <c r="N1065" s="37" t="str">
        <f t="shared" si="96"/>
        <v>Insurance</v>
      </c>
      <c r="O1065" s="37" t="str" cm="1">
        <f t="array" ref="O1065">IF(TRIM(N1065)="",INDEX($N$2:$N$1500,MATCH(MAX(COUNTIF($N$2:$N$1500,$N$2:$N$1500)),COUNTIF($N$2:$N$1500,$N$2:$N$1500),0)),N1065)</f>
        <v>Insurance</v>
      </c>
      <c r="P1065" s="38" cm="1">
        <f t="array" ref="P1065">ROUND(IF(TRIM(H1065)="",IFERROR(MEDIAN(IF($M$2:$M$1500=M1065,$H$2:$H$1500)),MEDIAN($H$2:$H$1500)),H1065),2)</f>
        <v>23.13</v>
      </c>
      <c r="Q1065" s="38" t="str">
        <f t="shared" si="99"/>
        <v>0</v>
      </c>
      <c r="R1065" s="39" cm="1">
        <f t="array" ref="R1065">IF(OR(TRIM(J1065)="",TRIM(J1065)="-"),MEDIAN(IF($C$2:$C$1218=C1065,$J$2:$J$1218)),VALUE(SUBSTITUTE(SUBSTITUTE(SUBSTITUTE(J1065,"Rs. ",""),"₹",""),",","")))</f>
        <v>9419</v>
      </c>
      <c r="S1065" s="40">
        <f t="shared" si="97"/>
        <v>18</v>
      </c>
      <c r="T1065" s="41">
        <f t="shared" si="100"/>
        <v>18</v>
      </c>
      <c r="U1065" s="42">
        <f t="shared" si="101"/>
        <v>7724</v>
      </c>
    </row>
    <row r="1066" spans="1:21" x14ac:dyDescent="0.3">
      <c r="A1066" s="37" t="s">
        <v>4788</v>
      </c>
      <c r="B1066" s="37" t="s">
        <v>4759</v>
      </c>
      <c r="C1066" s="37" t="s">
        <v>2577</v>
      </c>
      <c r="D1066" s="37" t="s">
        <v>78</v>
      </c>
      <c r="E1066" s="37" t="s">
        <v>79</v>
      </c>
      <c r="F1066" s="37" t="s">
        <v>19</v>
      </c>
      <c r="G1066" s="37" t="s">
        <v>2455</v>
      </c>
      <c r="H1066" s="37">
        <v>14.2</v>
      </c>
      <c r="I1066" s="37">
        <v>17</v>
      </c>
      <c r="J1066" s="37" t="s">
        <v>4789</v>
      </c>
      <c r="K1066" s="37" t="s">
        <v>52</v>
      </c>
      <c r="L1066" s="37" t="s">
        <v>198</v>
      </c>
      <c r="M1066" s="37" t="str">
        <f t="shared" si="98"/>
        <v>General</v>
      </c>
      <c r="N1066" s="37" t="str">
        <f t="shared" si="96"/>
        <v>Credit Card</v>
      </c>
      <c r="O1066" s="37" t="str" cm="1">
        <f t="array" ref="O1066">IF(TRIM(N1066)="",INDEX($N$2:$N$1500,MATCH(MAX(COUNTIF($N$2:$N$1500,$N$2:$N$1500)),COUNTIF($N$2:$N$1500,$N$2:$N$1500),0)),N1066)</f>
        <v>Credit Card</v>
      </c>
      <c r="P1066" s="38" cm="1">
        <f t="array" ref="P1066">ROUND(IF(TRIM(H1066)="",IFERROR(MEDIAN(IF($M$2:$M$1500=M1066,$H$2:$H$1500)),MEDIAN($H$2:$H$1500)),H1066),2)</f>
        <v>14.2</v>
      </c>
      <c r="Q1066" s="38" t="str">
        <f t="shared" si="99"/>
        <v>1</v>
      </c>
      <c r="R1066" s="39" cm="1">
        <f t="array" ref="R1066">IF(OR(TRIM(J1066)="",TRIM(J1066)="-"),MEDIAN(IF($C$2:$C$1218=C1066,$J$2:$J$1218)),VALUE(SUBSTITUTE(SUBSTITUTE(SUBSTITUTE(J1066,"Rs. ",""),"₹",""),",","")))</f>
        <v>5634</v>
      </c>
      <c r="S1066" s="40">
        <f t="shared" si="97"/>
        <v>5</v>
      </c>
      <c r="T1066" s="41">
        <f t="shared" si="100"/>
        <v>5</v>
      </c>
      <c r="U1066" s="42">
        <f t="shared" si="101"/>
        <v>5352</v>
      </c>
    </row>
    <row r="1067" spans="1:21" x14ac:dyDescent="0.3">
      <c r="A1067" s="37" t="s">
        <v>4790</v>
      </c>
      <c r="B1067" s="37" t="s">
        <v>4506</v>
      </c>
      <c r="C1067" s="37" t="s">
        <v>2577</v>
      </c>
      <c r="D1067" s="37" t="s">
        <v>14</v>
      </c>
      <c r="E1067" s="37" t="s">
        <v>60</v>
      </c>
      <c r="F1067" s="37" t="s">
        <v>19</v>
      </c>
      <c r="G1067" s="37" t="s">
        <v>2423</v>
      </c>
      <c r="H1067" s="37">
        <v>7.72</v>
      </c>
      <c r="I1067" s="37">
        <v>39</v>
      </c>
      <c r="J1067" s="37" t="s">
        <v>4791</v>
      </c>
      <c r="K1067" s="37" t="s">
        <v>34</v>
      </c>
      <c r="L1067" s="37">
        <v>5</v>
      </c>
      <c r="M1067" s="37" t="str">
        <f t="shared" si="98"/>
        <v>General</v>
      </c>
      <c r="N1067" s="37" t="str">
        <f t="shared" si="96"/>
        <v>Cash</v>
      </c>
      <c r="O1067" s="37" t="str" cm="1">
        <f t="array" ref="O1067">IF(TRIM(N1067)="",INDEX($N$2:$N$1500,MATCH(MAX(COUNTIF($N$2:$N$1500,$N$2:$N$1500)),COUNTIF($N$2:$N$1500,$N$2:$N$1500),0)),N1067)</f>
        <v>Cash</v>
      </c>
      <c r="P1067" s="38" cm="1">
        <f t="array" ref="P1067">ROUND(IF(TRIM(H1067)="",IFERROR(MEDIAN(IF($M$2:$M$1500=M1067,$H$2:$H$1500)),MEDIAN($H$2:$H$1500)),H1067),2)</f>
        <v>7.72</v>
      </c>
      <c r="Q1067" s="38" t="str">
        <f t="shared" si="99"/>
        <v>0</v>
      </c>
      <c r="R1067" s="39" cm="1">
        <f t="array" ref="R1067">IF(OR(TRIM(J1067)="",TRIM(J1067)="-"),MEDIAN(IF($C$2:$C$1218=C1067,$J$2:$J$1218)),VALUE(SUBSTITUTE(SUBSTITUTE(SUBSTITUTE(J1067,"Rs. ",""),"₹",""),",","")))</f>
        <v>18831</v>
      </c>
      <c r="S1067" s="40">
        <f t="shared" si="97"/>
        <v>5</v>
      </c>
      <c r="T1067" s="41">
        <f t="shared" si="100"/>
        <v>5</v>
      </c>
      <c r="U1067" s="42">
        <f t="shared" si="101"/>
        <v>17889</v>
      </c>
    </row>
    <row r="1068" spans="1:21" x14ac:dyDescent="0.3">
      <c r="A1068" s="37" t="s">
        <v>4792</v>
      </c>
      <c r="B1068" s="37" t="s">
        <v>4793</v>
      </c>
      <c r="C1068" s="37" t="s">
        <v>2466</v>
      </c>
      <c r="D1068" s="37" t="s">
        <v>117</v>
      </c>
      <c r="E1068" s="37" t="s">
        <v>127</v>
      </c>
      <c r="F1068" s="37" t="s">
        <v>30</v>
      </c>
      <c r="G1068" s="37" t="s">
        <v>2477</v>
      </c>
      <c r="H1068" s="37">
        <v>14.7</v>
      </c>
      <c r="I1068" s="37">
        <v>10</v>
      </c>
      <c r="J1068" s="37" t="s">
        <v>4794</v>
      </c>
      <c r="K1068" s="37" t="s">
        <v>83</v>
      </c>
      <c r="L1068" s="37" t="s">
        <v>198</v>
      </c>
      <c r="M1068" s="37" t="str">
        <f t="shared" si="98"/>
        <v>General</v>
      </c>
      <c r="N1068" s="37" t="str">
        <f t="shared" si="96"/>
        <v>Debit Card</v>
      </c>
      <c r="O1068" s="37" t="str" cm="1">
        <f t="array" ref="O1068">IF(TRIM(N1068)="",INDEX($N$2:$N$1500,MATCH(MAX(COUNTIF($N$2:$N$1500,$N$2:$N$1500)),COUNTIF($N$2:$N$1500,$N$2:$N$1500),0)),N1068)</f>
        <v>Debit Card</v>
      </c>
      <c r="P1068" s="38" cm="1">
        <f t="array" ref="P1068">ROUND(IF(TRIM(H1068)="",IFERROR(MEDIAN(IF($M$2:$M$1500=M1068,$H$2:$H$1500)),MEDIAN($H$2:$H$1500)),H1068),2)</f>
        <v>14.7</v>
      </c>
      <c r="Q1068" s="38" t="str">
        <f t="shared" si="99"/>
        <v>0</v>
      </c>
      <c r="R1068" s="39" cm="1">
        <f t="array" ref="R1068">IF(OR(TRIM(J1068)="",TRIM(J1068)="-"),MEDIAN(IF($C$2:$C$1218=C1068,$J$2:$J$1218)),VALUE(SUBSTITUTE(SUBSTITUTE(SUBSTITUTE(J1068,"Rs. ",""),"₹",""),",","")))</f>
        <v>8093</v>
      </c>
      <c r="S1068" s="40">
        <f t="shared" si="97"/>
        <v>5</v>
      </c>
      <c r="T1068" s="41">
        <f t="shared" si="100"/>
        <v>5</v>
      </c>
      <c r="U1068" s="42">
        <f t="shared" si="101"/>
        <v>7688</v>
      </c>
    </row>
    <row r="1069" spans="1:21" x14ac:dyDescent="0.3">
      <c r="A1069" s="37" t="s">
        <v>4795</v>
      </c>
      <c r="B1069" s="37" t="s">
        <v>2995</v>
      </c>
      <c r="C1069" s="37" t="s">
        <v>2473</v>
      </c>
      <c r="D1069" s="37" t="s">
        <v>106</v>
      </c>
      <c r="E1069" s="37" t="s">
        <v>107</v>
      </c>
      <c r="F1069" s="37" t="s">
        <v>39</v>
      </c>
      <c r="G1069" s="37" t="s">
        <v>2412</v>
      </c>
      <c r="H1069" s="37">
        <v>20.93</v>
      </c>
      <c r="I1069" s="37">
        <v>16</v>
      </c>
      <c r="J1069" s="37">
        <v>17557</v>
      </c>
      <c r="K1069" s="37" t="s">
        <v>34</v>
      </c>
      <c r="L1069" s="37">
        <v>0</v>
      </c>
      <c r="M1069" s="37" t="str">
        <f t="shared" si="98"/>
        <v>General</v>
      </c>
      <c r="N1069" s="37" t="str">
        <f t="shared" si="96"/>
        <v>Cash</v>
      </c>
      <c r="O1069" s="37" t="str" cm="1">
        <f t="array" ref="O1069">IF(TRIM(N1069)="",INDEX($N$2:$N$1500,MATCH(MAX(COUNTIF($N$2:$N$1500,$N$2:$N$1500)),COUNTIF($N$2:$N$1500,$N$2:$N$1500),0)),N1069)</f>
        <v>Cash</v>
      </c>
      <c r="P1069" s="38" cm="1">
        <f t="array" ref="P1069">ROUND(IF(TRIM(H1069)="",IFERROR(MEDIAN(IF($M$2:$M$1500=M1069,$H$2:$H$1500)),MEDIAN($H$2:$H$1500)),H1069),2)</f>
        <v>20.93</v>
      </c>
      <c r="Q1069" s="38" t="str">
        <f t="shared" si="99"/>
        <v>1</v>
      </c>
      <c r="R1069" s="39" cm="1">
        <f t="array" ref="R1069">IF(OR(TRIM(J1069)="",TRIM(J1069)="-"),MEDIAN(IF($C$2:$C$1218=C1069,$J$2:$J$1218)),VALUE(SUBSTITUTE(SUBSTITUTE(SUBSTITUTE(J1069,"Rs. ",""),"₹",""),",","")))</f>
        <v>17557</v>
      </c>
      <c r="S1069" s="40">
        <f t="shared" si="97"/>
        <v>0</v>
      </c>
      <c r="T1069" s="41">
        <f t="shared" si="100"/>
        <v>0</v>
      </c>
      <c r="U1069" s="42">
        <f t="shared" si="101"/>
        <v>17557</v>
      </c>
    </row>
    <row r="1070" spans="1:21" x14ac:dyDescent="0.3">
      <c r="A1070" s="37" t="s">
        <v>4796</v>
      </c>
      <c r="B1070" s="37" t="s">
        <v>3694</v>
      </c>
      <c r="C1070" s="37" t="s">
        <v>2434</v>
      </c>
      <c r="D1070" s="37" t="s">
        <v>14</v>
      </c>
      <c r="E1070" s="37" t="s">
        <v>60</v>
      </c>
      <c r="F1070" s="37" t="s">
        <v>30</v>
      </c>
      <c r="G1070" s="37" t="s">
        <v>2486</v>
      </c>
      <c r="H1070" s="37">
        <v>11.02</v>
      </c>
      <c r="I1070" s="37">
        <v>59</v>
      </c>
      <c r="J1070" s="37">
        <v>18309</v>
      </c>
      <c r="K1070" s="37" t="s">
        <v>211</v>
      </c>
      <c r="L1070" s="37">
        <v>0</v>
      </c>
      <c r="M1070" s="37" t="str">
        <f t="shared" si="98"/>
        <v>General</v>
      </c>
      <c r="N1070" s="37" t="str">
        <f t="shared" si="96"/>
        <v>Credit Card</v>
      </c>
      <c r="O1070" s="37" t="str" cm="1">
        <f t="array" ref="O1070">IF(TRIM(N1070)="",INDEX($N$2:$N$1500,MATCH(MAX(COUNTIF($N$2:$N$1500,$N$2:$N$1500)),COUNTIF($N$2:$N$1500,$N$2:$N$1500),0)),N1070)</f>
        <v>Credit Card</v>
      </c>
      <c r="P1070" s="38" cm="1">
        <f t="array" ref="P1070">ROUND(IF(TRIM(H1070)="",IFERROR(MEDIAN(IF($M$2:$M$1500=M1070,$H$2:$H$1500)),MEDIAN($H$2:$H$1500)),H1070),2)</f>
        <v>11.02</v>
      </c>
      <c r="Q1070" s="38" t="str">
        <f t="shared" si="99"/>
        <v>2+</v>
      </c>
      <c r="R1070" s="39" cm="1">
        <f t="array" ref="R1070">IF(OR(TRIM(J1070)="",TRIM(J1070)="-"),MEDIAN(IF($C$2:$C$1218=C1070,$J$2:$J$1218)),VALUE(SUBSTITUTE(SUBSTITUTE(SUBSTITUTE(J1070,"Rs. ",""),"₹",""),",","")))</f>
        <v>18309</v>
      </c>
      <c r="S1070" s="40">
        <f t="shared" si="97"/>
        <v>0</v>
      </c>
      <c r="T1070" s="41">
        <f t="shared" si="100"/>
        <v>0</v>
      </c>
      <c r="U1070" s="42">
        <f t="shared" si="101"/>
        <v>18309</v>
      </c>
    </row>
    <row r="1071" spans="1:21" x14ac:dyDescent="0.3">
      <c r="A1071" s="37" t="s">
        <v>4797</v>
      </c>
      <c r="B1071" s="37" t="s">
        <v>4798</v>
      </c>
      <c r="C1071" s="37" t="s">
        <v>2422</v>
      </c>
      <c r="D1071" s="37" t="s">
        <v>14</v>
      </c>
      <c r="E1071" s="37" t="s">
        <v>15</v>
      </c>
      <c r="F1071" s="37" t="s">
        <v>30</v>
      </c>
      <c r="G1071" s="37" t="s">
        <v>2435</v>
      </c>
      <c r="H1071" s="37">
        <v>10.23</v>
      </c>
      <c r="I1071" s="37">
        <v>30</v>
      </c>
      <c r="J1071" s="37" t="s">
        <v>4799</v>
      </c>
      <c r="K1071" s="37" t="s">
        <v>211</v>
      </c>
      <c r="L1071" s="37">
        <v>0.1</v>
      </c>
      <c r="M1071" s="37" t="str">
        <f t="shared" si="98"/>
        <v>General</v>
      </c>
      <c r="N1071" s="37" t="str">
        <f t="shared" si="96"/>
        <v>Credit Card</v>
      </c>
      <c r="O1071" s="37" t="str" cm="1">
        <f t="array" ref="O1071">IF(TRIM(N1071)="",INDEX($N$2:$N$1500,MATCH(MAX(COUNTIF($N$2:$N$1500,$N$2:$N$1500)),COUNTIF($N$2:$N$1500,$N$2:$N$1500),0)),N1071)</f>
        <v>Credit Card</v>
      </c>
      <c r="P1071" s="38" cm="1">
        <f t="array" ref="P1071">ROUND(IF(TRIM(H1071)="",IFERROR(MEDIAN(IF($M$2:$M$1500=M1071,$H$2:$H$1500)),MEDIAN($H$2:$H$1500)),H1071),2)</f>
        <v>10.23</v>
      </c>
      <c r="Q1071" s="38" t="str">
        <f t="shared" si="99"/>
        <v>0</v>
      </c>
      <c r="R1071" s="39" cm="1">
        <f t="array" ref="R1071">IF(OR(TRIM(J1071)="",TRIM(J1071)="-"),MEDIAN(IF($C$2:$C$1218=C1071,$J$2:$J$1218)),VALUE(SUBSTITUTE(SUBSTITUTE(SUBSTITUTE(J1071,"Rs. ",""),"₹",""),",","")))</f>
        <v>15873</v>
      </c>
      <c r="S1071" s="40">
        <f t="shared" si="97"/>
        <v>0.1</v>
      </c>
      <c r="T1071" s="41">
        <f t="shared" si="100"/>
        <v>0</v>
      </c>
      <c r="U1071" s="42">
        <f t="shared" si="101"/>
        <v>15873</v>
      </c>
    </row>
    <row r="1072" spans="1:21" x14ac:dyDescent="0.3">
      <c r="A1072" s="37" t="s">
        <v>4800</v>
      </c>
      <c r="B1072" s="37" t="s">
        <v>3642</v>
      </c>
      <c r="C1072" s="37" t="s">
        <v>2481</v>
      </c>
      <c r="D1072" s="37" t="s">
        <v>25</v>
      </c>
      <c r="E1072" s="37" t="s">
        <v>26</v>
      </c>
      <c r="F1072" s="37" t="s">
        <v>19</v>
      </c>
      <c r="G1072" s="37" t="s">
        <v>2477</v>
      </c>
      <c r="H1072" s="37">
        <v>11.23</v>
      </c>
      <c r="I1072" s="37">
        <v>41</v>
      </c>
      <c r="J1072" s="37">
        <v>7875</v>
      </c>
      <c r="K1072" s="37" t="s">
        <v>72</v>
      </c>
      <c r="L1072" s="37">
        <v>0</v>
      </c>
      <c r="M1072" s="37" t="str">
        <f t="shared" si="98"/>
        <v>General</v>
      </c>
      <c r="N1072" s="37" t="str">
        <f t="shared" si="96"/>
        <v>Cash</v>
      </c>
      <c r="O1072" s="37" t="str" cm="1">
        <f t="array" ref="O1072">IF(TRIM(N1072)="",INDEX($N$2:$N$1500,MATCH(MAX(COUNTIF($N$2:$N$1500,$N$2:$N$1500)),COUNTIF($N$2:$N$1500,$N$2:$N$1500),0)),N1072)</f>
        <v>Cash</v>
      </c>
      <c r="P1072" s="38" cm="1">
        <f t="array" ref="P1072">ROUND(IF(TRIM(H1072)="",IFERROR(MEDIAN(IF($M$2:$M$1500=M1072,$H$2:$H$1500)),MEDIAN($H$2:$H$1500)),H1072),2)</f>
        <v>11.23</v>
      </c>
      <c r="Q1072" s="38" t="str">
        <f t="shared" si="99"/>
        <v>0</v>
      </c>
      <c r="R1072" s="39" cm="1">
        <f t="array" ref="R1072">IF(OR(TRIM(J1072)="",TRIM(J1072)="-"),MEDIAN(IF($C$2:$C$1218=C1072,$J$2:$J$1218)),VALUE(SUBSTITUTE(SUBSTITUTE(SUBSTITUTE(J1072,"Rs. ",""),"₹",""),",","")))</f>
        <v>7875</v>
      </c>
      <c r="S1072" s="40">
        <f t="shared" si="97"/>
        <v>0</v>
      </c>
      <c r="T1072" s="41">
        <f t="shared" si="100"/>
        <v>0</v>
      </c>
      <c r="U1072" s="42">
        <f t="shared" si="101"/>
        <v>7875</v>
      </c>
    </row>
    <row r="1073" spans="1:21" x14ac:dyDescent="0.3">
      <c r="A1073" s="37" t="s">
        <v>4801</v>
      </c>
      <c r="B1073" s="37" t="s">
        <v>4372</v>
      </c>
      <c r="C1073" s="37" t="s">
        <v>2459</v>
      </c>
      <c r="D1073" s="37" t="s">
        <v>14</v>
      </c>
      <c r="E1073" s="37" t="s">
        <v>60</v>
      </c>
      <c r="F1073" s="37" t="s">
        <v>49</v>
      </c>
      <c r="G1073" s="37" t="s">
        <v>2435</v>
      </c>
      <c r="H1073" s="37">
        <v>16.12</v>
      </c>
      <c r="I1073" s="37">
        <v>42</v>
      </c>
      <c r="J1073" s="37">
        <v>13995</v>
      </c>
      <c r="K1073" s="37" t="s">
        <v>42</v>
      </c>
      <c r="L1073" s="37" t="s">
        <v>187</v>
      </c>
      <c r="M1073" s="37" t="str">
        <f t="shared" si="98"/>
        <v>General</v>
      </c>
      <c r="N1073" s="37" t="str">
        <f t="shared" si="96"/>
        <v>Insurance</v>
      </c>
      <c r="O1073" s="37" t="str" cm="1">
        <f t="array" ref="O1073">IF(TRIM(N1073)="",INDEX($N$2:$N$1500,MATCH(MAX(COUNTIF($N$2:$N$1500,$N$2:$N$1500)),COUNTIF($N$2:$N$1500,$N$2:$N$1500),0)),N1073)</f>
        <v>Insurance</v>
      </c>
      <c r="P1073" s="38" cm="1">
        <f t="array" ref="P1073">ROUND(IF(TRIM(H1073)="",IFERROR(MEDIAN(IF($M$2:$M$1500=M1073,$H$2:$H$1500)),MEDIAN($H$2:$H$1500)),H1073),2)</f>
        <v>16.12</v>
      </c>
      <c r="Q1073" s="38" t="str">
        <f t="shared" si="99"/>
        <v>0</v>
      </c>
      <c r="R1073" s="39" cm="1">
        <f t="array" ref="R1073">IF(OR(TRIM(J1073)="",TRIM(J1073)="-"),MEDIAN(IF($C$2:$C$1218=C1073,$J$2:$J$1218)),VALUE(SUBSTITUTE(SUBSTITUTE(SUBSTITUTE(J1073,"Rs. ",""),"₹",""),",","")))</f>
        <v>13995</v>
      </c>
      <c r="S1073" s="40">
        <f t="shared" si="97"/>
        <v>35</v>
      </c>
      <c r="T1073" s="41">
        <f t="shared" si="100"/>
        <v>35</v>
      </c>
      <c r="U1073" s="42">
        <f t="shared" si="101"/>
        <v>9097</v>
      </c>
    </row>
    <row r="1074" spans="1:21" x14ac:dyDescent="0.3">
      <c r="A1074" s="37" t="s">
        <v>4802</v>
      </c>
      <c r="B1074" s="37" t="s">
        <v>4803</v>
      </c>
      <c r="C1074" s="37" t="s">
        <v>2481</v>
      </c>
      <c r="D1074" s="37" t="s">
        <v>25</v>
      </c>
      <c r="E1074" s="37" t="s">
        <v>54</v>
      </c>
      <c r="F1074" s="37" t="s">
        <v>62</v>
      </c>
      <c r="G1074" s="37" t="s">
        <v>2450</v>
      </c>
      <c r="H1074" s="37">
        <v>11.05</v>
      </c>
      <c r="I1074" s="37">
        <v>34</v>
      </c>
      <c r="J1074" s="37" t="s">
        <v>4804</v>
      </c>
      <c r="K1074" s="37" t="s">
        <v>104</v>
      </c>
      <c r="L1074" s="37" t="s">
        <v>140</v>
      </c>
      <c r="M1074" s="37" t="str">
        <f t="shared" si="98"/>
        <v>ICU</v>
      </c>
      <c r="N1074" s="37" t="str">
        <f t="shared" si="96"/>
        <v>Insurance</v>
      </c>
      <c r="O1074" s="37" t="str" cm="1">
        <f t="array" ref="O1074">IF(TRIM(N1074)="",INDEX($N$2:$N$1500,MATCH(MAX(COUNTIF($N$2:$N$1500,$N$2:$N$1500)),COUNTIF($N$2:$N$1500,$N$2:$N$1500),0)),N1074)</f>
        <v>Insurance</v>
      </c>
      <c r="P1074" s="38" cm="1">
        <f t="array" ref="P1074">ROUND(IF(TRIM(H1074)="",IFERROR(MEDIAN(IF($M$2:$M$1500=M1074,$H$2:$H$1500)),MEDIAN($H$2:$H$1500)),H1074),2)</f>
        <v>11.05</v>
      </c>
      <c r="Q1074" s="38" t="str">
        <f t="shared" si="99"/>
        <v>1</v>
      </c>
      <c r="R1074" s="39" cm="1">
        <f t="array" ref="R1074">IF(OR(TRIM(J1074)="",TRIM(J1074)="-"),MEDIAN(IF($C$2:$C$1218=C1074,$J$2:$J$1218)),VALUE(SUBSTITUTE(SUBSTITUTE(SUBSTITUTE(J1074,"Rs. ",""),"₹",""),",","")))</f>
        <v>51572</v>
      </c>
      <c r="S1074" s="40" t="str">
        <f t="shared" si="97"/>
        <v>-</v>
      </c>
      <c r="T1074" s="41">
        <f t="shared" si="100"/>
        <v>17</v>
      </c>
      <c r="U1074" s="42">
        <f t="shared" si="101"/>
        <v>42805</v>
      </c>
    </row>
    <row r="1075" spans="1:21" x14ac:dyDescent="0.3">
      <c r="A1075" s="37" t="s">
        <v>4805</v>
      </c>
      <c r="B1075" s="37" t="s">
        <v>4285</v>
      </c>
      <c r="C1075" s="37" t="s">
        <v>2481</v>
      </c>
      <c r="D1075" s="37" t="s">
        <v>25</v>
      </c>
      <c r="E1075" s="37" t="s">
        <v>54</v>
      </c>
      <c r="F1075" s="37" t="s">
        <v>30</v>
      </c>
      <c r="G1075" s="37" t="s">
        <v>2477</v>
      </c>
      <c r="H1075" s="37">
        <v>19.16</v>
      </c>
      <c r="I1075" s="37">
        <v>34</v>
      </c>
      <c r="J1075" s="37">
        <v>13236</v>
      </c>
      <c r="K1075" s="37" t="s">
        <v>72</v>
      </c>
      <c r="L1075" s="37">
        <v>0</v>
      </c>
      <c r="M1075" s="37" t="str">
        <f t="shared" si="98"/>
        <v>General</v>
      </c>
      <c r="N1075" s="37" t="str">
        <f t="shared" si="96"/>
        <v>Cash</v>
      </c>
      <c r="O1075" s="37" t="str" cm="1">
        <f t="array" ref="O1075">IF(TRIM(N1075)="",INDEX($N$2:$N$1500,MATCH(MAX(COUNTIF($N$2:$N$1500,$N$2:$N$1500)),COUNTIF($N$2:$N$1500,$N$2:$N$1500),0)),N1075)</f>
        <v>Cash</v>
      </c>
      <c r="P1075" s="38" cm="1">
        <f t="array" ref="P1075">ROUND(IF(TRIM(H1075)="",IFERROR(MEDIAN(IF($M$2:$M$1500=M1075,$H$2:$H$1500)),MEDIAN($H$2:$H$1500)),H1075),2)</f>
        <v>19.16</v>
      </c>
      <c r="Q1075" s="38" t="str">
        <f t="shared" si="99"/>
        <v>0</v>
      </c>
      <c r="R1075" s="39" cm="1">
        <f t="array" ref="R1075">IF(OR(TRIM(J1075)="",TRIM(J1075)="-"),MEDIAN(IF($C$2:$C$1218=C1075,$J$2:$J$1218)),VALUE(SUBSTITUTE(SUBSTITUTE(SUBSTITUTE(J1075,"Rs. ",""),"₹",""),",","")))</f>
        <v>13236</v>
      </c>
      <c r="S1075" s="40">
        <f t="shared" si="97"/>
        <v>0</v>
      </c>
      <c r="T1075" s="41">
        <f t="shared" si="100"/>
        <v>0</v>
      </c>
      <c r="U1075" s="42">
        <f t="shared" si="101"/>
        <v>13236</v>
      </c>
    </row>
    <row r="1076" spans="1:21" x14ac:dyDescent="0.3">
      <c r="A1076" s="37" t="s">
        <v>4806</v>
      </c>
      <c r="B1076" s="37" t="s">
        <v>4807</v>
      </c>
      <c r="C1076" s="37" t="s">
        <v>2449</v>
      </c>
      <c r="D1076" s="37" t="s">
        <v>25</v>
      </c>
      <c r="E1076" s="37" t="s">
        <v>54</v>
      </c>
      <c r="F1076" s="37" t="s">
        <v>39</v>
      </c>
      <c r="G1076" s="37" t="s">
        <v>2455</v>
      </c>
      <c r="H1076" s="37">
        <v>5.35</v>
      </c>
      <c r="I1076" s="37">
        <v>27</v>
      </c>
      <c r="J1076" s="37" t="s">
        <v>4808</v>
      </c>
      <c r="K1076" s="37" t="s">
        <v>211</v>
      </c>
      <c r="L1076" s="37">
        <v>5</v>
      </c>
      <c r="M1076" s="37" t="str">
        <f t="shared" si="98"/>
        <v>General</v>
      </c>
      <c r="N1076" s="37" t="str">
        <f t="shared" si="96"/>
        <v>Credit Card</v>
      </c>
      <c r="O1076" s="37" t="str" cm="1">
        <f t="array" ref="O1076">IF(TRIM(N1076)="",INDEX($N$2:$N$1500,MATCH(MAX(COUNTIF($N$2:$N$1500,$N$2:$N$1500)),COUNTIF($N$2:$N$1500,$N$2:$N$1500),0)),N1076)</f>
        <v>Credit Card</v>
      </c>
      <c r="P1076" s="38" cm="1">
        <f t="array" ref="P1076">ROUND(IF(TRIM(H1076)="",IFERROR(MEDIAN(IF($M$2:$M$1500=M1076,$H$2:$H$1500)),MEDIAN($H$2:$H$1500)),H1076),2)</f>
        <v>5.35</v>
      </c>
      <c r="Q1076" s="38" t="str">
        <f t="shared" si="99"/>
        <v>1</v>
      </c>
      <c r="R1076" s="39" cm="1">
        <f t="array" ref="R1076">IF(OR(TRIM(J1076)="",TRIM(J1076)="-"),MEDIAN(IF($C$2:$C$1218=C1076,$J$2:$J$1218)),VALUE(SUBSTITUTE(SUBSTITUTE(SUBSTITUTE(J1076,"Rs. ",""),"₹",""),",","")))</f>
        <v>7065</v>
      </c>
      <c r="S1076" s="40">
        <f t="shared" si="97"/>
        <v>5</v>
      </c>
      <c r="T1076" s="41">
        <f t="shared" si="100"/>
        <v>5</v>
      </c>
      <c r="U1076" s="42">
        <f t="shared" si="101"/>
        <v>6712</v>
      </c>
    </row>
    <row r="1077" spans="1:21" x14ac:dyDescent="0.3">
      <c r="A1077" s="37" t="s">
        <v>4809</v>
      </c>
      <c r="B1077" s="37" t="s">
        <v>4810</v>
      </c>
      <c r="C1077" s="37" t="s">
        <v>2577</v>
      </c>
      <c r="D1077" s="37" t="s">
        <v>14</v>
      </c>
      <c r="E1077" s="37" t="s">
        <v>60</v>
      </c>
      <c r="F1077" s="37" t="s">
        <v>39</v>
      </c>
      <c r="G1077" s="37" t="s">
        <v>2418</v>
      </c>
      <c r="H1077" s="37">
        <v>23.01</v>
      </c>
      <c r="I1077" s="37">
        <v>26</v>
      </c>
      <c r="J1077" s="37">
        <v>16877</v>
      </c>
      <c r="K1077" s="37" t="s">
        <v>23</v>
      </c>
      <c r="L1077" s="37" t="s">
        <v>76</v>
      </c>
      <c r="M1077" s="37" t="str">
        <f t="shared" si="98"/>
        <v>General</v>
      </c>
      <c r="N1077" s="37" t="str">
        <f t="shared" si="96"/>
        <v>Credit Card</v>
      </c>
      <c r="O1077" s="37" t="str" cm="1">
        <f t="array" ref="O1077">IF(TRIM(N1077)="",INDEX($N$2:$N$1500,MATCH(MAX(COUNTIF($N$2:$N$1500,$N$2:$N$1500)),COUNTIF($N$2:$N$1500,$N$2:$N$1500),0)),N1077)</f>
        <v>Credit Card</v>
      </c>
      <c r="P1077" s="38" cm="1">
        <f t="array" ref="P1077">ROUND(IF(TRIM(H1077)="",IFERROR(MEDIAN(IF($M$2:$M$1500=M1077,$H$2:$H$1500)),MEDIAN($H$2:$H$1500)),H1077),2)</f>
        <v>23.01</v>
      </c>
      <c r="Q1077" s="38" t="str">
        <f t="shared" si="99"/>
        <v>1</v>
      </c>
      <c r="R1077" s="39" cm="1">
        <f t="array" ref="R1077">IF(OR(TRIM(J1077)="",TRIM(J1077)="-"),MEDIAN(IF($C$2:$C$1218=C1077,$J$2:$J$1218)),VALUE(SUBSTITUTE(SUBSTITUTE(SUBSTITUTE(J1077,"Rs. ",""),"₹",""),",","")))</f>
        <v>16877</v>
      </c>
      <c r="S1077" s="40">
        <f t="shared" si="97"/>
        <v>10</v>
      </c>
      <c r="T1077" s="41">
        <f t="shared" si="100"/>
        <v>10</v>
      </c>
      <c r="U1077" s="42">
        <f t="shared" si="101"/>
        <v>15189</v>
      </c>
    </row>
    <row r="1078" spans="1:21" x14ac:dyDescent="0.3">
      <c r="A1078" s="37" t="s">
        <v>4811</v>
      </c>
      <c r="B1078" s="37" t="s">
        <v>4812</v>
      </c>
      <c r="C1078" s="37" t="s">
        <v>2463</v>
      </c>
      <c r="D1078" s="37" t="s">
        <v>78</v>
      </c>
      <c r="E1078" s="37" t="s">
        <v>161</v>
      </c>
      <c r="F1078" s="37" t="s">
        <v>49</v>
      </c>
      <c r="G1078" s="37" t="s">
        <v>2455</v>
      </c>
      <c r="H1078" s="37">
        <v>17.64</v>
      </c>
      <c r="I1078" s="37">
        <v>10</v>
      </c>
      <c r="J1078" s="37" t="s">
        <v>4813</v>
      </c>
      <c r="K1078" s="37" t="s">
        <v>115</v>
      </c>
      <c r="L1078" s="37" t="s">
        <v>140</v>
      </c>
      <c r="M1078" s="37" t="str">
        <f t="shared" si="98"/>
        <v>General</v>
      </c>
      <c r="N1078" s="37" t="str">
        <f t="shared" si="96"/>
        <v>Cash</v>
      </c>
      <c r="O1078" s="37" t="str" cm="1">
        <f t="array" ref="O1078">IF(TRIM(N1078)="",INDEX($N$2:$N$1500,MATCH(MAX(COUNTIF($N$2:$N$1500,$N$2:$N$1500)),COUNTIF($N$2:$N$1500,$N$2:$N$1500),0)),N1078)</f>
        <v>Cash</v>
      </c>
      <c r="P1078" s="38" cm="1">
        <f t="array" ref="P1078">ROUND(IF(TRIM(H1078)="",IFERROR(MEDIAN(IF($M$2:$M$1500=M1078,$H$2:$H$1500)),MEDIAN($H$2:$H$1500)),H1078),2)</f>
        <v>17.64</v>
      </c>
      <c r="Q1078" s="38" t="str">
        <f t="shared" si="99"/>
        <v>1</v>
      </c>
      <c r="R1078" s="39" cm="1">
        <f t="array" ref="R1078">IF(OR(TRIM(J1078)="",TRIM(J1078)="-"),MEDIAN(IF($C$2:$C$1218=C1078,$J$2:$J$1218)),VALUE(SUBSTITUTE(SUBSTITUTE(SUBSTITUTE(J1078,"Rs. ",""),"₹",""),",","")))</f>
        <v>8061</v>
      </c>
      <c r="S1078" s="40" t="str">
        <f t="shared" si="97"/>
        <v>-</v>
      </c>
      <c r="T1078" s="41">
        <f t="shared" si="100"/>
        <v>2</v>
      </c>
      <c r="U1078" s="42">
        <f t="shared" si="101"/>
        <v>7900</v>
      </c>
    </row>
    <row r="1079" spans="1:21" x14ac:dyDescent="0.3">
      <c r="A1079" s="37" t="s">
        <v>4814</v>
      </c>
      <c r="B1079" s="37" t="s">
        <v>3310</v>
      </c>
      <c r="C1079" s="37" t="s">
        <v>2449</v>
      </c>
      <c r="D1079" s="37" t="s">
        <v>25</v>
      </c>
      <c r="E1079" s="37" t="s">
        <v>54</v>
      </c>
      <c r="F1079" s="37"/>
      <c r="G1079" s="37" t="s">
        <v>2435</v>
      </c>
      <c r="H1079" s="37">
        <v>7.83</v>
      </c>
      <c r="I1079" s="37">
        <v>45</v>
      </c>
      <c r="J1079" s="37">
        <v>11133</v>
      </c>
      <c r="K1079" s="37" t="s">
        <v>211</v>
      </c>
      <c r="L1079" s="37">
        <v>0</v>
      </c>
      <c r="M1079" s="37" t="str">
        <f t="shared" si="98"/>
        <v>Unknown</v>
      </c>
      <c r="N1079" s="37" t="str">
        <f t="shared" si="96"/>
        <v>Credit Card</v>
      </c>
      <c r="O1079" s="37" t="str" cm="1">
        <f t="array" ref="O1079">IF(TRIM(N1079)="",INDEX($N$2:$N$1500,MATCH(MAX(COUNTIF($N$2:$N$1500,$N$2:$N$1500)),COUNTIF($N$2:$N$1500,$N$2:$N$1500),0)),N1079)</f>
        <v>Credit Card</v>
      </c>
      <c r="P1079" s="38" cm="1">
        <f t="array" ref="P1079">ROUND(IF(TRIM(H1079)="",IFERROR(MEDIAN(IF($M$2:$M$1500=M1079,$H$2:$H$1500)),MEDIAN($H$2:$H$1500)),H1079),2)</f>
        <v>7.83</v>
      </c>
      <c r="Q1079" s="38" t="str">
        <f t="shared" si="99"/>
        <v>0</v>
      </c>
      <c r="R1079" s="39" cm="1">
        <f t="array" ref="R1079">IF(OR(TRIM(J1079)="",TRIM(J1079)="-"),MEDIAN(IF($C$2:$C$1218=C1079,$J$2:$J$1218)),VALUE(SUBSTITUTE(SUBSTITUTE(SUBSTITUTE(J1079,"Rs. ",""),"₹",""),",","")))</f>
        <v>11133</v>
      </c>
      <c r="S1079" s="40">
        <f t="shared" si="97"/>
        <v>0</v>
      </c>
      <c r="T1079" s="41">
        <f t="shared" si="100"/>
        <v>0</v>
      </c>
      <c r="U1079" s="42">
        <f t="shared" si="101"/>
        <v>11133</v>
      </c>
    </row>
    <row r="1080" spans="1:21" x14ac:dyDescent="0.3">
      <c r="A1080" s="37" t="s">
        <v>4815</v>
      </c>
      <c r="B1080" s="37" t="s">
        <v>4816</v>
      </c>
      <c r="C1080" s="37" t="s">
        <v>2561</v>
      </c>
      <c r="D1080" s="37" t="s">
        <v>45</v>
      </c>
      <c r="E1080" s="37" t="s">
        <v>334</v>
      </c>
      <c r="F1080" s="37" t="s">
        <v>30</v>
      </c>
      <c r="G1080" s="37" t="s">
        <v>2993</v>
      </c>
      <c r="H1080" s="37">
        <v>22.33</v>
      </c>
      <c r="I1080" s="37"/>
      <c r="J1080" s="37" t="s">
        <v>4817</v>
      </c>
      <c r="K1080" s="37" t="s">
        <v>34</v>
      </c>
      <c r="L1080" s="37">
        <v>0</v>
      </c>
      <c r="M1080" s="37" t="str">
        <f t="shared" si="98"/>
        <v>General</v>
      </c>
      <c r="N1080" s="37" t="str">
        <f t="shared" si="96"/>
        <v>Cash</v>
      </c>
      <c r="O1080" s="37" t="str" cm="1">
        <f t="array" ref="O1080">IF(TRIM(N1080)="",INDEX($N$2:$N$1500,MATCH(MAX(COUNTIF($N$2:$N$1500,$N$2:$N$1500)),COUNTIF($N$2:$N$1500,$N$2:$N$1500),0)),N1080)</f>
        <v>Cash</v>
      </c>
      <c r="P1080" s="38" cm="1">
        <f t="array" ref="P1080">ROUND(IF(TRIM(H1080)="",IFERROR(MEDIAN(IF($M$2:$M$1500=M1080,$H$2:$H$1500)),MEDIAN($H$2:$H$1500)),H1080),2)</f>
        <v>22.33</v>
      </c>
      <c r="Q1080" s="38" t="str">
        <f t="shared" si="99"/>
        <v>2+</v>
      </c>
      <c r="R1080" s="39" cm="1">
        <f t="array" ref="R1080">IF(OR(TRIM(J1080)="",TRIM(J1080)="-"),MEDIAN(IF($C$2:$C$1218=C1080,$J$2:$J$1218)),VALUE(SUBSTITUTE(SUBSTITUTE(SUBSTITUTE(J1080,"Rs. ",""),"₹",""),",","")))</f>
        <v>5840</v>
      </c>
      <c r="S1080" s="40">
        <f t="shared" si="97"/>
        <v>0</v>
      </c>
      <c r="T1080" s="41">
        <f t="shared" si="100"/>
        <v>0</v>
      </c>
      <c r="U1080" s="42">
        <f t="shared" si="101"/>
        <v>5840</v>
      </c>
    </row>
    <row r="1081" spans="1:21" x14ac:dyDescent="0.3">
      <c r="A1081" s="37" t="s">
        <v>4818</v>
      </c>
      <c r="B1081" s="37" t="s">
        <v>4819</v>
      </c>
      <c r="C1081" s="37" t="s">
        <v>2415</v>
      </c>
      <c r="D1081" s="37" t="s">
        <v>78</v>
      </c>
      <c r="E1081" s="37" t="s">
        <v>79</v>
      </c>
      <c r="F1081" s="37" t="s">
        <v>69</v>
      </c>
      <c r="G1081" s="37" t="s">
        <v>2418</v>
      </c>
      <c r="H1081" s="37">
        <v>3.82</v>
      </c>
      <c r="I1081" s="37"/>
      <c r="J1081" s="37">
        <v>22224</v>
      </c>
      <c r="K1081" s="37" t="s">
        <v>236</v>
      </c>
      <c r="L1081" s="37">
        <v>0.05</v>
      </c>
      <c r="M1081" s="37" t="str">
        <f t="shared" si="98"/>
        <v>ICU</v>
      </c>
      <c r="N1081" s="37" t="str">
        <f t="shared" si="96"/>
        <v>Debit Card</v>
      </c>
      <c r="O1081" s="37" t="str" cm="1">
        <f t="array" ref="O1081">IF(TRIM(N1081)="",INDEX($N$2:$N$1500,MATCH(MAX(COUNTIF($N$2:$N$1500,$N$2:$N$1500)),COUNTIF($N$2:$N$1500,$N$2:$N$1500),0)),N1081)</f>
        <v>Debit Card</v>
      </c>
      <c r="P1081" s="38" cm="1">
        <f t="array" ref="P1081">ROUND(IF(TRIM(H1081)="",IFERROR(MEDIAN(IF($M$2:$M$1500=M1081,$H$2:$H$1500)),MEDIAN($H$2:$H$1500)),H1081),2)</f>
        <v>3.82</v>
      </c>
      <c r="Q1081" s="38" t="str">
        <f t="shared" si="99"/>
        <v>1</v>
      </c>
      <c r="R1081" s="39" cm="1">
        <f t="array" ref="R1081">IF(OR(TRIM(J1081)="",TRIM(J1081)="-"),MEDIAN(IF($C$2:$C$1218=C1081,$J$2:$J$1218)),VALUE(SUBSTITUTE(SUBSTITUTE(SUBSTITUTE(J1081,"Rs. ",""),"₹",""),",","")))</f>
        <v>22224</v>
      </c>
      <c r="S1081" s="40">
        <f t="shared" si="97"/>
        <v>0.05</v>
      </c>
      <c r="T1081" s="41">
        <f t="shared" si="100"/>
        <v>0</v>
      </c>
      <c r="U1081" s="42">
        <f t="shared" si="101"/>
        <v>22224</v>
      </c>
    </row>
    <row r="1082" spans="1:21" x14ac:dyDescent="0.3">
      <c r="A1082" s="37" t="s">
        <v>4820</v>
      </c>
      <c r="B1082" s="37" t="s">
        <v>4118</v>
      </c>
      <c r="C1082" s="37" t="s">
        <v>2466</v>
      </c>
      <c r="D1082" s="37" t="s">
        <v>45</v>
      </c>
      <c r="E1082" s="37" t="s">
        <v>46</v>
      </c>
      <c r="F1082" s="37" t="s">
        <v>62</v>
      </c>
      <c r="G1082" s="37" t="s">
        <v>2418</v>
      </c>
      <c r="H1082" s="37">
        <v>17.72</v>
      </c>
      <c r="I1082" s="37">
        <v>24</v>
      </c>
      <c r="J1082" s="37">
        <v>89032</v>
      </c>
      <c r="K1082" s="37" t="s">
        <v>167</v>
      </c>
      <c r="L1082" s="37" t="s">
        <v>198</v>
      </c>
      <c r="M1082" s="37" t="str">
        <f t="shared" si="98"/>
        <v>ICU</v>
      </c>
      <c r="N1082" s="37" t="str">
        <f t="shared" si="96"/>
        <v>Insurance</v>
      </c>
      <c r="O1082" s="37" t="str" cm="1">
        <f t="array" ref="O1082">IF(TRIM(N1082)="",INDEX($N$2:$N$1500,MATCH(MAX(COUNTIF($N$2:$N$1500,$N$2:$N$1500)),COUNTIF($N$2:$N$1500,$N$2:$N$1500),0)),N1082)</f>
        <v>Insurance</v>
      </c>
      <c r="P1082" s="38" cm="1">
        <f t="array" ref="P1082">ROUND(IF(TRIM(H1082)="",IFERROR(MEDIAN(IF($M$2:$M$1500=M1082,$H$2:$H$1500)),MEDIAN($H$2:$H$1500)),H1082),2)</f>
        <v>17.72</v>
      </c>
      <c r="Q1082" s="38" t="str">
        <f t="shared" si="99"/>
        <v>1</v>
      </c>
      <c r="R1082" s="39" cm="1">
        <f t="array" ref="R1082">IF(OR(TRIM(J1082)="",TRIM(J1082)="-"),MEDIAN(IF($C$2:$C$1218=C1082,$J$2:$J$1218)),VALUE(SUBSTITUTE(SUBSTITUTE(SUBSTITUTE(J1082,"Rs. ",""),"₹",""),",","")))</f>
        <v>89032</v>
      </c>
      <c r="S1082" s="40">
        <f t="shared" si="97"/>
        <v>5</v>
      </c>
      <c r="T1082" s="41">
        <f t="shared" si="100"/>
        <v>5</v>
      </c>
      <c r="U1082" s="42">
        <f t="shared" si="101"/>
        <v>84580</v>
      </c>
    </row>
    <row r="1083" spans="1:21" x14ac:dyDescent="0.3">
      <c r="A1083" s="37" t="s">
        <v>4821</v>
      </c>
      <c r="B1083" s="37" t="s">
        <v>3508</v>
      </c>
      <c r="C1083" s="37" t="s">
        <v>2466</v>
      </c>
      <c r="D1083" s="37" t="s">
        <v>25</v>
      </c>
      <c r="E1083" s="37" t="s">
        <v>54</v>
      </c>
      <c r="F1083" s="37" t="s">
        <v>30</v>
      </c>
      <c r="G1083" s="37" t="s">
        <v>2408</v>
      </c>
      <c r="H1083" s="37">
        <v>13.28</v>
      </c>
      <c r="I1083" s="37">
        <v>7</v>
      </c>
      <c r="J1083" s="37">
        <v>6507</v>
      </c>
      <c r="K1083" s="37" t="s">
        <v>83</v>
      </c>
      <c r="L1083" s="37" t="s">
        <v>140</v>
      </c>
      <c r="M1083" s="37" t="str">
        <f t="shared" si="98"/>
        <v>General</v>
      </c>
      <c r="N1083" s="37" t="str">
        <f t="shared" si="96"/>
        <v>Debit Card</v>
      </c>
      <c r="O1083" s="37" t="str" cm="1">
        <f t="array" ref="O1083">IF(TRIM(N1083)="",INDEX($N$2:$N$1500,MATCH(MAX(COUNTIF($N$2:$N$1500,$N$2:$N$1500)),COUNTIF($N$2:$N$1500,$N$2:$N$1500),0)),N1083)</f>
        <v>Debit Card</v>
      </c>
      <c r="P1083" s="38" cm="1">
        <f t="array" ref="P1083">ROUND(IF(TRIM(H1083)="",IFERROR(MEDIAN(IF($M$2:$M$1500=M1083,$H$2:$H$1500)),MEDIAN($H$2:$H$1500)),H1083),2)</f>
        <v>13.28</v>
      </c>
      <c r="Q1083" s="38" t="str">
        <f t="shared" si="99"/>
        <v>0</v>
      </c>
      <c r="R1083" s="39" cm="1">
        <f t="array" ref="R1083">IF(OR(TRIM(J1083)="",TRIM(J1083)="-"),MEDIAN(IF($C$2:$C$1218=C1083,$J$2:$J$1218)),VALUE(SUBSTITUTE(SUBSTITUTE(SUBSTITUTE(J1083,"Rs. ",""),"₹",""),",","")))</f>
        <v>6507</v>
      </c>
      <c r="S1083" s="40" t="str">
        <f t="shared" si="97"/>
        <v>-</v>
      </c>
      <c r="T1083" s="41">
        <f t="shared" si="100"/>
        <v>3</v>
      </c>
      <c r="U1083" s="42">
        <f t="shared" si="101"/>
        <v>6312</v>
      </c>
    </row>
    <row r="1084" spans="1:21" x14ac:dyDescent="0.3">
      <c r="A1084" s="37" t="s">
        <v>4822</v>
      </c>
      <c r="B1084" s="37" t="s">
        <v>2669</v>
      </c>
      <c r="C1084" s="37" t="s">
        <v>2438</v>
      </c>
      <c r="D1084" s="37" t="s">
        <v>117</v>
      </c>
      <c r="E1084" s="37" t="s">
        <v>118</v>
      </c>
      <c r="F1084" s="37" t="s">
        <v>30</v>
      </c>
      <c r="G1084" s="37"/>
      <c r="H1084" s="37">
        <v>12.67</v>
      </c>
      <c r="I1084" s="37">
        <v>37</v>
      </c>
      <c r="J1084" s="37" t="s">
        <v>4823</v>
      </c>
      <c r="K1084" s="37" t="s">
        <v>115</v>
      </c>
      <c r="L1084" s="37" t="s">
        <v>130</v>
      </c>
      <c r="M1084" s="37" t="str">
        <f t="shared" si="98"/>
        <v>General</v>
      </c>
      <c r="N1084" s="37" t="str">
        <f t="shared" si="96"/>
        <v>Cash</v>
      </c>
      <c r="O1084" s="37" t="str" cm="1">
        <f t="array" ref="O1084">IF(TRIM(N1084)="",INDEX($N$2:$N$1500,MATCH(MAX(COUNTIF($N$2:$N$1500,$N$2:$N$1500)),COUNTIF($N$2:$N$1500,$N$2:$N$1500),0)),N1084)</f>
        <v>Cash</v>
      </c>
      <c r="P1084" s="38" cm="1">
        <f t="array" ref="P1084">ROUND(IF(TRIM(H1084)="",IFERROR(MEDIAN(IF($M$2:$M$1500=M1084,$H$2:$H$1500)),MEDIAN($H$2:$H$1500)),H1084),2)</f>
        <v>12.67</v>
      </c>
      <c r="Q1084" s="38" t="str">
        <f t="shared" si="99"/>
        <v>Unknown</v>
      </c>
      <c r="R1084" s="39" cm="1">
        <f t="array" ref="R1084">IF(OR(TRIM(J1084)="",TRIM(J1084)="-"),MEDIAN(IF($C$2:$C$1218=C1084,$J$2:$J$1218)),VALUE(SUBSTITUTE(SUBSTITUTE(SUBSTITUTE(J1084,"Rs. ",""),"₹",""),",","")))</f>
        <v>6724</v>
      </c>
      <c r="S1084" s="40">
        <f t="shared" si="97"/>
        <v>0</v>
      </c>
      <c r="T1084" s="41">
        <f t="shared" si="100"/>
        <v>0</v>
      </c>
      <c r="U1084" s="42">
        <f t="shared" si="101"/>
        <v>6724</v>
      </c>
    </row>
    <row r="1085" spans="1:21" x14ac:dyDescent="0.3">
      <c r="A1085" s="37" t="s">
        <v>4824</v>
      </c>
      <c r="B1085" s="37" t="s">
        <v>3711</v>
      </c>
      <c r="C1085" s="37" t="s">
        <v>2459</v>
      </c>
      <c r="D1085" s="37" t="s">
        <v>45</v>
      </c>
      <c r="E1085" s="37" t="s">
        <v>334</v>
      </c>
      <c r="F1085" s="37" t="s">
        <v>101</v>
      </c>
      <c r="G1085" s="37" t="s">
        <v>2477</v>
      </c>
      <c r="H1085" s="37">
        <v>24.41</v>
      </c>
      <c r="I1085" s="37">
        <v>11</v>
      </c>
      <c r="J1085" s="37" t="s">
        <v>4825</v>
      </c>
      <c r="K1085" s="37" t="s">
        <v>311</v>
      </c>
      <c r="L1085" s="37">
        <v>10</v>
      </c>
      <c r="M1085" s="37" t="str">
        <f t="shared" si="98"/>
        <v>ICU</v>
      </c>
      <c r="N1085" s="37" t="str">
        <f t="shared" si="96"/>
        <v>UPI</v>
      </c>
      <c r="O1085" s="37" t="str" cm="1">
        <f t="array" ref="O1085">IF(TRIM(N1085)="",INDEX($N$2:$N$1500,MATCH(MAX(COUNTIF($N$2:$N$1500,$N$2:$N$1500)),COUNTIF($N$2:$N$1500,$N$2:$N$1500),0)),N1085)</f>
        <v>UPI</v>
      </c>
      <c r="P1085" s="38" cm="1">
        <f t="array" ref="P1085">ROUND(IF(TRIM(H1085)="",IFERROR(MEDIAN(IF($M$2:$M$1500=M1085,$H$2:$H$1500)),MEDIAN($H$2:$H$1500)),H1085),2)</f>
        <v>24.41</v>
      </c>
      <c r="Q1085" s="38" t="str">
        <f t="shared" si="99"/>
        <v>0</v>
      </c>
      <c r="R1085" s="39" cm="1">
        <f t="array" ref="R1085">IF(OR(TRIM(J1085)="",TRIM(J1085)="-"),MEDIAN(IF($C$2:$C$1218=C1085,$J$2:$J$1218)),VALUE(SUBSTITUTE(SUBSTITUTE(SUBSTITUTE(J1085,"Rs. ",""),"₹",""),",","")))</f>
        <v>34925</v>
      </c>
      <c r="S1085" s="40">
        <f t="shared" si="97"/>
        <v>10</v>
      </c>
      <c r="T1085" s="41">
        <f t="shared" si="100"/>
        <v>10</v>
      </c>
      <c r="U1085" s="42">
        <f t="shared" si="101"/>
        <v>31433</v>
      </c>
    </row>
    <row r="1086" spans="1:21" x14ac:dyDescent="0.3">
      <c r="A1086" s="37" t="s">
        <v>4826</v>
      </c>
      <c r="B1086" s="37" t="s">
        <v>4827</v>
      </c>
      <c r="C1086" s="37" t="s">
        <v>2466</v>
      </c>
      <c r="D1086" s="37" t="s">
        <v>25</v>
      </c>
      <c r="E1086" s="37" t="s">
        <v>54</v>
      </c>
      <c r="F1086" s="37" t="s">
        <v>30</v>
      </c>
      <c r="G1086" s="37" t="s">
        <v>2439</v>
      </c>
      <c r="H1086" s="37">
        <v>2.98</v>
      </c>
      <c r="I1086" s="37">
        <v>50</v>
      </c>
      <c r="J1086" s="37" t="s">
        <v>140</v>
      </c>
      <c r="K1086" s="37" t="s">
        <v>72</v>
      </c>
      <c r="L1086" s="37">
        <v>0</v>
      </c>
      <c r="M1086" s="37" t="str">
        <f t="shared" si="98"/>
        <v>General</v>
      </c>
      <c r="N1086" s="37" t="str">
        <f t="shared" si="96"/>
        <v>Cash</v>
      </c>
      <c r="O1086" s="37" t="str" cm="1">
        <f t="array" ref="O1086">IF(TRIM(N1086)="",INDEX($N$2:$N$1500,MATCH(MAX(COUNTIF($N$2:$N$1500,$N$2:$N$1500)),COUNTIF($N$2:$N$1500,$N$2:$N$1500),0)),N1086)</f>
        <v>Cash</v>
      </c>
      <c r="P1086" s="38" cm="1">
        <f t="array" ref="P1086">ROUND(IF(TRIM(H1086)="",IFERROR(MEDIAN(IF($M$2:$M$1500=M1086,$H$2:$H$1500)),MEDIAN($H$2:$H$1500)),H1086),2)</f>
        <v>2.98</v>
      </c>
      <c r="Q1086" s="38" t="str">
        <f t="shared" si="99"/>
        <v>2</v>
      </c>
      <c r="R1086" s="39" cm="1">
        <f t="array" ref="R1086">IF(OR(TRIM(J1086)="",TRIM(J1086)="-"),MEDIAN(IF($C$2:$C$1218=C1086,$J$2:$J$1218)),VALUE(SUBSTITUTE(SUBSTITUTE(SUBSTITUTE(J1086,"Rs. ",""),"₹",""),",","")))</f>
        <v>12697</v>
      </c>
      <c r="S1086" s="40">
        <f t="shared" si="97"/>
        <v>0</v>
      </c>
      <c r="T1086" s="41">
        <f t="shared" si="100"/>
        <v>0</v>
      </c>
      <c r="U1086" s="42">
        <f t="shared" si="101"/>
        <v>12697</v>
      </c>
    </row>
    <row r="1087" spans="1:21" x14ac:dyDescent="0.3">
      <c r="A1087" s="37" t="s">
        <v>4828</v>
      </c>
      <c r="B1087" s="37" t="s">
        <v>4829</v>
      </c>
      <c r="C1087" s="37" t="s">
        <v>2469</v>
      </c>
      <c r="D1087" s="37" t="s">
        <v>106</v>
      </c>
      <c r="E1087" s="37" t="s">
        <v>107</v>
      </c>
      <c r="F1087" s="37" t="s">
        <v>30</v>
      </c>
      <c r="G1087" s="37" t="s">
        <v>2418</v>
      </c>
      <c r="H1087" s="37">
        <v>14.71</v>
      </c>
      <c r="I1087" s="37">
        <v>40</v>
      </c>
      <c r="J1087" s="37">
        <v>4642</v>
      </c>
      <c r="K1087" s="37" t="s">
        <v>34</v>
      </c>
      <c r="L1087" s="37" t="s">
        <v>198</v>
      </c>
      <c r="M1087" s="37" t="str">
        <f t="shared" si="98"/>
        <v>General</v>
      </c>
      <c r="N1087" s="37" t="str">
        <f t="shared" si="96"/>
        <v>Cash</v>
      </c>
      <c r="O1087" s="37" t="str" cm="1">
        <f t="array" ref="O1087">IF(TRIM(N1087)="",INDEX($N$2:$N$1500,MATCH(MAX(COUNTIF($N$2:$N$1500,$N$2:$N$1500)),COUNTIF($N$2:$N$1500,$N$2:$N$1500),0)),N1087)</f>
        <v>Cash</v>
      </c>
      <c r="P1087" s="38" cm="1">
        <f t="array" ref="P1087">ROUND(IF(TRIM(H1087)="",IFERROR(MEDIAN(IF($M$2:$M$1500=M1087,$H$2:$H$1500)),MEDIAN($H$2:$H$1500)),H1087),2)</f>
        <v>14.71</v>
      </c>
      <c r="Q1087" s="38" t="str">
        <f t="shared" si="99"/>
        <v>1</v>
      </c>
      <c r="R1087" s="39" cm="1">
        <f t="array" ref="R1087">IF(OR(TRIM(J1087)="",TRIM(J1087)="-"),MEDIAN(IF($C$2:$C$1218=C1087,$J$2:$J$1218)),VALUE(SUBSTITUTE(SUBSTITUTE(SUBSTITUTE(J1087,"Rs. ",""),"₹",""),",","")))</f>
        <v>4642</v>
      </c>
      <c r="S1087" s="40">
        <f t="shared" si="97"/>
        <v>5</v>
      </c>
      <c r="T1087" s="41">
        <f t="shared" si="100"/>
        <v>5</v>
      </c>
      <c r="U1087" s="42">
        <f t="shared" si="101"/>
        <v>4410</v>
      </c>
    </row>
    <row r="1088" spans="1:21" x14ac:dyDescent="0.3">
      <c r="A1088" s="37" t="s">
        <v>4830</v>
      </c>
      <c r="B1088" s="37" t="s">
        <v>4831</v>
      </c>
      <c r="C1088" s="37" t="s">
        <v>2532</v>
      </c>
      <c r="D1088" s="37" t="s">
        <v>106</v>
      </c>
      <c r="E1088" s="37" t="s">
        <v>107</v>
      </c>
      <c r="F1088" s="37" t="s">
        <v>49</v>
      </c>
      <c r="G1088" s="37" t="s">
        <v>2423</v>
      </c>
      <c r="H1088" s="37">
        <v>18.78</v>
      </c>
      <c r="I1088" s="37">
        <v>44</v>
      </c>
      <c r="J1088" s="37">
        <v>14697</v>
      </c>
      <c r="K1088" s="37" t="s">
        <v>91</v>
      </c>
      <c r="L1088" s="37">
        <v>0</v>
      </c>
      <c r="M1088" s="37" t="str">
        <f t="shared" si="98"/>
        <v>General</v>
      </c>
      <c r="N1088" s="37" t="str">
        <f t="shared" si="96"/>
        <v>Debit Card</v>
      </c>
      <c r="O1088" s="37" t="str" cm="1">
        <f t="array" ref="O1088">IF(TRIM(N1088)="",INDEX($N$2:$N$1500,MATCH(MAX(COUNTIF($N$2:$N$1500,$N$2:$N$1500)),COUNTIF($N$2:$N$1500,$N$2:$N$1500),0)),N1088)</f>
        <v>Debit Card</v>
      </c>
      <c r="P1088" s="38" cm="1">
        <f t="array" ref="P1088">ROUND(IF(TRIM(H1088)="",IFERROR(MEDIAN(IF($M$2:$M$1500=M1088,$H$2:$H$1500)),MEDIAN($H$2:$H$1500)),H1088),2)</f>
        <v>18.78</v>
      </c>
      <c r="Q1088" s="38" t="str">
        <f t="shared" si="99"/>
        <v>0</v>
      </c>
      <c r="R1088" s="39" cm="1">
        <f t="array" ref="R1088">IF(OR(TRIM(J1088)="",TRIM(J1088)="-"),MEDIAN(IF($C$2:$C$1218=C1088,$J$2:$J$1218)),VALUE(SUBSTITUTE(SUBSTITUTE(SUBSTITUTE(J1088,"Rs. ",""),"₹",""),",","")))</f>
        <v>14697</v>
      </c>
      <c r="S1088" s="40">
        <f t="shared" si="97"/>
        <v>0</v>
      </c>
      <c r="T1088" s="41">
        <f t="shared" si="100"/>
        <v>0</v>
      </c>
      <c r="U1088" s="42">
        <f t="shared" si="101"/>
        <v>14697</v>
      </c>
    </row>
    <row r="1089" spans="1:21" x14ac:dyDescent="0.3">
      <c r="A1089" s="37" t="s">
        <v>4832</v>
      </c>
      <c r="B1089" s="37" t="s">
        <v>4152</v>
      </c>
      <c r="C1089" s="37" t="s">
        <v>2514</v>
      </c>
      <c r="D1089" s="37" t="s">
        <v>117</v>
      </c>
      <c r="E1089" s="37" t="s">
        <v>118</v>
      </c>
      <c r="F1089" s="37" t="s">
        <v>39</v>
      </c>
      <c r="G1089" s="37" t="s">
        <v>2435</v>
      </c>
      <c r="H1089" s="37">
        <v>12.64</v>
      </c>
      <c r="I1089" s="37">
        <v>35</v>
      </c>
      <c r="J1089" s="37" t="s">
        <v>4833</v>
      </c>
      <c r="K1089" s="37" t="s">
        <v>311</v>
      </c>
      <c r="L1089" s="37">
        <v>0</v>
      </c>
      <c r="M1089" s="37" t="str">
        <f t="shared" si="98"/>
        <v>General</v>
      </c>
      <c r="N1089" s="37" t="str">
        <f t="shared" si="96"/>
        <v>UPI</v>
      </c>
      <c r="O1089" s="37" t="str" cm="1">
        <f t="array" ref="O1089">IF(TRIM(N1089)="",INDEX($N$2:$N$1500,MATCH(MAX(COUNTIF($N$2:$N$1500,$N$2:$N$1500)),COUNTIF($N$2:$N$1500,$N$2:$N$1500),0)),N1089)</f>
        <v>UPI</v>
      </c>
      <c r="P1089" s="38" cm="1">
        <f t="array" ref="P1089">ROUND(IF(TRIM(H1089)="",IFERROR(MEDIAN(IF($M$2:$M$1500=M1089,$H$2:$H$1500)),MEDIAN($H$2:$H$1500)),H1089),2)</f>
        <v>12.64</v>
      </c>
      <c r="Q1089" s="38" t="str">
        <f t="shared" si="99"/>
        <v>0</v>
      </c>
      <c r="R1089" s="39" cm="1">
        <f t="array" ref="R1089">IF(OR(TRIM(J1089)="",TRIM(J1089)="-"),MEDIAN(IF($C$2:$C$1218=C1089,$J$2:$J$1218)),VALUE(SUBSTITUTE(SUBSTITUTE(SUBSTITUTE(J1089,"Rs. ",""),"₹",""),",","")))</f>
        <v>19392</v>
      </c>
      <c r="S1089" s="40">
        <f t="shared" si="97"/>
        <v>0</v>
      </c>
      <c r="T1089" s="41">
        <f t="shared" si="100"/>
        <v>0</v>
      </c>
      <c r="U1089" s="42">
        <f t="shared" si="101"/>
        <v>19392</v>
      </c>
    </row>
    <row r="1090" spans="1:21" x14ac:dyDescent="0.3">
      <c r="A1090" s="37" t="s">
        <v>4834</v>
      </c>
      <c r="B1090" s="37" t="s">
        <v>2953</v>
      </c>
      <c r="C1090" s="37" t="s">
        <v>2730</v>
      </c>
      <c r="D1090" s="37" t="s">
        <v>106</v>
      </c>
      <c r="E1090" s="37" t="s">
        <v>307</v>
      </c>
      <c r="F1090" s="37" t="s">
        <v>62</v>
      </c>
      <c r="G1090" s="37" t="s">
        <v>2435</v>
      </c>
      <c r="H1090" s="37">
        <v>20.54</v>
      </c>
      <c r="I1090" s="37">
        <v>51</v>
      </c>
      <c r="J1090" s="37" t="s">
        <v>2011</v>
      </c>
      <c r="K1090" s="37" t="s">
        <v>58</v>
      </c>
      <c r="L1090" s="37" t="s">
        <v>130</v>
      </c>
      <c r="M1090" s="37" t="str">
        <f t="shared" si="98"/>
        <v>ICU</v>
      </c>
      <c r="N1090" s="37" t="str">
        <f t="shared" ref="N1090:N1153" si="102">IF(OR(UPPER(TRIM(K1090))="CREDIT_CARD",UPPER(TRIM(K1090))="CREDIT CARD",UPPER(TRIM(K1090))="CC"),"Credit Card", IF(OR(UPPER(TRIM(K1090))="DEBIT_CARD",UPPER(TRIM(K1090))="DEBIT CARD",UPPER(TRIM(K1090))="DC"),"Debit Card", IF(UPPER(TRIM(K1090))="CASH","Cash", IF(UPPER(TRIM(K1090))="UPI","UPI", IF(OR(UPPER(TRIM(K1090))="INSURANCE",UPPER(TRIM(K1090))="INS"),"Insurance", IF(TRIM(K1090)="","Unknown","Unknown"))))))</f>
        <v>UPI</v>
      </c>
      <c r="O1090" s="37" t="str" cm="1">
        <f t="array" ref="O1090">IF(TRIM(N1090)="",INDEX($N$2:$N$1500,MATCH(MAX(COUNTIF($N$2:$N$1500,$N$2:$N$1500)),COUNTIF($N$2:$N$1500,$N$2:$N$1500),0)),N1090)</f>
        <v>UPI</v>
      </c>
      <c r="P1090" s="38" cm="1">
        <f t="array" ref="P1090">ROUND(IF(TRIM(H1090)="",IFERROR(MEDIAN(IF($M$2:$M$1500=M1090,$H$2:$H$1500)),MEDIAN($H$2:$H$1500)),H1090),2)</f>
        <v>20.54</v>
      </c>
      <c r="Q1090" s="38" t="str">
        <f t="shared" si="99"/>
        <v>0</v>
      </c>
      <c r="R1090" s="39" cm="1">
        <f t="array" ref="R1090">IF(OR(TRIM(J1090)="",TRIM(J1090)="-"),MEDIAN(IF($C$2:$C$1218=C1090,$J$2:$J$1218)),VALUE(SUBSTITUTE(SUBSTITUTE(SUBSTITUTE(J1090,"Rs. ",""),"₹",""),",","")))</f>
        <v>60155</v>
      </c>
      <c r="S1090" s="40">
        <f t="shared" ref="S1090:S1153" si="103">IF(RIGHT(TRIM(L1090),1)="%",VALUE(LEFT(TRIM(L1090),LEN(TRIM(L1090))-1)),IF(AND(ISNUMBER(L1090),L1090&lt;=1,,L1090&gt;0),L1090*100,L1090))</f>
        <v>0</v>
      </c>
      <c r="T1090" s="41">
        <f t="shared" si="100"/>
        <v>0</v>
      </c>
      <c r="U1090" s="42">
        <f t="shared" si="101"/>
        <v>60155</v>
      </c>
    </row>
    <row r="1091" spans="1:21" x14ac:dyDescent="0.3">
      <c r="A1091" s="37" t="s">
        <v>4835</v>
      </c>
      <c r="B1091" s="37" t="s">
        <v>3939</v>
      </c>
      <c r="C1091" s="37" t="s">
        <v>2504</v>
      </c>
      <c r="D1091" s="37" t="s">
        <v>106</v>
      </c>
      <c r="E1091" s="37" t="s">
        <v>107</v>
      </c>
      <c r="F1091" s="37" t="s">
        <v>30</v>
      </c>
      <c r="G1091" s="37" t="s">
        <v>2408</v>
      </c>
      <c r="H1091" s="37">
        <v>0.6</v>
      </c>
      <c r="I1091" s="37">
        <v>53</v>
      </c>
      <c r="J1091" s="37">
        <v>10999</v>
      </c>
      <c r="K1091" s="37" t="s">
        <v>167</v>
      </c>
      <c r="L1091" s="37">
        <v>35</v>
      </c>
      <c r="M1091" s="37" t="str">
        <f t="shared" ref="M1091:M1154" si="104">IF(OR(UPPER(TRIM(F1091))="GENERAL",UPPER(TRIM(F1091))="GENRAL"),"General",IF(UPPER(TRIM(F1091))="ICU","ICU","Unknown"))</f>
        <v>General</v>
      </c>
      <c r="N1091" s="37" t="str">
        <f t="shared" si="102"/>
        <v>Insurance</v>
      </c>
      <c r="O1091" s="37" t="str" cm="1">
        <f t="array" ref="O1091">IF(TRIM(N1091)="",INDEX($N$2:$N$1500,MATCH(MAX(COUNTIF($N$2:$N$1500,$N$2:$N$1500)),COUNTIF($N$2:$N$1500,$N$2:$N$1500),0)),N1091)</f>
        <v>Insurance</v>
      </c>
      <c r="P1091" s="38" cm="1">
        <f t="array" ref="P1091">ROUND(IF(TRIM(H1091)="",IFERROR(MEDIAN(IF($M$2:$M$1500=M1091,$H$2:$H$1500)),MEDIAN($H$2:$H$1500)),H1091),2)</f>
        <v>0.6</v>
      </c>
      <c r="Q1091" s="38" t="str">
        <f t="shared" ref="Q1091:Q1154" si="105">IF(OR(LOWER(TRIM(G1091))="0",LOWER(TRIM(G1091))="zero"),"0", IF(OR(LOWER(TRIM(G1091))="1",LOWER(TRIM(G1091))="one"),"1", IF(OR(LOWER(TRIM(G1091))="2",LOWER(TRIM(G1091))="two"),"2", IF(OR(LOWER(TRIM(G1091))="2+",LOWER(TRIM(G1091))="two_or_more",LOWER(TRIM(G1091))="multiple"),"2+", "Unknown"))))</f>
        <v>0</v>
      </c>
      <c r="R1091" s="39" cm="1">
        <f t="array" ref="R1091">IF(OR(TRIM(J1091)="",TRIM(J1091)="-"),MEDIAN(IF($C$2:$C$1218=C1091,$J$2:$J$1218)),VALUE(SUBSTITUTE(SUBSTITUTE(SUBSTITUTE(J1091,"Rs. ",""),"₹",""),",","")))</f>
        <v>10999</v>
      </c>
      <c r="S1091" s="40">
        <f t="shared" si="103"/>
        <v>35</v>
      </c>
      <c r="T1091" s="41">
        <f t="shared" ref="T1091:T1154" si="106">ROUND(IF(OR(TRIM(S1091)="-",UPPER(TRIM(S1091))="N/A",UPPER(TRIM(S1091))="NA"),IFERROR(AVERAGEIF($O$2:$O$1500,O1091,$S$2:$S$1500),AVERAGE($S$2:$S$1500)),S1091),0)</f>
        <v>35</v>
      </c>
      <c r="U1091" s="42">
        <f t="shared" ref="U1091:U1154" si="107">ROUND(R1091*(1-T1091/100),0)</f>
        <v>7149</v>
      </c>
    </row>
    <row r="1092" spans="1:21" x14ac:dyDescent="0.3">
      <c r="A1092" s="37" t="s">
        <v>4836</v>
      </c>
      <c r="B1092" s="37" t="s">
        <v>4837</v>
      </c>
      <c r="C1092" s="37" t="s">
        <v>2415</v>
      </c>
      <c r="D1092" s="37" t="s">
        <v>14</v>
      </c>
      <c r="E1092" s="37" t="s">
        <v>60</v>
      </c>
      <c r="F1092" s="37" t="s">
        <v>39</v>
      </c>
      <c r="G1092" s="37"/>
      <c r="H1092" s="37">
        <v>8.76</v>
      </c>
      <c r="I1092" s="37">
        <v>27</v>
      </c>
      <c r="J1092" s="37">
        <v>8832</v>
      </c>
      <c r="K1092" s="37" t="s">
        <v>87</v>
      </c>
      <c r="L1092" s="37"/>
      <c r="M1092" s="37" t="str">
        <f t="shared" si="104"/>
        <v>General</v>
      </c>
      <c r="N1092" s="37" t="str">
        <f t="shared" si="102"/>
        <v>Credit Card</v>
      </c>
      <c r="O1092" s="37" t="str" cm="1">
        <f t="array" ref="O1092">IF(TRIM(N1092)="",INDEX($N$2:$N$1500,MATCH(MAX(COUNTIF($N$2:$N$1500,$N$2:$N$1500)),COUNTIF($N$2:$N$1500,$N$2:$N$1500),0)),N1092)</f>
        <v>Credit Card</v>
      </c>
      <c r="P1092" s="38" cm="1">
        <f t="array" ref="P1092">ROUND(IF(TRIM(H1092)="",IFERROR(MEDIAN(IF($M$2:$M$1500=M1092,$H$2:$H$1500)),MEDIAN($H$2:$H$1500)),H1092),2)</f>
        <v>8.76</v>
      </c>
      <c r="Q1092" s="38" t="str">
        <f t="shared" si="105"/>
        <v>Unknown</v>
      </c>
      <c r="R1092" s="39" cm="1">
        <f t="array" ref="R1092">IF(OR(TRIM(J1092)="",TRIM(J1092)="-"),MEDIAN(IF($C$2:$C$1218=C1092,$J$2:$J$1218)),VALUE(SUBSTITUTE(SUBSTITUTE(SUBSTITUTE(J1092,"Rs. ",""),"₹",""),",","")))</f>
        <v>8832</v>
      </c>
      <c r="S1092" s="40">
        <f t="shared" si="103"/>
        <v>0</v>
      </c>
      <c r="T1092" s="41">
        <f t="shared" si="106"/>
        <v>0</v>
      </c>
      <c r="U1092" s="42">
        <f t="shared" si="107"/>
        <v>8832</v>
      </c>
    </row>
    <row r="1093" spans="1:21" x14ac:dyDescent="0.3">
      <c r="A1093" s="37" t="s">
        <v>4838</v>
      </c>
      <c r="B1093" s="37" t="s">
        <v>4839</v>
      </c>
      <c r="C1093" s="37" t="s">
        <v>2407</v>
      </c>
      <c r="D1093" s="37" t="s">
        <v>25</v>
      </c>
      <c r="E1093" s="37" t="s">
        <v>26</v>
      </c>
      <c r="F1093" s="37" t="s">
        <v>49</v>
      </c>
      <c r="G1093" s="37" t="s">
        <v>2450</v>
      </c>
      <c r="H1093" s="37">
        <v>13.92</v>
      </c>
      <c r="I1093" s="37">
        <v>50</v>
      </c>
      <c r="J1093" s="37" t="s">
        <v>4840</v>
      </c>
      <c r="K1093" s="37" t="s">
        <v>236</v>
      </c>
      <c r="L1093" s="37">
        <v>10</v>
      </c>
      <c r="M1093" s="37" t="str">
        <f t="shared" si="104"/>
        <v>General</v>
      </c>
      <c r="N1093" s="37" t="str">
        <f t="shared" si="102"/>
        <v>Debit Card</v>
      </c>
      <c r="O1093" s="37" t="str" cm="1">
        <f t="array" ref="O1093">IF(TRIM(N1093)="",INDEX($N$2:$N$1500,MATCH(MAX(COUNTIF($N$2:$N$1500,$N$2:$N$1500)),COUNTIF($N$2:$N$1500,$N$2:$N$1500),0)),N1093)</f>
        <v>Debit Card</v>
      </c>
      <c r="P1093" s="38" cm="1">
        <f t="array" ref="P1093">ROUND(IF(TRIM(H1093)="",IFERROR(MEDIAN(IF($M$2:$M$1500=M1093,$H$2:$H$1500)),MEDIAN($H$2:$H$1500)),H1093),2)</f>
        <v>13.92</v>
      </c>
      <c r="Q1093" s="38" t="str">
        <f t="shared" si="105"/>
        <v>1</v>
      </c>
      <c r="R1093" s="39" cm="1">
        <f t="array" ref="R1093">IF(OR(TRIM(J1093)="",TRIM(J1093)="-"),MEDIAN(IF($C$2:$C$1218=C1093,$J$2:$J$1218)),VALUE(SUBSTITUTE(SUBSTITUTE(SUBSTITUTE(J1093,"Rs. ",""),"₹",""),",","")))</f>
        <v>16717</v>
      </c>
      <c r="S1093" s="40">
        <f t="shared" si="103"/>
        <v>10</v>
      </c>
      <c r="T1093" s="41">
        <f t="shared" si="106"/>
        <v>10</v>
      </c>
      <c r="U1093" s="42">
        <f t="shared" si="107"/>
        <v>15045</v>
      </c>
    </row>
    <row r="1094" spans="1:21" x14ac:dyDescent="0.3">
      <c r="A1094" s="37" t="s">
        <v>4841</v>
      </c>
      <c r="B1094" s="37" t="s">
        <v>3199</v>
      </c>
      <c r="C1094" s="37" t="s">
        <v>2434</v>
      </c>
      <c r="D1094" s="37" t="s">
        <v>106</v>
      </c>
      <c r="E1094" s="37" t="s">
        <v>107</v>
      </c>
      <c r="F1094" s="37" t="s">
        <v>69</v>
      </c>
      <c r="G1094" s="37" t="s">
        <v>2450</v>
      </c>
      <c r="H1094" s="37">
        <v>5.65</v>
      </c>
      <c r="I1094" s="37">
        <v>28</v>
      </c>
      <c r="J1094" s="37">
        <v>34896</v>
      </c>
      <c r="K1094" s="37" t="s">
        <v>236</v>
      </c>
      <c r="L1094" s="37">
        <v>0</v>
      </c>
      <c r="M1094" s="37" t="str">
        <f t="shared" si="104"/>
        <v>ICU</v>
      </c>
      <c r="N1094" s="37" t="str">
        <f t="shared" si="102"/>
        <v>Debit Card</v>
      </c>
      <c r="O1094" s="37" t="str" cm="1">
        <f t="array" ref="O1094">IF(TRIM(N1094)="",INDEX($N$2:$N$1500,MATCH(MAX(COUNTIF($N$2:$N$1500,$N$2:$N$1500)),COUNTIF($N$2:$N$1500,$N$2:$N$1500),0)),N1094)</f>
        <v>Debit Card</v>
      </c>
      <c r="P1094" s="38" cm="1">
        <f t="array" ref="P1094">ROUND(IF(TRIM(H1094)="",IFERROR(MEDIAN(IF($M$2:$M$1500=M1094,$H$2:$H$1500)),MEDIAN($H$2:$H$1500)),H1094),2)</f>
        <v>5.65</v>
      </c>
      <c r="Q1094" s="38" t="str">
        <f t="shared" si="105"/>
        <v>1</v>
      </c>
      <c r="R1094" s="39" cm="1">
        <f t="array" ref="R1094">IF(OR(TRIM(J1094)="",TRIM(J1094)="-"),MEDIAN(IF($C$2:$C$1218=C1094,$J$2:$J$1218)),VALUE(SUBSTITUTE(SUBSTITUTE(SUBSTITUTE(J1094,"Rs. ",""),"₹",""),",","")))</f>
        <v>34896</v>
      </c>
      <c r="S1094" s="40">
        <f t="shared" si="103"/>
        <v>0</v>
      </c>
      <c r="T1094" s="41">
        <f t="shared" si="106"/>
        <v>0</v>
      </c>
      <c r="U1094" s="42">
        <f t="shared" si="107"/>
        <v>34896</v>
      </c>
    </row>
    <row r="1095" spans="1:21" x14ac:dyDescent="0.3">
      <c r="A1095" s="37" t="s">
        <v>4842</v>
      </c>
      <c r="B1095" s="37" t="s">
        <v>4843</v>
      </c>
      <c r="C1095" s="37" t="s">
        <v>2431</v>
      </c>
      <c r="D1095" s="37" t="s">
        <v>45</v>
      </c>
      <c r="E1095" s="37" t="s">
        <v>46</v>
      </c>
      <c r="F1095" s="37" t="s">
        <v>101</v>
      </c>
      <c r="G1095" s="37" t="s">
        <v>2746</v>
      </c>
      <c r="H1095" s="37">
        <v>19.14</v>
      </c>
      <c r="I1095" s="37">
        <v>12</v>
      </c>
      <c r="J1095" s="37" t="s">
        <v>4844</v>
      </c>
      <c r="K1095" s="37" t="s">
        <v>115</v>
      </c>
      <c r="L1095" s="37" t="s">
        <v>140</v>
      </c>
      <c r="M1095" s="37" t="str">
        <f t="shared" si="104"/>
        <v>ICU</v>
      </c>
      <c r="N1095" s="37" t="str">
        <f t="shared" si="102"/>
        <v>Cash</v>
      </c>
      <c r="O1095" s="37" t="str" cm="1">
        <f t="array" ref="O1095">IF(TRIM(N1095)="",INDEX($N$2:$N$1500,MATCH(MAX(COUNTIF($N$2:$N$1500,$N$2:$N$1500)),COUNTIF($N$2:$N$1500,$N$2:$N$1500),0)),N1095)</f>
        <v>Cash</v>
      </c>
      <c r="P1095" s="38" cm="1">
        <f t="array" ref="P1095">ROUND(IF(TRIM(H1095)="",IFERROR(MEDIAN(IF($M$2:$M$1500=M1095,$H$2:$H$1500)),MEDIAN($H$2:$H$1500)),H1095),2)</f>
        <v>19.14</v>
      </c>
      <c r="Q1095" s="38" t="str">
        <f t="shared" si="105"/>
        <v>2</v>
      </c>
      <c r="R1095" s="39" cm="1">
        <f t="array" ref="R1095">IF(OR(TRIM(J1095)="",TRIM(J1095)="-"),MEDIAN(IF($C$2:$C$1218=C1095,$J$2:$J$1218)),VALUE(SUBSTITUTE(SUBSTITUTE(SUBSTITUTE(J1095,"Rs. ",""),"₹",""),",","")))</f>
        <v>20669</v>
      </c>
      <c r="S1095" s="40" t="str">
        <f t="shared" si="103"/>
        <v>-</v>
      </c>
      <c r="T1095" s="41">
        <f t="shared" si="106"/>
        <v>2</v>
      </c>
      <c r="U1095" s="42">
        <f t="shared" si="107"/>
        <v>20256</v>
      </c>
    </row>
    <row r="1096" spans="1:21" x14ac:dyDescent="0.3">
      <c r="A1096" s="37" t="s">
        <v>4845</v>
      </c>
      <c r="B1096" s="37" t="s">
        <v>4846</v>
      </c>
      <c r="C1096" s="37" t="s">
        <v>2427</v>
      </c>
      <c r="D1096" s="37" t="s">
        <v>117</v>
      </c>
      <c r="E1096" s="37" t="s">
        <v>118</v>
      </c>
      <c r="F1096" s="37" t="s">
        <v>19</v>
      </c>
      <c r="G1096" s="37" t="s">
        <v>2477</v>
      </c>
      <c r="H1096" s="37">
        <v>13.21</v>
      </c>
      <c r="I1096" s="37" t="s">
        <v>140</v>
      </c>
      <c r="J1096" s="37">
        <v>14493</v>
      </c>
      <c r="K1096" s="37" t="s">
        <v>97</v>
      </c>
      <c r="L1096" s="37" t="s">
        <v>130</v>
      </c>
      <c r="M1096" s="37" t="str">
        <f t="shared" si="104"/>
        <v>General</v>
      </c>
      <c r="N1096" s="37" t="str">
        <f t="shared" si="102"/>
        <v>UPI</v>
      </c>
      <c r="O1096" s="37" t="str" cm="1">
        <f t="array" ref="O1096">IF(TRIM(N1096)="",INDEX($N$2:$N$1500,MATCH(MAX(COUNTIF($N$2:$N$1500,$N$2:$N$1500)),COUNTIF($N$2:$N$1500,$N$2:$N$1500),0)),N1096)</f>
        <v>UPI</v>
      </c>
      <c r="P1096" s="38" cm="1">
        <f t="array" ref="P1096">ROUND(IF(TRIM(H1096)="",IFERROR(MEDIAN(IF($M$2:$M$1500=M1096,$H$2:$H$1500)),MEDIAN($H$2:$H$1500)),H1096),2)</f>
        <v>13.21</v>
      </c>
      <c r="Q1096" s="38" t="str">
        <f t="shared" si="105"/>
        <v>0</v>
      </c>
      <c r="R1096" s="39" cm="1">
        <f t="array" ref="R1096">IF(OR(TRIM(J1096)="",TRIM(J1096)="-"),MEDIAN(IF($C$2:$C$1218=C1096,$J$2:$J$1218)),VALUE(SUBSTITUTE(SUBSTITUTE(SUBSTITUTE(J1096,"Rs. ",""),"₹",""),",","")))</f>
        <v>14493</v>
      </c>
      <c r="S1096" s="40">
        <f t="shared" si="103"/>
        <v>0</v>
      </c>
      <c r="T1096" s="41">
        <f t="shared" si="106"/>
        <v>0</v>
      </c>
      <c r="U1096" s="42">
        <f t="shared" si="107"/>
        <v>14493</v>
      </c>
    </row>
    <row r="1097" spans="1:21" x14ac:dyDescent="0.3">
      <c r="A1097" s="37" t="s">
        <v>4847</v>
      </c>
      <c r="B1097" s="37" t="s">
        <v>4848</v>
      </c>
      <c r="C1097" s="37" t="s">
        <v>2459</v>
      </c>
      <c r="D1097" s="37" t="s">
        <v>45</v>
      </c>
      <c r="E1097" s="37" t="s">
        <v>46</v>
      </c>
      <c r="F1097" s="37" t="s">
        <v>101</v>
      </c>
      <c r="G1097" s="37" t="s">
        <v>2423</v>
      </c>
      <c r="H1097" s="37">
        <v>23.3</v>
      </c>
      <c r="I1097" s="37">
        <v>48</v>
      </c>
      <c r="J1097" s="37">
        <v>50187</v>
      </c>
      <c r="K1097" s="37"/>
      <c r="L1097" s="37">
        <v>10</v>
      </c>
      <c r="M1097" s="37" t="str">
        <f t="shared" si="104"/>
        <v>ICU</v>
      </c>
      <c r="N1097" s="37" t="str">
        <f t="shared" si="102"/>
        <v>Unknown</v>
      </c>
      <c r="O1097" s="37" t="str" cm="1">
        <f t="array" ref="O1097">IF(TRIM(N1097)="",INDEX($N$2:$N$1500,MATCH(MAX(COUNTIF($N$2:$N$1500,$N$2:$N$1500)),COUNTIF($N$2:$N$1500,$N$2:$N$1500),0)),N1097)</f>
        <v>Unknown</v>
      </c>
      <c r="P1097" s="38" cm="1">
        <f t="array" ref="P1097">ROUND(IF(TRIM(H1097)="",IFERROR(MEDIAN(IF($M$2:$M$1500=M1097,$H$2:$H$1500)),MEDIAN($H$2:$H$1500)),H1097),2)</f>
        <v>23.3</v>
      </c>
      <c r="Q1097" s="38" t="str">
        <f t="shared" si="105"/>
        <v>0</v>
      </c>
      <c r="R1097" s="39" cm="1">
        <f t="array" ref="R1097">IF(OR(TRIM(J1097)="",TRIM(J1097)="-"),MEDIAN(IF($C$2:$C$1218=C1097,$J$2:$J$1218)),VALUE(SUBSTITUTE(SUBSTITUTE(SUBSTITUTE(J1097,"Rs. ",""),"₹",""),",","")))</f>
        <v>50187</v>
      </c>
      <c r="S1097" s="40">
        <f t="shared" si="103"/>
        <v>10</v>
      </c>
      <c r="T1097" s="41">
        <f t="shared" si="106"/>
        <v>10</v>
      </c>
      <c r="U1097" s="42">
        <f t="shared" si="107"/>
        <v>45168</v>
      </c>
    </row>
    <row r="1098" spans="1:21" x14ac:dyDescent="0.3">
      <c r="A1098" s="37" t="s">
        <v>4849</v>
      </c>
      <c r="B1098" s="37" t="s">
        <v>4850</v>
      </c>
      <c r="C1098" s="37" t="s">
        <v>2422</v>
      </c>
      <c r="D1098" s="37" t="s">
        <v>117</v>
      </c>
      <c r="E1098" s="37" t="s">
        <v>118</v>
      </c>
      <c r="F1098" s="37" t="s">
        <v>49</v>
      </c>
      <c r="G1098" s="37" t="s">
        <v>2439</v>
      </c>
      <c r="H1098" s="37">
        <v>0.78</v>
      </c>
      <c r="I1098" s="37">
        <v>51</v>
      </c>
      <c r="J1098" s="37">
        <v>3422</v>
      </c>
      <c r="K1098" s="37" t="s">
        <v>91</v>
      </c>
      <c r="L1098" s="37">
        <v>10</v>
      </c>
      <c r="M1098" s="37" t="str">
        <f t="shared" si="104"/>
        <v>General</v>
      </c>
      <c r="N1098" s="37" t="str">
        <f t="shared" si="102"/>
        <v>Debit Card</v>
      </c>
      <c r="O1098" s="37" t="str" cm="1">
        <f t="array" ref="O1098">IF(TRIM(N1098)="",INDEX($N$2:$N$1500,MATCH(MAX(COUNTIF($N$2:$N$1500,$N$2:$N$1500)),COUNTIF($N$2:$N$1500,$N$2:$N$1500),0)),N1098)</f>
        <v>Debit Card</v>
      </c>
      <c r="P1098" s="38" cm="1">
        <f t="array" ref="P1098">ROUND(IF(TRIM(H1098)="",IFERROR(MEDIAN(IF($M$2:$M$1500=M1098,$H$2:$H$1500)),MEDIAN($H$2:$H$1500)),H1098),2)</f>
        <v>0.78</v>
      </c>
      <c r="Q1098" s="38" t="str">
        <f t="shared" si="105"/>
        <v>2</v>
      </c>
      <c r="R1098" s="39" cm="1">
        <f t="array" ref="R1098">IF(OR(TRIM(J1098)="",TRIM(J1098)="-"),MEDIAN(IF($C$2:$C$1218=C1098,$J$2:$J$1218)),VALUE(SUBSTITUTE(SUBSTITUTE(SUBSTITUTE(J1098,"Rs. ",""),"₹",""),",","")))</f>
        <v>3422</v>
      </c>
      <c r="S1098" s="40">
        <f t="shared" si="103"/>
        <v>10</v>
      </c>
      <c r="T1098" s="41">
        <f t="shared" si="106"/>
        <v>10</v>
      </c>
      <c r="U1098" s="42">
        <f t="shared" si="107"/>
        <v>3080</v>
      </c>
    </row>
    <row r="1099" spans="1:21" x14ac:dyDescent="0.3">
      <c r="A1099" s="37" t="s">
        <v>4851</v>
      </c>
      <c r="B1099" s="37" t="s">
        <v>4634</v>
      </c>
      <c r="C1099" s="37" t="s">
        <v>2521</v>
      </c>
      <c r="D1099" s="37" t="s">
        <v>117</v>
      </c>
      <c r="E1099" s="37" t="s">
        <v>118</v>
      </c>
      <c r="F1099" s="37" t="s">
        <v>49</v>
      </c>
      <c r="G1099" s="37" t="s">
        <v>2477</v>
      </c>
      <c r="H1099" s="37">
        <v>15.89</v>
      </c>
      <c r="I1099" s="37">
        <v>36</v>
      </c>
      <c r="J1099" s="37" t="s">
        <v>4852</v>
      </c>
      <c r="K1099" s="37" t="s">
        <v>236</v>
      </c>
      <c r="L1099" s="37">
        <v>0</v>
      </c>
      <c r="M1099" s="37" t="str">
        <f t="shared" si="104"/>
        <v>General</v>
      </c>
      <c r="N1099" s="37" t="str">
        <f t="shared" si="102"/>
        <v>Debit Card</v>
      </c>
      <c r="O1099" s="37" t="str" cm="1">
        <f t="array" ref="O1099">IF(TRIM(N1099)="",INDEX($N$2:$N$1500,MATCH(MAX(COUNTIF($N$2:$N$1500,$N$2:$N$1500)),COUNTIF($N$2:$N$1500,$N$2:$N$1500),0)),N1099)</f>
        <v>Debit Card</v>
      </c>
      <c r="P1099" s="38" cm="1">
        <f t="array" ref="P1099">ROUND(IF(TRIM(H1099)="",IFERROR(MEDIAN(IF($M$2:$M$1500=M1099,$H$2:$H$1500)),MEDIAN($H$2:$H$1500)),H1099),2)</f>
        <v>15.89</v>
      </c>
      <c r="Q1099" s="38" t="str">
        <f t="shared" si="105"/>
        <v>0</v>
      </c>
      <c r="R1099" s="39" cm="1">
        <f t="array" ref="R1099">IF(OR(TRIM(J1099)="",TRIM(J1099)="-"),MEDIAN(IF($C$2:$C$1218=C1099,$J$2:$J$1218)),VALUE(SUBSTITUTE(SUBSTITUTE(SUBSTITUTE(J1099,"Rs. ",""),"₹",""),",","")))</f>
        <v>4022</v>
      </c>
      <c r="S1099" s="40">
        <f t="shared" si="103"/>
        <v>0</v>
      </c>
      <c r="T1099" s="41">
        <f t="shared" si="106"/>
        <v>0</v>
      </c>
      <c r="U1099" s="42">
        <f t="shared" si="107"/>
        <v>4022</v>
      </c>
    </row>
    <row r="1100" spans="1:21" x14ac:dyDescent="0.3">
      <c r="A1100" s="37" t="s">
        <v>4853</v>
      </c>
      <c r="B1100" s="37" t="s">
        <v>4158</v>
      </c>
      <c r="C1100" s="37" t="s">
        <v>2469</v>
      </c>
      <c r="D1100" s="37" t="s">
        <v>14</v>
      </c>
      <c r="E1100" s="37" t="s">
        <v>15</v>
      </c>
      <c r="F1100" s="37" t="s">
        <v>69</v>
      </c>
      <c r="G1100" s="37" t="s">
        <v>2408</v>
      </c>
      <c r="H1100" s="37">
        <v>3.9</v>
      </c>
      <c r="I1100" s="37">
        <v>28</v>
      </c>
      <c r="J1100" s="37" t="s">
        <v>4854</v>
      </c>
      <c r="K1100" s="37" t="s">
        <v>72</v>
      </c>
      <c r="L1100" s="37"/>
      <c r="M1100" s="37" t="str">
        <f t="shared" si="104"/>
        <v>ICU</v>
      </c>
      <c r="N1100" s="37" t="str">
        <f t="shared" si="102"/>
        <v>Cash</v>
      </c>
      <c r="O1100" s="37" t="str" cm="1">
        <f t="array" ref="O1100">IF(TRIM(N1100)="",INDEX($N$2:$N$1500,MATCH(MAX(COUNTIF($N$2:$N$1500,$N$2:$N$1500)),COUNTIF($N$2:$N$1500,$N$2:$N$1500),0)),N1100)</f>
        <v>Cash</v>
      </c>
      <c r="P1100" s="38" cm="1">
        <f t="array" ref="P1100">ROUND(IF(TRIM(H1100)="",IFERROR(MEDIAN(IF($M$2:$M$1500=M1100,$H$2:$H$1500)),MEDIAN($H$2:$H$1500)),H1100),2)</f>
        <v>3.9</v>
      </c>
      <c r="Q1100" s="38" t="str">
        <f t="shared" si="105"/>
        <v>0</v>
      </c>
      <c r="R1100" s="39" cm="1">
        <f t="array" ref="R1100">IF(OR(TRIM(J1100)="",TRIM(J1100)="-"),MEDIAN(IF($C$2:$C$1218=C1100,$J$2:$J$1218)),VALUE(SUBSTITUTE(SUBSTITUTE(SUBSTITUTE(J1100,"Rs. ",""),"₹",""),",","")))</f>
        <v>38773</v>
      </c>
      <c r="S1100" s="40">
        <f t="shared" si="103"/>
        <v>0</v>
      </c>
      <c r="T1100" s="41">
        <f t="shared" si="106"/>
        <v>0</v>
      </c>
      <c r="U1100" s="42">
        <f t="shared" si="107"/>
        <v>38773</v>
      </c>
    </row>
    <row r="1101" spans="1:21" x14ac:dyDescent="0.3">
      <c r="A1101" s="37" t="s">
        <v>4855</v>
      </c>
      <c r="B1101" s="37" t="s">
        <v>3798</v>
      </c>
      <c r="C1101" s="37" t="s">
        <v>2490</v>
      </c>
      <c r="D1101" s="37" t="s">
        <v>117</v>
      </c>
      <c r="E1101" s="37" t="s">
        <v>118</v>
      </c>
      <c r="F1101" s="37" t="s">
        <v>49</v>
      </c>
      <c r="G1101" s="37" t="s">
        <v>2477</v>
      </c>
      <c r="H1101" s="37">
        <v>8.7899999999999991</v>
      </c>
      <c r="I1101" s="37">
        <v>13</v>
      </c>
      <c r="J1101" s="37" t="s">
        <v>4856</v>
      </c>
      <c r="K1101" s="37" t="s">
        <v>72</v>
      </c>
      <c r="L1101" s="37" t="s">
        <v>130</v>
      </c>
      <c r="M1101" s="37" t="str">
        <f t="shared" si="104"/>
        <v>General</v>
      </c>
      <c r="N1101" s="37" t="str">
        <f t="shared" si="102"/>
        <v>Cash</v>
      </c>
      <c r="O1101" s="37" t="str" cm="1">
        <f t="array" ref="O1101">IF(TRIM(N1101)="",INDEX($N$2:$N$1500,MATCH(MAX(COUNTIF($N$2:$N$1500,$N$2:$N$1500)),COUNTIF($N$2:$N$1500,$N$2:$N$1500),0)),N1101)</f>
        <v>Cash</v>
      </c>
      <c r="P1101" s="38" cm="1">
        <f t="array" ref="P1101">ROUND(IF(TRIM(H1101)="",IFERROR(MEDIAN(IF($M$2:$M$1500=M1101,$H$2:$H$1500)),MEDIAN($H$2:$H$1500)),H1101),2)</f>
        <v>8.7899999999999991</v>
      </c>
      <c r="Q1101" s="38" t="str">
        <f t="shared" si="105"/>
        <v>0</v>
      </c>
      <c r="R1101" s="39" cm="1">
        <f t="array" ref="R1101">IF(OR(TRIM(J1101)="",TRIM(J1101)="-"),MEDIAN(IF($C$2:$C$1218=C1101,$J$2:$J$1218)),VALUE(SUBSTITUTE(SUBSTITUTE(SUBSTITUTE(J1101,"Rs. ",""),"₹",""),",","")))</f>
        <v>8684</v>
      </c>
      <c r="S1101" s="40">
        <f t="shared" si="103"/>
        <v>0</v>
      </c>
      <c r="T1101" s="41">
        <f t="shared" si="106"/>
        <v>0</v>
      </c>
      <c r="U1101" s="42">
        <f t="shared" si="107"/>
        <v>8684</v>
      </c>
    </row>
    <row r="1102" spans="1:21" x14ac:dyDescent="0.3">
      <c r="A1102" s="37" t="s">
        <v>4857</v>
      </c>
      <c r="B1102" s="37" t="s">
        <v>3276</v>
      </c>
      <c r="C1102" s="37" t="s">
        <v>2459</v>
      </c>
      <c r="D1102" s="37" t="s">
        <v>14</v>
      </c>
      <c r="E1102" s="37" t="s">
        <v>60</v>
      </c>
      <c r="F1102" s="37" t="s">
        <v>69</v>
      </c>
      <c r="G1102" s="37" t="s">
        <v>2450</v>
      </c>
      <c r="H1102" s="37">
        <v>4.84</v>
      </c>
      <c r="I1102" s="37">
        <v>46</v>
      </c>
      <c r="J1102" s="37" t="s">
        <v>4858</v>
      </c>
      <c r="K1102" s="37" t="s">
        <v>115</v>
      </c>
      <c r="L1102" s="37">
        <v>0</v>
      </c>
      <c r="M1102" s="37" t="str">
        <f t="shared" si="104"/>
        <v>ICU</v>
      </c>
      <c r="N1102" s="37" t="str">
        <f t="shared" si="102"/>
        <v>Cash</v>
      </c>
      <c r="O1102" s="37" t="str" cm="1">
        <f t="array" ref="O1102">IF(TRIM(N1102)="",INDEX($N$2:$N$1500,MATCH(MAX(COUNTIF($N$2:$N$1500,$N$2:$N$1500)),COUNTIF($N$2:$N$1500,$N$2:$N$1500),0)),N1102)</f>
        <v>Cash</v>
      </c>
      <c r="P1102" s="38" cm="1">
        <f t="array" ref="P1102">ROUND(IF(TRIM(H1102)="",IFERROR(MEDIAN(IF($M$2:$M$1500=M1102,$H$2:$H$1500)),MEDIAN($H$2:$H$1500)),H1102),2)</f>
        <v>4.84</v>
      </c>
      <c r="Q1102" s="38" t="str">
        <f t="shared" si="105"/>
        <v>1</v>
      </c>
      <c r="R1102" s="39" cm="1">
        <f t="array" ref="R1102">IF(OR(TRIM(J1102)="",TRIM(J1102)="-"),MEDIAN(IF($C$2:$C$1218=C1102,$J$2:$J$1218)),VALUE(SUBSTITUTE(SUBSTITUTE(SUBSTITUTE(J1102,"Rs. ",""),"₹",""),",","")))</f>
        <v>32379</v>
      </c>
      <c r="S1102" s="40">
        <f t="shared" si="103"/>
        <v>0</v>
      </c>
      <c r="T1102" s="41">
        <f t="shared" si="106"/>
        <v>0</v>
      </c>
      <c r="U1102" s="42">
        <f t="shared" si="107"/>
        <v>32379</v>
      </c>
    </row>
    <row r="1103" spans="1:21" x14ac:dyDescent="0.3">
      <c r="A1103" s="37" t="s">
        <v>4859</v>
      </c>
      <c r="B1103" s="37" t="s">
        <v>4860</v>
      </c>
      <c r="C1103" s="37" t="s">
        <v>2438</v>
      </c>
      <c r="D1103" s="37" t="s">
        <v>117</v>
      </c>
      <c r="E1103" s="37" t="s">
        <v>118</v>
      </c>
      <c r="F1103" s="37" t="s">
        <v>101</v>
      </c>
      <c r="G1103" s="37" t="s">
        <v>2412</v>
      </c>
      <c r="H1103" s="37">
        <v>3.29</v>
      </c>
      <c r="I1103" s="37">
        <v>59</v>
      </c>
      <c r="J1103" s="37">
        <v>26647</v>
      </c>
      <c r="K1103" s="37" t="s">
        <v>311</v>
      </c>
      <c r="L1103" s="37"/>
      <c r="M1103" s="37" t="str">
        <f t="shared" si="104"/>
        <v>ICU</v>
      </c>
      <c r="N1103" s="37" t="str">
        <f t="shared" si="102"/>
        <v>UPI</v>
      </c>
      <c r="O1103" s="37" t="str" cm="1">
        <f t="array" ref="O1103">IF(TRIM(N1103)="",INDEX($N$2:$N$1500,MATCH(MAX(COUNTIF($N$2:$N$1500,$N$2:$N$1500)),COUNTIF($N$2:$N$1500,$N$2:$N$1500),0)),N1103)</f>
        <v>UPI</v>
      </c>
      <c r="P1103" s="38" cm="1">
        <f t="array" ref="P1103">ROUND(IF(TRIM(H1103)="",IFERROR(MEDIAN(IF($M$2:$M$1500=M1103,$H$2:$H$1500)),MEDIAN($H$2:$H$1500)),H1103),2)</f>
        <v>3.29</v>
      </c>
      <c r="Q1103" s="38" t="str">
        <f t="shared" si="105"/>
        <v>1</v>
      </c>
      <c r="R1103" s="39" cm="1">
        <f t="array" ref="R1103">IF(OR(TRIM(J1103)="",TRIM(J1103)="-"),MEDIAN(IF($C$2:$C$1218=C1103,$J$2:$J$1218)),VALUE(SUBSTITUTE(SUBSTITUTE(SUBSTITUTE(J1103,"Rs. ",""),"₹",""),",","")))</f>
        <v>26647</v>
      </c>
      <c r="S1103" s="40">
        <f t="shared" si="103"/>
        <v>0</v>
      </c>
      <c r="T1103" s="41">
        <f t="shared" si="106"/>
        <v>0</v>
      </c>
      <c r="U1103" s="42">
        <f t="shared" si="107"/>
        <v>26647</v>
      </c>
    </row>
    <row r="1104" spans="1:21" x14ac:dyDescent="0.3">
      <c r="A1104" s="37" t="s">
        <v>4861</v>
      </c>
      <c r="B1104" s="37" t="s">
        <v>3813</v>
      </c>
      <c r="C1104" s="37" t="s">
        <v>2730</v>
      </c>
      <c r="D1104" s="37" t="s">
        <v>78</v>
      </c>
      <c r="E1104" s="37" t="s">
        <v>161</v>
      </c>
      <c r="F1104" s="37" t="s">
        <v>62</v>
      </c>
      <c r="G1104" s="37" t="s">
        <v>2423</v>
      </c>
      <c r="H1104" s="37">
        <v>15.86</v>
      </c>
      <c r="I1104" s="37">
        <v>9</v>
      </c>
      <c r="J1104" s="37">
        <v>61258</v>
      </c>
      <c r="K1104" s="37" t="s">
        <v>97</v>
      </c>
      <c r="L1104" s="37" t="s">
        <v>130</v>
      </c>
      <c r="M1104" s="37" t="str">
        <f t="shared" si="104"/>
        <v>ICU</v>
      </c>
      <c r="N1104" s="37" t="str">
        <f t="shared" si="102"/>
        <v>UPI</v>
      </c>
      <c r="O1104" s="37" t="str" cm="1">
        <f t="array" ref="O1104">IF(TRIM(N1104)="",INDEX($N$2:$N$1500,MATCH(MAX(COUNTIF($N$2:$N$1500,$N$2:$N$1500)),COUNTIF($N$2:$N$1500,$N$2:$N$1500),0)),N1104)</f>
        <v>UPI</v>
      </c>
      <c r="P1104" s="38" cm="1">
        <f t="array" ref="P1104">ROUND(IF(TRIM(H1104)="",IFERROR(MEDIAN(IF($M$2:$M$1500=M1104,$H$2:$H$1500)),MEDIAN($H$2:$H$1500)),H1104),2)</f>
        <v>15.86</v>
      </c>
      <c r="Q1104" s="38" t="str">
        <f t="shared" si="105"/>
        <v>0</v>
      </c>
      <c r="R1104" s="39" cm="1">
        <f t="array" ref="R1104">IF(OR(TRIM(J1104)="",TRIM(J1104)="-"),MEDIAN(IF($C$2:$C$1218=C1104,$J$2:$J$1218)),VALUE(SUBSTITUTE(SUBSTITUTE(SUBSTITUTE(J1104,"Rs. ",""),"₹",""),",","")))</f>
        <v>61258</v>
      </c>
      <c r="S1104" s="40">
        <f t="shared" si="103"/>
        <v>0</v>
      </c>
      <c r="T1104" s="41">
        <f t="shared" si="106"/>
        <v>0</v>
      </c>
      <c r="U1104" s="42">
        <f t="shared" si="107"/>
        <v>61258</v>
      </c>
    </row>
    <row r="1105" spans="1:21" x14ac:dyDescent="0.3">
      <c r="A1105" s="37" t="s">
        <v>4862</v>
      </c>
      <c r="B1105" s="37" t="s">
        <v>2633</v>
      </c>
      <c r="C1105" s="37" t="s">
        <v>2494</v>
      </c>
      <c r="D1105" s="37" t="s">
        <v>106</v>
      </c>
      <c r="E1105" s="37" t="s">
        <v>107</v>
      </c>
      <c r="F1105" s="37" t="s">
        <v>69</v>
      </c>
      <c r="G1105" s="37" t="s">
        <v>2418</v>
      </c>
      <c r="H1105" s="37">
        <v>14.03</v>
      </c>
      <c r="I1105" s="37"/>
      <c r="J1105" s="37" t="s">
        <v>4863</v>
      </c>
      <c r="K1105" s="37" t="s">
        <v>311</v>
      </c>
      <c r="L1105" s="37" t="s">
        <v>130</v>
      </c>
      <c r="M1105" s="37" t="str">
        <f t="shared" si="104"/>
        <v>ICU</v>
      </c>
      <c r="N1105" s="37" t="str">
        <f t="shared" si="102"/>
        <v>UPI</v>
      </c>
      <c r="O1105" s="37" t="str" cm="1">
        <f t="array" ref="O1105">IF(TRIM(N1105)="",INDEX($N$2:$N$1500,MATCH(MAX(COUNTIF($N$2:$N$1500,$N$2:$N$1500)),COUNTIF($N$2:$N$1500,$N$2:$N$1500),0)),N1105)</f>
        <v>UPI</v>
      </c>
      <c r="P1105" s="38" cm="1">
        <f t="array" ref="P1105">ROUND(IF(TRIM(H1105)="",IFERROR(MEDIAN(IF($M$2:$M$1500=M1105,$H$2:$H$1500)),MEDIAN($H$2:$H$1500)),H1105),2)</f>
        <v>14.03</v>
      </c>
      <c r="Q1105" s="38" t="str">
        <f t="shared" si="105"/>
        <v>1</v>
      </c>
      <c r="R1105" s="39" cm="1">
        <f t="array" ref="R1105">IF(OR(TRIM(J1105)="",TRIM(J1105)="-"),MEDIAN(IF($C$2:$C$1218=C1105,$J$2:$J$1218)),VALUE(SUBSTITUTE(SUBSTITUTE(SUBSTITUTE(J1105,"Rs. ",""),"₹",""),",","")))</f>
        <v>39543</v>
      </c>
      <c r="S1105" s="40">
        <f t="shared" si="103"/>
        <v>0</v>
      </c>
      <c r="T1105" s="41">
        <f t="shared" si="106"/>
        <v>0</v>
      </c>
      <c r="U1105" s="42">
        <f t="shared" si="107"/>
        <v>39543</v>
      </c>
    </row>
    <row r="1106" spans="1:21" x14ac:dyDescent="0.3">
      <c r="A1106" s="37" t="s">
        <v>4864</v>
      </c>
      <c r="B1106" s="37" t="s">
        <v>4865</v>
      </c>
      <c r="C1106" s="37" t="s">
        <v>2521</v>
      </c>
      <c r="D1106" s="37" t="s">
        <v>78</v>
      </c>
      <c r="E1106" s="37" t="s">
        <v>203</v>
      </c>
      <c r="F1106" s="37" t="s">
        <v>30</v>
      </c>
      <c r="G1106" s="37" t="s">
        <v>2418</v>
      </c>
      <c r="H1106" s="37">
        <v>10.89</v>
      </c>
      <c r="I1106" s="37">
        <v>5</v>
      </c>
      <c r="J1106" s="37" t="s">
        <v>4866</v>
      </c>
      <c r="K1106" s="37" t="s">
        <v>23</v>
      </c>
      <c r="L1106" s="37" t="s">
        <v>198</v>
      </c>
      <c r="M1106" s="37" t="str">
        <f t="shared" si="104"/>
        <v>General</v>
      </c>
      <c r="N1106" s="37" t="str">
        <f t="shared" si="102"/>
        <v>Credit Card</v>
      </c>
      <c r="O1106" s="37" t="str" cm="1">
        <f t="array" ref="O1106">IF(TRIM(N1106)="",INDEX($N$2:$N$1500,MATCH(MAX(COUNTIF($N$2:$N$1500,$N$2:$N$1500)),COUNTIF($N$2:$N$1500,$N$2:$N$1500),0)),N1106)</f>
        <v>Credit Card</v>
      </c>
      <c r="P1106" s="38" cm="1">
        <f t="array" ref="P1106">ROUND(IF(TRIM(H1106)="",IFERROR(MEDIAN(IF($M$2:$M$1500=M1106,$H$2:$H$1500)),MEDIAN($H$2:$H$1500)),H1106),2)</f>
        <v>10.89</v>
      </c>
      <c r="Q1106" s="38" t="str">
        <f t="shared" si="105"/>
        <v>1</v>
      </c>
      <c r="R1106" s="39" cm="1">
        <f t="array" ref="R1106">IF(OR(TRIM(J1106)="",TRIM(J1106)="-"),MEDIAN(IF($C$2:$C$1218=C1106,$J$2:$J$1218)),VALUE(SUBSTITUTE(SUBSTITUTE(SUBSTITUTE(J1106,"Rs. ",""),"₹",""),",","")))</f>
        <v>8941</v>
      </c>
      <c r="S1106" s="40">
        <f t="shared" si="103"/>
        <v>5</v>
      </c>
      <c r="T1106" s="41">
        <f t="shared" si="106"/>
        <v>5</v>
      </c>
      <c r="U1106" s="42">
        <f t="shared" si="107"/>
        <v>8494</v>
      </c>
    </row>
    <row r="1107" spans="1:21" x14ac:dyDescent="0.3">
      <c r="A1107" s="37" t="s">
        <v>4867</v>
      </c>
      <c r="B1107" s="37" t="s">
        <v>2813</v>
      </c>
      <c r="C1107" s="37" t="s">
        <v>2629</v>
      </c>
      <c r="D1107" s="37" t="s">
        <v>106</v>
      </c>
      <c r="E1107" s="37" t="s">
        <v>107</v>
      </c>
      <c r="F1107" s="37" t="s">
        <v>49</v>
      </c>
      <c r="G1107" s="37" t="s">
        <v>2486</v>
      </c>
      <c r="H1107" s="37">
        <v>22.19</v>
      </c>
      <c r="I1107" s="37">
        <v>48</v>
      </c>
      <c r="J1107" s="37" t="s">
        <v>4868</v>
      </c>
      <c r="K1107" s="37" t="s">
        <v>115</v>
      </c>
      <c r="L1107" s="37">
        <v>0</v>
      </c>
      <c r="M1107" s="37" t="str">
        <f t="shared" si="104"/>
        <v>General</v>
      </c>
      <c r="N1107" s="37" t="str">
        <f t="shared" si="102"/>
        <v>Cash</v>
      </c>
      <c r="O1107" s="37" t="str" cm="1">
        <f t="array" ref="O1107">IF(TRIM(N1107)="",INDEX($N$2:$N$1500,MATCH(MAX(COUNTIF($N$2:$N$1500,$N$2:$N$1500)),COUNTIF($N$2:$N$1500,$N$2:$N$1500),0)),N1107)</f>
        <v>Cash</v>
      </c>
      <c r="P1107" s="38" cm="1">
        <f t="array" ref="P1107">ROUND(IF(TRIM(H1107)="",IFERROR(MEDIAN(IF($M$2:$M$1500=M1107,$H$2:$H$1500)),MEDIAN($H$2:$H$1500)),H1107),2)</f>
        <v>22.19</v>
      </c>
      <c r="Q1107" s="38" t="str">
        <f t="shared" si="105"/>
        <v>2+</v>
      </c>
      <c r="R1107" s="39" cm="1">
        <f t="array" ref="R1107">IF(OR(TRIM(J1107)="",TRIM(J1107)="-"),MEDIAN(IF($C$2:$C$1218=C1107,$J$2:$J$1218)),VALUE(SUBSTITUTE(SUBSTITUTE(SUBSTITUTE(J1107,"Rs. ",""),"₹",""),",","")))</f>
        <v>10436</v>
      </c>
      <c r="S1107" s="40">
        <f t="shared" si="103"/>
        <v>0</v>
      </c>
      <c r="T1107" s="41">
        <f t="shared" si="106"/>
        <v>0</v>
      </c>
      <c r="U1107" s="42">
        <f t="shared" si="107"/>
        <v>10436</v>
      </c>
    </row>
    <row r="1108" spans="1:21" x14ac:dyDescent="0.3">
      <c r="A1108" s="37" t="s">
        <v>4869</v>
      </c>
      <c r="B1108" s="37" t="s">
        <v>4870</v>
      </c>
      <c r="C1108" s="37" t="s">
        <v>2438</v>
      </c>
      <c r="D1108" s="37" t="s">
        <v>106</v>
      </c>
      <c r="E1108" s="37" t="s">
        <v>107</v>
      </c>
      <c r="F1108" s="37" t="s">
        <v>39</v>
      </c>
      <c r="G1108" s="37" t="s">
        <v>2408</v>
      </c>
      <c r="H1108" s="37">
        <v>10.81</v>
      </c>
      <c r="I1108" s="37">
        <v>40</v>
      </c>
      <c r="J1108" s="37">
        <v>15845</v>
      </c>
      <c r="K1108" s="37" t="s">
        <v>91</v>
      </c>
      <c r="L1108" s="37">
        <v>0</v>
      </c>
      <c r="M1108" s="37" t="str">
        <f t="shared" si="104"/>
        <v>General</v>
      </c>
      <c r="N1108" s="37" t="str">
        <f t="shared" si="102"/>
        <v>Debit Card</v>
      </c>
      <c r="O1108" s="37" t="str" cm="1">
        <f t="array" ref="O1108">IF(TRIM(N1108)="",INDEX($N$2:$N$1500,MATCH(MAX(COUNTIF($N$2:$N$1500,$N$2:$N$1500)),COUNTIF($N$2:$N$1500,$N$2:$N$1500),0)),N1108)</f>
        <v>Debit Card</v>
      </c>
      <c r="P1108" s="38" cm="1">
        <f t="array" ref="P1108">ROUND(IF(TRIM(H1108)="",IFERROR(MEDIAN(IF($M$2:$M$1500=M1108,$H$2:$H$1500)),MEDIAN($H$2:$H$1500)),H1108),2)</f>
        <v>10.81</v>
      </c>
      <c r="Q1108" s="38" t="str">
        <f t="shared" si="105"/>
        <v>0</v>
      </c>
      <c r="R1108" s="39" cm="1">
        <f t="array" ref="R1108">IF(OR(TRIM(J1108)="",TRIM(J1108)="-"),MEDIAN(IF($C$2:$C$1218=C1108,$J$2:$J$1218)),VALUE(SUBSTITUTE(SUBSTITUTE(SUBSTITUTE(J1108,"Rs. ",""),"₹",""),",","")))</f>
        <v>15845</v>
      </c>
      <c r="S1108" s="40">
        <f t="shared" si="103"/>
        <v>0</v>
      </c>
      <c r="T1108" s="41">
        <f t="shared" si="106"/>
        <v>0</v>
      </c>
      <c r="U1108" s="42">
        <f t="shared" si="107"/>
        <v>15845</v>
      </c>
    </row>
    <row r="1109" spans="1:21" x14ac:dyDescent="0.3">
      <c r="A1109" s="37" t="s">
        <v>4871</v>
      </c>
      <c r="B1109" s="37" t="s">
        <v>4265</v>
      </c>
      <c r="C1109" s="37" t="s">
        <v>2463</v>
      </c>
      <c r="D1109" s="37" t="s">
        <v>106</v>
      </c>
      <c r="E1109" s="37" t="s">
        <v>107</v>
      </c>
      <c r="F1109" s="37" t="s">
        <v>19</v>
      </c>
      <c r="G1109" s="37" t="s">
        <v>2418</v>
      </c>
      <c r="H1109" s="37">
        <v>19.8</v>
      </c>
      <c r="I1109" s="37">
        <v>1</v>
      </c>
      <c r="J1109" s="37" t="s">
        <v>4872</v>
      </c>
      <c r="K1109" s="37" t="s">
        <v>42</v>
      </c>
      <c r="L1109" s="37">
        <v>0.4</v>
      </c>
      <c r="M1109" s="37" t="str">
        <f t="shared" si="104"/>
        <v>General</v>
      </c>
      <c r="N1109" s="37" t="str">
        <f t="shared" si="102"/>
        <v>Insurance</v>
      </c>
      <c r="O1109" s="37" t="str" cm="1">
        <f t="array" ref="O1109">IF(TRIM(N1109)="",INDEX($N$2:$N$1500,MATCH(MAX(COUNTIF($N$2:$N$1500,$N$2:$N$1500)),COUNTIF($N$2:$N$1500,$N$2:$N$1500),0)),N1109)</f>
        <v>Insurance</v>
      </c>
      <c r="P1109" s="38" cm="1">
        <f t="array" ref="P1109">ROUND(IF(TRIM(H1109)="",IFERROR(MEDIAN(IF($M$2:$M$1500=M1109,$H$2:$H$1500)),MEDIAN($H$2:$H$1500)),H1109),2)</f>
        <v>19.8</v>
      </c>
      <c r="Q1109" s="38" t="str">
        <f t="shared" si="105"/>
        <v>1</v>
      </c>
      <c r="R1109" s="39" cm="1">
        <f t="array" ref="R1109">IF(OR(TRIM(J1109)="",TRIM(J1109)="-"),MEDIAN(IF($C$2:$C$1218=C1109,$J$2:$J$1218)),VALUE(SUBSTITUTE(SUBSTITUTE(SUBSTITUTE(J1109,"Rs. ",""),"₹",""),",","")))</f>
        <v>4287</v>
      </c>
      <c r="S1109" s="40">
        <f t="shared" si="103"/>
        <v>0.4</v>
      </c>
      <c r="T1109" s="41">
        <f t="shared" si="106"/>
        <v>0</v>
      </c>
      <c r="U1109" s="42">
        <f t="shared" si="107"/>
        <v>4287</v>
      </c>
    </row>
    <row r="1110" spans="1:21" x14ac:dyDescent="0.3">
      <c r="A1110" s="37" t="s">
        <v>4873</v>
      </c>
      <c r="B1110" s="37" t="s">
        <v>3225</v>
      </c>
      <c r="C1110" s="37" t="s">
        <v>2485</v>
      </c>
      <c r="D1110" s="37" t="s">
        <v>78</v>
      </c>
      <c r="E1110" s="37" t="s">
        <v>161</v>
      </c>
      <c r="F1110" s="37" t="s">
        <v>19</v>
      </c>
      <c r="G1110" s="37" t="s">
        <v>2439</v>
      </c>
      <c r="H1110" s="37">
        <v>12.6</v>
      </c>
      <c r="I1110" s="37">
        <v>39</v>
      </c>
      <c r="J1110" s="37">
        <v>19986</v>
      </c>
      <c r="K1110" s="37" t="s">
        <v>72</v>
      </c>
      <c r="L1110" s="37" t="s">
        <v>140</v>
      </c>
      <c r="M1110" s="37" t="str">
        <f t="shared" si="104"/>
        <v>General</v>
      </c>
      <c r="N1110" s="37" t="str">
        <f t="shared" si="102"/>
        <v>Cash</v>
      </c>
      <c r="O1110" s="37" t="str" cm="1">
        <f t="array" ref="O1110">IF(TRIM(N1110)="",INDEX($N$2:$N$1500,MATCH(MAX(COUNTIF($N$2:$N$1500,$N$2:$N$1500)),COUNTIF($N$2:$N$1500,$N$2:$N$1500),0)),N1110)</f>
        <v>Cash</v>
      </c>
      <c r="P1110" s="38" cm="1">
        <f t="array" ref="P1110">ROUND(IF(TRIM(H1110)="",IFERROR(MEDIAN(IF($M$2:$M$1500=M1110,$H$2:$H$1500)),MEDIAN($H$2:$H$1500)),H1110),2)</f>
        <v>12.6</v>
      </c>
      <c r="Q1110" s="38" t="str">
        <f t="shared" si="105"/>
        <v>2</v>
      </c>
      <c r="R1110" s="39" cm="1">
        <f t="array" ref="R1110">IF(OR(TRIM(J1110)="",TRIM(J1110)="-"),MEDIAN(IF($C$2:$C$1218=C1110,$J$2:$J$1218)),VALUE(SUBSTITUTE(SUBSTITUTE(SUBSTITUTE(J1110,"Rs. ",""),"₹",""),",","")))</f>
        <v>19986</v>
      </c>
      <c r="S1110" s="40" t="str">
        <f t="shared" si="103"/>
        <v>-</v>
      </c>
      <c r="T1110" s="41">
        <f t="shared" si="106"/>
        <v>2</v>
      </c>
      <c r="U1110" s="42">
        <f t="shared" si="107"/>
        <v>19586</v>
      </c>
    </row>
    <row r="1111" spans="1:21" x14ac:dyDescent="0.3">
      <c r="A1111" s="37" t="s">
        <v>4874</v>
      </c>
      <c r="B1111" s="37" t="s">
        <v>3455</v>
      </c>
      <c r="C1111" s="37" t="s">
        <v>2459</v>
      </c>
      <c r="D1111" s="37" t="s">
        <v>117</v>
      </c>
      <c r="E1111" s="37" t="s">
        <v>118</v>
      </c>
      <c r="F1111" s="37" t="s">
        <v>49</v>
      </c>
      <c r="G1111" s="37" t="s">
        <v>2435</v>
      </c>
      <c r="H1111" s="37">
        <v>8.43</v>
      </c>
      <c r="I1111" s="37">
        <v>16</v>
      </c>
      <c r="J1111" s="37" t="s">
        <v>4875</v>
      </c>
      <c r="K1111" s="37" t="s">
        <v>236</v>
      </c>
      <c r="L1111" s="37" t="s">
        <v>198</v>
      </c>
      <c r="M1111" s="37" t="str">
        <f t="shared" si="104"/>
        <v>General</v>
      </c>
      <c r="N1111" s="37" t="str">
        <f t="shared" si="102"/>
        <v>Debit Card</v>
      </c>
      <c r="O1111" s="37" t="str" cm="1">
        <f t="array" ref="O1111">IF(TRIM(N1111)="",INDEX($N$2:$N$1500,MATCH(MAX(COUNTIF($N$2:$N$1500,$N$2:$N$1500)),COUNTIF($N$2:$N$1500,$N$2:$N$1500),0)),N1111)</f>
        <v>Debit Card</v>
      </c>
      <c r="P1111" s="38" cm="1">
        <f t="array" ref="P1111">ROUND(IF(TRIM(H1111)="",IFERROR(MEDIAN(IF($M$2:$M$1500=M1111,$H$2:$H$1500)),MEDIAN($H$2:$H$1500)),H1111),2)</f>
        <v>8.43</v>
      </c>
      <c r="Q1111" s="38" t="str">
        <f t="shared" si="105"/>
        <v>0</v>
      </c>
      <c r="R1111" s="39" cm="1">
        <f t="array" ref="R1111">IF(OR(TRIM(J1111)="",TRIM(J1111)="-"),MEDIAN(IF($C$2:$C$1218=C1111,$J$2:$J$1218)),VALUE(SUBSTITUTE(SUBSTITUTE(SUBSTITUTE(J1111,"Rs. ",""),"₹",""),",","")))</f>
        <v>10851</v>
      </c>
      <c r="S1111" s="40">
        <f t="shared" si="103"/>
        <v>5</v>
      </c>
      <c r="T1111" s="41">
        <f t="shared" si="106"/>
        <v>5</v>
      </c>
      <c r="U1111" s="42">
        <f t="shared" si="107"/>
        <v>10308</v>
      </c>
    </row>
    <row r="1112" spans="1:21" x14ac:dyDescent="0.3">
      <c r="A1112" s="37" t="s">
        <v>4876</v>
      </c>
      <c r="B1112" s="37" t="s">
        <v>2621</v>
      </c>
      <c r="C1112" s="37" t="s">
        <v>2532</v>
      </c>
      <c r="D1112" s="37" t="s">
        <v>45</v>
      </c>
      <c r="E1112" s="37" t="s">
        <v>46</v>
      </c>
      <c r="F1112" s="37" t="s">
        <v>39</v>
      </c>
      <c r="G1112" s="37" t="s">
        <v>2423</v>
      </c>
      <c r="H1112" s="37">
        <v>13.06</v>
      </c>
      <c r="I1112" s="37">
        <v>54</v>
      </c>
      <c r="J1112" s="37" t="s">
        <v>4877</v>
      </c>
      <c r="K1112" s="37" t="s">
        <v>52</v>
      </c>
      <c r="L1112" s="37" t="s">
        <v>140</v>
      </c>
      <c r="M1112" s="37" t="str">
        <f t="shared" si="104"/>
        <v>General</v>
      </c>
      <c r="N1112" s="37" t="str">
        <f t="shared" si="102"/>
        <v>Credit Card</v>
      </c>
      <c r="O1112" s="37" t="str" cm="1">
        <f t="array" ref="O1112">IF(TRIM(N1112)="",INDEX($N$2:$N$1500,MATCH(MAX(COUNTIF($N$2:$N$1500,$N$2:$N$1500)),COUNTIF($N$2:$N$1500,$N$2:$N$1500),0)),N1112)</f>
        <v>Credit Card</v>
      </c>
      <c r="P1112" s="38" cm="1">
        <f t="array" ref="P1112">ROUND(IF(TRIM(H1112)="",IFERROR(MEDIAN(IF($M$2:$M$1500=M1112,$H$2:$H$1500)),MEDIAN($H$2:$H$1500)),H1112),2)</f>
        <v>13.06</v>
      </c>
      <c r="Q1112" s="38" t="str">
        <f t="shared" si="105"/>
        <v>0</v>
      </c>
      <c r="R1112" s="39" cm="1">
        <f t="array" ref="R1112">IF(OR(TRIM(J1112)="",TRIM(J1112)="-"),MEDIAN(IF($C$2:$C$1218=C1112,$J$2:$J$1218)),VALUE(SUBSTITUTE(SUBSTITUTE(SUBSTITUTE(J1112,"Rs. ",""),"₹",""),",","")))</f>
        <v>8989</v>
      </c>
      <c r="S1112" s="40" t="str">
        <f t="shared" si="103"/>
        <v>-</v>
      </c>
      <c r="T1112" s="41">
        <f t="shared" si="106"/>
        <v>2</v>
      </c>
      <c r="U1112" s="42">
        <f t="shared" si="107"/>
        <v>8809</v>
      </c>
    </row>
    <row r="1113" spans="1:21" x14ac:dyDescent="0.3">
      <c r="A1113" s="37" t="s">
        <v>4878</v>
      </c>
      <c r="B1113" s="37" t="s">
        <v>4146</v>
      </c>
      <c r="C1113" s="37" t="s">
        <v>2532</v>
      </c>
      <c r="D1113" s="37" t="s">
        <v>45</v>
      </c>
      <c r="E1113" s="37" t="s">
        <v>334</v>
      </c>
      <c r="F1113" s="37" t="s">
        <v>49</v>
      </c>
      <c r="G1113" s="37" t="s">
        <v>2408</v>
      </c>
      <c r="H1113" s="37"/>
      <c r="I1113" s="37">
        <v>45</v>
      </c>
      <c r="J1113" s="37">
        <v>15484</v>
      </c>
      <c r="K1113" s="37" t="s">
        <v>72</v>
      </c>
      <c r="L1113" s="37">
        <v>0</v>
      </c>
      <c r="M1113" s="37" t="str">
        <f t="shared" si="104"/>
        <v>General</v>
      </c>
      <c r="N1113" s="37" t="str">
        <f t="shared" si="102"/>
        <v>Cash</v>
      </c>
      <c r="O1113" s="37" t="str" cm="1">
        <f t="array" ref="O1113">IF(TRIM(N1113)="",INDEX($N$2:$N$1500,MATCH(MAX(COUNTIF($N$2:$N$1500,$N$2:$N$1500)),COUNTIF($N$2:$N$1500,$N$2:$N$1500),0)),N1113)</f>
        <v>Cash</v>
      </c>
      <c r="P1113" s="38" cm="1">
        <f t="array" ref="P1113">ROUND(IF(TRIM(H1113)="",IFERROR(MEDIAN(IF($M$2:$M$1500=M1113,$H$2:$H$1500)),MEDIAN($H$2:$H$1500)),H1113),2)</f>
        <v>12.02</v>
      </c>
      <c r="Q1113" s="38" t="str">
        <f t="shared" si="105"/>
        <v>0</v>
      </c>
      <c r="R1113" s="39" cm="1">
        <f t="array" ref="R1113">IF(OR(TRIM(J1113)="",TRIM(J1113)="-"),MEDIAN(IF($C$2:$C$1218=C1113,$J$2:$J$1218)),VALUE(SUBSTITUTE(SUBSTITUTE(SUBSTITUTE(J1113,"Rs. ",""),"₹",""),",","")))</f>
        <v>15484</v>
      </c>
      <c r="S1113" s="40">
        <f t="shared" si="103"/>
        <v>0</v>
      </c>
      <c r="T1113" s="41">
        <f t="shared" si="106"/>
        <v>0</v>
      </c>
      <c r="U1113" s="42">
        <f t="shared" si="107"/>
        <v>15484</v>
      </c>
    </row>
    <row r="1114" spans="1:21" x14ac:dyDescent="0.3">
      <c r="A1114" s="37" t="s">
        <v>4879</v>
      </c>
      <c r="B1114" s="37" t="s">
        <v>4880</v>
      </c>
      <c r="C1114" s="37" t="s">
        <v>2449</v>
      </c>
      <c r="D1114" s="37" t="s">
        <v>45</v>
      </c>
      <c r="E1114" s="37" t="s">
        <v>46</v>
      </c>
      <c r="F1114" s="37" t="s">
        <v>30</v>
      </c>
      <c r="G1114" s="37" t="s">
        <v>2435</v>
      </c>
      <c r="H1114" s="37">
        <v>3.03</v>
      </c>
      <c r="I1114" s="37">
        <v>34</v>
      </c>
      <c r="J1114" s="37" t="s">
        <v>4881</v>
      </c>
      <c r="K1114" s="37" t="s">
        <v>115</v>
      </c>
      <c r="L1114" s="37">
        <v>5</v>
      </c>
      <c r="M1114" s="37" t="str">
        <f t="shared" si="104"/>
        <v>General</v>
      </c>
      <c r="N1114" s="37" t="str">
        <f t="shared" si="102"/>
        <v>Cash</v>
      </c>
      <c r="O1114" s="37" t="str" cm="1">
        <f t="array" ref="O1114">IF(TRIM(N1114)="",INDEX($N$2:$N$1500,MATCH(MAX(COUNTIF($N$2:$N$1500,$N$2:$N$1500)),COUNTIF($N$2:$N$1500,$N$2:$N$1500),0)),N1114)</f>
        <v>Cash</v>
      </c>
      <c r="P1114" s="38" cm="1">
        <f t="array" ref="P1114">ROUND(IF(TRIM(H1114)="",IFERROR(MEDIAN(IF($M$2:$M$1500=M1114,$H$2:$H$1500)),MEDIAN($H$2:$H$1500)),H1114),2)</f>
        <v>3.03</v>
      </c>
      <c r="Q1114" s="38" t="str">
        <f t="shared" si="105"/>
        <v>0</v>
      </c>
      <c r="R1114" s="39" cm="1">
        <f t="array" ref="R1114">IF(OR(TRIM(J1114)="",TRIM(J1114)="-"),MEDIAN(IF($C$2:$C$1218=C1114,$J$2:$J$1218)),VALUE(SUBSTITUTE(SUBSTITUTE(SUBSTITUTE(J1114,"Rs. ",""),"₹",""),",","")))</f>
        <v>9936</v>
      </c>
      <c r="S1114" s="40">
        <f t="shared" si="103"/>
        <v>5</v>
      </c>
      <c r="T1114" s="41">
        <f t="shared" si="106"/>
        <v>5</v>
      </c>
      <c r="U1114" s="42">
        <f t="shared" si="107"/>
        <v>9439</v>
      </c>
    </row>
    <row r="1115" spans="1:21" x14ac:dyDescent="0.3">
      <c r="A1115" s="37" t="s">
        <v>4882</v>
      </c>
      <c r="B1115" s="37" t="s">
        <v>4883</v>
      </c>
      <c r="C1115" s="37" t="s">
        <v>2473</v>
      </c>
      <c r="D1115" s="37" t="s">
        <v>25</v>
      </c>
      <c r="E1115" s="37" t="s">
        <v>26</v>
      </c>
      <c r="F1115" s="37" t="s">
        <v>39</v>
      </c>
      <c r="G1115" s="37" t="s">
        <v>2428</v>
      </c>
      <c r="H1115" s="37">
        <v>5.76</v>
      </c>
      <c r="I1115" s="37">
        <v>33</v>
      </c>
      <c r="J1115" s="37">
        <v>16083</v>
      </c>
      <c r="K1115" s="37" t="s">
        <v>236</v>
      </c>
      <c r="L1115" s="37" t="s">
        <v>140</v>
      </c>
      <c r="M1115" s="37" t="str">
        <f t="shared" si="104"/>
        <v>General</v>
      </c>
      <c r="N1115" s="37" t="str">
        <f t="shared" si="102"/>
        <v>Debit Card</v>
      </c>
      <c r="O1115" s="37" t="str" cm="1">
        <f t="array" ref="O1115">IF(TRIM(N1115)="",INDEX($N$2:$N$1500,MATCH(MAX(COUNTIF($N$2:$N$1500,$N$2:$N$1500)),COUNTIF($N$2:$N$1500,$N$2:$N$1500),0)),N1115)</f>
        <v>Debit Card</v>
      </c>
      <c r="P1115" s="38" cm="1">
        <f t="array" ref="P1115">ROUND(IF(TRIM(H1115)="",IFERROR(MEDIAN(IF($M$2:$M$1500=M1115,$H$2:$H$1500)),MEDIAN($H$2:$H$1500)),H1115),2)</f>
        <v>5.76</v>
      </c>
      <c r="Q1115" s="38" t="str">
        <f t="shared" si="105"/>
        <v>2</v>
      </c>
      <c r="R1115" s="39" cm="1">
        <f t="array" ref="R1115">IF(OR(TRIM(J1115)="",TRIM(J1115)="-"),MEDIAN(IF($C$2:$C$1218=C1115,$J$2:$J$1218)),VALUE(SUBSTITUTE(SUBSTITUTE(SUBSTITUTE(J1115,"Rs. ",""),"₹",""),",","")))</f>
        <v>16083</v>
      </c>
      <c r="S1115" s="40" t="str">
        <f t="shared" si="103"/>
        <v>-</v>
      </c>
      <c r="T1115" s="41">
        <f t="shared" si="106"/>
        <v>3</v>
      </c>
      <c r="U1115" s="42">
        <f t="shared" si="107"/>
        <v>15601</v>
      </c>
    </row>
    <row r="1116" spans="1:21" x14ac:dyDescent="0.3">
      <c r="A1116" s="37" t="s">
        <v>4884</v>
      </c>
      <c r="B1116" s="37" t="s">
        <v>4690</v>
      </c>
      <c r="C1116" s="37" t="s">
        <v>2532</v>
      </c>
      <c r="D1116" s="37" t="s">
        <v>117</v>
      </c>
      <c r="E1116" s="37" t="s">
        <v>127</v>
      </c>
      <c r="F1116" s="37" t="s">
        <v>19</v>
      </c>
      <c r="G1116" s="37" t="s">
        <v>2477</v>
      </c>
      <c r="H1116" s="37">
        <v>8.56</v>
      </c>
      <c r="I1116" s="37">
        <v>10</v>
      </c>
      <c r="J1116" s="37">
        <v>11872</v>
      </c>
      <c r="K1116" s="37" t="s">
        <v>72</v>
      </c>
      <c r="L1116" s="37"/>
      <c r="M1116" s="37" t="str">
        <f t="shared" si="104"/>
        <v>General</v>
      </c>
      <c r="N1116" s="37" t="str">
        <f t="shared" si="102"/>
        <v>Cash</v>
      </c>
      <c r="O1116" s="37" t="str" cm="1">
        <f t="array" ref="O1116">IF(TRIM(N1116)="",INDEX($N$2:$N$1500,MATCH(MAX(COUNTIF($N$2:$N$1500,$N$2:$N$1500)),COUNTIF($N$2:$N$1500,$N$2:$N$1500),0)),N1116)</f>
        <v>Cash</v>
      </c>
      <c r="P1116" s="38" cm="1">
        <f t="array" ref="P1116">ROUND(IF(TRIM(H1116)="",IFERROR(MEDIAN(IF($M$2:$M$1500=M1116,$H$2:$H$1500)),MEDIAN($H$2:$H$1500)),H1116),2)</f>
        <v>8.56</v>
      </c>
      <c r="Q1116" s="38" t="str">
        <f t="shared" si="105"/>
        <v>0</v>
      </c>
      <c r="R1116" s="39" cm="1">
        <f t="array" ref="R1116">IF(OR(TRIM(J1116)="",TRIM(J1116)="-"),MEDIAN(IF($C$2:$C$1218=C1116,$J$2:$J$1218)),VALUE(SUBSTITUTE(SUBSTITUTE(SUBSTITUTE(J1116,"Rs. ",""),"₹",""),",","")))</f>
        <v>11872</v>
      </c>
      <c r="S1116" s="40">
        <f t="shared" si="103"/>
        <v>0</v>
      </c>
      <c r="T1116" s="41">
        <f t="shared" si="106"/>
        <v>0</v>
      </c>
      <c r="U1116" s="42">
        <f t="shared" si="107"/>
        <v>11872</v>
      </c>
    </row>
    <row r="1117" spans="1:21" x14ac:dyDescent="0.3">
      <c r="A1117" s="37" t="s">
        <v>4885</v>
      </c>
      <c r="B1117" s="37" t="s">
        <v>4886</v>
      </c>
      <c r="C1117" s="37" t="s">
        <v>2415</v>
      </c>
      <c r="D1117" s="37" t="s">
        <v>117</v>
      </c>
      <c r="E1117" s="37" t="s">
        <v>182</v>
      </c>
      <c r="F1117" s="37" t="s">
        <v>49</v>
      </c>
      <c r="G1117" s="37" t="s">
        <v>2455</v>
      </c>
      <c r="H1117" s="37">
        <v>6.46</v>
      </c>
      <c r="I1117" s="37">
        <v>38</v>
      </c>
      <c r="J1117" s="37" t="s">
        <v>4887</v>
      </c>
      <c r="K1117" s="37" t="s">
        <v>149</v>
      </c>
      <c r="L1117" s="37" t="s">
        <v>240</v>
      </c>
      <c r="M1117" s="37" t="str">
        <f t="shared" si="104"/>
        <v>General</v>
      </c>
      <c r="N1117" s="37" t="str">
        <f t="shared" si="102"/>
        <v>Insurance</v>
      </c>
      <c r="O1117" s="37" t="str" cm="1">
        <f t="array" ref="O1117">IF(TRIM(N1117)="",INDEX($N$2:$N$1500,MATCH(MAX(COUNTIF($N$2:$N$1500,$N$2:$N$1500)),COUNTIF($N$2:$N$1500,$N$2:$N$1500),0)),N1117)</f>
        <v>Insurance</v>
      </c>
      <c r="P1117" s="38" cm="1">
        <f t="array" ref="P1117">ROUND(IF(TRIM(H1117)="",IFERROR(MEDIAN(IF($M$2:$M$1500=M1117,$H$2:$H$1500)),MEDIAN($H$2:$H$1500)),H1117),2)</f>
        <v>6.46</v>
      </c>
      <c r="Q1117" s="38" t="str">
        <f t="shared" si="105"/>
        <v>1</v>
      </c>
      <c r="R1117" s="39" cm="1">
        <f t="array" ref="R1117">IF(OR(TRIM(J1117)="",TRIM(J1117)="-"),MEDIAN(IF($C$2:$C$1218=C1117,$J$2:$J$1218)),VALUE(SUBSTITUTE(SUBSTITUTE(SUBSTITUTE(J1117,"Rs. ",""),"₹",""),",","")))</f>
        <v>15889</v>
      </c>
      <c r="S1117" s="40">
        <f t="shared" si="103"/>
        <v>12</v>
      </c>
      <c r="T1117" s="41">
        <f t="shared" si="106"/>
        <v>12</v>
      </c>
      <c r="U1117" s="42">
        <f t="shared" si="107"/>
        <v>13982</v>
      </c>
    </row>
    <row r="1118" spans="1:21" x14ac:dyDescent="0.3">
      <c r="A1118" s="37" t="s">
        <v>4888</v>
      </c>
      <c r="B1118" s="37" t="s">
        <v>4889</v>
      </c>
      <c r="C1118" s="37" t="s">
        <v>2536</v>
      </c>
      <c r="D1118" s="37" t="s">
        <v>45</v>
      </c>
      <c r="E1118" s="37" t="s">
        <v>46</v>
      </c>
      <c r="F1118" s="37" t="s">
        <v>49</v>
      </c>
      <c r="G1118" s="37" t="s">
        <v>2423</v>
      </c>
      <c r="H1118" s="37">
        <v>23.32</v>
      </c>
      <c r="I1118" s="37">
        <v>22</v>
      </c>
      <c r="J1118" s="37" t="s">
        <v>4890</v>
      </c>
      <c r="K1118" s="37" t="s">
        <v>72</v>
      </c>
      <c r="L1118" s="37" t="s">
        <v>198</v>
      </c>
      <c r="M1118" s="37" t="str">
        <f t="shared" si="104"/>
        <v>General</v>
      </c>
      <c r="N1118" s="37" t="str">
        <f t="shared" si="102"/>
        <v>Cash</v>
      </c>
      <c r="O1118" s="37" t="str" cm="1">
        <f t="array" ref="O1118">IF(TRIM(N1118)="",INDEX($N$2:$N$1500,MATCH(MAX(COUNTIF($N$2:$N$1500,$N$2:$N$1500)),COUNTIF($N$2:$N$1500,$N$2:$N$1500),0)),N1118)</f>
        <v>Cash</v>
      </c>
      <c r="P1118" s="38" cm="1">
        <f t="array" ref="P1118">ROUND(IF(TRIM(H1118)="",IFERROR(MEDIAN(IF($M$2:$M$1500=M1118,$H$2:$H$1500)),MEDIAN($H$2:$H$1500)),H1118),2)</f>
        <v>23.32</v>
      </c>
      <c r="Q1118" s="38" t="str">
        <f t="shared" si="105"/>
        <v>0</v>
      </c>
      <c r="R1118" s="39" cm="1">
        <f t="array" ref="R1118">IF(OR(TRIM(J1118)="",TRIM(J1118)="-"),MEDIAN(IF($C$2:$C$1218=C1118,$J$2:$J$1218)),VALUE(SUBSTITUTE(SUBSTITUTE(SUBSTITUTE(J1118,"Rs. ",""),"₹",""),",","")))</f>
        <v>19099</v>
      </c>
      <c r="S1118" s="40">
        <f t="shared" si="103"/>
        <v>5</v>
      </c>
      <c r="T1118" s="41">
        <f t="shared" si="106"/>
        <v>5</v>
      </c>
      <c r="U1118" s="42">
        <f t="shared" si="107"/>
        <v>18144</v>
      </c>
    </row>
    <row r="1119" spans="1:21" x14ac:dyDescent="0.3">
      <c r="A1119" s="37" t="s">
        <v>4891</v>
      </c>
      <c r="B1119" s="37" t="s">
        <v>4393</v>
      </c>
      <c r="C1119" s="37" t="s">
        <v>2407</v>
      </c>
      <c r="D1119" s="37" t="s">
        <v>117</v>
      </c>
      <c r="E1119" s="37" t="s">
        <v>127</v>
      </c>
      <c r="F1119" s="37"/>
      <c r="G1119" s="37" t="s">
        <v>2477</v>
      </c>
      <c r="H1119" s="37">
        <v>19.149999999999999</v>
      </c>
      <c r="I1119" s="37">
        <v>11</v>
      </c>
      <c r="J1119" s="37" t="s">
        <v>4892</v>
      </c>
      <c r="K1119" s="37" t="s">
        <v>311</v>
      </c>
      <c r="L1119" s="37" t="s">
        <v>64</v>
      </c>
      <c r="M1119" s="37" t="str">
        <f t="shared" si="104"/>
        <v>Unknown</v>
      </c>
      <c r="N1119" s="37" t="str">
        <f t="shared" si="102"/>
        <v>UPI</v>
      </c>
      <c r="O1119" s="37" t="str" cm="1">
        <f t="array" ref="O1119">IF(TRIM(N1119)="",INDEX($N$2:$N$1500,MATCH(MAX(COUNTIF($N$2:$N$1500,$N$2:$N$1500)),COUNTIF($N$2:$N$1500,$N$2:$N$1500),0)),N1119)</f>
        <v>UPI</v>
      </c>
      <c r="P1119" s="38" cm="1">
        <f t="array" ref="P1119">ROUND(IF(TRIM(H1119)="",IFERROR(MEDIAN(IF($M$2:$M$1500=M1119,$H$2:$H$1500)),MEDIAN($H$2:$H$1500)),H1119),2)</f>
        <v>19.149999999999999</v>
      </c>
      <c r="Q1119" s="38" t="str">
        <f t="shared" si="105"/>
        <v>0</v>
      </c>
      <c r="R1119" s="39" cm="1">
        <f t="array" ref="R1119">IF(OR(TRIM(J1119)="",TRIM(J1119)="-"),MEDIAN(IF($C$2:$C$1218=C1119,$J$2:$J$1218)),VALUE(SUBSTITUTE(SUBSTITUTE(SUBSTITUTE(J1119,"Rs. ",""),"₹",""),",","")))</f>
        <v>8023</v>
      </c>
      <c r="S1119" s="40" t="str">
        <f t="shared" si="103"/>
        <v>NA</v>
      </c>
      <c r="T1119" s="41">
        <f t="shared" si="106"/>
        <v>2</v>
      </c>
      <c r="U1119" s="42">
        <f t="shared" si="107"/>
        <v>7863</v>
      </c>
    </row>
    <row r="1120" spans="1:21" x14ac:dyDescent="0.3">
      <c r="A1120" s="37" t="s">
        <v>4893</v>
      </c>
      <c r="B1120" s="37" t="s">
        <v>2910</v>
      </c>
      <c r="C1120" s="37" t="s">
        <v>2577</v>
      </c>
      <c r="D1120" s="37" t="s">
        <v>78</v>
      </c>
      <c r="E1120" s="37" t="s">
        <v>203</v>
      </c>
      <c r="F1120" s="37" t="s">
        <v>101</v>
      </c>
      <c r="G1120" s="37" t="s">
        <v>2439</v>
      </c>
      <c r="H1120" s="37">
        <v>16.510000000000002</v>
      </c>
      <c r="I1120" s="37">
        <v>3</v>
      </c>
      <c r="J1120" s="37" t="s">
        <v>4894</v>
      </c>
      <c r="K1120" s="37" t="s">
        <v>211</v>
      </c>
      <c r="L1120" s="37">
        <v>5</v>
      </c>
      <c r="M1120" s="37" t="str">
        <f t="shared" si="104"/>
        <v>ICU</v>
      </c>
      <c r="N1120" s="37" t="str">
        <f t="shared" si="102"/>
        <v>Credit Card</v>
      </c>
      <c r="O1120" s="37" t="str" cm="1">
        <f t="array" ref="O1120">IF(TRIM(N1120)="",INDEX($N$2:$N$1500,MATCH(MAX(COUNTIF($N$2:$N$1500,$N$2:$N$1500)),COUNTIF($N$2:$N$1500,$N$2:$N$1500),0)),N1120)</f>
        <v>Credit Card</v>
      </c>
      <c r="P1120" s="38" cm="1">
        <f t="array" ref="P1120">ROUND(IF(TRIM(H1120)="",IFERROR(MEDIAN(IF($M$2:$M$1500=M1120,$H$2:$H$1500)),MEDIAN($H$2:$H$1500)),H1120),2)</f>
        <v>16.510000000000002</v>
      </c>
      <c r="Q1120" s="38" t="str">
        <f t="shared" si="105"/>
        <v>2</v>
      </c>
      <c r="R1120" s="39" cm="1">
        <f t="array" ref="R1120">IF(OR(TRIM(J1120)="",TRIM(J1120)="-"),MEDIAN(IF($C$2:$C$1218=C1120,$J$2:$J$1218)),VALUE(SUBSTITUTE(SUBSTITUTE(SUBSTITUTE(J1120,"Rs. ",""),"₹",""),",","")))</f>
        <v>32057</v>
      </c>
      <c r="S1120" s="40">
        <f t="shared" si="103"/>
        <v>5</v>
      </c>
      <c r="T1120" s="41">
        <f t="shared" si="106"/>
        <v>5</v>
      </c>
      <c r="U1120" s="42">
        <f t="shared" si="107"/>
        <v>30454</v>
      </c>
    </row>
    <row r="1121" spans="1:21" x14ac:dyDescent="0.3">
      <c r="A1121" s="37" t="s">
        <v>4895</v>
      </c>
      <c r="B1121" s="37" t="s">
        <v>4896</v>
      </c>
      <c r="C1121" s="37" t="s">
        <v>2514</v>
      </c>
      <c r="D1121" s="37" t="s">
        <v>106</v>
      </c>
      <c r="E1121" s="37" t="s">
        <v>307</v>
      </c>
      <c r="F1121" s="37" t="s">
        <v>39</v>
      </c>
      <c r="G1121" s="37" t="s">
        <v>2408</v>
      </c>
      <c r="H1121" s="37">
        <v>15.21</v>
      </c>
      <c r="I1121" s="37">
        <v>16</v>
      </c>
      <c r="J1121" s="37">
        <v>17106</v>
      </c>
      <c r="K1121" s="37" t="s">
        <v>167</v>
      </c>
      <c r="L1121" s="37">
        <v>15</v>
      </c>
      <c r="M1121" s="37" t="str">
        <f t="shared" si="104"/>
        <v>General</v>
      </c>
      <c r="N1121" s="37" t="str">
        <f t="shared" si="102"/>
        <v>Insurance</v>
      </c>
      <c r="O1121" s="37" t="str" cm="1">
        <f t="array" ref="O1121">IF(TRIM(N1121)="",INDEX($N$2:$N$1500,MATCH(MAX(COUNTIF($N$2:$N$1500,$N$2:$N$1500)),COUNTIF($N$2:$N$1500,$N$2:$N$1500),0)),N1121)</f>
        <v>Insurance</v>
      </c>
      <c r="P1121" s="38" cm="1">
        <f t="array" ref="P1121">ROUND(IF(TRIM(H1121)="",IFERROR(MEDIAN(IF($M$2:$M$1500=M1121,$H$2:$H$1500)),MEDIAN($H$2:$H$1500)),H1121),2)</f>
        <v>15.21</v>
      </c>
      <c r="Q1121" s="38" t="str">
        <f t="shared" si="105"/>
        <v>0</v>
      </c>
      <c r="R1121" s="39" cm="1">
        <f t="array" ref="R1121">IF(OR(TRIM(J1121)="",TRIM(J1121)="-"),MEDIAN(IF($C$2:$C$1218=C1121,$J$2:$J$1218)),VALUE(SUBSTITUTE(SUBSTITUTE(SUBSTITUTE(J1121,"Rs. ",""),"₹",""),",","")))</f>
        <v>17106</v>
      </c>
      <c r="S1121" s="40">
        <f t="shared" si="103"/>
        <v>15</v>
      </c>
      <c r="T1121" s="41">
        <f t="shared" si="106"/>
        <v>15</v>
      </c>
      <c r="U1121" s="42">
        <f t="shared" si="107"/>
        <v>14540</v>
      </c>
    </row>
    <row r="1122" spans="1:21" x14ac:dyDescent="0.3">
      <c r="A1122" s="37" t="s">
        <v>4897</v>
      </c>
      <c r="B1122" s="37" t="s">
        <v>2804</v>
      </c>
      <c r="C1122" s="37" t="s">
        <v>2730</v>
      </c>
      <c r="D1122" s="37" t="s">
        <v>14</v>
      </c>
      <c r="E1122" s="37" t="s">
        <v>15</v>
      </c>
      <c r="F1122" s="37" t="s">
        <v>62</v>
      </c>
      <c r="G1122" s="37" t="s">
        <v>2408</v>
      </c>
      <c r="H1122" s="37">
        <v>22.04</v>
      </c>
      <c r="I1122" s="37">
        <v>57</v>
      </c>
      <c r="J1122" s="37">
        <v>67393</v>
      </c>
      <c r="K1122" s="37" t="s">
        <v>115</v>
      </c>
      <c r="L1122" s="37">
        <v>10</v>
      </c>
      <c r="M1122" s="37" t="str">
        <f t="shared" si="104"/>
        <v>ICU</v>
      </c>
      <c r="N1122" s="37" t="str">
        <f t="shared" si="102"/>
        <v>Cash</v>
      </c>
      <c r="O1122" s="37" t="str" cm="1">
        <f t="array" ref="O1122">IF(TRIM(N1122)="",INDEX($N$2:$N$1500,MATCH(MAX(COUNTIF($N$2:$N$1500,$N$2:$N$1500)),COUNTIF($N$2:$N$1500,$N$2:$N$1500),0)),N1122)</f>
        <v>Cash</v>
      </c>
      <c r="P1122" s="38" cm="1">
        <f t="array" ref="P1122">ROUND(IF(TRIM(H1122)="",IFERROR(MEDIAN(IF($M$2:$M$1500=M1122,$H$2:$H$1500)),MEDIAN($H$2:$H$1500)),H1122),2)</f>
        <v>22.04</v>
      </c>
      <c r="Q1122" s="38" t="str">
        <f t="shared" si="105"/>
        <v>0</v>
      </c>
      <c r="R1122" s="39" cm="1">
        <f t="array" ref="R1122">IF(OR(TRIM(J1122)="",TRIM(J1122)="-"),MEDIAN(IF($C$2:$C$1218=C1122,$J$2:$J$1218)),VALUE(SUBSTITUTE(SUBSTITUTE(SUBSTITUTE(J1122,"Rs. ",""),"₹",""),",","")))</f>
        <v>67393</v>
      </c>
      <c r="S1122" s="40">
        <f t="shared" si="103"/>
        <v>10</v>
      </c>
      <c r="T1122" s="41">
        <f t="shared" si="106"/>
        <v>10</v>
      </c>
      <c r="U1122" s="42">
        <f t="shared" si="107"/>
        <v>60654</v>
      </c>
    </row>
    <row r="1123" spans="1:21" x14ac:dyDescent="0.3">
      <c r="A1123" s="37" t="s">
        <v>4898</v>
      </c>
      <c r="B1123" s="37" t="s">
        <v>2489</v>
      </c>
      <c r="C1123" s="37" t="s">
        <v>2490</v>
      </c>
      <c r="D1123" s="37" t="s">
        <v>14</v>
      </c>
      <c r="E1123" s="37" t="s">
        <v>60</v>
      </c>
      <c r="F1123" s="37" t="s">
        <v>30</v>
      </c>
      <c r="G1123" s="37" t="s">
        <v>2486</v>
      </c>
      <c r="H1123" s="37">
        <v>21.84</v>
      </c>
      <c r="I1123" s="37">
        <v>56</v>
      </c>
      <c r="J1123" s="37" t="s">
        <v>140</v>
      </c>
      <c r="K1123" s="37" t="s">
        <v>311</v>
      </c>
      <c r="L1123" s="37">
        <v>0</v>
      </c>
      <c r="M1123" s="37" t="str">
        <f t="shared" si="104"/>
        <v>General</v>
      </c>
      <c r="N1123" s="37" t="str">
        <f t="shared" si="102"/>
        <v>UPI</v>
      </c>
      <c r="O1123" s="37" t="str" cm="1">
        <f t="array" ref="O1123">IF(TRIM(N1123)="",INDEX($N$2:$N$1500,MATCH(MAX(COUNTIF($N$2:$N$1500,$N$2:$N$1500)),COUNTIF($N$2:$N$1500,$N$2:$N$1500),0)),N1123)</f>
        <v>UPI</v>
      </c>
      <c r="P1123" s="38" cm="1">
        <f t="array" ref="P1123">ROUND(IF(TRIM(H1123)="",IFERROR(MEDIAN(IF($M$2:$M$1500=M1123,$H$2:$H$1500)),MEDIAN($H$2:$H$1500)),H1123),2)</f>
        <v>21.84</v>
      </c>
      <c r="Q1123" s="38" t="str">
        <f t="shared" si="105"/>
        <v>2+</v>
      </c>
      <c r="R1123" s="39" cm="1">
        <f t="array" ref="R1123">IF(OR(TRIM(J1123)="",TRIM(J1123)="-"),MEDIAN(IF($C$2:$C$1218=C1123,$J$2:$J$1218)),VALUE(SUBSTITUTE(SUBSTITUTE(SUBSTITUTE(J1123,"Rs. ",""),"₹",""),",","")))</f>
        <v>15057.5</v>
      </c>
      <c r="S1123" s="40">
        <f t="shared" si="103"/>
        <v>0</v>
      </c>
      <c r="T1123" s="41">
        <f t="shared" si="106"/>
        <v>0</v>
      </c>
      <c r="U1123" s="42">
        <f t="shared" si="107"/>
        <v>15058</v>
      </c>
    </row>
    <row r="1124" spans="1:21" x14ac:dyDescent="0.3">
      <c r="A1124" s="37" t="s">
        <v>4899</v>
      </c>
      <c r="B1124" s="37" t="s">
        <v>3362</v>
      </c>
      <c r="C1124" s="37" t="s">
        <v>2438</v>
      </c>
      <c r="D1124" s="37" t="s">
        <v>78</v>
      </c>
      <c r="E1124" s="37" t="s">
        <v>79</v>
      </c>
      <c r="F1124" s="37" t="s">
        <v>101</v>
      </c>
      <c r="G1124" s="37" t="s">
        <v>2423</v>
      </c>
      <c r="H1124" s="37">
        <v>7.78</v>
      </c>
      <c r="I1124" s="37">
        <v>51</v>
      </c>
      <c r="J1124" s="37">
        <v>80590</v>
      </c>
      <c r="K1124" s="37" t="s">
        <v>211</v>
      </c>
      <c r="L1124" s="37">
        <v>0</v>
      </c>
      <c r="M1124" s="37" t="str">
        <f t="shared" si="104"/>
        <v>ICU</v>
      </c>
      <c r="N1124" s="37" t="str">
        <f t="shared" si="102"/>
        <v>Credit Card</v>
      </c>
      <c r="O1124" s="37" t="str" cm="1">
        <f t="array" ref="O1124">IF(TRIM(N1124)="",INDEX($N$2:$N$1500,MATCH(MAX(COUNTIF($N$2:$N$1500,$N$2:$N$1500)),COUNTIF($N$2:$N$1500,$N$2:$N$1500),0)),N1124)</f>
        <v>Credit Card</v>
      </c>
      <c r="P1124" s="38" cm="1">
        <f t="array" ref="P1124">ROUND(IF(TRIM(H1124)="",IFERROR(MEDIAN(IF($M$2:$M$1500=M1124,$H$2:$H$1500)),MEDIAN($H$2:$H$1500)),H1124),2)</f>
        <v>7.78</v>
      </c>
      <c r="Q1124" s="38" t="str">
        <f t="shared" si="105"/>
        <v>0</v>
      </c>
      <c r="R1124" s="39" cm="1">
        <f t="array" ref="R1124">IF(OR(TRIM(J1124)="",TRIM(J1124)="-"),MEDIAN(IF($C$2:$C$1218=C1124,$J$2:$J$1218)),VALUE(SUBSTITUTE(SUBSTITUTE(SUBSTITUTE(J1124,"Rs. ",""),"₹",""),",","")))</f>
        <v>80590</v>
      </c>
      <c r="S1124" s="40">
        <f t="shared" si="103"/>
        <v>0</v>
      </c>
      <c r="T1124" s="41">
        <f t="shared" si="106"/>
        <v>0</v>
      </c>
      <c r="U1124" s="42">
        <f t="shared" si="107"/>
        <v>80590</v>
      </c>
    </row>
    <row r="1125" spans="1:21" x14ac:dyDescent="0.3">
      <c r="A1125" s="37" t="s">
        <v>4900</v>
      </c>
      <c r="B1125" s="37" t="s">
        <v>3331</v>
      </c>
      <c r="C1125" s="37" t="s">
        <v>2629</v>
      </c>
      <c r="D1125" s="37" t="s">
        <v>25</v>
      </c>
      <c r="E1125" s="37" t="s">
        <v>26</v>
      </c>
      <c r="F1125" s="37" t="s">
        <v>39</v>
      </c>
      <c r="G1125" s="37" t="s">
        <v>2477</v>
      </c>
      <c r="H1125" s="37">
        <v>11.67</v>
      </c>
      <c r="I1125" s="37">
        <v>53</v>
      </c>
      <c r="J1125" s="37" t="s">
        <v>4901</v>
      </c>
      <c r="K1125" s="37" t="s">
        <v>104</v>
      </c>
      <c r="L1125" s="37" t="s">
        <v>1626</v>
      </c>
      <c r="M1125" s="37" t="str">
        <f t="shared" si="104"/>
        <v>General</v>
      </c>
      <c r="N1125" s="37" t="str">
        <f t="shared" si="102"/>
        <v>Insurance</v>
      </c>
      <c r="O1125" s="37" t="str" cm="1">
        <f t="array" ref="O1125">IF(TRIM(N1125)="",INDEX($N$2:$N$1500,MATCH(MAX(COUNTIF($N$2:$N$1500,$N$2:$N$1500)),COUNTIF($N$2:$N$1500,$N$2:$N$1500),0)),N1125)</f>
        <v>Insurance</v>
      </c>
      <c r="P1125" s="38" cm="1">
        <f t="array" ref="P1125">ROUND(IF(TRIM(H1125)="",IFERROR(MEDIAN(IF($M$2:$M$1500=M1125,$H$2:$H$1500)),MEDIAN($H$2:$H$1500)),H1125),2)</f>
        <v>11.67</v>
      </c>
      <c r="Q1125" s="38" t="str">
        <f t="shared" si="105"/>
        <v>0</v>
      </c>
      <c r="R1125" s="39" cm="1">
        <f t="array" ref="R1125">IF(OR(TRIM(J1125)="",TRIM(J1125)="-"),MEDIAN(IF($C$2:$C$1218=C1125,$J$2:$J$1218)),VALUE(SUBSTITUTE(SUBSTITUTE(SUBSTITUTE(J1125,"Rs. ",""),"₹",""),",","")))</f>
        <v>10371</v>
      </c>
      <c r="S1125" s="40">
        <f t="shared" si="103"/>
        <v>40</v>
      </c>
      <c r="T1125" s="41">
        <f t="shared" si="106"/>
        <v>40</v>
      </c>
      <c r="U1125" s="42">
        <f t="shared" si="107"/>
        <v>6223</v>
      </c>
    </row>
    <row r="1126" spans="1:21" x14ac:dyDescent="0.3">
      <c r="A1126" s="37" t="s">
        <v>4902</v>
      </c>
      <c r="B1126" s="37" t="s">
        <v>2769</v>
      </c>
      <c r="C1126" s="37" t="s">
        <v>2469</v>
      </c>
      <c r="D1126" s="37" t="s">
        <v>117</v>
      </c>
      <c r="E1126" s="37" t="s">
        <v>127</v>
      </c>
      <c r="F1126" s="37" t="s">
        <v>62</v>
      </c>
      <c r="G1126" s="37" t="s">
        <v>2435</v>
      </c>
      <c r="H1126" s="37">
        <v>11.83</v>
      </c>
      <c r="I1126" s="37">
        <v>28</v>
      </c>
      <c r="J1126" s="37" t="s">
        <v>4903</v>
      </c>
      <c r="K1126" s="37" t="s">
        <v>149</v>
      </c>
      <c r="L1126" s="37" t="s">
        <v>43</v>
      </c>
      <c r="M1126" s="37" t="str">
        <f t="shared" si="104"/>
        <v>ICU</v>
      </c>
      <c r="N1126" s="37" t="str">
        <f t="shared" si="102"/>
        <v>Insurance</v>
      </c>
      <c r="O1126" s="37" t="str" cm="1">
        <f t="array" ref="O1126">IF(TRIM(N1126)="",INDEX($N$2:$N$1500,MATCH(MAX(COUNTIF($N$2:$N$1500,$N$2:$N$1500)),COUNTIF($N$2:$N$1500,$N$2:$N$1500),0)),N1126)</f>
        <v>Insurance</v>
      </c>
      <c r="P1126" s="38" cm="1">
        <f t="array" ref="P1126">ROUND(IF(TRIM(H1126)="",IFERROR(MEDIAN(IF($M$2:$M$1500=M1126,$H$2:$H$1500)),MEDIAN($H$2:$H$1500)),H1126),2)</f>
        <v>11.83</v>
      </c>
      <c r="Q1126" s="38" t="str">
        <f t="shared" si="105"/>
        <v>0</v>
      </c>
      <c r="R1126" s="39" cm="1">
        <f t="array" ref="R1126">IF(OR(TRIM(J1126)="",TRIM(J1126)="-"),MEDIAN(IF($C$2:$C$1218=C1126,$J$2:$J$1218)),VALUE(SUBSTITUTE(SUBSTITUTE(SUBSTITUTE(J1126,"Rs. ",""),"₹",""),",","")))</f>
        <v>66132</v>
      </c>
      <c r="S1126" s="40">
        <f t="shared" si="103"/>
        <v>18</v>
      </c>
      <c r="T1126" s="41">
        <f t="shared" si="106"/>
        <v>18</v>
      </c>
      <c r="U1126" s="42">
        <f t="shared" si="107"/>
        <v>54228</v>
      </c>
    </row>
    <row r="1127" spans="1:21" x14ac:dyDescent="0.3">
      <c r="A1127" s="37" t="s">
        <v>4904</v>
      </c>
      <c r="B1127" s="37" t="s">
        <v>4905</v>
      </c>
      <c r="C1127" s="37" t="s">
        <v>2438</v>
      </c>
      <c r="D1127" s="37" t="s">
        <v>45</v>
      </c>
      <c r="E1127" s="37" t="s">
        <v>334</v>
      </c>
      <c r="F1127" s="37" t="s">
        <v>49</v>
      </c>
      <c r="G1127" s="37" t="s">
        <v>2450</v>
      </c>
      <c r="H1127" s="37">
        <v>21.1</v>
      </c>
      <c r="I1127" s="37">
        <v>21</v>
      </c>
      <c r="J1127" s="37" t="s">
        <v>4906</v>
      </c>
      <c r="K1127" s="37" t="s">
        <v>58</v>
      </c>
      <c r="L1127" s="37">
        <v>0</v>
      </c>
      <c r="M1127" s="37" t="str">
        <f t="shared" si="104"/>
        <v>General</v>
      </c>
      <c r="N1127" s="37" t="str">
        <f t="shared" si="102"/>
        <v>UPI</v>
      </c>
      <c r="O1127" s="37" t="str" cm="1">
        <f t="array" ref="O1127">IF(TRIM(N1127)="",INDEX($N$2:$N$1500,MATCH(MAX(COUNTIF($N$2:$N$1500,$N$2:$N$1500)),COUNTIF($N$2:$N$1500,$N$2:$N$1500),0)),N1127)</f>
        <v>UPI</v>
      </c>
      <c r="P1127" s="38" cm="1">
        <f t="array" ref="P1127">ROUND(IF(TRIM(H1127)="",IFERROR(MEDIAN(IF($M$2:$M$1500=M1127,$H$2:$H$1500)),MEDIAN($H$2:$H$1500)),H1127),2)</f>
        <v>21.1</v>
      </c>
      <c r="Q1127" s="38" t="str">
        <f t="shared" si="105"/>
        <v>1</v>
      </c>
      <c r="R1127" s="39" cm="1">
        <f t="array" ref="R1127">IF(OR(TRIM(J1127)="",TRIM(J1127)="-"),MEDIAN(IF($C$2:$C$1218=C1127,$J$2:$J$1218)),VALUE(SUBSTITUTE(SUBSTITUTE(SUBSTITUTE(J1127,"Rs. ",""),"₹",""),",","")))</f>
        <v>5203</v>
      </c>
      <c r="S1127" s="40">
        <f t="shared" si="103"/>
        <v>0</v>
      </c>
      <c r="T1127" s="41">
        <f t="shared" si="106"/>
        <v>0</v>
      </c>
      <c r="U1127" s="42">
        <f t="shared" si="107"/>
        <v>5203</v>
      </c>
    </row>
    <row r="1128" spans="1:21" x14ac:dyDescent="0.3">
      <c r="A1128" s="37" t="s">
        <v>4907</v>
      </c>
      <c r="B1128" s="37" t="s">
        <v>4564</v>
      </c>
      <c r="C1128" s="37" t="s">
        <v>2411</v>
      </c>
      <c r="D1128" s="37" t="s">
        <v>45</v>
      </c>
      <c r="E1128" s="37" t="s">
        <v>46</v>
      </c>
      <c r="F1128" s="37" t="s">
        <v>39</v>
      </c>
      <c r="G1128" s="37" t="s">
        <v>2408</v>
      </c>
      <c r="H1128" s="37">
        <v>24.37</v>
      </c>
      <c r="I1128" s="37">
        <v>10</v>
      </c>
      <c r="J1128" s="37">
        <v>18836</v>
      </c>
      <c r="K1128" s="37" t="s">
        <v>34</v>
      </c>
      <c r="L1128" s="37" t="s">
        <v>140</v>
      </c>
      <c r="M1128" s="37" t="str">
        <f t="shared" si="104"/>
        <v>General</v>
      </c>
      <c r="N1128" s="37" t="str">
        <f t="shared" si="102"/>
        <v>Cash</v>
      </c>
      <c r="O1128" s="37" t="str" cm="1">
        <f t="array" ref="O1128">IF(TRIM(N1128)="",INDEX($N$2:$N$1500,MATCH(MAX(COUNTIF($N$2:$N$1500,$N$2:$N$1500)),COUNTIF($N$2:$N$1500,$N$2:$N$1500),0)),N1128)</f>
        <v>Cash</v>
      </c>
      <c r="P1128" s="38" cm="1">
        <f t="array" ref="P1128">ROUND(IF(TRIM(H1128)="",IFERROR(MEDIAN(IF($M$2:$M$1500=M1128,$H$2:$H$1500)),MEDIAN($H$2:$H$1500)),H1128),2)</f>
        <v>24.37</v>
      </c>
      <c r="Q1128" s="38" t="str">
        <f t="shared" si="105"/>
        <v>0</v>
      </c>
      <c r="R1128" s="39" cm="1">
        <f t="array" ref="R1128">IF(OR(TRIM(J1128)="",TRIM(J1128)="-"),MEDIAN(IF($C$2:$C$1218=C1128,$J$2:$J$1218)),VALUE(SUBSTITUTE(SUBSTITUTE(SUBSTITUTE(J1128,"Rs. ",""),"₹",""),",","")))</f>
        <v>18836</v>
      </c>
      <c r="S1128" s="40" t="str">
        <f t="shared" si="103"/>
        <v>-</v>
      </c>
      <c r="T1128" s="41">
        <f t="shared" si="106"/>
        <v>2</v>
      </c>
      <c r="U1128" s="42">
        <f t="shared" si="107"/>
        <v>18459</v>
      </c>
    </row>
    <row r="1129" spans="1:21" x14ac:dyDescent="0.3">
      <c r="A1129" s="37" t="s">
        <v>4908</v>
      </c>
      <c r="B1129" s="37" t="s">
        <v>4909</v>
      </c>
      <c r="C1129" s="37" t="s">
        <v>2577</v>
      </c>
      <c r="D1129" s="37" t="s">
        <v>45</v>
      </c>
      <c r="E1129" s="37" t="s">
        <v>46</v>
      </c>
      <c r="F1129" s="37" t="s">
        <v>19</v>
      </c>
      <c r="G1129" s="37" t="s">
        <v>2418</v>
      </c>
      <c r="H1129" s="37">
        <v>4.25</v>
      </c>
      <c r="I1129" s="37">
        <v>43</v>
      </c>
      <c r="J1129" s="37" t="s">
        <v>4910</v>
      </c>
      <c r="K1129" s="37" t="s">
        <v>115</v>
      </c>
      <c r="L1129" s="37" t="s">
        <v>64</v>
      </c>
      <c r="M1129" s="37" t="str">
        <f t="shared" si="104"/>
        <v>General</v>
      </c>
      <c r="N1129" s="37" t="str">
        <f t="shared" si="102"/>
        <v>Cash</v>
      </c>
      <c r="O1129" s="37" t="str" cm="1">
        <f t="array" ref="O1129">IF(TRIM(N1129)="",INDEX($N$2:$N$1500,MATCH(MAX(COUNTIF($N$2:$N$1500,$N$2:$N$1500)),COUNTIF($N$2:$N$1500,$N$2:$N$1500),0)),N1129)</f>
        <v>Cash</v>
      </c>
      <c r="P1129" s="38" cm="1">
        <f t="array" ref="P1129">ROUND(IF(TRIM(H1129)="",IFERROR(MEDIAN(IF($M$2:$M$1500=M1129,$H$2:$H$1500)),MEDIAN($H$2:$H$1500)),H1129),2)</f>
        <v>4.25</v>
      </c>
      <c r="Q1129" s="38" t="str">
        <f t="shared" si="105"/>
        <v>1</v>
      </c>
      <c r="R1129" s="39" cm="1">
        <f t="array" ref="R1129">IF(OR(TRIM(J1129)="",TRIM(J1129)="-"),MEDIAN(IF($C$2:$C$1218=C1129,$J$2:$J$1218)),VALUE(SUBSTITUTE(SUBSTITUTE(SUBSTITUTE(J1129,"Rs. ",""),"₹",""),",","")))</f>
        <v>16377</v>
      </c>
      <c r="S1129" s="40" t="str">
        <f t="shared" si="103"/>
        <v>NA</v>
      </c>
      <c r="T1129" s="41">
        <f t="shared" si="106"/>
        <v>2</v>
      </c>
      <c r="U1129" s="42">
        <f t="shared" si="107"/>
        <v>16049</v>
      </c>
    </row>
    <row r="1130" spans="1:21" x14ac:dyDescent="0.3">
      <c r="A1130" s="37" t="s">
        <v>4911</v>
      </c>
      <c r="B1130" s="37" t="s">
        <v>2444</v>
      </c>
      <c r="C1130" s="37" t="s">
        <v>2445</v>
      </c>
      <c r="D1130" s="37" t="s">
        <v>78</v>
      </c>
      <c r="E1130" s="37" t="s">
        <v>79</v>
      </c>
      <c r="F1130" s="37" t="s">
        <v>101</v>
      </c>
      <c r="G1130" s="37" t="s">
        <v>2423</v>
      </c>
      <c r="H1130" s="37">
        <v>6</v>
      </c>
      <c r="I1130" s="37">
        <v>32</v>
      </c>
      <c r="J1130" s="37">
        <v>28650</v>
      </c>
      <c r="K1130" s="37" t="s">
        <v>52</v>
      </c>
      <c r="L1130" s="37" t="s">
        <v>76</v>
      </c>
      <c r="M1130" s="37" t="str">
        <f t="shared" si="104"/>
        <v>ICU</v>
      </c>
      <c r="N1130" s="37" t="str">
        <f t="shared" si="102"/>
        <v>Credit Card</v>
      </c>
      <c r="O1130" s="37" t="str" cm="1">
        <f t="array" ref="O1130">IF(TRIM(N1130)="",INDEX($N$2:$N$1500,MATCH(MAX(COUNTIF($N$2:$N$1500,$N$2:$N$1500)),COUNTIF($N$2:$N$1500,$N$2:$N$1500),0)),N1130)</f>
        <v>Credit Card</v>
      </c>
      <c r="P1130" s="38" cm="1">
        <f t="array" ref="P1130">ROUND(IF(TRIM(H1130)="",IFERROR(MEDIAN(IF($M$2:$M$1500=M1130,$H$2:$H$1500)),MEDIAN($H$2:$H$1500)),H1130),2)</f>
        <v>6</v>
      </c>
      <c r="Q1130" s="38" t="str">
        <f t="shared" si="105"/>
        <v>0</v>
      </c>
      <c r="R1130" s="39" cm="1">
        <f t="array" ref="R1130">IF(OR(TRIM(J1130)="",TRIM(J1130)="-"),MEDIAN(IF($C$2:$C$1218=C1130,$J$2:$J$1218)),VALUE(SUBSTITUTE(SUBSTITUTE(SUBSTITUTE(J1130,"Rs. ",""),"₹",""),",","")))</f>
        <v>28650</v>
      </c>
      <c r="S1130" s="40">
        <f t="shared" si="103"/>
        <v>10</v>
      </c>
      <c r="T1130" s="41">
        <f t="shared" si="106"/>
        <v>10</v>
      </c>
      <c r="U1130" s="42">
        <f t="shared" si="107"/>
        <v>25785</v>
      </c>
    </row>
    <row r="1131" spans="1:21" x14ac:dyDescent="0.3">
      <c r="A1131" s="37" t="s">
        <v>4912</v>
      </c>
      <c r="B1131" s="37" t="s">
        <v>4883</v>
      </c>
      <c r="C1131" s="37" t="s">
        <v>2473</v>
      </c>
      <c r="D1131" s="37" t="s">
        <v>25</v>
      </c>
      <c r="E1131" s="37" t="s">
        <v>26</v>
      </c>
      <c r="F1131" s="37" t="s">
        <v>101</v>
      </c>
      <c r="G1131" s="37"/>
      <c r="H1131" s="37">
        <v>16.11</v>
      </c>
      <c r="I1131" s="37">
        <v>7</v>
      </c>
      <c r="J1131" s="37" t="s">
        <v>4913</v>
      </c>
      <c r="K1131" s="37" t="s">
        <v>149</v>
      </c>
      <c r="L1131" s="37">
        <v>5</v>
      </c>
      <c r="M1131" s="37" t="str">
        <f t="shared" si="104"/>
        <v>ICU</v>
      </c>
      <c r="N1131" s="37" t="str">
        <f t="shared" si="102"/>
        <v>Insurance</v>
      </c>
      <c r="O1131" s="37" t="str" cm="1">
        <f t="array" ref="O1131">IF(TRIM(N1131)="",INDEX($N$2:$N$1500,MATCH(MAX(COUNTIF($N$2:$N$1500,$N$2:$N$1500)),COUNTIF($N$2:$N$1500,$N$2:$N$1500),0)),N1131)</f>
        <v>Insurance</v>
      </c>
      <c r="P1131" s="38" cm="1">
        <f t="array" ref="P1131">ROUND(IF(TRIM(H1131)="",IFERROR(MEDIAN(IF($M$2:$M$1500=M1131,$H$2:$H$1500)),MEDIAN($H$2:$H$1500)),H1131),2)</f>
        <v>16.11</v>
      </c>
      <c r="Q1131" s="38" t="str">
        <f t="shared" si="105"/>
        <v>Unknown</v>
      </c>
      <c r="R1131" s="39" cm="1">
        <f t="array" ref="R1131">IF(OR(TRIM(J1131)="",TRIM(J1131)="-"),MEDIAN(IF($C$2:$C$1218=C1131,$J$2:$J$1218)),VALUE(SUBSTITUTE(SUBSTITUTE(SUBSTITUTE(J1131,"Rs. ",""),"₹",""),",","")))</f>
        <v>82148</v>
      </c>
      <c r="S1131" s="40">
        <f t="shared" si="103"/>
        <v>5</v>
      </c>
      <c r="T1131" s="41">
        <f t="shared" si="106"/>
        <v>5</v>
      </c>
      <c r="U1131" s="42">
        <f t="shared" si="107"/>
        <v>78041</v>
      </c>
    </row>
    <row r="1132" spans="1:21" x14ac:dyDescent="0.3">
      <c r="A1132" s="37" t="s">
        <v>4914</v>
      </c>
      <c r="B1132" s="37" t="s">
        <v>2712</v>
      </c>
      <c r="C1132" s="37" t="s">
        <v>2438</v>
      </c>
      <c r="D1132" s="37" t="s">
        <v>14</v>
      </c>
      <c r="E1132" s="37" t="s">
        <v>60</v>
      </c>
      <c r="F1132" s="37" t="s">
        <v>49</v>
      </c>
      <c r="G1132" s="37" t="s">
        <v>2423</v>
      </c>
      <c r="H1132" s="37">
        <v>23.74</v>
      </c>
      <c r="I1132" s="37">
        <v>21</v>
      </c>
      <c r="J1132" s="37"/>
      <c r="K1132" s="37" t="s">
        <v>23</v>
      </c>
      <c r="L1132" s="37">
        <v>0</v>
      </c>
      <c r="M1132" s="37" t="str">
        <f t="shared" si="104"/>
        <v>General</v>
      </c>
      <c r="N1132" s="37" t="str">
        <f t="shared" si="102"/>
        <v>Credit Card</v>
      </c>
      <c r="O1132" s="37" t="str" cm="1">
        <f t="array" ref="O1132">IF(TRIM(N1132)="",INDEX($N$2:$N$1500,MATCH(MAX(COUNTIF($N$2:$N$1500,$N$2:$N$1500)),COUNTIF($N$2:$N$1500,$N$2:$N$1500),0)),N1132)</f>
        <v>Credit Card</v>
      </c>
      <c r="P1132" s="38" cm="1">
        <f t="array" ref="P1132">ROUND(IF(TRIM(H1132)="",IFERROR(MEDIAN(IF($M$2:$M$1500=M1132,$H$2:$H$1500)),MEDIAN($H$2:$H$1500)),H1132),2)</f>
        <v>23.74</v>
      </c>
      <c r="Q1132" s="38" t="str">
        <f t="shared" si="105"/>
        <v>0</v>
      </c>
      <c r="R1132" s="39" cm="1">
        <f t="array" ref="R1132">IF(OR(TRIM(J1132)="",TRIM(J1132)="-"),MEDIAN(IF($C$2:$C$1218=C1132,$J$2:$J$1218)),VALUE(SUBSTITUTE(SUBSTITUTE(SUBSTITUTE(J1132,"Rs. ",""),"₹",""),",","")))</f>
        <v>13244</v>
      </c>
      <c r="S1132" s="40">
        <f t="shared" si="103"/>
        <v>0</v>
      </c>
      <c r="T1132" s="41">
        <f t="shared" si="106"/>
        <v>0</v>
      </c>
      <c r="U1132" s="42">
        <f t="shared" si="107"/>
        <v>13244</v>
      </c>
    </row>
    <row r="1133" spans="1:21" x14ac:dyDescent="0.3">
      <c r="A1133" s="37" t="s">
        <v>4915</v>
      </c>
      <c r="B1133" s="37" t="s">
        <v>4408</v>
      </c>
      <c r="C1133" s="37" t="s">
        <v>2407</v>
      </c>
      <c r="D1133" s="37" t="s">
        <v>117</v>
      </c>
      <c r="E1133" s="37" t="s">
        <v>118</v>
      </c>
      <c r="F1133" s="37" t="s">
        <v>39</v>
      </c>
      <c r="G1133" s="37" t="s">
        <v>2477</v>
      </c>
      <c r="H1133" s="37">
        <v>23.62</v>
      </c>
      <c r="I1133" s="37" t="s">
        <v>140</v>
      </c>
      <c r="J1133" s="37">
        <v>18570</v>
      </c>
      <c r="K1133" s="37" t="s">
        <v>97</v>
      </c>
      <c r="L1133" s="37" t="s">
        <v>140</v>
      </c>
      <c r="M1133" s="37" t="str">
        <f t="shared" si="104"/>
        <v>General</v>
      </c>
      <c r="N1133" s="37" t="str">
        <f t="shared" si="102"/>
        <v>UPI</v>
      </c>
      <c r="O1133" s="37" t="str" cm="1">
        <f t="array" ref="O1133">IF(TRIM(N1133)="",INDEX($N$2:$N$1500,MATCH(MAX(COUNTIF($N$2:$N$1500,$N$2:$N$1500)),COUNTIF($N$2:$N$1500,$N$2:$N$1500),0)),N1133)</f>
        <v>UPI</v>
      </c>
      <c r="P1133" s="38" cm="1">
        <f t="array" ref="P1133">ROUND(IF(TRIM(H1133)="",IFERROR(MEDIAN(IF($M$2:$M$1500=M1133,$H$2:$H$1500)),MEDIAN($H$2:$H$1500)),H1133),2)</f>
        <v>23.62</v>
      </c>
      <c r="Q1133" s="38" t="str">
        <f t="shared" si="105"/>
        <v>0</v>
      </c>
      <c r="R1133" s="39" cm="1">
        <f t="array" ref="R1133">IF(OR(TRIM(J1133)="",TRIM(J1133)="-"),MEDIAN(IF($C$2:$C$1218=C1133,$J$2:$J$1218)),VALUE(SUBSTITUTE(SUBSTITUTE(SUBSTITUTE(J1133,"Rs. ",""),"₹",""),",","")))</f>
        <v>18570</v>
      </c>
      <c r="S1133" s="40" t="str">
        <f t="shared" si="103"/>
        <v>-</v>
      </c>
      <c r="T1133" s="41">
        <f t="shared" si="106"/>
        <v>2</v>
      </c>
      <c r="U1133" s="42">
        <f t="shared" si="107"/>
        <v>18199</v>
      </c>
    </row>
    <row r="1134" spans="1:21" x14ac:dyDescent="0.3">
      <c r="A1134" s="37" t="s">
        <v>4916</v>
      </c>
      <c r="B1134" s="37" t="s">
        <v>2531</v>
      </c>
      <c r="C1134" s="37" t="s">
        <v>2532</v>
      </c>
      <c r="D1134" s="37" t="s">
        <v>14</v>
      </c>
      <c r="E1134" s="37" t="s">
        <v>15</v>
      </c>
      <c r="F1134" s="37" t="s">
        <v>39</v>
      </c>
      <c r="G1134" s="37" t="s">
        <v>2435</v>
      </c>
      <c r="H1134" s="37">
        <v>13.8</v>
      </c>
      <c r="I1134" s="37">
        <v>58</v>
      </c>
      <c r="J1134" s="37">
        <v>18896</v>
      </c>
      <c r="K1134" s="37" t="s">
        <v>311</v>
      </c>
      <c r="L1134" s="37" t="s">
        <v>64</v>
      </c>
      <c r="M1134" s="37" t="str">
        <f t="shared" si="104"/>
        <v>General</v>
      </c>
      <c r="N1134" s="37" t="str">
        <f t="shared" si="102"/>
        <v>UPI</v>
      </c>
      <c r="O1134" s="37" t="str" cm="1">
        <f t="array" ref="O1134">IF(TRIM(N1134)="",INDEX($N$2:$N$1500,MATCH(MAX(COUNTIF($N$2:$N$1500,$N$2:$N$1500)),COUNTIF($N$2:$N$1500,$N$2:$N$1500),0)),N1134)</f>
        <v>UPI</v>
      </c>
      <c r="P1134" s="38" cm="1">
        <f t="array" ref="P1134">ROUND(IF(TRIM(H1134)="",IFERROR(MEDIAN(IF($M$2:$M$1500=M1134,$H$2:$H$1500)),MEDIAN($H$2:$H$1500)),H1134),2)</f>
        <v>13.8</v>
      </c>
      <c r="Q1134" s="38" t="str">
        <f t="shared" si="105"/>
        <v>0</v>
      </c>
      <c r="R1134" s="39" cm="1">
        <f t="array" ref="R1134">IF(OR(TRIM(J1134)="",TRIM(J1134)="-"),MEDIAN(IF($C$2:$C$1218=C1134,$J$2:$J$1218)),VALUE(SUBSTITUTE(SUBSTITUTE(SUBSTITUTE(J1134,"Rs. ",""),"₹",""),",","")))</f>
        <v>18896</v>
      </c>
      <c r="S1134" s="40" t="str">
        <f t="shared" si="103"/>
        <v>NA</v>
      </c>
      <c r="T1134" s="41">
        <f t="shared" si="106"/>
        <v>2</v>
      </c>
      <c r="U1134" s="42">
        <f t="shared" si="107"/>
        <v>18518</v>
      </c>
    </row>
    <row r="1135" spans="1:21" x14ac:dyDescent="0.3">
      <c r="A1135" s="37" t="s">
        <v>4917</v>
      </c>
      <c r="B1135" s="37" t="s">
        <v>2796</v>
      </c>
      <c r="C1135" s="37" t="s">
        <v>2518</v>
      </c>
      <c r="D1135" s="37" t="s">
        <v>106</v>
      </c>
      <c r="E1135" s="37" t="s">
        <v>107</v>
      </c>
      <c r="F1135" s="37" t="s">
        <v>39</v>
      </c>
      <c r="G1135" s="37" t="s">
        <v>2408</v>
      </c>
      <c r="H1135" s="37">
        <v>14.73</v>
      </c>
      <c r="I1135" s="37">
        <v>28</v>
      </c>
      <c r="J1135" s="37" t="s">
        <v>4918</v>
      </c>
      <c r="K1135" s="37" t="s">
        <v>23</v>
      </c>
      <c r="L1135" s="37">
        <v>0</v>
      </c>
      <c r="M1135" s="37" t="str">
        <f t="shared" si="104"/>
        <v>General</v>
      </c>
      <c r="N1135" s="37" t="str">
        <f t="shared" si="102"/>
        <v>Credit Card</v>
      </c>
      <c r="O1135" s="37" t="str" cm="1">
        <f t="array" ref="O1135">IF(TRIM(N1135)="",INDEX($N$2:$N$1500,MATCH(MAX(COUNTIF($N$2:$N$1500,$N$2:$N$1500)),COUNTIF($N$2:$N$1500,$N$2:$N$1500),0)),N1135)</f>
        <v>Credit Card</v>
      </c>
      <c r="P1135" s="38" cm="1">
        <f t="array" ref="P1135">ROUND(IF(TRIM(H1135)="",IFERROR(MEDIAN(IF($M$2:$M$1500=M1135,$H$2:$H$1500)),MEDIAN($H$2:$H$1500)),H1135),2)</f>
        <v>14.73</v>
      </c>
      <c r="Q1135" s="38" t="str">
        <f t="shared" si="105"/>
        <v>0</v>
      </c>
      <c r="R1135" s="39" cm="1">
        <f t="array" ref="R1135">IF(OR(TRIM(J1135)="",TRIM(J1135)="-"),MEDIAN(IF($C$2:$C$1218=C1135,$J$2:$J$1218)),VALUE(SUBSTITUTE(SUBSTITUTE(SUBSTITUTE(J1135,"Rs. ",""),"₹",""),",","")))</f>
        <v>6291</v>
      </c>
      <c r="S1135" s="40">
        <f t="shared" si="103"/>
        <v>0</v>
      </c>
      <c r="T1135" s="41">
        <f t="shared" si="106"/>
        <v>0</v>
      </c>
      <c r="U1135" s="42">
        <f t="shared" si="107"/>
        <v>6291</v>
      </c>
    </row>
    <row r="1136" spans="1:21" x14ac:dyDescent="0.3">
      <c r="A1136" s="37" t="s">
        <v>4919</v>
      </c>
      <c r="B1136" s="37" t="s">
        <v>4920</v>
      </c>
      <c r="C1136" s="37" t="s">
        <v>2504</v>
      </c>
      <c r="D1136" s="37" t="s">
        <v>25</v>
      </c>
      <c r="E1136" s="37" t="s">
        <v>26</v>
      </c>
      <c r="F1136" s="37" t="s">
        <v>39</v>
      </c>
      <c r="G1136" s="37" t="s">
        <v>2435</v>
      </c>
      <c r="H1136" s="37">
        <v>6.52</v>
      </c>
      <c r="I1136" s="37">
        <v>2</v>
      </c>
      <c r="J1136" s="37">
        <v>18417</v>
      </c>
      <c r="K1136" s="37" t="s">
        <v>58</v>
      </c>
      <c r="L1136" s="37">
        <v>0</v>
      </c>
      <c r="M1136" s="37" t="str">
        <f t="shared" si="104"/>
        <v>General</v>
      </c>
      <c r="N1136" s="37" t="str">
        <f t="shared" si="102"/>
        <v>UPI</v>
      </c>
      <c r="O1136" s="37" t="str" cm="1">
        <f t="array" ref="O1136">IF(TRIM(N1136)="",INDEX($N$2:$N$1500,MATCH(MAX(COUNTIF($N$2:$N$1500,$N$2:$N$1500)),COUNTIF($N$2:$N$1500,$N$2:$N$1500),0)),N1136)</f>
        <v>UPI</v>
      </c>
      <c r="P1136" s="38" cm="1">
        <f t="array" ref="P1136">ROUND(IF(TRIM(H1136)="",IFERROR(MEDIAN(IF($M$2:$M$1500=M1136,$H$2:$H$1500)),MEDIAN($H$2:$H$1500)),H1136),2)</f>
        <v>6.52</v>
      </c>
      <c r="Q1136" s="38" t="str">
        <f t="shared" si="105"/>
        <v>0</v>
      </c>
      <c r="R1136" s="39" cm="1">
        <f t="array" ref="R1136">IF(OR(TRIM(J1136)="",TRIM(J1136)="-"),MEDIAN(IF($C$2:$C$1218=C1136,$J$2:$J$1218)),VALUE(SUBSTITUTE(SUBSTITUTE(SUBSTITUTE(J1136,"Rs. ",""),"₹",""),",","")))</f>
        <v>18417</v>
      </c>
      <c r="S1136" s="40">
        <f t="shared" si="103"/>
        <v>0</v>
      </c>
      <c r="T1136" s="41">
        <f t="shared" si="106"/>
        <v>0</v>
      </c>
      <c r="U1136" s="42">
        <f t="shared" si="107"/>
        <v>18417</v>
      </c>
    </row>
    <row r="1137" spans="1:21" x14ac:dyDescent="0.3">
      <c r="A1137" s="37" t="s">
        <v>4921</v>
      </c>
      <c r="B1137" s="37" t="s">
        <v>4659</v>
      </c>
      <c r="C1137" s="37" t="s">
        <v>2730</v>
      </c>
      <c r="D1137" s="37" t="s">
        <v>25</v>
      </c>
      <c r="E1137" s="37" t="s">
        <v>54</v>
      </c>
      <c r="F1137" s="37" t="s">
        <v>101</v>
      </c>
      <c r="G1137" s="37" t="s">
        <v>2435</v>
      </c>
      <c r="H1137" s="37">
        <v>24.27</v>
      </c>
      <c r="I1137" s="37">
        <v>26</v>
      </c>
      <c r="J1137" s="37">
        <v>53350</v>
      </c>
      <c r="K1137" s="37" t="s">
        <v>167</v>
      </c>
      <c r="L1137" s="37">
        <v>20</v>
      </c>
      <c r="M1137" s="37" t="str">
        <f t="shared" si="104"/>
        <v>ICU</v>
      </c>
      <c r="N1137" s="37" t="str">
        <f t="shared" si="102"/>
        <v>Insurance</v>
      </c>
      <c r="O1137" s="37" t="str" cm="1">
        <f t="array" ref="O1137">IF(TRIM(N1137)="",INDEX($N$2:$N$1500,MATCH(MAX(COUNTIF($N$2:$N$1500,$N$2:$N$1500)),COUNTIF($N$2:$N$1500,$N$2:$N$1500),0)),N1137)</f>
        <v>Insurance</v>
      </c>
      <c r="P1137" s="38" cm="1">
        <f t="array" ref="P1137">ROUND(IF(TRIM(H1137)="",IFERROR(MEDIAN(IF($M$2:$M$1500=M1137,$H$2:$H$1500)),MEDIAN($H$2:$H$1500)),H1137),2)</f>
        <v>24.27</v>
      </c>
      <c r="Q1137" s="38" t="str">
        <f t="shared" si="105"/>
        <v>0</v>
      </c>
      <c r="R1137" s="39" cm="1">
        <f t="array" ref="R1137">IF(OR(TRIM(J1137)="",TRIM(J1137)="-"),MEDIAN(IF($C$2:$C$1218=C1137,$J$2:$J$1218)),VALUE(SUBSTITUTE(SUBSTITUTE(SUBSTITUTE(J1137,"Rs. ",""),"₹",""),",","")))</f>
        <v>53350</v>
      </c>
      <c r="S1137" s="40">
        <f t="shared" si="103"/>
        <v>20</v>
      </c>
      <c r="T1137" s="41">
        <f t="shared" si="106"/>
        <v>20</v>
      </c>
      <c r="U1137" s="42">
        <f t="shared" si="107"/>
        <v>42680</v>
      </c>
    </row>
    <row r="1138" spans="1:21" x14ac:dyDescent="0.3">
      <c r="A1138" s="37" t="s">
        <v>4922</v>
      </c>
      <c r="B1138" s="37" t="s">
        <v>4496</v>
      </c>
      <c r="C1138" s="37" t="s">
        <v>2490</v>
      </c>
      <c r="D1138" s="37" t="s">
        <v>25</v>
      </c>
      <c r="E1138" s="37" t="s">
        <v>54</v>
      </c>
      <c r="F1138" s="37" t="s">
        <v>49</v>
      </c>
      <c r="G1138" s="37" t="s">
        <v>2408</v>
      </c>
      <c r="H1138" s="37">
        <v>2.79</v>
      </c>
      <c r="I1138" s="37">
        <v>21</v>
      </c>
      <c r="J1138" s="37">
        <v>13478</v>
      </c>
      <c r="K1138" s="37" t="s">
        <v>97</v>
      </c>
      <c r="L1138" s="37">
        <v>5</v>
      </c>
      <c r="M1138" s="37" t="str">
        <f t="shared" si="104"/>
        <v>General</v>
      </c>
      <c r="N1138" s="37" t="str">
        <f t="shared" si="102"/>
        <v>UPI</v>
      </c>
      <c r="O1138" s="37" t="str" cm="1">
        <f t="array" ref="O1138">IF(TRIM(N1138)="",INDEX($N$2:$N$1500,MATCH(MAX(COUNTIF($N$2:$N$1500,$N$2:$N$1500)),COUNTIF($N$2:$N$1500,$N$2:$N$1500),0)),N1138)</f>
        <v>UPI</v>
      </c>
      <c r="P1138" s="38" cm="1">
        <f t="array" ref="P1138">ROUND(IF(TRIM(H1138)="",IFERROR(MEDIAN(IF($M$2:$M$1500=M1138,$H$2:$H$1500)),MEDIAN($H$2:$H$1500)),H1138),2)</f>
        <v>2.79</v>
      </c>
      <c r="Q1138" s="38" t="str">
        <f t="shared" si="105"/>
        <v>0</v>
      </c>
      <c r="R1138" s="39" cm="1">
        <f t="array" ref="R1138">IF(OR(TRIM(J1138)="",TRIM(J1138)="-"),MEDIAN(IF($C$2:$C$1218=C1138,$J$2:$J$1218)),VALUE(SUBSTITUTE(SUBSTITUTE(SUBSTITUTE(J1138,"Rs. ",""),"₹",""),",","")))</f>
        <v>13478</v>
      </c>
      <c r="S1138" s="40">
        <f t="shared" si="103"/>
        <v>5</v>
      </c>
      <c r="T1138" s="41">
        <f t="shared" si="106"/>
        <v>5</v>
      </c>
      <c r="U1138" s="42">
        <f t="shared" si="107"/>
        <v>12804</v>
      </c>
    </row>
    <row r="1139" spans="1:21" x14ac:dyDescent="0.3">
      <c r="A1139" s="37" t="s">
        <v>4923</v>
      </c>
      <c r="B1139" s="37" t="s">
        <v>3928</v>
      </c>
      <c r="C1139" s="37" t="s">
        <v>2431</v>
      </c>
      <c r="D1139" s="37" t="s">
        <v>45</v>
      </c>
      <c r="E1139" s="37" t="s">
        <v>334</v>
      </c>
      <c r="F1139" s="37" t="s">
        <v>39</v>
      </c>
      <c r="G1139" s="37" t="s">
        <v>2428</v>
      </c>
      <c r="H1139" s="37">
        <v>8.06</v>
      </c>
      <c r="I1139" s="37">
        <v>54</v>
      </c>
      <c r="J1139" s="37">
        <v>5904</v>
      </c>
      <c r="K1139" s="37" t="s">
        <v>58</v>
      </c>
      <c r="L1139" s="37" t="s">
        <v>64</v>
      </c>
      <c r="M1139" s="37" t="str">
        <f t="shared" si="104"/>
        <v>General</v>
      </c>
      <c r="N1139" s="37" t="str">
        <f t="shared" si="102"/>
        <v>UPI</v>
      </c>
      <c r="O1139" s="37" t="str" cm="1">
        <f t="array" ref="O1139">IF(TRIM(N1139)="",INDEX($N$2:$N$1500,MATCH(MAX(COUNTIF($N$2:$N$1500,$N$2:$N$1500)),COUNTIF($N$2:$N$1500,$N$2:$N$1500),0)),N1139)</f>
        <v>UPI</v>
      </c>
      <c r="P1139" s="38" cm="1">
        <f t="array" ref="P1139">ROUND(IF(TRIM(H1139)="",IFERROR(MEDIAN(IF($M$2:$M$1500=M1139,$H$2:$H$1500)),MEDIAN($H$2:$H$1500)),H1139),2)</f>
        <v>8.06</v>
      </c>
      <c r="Q1139" s="38" t="str">
        <f t="shared" si="105"/>
        <v>2</v>
      </c>
      <c r="R1139" s="39" cm="1">
        <f t="array" ref="R1139">IF(OR(TRIM(J1139)="",TRIM(J1139)="-"),MEDIAN(IF($C$2:$C$1218=C1139,$J$2:$J$1218)),VALUE(SUBSTITUTE(SUBSTITUTE(SUBSTITUTE(J1139,"Rs. ",""),"₹",""),",","")))</f>
        <v>5904</v>
      </c>
      <c r="S1139" s="40" t="str">
        <f t="shared" si="103"/>
        <v>NA</v>
      </c>
      <c r="T1139" s="41">
        <f t="shared" si="106"/>
        <v>2</v>
      </c>
      <c r="U1139" s="42">
        <f t="shared" si="107"/>
        <v>5786</v>
      </c>
    </row>
    <row r="1140" spans="1:21" x14ac:dyDescent="0.3">
      <c r="A1140" s="37" t="s">
        <v>4924</v>
      </c>
      <c r="B1140" s="37" t="s">
        <v>4925</v>
      </c>
      <c r="C1140" s="37" t="s">
        <v>2629</v>
      </c>
      <c r="D1140" s="37" t="s">
        <v>117</v>
      </c>
      <c r="E1140" s="37" t="s">
        <v>118</v>
      </c>
      <c r="F1140" s="37" t="s">
        <v>39</v>
      </c>
      <c r="G1140" s="37"/>
      <c r="H1140" s="37">
        <v>6.17</v>
      </c>
      <c r="I1140" s="37"/>
      <c r="J1140" s="37">
        <v>16038</v>
      </c>
      <c r="K1140" s="37" t="s">
        <v>72</v>
      </c>
      <c r="L1140" s="37" t="s">
        <v>130</v>
      </c>
      <c r="M1140" s="37" t="str">
        <f t="shared" si="104"/>
        <v>General</v>
      </c>
      <c r="N1140" s="37" t="str">
        <f t="shared" si="102"/>
        <v>Cash</v>
      </c>
      <c r="O1140" s="37" t="str" cm="1">
        <f t="array" ref="O1140">IF(TRIM(N1140)="",INDEX($N$2:$N$1500,MATCH(MAX(COUNTIF($N$2:$N$1500,$N$2:$N$1500)),COUNTIF($N$2:$N$1500,$N$2:$N$1500),0)),N1140)</f>
        <v>Cash</v>
      </c>
      <c r="P1140" s="38" cm="1">
        <f t="array" ref="P1140">ROUND(IF(TRIM(H1140)="",IFERROR(MEDIAN(IF($M$2:$M$1500=M1140,$H$2:$H$1500)),MEDIAN($H$2:$H$1500)),H1140),2)</f>
        <v>6.17</v>
      </c>
      <c r="Q1140" s="38" t="str">
        <f t="shared" si="105"/>
        <v>Unknown</v>
      </c>
      <c r="R1140" s="39" cm="1">
        <f t="array" ref="R1140">IF(OR(TRIM(J1140)="",TRIM(J1140)="-"),MEDIAN(IF($C$2:$C$1218=C1140,$J$2:$J$1218)),VALUE(SUBSTITUTE(SUBSTITUTE(SUBSTITUTE(J1140,"Rs. ",""),"₹",""),",","")))</f>
        <v>16038</v>
      </c>
      <c r="S1140" s="40">
        <f t="shared" si="103"/>
        <v>0</v>
      </c>
      <c r="T1140" s="41">
        <f t="shared" si="106"/>
        <v>0</v>
      </c>
      <c r="U1140" s="42">
        <f t="shared" si="107"/>
        <v>16038</v>
      </c>
    </row>
    <row r="1141" spans="1:21" x14ac:dyDescent="0.3">
      <c r="A1141" s="37" t="s">
        <v>4926</v>
      </c>
      <c r="B1141" s="37" t="s">
        <v>4638</v>
      </c>
      <c r="C1141" s="37" t="s">
        <v>2481</v>
      </c>
      <c r="D1141" s="37" t="s">
        <v>25</v>
      </c>
      <c r="E1141" s="37" t="s">
        <v>54</v>
      </c>
      <c r="F1141" s="37" t="s">
        <v>30</v>
      </c>
      <c r="G1141" s="37" t="s">
        <v>2505</v>
      </c>
      <c r="H1141" s="37">
        <v>16.309999999999999</v>
      </c>
      <c r="I1141" s="37">
        <v>60</v>
      </c>
      <c r="J1141" s="37">
        <v>14757</v>
      </c>
      <c r="K1141" s="37" t="s">
        <v>83</v>
      </c>
      <c r="L1141" s="37">
        <v>5</v>
      </c>
      <c r="M1141" s="37" t="str">
        <f t="shared" si="104"/>
        <v>General</v>
      </c>
      <c r="N1141" s="37" t="str">
        <f t="shared" si="102"/>
        <v>Debit Card</v>
      </c>
      <c r="O1141" s="37" t="str" cm="1">
        <f t="array" ref="O1141">IF(TRIM(N1141)="",INDEX($N$2:$N$1500,MATCH(MAX(COUNTIF($N$2:$N$1500,$N$2:$N$1500)),COUNTIF($N$2:$N$1500,$N$2:$N$1500),0)),N1141)</f>
        <v>Debit Card</v>
      </c>
      <c r="P1141" s="38" cm="1">
        <f t="array" ref="P1141">ROUND(IF(TRIM(H1141)="",IFERROR(MEDIAN(IF($M$2:$M$1500=M1141,$H$2:$H$1500)),MEDIAN($H$2:$H$1500)),H1141),2)</f>
        <v>16.309999999999999</v>
      </c>
      <c r="Q1141" s="38" t="str">
        <f t="shared" si="105"/>
        <v>2+</v>
      </c>
      <c r="R1141" s="39" cm="1">
        <f t="array" ref="R1141">IF(OR(TRIM(J1141)="",TRIM(J1141)="-"),MEDIAN(IF($C$2:$C$1218=C1141,$J$2:$J$1218)),VALUE(SUBSTITUTE(SUBSTITUTE(SUBSTITUTE(J1141,"Rs. ",""),"₹",""),",","")))</f>
        <v>14757</v>
      </c>
      <c r="S1141" s="40">
        <f t="shared" si="103"/>
        <v>5</v>
      </c>
      <c r="T1141" s="41">
        <f t="shared" si="106"/>
        <v>5</v>
      </c>
      <c r="U1141" s="42">
        <f t="shared" si="107"/>
        <v>14019</v>
      </c>
    </row>
    <row r="1142" spans="1:21" x14ac:dyDescent="0.3">
      <c r="A1142" s="37" t="s">
        <v>4927</v>
      </c>
      <c r="B1142" s="37" t="s">
        <v>3357</v>
      </c>
      <c r="C1142" s="37" t="s">
        <v>2434</v>
      </c>
      <c r="D1142" s="37" t="s">
        <v>78</v>
      </c>
      <c r="E1142" s="37" t="s">
        <v>79</v>
      </c>
      <c r="F1142" s="37" t="s">
        <v>19</v>
      </c>
      <c r="G1142" s="37" t="s">
        <v>2423</v>
      </c>
      <c r="H1142" s="37">
        <v>23.69</v>
      </c>
      <c r="I1142" s="37">
        <v>16</v>
      </c>
      <c r="J1142" s="37" t="s">
        <v>4928</v>
      </c>
      <c r="K1142" s="37" t="s">
        <v>104</v>
      </c>
      <c r="L1142" s="37">
        <v>15</v>
      </c>
      <c r="M1142" s="37" t="str">
        <f t="shared" si="104"/>
        <v>General</v>
      </c>
      <c r="N1142" s="37" t="str">
        <f t="shared" si="102"/>
        <v>Insurance</v>
      </c>
      <c r="O1142" s="37" t="str" cm="1">
        <f t="array" ref="O1142">IF(TRIM(N1142)="",INDEX($N$2:$N$1500,MATCH(MAX(COUNTIF($N$2:$N$1500,$N$2:$N$1500)),COUNTIF($N$2:$N$1500,$N$2:$N$1500),0)),N1142)</f>
        <v>Insurance</v>
      </c>
      <c r="P1142" s="38" cm="1">
        <f t="array" ref="P1142">ROUND(IF(TRIM(H1142)="",IFERROR(MEDIAN(IF($M$2:$M$1500=M1142,$H$2:$H$1500)),MEDIAN($H$2:$H$1500)),H1142),2)</f>
        <v>23.69</v>
      </c>
      <c r="Q1142" s="38" t="str">
        <f t="shared" si="105"/>
        <v>0</v>
      </c>
      <c r="R1142" s="39" cm="1">
        <f t="array" ref="R1142">IF(OR(TRIM(J1142)="",TRIM(J1142)="-"),MEDIAN(IF($C$2:$C$1218=C1142,$J$2:$J$1218)),VALUE(SUBSTITUTE(SUBSTITUTE(SUBSTITUTE(J1142,"Rs. ",""),"₹",""),",","")))</f>
        <v>15463</v>
      </c>
      <c r="S1142" s="40">
        <f t="shared" si="103"/>
        <v>15</v>
      </c>
      <c r="T1142" s="41">
        <f t="shared" si="106"/>
        <v>15</v>
      </c>
      <c r="U1142" s="42">
        <f t="shared" si="107"/>
        <v>13144</v>
      </c>
    </row>
    <row r="1143" spans="1:21" x14ac:dyDescent="0.3">
      <c r="A1143" s="37" t="s">
        <v>4929</v>
      </c>
      <c r="B1143" s="37" t="s">
        <v>4474</v>
      </c>
      <c r="C1143" s="37" t="s">
        <v>2561</v>
      </c>
      <c r="D1143" s="37" t="s">
        <v>117</v>
      </c>
      <c r="E1143" s="37" t="s">
        <v>118</v>
      </c>
      <c r="F1143" s="37" t="s">
        <v>49</v>
      </c>
      <c r="G1143" s="37" t="s">
        <v>2477</v>
      </c>
      <c r="H1143" s="37">
        <v>16.96</v>
      </c>
      <c r="I1143" s="37">
        <v>26</v>
      </c>
      <c r="J1143" s="37" t="s">
        <v>4930</v>
      </c>
      <c r="K1143" s="37" t="s">
        <v>149</v>
      </c>
      <c r="L1143" s="37">
        <v>40</v>
      </c>
      <c r="M1143" s="37" t="str">
        <f t="shared" si="104"/>
        <v>General</v>
      </c>
      <c r="N1143" s="37" t="str">
        <f t="shared" si="102"/>
        <v>Insurance</v>
      </c>
      <c r="O1143" s="37" t="str" cm="1">
        <f t="array" ref="O1143">IF(TRIM(N1143)="",INDEX($N$2:$N$1500,MATCH(MAX(COUNTIF($N$2:$N$1500,$N$2:$N$1500)),COUNTIF($N$2:$N$1500,$N$2:$N$1500),0)),N1143)</f>
        <v>Insurance</v>
      </c>
      <c r="P1143" s="38" cm="1">
        <f t="array" ref="P1143">ROUND(IF(TRIM(H1143)="",IFERROR(MEDIAN(IF($M$2:$M$1500=M1143,$H$2:$H$1500)),MEDIAN($H$2:$H$1500)),H1143),2)</f>
        <v>16.96</v>
      </c>
      <c r="Q1143" s="38" t="str">
        <f t="shared" si="105"/>
        <v>0</v>
      </c>
      <c r="R1143" s="39" cm="1">
        <f t="array" ref="R1143">IF(OR(TRIM(J1143)="",TRIM(J1143)="-"),MEDIAN(IF($C$2:$C$1218=C1143,$J$2:$J$1218)),VALUE(SUBSTITUTE(SUBSTITUTE(SUBSTITUTE(J1143,"Rs. ",""),"₹",""),",","")))</f>
        <v>4001</v>
      </c>
      <c r="S1143" s="40">
        <f t="shared" si="103"/>
        <v>40</v>
      </c>
      <c r="T1143" s="41">
        <f t="shared" si="106"/>
        <v>40</v>
      </c>
      <c r="U1143" s="42">
        <f t="shared" si="107"/>
        <v>2401</v>
      </c>
    </row>
    <row r="1144" spans="1:21" x14ac:dyDescent="0.3">
      <c r="A1144" s="37" t="s">
        <v>4931</v>
      </c>
      <c r="B1144" s="37" t="s">
        <v>2851</v>
      </c>
      <c r="C1144" s="37" t="s">
        <v>2469</v>
      </c>
      <c r="D1144" s="37" t="s">
        <v>14</v>
      </c>
      <c r="E1144" s="37" t="s">
        <v>60</v>
      </c>
      <c r="F1144" s="37" t="s">
        <v>30</v>
      </c>
      <c r="G1144" s="37" t="s">
        <v>2477</v>
      </c>
      <c r="H1144" s="37">
        <v>6.52</v>
      </c>
      <c r="I1144" s="37">
        <v>8</v>
      </c>
      <c r="J1144" s="37" t="s">
        <v>4932</v>
      </c>
      <c r="K1144" s="37" t="s">
        <v>72</v>
      </c>
      <c r="L1144" s="37">
        <v>10</v>
      </c>
      <c r="M1144" s="37" t="str">
        <f t="shared" si="104"/>
        <v>General</v>
      </c>
      <c r="N1144" s="37" t="str">
        <f t="shared" si="102"/>
        <v>Cash</v>
      </c>
      <c r="O1144" s="37" t="str" cm="1">
        <f t="array" ref="O1144">IF(TRIM(N1144)="",INDEX($N$2:$N$1500,MATCH(MAX(COUNTIF($N$2:$N$1500,$N$2:$N$1500)),COUNTIF($N$2:$N$1500,$N$2:$N$1500),0)),N1144)</f>
        <v>Cash</v>
      </c>
      <c r="P1144" s="38" cm="1">
        <f t="array" ref="P1144">ROUND(IF(TRIM(H1144)="",IFERROR(MEDIAN(IF($M$2:$M$1500=M1144,$H$2:$H$1500)),MEDIAN($H$2:$H$1500)),H1144),2)</f>
        <v>6.52</v>
      </c>
      <c r="Q1144" s="38" t="str">
        <f t="shared" si="105"/>
        <v>0</v>
      </c>
      <c r="R1144" s="39" cm="1">
        <f t="array" ref="R1144">IF(OR(TRIM(J1144)="",TRIM(J1144)="-"),MEDIAN(IF($C$2:$C$1218=C1144,$J$2:$J$1218)),VALUE(SUBSTITUTE(SUBSTITUTE(SUBSTITUTE(J1144,"Rs. ",""),"₹",""),",","")))</f>
        <v>12939</v>
      </c>
      <c r="S1144" s="40">
        <f t="shared" si="103"/>
        <v>10</v>
      </c>
      <c r="T1144" s="41">
        <f t="shared" si="106"/>
        <v>10</v>
      </c>
      <c r="U1144" s="42">
        <f t="shared" si="107"/>
        <v>11645</v>
      </c>
    </row>
    <row r="1145" spans="1:21" x14ac:dyDescent="0.3">
      <c r="A1145" s="37" t="s">
        <v>4933</v>
      </c>
      <c r="B1145" s="37" t="s">
        <v>4411</v>
      </c>
      <c r="C1145" s="37" t="s">
        <v>2434</v>
      </c>
      <c r="D1145" s="37" t="s">
        <v>117</v>
      </c>
      <c r="E1145" s="37" t="s">
        <v>118</v>
      </c>
      <c r="F1145" s="37" t="s">
        <v>30</v>
      </c>
      <c r="G1145" s="37" t="s">
        <v>2408</v>
      </c>
      <c r="H1145" s="37">
        <v>23.87</v>
      </c>
      <c r="I1145" s="37">
        <v>21</v>
      </c>
      <c r="J1145" s="37" t="s">
        <v>4934</v>
      </c>
      <c r="K1145" s="37" t="s">
        <v>236</v>
      </c>
      <c r="L1145" s="37" t="s">
        <v>198</v>
      </c>
      <c r="M1145" s="37" t="str">
        <f t="shared" si="104"/>
        <v>General</v>
      </c>
      <c r="N1145" s="37" t="str">
        <f t="shared" si="102"/>
        <v>Debit Card</v>
      </c>
      <c r="O1145" s="37" t="str" cm="1">
        <f t="array" ref="O1145">IF(TRIM(N1145)="",INDEX($N$2:$N$1500,MATCH(MAX(COUNTIF($N$2:$N$1500,$N$2:$N$1500)),COUNTIF($N$2:$N$1500,$N$2:$N$1500),0)),N1145)</f>
        <v>Debit Card</v>
      </c>
      <c r="P1145" s="38" cm="1">
        <f t="array" ref="P1145">ROUND(IF(TRIM(H1145)="",IFERROR(MEDIAN(IF($M$2:$M$1500=M1145,$H$2:$H$1500)),MEDIAN($H$2:$H$1500)),H1145),2)</f>
        <v>23.87</v>
      </c>
      <c r="Q1145" s="38" t="str">
        <f t="shared" si="105"/>
        <v>0</v>
      </c>
      <c r="R1145" s="39" cm="1">
        <f t="array" ref="R1145">IF(OR(TRIM(J1145)="",TRIM(J1145)="-"),MEDIAN(IF($C$2:$C$1218=C1145,$J$2:$J$1218)),VALUE(SUBSTITUTE(SUBSTITUTE(SUBSTITUTE(J1145,"Rs. ",""),"₹",""),",","")))</f>
        <v>7055</v>
      </c>
      <c r="S1145" s="40">
        <f t="shared" si="103"/>
        <v>5</v>
      </c>
      <c r="T1145" s="41">
        <f t="shared" si="106"/>
        <v>5</v>
      </c>
      <c r="U1145" s="42">
        <f t="shared" si="107"/>
        <v>6702</v>
      </c>
    </row>
    <row r="1146" spans="1:21" x14ac:dyDescent="0.3">
      <c r="A1146" s="37" t="s">
        <v>4935</v>
      </c>
      <c r="B1146" s="37" t="s">
        <v>4008</v>
      </c>
      <c r="C1146" s="37" t="s">
        <v>2415</v>
      </c>
      <c r="D1146" s="37" t="s">
        <v>78</v>
      </c>
      <c r="E1146" s="37" t="s">
        <v>203</v>
      </c>
      <c r="F1146" s="37" t="s">
        <v>39</v>
      </c>
      <c r="G1146" s="37" t="s">
        <v>2435</v>
      </c>
      <c r="H1146" s="37">
        <v>10.56</v>
      </c>
      <c r="I1146" s="37"/>
      <c r="J1146" s="37" t="s">
        <v>140</v>
      </c>
      <c r="K1146" s="37" t="s">
        <v>34</v>
      </c>
      <c r="L1146" s="37" t="s">
        <v>76</v>
      </c>
      <c r="M1146" s="37" t="str">
        <f t="shared" si="104"/>
        <v>General</v>
      </c>
      <c r="N1146" s="37" t="str">
        <f t="shared" si="102"/>
        <v>Cash</v>
      </c>
      <c r="O1146" s="37" t="str" cm="1">
        <f t="array" ref="O1146">IF(TRIM(N1146)="",INDEX($N$2:$N$1500,MATCH(MAX(COUNTIF($N$2:$N$1500,$N$2:$N$1500)),COUNTIF($N$2:$N$1500,$N$2:$N$1500),0)),N1146)</f>
        <v>Cash</v>
      </c>
      <c r="P1146" s="38" cm="1">
        <f t="array" ref="P1146">ROUND(IF(TRIM(H1146)="",IFERROR(MEDIAN(IF($M$2:$M$1500=M1146,$H$2:$H$1500)),MEDIAN($H$2:$H$1500)),H1146),2)</f>
        <v>10.56</v>
      </c>
      <c r="Q1146" s="38" t="str">
        <f t="shared" si="105"/>
        <v>0</v>
      </c>
      <c r="R1146" s="39" cm="1">
        <f t="array" ref="R1146">IF(OR(TRIM(J1146)="",TRIM(J1146)="-"),MEDIAN(IF($C$2:$C$1218=C1146,$J$2:$J$1218)),VALUE(SUBSTITUTE(SUBSTITUTE(SUBSTITUTE(J1146,"Rs. ",""),"₹",""),",","")))</f>
        <v>14853</v>
      </c>
      <c r="S1146" s="40">
        <f t="shared" si="103"/>
        <v>10</v>
      </c>
      <c r="T1146" s="41">
        <f t="shared" si="106"/>
        <v>10</v>
      </c>
      <c r="U1146" s="42">
        <f t="shared" si="107"/>
        <v>13368</v>
      </c>
    </row>
    <row r="1147" spans="1:21" x14ac:dyDescent="0.3">
      <c r="A1147" s="37" t="s">
        <v>4936</v>
      </c>
      <c r="B1147" s="37" t="s">
        <v>2966</v>
      </c>
      <c r="C1147" s="37" t="s">
        <v>2422</v>
      </c>
      <c r="D1147" s="37" t="s">
        <v>25</v>
      </c>
      <c r="E1147" s="37" t="s">
        <v>54</v>
      </c>
      <c r="F1147" s="37"/>
      <c r="G1147" s="37" t="s">
        <v>2423</v>
      </c>
      <c r="H1147" s="37">
        <v>18.93</v>
      </c>
      <c r="I1147" s="37">
        <v>48</v>
      </c>
      <c r="J1147" s="37">
        <v>85723</v>
      </c>
      <c r="K1147" s="37" t="s">
        <v>211</v>
      </c>
      <c r="L1147" s="37" t="s">
        <v>130</v>
      </c>
      <c r="M1147" s="37" t="str">
        <f t="shared" si="104"/>
        <v>Unknown</v>
      </c>
      <c r="N1147" s="37" t="str">
        <f t="shared" si="102"/>
        <v>Credit Card</v>
      </c>
      <c r="O1147" s="37" t="str" cm="1">
        <f t="array" ref="O1147">IF(TRIM(N1147)="",INDEX($N$2:$N$1500,MATCH(MAX(COUNTIF($N$2:$N$1500,$N$2:$N$1500)),COUNTIF($N$2:$N$1500,$N$2:$N$1500),0)),N1147)</f>
        <v>Credit Card</v>
      </c>
      <c r="P1147" s="38" cm="1">
        <f t="array" ref="P1147">ROUND(IF(TRIM(H1147)="",IFERROR(MEDIAN(IF($M$2:$M$1500=M1147,$H$2:$H$1500)),MEDIAN($H$2:$H$1500)),H1147),2)</f>
        <v>18.93</v>
      </c>
      <c r="Q1147" s="38" t="str">
        <f t="shared" si="105"/>
        <v>0</v>
      </c>
      <c r="R1147" s="39" cm="1">
        <f t="array" ref="R1147">IF(OR(TRIM(J1147)="",TRIM(J1147)="-"),MEDIAN(IF($C$2:$C$1218=C1147,$J$2:$J$1218)),VALUE(SUBSTITUTE(SUBSTITUTE(SUBSTITUTE(J1147,"Rs. ",""),"₹",""),",","")))</f>
        <v>85723</v>
      </c>
      <c r="S1147" s="40">
        <f t="shared" si="103"/>
        <v>0</v>
      </c>
      <c r="T1147" s="41">
        <f t="shared" si="106"/>
        <v>0</v>
      </c>
      <c r="U1147" s="42">
        <f t="shared" si="107"/>
        <v>85723</v>
      </c>
    </row>
    <row r="1148" spans="1:21" x14ac:dyDescent="0.3">
      <c r="A1148" s="37" t="s">
        <v>4937</v>
      </c>
      <c r="B1148" s="37" t="s">
        <v>4938</v>
      </c>
      <c r="C1148" s="37" t="s">
        <v>2494</v>
      </c>
      <c r="D1148" s="37" t="s">
        <v>106</v>
      </c>
      <c r="E1148" s="37" t="s">
        <v>107</v>
      </c>
      <c r="F1148" s="37" t="s">
        <v>39</v>
      </c>
      <c r="G1148" s="37" t="s">
        <v>2450</v>
      </c>
      <c r="H1148" s="37">
        <v>16.95</v>
      </c>
      <c r="I1148" s="37">
        <v>33</v>
      </c>
      <c r="J1148" s="37" t="s">
        <v>4939</v>
      </c>
      <c r="K1148" s="37" t="s">
        <v>42</v>
      </c>
      <c r="L1148" s="37">
        <v>5</v>
      </c>
      <c r="M1148" s="37" t="str">
        <f t="shared" si="104"/>
        <v>General</v>
      </c>
      <c r="N1148" s="37" t="str">
        <f t="shared" si="102"/>
        <v>Insurance</v>
      </c>
      <c r="O1148" s="37" t="str" cm="1">
        <f t="array" ref="O1148">IF(TRIM(N1148)="",INDEX($N$2:$N$1500,MATCH(MAX(COUNTIF($N$2:$N$1500,$N$2:$N$1500)),COUNTIF($N$2:$N$1500,$N$2:$N$1500),0)),N1148)</f>
        <v>Insurance</v>
      </c>
      <c r="P1148" s="38" cm="1">
        <f t="array" ref="P1148">ROUND(IF(TRIM(H1148)="",IFERROR(MEDIAN(IF($M$2:$M$1500=M1148,$H$2:$H$1500)),MEDIAN($H$2:$H$1500)),H1148),2)</f>
        <v>16.95</v>
      </c>
      <c r="Q1148" s="38" t="str">
        <f t="shared" si="105"/>
        <v>1</v>
      </c>
      <c r="R1148" s="39" cm="1">
        <f t="array" ref="R1148">IF(OR(TRIM(J1148)="",TRIM(J1148)="-"),MEDIAN(IF($C$2:$C$1218=C1148,$J$2:$J$1218)),VALUE(SUBSTITUTE(SUBSTITUTE(SUBSTITUTE(J1148,"Rs. ",""),"₹",""),",","")))</f>
        <v>17598</v>
      </c>
      <c r="S1148" s="40">
        <f t="shared" si="103"/>
        <v>5</v>
      </c>
      <c r="T1148" s="41">
        <f t="shared" si="106"/>
        <v>5</v>
      </c>
      <c r="U1148" s="42">
        <f t="shared" si="107"/>
        <v>16718</v>
      </c>
    </row>
    <row r="1149" spans="1:21" x14ac:dyDescent="0.3">
      <c r="A1149" s="37" t="s">
        <v>4940</v>
      </c>
      <c r="B1149" s="37" t="s">
        <v>4582</v>
      </c>
      <c r="C1149" s="37" t="s">
        <v>2561</v>
      </c>
      <c r="D1149" s="37" t="s">
        <v>106</v>
      </c>
      <c r="E1149" s="37" t="s">
        <v>107</v>
      </c>
      <c r="F1149" s="37" t="s">
        <v>49</v>
      </c>
      <c r="G1149" s="37" t="s">
        <v>2408</v>
      </c>
      <c r="H1149" s="37">
        <v>20.74</v>
      </c>
      <c r="I1149" s="37">
        <v>19</v>
      </c>
      <c r="J1149" s="37" t="s">
        <v>4941</v>
      </c>
      <c r="K1149" s="37" t="s">
        <v>72</v>
      </c>
      <c r="L1149" s="37" t="s">
        <v>64</v>
      </c>
      <c r="M1149" s="37" t="str">
        <f t="shared" si="104"/>
        <v>General</v>
      </c>
      <c r="N1149" s="37" t="str">
        <f t="shared" si="102"/>
        <v>Cash</v>
      </c>
      <c r="O1149" s="37" t="str" cm="1">
        <f t="array" ref="O1149">IF(TRIM(N1149)="",INDEX($N$2:$N$1500,MATCH(MAX(COUNTIF($N$2:$N$1500,$N$2:$N$1500)),COUNTIF($N$2:$N$1500,$N$2:$N$1500),0)),N1149)</f>
        <v>Cash</v>
      </c>
      <c r="P1149" s="38" cm="1">
        <f t="array" ref="P1149">ROUND(IF(TRIM(H1149)="",IFERROR(MEDIAN(IF($M$2:$M$1500=M1149,$H$2:$H$1500)),MEDIAN($H$2:$H$1500)),H1149),2)</f>
        <v>20.74</v>
      </c>
      <c r="Q1149" s="38" t="str">
        <f t="shared" si="105"/>
        <v>0</v>
      </c>
      <c r="R1149" s="39" cm="1">
        <f t="array" ref="R1149">IF(OR(TRIM(J1149)="",TRIM(J1149)="-"),MEDIAN(IF($C$2:$C$1218=C1149,$J$2:$J$1218)),VALUE(SUBSTITUTE(SUBSTITUTE(SUBSTITUTE(J1149,"Rs. ",""),"₹",""),",","")))</f>
        <v>17238</v>
      </c>
      <c r="S1149" s="40" t="str">
        <f t="shared" si="103"/>
        <v>NA</v>
      </c>
      <c r="T1149" s="41">
        <f t="shared" si="106"/>
        <v>2</v>
      </c>
      <c r="U1149" s="42">
        <f t="shared" si="107"/>
        <v>16893</v>
      </c>
    </row>
    <row r="1150" spans="1:21" x14ac:dyDescent="0.3">
      <c r="A1150" s="37" t="s">
        <v>4942</v>
      </c>
      <c r="B1150" s="37" t="s">
        <v>3640</v>
      </c>
      <c r="C1150" s="37" t="s">
        <v>2494</v>
      </c>
      <c r="D1150" s="37" t="s">
        <v>78</v>
      </c>
      <c r="E1150" s="37" t="s">
        <v>79</v>
      </c>
      <c r="F1150" s="37" t="s">
        <v>30</v>
      </c>
      <c r="G1150" s="37" t="s">
        <v>2412</v>
      </c>
      <c r="H1150" s="37">
        <v>17.43</v>
      </c>
      <c r="I1150" s="37">
        <v>36</v>
      </c>
      <c r="J1150" s="37">
        <v>9305</v>
      </c>
      <c r="K1150" s="37" t="s">
        <v>104</v>
      </c>
      <c r="L1150" s="37">
        <v>10</v>
      </c>
      <c r="M1150" s="37" t="str">
        <f t="shared" si="104"/>
        <v>General</v>
      </c>
      <c r="N1150" s="37" t="str">
        <f t="shared" si="102"/>
        <v>Insurance</v>
      </c>
      <c r="O1150" s="37" t="str" cm="1">
        <f t="array" ref="O1150">IF(TRIM(N1150)="",INDEX($N$2:$N$1500,MATCH(MAX(COUNTIF($N$2:$N$1500,$N$2:$N$1500)),COUNTIF($N$2:$N$1500,$N$2:$N$1500),0)),N1150)</f>
        <v>Insurance</v>
      </c>
      <c r="P1150" s="38" cm="1">
        <f t="array" ref="P1150">ROUND(IF(TRIM(H1150)="",IFERROR(MEDIAN(IF($M$2:$M$1500=M1150,$H$2:$H$1500)),MEDIAN($H$2:$H$1500)),H1150),2)</f>
        <v>17.43</v>
      </c>
      <c r="Q1150" s="38" t="str">
        <f t="shared" si="105"/>
        <v>1</v>
      </c>
      <c r="R1150" s="39" cm="1">
        <f t="array" ref="R1150">IF(OR(TRIM(J1150)="",TRIM(J1150)="-"),MEDIAN(IF($C$2:$C$1218=C1150,$J$2:$J$1218)),VALUE(SUBSTITUTE(SUBSTITUTE(SUBSTITUTE(J1150,"Rs. ",""),"₹",""),",","")))</f>
        <v>9305</v>
      </c>
      <c r="S1150" s="40">
        <f t="shared" si="103"/>
        <v>10</v>
      </c>
      <c r="T1150" s="41">
        <f t="shared" si="106"/>
        <v>10</v>
      </c>
      <c r="U1150" s="42">
        <f t="shared" si="107"/>
        <v>8375</v>
      </c>
    </row>
    <row r="1151" spans="1:21" x14ac:dyDescent="0.3">
      <c r="A1151" s="37" t="s">
        <v>4943</v>
      </c>
      <c r="B1151" s="37" t="s">
        <v>2589</v>
      </c>
      <c r="C1151" s="37" t="s">
        <v>2449</v>
      </c>
      <c r="D1151" s="37" t="s">
        <v>45</v>
      </c>
      <c r="E1151" s="37" t="s">
        <v>46</v>
      </c>
      <c r="F1151" s="37" t="s">
        <v>39</v>
      </c>
      <c r="G1151" s="37" t="s">
        <v>2477</v>
      </c>
      <c r="H1151" s="37">
        <v>3.19</v>
      </c>
      <c r="I1151" s="37">
        <v>32</v>
      </c>
      <c r="J1151" s="37">
        <v>4242</v>
      </c>
      <c r="K1151" s="37" t="s">
        <v>149</v>
      </c>
      <c r="L1151" s="37">
        <v>25</v>
      </c>
      <c r="M1151" s="37" t="str">
        <f t="shared" si="104"/>
        <v>General</v>
      </c>
      <c r="N1151" s="37" t="str">
        <f t="shared" si="102"/>
        <v>Insurance</v>
      </c>
      <c r="O1151" s="37" t="str" cm="1">
        <f t="array" ref="O1151">IF(TRIM(N1151)="",INDEX($N$2:$N$1500,MATCH(MAX(COUNTIF($N$2:$N$1500,$N$2:$N$1500)),COUNTIF($N$2:$N$1500,$N$2:$N$1500),0)),N1151)</f>
        <v>Insurance</v>
      </c>
      <c r="P1151" s="38" cm="1">
        <f t="array" ref="P1151">ROUND(IF(TRIM(H1151)="",IFERROR(MEDIAN(IF($M$2:$M$1500=M1151,$H$2:$H$1500)),MEDIAN($H$2:$H$1500)),H1151),2)</f>
        <v>3.19</v>
      </c>
      <c r="Q1151" s="38" t="str">
        <f t="shared" si="105"/>
        <v>0</v>
      </c>
      <c r="R1151" s="39" cm="1">
        <f t="array" ref="R1151">IF(OR(TRIM(J1151)="",TRIM(J1151)="-"),MEDIAN(IF($C$2:$C$1218=C1151,$J$2:$J$1218)),VALUE(SUBSTITUTE(SUBSTITUTE(SUBSTITUTE(J1151,"Rs. ",""),"₹",""),",","")))</f>
        <v>4242</v>
      </c>
      <c r="S1151" s="40">
        <f t="shared" si="103"/>
        <v>25</v>
      </c>
      <c r="T1151" s="41">
        <f t="shared" si="106"/>
        <v>25</v>
      </c>
      <c r="U1151" s="42">
        <f t="shared" si="107"/>
        <v>3182</v>
      </c>
    </row>
    <row r="1152" spans="1:21" x14ac:dyDescent="0.3">
      <c r="A1152" s="37" t="s">
        <v>4944</v>
      </c>
      <c r="B1152" s="37" t="s">
        <v>4002</v>
      </c>
      <c r="C1152" s="37" t="s">
        <v>2466</v>
      </c>
      <c r="D1152" s="37" t="s">
        <v>78</v>
      </c>
      <c r="E1152" s="37" t="s">
        <v>79</v>
      </c>
      <c r="F1152" s="37" t="s">
        <v>19</v>
      </c>
      <c r="G1152" s="37" t="s">
        <v>2477</v>
      </c>
      <c r="H1152" s="37">
        <v>6.6</v>
      </c>
      <c r="I1152" s="37">
        <v>12</v>
      </c>
      <c r="J1152" s="37" t="s">
        <v>4945</v>
      </c>
      <c r="K1152" s="37" t="s">
        <v>115</v>
      </c>
      <c r="L1152" s="37" t="s">
        <v>130</v>
      </c>
      <c r="M1152" s="37" t="str">
        <f t="shared" si="104"/>
        <v>General</v>
      </c>
      <c r="N1152" s="37" t="str">
        <f t="shared" si="102"/>
        <v>Cash</v>
      </c>
      <c r="O1152" s="37" t="str" cm="1">
        <f t="array" ref="O1152">IF(TRIM(N1152)="",INDEX($N$2:$N$1500,MATCH(MAX(COUNTIF($N$2:$N$1500,$N$2:$N$1500)),COUNTIF($N$2:$N$1500,$N$2:$N$1500),0)),N1152)</f>
        <v>Cash</v>
      </c>
      <c r="P1152" s="38" cm="1">
        <f t="array" ref="P1152">ROUND(IF(TRIM(H1152)="",IFERROR(MEDIAN(IF($M$2:$M$1500=M1152,$H$2:$H$1500)),MEDIAN($H$2:$H$1500)),H1152),2)</f>
        <v>6.6</v>
      </c>
      <c r="Q1152" s="38" t="str">
        <f t="shared" si="105"/>
        <v>0</v>
      </c>
      <c r="R1152" s="39" cm="1">
        <f t="array" ref="R1152">IF(OR(TRIM(J1152)="",TRIM(J1152)="-"),MEDIAN(IF($C$2:$C$1218=C1152,$J$2:$J$1218)),VALUE(SUBSTITUTE(SUBSTITUTE(SUBSTITUTE(J1152,"Rs. ",""),"₹",""),",","")))</f>
        <v>19450</v>
      </c>
      <c r="S1152" s="40">
        <f t="shared" si="103"/>
        <v>0</v>
      </c>
      <c r="T1152" s="41">
        <f t="shared" si="106"/>
        <v>0</v>
      </c>
      <c r="U1152" s="42">
        <f t="shared" si="107"/>
        <v>19450</v>
      </c>
    </row>
    <row r="1153" spans="1:21" x14ac:dyDescent="0.3">
      <c r="A1153" s="37" t="s">
        <v>4946</v>
      </c>
      <c r="B1153" s="37" t="s">
        <v>4947</v>
      </c>
      <c r="C1153" s="37" t="s">
        <v>2490</v>
      </c>
      <c r="D1153" s="37" t="s">
        <v>45</v>
      </c>
      <c r="E1153" s="37" t="s">
        <v>46</v>
      </c>
      <c r="F1153" s="37" t="s">
        <v>30</v>
      </c>
      <c r="G1153" s="37" t="s">
        <v>2423</v>
      </c>
      <c r="H1153" s="37">
        <v>20.16</v>
      </c>
      <c r="I1153" s="37">
        <v>59</v>
      </c>
      <c r="J1153" s="37" t="s">
        <v>4948</v>
      </c>
      <c r="K1153" s="37" t="s">
        <v>115</v>
      </c>
      <c r="L1153" s="37">
        <v>5</v>
      </c>
      <c r="M1153" s="37" t="str">
        <f t="shared" si="104"/>
        <v>General</v>
      </c>
      <c r="N1153" s="37" t="str">
        <f t="shared" si="102"/>
        <v>Cash</v>
      </c>
      <c r="O1153" s="37" t="str" cm="1">
        <f t="array" ref="O1153">IF(TRIM(N1153)="",INDEX($N$2:$N$1500,MATCH(MAX(COUNTIF($N$2:$N$1500,$N$2:$N$1500)),COUNTIF($N$2:$N$1500,$N$2:$N$1500),0)),N1153)</f>
        <v>Cash</v>
      </c>
      <c r="P1153" s="38" cm="1">
        <f t="array" ref="P1153">ROUND(IF(TRIM(H1153)="",IFERROR(MEDIAN(IF($M$2:$M$1500=M1153,$H$2:$H$1500)),MEDIAN($H$2:$H$1500)),H1153),2)</f>
        <v>20.16</v>
      </c>
      <c r="Q1153" s="38" t="str">
        <f t="shared" si="105"/>
        <v>0</v>
      </c>
      <c r="R1153" s="39" cm="1">
        <f t="array" ref="R1153">IF(OR(TRIM(J1153)="",TRIM(J1153)="-"),MEDIAN(IF($C$2:$C$1218=C1153,$J$2:$J$1218)),VALUE(SUBSTITUTE(SUBSTITUTE(SUBSTITUTE(J1153,"Rs. ",""),"₹",""),",","")))</f>
        <v>6119</v>
      </c>
      <c r="S1153" s="40">
        <f t="shared" si="103"/>
        <v>5</v>
      </c>
      <c r="T1153" s="41">
        <f t="shared" si="106"/>
        <v>5</v>
      </c>
      <c r="U1153" s="42">
        <f t="shared" si="107"/>
        <v>5813</v>
      </c>
    </row>
    <row r="1154" spans="1:21" x14ac:dyDescent="0.3">
      <c r="A1154" s="37" t="s">
        <v>4949</v>
      </c>
      <c r="B1154" s="37" t="s">
        <v>3344</v>
      </c>
      <c r="C1154" s="37" t="s">
        <v>2561</v>
      </c>
      <c r="D1154" s="37" t="s">
        <v>117</v>
      </c>
      <c r="E1154" s="37" t="s">
        <v>118</v>
      </c>
      <c r="F1154" s="37"/>
      <c r="G1154" s="37" t="s">
        <v>2408</v>
      </c>
      <c r="H1154" s="37">
        <v>5.24</v>
      </c>
      <c r="I1154" s="37">
        <v>43</v>
      </c>
      <c r="J1154" s="37" t="s">
        <v>4950</v>
      </c>
      <c r="K1154" s="37" t="s">
        <v>83</v>
      </c>
      <c r="L1154" s="37" t="s">
        <v>198</v>
      </c>
      <c r="M1154" s="37" t="str">
        <f t="shared" si="104"/>
        <v>Unknown</v>
      </c>
      <c r="N1154" s="37" t="str">
        <f t="shared" ref="N1154:N1216" si="108">IF(OR(UPPER(TRIM(K1154))="CREDIT_CARD",UPPER(TRIM(K1154))="CREDIT CARD",UPPER(TRIM(K1154))="CC"),"Credit Card", IF(OR(UPPER(TRIM(K1154))="DEBIT_CARD",UPPER(TRIM(K1154))="DEBIT CARD",UPPER(TRIM(K1154))="DC"),"Debit Card", IF(UPPER(TRIM(K1154))="CASH","Cash", IF(UPPER(TRIM(K1154))="UPI","UPI", IF(OR(UPPER(TRIM(K1154))="INSURANCE",UPPER(TRIM(K1154))="INS"),"Insurance", IF(TRIM(K1154)="","Unknown","Unknown"))))))</f>
        <v>Debit Card</v>
      </c>
      <c r="O1154" s="37" t="str" cm="1">
        <f t="array" ref="O1154">IF(TRIM(N1154)="",INDEX($N$2:$N$1500,MATCH(MAX(COUNTIF($N$2:$N$1500,$N$2:$N$1500)),COUNTIF($N$2:$N$1500,$N$2:$N$1500),0)),N1154)</f>
        <v>Debit Card</v>
      </c>
      <c r="P1154" s="38" cm="1">
        <f t="array" ref="P1154">ROUND(IF(TRIM(H1154)="",IFERROR(MEDIAN(IF($M$2:$M$1500=M1154,$H$2:$H$1500)),MEDIAN($H$2:$H$1500)),H1154),2)</f>
        <v>5.24</v>
      </c>
      <c r="Q1154" s="38" t="str">
        <f t="shared" si="105"/>
        <v>0</v>
      </c>
      <c r="R1154" s="39" cm="1">
        <f t="array" ref="R1154">IF(OR(TRIM(J1154)="",TRIM(J1154)="-"),MEDIAN(IF($C$2:$C$1218=C1154,$J$2:$J$1218)),VALUE(SUBSTITUTE(SUBSTITUTE(SUBSTITUTE(J1154,"Rs. ",""),"₹",""),",","")))</f>
        <v>12859</v>
      </c>
      <c r="S1154" s="40">
        <f t="shared" ref="S1154:S1216" si="109">IF(RIGHT(TRIM(L1154),1)="%",VALUE(LEFT(TRIM(L1154),LEN(TRIM(L1154))-1)),IF(AND(ISNUMBER(L1154),L1154&lt;=1,,L1154&gt;0),L1154*100,L1154))</f>
        <v>5</v>
      </c>
      <c r="T1154" s="41">
        <f t="shared" si="106"/>
        <v>5</v>
      </c>
      <c r="U1154" s="42">
        <f t="shared" si="107"/>
        <v>12216</v>
      </c>
    </row>
    <row r="1155" spans="1:21" x14ac:dyDescent="0.3">
      <c r="A1155" s="37" t="s">
        <v>4951</v>
      </c>
      <c r="B1155" s="37" t="s">
        <v>4952</v>
      </c>
      <c r="C1155" s="37" t="s">
        <v>2514</v>
      </c>
      <c r="D1155" s="37" t="s">
        <v>117</v>
      </c>
      <c r="E1155" s="37" t="s">
        <v>118</v>
      </c>
      <c r="F1155" s="37" t="s">
        <v>69</v>
      </c>
      <c r="G1155" s="37" t="s">
        <v>2418</v>
      </c>
      <c r="H1155" s="37">
        <v>7.24</v>
      </c>
      <c r="I1155" s="37">
        <v>49</v>
      </c>
      <c r="J1155" s="37">
        <v>48973</v>
      </c>
      <c r="K1155" s="37" t="s">
        <v>211</v>
      </c>
      <c r="L1155" s="37">
        <v>0</v>
      </c>
      <c r="M1155" s="37" t="str">
        <f t="shared" ref="M1155:M1216" si="110">IF(OR(UPPER(TRIM(F1155))="GENERAL",UPPER(TRIM(F1155))="GENRAL"),"General",IF(UPPER(TRIM(F1155))="ICU","ICU","Unknown"))</f>
        <v>ICU</v>
      </c>
      <c r="N1155" s="37" t="str">
        <f t="shared" si="108"/>
        <v>Credit Card</v>
      </c>
      <c r="O1155" s="37" t="str" cm="1">
        <f t="array" ref="O1155">IF(TRIM(N1155)="",INDEX($N$2:$N$1500,MATCH(MAX(COUNTIF($N$2:$N$1500,$N$2:$N$1500)),COUNTIF($N$2:$N$1500,$N$2:$N$1500),0)),N1155)</f>
        <v>Credit Card</v>
      </c>
      <c r="P1155" s="38" cm="1">
        <f t="array" ref="P1155">ROUND(IF(TRIM(H1155)="",IFERROR(MEDIAN(IF($M$2:$M$1500=M1155,$H$2:$H$1500)),MEDIAN($H$2:$H$1500)),H1155),2)</f>
        <v>7.24</v>
      </c>
      <c r="Q1155" s="38" t="str">
        <f t="shared" ref="Q1155:Q1216" si="111">IF(OR(LOWER(TRIM(G1155))="0",LOWER(TRIM(G1155))="zero"),"0", IF(OR(LOWER(TRIM(G1155))="1",LOWER(TRIM(G1155))="one"),"1", IF(OR(LOWER(TRIM(G1155))="2",LOWER(TRIM(G1155))="two"),"2", IF(OR(LOWER(TRIM(G1155))="2+",LOWER(TRIM(G1155))="two_or_more",LOWER(TRIM(G1155))="multiple"),"2+", "Unknown"))))</f>
        <v>1</v>
      </c>
      <c r="R1155" s="39" cm="1">
        <f t="array" ref="R1155">IF(OR(TRIM(J1155)="",TRIM(J1155)="-"),MEDIAN(IF($C$2:$C$1218=C1155,$J$2:$J$1218)),VALUE(SUBSTITUTE(SUBSTITUTE(SUBSTITUTE(J1155,"Rs. ",""),"₹",""),",","")))</f>
        <v>48973</v>
      </c>
      <c r="S1155" s="40">
        <f t="shared" si="109"/>
        <v>0</v>
      </c>
      <c r="T1155" s="41">
        <f t="shared" ref="T1155:T1216" si="112">ROUND(IF(OR(TRIM(S1155)="-",UPPER(TRIM(S1155))="N/A",UPPER(TRIM(S1155))="NA"),IFERROR(AVERAGEIF($O$2:$O$1500,O1155,$S$2:$S$1500),AVERAGE($S$2:$S$1500)),S1155),0)</f>
        <v>0</v>
      </c>
      <c r="U1155" s="42">
        <f t="shared" ref="U1155:U1216" si="113">ROUND(R1155*(1-T1155/100),0)</f>
        <v>48973</v>
      </c>
    </row>
    <row r="1156" spans="1:21" x14ac:dyDescent="0.3">
      <c r="A1156" s="37" t="s">
        <v>4953</v>
      </c>
      <c r="B1156" s="37" t="s">
        <v>3925</v>
      </c>
      <c r="C1156" s="37" t="s">
        <v>2407</v>
      </c>
      <c r="D1156" s="37" t="s">
        <v>14</v>
      </c>
      <c r="E1156" s="37" t="s">
        <v>60</v>
      </c>
      <c r="F1156" s="37" t="s">
        <v>49</v>
      </c>
      <c r="G1156" s="37" t="s">
        <v>2418</v>
      </c>
      <c r="H1156" s="37">
        <v>12.98</v>
      </c>
      <c r="I1156" s="37">
        <v>26</v>
      </c>
      <c r="J1156" s="37">
        <v>5729</v>
      </c>
      <c r="K1156" s="37" t="s">
        <v>104</v>
      </c>
      <c r="L1156" s="37">
        <v>0.25</v>
      </c>
      <c r="M1156" s="37" t="str">
        <f t="shared" si="110"/>
        <v>General</v>
      </c>
      <c r="N1156" s="37" t="str">
        <f t="shared" si="108"/>
        <v>Insurance</v>
      </c>
      <c r="O1156" s="37" t="str" cm="1">
        <f t="array" ref="O1156">IF(TRIM(N1156)="",INDEX($N$2:$N$1500,MATCH(MAX(COUNTIF($N$2:$N$1500,$N$2:$N$1500)),COUNTIF($N$2:$N$1500,$N$2:$N$1500),0)),N1156)</f>
        <v>Insurance</v>
      </c>
      <c r="P1156" s="38" cm="1">
        <f t="array" ref="P1156">ROUND(IF(TRIM(H1156)="",IFERROR(MEDIAN(IF($M$2:$M$1500=M1156,$H$2:$H$1500)),MEDIAN($H$2:$H$1500)),H1156),2)</f>
        <v>12.98</v>
      </c>
      <c r="Q1156" s="38" t="str">
        <f t="shared" si="111"/>
        <v>1</v>
      </c>
      <c r="R1156" s="39" cm="1">
        <f t="array" ref="R1156">IF(OR(TRIM(J1156)="",TRIM(J1156)="-"),MEDIAN(IF($C$2:$C$1218=C1156,$J$2:$J$1218)),VALUE(SUBSTITUTE(SUBSTITUTE(SUBSTITUTE(J1156,"Rs. ",""),"₹",""),",","")))</f>
        <v>5729</v>
      </c>
      <c r="S1156" s="40">
        <f t="shared" si="109"/>
        <v>0.25</v>
      </c>
      <c r="T1156" s="41">
        <f t="shared" si="112"/>
        <v>0</v>
      </c>
      <c r="U1156" s="42">
        <f t="shared" si="113"/>
        <v>5729</v>
      </c>
    </row>
    <row r="1157" spans="1:21" x14ac:dyDescent="0.3">
      <c r="A1157" s="37" t="s">
        <v>4954</v>
      </c>
      <c r="B1157" s="37" t="s">
        <v>2665</v>
      </c>
      <c r="C1157" s="37" t="s">
        <v>2438</v>
      </c>
      <c r="D1157" s="37" t="s">
        <v>106</v>
      </c>
      <c r="E1157" s="37" t="s">
        <v>107</v>
      </c>
      <c r="F1157" s="37" t="s">
        <v>19</v>
      </c>
      <c r="G1157" s="37" t="s">
        <v>2418</v>
      </c>
      <c r="H1157" s="37">
        <v>3.35</v>
      </c>
      <c r="I1157" s="37">
        <v>36</v>
      </c>
      <c r="J1157" s="37">
        <v>16389</v>
      </c>
      <c r="K1157" s="37" t="s">
        <v>115</v>
      </c>
      <c r="L1157" s="37" t="s">
        <v>130</v>
      </c>
      <c r="M1157" s="37" t="str">
        <f t="shared" si="110"/>
        <v>General</v>
      </c>
      <c r="N1157" s="37" t="str">
        <f t="shared" si="108"/>
        <v>Cash</v>
      </c>
      <c r="O1157" s="37" t="str" cm="1">
        <f t="array" ref="O1157">IF(TRIM(N1157)="",INDEX($N$2:$N$1500,MATCH(MAX(COUNTIF($N$2:$N$1500,$N$2:$N$1500)),COUNTIF($N$2:$N$1500,$N$2:$N$1500),0)),N1157)</f>
        <v>Cash</v>
      </c>
      <c r="P1157" s="38" cm="1">
        <f t="array" ref="P1157">ROUND(IF(TRIM(H1157)="",IFERROR(MEDIAN(IF($M$2:$M$1500=M1157,$H$2:$H$1500)),MEDIAN($H$2:$H$1500)),H1157),2)</f>
        <v>3.35</v>
      </c>
      <c r="Q1157" s="38" t="str">
        <f t="shared" si="111"/>
        <v>1</v>
      </c>
      <c r="R1157" s="39" cm="1">
        <f t="array" ref="R1157">IF(OR(TRIM(J1157)="",TRIM(J1157)="-"),MEDIAN(IF($C$2:$C$1218=C1157,$J$2:$J$1218)),VALUE(SUBSTITUTE(SUBSTITUTE(SUBSTITUTE(J1157,"Rs. ",""),"₹",""),",","")))</f>
        <v>16389</v>
      </c>
      <c r="S1157" s="40">
        <f t="shared" si="109"/>
        <v>0</v>
      </c>
      <c r="T1157" s="41">
        <f t="shared" si="112"/>
        <v>0</v>
      </c>
      <c r="U1157" s="42">
        <f t="shared" si="113"/>
        <v>16389</v>
      </c>
    </row>
    <row r="1158" spans="1:21" x14ac:dyDescent="0.3">
      <c r="A1158" s="37" t="s">
        <v>4955</v>
      </c>
      <c r="B1158" s="37" t="s">
        <v>4956</v>
      </c>
      <c r="C1158" s="37" t="s">
        <v>2629</v>
      </c>
      <c r="D1158" s="37" t="s">
        <v>45</v>
      </c>
      <c r="E1158" s="37" t="s">
        <v>46</v>
      </c>
      <c r="F1158" s="37" t="s">
        <v>49</v>
      </c>
      <c r="G1158" s="37" t="s">
        <v>2412</v>
      </c>
      <c r="H1158" s="37">
        <v>1.24</v>
      </c>
      <c r="I1158" s="37">
        <v>57</v>
      </c>
      <c r="J1158" s="37">
        <v>12580</v>
      </c>
      <c r="K1158" s="37" t="s">
        <v>149</v>
      </c>
      <c r="L1158" s="37" t="s">
        <v>76</v>
      </c>
      <c r="M1158" s="37" t="str">
        <f t="shared" si="110"/>
        <v>General</v>
      </c>
      <c r="N1158" s="37" t="str">
        <f t="shared" si="108"/>
        <v>Insurance</v>
      </c>
      <c r="O1158" s="37" t="str" cm="1">
        <f t="array" ref="O1158">IF(TRIM(N1158)="",INDEX($N$2:$N$1500,MATCH(MAX(COUNTIF($N$2:$N$1500,$N$2:$N$1500)),COUNTIF($N$2:$N$1500,$N$2:$N$1500),0)),N1158)</f>
        <v>Insurance</v>
      </c>
      <c r="P1158" s="38" cm="1">
        <f t="array" ref="P1158">ROUND(IF(TRIM(H1158)="",IFERROR(MEDIAN(IF($M$2:$M$1500=M1158,$H$2:$H$1500)),MEDIAN($H$2:$H$1500)),H1158),2)</f>
        <v>1.24</v>
      </c>
      <c r="Q1158" s="38" t="str">
        <f t="shared" si="111"/>
        <v>1</v>
      </c>
      <c r="R1158" s="39" cm="1">
        <f t="array" ref="R1158">IF(OR(TRIM(J1158)="",TRIM(J1158)="-"),MEDIAN(IF($C$2:$C$1218=C1158,$J$2:$J$1218)),VALUE(SUBSTITUTE(SUBSTITUTE(SUBSTITUTE(J1158,"Rs. ",""),"₹",""),",","")))</f>
        <v>12580</v>
      </c>
      <c r="S1158" s="40">
        <f t="shared" si="109"/>
        <v>10</v>
      </c>
      <c r="T1158" s="41">
        <f t="shared" si="112"/>
        <v>10</v>
      </c>
      <c r="U1158" s="42">
        <f t="shared" si="113"/>
        <v>11322</v>
      </c>
    </row>
    <row r="1159" spans="1:21" x14ac:dyDescent="0.3">
      <c r="A1159" s="37" t="s">
        <v>4957</v>
      </c>
      <c r="B1159" s="37" t="s">
        <v>4958</v>
      </c>
      <c r="C1159" s="37" t="s">
        <v>2422</v>
      </c>
      <c r="D1159" s="37" t="s">
        <v>106</v>
      </c>
      <c r="E1159" s="37" t="s">
        <v>307</v>
      </c>
      <c r="F1159" s="37" t="s">
        <v>19</v>
      </c>
      <c r="G1159" s="37" t="s">
        <v>2450</v>
      </c>
      <c r="H1159" s="37"/>
      <c r="I1159" s="37">
        <v>30</v>
      </c>
      <c r="J1159" s="37">
        <v>7702</v>
      </c>
      <c r="K1159" s="37" t="s">
        <v>311</v>
      </c>
      <c r="L1159" s="37">
        <v>0</v>
      </c>
      <c r="M1159" s="37" t="str">
        <f t="shared" si="110"/>
        <v>General</v>
      </c>
      <c r="N1159" s="37" t="str">
        <f t="shared" si="108"/>
        <v>UPI</v>
      </c>
      <c r="O1159" s="37" t="str" cm="1">
        <f t="array" ref="O1159">IF(TRIM(N1159)="",INDEX($N$2:$N$1500,MATCH(MAX(COUNTIF($N$2:$N$1500,$N$2:$N$1500)),COUNTIF($N$2:$N$1500,$N$2:$N$1500),0)),N1159)</f>
        <v>UPI</v>
      </c>
      <c r="P1159" s="38" cm="1">
        <f t="array" ref="P1159">ROUND(IF(TRIM(H1159)="",IFERROR(MEDIAN(IF($M$2:$M$1500=M1159,$H$2:$H$1500)),MEDIAN($H$2:$H$1500)),H1159),2)</f>
        <v>12.02</v>
      </c>
      <c r="Q1159" s="38" t="str">
        <f t="shared" si="111"/>
        <v>1</v>
      </c>
      <c r="R1159" s="39" cm="1">
        <f t="array" ref="R1159">IF(OR(TRIM(J1159)="",TRIM(J1159)="-"),MEDIAN(IF($C$2:$C$1218=C1159,$J$2:$J$1218)),VALUE(SUBSTITUTE(SUBSTITUTE(SUBSTITUTE(J1159,"Rs. ",""),"₹",""),",","")))</f>
        <v>7702</v>
      </c>
      <c r="S1159" s="40">
        <f t="shared" si="109"/>
        <v>0</v>
      </c>
      <c r="T1159" s="41">
        <f t="shared" si="112"/>
        <v>0</v>
      </c>
      <c r="U1159" s="42">
        <f t="shared" si="113"/>
        <v>7702</v>
      </c>
    </row>
    <row r="1160" spans="1:21" x14ac:dyDescent="0.3">
      <c r="A1160" s="37" t="s">
        <v>4959</v>
      </c>
      <c r="B1160" s="37" t="s">
        <v>4960</v>
      </c>
      <c r="C1160" s="37" t="s">
        <v>2730</v>
      </c>
      <c r="D1160" s="37" t="s">
        <v>14</v>
      </c>
      <c r="E1160" s="37" t="s">
        <v>60</v>
      </c>
      <c r="F1160" s="37" t="s">
        <v>19</v>
      </c>
      <c r="G1160" s="37" t="s">
        <v>2477</v>
      </c>
      <c r="H1160" s="37"/>
      <c r="I1160" s="37">
        <v>29</v>
      </c>
      <c r="J1160" s="37">
        <v>7692</v>
      </c>
      <c r="K1160" s="37" t="s">
        <v>52</v>
      </c>
      <c r="L1160" s="37">
        <v>0</v>
      </c>
      <c r="M1160" s="37" t="str">
        <f t="shared" si="110"/>
        <v>General</v>
      </c>
      <c r="N1160" s="37" t="str">
        <f t="shared" si="108"/>
        <v>Credit Card</v>
      </c>
      <c r="O1160" s="37" t="str" cm="1">
        <f t="array" ref="O1160">IF(TRIM(N1160)="",INDEX($N$2:$N$1500,MATCH(MAX(COUNTIF($N$2:$N$1500,$N$2:$N$1500)),COUNTIF($N$2:$N$1500,$N$2:$N$1500),0)),N1160)</f>
        <v>Credit Card</v>
      </c>
      <c r="P1160" s="38" cm="1">
        <f t="array" ref="P1160">ROUND(IF(TRIM(H1160)="",IFERROR(MEDIAN(IF($M$2:$M$1500=M1160,$H$2:$H$1500)),MEDIAN($H$2:$H$1500)),H1160),2)</f>
        <v>12.02</v>
      </c>
      <c r="Q1160" s="38" t="str">
        <f t="shared" si="111"/>
        <v>0</v>
      </c>
      <c r="R1160" s="39" cm="1">
        <f t="array" ref="R1160">IF(OR(TRIM(J1160)="",TRIM(J1160)="-"),MEDIAN(IF($C$2:$C$1218=C1160,$J$2:$J$1218)),VALUE(SUBSTITUTE(SUBSTITUTE(SUBSTITUTE(J1160,"Rs. ",""),"₹",""),",","")))</f>
        <v>7692</v>
      </c>
      <c r="S1160" s="40">
        <f t="shared" si="109"/>
        <v>0</v>
      </c>
      <c r="T1160" s="41">
        <f t="shared" si="112"/>
        <v>0</v>
      </c>
      <c r="U1160" s="42">
        <f t="shared" si="113"/>
        <v>7692</v>
      </c>
    </row>
    <row r="1161" spans="1:21" x14ac:dyDescent="0.3">
      <c r="A1161" s="37" t="s">
        <v>4961</v>
      </c>
      <c r="B1161" s="37" t="s">
        <v>4962</v>
      </c>
      <c r="C1161" s="37" t="s">
        <v>2514</v>
      </c>
      <c r="D1161" s="37" t="s">
        <v>14</v>
      </c>
      <c r="E1161" s="37" t="s">
        <v>60</v>
      </c>
      <c r="F1161" s="37" t="s">
        <v>49</v>
      </c>
      <c r="G1161" s="37" t="s">
        <v>2408</v>
      </c>
      <c r="H1161" s="37">
        <v>11.77</v>
      </c>
      <c r="I1161" s="37">
        <v>15</v>
      </c>
      <c r="J1161" s="37">
        <v>14137</v>
      </c>
      <c r="K1161" s="37" t="s">
        <v>104</v>
      </c>
      <c r="L1161" s="37">
        <v>18</v>
      </c>
      <c r="M1161" s="37" t="str">
        <f t="shared" si="110"/>
        <v>General</v>
      </c>
      <c r="N1161" s="37" t="str">
        <f t="shared" si="108"/>
        <v>Insurance</v>
      </c>
      <c r="O1161" s="37" t="str" cm="1">
        <f t="array" ref="O1161">IF(TRIM(N1161)="",INDEX($N$2:$N$1500,MATCH(MAX(COUNTIF($N$2:$N$1500,$N$2:$N$1500)),COUNTIF($N$2:$N$1500,$N$2:$N$1500),0)),N1161)</f>
        <v>Insurance</v>
      </c>
      <c r="P1161" s="38" cm="1">
        <f t="array" ref="P1161">ROUND(IF(TRIM(H1161)="",IFERROR(MEDIAN(IF($M$2:$M$1500=M1161,$H$2:$H$1500)),MEDIAN($H$2:$H$1500)),H1161),2)</f>
        <v>11.77</v>
      </c>
      <c r="Q1161" s="38" t="str">
        <f t="shared" si="111"/>
        <v>0</v>
      </c>
      <c r="R1161" s="39" cm="1">
        <f t="array" ref="R1161">IF(OR(TRIM(J1161)="",TRIM(J1161)="-"),MEDIAN(IF($C$2:$C$1218=C1161,$J$2:$J$1218)),VALUE(SUBSTITUTE(SUBSTITUTE(SUBSTITUTE(J1161,"Rs. ",""),"₹",""),",","")))</f>
        <v>14137</v>
      </c>
      <c r="S1161" s="40">
        <f t="shared" si="109"/>
        <v>18</v>
      </c>
      <c r="T1161" s="41">
        <f t="shared" si="112"/>
        <v>18</v>
      </c>
      <c r="U1161" s="42">
        <f t="shared" si="113"/>
        <v>11592</v>
      </c>
    </row>
    <row r="1162" spans="1:21" x14ac:dyDescent="0.3">
      <c r="A1162" s="37" t="s">
        <v>4963</v>
      </c>
      <c r="B1162" s="37" t="s">
        <v>4227</v>
      </c>
      <c r="C1162" s="37" t="s">
        <v>2463</v>
      </c>
      <c r="D1162" s="37" t="s">
        <v>78</v>
      </c>
      <c r="E1162" s="37" t="s">
        <v>203</v>
      </c>
      <c r="F1162" s="37" t="s">
        <v>69</v>
      </c>
      <c r="G1162" s="37" t="s">
        <v>2408</v>
      </c>
      <c r="H1162" s="37">
        <v>0.99</v>
      </c>
      <c r="I1162" s="37">
        <v>49</v>
      </c>
      <c r="J1162" s="37" t="s">
        <v>4964</v>
      </c>
      <c r="K1162" s="37" t="s">
        <v>311</v>
      </c>
      <c r="L1162" s="37" t="s">
        <v>140</v>
      </c>
      <c r="M1162" s="37" t="str">
        <f t="shared" si="110"/>
        <v>ICU</v>
      </c>
      <c r="N1162" s="37" t="str">
        <f t="shared" si="108"/>
        <v>UPI</v>
      </c>
      <c r="O1162" s="37" t="str" cm="1">
        <f t="array" ref="O1162">IF(TRIM(N1162)="",INDEX($N$2:$N$1500,MATCH(MAX(COUNTIF($N$2:$N$1500,$N$2:$N$1500)),COUNTIF($N$2:$N$1500,$N$2:$N$1500),0)),N1162)</f>
        <v>UPI</v>
      </c>
      <c r="P1162" s="38" cm="1">
        <f t="array" ref="P1162">ROUND(IF(TRIM(H1162)="",IFERROR(MEDIAN(IF($M$2:$M$1500=M1162,$H$2:$H$1500)),MEDIAN($H$2:$H$1500)),H1162),2)</f>
        <v>0.99</v>
      </c>
      <c r="Q1162" s="38" t="str">
        <f t="shared" si="111"/>
        <v>0</v>
      </c>
      <c r="R1162" s="39" cm="1">
        <f t="array" ref="R1162">IF(OR(TRIM(J1162)="",TRIM(J1162)="-"),MEDIAN(IF($C$2:$C$1218=C1162,$J$2:$J$1218)),VALUE(SUBSTITUTE(SUBSTITUTE(SUBSTITUTE(J1162,"Rs. ",""),"₹",""),",","")))</f>
        <v>74959</v>
      </c>
      <c r="S1162" s="40" t="str">
        <f t="shared" si="109"/>
        <v>-</v>
      </c>
      <c r="T1162" s="41">
        <f t="shared" si="112"/>
        <v>2</v>
      </c>
      <c r="U1162" s="42">
        <f t="shared" si="113"/>
        <v>73460</v>
      </c>
    </row>
    <row r="1163" spans="1:21" x14ac:dyDescent="0.3">
      <c r="A1163" s="37" t="s">
        <v>4965</v>
      </c>
      <c r="B1163" s="37" t="s">
        <v>3093</v>
      </c>
      <c r="C1163" s="37" t="s">
        <v>2415</v>
      </c>
      <c r="D1163" s="37" t="s">
        <v>14</v>
      </c>
      <c r="E1163" s="37" t="s">
        <v>15</v>
      </c>
      <c r="F1163" s="37" t="s">
        <v>19</v>
      </c>
      <c r="G1163" s="37" t="s">
        <v>2486</v>
      </c>
      <c r="H1163" s="37">
        <v>23.92</v>
      </c>
      <c r="I1163" s="37">
        <v>33</v>
      </c>
      <c r="J1163" s="37" t="s">
        <v>4966</v>
      </c>
      <c r="K1163" s="37" t="s">
        <v>97</v>
      </c>
      <c r="L1163" s="37" t="s">
        <v>140</v>
      </c>
      <c r="M1163" s="37" t="str">
        <f t="shared" si="110"/>
        <v>General</v>
      </c>
      <c r="N1163" s="37" t="str">
        <f t="shared" si="108"/>
        <v>UPI</v>
      </c>
      <c r="O1163" s="37" t="str" cm="1">
        <f t="array" ref="O1163">IF(TRIM(N1163)="",INDEX($N$2:$N$1500,MATCH(MAX(COUNTIF($N$2:$N$1500,$N$2:$N$1500)),COUNTIF($N$2:$N$1500,$N$2:$N$1500),0)),N1163)</f>
        <v>UPI</v>
      </c>
      <c r="P1163" s="38" cm="1">
        <f t="array" ref="P1163">ROUND(IF(TRIM(H1163)="",IFERROR(MEDIAN(IF($M$2:$M$1500=M1163,$H$2:$H$1500)),MEDIAN($H$2:$H$1500)),H1163),2)</f>
        <v>23.92</v>
      </c>
      <c r="Q1163" s="38" t="str">
        <f t="shared" si="111"/>
        <v>2+</v>
      </c>
      <c r="R1163" s="39" cm="1">
        <f t="array" ref="R1163">IF(OR(TRIM(J1163)="",TRIM(J1163)="-"),MEDIAN(IF($C$2:$C$1218=C1163,$J$2:$J$1218)),VALUE(SUBSTITUTE(SUBSTITUTE(SUBSTITUTE(J1163,"Rs. ",""),"₹",""),",","")))</f>
        <v>11363</v>
      </c>
      <c r="S1163" s="40" t="str">
        <f t="shared" si="109"/>
        <v>-</v>
      </c>
      <c r="T1163" s="41">
        <f t="shared" si="112"/>
        <v>2</v>
      </c>
      <c r="U1163" s="42">
        <f t="shared" si="113"/>
        <v>11136</v>
      </c>
    </row>
    <row r="1164" spans="1:21" x14ac:dyDescent="0.3">
      <c r="A1164" s="37" t="s">
        <v>4967</v>
      </c>
      <c r="B1164" s="37" t="s">
        <v>4968</v>
      </c>
      <c r="C1164" s="37" t="s">
        <v>2449</v>
      </c>
      <c r="D1164" s="37" t="s">
        <v>45</v>
      </c>
      <c r="E1164" s="37" t="s">
        <v>46</v>
      </c>
      <c r="F1164" s="37" t="s">
        <v>19</v>
      </c>
      <c r="G1164" s="37" t="s">
        <v>2408</v>
      </c>
      <c r="H1164" s="37">
        <v>17.18</v>
      </c>
      <c r="I1164" s="37">
        <v>12</v>
      </c>
      <c r="J1164" s="37">
        <v>3450</v>
      </c>
      <c r="K1164" s="37" t="s">
        <v>91</v>
      </c>
      <c r="L1164" s="37" t="s">
        <v>130</v>
      </c>
      <c r="M1164" s="37" t="str">
        <f t="shared" si="110"/>
        <v>General</v>
      </c>
      <c r="N1164" s="37" t="str">
        <f t="shared" si="108"/>
        <v>Debit Card</v>
      </c>
      <c r="O1164" s="37" t="str" cm="1">
        <f t="array" ref="O1164">IF(TRIM(N1164)="",INDEX($N$2:$N$1500,MATCH(MAX(COUNTIF($N$2:$N$1500,$N$2:$N$1500)),COUNTIF($N$2:$N$1500,$N$2:$N$1500),0)),N1164)</f>
        <v>Debit Card</v>
      </c>
      <c r="P1164" s="38" cm="1">
        <f t="array" ref="P1164">ROUND(IF(TRIM(H1164)="",IFERROR(MEDIAN(IF($M$2:$M$1500=M1164,$H$2:$H$1500)),MEDIAN($H$2:$H$1500)),H1164),2)</f>
        <v>17.18</v>
      </c>
      <c r="Q1164" s="38" t="str">
        <f t="shared" si="111"/>
        <v>0</v>
      </c>
      <c r="R1164" s="39" cm="1">
        <f t="array" ref="R1164">IF(OR(TRIM(J1164)="",TRIM(J1164)="-"),MEDIAN(IF($C$2:$C$1218=C1164,$J$2:$J$1218)),VALUE(SUBSTITUTE(SUBSTITUTE(SUBSTITUTE(J1164,"Rs. ",""),"₹",""),",","")))</f>
        <v>3450</v>
      </c>
      <c r="S1164" s="40">
        <f t="shared" si="109"/>
        <v>0</v>
      </c>
      <c r="T1164" s="41">
        <f t="shared" si="112"/>
        <v>0</v>
      </c>
      <c r="U1164" s="42">
        <f t="shared" si="113"/>
        <v>3450</v>
      </c>
    </row>
    <row r="1165" spans="1:21" x14ac:dyDescent="0.3">
      <c r="A1165" s="37" t="s">
        <v>4969</v>
      </c>
      <c r="B1165" s="37" t="s">
        <v>3833</v>
      </c>
      <c r="C1165" s="37" t="s">
        <v>2427</v>
      </c>
      <c r="D1165" s="37" t="s">
        <v>117</v>
      </c>
      <c r="E1165" s="37" t="s">
        <v>118</v>
      </c>
      <c r="F1165" s="37" t="s">
        <v>62</v>
      </c>
      <c r="G1165" s="37" t="s">
        <v>2435</v>
      </c>
      <c r="H1165" s="37">
        <v>3.69</v>
      </c>
      <c r="I1165" s="37">
        <v>59</v>
      </c>
      <c r="J1165" s="37" t="s">
        <v>4970</v>
      </c>
      <c r="K1165" s="37" t="s">
        <v>72</v>
      </c>
      <c r="L1165" s="37" t="s">
        <v>64</v>
      </c>
      <c r="M1165" s="37" t="str">
        <f t="shared" si="110"/>
        <v>ICU</v>
      </c>
      <c r="N1165" s="37" t="str">
        <f t="shared" si="108"/>
        <v>Cash</v>
      </c>
      <c r="O1165" s="37" t="str" cm="1">
        <f t="array" ref="O1165">IF(TRIM(N1165)="",INDEX($N$2:$N$1500,MATCH(MAX(COUNTIF($N$2:$N$1500,$N$2:$N$1500)),COUNTIF($N$2:$N$1500,$N$2:$N$1500),0)),N1165)</f>
        <v>Cash</v>
      </c>
      <c r="P1165" s="38" cm="1">
        <f t="array" ref="P1165">ROUND(IF(TRIM(H1165)="",IFERROR(MEDIAN(IF($M$2:$M$1500=M1165,$H$2:$H$1500)),MEDIAN($H$2:$H$1500)),H1165),2)</f>
        <v>3.69</v>
      </c>
      <c r="Q1165" s="38" t="str">
        <f t="shared" si="111"/>
        <v>0</v>
      </c>
      <c r="R1165" s="39" cm="1">
        <f t="array" ref="R1165">IF(OR(TRIM(J1165)="",TRIM(J1165)="-"),MEDIAN(IF($C$2:$C$1218=C1165,$J$2:$J$1218)),VALUE(SUBSTITUTE(SUBSTITUTE(SUBSTITUTE(J1165,"Rs. ",""),"₹",""),",","")))</f>
        <v>34467</v>
      </c>
      <c r="S1165" s="40" t="str">
        <f t="shared" si="109"/>
        <v>NA</v>
      </c>
      <c r="T1165" s="41">
        <f t="shared" si="112"/>
        <v>2</v>
      </c>
      <c r="U1165" s="42">
        <f t="shared" si="113"/>
        <v>33778</v>
      </c>
    </row>
    <row r="1166" spans="1:21" x14ac:dyDescent="0.3">
      <c r="A1166" s="37" t="s">
        <v>4971</v>
      </c>
      <c r="B1166" s="37" t="s">
        <v>2580</v>
      </c>
      <c r="C1166" s="37" t="s">
        <v>2449</v>
      </c>
      <c r="D1166" s="37" t="s">
        <v>78</v>
      </c>
      <c r="E1166" s="37" t="s">
        <v>203</v>
      </c>
      <c r="F1166" s="37" t="s">
        <v>30</v>
      </c>
      <c r="G1166" s="37" t="s">
        <v>2486</v>
      </c>
      <c r="H1166" s="37">
        <v>22.74</v>
      </c>
      <c r="I1166" s="37">
        <v>52</v>
      </c>
      <c r="J1166" s="37"/>
      <c r="K1166" s="37" t="s">
        <v>311</v>
      </c>
      <c r="L1166" s="37" t="s">
        <v>130</v>
      </c>
      <c r="M1166" s="37" t="str">
        <f t="shared" si="110"/>
        <v>General</v>
      </c>
      <c r="N1166" s="37" t="str">
        <f t="shared" si="108"/>
        <v>UPI</v>
      </c>
      <c r="O1166" s="37" t="str" cm="1">
        <f t="array" ref="O1166">IF(TRIM(N1166)="",INDEX($N$2:$N$1500,MATCH(MAX(COUNTIF($N$2:$N$1500,$N$2:$N$1500)),COUNTIF($N$2:$N$1500,$N$2:$N$1500),0)),N1166)</f>
        <v>UPI</v>
      </c>
      <c r="P1166" s="38" cm="1">
        <f t="array" ref="P1166">ROUND(IF(TRIM(H1166)="",IFERROR(MEDIAN(IF($M$2:$M$1500=M1166,$H$2:$H$1500)),MEDIAN($H$2:$H$1500)),H1166),2)</f>
        <v>22.74</v>
      </c>
      <c r="Q1166" s="38" t="str">
        <f t="shared" si="111"/>
        <v>2+</v>
      </c>
      <c r="R1166" s="39" cm="1">
        <f t="array" ref="R1166">IF(OR(TRIM(J1166)="",TRIM(J1166)="-"),MEDIAN(IF($C$2:$C$1218=C1166,$J$2:$J$1218)),VALUE(SUBSTITUTE(SUBSTITUTE(SUBSTITUTE(J1166,"Rs. ",""),"₹",""),",","")))</f>
        <v>14369</v>
      </c>
      <c r="S1166" s="40">
        <f t="shared" si="109"/>
        <v>0</v>
      </c>
      <c r="T1166" s="41">
        <f t="shared" si="112"/>
        <v>0</v>
      </c>
      <c r="U1166" s="42">
        <f t="shared" si="113"/>
        <v>14369</v>
      </c>
    </row>
    <row r="1167" spans="1:21" x14ac:dyDescent="0.3">
      <c r="A1167" s="37" t="s">
        <v>4972</v>
      </c>
      <c r="B1167" s="37" t="s">
        <v>4973</v>
      </c>
      <c r="C1167" s="37" t="s">
        <v>2454</v>
      </c>
      <c r="D1167" s="37" t="s">
        <v>45</v>
      </c>
      <c r="E1167" s="37" t="s">
        <v>46</v>
      </c>
      <c r="F1167" s="37" t="s">
        <v>101</v>
      </c>
      <c r="G1167" s="37"/>
      <c r="H1167" s="37">
        <v>17.510000000000002</v>
      </c>
      <c r="I1167" s="37">
        <v>15</v>
      </c>
      <c r="J1167" s="37" t="s">
        <v>4974</v>
      </c>
      <c r="K1167" s="37" t="s">
        <v>91</v>
      </c>
      <c r="L1167" s="37" t="s">
        <v>140</v>
      </c>
      <c r="M1167" s="37" t="str">
        <f t="shared" si="110"/>
        <v>ICU</v>
      </c>
      <c r="N1167" s="37" t="str">
        <f t="shared" si="108"/>
        <v>Debit Card</v>
      </c>
      <c r="O1167" s="37" t="str" cm="1">
        <f t="array" ref="O1167">IF(TRIM(N1167)="",INDEX($N$2:$N$1500,MATCH(MAX(COUNTIF($N$2:$N$1500,$N$2:$N$1500)),COUNTIF($N$2:$N$1500,$N$2:$N$1500),0)),N1167)</f>
        <v>Debit Card</v>
      </c>
      <c r="P1167" s="38" cm="1">
        <f t="array" ref="P1167">ROUND(IF(TRIM(H1167)="",IFERROR(MEDIAN(IF($M$2:$M$1500=M1167,$H$2:$H$1500)),MEDIAN($H$2:$H$1500)),H1167),2)</f>
        <v>17.510000000000002</v>
      </c>
      <c r="Q1167" s="38" t="str">
        <f t="shared" si="111"/>
        <v>Unknown</v>
      </c>
      <c r="R1167" s="39" cm="1">
        <f t="array" ref="R1167">IF(OR(TRIM(J1167)="",TRIM(J1167)="-"),MEDIAN(IF($C$2:$C$1218=C1167,$J$2:$J$1218)),VALUE(SUBSTITUTE(SUBSTITUTE(SUBSTITUTE(J1167,"Rs. ",""),"₹",""),",","")))</f>
        <v>78961</v>
      </c>
      <c r="S1167" s="40" t="str">
        <f t="shared" si="109"/>
        <v>-</v>
      </c>
      <c r="T1167" s="41">
        <f t="shared" si="112"/>
        <v>3</v>
      </c>
      <c r="U1167" s="42">
        <f t="shared" si="113"/>
        <v>76592</v>
      </c>
    </row>
    <row r="1168" spans="1:21" x14ac:dyDescent="0.3">
      <c r="A1168" s="37" t="s">
        <v>4975</v>
      </c>
      <c r="B1168" s="37" t="s">
        <v>4578</v>
      </c>
      <c r="C1168" s="37" t="s">
        <v>2411</v>
      </c>
      <c r="D1168" s="37" t="s">
        <v>45</v>
      </c>
      <c r="E1168" s="37" t="s">
        <v>334</v>
      </c>
      <c r="F1168" s="37" t="s">
        <v>49</v>
      </c>
      <c r="G1168" s="37" t="s">
        <v>2435</v>
      </c>
      <c r="H1168" s="37">
        <v>20.84</v>
      </c>
      <c r="I1168" s="37">
        <v>51</v>
      </c>
      <c r="J1168" s="37">
        <v>6893</v>
      </c>
      <c r="K1168" s="37" t="s">
        <v>115</v>
      </c>
      <c r="L1168" s="37" t="s">
        <v>76</v>
      </c>
      <c r="M1168" s="37" t="str">
        <f t="shared" si="110"/>
        <v>General</v>
      </c>
      <c r="N1168" s="37" t="str">
        <f t="shared" si="108"/>
        <v>Cash</v>
      </c>
      <c r="O1168" s="37" t="str" cm="1">
        <f t="array" ref="O1168">IF(TRIM(N1168)="",INDEX($N$2:$N$1500,MATCH(MAX(COUNTIF($N$2:$N$1500,$N$2:$N$1500)),COUNTIF($N$2:$N$1500,$N$2:$N$1500),0)),N1168)</f>
        <v>Cash</v>
      </c>
      <c r="P1168" s="38" cm="1">
        <f t="array" ref="P1168">ROUND(IF(TRIM(H1168)="",IFERROR(MEDIAN(IF($M$2:$M$1500=M1168,$H$2:$H$1500)),MEDIAN($H$2:$H$1500)),H1168),2)</f>
        <v>20.84</v>
      </c>
      <c r="Q1168" s="38" t="str">
        <f t="shared" si="111"/>
        <v>0</v>
      </c>
      <c r="R1168" s="39" cm="1">
        <f t="array" ref="R1168">IF(OR(TRIM(J1168)="",TRIM(J1168)="-"),MEDIAN(IF($C$2:$C$1218=C1168,$J$2:$J$1218)),VALUE(SUBSTITUTE(SUBSTITUTE(SUBSTITUTE(J1168,"Rs. ",""),"₹",""),",","")))</f>
        <v>6893</v>
      </c>
      <c r="S1168" s="40">
        <f t="shared" si="109"/>
        <v>10</v>
      </c>
      <c r="T1168" s="41">
        <f t="shared" si="112"/>
        <v>10</v>
      </c>
      <c r="U1168" s="42">
        <f t="shared" si="113"/>
        <v>6204</v>
      </c>
    </row>
    <row r="1169" spans="1:21" x14ac:dyDescent="0.3">
      <c r="A1169" s="37" t="s">
        <v>4976</v>
      </c>
      <c r="B1169" s="37" t="s">
        <v>3062</v>
      </c>
      <c r="C1169" s="37" t="s">
        <v>2473</v>
      </c>
      <c r="D1169" s="37" t="s">
        <v>78</v>
      </c>
      <c r="E1169" s="37" t="s">
        <v>203</v>
      </c>
      <c r="F1169" s="37" t="s">
        <v>69</v>
      </c>
      <c r="G1169" s="37" t="s">
        <v>2450</v>
      </c>
      <c r="H1169" s="37">
        <v>18.73</v>
      </c>
      <c r="I1169" s="37">
        <v>49</v>
      </c>
      <c r="J1169" s="37">
        <v>48836</v>
      </c>
      <c r="K1169" s="37" t="s">
        <v>211</v>
      </c>
      <c r="L1169" s="37">
        <v>5</v>
      </c>
      <c r="M1169" s="37" t="str">
        <f t="shared" si="110"/>
        <v>ICU</v>
      </c>
      <c r="N1169" s="37" t="str">
        <f t="shared" si="108"/>
        <v>Credit Card</v>
      </c>
      <c r="O1169" s="37" t="str" cm="1">
        <f t="array" ref="O1169">IF(TRIM(N1169)="",INDEX($N$2:$N$1500,MATCH(MAX(COUNTIF($N$2:$N$1500,$N$2:$N$1500)),COUNTIF($N$2:$N$1500,$N$2:$N$1500),0)),N1169)</f>
        <v>Credit Card</v>
      </c>
      <c r="P1169" s="38" cm="1">
        <f t="array" ref="P1169">ROUND(IF(TRIM(H1169)="",IFERROR(MEDIAN(IF($M$2:$M$1500=M1169,$H$2:$H$1500)),MEDIAN($H$2:$H$1500)),H1169),2)</f>
        <v>18.73</v>
      </c>
      <c r="Q1169" s="38" t="str">
        <f t="shared" si="111"/>
        <v>1</v>
      </c>
      <c r="R1169" s="39" cm="1">
        <f t="array" ref="R1169">IF(OR(TRIM(J1169)="",TRIM(J1169)="-"),MEDIAN(IF($C$2:$C$1218=C1169,$J$2:$J$1218)),VALUE(SUBSTITUTE(SUBSTITUTE(SUBSTITUTE(J1169,"Rs. ",""),"₹",""),",","")))</f>
        <v>48836</v>
      </c>
      <c r="S1169" s="40">
        <f t="shared" si="109"/>
        <v>5</v>
      </c>
      <c r="T1169" s="41">
        <f t="shared" si="112"/>
        <v>5</v>
      </c>
      <c r="U1169" s="42">
        <f t="shared" si="113"/>
        <v>46394</v>
      </c>
    </row>
    <row r="1170" spans="1:21" x14ac:dyDescent="0.3">
      <c r="A1170" s="37" t="s">
        <v>4977</v>
      </c>
      <c r="B1170" s="37" t="s">
        <v>4262</v>
      </c>
      <c r="C1170" s="37" t="s">
        <v>2494</v>
      </c>
      <c r="D1170" s="37" t="s">
        <v>117</v>
      </c>
      <c r="E1170" s="37" t="s">
        <v>127</v>
      </c>
      <c r="F1170" s="37" t="s">
        <v>49</v>
      </c>
      <c r="G1170" s="37" t="s">
        <v>2412</v>
      </c>
      <c r="H1170" s="37">
        <v>23.68</v>
      </c>
      <c r="I1170" s="37">
        <v>3</v>
      </c>
      <c r="J1170" s="37">
        <v>19068</v>
      </c>
      <c r="K1170" s="37" t="s">
        <v>115</v>
      </c>
      <c r="L1170" s="37" t="s">
        <v>130</v>
      </c>
      <c r="M1170" s="37" t="str">
        <f t="shared" si="110"/>
        <v>General</v>
      </c>
      <c r="N1170" s="37" t="str">
        <f t="shared" si="108"/>
        <v>Cash</v>
      </c>
      <c r="O1170" s="37" t="str" cm="1">
        <f t="array" ref="O1170">IF(TRIM(N1170)="",INDEX($N$2:$N$1500,MATCH(MAX(COUNTIF($N$2:$N$1500,$N$2:$N$1500)),COUNTIF($N$2:$N$1500,$N$2:$N$1500),0)),N1170)</f>
        <v>Cash</v>
      </c>
      <c r="P1170" s="38" cm="1">
        <f t="array" ref="P1170">ROUND(IF(TRIM(H1170)="",IFERROR(MEDIAN(IF($M$2:$M$1500=M1170,$H$2:$H$1500)),MEDIAN($H$2:$H$1500)),H1170),2)</f>
        <v>23.68</v>
      </c>
      <c r="Q1170" s="38" t="str">
        <f t="shared" si="111"/>
        <v>1</v>
      </c>
      <c r="R1170" s="39" cm="1">
        <f t="array" ref="R1170">IF(OR(TRIM(J1170)="",TRIM(J1170)="-"),MEDIAN(IF($C$2:$C$1218=C1170,$J$2:$J$1218)),VALUE(SUBSTITUTE(SUBSTITUTE(SUBSTITUTE(J1170,"Rs. ",""),"₹",""),",","")))</f>
        <v>19068</v>
      </c>
      <c r="S1170" s="40">
        <f t="shared" si="109"/>
        <v>0</v>
      </c>
      <c r="T1170" s="41">
        <f t="shared" si="112"/>
        <v>0</v>
      </c>
      <c r="U1170" s="42">
        <f t="shared" si="113"/>
        <v>19068</v>
      </c>
    </row>
    <row r="1171" spans="1:21" x14ac:dyDescent="0.3">
      <c r="A1171" s="37" t="s">
        <v>4978</v>
      </c>
      <c r="B1171" s="37" t="s">
        <v>4979</v>
      </c>
      <c r="C1171" s="37" t="s">
        <v>2438</v>
      </c>
      <c r="D1171" s="37" t="s">
        <v>45</v>
      </c>
      <c r="E1171" s="37" t="s">
        <v>46</v>
      </c>
      <c r="F1171" s="37" t="s">
        <v>19</v>
      </c>
      <c r="G1171" s="37" t="s">
        <v>2439</v>
      </c>
      <c r="H1171" s="37">
        <v>24.98</v>
      </c>
      <c r="I1171" s="37">
        <v>54</v>
      </c>
      <c r="J1171" s="37">
        <v>19841</v>
      </c>
      <c r="K1171" s="37" t="s">
        <v>34</v>
      </c>
      <c r="L1171" s="37" t="s">
        <v>76</v>
      </c>
      <c r="M1171" s="37" t="str">
        <f t="shared" si="110"/>
        <v>General</v>
      </c>
      <c r="N1171" s="37" t="str">
        <f t="shared" si="108"/>
        <v>Cash</v>
      </c>
      <c r="O1171" s="37" t="str" cm="1">
        <f t="array" ref="O1171">IF(TRIM(N1171)="",INDEX($N$2:$N$1500,MATCH(MAX(COUNTIF($N$2:$N$1500,$N$2:$N$1500)),COUNTIF($N$2:$N$1500,$N$2:$N$1500),0)),N1171)</f>
        <v>Cash</v>
      </c>
      <c r="P1171" s="38" cm="1">
        <f t="array" ref="P1171">ROUND(IF(TRIM(H1171)="",IFERROR(MEDIAN(IF($M$2:$M$1500=M1171,$H$2:$H$1500)),MEDIAN($H$2:$H$1500)),H1171),2)</f>
        <v>24.98</v>
      </c>
      <c r="Q1171" s="38" t="str">
        <f t="shared" si="111"/>
        <v>2</v>
      </c>
      <c r="R1171" s="39" cm="1">
        <f t="array" ref="R1171">IF(OR(TRIM(J1171)="",TRIM(J1171)="-"),MEDIAN(IF($C$2:$C$1218=C1171,$J$2:$J$1218)),VALUE(SUBSTITUTE(SUBSTITUTE(SUBSTITUTE(J1171,"Rs. ",""),"₹",""),",","")))</f>
        <v>19841</v>
      </c>
      <c r="S1171" s="40">
        <f t="shared" si="109"/>
        <v>10</v>
      </c>
      <c r="T1171" s="41">
        <f t="shared" si="112"/>
        <v>10</v>
      </c>
      <c r="U1171" s="42">
        <f t="shared" si="113"/>
        <v>17857</v>
      </c>
    </row>
    <row r="1172" spans="1:21" x14ac:dyDescent="0.3">
      <c r="A1172" s="37" t="s">
        <v>4980</v>
      </c>
      <c r="B1172" s="37" t="s">
        <v>4335</v>
      </c>
      <c r="C1172" s="37" t="s">
        <v>2422</v>
      </c>
      <c r="D1172" s="37" t="s">
        <v>117</v>
      </c>
      <c r="E1172" s="37" t="s">
        <v>118</v>
      </c>
      <c r="F1172" s="37" t="s">
        <v>49</v>
      </c>
      <c r="G1172" s="37" t="s">
        <v>2477</v>
      </c>
      <c r="H1172" s="37">
        <v>12.86</v>
      </c>
      <c r="I1172" s="37">
        <v>33</v>
      </c>
      <c r="J1172" s="37" t="s">
        <v>4981</v>
      </c>
      <c r="K1172" s="37" t="s">
        <v>34</v>
      </c>
      <c r="L1172" s="37" t="s">
        <v>130</v>
      </c>
      <c r="M1172" s="37" t="str">
        <f t="shared" si="110"/>
        <v>General</v>
      </c>
      <c r="N1172" s="37" t="str">
        <f t="shared" si="108"/>
        <v>Cash</v>
      </c>
      <c r="O1172" s="37" t="str" cm="1">
        <f t="array" ref="O1172">IF(TRIM(N1172)="",INDEX($N$2:$N$1500,MATCH(MAX(COUNTIF($N$2:$N$1500,$N$2:$N$1500)),COUNTIF($N$2:$N$1500,$N$2:$N$1500),0)),N1172)</f>
        <v>Cash</v>
      </c>
      <c r="P1172" s="38" cm="1">
        <f t="array" ref="P1172">ROUND(IF(TRIM(H1172)="",IFERROR(MEDIAN(IF($M$2:$M$1500=M1172,$H$2:$H$1500)),MEDIAN($H$2:$H$1500)),H1172),2)</f>
        <v>12.86</v>
      </c>
      <c r="Q1172" s="38" t="str">
        <f t="shared" si="111"/>
        <v>0</v>
      </c>
      <c r="R1172" s="39" cm="1">
        <f t="array" ref="R1172">IF(OR(TRIM(J1172)="",TRIM(J1172)="-"),MEDIAN(IF($C$2:$C$1218=C1172,$J$2:$J$1218)),VALUE(SUBSTITUTE(SUBSTITUTE(SUBSTITUTE(J1172,"Rs. ",""),"₹",""),",","")))</f>
        <v>3927</v>
      </c>
      <c r="S1172" s="40">
        <f t="shared" si="109"/>
        <v>0</v>
      </c>
      <c r="T1172" s="41">
        <f t="shared" si="112"/>
        <v>0</v>
      </c>
      <c r="U1172" s="42">
        <f t="shared" si="113"/>
        <v>3927</v>
      </c>
    </row>
    <row r="1173" spans="1:21" x14ac:dyDescent="0.3">
      <c r="A1173" s="37" t="s">
        <v>4982</v>
      </c>
      <c r="B1173" s="37" t="s">
        <v>4249</v>
      </c>
      <c r="C1173" s="37" t="s">
        <v>2490</v>
      </c>
      <c r="D1173" s="37" t="s">
        <v>117</v>
      </c>
      <c r="E1173" s="37" t="s">
        <v>127</v>
      </c>
      <c r="F1173" s="37" t="s">
        <v>39</v>
      </c>
      <c r="G1173" s="37" t="s">
        <v>2435</v>
      </c>
      <c r="H1173" s="37">
        <v>3.59</v>
      </c>
      <c r="I1173" s="37">
        <v>19</v>
      </c>
      <c r="J1173" s="37">
        <v>18090</v>
      </c>
      <c r="K1173" s="37" t="s">
        <v>42</v>
      </c>
      <c r="L1173" s="37">
        <v>12</v>
      </c>
      <c r="M1173" s="37" t="str">
        <f t="shared" si="110"/>
        <v>General</v>
      </c>
      <c r="N1173" s="37" t="str">
        <f t="shared" si="108"/>
        <v>Insurance</v>
      </c>
      <c r="O1173" s="37" t="str" cm="1">
        <f t="array" ref="O1173">IF(TRIM(N1173)="",INDEX($N$2:$N$1500,MATCH(MAX(COUNTIF($N$2:$N$1500,$N$2:$N$1500)),COUNTIF($N$2:$N$1500,$N$2:$N$1500),0)),N1173)</f>
        <v>Insurance</v>
      </c>
      <c r="P1173" s="38" cm="1">
        <f t="array" ref="P1173">ROUND(IF(TRIM(H1173)="",IFERROR(MEDIAN(IF($M$2:$M$1500=M1173,$H$2:$H$1500)),MEDIAN($H$2:$H$1500)),H1173),2)</f>
        <v>3.59</v>
      </c>
      <c r="Q1173" s="38" t="str">
        <f t="shared" si="111"/>
        <v>0</v>
      </c>
      <c r="R1173" s="39" cm="1">
        <f t="array" ref="R1173">IF(OR(TRIM(J1173)="",TRIM(J1173)="-"),MEDIAN(IF($C$2:$C$1218=C1173,$J$2:$J$1218)),VALUE(SUBSTITUTE(SUBSTITUTE(SUBSTITUTE(J1173,"Rs. ",""),"₹",""),",","")))</f>
        <v>18090</v>
      </c>
      <c r="S1173" s="40">
        <f t="shared" si="109"/>
        <v>12</v>
      </c>
      <c r="T1173" s="41">
        <f t="shared" si="112"/>
        <v>12</v>
      </c>
      <c r="U1173" s="42">
        <f t="shared" si="113"/>
        <v>15919</v>
      </c>
    </row>
    <row r="1174" spans="1:21" x14ac:dyDescent="0.3">
      <c r="A1174" s="37" t="s">
        <v>4983</v>
      </c>
      <c r="B1174" s="37" t="s">
        <v>4984</v>
      </c>
      <c r="C1174" s="37" t="s">
        <v>2415</v>
      </c>
      <c r="D1174" s="37" t="s">
        <v>45</v>
      </c>
      <c r="E1174" s="37" t="s">
        <v>334</v>
      </c>
      <c r="F1174" s="37" t="s">
        <v>19</v>
      </c>
      <c r="G1174" s="37" t="s">
        <v>2455</v>
      </c>
      <c r="H1174" s="37">
        <v>20.51</v>
      </c>
      <c r="I1174" s="37">
        <v>58</v>
      </c>
      <c r="J1174" s="37"/>
      <c r="K1174" s="37" t="s">
        <v>167</v>
      </c>
      <c r="L1174" s="37" t="s">
        <v>187</v>
      </c>
      <c r="M1174" s="37" t="str">
        <f t="shared" si="110"/>
        <v>General</v>
      </c>
      <c r="N1174" s="37" t="str">
        <f t="shared" si="108"/>
        <v>Insurance</v>
      </c>
      <c r="O1174" s="37" t="str" cm="1">
        <f t="array" ref="O1174">IF(TRIM(N1174)="",INDEX($N$2:$N$1500,MATCH(MAX(COUNTIF($N$2:$N$1500,$N$2:$N$1500)),COUNTIF($N$2:$N$1500,$N$2:$N$1500),0)),N1174)</f>
        <v>Insurance</v>
      </c>
      <c r="P1174" s="38" cm="1">
        <f t="array" ref="P1174">ROUND(IF(TRIM(H1174)="",IFERROR(MEDIAN(IF($M$2:$M$1500=M1174,$H$2:$H$1500)),MEDIAN($H$2:$H$1500)),H1174),2)</f>
        <v>20.51</v>
      </c>
      <c r="Q1174" s="38" t="str">
        <f t="shared" si="111"/>
        <v>1</v>
      </c>
      <c r="R1174" s="39" cm="1">
        <f t="array" ref="R1174">IF(OR(TRIM(J1174)="",TRIM(J1174)="-"),MEDIAN(IF($C$2:$C$1218=C1174,$J$2:$J$1218)),VALUE(SUBSTITUTE(SUBSTITUTE(SUBSTITUTE(J1174,"Rs. ",""),"₹",""),",","")))</f>
        <v>14853</v>
      </c>
      <c r="S1174" s="40">
        <f t="shared" si="109"/>
        <v>35</v>
      </c>
      <c r="T1174" s="41">
        <f t="shared" si="112"/>
        <v>35</v>
      </c>
      <c r="U1174" s="42">
        <f t="shared" si="113"/>
        <v>9654</v>
      </c>
    </row>
    <row r="1175" spans="1:21" x14ac:dyDescent="0.3">
      <c r="A1175" s="37" t="s">
        <v>4985</v>
      </c>
      <c r="B1175" s="37" t="s">
        <v>3350</v>
      </c>
      <c r="C1175" s="37" t="s">
        <v>2485</v>
      </c>
      <c r="D1175" s="37" t="s">
        <v>78</v>
      </c>
      <c r="E1175" s="37" t="s">
        <v>161</v>
      </c>
      <c r="F1175" s="37" t="s">
        <v>101</v>
      </c>
      <c r="G1175" s="37" t="s">
        <v>2435</v>
      </c>
      <c r="H1175" s="37">
        <v>16.79</v>
      </c>
      <c r="I1175" s="37"/>
      <c r="J1175" s="37" t="s">
        <v>4986</v>
      </c>
      <c r="K1175" s="37" t="s">
        <v>97</v>
      </c>
      <c r="L1175" s="37">
        <v>0</v>
      </c>
      <c r="M1175" s="37" t="str">
        <f t="shared" si="110"/>
        <v>ICU</v>
      </c>
      <c r="N1175" s="37" t="str">
        <f t="shared" si="108"/>
        <v>UPI</v>
      </c>
      <c r="O1175" s="37" t="str" cm="1">
        <f t="array" ref="O1175">IF(TRIM(N1175)="",INDEX($N$2:$N$1500,MATCH(MAX(COUNTIF($N$2:$N$1500,$N$2:$N$1500)),COUNTIF($N$2:$N$1500,$N$2:$N$1500),0)),N1175)</f>
        <v>UPI</v>
      </c>
      <c r="P1175" s="38" cm="1">
        <f t="array" ref="P1175">ROUND(IF(TRIM(H1175)="",IFERROR(MEDIAN(IF($M$2:$M$1500=M1175,$H$2:$H$1500)),MEDIAN($H$2:$H$1500)),H1175),2)</f>
        <v>16.79</v>
      </c>
      <c r="Q1175" s="38" t="str">
        <f t="shared" si="111"/>
        <v>0</v>
      </c>
      <c r="R1175" s="39" cm="1">
        <f t="array" ref="R1175">IF(OR(TRIM(J1175)="",TRIM(J1175)="-"),MEDIAN(IF($C$2:$C$1218=C1175,$J$2:$J$1218)),VALUE(SUBSTITUTE(SUBSTITUTE(SUBSTITUTE(J1175,"Rs. ",""),"₹",""),",","")))</f>
        <v>64300</v>
      </c>
      <c r="S1175" s="40">
        <f t="shared" si="109"/>
        <v>0</v>
      </c>
      <c r="T1175" s="41">
        <f t="shared" si="112"/>
        <v>0</v>
      </c>
      <c r="U1175" s="42">
        <f t="shared" si="113"/>
        <v>64300</v>
      </c>
    </row>
    <row r="1176" spans="1:21" x14ac:dyDescent="0.3">
      <c r="A1176" s="37" t="s">
        <v>4987</v>
      </c>
      <c r="B1176" s="37" t="s">
        <v>4030</v>
      </c>
      <c r="C1176" s="37" t="s">
        <v>2494</v>
      </c>
      <c r="D1176" s="37" t="s">
        <v>45</v>
      </c>
      <c r="E1176" s="37" t="s">
        <v>334</v>
      </c>
      <c r="F1176" s="37" t="s">
        <v>30</v>
      </c>
      <c r="G1176" s="37" t="s">
        <v>2408</v>
      </c>
      <c r="H1176" s="37">
        <v>8.1999999999999993</v>
      </c>
      <c r="I1176" s="37">
        <v>38</v>
      </c>
      <c r="J1176" s="37" t="s">
        <v>4988</v>
      </c>
      <c r="K1176" s="37" t="s">
        <v>211</v>
      </c>
      <c r="L1176" s="37" t="s">
        <v>130</v>
      </c>
      <c r="M1176" s="37" t="str">
        <f t="shared" si="110"/>
        <v>General</v>
      </c>
      <c r="N1176" s="37" t="str">
        <f t="shared" si="108"/>
        <v>Credit Card</v>
      </c>
      <c r="O1176" s="37" t="str" cm="1">
        <f t="array" ref="O1176">IF(TRIM(N1176)="",INDEX($N$2:$N$1500,MATCH(MAX(COUNTIF($N$2:$N$1500,$N$2:$N$1500)),COUNTIF($N$2:$N$1500,$N$2:$N$1500),0)),N1176)</f>
        <v>Credit Card</v>
      </c>
      <c r="P1176" s="38" cm="1">
        <f t="array" ref="P1176">ROUND(IF(TRIM(H1176)="",IFERROR(MEDIAN(IF($M$2:$M$1500=M1176,$H$2:$H$1500)),MEDIAN($H$2:$H$1500)),H1176),2)</f>
        <v>8.1999999999999993</v>
      </c>
      <c r="Q1176" s="38" t="str">
        <f t="shared" si="111"/>
        <v>0</v>
      </c>
      <c r="R1176" s="39" cm="1">
        <f t="array" ref="R1176">IF(OR(TRIM(J1176)="",TRIM(J1176)="-"),MEDIAN(IF($C$2:$C$1218=C1176,$J$2:$J$1218)),VALUE(SUBSTITUTE(SUBSTITUTE(SUBSTITUTE(J1176,"Rs. ",""),"₹",""),",","")))</f>
        <v>5859</v>
      </c>
      <c r="S1176" s="40">
        <f t="shared" si="109"/>
        <v>0</v>
      </c>
      <c r="T1176" s="41">
        <f t="shared" si="112"/>
        <v>0</v>
      </c>
      <c r="U1176" s="42">
        <f t="shared" si="113"/>
        <v>5859</v>
      </c>
    </row>
    <row r="1177" spans="1:21" x14ac:dyDescent="0.3">
      <c r="A1177" s="37" t="s">
        <v>4989</v>
      </c>
      <c r="B1177" s="37" t="s">
        <v>2448</v>
      </c>
      <c r="C1177" s="37" t="s">
        <v>2449</v>
      </c>
      <c r="D1177" s="37" t="s">
        <v>78</v>
      </c>
      <c r="E1177" s="37" t="s">
        <v>161</v>
      </c>
      <c r="F1177" s="37" t="s">
        <v>19</v>
      </c>
      <c r="G1177" s="37" t="s">
        <v>2477</v>
      </c>
      <c r="H1177" s="37">
        <v>18</v>
      </c>
      <c r="I1177" s="37">
        <v>8</v>
      </c>
      <c r="J1177" s="37" t="s">
        <v>4990</v>
      </c>
      <c r="K1177" s="37" t="s">
        <v>311</v>
      </c>
      <c r="L1177" s="37">
        <v>0</v>
      </c>
      <c r="M1177" s="37" t="str">
        <f t="shared" si="110"/>
        <v>General</v>
      </c>
      <c r="N1177" s="37" t="str">
        <f t="shared" si="108"/>
        <v>UPI</v>
      </c>
      <c r="O1177" s="37" t="str" cm="1">
        <f t="array" ref="O1177">IF(TRIM(N1177)="",INDEX($N$2:$N$1500,MATCH(MAX(COUNTIF($N$2:$N$1500,$N$2:$N$1500)),COUNTIF($N$2:$N$1500,$N$2:$N$1500),0)),N1177)</f>
        <v>UPI</v>
      </c>
      <c r="P1177" s="38" cm="1">
        <f t="array" ref="P1177">ROUND(IF(TRIM(H1177)="",IFERROR(MEDIAN(IF($M$2:$M$1500=M1177,$H$2:$H$1500)),MEDIAN($H$2:$H$1500)),H1177),2)</f>
        <v>18</v>
      </c>
      <c r="Q1177" s="38" t="str">
        <f t="shared" si="111"/>
        <v>0</v>
      </c>
      <c r="R1177" s="39" cm="1">
        <f t="array" ref="R1177">IF(OR(TRIM(J1177)="",TRIM(J1177)="-"),MEDIAN(IF($C$2:$C$1218=C1177,$J$2:$J$1218)),VALUE(SUBSTITUTE(SUBSTITUTE(SUBSTITUTE(J1177,"Rs. ",""),"₹",""),",","")))</f>
        <v>9662</v>
      </c>
      <c r="S1177" s="40">
        <f t="shared" si="109"/>
        <v>0</v>
      </c>
      <c r="T1177" s="41">
        <f t="shared" si="112"/>
        <v>0</v>
      </c>
      <c r="U1177" s="42">
        <f t="shared" si="113"/>
        <v>9662</v>
      </c>
    </row>
    <row r="1178" spans="1:21" x14ac:dyDescent="0.3">
      <c r="A1178" s="37" t="s">
        <v>4991</v>
      </c>
      <c r="B1178" s="37" t="s">
        <v>3694</v>
      </c>
      <c r="C1178" s="37" t="s">
        <v>2434</v>
      </c>
      <c r="D1178" s="37" t="s">
        <v>14</v>
      </c>
      <c r="E1178" s="37" t="s">
        <v>60</v>
      </c>
      <c r="F1178" s="37" t="s">
        <v>30</v>
      </c>
      <c r="G1178" s="37" t="s">
        <v>2408</v>
      </c>
      <c r="H1178" s="37">
        <v>22</v>
      </c>
      <c r="I1178" s="37">
        <v>47</v>
      </c>
      <c r="J1178" s="37" t="s">
        <v>4992</v>
      </c>
      <c r="K1178" s="37" t="s">
        <v>72</v>
      </c>
      <c r="L1178" s="37"/>
      <c r="M1178" s="37" t="str">
        <f t="shared" si="110"/>
        <v>General</v>
      </c>
      <c r="N1178" s="37" t="str">
        <f t="shared" si="108"/>
        <v>Cash</v>
      </c>
      <c r="O1178" s="37" t="str" cm="1">
        <f t="array" ref="O1178">IF(TRIM(N1178)="",INDEX($N$2:$N$1500,MATCH(MAX(COUNTIF($N$2:$N$1500,$N$2:$N$1500)),COUNTIF($N$2:$N$1500,$N$2:$N$1500),0)),N1178)</f>
        <v>Cash</v>
      </c>
      <c r="P1178" s="38" cm="1">
        <f t="array" ref="P1178">ROUND(IF(TRIM(H1178)="",IFERROR(MEDIAN(IF($M$2:$M$1500=M1178,$H$2:$H$1500)),MEDIAN($H$2:$H$1500)),H1178),2)</f>
        <v>22</v>
      </c>
      <c r="Q1178" s="38" t="str">
        <f t="shared" si="111"/>
        <v>0</v>
      </c>
      <c r="R1178" s="39" cm="1">
        <f t="array" ref="R1178">IF(OR(TRIM(J1178)="",TRIM(J1178)="-"),MEDIAN(IF($C$2:$C$1218=C1178,$J$2:$J$1218)),VALUE(SUBSTITUTE(SUBSTITUTE(SUBSTITUTE(J1178,"Rs. ",""),"₹",""),",","")))</f>
        <v>17760</v>
      </c>
      <c r="S1178" s="40">
        <f t="shared" si="109"/>
        <v>0</v>
      </c>
      <c r="T1178" s="41">
        <f t="shared" si="112"/>
        <v>0</v>
      </c>
      <c r="U1178" s="42">
        <f t="shared" si="113"/>
        <v>17760</v>
      </c>
    </row>
    <row r="1179" spans="1:21" x14ac:dyDescent="0.3">
      <c r="A1179" s="37" t="s">
        <v>4993</v>
      </c>
      <c r="B1179" s="37" t="s">
        <v>4994</v>
      </c>
      <c r="C1179" s="37" t="s">
        <v>2490</v>
      </c>
      <c r="D1179" s="37" t="s">
        <v>45</v>
      </c>
      <c r="E1179" s="37" t="s">
        <v>46</v>
      </c>
      <c r="F1179" s="37" t="s">
        <v>62</v>
      </c>
      <c r="G1179" s="37" t="s">
        <v>2408</v>
      </c>
      <c r="H1179" s="37">
        <v>14.76</v>
      </c>
      <c r="I1179" s="37">
        <v>20</v>
      </c>
      <c r="J1179" s="37" t="s">
        <v>140</v>
      </c>
      <c r="K1179" s="37" t="s">
        <v>115</v>
      </c>
      <c r="L1179" s="37"/>
      <c r="M1179" s="37" t="str">
        <f t="shared" si="110"/>
        <v>ICU</v>
      </c>
      <c r="N1179" s="37" t="str">
        <f t="shared" si="108"/>
        <v>Cash</v>
      </c>
      <c r="O1179" s="37" t="str" cm="1">
        <f t="array" ref="O1179">IF(TRIM(N1179)="",INDEX($N$2:$N$1500,MATCH(MAX(COUNTIF($N$2:$N$1500,$N$2:$N$1500)),COUNTIF($N$2:$N$1500,$N$2:$N$1500),0)),N1179)</f>
        <v>Cash</v>
      </c>
      <c r="P1179" s="38" cm="1">
        <f t="array" ref="P1179">ROUND(IF(TRIM(H1179)="",IFERROR(MEDIAN(IF($M$2:$M$1500=M1179,$H$2:$H$1500)),MEDIAN($H$2:$H$1500)),H1179),2)</f>
        <v>14.76</v>
      </c>
      <c r="Q1179" s="38" t="str">
        <f t="shared" si="111"/>
        <v>0</v>
      </c>
      <c r="R1179" s="39" cm="1">
        <f t="array" ref="R1179">IF(OR(TRIM(J1179)="",TRIM(J1179)="-"),MEDIAN(IF($C$2:$C$1218=C1179,$J$2:$J$1218)),VALUE(SUBSTITUTE(SUBSTITUTE(SUBSTITUTE(J1179,"Rs. ",""),"₹",""),",","")))</f>
        <v>15057.5</v>
      </c>
      <c r="S1179" s="40">
        <f t="shared" si="109"/>
        <v>0</v>
      </c>
      <c r="T1179" s="41">
        <f t="shared" si="112"/>
        <v>0</v>
      </c>
      <c r="U1179" s="42">
        <f t="shared" si="113"/>
        <v>15058</v>
      </c>
    </row>
    <row r="1180" spans="1:21" x14ac:dyDescent="0.3">
      <c r="A1180" s="37" t="s">
        <v>4995</v>
      </c>
      <c r="B1180" s="37" t="s">
        <v>4996</v>
      </c>
      <c r="C1180" s="37" t="s">
        <v>2561</v>
      </c>
      <c r="D1180" s="37" t="s">
        <v>117</v>
      </c>
      <c r="E1180" s="37" t="s">
        <v>182</v>
      </c>
      <c r="F1180" s="37" t="s">
        <v>30</v>
      </c>
      <c r="G1180" s="37" t="s">
        <v>2423</v>
      </c>
      <c r="H1180" s="37">
        <v>23.19</v>
      </c>
      <c r="I1180" s="37">
        <v>31</v>
      </c>
      <c r="J1180" s="37" t="s">
        <v>4997</v>
      </c>
      <c r="K1180" s="37"/>
      <c r="L1180" s="37" t="s">
        <v>64</v>
      </c>
      <c r="M1180" s="37" t="str">
        <f t="shared" si="110"/>
        <v>General</v>
      </c>
      <c r="N1180" s="37" t="str">
        <f t="shared" si="108"/>
        <v>Unknown</v>
      </c>
      <c r="O1180" s="37" t="str" cm="1">
        <f t="array" ref="O1180">IF(TRIM(N1180)="",INDEX($N$2:$N$1500,MATCH(MAX(COUNTIF($N$2:$N$1500,$N$2:$N$1500)),COUNTIF($N$2:$N$1500,$N$2:$N$1500),0)),N1180)</f>
        <v>Unknown</v>
      </c>
      <c r="P1180" s="38" cm="1">
        <f t="array" ref="P1180">ROUND(IF(TRIM(H1180)="",IFERROR(MEDIAN(IF($M$2:$M$1500=M1180,$H$2:$H$1500)),MEDIAN($H$2:$H$1500)),H1180),2)</f>
        <v>23.19</v>
      </c>
      <c r="Q1180" s="38" t="str">
        <f t="shared" si="111"/>
        <v>0</v>
      </c>
      <c r="R1180" s="39" cm="1">
        <f t="array" ref="R1180">IF(OR(TRIM(J1180)="",TRIM(J1180)="-"),MEDIAN(IF($C$2:$C$1218=C1180,$J$2:$J$1218)),VALUE(SUBSTITUTE(SUBSTITUTE(SUBSTITUTE(J1180,"Rs. ",""),"₹",""),",","")))</f>
        <v>16437</v>
      </c>
      <c r="S1180" s="40" t="str">
        <f t="shared" si="109"/>
        <v>NA</v>
      </c>
      <c r="T1180" s="41">
        <f t="shared" si="112"/>
        <v>7</v>
      </c>
      <c r="U1180" s="42">
        <f t="shared" si="113"/>
        <v>15286</v>
      </c>
    </row>
    <row r="1181" spans="1:21" x14ac:dyDescent="0.3">
      <c r="A1181" s="37" t="s">
        <v>4998</v>
      </c>
      <c r="B1181" s="37" t="s">
        <v>3281</v>
      </c>
      <c r="C1181" s="37" t="s">
        <v>2490</v>
      </c>
      <c r="D1181" s="37" t="s">
        <v>25</v>
      </c>
      <c r="E1181" s="37" t="s">
        <v>54</v>
      </c>
      <c r="F1181" s="37" t="s">
        <v>69</v>
      </c>
      <c r="G1181" s="37" t="s">
        <v>2450</v>
      </c>
      <c r="H1181" s="37">
        <v>10.6</v>
      </c>
      <c r="I1181" s="37">
        <v>6</v>
      </c>
      <c r="J1181" s="37">
        <v>68208</v>
      </c>
      <c r="K1181" s="37" t="s">
        <v>91</v>
      </c>
      <c r="L1181" s="37">
        <v>0</v>
      </c>
      <c r="M1181" s="37" t="str">
        <f t="shared" si="110"/>
        <v>ICU</v>
      </c>
      <c r="N1181" s="37" t="str">
        <f t="shared" si="108"/>
        <v>Debit Card</v>
      </c>
      <c r="O1181" s="37" t="str" cm="1">
        <f t="array" ref="O1181">IF(TRIM(N1181)="",INDEX($N$2:$N$1500,MATCH(MAX(COUNTIF($N$2:$N$1500,$N$2:$N$1500)),COUNTIF($N$2:$N$1500,$N$2:$N$1500),0)),N1181)</f>
        <v>Debit Card</v>
      </c>
      <c r="P1181" s="38" cm="1">
        <f t="array" ref="P1181">ROUND(IF(TRIM(H1181)="",IFERROR(MEDIAN(IF($M$2:$M$1500=M1181,$H$2:$H$1500)),MEDIAN($H$2:$H$1500)),H1181),2)</f>
        <v>10.6</v>
      </c>
      <c r="Q1181" s="38" t="str">
        <f t="shared" si="111"/>
        <v>1</v>
      </c>
      <c r="R1181" s="39" cm="1">
        <f t="array" ref="R1181">IF(OR(TRIM(J1181)="",TRIM(J1181)="-"),MEDIAN(IF($C$2:$C$1218=C1181,$J$2:$J$1218)),VALUE(SUBSTITUTE(SUBSTITUTE(SUBSTITUTE(J1181,"Rs. ",""),"₹",""),",","")))</f>
        <v>68208</v>
      </c>
      <c r="S1181" s="40">
        <f t="shared" si="109"/>
        <v>0</v>
      </c>
      <c r="T1181" s="41">
        <f t="shared" si="112"/>
        <v>0</v>
      </c>
      <c r="U1181" s="42">
        <f t="shared" si="113"/>
        <v>68208</v>
      </c>
    </row>
    <row r="1182" spans="1:21" x14ac:dyDescent="0.3">
      <c r="A1182" s="37" t="s">
        <v>4999</v>
      </c>
      <c r="B1182" s="37" t="s">
        <v>5000</v>
      </c>
      <c r="C1182" s="37" t="s">
        <v>2730</v>
      </c>
      <c r="D1182" s="37" t="s">
        <v>25</v>
      </c>
      <c r="E1182" s="37" t="s">
        <v>26</v>
      </c>
      <c r="F1182" s="37" t="s">
        <v>30</v>
      </c>
      <c r="G1182" s="37" t="s">
        <v>2477</v>
      </c>
      <c r="H1182" s="37">
        <v>20.89</v>
      </c>
      <c r="I1182" s="37">
        <v>17</v>
      </c>
      <c r="J1182" s="37" t="s">
        <v>5001</v>
      </c>
      <c r="K1182" s="37" t="s">
        <v>72</v>
      </c>
      <c r="L1182" s="37">
        <v>0</v>
      </c>
      <c r="M1182" s="37" t="str">
        <f t="shared" si="110"/>
        <v>General</v>
      </c>
      <c r="N1182" s="37" t="str">
        <f t="shared" si="108"/>
        <v>Cash</v>
      </c>
      <c r="O1182" s="37" t="str" cm="1">
        <f t="array" ref="O1182">IF(TRIM(N1182)="",INDEX($N$2:$N$1500,MATCH(MAX(COUNTIF($N$2:$N$1500,$N$2:$N$1500)),COUNTIF($N$2:$N$1500,$N$2:$N$1500),0)),N1182)</f>
        <v>Cash</v>
      </c>
      <c r="P1182" s="38" cm="1">
        <f t="array" ref="P1182">ROUND(IF(TRIM(H1182)="",IFERROR(MEDIAN(IF($M$2:$M$1500=M1182,$H$2:$H$1500)),MEDIAN($H$2:$H$1500)),H1182),2)</f>
        <v>20.89</v>
      </c>
      <c r="Q1182" s="38" t="str">
        <f t="shared" si="111"/>
        <v>0</v>
      </c>
      <c r="R1182" s="39" cm="1">
        <f t="array" ref="R1182">IF(OR(TRIM(J1182)="",TRIM(J1182)="-"),MEDIAN(IF($C$2:$C$1218=C1182,$J$2:$J$1218)),VALUE(SUBSTITUTE(SUBSTITUTE(SUBSTITUTE(J1182,"Rs. ",""),"₹",""),",","")))</f>
        <v>16137</v>
      </c>
      <c r="S1182" s="40">
        <f t="shared" si="109"/>
        <v>0</v>
      </c>
      <c r="T1182" s="41">
        <f t="shared" si="112"/>
        <v>0</v>
      </c>
      <c r="U1182" s="42">
        <f t="shared" si="113"/>
        <v>16137</v>
      </c>
    </row>
    <row r="1183" spans="1:21" x14ac:dyDescent="0.3">
      <c r="A1183" s="37" t="s">
        <v>5002</v>
      </c>
      <c r="B1183" s="37" t="s">
        <v>3931</v>
      </c>
      <c r="C1183" s="37" t="s">
        <v>2438</v>
      </c>
      <c r="D1183" s="37" t="s">
        <v>78</v>
      </c>
      <c r="E1183" s="37" t="s">
        <v>79</v>
      </c>
      <c r="F1183" s="37" t="s">
        <v>30</v>
      </c>
      <c r="G1183" s="37" t="s">
        <v>2428</v>
      </c>
      <c r="H1183" s="37">
        <v>1.57</v>
      </c>
      <c r="I1183" s="37">
        <v>22</v>
      </c>
      <c r="J1183" s="37">
        <v>10449</v>
      </c>
      <c r="K1183" s="37" t="s">
        <v>34</v>
      </c>
      <c r="L1183" s="37">
        <v>5</v>
      </c>
      <c r="M1183" s="37" t="str">
        <f t="shared" si="110"/>
        <v>General</v>
      </c>
      <c r="N1183" s="37" t="str">
        <f t="shared" si="108"/>
        <v>Cash</v>
      </c>
      <c r="O1183" s="37" t="str" cm="1">
        <f t="array" ref="O1183">IF(TRIM(N1183)="",INDEX($N$2:$N$1500,MATCH(MAX(COUNTIF($N$2:$N$1500,$N$2:$N$1500)),COUNTIF($N$2:$N$1500,$N$2:$N$1500),0)),N1183)</f>
        <v>Cash</v>
      </c>
      <c r="P1183" s="38" cm="1">
        <f t="array" ref="P1183">ROUND(IF(TRIM(H1183)="",IFERROR(MEDIAN(IF($M$2:$M$1500=M1183,$H$2:$H$1500)),MEDIAN($H$2:$H$1500)),H1183),2)</f>
        <v>1.57</v>
      </c>
      <c r="Q1183" s="38" t="str">
        <f t="shared" si="111"/>
        <v>2</v>
      </c>
      <c r="R1183" s="39" cm="1">
        <f t="array" ref="R1183">IF(OR(TRIM(J1183)="",TRIM(J1183)="-"),MEDIAN(IF($C$2:$C$1218=C1183,$J$2:$J$1218)),VALUE(SUBSTITUTE(SUBSTITUTE(SUBSTITUTE(J1183,"Rs. ",""),"₹",""),",","")))</f>
        <v>10449</v>
      </c>
      <c r="S1183" s="40">
        <f t="shared" si="109"/>
        <v>5</v>
      </c>
      <c r="T1183" s="41">
        <f t="shared" si="112"/>
        <v>5</v>
      </c>
      <c r="U1183" s="42">
        <f t="shared" si="113"/>
        <v>9927</v>
      </c>
    </row>
    <row r="1184" spans="1:21" x14ac:dyDescent="0.3">
      <c r="A1184" s="37" t="s">
        <v>5003</v>
      </c>
      <c r="B1184" s="37" t="s">
        <v>4618</v>
      </c>
      <c r="C1184" s="37" t="s">
        <v>2629</v>
      </c>
      <c r="D1184" s="37" t="s">
        <v>45</v>
      </c>
      <c r="E1184" s="37" t="s">
        <v>46</v>
      </c>
      <c r="F1184" s="37" t="s">
        <v>62</v>
      </c>
      <c r="G1184" s="37"/>
      <c r="H1184" s="37">
        <v>13.16</v>
      </c>
      <c r="I1184" s="37">
        <v>52</v>
      </c>
      <c r="J1184" s="37" t="s">
        <v>5004</v>
      </c>
      <c r="K1184" s="37" t="s">
        <v>211</v>
      </c>
      <c r="L1184" s="37"/>
      <c r="M1184" s="37" t="str">
        <f t="shared" si="110"/>
        <v>ICU</v>
      </c>
      <c r="N1184" s="37" t="str">
        <f t="shared" si="108"/>
        <v>Credit Card</v>
      </c>
      <c r="O1184" s="37" t="str" cm="1">
        <f t="array" ref="O1184">IF(TRIM(N1184)="",INDEX($N$2:$N$1500,MATCH(MAX(COUNTIF($N$2:$N$1500,$N$2:$N$1500)),COUNTIF($N$2:$N$1500,$N$2:$N$1500),0)),N1184)</f>
        <v>Credit Card</v>
      </c>
      <c r="P1184" s="38" cm="1">
        <f t="array" ref="P1184">ROUND(IF(TRIM(H1184)="",IFERROR(MEDIAN(IF($M$2:$M$1500=M1184,$H$2:$H$1500)),MEDIAN($H$2:$H$1500)),H1184),2)</f>
        <v>13.16</v>
      </c>
      <c r="Q1184" s="38" t="str">
        <f t="shared" si="111"/>
        <v>Unknown</v>
      </c>
      <c r="R1184" s="39" cm="1">
        <f t="array" ref="R1184">IF(OR(TRIM(J1184)="",TRIM(J1184)="-"),MEDIAN(IF($C$2:$C$1218=C1184,$J$2:$J$1218)),VALUE(SUBSTITUTE(SUBSTITUTE(SUBSTITUTE(J1184,"Rs. ",""),"₹",""),",","")))</f>
        <v>44735</v>
      </c>
      <c r="S1184" s="40">
        <f t="shared" si="109"/>
        <v>0</v>
      </c>
      <c r="T1184" s="41">
        <f t="shared" si="112"/>
        <v>0</v>
      </c>
      <c r="U1184" s="42">
        <f t="shared" si="113"/>
        <v>44735</v>
      </c>
    </row>
    <row r="1185" spans="1:21" x14ac:dyDescent="0.3">
      <c r="A1185" s="37" t="s">
        <v>5005</v>
      </c>
      <c r="B1185" s="37" t="s">
        <v>3719</v>
      </c>
      <c r="C1185" s="37" t="s">
        <v>2518</v>
      </c>
      <c r="D1185" s="37" t="s">
        <v>25</v>
      </c>
      <c r="E1185" s="37" t="s">
        <v>54</v>
      </c>
      <c r="F1185" s="37" t="s">
        <v>30</v>
      </c>
      <c r="G1185" s="37" t="s">
        <v>2746</v>
      </c>
      <c r="H1185" s="37">
        <v>5.04</v>
      </c>
      <c r="I1185" s="37">
        <v>54</v>
      </c>
      <c r="J1185" s="37">
        <v>10262</v>
      </c>
      <c r="K1185" s="37" t="s">
        <v>91</v>
      </c>
      <c r="L1185" s="37">
        <v>0</v>
      </c>
      <c r="M1185" s="37" t="str">
        <f t="shared" si="110"/>
        <v>General</v>
      </c>
      <c r="N1185" s="37" t="str">
        <f t="shared" si="108"/>
        <v>Debit Card</v>
      </c>
      <c r="O1185" s="37" t="str" cm="1">
        <f t="array" ref="O1185">IF(TRIM(N1185)="",INDEX($N$2:$N$1500,MATCH(MAX(COUNTIF($N$2:$N$1500,$N$2:$N$1500)),COUNTIF($N$2:$N$1500,$N$2:$N$1500),0)),N1185)</f>
        <v>Debit Card</v>
      </c>
      <c r="P1185" s="38" cm="1">
        <f t="array" ref="P1185">ROUND(IF(TRIM(H1185)="",IFERROR(MEDIAN(IF($M$2:$M$1500=M1185,$H$2:$H$1500)),MEDIAN($H$2:$H$1500)),H1185),2)</f>
        <v>5.04</v>
      </c>
      <c r="Q1185" s="38" t="str">
        <f t="shared" si="111"/>
        <v>2</v>
      </c>
      <c r="R1185" s="39" cm="1">
        <f t="array" ref="R1185">IF(OR(TRIM(J1185)="",TRIM(J1185)="-"),MEDIAN(IF($C$2:$C$1218=C1185,$J$2:$J$1218)),VALUE(SUBSTITUTE(SUBSTITUTE(SUBSTITUTE(J1185,"Rs. ",""),"₹",""),",","")))</f>
        <v>10262</v>
      </c>
      <c r="S1185" s="40">
        <f t="shared" si="109"/>
        <v>0</v>
      </c>
      <c r="T1185" s="41">
        <f t="shared" si="112"/>
        <v>0</v>
      </c>
      <c r="U1185" s="42">
        <f t="shared" si="113"/>
        <v>10262</v>
      </c>
    </row>
    <row r="1186" spans="1:21" x14ac:dyDescent="0.3">
      <c r="A1186" s="37" t="s">
        <v>5006</v>
      </c>
      <c r="B1186" s="37" t="s">
        <v>5007</v>
      </c>
      <c r="C1186" s="37" t="s">
        <v>2536</v>
      </c>
      <c r="D1186" s="37" t="s">
        <v>45</v>
      </c>
      <c r="E1186" s="37" t="s">
        <v>46</v>
      </c>
      <c r="F1186" s="37" t="s">
        <v>19</v>
      </c>
      <c r="G1186" s="37" t="s">
        <v>2477</v>
      </c>
      <c r="H1186" s="37">
        <v>23.66</v>
      </c>
      <c r="I1186" s="37">
        <v>15</v>
      </c>
      <c r="J1186" s="37">
        <v>8448</v>
      </c>
      <c r="K1186" s="37" t="s">
        <v>115</v>
      </c>
      <c r="L1186" s="37">
        <v>5</v>
      </c>
      <c r="M1186" s="37" t="str">
        <f t="shared" si="110"/>
        <v>General</v>
      </c>
      <c r="N1186" s="37" t="str">
        <f t="shared" si="108"/>
        <v>Cash</v>
      </c>
      <c r="O1186" s="37" t="str" cm="1">
        <f t="array" ref="O1186">IF(TRIM(N1186)="",INDEX($N$2:$N$1500,MATCH(MAX(COUNTIF($N$2:$N$1500,$N$2:$N$1500)),COUNTIF($N$2:$N$1500,$N$2:$N$1500),0)),N1186)</f>
        <v>Cash</v>
      </c>
      <c r="P1186" s="38" cm="1">
        <f t="array" ref="P1186">ROUND(IF(TRIM(H1186)="",IFERROR(MEDIAN(IF($M$2:$M$1500=M1186,$H$2:$H$1500)),MEDIAN($H$2:$H$1500)),H1186),2)</f>
        <v>23.66</v>
      </c>
      <c r="Q1186" s="38" t="str">
        <f t="shared" si="111"/>
        <v>0</v>
      </c>
      <c r="R1186" s="39" cm="1">
        <f t="array" ref="R1186">IF(OR(TRIM(J1186)="",TRIM(J1186)="-"),MEDIAN(IF($C$2:$C$1218=C1186,$J$2:$J$1218)),VALUE(SUBSTITUTE(SUBSTITUTE(SUBSTITUTE(J1186,"Rs. ",""),"₹",""),",","")))</f>
        <v>8448</v>
      </c>
      <c r="S1186" s="40">
        <f t="shared" si="109"/>
        <v>5</v>
      </c>
      <c r="T1186" s="41">
        <f t="shared" si="112"/>
        <v>5</v>
      </c>
      <c r="U1186" s="42">
        <f t="shared" si="113"/>
        <v>8026</v>
      </c>
    </row>
    <row r="1187" spans="1:21" x14ac:dyDescent="0.3">
      <c r="A1187" s="37" t="s">
        <v>5008</v>
      </c>
      <c r="B1187" s="37" t="s">
        <v>5009</v>
      </c>
      <c r="C1187" s="37" t="s">
        <v>2438</v>
      </c>
      <c r="D1187" s="37" t="s">
        <v>14</v>
      </c>
      <c r="E1187" s="37" t="s">
        <v>60</v>
      </c>
      <c r="F1187" s="37" t="s">
        <v>30</v>
      </c>
      <c r="G1187" s="37" t="s">
        <v>2408</v>
      </c>
      <c r="H1187" s="37">
        <v>22.89</v>
      </c>
      <c r="I1187" s="37">
        <v>30</v>
      </c>
      <c r="J1187" s="37" t="s">
        <v>5010</v>
      </c>
      <c r="K1187" s="37" t="s">
        <v>83</v>
      </c>
      <c r="L1187" s="37">
        <v>10</v>
      </c>
      <c r="M1187" s="37" t="str">
        <f t="shared" si="110"/>
        <v>General</v>
      </c>
      <c r="N1187" s="37" t="str">
        <f t="shared" si="108"/>
        <v>Debit Card</v>
      </c>
      <c r="O1187" s="37" t="str" cm="1">
        <f t="array" ref="O1187">IF(TRIM(N1187)="",INDEX($N$2:$N$1500,MATCH(MAX(COUNTIF($N$2:$N$1500,$N$2:$N$1500)),COUNTIF($N$2:$N$1500,$N$2:$N$1500),0)),N1187)</f>
        <v>Debit Card</v>
      </c>
      <c r="P1187" s="38" cm="1">
        <f t="array" ref="P1187">ROUND(IF(TRIM(H1187)="",IFERROR(MEDIAN(IF($M$2:$M$1500=M1187,$H$2:$H$1500)),MEDIAN($H$2:$H$1500)),H1187),2)</f>
        <v>22.89</v>
      </c>
      <c r="Q1187" s="38" t="str">
        <f t="shared" si="111"/>
        <v>0</v>
      </c>
      <c r="R1187" s="39" cm="1">
        <f t="array" ref="R1187">IF(OR(TRIM(J1187)="",TRIM(J1187)="-"),MEDIAN(IF($C$2:$C$1218=C1187,$J$2:$J$1218)),VALUE(SUBSTITUTE(SUBSTITUTE(SUBSTITUTE(J1187,"Rs. ",""),"₹",""),",","")))</f>
        <v>12911</v>
      </c>
      <c r="S1187" s="40">
        <f t="shared" si="109"/>
        <v>10</v>
      </c>
      <c r="T1187" s="41">
        <f t="shared" si="112"/>
        <v>10</v>
      </c>
      <c r="U1187" s="42">
        <f t="shared" si="113"/>
        <v>11620</v>
      </c>
    </row>
    <row r="1188" spans="1:21" x14ac:dyDescent="0.3">
      <c r="A1188" s="37" t="s">
        <v>5011</v>
      </c>
      <c r="B1188" s="37" t="s">
        <v>3248</v>
      </c>
      <c r="C1188" s="37" t="s">
        <v>2532</v>
      </c>
      <c r="D1188" s="37" t="s">
        <v>106</v>
      </c>
      <c r="E1188" s="37" t="s">
        <v>107</v>
      </c>
      <c r="F1188" s="37" t="s">
        <v>69</v>
      </c>
      <c r="G1188" s="37" t="s">
        <v>2450</v>
      </c>
      <c r="H1188" s="37"/>
      <c r="I1188" s="37">
        <v>31</v>
      </c>
      <c r="J1188" s="37">
        <v>89217</v>
      </c>
      <c r="K1188" s="37" t="s">
        <v>211</v>
      </c>
      <c r="L1188" s="37" t="s">
        <v>64</v>
      </c>
      <c r="M1188" s="37" t="str">
        <f t="shared" si="110"/>
        <v>ICU</v>
      </c>
      <c r="N1188" s="37" t="str">
        <f t="shared" si="108"/>
        <v>Credit Card</v>
      </c>
      <c r="O1188" s="37" t="str" cm="1">
        <f t="array" ref="O1188">IF(TRIM(N1188)="",INDEX($N$2:$N$1500,MATCH(MAX(COUNTIF($N$2:$N$1500,$N$2:$N$1500)),COUNTIF($N$2:$N$1500,$N$2:$N$1500),0)),N1188)</f>
        <v>Credit Card</v>
      </c>
      <c r="P1188" s="38" cm="1">
        <f t="array" ref="P1188">ROUND(IF(TRIM(H1188)="",IFERROR(MEDIAN(IF($M$2:$M$1500=M1188,$H$2:$H$1500)),MEDIAN($H$2:$H$1500)),H1188),2)</f>
        <v>12.21</v>
      </c>
      <c r="Q1188" s="38" t="str">
        <f t="shared" si="111"/>
        <v>1</v>
      </c>
      <c r="R1188" s="39" cm="1">
        <f t="array" ref="R1188">IF(OR(TRIM(J1188)="",TRIM(J1188)="-"),MEDIAN(IF($C$2:$C$1218=C1188,$J$2:$J$1218)),VALUE(SUBSTITUTE(SUBSTITUTE(SUBSTITUTE(J1188,"Rs. ",""),"₹",""),",","")))</f>
        <v>89217</v>
      </c>
      <c r="S1188" s="40" t="str">
        <f t="shared" si="109"/>
        <v>NA</v>
      </c>
      <c r="T1188" s="41">
        <f t="shared" si="112"/>
        <v>2</v>
      </c>
      <c r="U1188" s="42">
        <f t="shared" si="113"/>
        <v>87433</v>
      </c>
    </row>
    <row r="1189" spans="1:21" x14ac:dyDescent="0.3">
      <c r="A1189" s="37" t="s">
        <v>5012</v>
      </c>
      <c r="B1189" s="37" t="s">
        <v>5013</v>
      </c>
      <c r="C1189" s="37" t="s">
        <v>2431</v>
      </c>
      <c r="D1189" s="37" t="s">
        <v>106</v>
      </c>
      <c r="E1189" s="37" t="s">
        <v>107</v>
      </c>
      <c r="F1189" s="37" t="s">
        <v>30</v>
      </c>
      <c r="G1189" s="37" t="s">
        <v>2477</v>
      </c>
      <c r="H1189" s="37">
        <v>4.03</v>
      </c>
      <c r="I1189" s="37">
        <v>49</v>
      </c>
      <c r="J1189" s="37">
        <v>7285</v>
      </c>
      <c r="K1189" s="37" t="s">
        <v>34</v>
      </c>
      <c r="L1189" s="37">
        <v>5</v>
      </c>
      <c r="M1189" s="37" t="str">
        <f t="shared" si="110"/>
        <v>General</v>
      </c>
      <c r="N1189" s="37" t="str">
        <f t="shared" si="108"/>
        <v>Cash</v>
      </c>
      <c r="O1189" s="37" t="str" cm="1">
        <f t="array" ref="O1189">IF(TRIM(N1189)="",INDEX($N$2:$N$1500,MATCH(MAX(COUNTIF($N$2:$N$1500,$N$2:$N$1500)),COUNTIF($N$2:$N$1500,$N$2:$N$1500),0)),N1189)</f>
        <v>Cash</v>
      </c>
      <c r="P1189" s="38" cm="1">
        <f t="array" ref="P1189">ROUND(IF(TRIM(H1189)="",IFERROR(MEDIAN(IF($M$2:$M$1500=M1189,$H$2:$H$1500)),MEDIAN($H$2:$H$1500)),H1189),2)</f>
        <v>4.03</v>
      </c>
      <c r="Q1189" s="38" t="str">
        <f t="shared" si="111"/>
        <v>0</v>
      </c>
      <c r="R1189" s="39" cm="1">
        <f t="array" ref="R1189">IF(OR(TRIM(J1189)="",TRIM(J1189)="-"),MEDIAN(IF($C$2:$C$1218=C1189,$J$2:$J$1218)),VALUE(SUBSTITUTE(SUBSTITUTE(SUBSTITUTE(J1189,"Rs. ",""),"₹",""),",","")))</f>
        <v>7285</v>
      </c>
      <c r="S1189" s="40">
        <f t="shared" si="109"/>
        <v>5</v>
      </c>
      <c r="T1189" s="41">
        <f t="shared" si="112"/>
        <v>5</v>
      </c>
      <c r="U1189" s="42">
        <f t="shared" si="113"/>
        <v>6921</v>
      </c>
    </row>
    <row r="1190" spans="1:21" x14ac:dyDescent="0.3">
      <c r="A1190" s="37" t="s">
        <v>5014</v>
      </c>
      <c r="B1190" s="37" t="s">
        <v>5015</v>
      </c>
      <c r="C1190" s="37" t="s">
        <v>2521</v>
      </c>
      <c r="D1190" s="37" t="s">
        <v>78</v>
      </c>
      <c r="E1190" s="37" t="s">
        <v>161</v>
      </c>
      <c r="F1190" s="37" t="s">
        <v>30</v>
      </c>
      <c r="G1190" s="37" t="s">
        <v>2412</v>
      </c>
      <c r="H1190" s="37">
        <v>20.14</v>
      </c>
      <c r="I1190" s="37">
        <v>56</v>
      </c>
      <c r="J1190" s="37" t="s">
        <v>5016</v>
      </c>
      <c r="K1190" s="37" t="s">
        <v>104</v>
      </c>
      <c r="L1190" s="37" t="s">
        <v>64</v>
      </c>
      <c r="M1190" s="37" t="str">
        <f t="shared" si="110"/>
        <v>General</v>
      </c>
      <c r="N1190" s="37" t="str">
        <f t="shared" si="108"/>
        <v>Insurance</v>
      </c>
      <c r="O1190" s="37" t="str" cm="1">
        <f t="array" ref="O1190">IF(TRIM(N1190)="",INDEX($N$2:$N$1500,MATCH(MAX(COUNTIF($N$2:$N$1500,$N$2:$N$1500)),COUNTIF($N$2:$N$1500,$N$2:$N$1500),0)),N1190)</f>
        <v>Insurance</v>
      </c>
      <c r="P1190" s="38" cm="1">
        <f t="array" ref="P1190">ROUND(IF(TRIM(H1190)="",IFERROR(MEDIAN(IF($M$2:$M$1500=M1190,$H$2:$H$1500)),MEDIAN($H$2:$H$1500)),H1190),2)</f>
        <v>20.14</v>
      </c>
      <c r="Q1190" s="38" t="str">
        <f t="shared" si="111"/>
        <v>1</v>
      </c>
      <c r="R1190" s="39" cm="1">
        <f t="array" ref="R1190">IF(OR(TRIM(J1190)="",TRIM(J1190)="-"),MEDIAN(IF($C$2:$C$1218=C1190,$J$2:$J$1218)),VALUE(SUBSTITUTE(SUBSTITUTE(SUBSTITUTE(J1190,"Rs. ",""),"₹",""),",","")))</f>
        <v>17767</v>
      </c>
      <c r="S1190" s="40" t="str">
        <f t="shared" si="109"/>
        <v>NA</v>
      </c>
      <c r="T1190" s="41">
        <f t="shared" si="112"/>
        <v>17</v>
      </c>
      <c r="U1190" s="42">
        <f t="shared" si="113"/>
        <v>14747</v>
      </c>
    </row>
    <row r="1191" spans="1:21" x14ac:dyDescent="0.3">
      <c r="A1191" s="37" t="s">
        <v>5017</v>
      </c>
      <c r="B1191" s="37" t="s">
        <v>5018</v>
      </c>
      <c r="C1191" s="37" t="s">
        <v>2415</v>
      </c>
      <c r="D1191" s="37" t="s">
        <v>25</v>
      </c>
      <c r="E1191" s="37" t="s">
        <v>54</v>
      </c>
      <c r="F1191" s="37" t="s">
        <v>49</v>
      </c>
      <c r="G1191" s="37" t="s">
        <v>2435</v>
      </c>
      <c r="H1191" s="37">
        <v>12.57</v>
      </c>
      <c r="I1191" s="37">
        <v>43</v>
      </c>
      <c r="J1191" s="37">
        <v>19239</v>
      </c>
      <c r="K1191" s="37" t="s">
        <v>34</v>
      </c>
      <c r="L1191" s="37">
        <v>5</v>
      </c>
      <c r="M1191" s="37" t="str">
        <f t="shared" si="110"/>
        <v>General</v>
      </c>
      <c r="N1191" s="37" t="str">
        <f t="shared" si="108"/>
        <v>Cash</v>
      </c>
      <c r="O1191" s="37" t="str" cm="1">
        <f t="array" ref="O1191">IF(TRIM(N1191)="",INDEX($N$2:$N$1500,MATCH(MAX(COUNTIF($N$2:$N$1500,$N$2:$N$1500)),COUNTIF($N$2:$N$1500,$N$2:$N$1500),0)),N1191)</f>
        <v>Cash</v>
      </c>
      <c r="P1191" s="38" cm="1">
        <f t="array" ref="P1191">ROUND(IF(TRIM(H1191)="",IFERROR(MEDIAN(IF($M$2:$M$1500=M1191,$H$2:$H$1500)),MEDIAN($H$2:$H$1500)),H1191),2)</f>
        <v>12.57</v>
      </c>
      <c r="Q1191" s="38" t="str">
        <f t="shared" si="111"/>
        <v>0</v>
      </c>
      <c r="R1191" s="39" cm="1">
        <f t="array" ref="R1191">IF(OR(TRIM(J1191)="",TRIM(J1191)="-"),MEDIAN(IF($C$2:$C$1218=C1191,$J$2:$J$1218)),VALUE(SUBSTITUTE(SUBSTITUTE(SUBSTITUTE(J1191,"Rs. ",""),"₹",""),",","")))</f>
        <v>19239</v>
      </c>
      <c r="S1191" s="40">
        <f t="shared" si="109"/>
        <v>5</v>
      </c>
      <c r="T1191" s="41">
        <f t="shared" si="112"/>
        <v>5</v>
      </c>
      <c r="U1191" s="42">
        <f t="shared" si="113"/>
        <v>18277</v>
      </c>
    </row>
    <row r="1192" spans="1:21" x14ac:dyDescent="0.3">
      <c r="A1192" s="37" t="s">
        <v>5019</v>
      </c>
      <c r="B1192" s="37" t="s">
        <v>5020</v>
      </c>
      <c r="C1192" s="37" t="s">
        <v>2422</v>
      </c>
      <c r="D1192" s="37" t="s">
        <v>117</v>
      </c>
      <c r="E1192" s="37" t="s">
        <v>118</v>
      </c>
      <c r="F1192" s="37" t="s">
        <v>19</v>
      </c>
      <c r="G1192" s="37" t="s">
        <v>2423</v>
      </c>
      <c r="H1192" s="37"/>
      <c r="I1192" s="37">
        <v>25</v>
      </c>
      <c r="J1192" s="37">
        <v>18193</v>
      </c>
      <c r="K1192" s="37" t="s">
        <v>311</v>
      </c>
      <c r="L1192" s="37">
        <v>0</v>
      </c>
      <c r="M1192" s="37" t="str">
        <f t="shared" si="110"/>
        <v>General</v>
      </c>
      <c r="N1192" s="37" t="str">
        <f t="shared" si="108"/>
        <v>UPI</v>
      </c>
      <c r="O1192" s="37" t="str" cm="1">
        <f t="array" ref="O1192">IF(TRIM(N1192)="",INDEX($N$2:$N$1500,MATCH(MAX(COUNTIF($N$2:$N$1500,$N$2:$N$1500)),COUNTIF($N$2:$N$1500,$N$2:$N$1500),0)),N1192)</f>
        <v>UPI</v>
      </c>
      <c r="P1192" s="38" cm="1">
        <f t="array" ref="P1192">ROUND(IF(TRIM(H1192)="",IFERROR(MEDIAN(IF($M$2:$M$1500=M1192,$H$2:$H$1500)),MEDIAN($H$2:$H$1500)),H1192),2)</f>
        <v>12.02</v>
      </c>
      <c r="Q1192" s="38" t="str">
        <f t="shared" si="111"/>
        <v>0</v>
      </c>
      <c r="R1192" s="39" cm="1">
        <f t="array" ref="R1192">IF(OR(TRIM(J1192)="",TRIM(J1192)="-"),MEDIAN(IF($C$2:$C$1218=C1192,$J$2:$J$1218)),VALUE(SUBSTITUTE(SUBSTITUTE(SUBSTITUTE(J1192,"Rs. ",""),"₹",""),",","")))</f>
        <v>18193</v>
      </c>
      <c r="S1192" s="40">
        <f t="shared" si="109"/>
        <v>0</v>
      </c>
      <c r="T1192" s="41">
        <f t="shared" si="112"/>
        <v>0</v>
      </c>
      <c r="U1192" s="42">
        <f t="shared" si="113"/>
        <v>18193</v>
      </c>
    </row>
    <row r="1193" spans="1:21" x14ac:dyDescent="0.3">
      <c r="A1193" s="37" t="s">
        <v>5021</v>
      </c>
      <c r="B1193" s="37" t="s">
        <v>3205</v>
      </c>
      <c r="C1193" s="37" t="s">
        <v>2730</v>
      </c>
      <c r="D1193" s="37" t="s">
        <v>25</v>
      </c>
      <c r="E1193" s="37" t="s">
        <v>54</v>
      </c>
      <c r="F1193" s="37" t="s">
        <v>49</v>
      </c>
      <c r="G1193" s="37" t="s">
        <v>2477</v>
      </c>
      <c r="H1193" s="37">
        <v>17.98</v>
      </c>
      <c r="I1193" s="37" t="s">
        <v>140</v>
      </c>
      <c r="J1193" s="37" t="s">
        <v>5022</v>
      </c>
      <c r="K1193" s="37" t="s">
        <v>72</v>
      </c>
      <c r="L1193" s="37" t="s">
        <v>130</v>
      </c>
      <c r="M1193" s="37" t="str">
        <f t="shared" si="110"/>
        <v>General</v>
      </c>
      <c r="N1193" s="37" t="str">
        <f t="shared" si="108"/>
        <v>Cash</v>
      </c>
      <c r="O1193" s="37" t="str" cm="1">
        <f t="array" ref="O1193">IF(TRIM(N1193)="",INDEX($N$2:$N$1500,MATCH(MAX(COUNTIF($N$2:$N$1500,$N$2:$N$1500)),COUNTIF($N$2:$N$1500,$N$2:$N$1500),0)),N1193)</f>
        <v>Cash</v>
      </c>
      <c r="P1193" s="38" cm="1">
        <f t="array" ref="P1193">ROUND(IF(TRIM(H1193)="",IFERROR(MEDIAN(IF($M$2:$M$1500=M1193,$H$2:$H$1500)),MEDIAN($H$2:$H$1500)),H1193),2)</f>
        <v>17.98</v>
      </c>
      <c r="Q1193" s="38" t="str">
        <f t="shared" si="111"/>
        <v>0</v>
      </c>
      <c r="R1193" s="39" cm="1">
        <f t="array" ref="R1193">IF(OR(TRIM(J1193)="",TRIM(J1193)="-"),MEDIAN(IF($C$2:$C$1218=C1193,$J$2:$J$1218)),VALUE(SUBSTITUTE(SUBSTITUTE(SUBSTITUTE(J1193,"Rs. ",""),"₹",""),",","")))</f>
        <v>6098</v>
      </c>
      <c r="S1193" s="40">
        <f t="shared" si="109"/>
        <v>0</v>
      </c>
      <c r="T1193" s="41">
        <f t="shared" si="112"/>
        <v>0</v>
      </c>
      <c r="U1193" s="42">
        <f t="shared" si="113"/>
        <v>6098</v>
      </c>
    </row>
    <row r="1194" spans="1:21" x14ac:dyDescent="0.3">
      <c r="A1194" s="37" t="s">
        <v>5023</v>
      </c>
      <c r="B1194" s="37" t="s">
        <v>2740</v>
      </c>
      <c r="C1194" s="37" t="s">
        <v>2466</v>
      </c>
      <c r="D1194" s="37" t="s">
        <v>106</v>
      </c>
      <c r="E1194" s="37" t="s">
        <v>307</v>
      </c>
      <c r="F1194" s="37" t="s">
        <v>30</v>
      </c>
      <c r="G1194" s="37" t="s">
        <v>2450</v>
      </c>
      <c r="H1194" s="37">
        <v>5.94</v>
      </c>
      <c r="I1194" s="37" t="s">
        <v>140</v>
      </c>
      <c r="J1194" s="37">
        <v>14450</v>
      </c>
      <c r="K1194" s="37" t="s">
        <v>34</v>
      </c>
      <c r="L1194" s="37" t="s">
        <v>130</v>
      </c>
      <c r="M1194" s="37" t="str">
        <f t="shared" si="110"/>
        <v>General</v>
      </c>
      <c r="N1194" s="37" t="str">
        <f t="shared" si="108"/>
        <v>Cash</v>
      </c>
      <c r="O1194" s="37" t="str" cm="1">
        <f t="array" ref="O1194">IF(TRIM(N1194)="",INDEX($N$2:$N$1500,MATCH(MAX(COUNTIF($N$2:$N$1500,$N$2:$N$1500)),COUNTIF($N$2:$N$1500,$N$2:$N$1500),0)),N1194)</f>
        <v>Cash</v>
      </c>
      <c r="P1194" s="38" cm="1">
        <f t="array" ref="P1194">ROUND(IF(TRIM(H1194)="",IFERROR(MEDIAN(IF($M$2:$M$1500=M1194,$H$2:$H$1500)),MEDIAN($H$2:$H$1500)),H1194),2)</f>
        <v>5.94</v>
      </c>
      <c r="Q1194" s="38" t="str">
        <f t="shared" si="111"/>
        <v>1</v>
      </c>
      <c r="R1194" s="39" cm="1">
        <f t="array" ref="R1194">IF(OR(TRIM(J1194)="",TRIM(J1194)="-"),MEDIAN(IF($C$2:$C$1218=C1194,$J$2:$J$1218)),VALUE(SUBSTITUTE(SUBSTITUTE(SUBSTITUTE(J1194,"Rs. ",""),"₹",""),",","")))</f>
        <v>14450</v>
      </c>
      <c r="S1194" s="40">
        <f t="shared" si="109"/>
        <v>0</v>
      </c>
      <c r="T1194" s="41">
        <f t="shared" si="112"/>
        <v>0</v>
      </c>
      <c r="U1194" s="42">
        <f t="shared" si="113"/>
        <v>14450</v>
      </c>
    </row>
    <row r="1195" spans="1:21" x14ac:dyDescent="0.3">
      <c r="A1195" s="37" t="s">
        <v>5024</v>
      </c>
      <c r="B1195" s="37" t="s">
        <v>2520</v>
      </c>
      <c r="C1195" s="37" t="s">
        <v>2521</v>
      </c>
      <c r="D1195" s="37" t="s">
        <v>78</v>
      </c>
      <c r="E1195" s="37" t="s">
        <v>203</v>
      </c>
      <c r="F1195" s="37" t="s">
        <v>30</v>
      </c>
      <c r="G1195" s="37" t="s">
        <v>2408</v>
      </c>
      <c r="H1195" s="37">
        <v>10.57</v>
      </c>
      <c r="I1195" s="37">
        <v>46</v>
      </c>
      <c r="J1195" s="37" t="s">
        <v>5025</v>
      </c>
      <c r="K1195" s="37" t="s">
        <v>52</v>
      </c>
      <c r="L1195" s="37">
        <v>5</v>
      </c>
      <c r="M1195" s="37" t="str">
        <f t="shared" si="110"/>
        <v>General</v>
      </c>
      <c r="N1195" s="37" t="str">
        <f t="shared" si="108"/>
        <v>Credit Card</v>
      </c>
      <c r="O1195" s="37" t="str" cm="1">
        <f t="array" ref="O1195">IF(TRIM(N1195)="",INDEX($N$2:$N$1500,MATCH(MAX(COUNTIF($N$2:$N$1500,$N$2:$N$1500)),COUNTIF($N$2:$N$1500,$N$2:$N$1500),0)),N1195)</f>
        <v>Credit Card</v>
      </c>
      <c r="P1195" s="38" cm="1">
        <f t="array" ref="P1195">ROUND(IF(TRIM(H1195)="",IFERROR(MEDIAN(IF($M$2:$M$1500=M1195,$H$2:$H$1500)),MEDIAN($H$2:$H$1500)),H1195),2)</f>
        <v>10.57</v>
      </c>
      <c r="Q1195" s="38" t="str">
        <f t="shared" si="111"/>
        <v>0</v>
      </c>
      <c r="R1195" s="39" cm="1">
        <f t="array" ref="R1195">IF(OR(TRIM(J1195)="",TRIM(J1195)="-"),MEDIAN(IF($C$2:$C$1218=C1195,$J$2:$J$1218)),VALUE(SUBSTITUTE(SUBSTITUTE(SUBSTITUTE(J1195,"Rs. ",""),"₹",""),",","")))</f>
        <v>11236</v>
      </c>
      <c r="S1195" s="40">
        <f t="shared" si="109"/>
        <v>5</v>
      </c>
      <c r="T1195" s="41">
        <f t="shared" si="112"/>
        <v>5</v>
      </c>
      <c r="U1195" s="42">
        <f t="shared" si="113"/>
        <v>10674</v>
      </c>
    </row>
    <row r="1196" spans="1:21" x14ac:dyDescent="0.3">
      <c r="A1196" s="37" t="s">
        <v>5026</v>
      </c>
      <c r="B1196" s="37" t="s">
        <v>5027</v>
      </c>
      <c r="C1196" s="37" t="s">
        <v>2481</v>
      </c>
      <c r="D1196" s="37" t="s">
        <v>45</v>
      </c>
      <c r="E1196" s="37" t="s">
        <v>46</v>
      </c>
      <c r="F1196" s="37" t="s">
        <v>19</v>
      </c>
      <c r="G1196" s="37" t="s">
        <v>2435</v>
      </c>
      <c r="H1196" s="37">
        <v>5.38</v>
      </c>
      <c r="I1196" s="37">
        <v>16</v>
      </c>
      <c r="J1196" s="37" t="s">
        <v>5028</v>
      </c>
      <c r="K1196" s="37" t="s">
        <v>311</v>
      </c>
      <c r="L1196" s="37">
        <v>10</v>
      </c>
      <c r="M1196" s="37" t="str">
        <f t="shared" si="110"/>
        <v>General</v>
      </c>
      <c r="N1196" s="37" t="str">
        <f t="shared" si="108"/>
        <v>UPI</v>
      </c>
      <c r="O1196" s="37" t="str" cm="1">
        <f t="array" ref="O1196">IF(TRIM(N1196)="",INDEX($N$2:$N$1500,MATCH(MAX(COUNTIF($N$2:$N$1500,$N$2:$N$1500)),COUNTIF($N$2:$N$1500,$N$2:$N$1500),0)),N1196)</f>
        <v>UPI</v>
      </c>
      <c r="P1196" s="38" cm="1">
        <f t="array" ref="P1196">ROUND(IF(TRIM(H1196)="",IFERROR(MEDIAN(IF($M$2:$M$1500=M1196,$H$2:$H$1500)),MEDIAN($H$2:$H$1500)),H1196),2)</f>
        <v>5.38</v>
      </c>
      <c r="Q1196" s="38" t="str">
        <f t="shared" si="111"/>
        <v>0</v>
      </c>
      <c r="R1196" s="39" cm="1">
        <f t="array" ref="R1196">IF(OR(TRIM(J1196)="",TRIM(J1196)="-"),MEDIAN(IF($C$2:$C$1218=C1196,$J$2:$J$1218)),VALUE(SUBSTITUTE(SUBSTITUTE(SUBSTITUTE(J1196,"Rs. ",""),"₹",""),",","")))</f>
        <v>8807</v>
      </c>
      <c r="S1196" s="40">
        <f t="shared" si="109"/>
        <v>10</v>
      </c>
      <c r="T1196" s="41">
        <f t="shared" si="112"/>
        <v>10</v>
      </c>
      <c r="U1196" s="42">
        <f t="shared" si="113"/>
        <v>7926</v>
      </c>
    </row>
    <row r="1197" spans="1:21" x14ac:dyDescent="0.3">
      <c r="A1197" s="37" t="s">
        <v>5029</v>
      </c>
      <c r="B1197" s="37" t="s">
        <v>4670</v>
      </c>
      <c r="C1197" s="37" t="s">
        <v>2629</v>
      </c>
      <c r="D1197" s="37" t="s">
        <v>14</v>
      </c>
      <c r="E1197" s="37" t="s">
        <v>60</v>
      </c>
      <c r="F1197" s="37" t="s">
        <v>49</v>
      </c>
      <c r="G1197" s="37"/>
      <c r="H1197" s="37">
        <v>23.98</v>
      </c>
      <c r="I1197" s="37">
        <v>6</v>
      </c>
      <c r="J1197" s="37" t="s">
        <v>5030</v>
      </c>
      <c r="K1197" s="37" t="s">
        <v>52</v>
      </c>
      <c r="L1197" s="37"/>
      <c r="M1197" s="37" t="str">
        <f t="shared" si="110"/>
        <v>General</v>
      </c>
      <c r="N1197" s="37" t="str">
        <f t="shared" si="108"/>
        <v>Credit Card</v>
      </c>
      <c r="O1197" s="37" t="str" cm="1">
        <f t="array" ref="O1197">IF(TRIM(N1197)="",INDEX($N$2:$N$1500,MATCH(MAX(COUNTIF($N$2:$N$1500,$N$2:$N$1500)),COUNTIF($N$2:$N$1500,$N$2:$N$1500),0)),N1197)</f>
        <v>Credit Card</v>
      </c>
      <c r="P1197" s="38" cm="1">
        <f t="array" ref="P1197">ROUND(IF(TRIM(H1197)="",IFERROR(MEDIAN(IF($M$2:$M$1500=M1197,$H$2:$H$1500)),MEDIAN($H$2:$H$1500)),H1197),2)</f>
        <v>23.98</v>
      </c>
      <c r="Q1197" s="38" t="str">
        <f t="shared" si="111"/>
        <v>Unknown</v>
      </c>
      <c r="R1197" s="39" cm="1">
        <f t="array" ref="R1197">IF(OR(TRIM(J1197)="",TRIM(J1197)="-"),MEDIAN(IF($C$2:$C$1218=C1197,$J$2:$J$1218)),VALUE(SUBSTITUTE(SUBSTITUTE(SUBSTITUTE(J1197,"Rs. ",""),"₹",""),",","")))</f>
        <v>7035</v>
      </c>
      <c r="S1197" s="40">
        <f t="shared" si="109"/>
        <v>0</v>
      </c>
      <c r="T1197" s="41">
        <f t="shared" si="112"/>
        <v>0</v>
      </c>
      <c r="U1197" s="42">
        <f t="shared" si="113"/>
        <v>7035</v>
      </c>
    </row>
    <row r="1198" spans="1:21" x14ac:dyDescent="0.3">
      <c r="A1198" s="37" t="s">
        <v>5031</v>
      </c>
      <c r="B1198" s="37" t="s">
        <v>3941</v>
      </c>
      <c r="C1198" s="37" t="s">
        <v>2561</v>
      </c>
      <c r="D1198" s="37" t="s">
        <v>45</v>
      </c>
      <c r="E1198" s="37" t="s">
        <v>46</v>
      </c>
      <c r="F1198" s="37" t="s">
        <v>39</v>
      </c>
      <c r="G1198" s="37" t="s">
        <v>2408</v>
      </c>
      <c r="H1198" s="37">
        <v>24.14</v>
      </c>
      <c r="I1198" s="37">
        <v>43</v>
      </c>
      <c r="J1198" s="37">
        <v>11701</v>
      </c>
      <c r="K1198" s="37" t="s">
        <v>236</v>
      </c>
      <c r="L1198" s="37" t="s">
        <v>130</v>
      </c>
      <c r="M1198" s="37" t="str">
        <f t="shared" si="110"/>
        <v>General</v>
      </c>
      <c r="N1198" s="37" t="str">
        <f t="shared" si="108"/>
        <v>Debit Card</v>
      </c>
      <c r="O1198" s="37" t="str" cm="1">
        <f t="array" ref="O1198">IF(TRIM(N1198)="",INDEX($N$2:$N$1500,MATCH(MAX(COUNTIF($N$2:$N$1500,$N$2:$N$1500)),COUNTIF($N$2:$N$1500,$N$2:$N$1500),0)),N1198)</f>
        <v>Debit Card</v>
      </c>
      <c r="P1198" s="38" cm="1">
        <f t="array" ref="P1198">ROUND(IF(TRIM(H1198)="",IFERROR(MEDIAN(IF($M$2:$M$1500=M1198,$H$2:$H$1500)),MEDIAN($H$2:$H$1500)),H1198),2)</f>
        <v>24.14</v>
      </c>
      <c r="Q1198" s="38" t="str">
        <f t="shared" si="111"/>
        <v>0</v>
      </c>
      <c r="R1198" s="39" cm="1">
        <f t="array" ref="R1198">IF(OR(TRIM(J1198)="",TRIM(J1198)="-"),MEDIAN(IF($C$2:$C$1218=C1198,$J$2:$J$1218)),VALUE(SUBSTITUTE(SUBSTITUTE(SUBSTITUTE(J1198,"Rs. ",""),"₹",""),",","")))</f>
        <v>11701</v>
      </c>
      <c r="S1198" s="40">
        <f t="shared" si="109"/>
        <v>0</v>
      </c>
      <c r="T1198" s="41">
        <f t="shared" si="112"/>
        <v>0</v>
      </c>
      <c r="U1198" s="42">
        <f t="shared" si="113"/>
        <v>11701</v>
      </c>
    </row>
    <row r="1199" spans="1:21" x14ac:dyDescent="0.3">
      <c r="A1199" s="37" t="s">
        <v>5032</v>
      </c>
      <c r="B1199" s="37" t="s">
        <v>5033</v>
      </c>
      <c r="C1199" s="37" t="s">
        <v>2449</v>
      </c>
      <c r="D1199" s="37" t="s">
        <v>25</v>
      </c>
      <c r="E1199" s="37" t="s">
        <v>54</v>
      </c>
      <c r="F1199" s="37" t="s">
        <v>101</v>
      </c>
      <c r="G1199" s="37" t="s">
        <v>2428</v>
      </c>
      <c r="H1199" s="37"/>
      <c r="I1199" s="37">
        <v>57</v>
      </c>
      <c r="J1199" s="37" t="s">
        <v>5034</v>
      </c>
      <c r="K1199" s="37" t="s">
        <v>34</v>
      </c>
      <c r="L1199" s="37" t="s">
        <v>140</v>
      </c>
      <c r="M1199" s="37" t="str">
        <f t="shared" si="110"/>
        <v>ICU</v>
      </c>
      <c r="N1199" s="37" t="str">
        <f t="shared" si="108"/>
        <v>Cash</v>
      </c>
      <c r="O1199" s="37" t="str" cm="1">
        <f t="array" ref="O1199">IF(TRIM(N1199)="",INDEX($N$2:$N$1500,MATCH(MAX(COUNTIF($N$2:$N$1500,$N$2:$N$1500)),COUNTIF($N$2:$N$1500,$N$2:$N$1500),0)),N1199)</f>
        <v>Cash</v>
      </c>
      <c r="P1199" s="38" cm="1">
        <f t="array" ref="P1199">ROUND(IF(TRIM(H1199)="",IFERROR(MEDIAN(IF($M$2:$M$1500=M1199,$H$2:$H$1500)),MEDIAN($H$2:$H$1500)),H1199),2)</f>
        <v>12.21</v>
      </c>
      <c r="Q1199" s="38" t="str">
        <f t="shared" si="111"/>
        <v>2</v>
      </c>
      <c r="R1199" s="39" cm="1">
        <f t="array" ref="R1199">IF(OR(TRIM(J1199)="",TRIM(J1199)="-"),MEDIAN(IF($C$2:$C$1218=C1199,$J$2:$J$1218)),VALUE(SUBSTITUTE(SUBSTITUTE(SUBSTITUTE(J1199,"Rs. ",""),"₹",""),",","")))</f>
        <v>83347</v>
      </c>
      <c r="S1199" s="40" t="str">
        <f t="shared" si="109"/>
        <v>-</v>
      </c>
      <c r="T1199" s="41">
        <f t="shared" si="112"/>
        <v>2</v>
      </c>
      <c r="U1199" s="42">
        <f t="shared" si="113"/>
        <v>81680</v>
      </c>
    </row>
    <row r="1200" spans="1:21" x14ac:dyDescent="0.3">
      <c r="A1200" s="37" t="s">
        <v>5035</v>
      </c>
      <c r="B1200" s="37" t="s">
        <v>5036</v>
      </c>
      <c r="C1200" s="37" t="s">
        <v>2494</v>
      </c>
      <c r="D1200" s="37" t="s">
        <v>25</v>
      </c>
      <c r="E1200" s="37" t="s">
        <v>26</v>
      </c>
      <c r="F1200" s="37" t="s">
        <v>49</v>
      </c>
      <c r="G1200" s="37" t="s">
        <v>2435</v>
      </c>
      <c r="H1200" s="37">
        <v>22.09</v>
      </c>
      <c r="I1200" s="37">
        <v>5</v>
      </c>
      <c r="J1200" s="37">
        <v>16150</v>
      </c>
      <c r="K1200" s="37" t="s">
        <v>23</v>
      </c>
      <c r="L1200" s="37" t="s">
        <v>130</v>
      </c>
      <c r="M1200" s="37" t="str">
        <f t="shared" si="110"/>
        <v>General</v>
      </c>
      <c r="N1200" s="37" t="str">
        <f t="shared" si="108"/>
        <v>Credit Card</v>
      </c>
      <c r="O1200" s="37" t="str" cm="1">
        <f t="array" ref="O1200">IF(TRIM(N1200)="",INDEX($N$2:$N$1500,MATCH(MAX(COUNTIF($N$2:$N$1500,$N$2:$N$1500)),COUNTIF($N$2:$N$1500,$N$2:$N$1500),0)),N1200)</f>
        <v>Credit Card</v>
      </c>
      <c r="P1200" s="38" cm="1">
        <f t="array" ref="P1200">ROUND(IF(TRIM(H1200)="",IFERROR(MEDIAN(IF($M$2:$M$1500=M1200,$H$2:$H$1500)),MEDIAN($H$2:$H$1500)),H1200),2)</f>
        <v>22.09</v>
      </c>
      <c r="Q1200" s="38" t="str">
        <f t="shared" si="111"/>
        <v>0</v>
      </c>
      <c r="R1200" s="39" cm="1">
        <f t="array" ref="R1200">IF(OR(TRIM(J1200)="",TRIM(J1200)="-"),MEDIAN(IF($C$2:$C$1218=C1200,$J$2:$J$1218)),VALUE(SUBSTITUTE(SUBSTITUTE(SUBSTITUTE(J1200,"Rs. ",""),"₹",""),",","")))</f>
        <v>16150</v>
      </c>
      <c r="S1200" s="40">
        <f t="shared" si="109"/>
        <v>0</v>
      </c>
      <c r="T1200" s="41">
        <f t="shared" si="112"/>
        <v>0</v>
      </c>
      <c r="U1200" s="42">
        <f t="shared" si="113"/>
        <v>16150</v>
      </c>
    </row>
    <row r="1201" spans="1:21" x14ac:dyDescent="0.3">
      <c r="A1201" s="37" t="s">
        <v>5037</v>
      </c>
      <c r="B1201" s="37" t="s">
        <v>3853</v>
      </c>
      <c r="C1201" s="37" t="s">
        <v>2449</v>
      </c>
      <c r="D1201" s="37" t="s">
        <v>78</v>
      </c>
      <c r="E1201" s="37" t="s">
        <v>79</v>
      </c>
      <c r="F1201" s="37" t="s">
        <v>49</v>
      </c>
      <c r="G1201" s="37" t="s">
        <v>2435</v>
      </c>
      <c r="H1201" s="37">
        <v>4.4800000000000004</v>
      </c>
      <c r="I1201" s="37">
        <v>29</v>
      </c>
      <c r="J1201" s="37">
        <v>18385</v>
      </c>
      <c r="K1201" s="37" t="s">
        <v>115</v>
      </c>
      <c r="L1201" s="37" t="s">
        <v>140</v>
      </c>
      <c r="M1201" s="37" t="str">
        <f t="shared" si="110"/>
        <v>General</v>
      </c>
      <c r="N1201" s="37" t="str">
        <f t="shared" si="108"/>
        <v>Cash</v>
      </c>
      <c r="O1201" s="37" t="str" cm="1">
        <f t="array" ref="O1201">IF(TRIM(N1201)="",INDEX($N$2:$N$1500,MATCH(MAX(COUNTIF($N$2:$N$1500,$N$2:$N$1500)),COUNTIF($N$2:$N$1500,$N$2:$N$1500),0)),N1201)</f>
        <v>Cash</v>
      </c>
      <c r="P1201" s="38" cm="1">
        <f t="array" ref="P1201">ROUND(IF(TRIM(H1201)="",IFERROR(MEDIAN(IF($M$2:$M$1500=M1201,$H$2:$H$1500)),MEDIAN($H$2:$H$1500)),H1201),2)</f>
        <v>4.4800000000000004</v>
      </c>
      <c r="Q1201" s="38" t="str">
        <f t="shared" si="111"/>
        <v>0</v>
      </c>
      <c r="R1201" s="39" cm="1">
        <f t="array" ref="R1201">IF(OR(TRIM(J1201)="",TRIM(J1201)="-"),MEDIAN(IF($C$2:$C$1218=C1201,$J$2:$J$1218)),VALUE(SUBSTITUTE(SUBSTITUTE(SUBSTITUTE(J1201,"Rs. ",""),"₹",""),",","")))</f>
        <v>18385</v>
      </c>
      <c r="S1201" s="40" t="str">
        <f t="shared" si="109"/>
        <v>-</v>
      </c>
      <c r="T1201" s="41">
        <f t="shared" si="112"/>
        <v>2</v>
      </c>
      <c r="U1201" s="42">
        <f t="shared" si="113"/>
        <v>18017</v>
      </c>
    </row>
    <row r="1202" spans="1:21" x14ac:dyDescent="0.3">
      <c r="A1202" s="37" t="s">
        <v>5038</v>
      </c>
      <c r="B1202" s="37" t="s">
        <v>4399</v>
      </c>
      <c r="C1202" s="37" t="s">
        <v>2536</v>
      </c>
      <c r="D1202" s="37" t="s">
        <v>25</v>
      </c>
      <c r="E1202" s="37" t="s">
        <v>54</v>
      </c>
      <c r="F1202" s="37" t="s">
        <v>39</v>
      </c>
      <c r="G1202" s="37" t="s">
        <v>2455</v>
      </c>
      <c r="H1202" s="37">
        <v>7.11</v>
      </c>
      <c r="I1202" s="37">
        <v>7</v>
      </c>
      <c r="J1202" s="37">
        <v>5698</v>
      </c>
      <c r="K1202" s="37" t="s">
        <v>115</v>
      </c>
      <c r="L1202" s="37">
        <v>0.1</v>
      </c>
      <c r="M1202" s="37" t="str">
        <f t="shared" si="110"/>
        <v>General</v>
      </c>
      <c r="N1202" s="37" t="str">
        <f t="shared" si="108"/>
        <v>Cash</v>
      </c>
      <c r="O1202" s="37" t="str" cm="1">
        <f t="array" ref="O1202">IF(TRIM(N1202)="",INDEX($N$2:$N$1500,MATCH(MAX(COUNTIF($N$2:$N$1500,$N$2:$N$1500)),COUNTIF($N$2:$N$1500,$N$2:$N$1500),0)),N1202)</f>
        <v>Cash</v>
      </c>
      <c r="P1202" s="38" cm="1">
        <f t="array" ref="P1202">ROUND(IF(TRIM(H1202)="",IFERROR(MEDIAN(IF($M$2:$M$1500=M1202,$H$2:$H$1500)),MEDIAN($H$2:$H$1500)),H1202),2)</f>
        <v>7.11</v>
      </c>
      <c r="Q1202" s="38" t="str">
        <f t="shared" si="111"/>
        <v>1</v>
      </c>
      <c r="R1202" s="39" cm="1">
        <f t="array" ref="R1202">IF(OR(TRIM(J1202)="",TRIM(J1202)="-"),MEDIAN(IF($C$2:$C$1218=C1202,$J$2:$J$1218)),VALUE(SUBSTITUTE(SUBSTITUTE(SUBSTITUTE(J1202,"Rs. ",""),"₹",""),",","")))</f>
        <v>5698</v>
      </c>
      <c r="S1202" s="40">
        <f t="shared" si="109"/>
        <v>0.1</v>
      </c>
      <c r="T1202" s="41">
        <f t="shared" si="112"/>
        <v>0</v>
      </c>
      <c r="U1202" s="42">
        <f t="shared" si="113"/>
        <v>5698</v>
      </c>
    </row>
    <row r="1203" spans="1:21" x14ac:dyDescent="0.3">
      <c r="A1203" s="37" t="s">
        <v>5039</v>
      </c>
      <c r="B1203" s="37" t="s">
        <v>5040</v>
      </c>
      <c r="C1203" s="37" t="s">
        <v>2532</v>
      </c>
      <c r="D1203" s="37" t="s">
        <v>14</v>
      </c>
      <c r="E1203" s="37" t="s">
        <v>60</v>
      </c>
      <c r="F1203" s="37" t="s">
        <v>69</v>
      </c>
      <c r="G1203" s="37" t="s">
        <v>2408</v>
      </c>
      <c r="H1203" s="37">
        <v>3.88</v>
      </c>
      <c r="I1203" s="37">
        <v>60</v>
      </c>
      <c r="J1203" s="37">
        <v>21290</v>
      </c>
      <c r="K1203" s="37" t="s">
        <v>97</v>
      </c>
      <c r="L1203" s="37" t="s">
        <v>140</v>
      </c>
      <c r="M1203" s="37" t="str">
        <f t="shared" si="110"/>
        <v>ICU</v>
      </c>
      <c r="N1203" s="37" t="str">
        <f t="shared" si="108"/>
        <v>UPI</v>
      </c>
      <c r="O1203" s="37" t="str" cm="1">
        <f t="array" ref="O1203">IF(TRIM(N1203)="",INDEX($N$2:$N$1500,MATCH(MAX(COUNTIF($N$2:$N$1500,$N$2:$N$1500)),COUNTIF($N$2:$N$1500,$N$2:$N$1500),0)),N1203)</f>
        <v>UPI</v>
      </c>
      <c r="P1203" s="38" cm="1">
        <f t="array" ref="P1203">ROUND(IF(TRIM(H1203)="",IFERROR(MEDIAN(IF($M$2:$M$1500=M1203,$H$2:$H$1500)),MEDIAN($H$2:$H$1500)),H1203),2)</f>
        <v>3.88</v>
      </c>
      <c r="Q1203" s="38" t="str">
        <f t="shared" si="111"/>
        <v>0</v>
      </c>
      <c r="R1203" s="39" cm="1">
        <f t="array" ref="R1203">IF(OR(TRIM(J1203)="",TRIM(J1203)="-"),MEDIAN(IF($C$2:$C$1218=C1203,$J$2:$J$1218)),VALUE(SUBSTITUTE(SUBSTITUTE(SUBSTITUTE(J1203,"Rs. ",""),"₹",""),",","")))</f>
        <v>21290</v>
      </c>
      <c r="S1203" s="40" t="str">
        <f t="shared" si="109"/>
        <v>-</v>
      </c>
      <c r="T1203" s="41">
        <f t="shared" si="112"/>
        <v>2</v>
      </c>
      <c r="U1203" s="42">
        <f t="shared" si="113"/>
        <v>20864</v>
      </c>
    </row>
    <row r="1204" spans="1:21" x14ac:dyDescent="0.3">
      <c r="A1204" s="37" t="s">
        <v>5041</v>
      </c>
      <c r="B1204" s="37" t="s">
        <v>5042</v>
      </c>
      <c r="C1204" s="37" t="s">
        <v>2473</v>
      </c>
      <c r="D1204" s="37" t="s">
        <v>106</v>
      </c>
      <c r="E1204" s="37" t="s">
        <v>307</v>
      </c>
      <c r="F1204" s="37" t="s">
        <v>19</v>
      </c>
      <c r="G1204" s="37"/>
      <c r="H1204" s="37">
        <v>23.83</v>
      </c>
      <c r="I1204" s="37">
        <v>41</v>
      </c>
      <c r="J1204" s="37">
        <v>15039</v>
      </c>
      <c r="K1204" s="37" t="s">
        <v>211</v>
      </c>
      <c r="L1204" s="37" t="s">
        <v>130</v>
      </c>
      <c r="M1204" s="37" t="str">
        <f t="shared" si="110"/>
        <v>General</v>
      </c>
      <c r="N1204" s="37" t="str">
        <f t="shared" si="108"/>
        <v>Credit Card</v>
      </c>
      <c r="O1204" s="37" t="str" cm="1">
        <f t="array" ref="O1204">IF(TRIM(N1204)="",INDEX($N$2:$N$1500,MATCH(MAX(COUNTIF($N$2:$N$1500,$N$2:$N$1500)),COUNTIF($N$2:$N$1500,$N$2:$N$1500),0)),N1204)</f>
        <v>Credit Card</v>
      </c>
      <c r="P1204" s="38" cm="1">
        <f t="array" ref="P1204">ROUND(IF(TRIM(H1204)="",IFERROR(MEDIAN(IF($M$2:$M$1500=M1204,$H$2:$H$1500)),MEDIAN($H$2:$H$1500)),H1204),2)</f>
        <v>23.83</v>
      </c>
      <c r="Q1204" s="38" t="str">
        <f t="shared" si="111"/>
        <v>Unknown</v>
      </c>
      <c r="R1204" s="39" cm="1">
        <f t="array" ref="R1204">IF(OR(TRIM(J1204)="",TRIM(J1204)="-"),MEDIAN(IF($C$2:$C$1218=C1204,$J$2:$J$1218)),VALUE(SUBSTITUTE(SUBSTITUTE(SUBSTITUTE(J1204,"Rs. ",""),"₹",""),",","")))</f>
        <v>15039</v>
      </c>
      <c r="S1204" s="40">
        <f t="shared" si="109"/>
        <v>0</v>
      </c>
      <c r="T1204" s="41">
        <f t="shared" si="112"/>
        <v>0</v>
      </c>
      <c r="U1204" s="42">
        <f t="shared" si="113"/>
        <v>15039</v>
      </c>
    </row>
    <row r="1205" spans="1:21" x14ac:dyDescent="0.3">
      <c r="A1205" s="37" t="s">
        <v>5043</v>
      </c>
      <c r="B1205" s="37" t="s">
        <v>5044</v>
      </c>
      <c r="C1205" s="37" t="s">
        <v>2411</v>
      </c>
      <c r="D1205" s="37" t="s">
        <v>106</v>
      </c>
      <c r="E1205" s="37" t="s">
        <v>107</v>
      </c>
      <c r="F1205" s="37" t="s">
        <v>19</v>
      </c>
      <c r="G1205" s="37" t="s">
        <v>2408</v>
      </c>
      <c r="H1205" s="37">
        <v>11.39</v>
      </c>
      <c r="I1205" s="37">
        <v>17</v>
      </c>
      <c r="J1205" s="37">
        <v>7412</v>
      </c>
      <c r="K1205" s="37" t="s">
        <v>115</v>
      </c>
      <c r="L1205" s="37">
        <v>0</v>
      </c>
      <c r="M1205" s="37" t="str">
        <f t="shared" si="110"/>
        <v>General</v>
      </c>
      <c r="N1205" s="37" t="str">
        <f t="shared" si="108"/>
        <v>Cash</v>
      </c>
      <c r="O1205" s="37" t="str" cm="1">
        <f t="array" ref="O1205">IF(TRIM(N1205)="",INDEX($N$2:$N$1500,MATCH(MAX(COUNTIF($N$2:$N$1500,$N$2:$N$1500)),COUNTIF($N$2:$N$1500,$N$2:$N$1500),0)),N1205)</f>
        <v>Cash</v>
      </c>
      <c r="P1205" s="38" cm="1">
        <f t="array" ref="P1205">ROUND(IF(TRIM(H1205)="",IFERROR(MEDIAN(IF($M$2:$M$1500=M1205,$H$2:$H$1500)),MEDIAN($H$2:$H$1500)),H1205),2)</f>
        <v>11.39</v>
      </c>
      <c r="Q1205" s="38" t="str">
        <f t="shared" si="111"/>
        <v>0</v>
      </c>
      <c r="R1205" s="39" cm="1">
        <f t="array" ref="R1205">IF(OR(TRIM(J1205)="",TRIM(J1205)="-"),MEDIAN(IF($C$2:$C$1218=C1205,$J$2:$J$1218)),VALUE(SUBSTITUTE(SUBSTITUTE(SUBSTITUTE(J1205,"Rs. ",""),"₹",""),",","")))</f>
        <v>7412</v>
      </c>
      <c r="S1205" s="40">
        <f t="shared" si="109"/>
        <v>0</v>
      </c>
      <c r="T1205" s="41">
        <f t="shared" si="112"/>
        <v>0</v>
      </c>
      <c r="U1205" s="42">
        <f t="shared" si="113"/>
        <v>7412</v>
      </c>
    </row>
    <row r="1206" spans="1:21" x14ac:dyDescent="0.3">
      <c r="A1206" s="37" t="s">
        <v>5045</v>
      </c>
      <c r="B1206" s="37" t="s">
        <v>5046</v>
      </c>
      <c r="C1206" s="37" t="s">
        <v>2431</v>
      </c>
      <c r="D1206" s="37" t="s">
        <v>106</v>
      </c>
      <c r="E1206" s="37" t="s">
        <v>307</v>
      </c>
      <c r="F1206" s="37" t="s">
        <v>19</v>
      </c>
      <c r="G1206" s="37" t="s">
        <v>2423</v>
      </c>
      <c r="H1206" s="37">
        <v>7</v>
      </c>
      <c r="I1206" s="37">
        <v>35</v>
      </c>
      <c r="J1206" s="37" t="s">
        <v>5047</v>
      </c>
      <c r="K1206" s="37" t="s">
        <v>23</v>
      </c>
      <c r="L1206" s="37">
        <v>0.1</v>
      </c>
      <c r="M1206" s="37" t="str">
        <f t="shared" si="110"/>
        <v>General</v>
      </c>
      <c r="N1206" s="37" t="str">
        <f t="shared" si="108"/>
        <v>Credit Card</v>
      </c>
      <c r="O1206" s="37" t="str" cm="1">
        <f t="array" ref="O1206">IF(TRIM(N1206)="",INDEX($N$2:$N$1500,MATCH(MAX(COUNTIF($N$2:$N$1500,$N$2:$N$1500)),COUNTIF($N$2:$N$1500,$N$2:$N$1500),0)),N1206)</f>
        <v>Credit Card</v>
      </c>
      <c r="P1206" s="38" cm="1">
        <f t="array" ref="P1206">ROUND(IF(TRIM(H1206)="",IFERROR(MEDIAN(IF($M$2:$M$1500=M1206,$H$2:$H$1500)),MEDIAN($H$2:$H$1500)),H1206),2)</f>
        <v>7</v>
      </c>
      <c r="Q1206" s="38" t="str">
        <f t="shared" si="111"/>
        <v>0</v>
      </c>
      <c r="R1206" s="39" cm="1">
        <f t="array" ref="R1206">IF(OR(TRIM(J1206)="",TRIM(J1206)="-"),MEDIAN(IF($C$2:$C$1218=C1206,$J$2:$J$1218)),VALUE(SUBSTITUTE(SUBSTITUTE(SUBSTITUTE(J1206,"Rs. ",""),"₹",""),",","")))</f>
        <v>8603</v>
      </c>
      <c r="S1206" s="40">
        <f t="shared" si="109"/>
        <v>0.1</v>
      </c>
      <c r="T1206" s="41">
        <f t="shared" si="112"/>
        <v>0</v>
      </c>
      <c r="U1206" s="42">
        <f t="shared" si="113"/>
        <v>8603</v>
      </c>
    </row>
    <row r="1207" spans="1:21" x14ac:dyDescent="0.3">
      <c r="A1207" s="37" t="s">
        <v>5048</v>
      </c>
      <c r="B1207" s="37" t="s">
        <v>4996</v>
      </c>
      <c r="C1207" s="37" t="s">
        <v>2561</v>
      </c>
      <c r="D1207" s="37" t="s">
        <v>117</v>
      </c>
      <c r="E1207" s="37" t="s">
        <v>182</v>
      </c>
      <c r="F1207" s="37" t="s">
        <v>19</v>
      </c>
      <c r="G1207" s="37" t="s">
        <v>2418</v>
      </c>
      <c r="H1207" s="37">
        <v>13.52</v>
      </c>
      <c r="I1207" s="37">
        <v>14</v>
      </c>
      <c r="J1207" s="37">
        <v>9513</v>
      </c>
      <c r="K1207" s="37" t="s">
        <v>58</v>
      </c>
      <c r="L1207" s="37" t="s">
        <v>198</v>
      </c>
      <c r="M1207" s="37" t="str">
        <f t="shared" si="110"/>
        <v>General</v>
      </c>
      <c r="N1207" s="37" t="str">
        <f t="shared" si="108"/>
        <v>UPI</v>
      </c>
      <c r="O1207" s="37" t="str" cm="1">
        <f t="array" ref="O1207">IF(TRIM(N1207)="",INDEX($N$2:$N$1500,MATCH(MAX(COUNTIF($N$2:$N$1500,$N$2:$N$1500)),COUNTIF($N$2:$N$1500,$N$2:$N$1500),0)),N1207)</f>
        <v>UPI</v>
      </c>
      <c r="P1207" s="38" cm="1">
        <f t="array" ref="P1207">ROUND(IF(TRIM(H1207)="",IFERROR(MEDIAN(IF($M$2:$M$1500=M1207,$H$2:$H$1500)),MEDIAN($H$2:$H$1500)),H1207),2)</f>
        <v>13.52</v>
      </c>
      <c r="Q1207" s="38" t="str">
        <f t="shared" si="111"/>
        <v>1</v>
      </c>
      <c r="R1207" s="39" cm="1">
        <f t="array" ref="R1207">IF(OR(TRIM(J1207)="",TRIM(J1207)="-"),MEDIAN(IF($C$2:$C$1218=C1207,$J$2:$J$1218)),VALUE(SUBSTITUTE(SUBSTITUTE(SUBSTITUTE(J1207,"Rs. ",""),"₹",""),",","")))</f>
        <v>9513</v>
      </c>
      <c r="S1207" s="40">
        <f t="shared" si="109"/>
        <v>5</v>
      </c>
      <c r="T1207" s="41">
        <f t="shared" si="112"/>
        <v>5</v>
      </c>
      <c r="U1207" s="42">
        <f t="shared" si="113"/>
        <v>9037</v>
      </c>
    </row>
    <row r="1208" spans="1:21" x14ac:dyDescent="0.3">
      <c r="A1208" s="37" t="s">
        <v>5049</v>
      </c>
      <c r="B1208" s="37" t="s">
        <v>4213</v>
      </c>
      <c r="C1208" s="37" t="s">
        <v>2494</v>
      </c>
      <c r="D1208" s="37" t="s">
        <v>117</v>
      </c>
      <c r="E1208" s="37" t="s">
        <v>118</v>
      </c>
      <c r="F1208" s="37" t="s">
        <v>39</v>
      </c>
      <c r="G1208" s="37" t="s">
        <v>2435</v>
      </c>
      <c r="H1208" s="37">
        <v>15.43</v>
      </c>
      <c r="I1208" s="37">
        <v>52</v>
      </c>
      <c r="J1208" s="37" t="s">
        <v>5050</v>
      </c>
      <c r="K1208" s="37" t="s">
        <v>34</v>
      </c>
      <c r="L1208" s="37" t="s">
        <v>130</v>
      </c>
      <c r="M1208" s="37" t="str">
        <f t="shared" si="110"/>
        <v>General</v>
      </c>
      <c r="N1208" s="37" t="str">
        <f t="shared" si="108"/>
        <v>Cash</v>
      </c>
      <c r="O1208" s="37" t="str" cm="1">
        <f t="array" ref="O1208">IF(TRIM(N1208)="",INDEX($N$2:$N$1500,MATCH(MAX(COUNTIF($N$2:$N$1500,$N$2:$N$1500)),COUNTIF($N$2:$N$1500,$N$2:$N$1500),0)),N1208)</f>
        <v>Cash</v>
      </c>
      <c r="P1208" s="38" cm="1">
        <f t="array" ref="P1208">ROUND(IF(TRIM(H1208)="",IFERROR(MEDIAN(IF($M$2:$M$1500=M1208,$H$2:$H$1500)),MEDIAN($H$2:$H$1500)),H1208),2)</f>
        <v>15.43</v>
      </c>
      <c r="Q1208" s="38" t="str">
        <f t="shared" si="111"/>
        <v>0</v>
      </c>
      <c r="R1208" s="39" cm="1">
        <f t="array" ref="R1208">IF(OR(TRIM(J1208)="",TRIM(J1208)="-"),MEDIAN(IF($C$2:$C$1218=C1208,$J$2:$J$1218)),VALUE(SUBSTITUTE(SUBSTITUTE(SUBSTITUTE(J1208,"Rs. ",""),"₹",""),",","")))</f>
        <v>6187</v>
      </c>
      <c r="S1208" s="40">
        <f t="shared" si="109"/>
        <v>0</v>
      </c>
      <c r="T1208" s="41">
        <f t="shared" si="112"/>
        <v>0</v>
      </c>
      <c r="U1208" s="42">
        <f t="shared" si="113"/>
        <v>6187</v>
      </c>
    </row>
    <row r="1209" spans="1:21" x14ac:dyDescent="0.3">
      <c r="A1209" s="37" t="s">
        <v>5051</v>
      </c>
      <c r="B1209" s="37" t="s">
        <v>5052</v>
      </c>
      <c r="C1209" s="37" t="s">
        <v>2518</v>
      </c>
      <c r="D1209" s="37" t="s">
        <v>45</v>
      </c>
      <c r="E1209" s="37" t="s">
        <v>46</v>
      </c>
      <c r="F1209" s="37" t="s">
        <v>30</v>
      </c>
      <c r="G1209" s="37" t="s">
        <v>2477</v>
      </c>
      <c r="H1209" s="37">
        <v>20.8</v>
      </c>
      <c r="I1209" s="37">
        <v>41</v>
      </c>
      <c r="J1209" s="37">
        <v>11911</v>
      </c>
      <c r="K1209" s="37" t="s">
        <v>34</v>
      </c>
      <c r="L1209" s="37" t="s">
        <v>140</v>
      </c>
      <c r="M1209" s="37" t="str">
        <f t="shared" si="110"/>
        <v>General</v>
      </c>
      <c r="N1209" s="37" t="str">
        <f t="shared" si="108"/>
        <v>Cash</v>
      </c>
      <c r="O1209" s="37" t="str" cm="1">
        <f t="array" ref="O1209">IF(TRIM(N1209)="",INDEX($N$2:$N$1500,MATCH(MAX(COUNTIF($N$2:$N$1500,$N$2:$N$1500)),COUNTIF($N$2:$N$1500,$N$2:$N$1500),0)),N1209)</f>
        <v>Cash</v>
      </c>
      <c r="P1209" s="38" cm="1">
        <f t="array" ref="P1209">ROUND(IF(TRIM(H1209)="",IFERROR(MEDIAN(IF($M$2:$M$1500=M1209,$H$2:$H$1500)),MEDIAN($H$2:$H$1500)),H1209),2)</f>
        <v>20.8</v>
      </c>
      <c r="Q1209" s="38" t="str">
        <f t="shared" si="111"/>
        <v>0</v>
      </c>
      <c r="R1209" s="39" cm="1">
        <f t="array" ref="R1209">IF(OR(TRIM(J1209)="",TRIM(J1209)="-"),MEDIAN(IF($C$2:$C$1218=C1209,$J$2:$J$1218)),VALUE(SUBSTITUTE(SUBSTITUTE(SUBSTITUTE(J1209,"Rs. ",""),"₹",""),",","")))</f>
        <v>11911</v>
      </c>
      <c r="S1209" s="40" t="str">
        <f t="shared" si="109"/>
        <v>-</v>
      </c>
      <c r="T1209" s="41">
        <f t="shared" si="112"/>
        <v>2</v>
      </c>
      <c r="U1209" s="42">
        <f t="shared" si="113"/>
        <v>11673</v>
      </c>
    </row>
    <row r="1210" spans="1:21" x14ac:dyDescent="0.3">
      <c r="A1210" s="37" t="s">
        <v>5053</v>
      </c>
      <c r="B1210" s="37" t="s">
        <v>4330</v>
      </c>
      <c r="C1210" s="37" t="s">
        <v>2469</v>
      </c>
      <c r="D1210" s="37" t="s">
        <v>106</v>
      </c>
      <c r="E1210" s="37" t="s">
        <v>107</v>
      </c>
      <c r="F1210" s="37" t="s">
        <v>39</v>
      </c>
      <c r="G1210" s="37" t="s">
        <v>2435</v>
      </c>
      <c r="H1210" s="37">
        <v>9.7899999999999991</v>
      </c>
      <c r="I1210" s="37"/>
      <c r="J1210" s="37">
        <v>9759</v>
      </c>
      <c r="K1210" s="37" t="s">
        <v>23</v>
      </c>
      <c r="L1210" s="37">
        <v>0</v>
      </c>
      <c r="M1210" s="37" t="str">
        <f t="shared" si="110"/>
        <v>General</v>
      </c>
      <c r="N1210" s="37" t="str">
        <f t="shared" si="108"/>
        <v>Credit Card</v>
      </c>
      <c r="O1210" s="37" t="str" cm="1">
        <f t="array" ref="O1210">IF(TRIM(N1210)="",INDEX($N$2:$N$1500,MATCH(MAX(COUNTIF($N$2:$N$1500,$N$2:$N$1500)),COUNTIF($N$2:$N$1500,$N$2:$N$1500),0)),N1210)</f>
        <v>Credit Card</v>
      </c>
      <c r="P1210" s="38" cm="1">
        <f t="array" ref="P1210">ROUND(IF(TRIM(H1210)="",IFERROR(MEDIAN(IF($M$2:$M$1500=M1210,$H$2:$H$1500)),MEDIAN($H$2:$H$1500)),H1210),2)</f>
        <v>9.7899999999999991</v>
      </c>
      <c r="Q1210" s="38" t="str">
        <f t="shared" si="111"/>
        <v>0</v>
      </c>
      <c r="R1210" s="39" cm="1">
        <f t="array" ref="R1210">IF(OR(TRIM(J1210)="",TRIM(J1210)="-"),MEDIAN(IF($C$2:$C$1218=C1210,$J$2:$J$1218)),VALUE(SUBSTITUTE(SUBSTITUTE(SUBSTITUTE(J1210,"Rs. ",""),"₹",""),",","")))</f>
        <v>9759</v>
      </c>
      <c r="S1210" s="40">
        <f t="shared" si="109"/>
        <v>0</v>
      </c>
      <c r="T1210" s="41">
        <f t="shared" si="112"/>
        <v>0</v>
      </c>
      <c r="U1210" s="42">
        <f t="shared" si="113"/>
        <v>9759</v>
      </c>
    </row>
    <row r="1211" spans="1:21" x14ac:dyDescent="0.3">
      <c r="A1211" s="37" t="s">
        <v>5054</v>
      </c>
      <c r="B1211" s="37" t="s">
        <v>5055</v>
      </c>
      <c r="C1211" s="37" t="s">
        <v>2454</v>
      </c>
      <c r="D1211" s="37" t="s">
        <v>14</v>
      </c>
      <c r="E1211" s="37" t="s">
        <v>60</v>
      </c>
      <c r="F1211" s="37" t="s">
        <v>19</v>
      </c>
      <c r="G1211" s="37" t="s">
        <v>2408</v>
      </c>
      <c r="H1211" s="37">
        <v>6.66</v>
      </c>
      <c r="I1211" s="37">
        <v>50</v>
      </c>
      <c r="J1211" s="37">
        <v>10805</v>
      </c>
      <c r="K1211" s="37" t="s">
        <v>23</v>
      </c>
      <c r="L1211" s="37" t="s">
        <v>130</v>
      </c>
      <c r="M1211" s="37" t="str">
        <f t="shared" si="110"/>
        <v>General</v>
      </c>
      <c r="N1211" s="37" t="str">
        <f t="shared" si="108"/>
        <v>Credit Card</v>
      </c>
      <c r="O1211" s="37" t="str" cm="1">
        <f t="array" ref="O1211">IF(TRIM(N1211)="",INDEX($N$2:$N$1500,MATCH(MAX(COUNTIF($N$2:$N$1500,$N$2:$N$1500)),COUNTIF($N$2:$N$1500,$N$2:$N$1500),0)),N1211)</f>
        <v>Credit Card</v>
      </c>
      <c r="P1211" s="38" cm="1">
        <f t="array" ref="P1211">ROUND(IF(TRIM(H1211)="",IFERROR(MEDIAN(IF($M$2:$M$1500=M1211,$H$2:$H$1500)),MEDIAN($H$2:$H$1500)),H1211),2)</f>
        <v>6.66</v>
      </c>
      <c r="Q1211" s="38" t="str">
        <f t="shared" si="111"/>
        <v>0</v>
      </c>
      <c r="R1211" s="39" cm="1">
        <f t="array" ref="R1211">IF(OR(TRIM(J1211)="",TRIM(J1211)="-"),MEDIAN(IF($C$2:$C$1218=C1211,$J$2:$J$1218)),VALUE(SUBSTITUTE(SUBSTITUTE(SUBSTITUTE(J1211,"Rs. ",""),"₹",""),",","")))</f>
        <v>10805</v>
      </c>
      <c r="S1211" s="40">
        <f t="shared" si="109"/>
        <v>0</v>
      </c>
      <c r="T1211" s="41">
        <f t="shared" si="112"/>
        <v>0</v>
      </c>
      <c r="U1211" s="42">
        <f t="shared" si="113"/>
        <v>10805</v>
      </c>
    </row>
    <row r="1212" spans="1:21" x14ac:dyDescent="0.3">
      <c r="A1212" s="37" t="s">
        <v>5056</v>
      </c>
      <c r="B1212" s="37" t="s">
        <v>3413</v>
      </c>
      <c r="C1212" s="37" t="s">
        <v>2431</v>
      </c>
      <c r="D1212" s="37" t="s">
        <v>78</v>
      </c>
      <c r="E1212" s="37" t="s">
        <v>79</v>
      </c>
      <c r="F1212" s="37" t="s">
        <v>69</v>
      </c>
      <c r="G1212" s="37" t="s">
        <v>2450</v>
      </c>
      <c r="H1212" s="37">
        <v>2.3199999999999998</v>
      </c>
      <c r="I1212" s="37">
        <v>41</v>
      </c>
      <c r="J1212" s="37" t="s">
        <v>5057</v>
      </c>
      <c r="K1212" s="37" t="s">
        <v>72</v>
      </c>
      <c r="L1212" s="37">
        <v>0</v>
      </c>
      <c r="M1212" s="37" t="str">
        <f t="shared" si="110"/>
        <v>ICU</v>
      </c>
      <c r="N1212" s="37" t="str">
        <f t="shared" si="108"/>
        <v>Cash</v>
      </c>
      <c r="O1212" s="37" t="str" cm="1">
        <f t="array" ref="O1212">IF(TRIM(N1212)="",INDEX($N$2:$N$1500,MATCH(MAX(COUNTIF($N$2:$N$1500,$N$2:$N$1500)),COUNTIF($N$2:$N$1500,$N$2:$N$1500),0)),N1212)</f>
        <v>Cash</v>
      </c>
      <c r="P1212" s="38" cm="1">
        <f t="array" ref="P1212">ROUND(IF(TRIM(H1212)="",IFERROR(MEDIAN(IF($M$2:$M$1500=M1212,$H$2:$H$1500)),MEDIAN($H$2:$H$1500)),H1212),2)</f>
        <v>2.3199999999999998</v>
      </c>
      <c r="Q1212" s="38" t="str">
        <f t="shared" si="111"/>
        <v>1</v>
      </c>
      <c r="R1212" s="39" cm="1">
        <f t="array" ref="R1212">IF(OR(TRIM(J1212)="",TRIM(J1212)="-"),MEDIAN(IF($C$2:$C$1218=C1212,$J$2:$J$1218)),VALUE(SUBSTITUTE(SUBSTITUTE(SUBSTITUTE(J1212,"Rs. ",""),"₹",""),",","")))</f>
        <v>33223</v>
      </c>
      <c r="S1212" s="40">
        <f t="shared" si="109"/>
        <v>0</v>
      </c>
      <c r="T1212" s="41">
        <f t="shared" si="112"/>
        <v>0</v>
      </c>
      <c r="U1212" s="42">
        <f t="shared" si="113"/>
        <v>33223</v>
      </c>
    </row>
    <row r="1213" spans="1:21" x14ac:dyDescent="0.3">
      <c r="A1213" s="37" t="s">
        <v>5058</v>
      </c>
      <c r="B1213" s="37" t="s">
        <v>4106</v>
      </c>
      <c r="C1213" s="37" t="s">
        <v>2427</v>
      </c>
      <c r="D1213" s="37" t="s">
        <v>106</v>
      </c>
      <c r="E1213" s="37" t="s">
        <v>107</v>
      </c>
      <c r="F1213" s="37" t="s">
        <v>19</v>
      </c>
      <c r="G1213" s="37" t="s">
        <v>2418</v>
      </c>
      <c r="H1213" s="37">
        <v>20.94</v>
      </c>
      <c r="I1213" s="37">
        <v>46</v>
      </c>
      <c r="J1213" s="37" t="s">
        <v>5059</v>
      </c>
      <c r="K1213" s="37" t="s">
        <v>97</v>
      </c>
      <c r="L1213" s="37" t="s">
        <v>130</v>
      </c>
      <c r="M1213" s="37" t="str">
        <f t="shared" si="110"/>
        <v>General</v>
      </c>
      <c r="N1213" s="37" t="str">
        <f t="shared" si="108"/>
        <v>UPI</v>
      </c>
      <c r="O1213" s="37" t="str" cm="1">
        <f t="array" ref="O1213">IF(TRIM(N1213)="",INDEX($N$2:$N$1500,MATCH(MAX(COUNTIF($N$2:$N$1500,$N$2:$N$1500)),COUNTIF($N$2:$N$1500,$N$2:$N$1500),0)),N1213)</f>
        <v>UPI</v>
      </c>
      <c r="P1213" s="38" cm="1">
        <f t="array" ref="P1213">ROUND(IF(TRIM(H1213)="",IFERROR(MEDIAN(IF($M$2:$M$1500=M1213,$H$2:$H$1500)),MEDIAN($H$2:$H$1500)),H1213),2)</f>
        <v>20.94</v>
      </c>
      <c r="Q1213" s="38" t="str">
        <f t="shared" si="111"/>
        <v>1</v>
      </c>
      <c r="R1213" s="39" cm="1">
        <f t="array" ref="R1213">IF(OR(TRIM(J1213)="",TRIM(J1213)="-"),MEDIAN(IF($C$2:$C$1218=C1213,$J$2:$J$1218)),VALUE(SUBSTITUTE(SUBSTITUTE(SUBSTITUTE(J1213,"Rs. ",""),"₹",""),",","")))</f>
        <v>13880</v>
      </c>
      <c r="S1213" s="40">
        <f t="shared" si="109"/>
        <v>0</v>
      </c>
      <c r="T1213" s="41">
        <f t="shared" si="112"/>
        <v>0</v>
      </c>
      <c r="U1213" s="42">
        <f t="shared" si="113"/>
        <v>13880</v>
      </c>
    </row>
    <row r="1214" spans="1:21" x14ac:dyDescent="0.3">
      <c r="A1214" s="37" t="s">
        <v>5060</v>
      </c>
      <c r="B1214" s="37" t="s">
        <v>5061</v>
      </c>
      <c r="C1214" s="37" t="s">
        <v>2532</v>
      </c>
      <c r="D1214" s="37" t="s">
        <v>14</v>
      </c>
      <c r="E1214" s="37" t="s">
        <v>60</v>
      </c>
      <c r="F1214" s="37" t="s">
        <v>39</v>
      </c>
      <c r="G1214" s="37" t="s">
        <v>2455</v>
      </c>
      <c r="H1214" s="37">
        <v>1.21</v>
      </c>
      <c r="I1214" s="37" t="s">
        <v>140</v>
      </c>
      <c r="J1214" s="37" t="s">
        <v>5062</v>
      </c>
      <c r="K1214" s="37" t="s">
        <v>167</v>
      </c>
      <c r="L1214" s="37" t="s">
        <v>64</v>
      </c>
      <c r="M1214" s="37" t="str">
        <f t="shared" si="110"/>
        <v>General</v>
      </c>
      <c r="N1214" s="37" t="str">
        <f t="shared" si="108"/>
        <v>Insurance</v>
      </c>
      <c r="O1214" s="37" t="str" cm="1">
        <f t="array" ref="O1214">IF(TRIM(N1214)="",INDEX($N$2:$N$1500,MATCH(MAX(COUNTIF($N$2:$N$1500,$N$2:$N$1500)),COUNTIF($N$2:$N$1500,$N$2:$N$1500),0)),N1214)</f>
        <v>Insurance</v>
      </c>
      <c r="P1214" s="38" cm="1">
        <f t="array" ref="P1214">ROUND(IF(TRIM(H1214)="",IFERROR(MEDIAN(IF($M$2:$M$1500=M1214,$H$2:$H$1500)),MEDIAN($H$2:$H$1500)),H1214),2)</f>
        <v>1.21</v>
      </c>
      <c r="Q1214" s="38" t="str">
        <f t="shared" si="111"/>
        <v>1</v>
      </c>
      <c r="R1214" s="39" cm="1">
        <f t="array" ref="R1214">IF(OR(TRIM(J1214)="",TRIM(J1214)="-"),MEDIAN(IF($C$2:$C$1218=C1214,$J$2:$J$1218)),VALUE(SUBSTITUTE(SUBSTITUTE(SUBSTITUTE(J1214,"Rs. ",""),"₹",""),",","")))</f>
        <v>12948</v>
      </c>
      <c r="S1214" s="40" t="str">
        <f t="shared" si="109"/>
        <v>NA</v>
      </c>
      <c r="T1214" s="41">
        <f t="shared" si="112"/>
        <v>17</v>
      </c>
      <c r="U1214" s="42">
        <f t="shared" si="113"/>
        <v>10747</v>
      </c>
    </row>
    <row r="1215" spans="1:21" x14ac:dyDescent="0.3">
      <c r="A1215" s="37" t="s">
        <v>5063</v>
      </c>
      <c r="B1215" s="37" t="s">
        <v>5064</v>
      </c>
      <c r="C1215" s="37" t="s">
        <v>2445</v>
      </c>
      <c r="D1215" s="37" t="s">
        <v>14</v>
      </c>
      <c r="E1215" s="37" t="s">
        <v>60</v>
      </c>
      <c r="F1215" s="37" t="s">
        <v>62</v>
      </c>
      <c r="G1215" s="37" t="s">
        <v>2423</v>
      </c>
      <c r="H1215" s="37">
        <v>5.03</v>
      </c>
      <c r="I1215" s="37">
        <v>46</v>
      </c>
      <c r="J1215" s="37">
        <v>56319</v>
      </c>
      <c r="K1215" s="37" t="s">
        <v>211</v>
      </c>
      <c r="L1215" s="37">
        <v>0</v>
      </c>
      <c r="M1215" s="37" t="str">
        <f t="shared" si="110"/>
        <v>ICU</v>
      </c>
      <c r="N1215" s="37" t="str">
        <f t="shared" si="108"/>
        <v>Credit Card</v>
      </c>
      <c r="O1215" s="37" t="str" cm="1">
        <f t="array" ref="O1215">IF(TRIM(N1215)="",INDEX($N$2:$N$1500,MATCH(MAX(COUNTIF($N$2:$N$1500,$N$2:$N$1500)),COUNTIF($N$2:$N$1500,$N$2:$N$1500),0)),N1215)</f>
        <v>Credit Card</v>
      </c>
      <c r="P1215" s="38" cm="1">
        <f t="array" ref="P1215">ROUND(IF(TRIM(H1215)="",IFERROR(MEDIAN(IF($M$2:$M$1500=M1215,$H$2:$H$1500)),MEDIAN($H$2:$H$1500)),H1215),2)</f>
        <v>5.03</v>
      </c>
      <c r="Q1215" s="38" t="str">
        <f t="shared" si="111"/>
        <v>0</v>
      </c>
      <c r="R1215" s="39" cm="1">
        <f t="array" ref="R1215">IF(OR(TRIM(J1215)="",TRIM(J1215)="-"),MEDIAN(IF($C$2:$C$1218=C1215,$J$2:$J$1218)),VALUE(SUBSTITUTE(SUBSTITUTE(SUBSTITUTE(J1215,"Rs. ",""),"₹",""),",","")))</f>
        <v>56319</v>
      </c>
      <c r="S1215" s="40">
        <f t="shared" si="109"/>
        <v>0</v>
      </c>
      <c r="T1215" s="41">
        <f t="shared" si="112"/>
        <v>0</v>
      </c>
      <c r="U1215" s="42">
        <f t="shared" si="113"/>
        <v>56319</v>
      </c>
    </row>
    <row r="1216" spans="1:21" x14ac:dyDescent="0.3">
      <c r="A1216" s="37" t="s">
        <v>5065</v>
      </c>
      <c r="B1216" s="37" t="s">
        <v>4319</v>
      </c>
      <c r="C1216" s="37" t="s">
        <v>2481</v>
      </c>
      <c r="D1216" s="37" t="s">
        <v>25</v>
      </c>
      <c r="E1216" s="37" t="s">
        <v>54</v>
      </c>
      <c r="F1216" s="37" t="s">
        <v>39</v>
      </c>
      <c r="G1216" s="37" t="s">
        <v>2418</v>
      </c>
      <c r="H1216" s="37">
        <v>12.13</v>
      </c>
      <c r="I1216" s="37">
        <v>3</v>
      </c>
      <c r="J1216" s="37">
        <v>10475</v>
      </c>
      <c r="K1216" s="37" t="s">
        <v>311</v>
      </c>
      <c r="L1216" s="37">
        <v>5</v>
      </c>
      <c r="M1216" s="37" t="str">
        <f t="shared" si="110"/>
        <v>General</v>
      </c>
      <c r="N1216" s="37" t="str">
        <f t="shared" si="108"/>
        <v>UPI</v>
      </c>
      <c r="O1216" s="37" t="str" cm="1">
        <f t="array" ref="O1216">IF(TRIM(N1216)="",INDEX($N$2:$N$1500,MATCH(MAX(COUNTIF($N$2:$N$1500,$N$2:$N$1500)),COUNTIF($N$2:$N$1500,$N$2:$N$1500),0)),N1216)</f>
        <v>UPI</v>
      </c>
      <c r="P1216" s="38" cm="1">
        <f t="array" ref="P1216">ROUND(IF(TRIM(H1216)="",IFERROR(MEDIAN(IF($M$2:$M$1500=M1216,$H$2:$H$1500)),MEDIAN($H$2:$H$1500)),H1216),2)</f>
        <v>12.13</v>
      </c>
      <c r="Q1216" s="38" t="str">
        <f t="shared" si="111"/>
        <v>1</v>
      </c>
      <c r="R1216" s="39" cm="1">
        <f t="array" ref="R1216">IF(OR(TRIM(J1216)="",TRIM(J1216)="-"),MEDIAN(IF($C$2:$C$1218=C1216,$J$2:$J$1218)),VALUE(SUBSTITUTE(SUBSTITUTE(SUBSTITUTE(J1216,"Rs. ",""),"₹",""),",","")))</f>
        <v>10475</v>
      </c>
      <c r="S1216" s="40">
        <f t="shared" si="109"/>
        <v>5</v>
      </c>
      <c r="T1216" s="41">
        <f t="shared" si="112"/>
        <v>5</v>
      </c>
      <c r="U1216" s="42">
        <f t="shared" si="113"/>
        <v>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1"/>
  <sheetViews>
    <sheetView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10" customWidth="1"/>
    <col min="2" max="2" width="13" customWidth="1"/>
    <col min="3" max="3" width="12" customWidth="1"/>
    <col min="4" max="4" width="15" style="22" customWidth="1"/>
    <col min="5" max="5" width="11" customWidth="1"/>
    <col min="6" max="7" width="16" customWidth="1"/>
    <col min="8" max="8" width="18" customWidth="1"/>
    <col min="9" max="9" width="20" customWidth="1"/>
    <col min="10" max="10" width="19.44140625" bestFit="1" customWidth="1"/>
    <col min="11" max="11" width="19.6640625" customWidth="1"/>
  </cols>
  <sheetData>
    <row r="1" spans="1:11" x14ac:dyDescent="0.3">
      <c r="A1" s="23" t="s">
        <v>2400</v>
      </c>
      <c r="B1" s="23" t="s">
        <v>1</v>
      </c>
      <c r="C1" s="23" t="s">
        <v>5066</v>
      </c>
      <c r="D1" s="44" t="s">
        <v>2401</v>
      </c>
      <c r="E1" s="23" t="s">
        <v>3</v>
      </c>
      <c r="F1" s="23" t="s">
        <v>5067</v>
      </c>
      <c r="G1" s="23" t="s">
        <v>5068</v>
      </c>
      <c r="H1" s="23" t="s">
        <v>2402</v>
      </c>
      <c r="I1" s="23" t="s">
        <v>2403</v>
      </c>
      <c r="J1" s="23" t="s">
        <v>6623</v>
      </c>
      <c r="K1" s="23" t="s">
        <v>6624</v>
      </c>
    </row>
    <row r="2" spans="1:11" x14ac:dyDescent="0.3">
      <c r="A2" s="5" t="s">
        <v>4819</v>
      </c>
      <c r="B2" s="5" t="s">
        <v>78</v>
      </c>
      <c r="C2" s="5" t="s">
        <v>5200</v>
      </c>
      <c r="D2" s="28" t="s">
        <v>2415</v>
      </c>
      <c r="E2" s="5" t="s">
        <v>189</v>
      </c>
      <c r="F2" s="5" t="s">
        <v>5071</v>
      </c>
      <c r="G2" s="5" t="s">
        <v>5073</v>
      </c>
      <c r="H2" s="5" t="s">
        <v>2412</v>
      </c>
      <c r="I2" s="5">
        <v>17.399999999999999</v>
      </c>
      <c r="J2" s="6" t="str">
        <f t="shared" ref="J2:J65" si="0">IF(OR(LOWER(TRIM(H2))="0",LOWER(TRIM(H2))="ZERO"),"0",IF(OR(LOWER(TRIM(H2))="1",LOWER(TRIM(H2))="one"),"1",IF(OR(LOWER(TRIM(H2))="2",LOWER(TRIM(H2))="two"),"2",IF(OR(LOWER(TRIM(H2))="2+",LOWER(TRIM(H2))="two_or_more",LOWER(TRIM(H2))="multiple"),"2+","Unknown"))))</f>
        <v>1</v>
      </c>
      <c r="K2" s="6">
        <f>IF(I2="",ROUND(AVERAGEIF($B$2:$B$1000,B2,$I$2:$I$1000),1),I2)</f>
        <v>17.399999999999999</v>
      </c>
    </row>
    <row r="3" spans="1:11" x14ac:dyDescent="0.3">
      <c r="A3" s="5" t="s">
        <v>4008</v>
      </c>
      <c r="B3" s="5" t="s">
        <v>78</v>
      </c>
      <c r="C3" s="5" t="s">
        <v>5102</v>
      </c>
      <c r="D3" s="28" t="s">
        <v>2415</v>
      </c>
      <c r="E3" s="5" t="s">
        <v>189</v>
      </c>
      <c r="F3" s="5" t="s">
        <v>5076</v>
      </c>
      <c r="G3" s="5" t="s">
        <v>5076</v>
      </c>
      <c r="H3" s="5" t="s">
        <v>2418</v>
      </c>
      <c r="I3" s="5">
        <v>0.72</v>
      </c>
      <c r="J3" s="6" t="str">
        <f t="shared" si="0"/>
        <v>1</v>
      </c>
      <c r="K3" s="6">
        <f t="shared" ref="K3:K66" si="1">IF(I3="",ROUND(AVERAGEIF($B$2:$B$1000,B3,$I$2:$I$1000),1),I3)</f>
        <v>0.72</v>
      </c>
    </row>
    <row r="4" spans="1:11" x14ac:dyDescent="0.3">
      <c r="A4" s="5" t="s">
        <v>5386</v>
      </c>
      <c r="B4" s="5" t="s">
        <v>78</v>
      </c>
      <c r="C4" s="5" t="s">
        <v>5088</v>
      </c>
      <c r="D4" s="28" t="s">
        <v>2415</v>
      </c>
      <c r="E4" s="5" t="s">
        <v>189</v>
      </c>
      <c r="F4" s="5" t="s">
        <v>5073</v>
      </c>
      <c r="G4" s="5" t="s">
        <v>5071</v>
      </c>
      <c r="H4" s="5" t="s">
        <v>2435</v>
      </c>
      <c r="I4" s="5">
        <v>14.35</v>
      </c>
      <c r="J4" s="6" t="str">
        <f t="shared" si="0"/>
        <v>0</v>
      </c>
      <c r="K4" s="6">
        <f t="shared" si="1"/>
        <v>14.35</v>
      </c>
    </row>
    <row r="5" spans="1:11" x14ac:dyDescent="0.3">
      <c r="A5" s="5" t="s">
        <v>2900</v>
      </c>
      <c r="B5" s="5" t="s">
        <v>78</v>
      </c>
      <c r="C5" s="5" t="s">
        <v>5163</v>
      </c>
      <c r="D5" s="28" t="s">
        <v>2415</v>
      </c>
      <c r="E5" s="5" t="s">
        <v>189</v>
      </c>
      <c r="F5" s="5" t="s">
        <v>5076</v>
      </c>
      <c r="G5" s="5" t="s">
        <v>5073</v>
      </c>
      <c r="H5" s="5" t="s">
        <v>2439</v>
      </c>
      <c r="I5" s="5">
        <v>2.94</v>
      </c>
      <c r="J5" s="6" t="str">
        <f t="shared" si="0"/>
        <v>2</v>
      </c>
      <c r="K5" s="6">
        <f t="shared" si="1"/>
        <v>2.94</v>
      </c>
    </row>
    <row r="6" spans="1:11" x14ac:dyDescent="0.3">
      <c r="A6" s="5" t="s">
        <v>3082</v>
      </c>
      <c r="B6" s="5" t="s">
        <v>78</v>
      </c>
      <c r="C6" s="5" t="s">
        <v>5374</v>
      </c>
      <c r="D6" s="28" t="s">
        <v>2415</v>
      </c>
      <c r="E6" s="5" t="s">
        <v>189</v>
      </c>
      <c r="F6" s="5" t="s">
        <v>5071</v>
      </c>
      <c r="G6" s="5" t="s">
        <v>5073</v>
      </c>
      <c r="H6" s="5" t="s">
        <v>2486</v>
      </c>
      <c r="I6" s="5">
        <v>16.420000000000002</v>
      </c>
      <c r="J6" s="6" t="str">
        <f t="shared" si="0"/>
        <v>2+</v>
      </c>
      <c r="K6" s="6">
        <f t="shared" si="1"/>
        <v>16.420000000000002</v>
      </c>
    </row>
    <row r="7" spans="1:11" x14ac:dyDescent="0.3">
      <c r="A7" s="5" t="s">
        <v>5107</v>
      </c>
      <c r="B7" s="5" t="s">
        <v>78</v>
      </c>
      <c r="C7" s="5" t="s">
        <v>5108</v>
      </c>
      <c r="D7" s="28" t="s">
        <v>2415</v>
      </c>
      <c r="E7" s="5" t="s">
        <v>189</v>
      </c>
      <c r="F7" s="5" t="s">
        <v>5073</v>
      </c>
      <c r="G7" s="5" t="s">
        <v>5083</v>
      </c>
      <c r="H7" s="5" t="s">
        <v>2435</v>
      </c>
      <c r="I7" s="5">
        <v>2.72</v>
      </c>
      <c r="J7" s="6" t="str">
        <f t="shared" si="0"/>
        <v>0</v>
      </c>
      <c r="K7" s="6">
        <f t="shared" si="1"/>
        <v>2.72</v>
      </c>
    </row>
    <row r="8" spans="1:11" x14ac:dyDescent="0.3">
      <c r="A8" s="5" t="s">
        <v>3554</v>
      </c>
      <c r="B8" s="5" t="s">
        <v>78</v>
      </c>
      <c r="C8" s="5" t="s">
        <v>5241</v>
      </c>
      <c r="D8" s="28" t="s">
        <v>2415</v>
      </c>
      <c r="E8" s="5" t="s">
        <v>189</v>
      </c>
      <c r="F8" s="5" t="s">
        <v>5070</v>
      </c>
      <c r="G8" s="5" t="s">
        <v>5073</v>
      </c>
      <c r="H8" s="5" t="s">
        <v>2412</v>
      </c>
      <c r="I8" s="5"/>
      <c r="J8" s="6" t="str">
        <f t="shared" si="0"/>
        <v>1</v>
      </c>
      <c r="K8" s="6">
        <f t="shared" si="1"/>
        <v>9.6999999999999993</v>
      </c>
    </row>
    <row r="9" spans="1:11" x14ac:dyDescent="0.3">
      <c r="A9" s="5" t="s">
        <v>4290</v>
      </c>
      <c r="B9" s="5" t="s">
        <v>78</v>
      </c>
      <c r="C9" s="5" t="s">
        <v>5373</v>
      </c>
      <c r="D9" s="28" t="s">
        <v>2415</v>
      </c>
      <c r="E9" s="5" t="s">
        <v>189</v>
      </c>
      <c r="F9" s="5" t="s">
        <v>5083</v>
      </c>
      <c r="G9" s="5" t="s">
        <v>5083</v>
      </c>
      <c r="H9" s="5" t="s">
        <v>2435</v>
      </c>
      <c r="I9" s="5">
        <v>14.74</v>
      </c>
      <c r="J9" s="6" t="str">
        <f t="shared" si="0"/>
        <v>0</v>
      </c>
      <c r="K9" s="6">
        <f t="shared" si="1"/>
        <v>14.74</v>
      </c>
    </row>
    <row r="10" spans="1:11" x14ac:dyDescent="0.3">
      <c r="A10" s="5" t="s">
        <v>3831</v>
      </c>
      <c r="B10" s="5" t="s">
        <v>45</v>
      </c>
      <c r="C10" s="5" t="s">
        <v>5456</v>
      </c>
      <c r="D10" s="28" t="s">
        <v>2415</v>
      </c>
      <c r="E10" s="5" t="s">
        <v>189</v>
      </c>
      <c r="F10" s="5" t="s">
        <v>5081</v>
      </c>
      <c r="G10" s="5" t="s">
        <v>5071</v>
      </c>
      <c r="H10" s="5" t="s">
        <v>2435</v>
      </c>
      <c r="I10" s="5">
        <v>9.92</v>
      </c>
      <c r="J10" s="6" t="str">
        <f t="shared" si="0"/>
        <v>0</v>
      </c>
      <c r="K10" s="6">
        <f t="shared" si="1"/>
        <v>9.92</v>
      </c>
    </row>
    <row r="11" spans="1:11" x14ac:dyDescent="0.3">
      <c r="A11" s="5" t="s">
        <v>4984</v>
      </c>
      <c r="B11" s="5" t="s">
        <v>45</v>
      </c>
      <c r="C11" s="5" t="s">
        <v>6024</v>
      </c>
      <c r="D11" s="28" t="s">
        <v>2415</v>
      </c>
      <c r="E11" s="5" t="s">
        <v>189</v>
      </c>
      <c r="F11" s="5" t="s">
        <v>5081</v>
      </c>
      <c r="G11" s="5" t="s">
        <v>5081</v>
      </c>
      <c r="H11" s="5" t="s">
        <v>2477</v>
      </c>
      <c r="I11" s="5">
        <v>7.75</v>
      </c>
      <c r="J11" s="6" t="str">
        <f t="shared" si="0"/>
        <v>0</v>
      </c>
      <c r="K11" s="6">
        <f t="shared" si="1"/>
        <v>7.75</v>
      </c>
    </row>
    <row r="12" spans="1:11" x14ac:dyDescent="0.3">
      <c r="A12" s="5" t="s">
        <v>2414</v>
      </c>
      <c r="B12" s="5" t="s">
        <v>14</v>
      </c>
      <c r="C12" s="5" t="s">
        <v>6266</v>
      </c>
      <c r="D12" s="28" t="s">
        <v>2415</v>
      </c>
      <c r="E12" s="5" t="s">
        <v>189</v>
      </c>
      <c r="F12" s="5" t="s">
        <v>5083</v>
      </c>
      <c r="G12" s="5" t="s">
        <v>5071</v>
      </c>
      <c r="H12" s="5" t="s">
        <v>2408</v>
      </c>
      <c r="I12" s="5">
        <v>1.98</v>
      </c>
      <c r="J12" s="6" t="str">
        <f t="shared" si="0"/>
        <v>0</v>
      </c>
      <c r="K12" s="6">
        <f t="shared" si="1"/>
        <v>1.98</v>
      </c>
    </row>
    <row r="13" spans="1:11" x14ac:dyDescent="0.3">
      <c r="A13" s="5" t="s">
        <v>6257</v>
      </c>
      <c r="B13" s="5" t="s">
        <v>14</v>
      </c>
      <c r="C13" s="5" t="s">
        <v>6258</v>
      </c>
      <c r="D13" s="28" t="s">
        <v>2415</v>
      </c>
      <c r="E13" s="5" t="s">
        <v>189</v>
      </c>
      <c r="F13" s="5" t="s">
        <v>5076</v>
      </c>
      <c r="G13" s="5" t="s">
        <v>5083</v>
      </c>
      <c r="H13" s="5" t="s">
        <v>2423</v>
      </c>
      <c r="I13" s="5">
        <v>12.59</v>
      </c>
      <c r="J13" s="6" t="str">
        <f t="shared" si="0"/>
        <v>0</v>
      </c>
      <c r="K13" s="6">
        <f t="shared" si="1"/>
        <v>12.59</v>
      </c>
    </row>
    <row r="14" spans="1:11" x14ac:dyDescent="0.3">
      <c r="A14" s="5" t="s">
        <v>6262</v>
      </c>
      <c r="B14" s="5" t="s">
        <v>14</v>
      </c>
      <c r="C14" s="5" t="s">
        <v>6263</v>
      </c>
      <c r="D14" s="28" t="s">
        <v>2415</v>
      </c>
      <c r="E14" s="5" t="s">
        <v>189</v>
      </c>
      <c r="F14" s="5" t="s">
        <v>5071</v>
      </c>
      <c r="G14" s="5" t="s">
        <v>5073</v>
      </c>
      <c r="H14" s="5" t="s">
        <v>2477</v>
      </c>
      <c r="I14" s="5">
        <v>4.97</v>
      </c>
      <c r="J14" s="6" t="str">
        <f t="shared" si="0"/>
        <v>0</v>
      </c>
      <c r="K14" s="6">
        <f t="shared" si="1"/>
        <v>4.97</v>
      </c>
    </row>
    <row r="15" spans="1:11" x14ac:dyDescent="0.3">
      <c r="A15" s="5" t="s">
        <v>4837</v>
      </c>
      <c r="B15" s="5" t="s">
        <v>14</v>
      </c>
      <c r="C15" s="5" t="s">
        <v>5312</v>
      </c>
      <c r="D15" s="28" t="s">
        <v>2415</v>
      </c>
      <c r="E15" s="5" t="s">
        <v>189</v>
      </c>
      <c r="F15" s="5" t="s">
        <v>5070</v>
      </c>
      <c r="G15" s="5" t="s">
        <v>5073</v>
      </c>
      <c r="H15" s="5" t="s">
        <v>2423</v>
      </c>
      <c r="I15" s="5">
        <v>16.29</v>
      </c>
      <c r="J15" s="6" t="str">
        <f t="shared" si="0"/>
        <v>0</v>
      </c>
      <c r="K15" s="6">
        <f t="shared" si="1"/>
        <v>16.29</v>
      </c>
    </row>
    <row r="16" spans="1:11" x14ac:dyDescent="0.3">
      <c r="A16" s="5" t="s">
        <v>3775</v>
      </c>
      <c r="B16" s="5" t="s">
        <v>14</v>
      </c>
      <c r="C16" s="5" t="s">
        <v>5388</v>
      </c>
      <c r="D16" s="28" t="s">
        <v>2415</v>
      </c>
      <c r="E16" s="5" t="s">
        <v>189</v>
      </c>
      <c r="F16" s="5" t="s">
        <v>5073</v>
      </c>
      <c r="G16" s="5" t="s">
        <v>5076</v>
      </c>
      <c r="H16" s="5" t="s">
        <v>2477</v>
      </c>
      <c r="I16" s="5">
        <v>14.63</v>
      </c>
      <c r="J16" s="6" t="str">
        <f t="shared" si="0"/>
        <v>0</v>
      </c>
      <c r="K16" s="6">
        <f t="shared" si="1"/>
        <v>14.63</v>
      </c>
    </row>
    <row r="17" spans="1:11" x14ac:dyDescent="0.3">
      <c r="A17" s="5" t="s">
        <v>3983</v>
      </c>
      <c r="B17" s="5" t="s">
        <v>14</v>
      </c>
      <c r="C17" s="5" t="s">
        <v>5553</v>
      </c>
      <c r="D17" s="28" t="s">
        <v>2415</v>
      </c>
      <c r="E17" s="5" t="s">
        <v>189</v>
      </c>
      <c r="F17" s="5" t="s">
        <v>5081</v>
      </c>
      <c r="G17" s="5" t="s">
        <v>5081</v>
      </c>
      <c r="H17" s="5" t="s">
        <v>2450</v>
      </c>
      <c r="I17" s="5">
        <v>19.53</v>
      </c>
      <c r="J17" s="6" t="str">
        <f t="shared" si="0"/>
        <v>1</v>
      </c>
      <c r="K17" s="6">
        <f t="shared" si="1"/>
        <v>19.53</v>
      </c>
    </row>
    <row r="18" spans="1:11" x14ac:dyDescent="0.3">
      <c r="A18" s="5" t="s">
        <v>2567</v>
      </c>
      <c r="B18" s="5" t="s">
        <v>14</v>
      </c>
      <c r="C18" s="5" t="s">
        <v>5296</v>
      </c>
      <c r="D18" s="28" t="s">
        <v>2415</v>
      </c>
      <c r="E18" s="5" t="s">
        <v>189</v>
      </c>
      <c r="F18" s="5" t="s">
        <v>5071</v>
      </c>
      <c r="G18" s="5" t="s">
        <v>5076</v>
      </c>
      <c r="H18" s="5" t="s">
        <v>2423</v>
      </c>
      <c r="I18" s="5">
        <v>16.63</v>
      </c>
      <c r="J18" s="6" t="str">
        <f t="shared" si="0"/>
        <v>0</v>
      </c>
      <c r="K18" s="6">
        <f t="shared" si="1"/>
        <v>16.63</v>
      </c>
    </row>
    <row r="19" spans="1:11" x14ac:dyDescent="0.3">
      <c r="A19" s="5" t="s">
        <v>3607</v>
      </c>
      <c r="B19" s="5" t="s">
        <v>14</v>
      </c>
      <c r="C19" s="5" t="s">
        <v>5871</v>
      </c>
      <c r="D19" s="28" t="s">
        <v>2415</v>
      </c>
      <c r="E19" s="5" t="s">
        <v>189</v>
      </c>
      <c r="F19" s="5" t="s">
        <v>5076</v>
      </c>
      <c r="G19" s="5" t="s">
        <v>5070</v>
      </c>
      <c r="H19" s="5" t="s">
        <v>2418</v>
      </c>
      <c r="I19" s="5">
        <v>19.239999999999998</v>
      </c>
      <c r="J19" s="6" t="str">
        <f t="shared" si="0"/>
        <v>1</v>
      </c>
      <c r="K19" s="6">
        <f t="shared" si="1"/>
        <v>19.239999999999998</v>
      </c>
    </row>
    <row r="20" spans="1:11" x14ac:dyDescent="0.3">
      <c r="A20" s="5" t="s">
        <v>3093</v>
      </c>
      <c r="B20" s="5" t="s">
        <v>14</v>
      </c>
      <c r="C20" s="5" t="s">
        <v>6578</v>
      </c>
      <c r="D20" s="28" t="s">
        <v>2415</v>
      </c>
      <c r="E20" s="5" t="s">
        <v>189</v>
      </c>
      <c r="F20" s="5" t="s">
        <v>5073</v>
      </c>
      <c r="G20" s="5" t="s">
        <v>5071</v>
      </c>
      <c r="H20" s="5" t="s">
        <v>2477</v>
      </c>
      <c r="I20" s="5">
        <v>6.69</v>
      </c>
      <c r="J20" s="6" t="str">
        <f t="shared" si="0"/>
        <v>0</v>
      </c>
      <c r="K20" s="6">
        <f t="shared" si="1"/>
        <v>6.69</v>
      </c>
    </row>
    <row r="21" spans="1:11" x14ac:dyDescent="0.3">
      <c r="A21" s="5" t="s">
        <v>3158</v>
      </c>
      <c r="B21" s="5" t="s">
        <v>14</v>
      </c>
      <c r="C21" s="5" t="s">
        <v>5397</v>
      </c>
      <c r="D21" s="28" t="s">
        <v>2415</v>
      </c>
      <c r="E21" s="5" t="s">
        <v>189</v>
      </c>
      <c r="F21" s="5" t="s">
        <v>5071</v>
      </c>
      <c r="G21" s="5" t="s">
        <v>5073</v>
      </c>
      <c r="H21" s="5" t="s">
        <v>2435</v>
      </c>
      <c r="I21" s="5">
        <v>17.63</v>
      </c>
      <c r="J21" s="6" t="str">
        <f t="shared" si="0"/>
        <v>0</v>
      </c>
      <c r="K21" s="6">
        <f t="shared" si="1"/>
        <v>17.63</v>
      </c>
    </row>
    <row r="22" spans="1:11" x14ac:dyDescent="0.3">
      <c r="A22" s="5" t="s">
        <v>2807</v>
      </c>
      <c r="B22" s="5" t="s">
        <v>14</v>
      </c>
      <c r="C22" s="5" t="s">
        <v>5596</v>
      </c>
      <c r="D22" s="28" t="s">
        <v>2415</v>
      </c>
      <c r="E22" s="5" t="s">
        <v>189</v>
      </c>
      <c r="F22" s="5" t="s">
        <v>5076</v>
      </c>
      <c r="G22" s="5" t="s">
        <v>5081</v>
      </c>
      <c r="H22" s="5"/>
      <c r="I22" s="5">
        <v>10.06</v>
      </c>
      <c r="J22" s="6" t="str">
        <f t="shared" si="0"/>
        <v>Unknown</v>
      </c>
      <c r="K22" s="6">
        <f t="shared" si="1"/>
        <v>10.06</v>
      </c>
    </row>
    <row r="23" spans="1:11" x14ac:dyDescent="0.3">
      <c r="A23" s="5" t="s">
        <v>4298</v>
      </c>
      <c r="B23" s="5" t="s">
        <v>14</v>
      </c>
      <c r="C23" s="5" t="s">
        <v>6343</v>
      </c>
      <c r="D23" s="28" t="s">
        <v>2415</v>
      </c>
      <c r="E23" s="5" t="s">
        <v>189</v>
      </c>
      <c r="F23" s="5" t="s">
        <v>5076</v>
      </c>
      <c r="G23" s="5" t="s">
        <v>5083</v>
      </c>
      <c r="H23" s="5" t="s">
        <v>2408</v>
      </c>
      <c r="I23" s="5">
        <v>7.47</v>
      </c>
      <c r="J23" s="6" t="str">
        <f t="shared" si="0"/>
        <v>0</v>
      </c>
      <c r="K23" s="6">
        <f t="shared" si="1"/>
        <v>7.47</v>
      </c>
    </row>
    <row r="24" spans="1:11" x14ac:dyDescent="0.3">
      <c r="A24" s="5" t="s">
        <v>2476</v>
      </c>
      <c r="B24" s="5" t="s">
        <v>14</v>
      </c>
      <c r="C24" s="5" t="s">
        <v>5431</v>
      </c>
      <c r="D24" s="28" t="s">
        <v>2415</v>
      </c>
      <c r="E24" s="5" t="s">
        <v>189</v>
      </c>
      <c r="F24" s="5" t="s">
        <v>5070</v>
      </c>
      <c r="G24" s="5" t="s">
        <v>5071</v>
      </c>
      <c r="H24" s="5" t="s">
        <v>2428</v>
      </c>
      <c r="I24" s="5">
        <v>2.66</v>
      </c>
      <c r="J24" s="6" t="str">
        <f t="shared" si="0"/>
        <v>2</v>
      </c>
      <c r="K24" s="6">
        <f t="shared" si="1"/>
        <v>2.66</v>
      </c>
    </row>
    <row r="25" spans="1:11" x14ac:dyDescent="0.3">
      <c r="A25" s="5" t="s">
        <v>2417</v>
      </c>
      <c r="B25" s="5" t="s">
        <v>117</v>
      </c>
      <c r="C25" s="5" t="s">
        <v>6023</v>
      </c>
      <c r="D25" s="28" t="s">
        <v>2415</v>
      </c>
      <c r="E25" s="5" t="s">
        <v>189</v>
      </c>
      <c r="F25" s="5" t="s">
        <v>5073</v>
      </c>
      <c r="G25" s="5" t="s">
        <v>5073</v>
      </c>
      <c r="H25" s="5" t="s">
        <v>2435</v>
      </c>
      <c r="I25" s="5">
        <v>4.4800000000000004</v>
      </c>
      <c r="J25" s="6" t="str">
        <f t="shared" si="0"/>
        <v>0</v>
      </c>
      <c r="K25" s="6">
        <f t="shared" si="1"/>
        <v>4.4800000000000004</v>
      </c>
    </row>
    <row r="26" spans="1:11" x14ac:dyDescent="0.3">
      <c r="A26" s="5" t="s">
        <v>2920</v>
      </c>
      <c r="B26" s="5" t="s">
        <v>117</v>
      </c>
      <c r="C26" s="5" t="s">
        <v>5532</v>
      </c>
      <c r="D26" s="28" t="s">
        <v>2415</v>
      </c>
      <c r="E26" s="5" t="s">
        <v>189</v>
      </c>
      <c r="F26" s="5" t="s">
        <v>5081</v>
      </c>
      <c r="G26" s="5" t="s">
        <v>5073</v>
      </c>
      <c r="H26" s="5" t="s">
        <v>2455</v>
      </c>
      <c r="I26" s="5">
        <v>7.67</v>
      </c>
      <c r="J26" s="6" t="str">
        <f t="shared" si="0"/>
        <v>1</v>
      </c>
      <c r="K26" s="6">
        <f t="shared" si="1"/>
        <v>7.67</v>
      </c>
    </row>
    <row r="27" spans="1:11" x14ac:dyDescent="0.3">
      <c r="A27" s="5" t="s">
        <v>3727</v>
      </c>
      <c r="B27" s="5" t="s">
        <v>117</v>
      </c>
      <c r="C27" s="5" t="s">
        <v>5226</v>
      </c>
      <c r="D27" s="28" t="s">
        <v>2415</v>
      </c>
      <c r="E27" s="5" t="s">
        <v>189</v>
      </c>
      <c r="F27" s="5" t="s">
        <v>5070</v>
      </c>
      <c r="G27" s="5" t="s">
        <v>5070</v>
      </c>
      <c r="H27" s="5" t="s">
        <v>2450</v>
      </c>
      <c r="I27" s="5">
        <v>18.989999999999998</v>
      </c>
      <c r="J27" s="6" t="str">
        <f t="shared" si="0"/>
        <v>1</v>
      </c>
      <c r="K27" s="6">
        <f t="shared" si="1"/>
        <v>18.989999999999998</v>
      </c>
    </row>
    <row r="28" spans="1:11" x14ac:dyDescent="0.3">
      <c r="A28" s="5" t="s">
        <v>4886</v>
      </c>
      <c r="B28" s="5" t="s">
        <v>117</v>
      </c>
      <c r="C28" s="5" t="s">
        <v>5314</v>
      </c>
      <c r="D28" s="28" t="s">
        <v>2415</v>
      </c>
      <c r="E28" s="5" t="s">
        <v>189</v>
      </c>
      <c r="F28" s="5" t="s">
        <v>5081</v>
      </c>
      <c r="G28" s="5" t="s">
        <v>5076</v>
      </c>
      <c r="H28" s="5" t="s">
        <v>2408</v>
      </c>
      <c r="I28" s="5">
        <v>16.28</v>
      </c>
      <c r="J28" s="6" t="str">
        <f t="shared" si="0"/>
        <v>0</v>
      </c>
      <c r="K28" s="6">
        <f t="shared" si="1"/>
        <v>16.28</v>
      </c>
    </row>
    <row r="29" spans="1:11" x14ac:dyDescent="0.3">
      <c r="A29" s="5" t="s">
        <v>5669</v>
      </c>
      <c r="B29" s="5" t="s">
        <v>117</v>
      </c>
      <c r="C29" s="5" t="s">
        <v>5662</v>
      </c>
      <c r="D29" s="28" t="s">
        <v>2415</v>
      </c>
      <c r="E29" s="5" t="s">
        <v>189</v>
      </c>
      <c r="F29" s="5" t="s">
        <v>5071</v>
      </c>
      <c r="G29" s="5" t="s">
        <v>5070</v>
      </c>
      <c r="H29" s="5" t="s">
        <v>2435</v>
      </c>
      <c r="I29" s="5">
        <v>2.93</v>
      </c>
      <c r="J29" s="6" t="str">
        <f t="shared" si="0"/>
        <v>0</v>
      </c>
      <c r="K29" s="6">
        <f t="shared" si="1"/>
        <v>2.93</v>
      </c>
    </row>
    <row r="30" spans="1:11" x14ac:dyDescent="0.3">
      <c r="A30" s="5" t="s">
        <v>4082</v>
      </c>
      <c r="B30" s="5" t="s">
        <v>117</v>
      </c>
      <c r="C30" s="5" t="s">
        <v>6471</v>
      </c>
      <c r="D30" s="28" t="s">
        <v>2415</v>
      </c>
      <c r="E30" s="5" t="s">
        <v>189</v>
      </c>
      <c r="F30" s="5" t="s">
        <v>5083</v>
      </c>
      <c r="G30" s="5" t="s">
        <v>5081</v>
      </c>
      <c r="H30" s="5" t="s">
        <v>2439</v>
      </c>
      <c r="I30" s="5">
        <v>13.95</v>
      </c>
      <c r="J30" s="6" t="str">
        <f t="shared" si="0"/>
        <v>2</v>
      </c>
      <c r="K30" s="6">
        <f t="shared" si="1"/>
        <v>13.95</v>
      </c>
    </row>
    <row r="31" spans="1:11" x14ac:dyDescent="0.3">
      <c r="A31" s="5" t="s">
        <v>5715</v>
      </c>
      <c r="B31" s="5" t="s">
        <v>117</v>
      </c>
      <c r="C31" s="5" t="s">
        <v>5716</v>
      </c>
      <c r="D31" s="28" t="s">
        <v>2415</v>
      </c>
      <c r="E31" s="5" t="s">
        <v>189</v>
      </c>
      <c r="F31" s="5" t="s">
        <v>5076</v>
      </c>
      <c r="G31" s="5" t="s">
        <v>5081</v>
      </c>
      <c r="H31" s="5" t="s">
        <v>2455</v>
      </c>
      <c r="I31" s="5">
        <v>7.53</v>
      </c>
      <c r="J31" s="6" t="str">
        <f t="shared" si="0"/>
        <v>1</v>
      </c>
      <c r="K31" s="6">
        <f t="shared" si="1"/>
        <v>7.53</v>
      </c>
    </row>
    <row r="32" spans="1:11" x14ac:dyDescent="0.3">
      <c r="A32" s="5" t="s">
        <v>3222</v>
      </c>
      <c r="B32" s="5" t="s">
        <v>117</v>
      </c>
      <c r="C32" s="5" t="s">
        <v>5502</v>
      </c>
      <c r="D32" s="28" t="s">
        <v>2415</v>
      </c>
      <c r="E32" s="5" t="s">
        <v>189</v>
      </c>
      <c r="F32" s="5" t="s">
        <v>5076</v>
      </c>
      <c r="G32" s="5" t="s">
        <v>5083</v>
      </c>
      <c r="H32" s="5" t="s">
        <v>2408</v>
      </c>
      <c r="I32" s="5"/>
      <c r="J32" s="6" t="str">
        <f t="shared" si="0"/>
        <v>0</v>
      </c>
      <c r="K32" s="6">
        <f t="shared" si="1"/>
        <v>10.4</v>
      </c>
    </row>
    <row r="33" spans="1:11" x14ac:dyDescent="0.3">
      <c r="A33" s="5" t="s">
        <v>3764</v>
      </c>
      <c r="B33" s="5" t="s">
        <v>25</v>
      </c>
      <c r="C33" s="5" t="s">
        <v>6077</v>
      </c>
      <c r="D33" s="28" t="s">
        <v>2415</v>
      </c>
      <c r="E33" s="5" t="s">
        <v>189</v>
      </c>
      <c r="F33" s="5" t="s">
        <v>5083</v>
      </c>
      <c r="G33" s="5" t="s">
        <v>5083</v>
      </c>
      <c r="H33" s="5" t="s">
        <v>2423</v>
      </c>
      <c r="I33" s="5">
        <v>16.420000000000002</v>
      </c>
      <c r="J33" s="6" t="str">
        <f t="shared" si="0"/>
        <v>0</v>
      </c>
      <c r="K33" s="6">
        <f t="shared" si="1"/>
        <v>16.420000000000002</v>
      </c>
    </row>
    <row r="34" spans="1:11" x14ac:dyDescent="0.3">
      <c r="A34" s="5" t="s">
        <v>5018</v>
      </c>
      <c r="B34" s="5" t="s">
        <v>25</v>
      </c>
      <c r="C34" s="5" t="s">
        <v>6086</v>
      </c>
      <c r="D34" s="28" t="s">
        <v>2415</v>
      </c>
      <c r="E34" s="5" t="s">
        <v>189</v>
      </c>
      <c r="F34" s="5" t="s">
        <v>5076</v>
      </c>
      <c r="G34" s="5" t="s">
        <v>5071</v>
      </c>
      <c r="H34" s="5" t="s">
        <v>2412</v>
      </c>
      <c r="I34" s="5">
        <v>14.05</v>
      </c>
      <c r="J34" s="6" t="str">
        <f t="shared" si="0"/>
        <v>1</v>
      </c>
      <c r="K34" s="6">
        <f t="shared" si="1"/>
        <v>14.05</v>
      </c>
    </row>
    <row r="35" spans="1:11" x14ac:dyDescent="0.3">
      <c r="A35" s="5" t="s">
        <v>4303</v>
      </c>
      <c r="B35" s="5" t="s">
        <v>25</v>
      </c>
      <c r="C35" s="5" t="s">
        <v>6409</v>
      </c>
      <c r="D35" s="28" t="s">
        <v>2415</v>
      </c>
      <c r="E35" s="5" t="s">
        <v>189</v>
      </c>
      <c r="F35" s="5" t="s">
        <v>5081</v>
      </c>
      <c r="G35" s="5" t="s">
        <v>5073</v>
      </c>
      <c r="H35" s="5" t="s">
        <v>2418</v>
      </c>
      <c r="I35" s="5">
        <v>7.69</v>
      </c>
      <c r="J35" s="6" t="str">
        <f t="shared" si="0"/>
        <v>1</v>
      </c>
      <c r="K35" s="6">
        <f t="shared" si="1"/>
        <v>7.69</v>
      </c>
    </row>
    <row r="36" spans="1:11" x14ac:dyDescent="0.3">
      <c r="A36" s="5" t="s">
        <v>3073</v>
      </c>
      <c r="B36" s="5" t="s">
        <v>25</v>
      </c>
      <c r="C36" s="5" t="s">
        <v>5757</v>
      </c>
      <c r="D36" s="28" t="s">
        <v>2415</v>
      </c>
      <c r="E36" s="5" t="s">
        <v>189</v>
      </c>
      <c r="F36" s="5" t="s">
        <v>5083</v>
      </c>
      <c r="G36" s="5" t="s">
        <v>5083</v>
      </c>
      <c r="H36" s="5" t="s">
        <v>2408</v>
      </c>
      <c r="I36" s="5">
        <v>18.8</v>
      </c>
      <c r="J36" s="6" t="str">
        <f t="shared" si="0"/>
        <v>0</v>
      </c>
      <c r="K36" s="6">
        <f t="shared" si="1"/>
        <v>18.8</v>
      </c>
    </row>
    <row r="37" spans="1:11" x14ac:dyDescent="0.3">
      <c r="A37" s="5" t="s">
        <v>5520</v>
      </c>
      <c r="B37" s="5" t="s">
        <v>25</v>
      </c>
      <c r="C37" s="5" t="s">
        <v>5521</v>
      </c>
      <c r="D37" s="28" t="s">
        <v>2415</v>
      </c>
      <c r="E37" s="5" t="s">
        <v>189</v>
      </c>
      <c r="F37" s="5" t="s">
        <v>5071</v>
      </c>
      <c r="G37" s="5" t="s">
        <v>5073</v>
      </c>
      <c r="H37" s="5" t="s">
        <v>2418</v>
      </c>
      <c r="I37" s="5">
        <v>5.17</v>
      </c>
      <c r="J37" s="6" t="str">
        <f t="shared" si="0"/>
        <v>1</v>
      </c>
      <c r="K37" s="6">
        <f t="shared" si="1"/>
        <v>5.17</v>
      </c>
    </row>
    <row r="38" spans="1:11" x14ac:dyDescent="0.3">
      <c r="A38" s="5" t="s">
        <v>5156</v>
      </c>
      <c r="B38" s="5" t="s">
        <v>25</v>
      </c>
      <c r="C38" s="5" t="s">
        <v>5157</v>
      </c>
      <c r="D38" s="28" t="s">
        <v>2415</v>
      </c>
      <c r="E38" s="5" t="s">
        <v>189</v>
      </c>
      <c r="F38" s="5" t="s">
        <v>5081</v>
      </c>
      <c r="G38" s="5" t="s">
        <v>5083</v>
      </c>
      <c r="H38" s="5" t="s">
        <v>2423</v>
      </c>
      <c r="I38" s="5">
        <v>17</v>
      </c>
      <c r="J38" s="6" t="str">
        <f t="shared" si="0"/>
        <v>0</v>
      </c>
      <c r="K38" s="6">
        <f t="shared" si="1"/>
        <v>17</v>
      </c>
    </row>
    <row r="39" spans="1:11" x14ac:dyDescent="0.3">
      <c r="A39" s="5" t="s">
        <v>3659</v>
      </c>
      <c r="B39" s="5" t="s">
        <v>25</v>
      </c>
      <c r="C39" s="5" t="s">
        <v>5127</v>
      </c>
      <c r="D39" s="28" t="s">
        <v>2415</v>
      </c>
      <c r="E39" s="5" t="s">
        <v>189</v>
      </c>
      <c r="F39" s="5" t="s">
        <v>5073</v>
      </c>
      <c r="G39" s="5" t="s">
        <v>5081</v>
      </c>
      <c r="H39" s="5" t="s">
        <v>2418</v>
      </c>
      <c r="I39" s="5">
        <v>9.8699999999999992</v>
      </c>
      <c r="J39" s="6" t="str">
        <f t="shared" si="0"/>
        <v>1</v>
      </c>
      <c r="K39" s="6">
        <f t="shared" si="1"/>
        <v>9.8699999999999992</v>
      </c>
    </row>
    <row r="40" spans="1:11" x14ac:dyDescent="0.3">
      <c r="A40" s="5" t="s">
        <v>5813</v>
      </c>
      <c r="B40" s="5" t="s">
        <v>106</v>
      </c>
      <c r="C40" s="5" t="s">
        <v>5814</v>
      </c>
      <c r="D40" s="28" t="s">
        <v>2415</v>
      </c>
      <c r="E40" s="5" t="s">
        <v>189</v>
      </c>
      <c r="F40" s="5" t="s">
        <v>5081</v>
      </c>
      <c r="G40" s="5" t="s">
        <v>5073</v>
      </c>
      <c r="H40" s="5" t="s">
        <v>2423</v>
      </c>
      <c r="I40" s="5">
        <v>10.79</v>
      </c>
      <c r="J40" s="6" t="str">
        <f t="shared" si="0"/>
        <v>0</v>
      </c>
      <c r="K40" s="6">
        <f t="shared" si="1"/>
        <v>10.79</v>
      </c>
    </row>
    <row r="41" spans="1:11" x14ac:dyDescent="0.3">
      <c r="A41" s="5" t="s">
        <v>3177</v>
      </c>
      <c r="B41" s="5" t="s">
        <v>106</v>
      </c>
      <c r="C41" s="5" t="s">
        <v>6392</v>
      </c>
      <c r="D41" s="28" t="s">
        <v>2415</v>
      </c>
      <c r="E41" s="5" t="s">
        <v>189</v>
      </c>
      <c r="F41" s="5" t="s">
        <v>5071</v>
      </c>
      <c r="G41" s="5" t="s">
        <v>5071</v>
      </c>
      <c r="H41" s="5" t="s">
        <v>2505</v>
      </c>
      <c r="I41" s="5">
        <v>3.83</v>
      </c>
      <c r="J41" s="6" t="str">
        <f t="shared" si="0"/>
        <v>2+</v>
      </c>
      <c r="K41" s="6">
        <f t="shared" si="1"/>
        <v>3.83</v>
      </c>
    </row>
    <row r="42" spans="1:11" x14ac:dyDescent="0.3">
      <c r="A42" s="5" t="s">
        <v>5657</v>
      </c>
      <c r="B42" s="5" t="s">
        <v>106</v>
      </c>
      <c r="C42" s="5" t="s">
        <v>5658</v>
      </c>
      <c r="D42" s="28" t="s">
        <v>2415</v>
      </c>
      <c r="E42" s="5" t="s">
        <v>189</v>
      </c>
      <c r="F42" s="5" t="s">
        <v>5070</v>
      </c>
      <c r="G42" s="5" t="s">
        <v>5070</v>
      </c>
      <c r="H42" s="5" t="s">
        <v>2423</v>
      </c>
      <c r="I42" s="5">
        <v>10.220000000000001</v>
      </c>
      <c r="J42" s="6" t="str">
        <f t="shared" si="0"/>
        <v>0</v>
      </c>
      <c r="K42" s="6">
        <f t="shared" si="1"/>
        <v>10.220000000000001</v>
      </c>
    </row>
    <row r="43" spans="1:11" x14ac:dyDescent="0.3">
      <c r="A43" s="5" t="s">
        <v>5364</v>
      </c>
      <c r="B43" s="5" t="s">
        <v>106</v>
      </c>
      <c r="C43" s="5" t="s">
        <v>5365</v>
      </c>
      <c r="D43" s="28" t="s">
        <v>2415</v>
      </c>
      <c r="E43" s="5" t="s">
        <v>189</v>
      </c>
      <c r="F43" s="5" t="s">
        <v>5081</v>
      </c>
      <c r="G43" s="5" t="s">
        <v>5071</v>
      </c>
      <c r="H43" s="5" t="s">
        <v>2477</v>
      </c>
      <c r="I43" s="5">
        <v>19.100000000000001</v>
      </c>
      <c r="J43" s="6" t="str">
        <f t="shared" si="0"/>
        <v>0</v>
      </c>
      <c r="K43" s="6">
        <f t="shared" si="1"/>
        <v>19.100000000000001</v>
      </c>
    </row>
    <row r="44" spans="1:11" x14ac:dyDescent="0.3">
      <c r="A44" s="5" t="s">
        <v>2640</v>
      </c>
      <c r="B44" s="5" t="s">
        <v>106</v>
      </c>
      <c r="C44" s="5" t="s">
        <v>6240</v>
      </c>
      <c r="D44" s="28" t="s">
        <v>2415</v>
      </c>
      <c r="E44" s="5" t="s">
        <v>189</v>
      </c>
      <c r="F44" s="5" t="s">
        <v>5081</v>
      </c>
      <c r="G44" s="5" t="s">
        <v>5081</v>
      </c>
      <c r="H44" s="5" t="s">
        <v>2477</v>
      </c>
      <c r="I44" s="5">
        <v>8.57</v>
      </c>
      <c r="J44" s="6" t="str">
        <f t="shared" si="0"/>
        <v>0</v>
      </c>
      <c r="K44" s="6">
        <f t="shared" si="1"/>
        <v>8.57</v>
      </c>
    </row>
    <row r="45" spans="1:11" x14ac:dyDescent="0.3">
      <c r="A45" s="5" t="s">
        <v>6039</v>
      </c>
      <c r="B45" s="5" t="s">
        <v>106</v>
      </c>
      <c r="C45" s="5" t="s">
        <v>6040</v>
      </c>
      <c r="D45" s="28" t="s">
        <v>2415</v>
      </c>
      <c r="E45" s="5" t="s">
        <v>189</v>
      </c>
      <c r="F45" s="5" t="s">
        <v>5076</v>
      </c>
      <c r="G45" s="5" t="s">
        <v>5070</v>
      </c>
      <c r="H45" s="5" t="s">
        <v>2477</v>
      </c>
      <c r="I45" s="5">
        <v>8.4</v>
      </c>
      <c r="J45" s="6" t="str">
        <f t="shared" si="0"/>
        <v>0</v>
      </c>
      <c r="K45" s="6">
        <f t="shared" si="1"/>
        <v>8.4</v>
      </c>
    </row>
    <row r="46" spans="1:11" x14ac:dyDescent="0.3">
      <c r="A46" s="5" t="s">
        <v>6069</v>
      </c>
      <c r="B46" s="5" t="s">
        <v>106</v>
      </c>
      <c r="C46" s="5" t="s">
        <v>6070</v>
      </c>
      <c r="D46" s="28" t="s">
        <v>2415</v>
      </c>
      <c r="E46" s="5" t="s">
        <v>189</v>
      </c>
      <c r="F46" s="5" t="s">
        <v>5073</v>
      </c>
      <c r="G46" s="5" t="s">
        <v>5071</v>
      </c>
      <c r="H46" s="5" t="s">
        <v>2423</v>
      </c>
      <c r="I46" s="5">
        <v>10.42</v>
      </c>
      <c r="J46" s="6" t="str">
        <f t="shared" si="0"/>
        <v>0</v>
      </c>
      <c r="K46" s="6">
        <f t="shared" si="1"/>
        <v>10.42</v>
      </c>
    </row>
    <row r="47" spans="1:11" x14ac:dyDescent="0.3">
      <c r="A47" s="5" t="s">
        <v>3085</v>
      </c>
      <c r="B47" s="5" t="s">
        <v>78</v>
      </c>
      <c r="C47" s="5" t="s">
        <v>5274</v>
      </c>
      <c r="D47" s="28" t="s">
        <v>2434</v>
      </c>
      <c r="E47" s="5" t="s">
        <v>16</v>
      </c>
      <c r="F47" s="5" t="s">
        <v>5083</v>
      </c>
      <c r="G47" s="5" t="s">
        <v>5071</v>
      </c>
      <c r="H47" s="5" t="s">
        <v>2450</v>
      </c>
      <c r="I47" s="5"/>
      <c r="J47" s="6" t="str">
        <f t="shared" si="0"/>
        <v>1</v>
      </c>
      <c r="K47" s="6">
        <f t="shared" si="1"/>
        <v>9.6999999999999993</v>
      </c>
    </row>
    <row r="48" spans="1:11" x14ac:dyDescent="0.3">
      <c r="A48" s="5" t="s">
        <v>3357</v>
      </c>
      <c r="B48" s="5" t="s">
        <v>78</v>
      </c>
      <c r="C48" s="5" t="s">
        <v>6058</v>
      </c>
      <c r="D48" s="28" t="s">
        <v>2434</v>
      </c>
      <c r="E48" s="5" t="s">
        <v>16</v>
      </c>
      <c r="F48" s="5" t="s">
        <v>5076</v>
      </c>
      <c r="G48" s="5" t="s">
        <v>5083</v>
      </c>
      <c r="H48" s="5" t="s">
        <v>2455</v>
      </c>
      <c r="I48" s="5">
        <v>5.18</v>
      </c>
      <c r="J48" s="6" t="str">
        <f t="shared" si="0"/>
        <v>1</v>
      </c>
      <c r="K48" s="6">
        <f t="shared" si="1"/>
        <v>5.18</v>
      </c>
    </row>
    <row r="49" spans="1:11" x14ac:dyDescent="0.3">
      <c r="A49" s="5" t="s">
        <v>4451</v>
      </c>
      <c r="B49" s="5" t="s">
        <v>45</v>
      </c>
      <c r="C49" s="5" t="s">
        <v>5962</v>
      </c>
      <c r="D49" s="28" t="s">
        <v>2434</v>
      </c>
      <c r="E49" s="5" t="s">
        <v>16</v>
      </c>
      <c r="F49" s="5" t="s">
        <v>5083</v>
      </c>
      <c r="G49" s="5" t="s">
        <v>5071</v>
      </c>
      <c r="H49" s="5" t="s">
        <v>2477</v>
      </c>
      <c r="I49" s="5"/>
      <c r="J49" s="6" t="str">
        <f t="shared" si="0"/>
        <v>0</v>
      </c>
      <c r="K49" s="6">
        <f t="shared" si="1"/>
        <v>10.199999999999999</v>
      </c>
    </row>
    <row r="50" spans="1:11" x14ac:dyDescent="0.3">
      <c r="A50" s="5" t="s">
        <v>2582</v>
      </c>
      <c r="B50" s="5" t="s">
        <v>45</v>
      </c>
      <c r="C50" s="5" t="s">
        <v>5109</v>
      </c>
      <c r="D50" s="28" t="s">
        <v>2434</v>
      </c>
      <c r="E50" s="5" t="s">
        <v>16</v>
      </c>
      <c r="F50" s="5" t="s">
        <v>5073</v>
      </c>
      <c r="G50" s="5" t="s">
        <v>5081</v>
      </c>
      <c r="H50" s="5" t="s">
        <v>2450</v>
      </c>
      <c r="I50" s="5">
        <v>15.7</v>
      </c>
      <c r="J50" s="6" t="str">
        <f t="shared" si="0"/>
        <v>1</v>
      </c>
      <c r="K50" s="6">
        <f t="shared" si="1"/>
        <v>15.7</v>
      </c>
    </row>
    <row r="51" spans="1:11" x14ac:dyDescent="0.3">
      <c r="A51" s="5" t="s">
        <v>3136</v>
      </c>
      <c r="B51" s="5" t="s">
        <v>45</v>
      </c>
      <c r="C51" s="5" t="s">
        <v>5078</v>
      </c>
      <c r="D51" s="28" t="s">
        <v>2434</v>
      </c>
      <c r="E51" s="5" t="s">
        <v>16</v>
      </c>
      <c r="F51" s="5" t="s">
        <v>5076</v>
      </c>
      <c r="G51" s="5" t="s">
        <v>5076</v>
      </c>
      <c r="H51" s="5" t="s">
        <v>2435</v>
      </c>
      <c r="I51" s="5">
        <v>7.36</v>
      </c>
      <c r="J51" s="6" t="str">
        <f t="shared" si="0"/>
        <v>0</v>
      </c>
      <c r="K51" s="6">
        <f t="shared" si="1"/>
        <v>7.36</v>
      </c>
    </row>
    <row r="52" spans="1:11" x14ac:dyDescent="0.3">
      <c r="A52" s="5" t="s">
        <v>5432</v>
      </c>
      <c r="B52" s="5" t="s">
        <v>45</v>
      </c>
      <c r="C52" s="5" t="s">
        <v>5433</v>
      </c>
      <c r="D52" s="28" t="s">
        <v>2434</v>
      </c>
      <c r="E52" s="5" t="s">
        <v>16</v>
      </c>
      <c r="F52" s="5" t="s">
        <v>5083</v>
      </c>
      <c r="G52" s="5" t="s">
        <v>5076</v>
      </c>
      <c r="H52" s="5" t="s">
        <v>2486</v>
      </c>
      <c r="I52" s="5">
        <v>9.43</v>
      </c>
      <c r="J52" s="6" t="str">
        <f t="shared" si="0"/>
        <v>2+</v>
      </c>
      <c r="K52" s="6">
        <f t="shared" si="1"/>
        <v>9.43</v>
      </c>
    </row>
    <row r="53" spans="1:11" x14ac:dyDescent="0.3">
      <c r="A53" s="5" t="s">
        <v>6065</v>
      </c>
      <c r="B53" s="5" t="s">
        <v>45</v>
      </c>
      <c r="C53" s="5" t="s">
        <v>6066</v>
      </c>
      <c r="D53" s="28" t="s">
        <v>2434</v>
      </c>
      <c r="E53" s="5" t="s">
        <v>16</v>
      </c>
      <c r="F53" s="5" t="s">
        <v>5081</v>
      </c>
      <c r="G53" s="5" t="s">
        <v>5081</v>
      </c>
      <c r="H53" s="5" t="s">
        <v>2418</v>
      </c>
      <c r="I53" s="5"/>
      <c r="J53" s="6" t="str">
        <f t="shared" si="0"/>
        <v>1</v>
      </c>
      <c r="K53" s="6">
        <f t="shared" si="1"/>
        <v>10.199999999999999</v>
      </c>
    </row>
    <row r="54" spans="1:11" x14ac:dyDescent="0.3">
      <c r="A54" s="5" t="s">
        <v>5578</v>
      </c>
      <c r="B54" s="5" t="s">
        <v>45</v>
      </c>
      <c r="C54" s="5" t="s">
        <v>5579</v>
      </c>
      <c r="D54" s="28" t="s">
        <v>2434</v>
      </c>
      <c r="E54" s="5" t="s">
        <v>16</v>
      </c>
      <c r="F54" s="5" t="s">
        <v>5073</v>
      </c>
      <c r="G54" s="5" t="s">
        <v>5081</v>
      </c>
      <c r="H54" s="5" t="s">
        <v>2450</v>
      </c>
      <c r="I54" s="5">
        <v>12.71</v>
      </c>
      <c r="J54" s="6" t="str">
        <f t="shared" si="0"/>
        <v>1</v>
      </c>
      <c r="K54" s="6">
        <f t="shared" si="1"/>
        <v>12.71</v>
      </c>
    </row>
    <row r="55" spans="1:11" x14ac:dyDescent="0.3">
      <c r="A55" s="5" t="s">
        <v>5983</v>
      </c>
      <c r="B55" s="5" t="s">
        <v>45</v>
      </c>
      <c r="C55" s="5" t="s">
        <v>5984</v>
      </c>
      <c r="D55" s="28" t="s">
        <v>2434</v>
      </c>
      <c r="E55" s="5" t="s">
        <v>16</v>
      </c>
      <c r="F55" s="5" t="s">
        <v>5076</v>
      </c>
      <c r="G55" s="5" t="s">
        <v>5083</v>
      </c>
      <c r="H55" s="5" t="s">
        <v>2412</v>
      </c>
      <c r="I55" s="5">
        <v>18.97</v>
      </c>
      <c r="J55" s="6" t="str">
        <f t="shared" si="0"/>
        <v>1</v>
      </c>
      <c r="K55" s="6">
        <f t="shared" si="1"/>
        <v>18.97</v>
      </c>
    </row>
    <row r="56" spans="1:11" x14ac:dyDescent="0.3">
      <c r="A56" s="5" t="s">
        <v>3694</v>
      </c>
      <c r="B56" s="5" t="s">
        <v>14</v>
      </c>
      <c r="C56" s="5" t="s">
        <v>6098</v>
      </c>
      <c r="D56" s="28" t="s">
        <v>2434</v>
      </c>
      <c r="E56" s="5" t="s">
        <v>16</v>
      </c>
      <c r="F56" s="5" t="s">
        <v>5071</v>
      </c>
      <c r="G56" s="5" t="s">
        <v>5083</v>
      </c>
      <c r="H56" s="5" t="s">
        <v>2412</v>
      </c>
      <c r="I56" s="5">
        <v>17.2</v>
      </c>
      <c r="J56" s="6" t="str">
        <f t="shared" si="0"/>
        <v>1</v>
      </c>
      <c r="K56" s="6">
        <f t="shared" si="1"/>
        <v>17.2</v>
      </c>
    </row>
    <row r="57" spans="1:11" x14ac:dyDescent="0.3">
      <c r="A57" s="5" t="s">
        <v>3334</v>
      </c>
      <c r="B57" s="5" t="s">
        <v>14</v>
      </c>
      <c r="C57" s="5" t="s">
        <v>5136</v>
      </c>
      <c r="D57" s="28" t="s">
        <v>2434</v>
      </c>
      <c r="E57" s="5" t="s">
        <v>16</v>
      </c>
      <c r="F57" s="5" t="s">
        <v>5070</v>
      </c>
      <c r="G57" s="5" t="s">
        <v>5071</v>
      </c>
      <c r="H57" s="5" t="s">
        <v>2505</v>
      </c>
      <c r="I57" s="5">
        <v>1.68</v>
      </c>
      <c r="J57" s="6" t="str">
        <f t="shared" si="0"/>
        <v>2+</v>
      </c>
      <c r="K57" s="6">
        <f t="shared" si="1"/>
        <v>1.68</v>
      </c>
    </row>
    <row r="58" spans="1:11" x14ac:dyDescent="0.3">
      <c r="A58" s="5" t="s">
        <v>4378</v>
      </c>
      <c r="B58" s="5" t="s">
        <v>14</v>
      </c>
      <c r="C58" s="5" t="s">
        <v>5459</v>
      </c>
      <c r="D58" s="28" t="s">
        <v>2434</v>
      </c>
      <c r="E58" s="5" t="s">
        <v>16</v>
      </c>
      <c r="F58" s="5" t="s">
        <v>5083</v>
      </c>
      <c r="G58" s="5" t="s">
        <v>5073</v>
      </c>
      <c r="H58" s="5" t="s">
        <v>2423</v>
      </c>
      <c r="I58" s="5">
        <v>5.69</v>
      </c>
      <c r="J58" s="6" t="str">
        <f t="shared" si="0"/>
        <v>0</v>
      </c>
      <c r="K58" s="6">
        <f t="shared" si="1"/>
        <v>5.69</v>
      </c>
    </row>
    <row r="59" spans="1:11" x14ac:dyDescent="0.3">
      <c r="A59" s="5" t="s">
        <v>4055</v>
      </c>
      <c r="B59" s="5" t="s">
        <v>14</v>
      </c>
      <c r="C59" s="5" t="s">
        <v>5455</v>
      </c>
      <c r="D59" s="28" t="s">
        <v>2434</v>
      </c>
      <c r="E59" s="5" t="s">
        <v>16</v>
      </c>
      <c r="F59" s="5" t="s">
        <v>5071</v>
      </c>
      <c r="G59" s="5" t="s">
        <v>5083</v>
      </c>
      <c r="H59" s="5" t="s">
        <v>2412</v>
      </c>
      <c r="I59" s="5">
        <v>16.88</v>
      </c>
      <c r="J59" s="6" t="str">
        <f t="shared" si="0"/>
        <v>1</v>
      </c>
      <c r="K59" s="6">
        <f t="shared" si="1"/>
        <v>16.88</v>
      </c>
    </row>
    <row r="60" spans="1:11" x14ac:dyDescent="0.3">
      <c r="A60" s="5" t="s">
        <v>4411</v>
      </c>
      <c r="B60" s="5" t="s">
        <v>117</v>
      </c>
      <c r="C60" s="5" t="s">
        <v>5415</v>
      </c>
      <c r="D60" s="28" t="s">
        <v>2434</v>
      </c>
      <c r="E60" s="5" t="s">
        <v>16</v>
      </c>
      <c r="F60" s="5" t="s">
        <v>5073</v>
      </c>
      <c r="G60" s="5" t="s">
        <v>5076</v>
      </c>
      <c r="H60" s="5" t="s">
        <v>2408</v>
      </c>
      <c r="I60" s="5">
        <v>12.64</v>
      </c>
      <c r="J60" s="6" t="str">
        <f t="shared" si="0"/>
        <v>0</v>
      </c>
      <c r="K60" s="6">
        <f t="shared" si="1"/>
        <v>12.64</v>
      </c>
    </row>
    <row r="61" spans="1:11" x14ac:dyDescent="0.3">
      <c r="A61" s="5" t="s">
        <v>2652</v>
      </c>
      <c r="B61" s="5" t="s">
        <v>117</v>
      </c>
      <c r="C61" s="5" t="s">
        <v>5702</v>
      </c>
      <c r="D61" s="28" t="s">
        <v>2434</v>
      </c>
      <c r="E61" s="5" t="s">
        <v>16</v>
      </c>
      <c r="F61" s="5" t="s">
        <v>5071</v>
      </c>
      <c r="G61" s="5" t="s">
        <v>5083</v>
      </c>
      <c r="H61" s="5" t="s">
        <v>2428</v>
      </c>
      <c r="I61" s="5">
        <v>6.4</v>
      </c>
      <c r="J61" s="6" t="str">
        <f t="shared" si="0"/>
        <v>2</v>
      </c>
      <c r="K61" s="6">
        <f t="shared" si="1"/>
        <v>6.4</v>
      </c>
    </row>
    <row r="62" spans="1:11" x14ac:dyDescent="0.3">
      <c r="A62" s="5" t="s">
        <v>2433</v>
      </c>
      <c r="B62" s="5" t="s">
        <v>117</v>
      </c>
      <c r="C62" s="5" t="s">
        <v>5862</v>
      </c>
      <c r="D62" s="28" t="s">
        <v>2434</v>
      </c>
      <c r="E62" s="5" t="s">
        <v>16</v>
      </c>
      <c r="F62" s="5" t="s">
        <v>5070</v>
      </c>
      <c r="G62" s="5" t="s">
        <v>5073</v>
      </c>
      <c r="H62" s="5" t="s">
        <v>2450</v>
      </c>
      <c r="I62" s="5">
        <v>9.09</v>
      </c>
      <c r="J62" s="6" t="str">
        <f t="shared" si="0"/>
        <v>1</v>
      </c>
      <c r="K62" s="6">
        <f t="shared" si="1"/>
        <v>9.09</v>
      </c>
    </row>
    <row r="63" spans="1:11" x14ac:dyDescent="0.3">
      <c r="A63" s="5" t="s">
        <v>6275</v>
      </c>
      <c r="B63" s="5" t="s">
        <v>117</v>
      </c>
      <c r="C63" s="5" t="s">
        <v>6276</v>
      </c>
      <c r="D63" s="28" t="s">
        <v>2434</v>
      </c>
      <c r="E63" s="5" t="s">
        <v>16</v>
      </c>
      <c r="F63" s="5" t="s">
        <v>5083</v>
      </c>
      <c r="G63" s="5" t="s">
        <v>5083</v>
      </c>
      <c r="H63" s="5" t="s">
        <v>2423</v>
      </c>
      <c r="I63" s="5">
        <v>15.94</v>
      </c>
      <c r="J63" s="6" t="str">
        <f t="shared" si="0"/>
        <v>0</v>
      </c>
      <c r="K63" s="6">
        <f t="shared" si="1"/>
        <v>15.94</v>
      </c>
    </row>
    <row r="64" spans="1:11" x14ac:dyDescent="0.3">
      <c r="A64" s="5" t="s">
        <v>5723</v>
      </c>
      <c r="B64" s="5" t="s">
        <v>117</v>
      </c>
      <c r="C64" s="5" t="s">
        <v>5724</v>
      </c>
      <c r="D64" s="28" t="s">
        <v>2434</v>
      </c>
      <c r="E64" s="5" t="s">
        <v>16</v>
      </c>
      <c r="F64" s="5" t="s">
        <v>5070</v>
      </c>
      <c r="G64" s="5" t="s">
        <v>5076</v>
      </c>
      <c r="H64" s="5" t="s">
        <v>2455</v>
      </c>
      <c r="I64" s="5">
        <v>9.7200000000000006</v>
      </c>
      <c r="J64" s="6" t="str">
        <f t="shared" si="0"/>
        <v>1</v>
      </c>
      <c r="K64" s="6">
        <f t="shared" si="1"/>
        <v>9.7200000000000006</v>
      </c>
    </row>
    <row r="65" spans="1:11" x14ac:dyDescent="0.3">
      <c r="A65" s="5" t="s">
        <v>2810</v>
      </c>
      <c r="B65" s="5" t="s">
        <v>117</v>
      </c>
      <c r="C65" s="5" t="s">
        <v>5302</v>
      </c>
      <c r="D65" s="28" t="s">
        <v>2434</v>
      </c>
      <c r="E65" s="5" t="s">
        <v>16</v>
      </c>
      <c r="F65" s="5" t="s">
        <v>5081</v>
      </c>
      <c r="G65" s="5" t="s">
        <v>5081</v>
      </c>
      <c r="H65" s="5" t="s">
        <v>2423</v>
      </c>
      <c r="I65" s="5">
        <v>15.1</v>
      </c>
      <c r="J65" s="6" t="str">
        <f t="shared" si="0"/>
        <v>0</v>
      </c>
      <c r="K65" s="6">
        <f t="shared" si="1"/>
        <v>15.1</v>
      </c>
    </row>
    <row r="66" spans="1:11" x14ac:dyDescent="0.3">
      <c r="A66" s="5" t="s">
        <v>4247</v>
      </c>
      <c r="B66" s="5" t="s">
        <v>117</v>
      </c>
      <c r="C66" s="5" t="s">
        <v>5480</v>
      </c>
      <c r="D66" s="28" t="s">
        <v>2434</v>
      </c>
      <c r="E66" s="5" t="s">
        <v>16</v>
      </c>
      <c r="F66" s="5" t="s">
        <v>5081</v>
      </c>
      <c r="G66" s="5" t="s">
        <v>5081</v>
      </c>
      <c r="H66" s="5" t="s">
        <v>2455</v>
      </c>
      <c r="I66" s="5">
        <v>10.97</v>
      </c>
      <c r="J66" s="6" t="str">
        <f t="shared" ref="J66:J129" si="2">IF(OR(LOWER(TRIM(H66))="0",LOWER(TRIM(H66))="ZERO"),"0",IF(OR(LOWER(TRIM(H66))="1",LOWER(TRIM(H66))="one"),"1",IF(OR(LOWER(TRIM(H66))="2",LOWER(TRIM(H66))="two"),"2",IF(OR(LOWER(TRIM(H66))="2+",LOWER(TRIM(H66))="two_or_more",LOWER(TRIM(H66))="multiple"),"2+","Unknown"))))</f>
        <v>1</v>
      </c>
      <c r="K66" s="6">
        <f t="shared" si="1"/>
        <v>10.97</v>
      </c>
    </row>
    <row r="67" spans="1:11" x14ac:dyDescent="0.3">
      <c r="A67" s="5" t="s">
        <v>6332</v>
      </c>
      <c r="B67" s="5" t="s">
        <v>117</v>
      </c>
      <c r="C67" s="5" t="s">
        <v>6333</v>
      </c>
      <c r="D67" s="28" t="s">
        <v>2434</v>
      </c>
      <c r="E67" s="5" t="s">
        <v>16</v>
      </c>
      <c r="F67" s="5" t="s">
        <v>5083</v>
      </c>
      <c r="G67" s="5" t="s">
        <v>5073</v>
      </c>
      <c r="H67" s="5" t="s">
        <v>2450</v>
      </c>
      <c r="I67" s="5">
        <v>8.7200000000000006</v>
      </c>
      <c r="J67" s="6" t="str">
        <f t="shared" si="2"/>
        <v>1</v>
      </c>
      <c r="K67" s="6">
        <f t="shared" ref="K67:K130" si="3">IF(I67="",ROUND(AVERAGEIF($B$2:$B$1000,B67,$I$2:$I$1000),1),I67)</f>
        <v>8.7200000000000006</v>
      </c>
    </row>
    <row r="68" spans="1:11" x14ac:dyDescent="0.3">
      <c r="A68" s="5" t="s">
        <v>3302</v>
      </c>
      <c r="B68" s="5" t="s">
        <v>25</v>
      </c>
      <c r="C68" s="5" t="s">
        <v>5533</v>
      </c>
      <c r="D68" s="28" t="s">
        <v>2434</v>
      </c>
      <c r="E68" s="5" t="s">
        <v>16</v>
      </c>
      <c r="F68" s="5" t="s">
        <v>5071</v>
      </c>
      <c r="G68" s="5" t="s">
        <v>5073</v>
      </c>
      <c r="H68" s="5" t="s">
        <v>2408</v>
      </c>
      <c r="I68" s="5">
        <v>8.49</v>
      </c>
      <c r="J68" s="6" t="str">
        <f t="shared" si="2"/>
        <v>0</v>
      </c>
      <c r="K68" s="6">
        <f t="shared" si="3"/>
        <v>8.49</v>
      </c>
    </row>
    <row r="69" spans="1:11" x14ac:dyDescent="0.3">
      <c r="A69" s="5" t="s">
        <v>5677</v>
      </c>
      <c r="B69" s="5" t="s">
        <v>25</v>
      </c>
      <c r="C69" s="5" t="s">
        <v>5678</v>
      </c>
      <c r="D69" s="28" t="s">
        <v>2434</v>
      </c>
      <c r="E69" s="5" t="s">
        <v>16</v>
      </c>
      <c r="F69" s="5" t="s">
        <v>5081</v>
      </c>
      <c r="G69" s="5" t="s">
        <v>5071</v>
      </c>
      <c r="H69" s="5" t="s">
        <v>2450</v>
      </c>
      <c r="I69" s="5">
        <v>1.29</v>
      </c>
      <c r="J69" s="6" t="str">
        <f t="shared" si="2"/>
        <v>1</v>
      </c>
      <c r="K69" s="6">
        <f t="shared" si="3"/>
        <v>1.29</v>
      </c>
    </row>
    <row r="70" spans="1:11" x14ac:dyDescent="0.3">
      <c r="A70" s="5" t="s">
        <v>2882</v>
      </c>
      <c r="B70" s="5" t="s">
        <v>25</v>
      </c>
      <c r="C70" s="5" t="s">
        <v>5936</v>
      </c>
      <c r="D70" s="28" t="s">
        <v>2434</v>
      </c>
      <c r="E70" s="5" t="s">
        <v>16</v>
      </c>
      <c r="F70" s="5" t="s">
        <v>5076</v>
      </c>
      <c r="G70" s="5" t="s">
        <v>5073</v>
      </c>
      <c r="H70" s="5" t="s">
        <v>2435</v>
      </c>
      <c r="I70" s="5"/>
      <c r="J70" s="6" t="str">
        <f t="shared" si="2"/>
        <v>0</v>
      </c>
      <c r="K70" s="6">
        <f t="shared" si="3"/>
        <v>10</v>
      </c>
    </row>
    <row r="71" spans="1:11" x14ac:dyDescent="0.3">
      <c r="A71" s="5" t="s">
        <v>5840</v>
      </c>
      <c r="B71" s="5" t="s">
        <v>106</v>
      </c>
      <c r="C71" s="5" t="s">
        <v>5841</v>
      </c>
      <c r="D71" s="28" t="s">
        <v>2434</v>
      </c>
      <c r="E71" s="5" t="s">
        <v>16</v>
      </c>
      <c r="F71" s="5" t="s">
        <v>5071</v>
      </c>
      <c r="G71" s="5" t="s">
        <v>5081</v>
      </c>
      <c r="H71" s="5" t="s">
        <v>2423</v>
      </c>
      <c r="I71" s="5">
        <v>13.28</v>
      </c>
      <c r="J71" s="6" t="str">
        <f t="shared" si="2"/>
        <v>0</v>
      </c>
      <c r="K71" s="6">
        <f t="shared" si="3"/>
        <v>13.28</v>
      </c>
    </row>
    <row r="72" spans="1:11" x14ac:dyDescent="0.3">
      <c r="A72" s="5" t="s">
        <v>3522</v>
      </c>
      <c r="B72" s="5" t="s">
        <v>106</v>
      </c>
      <c r="C72" s="5" t="s">
        <v>6074</v>
      </c>
      <c r="D72" s="28" t="s">
        <v>2434</v>
      </c>
      <c r="E72" s="5" t="s">
        <v>16</v>
      </c>
      <c r="F72" s="5" t="s">
        <v>5073</v>
      </c>
      <c r="G72" s="5" t="s">
        <v>5071</v>
      </c>
      <c r="H72" s="5" t="s">
        <v>2412</v>
      </c>
      <c r="I72" s="5">
        <v>9.68</v>
      </c>
      <c r="J72" s="6" t="str">
        <f t="shared" si="2"/>
        <v>1</v>
      </c>
      <c r="K72" s="6">
        <f t="shared" si="3"/>
        <v>9.68</v>
      </c>
    </row>
    <row r="73" spans="1:11" x14ac:dyDescent="0.3">
      <c r="A73" s="5" t="s">
        <v>6496</v>
      </c>
      <c r="B73" s="5" t="s">
        <v>106</v>
      </c>
      <c r="C73" s="5" t="s">
        <v>6497</v>
      </c>
      <c r="D73" s="28" t="s">
        <v>2434</v>
      </c>
      <c r="E73" s="5" t="s">
        <v>16</v>
      </c>
      <c r="F73" s="5" t="s">
        <v>5070</v>
      </c>
      <c r="G73" s="5" t="s">
        <v>5070</v>
      </c>
      <c r="H73" s="5" t="s">
        <v>2412</v>
      </c>
      <c r="I73" s="5">
        <v>12.76</v>
      </c>
      <c r="J73" s="6" t="str">
        <f t="shared" si="2"/>
        <v>1</v>
      </c>
      <c r="K73" s="6">
        <f t="shared" si="3"/>
        <v>12.76</v>
      </c>
    </row>
    <row r="74" spans="1:11" x14ac:dyDescent="0.3">
      <c r="A74" s="5" t="s">
        <v>6338</v>
      </c>
      <c r="B74" s="5" t="s">
        <v>106</v>
      </c>
      <c r="C74" s="5" t="s">
        <v>6339</v>
      </c>
      <c r="D74" s="28" t="s">
        <v>2434</v>
      </c>
      <c r="E74" s="5" t="s">
        <v>16</v>
      </c>
      <c r="F74" s="5" t="s">
        <v>5076</v>
      </c>
      <c r="G74" s="5" t="s">
        <v>5076</v>
      </c>
      <c r="H74" s="5" t="s">
        <v>2408</v>
      </c>
      <c r="I74" s="5">
        <v>4.74</v>
      </c>
      <c r="J74" s="6" t="str">
        <f t="shared" si="2"/>
        <v>0</v>
      </c>
      <c r="K74" s="6">
        <f t="shared" si="3"/>
        <v>4.74</v>
      </c>
    </row>
    <row r="75" spans="1:11" x14ac:dyDescent="0.3">
      <c r="A75" s="5" t="s">
        <v>6574</v>
      </c>
      <c r="B75" s="5" t="s">
        <v>106</v>
      </c>
      <c r="C75" s="5" t="s">
        <v>6575</v>
      </c>
      <c r="D75" s="28" t="s">
        <v>2434</v>
      </c>
      <c r="E75" s="5" t="s">
        <v>16</v>
      </c>
      <c r="F75" s="5" t="s">
        <v>5076</v>
      </c>
      <c r="G75" s="5" t="s">
        <v>5073</v>
      </c>
      <c r="H75" s="5" t="s">
        <v>2423</v>
      </c>
      <c r="I75" s="5">
        <v>7.67</v>
      </c>
      <c r="J75" s="6" t="str">
        <f t="shared" si="2"/>
        <v>0</v>
      </c>
      <c r="K75" s="6">
        <f t="shared" si="3"/>
        <v>7.67</v>
      </c>
    </row>
    <row r="76" spans="1:11" x14ac:dyDescent="0.3">
      <c r="A76" s="5" t="s">
        <v>3189</v>
      </c>
      <c r="B76" s="5" t="s">
        <v>106</v>
      </c>
      <c r="C76" s="5" t="s">
        <v>5403</v>
      </c>
      <c r="D76" s="28" t="s">
        <v>2434</v>
      </c>
      <c r="E76" s="5" t="s">
        <v>16</v>
      </c>
      <c r="F76" s="5" t="s">
        <v>5081</v>
      </c>
      <c r="G76" s="5" t="s">
        <v>5081</v>
      </c>
      <c r="H76" s="5" t="s">
        <v>2423</v>
      </c>
      <c r="I76" s="5">
        <v>10.7</v>
      </c>
      <c r="J76" s="6" t="str">
        <f t="shared" si="2"/>
        <v>0</v>
      </c>
      <c r="K76" s="6">
        <f t="shared" si="3"/>
        <v>10.7</v>
      </c>
    </row>
    <row r="77" spans="1:11" x14ac:dyDescent="0.3">
      <c r="A77" s="5" t="s">
        <v>6171</v>
      </c>
      <c r="B77" s="5" t="s">
        <v>106</v>
      </c>
      <c r="C77" s="5" t="s">
        <v>6172</v>
      </c>
      <c r="D77" s="28" t="s">
        <v>2434</v>
      </c>
      <c r="E77" s="5" t="s">
        <v>16</v>
      </c>
      <c r="F77" s="5" t="s">
        <v>5070</v>
      </c>
      <c r="G77" s="5" t="s">
        <v>5071</v>
      </c>
      <c r="H77" s="5" t="s">
        <v>2505</v>
      </c>
      <c r="I77" s="5">
        <v>10.27</v>
      </c>
      <c r="J77" s="6" t="str">
        <f t="shared" si="2"/>
        <v>2+</v>
      </c>
      <c r="K77" s="6">
        <f t="shared" si="3"/>
        <v>10.27</v>
      </c>
    </row>
    <row r="78" spans="1:11" x14ac:dyDescent="0.3">
      <c r="A78" s="5" t="s">
        <v>3199</v>
      </c>
      <c r="B78" s="5" t="s">
        <v>106</v>
      </c>
      <c r="C78" s="5" t="s">
        <v>6318</v>
      </c>
      <c r="D78" s="28" t="s">
        <v>2434</v>
      </c>
      <c r="E78" s="5" t="s">
        <v>16</v>
      </c>
      <c r="F78" s="5" t="s">
        <v>5081</v>
      </c>
      <c r="G78" s="5" t="s">
        <v>5076</v>
      </c>
      <c r="H78" s="5" t="s">
        <v>2477</v>
      </c>
      <c r="I78" s="5">
        <v>8.0500000000000007</v>
      </c>
      <c r="J78" s="6" t="str">
        <f t="shared" si="2"/>
        <v>0</v>
      </c>
      <c r="K78" s="6">
        <f t="shared" si="3"/>
        <v>8.0500000000000007</v>
      </c>
    </row>
    <row r="79" spans="1:11" x14ac:dyDescent="0.3">
      <c r="A79" s="5" t="s">
        <v>4552</v>
      </c>
      <c r="B79" s="5" t="s">
        <v>106</v>
      </c>
      <c r="C79" s="5" t="s">
        <v>5660</v>
      </c>
      <c r="D79" s="28" t="s">
        <v>2434</v>
      </c>
      <c r="E79" s="5" t="s">
        <v>16</v>
      </c>
      <c r="F79" s="5" t="s">
        <v>5076</v>
      </c>
      <c r="G79" s="5" t="s">
        <v>5076</v>
      </c>
      <c r="H79" s="5" t="s">
        <v>2450</v>
      </c>
      <c r="I79" s="5">
        <v>7.85</v>
      </c>
      <c r="J79" s="6" t="str">
        <f t="shared" si="2"/>
        <v>1</v>
      </c>
      <c r="K79" s="6">
        <f t="shared" si="3"/>
        <v>7.85</v>
      </c>
    </row>
    <row r="80" spans="1:11" x14ac:dyDescent="0.3">
      <c r="A80" s="5" t="s">
        <v>2786</v>
      </c>
      <c r="B80" s="5" t="s">
        <v>78</v>
      </c>
      <c r="C80" s="5" t="s">
        <v>5730</v>
      </c>
      <c r="D80" s="28" t="s">
        <v>2469</v>
      </c>
      <c r="E80" s="5" t="s">
        <v>16</v>
      </c>
      <c r="F80" s="5" t="s">
        <v>5070</v>
      </c>
      <c r="G80" s="5" t="s">
        <v>5070</v>
      </c>
      <c r="H80" s="5" t="s">
        <v>2455</v>
      </c>
      <c r="I80" s="5">
        <v>1.42</v>
      </c>
      <c r="J80" s="6" t="str">
        <f t="shared" si="2"/>
        <v>1</v>
      </c>
      <c r="K80" s="6">
        <f t="shared" si="3"/>
        <v>1.42</v>
      </c>
    </row>
    <row r="81" spans="1:11" x14ac:dyDescent="0.3">
      <c r="A81" s="5" t="s">
        <v>3730</v>
      </c>
      <c r="B81" s="5" t="s">
        <v>78</v>
      </c>
      <c r="C81" s="5" t="s">
        <v>6189</v>
      </c>
      <c r="D81" s="28" t="s">
        <v>2469</v>
      </c>
      <c r="E81" s="5" t="s">
        <v>16</v>
      </c>
      <c r="F81" s="5" t="s">
        <v>5076</v>
      </c>
      <c r="G81" s="5" t="s">
        <v>5070</v>
      </c>
      <c r="H81" s="5" t="s">
        <v>2439</v>
      </c>
      <c r="I81" s="5">
        <v>6.04</v>
      </c>
      <c r="J81" s="6" t="str">
        <f t="shared" si="2"/>
        <v>2</v>
      </c>
      <c r="K81" s="6">
        <f t="shared" si="3"/>
        <v>6.04</v>
      </c>
    </row>
    <row r="82" spans="1:11" x14ac:dyDescent="0.3">
      <c r="A82" s="5" t="s">
        <v>5598</v>
      </c>
      <c r="B82" s="5" t="s">
        <v>78</v>
      </c>
      <c r="C82" s="5" t="s">
        <v>5599</v>
      </c>
      <c r="D82" s="28" t="s">
        <v>2469</v>
      </c>
      <c r="E82" s="5" t="s">
        <v>16</v>
      </c>
      <c r="F82" s="5" t="s">
        <v>5081</v>
      </c>
      <c r="G82" s="5" t="s">
        <v>5081</v>
      </c>
      <c r="H82" s="5" t="s">
        <v>2439</v>
      </c>
      <c r="I82" s="5">
        <v>14.49</v>
      </c>
      <c r="J82" s="6" t="str">
        <f t="shared" si="2"/>
        <v>2</v>
      </c>
      <c r="K82" s="6">
        <f t="shared" si="3"/>
        <v>14.49</v>
      </c>
    </row>
    <row r="83" spans="1:11" x14ac:dyDescent="0.3">
      <c r="A83" s="5" t="s">
        <v>6199</v>
      </c>
      <c r="B83" s="5" t="s">
        <v>78</v>
      </c>
      <c r="C83" s="5" t="s">
        <v>6200</v>
      </c>
      <c r="D83" s="28" t="s">
        <v>2469</v>
      </c>
      <c r="E83" s="5" t="s">
        <v>16</v>
      </c>
      <c r="F83" s="5" t="s">
        <v>5076</v>
      </c>
      <c r="G83" s="5" t="s">
        <v>5081</v>
      </c>
      <c r="H83" s="5"/>
      <c r="I83" s="5">
        <v>4.95</v>
      </c>
      <c r="J83" s="6" t="str">
        <f t="shared" si="2"/>
        <v>Unknown</v>
      </c>
      <c r="K83" s="6">
        <f t="shared" si="3"/>
        <v>4.95</v>
      </c>
    </row>
    <row r="84" spans="1:11" x14ac:dyDescent="0.3">
      <c r="A84" s="5" t="s">
        <v>3144</v>
      </c>
      <c r="B84" s="5" t="s">
        <v>78</v>
      </c>
      <c r="C84" s="5" t="s">
        <v>5860</v>
      </c>
      <c r="D84" s="28" t="s">
        <v>2469</v>
      </c>
      <c r="E84" s="5" t="s">
        <v>16</v>
      </c>
      <c r="F84" s="5" t="s">
        <v>5083</v>
      </c>
      <c r="G84" s="5" t="s">
        <v>5076</v>
      </c>
      <c r="H84" s="5" t="s">
        <v>2423</v>
      </c>
      <c r="I84" s="5">
        <v>11.66</v>
      </c>
      <c r="J84" s="6" t="str">
        <f t="shared" si="2"/>
        <v>0</v>
      </c>
      <c r="K84" s="6">
        <f t="shared" si="3"/>
        <v>11.66</v>
      </c>
    </row>
    <row r="85" spans="1:11" x14ac:dyDescent="0.3">
      <c r="A85" s="5" t="s">
        <v>2743</v>
      </c>
      <c r="B85" s="5" t="s">
        <v>78</v>
      </c>
      <c r="C85" s="5" t="s">
        <v>5180</v>
      </c>
      <c r="D85" s="28" t="s">
        <v>2469</v>
      </c>
      <c r="E85" s="5" t="s">
        <v>16</v>
      </c>
      <c r="F85" s="5" t="s">
        <v>5073</v>
      </c>
      <c r="G85" s="5" t="s">
        <v>5081</v>
      </c>
      <c r="H85" s="5" t="s">
        <v>2418</v>
      </c>
      <c r="I85" s="5">
        <v>2.68</v>
      </c>
      <c r="J85" s="6" t="str">
        <f t="shared" si="2"/>
        <v>1</v>
      </c>
      <c r="K85" s="6">
        <f t="shared" si="3"/>
        <v>2.68</v>
      </c>
    </row>
    <row r="86" spans="1:11" x14ac:dyDescent="0.3">
      <c r="A86" s="5" t="s">
        <v>6071</v>
      </c>
      <c r="B86" s="5" t="s">
        <v>78</v>
      </c>
      <c r="C86" s="5" t="s">
        <v>6072</v>
      </c>
      <c r="D86" s="28" t="s">
        <v>2469</v>
      </c>
      <c r="E86" s="5" t="s">
        <v>16</v>
      </c>
      <c r="F86" s="5" t="s">
        <v>5071</v>
      </c>
      <c r="G86" s="5" t="s">
        <v>5071</v>
      </c>
      <c r="H86" s="5" t="s">
        <v>2993</v>
      </c>
      <c r="I86" s="5">
        <v>16.670000000000002</v>
      </c>
      <c r="J86" s="6" t="str">
        <f t="shared" si="2"/>
        <v>2+</v>
      </c>
      <c r="K86" s="6">
        <f t="shared" si="3"/>
        <v>16.670000000000002</v>
      </c>
    </row>
    <row r="87" spans="1:11" x14ac:dyDescent="0.3">
      <c r="A87" s="5" t="s">
        <v>6063</v>
      </c>
      <c r="B87" s="5" t="s">
        <v>78</v>
      </c>
      <c r="C87" s="5" t="s">
        <v>6064</v>
      </c>
      <c r="D87" s="28" t="s">
        <v>2469</v>
      </c>
      <c r="E87" s="5" t="s">
        <v>16</v>
      </c>
      <c r="F87" s="5" t="s">
        <v>5071</v>
      </c>
      <c r="G87" s="5" t="s">
        <v>5071</v>
      </c>
      <c r="H87" s="5" t="s">
        <v>2486</v>
      </c>
      <c r="I87" s="5">
        <v>5.23</v>
      </c>
      <c r="J87" s="6" t="str">
        <f t="shared" si="2"/>
        <v>2+</v>
      </c>
      <c r="K87" s="6">
        <f t="shared" si="3"/>
        <v>5.23</v>
      </c>
    </row>
    <row r="88" spans="1:11" x14ac:dyDescent="0.3">
      <c r="A88" s="5" t="s">
        <v>3721</v>
      </c>
      <c r="B88" s="5" t="s">
        <v>45</v>
      </c>
      <c r="C88" s="5" t="s">
        <v>6201</v>
      </c>
      <c r="D88" s="28" t="s">
        <v>2469</v>
      </c>
      <c r="E88" s="5" t="s">
        <v>16</v>
      </c>
      <c r="F88" s="5" t="s">
        <v>5073</v>
      </c>
      <c r="G88" s="5" t="s">
        <v>5083</v>
      </c>
      <c r="H88" s="5" t="s">
        <v>2418</v>
      </c>
      <c r="I88" s="5">
        <v>9.61</v>
      </c>
      <c r="J88" s="6" t="str">
        <f t="shared" si="2"/>
        <v>1</v>
      </c>
      <c r="K88" s="6">
        <f t="shared" si="3"/>
        <v>9.61</v>
      </c>
    </row>
    <row r="89" spans="1:11" x14ac:dyDescent="0.3">
      <c r="A89" s="5" t="s">
        <v>5131</v>
      </c>
      <c r="B89" s="5" t="s">
        <v>45</v>
      </c>
      <c r="C89" s="5" t="s">
        <v>5132</v>
      </c>
      <c r="D89" s="28" t="s">
        <v>2469</v>
      </c>
      <c r="E89" s="5" t="s">
        <v>16</v>
      </c>
      <c r="F89" s="5" t="s">
        <v>5071</v>
      </c>
      <c r="G89" s="5" t="s">
        <v>5081</v>
      </c>
      <c r="H89" s="5" t="s">
        <v>2477</v>
      </c>
      <c r="I89" s="5">
        <v>4.9000000000000004</v>
      </c>
      <c r="J89" s="6" t="str">
        <f t="shared" si="2"/>
        <v>0</v>
      </c>
      <c r="K89" s="6">
        <f t="shared" si="3"/>
        <v>4.9000000000000004</v>
      </c>
    </row>
    <row r="90" spans="1:11" x14ac:dyDescent="0.3">
      <c r="A90" s="5" t="s">
        <v>3131</v>
      </c>
      <c r="B90" s="5" t="s">
        <v>45</v>
      </c>
      <c r="C90" s="5" t="s">
        <v>6021</v>
      </c>
      <c r="D90" s="28" t="s">
        <v>2469</v>
      </c>
      <c r="E90" s="5" t="s">
        <v>16</v>
      </c>
      <c r="F90" s="5" t="s">
        <v>5081</v>
      </c>
      <c r="G90" s="5" t="s">
        <v>5076</v>
      </c>
      <c r="H90" s="5" t="s">
        <v>2435</v>
      </c>
      <c r="I90" s="5">
        <v>4.42</v>
      </c>
      <c r="J90" s="6" t="str">
        <f t="shared" si="2"/>
        <v>0</v>
      </c>
      <c r="K90" s="6">
        <f t="shared" si="3"/>
        <v>4.42</v>
      </c>
    </row>
    <row r="91" spans="1:11" x14ac:dyDescent="0.3">
      <c r="A91" s="5" t="s">
        <v>2985</v>
      </c>
      <c r="B91" s="5" t="s">
        <v>45</v>
      </c>
      <c r="C91" s="5" t="s">
        <v>5953</v>
      </c>
      <c r="D91" s="28" t="s">
        <v>2469</v>
      </c>
      <c r="E91" s="5" t="s">
        <v>16</v>
      </c>
      <c r="F91" s="5" t="s">
        <v>5081</v>
      </c>
      <c r="G91" s="5" t="s">
        <v>5073</v>
      </c>
      <c r="H91" s="5" t="s">
        <v>2423</v>
      </c>
      <c r="I91" s="5">
        <v>7.82</v>
      </c>
      <c r="J91" s="6" t="str">
        <f t="shared" si="2"/>
        <v>0</v>
      </c>
      <c r="K91" s="6">
        <f t="shared" si="3"/>
        <v>7.82</v>
      </c>
    </row>
    <row r="92" spans="1:11" x14ac:dyDescent="0.3">
      <c r="A92" s="5" t="s">
        <v>4643</v>
      </c>
      <c r="B92" s="5" t="s">
        <v>45</v>
      </c>
      <c r="C92" s="5" t="s">
        <v>6020</v>
      </c>
      <c r="D92" s="28" t="s">
        <v>2469</v>
      </c>
      <c r="E92" s="5" t="s">
        <v>16</v>
      </c>
      <c r="F92" s="5" t="s">
        <v>5070</v>
      </c>
      <c r="G92" s="5" t="s">
        <v>5073</v>
      </c>
      <c r="H92" s="5" t="s">
        <v>2435</v>
      </c>
      <c r="I92" s="5">
        <v>4.91</v>
      </c>
      <c r="J92" s="6" t="str">
        <f t="shared" si="2"/>
        <v>0</v>
      </c>
      <c r="K92" s="6">
        <f t="shared" si="3"/>
        <v>4.91</v>
      </c>
    </row>
    <row r="93" spans="1:11" x14ac:dyDescent="0.3">
      <c r="A93" s="5" t="s">
        <v>5224</v>
      </c>
      <c r="B93" s="5" t="s">
        <v>45</v>
      </c>
      <c r="C93" s="5" t="s">
        <v>5225</v>
      </c>
      <c r="D93" s="28" t="s">
        <v>2469</v>
      </c>
      <c r="E93" s="5" t="s">
        <v>16</v>
      </c>
      <c r="F93" s="5" t="s">
        <v>5071</v>
      </c>
      <c r="G93" s="5" t="s">
        <v>5081</v>
      </c>
      <c r="H93" s="5" t="s">
        <v>2412</v>
      </c>
      <c r="I93" s="5">
        <v>19.309999999999999</v>
      </c>
      <c r="J93" s="6" t="str">
        <f t="shared" si="2"/>
        <v>1</v>
      </c>
      <c r="K93" s="6">
        <f t="shared" si="3"/>
        <v>19.309999999999999</v>
      </c>
    </row>
    <row r="94" spans="1:11" x14ac:dyDescent="0.3">
      <c r="A94" s="5" t="s">
        <v>5852</v>
      </c>
      <c r="B94" s="5" t="s">
        <v>45</v>
      </c>
      <c r="C94" s="5" t="s">
        <v>5771</v>
      </c>
      <c r="D94" s="28" t="s">
        <v>2469</v>
      </c>
      <c r="E94" s="5" t="s">
        <v>16</v>
      </c>
      <c r="F94" s="5" t="s">
        <v>5070</v>
      </c>
      <c r="G94" s="5" t="s">
        <v>5071</v>
      </c>
      <c r="H94" s="5" t="s">
        <v>2455</v>
      </c>
      <c r="I94" s="5">
        <v>5.55</v>
      </c>
      <c r="J94" s="6" t="str">
        <f t="shared" si="2"/>
        <v>1</v>
      </c>
      <c r="K94" s="6">
        <f t="shared" si="3"/>
        <v>5.55</v>
      </c>
    </row>
    <row r="95" spans="1:11" x14ac:dyDescent="0.3">
      <c r="A95" s="5" t="s">
        <v>6075</v>
      </c>
      <c r="B95" s="5" t="s">
        <v>45</v>
      </c>
      <c r="C95" s="5" t="s">
        <v>6076</v>
      </c>
      <c r="D95" s="28" t="s">
        <v>2469</v>
      </c>
      <c r="E95" s="5" t="s">
        <v>16</v>
      </c>
      <c r="F95" s="5" t="s">
        <v>5071</v>
      </c>
      <c r="G95" s="5" t="s">
        <v>5083</v>
      </c>
      <c r="H95" s="5" t="s">
        <v>2455</v>
      </c>
      <c r="I95" s="5"/>
      <c r="J95" s="6" t="str">
        <f t="shared" si="2"/>
        <v>1</v>
      </c>
      <c r="K95" s="6">
        <f t="shared" si="3"/>
        <v>10.199999999999999</v>
      </c>
    </row>
    <row r="96" spans="1:11" x14ac:dyDescent="0.3">
      <c r="A96" s="5" t="s">
        <v>6232</v>
      </c>
      <c r="B96" s="5" t="s">
        <v>45</v>
      </c>
      <c r="C96" s="5" t="s">
        <v>5230</v>
      </c>
      <c r="D96" s="28" t="s">
        <v>2469</v>
      </c>
      <c r="E96" s="5" t="s">
        <v>16</v>
      </c>
      <c r="F96" s="5" t="s">
        <v>5073</v>
      </c>
      <c r="G96" s="5" t="s">
        <v>5076</v>
      </c>
      <c r="H96" s="5" t="s">
        <v>2450</v>
      </c>
      <c r="I96" s="5">
        <v>3.56</v>
      </c>
      <c r="J96" s="6" t="str">
        <f t="shared" si="2"/>
        <v>1</v>
      </c>
      <c r="K96" s="6">
        <f t="shared" si="3"/>
        <v>3.56</v>
      </c>
    </row>
    <row r="97" spans="1:11" x14ac:dyDescent="0.3">
      <c r="A97" s="5" t="s">
        <v>5478</v>
      </c>
      <c r="B97" s="5" t="s">
        <v>45</v>
      </c>
      <c r="C97" s="5" t="s">
        <v>5479</v>
      </c>
      <c r="D97" s="28" t="s">
        <v>2469</v>
      </c>
      <c r="E97" s="5" t="s">
        <v>16</v>
      </c>
      <c r="F97" s="5" t="s">
        <v>5073</v>
      </c>
      <c r="G97" s="5" t="s">
        <v>5070</v>
      </c>
      <c r="H97" s="5" t="s">
        <v>2435</v>
      </c>
      <c r="I97" s="5">
        <v>8.99</v>
      </c>
      <c r="J97" s="6" t="str">
        <f t="shared" si="2"/>
        <v>0</v>
      </c>
      <c r="K97" s="6">
        <f t="shared" si="3"/>
        <v>8.99</v>
      </c>
    </row>
    <row r="98" spans="1:11" x14ac:dyDescent="0.3">
      <c r="A98" s="5" t="s">
        <v>2917</v>
      </c>
      <c r="B98" s="5" t="s">
        <v>14</v>
      </c>
      <c r="C98" s="5" t="s">
        <v>5309</v>
      </c>
      <c r="D98" s="28" t="s">
        <v>2469</v>
      </c>
      <c r="E98" s="5" t="s">
        <v>16</v>
      </c>
      <c r="F98" s="5" t="s">
        <v>5083</v>
      </c>
      <c r="G98" s="5" t="s">
        <v>5070</v>
      </c>
      <c r="H98" s="5" t="s">
        <v>2423</v>
      </c>
      <c r="I98" s="5">
        <v>2.5499999999999998</v>
      </c>
      <c r="J98" s="6" t="str">
        <f t="shared" si="2"/>
        <v>0</v>
      </c>
      <c r="K98" s="6">
        <f t="shared" si="3"/>
        <v>2.5499999999999998</v>
      </c>
    </row>
    <row r="99" spans="1:11" x14ac:dyDescent="0.3">
      <c r="A99" s="5" t="s">
        <v>3875</v>
      </c>
      <c r="B99" s="5" t="s">
        <v>14</v>
      </c>
      <c r="C99" s="5" t="s">
        <v>6364</v>
      </c>
      <c r="D99" s="28" t="s">
        <v>2469</v>
      </c>
      <c r="E99" s="5" t="s">
        <v>16</v>
      </c>
      <c r="F99" s="5" t="s">
        <v>5071</v>
      </c>
      <c r="G99" s="5" t="s">
        <v>5070</v>
      </c>
      <c r="H99" s="5" t="s">
        <v>2435</v>
      </c>
      <c r="I99" s="5">
        <v>12.33</v>
      </c>
      <c r="J99" s="6" t="str">
        <f t="shared" si="2"/>
        <v>0</v>
      </c>
      <c r="K99" s="6">
        <f t="shared" si="3"/>
        <v>12.33</v>
      </c>
    </row>
    <row r="100" spans="1:11" x14ac:dyDescent="0.3">
      <c r="A100" s="5" t="s">
        <v>4114</v>
      </c>
      <c r="B100" s="5" t="s">
        <v>14</v>
      </c>
      <c r="C100" s="5" t="s">
        <v>6494</v>
      </c>
      <c r="D100" s="28" t="s">
        <v>2469</v>
      </c>
      <c r="E100" s="5" t="s">
        <v>16</v>
      </c>
      <c r="F100" s="5" t="s">
        <v>5070</v>
      </c>
      <c r="G100" s="5" t="s">
        <v>5070</v>
      </c>
      <c r="H100" s="5" t="s">
        <v>2435</v>
      </c>
      <c r="I100" s="5">
        <v>4.8600000000000003</v>
      </c>
      <c r="J100" s="6" t="str">
        <f t="shared" si="2"/>
        <v>0</v>
      </c>
      <c r="K100" s="6">
        <f t="shared" si="3"/>
        <v>4.8600000000000003</v>
      </c>
    </row>
    <row r="101" spans="1:11" x14ac:dyDescent="0.3">
      <c r="A101" s="5" t="s">
        <v>4158</v>
      </c>
      <c r="B101" s="5" t="s">
        <v>14</v>
      </c>
      <c r="C101" s="5" t="s">
        <v>5370</v>
      </c>
      <c r="D101" s="28" t="s">
        <v>2469</v>
      </c>
      <c r="E101" s="5" t="s">
        <v>16</v>
      </c>
      <c r="F101" s="5" t="s">
        <v>5076</v>
      </c>
      <c r="G101" s="5" t="s">
        <v>5071</v>
      </c>
      <c r="H101" s="5" t="s">
        <v>2412</v>
      </c>
      <c r="I101" s="5">
        <v>8.0500000000000007</v>
      </c>
      <c r="J101" s="6" t="str">
        <f t="shared" si="2"/>
        <v>1</v>
      </c>
      <c r="K101" s="6">
        <f t="shared" si="3"/>
        <v>8.0500000000000007</v>
      </c>
    </row>
    <row r="102" spans="1:11" x14ac:dyDescent="0.3">
      <c r="A102" s="5" t="s">
        <v>4395</v>
      </c>
      <c r="B102" s="5" t="s">
        <v>14</v>
      </c>
      <c r="C102" s="5" t="s">
        <v>5766</v>
      </c>
      <c r="D102" s="28" t="s">
        <v>2469</v>
      </c>
      <c r="E102" s="5" t="s">
        <v>16</v>
      </c>
      <c r="F102" s="5" t="s">
        <v>5070</v>
      </c>
      <c r="G102" s="5" t="s">
        <v>5070</v>
      </c>
      <c r="H102" s="5" t="s">
        <v>2423</v>
      </c>
      <c r="I102" s="5">
        <v>9.0399999999999991</v>
      </c>
      <c r="J102" s="6" t="str">
        <f t="shared" si="2"/>
        <v>0</v>
      </c>
      <c r="K102" s="6">
        <f t="shared" si="3"/>
        <v>9.0399999999999991</v>
      </c>
    </row>
    <row r="103" spans="1:11" x14ac:dyDescent="0.3">
      <c r="A103" s="5" t="s">
        <v>2851</v>
      </c>
      <c r="B103" s="5" t="s">
        <v>14</v>
      </c>
      <c r="C103" s="5" t="s">
        <v>5111</v>
      </c>
      <c r="D103" s="28" t="s">
        <v>2469</v>
      </c>
      <c r="E103" s="5" t="s">
        <v>16</v>
      </c>
      <c r="F103" s="5" t="s">
        <v>5083</v>
      </c>
      <c r="G103" s="5" t="s">
        <v>5070</v>
      </c>
      <c r="H103" s="5" t="s">
        <v>2423</v>
      </c>
      <c r="I103" s="5">
        <v>5.87</v>
      </c>
      <c r="J103" s="6" t="str">
        <f t="shared" si="2"/>
        <v>0</v>
      </c>
      <c r="K103" s="6">
        <f t="shared" si="3"/>
        <v>5.87</v>
      </c>
    </row>
    <row r="104" spans="1:11" x14ac:dyDescent="0.3">
      <c r="A104" s="5" t="s">
        <v>5462</v>
      </c>
      <c r="B104" s="5" t="s">
        <v>14</v>
      </c>
      <c r="C104" s="5" t="s">
        <v>5463</v>
      </c>
      <c r="D104" s="28" t="s">
        <v>2469</v>
      </c>
      <c r="E104" s="5" t="s">
        <v>16</v>
      </c>
      <c r="F104" s="5" t="s">
        <v>5076</v>
      </c>
      <c r="G104" s="5" t="s">
        <v>5083</v>
      </c>
      <c r="H104" s="5" t="s">
        <v>2477</v>
      </c>
      <c r="I104" s="5">
        <v>13.87</v>
      </c>
      <c r="J104" s="6" t="str">
        <f t="shared" si="2"/>
        <v>0</v>
      </c>
      <c r="K104" s="6">
        <f t="shared" si="3"/>
        <v>13.87</v>
      </c>
    </row>
    <row r="105" spans="1:11" x14ac:dyDescent="0.3">
      <c r="A105" s="5" t="s">
        <v>2856</v>
      </c>
      <c r="B105" s="5" t="s">
        <v>14</v>
      </c>
      <c r="C105" s="5" t="s">
        <v>5569</v>
      </c>
      <c r="D105" s="28" t="s">
        <v>2469</v>
      </c>
      <c r="E105" s="5" t="s">
        <v>16</v>
      </c>
      <c r="F105" s="5" t="s">
        <v>5083</v>
      </c>
      <c r="G105" s="5" t="s">
        <v>5070</v>
      </c>
      <c r="H105" s="5" t="s">
        <v>2408</v>
      </c>
      <c r="I105" s="5">
        <v>17.41</v>
      </c>
      <c r="J105" s="6" t="str">
        <f t="shared" si="2"/>
        <v>0</v>
      </c>
      <c r="K105" s="6">
        <f t="shared" si="3"/>
        <v>17.41</v>
      </c>
    </row>
    <row r="106" spans="1:11" x14ac:dyDescent="0.3">
      <c r="A106" s="5" t="s">
        <v>5454</v>
      </c>
      <c r="B106" s="5" t="s">
        <v>14</v>
      </c>
      <c r="C106" s="5" t="s">
        <v>5455</v>
      </c>
      <c r="D106" s="28" t="s">
        <v>2469</v>
      </c>
      <c r="E106" s="5" t="s">
        <v>16</v>
      </c>
      <c r="F106" s="5" t="s">
        <v>5076</v>
      </c>
      <c r="G106" s="5" t="s">
        <v>5073</v>
      </c>
      <c r="H106" s="5"/>
      <c r="I106" s="5">
        <v>12.24</v>
      </c>
      <c r="J106" s="6" t="str">
        <f t="shared" si="2"/>
        <v>Unknown</v>
      </c>
      <c r="K106" s="6">
        <f t="shared" si="3"/>
        <v>12.24</v>
      </c>
    </row>
    <row r="107" spans="1:11" x14ac:dyDescent="0.3">
      <c r="A107" s="5" t="s">
        <v>4454</v>
      </c>
      <c r="B107" s="5" t="s">
        <v>14</v>
      </c>
      <c r="C107" s="5" t="s">
        <v>6337</v>
      </c>
      <c r="D107" s="28" t="s">
        <v>2469</v>
      </c>
      <c r="E107" s="5" t="s">
        <v>16</v>
      </c>
      <c r="F107" s="5" t="s">
        <v>5071</v>
      </c>
      <c r="G107" s="5" t="s">
        <v>5073</v>
      </c>
      <c r="H107" s="5" t="s">
        <v>2435</v>
      </c>
      <c r="I107" s="5">
        <v>5.98</v>
      </c>
      <c r="J107" s="6" t="str">
        <f t="shared" si="2"/>
        <v>0</v>
      </c>
      <c r="K107" s="6">
        <f t="shared" si="3"/>
        <v>5.98</v>
      </c>
    </row>
    <row r="108" spans="1:11" x14ac:dyDescent="0.3">
      <c r="A108" s="5" t="s">
        <v>3839</v>
      </c>
      <c r="B108" s="5" t="s">
        <v>117</v>
      </c>
      <c r="C108" s="5" t="s">
        <v>5336</v>
      </c>
      <c r="D108" s="28" t="s">
        <v>2469</v>
      </c>
      <c r="E108" s="5" t="s">
        <v>16</v>
      </c>
      <c r="F108" s="5" t="s">
        <v>5076</v>
      </c>
      <c r="G108" s="5" t="s">
        <v>5070</v>
      </c>
      <c r="H108" s="5" t="s">
        <v>2435</v>
      </c>
      <c r="I108" s="5">
        <v>18.59</v>
      </c>
      <c r="J108" s="6" t="str">
        <f t="shared" si="2"/>
        <v>0</v>
      </c>
      <c r="K108" s="6">
        <f t="shared" si="3"/>
        <v>18.59</v>
      </c>
    </row>
    <row r="109" spans="1:11" x14ac:dyDescent="0.3">
      <c r="A109" s="5" t="s">
        <v>6185</v>
      </c>
      <c r="B109" s="5" t="s">
        <v>117</v>
      </c>
      <c r="C109" s="5" t="s">
        <v>6186</v>
      </c>
      <c r="D109" s="28" t="s">
        <v>2469</v>
      </c>
      <c r="E109" s="5" t="s">
        <v>16</v>
      </c>
      <c r="F109" s="5" t="s">
        <v>5076</v>
      </c>
      <c r="G109" s="5" t="s">
        <v>5070</v>
      </c>
      <c r="H109" s="5"/>
      <c r="I109" s="5">
        <v>3.09</v>
      </c>
      <c r="J109" s="6" t="str">
        <f t="shared" si="2"/>
        <v>Unknown</v>
      </c>
      <c r="K109" s="6">
        <f t="shared" si="3"/>
        <v>3.09</v>
      </c>
    </row>
    <row r="110" spans="1:11" x14ac:dyDescent="0.3">
      <c r="A110" s="5" t="s">
        <v>2769</v>
      </c>
      <c r="B110" s="5" t="s">
        <v>117</v>
      </c>
      <c r="C110" s="5" t="s">
        <v>5960</v>
      </c>
      <c r="D110" s="28" t="s">
        <v>2469</v>
      </c>
      <c r="E110" s="5" t="s">
        <v>16</v>
      </c>
      <c r="F110" s="5" t="s">
        <v>5073</v>
      </c>
      <c r="G110" s="5" t="s">
        <v>5083</v>
      </c>
      <c r="H110" s="5" t="s">
        <v>2408</v>
      </c>
      <c r="I110" s="5">
        <v>18.440000000000001</v>
      </c>
      <c r="J110" s="6" t="str">
        <f t="shared" si="2"/>
        <v>0</v>
      </c>
      <c r="K110" s="6">
        <f t="shared" si="3"/>
        <v>18.440000000000001</v>
      </c>
    </row>
    <row r="111" spans="1:11" x14ac:dyDescent="0.3">
      <c r="A111" s="5" t="s">
        <v>5359</v>
      </c>
      <c r="B111" s="5" t="s">
        <v>25</v>
      </c>
      <c r="C111" s="5" t="s">
        <v>5360</v>
      </c>
      <c r="D111" s="28" t="s">
        <v>2469</v>
      </c>
      <c r="E111" s="5" t="s">
        <v>16</v>
      </c>
      <c r="F111" s="5" t="s">
        <v>5071</v>
      </c>
      <c r="G111" s="5" t="s">
        <v>5076</v>
      </c>
      <c r="H111" s="5" t="s">
        <v>2435</v>
      </c>
      <c r="I111" s="5">
        <v>17.100000000000001</v>
      </c>
      <c r="J111" s="6" t="str">
        <f t="shared" si="2"/>
        <v>0</v>
      </c>
      <c r="K111" s="6">
        <f t="shared" si="3"/>
        <v>17.100000000000001</v>
      </c>
    </row>
    <row r="112" spans="1:11" x14ac:dyDescent="0.3">
      <c r="A112" s="5" t="s">
        <v>3756</v>
      </c>
      <c r="B112" s="5" t="s">
        <v>106</v>
      </c>
      <c r="C112" s="5" t="s">
        <v>6115</v>
      </c>
      <c r="D112" s="28" t="s">
        <v>2469</v>
      </c>
      <c r="E112" s="5" t="s">
        <v>16</v>
      </c>
      <c r="F112" s="5" t="s">
        <v>5076</v>
      </c>
      <c r="G112" s="5" t="s">
        <v>5071</v>
      </c>
      <c r="H112" s="5" t="s">
        <v>2477</v>
      </c>
      <c r="I112" s="5">
        <v>9.39</v>
      </c>
      <c r="J112" s="6" t="str">
        <f t="shared" si="2"/>
        <v>0</v>
      </c>
      <c r="K112" s="6">
        <f t="shared" si="3"/>
        <v>9.39</v>
      </c>
    </row>
    <row r="113" spans="1:11" x14ac:dyDescent="0.3">
      <c r="A113" s="5" t="s">
        <v>2782</v>
      </c>
      <c r="B113" s="5" t="s">
        <v>106</v>
      </c>
      <c r="C113" s="5" t="s">
        <v>5260</v>
      </c>
      <c r="D113" s="28" t="s">
        <v>2469</v>
      </c>
      <c r="E113" s="5" t="s">
        <v>16</v>
      </c>
      <c r="F113" s="5" t="s">
        <v>5076</v>
      </c>
      <c r="G113" s="5" t="s">
        <v>5081</v>
      </c>
      <c r="H113" s="5" t="s">
        <v>2423</v>
      </c>
      <c r="I113" s="5">
        <v>11.82</v>
      </c>
      <c r="J113" s="6" t="str">
        <f t="shared" si="2"/>
        <v>0</v>
      </c>
      <c r="K113" s="6">
        <f t="shared" si="3"/>
        <v>11.82</v>
      </c>
    </row>
    <row r="114" spans="1:11" x14ac:dyDescent="0.3">
      <c r="A114" s="5" t="s">
        <v>5963</v>
      </c>
      <c r="B114" s="5" t="s">
        <v>106</v>
      </c>
      <c r="C114" s="5" t="s">
        <v>5964</v>
      </c>
      <c r="D114" s="28" t="s">
        <v>2469</v>
      </c>
      <c r="E114" s="5" t="s">
        <v>16</v>
      </c>
      <c r="F114" s="5" t="s">
        <v>5073</v>
      </c>
      <c r="G114" s="5" t="s">
        <v>5073</v>
      </c>
      <c r="H114" s="5" t="s">
        <v>2477</v>
      </c>
      <c r="I114" s="5">
        <v>17.8</v>
      </c>
      <c r="J114" s="6" t="str">
        <f t="shared" si="2"/>
        <v>0</v>
      </c>
      <c r="K114" s="6">
        <f t="shared" si="3"/>
        <v>17.8</v>
      </c>
    </row>
    <row r="115" spans="1:11" x14ac:dyDescent="0.3">
      <c r="A115" s="5" t="s">
        <v>4330</v>
      </c>
      <c r="B115" s="5" t="s">
        <v>106</v>
      </c>
      <c r="C115" s="5" t="s">
        <v>6390</v>
      </c>
      <c r="D115" s="28" t="s">
        <v>2469</v>
      </c>
      <c r="E115" s="5" t="s">
        <v>16</v>
      </c>
      <c r="F115" s="5" t="s">
        <v>5081</v>
      </c>
      <c r="G115" s="5" t="s">
        <v>5081</v>
      </c>
      <c r="H115" s="5" t="s">
        <v>2435</v>
      </c>
      <c r="I115" s="5">
        <v>17.14</v>
      </c>
      <c r="J115" s="6" t="str">
        <f t="shared" si="2"/>
        <v>0</v>
      </c>
      <c r="K115" s="6">
        <f t="shared" si="3"/>
        <v>17.14</v>
      </c>
    </row>
    <row r="116" spans="1:11" x14ac:dyDescent="0.3">
      <c r="A116" s="5" t="s">
        <v>5717</v>
      </c>
      <c r="B116" s="5" t="s">
        <v>106</v>
      </c>
      <c r="C116" s="5" t="s">
        <v>5718</v>
      </c>
      <c r="D116" s="28" t="s">
        <v>2469</v>
      </c>
      <c r="E116" s="5" t="s">
        <v>16</v>
      </c>
      <c r="F116" s="5" t="s">
        <v>5083</v>
      </c>
      <c r="G116" s="5" t="s">
        <v>5073</v>
      </c>
      <c r="H116" s="5" t="s">
        <v>2418</v>
      </c>
      <c r="I116" s="5">
        <v>15.72</v>
      </c>
      <c r="J116" s="6" t="str">
        <f t="shared" si="2"/>
        <v>1</v>
      </c>
      <c r="K116" s="6">
        <f t="shared" si="3"/>
        <v>15.72</v>
      </c>
    </row>
    <row r="117" spans="1:11" x14ac:dyDescent="0.3">
      <c r="A117" s="5" t="s">
        <v>2468</v>
      </c>
      <c r="B117" s="5" t="s">
        <v>106</v>
      </c>
      <c r="C117" s="5" t="s">
        <v>5185</v>
      </c>
      <c r="D117" s="28" t="s">
        <v>2469</v>
      </c>
      <c r="E117" s="5" t="s">
        <v>16</v>
      </c>
      <c r="F117" s="5" t="s">
        <v>5071</v>
      </c>
      <c r="G117" s="5" t="s">
        <v>5071</v>
      </c>
      <c r="H117" s="5" t="s">
        <v>2418</v>
      </c>
      <c r="I117" s="5">
        <v>5.79</v>
      </c>
      <c r="J117" s="6" t="str">
        <f t="shared" si="2"/>
        <v>1</v>
      </c>
      <c r="K117" s="6">
        <f t="shared" si="3"/>
        <v>5.79</v>
      </c>
    </row>
    <row r="118" spans="1:11" x14ac:dyDescent="0.3">
      <c r="A118" s="5" t="s">
        <v>4829</v>
      </c>
      <c r="B118" s="5" t="s">
        <v>106</v>
      </c>
      <c r="C118" s="5" t="s">
        <v>5193</v>
      </c>
      <c r="D118" s="28" t="s">
        <v>2469</v>
      </c>
      <c r="E118" s="5" t="s">
        <v>16</v>
      </c>
      <c r="F118" s="5" t="s">
        <v>5081</v>
      </c>
      <c r="G118" s="5" t="s">
        <v>5073</v>
      </c>
      <c r="H118" s="5"/>
      <c r="I118" s="5">
        <v>10.050000000000001</v>
      </c>
      <c r="J118" s="6" t="str">
        <f t="shared" si="2"/>
        <v>Unknown</v>
      </c>
      <c r="K118" s="6">
        <f t="shared" si="3"/>
        <v>10.050000000000001</v>
      </c>
    </row>
    <row r="119" spans="1:11" x14ac:dyDescent="0.3">
      <c r="A119" s="5" t="s">
        <v>5645</v>
      </c>
      <c r="B119" s="5" t="s">
        <v>78</v>
      </c>
      <c r="C119" s="5" t="s">
        <v>5646</v>
      </c>
      <c r="D119" s="28" t="s">
        <v>2536</v>
      </c>
      <c r="E119" s="5" t="s">
        <v>36</v>
      </c>
      <c r="F119" s="5" t="s">
        <v>5076</v>
      </c>
      <c r="G119" s="5" t="s">
        <v>5073</v>
      </c>
      <c r="H119" s="5" t="s">
        <v>2423</v>
      </c>
      <c r="I119" s="5">
        <v>7.71</v>
      </c>
      <c r="J119" s="6" t="str">
        <f t="shared" si="2"/>
        <v>0</v>
      </c>
      <c r="K119" s="6">
        <f t="shared" si="3"/>
        <v>7.71</v>
      </c>
    </row>
    <row r="120" spans="1:11" x14ac:dyDescent="0.3">
      <c r="A120" s="5" t="s">
        <v>3907</v>
      </c>
      <c r="B120" s="5" t="s">
        <v>78</v>
      </c>
      <c r="C120" s="5" t="s">
        <v>5993</v>
      </c>
      <c r="D120" s="28" t="s">
        <v>2536</v>
      </c>
      <c r="E120" s="5" t="s">
        <v>36</v>
      </c>
      <c r="F120" s="5" t="s">
        <v>5073</v>
      </c>
      <c r="G120" s="5" t="s">
        <v>5081</v>
      </c>
      <c r="H120" s="5" t="s">
        <v>2418</v>
      </c>
      <c r="I120" s="5"/>
      <c r="J120" s="6" t="str">
        <f t="shared" si="2"/>
        <v>1</v>
      </c>
      <c r="K120" s="6">
        <f t="shared" si="3"/>
        <v>9.6999999999999993</v>
      </c>
    </row>
    <row r="121" spans="1:11" x14ac:dyDescent="0.3">
      <c r="A121" s="5" t="s">
        <v>3377</v>
      </c>
      <c r="B121" s="5" t="s">
        <v>78</v>
      </c>
      <c r="C121" s="5" t="s">
        <v>5642</v>
      </c>
      <c r="D121" s="28" t="s">
        <v>2536</v>
      </c>
      <c r="E121" s="5" t="s">
        <v>36</v>
      </c>
      <c r="F121" s="5" t="s">
        <v>5076</v>
      </c>
      <c r="G121" s="5" t="s">
        <v>5073</v>
      </c>
      <c r="H121" s="5" t="s">
        <v>2435</v>
      </c>
      <c r="I121" s="5"/>
      <c r="J121" s="6" t="str">
        <f t="shared" si="2"/>
        <v>0</v>
      </c>
      <c r="K121" s="6">
        <f t="shared" si="3"/>
        <v>9.6999999999999993</v>
      </c>
    </row>
    <row r="122" spans="1:11" x14ac:dyDescent="0.3">
      <c r="A122" s="5" t="s">
        <v>5652</v>
      </c>
      <c r="B122" s="5" t="s">
        <v>78</v>
      </c>
      <c r="C122" s="5" t="s">
        <v>5653</v>
      </c>
      <c r="D122" s="28" t="s">
        <v>2536</v>
      </c>
      <c r="E122" s="5" t="s">
        <v>36</v>
      </c>
      <c r="F122" s="5" t="s">
        <v>5070</v>
      </c>
      <c r="G122" s="5" t="s">
        <v>5083</v>
      </c>
      <c r="H122" s="5" t="s">
        <v>2408</v>
      </c>
      <c r="I122" s="5">
        <v>17.399999999999999</v>
      </c>
      <c r="J122" s="6" t="str">
        <f t="shared" si="2"/>
        <v>0</v>
      </c>
      <c r="K122" s="6">
        <f t="shared" si="3"/>
        <v>17.399999999999999</v>
      </c>
    </row>
    <row r="123" spans="1:11" x14ac:dyDescent="0.3">
      <c r="A123" s="5" t="s">
        <v>3568</v>
      </c>
      <c r="B123" s="5" t="s">
        <v>78</v>
      </c>
      <c r="C123" s="5" t="s">
        <v>6032</v>
      </c>
      <c r="D123" s="28" t="s">
        <v>2536</v>
      </c>
      <c r="E123" s="5" t="s">
        <v>36</v>
      </c>
      <c r="F123" s="5" t="s">
        <v>5083</v>
      </c>
      <c r="G123" s="5" t="s">
        <v>5076</v>
      </c>
      <c r="H123" s="5" t="s">
        <v>2435</v>
      </c>
      <c r="I123" s="5">
        <v>6.9</v>
      </c>
      <c r="J123" s="6" t="str">
        <f t="shared" si="2"/>
        <v>0</v>
      </c>
      <c r="K123" s="6">
        <f t="shared" si="3"/>
        <v>6.9</v>
      </c>
    </row>
    <row r="124" spans="1:11" x14ac:dyDescent="0.3">
      <c r="A124" s="5" t="s">
        <v>6519</v>
      </c>
      <c r="B124" s="5" t="s">
        <v>78</v>
      </c>
      <c r="C124" s="5" t="s">
        <v>6520</v>
      </c>
      <c r="D124" s="28" t="s">
        <v>2536</v>
      </c>
      <c r="E124" s="5" t="s">
        <v>36</v>
      </c>
      <c r="F124" s="5" t="s">
        <v>5083</v>
      </c>
      <c r="G124" s="5" t="s">
        <v>5083</v>
      </c>
      <c r="H124" s="5" t="s">
        <v>2423</v>
      </c>
      <c r="I124" s="5">
        <v>15.16</v>
      </c>
      <c r="J124" s="6" t="str">
        <f t="shared" si="2"/>
        <v>0</v>
      </c>
      <c r="K124" s="6">
        <f t="shared" si="3"/>
        <v>15.16</v>
      </c>
    </row>
    <row r="125" spans="1:11" x14ac:dyDescent="0.3">
      <c r="A125" s="5" t="s">
        <v>4491</v>
      </c>
      <c r="B125" s="5" t="s">
        <v>45</v>
      </c>
      <c r="C125" s="5" t="s">
        <v>5577</v>
      </c>
      <c r="D125" s="28" t="s">
        <v>2536</v>
      </c>
      <c r="E125" s="5" t="s">
        <v>36</v>
      </c>
      <c r="F125" s="5" t="s">
        <v>5071</v>
      </c>
      <c r="G125" s="5" t="s">
        <v>5071</v>
      </c>
      <c r="H125" s="5" t="s">
        <v>2435</v>
      </c>
      <c r="I125" s="5">
        <v>9.19</v>
      </c>
      <c r="J125" s="6" t="str">
        <f t="shared" si="2"/>
        <v>0</v>
      </c>
      <c r="K125" s="6">
        <f t="shared" si="3"/>
        <v>9.19</v>
      </c>
    </row>
    <row r="126" spans="1:11" x14ac:dyDescent="0.3">
      <c r="A126" s="5" t="s">
        <v>2818</v>
      </c>
      <c r="B126" s="5" t="s">
        <v>45</v>
      </c>
      <c r="C126" s="5" t="s">
        <v>6052</v>
      </c>
      <c r="D126" s="28" t="s">
        <v>2536</v>
      </c>
      <c r="E126" s="5" t="s">
        <v>36</v>
      </c>
      <c r="F126" s="5" t="s">
        <v>5081</v>
      </c>
      <c r="G126" s="5" t="s">
        <v>5071</v>
      </c>
      <c r="H126" s="5" t="s">
        <v>2418</v>
      </c>
      <c r="I126" s="5">
        <v>16.170000000000002</v>
      </c>
      <c r="J126" s="6" t="str">
        <f t="shared" si="2"/>
        <v>1</v>
      </c>
      <c r="K126" s="6">
        <f t="shared" si="3"/>
        <v>16.170000000000002</v>
      </c>
    </row>
    <row r="127" spans="1:11" x14ac:dyDescent="0.3">
      <c r="A127" s="5" t="s">
        <v>5914</v>
      </c>
      <c r="B127" s="5" t="s">
        <v>45</v>
      </c>
      <c r="C127" s="5" t="s">
        <v>5915</v>
      </c>
      <c r="D127" s="28" t="s">
        <v>2536</v>
      </c>
      <c r="E127" s="5" t="s">
        <v>36</v>
      </c>
      <c r="F127" s="5" t="s">
        <v>5083</v>
      </c>
      <c r="G127" s="5" t="s">
        <v>5083</v>
      </c>
      <c r="H127" s="5" t="s">
        <v>2418</v>
      </c>
      <c r="I127" s="5">
        <v>10.35</v>
      </c>
      <c r="J127" s="6" t="str">
        <f t="shared" si="2"/>
        <v>1</v>
      </c>
      <c r="K127" s="6">
        <f t="shared" si="3"/>
        <v>10.35</v>
      </c>
    </row>
    <row r="128" spans="1:11" x14ac:dyDescent="0.3">
      <c r="A128" s="5" t="s">
        <v>3891</v>
      </c>
      <c r="B128" s="5" t="s">
        <v>45</v>
      </c>
      <c r="C128" s="5" t="s">
        <v>5805</v>
      </c>
      <c r="D128" s="28" t="s">
        <v>2536</v>
      </c>
      <c r="E128" s="5" t="s">
        <v>36</v>
      </c>
      <c r="F128" s="5" t="s">
        <v>5070</v>
      </c>
      <c r="G128" s="5" t="s">
        <v>5071</v>
      </c>
      <c r="H128" s="5" t="s">
        <v>2455</v>
      </c>
      <c r="I128" s="5">
        <v>16.91</v>
      </c>
      <c r="J128" s="6" t="str">
        <f t="shared" si="2"/>
        <v>1</v>
      </c>
      <c r="K128" s="6">
        <f t="shared" si="3"/>
        <v>16.91</v>
      </c>
    </row>
    <row r="129" spans="1:11" x14ac:dyDescent="0.3">
      <c r="A129" s="5" t="s">
        <v>4889</v>
      </c>
      <c r="B129" s="5" t="s">
        <v>45</v>
      </c>
      <c r="C129" s="5" t="s">
        <v>5315</v>
      </c>
      <c r="D129" s="28" t="s">
        <v>2536</v>
      </c>
      <c r="E129" s="5" t="s">
        <v>36</v>
      </c>
      <c r="F129" s="5" t="s">
        <v>5071</v>
      </c>
      <c r="G129" s="5" t="s">
        <v>5071</v>
      </c>
      <c r="H129" s="5" t="s">
        <v>2435</v>
      </c>
      <c r="I129" s="5">
        <v>16.25</v>
      </c>
      <c r="J129" s="6" t="str">
        <f t="shared" si="2"/>
        <v>0</v>
      </c>
      <c r="K129" s="6">
        <f t="shared" si="3"/>
        <v>16.25</v>
      </c>
    </row>
    <row r="130" spans="1:11" x14ac:dyDescent="0.3">
      <c r="A130" s="5" t="s">
        <v>2738</v>
      </c>
      <c r="B130" s="5" t="s">
        <v>45</v>
      </c>
      <c r="C130" s="5" t="s">
        <v>6340</v>
      </c>
      <c r="D130" s="28" t="s">
        <v>2536</v>
      </c>
      <c r="E130" s="5" t="s">
        <v>36</v>
      </c>
      <c r="F130" s="5" t="s">
        <v>5081</v>
      </c>
      <c r="G130" s="5" t="s">
        <v>5073</v>
      </c>
      <c r="H130" s="5" t="s">
        <v>2993</v>
      </c>
      <c r="I130" s="5">
        <v>15.78</v>
      </c>
      <c r="J130" s="6" t="str">
        <f t="shared" ref="J130:J193" si="4">IF(OR(LOWER(TRIM(H130))="0",LOWER(TRIM(H130))="ZERO"),"0",IF(OR(LOWER(TRIM(H130))="1",LOWER(TRIM(H130))="one"),"1",IF(OR(LOWER(TRIM(H130))="2",LOWER(TRIM(H130))="two"),"2",IF(OR(LOWER(TRIM(H130))="2+",LOWER(TRIM(H130))="two_or_more",LOWER(TRIM(H130))="multiple"),"2+","Unknown"))))</f>
        <v>2+</v>
      </c>
      <c r="K130" s="6">
        <f t="shared" si="3"/>
        <v>15.78</v>
      </c>
    </row>
    <row r="131" spans="1:11" x14ac:dyDescent="0.3">
      <c r="A131" s="5" t="s">
        <v>4179</v>
      </c>
      <c r="B131" s="5" t="s">
        <v>45</v>
      </c>
      <c r="C131" s="5" t="s">
        <v>6259</v>
      </c>
      <c r="D131" s="28" t="s">
        <v>2536</v>
      </c>
      <c r="E131" s="5" t="s">
        <v>36</v>
      </c>
      <c r="F131" s="5" t="s">
        <v>5073</v>
      </c>
      <c r="G131" s="5" t="s">
        <v>5081</v>
      </c>
      <c r="H131" s="5" t="s">
        <v>2418</v>
      </c>
      <c r="I131" s="5">
        <v>14.23</v>
      </c>
      <c r="J131" s="6" t="str">
        <f t="shared" si="4"/>
        <v>1</v>
      </c>
      <c r="K131" s="6">
        <f t="shared" ref="K131:K194" si="5">IF(I131="",ROUND(AVERAGEIF($B$2:$B$1000,B131,$I$2:$I$1000),1),I131)</f>
        <v>14.23</v>
      </c>
    </row>
    <row r="132" spans="1:11" x14ac:dyDescent="0.3">
      <c r="A132" s="5" t="s">
        <v>5007</v>
      </c>
      <c r="B132" s="5" t="s">
        <v>45</v>
      </c>
      <c r="C132" s="5" t="s">
        <v>6361</v>
      </c>
      <c r="D132" s="28" t="s">
        <v>2536</v>
      </c>
      <c r="E132" s="5" t="s">
        <v>36</v>
      </c>
      <c r="F132" s="5" t="s">
        <v>5073</v>
      </c>
      <c r="G132" s="5" t="s">
        <v>5081</v>
      </c>
      <c r="H132" s="5" t="s">
        <v>2455</v>
      </c>
      <c r="I132" s="5">
        <v>6.87</v>
      </c>
      <c r="J132" s="6" t="str">
        <f t="shared" si="4"/>
        <v>1</v>
      </c>
      <c r="K132" s="6">
        <f t="shared" si="5"/>
        <v>6.87</v>
      </c>
    </row>
    <row r="133" spans="1:11" x14ac:dyDescent="0.3">
      <c r="A133" s="5" t="s">
        <v>6353</v>
      </c>
      <c r="B133" s="5" t="s">
        <v>45</v>
      </c>
      <c r="C133" s="5" t="s">
        <v>5516</v>
      </c>
      <c r="D133" s="28" t="s">
        <v>2536</v>
      </c>
      <c r="E133" s="5" t="s">
        <v>36</v>
      </c>
      <c r="F133" s="5" t="s">
        <v>5081</v>
      </c>
      <c r="G133" s="5" t="s">
        <v>5076</v>
      </c>
      <c r="H133" s="5" t="s">
        <v>2477</v>
      </c>
      <c r="I133" s="5">
        <v>10.15</v>
      </c>
      <c r="J133" s="6" t="str">
        <f t="shared" si="4"/>
        <v>0</v>
      </c>
      <c r="K133" s="6">
        <f t="shared" si="5"/>
        <v>10.15</v>
      </c>
    </row>
    <row r="134" spans="1:11" x14ac:dyDescent="0.3">
      <c r="A134" s="5" t="s">
        <v>5776</v>
      </c>
      <c r="B134" s="5" t="s">
        <v>45</v>
      </c>
      <c r="C134" s="5" t="s">
        <v>5777</v>
      </c>
      <c r="D134" s="28" t="s">
        <v>2536</v>
      </c>
      <c r="E134" s="5" t="s">
        <v>36</v>
      </c>
      <c r="F134" s="5" t="s">
        <v>5073</v>
      </c>
      <c r="G134" s="5" t="s">
        <v>5083</v>
      </c>
      <c r="H134" s="5" t="s">
        <v>2435</v>
      </c>
      <c r="I134" s="5">
        <v>4.54</v>
      </c>
      <c r="J134" s="6" t="str">
        <f t="shared" si="4"/>
        <v>0</v>
      </c>
      <c r="K134" s="6">
        <f t="shared" si="5"/>
        <v>4.54</v>
      </c>
    </row>
    <row r="135" spans="1:11" x14ac:dyDescent="0.3">
      <c r="A135" s="5" t="s">
        <v>5611</v>
      </c>
      <c r="B135" s="5" t="s">
        <v>14</v>
      </c>
      <c r="C135" s="5" t="s">
        <v>5612</v>
      </c>
      <c r="D135" s="28" t="s">
        <v>2536</v>
      </c>
      <c r="E135" s="5" t="s">
        <v>36</v>
      </c>
      <c r="F135" s="5" t="s">
        <v>5073</v>
      </c>
      <c r="G135" s="5" t="s">
        <v>5070</v>
      </c>
      <c r="H135" s="5" t="s">
        <v>2477</v>
      </c>
      <c r="I135" s="5">
        <v>15.11</v>
      </c>
      <c r="J135" s="6" t="str">
        <f t="shared" si="4"/>
        <v>0</v>
      </c>
      <c r="K135" s="6">
        <f t="shared" si="5"/>
        <v>15.11</v>
      </c>
    </row>
    <row r="136" spans="1:11" x14ac:dyDescent="0.3">
      <c r="A136" s="5" t="s">
        <v>5705</v>
      </c>
      <c r="B136" s="5" t="s">
        <v>14</v>
      </c>
      <c r="C136" s="5" t="s">
        <v>5356</v>
      </c>
      <c r="D136" s="28" t="s">
        <v>2536</v>
      </c>
      <c r="E136" s="5" t="s">
        <v>36</v>
      </c>
      <c r="F136" s="5" t="s">
        <v>5076</v>
      </c>
      <c r="G136" s="5" t="s">
        <v>5070</v>
      </c>
      <c r="H136" s="5" t="s">
        <v>2455</v>
      </c>
      <c r="I136" s="5">
        <v>10.48</v>
      </c>
      <c r="J136" s="6" t="str">
        <f t="shared" si="4"/>
        <v>1</v>
      </c>
      <c r="K136" s="6">
        <f t="shared" si="5"/>
        <v>10.48</v>
      </c>
    </row>
    <row r="137" spans="1:11" x14ac:dyDescent="0.3">
      <c r="A137" s="5" t="s">
        <v>2563</v>
      </c>
      <c r="B137" s="5" t="s">
        <v>14</v>
      </c>
      <c r="C137" s="5" t="s">
        <v>6097</v>
      </c>
      <c r="D137" s="28" t="s">
        <v>2536</v>
      </c>
      <c r="E137" s="5" t="s">
        <v>36</v>
      </c>
      <c r="F137" s="5" t="s">
        <v>5070</v>
      </c>
      <c r="G137" s="5" t="s">
        <v>5083</v>
      </c>
      <c r="H137" s="5" t="s">
        <v>2477</v>
      </c>
      <c r="I137" s="5">
        <v>11.11</v>
      </c>
      <c r="J137" s="6" t="str">
        <f t="shared" si="4"/>
        <v>0</v>
      </c>
      <c r="K137" s="6">
        <f t="shared" si="5"/>
        <v>11.11</v>
      </c>
    </row>
    <row r="138" spans="1:11" x14ac:dyDescent="0.3">
      <c r="A138" s="5" t="s">
        <v>2998</v>
      </c>
      <c r="B138" s="5" t="s">
        <v>14</v>
      </c>
      <c r="C138" s="5" t="s">
        <v>5725</v>
      </c>
      <c r="D138" s="28" t="s">
        <v>2536</v>
      </c>
      <c r="E138" s="5" t="s">
        <v>36</v>
      </c>
      <c r="F138" s="5" t="s">
        <v>5076</v>
      </c>
      <c r="G138" s="5" t="s">
        <v>5073</v>
      </c>
      <c r="H138" s="5" t="s">
        <v>2455</v>
      </c>
      <c r="I138" s="5">
        <v>8.02</v>
      </c>
      <c r="J138" s="6" t="str">
        <f t="shared" si="4"/>
        <v>1</v>
      </c>
      <c r="K138" s="6">
        <f t="shared" si="5"/>
        <v>8.02</v>
      </c>
    </row>
    <row r="139" spans="1:11" x14ac:dyDescent="0.3">
      <c r="A139" s="5" t="s">
        <v>4171</v>
      </c>
      <c r="B139" s="5" t="s">
        <v>14</v>
      </c>
      <c r="C139" s="5" t="s">
        <v>5910</v>
      </c>
      <c r="D139" s="28" t="s">
        <v>2536</v>
      </c>
      <c r="E139" s="5" t="s">
        <v>36</v>
      </c>
      <c r="F139" s="5" t="s">
        <v>5073</v>
      </c>
      <c r="G139" s="5" t="s">
        <v>5083</v>
      </c>
      <c r="H139" s="5" t="s">
        <v>2450</v>
      </c>
      <c r="I139" s="5">
        <v>16.27</v>
      </c>
      <c r="J139" s="6" t="str">
        <f t="shared" si="4"/>
        <v>1</v>
      </c>
      <c r="K139" s="6">
        <f t="shared" si="5"/>
        <v>16.27</v>
      </c>
    </row>
    <row r="140" spans="1:11" x14ac:dyDescent="0.3">
      <c r="A140" s="5" t="s">
        <v>4073</v>
      </c>
      <c r="B140" s="5" t="s">
        <v>14</v>
      </c>
      <c r="C140" s="5" t="s">
        <v>5154</v>
      </c>
      <c r="D140" s="28" t="s">
        <v>2536</v>
      </c>
      <c r="E140" s="5" t="s">
        <v>36</v>
      </c>
      <c r="F140" s="5" t="s">
        <v>5076</v>
      </c>
      <c r="G140" s="5" t="s">
        <v>5076</v>
      </c>
      <c r="H140" s="5" t="s">
        <v>2423</v>
      </c>
      <c r="I140" s="5">
        <v>10.41</v>
      </c>
      <c r="J140" s="6" t="str">
        <f t="shared" si="4"/>
        <v>0</v>
      </c>
      <c r="K140" s="6">
        <f t="shared" si="5"/>
        <v>10.41</v>
      </c>
    </row>
    <row r="141" spans="1:11" x14ac:dyDescent="0.3">
      <c r="A141" s="5" t="s">
        <v>6410</v>
      </c>
      <c r="B141" s="5" t="s">
        <v>117</v>
      </c>
      <c r="C141" s="5" t="s">
        <v>6411</v>
      </c>
      <c r="D141" s="28" t="s">
        <v>2536</v>
      </c>
      <c r="E141" s="5" t="s">
        <v>36</v>
      </c>
      <c r="F141" s="5" t="s">
        <v>5081</v>
      </c>
      <c r="G141" s="5" t="s">
        <v>5081</v>
      </c>
      <c r="H141" s="5" t="s">
        <v>2408</v>
      </c>
      <c r="I141" s="5">
        <v>1.65</v>
      </c>
      <c r="J141" s="6" t="str">
        <f t="shared" si="4"/>
        <v>0</v>
      </c>
      <c r="K141" s="6">
        <f t="shared" si="5"/>
        <v>1.65</v>
      </c>
    </row>
    <row r="142" spans="1:11" x14ac:dyDescent="0.3">
      <c r="A142" s="5" t="s">
        <v>3619</v>
      </c>
      <c r="B142" s="5" t="s">
        <v>117</v>
      </c>
      <c r="C142" s="5" t="s">
        <v>5303</v>
      </c>
      <c r="D142" s="28" t="s">
        <v>2536</v>
      </c>
      <c r="E142" s="5" t="s">
        <v>36</v>
      </c>
      <c r="F142" s="5" t="s">
        <v>5071</v>
      </c>
      <c r="G142" s="5" t="s">
        <v>5071</v>
      </c>
      <c r="H142" s="5" t="s">
        <v>2450</v>
      </c>
      <c r="I142" s="5">
        <v>13.49</v>
      </c>
      <c r="J142" s="6" t="str">
        <f t="shared" si="4"/>
        <v>1</v>
      </c>
      <c r="K142" s="6">
        <f t="shared" si="5"/>
        <v>13.49</v>
      </c>
    </row>
    <row r="143" spans="1:11" x14ac:dyDescent="0.3">
      <c r="A143" s="5" t="s">
        <v>4257</v>
      </c>
      <c r="B143" s="5" t="s">
        <v>117</v>
      </c>
      <c r="C143" s="5" t="s">
        <v>5394</v>
      </c>
      <c r="D143" s="28" t="s">
        <v>2536</v>
      </c>
      <c r="E143" s="5" t="s">
        <v>36</v>
      </c>
      <c r="F143" s="5" t="s">
        <v>5076</v>
      </c>
      <c r="G143" s="5" t="s">
        <v>5076</v>
      </c>
      <c r="H143" s="5" t="s">
        <v>2423</v>
      </c>
      <c r="I143" s="5">
        <v>1.18</v>
      </c>
      <c r="J143" s="6" t="str">
        <f t="shared" si="4"/>
        <v>0</v>
      </c>
      <c r="K143" s="6">
        <f t="shared" si="5"/>
        <v>1.18</v>
      </c>
    </row>
    <row r="144" spans="1:11" x14ac:dyDescent="0.3">
      <c r="A144" s="5" t="s">
        <v>6033</v>
      </c>
      <c r="B144" s="5" t="s">
        <v>117</v>
      </c>
      <c r="C144" s="5" t="s">
        <v>6034</v>
      </c>
      <c r="D144" s="28" t="s">
        <v>2536</v>
      </c>
      <c r="E144" s="5" t="s">
        <v>36</v>
      </c>
      <c r="F144" s="5" t="s">
        <v>5081</v>
      </c>
      <c r="G144" s="5" t="s">
        <v>5071</v>
      </c>
      <c r="H144" s="5" t="s">
        <v>2455</v>
      </c>
      <c r="I144" s="5">
        <v>6.54</v>
      </c>
      <c r="J144" s="6" t="str">
        <f t="shared" si="4"/>
        <v>1</v>
      </c>
      <c r="K144" s="6">
        <f t="shared" si="5"/>
        <v>6.54</v>
      </c>
    </row>
    <row r="145" spans="1:11" x14ac:dyDescent="0.3">
      <c r="A145" s="5" t="s">
        <v>4575</v>
      </c>
      <c r="B145" s="5" t="s">
        <v>117</v>
      </c>
      <c r="C145" s="5" t="s">
        <v>5550</v>
      </c>
      <c r="D145" s="28" t="s">
        <v>2536</v>
      </c>
      <c r="E145" s="5" t="s">
        <v>36</v>
      </c>
      <c r="F145" s="5" t="s">
        <v>5070</v>
      </c>
      <c r="G145" s="5" t="s">
        <v>5076</v>
      </c>
      <c r="H145" s="5" t="s">
        <v>2418</v>
      </c>
      <c r="I145" s="5">
        <v>6.41</v>
      </c>
      <c r="J145" s="6" t="str">
        <f t="shared" si="4"/>
        <v>1</v>
      </c>
      <c r="K145" s="6">
        <f t="shared" si="5"/>
        <v>6.41</v>
      </c>
    </row>
    <row r="146" spans="1:11" x14ac:dyDescent="0.3">
      <c r="A146" s="5" t="s">
        <v>2638</v>
      </c>
      <c r="B146" s="5" t="s">
        <v>117</v>
      </c>
      <c r="C146" s="5" t="s">
        <v>5128</v>
      </c>
      <c r="D146" s="28" t="s">
        <v>2536</v>
      </c>
      <c r="E146" s="5" t="s">
        <v>36</v>
      </c>
      <c r="F146" s="5" t="s">
        <v>5076</v>
      </c>
      <c r="G146" s="5" t="s">
        <v>5073</v>
      </c>
      <c r="H146" s="5" t="s">
        <v>2450</v>
      </c>
      <c r="I146" s="5">
        <v>5.3</v>
      </c>
      <c r="J146" s="6" t="str">
        <f t="shared" si="4"/>
        <v>1</v>
      </c>
      <c r="K146" s="6">
        <f t="shared" si="5"/>
        <v>5.3</v>
      </c>
    </row>
    <row r="147" spans="1:11" x14ac:dyDescent="0.3">
      <c r="A147" s="5" t="s">
        <v>6313</v>
      </c>
      <c r="B147" s="5" t="s">
        <v>117</v>
      </c>
      <c r="C147" s="5" t="s">
        <v>6314</v>
      </c>
      <c r="D147" s="28" t="s">
        <v>2536</v>
      </c>
      <c r="E147" s="5" t="s">
        <v>36</v>
      </c>
      <c r="F147" s="5" t="s">
        <v>5073</v>
      </c>
      <c r="G147" s="5" t="s">
        <v>5071</v>
      </c>
      <c r="H147" s="5" t="s">
        <v>2435</v>
      </c>
      <c r="I147" s="5">
        <v>7.87</v>
      </c>
      <c r="J147" s="6" t="str">
        <f t="shared" si="4"/>
        <v>0</v>
      </c>
      <c r="K147" s="6">
        <f t="shared" si="5"/>
        <v>7.87</v>
      </c>
    </row>
    <row r="148" spans="1:11" x14ac:dyDescent="0.3">
      <c r="A148" s="5" t="s">
        <v>3090</v>
      </c>
      <c r="B148" s="5" t="s">
        <v>117</v>
      </c>
      <c r="C148" s="5" t="s">
        <v>5918</v>
      </c>
      <c r="D148" s="28" t="s">
        <v>2536</v>
      </c>
      <c r="E148" s="5" t="s">
        <v>36</v>
      </c>
      <c r="F148" s="5" t="s">
        <v>5073</v>
      </c>
      <c r="G148" s="5" t="s">
        <v>5081</v>
      </c>
      <c r="H148" s="5" t="s">
        <v>2450</v>
      </c>
      <c r="I148" s="5"/>
      <c r="J148" s="6" t="str">
        <f t="shared" si="4"/>
        <v>1</v>
      </c>
      <c r="K148" s="6">
        <f t="shared" si="5"/>
        <v>10.4</v>
      </c>
    </row>
    <row r="149" spans="1:11" x14ac:dyDescent="0.3">
      <c r="A149" s="5" t="s">
        <v>6306</v>
      </c>
      <c r="B149" s="5" t="s">
        <v>25</v>
      </c>
      <c r="C149" s="5" t="s">
        <v>6077</v>
      </c>
      <c r="D149" s="28" t="s">
        <v>2536</v>
      </c>
      <c r="E149" s="5" t="s">
        <v>36</v>
      </c>
      <c r="F149" s="5" t="s">
        <v>5081</v>
      </c>
      <c r="G149" s="5" t="s">
        <v>5073</v>
      </c>
      <c r="H149" s="5" t="s">
        <v>2993</v>
      </c>
      <c r="I149" s="5">
        <v>1.55</v>
      </c>
      <c r="J149" s="6" t="str">
        <f t="shared" si="4"/>
        <v>2+</v>
      </c>
      <c r="K149" s="6">
        <f t="shared" si="5"/>
        <v>1.55</v>
      </c>
    </row>
    <row r="150" spans="1:11" x14ac:dyDescent="0.3">
      <c r="A150" s="5" t="s">
        <v>4399</v>
      </c>
      <c r="B150" s="5" t="s">
        <v>25</v>
      </c>
      <c r="C150" s="5" t="s">
        <v>5956</v>
      </c>
      <c r="D150" s="28" t="s">
        <v>2536</v>
      </c>
      <c r="E150" s="5" t="s">
        <v>36</v>
      </c>
      <c r="F150" s="5" t="s">
        <v>5073</v>
      </c>
      <c r="G150" s="5" t="s">
        <v>5076</v>
      </c>
      <c r="H150" s="5" t="s">
        <v>2423</v>
      </c>
      <c r="I150" s="5">
        <v>3.43</v>
      </c>
      <c r="J150" s="6" t="str">
        <f t="shared" si="4"/>
        <v>0</v>
      </c>
      <c r="K150" s="6">
        <f t="shared" si="5"/>
        <v>3.43</v>
      </c>
    </row>
    <row r="151" spans="1:11" x14ac:dyDescent="0.3">
      <c r="A151" s="5" t="s">
        <v>6428</v>
      </c>
      <c r="B151" s="5" t="s">
        <v>25</v>
      </c>
      <c r="C151" s="5" t="s">
        <v>6429</v>
      </c>
      <c r="D151" s="28" t="s">
        <v>2536</v>
      </c>
      <c r="E151" s="5" t="s">
        <v>36</v>
      </c>
      <c r="F151" s="5" t="s">
        <v>5083</v>
      </c>
      <c r="G151" s="5" t="s">
        <v>5073</v>
      </c>
      <c r="H151" s="5" t="s">
        <v>2439</v>
      </c>
      <c r="I151" s="5">
        <v>4.33</v>
      </c>
      <c r="J151" s="6" t="str">
        <f t="shared" si="4"/>
        <v>2</v>
      </c>
      <c r="K151" s="6">
        <f t="shared" si="5"/>
        <v>4.33</v>
      </c>
    </row>
    <row r="152" spans="1:11" x14ac:dyDescent="0.3">
      <c r="A152" s="5" t="s">
        <v>2535</v>
      </c>
      <c r="B152" s="5" t="s">
        <v>106</v>
      </c>
      <c r="C152" s="5" t="s">
        <v>5668</v>
      </c>
      <c r="D152" s="28" t="s">
        <v>2536</v>
      </c>
      <c r="E152" s="5" t="s">
        <v>36</v>
      </c>
      <c r="F152" s="5" t="s">
        <v>5076</v>
      </c>
      <c r="G152" s="5" t="s">
        <v>5083</v>
      </c>
      <c r="H152" s="5" t="s">
        <v>2423</v>
      </c>
      <c r="I152" s="5">
        <v>14.43</v>
      </c>
      <c r="J152" s="6" t="str">
        <f t="shared" si="4"/>
        <v>0</v>
      </c>
      <c r="K152" s="6">
        <f t="shared" si="5"/>
        <v>14.43</v>
      </c>
    </row>
    <row r="153" spans="1:11" x14ac:dyDescent="0.3">
      <c r="A153" s="5" t="s">
        <v>4414</v>
      </c>
      <c r="B153" s="5" t="s">
        <v>106</v>
      </c>
      <c r="C153" s="5" t="s">
        <v>5353</v>
      </c>
      <c r="D153" s="28" t="s">
        <v>2536</v>
      </c>
      <c r="E153" s="5" t="s">
        <v>36</v>
      </c>
      <c r="F153" s="5" t="s">
        <v>5073</v>
      </c>
      <c r="G153" s="5" t="s">
        <v>5070</v>
      </c>
      <c r="H153" s="5" t="s">
        <v>2455</v>
      </c>
      <c r="I153" s="5">
        <v>11.88</v>
      </c>
      <c r="J153" s="6" t="str">
        <f t="shared" si="4"/>
        <v>1</v>
      </c>
      <c r="K153" s="6">
        <f t="shared" si="5"/>
        <v>11.88</v>
      </c>
    </row>
    <row r="154" spans="1:11" x14ac:dyDescent="0.3">
      <c r="A154" s="5" t="s">
        <v>4323</v>
      </c>
      <c r="B154" s="5" t="s">
        <v>106</v>
      </c>
      <c r="C154" s="5" t="s">
        <v>6351</v>
      </c>
      <c r="D154" s="28" t="s">
        <v>2536</v>
      </c>
      <c r="E154" s="5" t="s">
        <v>36</v>
      </c>
      <c r="F154" s="5" t="s">
        <v>5083</v>
      </c>
      <c r="G154" s="5" t="s">
        <v>5073</v>
      </c>
      <c r="H154" s="5" t="s">
        <v>2418</v>
      </c>
      <c r="I154" s="5">
        <v>6.87</v>
      </c>
      <c r="J154" s="6" t="str">
        <f t="shared" si="4"/>
        <v>1</v>
      </c>
      <c r="K154" s="6">
        <f t="shared" si="5"/>
        <v>6.87</v>
      </c>
    </row>
    <row r="155" spans="1:11" x14ac:dyDescent="0.3">
      <c r="A155" s="5" t="s">
        <v>2699</v>
      </c>
      <c r="B155" s="5" t="s">
        <v>106</v>
      </c>
      <c r="C155" s="5" t="s">
        <v>5676</v>
      </c>
      <c r="D155" s="28" t="s">
        <v>2536</v>
      </c>
      <c r="E155" s="5" t="s">
        <v>36</v>
      </c>
      <c r="F155" s="5" t="s">
        <v>5076</v>
      </c>
      <c r="G155" s="5" t="s">
        <v>5076</v>
      </c>
      <c r="H155" s="5"/>
      <c r="I155" s="5">
        <v>5.25</v>
      </c>
      <c r="J155" s="6" t="str">
        <f t="shared" si="4"/>
        <v>Unknown</v>
      </c>
      <c r="K155" s="6">
        <f t="shared" si="5"/>
        <v>5.25</v>
      </c>
    </row>
    <row r="156" spans="1:11" x14ac:dyDescent="0.3">
      <c r="A156" s="5" t="s">
        <v>3196</v>
      </c>
      <c r="B156" s="5" t="s">
        <v>78</v>
      </c>
      <c r="C156" s="5" t="s">
        <v>6083</v>
      </c>
      <c r="D156" s="28" t="s">
        <v>2532</v>
      </c>
      <c r="E156" s="5" t="s">
        <v>36</v>
      </c>
      <c r="F156" s="5" t="s">
        <v>5071</v>
      </c>
      <c r="G156" s="5" t="s">
        <v>5071</v>
      </c>
      <c r="H156" s="5" t="s">
        <v>2423</v>
      </c>
      <c r="I156" s="5">
        <v>4.8</v>
      </c>
      <c r="J156" s="6" t="str">
        <f t="shared" si="4"/>
        <v>0</v>
      </c>
      <c r="K156" s="6">
        <f t="shared" si="5"/>
        <v>4.8</v>
      </c>
    </row>
    <row r="157" spans="1:11" x14ac:dyDescent="0.3">
      <c r="A157" s="5" t="s">
        <v>2658</v>
      </c>
      <c r="B157" s="5" t="s">
        <v>78</v>
      </c>
      <c r="C157" s="5" t="s">
        <v>5937</v>
      </c>
      <c r="D157" s="28" t="s">
        <v>2532</v>
      </c>
      <c r="E157" s="5" t="s">
        <v>36</v>
      </c>
      <c r="F157" s="5" t="s">
        <v>5076</v>
      </c>
      <c r="G157" s="5" t="s">
        <v>5081</v>
      </c>
      <c r="H157" s="5" t="s">
        <v>2435</v>
      </c>
      <c r="I157" s="5">
        <v>17.940000000000001</v>
      </c>
      <c r="J157" s="6" t="str">
        <f t="shared" si="4"/>
        <v>0</v>
      </c>
      <c r="K157" s="6">
        <f t="shared" si="5"/>
        <v>17.940000000000001</v>
      </c>
    </row>
    <row r="158" spans="1:11" x14ac:dyDescent="0.3">
      <c r="A158" s="5" t="s">
        <v>2621</v>
      </c>
      <c r="B158" s="5" t="s">
        <v>45</v>
      </c>
      <c r="C158" s="5" t="s">
        <v>5992</v>
      </c>
      <c r="D158" s="28" t="s">
        <v>2532</v>
      </c>
      <c r="E158" s="5" t="s">
        <v>36</v>
      </c>
      <c r="F158" s="5" t="s">
        <v>5071</v>
      </c>
      <c r="G158" s="5" t="s">
        <v>5073</v>
      </c>
      <c r="H158" s="5" t="s">
        <v>2408</v>
      </c>
      <c r="I158" s="5">
        <v>17.16</v>
      </c>
      <c r="J158" s="6" t="str">
        <f t="shared" si="4"/>
        <v>0</v>
      </c>
      <c r="K158" s="6">
        <f t="shared" si="5"/>
        <v>17.16</v>
      </c>
    </row>
    <row r="159" spans="1:11" x14ac:dyDescent="0.3">
      <c r="A159" s="5" t="s">
        <v>6359</v>
      </c>
      <c r="B159" s="5" t="s">
        <v>45</v>
      </c>
      <c r="C159" s="5" t="s">
        <v>6360</v>
      </c>
      <c r="D159" s="28" t="s">
        <v>2532</v>
      </c>
      <c r="E159" s="5" t="s">
        <v>36</v>
      </c>
      <c r="F159" s="5" t="s">
        <v>5071</v>
      </c>
      <c r="G159" s="5" t="s">
        <v>5070</v>
      </c>
      <c r="H159" s="5" t="s">
        <v>2408</v>
      </c>
      <c r="I159" s="5">
        <v>14.77</v>
      </c>
      <c r="J159" s="6" t="str">
        <f t="shared" si="4"/>
        <v>0</v>
      </c>
      <c r="K159" s="6">
        <f t="shared" si="5"/>
        <v>14.77</v>
      </c>
    </row>
    <row r="160" spans="1:11" x14ac:dyDescent="0.3">
      <c r="A160" s="5" t="s">
        <v>2636</v>
      </c>
      <c r="B160" s="5" t="s">
        <v>45</v>
      </c>
      <c r="C160" s="5" t="s">
        <v>5516</v>
      </c>
      <c r="D160" s="28" t="s">
        <v>2532</v>
      </c>
      <c r="E160" s="5" t="s">
        <v>36</v>
      </c>
      <c r="F160" s="5" t="s">
        <v>5073</v>
      </c>
      <c r="G160" s="5" t="s">
        <v>5071</v>
      </c>
      <c r="H160" s="5" t="s">
        <v>2435</v>
      </c>
      <c r="I160" s="5">
        <v>13.31</v>
      </c>
      <c r="J160" s="6" t="str">
        <f t="shared" si="4"/>
        <v>0</v>
      </c>
      <c r="K160" s="6">
        <f t="shared" si="5"/>
        <v>13.31</v>
      </c>
    </row>
    <row r="161" spans="1:11" x14ac:dyDescent="0.3">
      <c r="A161" s="5" t="s">
        <v>4146</v>
      </c>
      <c r="B161" s="5" t="s">
        <v>45</v>
      </c>
      <c r="C161" s="5" t="s">
        <v>5707</v>
      </c>
      <c r="D161" s="28" t="s">
        <v>2532</v>
      </c>
      <c r="E161" s="5" t="s">
        <v>36</v>
      </c>
      <c r="F161" s="5" t="s">
        <v>5081</v>
      </c>
      <c r="G161" s="5" t="s">
        <v>5073</v>
      </c>
      <c r="H161" s="5" t="s">
        <v>2477</v>
      </c>
      <c r="I161" s="5">
        <v>8.34</v>
      </c>
      <c r="J161" s="6" t="str">
        <f t="shared" si="4"/>
        <v>0</v>
      </c>
      <c r="K161" s="6">
        <f t="shared" si="5"/>
        <v>8.34</v>
      </c>
    </row>
    <row r="162" spans="1:11" x14ac:dyDescent="0.3">
      <c r="A162" s="5" t="s">
        <v>2531</v>
      </c>
      <c r="B162" s="5" t="s">
        <v>14</v>
      </c>
      <c r="C162" s="5" t="s">
        <v>6424</v>
      </c>
      <c r="D162" s="28" t="s">
        <v>2532</v>
      </c>
      <c r="E162" s="5" t="s">
        <v>36</v>
      </c>
      <c r="F162" s="5" t="s">
        <v>5070</v>
      </c>
      <c r="G162" s="5" t="s">
        <v>5083</v>
      </c>
      <c r="H162" s="5" t="s">
        <v>2408</v>
      </c>
      <c r="I162" s="5">
        <v>11.5</v>
      </c>
      <c r="J162" s="6" t="str">
        <f t="shared" si="4"/>
        <v>0</v>
      </c>
      <c r="K162" s="6">
        <f t="shared" si="5"/>
        <v>11.5</v>
      </c>
    </row>
    <row r="163" spans="1:11" x14ac:dyDescent="0.3">
      <c r="A163" s="5" t="s">
        <v>3147</v>
      </c>
      <c r="B163" s="5" t="s">
        <v>14</v>
      </c>
      <c r="C163" s="5" t="s">
        <v>5331</v>
      </c>
      <c r="D163" s="28" t="s">
        <v>2532</v>
      </c>
      <c r="E163" s="5" t="s">
        <v>36</v>
      </c>
      <c r="F163" s="5" t="s">
        <v>5083</v>
      </c>
      <c r="G163" s="5" t="s">
        <v>5081</v>
      </c>
      <c r="H163" s="5" t="s">
        <v>2477</v>
      </c>
      <c r="I163" s="5">
        <v>5.55</v>
      </c>
      <c r="J163" s="6" t="str">
        <f t="shared" si="4"/>
        <v>0</v>
      </c>
      <c r="K163" s="6">
        <f t="shared" si="5"/>
        <v>5.55</v>
      </c>
    </row>
    <row r="164" spans="1:11" x14ac:dyDescent="0.3">
      <c r="A164" s="5" t="s">
        <v>6328</v>
      </c>
      <c r="B164" s="5" t="s">
        <v>14</v>
      </c>
      <c r="C164" s="5" t="s">
        <v>6329</v>
      </c>
      <c r="D164" s="28" t="s">
        <v>2532</v>
      </c>
      <c r="E164" s="5" t="s">
        <v>36</v>
      </c>
      <c r="F164" s="5" t="s">
        <v>5071</v>
      </c>
      <c r="G164" s="5" t="s">
        <v>5081</v>
      </c>
      <c r="H164" s="5" t="s">
        <v>2486</v>
      </c>
      <c r="I164" s="5">
        <v>15.8</v>
      </c>
      <c r="J164" s="6" t="str">
        <f t="shared" si="4"/>
        <v>2+</v>
      </c>
      <c r="K164" s="6">
        <f t="shared" si="5"/>
        <v>15.8</v>
      </c>
    </row>
    <row r="165" spans="1:11" x14ac:dyDescent="0.3">
      <c r="A165" s="5" t="s">
        <v>5061</v>
      </c>
      <c r="B165" s="5" t="s">
        <v>14</v>
      </c>
      <c r="C165" s="5" t="s">
        <v>5917</v>
      </c>
      <c r="D165" s="28" t="s">
        <v>2532</v>
      </c>
      <c r="E165" s="5" t="s">
        <v>36</v>
      </c>
      <c r="F165" s="5" t="s">
        <v>5073</v>
      </c>
      <c r="G165" s="5" t="s">
        <v>5070</v>
      </c>
      <c r="H165" s="5" t="s">
        <v>2435</v>
      </c>
      <c r="I165" s="5"/>
      <c r="J165" s="6" t="str">
        <f t="shared" si="4"/>
        <v>0</v>
      </c>
      <c r="K165" s="6">
        <f t="shared" si="5"/>
        <v>11</v>
      </c>
    </row>
    <row r="166" spans="1:11" x14ac:dyDescent="0.3">
      <c r="A166" s="5" t="s">
        <v>4148</v>
      </c>
      <c r="B166" s="5" t="s">
        <v>14</v>
      </c>
      <c r="C166" s="5" t="s">
        <v>5567</v>
      </c>
      <c r="D166" s="28" t="s">
        <v>2532</v>
      </c>
      <c r="E166" s="5" t="s">
        <v>36</v>
      </c>
      <c r="F166" s="5" t="s">
        <v>5073</v>
      </c>
      <c r="G166" s="5" t="s">
        <v>5070</v>
      </c>
      <c r="H166" s="5" t="s">
        <v>2477</v>
      </c>
      <c r="I166" s="5">
        <v>3.94</v>
      </c>
      <c r="J166" s="6" t="str">
        <f t="shared" si="4"/>
        <v>0</v>
      </c>
      <c r="K166" s="6">
        <f t="shared" si="5"/>
        <v>3.94</v>
      </c>
    </row>
    <row r="167" spans="1:11" x14ac:dyDescent="0.3">
      <c r="A167" s="5" t="s">
        <v>5040</v>
      </c>
      <c r="B167" s="5" t="s">
        <v>14</v>
      </c>
      <c r="C167" s="5" t="s">
        <v>5590</v>
      </c>
      <c r="D167" s="28" t="s">
        <v>2532</v>
      </c>
      <c r="E167" s="5" t="s">
        <v>36</v>
      </c>
      <c r="F167" s="5" t="s">
        <v>5073</v>
      </c>
      <c r="G167" s="5" t="s">
        <v>5073</v>
      </c>
      <c r="H167" s="5" t="s">
        <v>2435</v>
      </c>
      <c r="I167" s="5">
        <v>5.46</v>
      </c>
      <c r="J167" s="6" t="str">
        <f t="shared" si="4"/>
        <v>0</v>
      </c>
      <c r="K167" s="6">
        <f t="shared" si="5"/>
        <v>5.46</v>
      </c>
    </row>
    <row r="168" spans="1:11" x14ac:dyDescent="0.3">
      <c r="A168" s="5" t="s">
        <v>3172</v>
      </c>
      <c r="B168" s="5" t="s">
        <v>14</v>
      </c>
      <c r="C168" s="5" t="s">
        <v>6094</v>
      </c>
      <c r="D168" s="28" t="s">
        <v>2532</v>
      </c>
      <c r="E168" s="5" t="s">
        <v>36</v>
      </c>
      <c r="F168" s="5" t="s">
        <v>5083</v>
      </c>
      <c r="G168" s="5" t="s">
        <v>5081</v>
      </c>
      <c r="H168" s="5" t="s">
        <v>2418</v>
      </c>
      <c r="I168" s="5">
        <v>4.83</v>
      </c>
      <c r="J168" s="6" t="str">
        <f t="shared" si="4"/>
        <v>1</v>
      </c>
      <c r="K168" s="6">
        <f t="shared" si="5"/>
        <v>4.83</v>
      </c>
    </row>
    <row r="169" spans="1:11" x14ac:dyDescent="0.3">
      <c r="A169" s="5" t="s">
        <v>2992</v>
      </c>
      <c r="B169" s="5" t="s">
        <v>117</v>
      </c>
      <c r="C169" s="5" t="s">
        <v>5146</v>
      </c>
      <c r="D169" s="28" t="s">
        <v>2532</v>
      </c>
      <c r="E169" s="5" t="s">
        <v>36</v>
      </c>
      <c r="F169" s="5" t="s">
        <v>5073</v>
      </c>
      <c r="G169" s="5" t="s">
        <v>5071</v>
      </c>
      <c r="H169" s="5" t="s">
        <v>2408</v>
      </c>
      <c r="I169" s="5">
        <v>13.32</v>
      </c>
      <c r="J169" s="6" t="str">
        <f t="shared" si="4"/>
        <v>0</v>
      </c>
      <c r="K169" s="6">
        <f t="shared" si="5"/>
        <v>13.32</v>
      </c>
    </row>
    <row r="170" spans="1:11" x14ac:dyDescent="0.3">
      <c r="A170" s="5" t="s">
        <v>3399</v>
      </c>
      <c r="B170" s="5" t="s">
        <v>117</v>
      </c>
      <c r="C170" s="5" t="s">
        <v>5314</v>
      </c>
      <c r="D170" s="28" t="s">
        <v>2532</v>
      </c>
      <c r="E170" s="5" t="s">
        <v>36</v>
      </c>
      <c r="F170" s="5" t="s">
        <v>5076</v>
      </c>
      <c r="G170" s="5" t="s">
        <v>5076</v>
      </c>
      <c r="H170" s="5" t="s">
        <v>2439</v>
      </c>
      <c r="I170" s="5">
        <v>12.61</v>
      </c>
      <c r="J170" s="6" t="str">
        <f t="shared" si="4"/>
        <v>2</v>
      </c>
      <c r="K170" s="6">
        <f t="shared" si="5"/>
        <v>12.61</v>
      </c>
    </row>
    <row r="171" spans="1:11" x14ac:dyDescent="0.3">
      <c r="A171" s="5" t="s">
        <v>3542</v>
      </c>
      <c r="B171" s="5" t="s">
        <v>117</v>
      </c>
      <c r="C171" s="5" t="s">
        <v>6483</v>
      </c>
      <c r="D171" s="28" t="s">
        <v>2532</v>
      </c>
      <c r="E171" s="5" t="s">
        <v>36</v>
      </c>
      <c r="F171" s="5" t="s">
        <v>5070</v>
      </c>
      <c r="G171" s="5" t="s">
        <v>5070</v>
      </c>
      <c r="H171" s="5" t="s">
        <v>2450</v>
      </c>
      <c r="I171" s="5">
        <v>12.48</v>
      </c>
      <c r="J171" s="6" t="str">
        <f t="shared" si="4"/>
        <v>1</v>
      </c>
      <c r="K171" s="6">
        <f t="shared" si="5"/>
        <v>12.48</v>
      </c>
    </row>
    <row r="172" spans="1:11" x14ac:dyDescent="0.3">
      <c r="A172" s="5" t="s">
        <v>4690</v>
      </c>
      <c r="B172" s="5" t="s">
        <v>117</v>
      </c>
      <c r="C172" s="5" t="s">
        <v>5907</v>
      </c>
      <c r="D172" s="28" t="s">
        <v>2532</v>
      </c>
      <c r="E172" s="5" t="s">
        <v>36</v>
      </c>
      <c r="F172" s="5" t="s">
        <v>5071</v>
      </c>
      <c r="G172" s="5" t="s">
        <v>5076</v>
      </c>
      <c r="H172" s="5" t="s">
        <v>2439</v>
      </c>
      <c r="I172" s="5">
        <v>14.53</v>
      </c>
      <c r="J172" s="6" t="str">
        <f t="shared" si="4"/>
        <v>2</v>
      </c>
      <c r="K172" s="6">
        <f t="shared" si="5"/>
        <v>14.53</v>
      </c>
    </row>
    <row r="173" spans="1:11" x14ac:dyDescent="0.3">
      <c r="A173" s="5" t="s">
        <v>6382</v>
      </c>
      <c r="B173" s="5" t="s">
        <v>117</v>
      </c>
      <c r="C173" s="5" t="s">
        <v>6383</v>
      </c>
      <c r="D173" s="28" t="s">
        <v>2532</v>
      </c>
      <c r="E173" s="5" t="s">
        <v>36</v>
      </c>
      <c r="F173" s="5" t="s">
        <v>5071</v>
      </c>
      <c r="G173" s="5" t="s">
        <v>5070</v>
      </c>
      <c r="H173" s="5" t="s">
        <v>2418</v>
      </c>
      <c r="I173" s="5">
        <v>18.510000000000002</v>
      </c>
      <c r="J173" s="6" t="str">
        <f t="shared" si="4"/>
        <v>1</v>
      </c>
      <c r="K173" s="6">
        <f t="shared" si="5"/>
        <v>18.510000000000002</v>
      </c>
    </row>
    <row r="174" spans="1:11" x14ac:dyDescent="0.3">
      <c r="A174" s="5" t="s">
        <v>4554</v>
      </c>
      <c r="B174" s="5" t="s">
        <v>117</v>
      </c>
      <c r="C174" s="5" t="s">
        <v>5701</v>
      </c>
      <c r="D174" s="28" t="s">
        <v>2532</v>
      </c>
      <c r="E174" s="5" t="s">
        <v>36</v>
      </c>
      <c r="F174" s="5" t="s">
        <v>5081</v>
      </c>
      <c r="G174" s="5" t="s">
        <v>5081</v>
      </c>
      <c r="H174" s="5" t="s">
        <v>2423</v>
      </c>
      <c r="I174" s="5">
        <v>13.58</v>
      </c>
      <c r="J174" s="6" t="str">
        <f t="shared" si="4"/>
        <v>0</v>
      </c>
      <c r="K174" s="6">
        <f t="shared" si="5"/>
        <v>13.58</v>
      </c>
    </row>
    <row r="175" spans="1:11" x14ac:dyDescent="0.3">
      <c r="A175" s="5" t="s">
        <v>3510</v>
      </c>
      <c r="B175" s="5" t="s">
        <v>25</v>
      </c>
      <c r="C175" s="5" t="s">
        <v>5134</v>
      </c>
      <c r="D175" s="28" t="s">
        <v>2532</v>
      </c>
      <c r="E175" s="5" t="s">
        <v>36</v>
      </c>
      <c r="F175" s="5" t="s">
        <v>5076</v>
      </c>
      <c r="G175" s="5" t="s">
        <v>5070</v>
      </c>
      <c r="H175" s="5" t="s">
        <v>2993</v>
      </c>
      <c r="I175" s="5">
        <v>8.15</v>
      </c>
      <c r="J175" s="6" t="str">
        <f t="shared" si="4"/>
        <v>2+</v>
      </c>
      <c r="K175" s="6">
        <f t="shared" si="5"/>
        <v>8.15</v>
      </c>
    </row>
    <row r="176" spans="1:11" x14ac:dyDescent="0.3">
      <c r="A176" s="5" t="s">
        <v>2877</v>
      </c>
      <c r="B176" s="5" t="s">
        <v>25</v>
      </c>
      <c r="C176" s="5" t="s">
        <v>5758</v>
      </c>
      <c r="D176" s="28" t="s">
        <v>2532</v>
      </c>
      <c r="E176" s="5" t="s">
        <v>36</v>
      </c>
      <c r="F176" s="5" t="s">
        <v>5070</v>
      </c>
      <c r="G176" s="5" t="s">
        <v>5070</v>
      </c>
      <c r="H176" s="5" t="s">
        <v>2408</v>
      </c>
      <c r="I176" s="5">
        <v>8.5299999999999994</v>
      </c>
      <c r="J176" s="6" t="str">
        <f t="shared" si="4"/>
        <v>0</v>
      </c>
      <c r="K176" s="6">
        <f t="shared" si="5"/>
        <v>8.5299999999999994</v>
      </c>
    </row>
    <row r="177" spans="1:11" x14ac:dyDescent="0.3">
      <c r="A177" s="5" t="s">
        <v>3818</v>
      </c>
      <c r="B177" s="5" t="s">
        <v>25</v>
      </c>
      <c r="C177" s="5" t="s">
        <v>5744</v>
      </c>
      <c r="D177" s="28" t="s">
        <v>2532</v>
      </c>
      <c r="E177" s="5" t="s">
        <v>36</v>
      </c>
      <c r="F177" s="5" t="s">
        <v>5081</v>
      </c>
      <c r="G177" s="5" t="s">
        <v>5076</v>
      </c>
      <c r="H177" s="5" t="s">
        <v>2423</v>
      </c>
      <c r="I177" s="5">
        <v>13.68</v>
      </c>
      <c r="J177" s="6" t="str">
        <f t="shared" si="4"/>
        <v>0</v>
      </c>
      <c r="K177" s="6">
        <f t="shared" si="5"/>
        <v>13.68</v>
      </c>
    </row>
    <row r="178" spans="1:11" x14ac:dyDescent="0.3">
      <c r="A178" s="5" t="s">
        <v>6415</v>
      </c>
      <c r="B178" s="5" t="s">
        <v>106</v>
      </c>
      <c r="C178" s="5" t="s">
        <v>6392</v>
      </c>
      <c r="D178" s="28" t="s">
        <v>2532</v>
      </c>
      <c r="E178" s="5" t="s">
        <v>36</v>
      </c>
      <c r="F178" s="5" t="s">
        <v>5071</v>
      </c>
      <c r="G178" s="5" t="s">
        <v>5070</v>
      </c>
      <c r="H178" s="5" t="s">
        <v>2408</v>
      </c>
      <c r="I178" s="5">
        <v>13.19</v>
      </c>
      <c r="J178" s="6" t="str">
        <f t="shared" si="4"/>
        <v>0</v>
      </c>
      <c r="K178" s="6">
        <f t="shared" si="5"/>
        <v>13.19</v>
      </c>
    </row>
    <row r="179" spans="1:11" x14ac:dyDescent="0.3">
      <c r="A179" s="5" t="s">
        <v>3248</v>
      </c>
      <c r="B179" s="5" t="s">
        <v>106</v>
      </c>
      <c r="C179" s="5" t="s">
        <v>5551</v>
      </c>
      <c r="D179" s="28" t="s">
        <v>2532</v>
      </c>
      <c r="E179" s="5" t="s">
        <v>36</v>
      </c>
      <c r="F179" s="5" t="s">
        <v>5071</v>
      </c>
      <c r="G179" s="5" t="s">
        <v>5083</v>
      </c>
      <c r="H179" s="5" t="s">
        <v>2423</v>
      </c>
      <c r="I179" s="5"/>
      <c r="J179" s="6" t="str">
        <f t="shared" si="4"/>
        <v>0</v>
      </c>
      <c r="K179" s="6">
        <f t="shared" si="5"/>
        <v>10.1</v>
      </c>
    </row>
    <row r="180" spans="1:11" x14ac:dyDescent="0.3">
      <c r="A180" s="5" t="s">
        <v>4640</v>
      </c>
      <c r="B180" s="5" t="s">
        <v>106</v>
      </c>
      <c r="C180" s="5" t="s">
        <v>5952</v>
      </c>
      <c r="D180" s="28" t="s">
        <v>2532</v>
      </c>
      <c r="E180" s="5" t="s">
        <v>36</v>
      </c>
      <c r="F180" s="5" t="s">
        <v>5083</v>
      </c>
      <c r="G180" s="5" t="s">
        <v>5071</v>
      </c>
      <c r="H180" s="5" t="s">
        <v>2408</v>
      </c>
      <c r="I180" s="5">
        <v>16.89</v>
      </c>
      <c r="J180" s="6" t="str">
        <f t="shared" si="4"/>
        <v>0</v>
      </c>
      <c r="K180" s="6">
        <f t="shared" si="5"/>
        <v>16.89</v>
      </c>
    </row>
    <row r="181" spans="1:11" x14ac:dyDescent="0.3">
      <c r="A181" s="5" t="s">
        <v>4831</v>
      </c>
      <c r="B181" s="5" t="s">
        <v>106</v>
      </c>
      <c r="C181" s="5" t="s">
        <v>5654</v>
      </c>
      <c r="D181" s="28" t="s">
        <v>2532</v>
      </c>
      <c r="E181" s="5" t="s">
        <v>36</v>
      </c>
      <c r="F181" s="5" t="s">
        <v>5073</v>
      </c>
      <c r="G181" s="5" t="s">
        <v>5081</v>
      </c>
      <c r="H181" s="5" t="s">
        <v>2423</v>
      </c>
      <c r="I181" s="5">
        <v>7.83</v>
      </c>
      <c r="J181" s="6" t="str">
        <f t="shared" si="4"/>
        <v>0</v>
      </c>
      <c r="K181" s="6">
        <f t="shared" si="5"/>
        <v>7.83</v>
      </c>
    </row>
    <row r="182" spans="1:11" x14ac:dyDescent="0.3">
      <c r="A182" s="5" t="s">
        <v>6120</v>
      </c>
      <c r="B182" s="5" t="s">
        <v>106</v>
      </c>
      <c r="C182" s="5" t="s">
        <v>6121</v>
      </c>
      <c r="D182" s="28" t="s">
        <v>2532</v>
      </c>
      <c r="E182" s="5" t="s">
        <v>36</v>
      </c>
      <c r="F182" s="5" t="s">
        <v>5073</v>
      </c>
      <c r="G182" s="5" t="s">
        <v>5070</v>
      </c>
      <c r="H182" s="5" t="s">
        <v>2428</v>
      </c>
      <c r="I182" s="5">
        <v>17.260000000000002</v>
      </c>
      <c r="J182" s="6" t="str">
        <f t="shared" si="4"/>
        <v>2</v>
      </c>
      <c r="K182" s="6">
        <f t="shared" si="5"/>
        <v>17.260000000000002</v>
      </c>
    </row>
    <row r="183" spans="1:11" x14ac:dyDescent="0.3">
      <c r="A183" s="5" t="s">
        <v>6282</v>
      </c>
      <c r="B183" s="5" t="s">
        <v>106</v>
      </c>
      <c r="C183" s="5" t="s">
        <v>6283</v>
      </c>
      <c r="D183" s="28" t="s">
        <v>2532</v>
      </c>
      <c r="E183" s="5" t="s">
        <v>36</v>
      </c>
      <c r="F183" s="5" t="s">
        <v>5070</v>
      </c>
      <c r="G183" s="5" t="s">
        <v>5071</v>
      </c>
      <c r="H183" s="5" t="s">
        <v>2423</v>
      </c>
      <c r="I183" s="5">
        <v>9.06</v>
      </c>
      <c r="J183" s="6" t="str">
        <f t="shared" si="4"/>
        <v>0</v>
      </c>
      <c r="K183" s="6">
        <f t="shared" si="5"/>
        <v>9.06</v>
      </c>
    </row>
    <row r="184" spans="1:11" x14ac:dyDescent="0.3">
      <c r="A184" s="5" t="s">
        <v>3584</v>
      </c>
      <c r="B184" s="5" t="s">
        <v>106</v>
      </c>
      <c r="C184" s="5" t="s">
        <v>5842</v>
      </c>
      <c r="D184" s="28" t="s">
        <v>2532</v>
      </c>
      <c r="E184" s="5" t="s">
        <v>36</v>
      </c>
      <c r="F184" s="5" t="s">
        <v>5071</v>
      </c>
      <c r="G184" s="5" t="s">
        <v>5083</v>
      </c>
      <c r="H184" s="5" t="s">
        <v>2455</v>
      </c>
      <c r="I184" s="5">
        <v>4.1500000000000004</v>
      </c>
      <c r="J184" s="6" t="str">
        <f t="shared" si="4"/>
        <v>1</v>
      </c>
      <c r="K184" s="6">
        <f t="shared" si="5"/>
        <v>4.1500000000000004</v>
      </c>
    </row>
    <row r="185" spans="1:11" x14ac:dyDescent="0.3">
      <c r="A185" s="5" t="s">
        <v>5379</v>
      </c>
      <c r="B185" s="5" t="s">
        <v>78</v>
      </c>
      <c r="C185" s="5" t="s">
        <v>5380</v>
      </c>
      <c r="D185" s="28" t="s">
        <v>2490</v>
      </c>
      <c r="E185" s="5" t="s">
        <v>36</v>
      </c>
      <c r="F185" s="5" t="s">
        <v>5083</v>
      </c>
      <c r="G185" s="5" t="s">
        <v>5083</v>
      </c>
      <c r="H185" s="5" t="s">
        <v>2428</v>
      </c>
      <c r="I185" s="5">
        <v>12.05</v>
      </c>
      <c r="J185" s="6" t="str">
        <f t="shared" si="4"/>
        <v>2</v>
      </c>
      <c r="K185" s="6">
        <f t="shared" si="5"/>
        <v>12.05</v>
      </c>
    </row>
    <row r="186" spans="1:11" x14ac:dyDescent="0.3">
      <c r="A186" s="5" t="s">
        <v>2955</v>
      </c>
      <c r="B186" s="5" t="s">
        <v>78</v>
      </c>
      <c r="C186" s="5" t="s">
        <v>5220</v>
      </c>
      <c r="D186" s="28" t="s">
        <v>2490</v>
      </c>
      <c r="E186" s="5" t="s">
        <v>36</v>
      </c>
      <c r="F186" s="5" t="s">
        <v>5083</v>
      </c>
      <c r="G186" s="5" t="s">
        <v>5081</v>
      </c>
      <c r="H186" s="5" t="s">
        <v>2412</v>
      </c>
      <c r="I186" s="5">
        <v>6.53</v>
      </c>
      <c r="J186" s="6" t="str">
        <f t="shared" si="4"/>
        <v>1</v>
      </c>
      <c r="K186" s="6">
        <f t="shared" si="5"/>
        <v>6.53</v>
      </c>
    </row>
    <row r="187" spans="1:11" x14ac:dyDescent="0.3">
      <c r="A187" s="5" t="s">
        <v>4947</v>
      </c>
      <c r="B187" s="5" t="s">
        <v>45</v>
      </c>
      <c r="C187" s="5" t="s">
        <v>6231</v>
      </c>
      <c r="D187" s="28" t="s">
        <v>2490</v>
      </c>
      <c r="E187" s="5" t="s">
        <v>36</v>
      </c>
      <c r="F187" s="5" t="s">
        <v>5081</v>
      </c>
      <c r="G187" s="5" t="s">
        <v>5070</v>
      </c>
      <c r="H187" s="5" t="s">
        <v>2450</v>
      </c>
      <c r="I187" s="5">
        <v>3.56</v>
      </c>
      <c r="J187" s="6" t="str">
        <f t="shared" si="4"/>
        <v>1</v>
      </c>
      <c r="K187" s="6">
        <f t="shared" si="5"/>
        <v>3.56</v>
      </c>
    </row>
    <row r="188" spans="1:11" x14ac:dyDescent="0.3">
      <c r="A188" s="5" t="s">
        <v>5650</v>
      </c>
      <c r="B188" s="5" t="s">
        <v>45</v>
      </c>
      <c r="C188" s="5" t="s">
        <v>5651</v>
      </c>
      <c r="D188" s="28" t="s">
        <v>2490</v>
      </c>
      <c r="E188" s="5" t="s">
        <v>36</v>
      </c>
      <c r="F188" s="5" t="s">
        <v>5083</v>
      </c>
      <c r="G188" s="5" t="s">
        <v>5071</v>
      </c>
      <c r="H188" s="5" t="s">
        <v>2412</v>
      </c>
      <c r="I188" s="5">
        <v>2.21</v>
      </c>
      <c r="J188" s="6" t="str">
        <f t="shared" si="4"/>
        <v>1</v>
      </c>
      <c r="K188" s="6">
        <f t="shared" si="5"/>
        <v>2.21</v>
      </c>
    </row>
    <row r="189" spans="1:11" x14ac:dyDescent="0.3">
      <c r="A189" s="5" t="s">
        <v>6241</v>
      </c>
      <c r="B189" s="5" t="s">
        <v>45</v>
      </c>
      <c r="C189" s="5" t="s">
        <v>6242</v>
      </c>
      <c r="D189" s="28" t="s">
        <v>2490</v>
      </c>
      <c r="E189" s="5" t="s">
        <v>36</v>
      </c>
      <c r="F189" s="5" t="s">
        <v>5076</v>
      </c>
      <c r="G189" s="5" t="s">
        <v>5083</v>
      </c>
      <c r="H189" s="5" t="s">
        <v>2455</v>
      </c>
      <c r="I189" s="5">
        <v>8.1199999999999992</v>
      </c>
      <c r="J189" s="6" t="str">
        <f t="shared" si="4"/>
        <v>1</v>
      </c>
      <c r="K189" s="6">
        <f t="shared" si="5"/>
        <v>8.1199999999999992</v>
      </c>
    </row>
    <row r="190" spans="1:11" x14ac:dyDescent="0.3">
      <c r="A190" s="5" t="s">
        <v>5123</v>
      </c>
      <c r="B190" s="5" t="s">
        <v>45</v>
      </c>
      <c r="C190" s="5" t="s">
        <v>5124</v>
      </c>
      <c r="D190" s="28" t="s">
        <v>2490</v>
      </c>
      <c r="E190" s="5" t="s">
        <v>36</v>
      </c>
      <c r="F190" s="5" t="s">
        <v>5070</v>
      </c>
      <c r="G190" s="5" t="s">
        <v>5073</v>
      </c>
      <c r="H190" s="5" t="s">
        <v>2455</v>
      </c>
      <c r="I190" s="5">
        <v>7.76</v>
      </c>
      <c r="J190" s="6" t="str">
        <f t="shared" si="4"/>
        <v>1</v>
      </c>
      <c r="K190" s="6">
        <f t="shared" si="5"/>
        <v>7.76</v>
      </c>
    </row>
    <row r="191" spans="1:11" x14ac:dyDescent="0.3">
      <c r="A191" s="5" t="s">
        <v>4014</v>
      </c>
      <c r="B191" s="5" t="s">
        <v>45</v>
      </c>
      <c r="C191" s="5" t="s">
        <v>5254</v>
      </c>
      <c r="D191" s="28" t="s">
        <v>2490</v>
      </c>
      <c r="E191" s="5" t="s">
        <v>36</v>
      </c>
      <c r="F191" s="5" t="s">
        <v>5070</v>
      </c>
      <c r="G191" s="5" t="s">
        <v>5081</v>
      </c>
      <c r="H191" s="5" t="s">
        <v>2455</v>
      </c>
      <c r="I191" s="5">
        <v>18.77</v>
      </c>
      <c r="J191" s="6" t="str">
        <f t="shared" si="4"/>
        <v>1</v>
      </c>
      <c r="K191" s="6">
        <f t="shared" si="5"/>
        <v>18.77</v>
      </c>
    </row>
    <row r="192" spans="1:11" x14ac:dyDescent="0.3">
      <c r="A192" s="5" t="s">
        <v>6576</v>
      </c>
      <c r="B192" s="5" t="s">
        <v>45</v>
      </c>
      <c r="C192" s="5" t="s">
        <v>6577</v>
      </c>
      <c r="D192" s="28" t="s">
        <v>2490</v>
      </c>
      <c r="E192" s="5" t="s">
        <v>36</v>
      </c>
      <c r="F192" s="5" t="s">
        <v>5073</v>
      </c>
      <c r="G192" s="5" t="s">
        <v>5081</v>
      </c>
      <c r="H192" s="5" t="s">
        <v>2408</v>
      </c>
      <c r="I192" s="5">
        <v>10.28</v>
      </c>
      <c r="J192" s="6" t="str">
        <f t="shared" si="4"/>
        <v>0</v>
      </c>
      <c r="K192" s="6">
        <f t="shared" si="5"/>
        <v>10.28</v>
      </c>
    </row>
    <row r="193" spans="1:11" x14ac:dyDescent="0.3">
      <c r="A193" s="5" t="s">
        <v>4994</v>
      </c>
      <c r="B193" s="5" t="s">
        <v>45</v>
      </c>
      <c r="C193" s="5" t="s">
        <v>5204</v>
      </c>
      <c r="D193" s="28" t="s">
        <v>2490</v>
      </c>
      <c r="E193" s="5" t="s">
        <v>36</v>
      </c>
      <c r="F193" s="5" t="s">
        <v>5071</v>
      </c>
      <c r="G193" s="5" t="s">
        <v>5070</v>
      </c>
      <c r="H193" s="5" t="s">
        <v>2408</v>
      </c>
      <c r="I193" s="5">
        <v>6.94</v>
      </c>
      <c r="J193" s="6" t="str">
        <f t="shared" si="4"/>
        <v>0</v>
      </c>
      <c r="K193" s="6">
        <f t="shared" si="5"/>
        <v>6.94</v>
      </c>
    </row>
    <row r="194" spans="1:11" x14ac:dyDescent="0.3">
      <c r="A194" s="5" t="s">
        <v>4710</v>
      </c>
      <c r="B194" s="5" t="s">
        <v>45</v>
      </c>
      <c r="C194" s="5" t="s">
        <v>5738</v>
      </c>
      <c r="D194" s="28" t="s">
        <v>2490</v>
      </c>
      <c r="E194" s="5" t="s">
        <v>36</v>
      </c>
      <c r="F194" s="5" t="s">
        <v>5083</v>
      </c>
      <c r="G194" s="5" t="s">
        <v>5076</v>
      </c>
      <c r="H194" s="5" t="s">
        <v>2435</v>
      </c>
      <c r="I194" s="5">
        <v>6.72</v>
      </c>
      <c r="J194" s="6" t="str">
        <f t="shared" ref="J194:J257" si="6">IF(OR(LOWER(TRIM(H194))="0",LOWER(TRIM(H194))="ZERO"),"0",IF(OR(LOWER(TRIM(H194))="1",LOWER(TRIM(H194))="one"),"1",IF(OR(LOWER(TRIM(H194))="2",LOWER(TRIM(H194))="two"),"2",IF(OR(LOWER(TRIM(H194))="2+",LOWER(TRIM(H194))="two_or_more",LOWER(TRIM(H194))="multiple"),"2+","Unknown"))))</f>
        <v>0</v>
      </c>
      <c r="K194" s="6">
        <f t="shared" si="5"/>
        <v>6.72</v>
      </c>
    </row>
    <row r="195" spans="1:11" x14ac:dyDescent="0.3">
      <c r="A195" s="5" t="s">
        <v>6585</v>
      </c>
      <c r="B195" s="5" t="s">
        <v>14</v>
      </c>
      <c r="C195" s="5" t="s">
        <v>6586</v>
      </c>
      <c r="D195" s="28" t="s">
        <v>2490</v>
      </c>
      <c r="E195" s="5" t="s">
        <v>36</v>
      </c>
      <c r="F195" s="5" t="s">
        <v>5073</v>
      </c>
      <c r="G195" s="5" t="s">
        <v>5070</v>
      </c>
      <c r="H195" s="5" t="s">
        <v>2435</v>
      </c>
      <c r="I195" s="5">
        <v>9.8800000000000008</v>
      </c>
      <c r="J195" s="6" t="str">
        <f t="shared" si="6"/>
        <v>0</v>
      </c>
      <c r="K195" s="6">
        <f t="shared" ref="K195:K258" si="7">IF(I195="",ROUND(AVERAGEIF($B$2:$B$1000,B195,$I$2:$I$1000),1),I195)</f>
        <v>9.8800000000000008</v>
      </c>
    </row>
    <row r="196" spans="1:11" x14ac:dyDescent="0.3">
      <c r="A196" s="5" t="s">
        <v>3325</v>
      </c>
      <c r="B196" s="5" t="s">
        <v>14</v>
      </c>
      <c r="C196" s="5" t="s">
        <v>5582</v>
      </c>
      <c r="D196" s="28" t="s">
        <v>2490</v>
      </c>
      <c r="E196" s="5" t="s">
        <v>36</v>
      </c>
      <c r="F196" s="5" t="s">
        <v>5076</v>
      </c>
      <c r="G196" s="5" t="s">
        <v>5070</v>
      </c>
      <c r="H196" s="5" t="s">
        <v>2412</v>
      </c>
      <c r="I196" s="5">
        <v>3.83</v>
      </c>
      <c r="J196" s="6" t="str">
        <f t="shared" si="6"/>
        <v>1</v>
      </c>
      <c r="K196" s="6">
        <f t="shared" si="7"/>
        <v>3.83</v>
      </c>
    </row>
    <row r="197" spans="1:11" x14ac:dyDescent="0.3">
      <c r="A197" s="5" t="s">
        <v>5168</v>
      </c>
      <c r="B197" s="5" t="s">
        <v>14</v>
      </c>
      <c r="C197" s="5" t="s">
        <v>5169</v>
      </c>
      <c r="D197" s="28" t="s">
        <v>2490</v>
      </c>
      <c r="E197" s="5" t="s">
        <v>36</v>
      </c>
      <c r="F197" s="5" t="s">
        <v>5083</v>
      </c>
      <c r="G197" s="5" t="s">
        <v>5081</v>
      </c>
      <c r="H197" s="5" t="s">
        <v>2477</v>
      </c>
      <c r="I197" s="5">
        <v>19.52</v>
      </c>
      <c r="J197" s="6" t="str">
        <f t="shared" si="6"/>
        <v>0</v>
      </c>
      <c r="K197" s="6">
        <f t="shared" si="7"/>
        <v>19.52</v>
      </c>
    </row>
    <row r="198" spans="1:11" x14ac:dyDescent="0.3">
      <c r="A198" s="5" t="s">
        <v>4021</v>
      </c>
      <c r="B198" s="5" t="s">
        <v>14</v>
      </c>
      <c r="C198" s="5" t="s">
        <v>5634</v>
      </c>
      <c r="D198" s="28" t="s">
        <v>2490</v>
      </c>
      <c r="E198" s="5" t="s">
        <v>36</v>
      </c>
      <c r="F198" s="5" t="s">
        <v>5070</v>
      </c>
      <c r="G198" s="5" t="s">
        <v>5076</v>
      </c>
      <c r="H198" s="5" t="s">
        <v>2993</v>
      </c>
      <c r="I198" s="5">
        <v>2.33</v>
      </c>
      <c r="J198" s="6" t="str">
        <f t="shared" si="6"/>
        <v>2+</v>
      </c>
      <c r="K198" s="6">
        <f t="shared" si="7"/>
        <v>2.33</v>
      </c>
    </row>
    <row r="199" spans="1:11" x14ac:dyDescent="0.3">
      <c r="A199" s="5" t="s">
        <v>3916</v>
      </c>
      <c r="B199" s="5" t="s">
        <v>14</v>
      </c>
      <c r="C199" s="5" t="s">
        <v>6041</v>
      </c>
      <c r="D199" s="28" t="s">
        <v>2490</v>
      </c>
      <c r="E199" s="5" t="s">
        <v>36</v>
      </c>
      <c r="F199" s="5" t="s">
        <v>5081</v>
      </c>
      <c r="G199" s="5" t="s">
        <v>5076</v>
      </c>
      <c r="H199" s="5" t="s">
        <v>2477</v>
      </c>
      <c r="I199" s="5">
        <v>18.059999999999999</v>
      </c>
      <c r="J199" s="6" t="str">
        <f t="shared" si="6"/>
        <v>0</v>
      </c>
      <c r="K199" s="6">
        <f t="shared" si="7"/>
        <v>18.059999999999999</v>
      </c>
    </row>
    <row r="200" spans="1:11" x14ac:dyDescent="0.3">
      <c r="A200" s="5" t="s">
        <v>5824</v>
      </c>
      <c r="B200" s="5" t="s">
        <v>14</v>
      </c>
      <c r="C200" s="5" t="s">
        <v>5825</v>
      </c>
      <c r="D200" s="28" t="s">
        <v>2490</v>
      </c>
      <c r="E200" s="5" t="s">
        <v>36</v>
      </c>
      <c r="F200" s="5" t="s">
        <v>5070</v>
      </c>
      <c r="G200" s="5" t="s">
        <v>5071</v>
      </c>
      <c r="H200" s="5" t="s">
        <v>2486</v>
      </c>
      <c r="I200" s="5"/>
      <c r="J200" s="6" t="str">
        <f t="shared" si="6"/>
        <v>2+</v>
      </c>
      <c r="K200" s="6">
        <f t="shared" si="7"/>
        <v>11</v>
      </c>
    </row>
    <row r="201" spans="1:11" x14ac:dyDescent="0.3">
      <c r="A201" s="5" t="s">
        <v>2489</v>
      </c>
      <c r="B201" s="5" t="s">
        <v>14</v>
      </c>
      <c r="C201" s="5" t="s">
        <v>5794</v>
      </c>
      <c r="D201" s="28" t="s">
        <v>2490</v>
      </c>
      <c r="E201" s="5" t="s">
        <v>36</v>
      </c>
      <c r="F201" s="5" t="s">
        <v>5073</v>
      </c>
      <c r="G201" s="5" t="s">
        <v>5081</v>
      </c>
      <c r="H201" s="5" t="s">
        <v>2435</v>
      </c>
      <c r="I201" s="5">
        <v>14.51</v>
      </c>
      <c r="J201" s="6" t="str">
        <f t="shared" si="6"/>
        <v>0</v>
      </c>
      <c r="K201" s="6">
        <f t="shared" si="7"/>
        <v>14.51</v>
      </c>
    </row>
    <row r="202" spans="1:11" x14ac:dyDescent="0.3">
      <c r="A202" s="5" t="s">
        <v>3494</v>
      </c>
      <c r="B202" s="5" t="s">
        <v>14</v>
      </c>
      <c r="C202" s="5" t="s">
        <v>6515</v>
      </c>
      <c r="D202" s="28" t="s">
        <v>2490</v>
      </c>
      <c r="E202" s="5" t="s">
        <v>36</v>
      </c>
      <c r="F202" s="5" t="s">
        <v>5076</v>
      </c>
      <c r="G202" s="5" t="s">
        <v>5081</v>
      </c>
      <c r="H202" s="5" t="s">
        <v>2423</v>
      </c>
      <c r="I202" s="5">
        <v>9.18</v>
      </c>
      <c r="J202" s="6" t="str">
        <f t="shared" si="6"/>
        <v>0</v>
      </c>
      <c r="K202" s="6">
        <f t="shared" si="7"/>
        <v>9.18</v>
      </c>
    </row>
    <row r="203" spans="1:11" x14ac:dyDescent="0.3">
      <c r="A203" s="5" t="s">
        <v>6289</v>
      </c>
      <c r="B203" s="5" t="s">
        <v>117</v>
      </c>
      <c r="C203" s="5" t="s">
        <v>6290</v>
      </c>
      <c r="D203" s="28" t="s">
        <v>2490</v>
      </c>
      <c r="E203" s="5" t="s">
        <v>36</v>
      </c>
      <c r="F203" s="5" t="s">
        <v>5070</v>
      </c>
      <c r="G203" s="5" t="s">
        <v>5070</v>
      </c>
      <c r="H203" s="5" t="s">
        <v>2455</v>
      </c>
      <c r="I203" s="5">
        <v>13.64</v>
      </c>
      <c r="J203" s="6" t="str">
        <f t="shared" si="6"/>
        <v>1</v>
      </c>
      <c r="K203" s="6">
        <f t="shared" si="7"/>
        <v>13.64</v>
      </c>
    </row>
    <row r="204" spans="1:11" x14ac:dyDescent="0.3">
      <c r="A204" s="5" t="s">
        <v>5538</v>
      </c>
      <c r="B204" s="5" t="s">
        <v>117</v>
      </c>
      <c r="C204" s="5" t="s">
        <v>5539</v>
      </c>
      <c r="D204" s="28" t="s">
        <v>2490</v>
      </c>
      <c r="E204" s="5" t="s">
        <v>36</v>
      </c>
      <c r="F204" s="5" t="s">
        <v>5071</v>
      </c>
      <c r="G204" s="5" t="s">
        <v>5073</v>
      </c>
      <c r="H204" s="5" t="s">
        <v>2477</v>
      </c>
      <c r="I204" s="5">
        <v>8.93</v>
      </c>
      <c r="J204" s="6" t="str">
        <f t="shared" si="6"/>
        <v>0</v>
      </c>
      <c r="K204" s="6">
        <f t="shared" si="7"/>
        <v>8.93</v>
      </c>
    </row>
    <row r="205" spans="1:11" x14ac:dyDescent="0.3">
      <c r="A205" s="5" t="s">
        <v>4165</v>
      </c>
      <c r="B205" s="5" t="s">
        <v>117</v>
      </c>
      <c r="C205" s="5" t="s">
        <v>6365</v>
      </c>
      <c r="D205" s="28" t="s">
        <v>2490</v>
      </c>
      <c r="E205" s="5" t="s">
        <v>36</v>
      </c>
      <c r="F205" s="5" t="s">
        <v>5083</v>
      </c>
      <c r="G205" s="5" t="s">
        <v>5071</v>
      </c>
      <c r="H205" s="5" t="s">
        <v>2418</v>
      </c>
      <c r="I205" s="5">
        <v>4.43</v>
      </c>
      <c r="J205" s="6" t="str">
        <f t="shared" si="6"/>
        <v>1</v>
      </c>
      <c r="K205" s="6">
        <f t="shared" si="7"/>
        <v>4.43</v>
      </c>
    </row>
    <row r="206" spans="1:11" x14ac:dyDescent="0.3">
      <c r="A206" s="5" t="s">
        <v>3798</v>
      </c>
      <c r="B206" s="5" t="s">
        <v>117</v>
      </c>
      <c r="C206" s="5" t="s">
        <v>5208</v>
      </c>
      <c r="D206" s="28" t="s">
        <v>2490</v>
      </c>
      <c r="E206" s="5" t="s">
        <v>36</v>
      </c>
      <c r="F206" s="5" t="s">
        <v>5076</v>
      </c>
      <c r="G206" s="5" t="s">
        <v>5073</v>
      </c>
      <c r="H206" s="5" t="s">
        <v>2993</v>
      </c>
      <c r="I206" s="5">
        <v>17.809999999999999</v>
      </c>
      <c r="J206" s="6" t="str">
        <f t="shared" si="6"/>
        <v>2+</v>
      </c>
      <c r="K206" s="6">
        <f t="shared" si="7"/>
        <v>17.809999999999999</v>
      </c>
    </row>
    <row r="207" spans="1:11" x14ac:dyDescent="0.3">
      <c r="A207" s="5" t="s">
        <v>5349</v>
      </c>
      <c r="B207" s="5" t="s">
        <v>117</v>
      </c>
      <c r="C207" s="5" t="s">
        <v>5350</v>
      </c>
      <c r="D207" s="28" t="s">
        <v>2490</v>
      </c>
      <c r="E207" s="5" t="s">
        <v>36</v>
      </c>
      <c r="F207" s="5" t="s">
        <v>5081</v>
      </c>
      <c r="G207" s="5" t="s">
        <v>5081</v>
      </c>
      <c r="H207" s="5" t="s">
        <v>2435</v>
      </c>
      <c r="I207" s="5">
        <v>8.51</v>
      </c>
      <c r="J207" s="6" t="str">
        <f t="shared" si="6"/>
        <v>0</v>
      </c>
      <c r="K207" s="6">
        <f t="shared" si="7"/>
        <v>8.51</v>
      </c>
    </row>
    <row r="208" spans="1:11" x14ac:dyDescent="0.3">
      <c r="A208" s="5" t="s">
        <v>3900</v>
      </c>
      <c r="B208" s="5" t="s">
        <v>117</v>
      </c>
      <c r="C208" s="5" t="s">
        <v>5421</v>
      </c>
      <c r="D208" s="28" t="s">
        <v>2490</v>
      </c>
      <c r="E208" s="5" t="s">
        <v>36</v>
      </c>
      <c r="F208" s="5" t="s">
        <v>5083</v>
      </c>
      <c r="G208" s="5" t="s">
        <v>5073</v>
      </c>
      <c r="H208" s="5" t="s">
        <v>2455</v>
      </c>
      <c r="I208" s="5">
        <v>6.66</v>
      </c>
      <c r="J208" s="6" t="str">
        <f t="shared" si="6"/>
        <v>1</v>
      </c>
      <c r="K208" s="6">
        <f t="shared" si="7"/>
        <v>6.66</v>
      </c>
    </row>
    <row r="209" spans="1:11" x14ac:dyDescent="0.3">
      <c r="A209" s="5" t="s">
        <v>3060</v>
      </c>
      <c r="B209" s="5" t="s">
        <v>117</v>
      </c>
      <c r="C209" s="5" t="s">
        <v>6545</v>
      </c>
      <c r="D209" s="28" t="s">
        <v>2490</v>
      </c>
      <c r="E209" s="5" t="s">
        <v>36</v>
      </c>
      <c r="F209" s="5" t="s">
        <v>5083</v>
      </c>
      <c r="G209" s="5" t="s">
        <v>5083</v>
      </c>
      <c r="H209" s="5" t="s">
        <v>2450</v>
      </c>
      <c r="I209" s="5">
        <v>5.36</v>
      </c>
      <c r="J209" s="6" t="str">
        <f t="shared" si="6"/>
        <v>1</v>
      </c>
      <c r="K209" s="6">
        <f t="shared" si="7"/>
        <v>5.36</v>
      </c>
    </row>
    <row r="210" spans="1:11" x14ac:dyDescent="0.3">
      <c r="A210" s="5" t="s">
        <v>4249</v>
      </c>
      <c r="B210" s="5" t="s">
        <v>117</v>
      </c>
      <c r="C210" s="5" t="s">
        <v>6170</v>
      </c>
      <c r="D210" s="28" t="s">
        <v>2490</v>
      </c>
      <c r="E210" s="5" t="s">
        <v>36</v>
      </c>
      <c r="F210" s="5" t="s">
        <v>5081</v>
      </c>
      <c r="G210" s="5" t="s">
        <v>5071</v>
      </c>
      <c r="H210" s="5" t="s">
        <v>2477</v>
      </c>
      <c r="I210" s="5">
        <v>3.15</v>
      </c>
      <c r="J210" s="6" t="str">
        <f t="shared" si="6"/>
        <v>0</v>
      </c>
      <c r="K210" s="6">
        <f t="shared" si="7"/>
        <v>3.15</v>
      </c>
    </row>
    <row r="211" spans="1:11" x14ac:dyDescent="0.3">
      <c r="A211" s="5" t="s">
        <v>3281</v>
      </c>
      <c r="B211" s="5" t="s">
        <v>25</v>
      </c>
      <c r="C211" s="5" t="s">
        <v>5659</v>
      </c>
      <c r="D211" s="28" t="s">
        <v>2490</v>
      </c>
      <c r="E211" s="5" t="s">
        <v>36</v>
      </c>
      <c r="F211" s="5" t="s">
        <v>5071</v>
      </c>
      <c r="G211" s="5" t="s">
        <v>5071</v>
      </c>
      <c r="H211" s="5" t="s">
        <v>2505</v>
      </c>
      <c r="I211" s="5">
        <v>7.46</v>
      </c>
      <c r="J211" s="6" t="str">
        <f t="shared" si="6"/>
        <v>2+</v>
      </c>
      <c r="K211" s="6">
        <f t="shared" si="7"/>
        <v>7.46</v>
      </c>
    </row>
    <row r="212" spans="1:11" x14ac:dyDescent="0.3">
      <c r="A212" s="5" t="s">
        <v>5979</v>
      </c>
      <c r="B212" s="5" t="s">
        <v>25</v>
      </c>
      <c r="C212" s="5" t="s">
        <v>5980</v>
      </c>
      <c r="D212" s="28" t="s">
        <v>2490</v>
      </c>
      <c r="E212" s="5" t="s">
        <v>36</v>
      </c>
      <c r="F212" s="5" t="s">
        <v>5083</v>
      </c>
      <c r="G212" s="5" t="s">
        <v>5081</v>
      </c>
      <c r="H212" s="5" t="s">
        <v>2505</v>
      </c>
      <c r="I212" s="5">
        <v>10.18</v>
      </c>
      <c r="J212" s="6" t="str">
        <f t="shared" si="6"/>
        <v>2+</v>
      </c>
      <c r="K212" s="6">
        <f t="shared" si="7"/>
        <v>10.18</v>
      </c>
    </row>
    <row r="213" spans="1:11" x14ac:dyDescent="0.3">
      <c r="A213" s="5" t="s">
        <v>2510</v>
      </c>
      <c r="B213" s="5" t="s">
        <v>25</v>
      </c>
      <c r="C213" s="5" t="s">
        <v>6016</v>
      </c>
      <c r="D213" s="28" t="s">
        <v>2490</v>
      </c>
      <c r="E213" s="5" t="s">
        <v>36</v>
      </c>
      <c r="F213" s="5" t="s">
        <v>5076</v>
      </c>
      <c r="G213" s="5" t="s">
        <v>5071</v>
      </c>
      <c r="H213" s="5" t="s">
        <v>2435</v>
      </c>
      <c r="I213" s="5">
        <v>16.66</v>
      </c>
      <c r="J213" s="6" t="str">
        <f t="shared" si="6"/>
        <v>0</v>
      </c>
      <c r="K213" s="6">
        <f t="shared" si="7"/>
        <v>16.66</v>
      </c>
    </row>
    <row r="214" spans="1:11" x14ac:dyDescent="0.3">
      <c r="A214" s="5" t="s">
        <v>4496</v>
      </c>
      <c r="B214" s="5" t="s">
        <v>25</v>
      </c>
      <c r="C214" s="5" t="s">
        <v>6474</v>
      </c>
      <c r="D214" s="28" t="s">
        <v>2490</v>
      </c>
      <c r="E214" s="5" t="s">
        <v>36</v>
      </c>
      <c r="F214" s="5" t="s">
        <v>5081</v>
      </c>
      <c r="G214" s="5" t="s">
        <v>5081</v>
      </c>
      <c r="H214" s="5" t="s">
        <v>2435</v>
      </c>
      <c r="I214" s="5">
        <v>19.28</v>
      </c>
      <c r="J214" s="6" t="str">
        <f t="shared" si="6"/>
        <v>0</v>
      </c>
      <c r="K214" s="6">
        <f t="shared" si="7"/>
        <v>19.28</v>
      </c>
    </row>
    <row r="215" spans="1:11" x14ac:dyDescent="0.3">
      <c r="A215" s="5" t="s">
        <v>6056</v>
      </c>
      <c r="B215" s="5" t="s">
        <v>25</v>
      </c>
      <c r="C215" s="5" t="s">
        <v>6057</v>
      </c>
      <c r="D215" s="28" t="s">
        <v>2490</v>
      </c>
      <c r="E215" s="5" t="s">
        <v>36</v>
      </c>
      <c r="F215" s="5" t="s">
        <v>5076</v>
      </c>
      <c r="G215" s="5" t="s">
        <v>5076</v>
      </c>
      <c r="H215" s="5" t="s">
        <v>2435</v>
      </c>
      <c r="I215" s="5">
        <v>4.6500000000000004</v>
      </c>
      <c r="J215" s="6" t="str">
        <f t="shared" si="6"/>
        <v>0</v>
      </c>
      <c r="K215" s="6">
        <f t="shared" si="7"/>
        <v>4.6500000000000004</v>
      </c>
    </row>
    <row r="216" spans="1:11" x14ac:dyDescent="0.3">
      <c r="A216" s="5" t="s">
        <v>6253</v>
      </c>
      <c r="B216" s="5" t="s">
        <v>25</v>
      </c>
      <c r="C216" s="5" t="s">
        <v>6254</v>
      </c>
      <c r="D216" s="28" t="s">
        <v>2490</v>
      </c>
      <c r="E216" s="5" t="s">
        <v>36</v>
      </c>
      <c r="F216" s="5" t="s">
        <v>5073</v>
      </c>
      <c r="G216" s="5" t="s">
        <v>5070</v>
      </c>
      <c r="H216" s="5" t="s">
        <v>2455</v>
      </c>
      <c r="I216" s="5">
        <v>7.18</v>
      </c>
      <c r="J216" s="6" t="str">
        <f t="shared" si="6"/>
        <v>1</v>
      </c>
      <c r="K216" s="6">
        <f t="shared" si="7"/>
        <v>7.18</v>
      </c>
    </row>
    <row r="217" spans="1:11" x14ac:dyDescent="0.3">
      <c r="A217" s="5" t="s">
        <v>3687</v>
      </c>
      <c r="B217" s="5" t="s">
        <v>25</v>
      </c>
      <c r="C217" s="5" t="s">
        <v>5127</v>
      </c>
      <c r="D217" s="28" t="s">
        <v>2490</v>
      </c>
      <c r="E217" s="5" t="s">
        <v>36</v>
      </c>
      <c r="F217" s="5" t="s">
        <v>5073</v>
      </c>
      <c r="G217" s="5" t="s">
        <v>5081</v>
      </c>
      <c r="H217" s="5" t="s">
        <v>2435</v>
      </c>
      <c r="I217" s="5">
        <v>3.69</v>
      </c>
      <c r="J217" s="6" t="str">
        <f t="shared" si="6"/>
        <v>0</v>
      </c>
      <c r="K217" s="6">
        <f t="shared" si="7"/>
        <v>3.69</v>
      </c>
    </row>
    <row r="218" spans="1:11" x14ac:dyDescent="0.3">
      <c r="A218" s="5" t="s">
        <v>4361</v>
      </c>
      <c r="B218" s="5" t="s">
        <v>25</v>
      </c>
      <c r="C218" s="5" t="s">
        <v>6568</v>
      </c>
      <c r="D218" s="28" t="s">
        <v>2490</v>
      </c>
      <c r="E218" s="5" t="s">
        <v>36</v>
      </c>
      <c r="F218" s="5" t="s">
        <v>5083</v>
      </c>
      <c r="G218" s="5" t="s">
        <v>5073</v>
      </c>
      <c r="H218" s="5" t="s">
        <v>2412</v>
      </c>
      <c r="I218" s="5">
        <v>13.31</v>
      </c>
      <c r="J218" s="6" t="str">
        <f t="shared" si="6"/>
        <v>1</v>
      </c>
      <c r="K218" s="6">
        <f t="shared" si="7"/>
        <v>13.31</v>
      </c>
    </row>
    <row r="219" spans="1:11" x14ac:dyDescent="0.3">
      <c r="A219" s="5" t="s">
        <v>5764</v>
      </c>
      <c r="B219" s="5" t="s">
        <v>106</v>
      </c>
      <c r="C219" s="5" t="s">
        <v>5765</v>
      </c>
      <c r="D219" s="28" t="s">
        <v>2490</v>
      </c>
      <c r="E219" s="5" t="s">
        <v>36</v>
      </c>
      <c r="F219" s="5" t="s">
        <v>5073</v>
      </c>
      <c r="G219" s="5" t="s">
        <v>5081</v>
      </c>
      <c r="H219" s="5" t="s">
        <v>2412</v>
      </c>
      <c r="I219" s="5">
        <v>3.81</v>
      </c>
      <c r="J219" s="6" t="str">
        <f t="shared" si="6"/>
        <v>1</v>
      </c>
      <c r="K219" s="6">
        <f t="shared" si="7"/>
        <v>3.81</v>
      </c>
    </row>
    <row r="220" spans="1:11" x14ac:dyDescent="0.3">
      <c r="A220" s="5" t="s">
        <v>4242</v>
      </c>
      <c r="B220" s="5" t="s">
        <v>106</v>
      </c>
      <c r="C220" s="5" t="s">
        <v>6214</v>
      </c>
      <c r="D220" s="28" t="s">
        <v>2490</v>
      </c>
      <c r="E220" s="5" t="s">
        <v>36</v>
      </c>
      <c r="F220" s="5" t="s">
        <v>5076</v>
      </c>
      <c r="G220" s="5" t="s">
        <v>5083</v>
      </c>
      <c r="H220" s="5" t="s">
        <v>2505</v>
      </c>
      <c r="I220" s="5"/>
      <c r="J220" s="6" t="str">
        <f t="shared" si="6"/>
        <v>2+</v>
      </c>
      <c r="K220" s="6">
        <f t="shared" si="7"/>
        <v>10.1</v>
      </c>
    </row>
    <row r="221" spans="1:11" x14ac:dyDescent="0.3">
      <c r="A221" s="5" t="s">
        <v>6106</v>
      </c>
      <c r="B221" s="5" t="s">
        <v>106</v>
      </c>
      <c r="C221" s="5" t="s">
        <v>6107</v>
      </c>
      <c r="D221" s="28" t="s">
        <v>2490</v>
      </c>
      <c r="E221" s="5" t="s">
        <v>36</v>
      </c>
      <c r="F221" s="5" t="s">
        <v>5081</v>
      </c>
      <c r="G221" s="5" t="s">
        <v>5071</v>
      </c>
      <c r="H221" s="5" t="s">
        <v>2418</v>
      </c>
      <c r="I221" s="5"/>
      <c r="J221" s="6" t="str">
        <f t="shared" si="6"/>
        <v>1</v>
      </c>
      <c r="K221" s="6">
        <f t="shared" si="7"/>
        <v>10.1</v>
      </c>
    </row>
    <row r="222" spans="1:11" x14ac:dyDescent="0.3">
      <c r="A222" s="5" t="s">
        <v>2930</v>
      </c>
      <c r="B222" s="5" t="s">
        <v>106</v>
      </c>
      <c r="C222" s="5" t="s">
        <v>5580</v>
      </c>
      <c r="D222" s="28" t="s">
        <v>2490</v>
      </c>
      <c r="E222" s="5" t="s">
        <v>36</v>
      </c>
      <c r="F222" s="5" t="s">
        <v>5081</v>
      </c>
      <c r="G222" s="5" t="s">
        <v>5073</v>
      </c>
      <c r="H222" s="5" t="s">
        <v>2428</v>
      </c>
      <c r="I222" s="5">
        <v>8.68</v>
      </c>
      <c r="J222" s="6" t="str">
        <f t="shared" si="6"/>
        <v>2</v>
      </c>
      <c r="K222" s="6">
        <f t="shared" si="7"/>
        <v>8.68</v>
      </c>
    </row>
    <row r="223" spans="1:11" x14ac:dyDescent="0.3">
      <c r="A223" s="5" t="s">
        <v>3753</v>
      </c>
      <c r="B223" s="5" t="s">
        <v>106</v>
      </c>
      <c r="C223" s="5" t="s">
        <v>6248</v>
      </c>
      <c r="D223" s="28" t="s">
        <v>2490</v>
      </c>
      <c r="E223" s="5" t="s">
        <v>36</v>
      </c>
      <c r="F223" s="5" t="s">
        <v>5076</v>
      </c>
      <c r="G223" s="5" t="s">
        <v>5081</v>
      </c>
      <c r="H223" s="5" t="s">
        <v>2450</v>
      </c>
      <c r="I223" s="5">
        <v>14.61</v>
      </c>
      <c r="J223" s="6" t="str">
        <f t="shared" si="6"/>
        <v>1</v>
      </c>
      <c r="K223" s="6">
        <f t="shared" si="7"/>
        <v>14.61</v>
      </c>
    </row>
    <row r="224" spans="1:11" x14ac:dyDescent="0.3">
      <c r="A224" s="5" t="s">
        <v>6164</v>
      </c>
      <c r="B224" s="5" t="s">
        <v>106</v>
      </c>
      <c r="C224" s="5" t="s">
        <v>6165</v>
      </c>
      <c r="D224" s="28" t="s">
        <v>2490</v>
      </c>
      <c r="E224" s="5" t="s">
        <v>36</v>
      </c>
      <c r="F224" s="5" t="s">
        <v>5073</v>
      </c>
      <c r="G224" s="5" t="s">
        <v>5073</v>
      </c>
      <c r="H224" s="5" t="s">
        <v>2408</v>
      </c>
      <c r="I224" s="5">
        <v>9.77</v>
      </c>
      <c r="J224" s="6" t="str">
        <f t="shared" si="6"/>
        <v>0</v>
      </c>
      <c r="K224" s="6">
        <f t="shared" si="7"/>
        <v>9.77</v>
      </c>
    </row>
    <row r="225" spans="1:11" x14ac:dyDescent="0.3">
      <c r="A225" s="5" t="s">
        <v>6026</v>
      </c>
      <c r="B225" s="5" t="s">
        <v>78</v>
      </c>
      <c r="C225" s="5" t="s">
        <v>5464</v>
      </c>
      <c r="D225" s="28" t="s">
        <v>2561</v>
      </c>
      <c r="E225" s="5" t="s">
        <v>36</v>
      </c>
      <c r="F225" s="5" t="s">
        <v>5070</v>
      </c>
      <c r="G225" s="5" t="s">
        <v>5073</v>
      </c>
      <c r="H225" s="5" t="s">
        <v>2412</v>
      </c>
      <c r="I225" s="5">
        <v>2.8</v>
      </c>
      <c r="J225" s="6" t="str">
        <f t="shared" si="6"/>
        <v>1</v>
      </c>
      <c r="K225" s="6">
        <f t="shared" si="7"/>
        <v>2.8</v>
      </c>
    </row>
    <row r="226" spans="1:11" x14ac:dyDescent="0.3">
      <c r="A226" s="5" t="s">
        <v>2614</v>
      </c>
      <c r="B226" s="5" t="s">
        <v>78</v>
      </c>
      <c r="C226" s="5" t="s">
        <v>5387</v>
      </c>
      <c r="D226" s="28" t="s">
        <v>2561</v>
      </c>
      <c r="E226" s="5" t="s">
        <v>36</v>
      </c>
      <c r="F226" s="5" t="s">
        <v>5076</v>
      </c>
      <c r="G226" s="5" t="s">
        <v>5081</v>
      </c>
      <c r="H226" s="5" t="s">
        <v>2477</v>
      </c>
      <c r="I226" s="5">
        <v>14.75</v>
      </c>
      <c r="J226" s="6" t="str">
        <f t="shared" si="6"/>
        <v>0</v>
      </c>
      <c r="K226" s="6">
        <f t="shared" si="7"/>
        <v>14.75</v>
      </c>
    </row>
    <row r="227" spans="1:11" x14ac:dyDescent="0.3">
      <c r="A227" s="5" t="s">
        <v>5272</v>
      </c>
      <c r="B227" s="5" t="s">
        <v>78</v>
      </c>
      <c r="C227" s="5" t="s">
        <v>5273</v>
      </c>
      <c r="D227" s="28" t="s">
        <v>2561</v>
      </c>
      <c r="E227" s="5" t="s">
        <v>36</v>
      </c>
      <c r="F227" s="5" t="s">
        <v>5070</v>
      </c>
      <c r="G227" s="5" t="s">
        <v>5070</v>
      </c>
      <c r="H227" s="5" t="s">
        <v>2435</v>
      </c>
      <c r="I227" s="5">
        <v>4.33</v>
      </c>
      <c r="J227" s="6" t="str">
        <f t="shared" si="6"/>
        <v>0</v>
      </c>
      <c r="K227" s="6">
        <f t="shared" si="7"/>
        <v>4.33</v>
      </c>
    </row>
    <row r="228" spans="1:11" x14ac:dyDescent="0.3">
      <c r="A228" s="5" t="s">
        <v>3671</v>
      </c>
      <c r="B228" s="5" t="s">
        <v>78</v>
      </c>
      <c r="C228" s="5" t="s">
        <v>5290</v>
      </c>
      <c r="D228" s="28" t="s">
        <v>2561</v>
      </c>
      <c r="E228" s="5" t="s">
        <v>36</v>
      </c>
      <c r="F228" s="5" t="s">
        <v>5070</v>
      </c>
      <c r="G228" s="5" t="s">
        <v>5076</v>
      </c>
      <c r="H228" s="5" t="s">
        <v>2477</v>
      </c>
      <c r="I228" s="5">
        <v>5.99</v>
      </c>
      <c r="J228" s="6" t="str">
        <f t="shared" si="6"/>
        <v>0</v>
      </c>
      <c r="K228" s="6">
        <f t="shared" si="7"/>
        <v>5.99</v>
      </c>
    </row>
    <row r="229" spans="1:11" x14ac:dyDescent="0.3">
      <c r="A229" s="5" t="s">
        <v>6413</v>
      </c>
      <c r="B229" s="5" t="s">
        <v>78</v>
      </c>
      <c r="C229" s="5" t="s">
        <v>6414</v>
      </c>
      <c r="D229" s="28" t="s">
        <v>2561</v>
      </c>
      <c r="E229" s="5" t="s">
        <v>36</v>
      </c>
      <c r="F229" s="5" t="s">
        <v>5076</v>
      </c>
      <c r="G229" s="5" t="s">
        <v>5071</v>
      </c>
      <c r="H229" s="5"/>
      <c r="I229" s="5">
        <v>17.190000000000001</v>
      </c>
      <c r="J229" s="6" t="str">
        <f t="shared" si="6"/>
        <v>Unknown</v>
      </c>
      <c r="K229" s="6">
        <f t="shared" si="7"/>
        <v>17.190000000000001</v>
      </c>
    </row>
    <row r="230" spans="1:11" x14ac:dyDescent="0.3">
      <c r="A230" s="5" t="s">
        <v>4027</v>
      </c>
      <c r="B230" s="5" t="s">
        <v>78</v>
      </c>
      <c r="C230" s="5" t="s">
        <v>5778</v>
      </c>
      <c r="D230" s="28" t="s">
        <v>2561</v>
      </c>
      <c r="E230" s="5" t="s">
        <v>36</v>
      </c>
      <c r="F230" s="5" t="s">
        <v>5076</v>
      </c>
      <c r="G230" s="5" t="s">
        <v>5070</v>
      </c>
      <c r="H230" s="5" t="s">
        <v>2412</v>
      </c>
      <c r="I230" s="5">
        <v>6.36</v>
      </c>
      <c r="J230" s="6" t="str">
        <f t="shared" si="6"/>
        <v>1</v>
      </c>
      <c r="K230" s="6">
        <f t="shared" si="7"/>
        <v>6.36</v>
      </c>
    </row>
    <row r="231" spans="1:11" x14ac:dyDescent="0.3">
      <c r="A231" s="5" t="s">
        <v>4019</v>
      </c>
      <c r="B231" s="5" t="s">
        <v>78</v>
      </c>
      <c r="C231" s="5" t="s">
        <v>6378</v>
      </c>
      <c r="D231" s="28" t="s">
        <v>2561</v>
      </c>
      <c r="E231" s="5" t="s">
        <v>36</v>
      </c>
      <c r="F231" s="5" t="s">
        <v>5073</v>
      </c>
      <c r="G231" s="5" t="s">
        <v>5071</v>
      </c>
      <c r="H231" s="5" t="s">
        <v>2423</v>
      </c>
      <c r="I231" s="5"/>
      <c r="J231" s="6" t="str">
        <f t="shared" si="6"/>
        <v>0</v>
      </c>
      <c r="K231" s="6">
        <f t="shared" si="7"/>
        <v>9.6999999999999993</v>
      </c>
    </row>
    <row r="232" spans="1:11" x14ac:dyDescent="0.3">
      <c r="A232" s="5" t="s">
        <v>3540</v>
      </c>
      <c r="B232" s="5" t="s">
        <v>78</v>
      </c>
      <c r="C232" s="5" t="s">
        <v>5498</v>
      </c>
      <c r="D232" s="28" t="s">
        <v>2561</v>
      </c>
      <c r="E232" s="5" t="s">
        <v>36</v>
      </c>
      <c r="F232" s="5" t="s">
        <v>5073</v>
      </c>
      <c r="G232" s="5" t="s">
        <v>5071</v>
      </c>
      <c r="H232" s="5" t="s">
        <v>2439</v>
      </c>
      <c r="I232" s="5">
        <v>9.06</v>
      </c>
      <c r="J232" s="6" t="str">
        <f t="shared" si="6"/>
        <v>2</v>
      </c>
      <c r="K232" s="6">
        <f t="shared" si="7"/>
        <v>9.06</v>
      </c>
    </row>
    <row r="233" spans="1:11" x14ac:dyDescent="0.3">
      <c r="A233" s="5" t="s">
        <v>5417</v>
      </c>
      <c r="B233" s="5" t="s">
        <v>78</v>
      </c>
      <c r="C233" s="5" t="s">
        <v>5418</v>
      </c>
      <c r="D233" s="28" t="s">
        <v>2561</v>
      </c>
      <c r="E233" s="5" t="s">
        <v>36</v>
      </c>
      <c r="F233" s="5" t="s">
        <v>5081</v>
      </c>
      <c r="G233" s="5" t="s">
        <v>5083</v>
      </c>
      <c r="H233" s="5" t="s">
        <v>2435</v>
      </c>
      <c r="I233" s="5">
        <v>6.89</v>
      </c>
      <c r="J233" s="6" t="str">
        <f t="shared" si="6"/>
        <v>0</v>
      </c>
      <c r="K233" s="6">
        <f t="shared" si="7"/>
        <v>6.89</v>
      </c>
    </row>
    <row r="234" spans="1:11" x14ac:dyDescent="0.3">
      <c r="A234" s="5" t="s">
        <v>4520</v>
      </c>
      <c r="B234" s="5" t="s">
        <v>45</v>
      </c>
      <c r="C234" s="5" t="s">
        <v>5885</v>
      </c>
      <c r="D234" s="28" t="s">
        <v>2561</v>
      </c>
      <c r="E234" s="5" t="s">
        <v>36</v>
      </c>
      <c r="F234" s="5" t="s">
        <v>5070</v>
      </c>
      <c r="G234" s="5" t="s">
        <v>5076</v>
      </c>
      <c r="H234" s="5" t="s">
        <v>2993</v>
      </c>
      <c r="I234" s="5">
        <v>9.33</v>
      </c>
      <c r="J234" s="6" t="str">
        <f t="shared" si="6"/>
        <v>2+</v>
      </c>
      <c r="K234" s="6">
        <f t="shared" si="7"/>
        <v>9.33</v>
      </c>
    </row>
    <row r="235" spans="1:11" x14ac:dyDescent="0.3">
      <c r="A235" s="5" t="s">
        <v>3794</v>
      </c>
      <c r="B235" s="5" t="s">
        <v>45</v>
      </c>
      <c r="C235" s="5" t="s">
        <v>5151</v>
      </c>
      <c r="D235" s="28" t="s">
        <v>2561</v>
      </c>
      <c r="E235" s="5" t="s">
        <v>36</v>
      </c>
      <c r="F235" s="5" t="s">
        <v>5073</v>
      </c>
      <c r="G235" s="5" t="s">
        <v>5071</v>
      </c>
      <c r="H235" s="5" t="s">
        <v>2477</v>
      </c>
      <c r="I235" s="5">
        <v>16.399999999999999</v>
      </c>
      <c r="J235" s="6" t="str">
        <f t="shared" si="6"/>
        <v>0</v>
      </c>
      <c r="K235" s="6">
        <f t="shared" si="7"/>
        <v>16.399999999999999</v>
      </c>
    </row>
    <row r="236" spans="1:11" x14ac:dyDescent="0.3">
      <c r="A236" s="5" t="s">
        <v>4816</v>
      </c>
      <c r="B236" s="5" t="s">
        <v>45</v>
      </c>
      <c r="C236" s="5" t="s">
        <v>5143</v>
      </c>
      <c r="D236" s="28" t="s">
        <v>2561</v>
      </c>
      <c r="E236" s="5" t="s">
        <v>36</v>
      </c>
      <c r="F236" s="5" t="s">
        <v>5073</v>
      </c>
      <c r="G236" s="5" t="s">
        <v>5076</v>
      </c>
      <c r="H236" s="5" t="s">
        <v>2435</v>
      </c>
      <c r="I236" s="5">
        <v>18.329999999999998</v>
      </c>
      <c r="J236" s="6" t="str">
        <f t="shared" si="6"/>
        <v>0</v>
      </c>
      <c r="K236" s="6">
        <f t="shared" si="7"/>
        <v>18.329999999999998</v>
      </c>
    </row>
    <row r="237" spans="1:11" x14ac:dyDescent="0.3">
      <c r="A237" s="5" t="s">
        <v>3941</v>
      </c>
      <c r="B237" s="5" t="s">
        <v>45</v>
      </c>
      <c r="C237" s="5" t="s">
        <v>5225</v>
      </c>
      <c r="D237" s="28" t="s">
        <v>2561</v>
      </c>
      <c r="E237" s="5" t="s">
        <v>36</v>
      </c>
      <c r="F237" s="5" t="s">
        <v>5083</v>
      </c>
      <c r="G237" s="5" t="s">
        <v>5083</v>
      </c>
      <c r="H237" s="5" t="s">
        <v>2505</v>
      </c>
      <c r="I237" s="5">
        <v>9.33</v>
      </c>
      <c r="J237" s="6" t="str">
        <f t="shared" si="6"/>
        <v>2+</v>
      </c>
      <c r="K237" s="6">
        <f t="shared" si="7"/>
        <v>9.33</v>
      </c>
    </row>
    <row r="238" spans="1:11" x14ac:dyDescent="0.3">
      <c r="A238" s="5" t="s">
        <v>5768</v>
      </c>
      <c r="B238" s="5" t="s">
        <v>45</v>
      </c>
      <c r="C238" s="5" t="s">
        <v>5769</v>
      </c>
      <c r="D238" s="28" t="s">
        <v>2561</v>
      </c>
      <c r="E238" s="5" t="s">
        <v>36</v>
      </c>
      <c r="F238" s="5" t="s">
        <v>5071</v>
      </c>
      <c r="G238" s="5" t="s">
        <v>5083</v>
      </c>
      <c r="H238" s="5" t="s">
        <v>2412</v>
      </c>
      <c r="I238" s="5">
        <v>7.42</v>
      </c>
      <c r="J238" s="6" t="str">
        <f t="shared" si="6"/>
        <v>1</v>
      </c>
      <c r="K238" s="6">
        <f t="shared" si="7"/>
        <v>7.42</v>
      </c>
    </row>
    <row r="239" spans="1:11" x14ac:dyDescent="0.3">
      <c r="A239" s="5" t="s">
        <v>4108</v>
      </c>
      <c r="B239" s="5" t="s">
        <v>45</v>
      </c>
      <c r="C239" s="5" t="s">
        <v>5788</v>
      </c>
      <c r="D239" s="28" t="s">
        <v>2561</v>
      </c>
      <c r="E239" s="5" t="s">
        <v>36</v>
      </c>
      <c r="F239" s="5" t="s">
        <v>5073</v>
      </c>
      <c r="G239" s="5" t="s">
        <v>5081</v>
      </c>
      <c r="H239" s="5" t="s">
        <v>2418</v>
      </c>
      <c r="I239" s="5">
        <v>16.559999999999999</v>
      </c>
      <c r="J239" s="6" t="str">
        <f t="shared" si="6"/>
        <v>1</v>
      </c>
      <c r="K239" s="6">
        <f t="shared" si="7"/>
        <v>16.559999999999999</v>
      </c>
    </row>
    <row r="240" spans="1:11" x14ac:dyDescent="0.3">
      <c r="A240" s="5" t="s">
        <v>2735</v>
      </c>
      <c r="B240" s="5" t="s">
        <v>45</v>
      </c>
      <c r="C240" s="5" t="s">
        <v>5213</v>
      </c>
      <c r="D240" s="28" t="s">
        <v>2561</v>
      </c>
      <c r="E240" s="5" t="s">
        <v>36</v>
      </c>
      <c r="F240" s="5" t="s">
        <v>5070</v>
      </c>
      <c r="G240" s="5" t="s">
        <v>5073</v>
      </c>
      <c r="H240" s="5" t="s">
        <v>2435</v>
      </c>
      <c r="I240" s="5">
        <v>10.59</v>
      </c>
      <c r="J240" s="6" t="str">
        <f t="shared" si="6"/>
        <v>0</v>
      </c>
      <c r="K240" s="6">
        <f t="shared" si="7"/>
        <v>10.59</v>
      </c>
    </row>
    <row r="241" spans="1:11" x14ac:dyDescent="0.3">
      <c r="A241" s="5" t="s">
        <v>3609</v>
      </c>
      <c r="B241" s="5" t="s">
        <v>14</v>
      </c>
      <c r="C241" s="5" t="s">
        <v>6006</v>
      </c>
      <c r="D241" s="28" t="s">
        <v>2561</v>
      </c>
      <c r="E241" s="5" t="s">
        <v>36</v>
      </c>
      <c r="F241" s="5" t="s">
        <v>5076</v>
      </c>
      <c r="G241" s="5" t="s">
        <v>5076</v>
      </c>
      <c r="H241" s="5"/>
      <c r="I241" s="5">
        <v>3.69</v>
      </c>
      <c r="J241" s="6" t="str">
        <f t="shared" si="6"/>
        <v>Unknown</v>
      </c>
      <c r="K241" s="6">
        <f t="shared" si="7"/>
        <v>3.69</v>
      </c>
    </row>
    <row r="242" spans="1:11" x14ac:dyDescent="0.3">
      <c r="A242" s="5" t="s">
        <v>4176</v>
      </c>
      <c r="B242" s="5" t="s">
        <v>14</v>
      </c>
      <c r="C242" s="5" t="s">
        <v>6287</v>
      </c>
      <c r="D242" s="28" t="s">
        <v>2561</v>
      </c>
      <c r="E242" s="5" t="s">
        <v>36</v>
      </c>
      <c r="F242" s="5" t="s">
        <v>5083</v>
      </c>
      <c r="G242" s="5" t="s">
        <v>5081</v>
      </c>
      <c r="H242" s="5" t="s">
        <v>2993</v>
      </c>
      <c r="I242" s="5">
        <v>9.31</v>
      </c>
      <c r="J242" s="6" t="str">
        <f t="shared" si="6"/>
        <v>2+</v>
      </c>
      <c r="K242" s="6">
        <f t="shared" si="7"/>
        <v>9.31</v>
      </c>
    </row>
    <row r="243" spans="1:11" x14ac:dyDescent="0.3">
      <c r="A243" s="5" t="s">
        <v>3261</v>
      </c>
      <c r="B243" s="5" t="s">
        <v>14</v>
      </c>
      <c r="C243" s="5" t="s">
        <v>5453</v>
      </c>
      <c r="D243" s="28" t="s">
        <v>2561</v>
      </c>
      <c r="E243" s="5" t="s">
        <v>36</v>
      </c>
      <c r="F243" s="5" t="s">
        <v>5070</v>
      </c>
      <c r="G243" s="5" t="s">
        <v>5076</v>
      </c>
      <c r="H243" s="5" t="s">
        <v>2435</v>
      </c>
      <c r="I243" s="5">
        <v>7.1</v>
      </c>
      <c r="J243" s="6" t="str">
        <f t="shared" si="6"/>
        <v>0</v>
      </c>
      <c r="K243" s="6">
        <f t="shared" si="7"/>
        <v>7.1</v>
      </c>
    </row>
    <row r="244" spans="1:11" x14ac:dyDescent="0.3">
      <c r="A244" s="5" t="s">
        <v>4282</v>
      </c>
      <c r="B244" s="5" t="s">
        <v>14</v>
      </c>
      <c r="C244" s="5" t="s">
        <v>6043</v>
      </c>
      <c r="D244" s="28" t="s">
        <v>2561</v>
      </c>
      <c r="E244" s="5" t="s">
        <v>36</v>
      </c>
      <c r="F244" s="5" t="s">
        <v>5071</v>
      </c>
      <c r="G244" s="5" t="s">
        <v>5071</v>
      </c>
      <c r="H244" s="5"/>
      <c r="I244" s="5"/>
      <c r="J244" s="6" t="str">
        <f t="shared" si="6"/>
        <v>Unknown</v>
      </c>
      <c r="K244" s="6">
        <f t="shared" si="7"/>
        <v>11</v>
      </c>
    </row>
    <row r="245" spans="1:11" x14ac:dyDescent="0.3">
      <c r="A245" s="5" t="s">
        <v>4608</v>
      </c>
      <c r="B245" s="5" t="s">
        <v>117</v>
      </c>
      <c r="C245" s="5" t="s">
        <v>6168</v>
      </c>
      <c r="D245" s="28" t="s">
        <v>2561</v>
      </c>
      <c r="E245" s="5" t="s">
        <v>36</v>
      </c>
      <c r="F245" s="5" t="s">
        <v>5081</v>
      </c>
      <c r="G245" s="5" t="s">
        <v>5070</v>
      </c>
      <c r="H245" s="5" t="s">
        <v>2423</v>
      </c>
      <c r="I245" s="5">
        <v>18.38</v>
      </c>
      <c r="J245" s="6" t="str">
        <f t="shared" si="6"/>
        <v>0</v>
      </c>
      <c r="K245" s="6">
        <f t="shared" si="7"/>
        <v>18.38</v>
      </c>
    </row>
    <row r="246" spans="1:11" x14ac:dyDescent="0.3">
      <c r="A246" s="5" t="s">
        <v>3162</v>
      </c>
      <c r="B246" s="5" t="s">
        <v>117</v>
      </c>
      <c r="C246" s="5" t="s">
        <v>5167</v>
      </c>
      <c r="D246" s="28" t="s">
        <v>2561</v>
      </c>
      <c r="E246" s="5" t="s">
        <v>36</v>
      </c>
      <c r="F246" s="5" t="s">
        <v>5076</v>
      </c>
      <c r="G246" s="5" t="s">
        <v>5083</v>
      </c>
      <c r="H246" s="5" t="s">
        <v>2477</v>
      </c>
      <c r="I246" s="5">
        <v>1.23</v>
      </c>
      <c r="J246" s="6" t="str">
        <f t="shared" si="6"/>
        <v>0</v>
      </c>
      <c r="K246" s="6">
        <f t="shared" si="7"/>
        <v>1.23</v>
      </c>
    </row>
    <row r="247" spans="1:11" x14ac:dyDescent="0.3">
      <c r="A247" s="5" t="s">
        <v>5496</v>
      </c>
      <c r="B247" s="5" t="s">
        <v>117</v>
      </c>
      <c r="C247" s="5" t="s">
        <v>5497</v>
      </c>
      <c r="D247" s="28" t="s">
        <v>2561</v>
      </c>
      <c r="E247" s="5" t="s">
        <v>36</v>
      </c>
      <c r="F247" s="5" t="s">
        <v>5083</v>
      </c>
      <c r="G247" s="5" t="s">
        <v>5083</v>
      </c>
      <c r="H247" s="5"/>
      <c r="I247" s="5">
        <v>5.54</v>
      </c>
      <c r="J247" s="6" t="str">
        <f t="shared" si="6"/>
        <v>Unknown</v>
      </c>
      <c r="K247" s="6">
        <f t="shared" si="7"/>
        <v>5.54</v>
      </c>
    </row>
    <row r="248" spans="1:11" x14ac:dyDescent="0.3">
      <c r="A248" s="5" t="s">
        <v>4996</v>
      </c>
      <c r="B248" s="5" t="s">
        <v>117</v>
      </c>
      <c r="C248" s="5" t="s">
        <v>5476</v>
      </c>
      <c r="D248" s="28" t="s">
        <v>2561</v>
      </c>
      <c r="E248" s="5" t="s">
        <v>36</v>
      </c>
      <c r="F248" s="5" t="s">
        <v>5081</v>
      </c>
      <c r="G248" s="5" t="s">
        <v>5083</v>
      </c>
      <c r="H248" s="5" t="s">
        <v>2477</v>
      </c>
      <c r="I248" s="5">
        <v>8.2899999999999991</v>
      </c>
      <c r="J248" s="6" t="str">
        <f t="shared" si="6"/>
        <v>0</v>
      </c>
      <c r="K248" s="6">
        <f t="shared" si="7"/>
        <v>8.2899999999999991</v>
      </c>
    </row>
    <row r="249" spans="1:11" x14ac:dyDescent="0.3">
      <c r="A249" s="5" t="s">
        <v>2560</v>
      </c>
      <c r="B249" s="5" t="s">
        <v>117</v>
      </c>
      <c r="C249" s="5" t="s">
        <v>5346</v>
      </c>
      <c r="D249" s="28" t="s">
        <v>2561</v>
      </c>
      <c r="E249" s="5" t="s">
        <v>36</v>
      </c>
      <c r="F249" s="5" t="s">
        <v>5071</v>
      </c>
      <c r="G249" s="5" t="s">
        <v>5070</v>
      </c>
      <c r="H249" s="5" t="s">
        <v>2455</v>
      </c>
      <c r="I249" s="5">
        <v>13.03</v>
      </c>
      <c r="J249" s="6" t="str">
        <f t="shared" si="6"/>
        <v>1</v>
      </c>
      <c r="K249" s="6">
        <f t="shared" si="7"/>
        <v>13.03</v>
      </c>
    </row>
    <row r="250" spans="1:11" x14ac:dyDescent="0.3">
      <c r="A250" s="5" t="s">
        <v>4474</v>
      </c>
      <c r="B250" s="5" t="s">
        <v>117</v>
      </c>
      <c r="C250" s="5" t="s">
        <v>5166</v>
      </c>
      <c r="D250" s="28" t="s">
        <v>2561</v>
      </c>
      <c r="E250" s="5" t="s">
        <v>36</v>
      </c>
      <c r="F250" s="5" t="s">
        <v>5081</v>
      </c>
      <c r="G250" s="5" t="s">
        <v>5071</v>
      </c>
      <c r="H250" s="5" t="s">
        <v>2408</v>
      </c>
      <c r="I250" s="5">
        <v>12.09</v>
      </c>
      <c r="J250" s="6" t="str">
        <f t="shared" si="6"/>
        <v>0</v>
      </c>
      <c r="K250" s="6">
        <f t="shared" si="7"/>
        <v>12.09</v>
      </c>
    </row>
    <row r="251" spans="1:11" x14ac:dyDescent="0.3">
      <c r="A251" s="5" t="s">
        <v>3344</v>
      </c>
      <c r="B251" s="5" t="s">
        <v>117</v>
      </c>
      <c r="C251" s="5" t="s">
        <v>5135</v>
      </c>
      <c r="D251" s="28" t="s">
        <v>2561</v>
      </c>
      <c r="E251" s="5" t="s">
        <v>36</v>
      </c>
      <c r="F251" s="5" t="s">
        <v>5071</v>
      </c>
      <c r="G251" s="5" t="s">
        <v>5081</v>
      </c>
      <c r="H251" s="5" t="s">
        <v>2435</v>
      </c>
      <c r="I251" s="5">
        <v>4.95</v>
      </c>
      <c r="J251" s="6" t="str">
        <f t="shared" si="6"/>
        <v>0</v>
      </c>
      <c r="K251" s="6">
        <f t="shared" si="7"/>
        <v>4.95</v>
      </c>
    </row>
    <row r="252" spans="1:11" x14ac:dyDescent="0.3">
      <c r="A252" s="5" t="s">
        <v>5451</v>
      </c>
      <c r="B252" s="5" t="s">
        <v>25</v>
      </c>
      <c r="C252" s="5" t="s">
        <v>5452</v>
      </c>
      <c r="D252" s="28" t="s">
        <v>2561</v>
      </c>
      <c r="E252" s="5" t="s">
        <v>36</v>
      </c>
      <c r="F252" s="5" t="s">
        <v>5070</v>
      </c>
      <c r="G252" s="5" t="s">
        <v>5076</v>
      </c>
      <c r="H252" s="5" t="s">
        <v>2477</v>
      </c>
      <c r="I252" s="5">
        <v>8.11</v>
      </c>
      <c r="J252" s="6" t="str">
        <f t="shared" si="6"/>
        <v>0</v>
      </c>
      <c r="K252" s="6">
        <f t="shared" si="7"/>
        <v>8.11</v>
      </c>
    </row>
    <row r="253" spans="1:11" x14ac:dyDescent="0.3">
      <c r="A253" s="5" t="s">
        <v>5685</v>
      </c>
      <c r="B253" s="5" t="s">
        <v>25</v>
      </c>
      <c r="C253" s="5" t="s">
        <v>5686</v>
      </c>
      <c r="D253" s="28" t="s">
        <v>2561</v>
      </c>
      <c r="E253" s="5" t="s">
        <v>36</v>
      </c>
      <c r="F253" s="5" t="s">
        <v>5083</v>
      </c>
      <c r="G253" s="5" t="s">
        <v>5070</v>
      </c>
      <c r="H253" s="5"/>
      <c r="I253" s="5">
        <v>7.02</v>
      </c>
      <c r="J253" s="6" t="str">
        <f t="shared" si="6"/>
        <v>Unknown</v>
      </c>
      <c r="K253" s="6">
        <f t="shared" si="7"/>
        <v>7.02</v>
      </c>
    </row>
    <row r="254" spans="1:11" x14ac:dyDescent="0.3">
      <c r="A254" s="5" t="s">
        <v>6269</v>
      </c>
      <c r="B254" s="5" t="s">
        <v>25</v>
      </c>
      <c r="C254" s="5" t="s">
        <v>6270</v>
      </c>
      <c r="D254" s="28" t="s">
        <v>2561</v>
      </c>
      <c r="E254" s="5" t="s">
        <v>36</v>
      </c>
      <c r="F254" s="5" t="s">
        <v>5083</v>
      </c>
      <c r="G254" s="5" t="s">
        <v>5071</v>
      </c>
      <c r="H254" s="5" t="s">
        <v>2477</v>
      </c>
      <c r="I254" s="5">
        <v>9.51</v>
      </c>
      <c r="J254" s="6" t="str">
        <f t="shared" si="6"/>
        <v>0</v>
      </c>
      <c r="K254" s="6">
        <f t="shared" si="7"/>
        <v>9.51</v>
      </c>
    </row>
    <row r="255" spans="1:11" x14ac:dyDescent="0.3">
      <c r="A255" s="5" t="s">
        <v>3615</v>
      </c>
      <c r="B255" s="5" t="s">
        <v>25</v>
      </c>
      <c r="C255" s="5" t="s">
        <v>5754</v>
      </c>
      <c r="D255" s="28" t="s">
        <v>2561</v>
      </c>
      <c r="E255" s="5" t="s">
        <v>36</v>
      </c>
      <c r="F255" s="5" t="s">
        <v>5073</v>
      </c>
      <c r="G255" s="5" t="s">
        <v>5073</v>
      </c>
      <c r="H255" s="5"/>
      <c r="I255" s="5">
        <v>11.65</v>
      </c>
      <c r="J255" s="6" t="str">
        <f t="shared" si="6"/>
        <v>Unknown</v>
      </c>
      <c r="K255" s="6">
        <f t="shared" si="7"/>
        <v>11.65</v>
      </c>
    </row>
    <row r="256" spans="1:11" x14ac:dyDescent="0.3">
      <c r="A256" s="5" t="s">
        <v>5687</v>
      </c>
      <c r="B256" s="5" t="s">
        <v>25</v>
      </c>
      <c r="C256" s="5" t="s">
        <v>5688</v>
      </c>
      <c r="D256" s="28" t="s">
        <v>2561</v>
      </c>
      <c r="E256" s="5" t="s">
        <v>36</v>
      </c>
      <c r="F256" s="5" t="s">
        <v>5081</v>
      </c>
      <c r="G256" s="5" t="s">
        <v>5081</v>
      </c>
      <c r="H256" s="5" t="s">
        <v>2455</v>
      </c>
      <c r="I256" s="5">
        <v>6.88</v>
      </c>
      <c r="J256" s="6" t="str">
        <f t="shared" si="6"/>
        <v>1</v>
      </c>
      <c r="K256" s="6">
        <f t="shared" si="7"/>
        <v>6.88</v>
      </c>
    </row>
    <row r="257" spans="1:11" x14ac:dyDescent="0.3">
      <c r="A257" s="5" t="s">
        <v>4244</v>
      </c>
      <c r="B257" s="5" t="s">
        <v>106</v>
      </c>
      <c r="C257" s="5" t="s">
        <v>6368</v>
      </c>
      <c r="D257" s="28" t="s">
        <v>2561</v>
      </c>
      <c r="E257" s="5" t="s">
        <v>36</v>
      </c>
      <c r="F257" s="5" t="s">
        <v>5076</v>
      </c>
      <c r="G257" s="5" t="s">
        <v>5073</v>
      </c>
      <c r="H257" s="5" t="s">
        <v>2418</v>
      </c>
      <c r="I257" s="5">
        <v>19.21</v>
      </c>
      <c r="J257" s="6" t="str">
        <f t="shared" si="6"/>
        <v>1</v>
      </c>
      <c r="K257" s="6">
        <f t="shared" si="7"/>
        <v>19.21</v>
      </c>
    </row>
    <row r="258" spans="1:11" x14ac:dyDescent="0.3">
      <c r="A258" s="5" t="s">
        <v>4741</v>
      </c>
      <c r="B258" s="5" t="s">
        <v>106</v>
      </c>
      <c r="C258" s="5" t="s">
        <v>5655</v>
      </c>
      <c r="D258" s="28" t="s">
        <v>2561</v>
      </c>
      <c r="E258" s="5" t="s">
        <v>36</v>
      </c>
      <c r="F258" s="5" t="s">
        <v>5070</v>
      </c>
      <c r="G258" s="5" t="s">
        <v>5070</v>
      </c>
      <c r="H258" s="5" t="s">
        <v>2418</v>
      </c>
      <c r="I258" s="5">
        <v>16.59</v>
      </c>
      <c r="J258" s="6" t="str">
        <f t="shared" ref="J258:J321" si="8">IF(OR(LOWER(TRIM(H258))="0",LOWER(TRIM(H258))="ZERO"),"0",IF(OR(LOWER(TRIM(H258))="1",LOWER(TRIM(H258))="one"),"1",IF(OR(LOWER(TRIM(H258))="2",LOWER(TRIM(H258))="two"),"2",IF(OR(LOWER(TRIM(H258))="2+",LOWER(TRIM(H258))="two_or_more",LOWER(TRIM(H258))="multiple"),"2+","Unknown"))))</f>
        <v>1</v>
      </c>
      <c r="K258" s="6">
        <f t="shared" si="7"/>
        <v>16.59</v>
      </c>
    </row>
    <row r="259" spans="1:11" x14ac:dyDescent="0.3">
      <c r="A259" s="5" t="s">
        <v>2565</v>
      </c>
      <c r="B259" s="5" t="s">
        <v>106</v>
      </c>
      <c r="C259" s="5" t="s">
        <v>6525</v>
      </c>
      <c r="D259" s="28" t="s">
        <v>2561</v>
      </c>
      <c r="E259" s="5" t="s">
        <v>36</v>
      </c>
      <c r="F259" s="5" t="s">
        <v>5071</v>
      </c>
      <c r="G259" s="5" t="s">
        <v>5071</v>
      </c>
      <c r="H259" s="5" t="s">
        <v>2450</v>
      </c>
      <c r="I259" s="5">
        <v>19.71</v>
      </c>
      <c r="J259" s="6" t="str">
        <f t="shared" si="8"/>
        <v>1</v>
      </c>
      <c r="K259" s="6">
        <f t="shared" ref="K259:K322" si="9">IF(I259="",ROUND(AVERAGEIF($B$2:$B$1000,B259,$I$2:$I$1000),1),I259)</f>
        <v>19.71</v>
      </c>
    </row>
    <row r="260" spans="1:11" x14ac:dyDescent="0.3">
      <c r="A260" s="5" t="s">
        <v>5202</v>
      </c>
      <c r="B260" s="5" t="s">
        <v>106</v>
      </c>
      <c r="C260" s="5" t="s">
        <v>5203</v>
      </c>
      <c r="D260" s="28" t="s">
        <v>2561</v>
      </c>
      <c r="E260" s="5" t="s">
        <v>36</v>
      </c>
      <c r="F260" s="5" t="s">
        <v>5071</v>
      </c>
      <c r="G260" s="5" t="s">
        <v>5081</v>
      </c>
      <c r="H260" s="5" t="s">
        <v>2408</v>
      </c>
      <c r="I260" s="5">
        <v>13.39</v>
      </c>
      <c r="J260" s="6" t="str">
        <f t="shared" si="8"/>
        <v>0</v>
      </c>
      <c r="K260" s="6">
        <f t="shared" si="9"/>
        <v>13.39</v>
      </c>
    </row>
    <row r="261" spans="1:11" x14ac:dyDescent="0.3">
      <c r="A261" s="5" t="s">
        <v>4582</v>
      </c>
      <c r="B261" s="5" t="s">
        <v>106</v>
      </c>
      <c r="C261" s="5" t="s">
        <v>5641</v>
      </c>
      <c r="D261" s="28" t="s">
        <v>2561</v>
      </c>
      <c r="E261" s="5" t="s">
        <v>36</v>
      </c>
      <c r="F261" s="5" t="s">
        <v>5073</v>
      </c>
      <c r="G261" s="5" t="s">
        <v>5076</v>
      </c>
      <c r="H261" s="5" t="s">
        <v>2423</v>
      </c>
      <c r="I261" s="5">
        <v>0.57999999999999996</v>
      </c>
      <c r="J261" s="6" t="str">
        <f t="shared" si="8"/>
        <v>0</v>
      </c>
      <c r="K261" s="6">
        <f t="shared" si="9"/>
        <v>0.57999999999999996</v>
      </c>
    </row>
    <row r="262" spans="1:11" x14ac:dyDescent="0.3">
      <c r="A262" s="5" t="s">
        <v>6238</v>
      </c>
      <c r="B262" s="5" t="s">
        <v>106</v>
      </c>
      <c r="C262" s="5" t="s">
        <v>6239</v>
      </c>
      <c r="D262" s="28" t="s">
        <v>2561</v>
      </c>
      <c r="E262" s="5" t="s">
        <v>36</v>
      </c>
      <c r="F262" s="5" t="s">
        <v>5073</v>
      </c>
      <c r="G262" s="5" t="s">
        <v>5073</v>
      </c>
      <c r="H262" s="5" t="s">
        <v>2435</v>
      </c>
      <c r="I262" s="5">
        <v>18.489999999999998</v>
      </c>
      <c r="J262" s="6" t="str">
        <f t="shared" si="8"/>
        <v>0</v>
      </c>
      <c r="K262" s="6">
        <f t="shared" si="9"/>
        <v>18.489999999999998</v>
      </c>
    </row>
    <row r="263" spans="1:11" x14ac:dyDescent="0.3">
      <c r="A263" s="5" t="s">
        <v>3714</v>
      </c>
      <c r="B263" s="5" t="s">
        <v>78</v>
      </c>
      <c r="C263" s="5" t="s">
        <v>5899</v>
      </c>
      <c r="D263" s="28" t="s">
        <v>2407</v>
      </c>
      <c r="E263" s="5" t="s">
        <v>66</v>
      </c>
      <c r="F263" s="5" t="s">
        <v>5076</v>
      </c>
      <c r="G263" s="5" t="s">
        <v>5081</v>
      </c>
      <c r="H263" s="5" t="s">
        <v>2746</v>
      </c>
      <c r="I263" s="5">
        <v>5.82</v>
      </c>
      <c r="J263" s="6" t="str">
        <f t="shared" si="8"/>
        <v>2</v>
      </c>
      <c r="K263" s="6">
        <f t="shared" si="9"/>
        <v>5.82</v>
      </c>
    </row>
    <row r="264" spans="1:11" x14ac:dyDescent="0.3">
      <c r="A264" s="5" t="s">
        <v>2674</v>
      </c>
      <c r="B264" s="5" t="s">
        <v>78</v>
      </c>
      <c r="C264" s="5" t="s">
        <v>6537</v>
      </c>
      <c r="D264" s="28" t="s">
        <v>2407</v>
      </c>
      <c r="E264" s="5" t="s">
        <v>66</v>
      </c>
      <c r="F264" s="5" t="s">
        <v>5081</v>
      </c>
      <c r="G264" s="5" t="s">
        <v>5071</v>
      </c>
      <c r="H264" s="5" t="s">
        <v>2746</v>
      </c>
      <c r="I264" s="5">
        <v>5.45</v>
      </c>
      <c r="J264" s="6" t="str">
        <f t="shared" si="8"/>
        <v>2</v>
      </c>
      <c r="K264" s="6">
        <f t="shared" si="9"/>
        <v>5.45</v>
      </c>
    </row>
    <row r="265" spans="1:11" x14ac:dyDescent="0.3">
      <c r="A265" s="5" t="s">
        <v>6335</v>
      </c>
      <c r="B265" s="5" t="s">
        <v>78</v>
      </c>
      <c r="C265" s="5" t="s">
        <v>6336</v>
      </c>
      <c r="D265" s="28" t="s">
        <v>2407</v>
      </c>
      <c r="E265" s="5" t="s">
        <v>66</v>
      </c>
      <c r="F265" s="5" t="s">
        <v>5081</v>
      </c>
      <c r="G265" s="5" t="s">
        <v>5076</v>
      </c>
      <c r="H265" s="5" t="s">
        <v>2450</v>
      </c>
      <c r="I265" s="5">
        <v>19.760000000000002</v>
      </c>
      <c r="J265" s="6" t="str">
        <f t="shared" si="8"/>
        <v>1</v>
      </c>
      <c r="K265" s="6">
        <f t="shared" si="9"/>
        <v>19.760000000000002</v>
      </c>
    </row>
    <row r="266" spans="1:11" x14ac:dyDescent="0.3">
      <c r="A266" s="5" t="s">
        <v>5438</v>
      </c>
      <c r="B266" s="5" t="s">
        <v>78</v>
      </c>
      <c r="C266" s="5" t="s">
        <v>5439</v>
      </c>
      <c r="D266" s="28" t="s">
        <v>2407</v>
      </c>
      <c r="E266" s="5" t="s">
        <v>66</v>
      </c>
      <c r="F266" s="5" t="s">
        <v>5076</v>
      </c>
      <c r="G266" s="5" t="s">
        <v>5073</v>
      </c>
      <c r="H266" s="5" t="s">
        <v>2423</v>
      </c>
      <c r="I266" s="5">
        <v>17.579999999999998</v>
      </c>
      <c r="J266" s="6" t="str">
        <f t="shared" si="8"/>
        <v>0</v>
      </c>
      <c r="K266" s="6">
        <f t="shared" si="9"/>
        <v>17.579999999999998</v>
      </c>
    </row>
    <row r="267" spans="1:11" x14ac:dyDescent="0.3">
      <c r="A267" s="5" t="s">
        <v>6215</v>
      </c>
      <c r="B267" s="5" t="s">
        <v>78</v>
      </c>
      <c r="C267" s="5" t="s">
        <v>6216</v>
      </c>
      <c r="D267" s="28" t="s">
        <v>2407</v>
      </c>
      <c r="E267" s="5" t="s">
        <v>66</v>
      </c>
      <c r="F267" s="5" t="s">
        <v>5081</v>
      </c>
      <c r="G267" s="5" t="s">
        <v>5071</v>
      </c>
      <c r="H267" s="5" t="s">
        <v>2412</v>
      </c>
      <c r="I267" s="5">
        <v>14.07</v>
      </c>
      <c r="J267" s="6" t="str">
        <f t="shared" si="8"/>
        <v>1</v>
      </c>
      <c r="K267" s="6">
        <f t="shared" si="9"/>
        <v>14.07</v>
      </c>
    </row>
    <row r="268" spans="1:11" x14ac:dyDescent="0.3">
      <c r="A268" s="5" t="s">
        <v>6514</v>
      </c>
      <c r="B268" s="5" t="s">
        <v>78</v>
      </c>
      <c r="C268" s="5" t="s">
        <v>6096</v>
      </c>
      <c r="D268" s="28" t="s">
        <v>2407</v>
      </c>
      <c r="E268" s="5" t="s">
        <v>66</v>
      </c>
      <c r="F268" s="5" t="s">
        <v>5076</v>
      </c>
      <c r="G268" s="5" t="s">
        <v>5081</v>
      </c>
      <c r="H268" s="5" t="s">
        <v>2408</v>
      </c>
      <c r="I268" s="5">
        <v>17.059999999999999</v>
      </c>
      <c r="J268" s="6" t="str">
        <f t="shared" si="8"/>
        <v>0</v>
      </c>
      <c r="K268" s="6">
        <f t="shared" si="9"/>
        <v>17.059999999999999</v>
      </c>
    </row>
    <row r="269" spans="1:11" x14ac:dyDescent="0.3">
      <c r="A269" s="5" t="s">
        <v>4724</v>
      </c>
      <c r="B269" s="5" t="s">
        <v>78</v>
      </c>
      <c r="C269" s="5" t="s">
        <v>5525</v>
      </c>
      <c r="D269" s="28" t="s">
        <v>2407</v>
      </c>
      <c r="E269" s="5" t="s">
        <v>66</v>
      </c>
      <c r="F269" s="5" t="s">
        <v>5081</v>
      </c>
      <c r="G269" s="5" t="s">
        <v>5081</v>
      </c>
      <c r="H269" s="5" t="s">
        <v>2412</v>
      </c>
      <c r="I269" s="5">
        <v>3.88</v>
      </c>
      <c r="J269" s="6" t="str">
        <f t="shared" si="8"/>
        <v>1</v>
      </c>
      <c r="K269" s="6">
        <f t="shared" si="9"/>
        <v>3.88</v>
      </c>
    </row>
    <row r="270" spans="1:11" x14ac:dyDescent="0.3">
      <c r="A270" s="5" t="s">
        <v>2558</v>
      </c>
      <c r="B270" s="5" t="s">
        <v>78</v>
      </c>
      <c r="C270" s="5" t="s">
        <v>5619</v>
      </c>
      <c r="D270" s="28" t="s">
        <v>2407</v>
      </c>
      <c r="E270" s="5" t="s">
        <v>66</v>
      </c>
      <c r="F270" s="5" t="s">
        <v>5071</v>
      </c>
      <c r="G270" s="5" t="s">
        <v>5070</v>
      </c>
      <c r="H270" s="5" t="s">
        <v>2428</v>
      </c>
      <c r="I270" s="5">
        <v>3.58</v>
      </c>
      <c r="J270" s="6" t="str">
        <f t="shared" si="8"/>
        <v>2</v>
      </c>
      <c r="K270" s="6">
        <f t="shared" si="9"/>
        <v>3.58</v>
      </c>
    </row>
    <row r="271" spans="1:11" x14ac:dyDescent="0.3">
      <c r="A271" s="5" t="s">
        <v>4356</v>
      </c>
      <c r="B271" s="5" t="s">
        <v>45</v>
      </c>
      <c r="C271" s="5" t="s">
        <v>5710</v>
      </c>
      <c r="D271" s="28" t="s">
        <v>2407</v>
      </c>
      <c r="E271" s="5" t="s">
        <v>66</v>
      </c>
      <c r="F271" s="5" t="s">
        <v>5083</v>
      </c>
      <c r="G271" s="5" t="s">
        <v>5076</v>
      </c>
      <c r="H271" s="5" t="s">
        <v>2412</v>
      </c>
      <c r="I271" s="5">
        <v>7.49</v>
      </c>
      <c r="J271" s="6" t="str">
        <f t="shared" si="8"/>
        <v>1</v>
      </c>
      <c r="K271" s="6">
        <f t="shared" si="9"/>
        <v>7.49</v>
      </c>
    </row>
    <row r="272" spans="1:11" x14ac:dyDescent="0.3">
      <c r="A272" s="5" t="s">
        <v>5720</v>
      </c>
      <c r="B272" s="5" t="s">
        <v>45</v>
      </c>
      <c r="C272" s="5" t="s">
        <v>5721</v>
      </c>
      <c r="D272" s="28" t="s">
        <v>2407</v>
      </c>
      <c r="E272" s="5" t="s">
        <v>66</v>
      </c>
      <c r="F272" s="5" t="s">
        <v>5083</v>
      </c>
      <c r="G272" s="5" t="s">
        <v>5083</v>
      </c>
      <c r="H272" s="5"/>
      <c r="I272" s="5">
        <v>16.77</v>
      </c>
      <c r="J272" s="6" t="str">
        <f t="shared" si="8"/>
        <v>Unknown</v>
      </c>
      <c r="K272" s="6">
        <f t="shared" si="9"/>
        <v>16.77</v>
      </c>
    </row>
    <row r="273" spans="1:11" x14ac:dyDescent="0.3">
      <c r="A273" s="5" t="s">
        <v>4778</v>
      </c>
      <c r="B273" s="5" t="s">
        <v>45</v>
      </c>
      <c r="C273" s="5" t="s">
        <v>5509</v>
      </c>
      <c r="D273" s="28" t="s">
        <v>2407</v>
      </c>
      <c r="E273" s="5" t="s">
        <v>66</v>
      </c>
      <c r="F273" s="5" t="s">
        <v>5070</v>
      </c>
      <c r="G273" s="5" t="s">
        <v>5083</v>
      </c>
      <c r="H273" s="5" t="s">
        <v>2450</v>
      </c>
      <c r="I273" s="5">
        <v>1.85</v>
      </c>
      <c r="J273" s="6" t="str">
        <f t="shared" si="8"/>
        <v>1</v>
      </c>
      <c r="K273" s="6">
        <f t="shared" si="9"/>
        <v>1.85</v>
      </c>
    </row>
    <row r="274" spans="1:11" x14ac:dyDescent="0.3">
      <c r="A274" s="5" t="s">
        <v>3295</v>
      </c>
      <c r="B274" s="5" t="s">
        <v>45</v>
      </c>
      <c r="C274" s="5" t="s">
        <v>5097</v>
      </c>
      <c r="D274" s="28" t="s">
        <v>2407</v>
      </c>
      <c r="E274" s="5" t="s">
        <v>66</v>
      </c>
      <c r="F274" s="5" t="s">
        <v>5071</v>
      </c>
      <c r="G274" s="5" t="s">
        <v>5071</v>
      </c>
      <c r="H274" s="5" t="s">
        <v>2418</v>
      </c>
      <c r="I274" s="5">
        <v>15.79</v>
      </c>
      <c r="J274" s="6" t="str">
        <f t="shared" si="8"/>
        <v>1</v>
      </c>
      <c r="K274" s="6">
        <f t="shared" si="9"/>
        <v>15.79</v>
      </c>
    </row>
    <row r="275" spans="1:11" x14ac:dyDescent="0.3">
      <c r="A275" s="5" t="s">
        <v>3328</v>
      </c>
      <c r="B275" s="5" t="s">
        <v>45</v>
      </c>
      <c r="C275" s="5" t="s">
        <v>5072</v>
      </c>
      <c r="D275" s="28" t="s">
        <v>2407</v>
      </c>
      <c r="E275" s="5" t="s">
        <v>66</v>
      </c>
      <c r="F275" s="5" t="s">
        <v>5073</v>
      </c>
      <c r="G275" s="5" t="s">
        <v>5071</v>
      </c>
      <c r="H275" s="5" t="s">
        <v>2423</v>
      </c>
      <c r="I275" s="5">
        <v>18.71</v>
      </c>
      <c r="J275" s="6" t="str">
        <f t="shared" si="8"/>
        <v>0</v>
      </c>
      <c r="K275" s="6">
        <f t="shared" si="9"/>
        <v>18.71</v>
      </c>
    </row>
    <row r="276" spans="1:11" x14ac:dyDescent="0.3">
      <c r="A276" s="5" t="s">
        <v>4699</v>
      </c>
      <c r="B276" s="5" t="s">
        <v>45</v>
      </c>
      <c r="C276" s="5" t="s">
        <v>6431</v>
      </c>
      <c r="D276" s="28" t="s">
        <v>2407</v>
      </c>
      <c r="E276" s="5" t="s">
        <v>66</v>
      </c>
      <c r="F276" s="5" t="s">
        <v>5070</v>
      </c>
      <c r="G276" s="5" t="s">
        <v>5081</v>
      </c>
      <c r="H276" s="5"/>
      <c r="I276" s="5">
        <v>5.43</v>
      </c>
      <c r="J276" s="6" t="str">
        <f t="shared" si="8"/>
        <v>Unknown</v>
      </c>
      <c r="K276" s="6">
        <f t="shared" si="9"/>
        <v>5.43</v>
      </c>
    </row>
    <row r="277" spans="1:11" x14ac:dyDescent="0.3">
      <c r="A277" s="5" t="s">
        <v>4057</v>
      </c>
      <c r="B277" s="5" t="s">
        <v>45</v>
      </c>
      <c r="C277" s="5" t="s">
        <v>5489</v>
      </c>
      <c r="D277" s="28" t="s">
        <v>2407</v>
      </c>
      <c r="E277" s="5" t="s">
        <v>66</v>
      </c>
      <c r="F277" s="5" t="s">
        <v>5076</v>
      </c>
      <c r="G277" s="5" t="s">
        <v>5083</v>
      </c>
      <c r="H277" s="5" t="s">
        <v>2435</v>
      </c>
      <c r="I277" s="5">
        <v>4.47</v>
      </c>
      <c r="J277" s="6" t="str">
        <f t="shared" si="8"/>
        <v>0</v>
      </c>
      <c r="K277" s="6">
        <f t="shared" si="9"/>
        <v>4.47</v>
      </c>
    </row>
    <row r="278" spans="1:11" x14ac:dyDescent="0.3">
      <c r="A278" s="5" t="s">
        <v>2406</v>
      </c>
      <c r="B278" s="5" t="s">
        <v>45</v>
      </c>
      <c r="C278" s="5" t="s">
        <v>5597</v>
      </c>
      <c r="D278" s="28" t="s">
        <v>2407</v>
      </c>
      <c r="E278" s="5" t="s">
        <v>66</v>
      </c>
      <c r="F278" s="5" t="s">
        <v>5076</v>
      </c>
      <c r="G278" s="5" t="s">
        <v>5071</v>
      </c>
      <c r="H278" s="5" t="s">
        <v>2455</v>
      </c>
      <c r="I278" s="5">
        <v>13.2</v>
      </c>
      <c r="J278" s="6" t="str">
        <f t="shared" si="8"/>
        <v>1</v>
      </c>
      <c r="K278" s="6">
        <f t="shared" si="9"/>
        <v>13.2</v>
      </c>
    </row>
    <row r="279" spans="1:11" x14ac:dyDescent="0.3">
      <c r="A279" s="5" t="s">
        <v>5188</v>
      </c>
      <c r="B279" s="5" t="s">
        <v>45</v>
      </c>
      <c r="C279" s="5" t="s">
        <v>5189</v>
      </c>
      <c r="D279" s="28" t="s">
        <v>2407</v>
      </c>
      <c r="E279" s="5" t="s">
        <v>66</v>
      </c>
      <c r="F279" s="5" t="s">
        <v>5076</v>
      </c>
      <c r="G279" s="5" t="s">
        <v>5071</v>
      </c>
      <c r="H279" s="5" t="s">
        <v>2408</v>
      </c>
      <c r="I279" s="5">
        <v>15.94</v>
      </c>
      <c r="J279" s="6" t="str">
        <f t="shared" si="8"/>
        <v>0</v>
      </c>
      <c r="K279" s="6">
        <f t="shared" si="9"/>
        <v>15.94</v>
      </c>
    </row>
    <row r="280" spans="1:11" x14ac:dyDescent="0.3">
      <c r="A280" s="5" t="s">
        <v>2547</v>
      </c>
      <c r="B280" s="5" t="s">
        <v>14</v>
      </c>
      <c r="C280" s="5" t="s">
        <v>6492</v>
      </c>
      <c r="D280" s="28" t="s">
        <v>2407</v>
      </c>
      <c r="E280" s="5" t="s">
        <v>66</v>
      </c>
      <c r="F280" s="5" t="s">
        <v>5081</v>
      </c>
      <c r="G280" s="5" t="s">
        <v>5073</v>
      </c>
      <c r="H280" s="5" t="s">
        <v>2435</v>
      </c>
      <c r="I280" s="5">
        <v>1.0900000000000001</v>
      </c>
      <c r="J280" s="6" t="str">
        <f t="shared" si="8"/>
        <v>0</v>
      </c>
      <c r="K280" s="6">
        <f t="shared" si="9"/>
        <v>1.0900000000000001</v>
      </c>
    </row>
    <row r="281" spans="1:11" x14ac:dyDescent="0.3">
      <c r="A281" s="5" t="s">
        <v>3698</v>
      </c>
      <c r="B281" s="5" t="s">
        <v>14</v>
      </c>
      <c r="C281" s="5" t="s">
        <v>5257</v>
      </c>
      <c r="D281" s="28" t="s">
        <v>2407</v>
      </c>
      <c r="E281" s="5" t="s">
        <v>66</v>
      </c>
      <c r="F281" s="5" t="s">
        <v>5073</v>
      </c>
      <c r="G281" s="5" t="s">
        <v>5071</v>
      </c>
      <c r="H281" s="5" t="s">
        <v>2486</v>
      </c>
      <c r="I281" s="5">
        <v>2.99</v>
      </c>
      <c r="J281" s="6" t="str">
        <f t="shared" si="8"/>
        <v>2+</v>
      </c>
      <c r="K281" s="6">
        <f t="shared" si="9"/>
        <v>2.99</v>
      </c>
    </row>
    <row r="282" spans="1:11" x14ac:dyDescent="0.3">
      <c r="A282" s="5" t="s">
        <v>6324</v>
      </c>
      <c r="B282" s="5" t="s">
        <v>14</v>
      </c>
      <c r="C282" s="5" t="s">
        <v>6325</v>
      </c>
      <c r="D282" s="28" t="s">
        <v>2407</v>
      </c>
      <c r="E282" s="5" t="s">
        <v>66</v>
      </c>
      <c r="F282" s="5" t="s">
        <v>5083</v>
      </c>
      <c r="G282" s="5" t="s">
        <v>5071</v>
      </c>
      <c r="H282" s="5" t="s">
        <v>2435</v>
      </c>
      <c r="I282" s="5">
        <v>7.77</v>
      </c>
      <c r="J282" s="6" t="str">
        <f t="shared" si="8"/>
        <v>0</v>
      </c>
      <c r="K282" s="6">
        <f t="shared" si="9"/>
        <v>7.77</v>
      </c>
    </row>
    <row r="283" spans="1:11" x14ac:dyDescent="0.3">
      <c r="A283" s="5" t="s">
        <v>5830</v>
      </c>
      <c r="B283" s="5" t="s">
        <v>14</v>
      </c>
      <c r="C283" s="5" t="s">
        <v>5831</v>
      </c>
      <c r="D283" s="28" t="s">
        <v>2407</v>
      </c>
      <c r="E283" s="5" t="s">
        <v>66</v>
      </c>
      <c r="F283" s="5" t="s">
        <v>5071</v>
      </c>
      <c r="G283" s="5" t="s">
        <v>5073</v>
      </c>
      <c r="H283" s="5" t="s">
        <v>2505</v>
      </c>
      <c r="I283" s="5">
        <v>13.67</v>
      </c>
      <c r="J283" s="6" t="str">
        <f t="shared" si="8"/>
        <v>2+</v>
      </c>
      <c r="K283" s="6">
        <f t="shared" si="9"/>
        <v>13.67</v>
      </c>
    </row>
    <row r="284" spans="1:11" x14ac:dyDescent="0.3">
      <c r="A284" s="5" t="s">
        <v>6173</v>
      </c>
      <c r="B284" s="5" t="s">
        <v>14</v>
      </c>
      <c r="C284" s="5" t="s">
        <v>6174</v>
      </c>
      <c r="D284" s="28" t="s">
        <v>2407</v>
      </c>
      <c r="E284" s="5" t="s">
        <v>66</v>
      </c>
      <c r="F284" s="5" t="s">
        <v>5071</v>
      </c>
      <c r="G284" s="5" t="s">
        <v>5083</v>
      </c>
      <c r="H284" s="5" t="s">
        <v>2408</v>
      </c>
      <c r="I284" s="5">
        <v>6.76</v>
      </c>
      <c r="J284" s="6" t="str">
        <f t="shared" si="8"/>
        <v>0</v>
      </c>
      <c r="K284" s="6">
        <f t="shared" si="9"/>
        <v>6.76</v>
      </c>
    </row>
    <row r="285" spans="1:11" x14ac:dyDescent="0.3">
      <c r="A285" s="5" t="s">
        <v>2528</v>
      </c>
      <c r="B285" s="5" t="s">
        <v>14</v>
      </c>
      <c r="C285" s="5" t="s">
        <v>5155</v>
      </c>
      <c r="D285" s="28" t="s">
        <v>2407</v>
      </c>
      <c r="E285" s="5" t="s">
        <v>66</v>
      </c>
      <c r="F285" s="5" t="s">
        <v>5081</v>
      </c>
      <c r="G285" s="5" t="s">
        <v>5076</v>
      </c>
      <c r="H285" s="5" t="s">
        <v>2412</v>
      </c>
      <c r="I285" s="5">
        <v>5.83</v>
      </c>
      <c r="J285" s="6" t="str">
        <f t="shared" si="8"/>
        <v>1</v>
      </c>
      <c r="K285" s="6">
        <f t="shared" si="9"/>
        <v>5.83</v>
      </c>
    </row>
    <row r="286" spans="1:11" x14ac:dyDescent="0.3">
      <c r="A286" s="5" t="s">
        <v>3925</v>
      </c>
      <c r="B286" s="5" t="s">
        <v>14</v>
      </c>
      <c r="C286" s="5" t="s">
        <v>5344</v>
      </c>
      <c r="D286" s="28" t="s">
        <v>2407</v>
      </c>
      <c r="E286" s="5" t="s">
        <v>66</v>
      </c>
      <c r="F286" s="5" t="s">
        <v>5071</v>
      </c>
      <c r="G286" s="5" t="s">
        <v>5071</v>
      </c>
      <c r="H286" s="5" t="s">
        <v>2408</v>
      </c>
      <c r="I286" s="5">
        <v>11.01</v>
      </c>
      <c r="J286" s="6" t="str">
        <f t="shared" si="8"/>
        <v>0</v>
      </c>
      <c r="K286" s="6">
        <f t="shared" si="9"/>
        <v>11.01</v>
      </c>
    </row>
    <row r="287" spans="1:11" x14ac:dyDescent="0.3">
      <c r="A287" s="5" t="s">
        <v>3180</v>
      </c>
      <c r="B287" s="5" t="s">
        <v>14</v>
      </c>
      <c r="C287" s="5" t="s">
        <v>6067</v>
      </c>
      <c r="D287" s="28" t="s">
        <v>2407</v>
      </c>
      <c r="E287" s="5" t="s">
        <v>66</v>
      </c>
      <c r="F287" s="5" t="s">
        <v>5081</v>
      </c>
      <c r="G287" s="5" t="s">
        <v>5071</v>
      </c>
      <c r="H287" s="5" t="s">
        <v>2450</v>
      </c>
      <c r="I287" s="5">
        <v>16.47</v>
      </c>
      <c r="J287" s="6" t="str">
        <f t="shared" si="8"/>
        <v>1</v>
      </c>
      <c r="K287" s="6">
        <f t="shared" si="9"/>
        <v>16.47</v>
      </c>
    </row>
    <row r="288" spans="1:11" x14ac:dyDescent="0.3">
      <c r="A288" s="5" t="s">
        <v>6190</v>
      </c>
      <c r="B288" s="5" t="s">
        <v>14</v>
      </c>
      <c r="C288" s="5" t="s">
        <v>6191</v>
      </c>
      <c r="D288" s="28" t="s">
        <v>2407</v>
      </c>
      <c r="E288" s="5" t="s">
        <v>66</v>
      </c>
      <c r="F288" s="5" t="s">
        <v>5076</v>
      </c>
      <c r="G288" s="5" t="s">
        <v>5070</v>
      </c>
      <c r="H288" s="5" t="s">
        <v>2408</v>
      </c>
      <c r="I288" s="5">
        <v>19.12</v>
      </c>
      <c r="J288" s="6" t="str">
        <f t="shared" si="8"/>
        <v>0</v>
      </c>
      <c r="K288" s="6">
        <f t="shared" si="9"/>
        <v>19.12</v>
      </c>
    </row>
    <row r="289" spans="1:11" x14ac:dyDescent="0.3">
      <c r="A289" s="5" t="s">
        <v>6037</v>
      </c>
      <c r="B289" s="5" t="s">
        <v>14</v>
      </c>
      <c r="C289" s="5" t="s">
        <v>6038</v>
      </c>
      <c r="D289" s="28" t="s">
        <v>2407</v>
      </c>
      <c r="E289" s="5" t="s">
        <v>66</v>
      </c>
      <c r="F289" s="5" t="s">
        <v>5083</v>
      </c>
      <c r="G289" s="5" t="s">
        <v>5081</v>
      </c>
      <c r="H289" s="5" t="s">
        <v>2423</v>
      </c>
      <c r="I289" s="5">
        <v>17.05</v>
      </c>
      <c r="J289" s="6" t="str">
        <f t="shared" si="8"/>
        <v>0</v>
      </c>
      <c r="K289" s="6">
        <f t="shared" si="9"/>
        <v>17.05</v>
      </c>
    </row>
    <row r="290" spans="1:11" x14ac:dyDescent="0.3">
      <c r="A290" s="5" t="s">
        <v>4613</v>
      </c>
      <c r="B290" s="5" t="s">
        <v>14</v>
      </c>
      <c r="C290" s="5" t="s">
        <v>6468</v>
      </c>
      <c r="D290" s="28" t="s">
        <v>2407</v>
      </c>
      <c r="E290" s="5" t="s">
        <v>66</v>
      </c>
      <c r="F290" s="5" t="s">
        <v>5076</v>
      </c>
      <c r="G290" s="5" t="s">
        <v>5073</v>
      </c>
      <c r="H290" s="5" t="s">
        <v>2746</v>
      </c>
      <c r="I290" s="5">
        <v>16.68</v>
      </c>
      <c r="J290" s="6" t="str">
        <f t="shared" si="8"/>
        <v>2</v>
      </c>
      <c r="K290" s="6">
        <f t="shared" si="9"/>
        <v>16.68</v>
      </c>
    </row>
    <row r="291" spans="1:11" x14ac:dyDescent="0.3">
      <c r="A291" s="5" t="s">
        <v>4408</v>
      </c>
      <c r="B291" s="5" t="s">
        <v>117</v>
      </c>
      <c r="C291" s="5" t="s">
        <v>6564</v>
      </c>
      <c r="D291" s="28" t="s">
        <v>2407</v>
      </c>
      <c r="E291" s="5" t="s">
        <v>66</v>
      </c>
      <c r="F291" s="5" t="s">
        <v>5071</v>
      </c>
      <c r="G291" s="5" t="s">
        <v>5083</v>
      </c>
      <c r="H291" s="5" t="s">
        <v>2435</v>
      </c>
      <c r="I291" s="5">
        <v>12.65</v>
      </c>
      <c r="J291" s="6" t="str">
        <f t="shared" si="8"/>
        <v>0</v>
      </c>
      <c r="K291" s="6">
        <f t="shared" si="9"/>
        <v>12.65</v>
      </c>
    </row>
    <row r="292" spans="1:11" x14ac:dyDescent="0.3">
      <c r="A292" s="5" t="s">
        <v>2660</v>
      </c>
      <c r="B292" s="5" t="s">
        <v>117</v>
      </c>
      <c r="C292" s="5" t="s">
        <v>5250</v>
      </c>
      <c r="D292" s="28" t="s">
        <v>2407</v>
      </c>
      <c r="E292" s="5" t="s">
        <v>66</v>
      </c>
      <c r="F292" s="5" t="s">
        <v>5076</v>
      </c>
      <c r="G292" s="5" t="s">
        <v>5076</v>
      </c>
      <c r="H292" s="5" t="s">
        <v>2993</v>
      </c>
      <c r="I292" s="5">
        <v>6.88</v>
      </c>
      <c r="J292" s="6" t="str">
        <f t="shared" si="8"/>
        <v>2+</v>
      </c>
      <c r="K292" s="6">
        <f t="shared" si="9"/>
        <v>6.88</v>
      </c>
    </row>
    <row r="293" spans="1:11" x14ac:dyDescent="0.3">
      <c r="A293" s="5" t="s">
        <v>6252</v>
      </c>
      <c r="B293" s="5" t="s">
        <v>117</v>
      </c>
      <c r="C293" s="5" t="s">
        <v>5419</v>
      </c>
      <c r="D293" s="28" t="s">
        <v>2407</v>
      </c>
      <c r="E293" s="5" t="s">
        <v>66</v>
      </c>
      <c r="F293" s="5" t="s">
        <v>5071</v>
      </c>
      <c r="G293" s="5" t="s">
        <v>5073</v>
      </c>
      <c r="H293" s="5" t="s">
        <v>2450</v>
      </c>
      <c r="I293" s="5">
        <v>8.4</v>
      </c>
      <c r="J293" s="6" t="str">
        <f t="shared" si="8"/>
        <v>1</v>
      </c>
      <c r="K293" s="6">
        <f t="shared" si="9"/>
        <v>8.4</v>
      </c>
    </row>
    <row r="294" spans="1:11" x14ac:dyDescent="0.3">
      <c r="A294" s="5" t="s">
        <v>4393</v>
      </c>
      <c r="B294" s="5" t="s">
        <v>117</v>
      </c>
      <c r="C294" s="5" t="s">
        <v>5086</v>
      </c>
      <c r="D294" s="28" t="s">
        <v>2407</v>
      </c>
      <c r="E294" s="5" t="s">
        <v>66</v>
      </c>
      <c r="F294" s="5" t="s">
        <v>5070</v>
      </c>
      <c r="G294" s="5" t="s">
        <v>5083</v>
      </c>
      <c r="H294" s="5" t="s">
        <v>2408</v>
      </c>
      <c r="I294" s="5">
        <v>7.38</v>
      </c>
      <c r="J294" s="6" t="str">
        <f t="shared" si="8"/>
        <v>0</v>
      </c>
      <c r="K294" s="6">
        <f t="shared" si="9"/>
        <v>7.38</v>
      </c>
    </row>
    <row r="295" spans="1:11" x14ac:dyDescent="0.3">
      <c r="A295" s="5" t="s">
        <v>4422</v>
      </c>
      <c r="B295" s="5" t="s">
        <v>117</v>
      </c>
      <c r="C295" s="5" t="s">
        <v>5174</v>
      </c>
      <c r="D295" s="28" t="s">
        <v>2407</v>
      </c>
      <c r="E295" s="5" t="s">
        <v>66</v>
      </c>
      <c r="F295" s="5" t="s">
        <v>5071</v>
      </c>
      <c r="G295" s="5" t="s">
        <v>5083</v>
      </c>
      <c r="H295" s="5" t="s">
        <v>2477</v>
      </c>
      <c r="I295" s="5">
        <v>1.52</v>
      </c>
      <c r="J295" s="6" t="str">
        <f t="shared" si="8"/>
        <v>0</v>
      </c>
      <c r="K295" s="6">
        <f t="shared" si="9"/>
        <v>1.52</v>
      </c>
    </row>
    <row r="296" spans="1:11" x14ac:dyDescent="0.3">
      <c r="A296" s="5" t="s">
        <v>2717</v>
      </c>
      <c r="B296" s="5" t="s">
        <v>25</v>
      </c>
      <c r="C296" s="5" t="s">
        <v>6213</v>
      </c>
      <c r="D296" s="28" t="s">
        <v>2407</v>
      </c>
      <c r="E296" s="5" t="s">
        <v>66</v>
      </c>
      <c r="F296" s="5" t="s">
        <v>5070</v>
      </c>
      <c r="G296" s="5" t="s">
        <v>5083</v>
      </c>
      <c r="H296" s="5" t="s">
        <v>2477</v>
      </c>
      <c r="I296" s="5">
        <v>17.57</v>
      </c>
      <c r="J296" s="6" t="str">
        <f t="shared" si="8"/>
        <v>0</v>
      </c>
      <c r="K296" s="6">
        <f t="shared" si="9"/>
        <v>17.57</v>
      </c>
    </row>
    <row r="297" spans="1:11" x14ac:dyDescent="0.3">
      <c r="A297" s="5" t="s">
        <v>5441</v>
      </c>
      <c r="B297" s="5" t="s">
        <v>25</v>
      </c>
      <c r="C297" s="5" t="s">
        <v>5442</v>
      </c>
      <c r="D297" s="28" t="s">
        <v>2407</v>
      </c>
      <c r="E297" s="5" t="s">
        <v>66</v>
      </c>
      <c r="F297" s="5" t="s">
        <v>5070</v>
      </c>
      <c r="G297" s="5" t="s">
        <v>5081</v>
      </c>
      <c r="H297" s="5" t="s">
        <v>2423</v>
      </c>
      <c r="I297" s="5">
        <v>8.5399999999999991</v>
      </c>
      <c r="J297" s="6" t="str">
        <f t="shared" si="8"/>
        <v>0</v>
      </c>
      <c r="K297" s="6">
        <f t="shared" si="9"/>
        <v>8.5399999999999991</v>
      </c>
    </row>
    <row r="298" spans="1:11" x14ac:dyDescent="0.3">
      <c r="A298" s="5" t="s">
        <v>4205</v>
      </c>
      <c r="B298" s="5" t="s">
        <v>25</v>
      </c>
      <c r="C298" s="5" t="s">
        <v>5505</v>
      </c>
      <c r="D298" s="28" t="s">
        <v>2407</v>
      </c>
      <c r="E298" s="5" t="s">
        <v>66</v>
      </c>
      <c r="F298" s="5" t="s">
        <v>5076</v>
      </c>
      <c r="G298" s="5" t="s">
        <v>5071</v>
      </c>
      <c r="H298" s="5" t="s">
        <v>2408</v>
      </c>
      <c r="I298" s="5">
        <v>9.02</v>
      </c>
      <c r="J298" s="6" t="str">
        <f t="shared" si="8"/>
        <v>0</v>
      </c>
      <c r="K298" s="6">
        <f t="shared" si="9"/>
        <v>9.02</v>
      </c>
    </row>
    <row r="299" spans="1:11" x14ac:dyDescent="0.3">
      <c r="A299" s="5" t="s">
        <v>5708</v>
      </c>
      <c r="B299" s="5" t="s">
        <v>25</v>
      </c>
      <c r="C299" s="5" t="s">
        <v>5709</v>
      </c>
      <c r="D299" s="28" t="s">
        <v>2407</v>
      </c>
      <c r="E299" s="5" t="s">
        <v>66</v>
      </c>
      <c r="F299" s="5" t="s">
        <v>5076</v>
      </c>
      <c r="G299" s="5" t="s">
        <v>5081</v>
      </c>
      <c r="H299" s="5" t="s">
        <v>2408</v>
      </c>
      <c r="I299" s="5">
        <v>14.57</v>
      </c>
      <c r="J299" s="6" t="str">
        <f t="shared" si="8"/>
        <v>0</v>
      </c>
      <c r="K299" s="6">
        <f t="shared" si="9"/>
        <v>14.57</v>
      </c>
    </row>
    <row r="300" spans="1:11" x14ac:dyDescent="0.3">
      <c r="A300" s="5" t="s">
        <v>6182</v>
      </c>
      <c r="B300" s="5" t="s">
        <v>25</v>
      </c>
      <c r="C300" s="5" t="s">
        <v>6183</v>
      </c>
      <c r="D300" s="28" t="s">
        <v>2407</v>
      </c>
      <c r="E300" s="5" t="s">
        <v>66</v>
      </c>
      <c r="F300" s="5" t="s">
        <v>5083</v>
      </c>
      <c r="G300" s="5" t="s">
        <v>5076</v>
      </c>
      <c r="H300" s="5" t="s">
        <v>2486</v>
      </c>
      <c r="I300" s="5">
        <v>4.25</v>
      </c>
      <c r="J300" s="6" t="str">
        <f t="shared" si="8"/>
        <v>2+</v>
      </c>
      <c r="K300" s="6">
        <f t="shared" si="9"/>
        <v>4.25</v>
      </c>
    </row>
    <row r="301" spans="1:11" x14ac:dyDescent="0.3">
      <c r="A301" s="5" t="s">
        <v>3017</v>
      </c>
      <c r="B301" s="5" t="s">
        <v>25</v>
      </c>
      <c r="C301" s="5" t="s">
        <v>6116</v>
      </c>
      <c r="D301" s="28" t="s">
        <v>2407</v>
      </c>
      <c r="E301" s="5" t="s">
        <v>66</v>
      </c>
      <c r="F301" s="5" t="s">
        <v>5073</v>
      </c>
      <c r="G301" s="5" t="s">
        <v>5081</v>
      </c>
      <c r="H301" s="5" t="s">
        <v>2412</v>
      </c>
      <c r="I301" s="5">
        <v>4.8600000000000003</v>
      </c>
      <c r="J301" s="6" t="str">
        <f t="shared" si="8"/>
        <v>1</v>
      </c>
      <c r="K301" s="6">
        <f t="shared" si="9"/>
        <v>4.8600000000000003</v>
      </c>
    </row>
    <row r="302" spans="1:11" x14ac:dyDescent="0.3">
      <c r="A302" s="5" t="s">
        <v>4839</v>
      </c>
      <c r="B302" s="5" t="s">
        <v>25</v>
      </c>
      <c r="C302" s="5" t="s">
        <v>5447</v>
      </c>
      <c r="D302" s="28" t="s">
        <v>2407</v>
      </c>
      <c r="E302" s="5" t="s">
        <v>66</v>
      </c>
      <c r="F302" s="5" t="s">
        <v>5083</v>
      </c>
      <c r="G302" s="5" t="s">
        <v>5071</v>
      </c>
      <c r="H302" s="5" t="s">
        <v>2412</v>
      </c>
      <c r="I302" s="5">
        <v>2.09</v>
      </c>
      <c r="J302" s="6" t="str">
        <f t="shared" si="8"/>
        <v>1</v>
      </c>
      <c r="K302" s="6">
        <f t="shared" si="9"/>
        <v>2.09</v>
      </c>
    </row>
    <row r="303" spans="1:11" x14ac:dyDescent="0.3">
      <c r="A303" s="5" t="s">
        <v>5981</v>
      </c>
      <c r="B303" s="5" t="s">
        <v>25</v>
      </c>
      <c r="C303" s="5" t="s">
        <v>5982</v>
      </c>
      <c r="D303" s="28" t="s">
        <v>2407</v>
      </c>
      <c r="E303" s="5" t="s">
        <v>66</v>
      </c>
      <c r="F303" s="5" t="s">
        <v>5076</v>
      </c>
      <c r="G303" s="5" t="s">
        <v>5076</v>
      </c>
      <c r="H303" s="5" t="s">
        <v>2418</v>
      </c>
      <c r="I303" s="5">
        <v>10.47</v>
      </c>
      <c r="J303" s="6" t="str">
        <f t="shared" si="8"/>
        <v>1</v>
      </c>
      <c r="K303" s="6">
        <f t="shared" si="9"/>
        <v>10.47</v>
      </c>
    </row>
    <row r="304" spans="1:11" x14ac:dyDescent="0.3">
      <c r="A304" s="5" t="s">
        <v>4099</v>
      </c>
      <c r="B304" s="5" t="s">
        <v>25</v>
      </c>
      <c r="C304" s="5" t="s">
        <v>5762</v>
      </c>
      <c r="D304" s="28" t="s">
        <v>2407</v>
      </c>
      <c r="E304" s="5" t="s">
        <v>66</v>
      </c>
      <c r="F304" s="5" t="s">
        <v>5083</v>
      </c>
      <c r="G304" s="5" t="s">
        <v>5070</v>
      </c>
      <c r="H304" s="5" t="s">
        <v>2408</v>
      </c>
      <c r="I304" s="5"/>
      <c r="J304" s="6" t="str">
        <f t="shared" si="8"/>
        <v>0</v>
      </c>
      <c r="K304" s="6">
        <f t="shared" si="9"/>
        <v>10</v>
      </c>
    </row>
    <row r="305" spans="1:11" x14ac:dyDescent="0.3">
      <c r="A305" s="5" t="s">
        <v>3611</v>
      </c>
      <c r="B305" s="5" t="s">
        <v>106</v>
      </c>
      <c r="C305" s="5" t="s">
        <v>5929</v>
      </c>
      <c r="D305" s="28" t="s">
        <v>2407</v>
      </c>
      <c r="E305" s="5" t="s">
        <v>66</v>
      </c>
      <c r="F305" s="5" t="s">
        <v>5070</v>
      </c>
      <c r="G305" s="5" t="s">
        <v>5081</v>
      </c>
      <c r="H305" s="5" t="s">
        <v>2505</v>
      </c>
      <c r="I305" s="5">
        <v>4.3</v>
      </c>
      <c r="J305" s="6" t="str">
        <f t="shared" si="8"/>
        <v>2+</v>
      </c>
      <c r="K305" s="6">
        <f t="shared" si="9"/>
        <v>4.3</v>
      </c>
    </row>
    <row r="306" spans="1:11" x14ac:dyDescent="0.3">
      <c r="A306" s="5" t="s">
        <v>3913</v>
      </c>
      <c r="B306" s="5" t="s">
        <v>106</v>
      </c>
      <c r="C306" s="5" t="s">
        <v>5207</v>
      </c>
      <c r="D306" s="28" t="s">
        <v>2407</v>
      </c>
      <c r="E306" s="5" t="s">
        <v>66</v>
      </c>
      <c r="F306" s="5" t="s">
        <v>5071</v>
      </c>
      <c r="G306" s="5" t="s">
        <v>5083</v>
      </c>
      <c r="H306" s="5" t="s">
        <v>2423</v>
      </c>
      <c r="I306" s="5"/>
      <c r="J306" s="6" t="str">
        <f t="shared" si="8"/>
        <v>0</v>
      </c>
      <c r="K306" s="6">
        <f t="shared" si="9"/>
        <v>10.1</v>
      </c>
    </row>
    <row r="307" spans="1:11" x14ac:dyDescent="0.3">
      <c r="A307" s="5" t="s">
        <v>3690</v>
      </c>
      <c r="B307" s="5" t="s">
        <v>106</v>
      </c>
      <c r="C307" s="5" t="s">
        <v>6572</v>
      </c>
      <c r="D307" s="28" t="s">
        <v>2407</v>
      </c>
      <c r="E307" s="5" t="s">
        <v>66</v>
      </c>
      <c r="F307" s="5" t="s">
        <v>5073</v>
      </c>
      <c r="G307" s="5" t="s">
        <v>5076</v>
      </c>
      <c r="H307" s="5" t="s">
        <v>2477</v>
      </c>
      <c r="I307" s="5">
        <v>11.89</v>
      </c>
      <c r="J307" s="6" t="str">
        <f t="shared" si="8"/>
        <v>0</v>
      </c>
      <c r="K307" s="6">
        <f t="shared" si="9"/>
        <v>11.89</v>
      </c>
    </row>
    <row r="308" spans="1:11" x14ac:dyDescent="0.3">
      <c r="A308" s="5" t="s">
        <v>4308</v>
      </c>
      <c r="B308" s="5" t="s">
        <v>106</v>
      </c>
      <c r="C308" s="5" t="s">
        <v>5099</v>
      </c>
      <c r="D308" s="28" t="s">
        <v>2407</v>
      </c>
      <c r="E308" s="5" t="s">
        <v>66</v>
      </c>
      <c r="F308" s="5" t="s">
        <v>5081</v>
      </c>
      <c r="G308" s="5" t="s">
        <v>5071</v>
      </c>
      <c r="H308" s="5" t="s">
        <v>2423</v>
      </c>
      <c r="I308" s="5">
        <v>1.96</v>
      </c>
      <c r="J308" s="6" t="str">
        <f t="shared" si="8"/>
        <v>0</v>
      </c>
      <c r="K308" s="6">
        <f t="shared" si="9"/>
        <v>1.96</v>
      </c>
    </row>
    <row r="309" spans="1:11" x14ac:dyDescent="0.3">
      <c r="A309" s="5" t="s">
        <v>5946</v>
      </c>
      <c r="B309" s="5" t="s">
        <v>106</v>
      </c>
      <c r="C309" s="5" t="s">
        <v>5099</v>
      </c>
      <c r="D309" s="28" t="s">
        <v>2407</v>
      </c>
      <c r="E309" s="5" t="s">
        <v>66</v>
      </c>
      <c r="F309" s="5" t="s">
        <v>5070</v>
      </c>
      <c r="G309" s="5" t="s">
        <v>5073</v>
      </c>
      <c r="H309" s="5" t="s">
        <v>2435</v>
      </c>
      <c r="I309" s="5">
        <v>18.88</v>
      </c>
      <c r="J309" s="6" t="str">
        <f t="shared" si="8"/>
        <v>0</v>
      </c>
      <c r="K309" s="6">
        <f t="shared" si="9"/>
        <v>18.88</v>
      </c>
    </row>
    <row r="310" spans="1:11" x14ac:dyDescent="0.3">
      <c r="A310" s="5" t="s">
        <v>6122</v>
      </c>
      <c r="B310" s="5" t="s">
        <v>106</v>
      </c>
      <c r="C310" s="5" t="s">
        <v>6123</v>
      </c>
      <c r="D310" s="28" t="s">
        <v>2407</v>
      </c>
      <c r="E310" s="5" t="s">
        <v>66</v>
      </c>
      <c r="F310" s="5" t="s">
        <v>5073</v>
      </c>
      <c r="G310" s="5" t="s">
        <v>5083</v>
      </c>
      <c r="H310" s="5" t="s">
        <v>2408</v>
      </c>
      <c r="I310" s="5">
        <v>16.32</v>
      </c>
      <c r="J310" s="6" t="str">
        <f t="shared" si="8"/>
        <v>0</v>
      </c>
      <c r="K310" s="6">
        <f t="shared" si="9"/>
        <v>16.32</v>
      </c>
    </row>
    <row r="311" spans="1:11" x14ac:dyDescent="0.3">
      <c r="A311" s="5" t="s">
        <v>3036</v>
      </c>
      <c r="B311" s="5" t="s">
        <v>78</v>
      </c>
      <c r="C311" s="5" t="s">
        <v>5670</v>
      </c>
      <c r="D311" s="28" t="s">
        <v>2466</v>
      </c>
      <c r="E311" s="5" t="s">
        <v>66</v>
      </c>
      <c r="F311" s="5" t="s">
        <v>5076</v>
      </c>
      <c r="G311" s="5" t="s">
        <v>5081</v>
      </c>
      <c r="H311" s="5" t="s">
        <v>2455</v>
      </c>
      <c r="I311" s="5">
        <v>9.77</v>
      </c>
      <c r="J311" s="6" t="str">
        <f t="shared" si="8"/>
        <v>1</v>
      </c>
      <c r="K311" s="6">
        <f t="shared" si="9"/>
        <v>9.77</v>
      </c>
    </row>
    <row r="312" spans="1:11" x14ac:dyDescent="0.3">
      <c r="A312" s="5" t="s">
        <v>2820</v>
      </c>
      <c r="B312" s="5" t="s">
        <v>78</v>
      </c>
      <c r="C312" s="5" t="s">
        <v>6059</v>
      </c>
      <c r="D312" s="28" t="s">
        <v>2466</v>
      </c>
      <c r="E312" s="5" t="s">
        <v>66</v>
      </c>
      <c r="F312" s="5" t="s">
        <v>5070</v>
      </c>
      <c r="G312" s="5" t="s">
        <v>5073</v>
      </c>
      <c r="H312" s="5" t="s">
        <v>2435</v>
      </c>
      <c r="I312" s="5">
        <v>8.31</v>
      </c>
      <c r="J312" s="6" t="str">
        <f t="shared" si="8"/>
        <v>0</v>
      </c>
      <c r="K312" s="6">
        <f t="shared" si="9"/>
        <v>8.31</v>
      </c>
    </row>
    <row r="313" spans="1:11" x14ac:dyDescent="0.3">
      <c r="A313" s="5" t="s">
        <v>5117</v>
      </c>
      <c r="B313" s="5" t="s">
        <v>78</v>
      </c>
      <c r="C313" s="5" t="s">
        <v>5118</v>
      </c>
      <c r="D313" s="28" t="s">
        <v>2466</v>
      </c>
      <c r="E313" s="5" t="s">
        <v>66</v>
      </c>
      <c r="F313" s="5" t="s">
        <v>5083</v>
      </c>
      <c r="G313" s="5" t="s">
        <v>5081</v>
      </c>
      <c r="H313" s="5" t="s">
        <v>2408</v>
      </c>
      <c r="I313" s="5">
        <v>9.56</v>
      </c>
      <c r="J313" s="6" t="str">
        <f t="shared" si="8"/>
        <v>0</v>
      </c>
      <c r="K313" s="6">
        <f t="shared" si="9"/>
        <v>9.56</v>
      </c>
    </row>
    <row r="314" spans="1:11" x14ac:dyDescent="0.3">
      <c r="A314" s="5" t="s">
        <v>3882</v>
      </c>
      <c r="B314" s="5" t="s">
        <v>78</v>
      </c>
      <c r="C314" s="5" t="s">
        <v>5747</v>
      </c>
      <c r="D314" s="28" t="s">
        <v>2466</v>
      </c>
      <c r="E314" s="5" t="s">
        <v>66</v>
      </c>
      <c r="F314" s="5" t="s">
        <v>5076</v>
      </c>
      <c r="G314" s="5" t="s">
        <v>5070</v>
      </c>
      <c r="H314" s="5" t="s">
        <v>2435</v>
      </c>
      <c r="I314" s="5">
        <v>17.53</v>
      </c>
      <c r="J314" s="6" t="str">
        <f t="shared" si="8"/>
        <v>0</v>
      </c>
      <c r="K314" s="6">
        <f t="shared" si="9"/>
        <v>17.53</v>
      </c>
    </row>
    <row r="315" spans="1:11" x14ac:dyDescent="0.3">
      <c r="A315" s="5" t="s">
        <v>4002</v>
      </c>
      <c r="B315" s="5" t="s">
        <v>78</v>
      </c>
      <c r="C315" s="5" t="s">
        <v>5367</v>
      </c>
      <c r="D315" s="28" t="s">
        <v>2466</v>
      </c>
      <c r="E315" s="5" t="s">
        <v>66</v>
      </c>
      <c r="F315" s="5" t="s">
        <v>5073</v>
      </c>
      <c r="G315" s="5" t="s">
        <v>5081</v>
      </c>
      <c r="H315" s="5" t="s">
        <v>2477</v>
      </c>
      <c r="I315" s="5">
        <v>10.31</v>
      </c>
      <c r="J315" s="6" t="str">
        <f t="shared" si="8"/>
        <v>0</v>
      </c>
      <c r="K315" s="6">
        <f t="shared" si="9"/>
        <v>10.31</v>
      </c>
    </row>
    <row r="316" spans="1:11" x14ac:dyDescent="0.3">
      <c r="A316" s="5" t="s">
        <v>3053</v>
      </c>
      <c r="B316" s="5" t="s">
        <v>78</v>
      </c>
      <c r="C316" s="5" t="s">
        <v>5795</v>
      </c>
      <c r="D316" s="28" t="s">
        <v>2466</v>
      </c>
      <c r="E316" s="5" t="s">
        <v>66</v>
      </c>
      <c r="F316" s="5" t="s">
        <v>5071</v>
      </c>
      <c r="G316" s="5" t="s">
        <v>5070</v>
      </c>
      <c r="H316" s="5" t="s">
        <v>2450</v>
      </c>
      <c r="I316" s="5">
        <v>8.98</v>
      </c>
      <c r="J316" s="6" t="str">
        <f t="shared" si="8"/>
        <v>1</v>
      </c>
      <c r="K316" s="6">
        <f t="shared" si="9"/>
        <v>8.98</v>
      </c>
    </row>
    <row r="317" spans="1:11" x14ac:dyDescent="0.3">
      <c r="A317" s="5" t="s">
        <v>2465</v>
      </c>
      <c r="B317" s="5" t="s">
        <v>45</v>
      </c>
      <c r="C317" s="5" t="s">
        <v>6573</v>
      </c>
      <c r="D317" s="28" t="s">
        <v>2466</v>
      </c>
      <c r="E317" s="5" t="s">
        <v>66</v>
      </c>
      <c r="F317" s="5" t="s">
        <v>5076</v>
      </c>
      <c r="G317" s="5" t="s">
        <v>5081</v>
      </c>
      <c r="H317" s="5" t="s">
        <v>2477</v>
      </c>
      <c r="I317" s="5">
        <v>3.13</v>
      </c>
      <c r="J317" s="6" t="str">
        <f t="shared" si="8"/>
        <v>0</v>
      </c>
      <c r="K317" s="6">
        <f t="shared" si="9"/>
        <v>3.13</v>
      </c>
    </row>
    <row r="318" spans="1:11" x14ac:dyDescent="0.3">
      <c r="A318" s="5" t="s">
        <v>4067</v>
      </c>
      <c r="B318" s="5" t="s">
        <v>45</v>
      </c>
      <c r="C318" s="5" t="s">
        <v>5173</v>
      </c>
      <c r="D318" s="28" t="s">
        <v>2466</v>
      </c>
      <c r="E318" s="5" t="s">
        <v>66</v>
      </c>
      <c r="F318" s="5" t="s">
        <v>5070</v>
      </c>
      <c r="G318" s="5" t="s">
        <v>5076</v>
      </c>
      <c r="H318" s="5" t="s">
        <v>2408</v>
      </c>
      <c r="I318" s="5">
        <v>14.93</v>
      </c>
      <c r="J318" s="6" t="str">
        <f t="shared" si="8"/>
        <v>0</v>
      </c>
      <c r="K318" s="6">
        <f t="shared" si="9"/>
        <v>14.93</v>
      </c>
    </row>
    <row r="319" spans="1:11" x14ac:dyDescent="0.3">
      <c r="A319" s="5" t="s">
        <v>6007</v>
      </c>
      <c r="B319" s="5" t="s">
        <v>45</v>
      </c>
      <c r="C319" s="5" t="s">
        <v>6008</v>
      </c>
      <c r="D319" s="28" t="s">
        <v>2466</v>
      </c>
      <c r="E319" s="5" t="s">
        <v>66</v>
      </c>
      <c r="F319" s="5" t="s">
        <v>5083</v>
      </c>
      <c r="G319" s="5" t="s">
        <v>5073</v>
      </c>
      <c r="H319" s="5" t="s">
        <v>2408</v>
      </c>
      <c r="I319" s="5">
        <v>11.55</v>
      </c>
      <c r="J319" s="6" t="str">
        <f t="shared" si="8"/>
        <v>0</v>
      </c>
      <c r="K319" s="6">
        <f t="shared" si="9"/>
        <v>11.55</v>
      </c>
    </row>
    <row r="320" spans="1:11" x14ac:dyDescent="0.3">
      <c r="A320" s="5" t="s">
        <v>5791</v>
      </c>
      <c r="B320" s="5" t="s">
        <v>45</v>
      </c>
      <c r="C320" s="5" t="s">
        <v>5393</v>
      </c>
      <c r="D320" s="28" t="s">
        <v>2466</v>
      </c>
      <c r="E320" s="5" t="s">
        <v>66</v>
      </c>
      <c r="F320" s="5" t="s">
        <v>5083</v>
      </c>
      <c r="G320" s="5" t="s">
        <v>5071</v>
      </c>
      <c r="H320" s="5" t="s">
        <v>2408</v>
      </c>
      <c r="I320" s="5">
        <v>15.01</v>
      </c>
      <c r="J320" s="6" t="str">
        <f t="shared" si="8"/>
        <v>0</v>
      </c>
      <c r="K320" s="6">
        <f t="shared" si="9"/>
        <v>15.01</v>
      </c>
    </row>
    <row r="321" spans="1:11" x14ac:dyDescent="0.3">
      <c r="A321" s="5" t="s">
        <v>5247</v>
      </c>
      <c r="B321" s="5" t="s">
        <v>45</v>
      </c>
      <c r="C321" s="5" t="s">
        <v>5248</v>
      </c>
      <c r="D321" s="28" t="s">
        <v>2466</v>
      </c>
      <c r="E321" s="5" t="s">
        <v>66</v>
      </c>
      <c r="F321" s="5" t="s">
        <v>5073</v>
      </c>
      <c r="G321" s="5" t="s">
        <v>5071</v>
      </c>
      <c r="H321" s="5" t="s">
        <v>2435</v>
      </c>
      <c r="I321" s="5">
        <v>4.9400000000000004</v>
      </c>
      <c r="J321" s="6" t="str">
        <f t="shared" si="8"/>
        <v>0</v>
      </c>
      <c r="K321" s="6">
        <f t="shared" si="9"/>
        <v>4.9400000000000004</v>
      </c>
    </row>
    <row r="322" spans="1:11" x14ac:dyDescent="0.3">
      <c r="A322" s="5" t="s">
        <v>5565</v>
      </c>
      <c r="B322" s="5" t="s">
        <v>45</v>
      </c>
      <c r="C322" s="5" t="s">
        <v>5566</v>
      </c>
      <c r="D322" s="28" t="s">
        <v>2466</v>
      </c>
      <c r="E322" s="5" t="s">
        <v>66</v>
      </c>
      <c r="F322" s="5" t="s">
        <v>5083</v>
      </c>
      <c r="G322" s="5" t="s">
        <v>5070</v>
      </c>
      <c r="H322" s="5" t="s">
        <v>2477</v>
      </c>
      <c r="I322" s="5">
        <v>3.02</v>
      </c>
      <c r="J322" s="6" t="str">
        <f t="shared" ref="J322:J385" si="10">IF(OR(LOWER(TRIM(H322))="0",LOWER(TRIM(H322))="ZERO"),"0",IF(OR(LOWER(TRIM(H322))="1",LOWER(TRIM(H322))="one"),"1",IF(OR(LOWER(TRIM(H322))="2",LOWER(TRIM(H322))="two"),"2",IF(OR(LOWER(TRIM(H322))="2+",LOWER(TRIM(H322))="two_or_more",LOWER(TRIM(H322))="multiple"),"2+","Unknown"))))</f>
        <v>0</v>
      </c>
      <c r="K322" s="6">
        <f t="shared" si="9"/>
        <v>3.02</v>
      </c>
    </row>
    <row r="323" spans="1:11" x14ac:dyDescent="0.3">
      <c r="A323" s="5" t="s">
        <v>2793</v>
      </c>
      <c r="B323" s="5" t="s">
        <v>45</v>
      </c>
      <c r="C323" s="5" t="s">
        <v>5839</v>
      </c>
      <c r="D323" s="28" t="s">
        <v>2466</v>
      </c>
      <c r="E323" s="5" t="s">
        <v>66</v>
      </c>
      <c r="F323" s="5" t="s">
        <v>5070</v>
      </c>
      <c r="G323" s="5" t="s">
        <v>5073</v>
      </c>
      <c r="H323" s="5" t="s">
        <v>2477</v>
      </c>
      <c r="I323" s="5"/>
      <c r="J323" s="6" t="str">
        <f t="shared" si="10"/>
        <v>0</v>
      </c>
      <c r="K323" s="6">
        <f t="shared" ref="K323:K386" si="11">IF(I323="",ROUND(AVERAGEIF($B$2:$B$1000,B323,$I$2:$I$1000),1),I323)</f>
        <v>10.199999999999999</v>
      </c>
    </row>
    <row r="324" spans="1:11" x14ac:dyDescent="0.3">
      <c r="A324" s="5" t="s">
        <v>4011</v>
      </c>
      <c r="B324" s="5" t="s">
        <v>45</v>
      </c>
      <c r="C324" s="5" t="s">
        <v>6412</v>
      </c>
      <c r="D324" s="28" t="s">
        <v>2466</v>
      </c>
      <c r="E324" s="5" t="s">
        <v>66</v>
      </c>
      <c r="F324" s="5" t="s">
        <v>5081</v>
      </c>
      <c r="G324" s="5" t="s">
        <v>5073</v>
      </c>
      <c r="H324" s="5" t="s">
        <v>2477</v>
      </c>
      <c r="I324" s="5">
        <v>3.88</v>
      </c>
      <c r="J324" s="6" t="str">
        <f t="shared" si="10"/>
        <v>0</v>
      </c>
      <c r="K324" s="6">
        <f t="shared" si="11"/>
        <v>3.88</v>
      </c>
    </row>
    <row r="325" spans="1:11" x14ac:dyDescent="0.3">
      <c r="A325" s="5" t="s">
        <v>4611</v>
      </c>
      <c r="B325" s="5" t="s">
        <v>45</v>
      </c>
      <c r="C325" s="5" t="s">
        <v>5145</v>
      </c>
      <c r="D325" s="28" t="s">
        <v>2466</v>
      </c>
      <c r="E325" s="5" t="s">
        <v>66</v>
      </c>
      <c r="F325" s="5" t="s">
        <v>5076</v>
      </c>
      <c r="G325" s="5" t="s">
        <v>5076</v>
      </c>
      <c r="H325" s="5" t="s">
        <v>2435</v>
      </c>
      <c r="I325" s="5">
        <v>1.21</v>
      </c>
      <c r="J325" s="6" t="str">
        <f t="shared" si="10"/>
        <v>0</v>
      </c>
      <c r="K325" s="6">
        <f t="shared" si="11"/>
        <v>1.21</v>
      </c>
    </row>
    <row r="326" spans="1:11" x14ac:dyDescent="0.3">
      <c r="A326" s="5" t="s">
        <v>5270</v>
      </c>
      <c r="B326" s="5" t="s">
        <v>45</v>
      </c>
      <c r="C326" s="5" t="s">
        <v>5271</v>
      </c>
      <c r="D326" s="28" t="s">
        <v>2466</v>
      </c>
      <c r="E326" s="5" t="s">
        <v>66</v>
      </c>
      <c r="F326" s="5" t="s">
        <v>5076</v>
      </c>
      <c r="G326" s="5" t="s">
        <v>5071</v>
      </c>
      <c r="H326" s="5" t="s">
        <v>2450</v>
      </c>
      <c r="I326" s="5">
        <v>11.81</v>
      </c>
      <c r="J326" s="6" t="str">
        <f t="shared" si="10"/>
        <v>1</v>
      </c>
      <c r="K326" s="6">
        <f t="shared" si="11"/>
        <v>11.81</v>
      </c>
    </row>
    <row r="327" spans="1:11" x14ac:dyDescent="0.3">
      <c r="A327" s="5" t="s">
        <v>4118</v>
      </c>
      <c r="B327" s="5" t="s">
        <v>45</v>
      </c>
      <c r="C327" s="5" t="s">
        <v>5912</v>
      </c>
      <c r="D327" s="28" t="s">
        <v>2466</v>
      </c>
      <c r="E327" s="5" t="s">
        <v>66</v>
      </c>
      <c r="F327" s="5" t="s">
        <v>5071</v>
      </c>
      <c r="G327" s="5" t="s">
        <v>5071</v>
      </c>
      <c r="H327" s="5" t="s">
        <v>2408</v>
      </c>
      <c r="I327" s="5">
        <v>8.48</v>
      </c>
      <c r="J327" s="6" t="str">
        <f t="shared" si="10"/>
        <v>0</v>
      </c>
      <c r="K327" s="6">
        <f t="shared" si="11"/>
        <v>8.48</v>
      </c>
    </row>
    <row r="328" spans="1:11" x14ac:dyDescent="0.3">
      <c r="A328" s="5" t="s">
        <v>5526</v>
      </c>
      <c r="B328" s="5" t="s">
        <v>14</v>
      </c>
      <c r="C328" s="5" t="s">
        <v>5527</v>
      </c>
      <c r="D328" s="28" t="s">
        <v>2466</v>
      </c>
      <c r="E328" s="5" t="s">
        <v>66</v>
      </c>
      <c r="F328" s="5" t="s">
        <v>5073</v>
      </c>
      <c r="G328" s="5" t="s">
        <v>5071</v>
      </c>
      <c r="H328" s="5" t="s">
        <v>2439</v>
      </c>
      <c r="I328" s="5">
        <v>14.13</v>
      </c>
      <c r="J328" s="6" t="str">
        <f t="shared" si="10"/>
        <v>2</v>
      </c>
      <c r="K328" s="6">
        <f t="shared" si="11"/>
        <v>14.13</v>
      </c>
    </row>
    <row r="329" spans="1:11" x14ac:dyDescent="0.3">
      <c r="A329" s="5" t="s">
        <v>4295</v>
      </c>
      <c r="B329" s="5" t="s">
        <v>14</v>
      </c>
      <c r="C329" s="5" t="s">
        <v>5372</v>
      </c>
      <c r="D329" s="28" t="s">
        <v>2466</v>
      </c>
      <c r="E329" s="5" t="s">
        <v>66</v>
      </c>
      <c r="F329" s="5" t="s">
        <v>5070</v>
      </c>
      <c r="G329" s="5" t="s">
        <v>5070</v>
      </c>
      <c r="H329" s="5" t="s">
        <v>2428</v>
      </c>
      <c r="I329" s="5">
        <v>12.34</v>
      </c>
      <c r="J329" s="6" t="str">
        <f t="shared" si="10"/>
        <v>2</v>
      </c>
      <c r="K329" s="6">
        <f t="shared" si="11"/>
        <v>12.34</v>
      </c>
    </row>
    <row r="330" spans="1:11" x14ac:dyDescent="0.3">
      <c r="A330" s="5" t="s">
        <v>3214</v>
      </c>
      <c r="B330" s="5" t="s">
        <v>14</v>
      </c>
      <c r="C330" s="5" t="s">
        <v>5614</v>
      </c>
      <c r="D330" s="28" t="s">
        <v>2466</v>
      </c>
      <c r="E330" s="5" t="s">
        <v>66</v>
      </c>
      <c r="F330" s="5" t="s">
        <v>5070</v>
      </c>
      <c r="G330" s="5" t="s">
        <v>5083</v>
      </c>
      <c r="H330" s="5" t="s">
        <v>2418</v>
      </c>
      <c r="I330" s="5">
        <v>12.16</v>
      </c>
      <c r="J330" s="6" t="str">
        <f t="shared" si="10"/>
        <v>1</v>
      </c>
      <c r="K330" s="6">
        <f t="shared" si="11"/>
        <v>12.16</v>
      </c>
    </row>
    <row r="331" spans="1:11" x14ac:dyDescent="0.3">
      <c r="A331" s="5" t="s">
        <v>4375</v>
      </c>
      <c r="B331" s="5" t="s">
        <v>14</v>
      </c>
      <c r="C331" s="5" t="s">
        <v>5267</v>
      </c>
      <c r="D331" s="28" t="s">
        <v>2466</v>
      </c>
      <c r="E331" s="5" t="s">
        <v>66</v>
      </c>
      <c r="F331" s="5" t="s">
        <v>5081</v>
      </c>
      <c r="G331" s="5" t="s">
        <v>5081</v>
      </c>
      <c r="H331" s="5" t="s">
        <v>2455</v>
      </c>
      <c r="I331" s="5">
        <v>14.49</v>
      </c>
      <c r="J331" s="6" t="str">
        <f t="shared" si="10"/>
        <v>1</v>
      </c>
      <c r="K331" s="6">
        <f t="shared" si="11"/>
        <v>14.49</v>
      </c>
    </row>
    <row r="332" spans="1:11" x14ac:dyDescent="0.3">
      <c r="A332" s="5" t="s">
        <v>5809</v>
      </c>
      <c r="B332" s="5" t="s">
        <v>117</v>
      </c>
      <c r="C332" s="5" t="s">
        <v>5810</v>
      </c>
      <c r="D332" s="28" t="s">
        <v>2466</v>
      </c>
      <c r="E332" s="5" t="s">
        <v>66</v>
      </c>
      <c r="F332" s="5" t="s">
        <v>5070</v>
      </c>
      <c r="G332" s="5" t="s">
        <v>5070</v>
      </c>
      <c r="H332" s="5" t="s">
        <v>2477</v>
      </c>
      <c r="I332" s="5">
        <v>4.88</v>
      </c>
      <c r="J332" s="6" t="str">
        <f t="shared" si="10"/>
        <v>0</v>
      </c>
      <c r="K332" s="6">
        <f t="shared" si="11"/>
        <v>4.88</v>
      </c>
    </row>
    <row r="333" spans="1:11" x14ac:dyDescent="0.3">
      <c r="A333" s="5" t="s">
        <v>6503</v>
      </c>
      <c r="B333" s="5" t="s">
        <v>117</v>
      </c>
      <c r="C333" s="5" t="s">
        <v>5234</v>
      </c>
      <c r="D333" s="28" t="s">
        <v>2466</v>
      </c>
      <c r="E333" s="5" t="s">
        <v>66</v>
      </c>
      <c r="F333" s="5" t="s">
        <v>5083</v>
      </c>
      <c r="G333" s="5" t="s">
        <v>5076</v>
      </c>
      <c r="H333" s="5" t="s">
        <v>2428</v>
      </c>
      <c r="I333" s="5">
        <v>3.52</v>
      </c>
      <c r="J333" s="6" t="str">
        <f t="shared" si="10"/>
        <v>2</v>
      </c>
      <c r="K333" s="6">
        <f t="shared" si="11"/>
        <v>3.52</v>
      </c>
    </row>
    <row r="334" spans="1:11" x14ac:dyDescent="0.3">
      <c r="A334" s="5" t="s">
        <v>5998</v>
      </c>
      <c r="B334" s="5" t="s">
        <v>117</v>
      </c>
      <c r="C334" s="5" t="s">
        <v>5999</v>
      </c>
      <c r="D334" s="28" t="s">
        <v>2466</v>
      </c>
      <c r="E334" s="5" t="s">
        <v>66</v>
      </c>
      <c r="F334" s="5" t="s">
        <v>5071</v>
      </c>
      <c r="G334" s="5" t="s">
        <v>5076</v>
      </c>
      <c r="H334" s="5" t="s">
        <v>2423</v>
      </c>
      <c r="I334" s="5">
        <v>15.12</v>
      </c>
      <c r="J334" s="6" t="str">
        <f t="shared" si="10"/>
        <v>0</v>
      </c>
      <c r="K334" s="6">
        <f t="shared" si="11"/>
        <v>15.12</v>
      </c>
    </row>
    <row r="335" spans="1:11" x14ac:dyDescent="0.3">
      <c r="A335" s="5" t="s">
        <v>5282</v>
      </c>
      <c r="B335" s="5" t="s">
        <v>117</v>
      </c>
      <c r="C335" s="5" t="s">
        <v>5283</v>
      </c>
      <c r="D335" s="28" t="s">
        <v>2466</v>
      </c>
      <c r="E335" s="5" t="s">
        <v>66</v>
      </c>
      <c r="F335" s="5" t="s">
        <v>5076</v>
      </c>
      <c r="G335" s="5" t="s">
        <v>5081</v>
      </c>
      <c r="H335" s="5" t="s">
        <v>2408</v>
      </c>
      <c r="I335" s="5">
        <v>15.03</v>
      </c>
      <c r="J335" s="6" t="str">
        <f t="shared" si="10"/>
        <v>0</v>
      </c>
      <c r="K335" s="6">
        <f t="shared" si="11"/>
        <v>15.03</v>
      </c>
    </row>
    <row r="336" spans="1:11" x14ac:dyDescent="0.3">
      <c r="A336" s="5" t="s">
        <v>6374</v>
      </c>
      <c r="B336" s="5" t="s">
        <v>117</v>
      </c>
      <c r="C336" s="5" t="s">
        <v>5176</v>
      </c>
      <c r="D336" s="28" t="s">
        <v>2466</v>
      </c>
      <c r="E336" s="5" t="s">
        <v>66</v>
      </c>
      <c r="F336" s="5" t="s">
        <v>5076</v>
      </c>
      <c r="G336" s="5" t="s">
        <v>5076</v>
      </c>
      <c r="H336" s="5" t="s">
        <v>2418</v>
      </c>
      <c r="I336" s="5">
        <v>18.29</v>
      </c>
      <c r="J336" s="6" t="str">
        <f t="shared" si="10"/>
        <v>1</v>
      </c>
      <c r="K336" s="6">
        <f t="shared" si="11"/>
        <v>18.29</v>
      </c>
    </row>
    <row r="337" spans="1:11" x14ac:dyDescent="0.3">
      <c r="A337" s="5" t="s">
        <v>3141</v>
      </c>
      <c r="B337" s="5" t="s">
        <v>117</v>
      </c>
      <c r="C337" s="5" t="s">
        <v>6061</v>
      </c>
      <c r="D337" s="28" t="s">
        <v>2466</v>
      </c>
      <c r="E337" s="5" t="s">
        <v>66</v>
      </c>
      <c r="F337" s="5" t="s">
        <v>5083</v>
      </c>
      <c r="G337" s="5" t="s">
        <v>5070</v>
      </c>
      <c r="H337" s="5" t="s">
        <v>2746</v>
      </c>
      <c r="I337" s="5">
        <v>3.13</v>
      </c>
      <c r="J337" s="6" t="str">
        <f t="shared" si="10"/>
        <v>2</v>
      </c>
      <c r="K337" s="6">
        <f t="shared" si="11"/>
        <v>3.13</v>
      </c>
    </row>
    <row r="338" spans="1:11" x14ac:dyDescent="0.3">
      <c r="A338" s="5" t="s">
        <v>4793</v>
      </c>
      <c r="B338" s="5" t="s">
        <v>117</v>
      </c>
      <c r="C338" s="5" t="s">
        <v>5335</v>
      </c>
      <c r="D338" s="28" t="s">
        <v>2466</v>
      </c>
      <c r="E338" s="5" t="s">
        <v>66</v>
      </c>
      <c r="F338" s="5" t="s">
        <v>5073</v>
      </c>
      <c r="G338" s="5" t="s">
        <v>5073</v>
      </c>
      <c r="H338" s="5" t="s">
        <v>2450</v>
      </c>
      <c r="I338" s="5">
        <v>2.94</v>
      </c>
      <c r="J338" s="6" t="str">
        <f t="shared" si="10"/>
        <v>1</v>
      </c>
      <c r="K338" s="6">
        <f t="shared" si="11"/>
        <v>2.94</v>
      </c>
    </row>
    <row r="339" spans="1:11" x14ac:dyDescent="0.3">
      <c r="A339" s="5" t="s">
        <v>4827</v>
      </c>
      <c r="B339" s="5" t="s">
        <v>25</v>
      </c>
      <c r="C339" s="5" t="s">
        <v>5877</v>
      </c>
      <c r="D339" s="28" t="s">
        <v>2466</v>
      </c>
      <c r="E339" s="5" t="s">
        <v>66</v>
      </c>
      <c r="F339" s="5" t="s">
        <v>5081</v>
      </c>
      <c r="G339" s="5" t="s">
        <v>5073</v>
      </c>
      <c r="H339" s="5" t="s">
        <v>2477</v>
      </c>
      <c r="I339" s="5">
        <v>5.38</v>
      </c>
      <c r="J339" s="6" t="str">
        <f t="shared" si="10"/>
        <v>0</v>
      </c>
      <c r="K339" s="6">
        <f t="shared" si="11"/>
        <v>5.38</v>
      </c>
    </row>
    <row r="340" spans="1:11" x14ac:dyDescent="0.3">
      <c r="A340" s="5" t="s">
        <v>3709</v>
      </c>
      <c r="B340" s="5" t="s">
        <v>25</v>
      </c>
      <c r="C340" s="5" t="s">
        <v>6448</v>
      </c>
      <c r="D340" s="28" t="s">
        <v>2466</v>
      </c>
      <c r="E340" s="5" t="s">
        <v>66</v>
      </c>
      <c r="F340" s="5" t="s">
        <v>5070</v>
      </c>
      <c r="G340" s="5" t="s">
        <v>5081</v>
      </c>
      <c r="H340" s="5" t="s">
        <v>2455</v>
      </c>
      <c r="I340" s="5">
        <v>19.899999999999999</v>
      </c>
      <c r="J340" s="6" t="str">
        <f t="shared" si="10"/>
        <v>1</v>
      </c>
      <c r="K340" s="6">
        <f t="shared" si="11"/>
        <v>19.899999999999999</v>
      </c>
    </row>
    <row r="341" spans="1:11" x14ac:dyDescent="0.3">
      <c r="A341" s="5" t="s">
        <v>3508</v>
      </c>
      <c r="B341" s="5" t="s">
        <v>25</v>
      </c>
      <c r="C341" s="5" t="s">
        <v>5172</v>
      </c>
      <c r="D341" s="28" t="s">
        <v>2466</v>
      </c>
      <c r="E341" s="5" t="s">
        <v>66</v>
      </c>
      <c r="F341" s="5" t="s">
        <v>5081</v>
      </c>
      <c r="G341" s="5" t="s">
        <v>5083</v>
      </c>
      <c r="H341" s="5" t="s">
        <v>2450</v>
      </c>
      <c r="I341" s="5">
        <v>1.1200000000000001</v>
      </c>
      <c r="J341" s="6" t="str">
        <f t="shared" si="10"/>
        <v>1</v>
      </c>
      <c r="K341" s="6">
        <f t="shared" si="11"/>
        <v>1.1200000000000001</v>
      </c>
    </row>
    <row r="342" spans="1:11" x14ac:dyDescent="0.3">
      <c r="A342" s="5" t="s">
        <v>6484</v>
      </c>
      <c r="B342" s="5" t="s">
        <v>25</v>
      </c>
      <c r="C342" s="5" t="s">
        <v>6485</v>
      </c>
      <c r="D342" s="28" t="s">
        <v>2466</v>
      </c>
      <c r="E342" s="5" t="s">
        <v>66</v>
      </c>
      <c r="F342" s="5" t="s">
        <v>5070</v>
      </c>
      <c r="G342" s="5" t="s">
        <v>5071</v>
      </c>
      <c r="H342" s="5" t="s">
        <v>2423</v>
      </c>
      <c r="I342" s="5">
        <v>5.17</v>
      </c>
      <c r="J342" s="6" t="str">
        <f t="shared" si="10"/>
        <v>0</v>
      </c>
      <c r="K342" s="6">
        <f t="shared" si="11"/>
        <v>5.17</v>
      </c>
    </row>
    <row r="343" spans="1:11" x14ac:dyDescent="0.3">
      <c r="A343" s="5" t="s">
        <v>3943</v>
      </c>
      <c r="B343" s="5" t="s">
        <v>25</v>
      </c>
      <c r="C343" s="5" t="s">
        <v>5339</v>
      </c>
      <c r="D343" s="28" t="s">
        <v>2466</v>
      </c>
      <c r="E343" s="5" t="s">
        <v>66</v>
      </c>
      <c r="F343" s="5" t="s">
        <v>5076</v>
      </c>
      <c r="G343" s="5" t="s">
        <v>5081</v>
      </c>
      <c r="H343" s="5" t="s">
        <v>2412</v>
      </c>
      <c r="I343" s="5">
        <v>0.74</v>
      </c>
      <c r="J343" s="6" t="str">
        <f t="shared" si="10"/>
        <v>1</v>
      </c>
      <c r="K343" s="6">
        <f t="shared" si="11"/>
        <v>0.74</v>
      </c>
    </row>
    <row r="344" spans="1:11" x14ac:dyDescent="0.3">
      <c r="A344" s="5" t="s">
        <v>3886</v>
      </c>
      <c r="B344" s="5" t="s">
        <v>25</v>
      </c>
      <c r="C344" s="5" t="s">
        <v>5467</v>
      </c>
      <c r="D344" s="28" t="s">
        <v>2466</v>
      </c>
      <c r="E344" s="5" t="s">
        <v>66</v>
      </c>
      <c r="F344" s="5" t="s">
        <v>5076</v>
      </c>
      <c r="G344" s="5" t="s">
        <v>5073</v>
      </c>
      <c r="H344" s="5" t="s">
        <v>2428</v>
      </c>
      <c r="I344" s="5">
        <v>17.21</v>
      </c>
      <c r="J344" s="6" t="str">
        <f t="shared" si="10"/>
        <v>2</v>
      </c>
      <c r="K344" s="6">
        <f t="shared" si="11"/>
        <v>17.21</v>
      </c>
    </row>
    <row r="345" spans="1:11" x14ac:dyDescent="0.3">
      <c r="A345" s="5" t="s">
        <v>6271</v>
      </c>
      <c r="B345" s="5" t="s">
        <v>25</v>
      </c>
      <c r="C345" s="5" t="s">
        <v>6272</v>
      </c>
      <c r="D345" s="28" t="s">
        <v>2466</v>
      </c>
      <c r="E345" s="5" t="s">
        <v>66</v>
      </c>
      <c r="F345" s="5" t="s">
        <v>5071</v>
      </c>
      <c r="G345" s="5" t="s">
        <v>5076</v>
      </c>
      <c r="H345" s="5" t="s">
        <v>2412</v>
      </c>
      <c r="I345" s="5">
        <v>2.62</v>
      </c>
      <c r="J345" s="6" t="str">
        <f t="shared" si="10"/>
        <v>1</v>
      </c>
      <c r="K345" s="6">
        <f t="shared" si="11"/>
        <v>2.62</v>
      </c>
    </row>
    <row r="346" spans="1:11" x14ac:dyDescent="0.3">
      <c r="A346" s="5" t="s">
        <v>3370</v>
      </c>
      <c r="B346" s="5" t="s">
        <v>25</v>
      </c>
      <c r="C346" s="5" t="s">
        <v>6548</v>
      </c>
      <c r="D346" s="28" t="s">
        <v>2466</v>
      </c>
      <c r="E346" s="5" t="s">
        <v>66</v>
      </c>
      <c r="F346" s="5" t="s">
        <v>5076</v>
      </c>
      <c r="G346" s="5" t="s">
        <v>5071</v>
      </c>
      <c r="H346" s="5" t="s">
        <v>2418</v>
      </c>
      <c r="I346" s="5">
        <v>7.48</v>
      </c>
      <c r="J346" s="6" t="str">
        <f t="shared" si="10"/>
        <v>1</v>
      </c>
      <c r="K346" s="6">
        <f t="shared" si="11"/>
        <v>7.48</v>
      </c>
    </row>
    <row r="347" spans="1:11" x14ac:dyDescent="0.3">
      <c r="A347" s="5" t="s">
        <v>5125</v>
      </c>
      <c r="B347" s="5" t="s">
        <v>106</v>
      </c>
      <c r="C347" s="5" t="s">
        <v>5126</v>
      </c>
      <c r="D347" s="28" t="s">
        <v>2466</v>
      </c>
      <c r="E347" s="5" t="s">
        <v>66</v>
      </c>
      <c r="F347" s="5" t="s">
        <v>5071</v>
      </c>
      <c r="G347" s="5" t="s">
        <v>5083</v>
      </c>
      <c r="H347" s="5" t="s">
        <v>2423</v>
      </c>
      <c r="I347" s="5">
        <v>10.45</v>
      </c>
      <c r="J347" s="6" t="str">
        <f t="shared" si="10"/>
        <v>0</v>
      </c>
      <c r="K347" s="6">
        <f t="shared" si="11"/>
        <v>10.45</v>
      </c>
    </row>
    <row r="348" spans="1:11" x14ac:dyDescent="0.3">
      <c r="A348" s="5" t="s">
        <v>3790</v>
      </c>
      <c r="B348" s="5" t="s">
        <v>106</v>
      </c>
      <c r="C348" s="5" t="s">
        <v>6549</v>
      </c>
      <c r="D348" s="28" t="s">
        <v>2466</v>
      </c>
      <c r="E348" s="5" t="s">
        <v>66</v>
      </c>
      <c r="F348" s="5" t="s">
        <v>5070</v>
      </c>
      <c r="G348" s="5" t="s">
        <v>5076</v>
      </c>
      <c r="H348" s="5" t="s">
        <v>2455</v>
      </c>
      <c r="I348" s="5">
        <v>19.850000000000001</v>
      </c>
      <c r="J348" s="6" t="str">
        <f t="shared" si="10"/>
        <v>1</v>
      </c>
      <c r="K348" s="6">
        <f t="shared" si="11"/>
        <v>19.850000000000001</v>
      </c>
    </row>
    <row r="349" spans="1:11" x14ac:dyDescent="0.3">
      <c r="A349" s="5" t="s">
        <v>2740</v>
      </c>
      <c r="B349" s="5" t="s">
        <v>106</v>
      </c>
      <c r="C349" s="5" t="s">
        <v>6381</v>
      </c>
      <c r="D349" s="28" t="s">
        <v>2466</v>
      </c>
      <c r="E349" s="5" t="s">
        <v>66</v>
      </c>
      <c r="F349" s="5" t="s">
        <v>5071</v>
      </c>
      <c r="G349" s="5" t="s">
        <v>5071</v>
      </c>
      <c r="H349" s="5" t="s">
        <v>2746</v>
      </c>
      <c r="I349" s="5">
        <v>13.68</v>
      </c>
      <c r="J349" s="6" t="str">
        <f t="shared" si="10"/>
        <v>2</v>
      </c>
      <c r="K349" s="6">
        <f t="shared" si="11"/>
        <v>13.68</v>
      </c>
    </row>
    <row r="350" spans="1:11" x14ac:dyDescent="0.3">
      <c r="A350" s="5" t="s">
        <v>2791</v>
      </c>
      <c r="B350" s="5" t="s">
        <v>106</v>
      </c>
      <c r="C350" s="5" t="s">
        <v>5278</v>
      </c>
      <c r="D350" s="28" t="s">
        <v>2466</v>
      </c>
      <c r="E350" s="5" t="s">
        <v>66</v>
      </c>
      <c r="F350" s="5" t="s">
        <v>5081</v>
      </c>
      <c r="G350" s="5" t="s">
        <v>5081</v>
      </c>
      <c r="H350" s="5" t="s">
        <v>2423</v>
      </c>
      <c r="I350" s="5">
        <v>17.55</v>
      </c>
      <c r="J350" s="6" t="str">
        <f t="shared" si="10"/>
        <v>0</v>
      </c>
      <c r="K350" s="6">
        <f t="shared" si="11"/>
        <v>17.55</v>
      </c>
    </row>
    <row r="351" spans="1:11" x14ac:dyDescent="0.3">
      <c r="A351" s="5" t="s">
        <v>5285</v>
      </c>
      <c r="B351" s="5" t="s">
        <v>106</v>
      </c>
      <c r="C351" s="5" t="s">
        <v>5286</v>
      </c>
      <c r="D351" s="28" t="s">
        <v>2466</v>
      </c>
      <c r="E351" s="5" t="s">
        <v>66</v>
      </c>
      <c r="F351" s="5" t="s">
        <v>5083</v>
      </c>
      <c r="G351" s="5" t="s">
        <v>5070</v>
      </c>
      <c r="H351" s="5" t="s">
        <v>2412</v>
      </c>
      <c r="I351" s="5">
        <v>15.74</v>
      </c>
      <c r="J351" s="6" t="str">
        <f t="shared" si="10"/>
        <v>1</v>
      </c>
      <c r="K351" s="6">
        <f t="shared" si="11"/>
        <v>15.74</v>
      </c>
    </row>
    <row r="352" spans="1:11" x14ac:dyDescent="0.3">
      <c r="A352" s="5" t="s">
        <v>5015</v>
      </c>
      <c r="B352" s="5" t="s">
        <v>78</v>
      </c>
      <c r="C352" s="5" t="s">
        <v>5191</v>
      </c>
      <c r="D352" s="28" t="s">
        <v>2521</v>
      </c>
      <c r="E352" s="5" t="s">
        <v>66</v>
      </c>
      <c r="F352" s="5" t="s">
        <v>5073</v>
      </c>
      <c r="G352" s="5" t="s">
        <v>5081</v>
      </c>
      <c r="H352" s="5" t="s">
        <v>2423</v>
      </c>
      <c r="I352" s="5">
        <v>4.4000000000000004</v>
      </c>
      <c r="J352" s="6" t="str">
        <f t="shared" si="10"/>
        <v>0</v>
      </c>
      <c r="K352" s="6">
        <f t="shared" si="11"/>
        <v>4.4000000000000004</v>
      </c>
    </row>
    <row r="353" spans="1:11" x14ac:dyDescent="0.3">
      <c r="A353" s="5" t="s">
        <v>2649</v>
      </c>
      <c r="B353" s="5" t="s">
        <v>78</v>
      </c>
      <c r="C353" s="5" t="s">
        <v>6169</v>
      </c>
      <c r="D353" s="28" t="s">
        <v>2521</v>
      </c>
      <c r="E353" s="5" t="s">
        <v>66</v>
      </c>
      <c r="F353" s="5" t="s">
        <v>5071</v>
      </c>
      <c r="G353" s="5" t="s">
        <v>5070</v>
      </c>
      <c r="H353" s="5" t="s">
        <v>2435</v>
      </c>
      <c r="I353" s="5">
        <v>9.68</v>
      </c>
      <c r="J353" s="6" t="str">
        <f t="shared" si="10"/>
        <v>0</v>
      </c>
      <c r="K353" s="6">
        <f t="shared" si="11"/>
        <v>9.68</v>
      </c>
    </row>
    <row r="354" spans="1:11" x14ac:dyDescent="0.3">
      <c r="A354" s="5" t="s">
        <v>5696</v>
      </c>
      <c r="B354" s="5" t="s">
        <v>78</v>
      </c>
      <c r="C354" s="5" t="s">
        <v>5697</v>
      </c>
      <c r="D354" s="28" t="s">
        <v>2521</v>
      </c>
      <c r="E354" s="5" t="s">
        <v>66</v>
      </c>
      <c r="F354" s="5" t="s">
        <v>5071</v>
      </c>
      <c r="G354" s="5" t="s">
        <v>5083</v>
      </c>
      <c r="H354" s="5" t="s">
        <v>2418</v>
      </c>
      <c r="I354" s="5">
        <v>9.0500000000000007</v>
      </c>
      <c r="J354" s="6" t="str">
        <f t="shared" si="10"/>
        <v>1</v>
      </c>
      <c r="K354" s="6">
        <f t="shared" si="11"/>
        <v>9.0500000000000007</v>
      </c>
    </row>
    <row r="355" spans="1:11" x14ac:dyDescent="0.3">
      <c r="A355" s="5" t="s">
        <v>5535</v>
      </c>
      <c r="B355" s="5" t="s">
        <v>78</v>
      </c>
      <c r="C355" s="5" t="s">
        <v>5536</v>
      </c>
      <c r="D355" s="28" t="s">
        <v>2521</v>
      </c>
      <c r="E355" s="5" t="s">
        <v>66</v>
      </c>
      <c r="F355" s="5" t="s">
        <v>5083</v>
      </c>
      <c r="G355" s="5" t="s">
        <v>5070</v>
      </c>
      <c r="H355" s="5" t="s">
        <v>2450</v>
      </c>
      <c r="I355" s="5"/>
      <c r="J355" s="6" t="str">
        <f t="shared" si="10"/>
        <v>1</v>
      </c>
      <c r="K355" s="6">
        <f t="shared" si="11"/>
        <v>9.6999999999999993</v>
      </c>
    </row>
    <row r="356" spans="1:11" x14ac:dyDescent="0.3">
      <c r="A356" s="5" t="s">
        <v>2520</v>
      </c>
      <c r="B356" s="5" t="s">
        <v>78</v>
      </c>
      <c r="C356" s="5" t="s">
        <v>5828</v>
      </c>
      <c r="D356" s="28" t="s">
        <v>2521</v>
      </c>
      <c r="E356" s="5" t="s">
        <v>66</v>
      </c>
      <c r="F356" s="5" t="s">
        <v>5071</v>
      </c>
      <c r="G356" s="5" t="s">
        <v>5073</v>
      </c>
      <c r="H356" s="5" t="s">
        <v>2423</v>
      </c>
      <c r="I356" s="5">
        <v>16.04</v>
      </c>
      <c r="J356" s="6" t="str">
        <f t="shared" si="10"/>
        <v>0</v>
      </c>
      <c r="K356" s="6">
        <f t="shared" si="11"/>
        <v>16.04</v>
      </c>
    </row>
    <row r="357" spans="1:11" x14ac:dyDescent="0.3">
      <c r="A357" s="5" t="s">
        <v>2925</v>
      </c>
      <c r="B357" s="5" t="s">
        <v>78</v>
      </c>
      <c r="C357" s="5" t="s">
        <v>5118</v>
      </c>
      <c r="D357" s="28" t="s">
        <v>2521</v>
      </c>
      <c r="E357" s="5" t="s">
        <v>66</v>
      </c>
      <c r="F357" s="5" t="s">
        <v>5073</v>
      </c>
      <c r="G357" s="5" t="s">
        <v>5070</v>
      </c>
      <c r="H357" s="5" t="s">
        <v>2455</v>
      </c>
      <c r="I357" s="5">
        <v>8.16</v>
      </c>
      <c r="J357" s="6" t="str">
        <f t="shared" si="10"/>
        <v>1</v>
      </c>
      <c r="K357" s="6">
        <f t="shared" si="11"/>
        <v>8.16</v>
      </c>
    </row>
    <row r="358" spans="1:11" x14ac:dyDescent="0.3">
      <c r="A358" s="5" t="s">
        <v>4865</v>
      </c>
      <c r="B358" s="5" t="s">
        <v>78</v>
      </c>
      <c r="C358" s="5" t="s">
        <v>6300</v>
      </c>
      <c r="D358" s="28" t="s">
        <v>2521</v>
      </c>
      <c r="E358" s="5" t="s">
        <v>66</v>
      </c>
      <c r="F358" s="5" t="s">
        <v>5073</v>
      </c>
      <c r="G358" s="5" t="s">
        <v>5071</v>
      </c>
      <c r="H358" s="5" t="s">
        <v>2418</v>
      </c>
      <c r="I358" s="5">
        <v>16.649999999999999</v>
      </c>
      <c r="J358" s="6" t="str">
        <f t="shared" si="10"/>
        <v>1</v>
      </c>
      <c r="K358" s="6">
        <f t="shared" si="11"/>
        <v>16.649999999999999</v>
      </c>
    </row>
    <row r="359" spans="1:11" x14ac:dyDescent="0.3">
      <c r="A359" s="5" t="s">
        <v>5546</v>
      </c>
      <c r="B359" s="5" t="s">
        <v>78</v>
      </c>
      <c r="C359" s="5" t="s">
        <v>5547</v>
      </c>
      <c r="D359" s="28" t="s">
        <v>2521</v>
      </c>
      <c r="E359" s="5" t="s">
        <v>66</v>
      </c>
      <c r="F359" s="5" t="s">
        <v>5081</v>
      </c>
      <c r="G359" s="5" t="s">
        <v>5070</v>
      </c>
      <c r="H359" s="5" t="s">
        <v>2412</v>
      </c>
      <c r="I359" s="5">
        <v>7.76</v>
      </c>
      <c r="J359" s="6" t="str">
        <f t="shared" si="10"/>
        <v>1</v>
      </c>
      <c r="K359" s="6">
        <f t="shared" si="11"/>
        <v>7.76</v>
      </c>
    </row>
    <row r="360" spans="1:11" x14ac:dyDescent="0.3">
      <c r="A360" s="5" t="s">
        <v>2880</v>
      </c>
      <c r="B360" s="5" t="s">
        <v>78</v>
      </c>
      <c r="C360" s="5" t="s">
        <v>6096</v>
      </c>
      <c r="D360" s="28" t="s">
        <v>2521</v>
      </c>
      <c r="E360" s="5" t="s">
        <v>66</v>
      </c>
      <c r="F360" s="5" t="s">
        <v>5071</v>
      </c>
      <c r="G360" s="5" t="s">
        <v>5081</v>
      </c>
      <c r="H360" s="5" t="s">
        <v>2477</v>
      </c>
      <c r="I360" s="5">
        <v>16.97</v>
      </c>
      <c r="J360" s="6" t="str">
        <f t="shared" si="10"/>
        <v>0</v>
      </c>
      <c r="K360" s="6">
        <f t="shared" si="11"/>
        <v>16.97</v>
      </c>
    </row>
    <row r="361" spans="1:11" x14ac:dyDescent="0.3">
      <c r="A361" s="5" t="s">
        <v>3058</v>
      </c>
      <c r="B361" s="5" t="s">
        <v>45</v>
      </c>
      <c r="C361" s="5" t="s">
        <v>5162</v>
      </c>
      <c r="D361" s="28" t="s">
        <v>2521</v>
      </c>
      <c r="E361" s="5" t="s">
        <v>66</v>
      </c>
      <c r="F361" s="5" t="s">
        <v>5073</v>
      </c>
      <c r="G361" s="5" t="s">
        <v>5083</v>
      </c>
      <c r="H361" s="5" t="s">
        <v>2412</v>
      </c>
      <c r="I361" s="5">
        <v>13.29</v>
      </c>
      <c r="J361" s="6" t="str">
        <f t="shared" si="10"/>
        <v>1</v>
      </c>
      <c r="K361" s="6">
        <f t="shared" si="11"/>
        <v>13.29</v>
      </c>
    </row>
    <row r="362" spans="1:11" x14ac:dyDescent="0.3">
      <c r="A362" s="5" t="s">
        <v>5944</v>
      </c>
      <c r="B362" s="5" t="s">
        <v>45</v>
      </c>
      <c r="C362" s="5" t="s">
        <v>5945</v>
      </c>
      <c r="D362" s="28" t="s">
        <v>2521</v>
      </c>
      <c r="E362" s="5" t="s">
        <v>66</v>
      </c>
      <c r="F362" s="5" t="s">
        <v>5070</v>
      </c>
      <c r="G362" s="5" t="s">
        <v>5076</v>
      </c>
      <c r="H362" s="5" t="s">
        <v>2455</v>
      </c>
      <c r="I362" s="5">
        <v>15.28</v>
      </c>
      <c r="J362" s="6" t="str">
        <f t="shared" si="10"/>
        <v>1</v>
      </c>
      <c r="K362" s="6">
        <f t="shared" si="11"/>
        <v>15.28</v>
      </c>
    </row>
    <row r="363" spans="1:11" x14ac:dyDescent="0.3">
      <c r="A363" s="5" t="s">
        <v>2972</v>
      </c>
      <c r="B363" s="5" t="s">
        <v>45</v>
      </c>
      <c r="C363" s="5" t="s">
        <v>5771</v>
      </c>
      <c r="D363" s="28" t="s">
        <v>2521</v>
      </c>
      <c r="E363" s="5" t="s">
        <v>66</v>
      </c>
      <c r="F363" s="5" t="s">
        <v>5083</v>
      </c>
      <c r="G363" s="5" t="s">
        <v>5071</v>
      </c>
      <c r="H363" s="5" t="s">
        <v>2418</v>
      </c>
      <c r="I363" s="5">
        <v>1.83</v>
      </c>
      <c r="J363" s="6" t="str">
        <f t="shared" si="10"/>
        <v>1</v>
      </c>
      <c r="K363" s="6">
        <f t="shared" si="11"/>
        <v>1.83</v>
      </c>
    </row>
    <row r="364" spans="1:11" x14ac:dyDescent="0.3">
      <c r="A364" s="5" t="s">
        <v>3031</v>
      </c>
      <c r="B364" s="5" t="s">
        <v>45</v>
      </c>
      <c r="C364" s="5" t="s">
        <v>5361</v>
      </c>
      <c r="D364" s="28" t="s">
        <v>2521</v>
      </c>
      <c r="E364" s="5" t="s">
        <v>66</v>
      </c>
      <c r="F364" s="5" t="s">
        <v>5073</v>
      </c>
      <c r="G364" s="5" t="s">
        <v>5071</v>
      </c>
      <c r="H364" s="5" t="s">
        <v>2455</v>
      </c>
      <c r="I364" s="5">
        <v>19.23</v>
      </c>
      <c r="J364" s="6" t="str">
        <f t="shared" si="10"/>
        <v>1</v>
      </c>
      <c r="K364" s="6">
        <f t="shared" si="11"/>
        <v>19.23</v>
      </c>
    </row>
    <row r="365" spans="1:11" x14ac:dyDescent="0.3">
      <c r="A365" s="5" t="s">
        <v>6352</v>
      </c>
      <c r="B365" s="5" t="s">
        <v>45</v>
      </c>
      <c r="C365" s="5" t="s">
        <v>5597</v>
      </c>
      <c r="D365" s="28" t="s">
        <v>2521</v>
      </c>
      <c r="E365" s="5" t="s">
        <v>66</v>
      </c>
      <c r="F365" s="5" t="s">
        <v>5071</v>
      </c>
      <c r="G365" s="5" t="s">
        <v>5076</v>
      </c>
      <c r="H365" s="5" t="s">
        <v>2423</v>
      </c>
      <c r="I365" s="5">
        <v>10.92</v>
      </c>
      <c r="J365" s="6" t="str">
        <f t="shared" si="10"/>
        <v>0</v>
      </c>
      <c r="K365" s="6">
        <f t="shared" si="11"/>
        <v>10.92</v>
      </c>
    </row>
    <row r="366" spans="1:11" x14ac:dyDescent="0.3">
      <c r="A366" s="5" t="s">
        <v>5115</v>
      </c>
      <c r="B366" s="5" t="s">
        <v>45</v>
      </c>
      <c r="C366" s="5" t="s">
        <v>5116</v>
      </c>
      <c r="D366" s="28" t="s">
        <v>2521</v>
      </c>
      <c r="E366" s="5" t="s">
        <v>66</v>
      </c>
      <c r="F366" s="5" t="s">
        <v>5071</v>
      </c>
      <c r="G366" s="5" t="s">
        <v>5073</v>
      </c>
      <c r="H366" s="5"/>
      <c r="I366" s="5">
        <v>4.53</v>
      </c>
      <c r="J366" s="6" t="str">
        <f t="shared" si="10"/>
        <v>Unknown</v>
      </c>
      <c r="K366" s="6">
        <f t="shared" si="11"/>
        <v>4.53</v>
      </c>
    </row>
    <row r="367" spans="1:11" x14ac:dyDescent="0.3">
      <c r="A367" s="5" t="s">
        <v>3239</v>
      </c>
      <c r="B367" s="5" t="s">
        <v>14</v>
      </c>
      <c r="C367" s="5" t="s">
        <v>5866</v>
      </c>
      <c r="D367" s="28" t="s">
        <v>2521</v>
      </c>
      <c r="E367" s="5" t="s">
        <v>66</v>
      </c>
      <c r="F367" s="5" t="s">
        <v>5071</v>
      </c>
      <c r="G367" s="5" t="s">
        <v>5081</v>
      </c>
      <c r="H367" s="5" t="s">
        <v>2435</v>
      </c>
      <c r="I367" s="5">
        <v>13.4</v>
      </c>
      <c r="J367" s="6" t="str">
        <f t="shared" si="10"/>
        <v>0</v>
      </c>
      <c r="K367" s="6">
        <f t="shared" si="11"/>
        <v>13.4</v>
      </c>
    </row>
    <row r="368" spans="1:11" x14ac:dyDescent="0.3">
      <c r="A368" s="5" t="s">
        <v>5262</v>
      </c>
      <c r="B368" s="5" t="s">
        <v>14</v>
      </c>
      <c r="C368" s="5" t="s">
        <v>5263</v>
      </c>
      <c r="D368" s="28" t="s">
        <v>2521</v>
      </c>
      <c r="E368" s="5" t="s">
        <v>66</v>
      </c>
      <c r="F368" s="5" t="s">
        <v>5073</v>
      </c>
      <c r="G368" s="5" t="s">
        <v>5070</v>
      </c>
      <c r="H368" s="5" t="s">
        <v>2477</v>
      </c>
      <c r="I368" s="5">
        <v>10.99</v>
      </c>
      <c r="J368" s="6" t="str">
        <f t="shared" si="10"/>
        <v>0</v>
      </c>
      <c r="K368" s="6">
        <f t="shared" si="11"/>
        <v>10.99</v>
      </c>
    </row>
    <row r="369" spans="1:11" x14ac:dyDescent="0.3">
      <c r="A369" s="5" t="s">
        <v>3872</v>
      </c>
      <c r="B369" s="5" t="s">
        <v>14</v>
      </c>
      <c r="C369" s="5" t="s">
        <v>6419</v>
      </c>
      <c r="D369" s="28" t="s">
        <v>2521</v>
      </c>
      <c r="E369" s="5" t="s">
        <v>66</v>
      </c>
      <c r="F369" s="5" t="s">
        <v>5081</v>
      </c>
      <c r="G369" s="5" t="s">
        <v>5070</v>
      </c>
      <c r="H369" s="5" t="s">
        <v>2418</v>
      </c>
      <c r="I369" s="5">
        <v>13.43</v>
      </c>
      <c r="J369" s="6" t="str">
        <f t="shared" si="10"/>
        <v>1</v>
      </c>
      <c r="K369" s="6">
        <f t="shared" si="11"/>
        <v>13.43</v>
      </c>
    </row>
    <row r="370" spans="1:11" x14ac:dyDescent="0.3">
      <c r="A370" s="5" t="s">
        <v>3968</v>
      </c>
      <c r="B370" s="5" t="s">
        <v>14</v>
      </c>
      <c r="C370" s="5" t="s">
        <v>5295</v>
      </c>
      <c r="D370" s="28" t="s">
        <v>2521</v>
      </c>
      <c r="E370" s="5" t="s">
        <v>66</v>
      </c>
      <c r="F370" s="5" t="s">
        <v>5081</v>
      </c>
      <c r="G370" s="5" t="s">
        <v>5073</v>
      </c>
      <c r="H370" s="5" t="s">
        <v>2412</v>
      </c>
      <c r="I370" s="5">
        <v>1.8</v>
      </c>
      <c r="J370" s="6" t="str">
        <f t="shared" si="10"/>
        <v>1</v>
      </c>
      <c r="K370" s="6">
        <f t="shared" si="11"/>
        <v>1.8</v>
      </c>
    </row>
    <row r="371" spans="1:11" x14ac:dyDescent="0.3">
      <c r="A371" s="5" t="s">
        <v>2989</v>
      </c>
      <c r="B371" s="5" t="s">
        <v>14</v>
      </c>
      <c r="C371" s="5" t="s">
        <v>5691</v>
      </c>
      <c r="D371" s="28" t="s">
        <v>2521</v>
      </c>
      <c r="E371" s="5" t="s">
        <v>66</v>
      </c>
      <c r="F371" s="5" t="s">
        <v>5070</v>
      </c>
      <c r="G371" s="5" t="s">
        <v>5076</v>
      </c>
      <c r="H371" s="5" t="s">
        <v>2423</v>
      </c>
      <c r="I371" s="5">
        <v>14.44</v>
      </c>
      <c r="J371" s="6" t="str">
        <f t="shared" si="10"/>
        <v>0</v>
      </c>
      <c r="K371" s="6">
        <f t="shared" si="11"/>
        <v>14.44</v>
      </c>
    </row>
    <row r="372" spans="1:11" x14ac:dyDescent="0.3">
      <c r="A372" s="5" t="s">
        <v>3182</v>
      </c>
      <c r="B372" s="5" t="s">
        <v>14</v>
      </c>
      <c r="C372" s="5" t="s">
        <v>6261</v>
      </c>
      <c r="D372" s="28" t="s">
        <v>2521</v>
      </c>
      <c r="E372" s="5" t="s">
        <v>66</v>
      </c>
      <c r="F372" s="5" t="s">
        <v>5076</v>
      </c>
      <c r="G372" s="5" t="s">
        <v>5083</v>
      </c>
      <c r="H372" s="5" t="s">
        <v>2746</v>
      </c>
      <c r="I372" s="5"/>
      <c r="J372" s="6" t="str">
        <f t="shared" si="10"/>
        <v>2</v>
      </c>
      <c r="K372" s="6">
        <f t="shared" si="11"/>
        <v>11</v>
      </c>
    </row>
    <row r="373" spans="1:11" x14ac:dyDescent="0.3">
      <c r="A373" s="5" t="s">
        <v>3978</v>
      </c>
      <c r="B373" s="5" t="s">
        <v>117</v>
      </c>
      <c r="C373" s="5" t="s">
        <v>6516</v>
      </c>
      <c r="D373" s="28" t="s">
        <v>2521</v>
      </c>
      <c r="E373" s="5" t="s">
        <v>66</v>
      </c>
      <c r="F373" s="5" t="s">
        <v>5070</v>
      </c>
      <c r="G373" s="5" t="s">
        <v>5073</v>
      </c>
      <c r="H373" s="5" t="s">
        <v>2455</v>
      </c>
      <c r="I373" s="5">
        <v>11.36</v>
      </c>
      <c r="J373" s="6" t="str">
        <f t="shared" si="10"/>
        <v>1</v>
      </c>
      <c r="K373" s="6">
        <f t="shared" si="11"/>
        <v>11.36</v>
      </c>
    </row>
    <row r="374" spans="1:11" x14ac:dyDescent="0.3">
      <c r="A374" s="5" t="s">
        <v>4402</v>
      </c>
      <c r="B374" s="5" t="s">
        <v>117</v>
      </c>
      <c r="C374" s="5" t="s">
        <v>6406</v>
      </c>
      <c r="D374" s="28" t="s">
        <v>2521</v>
      </c>
      <c r="E374" s="5" t="s">
        <v>66</v>
      </c>
      <c r="F374" s="5" t="s">
        <v>5076</v>
      </c>
      <c r="G374" s="5" t="s">
        <v>5073</v>
      </c>
      <c r="H374" s="5" t="s">
        <v>2408</v>
      </c>
      <c r="I374" s="5">
        <v>6.6</v>
      </c>
      <c r="J374" s="6" t="str">
        <f t="shared" si="10"/>
        <v>0</v>
      </c>
      <c r="K374" s="6">
        <f t="shared" si="11"/>
        <v>6.6</v>
      </c>
    </row>
    <row r="375" spans="1:11" x14ac:dyDescent="0.3">
      <c r="A375" s="5" t="s">
        <v>4634</v>
      </c>
      <c r="B375" s="5" t="s">
        <v>117</v>
      </c>
      <c r="C375" s="5" t="s">
        <v>6488</v>
      </c>
      <c r="D375" s="28" t="s">
        <v>2521</v>
      </c>
      <c r="E375" s="5" t="s">
        <v>66</v>
      </c>
      <c r="F375" s="5" t="s">
        <v>5073</v>
      </c>
      <c r="G375" s="5" t="s">
        <v>5071</v>
      </c>
      <c r="H375" s="5" t="s">
        <v>2477</v>
      </c>
      <c r="I375" s="5">
        <v>4.72</v>
      </c>
      <c r="J375" s="6" t="str">
        <f t="shared" si="10"/>
        <v>0</v>
      </c>
      <c r="K375" s="6">
        <f t="shared" si="11"/>
        <v>4.72</v>
      </c>
    </row>
    <row r="376" spans="1:11" x14ac:dyDescent="0.3">
      <c r="A376" s="5" t="s">
        <v>6452</v>
      </c>
      <c r="B376" s="5" t="s">
        <v>117</v>
      </c>
      <c r="C376" s="5" t="s">
        <v>6099</v>
      </c>
      <c r="D376" s="28" t="s">
        <v>2521</v>
      </c>
      <c r="E376" s="5" t="s">
        <v>66</v>
      </c>
      <c r="F376" s="5" t="s">
        <v>5083</v>
      </c>
      <c r="G376" s="5" t="s">
        <v>5070</v>
      </c>
      <c r="H376" s="5" t="s">
        <v>2455</v>
      </c>
      <c r="I376" s="5">
        <v>2.48</v>
      </c>
      <c r="J376" s="6" t="str">
        <f t="shared" si="10"/>
        <v>1</v>
      </c>
      <c r="K376" s="6">
        <f t="shared" si="11"/>
        <v>2.48</v>
      </c>
    </row>
    <row r="377" spans="1:11" x14ac:dyDescent="0.3">
      <c r="A377" s="5" t="s">
        <v>3474</v>
      </c>
      <c r="B377" s="5" t="s">
        <v>117</v>
      </c>
      <c r="C377" s="5" t="s">
        <v>6188</v>
      </c>
      <c r="D377" s="28" t="s">
        <v>2521</v>
      </c>
      <c r="E377" s="5" t="s">
        <v>66</v>
      </c>
      <c r="F377" s="5" t="s">
        <v>5071</v>
      </c>
      <c r="G377" s="5" t="s">
        <v>5073</v>
      </c>
      <c r="H377" s="5" t="s">
        <v>2505</v>
      </c>
      <c r="I377" s="5">
        <v>2.4700000000000002</v>
      </c>
      <c r="J377" s="6" t="str">
        <f t="shared" si="10"/>
        <v>2+</v>
      </c>
      <c r="K377" s="6">
        <f t="shared" si="11"/>
        <v>2.4700000000000002</v>
      </c>
    </row>
    <row r="378" spans="1:11" x14ac:dyDescent="0.3">
      <c r="A378" s="5" t="s">
        <v>5424</v>
      </c>
      <c r="B378" s="5" t="s">
        <v>117</v>
      </c>
      <c r="C378" s="5" t="s">
        <v>5425</v>
      </c>
      <c r="D378" s="28" t="s">
        <v>2521</v>
      </c>
      <c r="E378" s="5" t="s">
        <v>66</v>
      </c>
      <c r="F378" s="5" t="s">
        <v>5076</v>
      </c>
      <c r="G378" s="5" t="s">
        <v>5083</v>
      </c>
      <c r="H378" s="5" t="s">
        <v>2435</v>
      </c>
      <c r="I378" s="5">
        <v>1.22</v>
      </c>
      <c r="J378" s="6" t="str">
        <f t="shared" si="10"/>
        <v>0</v>
      </c>
      <c r="K378" s="6">
        <f t="shared" si="11"/>
        <v>1.22</v>
      </c>
    </row>
    <row r="379" spans="1:11" x14ac:dyDescent="0.3">
      <c r="A379" s="5" t="s">
        <v>3434</v>
      </c>
      <c r="B379" s="5" t="s">
        <v>25</v>
      </c>
      <c r="C379" s="5" t="s">
        <v>5196</v>
      </c>
      <c r="D379" s="28" t="s">
        <v>2521</v>
      </c>
      <c r="E379" s="5" t="s">
        <v>66</v>
      </c>
      <c r="F379" s="5" t="s">
        <v>5073</v>
      </c>
      <c r="G379" s="5" t="s">
        <v>5081</v>
      </c>
      <c r="H379" s="5" t="s">
        <v>2408</v>
      </c>
      <c r="I379" s="5">
        <v>17.91</v>
      </c>
      <c r="J379" s="6" t="str">
        <f t="shared" si="10"/>
        <v>0</v>
      </c>
      <c r="K379" s="6">
        <f t="shared" si="11"/>
        <v>17.91</v>
      </c>
    </row>
    <row r="380" spans="1:11" x14ac:dyDescent="0.3">
      <c r="A380" s="5" t="s">
        <v>6180</v>
      </c>
      <c r="B380" s="5" t="s">
        <v>25</v>
      </c>
      <c r="C380" s="5" t="s">
        <v>6181</v>
      </c>
      <c r="D380" s="28" t="s">
        <v>2521</v>
      </c>
      <c r="E380" s="5" t="s">
        <v>66</v>
      </c>
      <c r="F380" s="5" t="s">
        <v>5081</v>
      </c>
      <c r="G380" s="5" t="s">
        <v>5076</v>
      </c>
      <c r="H380" s="5" t="s">
        <v>2418</v>
      </c>
      <c r="I380" s="5"/>
      <c r="J380" s="6" t="str">
        <f t="shared" si="10"/>
        <v>1</v>
      </c>
      <c r="K380" s="6">
        <f t="shared" si="11"/>
        <v>10</v>
      </c>
    </row>
    <row r="381" spans="1:11" x14ac:dyDescent="0.3">
      <c r="A381" s="5" t="s">
        <v>5079</v>
      </c>
      <c r="B381" s="5" t="s">
        <v>25</v>
      </c>
      <c r="C381" s="5" t="s">
        <v>5080</v>
      </c>
      <c r="D381" s="28" t="s">
        <v>2521</v>
      </c>
      <c r="E381" s="5" t="s">
        <v>66</v>
      </c>
      <c r="F381" s="5" t="s">
        <v>5081</v>
      </c>
      <c r="G381" s="5" t="s">
        <v>5076</v>
      </c>
      <c r="H381" s="5" t="s">
        <v>2423</v>
      </c>
      <c r="I381" s="5">
        <v>4.12</v>
      </c>
      <c r="J381" s="6" t="str">
        <f t="shared" si="10"/>
        <v>0</v>
      </c>
      <c r="K381" s="6">
        <f t="shared" si="11"/>
        <v>4.12</v>
      </c>
    </row>
    <row r="382" spans="1:11" x14ac:dyDescent="0.3">
      <c r="A382" s="5" t="s">
        <v>6202</v>
      </c>
      <c r="B382" s="5" t="s">
        <v>25</v>
      </c>
      <c r="C382" s="5" t="s">
        <v>6203</v>
      </c>
      <c r="D382" s="28" t="s">
        <v>2521</v>
      </c>
      <c r="E382" s="5" t="s">
        <v>66</v>
      </c>
      <c r="F382" s="5" t="s">
        <v>5071</v>
      </c>
      <c r="G382" s="5" t="s">
        <v>5073</v>
      </c>
      <c r="H382" s="5" t="s">
        <v>2455</v>
      </c>
      <c r="I382" s="5">
        <v>18.23</v>
      </c>
      <c r="J382" s="6" t="str">
        <f t="shared" si="10"/>
        <v>1</v>
      </c>
      <c r="K382" s="6">
        <f t="shared" si="11"/>
        <v>18.23</v>
      </c>
    </row>
    <row r="383" spans="1:11" x14ac:dyDescent="0.3">
      <c r="A383" s="5" t="s">
        <v>3417</v>
      </c>
      <c r="B383" s="5" t="s">
        <v>25</v>
      </c>
      <c r="C383" s="5" t="s">
        <v>5594</v>
      </c>
      <c r="D383" s="28" t="s">
        <v>2521</v>
      </c>
      <c r="E383" s="5" t="s">
        <v>66</v>
      </c>
      <c r="F383" s="5" t="s">
        <v>5073</v>
      </c>
      <c r="G383" s="5" t="s">
        <v>5070</v>
      </c>
      <c r="H383" s="5"/>
      <c r="I383" s="5"/>
      <c r="J383" s="6" t="str">
        <f t="shared" si="10"/>
        <v>Unknown</v>
      </c>
      <c r="K383" s="6">
        <f t="shared" si="11"/>
        <v>10</v>
      </c>
    </row>
    <row r="384" spans="1:11" x14ac:dyDescent="0.3">
      <c r="A384" s="5" t="s">
        <v>3869</v>
      </c>
      <c r="B384" s="5" t="s">
        <v>106</v>
      </c>
      <c r="C384" s="5" t="s">
        <v>5656</v>
      </c>
      <c r="D384" s="28" t="s">
        <v>2521</v>
      </c>
      <c r="E384" s="5" t="s">
        <v>66</v>
      </c>
      <c r="F384" s="5" t="s">
        <v>5083</v>
      </c>
      <c r="G384" s="5" t="s">
        <v>5073</v>
      </c>
      <c r="H384" s="5" t="s">
        <v>2439</v>
      </c>
      <c r="I384" s="5">
        <v>16.79</v>
      </c>
      <c r="J384" s="6" t="str">
        <f t="shared" si="10"/>
        <v>2</v>
      </c>
      <c r="K384" s="6">
        <f t="shared" si="11"/>
        <v>16.79</v>
      </c>
    </row>
    <row r="385" spans="1:11" x14ac:dyDescent="0.3">
      <c r="A385" s="5" t="s">
        <v>3441</v>
      </c>
      <c r="B385" s="5" t="s">
        <v>106</v>
      </c>
      <c r="C385" s="5" t="s">
        <v>6394</v>
      </c>
      <c r="D385" s="28" t="s">
        <v>2521</v>
      </c>
      <c r="E385" s="5" t="s">
        <v>66</v>
      </c>
      <c r="F385" s="5" t="s">
        <v>5076</v>
      </c>
      <c r="G385" s="5" t="s">
        <v>5070</v>
      </c>
      <c r="H385" s="5" t="s">
        <v>2477</v>
      </c>
      <c r="I385" s="5">
        <v>1.41</v>
      </c>
      <c r="J385" s="6" t="str">
        <f t="shared" si="10"/>
        <v>0</v>
      </c>
      <c r="K385" s="6">
        <f t="shared" si="11"/>
        <v>1.41</v>
      </c>
    </row>
    <row r="386" spans="1:11" x14ac:dyDescent="0.3">
      <c r="A386" s="5" t="s">
        <v>6030</v>
      </c>
      <c r="B386" s="5" t="s">
        <v>106</v>
      </c>
      <c r="C386" s="5" t="s">
        <v>6031</v>
      </c>
      <c r="D386" s="28" t="s">
        <v>2521</v>
      </c>
      <c r="E386" s="5" t="s">
        <v>66</v>
      </c>
      <c r="F386" s="5" t="s">
        <v>5073</v>
      </c>
      <c r="G386" s="5" t="s">
        <v>5083</v>
      </c>
      <c r="H386" s="5" t="s">
        <v>2408</v>
      </c>
      <c r="I386" s="5">
        <v>19.190000000000001</v>
      </c>
      <c r="J386" s="6" t="str">
        <f t="shared" ref="J386:J449" si="12">IF(OR(LOWER(TRIM(H386))="0",LOWER(TRIM(H386))="ZERO"),"0",IF(OR(LOWER(TRIM(H386))="1",LOWER(TRIM(H386))="one"),"1",IF(OR(LOWER(TRIM(H386))="2",LOWER(TRIM(H386))="two"),"2",IF(OR(LOWER(TRIM(H386))="2+",LOWER(TRIM(H386))="two_or_more",LOWER(TRIM(H386))="multiple"),"2+","Unknown"))))</f>
        <v>0</v>
      </c>
      <c r="K386" s="6">
        <f t="shared" si="11"/>
        <v>19.190000000000001</v>
      </c>
    </row>
    <row r="387" spans="1:11" x14ac:dyDescent="0.3">
      <c r="A387" s="5" t="s">
        <v>2441</v>
      </c>
      <c r="B387" s="5" t="s">
        <v>78</v>
      </c>
      <c r="C387" s="5" t="s">
        <v>5200</v>
      </c>
      <c r="D387" s="28" t="s">
        <v>2411</v>
      </c>
      <c r="E387" s="5" t="s">
        <v>55</v>
      </c>
      <c r="F387" s="5" t="s">
        <v>5076</v>
      </c>
      <c r="G387" s="5" t="s">
        <v>5073</v>
      </c>
      <c r="H387" s="5" t="s">
        <v>2435</v>
      </c>
      <c r="I387" s="5">
        <v>2.93</v>
      </c>
      <c r="J387" s="6" t="str">
        <f t="shared" si="12"/>
        <v>0</v>
      </c>
      <c r="K387" s="6">
        <f t="shared" ref="K387:K450" si="13">IF(I387="",ROUND(AVERAGEIF($B$2:$B$1000,B387,$I$2:$I$1000),1),I387)</f>
        <v>2.93</v>
      </c>
    </row>
    <row r="388" spans="1:11" x14ac:dyDescent="0.3">
      <c r="A388" s="5" t="s">
        <v>2410</v>
      </c>
      <c r="B388" s="5" t="s">
        <v>78</v>
      </c>
      <c r="C388" s="5" t="s">
        <v>5528</v>
      </c>
      <c r="D388" s="28" t="s">
        <v>2411</v>
      </c>
      <c r="E388" s="5" t="s">
        <v>55</v>
      </c>
      <c r="F388" s="5" t="s">
        <v>5081</v>
      </c>
      <c r="G388" s="5" t="s">
        <v>5081</v>
      </c>
      <c r="H388" s="5" t="s">
        <v>2423</v>
      </c>
      <c r="I388" s="5">
        <v>8</v>
      </c>
      <c r="J388" s="6" t="str">
        <f t="shared" si="12"/>
        <v>0</v>
      </c>
      <c r="K388" s="6">
        <f t="shared" si="13"/>
        <v>8</v>
      </c>
    </row>
    <row r="389" spans="1:11" x14ac:dyDescent="0.3">
      <c r="A389" s="5" t="s">
        <v>2873</v>
      </c>
      <c r="B389" s="5" t="s">
        <v>78</v>
      </c>
      <c r="C389" s="5" t="s">
        <v>5091</v>
      </c>
      <c r="D389" s="28" t="s">
        <v>2411</v>
      </c>
      <c r="E389" s="5" t="s">
        <v>55</v>
      </c>
      <c r="F389" s="5" t="s">
        <v>5073</v>
      </c>
      <c r="G389" s="5" t="s">
        <v>5070</v>
      </c>
      <c r="H389" s="5"/>
      <c r="I389" s="5">
        <v>16.27</v>
      </c>
      <c r="J389" s="6" t="str">
        <f t="shared" si="12"/>
        <v>Unknown</v>
      </c>
      <c r="K389" s="6">
        <f t="shared" si="13"/>
        <v>16.27</v>
      </c>
    </row>
    <row r="390" spans="1:11" x14ac:dyDescent="0.3">
      <c r="A390" s="5" t="s">
        <v>3788</v>
      </c>
      <c r="B390" s="5" t="s">
        <v>78</v>
      </c>
      <c r="C390" s="5" t="s">
        <v>5301</v>
      </c>
      <c r="D390" s="28" t="s">
        <v>2411</v>
      </c>
      <c r="E390" s="5" t="s">
        <v>55</v>
      </c>
      <c r="F390" s="5" t="s">
        <v>5073</v>
      </c>
      <c r="G390" s="5" t="s">
        <v>5081</v>
      </c>
      <c r="H390" s="5" t="s">
        <v>2746</v>
      </c>
      <c r="I390" s="5">
        <v>10.41</v>
      </c>
      <c r="J390" s="6" t="str">
        <f t="shared" si="12"/>
        <v>2</v>
      </c>
      <c r="K390" s="6">
        <f t="shared" si="13"/>
        <v>10.41</v>
      </c>
    </row>
    <row r="391" spans="1:11" x14ac:dyDescent="0.3">
      <c r="A391" s="5" t="s">
        <v>5231</v>
      </c>
      <c r="B391" s="5" t="s">
        <v>78</v>
      </c>
      <c r="C391" s="5" t="s">
        <v>5232</v>
      </c>
      <c r="D391" s="28" t="s">
        <v>2411</v>
      </c>
      <c r="E391" s="5" t="s">
        <v>55</v>
      </c>
      <c r="F391" s="5" t="s">
        <v>5073</v>
      </c>
      <c r="G391" s="5" t="s">
        <v>5070</v>
      </c>
      <c r="H391" s="5" t="s">
        <v>2418</v>
      </c>
      <c r="I391" s="5">
        <v>1.8</v>
      </c>
      <c r="J391" s="6" t="str">
        <f t="shared" si="12"/>
        <v>1</v>
      </c>
      <c r="K391" s="6">
        <f t="shared" si="13"/>
        <v>1.8</v>
      </c>
    </row>
    <row r="392" spans="1:11" x14ac:dyDescent="0.3">
      <c r="A392" s="5" t="s">
        <v>3392</v>
      </c>
      <c r="B392" s="5" t="s">
        <v>78</v>
      </c>
      <c r="C392" s="5" t="s">
        <v>5159</v>
      </c>
      <c r="D392" s="28" t="s">
        <v>2411</v>
      </c>
      <c r="E392" s="5" t="s">
        <v>55</v>
      </c>
      <c r="F392" s="5" t="s">
        <v>5073</v>
      </c>
      <c r="G392" s="5" t="s">
        <v>5070</v>
      </c>
      <c r="H392" s="5" t="s">
        <v>2455</v>
      </c>
      <c r="I392" s="5">
        <v>2.0099999999999998</v>
      </c>
      <c r="J392" s="6" t="str">
        <f t="shared" si="12"/>
        <v>1</v>
      </c>
      <c r="K392" s="6">
        <f t="shared" si="13"/>
        <v>2.0099999999999998</v>
      </c>
    </row>
    <row r="393" spans="1:11" x14ac:dyDescent="0.3">
      <c r="A393" s="5" t="s">
        <v>3427</v>
      </c>
      <c r="B393" s="5" t="s">
        <v>78</v>
      </c>
      <c r="C393" s="5" t="s">
        <v>5444</v>
      </c>
      <c r="D393" s="28" t="s">
        <v>2411</v>
      </c>
      <c r="E393" s="5" t="s">
        <v>55</v>
      </c>
      <c r="F393" s="5" t="s">
        <v>5073</v>
      </c>
      <c r="G393" s="5" t="s">
        <v>5076</v>
      </c>
      <c r="H393" s="5" t="s">
        <v>2450</v>
      </c>
      <c r="I393" s="5">
        <v>2.87</v>
      </c>
      <c r="J393" s="6" t="str">
        <f t="shared" si="12"/>
        <v>1</v>
      </c>
      <c r="K393" s="6">
        <f t="shared" si="13"/>
        <v>2.87</v>
      </c>
    </row>
    <row r="394" spans="1:11" x14ac:dyDescent="0.3">
      <c r="A394" s="5" t="s">
        <v>3471</v>
      </c>
      <c r="B394" s="5" t="s">
        <v>78</v>
      </c>
      <c r="C394" s="5" t="s">
        <v>5913</v>
      </c>
      <c r="D394" s="28" t="s">
        <v>2411</v>
      </c>
      <c r="E394" s="5" t="s">
        <v>55</v>
      </c>
      <c r="F394" s="5" t="s">
        <v>5073</v>
      </c>
      <c r="G394" s="5" t="s">
        <v>5076</v>
      </c>
      <c r="H394" s="5" t="s">
        <v>2418</v>
      </c>
      <c r="I394" s="5">
        <v>12.31</v>
      </c>
      <c r="J394" s="6" t="str">
        <f t="shared" si="12"/>
        <v>1</v>
      </c>
      <c r="K394" s="6">
        <f t="shared" si="13"/>
        <v>12.31</v>
      </c>
    </row>
    <row r="395" spans="1:11" x14ac:dyDescent="0.3">
      <c r="A395" s="5" t="s">
        <v>6296</v>
      </c>
      <c r="B395" s="5" t="s">
        <v>45</v>
      </c>
      <c r="C395" s="5" t="s">
        <v>6297</v>
      </c>
      <c r="D395" s="28" t="s">
        <v>2411</v>
      </c>
      <c r="E395" s="5" t="s">
        <v>55</v>
      </c>
      <c r="F395" s="5" t="s">
        <v>5076</v>
      </c>
      <c r="G395" s="5" t="s">
        <v>5070</v>
      </c>
      <c r="H395" s="5" t="s">
        <v>2418</v>
      </c>
      <c r="I395" s="5">
        <v>12.44</v>
      </c>
      <c r="J395" s="6" t="str">
        <f t="shared" si="12"/>
        <v>1</v>
      </c>
      <c r="K395" s="6">
        <f t="shared" si="13"/>
        <v>12.44</v>
      </c>
    </row>
    <row r="396" spans="1:11" x14ac:dyDescent="0.3">
      <c r="A396" s="5" t="s">
        <v>2891</v>
      </c>
      <c r="B396" s="5" t="s">
        <v>45</v>
      </c>
      <c r="C396" s="5" t="s">
        <v>5077</v>
      </c>
      <c r="D396" s="28" t="s">
        <v>2411</v>
      </c>
      <c r="E396" s="5" t="s">
        <v>55</v>
      </c>
      <c r="F396" s="5" t="s">
        <v>5071</v>
      </c>
      <c r="G396" s="5" t="s">
        <v>5073</v>
      </c>
      <c r="H396" s="5" t="s">
        <v>2423</v>
      </c>
      <c r="I396" s="5">
        <v>14.58</v>
      </c>
      <c r="J396" s="6" t="str">
        <f t="shared" si="12"/>
        <v>0</v>
      </c>
      <c r="K396" s="6">
        <f t="shared" si="13"/>
        <v>14.58</v>
      </c>
    </row>
    <row r="397" spans="1:11" x14ac:dyDescent="0.3">
      <c r="A397" s="5" t="s">
        <v>4564</v>
      </c>
      <c r="B397" s="5" t="s">
        <v>45</v>
      </c>
      <c r="C397" s="5" t="s">
        <v>5173</v>
      </c>
      <c r="D397" s="28" t="s">
        <v>2411</v>
      </c>
      <c r="E397" s="5" t="s">
        <v>55</v>
      </c>
      <c r="F397" s="5" t="s">
        <v>5076</v>
      </c>
      <c r="G397" s="5" t="s">
        <v>5081</v>
      </c>
      <c r="H397" s="5" t="s">
        <v>2455</v>
      </c>
      <c r="I397" s="5">
        <v>5.0599999999999996</v>
      </c>
      <c r="J397" s="6" t="str">
        <f t="shared" si="12"/>
        <v>1</v>
      </c>
      <c r="K397" s="6">
        <f t="shared" si="13"/>
        <v>5.0599999999999996</v>
      </c>
    </row>
    <row r="398" spans="1:11" x14ac:dyDescent="0.3">
      <c r="A398" s="5" t="s">
        <v>2960</v>
      </c>
      <c r="B398" s="5" t="s">
        <v>45</v>
      </c>
      <c r="C398" s="5" t="s">
        <v>6095</v>
      </c>
      <c r="D398" s="28" t="s">
        <v>2411</v>
      </c>
      <c r="E398" s="5" t="s">
        <v>55</v>
      </c>
      <c r="F398" s="5" t="s">
        <v>5081</v>
      </c>
      <c r="G398" s="5" t="s">
        <v>5081</v>
      </c>
      <c r="H398" s="5" t="s">
        <v>2993</v>
      </c>
      <c r="I398" s="5">
        <v>12.36</v>
      </c>
      <c r="J398" s="6" t="str">
        <f t="shared" si="12"/>
        <v>2+</v>
      </c>
      <c r="K398" s="6">
        <f t="shared" si="13"/>
        <v>12.36</v>
      </c>
    </row>
    <row r="399" spans="1:11" x14ac:dyDescent="0.3">
      <c r="A399" s="5" t="s">
        <v>3208</v>
      </c>
      <c r="B399" s="5" t="s">
        <v>45</v>
      </c>
      <c r="C399" s="5" t="s">
        <v>5103</v>
      </c>
      <c r="D399" s="28" t="s">
        <v>2411</v>
      </c>
      <c r="E399" s="5" t="s">
        <v>55</v>
      </c>
      <c r="F399" s="5" t="s">
        <v>5076</v>
      </c>
      <c r="G399" s="5" t="s">
        <v>5071</v>
      </c>
      <c r="H399" s="5" t="s">
        <v>2408</v>
      </c>
      <c r="I399" s="5">
        <v>13.82</v>
      </c>
      <c r="J399" s="6" t="str">
        <f t="shared" si="12"/>
        <v>0</v>
      </c>
      <c r="K399" s="6">
        <f t="shared" si="13"/>
        <v>13.82</v>
      </c>
    </row>
    <row r="400" spans="1:11" x14ac:dyDescent="0.3">
      <c r="A400" s="5" t="s">
        <v>5816</v>
      </c>
      <c r="B400" s="5" t="s">
        <v>45</v>
      </c>
      <c r="C400" s="5" t="s">
        <v>5817</v>
      </c>
      <c r="D400" s="28" t="s">
        <v>2411</v>
      </c>
      <c r="E400" s="5" t="s">
        <v>55</v>
      </c>
      <c r="F400" s="5" t="s">
        <v>5081</v>
      </c>
      <c r="G400" s="5" t="s">
        <v>5076</v>
      </c>
      <c r="H400" s="5" t="s">
        <v>2477</v>
      </c>
      <c r="I400" s="5">
        <v>15.93</v>
      </c>
      <c r="J400" s="6" t="str">
        <f t="shared" si="12"/>
        <v>0</v>
      </c>
      <c r="K400" s="6">
        <f t="shared" si="13"/>
        <v>15.93</v>
      </c>
    </row>
    <row r="401" spans="1:11" x14ac:dyDescent="0.3">
      <c r="A401" s="5" t="s">
        <v>4578</v>
      </c>
      <c r="B401" s="5" t="s">
        <v>45</v>
      </c>
      <c r="C401" s="5" t="s">
        <v>5210</v>
      </c>
      <c r="D401" s="28" t="s">
        <v>2411</v>
      </c>
      <c r="E401" s="5" t="s">
        <v>55</v>
      </c>
      <c r="F401" s="5" t="s">
        <v>5076</v>
      </c>
      <c r="G401" s="5" t="s">
        <v>5083</v>
      </c>
      <c r="H401" s="5" t="s">
        <v>2435</v>
      </c>
      <c r="I401" s="5">
        <v>19.690000000000001</v>
      </c>
      <c r="J401" s="6" t="str">
        <f t="shared" si="12"/>
        <v>0</v>
      </c>
      <c r="K401" s="6">
        <f t="shared" si="13"/>
        <v>19.690000000000001</v>
      </c>
    </row>
    <row r="402" spans="1:11" x14ac:dyDescent="0.3">
      <c r="A402" s="5" t="s">
        <v>5212</v>
      </c>
      <c r="B402" s="5" t="s">
        <v>45</v>
      </c>
      <c r="C402" s="5" t="s">
        <v>5213</v>
      </c>
      <c r="D402" s="28" t="s">
        <v>2411</v>
      </c>
      <c r="E402" s="5" t="s">
        <v>55</v>
      </c>
      <c r="F402" s="5" t="s">
        <v>5070</v>
      </c>
      <c r="G402" s="5" t="s">
        <v>5081</v>
      </c>
      <c r="H402" s="5" t="s">
        <v>2408</v>
      </c>
      <c r="I402" s="5">
        <v>13.4</v>
      </c>
      <c r="J402" s="6" t="str">
        <f t="shared" si="12"/>
        <v>0</v>
      </c>
      <c r="K402" s="6">
        <f t="shared" si="13"/>
        <v>13.4</v>
      </c>
    </row>
    <row r="403" spans="1:11" x14ac:dyDescent="0.3">
      <c r="A403" s="5" t="s">
        <v>3889</v>
      </c>
      <c r="B403" s="5" t="s">
        <v>45</v>
      </c>
      <c r="C403" s="5" t="s">
        <v>5811</v>
      </c>
      <c r="D403" s="28" t="s">
        <v>2411</v>
      </c>
      <c r="E403" s="5" t="s">
        <v>55</v>
      </c>
      <c r="F403" s="5" t="s">
        <v>5071</v>
      </c>
      <c r="G403" s="5" t="s">
        <v>5076</v>
      </c>
      <c r="H403" s="5" t="s">
        <v>2418</v>
      </c>
      <c r="I403" s="5">
        <v>11.11</v>
      </c>
      <c r="J403" s="6" t="str">
        <f t="shared" si="12"/>
        <v>1</v>
      </c>
      <c r="K403" s="6">
        <f t="shared" si="13"/>
        <v>11.11</v>
      </c>
    </row>
    <row r="404" spans="1:11" x14ac:dyDescent="0.3">
      <c r="A404" s="5" t="s">
        <v>5592</v>
      </c>
      <c r="B404" s="5" t="s">
        <v>14</v>
      </c>
      <c r="C404" s="5" t="s">
        <v>5593</v>
      </c>
      <c r="D404" s="28" t="s">
        <v>2411</v>
      </c>
      <c r="E404" s="5" t="s">
        <v>55</v>
      </c>
      <c r="F404" s="5" t="s">
        <v>5081</v>
      </c>
      <c r="G404" s="5" t="s">
        <v>5076</v>
      </c>
      <c r="H404" s="5" t="s">
        <v>2455</v>
      </c>
      <c r="I404" s="5">
        <v>19.18</v>
      </c>
      <c r="J404" s="6" t="str">
        <f t="shared" si="12"/>
        <v>1</v>
      </c>
      <c r="K404" s="6">
        <f t="shared" si="13"/>
        <v>19.18</v>
      </c>
    </row>
    <row r="405" spans="1:11" x14ac:dyDescent="0.3">
      <c r="A405" s="5" t="s">
        <v>6049</v>
      </c>
      <c r="B405" s="5" t="s">
        <v>14</v>
      </c>
      <c r="C405" s="5" t="s">
        <v>5909</v>
      </c>
      <c r="D405" s="28" t="s">
        <v>2411</v>
      </c>
      <c r="E405" s="5" t="s">
        <v>55</v>
      </c>
      <c r="F405" s="5" t="s">
        <v>5071</v>
      </c>
      <c r="G405" s="5" t="s">
        <v>5070</v>
      </c>
      <c r="H405" s="5" t="s">
        <v>2423</v>
      </c>
      <c r="I405" s="5">
        <v>6.95</v>
      </c>
      <c r="J405" s="6" t="str">
        <f t="shared" si="12"/>
        <v>0</v>
      </c>
      <c r="K405" s="6">
        <f t="shared" si="13"/>
        <v>6.95</v>
      </c>
    </row>
    <row r="406" spans="1:11" x14ac:dyDescent="0.3">
      <c r="A406" s="5" t="s">
        <v>5215</v>
      </c>
      <c r="B406" s="5" t="s">
        <v>117</v>
      </c>
      <c r="C406" s="5" t="s">
        <v>5216</v>
      </c>
      <c r="D406" s="28" t="s">
        <v>2411</v>
      </c>
      <c r="E406" s="5" t="s">
        <v>55</v>
      </c>
      <c r="F406" s="5" t="s">
        <v>5073</v>
      </c>
      <c r="G406" s="5" t="s">
        <v>5073</v>
      </c>
      <c r="H406" s="5" t="s">
        <v>2455</v>
      </c>
      <c r="I406" s="5">
        <v>13.84</v>
      </c>
      <c r="J406" s="6" t="str">
        <f t="shared" si="12"/>
        <v>1</v>
      </c>
      <c r="K406" s="6">
        <f t="shared" si="13"/>
        <v>13.84</v>
      </c>
    </row>
    <row r="407" spans="1:11" x14ac:dyDescent="0.3">
      <c r="A407" s="5" t="s">
        <v>6192</v>
      </c>
      <c r="B407" s="5" t="s">
        <v>117</v>
      </c>
      <c r="C407" s="5" t="s">
        <v>6193</v>
      </c>
      <c r="D407" s="28" t="s">
        <v>2411</v>
      </c>
      <c r="E407" s="5" t="s">
        <v>55</v>
      </c>
      <c r="F407" s="5" t="s">
        <v>5070</v>
      </c>
      <c r="G407" s="5" t="s">
        <v>5073</v>
      </c>
      <c r="H407" s="5" t="s">
        <v>2486</v>
      </c>
      <c r="I407" s="5">
        <v>7.67</v>
      </c>
      <c r="J407" s="6" t="str">
        <f t="shared" si="12"/>
        <v>2+</v>
      </c>
      <c r="K407" s="6">
        <f t="shared" si="13"/>
        <v>7.67</v>
      </c>
    </row>
    <row r="408" spans="1:11" x14ac:dyDescent="0.3">
      <c r="A408" s="5" t="s">
        <v>4648</v>
      </c>
      <c r="B408" s="5" t="s">
        <v>25</v>
      </c>
      <c r="C408" s="5" t="s">
        <v>5854</v>
      </c>
      <c r="D408" s="28" t="s">
        <v>2411</v>
      </c>
      <c r="E408" s="5" t="s">
        <v>55</v>
      </c>
      <c r="F408" s="5" t="s">
        <v>5076</v>
      </c>
      <c r="G408" s="5" t="s">
        <v>5076</v>
      </c>
      <c r="H408" s="5" t="s">
        <v>2450</v>
      </c>
      <c r="I408" s="5">
        <v>4.32</v>
      </c>
      <c r="J408" s="6" t="str">
        <f t="shared" si="12"/>
        <v>1</v>
      </c>
      <c r="K408" s="6">
        <f t="shared" si="13"/>
        <v>4.32</v>
      </c>
    </row>
    <row r="409" spans="1:11" x14ac:dyDescent="0.3">
      <c r="A409" s="5" t="s">
        <v>4234</v>
      </c>
      <c r="B409" s="5" t="s">
        <v>25</v>
      </c>
      <c r="C409" s="5" t="s">
        <v>6084</v>
      </c>
      <c r="D409" s="28" t="s">
        <v>2411</v>
      </c>
      <c r="E409" s="5" t="s">
        <v>55</v>
      </c>
      <c r="F409" s="5" t="s">
        <v>5071</v>
      </c>
      <c r="G409" s="5" t="s">
        <v>5070</v>
      </c>
      <c r="H409" s="5" t="s">
        <v>2412</v>
      </c>
      <c r="I409" s="5">
        <v>19.57</v>
      </c>
      <c r="J409" s="6" t="str">
        <f t="shared" si="12"/>
        <v>1</v>
      </c>
      <c r="K409" s="6">
        <f t="shared" si="13"/>
        <v>19.57</v>
      </c>
    </row>
    <row r="410" spans="1:11" x14ac:dyDescent="0.3">
      <c r="A410" s="5" t="s">
        <v>2759</v>
      </c>
      <c r="B410" s="5" t="s">
        <v>25</v>
      </c>
      <c r="C410" s="5" t="s">
        <v>5916</v>
      </c>
      <c r="D410" s="28" t="s">
        <v>2411</v>
      </c>
      <c r="E410" s="5" t="s">
        <v>55</v>
      </c>
      <c r="F410" s="5" t="s">
        <v>5070</v>
      </c>
      <c r="G410" s="5" t="s">
        <v>5083</v>
      </c>
      <c r="H410" s="5" t="s">
        <v>2428</v>
      </c>
      <c r="I410" s="5">
        <v>12.99</v>
      </c>
      <c r="J410" s="6" t="str">
        <f t="shared" si="12"/>
        <v>2</v>
      </c>
      <c r="K410" s="6">
        <f t="shared" si="13"/>
        <v>12.99</v>
      </c>
    </row>
    <row r="411" spans="1:11" x14ac:dyDescent="0.3">
      <c r="A411" s="5" t="s">
        <v>4446</v>
      </c>
      <c r="B411" s="5" t="s">
        <v>25</v>
      </c>
      <c r="C411" s="5" t="s">
        <v>5897</v>
      </c>
      <c r="D411" s="28" t="s">
        <v>2411</v>
      </c>
      <c r="E411" s="5" t="s">
        <v>55</v>
      </c>
      <c r="F411" s="5" t="s">
        <v>5071</v>
      </c>
      <c r="G411" s="5" t="s">
        <v>5073</v>
      </c>
      <c r="H411" s="5" t="s">
        <v>2486</v>
      </c>
      <c r="I411" s="5">
        <v>2.8</v>
      </c>
      <c r="J411" s="6" t="str">
        <f t="shared" si="12"/>
        <v>2+</v>
      </c>
      <c r="K411" s="6">
        <f t="shared" si="13"/>
        <v>2.8</v>
      </c>
    </row>
    <row r="412" spans="1:11" x14ac:dyDescent="0.3">
      <c r="A412" s="5" t="s">
        <v>3724</v>
      </c>
      <c r="B412" s="5" t="s">
        <v>106</v>
      </c>
      <c r="C412" s="5" t="s">
        <v>5237</v>
      </c>
      <c r="D412" s="28" t="s">
        <v>2411</v>
      </c>
      <c r="E412" s="5" t="s">
        <v>55</v>
      </c>
      <c r="F412" s="5" t="s">
        <v>5076</v>
      </c>
      <c r="G412" s="5" t="s">
        <v>5083</v>
      </c>
      <c r="H412" s="5" t="s">
        <v>2408</v>
      </c>
      <c r="I412" s="5">
        <v>11.63</v>
      </c>
      <c r="J412" s="6" t="str">
        <f t="shared" si="12"/>
        <v>0</v>
      </c>
      <c r="K412" s="6">
        <f t="shared" si="13"/>
        <v>11.63</v>
      </c>
    </row>
    <row r="413" spans="1:11" x14ac:dyDescent="0.3">
      <c r="A413" s="5" t="s">
        <v>5044</v>
      </c>
      <c r="B413" s="5" t="s">
        <v>106</v>
      </c>
      <c r="C413" s="5" t="s">
        <v>5767</v>
      </c>
      <c r="D413" s="28" t="s">
        <v>2411</v>
      </c>
      <c r="E413" s="5" t="s">
        <v>55</v>
      </c>
      <c r="F413" s="5" t="s">
        <v>5073</v>
      </c>
      <c r="G413" s="5" t="s">
        <v>5073</v>
      </c>
      <c r="H413" s="5" t="s">
        <v>2423</v>
      </c>
      <c r="I413" s="5">
        <v>18.73</v>
      </c>
      <c r="J413" s="6" t="str">
        <f t="shared" si="12"/>
        <v>0</v>
      </c>
      <c r="K413" s="6">
        <f t="shared" si="13"/>
        <v>18.73</v>
      </c>
    </row>
    <row r="414" spans="1:11" x14ac:dyDescent="0.3">
      <c r="A414" s="5" t="s">
        <v>5947</v>
      </c>
      <c r="B414" s="5" t="s">
        <v>106</v>
      </c>
      <c r="C414" s="5" t="s">
        <v>5948</v>
      </c>
      <c r="D414" s="28" t="s">
        <v>2411</v>
      </c>
      <c r="E414" s="5" t="s">
        <v>55</v>
      </c>
      <c r="F414" s="5" t="s">
        <v>5070</v>
      </c>
      <c r="G414" s="5" t="s">
        <v>5070</v>
      </c>
      <c r="H414" s="5" t="s">
        <v>2435</v>
      </c>
      <c r="I414" s="5">
        <v>7.66</v>
      </c>
      <c r="J414" s="6" t="str">
        <f t="shared" si="12"/>
        <v>0</v>
      </c>
      <c r="K414" s="6">
        <f t="shared" si="13"/>
        <v>7.66</v>
      </c>
    </row>
    <row r="415" spans="1:11" x14ac:dyDescent="0.3">
      <c r="A415" s="5" t="s">
        <v>2975</v>
      </c>
      <c r="B415" s="5" t="s">
        <v>106</v>
      </c>
      <c r="C415" s="5" t="s">
        <v>5900</v>
      </c>
      <c r="D415" s="28" t="s">
        <v>2411</v>
      </c>
      <c r="E415" s="5" t="s">
        <v>55</v>
      </c>
      <c r="F415" s="5" t="s">
        <v>5083</v>
      </c>
      <c r="G415" s="5" t="s">
        <v>5071</v>
      </c>
      <c r="H415" s="5" t="s">
        <v>2412</v>
      </c>
      <c r="I415" s="5">
        <v>18.739999999999998</v>
      </c>
      <c r="J415" s="6" t="str">
        <f t="shared" si="12"/>
        <v>1</v>
      </c>
      <c r="K415" s="6">
        <f t="shared" si="13"/>
        <v>18.739999999999998</v>
      </c>
    </row>
    <row r="416" spans="1:11" x14ac:dyDescent="0.3">
      <c r="A416" s="5" t="s">
        <v>4156</v>
      </c>
      <c r="B416" s="5" t="s">
        <v>106</v>
      </c>
      <c r="C416" s="5" t="s">
        <v>5334</v>
      </c>
      <c r="D416" s="28" t="s">
        <v>2411</v>
      </c>
      <c r="E416" s="5" t="s">
        <v>55</v>
      </c>
      <c r="F416" s="5" t="s">
        <v>5081</v>
      </c>
      <c r="G416" s="5" t="s">
        <v>5070</v>
      </c>
      <c r="H416" s="5" t="s">
        <v>2412</v>
      </c>
      <c r="I416" s="5">
        <v>9.3699999999999992</v>
      </c>
      <c r="J416" s="6" t="str">
        <f t="shared" si="12"/>
        <v>1</v>
      </c>
      <c r="K416" s="6">
        <f t="shared" si="13"/>
        <v>9.3699999999999992</v>
      </c>
    </row>
    <row r="417" spans="1:11" x14ac:dyDescent="0.3">
      <c r="A417" s="5" t="s">
        <v>6442</v>
      </c>
      <c r="B417" s="5" t="s">
        <v>106</v>
      </c>
      <c r="C417" s="5" t="s">
        <v>6443</v>
      </c>
      <c r="D417" s="28" t="s">
        <v>2411</v>
      </c>
      <c r="E417" s="5" t="s">
        <v>55</v>
      </c>
      <c r="F417" s="5" t="s">
        <v>5071</v>
      </c>
      <c r="G417" s="5" t="s">
        <v>5071</v>
      </c>
      <c r="H417" s="5" t="s">
        <v>2455</v>
      </c>
      <c r="I417" s="5"/>
      <c r="J417" s="6" t="str">
        <f t="shared" si="12"/>
        <v>1</v>
      </c>
      <c r="K417" s="6">
        <f t="shared" si="13"/>
        <v>10.1</v>
      </c>
    </row>
    <row r="418" spans="1:11" x14ac:dyDescent="0.3">
      <c r="A418" s="5" t="s">
        <v>6161</v>
      </c>
      <c r="B418" s="5" t="s">
        <v>106</v>
      </c>
      <c r="C418" s="5" t="s">
        <v>6162</v>
      </c>
      <c r="D418" s="28" t="s">
        <v>2411</v>
      </c>
      <c r="E418" s="5" t="s">
        <v>55</v>
      </c>
      <c r="F418" s="5" t="s">
        <v>5071</v>
      </c>
      <c r="G418" s="5" t="s">
        <v>5083</v>
      </c>
      <c r="H418" s="5" t="s">
        <v>2428</v>
      </c>
      <c r="I418" s="5">
        <v>6.24</v>
      </c>
      <c r="J418" s="6" t="str">
        <f t="shared" si="12"/>
        <v>2</v>
      </c>
      <c r="K418" s="6">
        <f t="shared" si="13"/>
        <v>6.24</v>
      </c>
    </row>
    <row r="419" spans="1:11" x14ac:dyDescent="0.3">
      <c r="A419" s="5" t="s">
        <v>2866</v>
      </c>
      <c r="B419" s="5" t="s">
        <v>78</v>
      </c>
      <c r="C419" s="5" t="s">
        <v>6358</v>
      </c>
      <c r="D419" s="28" t="s">
        <v>2459</v>
      </c>
      <c r="E419" s="5" t="s">
        <v>189</v>
      </c>
      <c r="F419" s="5" t="s">
        <v>5076</v>
      </c>
      <c r="G419" s="5" t="s">
        <v>5073</v>
      </c>
      <c r="H419" s="5" t="s">
        <v>2428</v>
      </c>
      <c r="I419" s="5">
        <v>3.48</v>
      </c>
      <c r="J419" s="6" t="str">
        <f t="shared" si="12"/>
        <v>2</v>
      </c>
      <c r="K419" s="6">
        <f t="shared" si="13"/>
        <v>3.48</v>
      </c>
    </row>
    <row r="420" spans="1:11" x14ac:dyDescent="0.3">
      <c r="A420" s="5" t="s">
        <v>5819</v>
      </c>
      <c r="B420" s="5" t="s">
        <v>78</v>
      </c>
      <c r="C420" s="5" t="s">
        <v>5820</v>
      </c>
      <c r="D420" s="28" t="s">
        <v>2459</v>
      </c>
      <c r="E420" s="5" t="s">
        <v>189</v>
      </c>
      <c r="F420" s="5" t="s">
        <v>5071</v>
      </c>
      <c r="G420" s="5" t="s">
        <v>5070</v>
      </c>
      <c r="H420" s="5" t="s">
        <v>2477</v>
      </c>
      <c r="I420" s="5">
        <v>16.79</v>
      </c>
      <c r="J420" s="6" t="str">
        <f t="shared" si="12"/>
        <v>0</v>
      </c>
      <c r="K420" s="6">
        <f t="shared" si="13"/>
        <v>16.79</v>
      </c>
    </row>
    <row r="421" spans="1:11" x14ac:dyDescent="0.3">
      <c r="A421" s="5" t="s">
        <v>6000</v>
      </c>
      <c r="B421" s="5" t="s">
        <v>78</v>
      </c>
      <c r="C421" s="5" t="s">
        <v>6001</v>
      </c>
      <c r="D421" s="28" t="s">
        <v>2459</v>
      </c>
      <c r="E421" s="5" t="s">
        <v>189</v>
      </c>
      <c r="F421" s="5" t="s">
        <v>5073</v>
      </c>
      <c r="G421" s="5" t="s">
        <v>5083</v>
      </c>
      <c r="H421" s="5" t="s">
        <v>2993</v>
      </c>
      <c r="I421" s="5">
        <v>2.91</v>
      </c>
      <c r="J421" s="6" t="str">
        <f t="shared" si="12"/>
        <v>2+</v>
      </c>
      <c r="K421" s="6">
        <f t="shared" si="13"/>
        <v>2.91</v>
      </c>
    </row>
    <row r="422" spans="1:11" x14ac:dyDescent="0.3">
      <c r="A422" s="5" t="s">
        <v>2950</v>
      </c>
      <c r="B422" s="5" t="s">
        <v>78</v>
      </c>
      <c r="C422" s="5" t="s">
        <v>5745</v>
      </c>
      <c r="D422" s="28" t="s">
        <v>2459</v>
      </c>
      <c r="E422" s="5" t="s">
        <v>189</v>
      </c>
      <c r="F422" s="5" t="s">
        <v>5076</v>
      </c>
      <c r="G422" s="5" t="s">
        <v>5083</v>
      </c>
      <c r="H422" s="5" t="s">
        <v>2477</v>
      </c>
      <c r="I422" s="5">
        <v>15.56</v>
      </c>
      <c r="J422" s="6" t="str">
        <f t="shared" si="12"/>
        <v>0</v>
      </c>
      <c r="K422" s="6">
        <f t="shared" si="13"/>
        <v>15.56</v>
      </c>
    </row>
    <row r="423" spans="1:11" x14ac:dyDescent="0.3">
      <c r="A423" s="5" t="s">
        <v>3027</v>
      </c>
      <c r="B423" s="5" t="s">
        <v>78</v>
      </c>
      <c r="C423" s="5" t="s">
        <v>6146</v>
      </c>
      <c r="D423" s="28" t="s">
        <v>2459</v>
      </c>
      <c r="E423" s="5" t="s">
        <v>189</v>
      </c>
      <c r="F423" s="5" t="s">
        <v>5083</v>
      </c>
      <c r="G423" s="5" t="s">
        <v>5073</v>
      </c>
      <c r="H423" s="5" t="s">
        <v>2423</v>
      </c>
      <c r="I423" s="5">
        <v>17.38</v>
      </c>
      <c r="J423" s="6" t="str">
        <f t="shared" si="12"/>
        <v>0</v>
      </c>
      <c r="K423" s="6">
        <f t="shared" si="13"/>
        <v>17.38</v>
      </c>
    </row>
    <row r="424" spans="1:11" x14ac:dyDescent="0.3">
      <c r="A424" s="5" t="s">
        <v>5647</v>
      </c>
      <c r="B424" s="5" t="s">
        <v>45</v>
      </c>
      <c r="C424" s="5" t="s">
        <v>5648</v>
      </c>
      <c r="D424" s="28" t="s">
        <v>2459</v>
      </c>
      <c r="E424" s="5" t="s">
        <v>189</v>
      </c>
      <c r="F424" s="5" t="s">
        <v>5076</v>
      </c>
      <c r="G424" s="5" t="s">
        <v>5070</v>
      </c>
      <c r="H424" s="5" t="s">
        <v>2423</v>
      </c>
      <c r="I424" s="5">
        <v>4.28</v>
      </c>
      <c r="J424" s="6" t="str">
        <f t="shared" si="12"/>
        <v>0</v>
      </c>
      <c r="K424" s="6">
        <f t="shared" si="13"/>
        <v>4.28</v>
      </c>
    </row>
    <row r="425" spans="1:11" x14ac:dyDescent="0.3">
      <c r="A425" s="5" t="s">
        <v>6522</v>
      </c>
      <c r="B425" s="5" t="s">
        <v>45</v>
      </c>
      <c r="C425" s="5" t="s">
        <v>6523</v>
      </c>
      <c r="D425" s="28" t="s">
        <v>2459</v>
      </c>
      <c r="E425" s="5" t="s">
        <v>189</v>
      </c>
      <c r="F425" s="5" t="s">
        <v>5073</v>
      </c>
      <c r="G425" s="5" t="s">
        <v>5073</v>
      </c>
      <c r="H425" s="5" t="s">
        <v>2455</v>
      </c>
      <c r="I425" s="5">
        <v>4.24</v>
      </c>
      <c r="J425" s="6" t="str">
        <f t="shared" si="12"/>
        <v>1</v>
      </c>
      <c r="K425" s="6">
        <f t="shared" si="13"/>
        <v>4.24</v>
      </c>
    </row>
    <row r="426" spans="1:11" x14ac:dyDescent="0.3">
      <c r="A426" s="5" t="s">
        <v>4848</v>
      </c>
      <c r="B426" s="5" t="s">
        <v>45</v>
      </c>
      <c r="C426" s="5" t="s">
        <v>5499</v>
      </c>
      <c r="D426" s="28" t="s">
        <v>2459</v>
      </c>
      <c r="E426" s="5" t="s">
        <v>189</v>
      </c>
      <c r="F426" s="5" t="s">
        <v>5073</v>
      </c>
      <c r="G426" s="5" t="s">
        <v>5083</v>
      </c>
      <c r="H426" s="5" t="s">
        <v>2450</v>
      </c>
      <c r="I426" s="5">
        <v>14.94</v>
      </c>
      <c r="J426" s="6" t="str">
        <f t="shared" si="12"/>
        <v>1</v>
      </c>
      <c r="K426" s="6">
        <f t="shared" si="13"/>
        <v>14.94</v>
      </c>
    </row>
    <row r="427" spans="1:11" x14ac:dyDescent="0.3">
      <c r="A427" s="5" t="s">
        <v>3711</v>
      </c>
      <c r="B427" s="5" t="s">
        <v>45</v>
      </c>
      <c r="C427" s="5" t="s">
        <v>5377</v>
      </c>
      <c r="D427" s="28" t="s">
        <v>2459</v>
      </c>
      <c r="E427" s="5" t="s">
        <v>189</v>
      </c>
      <c r="F427" s="5" t="s">
        <v>5071</v>
      </c>
      <c r="G427" s="5" t="s">
        <v>5071</v>
      </c>
      <c r="H427" s="5" t="s">
        <v>2477</v>
      </c>
      <c r="I427" s="5">
        <v>13.08</v>
      </c>
      <c r="J427" s="6" t="str">
        <f t="shared" si="12"/>
        <v>0</v>
      </c>
      <c r="K427" s="6">
        <f t="shared" si="13"/>
        <v>13.08</v>
      </c>
    </row>
    <row r="428" spans="1:11" x14ac:dyDescent="0.3">
      <c r="A428" s="5" t="s">
        <v>3430</v>
      </c>
      <c r="B428" s="5" t="s">
        <v>14</v>
      </c>
      <c r="C428" s="5" t="s">
        <v>6221</v>
      </c>
      <c r="D428" s="28" t="s">
        <v>2459</v>
      </c>
      <c r="E428" s="5" t="s">
        <v>189</v>
      </c>
      <c r="F428" s="5" t="s">
        <v>5073</v>
      </c>
      <c r="G428" s="5" t="s">
        <v>5070</v>
      </c>
      <c r="H428" s="5"/>
      <c r="I428" s="5">
        <v>3.42</v>
      </c>
      <c r="J428" s="6" t="str">
        <f t="shared" si="12"/>
        <v>Unknown</v>
      </c>
      <c r="K428" s="6">
        <f t="shared" si="13"/>
        <v>3.42</v>
      </c>
    </row>
    <row r="429" spans="1:11" x14ac:dyDescent="0.3">
      <c r="A429" s="5" t="s">
        <v>6310</v>
      </c>
      <c r="B429" s="5" t="s">
        <v>14</v>
      </c>
      <c r="C429" s="5" t="s">
        <v>6311</v>
      </c>
      <c r="D429" s="28" t="s">
        <v>2459</v>
      </c>
      <c r="E429" s="5" t="s">
        <v>189</v>
      </c>
      <c r="F429" s="5" t="s">
        <v>5071</v>
      </c>
      <c r="G429" s="5" t="s">
        <v>5070</v>
      </c>
      <c r="H429" s="5" t="s">
        <v>2408</v>
      </c>
      <c r="I429" s="5">
        <v>16.03</v>
      </c>
      <c r="J429" s="6" t="str">
        <f t="shared" si="12"/>
        <v>0</v>
      </c>
      <c r="K429" s="6">
        <f t="shared" si="13"/>
        <v>16.03</v>
      </c>
    </row>
    <row r="430" spans="1:11" x14ac:dyDescent="0.3">
      <c r="A430" s="5" t="s">
        <v>3038</v>
      </c>
      <c r="B430" s="5" t="s">
        <v>14</v>
      </c>
      <c r="C430" s="5" t="s">
        <v>6536</v>
      </c>
      <c r="D430" s="28" t="s">
        <v>2459</v>
      </c>
      <c r="E430" s="5" t="s">
        <v>189</v>
      </c>
      <c r="F430" s="5" t="s">
        <v>5071</v>
      </c>
      <c r="G430" s="5" t="s">
        <v>5083</v>
      </c>
      <c r="H430" s="5" t="s">
        <v>2486</v>
      </c>
      <c r="I430" s="5">
        <v>8.77</v>
      </c>
      <c r="J430" s="6" t="str">
        <f t="shared" si="12"/>
        <v>2+</v>
      </c>
      <c r="K430" s="6">
        <f t="shared" si="13"/>
        <v>8.77</v>
      </c>
    </row>
    <row r="431" spans="1:11" x14ac:dyDescent="0.3">
      <c r="A431" s="5" t="s">
        <v>4200</v>
      </c>
      <c r="B431" s="5" t="s">
        <v>14</v>
      </c>
      <c r="C431" s="5" t="s">
        <v>6571</v>
      </c>
      <c r="D431" s="28" t="s">
        <v>2459</v>
      </c>
      <c r="E431" s="5" t="s">
        <v>189</v>
      </c>
      <c r="F431" s="5" t="s">
        <v>5070</v>
      </c>
      <c r="G431" s="5" t="s">
        <v>5073</v>
      </c>
      <c r="H431" s="5" t="s">
        <v>2477</v>
      </c>
      <c r="I431" s="5">
        <v>11.87</v>
      </c>
      <c r="J431" s="6" t="str">
        <f t="shared" si="12"/>
        <v>0</v>
      </c>
      <c r="K431" s="6">
        <f t="shared" si="13"/>
        <v>11.87</v>
      </c>
    </row>
    <row r="432" spans="1:11" x14ac:dyDescent="0.3">
      <c r="A432" s="5" t="s">
        <v>5320</v>
      </c>
      <c r="B432" s="5" t="s">
        <v>14</v>
      </c>
      <c r="C432" s="5" t="s">
        <v>5321</v>
      </c>
      <c r="D432" s="28" t="s">
        <v>2459</v>
      </c>
      <c r="E432" s="5" t="s">
        <v>189</v>
      </c>
      <c r="F432" s="5" t="s">
        <v>5076</v>
      </c>
      <c r="G432" s="5" t="s">
        <v>5071</v>
      </c>
      <c r="H432" s="5" t="s">
        <v>2412</v>
      </c>
      <c r="I432" s="5">
        <v>14.99</v>
      </c>
      <c r="J432" s="6" t="str">
        <f t="shared" si="12"/>
        <v>1</v>
      </c>
      <c r="K432" s="6">
        <f t="shared" si="13"/>
        <v>14.99</v>
      </c>
    </row>
    <row r="433" spans="1:11" x14ac:dyDescent="0.3">
      <c r="A433" s="5" t="s">
        <v>6319</v>
      </c>
      <c r="B433" s="5" t="s">
        <v>14</v>
      </c>
      <c r="C433" s="5" t="s">
        <v>6098</v>
      </c>
      <c r="D433" s="28" t="s">
        <v>2459</v>
      </c>
      <c r="E433" s="5" t="s">
        <v>189</v>
      </c>
      <c r="F433" s="5" t="s">
        <v>5076</v>
      </c>
      <c r="G433" s="5" t="s">
        <v>5083</v>
      </c>
      <c r="H433" s="5" t="s">
        <v>2412</v>
      </c>
      <c r="I433" s="5">
        <v>9.74</v>
      </c>
      <c r="J433" s="6" t="str">
        <f t="shared" si="12"/>
        <v>1</v>
      </c>
      <c r="K433" s="6">
        <f t="shared" si="13"/>
        <v>9.74</v>
      </c>
    </row>
    <row r="434" spans="1:11" x14ac:dyDescent="0.3">
      <c r="A434" s="5" t="s">
        <v>2663</v>
      </c>
      <c r="B434" s="5" t="s">
        <v>14</v>
      </c>
      <c r="C434" s="5" t="s">
        <v>6377</v>
      </c>
      <c r="D434" s="28" t="s">
        <v>2459</v>
      </c>
      <c r="E434" s="5" t="s">
        <v>189</v>
      </c>
      <c r="F434" s="5" t="s">
        <v>5081</v>
      </c>
      <c r="G434" s="5" t="s">
        <v>5073</v>
      </c>
      <c r="H434" s="5" t="s">
        <v>2455</v>
      </c>
      <c r="I434" s="5"/>
      <c r="J434" s="6" t="str">
        <f t="shared" si="12"/>
        <v>1</v>
      </c>
      <c r="K434" s="6">
        <f t="shared" si="13"/>
        <v>11</v>
      </c>
    </row>
    <row r="435" spans="1:11" x14ac:dyDescent="0.3">
      <c r="A435" s="5" t="s">
        <v>4557</v>
      </c>
      <c r="B435" s="5" t="s">
        <v>14</v>
      </c>
      <c r="C435" s="5" t="s">
        <v>5488</v>
      </c>
      <c r="D435" s="28" t="s">
        <v>2459</v>
      </c>
      <c r="E435" s="5" t="s">
        <v>189</v>
      </c>
      <c r="F435" s="5" t="s">
        <v>5070</v>
      </c>
      <c r="G435" s="5" t="s">
        <v>5071</v>
      </c>
      <c r="H435" s="5" t="s">
        <v>2455</v>
      </c>
      <c r="I435" s="5">
        <v>11.77</v>
      </c>
      <c r="J435" s="6" t="str">
        <f t="shared" si="12"/>
        <v>1</v>
      </c>
      <c r="K435" s="6">
        <f t="shared" si="13"/>
        <v>11.77</v>
      </c>
    </row>
    <row r="436" spans="1:11" x14ac:dyDescent="0.3">
      <c r="A436" s="5" t="s">
        <v>3466</v>
      </c>
      <c r="B436" s="5" t="s">
        <v>14</v>
      </c>
      <c r="C436" s="5" t="s">
        <v>5276</v>
      </c>
      <c r="D436" s="28" t="s">
        <v>2459</v>
      </c>
      <c r="E436" s="5" t="s">
        <v>189</v>
      </c>
      <c r="F436" s="5" t="s">
        <v>5071</v>
      </c>
      <c r="G436" s="5" t="s">
        <v>5076</v>
      </c>
      <c r="H436" s="5" t="s">
        <v>2746</v>
      </c>
      <c r="I436" s="5">
        <v>14.19</v>
      </c>
      <c r="J436" s="6" t="str">
        <f t="shared" si="12"/>
        <v>2</v>
      </c>
      <c r="K436" s="6">
        <f t="shared" si="13"/>
        <v>14.19</v>
      </c>
    </row>
    <row r="437" spans="1:11" x14ac:dyDescent="0.3">
      <c r="A437" s="5" t="s">
        <v>4503</v>
      </c>
      <c r="B437" s="5" t="s">
        <v>14</v>
      </c>
      <c r="C437" s="5" t="s">
        <v>5564</v>
      </c>
      <c r="D437" s="28" t="s">
        <v>2459</v>
      </c>
      <c r="E437" s="5" t="s">
        <v>189</v>
      </c>
      <c r="F437" s="5" t="s">
        <v>5070</v>
      </c>
      <c r="G437" s="5" t="s">
        <v>5083</v>
      </c>
      <c r="H437" s="5" t="s">
        <v>2412</v>
      </c>
      <c r="I437" s="5">
        <v>12.74</v>
      </c>
      <c r="J437" s="6" t="str">
        <f t="shared" si="12"/>
        <v>1</v>
      </c>
      <c r="K437" s="6">
        <f t="shared" si="13"/>
        <v>12.74</v>
      </c>
    </row>
    <row r="438" spans="1:11" x14ac:dyDescent="0.3">
      <c r="A438" s="5" t="s">
        <v>2645</v>
      </c>
      <c r="B438" s="5" t="s">
        <v>14</v>
      </c>
      <c r="C438" s="5" t="s">
        <v>5261</v>
      </c>
      <c r="D438" s="28" t="s">
        <v>2459</v>
      </c>
      <c r="E438" s="5" t="s">
        <v>189</v>
      </c>
      <c r="F438" s="5" t="s">
        <v>5073</v>
      </c>
      <c r="G438" s="5" t="s">
        <v>5070</v>
      </c>
      <c r="H438" s="5" t="s">
        <v>2423</v>
      </c>
      <c r="I438" s="5">
        <v>17.559999999999999</v>
      </c>
      <c r="J438" s="6" t="str">
        <f t="shared" si="12"/>
        <v>0</v>
      </c>
      <c r="K438" s="6">
        <f t="shared" si="13"/>
        <v>17.559999999999999</v>
      </c>
    </row>
    <row r="439" spans="1:11" x14ac:dyDescent="0.3">
      <c r="A439" s="5" t="s">
        <v>2723</v>
      </c>
      <c r="B439" s="5" t="s">
        <v>14</v>
      </c>
      <c r="C439" s="5" t="s">
        <v>6217</v>
      </c>
      <c r="D439" s="28" t="s">
        <v>2459</v>
      </c>
      <c r="E439" s="5" t="s">
        <v>189</v>
      </c>
      <c r="F439" s="5" t="s">
        <v>5070</v>
      </c>
      <c r="G439" s="5" t="s">
        <v>5071</v>
      </c>
      <c r="H439" s="5" t="s">
        <v>2746</v>
      </c>
      <c r="I439" s="5">
        <v>17.11</v>
      </c>
      <c r="J439" s="6" t="str">
        <f t="shared" si="12"/>
        <v>2</v>
      </c>
      <c r="K439" s="6">
        <f t="shared" si="13"/>
        <v>17.11</v>
      </c>
    </row>
    <row r="440" spans="1:11" x14ac:dyDescent="0.3">
      <c r="A440" s="5" t="s">
        <v>5920</v>
      </c>
      <c r="B440" s="5" t="s">
        <v>14</v>
      </c>
      <c r="C440" s="5" t="s">
        <v>5921</v>
      </c>
      <c r="D440" s="28" t="s">
        <v>2459</v>
      </c>
      <c r="E440" s="5" t="s">
        <v>189</v>
      </c>
      <c r="F440" s="5" t="s">
        <v>5083</v>
      </c>
      <c r="G440" s="5" t="s">
        <v>5070</v>
      </c>
      <c r="H440" s="5" t="s">
        <v>2435</v>
      </c>
      <c r="I440" s="5">
        <v>15.68</v>
      </c>
      <c r="J440" s="6" t="str">
        <f t="shared" si="12"/>
        <v>0</v>
      </c>
      <c r="K440" s="6">
        <f t="shared" si="13"/>
        <v>15.68</v>
      </c>
    </row>
    <row r="441" spans="1:11" x14ac:dyDescent="0.3">
      <c r="A441" s="5" t="s">
        <v>3738</v>
      </c>
      <c r="B441" s="5" t="s">
        <v>14</v>
      </c>
      <c r="C441" s="5" t="s">
        <v>6552</v>
      </c>
      <c r="D441" s="28" t="s">
        <v>2459</v>
      </c>
      <c r="E441" s="5" t="s">
        <v>189</v>
      </c>
      <c r="F441" s="5" t="s">
        <v>5071</v>
      </c>
      <c r="G441" s="5" t="s">
        <v>5071</v>
      </c>
      <c r="H441" s="5" t="s">
        <v>2477</v>
      </c>
      <c r="I441" s="5">
        <v>9.15</v>
      </c>
      <c r="J441" s="6" t="str">
        <f t="shared" si="12"/>
        <v>0</v>
      </c>
      <c r="K441" s="6">
        <f t="shared" si="13"/>
        <v>9.15</v>
      </c>
    </row>
    <row r="442" spans="1:11" x14ac:dyDescent="0.3">
      <c r="A442" s="5" t="s">
        <v>3276</v>
      </c>
      <c r="B442" s="5" t="s">
        <v>14</v>
      </c>
      <c r="C442" s="5" t="s">
        <v>5428</v>
      </c>
      <c r="D442" s="28" t="s">
        <v>2459</v>
      </c>
      <c r="E442" s="5" t="s">
        <v>189</v>
      </c>
      <c r="F442" s="5" t="s">
        <v>5073</v>
      </c>
      <c r="G442" s="5" t="s">
        <v>5083</v>
      </c>
      <c r="H442" s="5" t="s">
        <v>2477</v>
      </c>
      <c r="I442" s="5">
        <v>11.48</v>
      </c>
      <c r="J442" s="6" t="str">
        <f t="shared" si="12"/>
        <v>0</v>
      </c>
      <c r="K442" s="6">
        <f t="shared" si="13"/>
        <v>11.48</v>
      </c>
    </row>
    <row r="443" spans="1:11" x14ac:dyDescent="0.3">
      <c r="A443" s="5" t="s">
        <v>2969</v>
      </c>
      <c r="B443" s="5" t="s">
        <v>14</v>
      </c>
      <c r="C443" s="5" t="s">
        <v>5633</v>
      </c>
      <c r="D443" s="28" t="s">
        <v>2459</v>
      </c>
      <c r="E443" s="5" t="s">
        <v>189</v>
      </c>
      <c r="F443" s="5" t="s">
        <v>5071</v>
      </c>
      <c r="G443" s="5" t="s">
        <v>5076</v>
      </c>
      <c r="H443" s="5" t="s">
        <v>2423</v>
      </c>
      <c r="I443" s="5">
        <v>7.16</v>
      </c>
      <c r="J443" s="6" t="str">
        <f t="shared" si="12"/>
        <v>0</v>
      </c>
      <c r="K443" s="6">
        <f t="shared" si="13"/>
        <v>7.16</v>
      </c>
    </row>
    <row r="444" spans="1:11" x14ac:dyDescent="0.3">
      <c r="A444" s="5" t="s">
        <v>4372</v>
      </c>
      <c r="B444" s="5" t="s">
        <v>14</v>
      </c>
      <c r="C444" s="5" t="s">
        <v>6451</v>
      </c>
      <c r="D444" s="28" t="s">
        <v>2459</v>
      </c>
      <c r="E444" s="5" t="s">
        <v>189</v>
      </c>
      <c r="F444" s="5" t="s">
        <v>5081</v>
      </c>
      <c r="G444" s="5" t="s">
        <v>5070</v>
      </c>
      <c r="H444" s="5" t="s">
        <v>2435</v>
      </c>
      <c r="I444" s="5"/>
      <c r="J444" s="6" t="str">
        <f t="shared" si="12"/>
        <v>0</v>
      </c>
      <c r="K444" s="6">
        <f t="shared" si="13"/>
        <v>11</v>
      </c>
    </row>
    <row r="445" spans="1:11" x14ac:dyDescent="0.3">
      <c r="A445" s="5" t="s">
        <v>5970</v>
      </c>
      <c r="B445" s="5" t="s">
        <v>117</v>
      </c>
      <c r="C445" s="5" t="s">
        <v>5971</v>
      </c>
      <c r="D445" s="28" t="s">
        <v>2459</v>
      </c>
      <c r="E445" s="5" t="s">
        <v>189</v>
      </c>
      <c r="F445" s="5" t="s">
        <v>5070</v>
      </c>
      <c r="G445" s="5" t="s">
        <v>5071</v>
      </c>
      <c r="H445" s="5" t="s">
        <v>2455</v>
      </c>
      <c r="I445" s="5">
        <v>13.86</v>
      </c>
      <c r="J445" s="6" t="str">
        <f t="shared" si="12"/>
        <v>1</v>
      </c>
      <c r="K445" s="6">
        <f t="shared" si="13"/>
        <v>13.86</v>
      </c>
    </row>
    <row r="446" spans="1:11" x14ac:dyDescent="0.3">
      <c r="A446" s="5" t="s">
        <v>5605</v>
      </c>
      <c r="B446" s="5" t="s">
        <v>117</v>
      </c>
      <c r="C446" s="5" t="s">
        <v>5606</v>
      </c>
      <c r="D446" s="28" t="s">
        <v>2459</v>
      </c>
      <c r="E446" s="5" t="s">
        <v>189</v>
      </c>
      <c r="F446" s="5" t="s">
        <v>5076</v>
      </c>
      <c r="G446" s="5" t="s">
        <v>5083</v>
      </c>
      <c r="H446" s="5" t="s">
        <v>2408</v>
      </c>
      <c r="I446" s="5">
        <v>1.67</v>
      </c>
      <c r="J446" s="6" t="str">
        <f t="shared" si="12"/>
        <v>0</v>
      </c>
      <c r="K446" s="6">
        <f t="shared" si="13"/>
        <v>1.67</v>
      </c>
    </row>
    <row r="447" spans="1:11" x14ac:dyDescent="0.3">
      <c r="A447" s="5" t="s">
        <v>5541</v>
      </c>
      <c r="B447" s="5" t="s">
        <v>117</v>
      </c>
      <c r="C447" s="5" t="s">
        <v>5542</v>
      </c>
      <c r="D447" s="28" t="s">
        <v>2459</v>
      </c>
      <c r="E447" s="5" t="s">
        <v>189</v>
      </c>
      <c r="F447" s="5" t="s">
        <v>5071</v>
      </c>
      <c r="G447" s="5" t="s">
        <v>5071</v>
      </c>
      <c r="H447" s="5" t="s">
        <v>2439</v>
      </c>
      <c r="I447" s="5">
        <v>2.52</v>
      </c>
      <c r="J447" s="6" t="str">
        <f t="shared" si="12"/>
        <v>2</v>
      </c>
      <c r="K447" s="6">
        <f t="shared" si="13"/>
        <v>2.52</v>
      </c>
    </row>
    <row r="448" spans="1:11" x14ac:dyDescent="0.3">
      <c r="A448" s="5" t="s">
        <v>5398</v>
      </c>
      <c r="B448" s="5" t="s">
        <v>117</v>
      </c>
      <c r="C448" s="5" t="s">
        <v>5399</v>
      </c>
      <c r="D448" s="28" t="s">
        <v>2459</v>
      </c>
      <c r="E448" s="5" t="s">
        <v>189</v>
      </c>
      <c r="F448" s="5" t="s">
        <v>5081</v>
      </c>
      <c r="G448" s="5" t="s">
        <v>5081</v>
      </c>
      <c r="H448" s="5" t="s">
        <v>2455</v>
      </c>
      <c r="I448" s="5">
        <v>6.28</v>
      </c>
      <c r="J448" s="6" t="str">
        <f t="shared" si="12"/>
        <v>1</v>
      </c>
      <c r="K448" s="6">
        <f t="shared" si="13"/>
        <v>6.28</v>
      </c>
    </row>
    <row r="449" spans="1:11" x14ac:dyDescent="0.3">
      <c r="A449" s="5" t="s">
        <v>2869</v>
      </c>
      <c r="B449" s="5" t="s">
        <v>117</v>
      </c>
      <c r="C449" s="5" t="s">
        <v>5229</v>
      </c>
      <c r="D449" s="28" t="s">
        <v>2459</v>
      </c>
      <c r="E449" s="5" t="s">
        <v>189</v>
      </c>
      <c r="F449" s="5" t="s">
        <v>5073</v>
      </c>
      <c r="G449" s="5" t="s">
        <v>5081</v>
      </c>
      <c r="H449" s="5" t="s">
        <v>2423</v>
      </c>
      <c r="I449" s="5">
        <v>1.88</v>
      </c>
      <c r="J449" s="6" t="str">
        <f t="shared" si="12"/>
        <v>0</v>
      </c>
      <c r="K449" s="6">
        <f t="shared" si="13"/>
        <v>1.88</v>
      </c>
    </row>
    <row r="450" spans="1:11" x14ac:dyDescent="0.3">
      <c r="A450" s="5" t="s">
        <v>5661</v>
      </c>
      <c r="B450" s="5" t="s">
        <v>117</v>
      </c>
      <c r="C450" s="5" t="s">
        <v>5662</v>
      </c>
      <c r="D450" s="28" t="s">
        <v>2459</v>
      </c>
      <c r="E450" s="5" t="s">
        <v>189</v>
      </c>
      <c r="F450" s="5" t="s">
        <v>5071</v>
      </c>
      <c r="G450" s="5" t="s">
        <v>5083</v>
      </c>
      <c r="H450" s="5" t="s">
        <v>2746</v>
      </c>
      <c r="I450" s="5">
        <v>6.21</v>
      </c>
      <c r="J450" s="6" t="str">
        <f t="shared" ref="J450:J513" si="14">IF(OR(LOWER(TRIM(H450))="0",LOWER(TRIM(H450))="ZERO"),"0",IF(OR(LOWER(TRIM(H450))="1",LOWER(TRIM(H450))="one"),"1",IF(OR(LOWER(TRIM(H450))="2",LOWER(TRIM(H450))="two"),"2",IF(OR(LOWER(TRIM(H450))="2+",LOWER(TRIM(H450))="two_or_more",LOWER(TRIM(H450))="multiple"),"2+","Unknown"))))</f>
        <v>2</v>
      </c>
      <c r="K450" s="6">
        <f t="shared" si="13"/>
        <v>6.21</v>
      </c>
    </row>
    <row r="451" spans="1:11" x14ac:dyDescent="0.3">
      <c r="A451" s="5" t="s">
        <v>5631</v>
      </c>
      <c r="B451" s="5" t="s">
        <v>117</v>
      </c>
      <c r="C451" s="5" t="s">
        <v>5632</v>
      </c>
      <c r="D451" s="28" t="s">
        <v>2459</v>
      </c>
      <c r="E451" s="5" t="s">
        <v>189</v>
      </c>
      <c r="F451" s="5" t="s">
        <v>5076</v>
      </c>
      <c r="G451" s="5" t="s">
        <v>5073</v>
      </c>
      <c r="H451" s="5" t="s">
        <v>2423</v>
      </c>
      <c r="I451" s="5">
        <v>10.7</v>
      </c>
      <c r="J451" s="6" t="str">
        <f t="shared" si="14"/>
        <v>0</v>
      </c>
      <c r="K451" s="6">
        <f t="shared" ref="K451:K514" si="15">IF(I451="",ROUND(AVERAGEIF($B$2:$B$1000,B451,$I$2:$I$1000),1),I451)</f>
        <v>10.7</v>
      </c>
    </row>
    <row r="452" spans="1:11" x14ac:dyDescent="0.3">
      <c r="A452" s="5" t="s">
        <v>2871</v>
      </c>
      <c r="B452" s="5" t="s">
        <v>117</v>
      </c>
      <c r="C452" s="5" t="s">
        <v>5534</v>
      </c>
      <c r="D452" s="28" t="s">
        <v>2459</v>
      </c>
      <c r="E452" s="5" t="s">
        <v>189</v>
      </c>
      <c r="F452" s="5" t="s">
        <v>5071</v>
      </c>
      <c r="G452" s="5" t="s">
        <v>5081</v>
      </c>
      <c r="H452" s="5" t="s">
        <v>2746</v>
      </c>
      <c r="I452" s="5">
        <v>10.8</v>
      </c>
      <c r="J452" s="6" t="str">
        <f t="shared" si="14"/>
        <v>2</v>
      </c>
      <c r="K452" s="6">
        <f t="shared" si="15"/>
        <v>10.8</v>
      </c>
    </row>
    <row r="453" spans="1:11" x14ac:dyDescent="0.3">
      <c r="A453" s="5" t="s">
        <v>5095</v>
      </c>
      <c r="B453" s="5" t="s">
        <v>117</v>
      </c>
      <c r="C453" s="5" t="s">
        <v>5096</v>
      </c>
      <c r="D453" s="28" t="s">
        <v>2459</v>
      </c>
      <c r="E453" s="5" t="s">
        <v>189</v>
      </c>
      <c r="F453" s="5" t="s">
        <v>5081</v>
      </c>
      <c r="G453" s="5" t="s">
        <v>5076</v>
      </c>
      <c r="H453" s="5" t="s">
        <v>2412</v>
      </c>
      <c r="I453" s="5">
        <v>14.3</v>
      </c>
      <c r="J453" s="6" t="str">
        <f t="shared" si="14"/>
        <v>1</v>
      </c>
      <c r="K453" s="6">
        <f t="shared" si="15"/>
        <v>14.3</v>
      </c>
    </row>
    <row r="454" spans="1:11" x14ac:dyDescent="0.3">
      <c r="A454" s="5" t="s">
        <v>3455</v>
      </c>
      <c r="B454" s="5" t="s">
        <v>117</v>
      </c>
      <c r="C454" s="5" t="s">
        <v>5174</v>
      </c>
      <c r="D454" s="28" t="s">
        <v>2459</v>
      </c>
      <c r="E454" s="5" t="s">
        <v>189</v>
      </c>
      <c r="F454" s="5" t="s">
        <v>5070</v>
      </c>
      <c r="G454" s="5" t="s">
        <v>5070</v>
      </c>
      <c r="H454" s="5" t="s">
        <v>2486</v>
      </c>
      <c r="I454" s="5">
        <v>7.28</v>
      </c>
      <c r="J454" s="6" t="str">
        <f t="shared" si="14"/>
        <v>2+</v>
      </c>
      <c r="K454" s="6">
        <f t="shared" si="15"/>
        <v>7.28</v>
      </c>
    </row>
    <row r="455" spans="1:11" x14ac:dyDescent="0.3">
      <c r="A455" s="5" t="s">
        <v>6195</v>
      </c>
      <c r="B455" s="5" t="s">
        <v>25</v>
      </c>
      <c r="C455" s="5" t="s">
        <v>6196</v>
      </c>
      <c r="D455" s="28" t="s">
        <v>2459</v>
      </c>
      <c r="E455" s="5" t="s">
        <v>189</v>
      </c>
      <c r="F455" s="5" t="s">
        <v>5071</v>
      </c>
      <c r="G455" s="5" t="s">
        <v>5083</v>
      </c>
      <c r="H455" s="5" t="s">
        <v>2423</v>
      </c>
      <c r="I455" s="5">
        <v>6.63</v>
      </c>
      <c r="J455" s="6" t="str">
        <f t="shared" si="14"/>
        <v>0</v>
      </c>
      <c r="K455" s="6">
        <f t="shared" si="15"/>
        <v>6.63</v>
      </c>
    </row>
    <row r="456" spans="1:11" x14ac:dyDescent="0.3">
      <c r="A456" s="5" t="s">
        <v>5867</v>
      </c>
      <c r="B456" s="5" t="s">
        <v>25</v>
      </c>
      <c r="C456" s="5" t="s">
        <v>5868</v>
      </c>
      <c r="D456" s="28" t="s">
        <v>2459</v>
      </c>
      <c r="E456" s="5" t="s">
        <v>189</v>
      </c>
      <c r="F456" s="5" t="s">
        <v>5071</v>
      </c>
      <c r="G456" s="5" t="s">
        <v>5070</v>
      </c>
      <c r="H456" s="5" t="s">
        <v>2455</v>
      </c>
      <c r="I456" s="5">
        <v>11.89</v>
      </c>
      <c r="J456" s="6" t="str">
        <f t="shared" si="14"/>
        <v>1</v>
      </c>
      <c r="K456" s="6">
        <f t="shared" si="15"/>
        <v>11.89</v>
      </c>
    </row>
    <row r="457" spans="1:11" x14ac:dyDescent="0.3">
      <c r="A457" s="5" t="s">
        <v>3945</v>
      </c>
      <c r="B457" s="5" t="s">
        <v>25</v>
      </c>
      <c r="C457" s="5" t="s">
        <v>5994</v>
      </c>
      <c r="D457" s="28" t="s">
        <v>2459</v>
      </c>
      <c r="E457" s="5" t="s">
        <v>189</v>
      </c>
      <c r="F457" s="5" t="s">
        <v>5070</v>
      </c>
      <c r="G457" s="5" t="s">
        <v>5071</v>
      </c>
      <c r="H457" s="5" t="s">
        <v>2477</v>
      </c>
      <c r="I457" s="5">
        <v>13.41</v>
      </c>
      <c r="J457" s="6" t="str">
        <f t="shared" si="14"/>
        <v>0</v>
      </c>
      <c r="K457" s="6">
        <f t="shared" si="15"/>
        <v>13.41</v>
      </c>
    </row>
    <row r="458" spans="1:11" x14ac:dyDescent="0.3">
      <c r="A458" s="5" t="s">
        <v>4722</v>
      </c>
      <c r="B458" s="5" t="s">
        <v>25</v>
      </c>
      <c r="C458" s="5" t="s">
        <v>5510</v>
      </c>
      <c r="D458" s="28" t="s">
        <v>2459</v>
      </c>
      <c r="E458" s="5" t="s">
        <v>189</v>
      </c>
      <c r="F458" s="5" t="s">
        <v>5071</v>
      </c>
      <c r="G458" s="5" t="s">
        <v>5073</v>
      </c>
      <c r="H458" s="5" t="s">
        <v>2418</v>
      </c>
      <c r="I458" s="5">
        <v>15.94</v>
      </c>
      <c r="J458" s="6" t="str">
        <f t="shared" si="14"/>
        <v>1</v>
      </c>
      <c r="K458" s="6">
        <f t="shared" si="15"/>
        <v>15.94</v>
      </c>
    </row>
    <row r="459" spans="1:11" x14ac:dyDescent="0.3">
      <c r="A459" s="5" t="s">
        <v>5422</v>
      </c>
      <c r="B459" s="5" t="s">
        <v>25</v>
      </c>
      <c r="C459" s="5" t="s">
        <v>5423</v>
      </c>
      <c r="D459" s="28" t="s">
        <v>2459</v>
      </c>
      <c r="E459" s="5" t="s">
        <v>189</v>
      </c>
      <c r="F459" s="5" t="s">
        <v>5083</v>
      </c>
      <c r="G459" s="5" t="s">
        <v>5076</v>
      </c>
      <c r="H459" s="5" t="s">
        <v>2477</v>
      </c>
      <c r="I459" s="5">
        <v>15.26</v>
      </c>
      <c r="J459" s="6" t="str">
        <f t="shared" si="14"/>
        <v>0</v>
      </c>
      <c r="K459" s="6">
        <f t="shared" si="15"/>
        <v>15.26</v>
      </c>
    </row>
    <row r="460" spans="1:11" x14ac:dyDescent="0.3">
      <c r="A460" s="5" t="s">
        <v>3810</v>
      </c>
      <c r="B460" s="5" t="s">
        <v>25</v>
      </c>
      <c r="C460" s="5" t="s">
        <v>5770</v>
      </c>
      <c r="D460" s="28" t="s">
        <v>2459</v>
      </c>
      <c r="E460" s="5" t="s">
        <v>189</v>
      </c>
      <c r="F460" s="5" t="s">
        <v>5081</v>
      </c>
      <c r="G460" s="5" t="s">
        <v>5070</v>
      </c>
      <c r="H460" s="5" t="s">
        <v>2477</v>
      </c>
      <c r="I460" s="5">
        <v>8.08</v>
      </c>
      <c r="J460" s="6" t="str">
        <f t="shared" si="14"/>
        <v>0</v>
      </c>
      <c r="K460" s="6">
        <f t="shared" si="15"/>
        <v>8.08</v>
      </c>
    </row>
    <row r="461" spans="1:11" x14ac:dyDescent="0.3">
      <c r="A461" s="5" t="s">
        <v>3022</v>
      </c>
      <c r="B461" s="5" t="s">
        <v>25</v>
      </c>
      <c r="C461" s="5" t="s">
        <v>5919</v>
      </c>
      <c r="D461" s="28" t="s">
        <v>2459</v>
      </c>
      <c r="E461" s="5" t="s">
        <v>189</v>
      </c>
      <c r="F461" s="5" t="s">
        <v>5073</v>
      </c>
      <c r="G461" s="5" t="s">
        <v>5071</v>
      </c>
      <c r="H461" s="5" t="s">
        <v>2408</v>
      </c>
      <c r="I461" s="5">
        <v>2.36</v>
      </c>
      <c r="J461" s="6" t="str">
        <f t="shared" si="14"/>
        <v>0</v>
      </c>
      <c r="K461" s="6">
        <f t="shared" si="15"/>
        <v>2.36</v>
      </c>
    </row>
    <row r="462" spans="1:11" x14ac:dyDescent="0.3">
      <c r="A462" s="5" t="s">
        <v>6330</v>
      </c>
      <c r="B462" s="5" t="s">
        <v>25</v>
      </c>
      <c r="C462" s="5" t="s">
        <v>6331</v>
      </c>
      <c r="D462" s="28" t="s">
        <v>2459</v>
      </c>
      <c r="E462" s="5" t="s">
        <v>189</v>
      </c>
      <c r="F462" s="5" t="s">
        <v>5083</v>
      </c>
      <c r="G462" s="5" t="s">
        <v>5081</v>
      </c>
      <c r="H462" s="5" t="s">
        <v>2428</v>
      </c>
      <c r="I462" s="5">
        <v>6.64</v>
      </c>
      <c r="J462" s="6" t="str">
        <f t="shared" si="14"/>
        <v>2</v>
      </c>
      <c r="K462" s="6">
        <f t="shared" si="15"/>
        <v>6.64</v>
      </c>
    </row>
    <row r="463" spans="1:11" x14ac:dyDescent="0.3">
      <c r="A463" s="5" t="s">
        <v>3096</v>
      </c>
      <c r="B463" s="5" t="s">
        <v>106</v>
      </c>
      <c r="C463" s="5" t="s">
        <v>5477</v>
      </c>
      <c r="D463" s="28" t="s">
        <v>2459</v>
      </c>
      <c r="E463" s="5" t="s">
        <v>189</v>
      </c>
      <c r="F463" s="5" t="s">
        <v>5070</v>
      </c>
      <c r="G463" s="5" t="s">
        <v>5083</v>
      </c>
      <c r="H463" s="5" t="s">
        <v>2477</v>
      </c>
      <c r="I463" s="5">
        <v>15.89</v>
      </c>
      <c r="J463" s="6" t="str">
        <f t="shared" si="14"/>
        <v>0</v>
      </c>
      <c r="K463" s="6">
        <f t="shared" si="15"/>
        <v>15.89</v>
      </c>
    </row>
    <row r="464" spans="1:11" x14ac:dyDescent="0.3">
      <c r="A464" s="5" t="s">
        <v>3113</v>
      </c>
      <c r="B464" s="5" t="s">
        <v>106</v>
      </c>
      <c r="C464" s="5" t="s">
        <v>6250</v>
      </c>
      <c r="D464" s="28" t="s">
        <v>2459</v>
      </c>
      <c r="E464" s="5" t="s">
        <v>189</v>
      </c>
      <c r="F464" s="5" t="s">
        <v>5071</v>
      </c>
      <c r="G464" s="5" t="s">
        <v>5076</v>
      </c>
      <c r="H464" s="5" t="s">
        <v>2450</v>
      </c>
      <c r="I464" s="5">
        <v>11.39</v>
      </c>
      <c r="J464" s="6" t="str">
        <f t="shared" si="14"/>
        <v>1</v>
      </c>
      <c r="K464" s="6">
        <f t="shared" si="15"/>
        <v>11.39</v>
      </c>
    </row>
    <row r="465" spans="1:11" x14ac:dyDescent="0.3">
      <c r="A465" s="5" t="s">
        <v>2958</v>
      </c>
      <c r="B465" s="5" t="s">
        <v>106</v>
      </c>
      <c r="C465" s="5" t="s">
        <v>6444</v>
      </c>
      <c r="D465" s="28" t="s">
        <v>2459</v>
      </c>
      <c r="E465" s="5" t="s">
        <v>189</v>
      </c>
      <c r="F465" s="5" t="s">
        <v>5076</v>
      </c>
      <c r="G465" s="5" t="s">
        <v>5076</v>
      </c>
      <c r="H465" s="5" t="s">
        <v>2455</v>
      </c>
      <c r="I465" s="5">
        <v>0.87</v>
      </c>
      <c r="J465" s="6" t="str">
        <f t="shared" si="14"/>
        <v>1</v>
      </c>
      <c r="K465" s="6">
        <f t="shared" si="15"/>
        <v>0.87</v>
      </c>
    </row>
    <row r="466" spans="1:11" x14ac:dyDescent="0.3">
      <c r="A466" s="5" t="s">
        <v>2458</v>
      </c>
      <c r="B466" s="5" t="s">
        <v>106</v>
      </c>
      <c r="C466" s="5" t="s">
        <v>6286</v>
      </c>
      <c r="D466" s="28" t="s">
        <v>2459</v>
      </c>
      <c r="E466" s="5" t="s">
        <v>189</v>
      </c>
      <c r="F466" s="5" t="s">
        <v>5071</v>
      </c>
      <c r="G466" s="5" t="s">
        <v>5073</v>
      </c>
      <c r="H466" s="5" t="s">
        <v>2418</v>
      </c>
      <c r="I466" s="5">
        <v>1.05</v>
      </c>
      <c r="J466" s="6" t="str">
        <f t="shared" si="14"/>
        <v>1</v>
      </c>
      <c r="K466" s="6">
        <f t="shared" si="15"/>
        <v>1.05</v>
      </c>
    </row>
    <row r="467" spans="1:11" x14ac:dyDescent="0.3">
      <c r="A467" s="5" t="s">
        <v>4229</v>
      </c>
      <c r="B467" s="5" t="s">
        <v>78</v>
      </c>
      <c r="C467" s="5" t="s">
        <v>5869</v>
      </c>
      <c r="D467" s="28" t="s">
        <v>2629</v>
      </c>
      <c r="E467" s="5" t="s">
        <v>55</v>
      </c>
      <c r="F467" s="5" t="s">
        <v>5083</v>
      </c>
      <c r="G467" s="5" t="s">
        <v>5081</v>
      </c>
      <c r="H467" s="5" t="s">
        <v>2450</v>
      </c>
      <c r="I467" s="5">
        <v>0.51</v>
      </c>
      <c r="J467" s="6" t="str">
        <f t="shared" si="14"/>
        <v>1</v>
      </c>
      <c r="K467" s="6">
        <f t="shared" si="15"/>
        <v>0.51</v>
      </c>
    </row>
    <row r="468" spans="1:11" x14ac:dyDescent="0.3">
      <c r="A468" s="5" t="s">
        <v>3043</v>
      </c>
      <c r="B468" s="5" t="s">
        <v>78</v>
      </c>
      <c r="C468" s="5" t="s">
        <v>5800</v>
      </c>
      <c r="D468" s="28" t="s">
        <v>2629</v>
      </c>
      <c r="E468" s="5" t="s">
        <v>55</v>
      </c>
      <c r="F468" s="5" t="s">
        <v>5070</v>
      </c>
      <c r="G468" s="5" t="s">
        <v>5073</v>
      </c>
      <c r="H468" s="5" t="s">
        <v>2435</v>
      </c>
      <c r="I468" s="5">
        <v>11.03</v>
      </c>
      <c r="J468" s="6" t="str">
        <f t="shared" si="14"/>
        <v>0</v>
      </c>
      <c r="K468" s="6">
        <f t="shared" si="15"/>
        <v>11.03</v>
      </c>
    </row>
    <row r="469" spans="1:11" x14ac:dyDescent="0.3">
      <c r="A469" s="5" t="s">
        <v>5930</v>
      </c>
      <c r="B469" s="5" t="s">
        <v>78</v>
      </c>
      <c r="C469" s="5" t="s">
        <v>5931</v>
      </c>
      <c r="D469" s="28" t="s">
        <v>2629</v>
      </c>
      <c r="E469" s="5" t="s">
        <v>55</v>
      </c>
      <c r="F469" s="5" t="s">
        <v>5081</v>
      </c>
      <c r="G469" s="5" t="s">
        <v>5076</v>
      </c>
      <c r="H469" s="5" t="s">
        <v>2423</v>
      </c>
      <c r="I469" s="5">
        <v>11.18</v>
      </c>
      <c r="J469" s="6" t="str">
        <f t="shared" si="14"/>
        <v>0</v>
      </c>
      <c r="K469" s="6">
        <f t="shared" si="15"/>
        <v>11.18</v>
      </c>
    </row>
    <row r="470" spans="1:11" x14ac:dyDescent="0.3">
      <c r="A470" s="5" t="s">
        <v>2802</v>
      </c>
      <c r="B470" s="5" t="s">
        <v>78</v>
      </c>
      <c r="C470" s="5" t="s">
        <v>5955</v>
      </c>
      <c r="D470" s="28" t="s">
        <v>2629</v>
      </c>
      <c r="E470" s="5" t="s">
        <v>55</v>
      </c>
      <c r="F470" s="5" t="s">
        <v>5070</v>
      </c>
      <c r="G470" s="5" t="s">
        <v>5073</v>
      </c>
      <c r="H470" s="5" t="s">
        <v>2450</v>
      </c>
      <c r="I470" s="5">
        <v>7.11</v>
      </c>
      <c r="J470" s="6" t="str">
        <f t="shared" si="14"/>
        <v>1</v>
      </c>
      <c r="K470" s="6">
        <f t="shared" si="15"/>
        <v>7.11</v>
      </c>
    </row>
    <row r="471" spans="1:11" x14ac:dyDescent="0.3">
      <c r="A471" s="5" t="s">
        <v>2784</v>
      </c>
      <c r="B471" s="5" t="s">
        <v>45</v>
      </c>
      <c r="C471" s="5" t="s">
        <v>6475</v>
      </c>
      <c r="D471" s="28" t="s">
        <v>2629</v>
      </c>
      <c r="E471" s="5" t="s">
        <v>55</v>
      </c>
      <c r="F471" s="5" t="s">
        <v>5073</v>
      </c>
      <c r="G471" s="5" t="s">
        <v>5070</v>
      </c>
      <c r="H471" s="5" t="s">
        <v>2408</v>
      </c>
      <c r="I471" s="5">
        <v>4.3499999999999996</v>
      </c>
      <c r="J471" s="6" t="str">
        <f t="shared" si="14"/>
        <v>0</v>
      </c>
      <c r="K471" s="6">
        <f t="shared" si="15"/>
        <v>4.3499999999999996</v>
      </c>
    </row>
    <row r="472" spans="1:11" x14ac:dyDescent="0.3">
      <c r="A472" s="5" t="s">
        <v>4618</v>
      </c>
      <c r="B472" s="5" t="s">
        <v>45</v>
      </c>
      <c r="C472" s="5" t="s">
        <v>5175</v>
      </c>
      <c r="D472" s="28" t="s">
        <v>2629</v>
      </c>
      <c r="E472" s="5" t="s">
        <v>55</v>
      </c>
      <c r="F472" s="5" t="s">
        <v>5071</v>
      </c>
      <c r="G472" s="5" t="s">
        <v>5081</v>
      </c>
      <c r="H472" s="5" t="s">
        <v>2455</v>
      </c>
      <c r="I472" s="5">
        <v>8.58</v>
      </c>
      <c r="J472" s="6" t="str">
        <f t="shared" si="14"/>
        <v>1</v>
      </c>
      <c r="K472" s="6">
        <f t="shared" si="15"/>
        <v>8.58</v>
      </c>
    </row>
    <row r="473" spans="1:11" x14ac:dyDescent="0.3">
      <c r="A473" s="5" t="s">
        <v>2828</v>
      </c>
      <c r="B473" s="5" t="s">
        <v>45</v>
      </c>
      <c r="C473" s="5" t="s">
        <v>5674</v>
      </c>
      <c r="D473" s="28" t="s">
        <v>2629</v>
      </c>
      <c r="E473" s="5" t="s">
        <v>55</v>
      </c>
      <c r="F473" s="5" t="s">
        <v>5073</v>
      </c>
      <c r="G473" s="5" t="s">
        <v>5083</v>
      </c>
      <c r="H473" s="5" t="s">
        <v>2408</v>
      </c>
      <c r="I473" s="5">
        <v>6.74</v>
      </c>
      <c r="J473" s="6" t="str">
        <f t="shared" si="14"/>
        <v>0</v>
      </c>
      <c r="K473" s="6">
        <f t="shared" si="15"/>
        <v>6.74</v>
      </c>
    </row>
    <row r="474" spans="1:11" x14ac:dyDescent="0.3">
      <c r="A474" s="5" t="s">
        <v>4956</v>
      </c>
      <c r="B474" s="5" t="s">
        <v>45</v>
      </c>
      <c r="C474" s="5" t="s">
        <v>5487</v>
      </c>
      <c r="D474" s="28" t="s">
        <v>2629</v>
      </c>
      <c r="E474" s="5" t="s">
        <v>55</v>
      </c>
      <c r="F474" s="5" t="s">
        <v>5071</v>
      </c>
      <c r="G474" s="5" t="s">
        <v>5081</v>
      </c>
      <c r="H474" s="5" t="s">
        <v>2455</v>
      </c>
      <c r="I474" s="5">
        <v>15.65</v>
      </c>
      <c r="J474" s="6" t="str">
        <f t="shared" si="14"/>
        <v>1</v>
      </c>
      <c r="K474" s="6">
        <f t="shared" si="15"/>
        <v>15.65</v>
      </c>
    </row>
    <row r="475" spans="1:11" x14ac:dyDescent="0.3">
      <c r="A475" s="5" t="s">
        <v>2849</v>
      </c>
      <c r="B475" s="5" t="s">
        <v>45</v>
      </c>
      <c r="C475" s="5" t="s">
        <v>5326</v>
      </c>
      <c r="D475" s="28" t="s">
        <v>2629</v>
      </c>
      <c r="E475" s="5" t="s">
        <v>55</v>
      </c>
      <c r="F475" s="5" t="s">
        <v>5081</v>
      </c>
      <c r="G475" s="5" t="s">
        <v>5073</v>
      </c>
      <c r="H475" s="5" t="s">
        <v>2412</v>
      </c>
      <c r="I475" s="5">
        <v>17.04</v>
      </c>
      <c r="J475" s="6" t="str">
        <f t="shared" si="14"/>
        <v>1</v>
      </c>
      <c r="K475" s="6">
        <f t="shared" si="15"/>
        <v>17.04</v>
      </c>
    </row>
    <row r="476" spans="1:11" x14ac:dyDescent="0.3">
      <c r="A476" s="5" t="s">
        <v>5666</v>
      </c>
      <c r="B476" s="5" t="s">
        <v>45</v>
      </c>
      <c r="C476" s="5" t="s">
        <v>5667</v>
      </c>
      <c r="D476" s="28" t="s">
        <v>2629</v>
      </c>
      <c r="E476" s="5" t="s">
        <v>55</v>
      </c>
      <c r="F476" s="5" t="s">
        <v>5081</v>
      </c>
      <c r="G476" s="5" t="s">
        <v>5081</v>
      </c>
      <c r="H476" s="5"/>
      <c r="I476" s="5">
        <v>8.2200000000000006</v>
      </c>
      <c r="J476" s="6" t="str">
        <f t="shared" si="14"/>
        <v>Unknown</v>
      </c>
      <c r="K476" s="6">
        <f t="shared" si="15"/>
        <v>8.2200000000000006</v>
      </c>
    </row>
    <row r="477" spans="1:11" x14ac:dyDescent="0.3">
      <c r="A477" s="5" t="s">
        <v>3550</v>
      </c>
      <c r="B477" s="5" t="s">
        <v>14</v>
      </c>
      <c r="C477" s="5" t="s">
        <v>6258</v>
      </c>
      <c r="D477" s="28" t="s">
        <v>2629</v>
      </c>
      <c r="E477" s="5" t="s">
        <v>55</v>
      </c>
      <c r="F477" s="5" t="s">
        <v>5076</v>
      </c>
      <c r="G477" s="5" t="s">
        <v>5073</v>
      </c>
      <c r="H477" s="5" t="s">
        <v>2412</v>
      </c>
      <c r="I477" s="5">
        <v>0.53</v>
      </c>
      <c r="J477" s="6" t="str">
        <f t="shared" si="14"/>
        <v>1</v>
      </c>
      <c r="K477" s="6">
        <f t="shared" si="15"/>
        <v>0.53</v>
      </c>
    </row>
    <row r="478" spans="1:11" x14ac:dyDescent="0.3">
      <c r="A478" s="5" t="s">
        <v>3804</v>
      </c>
      <c r="B478" s="5" t="s">
        <v>14</v>
      </c>
      <c r="C478" s="5" t="s">
        <v>5293</v>
      </c>
      <c r="D478" s="28" t="s">
        <v>2629</v>
      </c>
      <c r="E478" s="5" t="s">
        <v>55</v>
      </c>
      <c r="F478" s="5" t="s">
        <v>5070</v>
      </c>
      <c r="G478" s="5" t="s">
        <v>5071</v>
      </c>
      <c r="H478" s="5" t="s">
        <v>2423</v>
      </c>
      <c r="I478" s="5">
        <v>18.97</v>
      </c>
      <c r="J478" s="6" t="str">
        <f t="shared" si="14"/>
        <v>0</v>
      </c>
      <c r="K478" s="6">
        <f t="shared" si="15"/>
        <v>18.97</v>
      </c>
    </row>
    <row r="479" spans="1:11" x14ac:dyDescent="0.3">
      <c r="A479" s="5" t="s">
        <v>3407</v>
      </c>
      <c r="B479" s="5" t="s">
        <v>14</v>
      </c>
      <c r="C479" s="5" t="s">
        <v>5275</v>
      </c>
      <c r="D479" s="28" t="s">
        <v>2629</v>
      </c>
      <c r="E479" s="5" t="s">
        <v>55</v>
      </c>
      <c r="F479" s="5" t="s">
        <v>5076</v>
      </c>
      <c r="G479" s="5" t="s">
        <v>5070</v>
      </c>
      <c r="H479" s="5" t="s">
        <v>2408</v>
      </c>
      <c r="I479" s="5">
        <v>5.39</v>
      </c>
      <c r="J479" s="6" t="str">
        <f t="shared" si="14"/>
        <v>0</v>
      </c>
      <c r="K479" s="6">
        <f t="shared" si="15"/>
        <v>5.39</v>
      </c>
    </row>
    <row r="480" spans="1:11" x14ac:dyDescent="0.3">
      <c r="A480" s="5" t="s">
        <v>2628</v>
      </c>
      <c r="B480" s="5" t="s">
        <v>14</v>
      </c>
      <c r="C480" s="5" t="s">
        <v>5384</v>
      </c>
      <c r="D480" s="28" t="s">
        <v>2629</v>
      </c>
      <c r="E480" s="5" t="s">
        <v>55</v>
      </c>
      <c r="F480" s="5" t="s">
        <v>5076</v>
      </c>
      <c r="G480" s="5" t="s">
        <v>5073</v>
      </c>
      <c r="H480" s="5" t="s">
        <v>2418</v>
      </c>
      <c r="I480" s="5">
        <v>15.96</v>
      </c>
      <c r="J480" s="6" t="str">
        <f t="shared" si="14"/>
        <v>1</v>
      </c>
      <c r="K480" s="6">
        <f t="shared" si="15"/>
        <v>15.96</v>
      </c>
    </row>
    <row r="481" spans="1:11" x14ac:dyDescent="0.3">
      <c r="A481" s="5" t="s">
        <v>4670</v>
      </c>
      <c r="B481" s="5" t="s">
        <v>14</v>
      </c>
      <c r="C481" s="5" t="s">
        <v>5531</v>
      </c>
      <c r="D481" s="28" t="s">
        <v>2629</v>
      </c>
      <c r="E481" s="5" t="s">
        <v>55</v>
      </c>
      <c r="F481" s="5" t="s">
        <v>5070</v>
      </c>
      <c r="G481" s="5" t="s">
        <v>5073</v>
      </c>
      <c r="H481" s="5" t="s">
        <v>2450</v>
      </c>
      <c r="I481" s="5">
        <v>10.14</v>
      </c>
      <c r="J481" s="6" t="str">
        <f t="shared" si="14"/>
        <v>1</v>
      </c>
      <c r="K481" s="6">
        <f t="shared" si="15"/>
        <v>10.14</v>
      </c>
    </row>
    <row r="482" spans="1:11" x14ac:dyDescent="0.3">
      <c r="A482" s="5" t="s">
        <v>3676</v>
      </c>
      <c r="B482" s="5" t="s">
        <v>14</v>
      </c>
      <c r="C482" s="5" t="s">
        <v>5192</v>
      </c>
      <c r="D482" s="28" t="s">
        <v>2629</v>
      </c>
      <c r="E482" s="5" t="s">
        <v>55</v>
      </c>
      <c r="F482" s="5" t="s">
        <v>5081</v>
      </c>
      <c r="G482" s="5" t="s">
        <v>5070</v>
      </c>
      <c r="H482" s="5" t="s">
        <v>2439</v>
      </c>
      <c r="I482" s="5">
        <v>2.16</v>
      </c>
      <c r="J482" s="6" t="str">
        <f t="shared" si="14"/>
        <v>2</v>
      </c>
      <c r="K482" s="6">
        <f t="shared" si="15"/>
        <v>2.16</v>
      </c>
    </row>
    <row r="483" spans="1:11" x14ac:dyDescent="0.3">
      <c r="A483" s="5" t="s">
        <v>3244</v>
      </c>
      <c r="B483" s="5" t="s">
        <v>14</v>
      </c>
      <c r="C483" s="5" t="s">
        <v>5147</v>
      </c>
      <c r="D483" s="28" t="s">
        <v>2629</v>
      </c>
      <c r="E483" s="5" t="s">
        <v>55</v>
      </c>
      <c r="F483" s="5" t="s">
        <v>5083</v>
      </c>
      <c r="G483" s="5" t="s">
        <v>5083</v>
      </c>
      <c r="H483" s="5" t="s">
        <v>2408</v>
      </c>
      <c r="I483" s="5">
        <v>10.19</v>
      </c>
      <c r="J483" s="6" t="str">
        <f t="shared" si="14"/>
        <v>0</v>
      </c>
      <c r="K483" s="6">
        <f t="shared" si="15"/>
        <v>10.19</v>
      </c>
    </row>
    <row r="484" spans="1:11" x14ac:dyDescent="0.3">
      <c r="A484" s="5" t="s">
        <v>4133</v>
      </c>
      <c r="B484" s="5" t="s">
        <v>117</v>
      </c>
      <c r="C484" s="5" t="s">
        <v>5234</v>
      </c>
      <c r="D484" s="28" t="s">
        <v>2629</v>
      </c>
      <c r="E484" s="5" t="s">
        <v>55</v>
      </c>
      <c r="F484" s="5" t="s">
        <v>5070</v>
      </c>
      <c r="G484" s="5" t="s">
        <v>5083</v>
      </c>
      <c r="H484" s="5" t="s">
        <v>2450</v>
      </c>
      <c r="I484" s="5">
        <v>8.02</v>
      </c>
      <c r="J484" s="6" t="str">
        <f t="shared" si="14"/>
        <v>1</v>
      </c>
      <c r="K484" s="6">
        <f t="shared" si="15"/>
        <v>8.02</v>
      </c>
    </row>
    <row r="485" spans="1:11" x14ac:dyDescent="0.3">
      <c r="A485" s="5" t="s">
        <v>6445</v>
      </c>
      <c r="B485" s="5" t="s">
        <v>117</v>
      </c>
      <c r="C485" s="5" t="s">
        <v>6446</v>
      </c>
      <c r="D485" s="28" t="s">
        <v>2629</v>
      </c>
      <c r="E485" s="5" t="s">
        <v>55</v>
      </c>
      <c r="F485" s="5" t="s">
        <v>5083</v>
      </c>
      <c r="G485" s="5" t="s">
        <v>5083</v>
      </c>
      <c r="H485" s="5" t="s">
        <v>2435</v>
      </c>
      <c r="I485" s="5">
        <v>12.4</v>
      </c>
      <c r="J485" s="6" t="str">
        <f t="shared" si="14"/>
        <v>0</v>
      </c>
      <c r="K485" s="6">
        <f t="shared" si="15"/>
        <v>12.4</v>
      </c>
    </row>
    <row r="486" spans="1:11" x14ac:dyDescent="0.3">
      <c r="A486" s="5" t="s">
        <v>4925</v>
      </c>
      <c r="B486" s="5" t="s">
        <v>117</v>
      </c>
      <c r="C486" s="5" t="s">
        <v>5712</v>
      </c>
      <c r="D486" s="28" t="s">
        <v>2629</v>
      </c>
      <c r="E486" s="5" t="s">
        <v>55</v>
      </c>
      <c r="F486" s="5" t="s">
        <v>5076</v>
      </c>
      <c r="G486" s="5" t="s">
        <v>5071</v>
      </c>
      <c r="H486" s="5" t="s">
        <v>2993</v>
      </c>
      <c r="I486" s="5">
        <v>11.78</v>
      </c>
      <c r="J486" s="6" t="str">
        <f t="shared" si="14"/>
        <v>2+</v>
      </c>
      <c r="K486" s="6">
        <f t="shared" si="15"/>
        <v>11.78</v>
      </c>
    </row>
    <row r="487" spans="1:11" x14ac:dyDescent="0.3">
      <c r="A487" s="5" t="s">
        <v>5345</v>
      </c>
      <c r="B487" s="5" t="s">
        <v>117</v>
      </c>
      <c r="C487" s="5" t="s">
        <v>5346</v>
      </c>
      <c r="D487" s="28" t="s">
        <v>2629</v>
      </c>
      <c r="E487" s="5" t="s">
        <v>55</v>
      </c>
      <c r="F487" s="5" t="s">
        <v>5076</v>
      </c>
      <c r="G487" s="5" t="s">
        <v>5071</v>
      </c>
      <c r="H487" s="5" t="s">
        <v>2477</v>
      </c>
      <c r="I487" s="5">
        <v>6.08</v>
      </c>
      <c r="J487" s="6" t="str">
        <f t="shared" si="14"/>
        <v>0</v>
      </c>
      <c r="K487" s="6">
        <f t="shared" si="15"/>
        <v>6.08</v>
      </c>
    </row>
    <row r="488" spans="1:11" x14ac:dyDescent="0.3">
      <c r="A488" s="5" t="s">
        <v>5395</v>
      </c>
      <c r="B488" s="5" t="s">
        <v>117</v>
      </c>
      <c r="C488" s="5" t="s">
        <v>5396</v>
      </c>
      <c r="D488" s="28" t="s">
        <v>2629</v>
      </c>
      <c r="E488" s="5" t="s">
        <v>55</v>
      </c>
      <c r="F488" s="5" t="s">
        <v>5083</v>
      </c>
      <c r="G488" s="5" t="s">
        <v>5081</v>
      </c>
      <c r="H488" s="5" t="s">
        <v>2423</v>
      </c>
      <c r="I488" s="5">
        <v>18.64</v>
      </c>
      <c r="J488" s="6" t="str">
        <f t="shared" si="14"/>
        <v>0</v>
      </c>
      <c r="K488" s="6">
        <f t="shared" si="15"/>
        <v>18.64</v>
      </c>
    </row>
    <row r="489" spans="1:11" x14ac:dyDescent="0.3">
      <c r="A489" s="5" t="s">
        <v>3331</v>
      </c>
      <c r="B489" s="5" t="s">
        <v>25</v>
      </c>
      <c r="C489" s="5" t="s">
        <v>5851</v>
      </c>
      <c r="D489" s="28" t="s">
        <v>2629</v>
      </c>
      <c r="E489" s="5" t="s">
        <v>55</v>
      </c>
      <c r="F489" s="5" t="s">
        <v>5076</v>
      </c>
      <c r="G489" s="5" t="s">
        <v>5083</v>
      </c>
      <c r="H489" s="5" t="s">
        <v>2486</v>
      </c>
      <c r="I489" s="5">
        <v>19.07</v>
      </c>
      <c r="J489" s="6" t="str">
        <f t="shared" si="14"/>
        <v>2+</v>
      </c>
      <c r="K489" s="6">
        <f t="shared" si="15"/>
        <v>19.07</v>
      </c>
    </row>
    <row r="490" spans="1:11" x14ac:dyDescent="0.3">
      <c r="A490" s="5" t="s">
        <v>3364</v>
      </c>
      <c r="B490" s="5" t="s">
        <v>25</v>
      </c>
      <c r="C490" s="5" t="s">
        <v>6508</v>
      </c>
      <c r="D490" s="28" t="s">
        <v>2629</v>
      </c>
      <c r="E490" s="5" t="s">
        <v>55</v>
      </c>
      <c r="F490" s="5" t="s">
        <v>5070</v>
      </c>
      <c r="G490" s="5" t="s">
        <v>5070</v>
      </c>
      <c r="H490" s="5" t="s">
        <v>2423</v>
      </c>
      <c r="I490" s="5">
        <v>18.72</v>
      </c>
      <c r="J490" s="6" t="str">
        <f t="shared" si="14"/>
        <v>0</v>
      </c>
      <c r="K490" s="6">
        <f t="shared" si="15"/>
        <v>18.72</v>
      </c>
    </row>
    <row r="491" spans="1:11" x14ac:dyDescent="0.3">
      <c r="A491" s="5" t="s">
        <v>6440</v>
      </c>
      <c r="B491" s="5" t="s">
        <v>25</v>
      </c>
      <c r="C491" s="5" t="s">
        <v>6441</v>
      </c>
      <c r="D491" s="28" t="s">
        <v>2629</v>
      </c>
      <c r="E491" s="5" t="s">
        <v>55</v>
      </c>
      <c r="F491" s="5" t="s">
        <v>5070</v>
      </c>
      <c r="G491" s="5" t="s">
        <v>5073</v>
      </c>
      <c r="H491" s="5" t="s">
        <v>2450</v>
      </c>
      <c r="I491" s="5">
        <v>7.3</v>
      </c>
      <c r="J491" s="6" t="str">
        <f t="shared" si="14"/>
        <v>1</v>
      </c>
      <c r="K491" s="6">
        <f t="shared" si="15"/>
        <v>7.3</v>
      </c>
    </row>
    <row r="492" spans="1:11" x14ac:dyDescent="0.3">
      <c r="A492" s="5" t="s">
        <v>5089</v>
      </c>
      <c r="B492" s="5" t="s">
        <v>25</v>
      </c>
      <c r="C492" s="5" t="s">
        <v>5090</v>
      </c>
      <c r="D492" s="28" t="s">
        <v>2629</v>
      </c>
      <c r="E492" s="5" t="s">
        <v>55</v>
      </c>
      <c r="F492" s="5" t="s">
        <v>5071</v>
      </c>
      <c r="G492" s="5" t="s">
        <v>5071</v>
      </c>
      <c r="H492" s="5"/>
      <c r="I492" s="5">
        <v>7.81</v>
      </c>
      <c r="J492" s="6" t="str">
        <f t="shared" si="14"/>
        <v>Unknown</v>
      </c>
      <c r="K492" s="6">
        <f t="shared" si="15"/>
        <v>7.81</v>
      </c>
    </row>
    <row r="493" spans="1:11" x14ac:dyDescent="0.3">
      <c r="A493" s="5" t="s">
        <v>4088</v>
      </c>
      <c r="B493" s="5" t="s">
        <v>25</v>
      </c>
      <c r="C493" s="5" t="s">
        <v>5672</v>
      </c>
      <c r="D493" s="28" t="s">
        <v>2629</v>
      </c>
      <c r="E493" s="5" t="s">
        <v>55</v>
      </c>
      <c r="F493" s="5" t="s">
        <v>5083</v>
      </c>
      <c r="G493" s="5" t="s">
        <v>5071</v>
      </c>
      <c r="H493" s="5" t="s">
        <v>2423</v>
      </c>
      <c r="I493" s="5">
        <v>6.58</v>
      </c>
      <c r="J493" s="6" t="str">
        <f t="shared" si="14"/>
        <v>0</v>
      </c>
      <c r="K493" s="6">
        <f t="shared" si="15"/>
        <v>6.58</v>
      </c>
    </row>
    <row r="494" spans="1:11" x14ac:dyDescent="0.3">
      <c r="A494" s="5" t="s">
        <v>2813</v>
      </c>
      <c r="B494" s="5" t="s">
        <v>106</v>
      </c>
      <c r="C494" s="5" t="s">
        <v>5679</v>
      </c>
      <c r="D494" s="28" t="s">
        <v>2629</v>
      </c>
      <c r="E494" s="5" t="s">
        <v>55</v>
      </c>
      <c r="F494" s="5" t="s">
        <v>5070</v>
      </c>
      <c r="G494" s="5" t="s">
        <v>5076</v>
      </c>
      <c r="H494" s="5" t="s">
        <v>2993</v>
      </c>
      <c r="I494" s="5"/>
      <c r="J494" s="6" t="str">
        <f t="shared" si="14"/>
        <v>2+</v>
      </c>
      <c r="K494" s="6">
        <f t="shared" si="15"/>
        <v>10.1</v>
      </c>
    </row>
    <row r="495" spans="1:11" x14ac:dyDescent="0.3">
      <c r="A495" s="5" t="s">
        <v>2766</v>
      </c>
      <c r="B495" s="5" t="s">
        <v>106</v>
      </c>
      <c r="C495" s="5" t="s">
        <v>6455</v>
      </c>
      <c r="D495" s="28" t="s">
        <v>2629</v>
      </c>
      <c r="E495" s="5" t="s">
        <v>55</v>
      </c>
      <c r="F495" s="5" t="s">
        <v>5073</v>
      </c>
      <c r="G495" s="5" t="s">
        <v>5073</v>
      </c>
      <c r="H495" s="5" t="s">
        <v>2450</v>
      </c>
      <c r="I495" s="5">
        <v>7.72</v>
      </c>
      <c r="J495" s="6" t="str">
        <f t="shared" si="14"/>
        <v>1</v>
      </c>
      <c r="K495" s="6">
        <f t="shared" si="15"/>
        <v>7.72</v>
      </c>
    </row>
    <row r="496" spans="1:11" x14ac:dyDescent="0.3">
      <c r="A496" s="5" t="s">
        <v>3905</v>
      </c>
      <c r="B496" s="5" t="s">
        <v>78</v>
      </c>
      <c r="C496" s="5" t="s">
        <v>5383</v>
      </c>
      <c r="D496" s="28" t="s">
        <v>2422</v>
      </c>
      <c r="E496" s="5" t="s">
        <v>55</v>
      </c>
      <c r="F496" s="5" t="s">
        <v>5076</v>
      </c>
      <c r="G496" s="5" t="s">
        <v>5071</v>
      </c>
      <c r="H496" s="5" t="s">
        <v>2418</v>
      </c>
      <c r="I496" s="5">
        <v>2.4700000000000002</v>
      </c>
      <c r="J496" s="6" t="str">
        <f t="shared" si="14"/>
        <v>1</v>
      </c>
      <c r="K496" s="6">
        <f t="shared" si="15"/>
        <v>2.4700000000000002</v>
      </c>
    </row>
    <row r="497" spans="1:11" x14ac:dyDescent="0.3">
      <c r="A497" s="5" t="s">
        <v>4775</v>
      </c>
      <c r="B497" s="5" t="s">
        <v>78</v>
      </c>
      <c r="C497" s="5" t="s">
        <v>5695</v>
      </c>
      <c r="D497" s="28" t="s">
        <v>2422</v>
      </c>
      <c r="E497" s="5" t="s">
        <v>55</v>
      </c>
      <c r="F497" s="5" t="s">
        <v>5070</v>
      </c>
      <c r="G497" s="5" t="s">
        <v>5076</v>
      </c>
      <c r="H497" s="5" t="s">
        <v>2746</v>
      </c>
      <c r="I497" s="5">
        <v>12.28</v>
      </c>
      <c r="J497" s="6" t="str">
        <f t="shared" si="14"/>
        <v>2</v>
      </c>
      <c r="K497" s="6">
        <f t="shared" si="15"/>
        <v>12.28</v>
      </c>
    </row>
    <row r="498" spans="1:11" x14ac:dyDescent="0.3">
      <c r="A498" s="5" t="s">
        <v>3824</v>
      </c>
      <c r="B498" s="5" t="s">
        <v>78</v>
      </c>
      <c r="C498" s="5" t="s">
        <v>5281</v>
      </c>
      <c r="D498" s="28" t="s">
        <v>2422</v>
      </c>
      <c r="E498" s="5" t="s">
        <v>55</v>
      </c>
      <c r="F498" s="5" t="s">
        <v>5071</v>
      </c>
      <c r="G498" s="5" t="s">
        <v>5073</v>
      </c>
      <c r="H498" s="5" t="s">
        <v>2477</v>
      </c>
      <c r="I498" s="5">
        <v>4.07</v>
      </c>
      <c r="J498" s="6" t="str">
        <f t="shared" si="14"/>
        <v>0</v>
      </c>
      <c r="K498" s="6">
        <f t="shared" si="15"/>
        <v>4.07</v>
      </c>
    </row>
    <row r="499" spans="1:11" x14ac:dyDescent="0.3">
      <c r="A499" s="5" t="s">
        <v>6003</v>
      </c>
      <c r="B499" s="5" t="s">
        <v>78</v>
      </c>
      <c r="C499" s="5" t="s">
        <v>6004</v>
      </c>
      <c r="D499" s="28" t="s">
        <v>2422</v>
      </c>
      <c r="E499" s="5" t="s">
        <v>55</v>
      </c>
      <c r="F499" s="5" t="s">
        <v>5076</v>
      </c>
      <c r="G499" s="5" t="s">
        <v>5076</v>
      </c>
      <c r="H499" s="5" t="s">
        <v>2408</v>
      </c>
      <c r="I499" s="5">
        <v>2.48</v>
      </c>
      <c r="J499" s="6" t="str">
        <f t="shared" si="14"/>
        <v>0</v>
      </c>
      <c r="K499" s="6">
        <f t="shared" si="15"/>
        <v>2.48</v>
      </c>
    </row>
    <row r="500" spans="1:11" x14ac:dyDescent="0.3">
      <c r="A500" s="5" t="s">
        <v>3841</v>
      </c>
      <c r="B500" s="5" t="s">
        <v>78</v>
      </c>
      <c r="C500" s="5" t="s">
        <v>5626</v>
      </c>
      <c r="D500" s="28" t="s">
        <v>2422</v>
      </c>
      <c r="E500" s="5" t="s">
        <v>55</v>
      </c>
      <c r="F500" s="5" t="s">
        <v>5073</v>
      </c>
      <c r="G500" s="5" t="s">
        <v>5083</v>
      </c>
      <c r="H500" s="5" t="s">
        <v>2418</v>
      </c>
      <c r="I500" s="5">
        <v>5.71</v>
      </c>
      <c r="J500" s="6" t="str">
        <f t="shared" si="14"/>
        <v>1</v>
      </c>
      <c r="K500" s="6">
        <f t="shared" si="15"/>
        <v>5.71</v>
      </c>
    </row>
    <row r="501" spans="1:11" x14ac:dyDescent="0.3">
      <c r="A501" s="5" t="s">
        <v>3123</v>
      </c>
      <c r="B501" s="5" t="s">
        <v>78</v>
      </c>
      <c r="C501" s="5" t="s">
        <v>6247</v>
      </c>
      <c r="D501" s="28" t="s">
        <v>2422</v>
      </c>
      <c r="E501" s="5" t="s">
        <v>55</v>
      </c>
      <c r="F501" s="5" t="s">
        <v>5083</v>
      </c>
      <c r="G501" s="5" t="s">
        <v>5081</v>
      </c>
      <c r="H501" s="5" t="s">
        <v>2450</v>
      </c>
      <c r="I501" s="5">
        <v>16.04</v>
      </c>
      <c r="J501" s="6" t="str">
        <f t="shared" si="14"/>
        <v>1</v>
      </c>
      <c r="K501" s="6">
        <f t="shared" si="15"/>
        <v>16.04</v>
      </c>
    </row>
    <row r="502" spans="1:11" x14ac:dyDescent="0.3">
      <c r="A502" s="5" t="s">
        <v>6101</v>
      </c>
      <c r="B502" s="5" t="s">
        <v>78</v>
      </c>
      <c r="C502" s="5" t="s">
        <v>6102</v>
      </c>
      <c r="D502" s="28" t="s">
        <v>2422</v>
      </c>
      <c r="E502" s="5" t="s">
        <v>55</v>
      </c>
      <c r="F502" s="5" t="s">
        <v>5076</v>
      </c>
      <c r="G502" s="5" t="s">
        <v>5070</v>
      </c>
      <c r="H502" s="5" t="s">
        <v>2455</v>
      </c>
      <c r="I502" s="5">
        <v>15.34</v>
      </c>
      <c r="J502" s="6" t="str">
        <f t="shared" si="14"/>
        <v>1</v>
      </c>
      <c r="K502" s="6">
        <f t="shared" si="15"/>
        <v>15.34</v>
      </c>
    </row>
    <row r="503" spans="1:11" x14ac:dyDescent="0.3">
      <c r="A503" s="5" t="s">
        <v>3346</v>
      </c>
      <c r="B503" s="5" t="s">
        <v>45</v>
      </c>
      <c r="C503" s="5" t="s">
        <v>6225</v>
      </c>
      <c r="D503" s="28" t="s">
        <v>2422</v>
      </c>
      <c r="E503" s="5" t="s">
        <v>55</v>
      </c>
      <c r="F503" s="5" t="s">
        <v>5081</v>
      </c>
      <c r="G503" s="5" t="s">
        <v>5073</v>
      </c>
      <c r="H503" s="5" t="s">
        <v>2412</v>
      </c>
      <c r="I503" s="5">
        <v>4.46</v>
      </c>
      <c r="J503" s="6" t="str">
        <f t="shared" si="14"/>
        <v>1</v>
      </c>
      <c r="K503" s="6">
        <f t="shared" si="15"/>
        <v>4.46</v>
      </c>
    </row>
    <row r="504" spans="1:11" x14ac:dyDescent="0.3">
      <c r="A504" s="5" t="s">
        <v>6088</v>
      </c>
      <c r="B504" s="5" t="s">
        <v>45</v>
      </c>
      <c r="C504" s="5" t="s">
        <v>6089</v>
      </c>
      <c r="D504" s="28" t="s">
        <v>2422</v>
      </c>
      <c r="E504" s="5" t="s">
        <v>55</v>
      </c>
      <c r="F504" s="5" t="s">
        <v>5070</v>
      </c>
      <c r="G504" s="5" t="s">
        <v>5073</v>
      </c>
      <c r="H504" s="5" t="s">
        <v>2505</v>
      </c>
      <c r="I504" s="5">
        <v>6.97</v>
      </c>
      <c r="J504" s="6" t="str">
        <f t="shared" si="14"/>
        <v>2+</v>
      </c>
      <c r="K504" s="6">
        <f t="shared" si="15"/>
        <v>6.97</v>
      </c>
    </row>
    <row r="505" spans="1:11" x14ac:dyDescent="0.3">
      <c r="A505" s="5" t="s">
        <v>5317</v>
      </c>
      <c r="B505" s="5" t="s">
        <v>45</v>
      </c>
      <c r="C505" s="5" t="s">
        <v>5318</v>
      </c>
      <c r="D505" s="28" t="s">
        <v>2422</v>
      </c>
      <c r="E505" s="5" t="s">
        <v>55</v>
      </c>
      <c r="F505" s="5" t="s">
        <v>5073</v>
      </c>
      <c r="G505" s="5" t="s">
        <v>5081</v>
      </c>
      <c r="H505" s="5" t="s">
        <v>2423</v>
      </c>
      <c r="I505" s="5">
        <v>3.25</v>
      </c>
      <c r="J505" s="6" t="str">
        <f t="shared" si="14"/>
        <v>0</v>
      </c>
      <c r="K505" s="6">
        <f t="shared" si="15"/>
        <v>3.25</v>
      </c>
    </row>
    <row r="506" spans="1:11" x14ac:dyDescent="0.3">
      <c r="A506" s="5" t="s">
        <v>6025</v>
      </c>
      <c r="B506" s="5" t="s">
        <v>45</v>
      </c>
      <c r="C506" s="5" t="s">
        <v>5738</v>
      </c>
      <c r="D506" s="28" t="s">
        <v>2422</v>
      </c>
      <c r="E506" s="5" t="s">
        <v>55</v>
      </c>
      <c r="F506" s="5" t="s">
        <v>5070</v>
      </c>
      <c r="G506" s="5" t="s">
        <v>5071</v>
      </c>
      <c r="H506" s="5" t="s">
        <v>2418</v>
      </c>
      <c r="I506" s="5">
        <v>1.89</v>
      </c>
      <c r="J506" s="6" t="str">
        <f t="shared" si="14"/>
        <v>1</v>
      </c>
      <c r="K506" s="6">
        <f t="shared" si="15"/>
        <v>1.89</v>
      </c>
    </row>
    <row r="507" spans="1:11" x14ac:dyDescent="0.3">
      <c r="A507" s="5" t="s">
        <v>3453</v>
      </c>
      <c r="B507" s="5" t="s">
        <v>14</v>
      </c>
      <c r="C507" s="5" t="s">
        <v>5287</v>
      </c>
      <c r="D507" s="28" t="s">
        <v>2422</v>
      </c>
      <c r="E507" s="5" t="s">
        <v>55</v>
      </c>
      <c r="F507" s="5" t="s">
        <v>5076</v>
      </c>
      <c r="G507" s="5" t="s">
        <v>5083</v>
      </c>
      <c r="H507" s="5" t="s">
        <v>2418</v>
      </c>
      <c r="I507" s="5">
        <v>18.7</v>
      </c>
      <c r="J507" s="6" t="str">
        <f t="shared" si="14"/>
        <v>1</v>
      </c>
      <c r="K507" s="6">
        <f t="shared" si="15"/>
        <v>18.7</v>
      </c>
    </row>
    <row r="508" spans="1:11" x14ac:dyDescent="0.3">
      <c r="A508" s="5" t="s">
        <v>5623</v>
      </c>
      <c r="B508" s="5" t="s">
        <v>14</v>
      </c>
      <c r="C508" s="5" t="s">
        <v>5624</v>
      </c>
      <c r="D508" s="28" t="s">
        <v>2422</v>
      </c>
      <c r="E508" s="5" t="s">
        <v>55</v>
      </c>
      <c r="F508" s="5" t="s">
        <v>5083</v>
      </c>
      <c r="G508" s="5" t="s">
        <v>5083</v>
      </c>
      <c r="H508" s="5" t="s">
        <v>2435</v>
      </c>
      <c r="I508" s="5">
        <v>19.34</v>
      </c>
      <c r="J508" s="6" t="str">
        <f t="shared" si="14"/>
        <v>0</v>
      </c>
      <c r="K508" s="6">
        <f t="shared" si="15"/>
        <v>19.34</v>
      </c>
    </row>
    <row r="509" spans="1:11" x14ac:dyDescent="0.3">
      <c r="A509" s="5" t="s">
        <v>5401</v>
      </c>
      <c r="B509" s="5" t="s">
        <v>14</v>
      </c>
      <c r="C509" s="5" t="s">
        <v>5402</v>
      </c>
      <c r="D509" s="28" t="s">
        <v>2422</v>
      </c>
      <c r="E509" s="5" t="s">
        <v>55</v>
      </c>
      <c r="F509" s="5" t="s">
        <v>5071</v>
      </c>
      <c r="G509" s="5" t="s">
        <v>5071</v>
      </c>
      <c r="H509" s="5" t="s">
        <v>2435</v>
      </c>
      <c r="I509" s="5">
        <v>11.14</v>
      </c>
      <c r="J509" s="6" t="str">
        <f t="shared" si="14"/>
        <v>0</v>
      </c>
      <c r="K509" s="6">
        <f t="shared" si="15"/>
        <v>11.14</v>
      </c>
    </row>
    <row r="510" spans="1:11" x14ac:dyDescent="0.3">
      <c r="A510" s="5" t="s">
        <v>4016</v>
      </c>
      <c r="B510" s="5" t="s">
        <v>14</v>
      </c>
      <c r="C510" s="5" t="s">
        <v>5997</v>
      </c>
      <c r="D510" s="28" t="s">
        <v>2422</v>
      </c>
      <c r="E510" s="5" t="s">
        <v>55</v>
      </c>
      <c r="F510" s="5" t="s">
        <v>5070</v>
      </c>
      <c r="G510" s="5" t="s">
        <v>5076</v>
      </c>
      <c r="H510" s="5" t="s">
        <v>2408</v>
      </c>
      <c r="I510" s="5">
        <v>14.36</v>
      </c>
      <c r="J510" s="6" t="str">
        <f t="shared" si="14"/>
        <v>0</v>
      </c>
      <c r="K510" s="6">
        <f t="shared" si="15"/>
        <v>14.36</v>
      </c>
    </row>
    <row r="511" spans="1:11" x14ac:dyDescent="0.3">
      <c r="A511" s="5" t="s">
        <v>2570</v>
      </c>
      <c r="B511" s="5" t="s">
        <v>14</v>
      </c>
      <c r="C511" s="5" t="s">
        <v>6092</v>
      </c>
      <c r="D511" s="28" t="s">
        <v>2422</v>
      </c>
      <c r="E511" s="5" t="s">
        <v>55</v>
      </c>
      <c r="F511" s="5" t="s">
        <v>5071</v>
      </c>
      <c r="G511" s="5" t="s">
        <v>5083</v>
      </c>
      <c r="H511" s="5" t="s">
        <v>2477</v>
      </c>
      <c r="I511" s="5">
        <v>8.02</v>
      </c>
      <c r="J511" s="6" t="str">
        <f t="shared" si="14"/>
        <v>0</v>
      </c>
      <c r="K511" s="6">
        <f t="shared" si="15"/>
        <v>8.02</v>
      </c>
    </row>
    <row r="512" spans="1:11" x14ac:dyDescent="0.3">
      <c r="A512" s="5" t="s">
        <v>6372</v>
      </c>
      <c r="B512" s="5" t="s">
        <v>14</v>
      </c>
      <c r="C512" s="5" t="s">
        <v>6373</v>
      </c>
      <c r="D512" s="28" t="s">
        <v>2422</v>
      </c>
      <c r="E512" s="5" t="s">
        <v>55</v>
      </c>
      <c r="F512" s="5" t="s">
        <v>5073</v>
      </c>
      <c r="G512" s="5" t="s">
        <v>5073</v>
      </c>
      <c r="H512" s="5" t="s">
        <v>2435</v>
      </c>
      <c r="I512" s="5">
        <v>1</v>
      </c>
      <c r="J512" s="6" t="str">
        <f t="shared" si="14"/>
        <v>0</v>
      </c>
      <c r="K512" s="6">
        <f t="shared" si="15"/>
        <v>1</v>
      </c>
    </row>
    <row r="513" spans="1:11" x14ac:dyDescent="0.3">
      <c r="A513" s="5" t="s">
        <v>2421</v>
      </c>
      <c r="B513" s="5" t="s">
        <v>14</v>
      </c>
      <c r="C513" s="5" t="s">
        <v>6157</v>
      </c>
      <c r="D513" s="28" t="s">
        <v>2422</v>
      </c>
      <c r="E513" s="5" t="s">
        <v>55</v>
      </c>
      <c r="F513" s="5" t="s">
        <v>5073</v>
      </c>
      <c r="G513" s="5" t="s">
        <v>5071</v>
      </c>
      <c r="H513" s="5" t="s">
        <v>2408</v>
      </c>
      <c r="I513" s="5">
        <v>17.29</v>
      </c>
      <c r="J513" s="6" t="str">
        <f t="shared" si="14"/>
        <v>0</v>
      </c>
      <c r="K513" s="6">
        <f t="shared" si="15"/>
        <v>17.29</v>
      </c>
    </row>
    <row r="514" spans="1:11" x14ac:dyDescent="0.3">
      <c r="A514" s="5" t="s">
        <v>4798</v>
      </c>
      <c r="B514" s="5" t="s">
        <v>14</v>
      </c>
      <c r="C514" s="5" t="s">
        <v>5684</v>
      </c>
      <c r="D514" s="28" t="s">
        <v>2422</v>
      </c>
      <c r="E514" s="5" t="s">
        <v>55</v>
      </c>
      <c r="F514" s="5" t="s">
        <v>5076</v>
      </c>
      <c r="G514" s="5" t="s">
        <v>5076</v>
      </c>
      <c r="H514" s="5" t="s">
        <v>2435</v>
      </c>
      <c r="I514" s="5">
        <v>15.67</v>
      </c>
      <c r="J514" s="6" t="str">
        <f t="shared" ref="J514:J577" si="16">IF(OR(LOWER(TRIM(H514))="0",LOWER(TRIM(H514))="ZERO"),"0",IF(OR(LOWER(TRIM(H514))="1",LOWER(TRIM(H514))="one"),"1",IF(OR(LOWER(TRIM(H514))="2",LOWER(TRIM(H514))="two"),"2",IF(OR(LOWER(TRIM(H514))="2+",LOWER(TRIM(H514))="two_or_more",LOWER(TRIM(H514))="multiple"),"2+","Unknown"))))</f>
        <v>0</v>
      </c>
      <c r="K514" s="6">
        <f t="shared" si="15"/>
        <v>15.67</v>
      </c>
    </row>
    <row r="515" spans="1:11" x14ac:dyDescent="0.3">
      <c r="A515" s="5" t="s">
        <v>3087</v>
      </c>
      <c r="B515" s="5" t="s">
        <v>14</v>
      </c>
      <c r="C515" s="5" t="s">
        <v>5691</v>
      </c>
      <c r="D515" s="28" t="s">
        <v>2422</v>
      </c>
      <c r="E515" s="5" t="s">
        <v>55</v>
      </c>
      <c r="F515" s="5" t="s">
        <v>5076</v>
      </c>
      <c r="G515" s="5" t="s">
        <v>5070</v>
      </c>
      <c r="H515" s="5" t="s">
        <v>2435</v>
      </c>
      <c r="I515" s="5">
        <v>9.67</v>
      </c>
      <c r="J515" s="6" t="str">
        <f t="shared" si="16"/>
        <v>0</v>
      </c>
      <c r="K515" s="6">
        <f t="shared" ref="K515:K578" si="17">IF(I515="",ROUND(AVERAGEIF($B$2:$B$1000,B515,$I$2:$I$1000),1),I515)</f>
        <v>9.67</v>
      </c>
    </row>
    <row r="516" spans="1:11" x14ac:dyDescent="0.3">
      <c r="A516" s="5" t="s">
        <v>4335</v>
      </c>
      <c r="B516" s="5" t="s">
        <v>117</v>
      </c>
      <c r="C516" s="5" t="s">
        <v>6321</v>
      </c>
      <c r="D516" s="28" t="s">
        <v>2422</v>
      </c>
      <c r="E516" s="5" t="s">
        <v>55</v>
      </c>
      <c r="F516" s="5" t="s">
        <v>5083</v>
      </c>
      <c r="G516" s="5" t="s">
        <v>5073</v>
      </c>
      <c r="H516" s="5" t="s">
        <v>2993</v>
      </c>
      <c r="I516" s="5">
        <v>13.08</v>
      </c>
      <c r="J516" s="6" t="str">
        <f t="shared" si="16"/>
        <v>2+</v>
      </c>
      <c r="K516" s="6">
        <f t="shared" si="17"/>
        <v>13.08</v>
      </c>
    </row>
    <row r="517" spans="1:11" x14ac:dyDescent="0.3">
      <c r="A517" s="5" t="s">
        <v>3193</v>
      </c>
      <c r="B517" s="5" t="s">
        <v>117</v>
      </c>
      <c r="C517" s="5" t="s">
        <v>6260</v>
      </c>
      <c r="D517" s="28" t="s">
        <v>2422</v>
      </c>
      <c r="E517" s="5" t="s">
        <v>55</v>
      </c>
      <c r="F517" s="5" t="s">
        <v>5071</v>
      </c>
      <c r="G517" s="5" t="s">
        <v>5071</v>
      </c>
      <c r="H517" s="5" t="s">
        <v>2439</v>
      </c>
      <c r="I517" s="5">
        <v>4.33</v>
      </c>
      <c r="J517" s="6" t="str">
        <f t="shared" si="16"/>
        <v>2</v>
      </c>
      <c r="K517" s="6">
        <f t="shared" si="17"/>
        <v>4.33</v>
      </c>
    </row>
    <row r="518" spans="1:11" x14ac:dyDescent="0.3">
      <c r="A518" s="5" t="s">
        <v>3701</v>
      </c>
      <c r="B518" s="5" t="s">
        <v>117</v>
      </c>
      <c r="C518" s="5" t="s">
        <v>5362</v>
      </c>
      <c r="D518" s="28" t="s">
        <v>2422</v>
      </c>
      <c r="E518" s="5" t="s">
        <v>55</v>
      </c>
      <c r="F518" s="5" t="s">
        <v>5071</v>
      </c>
      <c r="G518" s="5" t="s">
        <v>5071</v>
      </c>
      <c r="H518" s="5" t="s">
        <v>2408</v>
      </c>
      <c r="I518" s="5">
        <v>6.58</v>
      </c>
      <c r="J518" s="6" t="str">
        <f t="shared" si="16"/>
        <v>0</v>
      </c>
      <c r="K518" s="6">
        <f t="shared" si="17"/>
        <v>6.58</v>
      </c>
    </row>
    <row r="519" spans="1:11" x14ac:dyDescent="0.3">
      <c r="A519" s="5" t="s">
        <v>5020</v>
      </c>
      <c r="B519" s="5" t="s">
        <v>117</v>
      </c>
      <c r="C519" s="5" t="s">
        <v>6404</v>
      </c>
      <c r="D519" s="28" t="s">
        <v>2422</v>
      </c>
      <c r="E519" s="5" t="s">
        <v>55</v>
      </c>
      <c r="F519" s="5" t="s">
        <v>5083</v>
      </c>
      <c r="G519" s="5" t="s">
        <v>5070</v>
      </c>
      <c r="H519" s="5" t="s">
        <v>2505</v>
      </c>
      <c r="I519" s="5">
        <v>1.43</v>
      </c>
      <c r="J519" s="6" t="str">
        <f t="shared" si="16"/>
        <v>2+</v>
      </c>
      <c r="K519" s="6">
        <f t="shared" si="17"/>
        <v>1.43</v>
      </c>
    </row>
    <row r="520" spans="1:11" x14ac:dyDescent="0.3">
      <c r="A520" s="5" t="s">
        <v>4850</v>
      </c>
      <c r="B520" s="5" t="s">
        <v>117</v>
      </c>
      <c r="C520" s="5" t="s">
        <v>5507</v>
      </c>
      <c r="D520" s="28" t="s">
        <v>2422</v>
      </c>
      <c r="E520" s="5" t="s">
        <v>55</v>
      </c>
      <c r="F520" s="5" t="s">
        <v>5076</v>
      </c>
      <c r="G520" s="5" t="s">
        <v>5071</v>
      </c>
      <c r="H520" s="5" t="s">
        <v>2423</v>
      </c>
      <c r="I520" s="5">
        <v>19.920000000000002</v>
      </c>
      <c r="J520" s="6" t="str">
        <f t="shared" si="16"/>
        <v>0</v>
      </c>
      <c r="K520" s="6">
        <f t="shared" si="17"/>
        <v>19.920000000000002</v>
      </c>
    </row>
    <row r="521" spans="1:11" x14ac:dyDescent="0.3">
      <c r="A521" s="5" t="s">
        <v>4198</v>
      </c>
      <c r="B521" s="5" t="s">
        <v>117</v>
      </c>
      <c r="C521" s="5" t="s">
        <v>5799</v>
      </c>
      <c r="D521" s="28" t="s">
        <v>2422</v>
      </c>
      <c r="E521" s="5" t="s">
        <v>55</v>
      </c>
      <c r="F521" s="5" t="s">
        <v>5083</v>
      </c>
      <c r="G521" s="5" t="s">
        <v>5083</v>
      </c>
      <c r="H521" s="5" t="s">
        <v>2412</v>
      </c>
      <c r="I521" s="5">
        <v>6.91</v>
      </c>
      <c r="J521" s="6" t="str">
        <f t="shared" si="16"/>
        <v>1</v>
      </c>
      <c r="K521" s="6">
        <f t="shared" si="17"/>
        <v>6.91</v>
      </c>
    </row>
    <row r="522" spans="1:11" x14ac:dyDescent="0.3">
      <c r="A522" s="5" t="s">
        <v>2609</v>
      </c>
      <c r="B522" s="5" t="s">
        <v>117</v>
      </c>
      <c r="C522" s="5" t="s">
        <v>5581</v>
      </c>
      <c r="D522" s="28" t="s">
        <v>2422</v>
      </c>
      <c r="E522" s="5" t="s">
        <v>55</v>
      </c>
      <c r="F522" s="5" t="s">
        <v>5083</v>
      </c>
      <c r="G522" s="5" t="s">
        <v>5070</v>
      </c>
      <c r="H522" s="5" t="s">
        <v>2418</v>
      </c>
      <c r="I522" s="5">
        <v>18.52</v>
      </c>
      <c r="J522" s="6" t="str">
        <f t="shared" si="16"/>
        <v>1</v>
      </c>
      <c r="K522" s="6">
        <f t="shared" si="17"/>
        <v>18.52</v>
      </c>
    </row>
    <row r="523" spans="1:11" x14ac:dyDescent="0.3">
      <c r="A523" s="5" t="s">
        <v>4513</v>
      </c>
      <c r="B523" s="5" t="s">
        <v>25</v>
      </c>
      <c r="C523" s="5" t="s">
        <v>5694</v>
      </c>
      <c r="D523" s="28" t="s">
        <v>2422</v>
      </c>
      <c r="E523" s="5" t="s">
        <v>55</v>
      </c>
      <c r="F523" s="5" t="s">
        <v>5071</v>
      </c>
      <c r="G523" s="5" t="s">
        <v>5083</v>
      </c>
      <c r="H523" s="5" t="s">
        <v>2477</v>
      </c>
      <c r="I523" s="5">
        <v>5.68</v>
      </c>
      <c r="J523" s="6" t="str">
        <f t="shared" si="16"/>
        <v>0</v>
      </c>
      <c r="K523" s="6">
        <f t="shared" si="17"/>
        <v>5.68</v>
      </c>
    </row>
    <row r="524" spans="1:11" x14ac:dyDescent="0.3">
      <c r="A524" s="5" t="s">
        <v>3231</v>
      </c>
      <c r="B524" s="5" t="s">
        <v>25</v>
      </c>
      <c r="C524" s="5" t="s">
        <v>5495</v>
      </c>
      <c r="D524" s="28" t="s">
        <v>2422</v>
      </c>
      <c r="E524" s="5" t="s">
        <v>55</v>
      </c>
      <c r="F524" s="5" t="s">
        <v>5073</v>
      </c>
      <c r="G524" s="5" t="s">
        <v>5070</v>
      </c>
      <c r="H524" s="5" t="s">
        <v>2455</v>
      </c>
      <c r="I524" s="5">
        <v>16.09</v>
      </c>
      <c r="J524" s="6" t="str">
        <f t="shared" si="16"/>
        <v>1</v>
      </c>
      <c r="K524" s="6">
        <f t="shared" si="17"/>
        <v>16.09</v>
      </c>
    </row>
    <row r="525" spans="1:11" x14ac:dyDescent="0.3">
      <c r="A525" s="5" t="s">
        <v>3560</v>
      </c>
      <c r="B525" s="5" t="s">
        <v>25</v>
      </c>
      <c r="C525" s="5" t="s">
        <v>5461</v>
      </c>
      <c r="D525" s="28" t="s">
        <v>2422</v>
      </c>
      <c r="E525" s="5" t="s">
        <v>55</v>
      </c>
      <c r="F525" s="5" t="s">
        <v>5073</v>
      </c>
      <c r="G525" s="5" t="s">
        <v>5076</v>
      </c>
      <c r="H525" s="5" t="s">
        <v>2418</v>
      </c>
      <c r="I525" s="5">
        <v>13.33</v>
      </c>
      <c r="J525" s="6" t="str">
        <f t="shared" si="16"/>
        <v>1</v>
      </c>
      <c r="K525" s="6">
        <f t="shared" si="17"/>
        <v>13.33</v>
      </c>
    </row>
    <row r="526" spans="1:11" x14ac:dyDescent="0.3">
      <c r="A526" s="5" t="s">
        <v>3125</v>
      </c>
      <c r="B526" s="5" t="s">
        <v>25</v>
      </c>
      <c r="C526" s="5" t="s">
        <v>6118</v>
      </c>
      <c r="D526" s="28" t="s">
        <v>2422</v>
      </c>
      <c r="E526" s="5" t="s">
        <v>55</v>
      </c>
      <c r="F526" s="5" t="s">
        <v>5071</v>
      </c>
      <c r="G526" s="5" t="s">
        <v>5083</v>
      </c>
      <c r="H526" s="5" t="s">
        <v>2435</v>
      </c>
      <c r="I526" s="5">
        <v>19.52</v>
      </c>
      <c r="J526" s="6" t="str">
        <f t="shared" si="16"/>
        <v>0</v>
      </c>
      <c r="K526" s="6">
        <f t="shared" si="17"/>
        <v>19.52</v>
      </c>
    </row>
    <row r="527" spans="1:11" x14ac:dyDescent="0.3">
      <c r="A527" s="5" t="s">
        <v>6421</v>
      </c>
      <c r="B527" s="5" t="s">
        <v>25</v>
      </c>
      <c r="C527" s="5" t="s">
        <v>6422</v>
      </c>
      <c r="D527" s="28" t="s">
        <v>2422</v>
      </c>
      <c r="E527" s="5" t="s">
        <v>55</v>
      </c>
      <c r="F527" s="5" t="s">
        <v>5073</v>
      </c>
      <c r="G527" s="5" t="s">
        <v>5076</v>
      </c>
      <c r="H527" s="5"/>
      <c r="I527" s="5">
        <v>19.98</v>
      </c>
      <c r="J527" s="6" t="str">
        <f t="shared" si="16"/>
        <v>Unknown</v>
      </c>
      <c r="K527" s="6">
        <f t="shared" si="17"/>
        <v>19.98</v>
      </c>
    </row>
    <row r="528" spans="1:11" x14ac:dyDescent="0.3">
      <c r="A528" s="5" t="s">
        <v>2966</v>
      </c>
      <c r="B528" s="5" t="s">
        <v>25</v>
      </c>
      <c r="C528" s="5" t="s">
        <v>5898</v>
      </c>
      <c r="D528" s="28" t="s">
        <v>2422</v>
      </c>
      <c r="E528" s="5" t="s">
        <v>55</v>
      </c>
      <c r="F528" s="5" t="s">
        <v>5073</v>
      </c>
      <c r="G528" s="5" t="s">
        <v>5081</v>
      </c>
      <c r="H528" s="5" t="s">
        <v>2412</v>
      </c>
      <c r="I528" s="5">
        <v>15.44</v>
      </c>
      <c r="J528" s="6" t="str">
        <f t="shared" si="16"/>
        <v>1</v>
      </c>
      <c r="K528" s="6">
        <f t="shared" si="17"/>
        <v>15.44</v>
      </c>
    </row>
    <row r="529" spans="1:11" x14ac:dyDescent="0.3">
      <c r="A529" s="5" t="s">
        <v>6546</v>
      </c>
      <c r="B529" s="5" t="s">
        <v>25</v>
      </c>
      <c r="C529" s="5" t="s">
        <v>6547</v>
      </c>
      <c r="D529" s="28" t="s">
        <v>2422</v>
      </c>
      <c r="E529" s="5" t="s">
        <v>55</v>
      </c>
      <c r="F529" s="5" t="s">
        <v>5081</v>
      </c>
      <c r="G529" s="5" t="s">
        <v>5081</v>
      </c>
      <c r="H529" s="5" t="s">
        <v>2993</v>
      </c>
      <c r="I529" s="5">
        <v>0.73</v>
      </c>
      <c r="J529" s="6" t="str">
        <f t="shared" si="16"/>
        <v>2+</v>
      </c>
      <c r="K529" s="6">
        <f t="shared" si="17"/>
        <v>0.73</v>
      </c>
    </row>
    <row r="530" spans="1:11" x14ac:dyDescent="0.3">
      <c r="A530" s="5" t="s">
        <v>3149</v>
      </c>
      <c r="B530" s="5" t="s">
        <v>106</v>
      </c>
      <c r="C530" s="5" t="s">
        <v>5291</v>
      </c>
      <c r="D530" s="28" t="s">
        <v>2422</v>
      </c>
      <c r="E530" s="5" t="s">
        <v>55</v>
      </c>
      <c r="F530" s="5" t="s">
        <v>5073</v>
      </c>
      <c r="G530" s="5" t="s">
        <v>5073</v>
      </c>
      <c r="H530" s="5" t="s">
        <v>2455</v>
      </c>
      <c r="I530" s="5">
        <v>4.93</v>
      </c>
      <c r="J530" s="6" t="str">
        <f t="shared" si="16"/>
        <v>1</v>
      </c>
      <c r="K530" s="6">
        <f t="shared" si="17"/>
        <v>4.93</v>
      </c>
    </row>
    <row r="531" spans="1:11" x14ac:dyDescent="0.3">
      <c r="A531" s="5" t="s">
        <v>6561</v>
      </c>
      <c r="B531" s="5" t="s">
        <v>106</v>
      </c>
      <c r="C531" s="5" t="s">
        <v>6562</v>
      </c>
      <c r="D531" s="28" t="s">
        <v>2422</v>
      </c>
      <c r="E531" s="5" t="s">
        <v>55</v>
      </c>
      <c r="F531" s="5" t="s">
        <v>5073</v>
      </c>
      <c r="G531" s="5" t="s">
        <v>5073</v>
      </c>
      <c r="H531" s="5" t="s">
        <v>2412</v>
      </c>
      <c r="I531" s="5">
        <v>3.49</v>
      </c>
      <c r="J531" s="6" t="str">
        <f t="shared" si="16"/>
        <v>1</v>
      </c>
      <c r="K531" s="6">
        <f t="shared" si="17"/>
        <v>3.49</v>
      </c>
    </row>
    <row r="532" spans="1:11" x14ac:dyDescent="0.3">
      <c r="A532" s="5" t="s">
        <v>2798</v>
      </c>
      <c r="B532" s="5" t="s">
        <v>106</v>
      </c>
      <c r="C532" s="5" t="s">
        <v>5733</v>
      </c>
      <c r="D532" s="28" t="s">
        <v>2422</v>
      </c>
      <c r="E532" s="5" t="s">
        <v>55</v>
      </c>
      <c r="F532" s="5" t="s">
        <v>5070</v>
      </c>
      <c r="G532" s="5" t="s">
        <v>5081</v>
      </c>
      <c r="H532" s="5" t="s">
        <v>2450</v>
      </c>
      <c r="I532" s="5">
        <v>4.22</v>
      </c>
      <c r="J532" s="6" t="str">
        <f t="shared" si="16"/>
        <v>1</v>
      </c>
      <c r="K532" s="6">
        <f t="shared" si="17"/>
        <v>4.22</v>
      </c>
    </row>
    <row r="533" spans="1:11" x14ac:dyDescent="0.3">
      <c r="A533" s="5" t="s">
        <v>4958</v>
      </c>
      <c r="B533" s="5" t="s">
        <v>106</v>
      </c>
      <c r="C533" s="5" t="s">
        <v>5486</v>
      </c>
      <c r="D533" s="28" t="s">
        <v>2422</v>
      </c>
      <c r="E533" s="5" t="s">
        <v>55</v>
      </c>
      <c r="F533" s="5" t="s">
        <v>5081</v>
      </c>
      <c r="G533" s="5" t="s">
        <v>5070</v>
      </c>
      <c r="H533" s="5" t="s">
        <v>2477</v>
      </c>
      <c r="I533" s="5">
        <v>17.91</v>
      </c>
      <c r="J533" s="6" t="str">
        <f t="shared" si="16"/>
        <v>0</v>
      </c>
      <c r="K533" s="6">
        <f t="shared" si="17"/>
        <v>17.91</v>
      </c>
    </row>
    <row r="534" spans="1:11" x14ac:dyDescent="0.3">
      <c r="A534" s="5" t="s">
        <v>5529</v>
      </c>
      <c r="B534" s="5" t="s">
        <v>78</v>
      </c>
      <c r="C534" s="5" t="s">
        <v>5530</v>
      </c>
      <c r="D534" s="28" t="s">
        <v>2438</v>
      </c>
      <c r="E534" s="5" t="s">
        <v>55</v>
      </c>
      <c r="F534" s="5" t="s">
        <v>5083</v>
      </c>
      <c r="G534" s="5" t="s">
        <v>5073</v>
      </c>
      <c r="H534" s="5" t="s">
        <v>2450</v>
      </c>
      <c r="I534" s="5">
        <v>9.34</v>
      </c>
      <c r="J534" s="6" t="str">
        <f t="shared" si="16"/>
        <v>1</v>
      </c>
      <c r="K534" s="6">
        <f t="shared" si="17"/>
        <v>9.34</v>
      </c>
    </row>
    <row r="535" spans="1:11" x14ac:dyDescent="0.3">
      <c r="A535" s="5" t="s">
        <v>6486</v>
      </c>
      <c r="B535" s="5" t="s">
        <v>78</v>
      </c>
      <c r="C535" s="5" t="s">
        <v>6487</v>
      </c>
      <c r="D535" s="28" t="s">
        <v>2438</v>
      </c>
      <c r="E535" s="5" t="s">
        <v>55</v>
      </c>
      <c r="F535" s="5" t="s">
        <v>5073</v>
      </c>
      <c r="G535" s="5" t="s">
        <v>5076</v>
      </c>
      <c r="H535" s="5" t="s">
        <v>2477</v>
      </c>
      <c r="I535" s="5">
        <v>12.09</v>
      </c>
      <c r="J535" s="6" t="str">
        <f t="shared" si="16"/>
        <v>0</v>
      </c>
      <c r="K535" s="6">
        <f t="shared" si="17"/>
        <v>12.09</v>
      </c>
    </row>
    <row r="536" spans="1:11" x14ac:dyDescent="0.3">
      <c r="A536" s="5" t="s">
        <v>3362</v>
      </c>
      <c r="B536" s="5" t="s">
        <v>78</v>
      </c>
      <c r="C536" s="5" t="s">
        <v>5221</v>
      </c>
      <c r="D536" s="28" t="s">
        <v>2438</v>
      </c>
      <c r="E536" s="5" t="s">
        <v>55</v>
      </c>
      <c r="F536" s="5" t="s">
        <v>5083</v>
      </c>
      <c r="G536" s="5" t="s">
        <v>5083</v>
      </c>
      <c r="H536" s="5" t="s">
        <v>2455</v>
      </c>
      <c r="I536" s="5">
        <v>7.74</v>
      </c>
      <c r="J536" s="6" t="str">
        <f t="shared" si="16"/>
        <v>1</v>
      </c>
      <c r="K536" s="6">
        <f t="shared" si="17"/>
        <v>7.74</v>
      </c>
    </row>
    <row r="537" spans="1:11" x14ac:dyDescent="0.3">
      <c r="A537" s="5" t="s">
        <v>2437</v>
      </c>
      <c r="B537" s="5" t="s">
        <v>78</v>
      </c>
      <c r="C537" s="5" t="s">
        <v>5874</v>
      </c>
      <c r="D537" s="28" t="s">
        <v>2438</v>
      </c>
      <c r="E537" s="5" t="s">
        <v>55</v>
      </c>
      <c r="F537" s="5" t="s">
        <v>5073</v>
      </c>
      <c r="G537" s="5" t="s">
        <v>5083</v>
      </c>
      <c r="H537" s="5" t="s">
        <v>2412</v>
      </c>
      <c r="I537" s="5">
        <v>11.44</v>
      </c>
      <c r="J537" s="6" t="str">
        <f t="shared" si="16"/>
        <v>1</v>
      </c>
      <c r="K537" s="6">
        <f t="shared" si="17"/>
        <v>11.44</v>
      </c>
    </row>
    <row r="538" spans="1:11" x14ac:dyDescent="0.3">
      <c r="A538" s="5" t="s">
        <v>3778</v>
      </c>
      <c r="B538" s="5" t="s">
        <v>78</v>
      </c>
      <c r="C538" s="5" t="s">
        <v>5528</v>
      </c>
      <c r="D538" s="28" t="s">
        <v>2438</v>
      </c>
      <c r="E538" s="5" t="s">
        <v>55</v>
      </c>
      <c r="F538" s="5" t="s">
        <v>5083</v>
      </c>
      <c r="G538" s="5" t="s">
        <v>5081</v>
      </c>
      <c r="H538" s="5" t="s">
        <v>2418</v>
      </c>
      <c r="I538" s="5">
        <v>6.4</v>
      </c>
      <c r="J538" s="6" t="str">
        <f t="shared" si="16"/>
        <v>1</v>
      </c>
      <c r="K538" s="6">
        <f t="shared" si="17"/>
        <v>6.4</v>
      </c>
    </row>
    <row r="539" spans="1:11" x14ac:dyDescent="0.3">
      <c r="A539" s="5" t="s">
        <v>2624</v>
      </c>
      <c r="B539" s="5" t="s">
        <v>78</v>
      </c>
      <c r="C539" s="5" t="s">
        <v>5635</v>
      </c>
      <c r="D539" s="28" t="s">
        <v>2438</v>
      </c>
      <c r="E539" s="5" t="s">
        <v>55</v>
      </c>
      <c r="F539" s="5" t="s">
        <v>5071</v>
      </c>
      <c r="G539" s="5" t="s">
        <v>5070</v>
      </c>
      <c r="H539" s="5" t="s">
        <v>2993</v>
      </c>
      <c r="I539" s="5">
        <v>4.84</v>
      </c>
      <c r="J539" s="6" t="str">
        <f t="shared" si="16"/>
        <v>2+</v>
      </c>
      <c r="K539" s="6">
        <f t="shared" si="17"/>
        <v>4.84</v>
      </c>
    </row>
    <row r="540" spans="1:11" x14ac:dyDescent="0.3">
      <c r="A540" s="5" t="s">
        <v>3931</v>
      </c>
      <c r="B540" s="5" t="s">
        <v>78</v>
      </c>
      <c r="C540" s="5" t="s">
        <v>6312</v>
      </c>
      <c r="D540" s="28" t="s">
        <v>2438</v>
      </c>
      <c r="E540" s="5" t="s">
        <v>55</v>
      </c>
      <c r="F540" s="5" t="s">
        <v>5083</v>
      </c>
      <c r="G540" s="5" t="s">
        <v>5076</v>
      </c>
      <c r="H540" s="5" t="s">
        <v>2423</v>
      </c>
      <c r="I540" s="5">
        <v>14.05</v>
      </c>
      <c r="J540" s="6" t="str">
        <f t="shared" si="16"/>
        <v>0</v>
      </c>
      <c r="K540" s="6">
        <f t="shared" si="17"/>
        <v>14.05</v>
      </c>
    </row>
    <row r="541" spans="1:11" x14ac:dyDescent="0.3">
      <c r="A541" s="5" t="s">
        <v>5780</v>
      </c>
      <c r="B541" s="5" t="s">
        <v>78</v>
      </c>
      <c r="C541" s="5" t="s">
        <v>5781</v>
      </c>
      <c r="D541" s="28" t="s">
        <v>2438</v>
      </c>
      <c r="E541" s="5" t="s">
        <v>55</v>
      </c>
      <c r="F541" s="5" t="s">
        <v>5073</v>
      </c>
      <c r="G541" s="5" t="s">
        <v>5073</v>
      </c>
      <c r="H541" s="5"/>
      <c r="I541" s="5">
        <v>4.18</v>
      </c>
      <c r="J541" s="6" t="str">
        <f t="shared" si="16"/>
        <v>Unknown</v>
      </c>
      <c r="K541" s="6">
        <f t="shared" si="17"/>
        <v>4.18</v>
      </c>
    </row>
    <row r="542" spans="1:11" x14ac:dyDescent="0.3">
      <c r="A542" s="5" t="s">
        <v>4337</v>
      </c>
      <c r="B542" s="5" t="s">
        <v>78</v>
      </c>
      <c r="C542" s="5" t="s">
        <v>5834</v>
      </c>
      <c r="D542" s="28" t="s">
        <v>2438</v>
      </c>
      <c r="E542" s="5" t="s">
        <v>55</v>
      </c>
      <c r="F542" s="5" t="s">
        <v>5070</v>
      </c>
      <c r="G542" s="5" t="s">
        <v>5073</v>
      </c>
      <c r="H542" s="5" t="s">
        <v>2428</v>
      </c>
      <c r="I542" s="5">
        <v>18.47</v>
      </c>
      <c r="J542" s="6" t="str">
        <f t="shared" si="16"/>
        <v>2</v>
      </c>
      <c r="K542" s="6">
        <f t="shared" si="17"/>
        <v>18.47</v>
      </c>
    </row>
    <row r="543" spans="1:11" x14ac:dyDescent="0.3">
      <c r="A543" s="5" t="s">
        <v>6236</v>
      </c>
      <c r="B543" s="5" t="s">
        <v>78</v>
      </c>
      <c r="C543" s="5" t="s">
        <v>6237</v>
      </c>
      <c r="D543" s="28" t="s">
        <v>2438</v>
      </c>
      <c r="E543" s="5" t="s">
        <v>55</v>
      </c>
      <c r="F543" s="5" t="s">
        <v>5071</v>
      </c>
      <c r="G543" s="5" t="s">
        <v>5073</v>
      </c>
      <c r="H543" s="5" t="s">
        <v>2423</v>
      </c>
      <c r="I543" s="5">
        <v>6.13</v>
      </c>
      <c r="J543" s="6" t="str">
        <f t="shared" si="16"/>
        <v>0</v>
      </c>
      <c r="K543" s="6">
        <f t="shared" si="17"/>
        <v>6.13</v>
      </c>
    </row>
    <row r="544" spans="1:11" x14ac:dyDescent="0.3">
      <c r="A544" s="5" t="s">
        <v>4905</v>
      </c>
      <c r="B544" s="5" t="s">
        <v>45</v>
      </c>
      <c r="C544" s="5" t="s">
        <v>5905</v>
      </c>
      <c r="D544" s="28" t="s">
        <v>2438</v>
      </c>
      <c r="E544" s="5" t="s">
        <v>55</v>
      </c>
      <c r="F544" s="5" t="s">
        <v>5073</v>
      </c>
      <c r="G544" s="5" t="s">
        <v>5081</v>
      </c>
      <c r="H544" s="5" t="s">
        <v>2423</v>
      </c>
      <c r="I544" s="5">
        <v>12.1</v>
      </c>
      <c r="J544" s="6" t="str">
        <f t="shared" si="16"/>
        <v>0</v>
      </c>
      <c r="K544" s="6">
        <f t="shared" si="17"/>
        <v>12.1</v>
      </c>
    </row>
    <row r="545" spans="1:11" x14ac:dyDescent="0.3">
      <c r="A545" s="5" t="s">
        <v>3950</v>
      </c>
      <c r="B545" s="5" t="s">
        <v>45</v>
      </c>
      <c r="C545" s="5" t="s">
        <v>5132</v>
      </c>
      <c r="D545" s="28" t="s">
        <v>2438</v>
      </c>
      <c r="E545" s="5" t="s">
        <v>55</v>
      </c>
      <c r="F545" s="5" t="s">
        <v>5083</v>
      </c>
      <c r="G545" s="5" t="s">
        <v>5083</v>
      </c>
      <c r="H545" s="5" t="s">
        <v>2477</v>
      </c>
      <c r="I545" s="5">
        <v>8.06</v>
      </c>
      <c r="J545" s="6" t="str">
        <f t="shared" si="16"/>
        <v>0</v>
      </c>
      <c r="K545" s="6">
        <f t="shared" si="17"/>
        <v>8.06</v>
      </c>
    </row>
    <row r="546" spans="1:11" x14ac:dyDescent="0.3">
      <c r="A546" s="5" t="s">
        <v>5942</v>
      </c>
      <c r="B546" s="5" t="s">
        <v>45</v>
      </c>
      <c r="C546" s="5" t="s">
        <v>5943</v>
      </c>
      <c r="D546" s="28" t="s">
        <v>2438</v>
      </c>
      <c r="E546" s="5" t="s">
        <v>55</v>
      </c>
      <c r="F546" s="5" t="s">
        <v>5073</v>
      </c>
      <c r="G546" s="5" t="s">
        <v>5081</v>
      </c>
      <c r="H546" s="5" t="s">
        <v>2450</v>
      </c>
      <c r="I546" s="5">
        <v>15.1</v>
      </c>
      <c r="J546" s="6" t="str">
        <f t="shared" si="16"/>
        <v>1</v>
      </c>
      <c r="K546" s="6">
        <f t="shared" si="17"/>
        <v>15.1</v>
      </c>
    </row>
    <row r="547" spans="1:11" x14ac:dyDescent="0.3">
      <c r="A547" s="5" t="s">
        <v>5508</v>
      </c>
      <c r="B547" s="5" t="s">
        <v>45</v>
      </c>
      <c r="C547" s="5" t="s">
        <v>5509</v>
      </c>
      <c r="D547" s="28" t="s">
        <v>2438</v>
      </c>
      <c r="E547" s="5" t="s">
        <v>55</v>
      </c>
      <c r="F547" s="5" t="s">
        <v>5083</v>
      </c>
      <c r="G547" s="5" t="s">
        <v>5071</v>
      </c>
      <c r="H547" s="5" t="s">
        <v>2455</v>
      </c>
      <c r="I547" s="5">
        <v>3.44</v>
      </c>
      <c r="J547" s="6" t="str">
        <f t="shared" si="16"/>
        <v>1</v>
      </c>
      <c r="K547" s="6">
        <f t="shared" si="17"/>
        <v>3.44</v>
      </c>
    </row>
    <row r="548" spans="1:11" x14ac:dyDescent="0.3">
      <c r="A548" s="5" t="s">
        <v>3025</v>
      </c>
      <c r="B548" s="5" t="s">
        <v>45</v>
      </c>
      <c r="C548" s="5" t="s">
        <v>6152</v>
      </c>
      <c r="D548" s="28" t="s">
        <v>2438</v>
      </c>
      <c r="E548" s="5" t="s">
        <v>55</v>
      </c>
      <c r="F548" s="5" t="s">
        <v>5071</v>
      </c>
      <c r="G548" s="5" t="s">
        <v>5081</v>
      </c>
      <c r="H548" s="5" t="s">
        <v>2428</v>
      </c>
      <c r="I548" s="5">
        <v>9.0299999999999994</v>
      </c>
      <c r="J548" s="6" t="str">
        <f t="shared" si="16"/>
        <v>2</v>
      </c>
      <c r="K548" s="6">
        <f t="shared" si="17"/>
        <v>9.0299999999999994</v>
      </c>
    </row>
    <row r="549" spans="1:11" x14ac:dyDescent="0.3">
      <c r="A549" s="5" t="s">
        <v>3864</v>
      </c>
      <c r="B549" s="5" t="s">
        <v>45</v>
      </c>
      <c r="C549" s="5" t="s">
        <v>5138</v>
      </c>
      <c r="D549" s="28" t="s">
        <v>2438</v>
      </c>
      <c r="E549" s="5" t="s">
        <v>55</v>
      </c>
      <c r="F549" s="5" t="s">
        <v>5083</v>
      </c>
      <c r="G549" s="5" t="s">
        <v>5070</v>
      </c>
      <c r="H549" s="5" t="s">
        <v>2423</v>
      </c>
      <c r="I549" s="5">
        <v>5.87</v>
      </c>
      <c r="J549" s="6" t="str">
        <f t="shared" si="16"/>
        <v>0</v>
      </c>
      <c r="K549" s="6">
        <f t="shared" si="17"/>
        <v>5.87</v>
      </c>
    </row>
    <row r="550" spans="1:11" x14ac:dyDescent="0.3">
      <c r="A550" s="5" t="s">
        <v>4979</v>
      </c>
      <c r="B550" s="5" t="s">
        <v>45</v>
      </c>
      <c r="C550" s="5" t="s">
        <v>5105</v>
      </c>
      <c r="D550" s="28" t="s">
        <v>2438</v>
      </c>
      <c r="E550" s="5" t="s">
        <v>55</v>
      </c>
      <c r="F550" s="5" t="s">
        <v>5083</v>
      </c>
      <c r="G550" s="5" t="s">
        <v>5083</v>
      </c>
      <c r="H550" s="5" t="s">
        <v>2435</v>
      </c>
      <c r="I550" s="5">
        <v>11.59</v>
      </c>
      <c r="J550" s="6" t="str">
        <f t="shared" si="16"/>
        <v>0</v>
      </c>
      <c r="K550" s="6">
        <f t="shared" si="17"/>
        <v>11.59</v>
      </c>
    </row>
    <row r="551" spans="1:11" x14ac:dyDescent="0.3">
      <c r="A551" s="5" t="s">
        <v>3266</v>
      </c>
      <c r="B551" s="5" t="s">
        <v>45</v>
      </c>
      <c r="C551" s="5" t="s">
        <v>5772</v>
      </c>
      <c r="D551" s="28" t="s">
        <v>2438</v>
      </c>
      <c r="E551" s="5" t="s">
        <v>55</v>
      </c>
      <c r="F551" s="5" t="s">
        <v>5076</v>
      </c>
      <c r="G551" s="5" t="s">
        <v>5071</v>
      </c>
      <c r="H551" s="5" t="s">
        <v>2435</v>
      </c>
      <c r="I551" s="5">
        <v>14.24</v>
      </c>
      <c r="J551" s="6" t="str">
        <f t="shared" si="16"/>
        <v>0</v>
      </c>
      <c r="K551" s="6">
        <f t="shared" si="17"/>
        <v>14.24</v>
      </c>
    </row>
    <row r="552" spans="1:11" x14ac:dyDescent="0.3">
      <c r="A552" s="5" t="s">
        <v>4101</v>
      </c>
      <c r="B552" s="5" t="s">
        <v>45</v>
      </c>
      <c r="C552" s="5" t="s">
        <v>5284</v>
      </c>
      <c r="D552" s="28" t="s">
        <v>2438</v>
      </c>
      <c r="E552" s="5" t="s">
        <v>55</v>
      </c>
      <c r="F552" s="5" t="s">
        <v>5081</v>
      </c>
      <c r="G552" s="5" t="s">
        <v>5070</v>
      </c>
      <c r="H552" s="5" t="s">
        <v>2423</v>
      </c>
      <c r="I552" s="5">
        <v>2.36</v>
      </c>
      <c r="J552" s="6" t="str">
        <f t="shared" si="16"/>
        <v>0</v>
      </c>
      <c r="K552" s="6">
        <f t="shared" si="17"/>
        <v>2.36</v>
      </c>
    </row>
    <row r="553" spans="1:11" x14ac:dyDescent="0.3">
      <c r="A553" s="5" t="s">
        <v>4316</v>
      </c>
      <c r="B553" s="5" t="s">
        <v>45</v>
      </c>
      <c r="C553" s="5" t="s">
        <v>5240</v>
      </c>
      <c r="D553" s="28" t="s">
        <v>2438</v>
      </c>
      <c r="E553" s="5" t="s">
        <v>55</v>
      </c>
      <c r="F553" s="5" t="s">
        <v>5071</v>
      </c>
      <c r="G553" s="5" t="s">
        <v>5083</v>
      </c>
      <c r="H553" s="5"/>
      <c r="I553" s="5">
        <v>1.94</v>
      </c>
      <c r="J553" s="6" t="str">
        <f t="shared" si="16"/>
        <v>Unknown</v>
      </c>
      <c r="K553" s="6">
        <f t="shared" si="17"/>
        <v>1.94</v>
      </c>
    </row>
    <row r="554" spans="1:11" x14ac:dyDescent="0.3">
      <c r="A554" s="5" t="s">
        <v>6498</v>
      </c>
      <c r="B554" s="5" t="s">
        <v>14</v>
      </c>
      <c r="C554" s="5" t="s">
        <v>6499</v>
      </c>
      <c r="D554" s="28" t="s">
        <v>2438</v>
      </c>
      <c r="E554" s="5" t="s">
        <v>55</v>
      </c>
      <c r="F554" s="5" t="s">
        <v>5073</v>
      </c>
      <c r="G554" s="5" t="s">
        <v>5073</v>
      </c>
      <c r="H554" s="5" t="s">
        <v>2418</v>
      </c>
      <c r="I554" s="5">
        <v>8.7200000000000006</v>
      </c>
      <c r="J554" s="6" t="str">
        <f t="shared" si="16"/>
        <v>1</v>
      </c>
      <c r="K554" s="6">
        <f t="shared" si="17"/>
        <v>8.7200000000000006</v>
      </c>
    </row>
    <row r="555" spans="1:11" x14ac:dyDescent="0.3">
      <c r="A555" s="5" t="s">
        <v>3402</v>
      </c>
      <c r="B555" s="5" t="s">
        <v>14</v>
      </c>
      <c r="C555" s="5" t="s">
        <v>5293</v>
      </c>
      <c r="D555" s="28" t="s">
        <v>2438</v>
      </c>
      <c r="E555" s="5" t="s">
        <v>55</v>
      </c>
      <c r="F555" s="5" t="s">
        <v>5076</v>
      </c>
      <c r="G555" s="5" t="s">
        <v>5071</v>
      </c>
      <c r="H555" s="5" t="s">
        <v>2435</v>
      </c>
      <c r="I555" s="5">
        <v>17.600000000000001</v>
      </c>
      <c r="J555" s="6" t="str">
        <f t="shared" si="16"/>
        <v>0</v>
      </c>
      <c r="K555" s="6">
        <f t="shared" si="17"/>
        <v>17.600000000000001</v>
      </c>
    </row>
    <row r="556" spans="1:11" x14ac:dyDescent="0.3">
      <c r="A556" s="5" t="s">
        <v>2712</v>
      </c>
      <c r="B556" s="5" t="s">
        <v>14</v>
      </c>
      <c r="C556" s="5" t="s">
        <v>5227</v>
      </c>
      <c r="D556" s="28" t="s">
        <v>2438</v>
      </c>
      <c r="E556" s="5" t="s">
        <v>55</v>
      </c>
      <c r="F556" s="5" t="s">
        <v>5071</v>
      </c>
      <c r="G556" s="5" t="s">
        <v>5071</v>
      </c>
      <c r="H556" s="5" t="s">
        <v>2408</v>
      </c>
      <c r="I556" s="5">
        <v>11.15</v>
      </c>
      <c r="J556" s="6" t="str">
        <f t="shared" si="16"/>
        <v>0</v>
      </c>
      <c r="K556" s="6">
        <f t="shared" si="17"/>
        <v>11.15</v>
      </c>
    </row>
    <row r="557" spans="1:11" x14ac:dyDescent="0.3">
      <c r="A557" s="5" t="s">
        <v>5009</v>
      </c>
      <c r="B557" s="5" t="s">
        <v>14</v>
      </c>
      <c r="C557" s="5" t="s">
        <v>5276</v>
      </c>
      <c r="D557" s="28" t="s">
        <v>2438</v>
      </c>
      <c r="E557" s="5" t="s">
        <v>55</v>
      </c>
      <c r="F557" s="5" t="s">
        <v>5071</v>
      </c>
      <c r="G557" s="5" t="s">
        <v>5070</v>
      </c>
      <c r="H557" s="5" t="s">
        <v>2435</v>
      </c>
      <c r="I557" s="5">
        <v>10.31</v>
      </c>
      <c r="J557" s="6" t="str">
        <f t="shared" si="16"/>
        <v>0</v>
      </c>
      <c r="K557" s="6">
        <f t="shared" si="17"/>
        <v>10.31</v>
      </c>
    </row>
    <row r="558" spans="1:11" x14ac:dyDescent="0.3">
      <c r="A558" s="5" t="s">
        <v>3170</v>
      </c>
      <c r="B558" s="5" t="s">
        <v>14</v>
      </c>
      <c r="C558" s="5" t="s">
        <v>6291</v>
      </c>
      <c r="D558" s="28" t="s">
        <v>2438</v>
      </c>
      <c r="E558" s="5" t="s">
        <v>55</v>
      </c>
      <c r="F558" s="5" t="s">
        <v>5071</v>
      </c>
      <c r="G558" s="5" t="s">
        <v>5081</v>
      </c>
      <c r="H558" s="5" t="s">
        <v>2435</v>
      </c>
      <c r="I558" s="5">
        <v>16.11</v>
      </c>
      <c r="J558" s="6" t="str">
        <f t="shared" si="16"/>
        <v>0</v>
      </c>
      <c r="K558" s="6">
        <f t="shared" si="17"/>
        <v>16.11</v>
      </c>
    </row>
    <row r="559" spans="1:11" x14ac:dyDescent="0.3">
      <c r="A559" s="5" t="s">
        <v>3134</v>
      </c>
      <c r="B559" s="5" t="s">
        <v>14</v>
      </c>
      <c r="C559" s="5" t="s">
        <v>5295</v>
      </c>
      <c r="D559" s="28" t="s">
        <v>2438</v>
      </c>
      <c r="E559" s="5" t="s">
        <v>55</v>
      </c>
      <c r="F559" s="5" t="s">
        <v>5081</v>
      </c>
      <c r="G559" s="5" t="s">
        <v>5076</v>
      </c>
      <c r="H559" s="5" t="s">
        <v>2418</v>
      </c>
      <c r="I559" s="5">
        <v>18.68</v>
      </c>
      <c r="J559" s="6" t="str">
        <f t="shared" si="16"/>
        <v>1</v>
      </c>
      <c r="K559" s="6">
        <f t="shared" si="17"/>
        <v>18.68</v>
      </c>
    </row>
    <row r="560" spans="1:11" x14ac:dyDescent="0.3">
      <c r="A560" s="5" t="s">
        <v>5573</v>
      </c>
      <c r="B560" s="5" t="s">
        <v>117</v>
      </c>
      <c r="C560" s="5" t="s">
        <v>5574</v>
      </c>
      <c r="D560" s="28" t="s">
        <v>2438</v>
      </c>
      <c r="E560" s="5" t="s">
        <v>55</v>
      </c>
      <c r="F560" s="5" t="s">
        <v>5073</v>
      </c>
      <c r="G560" s="5" t="s">
        <v>5071</v>
      </c>
      <c r="H560" s="5" t="s">
        <v>2408</v>
      </c>
      <c r="I560" s="5">
        <v>4.12</v>
      </c>
      <c r="J560" s="6" t="str">
        <f t="shared" si="16"/>
        <v>0</v>
      </c>
      <c r="K560" s="6">
        <f t="shared" si="17"/>
        <v>4.12</v>
      </c>
    </row>
    <row r="561" spans="1:11" x14ac:dyDescent="0.3">
      <c r="A561" s="5" t="s">
        <v>4860</v>
      </c>
      <c r="B561" s="5" t="s">
        <v>117</v>
      </c>
      <c r="C561" s="5" t="s">
        <v>6544</v>
      </c>
      <c r="D561" s="28" t="s">
        <v>2438</v>
      </c>
      <c r="E561" s="5" t="s">
        <v>55</v>
      </c>
      <c r="F561" s="5" t="s">
        <v>5071</v>
      </c>
      <c r="G561" s="5" t="s">
        <v>5076</v>
      </c>
      <c r="H561" s="5" t="s">
        <v>2408</v>
      </c>
      <c r="I561" s="5">
        <v>9.0399999999999991</v>
      </c>
      <c r="J561" s="6" t="str">
        <f t="shared" si="16"/>
        <v>0</v>
      </c>
      <c r="K561" s="6">
        <f t="shared" si="17"/>
        <v>9.0399999999999991</v>
      </c>
    </row>
    <row r="562" spans="1:11" x14ac:dyDescent="0.3">
      <c r="A562" s="5" t="s">
        <v>5465</v>
      </c>
      <c r="B562" s="5" t="s">
        <v>117</v>
      </c>
      <c r="C562" s="5" t="s">
        <v>5335</v>
      </c>
      <c r="D562" s="28" t="s">
        <v>2438</v>
      </c>
      <c r="E562" s="5" t="s">
        <v>55</v>
      </c>
      <c r="F562" s="5" t="s">
        <v>5083</v>
      </c>
      <c r="G562" s="5" t="s">
        <v>5083</v>
      </c>
      <c r="H562" s="5" t="s">
        <v>2450</v>
      </c>
      <c r="I562" s="5">
        <v>7.07</v>
      </c>
      <c r="J562" s="6" t="str">
        <f t="shared" si="16"/>
        <v>1</v>
      </c>
      <c r="K562" s="6">
        <f t="shared" si="17"/>
        <v>7.07</v>
      </c>
    </row>
    <row r="563" spans="1:11" x14ac:dyDescent="0.3">
      <c r="A563" s="5" t="s">
        <v>2669</v>
      </c>
      <c r="B563" s="5" t="s">
        <v>117</v>
      </c>
      <c r="C563" s="5" t="s">
        <v>5613</v>
      </c>
      <c r="D563" s="28" t="s">
        <v>2438</v>
      </c>
      <c r="E563" s="5" t="s">
        <v>55</v>
      </c>
      <c r="F563" s="5" t="s">
        <v>5083</v>
      </c>
      <c r="G563" s="5" t="s">
        <v>5071</v>
      </c>
      <c r="H563" s="5" t="s">
        <v>2450</v>
      </c>
      <c r="I563" s="5">
        <v>10.07</v>
      </c>
      <c r="J563" s="6" t="str">
        <f t="shared" si="16"/>
        <v>1</v>
      </c>
      <c r="K563" s="6">
        <f t="shared" si="17"/>
        <v>10.07</v>
      </c>
    </row>
    <row r="564" spans="1:11" x14ac:dyDescent="0.3">
      <c r="A564" s="5" t="s">
        <v>6341</v>
      </c>
      <c r="B564" s="5" t="s">
        <v>25</v>
      </c>
      <c r="C564" s="5" t="s">
        <v>6342</v>
      </c>
      <c r="D564" s="28" t="s">
        <v>2438</v>
      </c>
      <c r="E564" s="5" t="s">
        <v>55</v>
      </c>
      <c r="F564" s="5" t="s">
        <v>5081</v>
      </c>
      <c r="G564" s="5" t="s">
        <v>5083</v>
      </c>
      <c r="H564" s="5" t="s">
        <v>2993</v>
      </c>
      <c r="I564" s="5">
        <v>10.99</v>
      </c>
      <c r="J564" s="6" t="str">
        <f t="shared" si="16"/>
        <v>2+</v>
      </c>
      <c r="K564" s="6">
        <f t="shared" si="17"/>
        <v>10.99</v>
      </c>
    </row>
    <row r="565" spans="1:11" x14ac:dyDescent="0.3">
      <c r="A565" s="5" t="s">
        <v>5880</v>
      </c>
      <c r="B565" s="5" t="s">
        <v>25</v>
      </c>
      <c r="C565" s="5" t="s">
        <v>5881</v>
      </c>
      <c r="D565" s="28" t="s">
        <v>2438</v>
      </c>
      <c r="E565" s="5" t="s">
        <v>55</v>
      </c>
      <c r="F565" s="5" t="s">
        <v>5083</v>
      </c>
      <c r="G565" s="5" t="s">
        <v>5070</v>
      </c>
      <c r="H565" s="5" t="s">
        <v>2435</v>
      </c>
      <c r="I565" s="5">
        <v>11.53</v>
      </c>
      <c r="J565" s="6" t="str">
        <f t="shared" si="16"/>
        <v>0</v>
      </c>
      <c r="K565" s="6">
        <f t="shared" si="17"/>
        <v>11.53</v>
      </c>
    </row>
    <row r="566" spans="1:11" x14ac:dyDescent="0.3">
      <c r="A566" s="5" t="s">
        <v>5222</v>
      </c>
      <c r="B566" s="5" t="s">
        <v>25</v>
      </c>
      <c r="C566" s="5" t="s">
        <v>5223</v>
      </c>
      <c r="D566" s="28" t="s">
        <v>2438</v>
      </c>
      <c r="E566" s="5" t="s">
        <v>55</v>
      </c>
      <c r="F566" s="5" t="s">
        <v>5076</v>
      </c>
      <c r="G566" s="5" t="s">
        <v>5081</v>
      </c>
      <c r="H566" s="5" t="s">
        <v>2477</v>
      </c>
      <c r="I566" s="5">
        <v>17.82</v>
      </c>
      <c r="J566" s="6" t="str">
        <f t="shared" si="16"/>
        <v>0</v>
      </c>
      <c r="K566" s="6">
        <f t="shared" si="17"/>
        <v>17.82</v>
      </c>
    </row>
    <row r="567" spans="1:11" x14ac:dyDescent="0.3">
      <c r="A567" s="5" t="s">
        <v>3706</v>
      </c>
      <c r="B567" s="5" t="s">
        <v>25</v>
      </c>
      <c r="C567" s="5" t="s">
        <v>5340</v>
      </c>
      <c r="D567" s="28" t="s">
        <v>2438</v>
      </c>
      <c r="E567" s="5" t="s">
        <v>55</v>
      </c>
      <c r="F567" s="5" t="s">
        <v>5081</v>
      </c>
      <c r="G567" s="5" t="s">
        <v>5081</v>
      </c>
      <c r="H567" s="5" t="s">
        <v>2408</v>
      </c>
      <c r="I567" s="5">
        <v>18.079999999999998</v>
      </c>
      <c r="J567" s="6" t="str">
        <f t="shared" si="16"/>
        <v>0</v>
      </c>
      <c r="K567" s="6">
        <f t="shared" si="17"/>
        <v>18.079999999999998</v>
      </c>
    </row>
    <row r="568" spans="1:11" x14ac:dyDescent="0.3">
      <c r="A568" s="5" t="s">
        <v>3991</v>
      </c>
      <c r="B568" s="5" t="s">
        <v>25</v>
      </c>
      <c r="C568" s="5" t="s">
        <v>5307</v>
      </c>
      <c r="D568" s="28" t="s">
        <v>2438</v>
      </c>
      <c r="E568" s="5" t="s">
        <v>55</v>
      </c>
      <c r="F568" s="5" t="s">
        <v>5071</v>
      </c>
      <c r="G568" s="5" t="s">
        <v>5083</v>
      </c>
      <c r="H568" s="5" t="s">
        <v>2412</v>
      </c>
      <c r="I568" s="5">
        <v>18.63</v>
      </c>
      <c r="J568" s="6" t="str">
        <f t="shared" si="16"/>
        <v>1</v>
      </c>
      <c r="K568" s="6">
        <f t="shared" si="17"/>
        <v>18.63</v>
      </c>
    </row>
    <row r="569" spans="1:11" x14ac:dyDescent="0.3">
      <c r="A569" s="5" t="s">
        <v>4870</v>
      </c>
      <c r="B569" s="5" t="s">
        <v>106</v>
      </c>
      <c r="C569" s="5" t="s">
        <v>5958</v>
      </c>
      <c r="D569" s="28" t="s">
        <v>2438</v>
      </c>
      <c r="E569" s="5" t="s">
        <v>55</v>
      </c>
      <c r="F569" s="5" t="s">
        <v>5073</v>
      </c>
      <c r="G569" s="5" t="s">
        <v>5070</v>
      </c>
      <c r="H569" s="5" t="s">
        <v>2477</v>
      </c>
      <c r="I569" s="5">
        <v>4.87</v>
      </c>
      <c r="J569" s="6" t="str">
        <f t="shared" si="16"/>
        <v>0</v>
      </c>
      <c r="K569" s="6">
        <f t="shared" si="17"/>
        <v>4.87</v>
      </c>
    </row>
    <row r="570" spans="1:11" x14ac:dyDescent="0.3">
      <c r="A570" s="5" t="s">
        <v>2823</v>
      </c>
      <c r="B570" s="5" t="s">
        <v>106</v>
      </c>
      <c r="C570" s="5" t="s">
        <v>5692</v>
      </c>
      <c r="D570" s="28" t="s">
        <v>2438</v>
      </c>
      <c r="E570" s="5" t="s">
        <v>55</v>
      </c>
      <c r="F570" s="5" t="s">
        <v>5083</v>
      </c>
      <c r="G570" s="5" t="s">
        <v>5081</v>
      </c>
      <c r="H570" s="5" t="s">
        <v>2746</v>
      </c>
      <c r="I570" s="5">
        <v>15.49</v>
      </c>
      <c r="J570" s="6" t="str">
        <f t="shared" si="16"/>
        <v>2</v>
      </c>
      <c r="K570" s="6">
        <f t="shared" si="17"/>
        <v>15.49</v>
      </c>
    </row>
    <row r="571" spans="1:11" x14ac:dyDescent="0.3">
      <c r="A571" s="5" t="s">
        <v>5468</v>
      </c>
      <c r="B571" s="5" t="s">
        <v>106</v>
      </c>
      <c r="C571" s="5" t="s">
        <v>5469</v>
      </c>
      <c r="D571" s="28" t="s">
        <v>2438</v>
      </c>
      <c r="E571" s="5" t="s">
        <v>55</v>
      </c>
      <c r="F571" s="5" t="s">
        <v>5081</v>
      </c>
      <c r="G571" s="5" t="s">
        <v>5076</v>
      </c>
      <c r="H571" s="5" t="s">
        <v>2408</v>
      </c>
      <c r="I571" s="5">
        <v>4.88</v>
      </c>
      <c r="J571" s="6" t="str">
        <f t="shared" si="16"/>
        <v>0</v>
      </c>
      <c r="K571" s="6">
        <f t="shared" si="17"/>
        <v>4.88</v>
      </c>
    </row>
    <row r="572" spans="1:11" x14ac:dyDescent="0.3">
      <c r="A572" s="5" t="s">
        <v>2733</v>
      </c>
      <c r="B572" s="5" t="s">
        <v>106</v>
      </c>
      <c r="C572" s="5" t="s">
        <v>5264</v>
      </c>
      <c r="D572" s="28" t="s">
        <v>2438</v>
      </c>
      <c r="E572" s="5" t="s">
        <v>55</v>
      </c>
      <c r="F572" s="5" t="s">
        <v>5083</v>
      </c>
      <c r="G572" s="5" t="s">
        <v>5076</v>
      </c>
      <c r="H572" s="5" t="s">
        <v>2477</v>
      </c>
      <c r="I572" s="5">
        <v>7.2</v>
      </c>
      <c r="J572" s="6" t="str">
        <f t="shared" si="16"/>
        <v>0</v>
      </c>
      <c r="K572" s="6">
        <f t="shared" si="17"/>
        <v>7.2</v>
      </c>
    </row>
    <row r="573" spans="1:11" x14ac:dyDescent="0.3">
      <c r="A573" s="5" t="s">
        <v>2665</v>
      </c>
      <c r="B573" s="5" t="s">
        <v>106</v>
      </c>
      <c r="C573" s="5" t="s">
        <v>5506</v>
      </c>
      <c r="D573" s="28" t="s">
        <v>2438</v>
      </c>
      <c r="E573" s="5" t="s">
        <v>55</v>
      </c>
      <c r="F573" s="5" t="s">
        <v>5073</v>
      </c>
      <c r="G573" s="5" t="s">
        <v>5083</v>
      </c>
      <c r="H573" s="5" t="s">
        <v>2423</v>
      </c>
      <c r="I573" s="5">
        <v>17.55</v>
      </c>
      <c r="J573" s="6" t="str">
        <f t="shared" si="16"/>
        <v>0</v>
      </c>
      <c r="K573" s="6">
        <f t="shared" si="17"/>
        <v>17.55</v>
      </c>
    </row>
    <row r="574" spans="1:11" x14ac:dyDescent="0.3">
      <c r="A574" s="5" t="s">
        <v>3963</v>
      </c>
      <c r="B574" s="5" t="s">
        <v>106</v>
      </c>
      <c r="C574" s="5" t="s">
        <v>5551</v>
      </c>
      <c r="D574" s="28" t="s">
        <v>2438</v>
      </c>
      <c r="E574" s="5" t="s">
        <v>55</v>
      </c>
      <c r="F574" s="5" t="s">
        <v>5076</v>
      </c>
      <c r="G574" s="5" t="s">
        <v>5081</v>
      </c>
      <c r="H574" s="5" t="s">
        <v>2477</v>
      </c>
      <c r="I574" s="5">
        <v>5.35</v>
      </c>
      <c r="J574" s="6" t="str">
        <f t="shared" si="16"/>
        <v>0</v>
      </c>
      <c r="K574" s="6">
        <f t="shared" si="17"/>
        <v>5.35</v>
      </c>
    </row>
    <row r="575" spans="1:11" x14ac:dyDescent="0.3">
      <c r="A575" s="5" t="s">
        <v>4550</v>
      </c>
      <c r="B575" s="5" t="s">
        <v>106</v>
      </c>
      <c r="C575" s="5" t="s">
        <v>5214</v>
      </c>
      <c r="D575" s="28" t="s">
        <v>2438</v>
      </c>
      <c r="E575" s="5" t="s">
        <v>55</v>
      </c>
      <c r="F575" s="5" t="s">
        <v>5076</v>
      </c>
      <c r="G575" s="5" t="s">
        <v>5071</v>
      </c>
      <c r="H575" s="5" t="s">
        <v>2428</v>
      </c>
      <c r="I575" s="5">
        <v>4.84</v>
      </c>
      <c r="J575" s="6" t="str">
        <f t="shared" si="16"/>
        <v>2</v>
      </c>
      <c r="K575" s="6">
        <f t="shared" si="17"/>
        <v>4.84</v>
      </c>
    </row>
    <row r="576" spans="1:11" x14ac:dyDescent="0.3">
      <c r="A576" s="5" t="s">
        <v>5277</v>
      </c>
      <c r="B576" s="5" t="s">
        <v>106</v>
      </c>
      <c r="C576" s="5" t="s">
        <v>5278</v>
      </c>
      <c r="D576" s="28" t="s">
        <v>2438</v>
      </c>
      <c r="E576" s="5" t="s">
        <v>55</v>
      </c>
      <c r="F576" s="5" t="s">
        <v>5076</v>
      </c>
      <c r="G576" s="5" t="s">
        <v>5083</v>
      </c>
      <c r="H576" s="5" t="s">
        <v>2423</v>
      </c>
      <c r="I576" s="5">
        <v>17.38</v>
      </c>
      <c r="J576" s="6" t="str">
        <f t="shared" si="16"/>
        <v>0</v>
      </c>
      <c r="K576" s="6">
        <f t="shared" si="17"/>
        <v>17.38</v>
      </c>
    </row>
    <row r="577" spans="1:11" x14ac:dyDescent="0.3">
      <c r="A577" s="5" t="s">
        <v>3845</v>
      </c>
      <c r="B577" s="5" t="s">
        <v>106</v>
      </c>
      <c r="C577" s="5" t="s">
        <v>5537</v>
      </c>
      <c r="D577" s="28" t="s">
        <v>2438</v>
      </c>
      <c r="E577" s="5" t="s">
        <v>55</v>
      </c>
      <c r="F577" s="5" t="s">
        <v>5070</v>
      </c>
      <c r="G577" s="5" t="s">
        <v>5076</v>
      </c>
      <c r="H577" s="5" t="s">
        <v>2505</v>
      </c>
      <c r="I577" s="5">
        <v>6.18</v>
      </c>
      <c r="J577" s="6" t="str">
        <f t="shared" si="16"/>
        <v>2+</v>
      </c>
      <c r="K577" s="6">
        <f t="shared" si="17"/>
        <v>6.18</v>
      </c>
    </row>
    <row r="578" spans="1:11" x14ac:dyDescent="0.3">
      <c r="A578" s="5" t="s">
        <v>3993</v>
      </c>
      <c r="B578" s="5" t="s">
        <v>106</v>
      </c>
      <c r="C578" s="5" t="s">
        <v>6316</v>
      </c>
      <c r="D578" s="28" t="s">
        <v>2438</v>
      </c>
      <c r="E578" s="5" t="s">
        <v>55</v>
      </c>
      <c r="F578" s="5" t="s">
        <v>5083</v>
      </c>
      <c r="G578" s="5" t="s">
        <v>5070</v>
      </c>
      <c r="H578" s="5" t="s">
        <v>2423</v>
      </c>
      <c r="I578" s="5">
        <v>9.08</v>
      </c>
      <c r="J578" s="6" t="str">
        <f t="shared" ref="J578:J641" si="18">IF(OR(LOWER(TRIM(H578))="0",LOWER(TRIM(H578))="ZERO"),"0",IF(OR(LOWER(TRIM(H578))="1",LOWER(TRIM(H578))="one"),"1",IF(OR(LOWER(TRIM(H578))="2",LOWER(TRIM(H578))="two"),"2",IF(OR(LOWER(TRIM(H578))="2+",LOWER(TRIM(H578))="two_or_more",LOWER(TRIM(H578))="multiple"),"2+","Unknown"))))</f>
        <v>0</v>
      </c>
      <c r="K578" s="6">
        <f t="shared" si="17"/>
        <v>9.08</v>
      </c>
    </row>
    <row r="579" spans="1:11" x14ac:dyDescent="0.3">
      <c r="A579" s="5" t="s">
        <v>5087</v>
      </c>
      <c r="B579" s="5" t="s">
        <v>78</v>
      </c>
      <c r="C579" s="5" t="s">
        <v>5088</v>
      </c>
      <c r="D579" s="28" t="s">
        <v>2427</v>
      </c>
      <c r="E579" s="5" t="s">
        <v>55</v>
      </c>
      <c r="F579" s="5" t="s">
        <v>5070</v>
      </c>
      <c r="G579" s="5" t="s">
        <v>5070</v>
      </c>
      <c r="H579" s="5"/>
      <c r="I579" s="5">
        <v>13.19</v>
      </c>
      <c r="J579" s="6" t="str">
        <f t="shared" si="18"/>
        <v>Unknown</v>
      </c>
      <c r="K579" s="6">
        <f t="shared" ref="K579:K642" si="19">IF(I579="",ROUND(AVERAGEIF($B$2:$B$1000,B579,$I$2:$I$1000),1),I579)</f>
        <v>13.19</v>
      </c>
    </row>
    <row r="580" spans="1:11" x14ac:dyDescent="0.3">
      <c r="A580" s="5" t="s">
        <v>6397</v>
      </c>
      <c r="B580" s="5" t="s">
        <v>78</v>
      </c>
      <c r="C580" s="5" t="s">
        <v>6398</v>
      </c>
      <c r="D580" s="28" t="s">
        <v>2427</v>
      </c>
      <c r="E580" s="5" t="s">
        <v>55</v>
      </c>
      <c r="F580" s="5" t="s">
        <v>5071</v>
      </c>
      <c r="G580" s="5" t="s">
        <v>5070</v>
      </c>
      <c r="H580" s="5" t="s">
        <v>2505</v>
      </c>
      <c r="I580" s="5">
        <v>10.75</v>
      </c>
      <c r="J580" s="6" t="str">
        <f t="shared" si="18"/>
        <v>2+</v>
      </c>
      <c r="K580" s="6">
        <f t="shared" si="19"/>
        <v>10.75</v>
      </c>
    </row>
    <row r="581" spans="1:11" x14ac:dyDescent="0.3">
      <c r="A581" s="5" t="s">
        <v>6379</v>
      </c>
      <c r="B581" s="5" t="s">
        <v>78</v>
      </c>
      <c r="C581" s="5" t="s">
        <v>6380</v>
      </c>
      <c r="D581" s="28" t="s">
        <v>2427</v>
      </c>
      <c r="E581" s="5" t="s">
        <v>55</v>
      </c>
      <c r="F581" s="5" t="s">
        <v>5076</v>
      </c>
      <c r="G581" s="5" t="s">
        <v>5081</v>
      </c>
      <c r="H581" s="5" t="s">
        <v>2423</v>
      </c>
      <c r="I581" s="5">
        <v>8.48</v>
      </c>
      <c r="J581" s="6" t="str">
        <f t="shared" si="18"/>
        <v>0</v>
      </c>
      <c r="K581" s="6">
        <f t="shared" si="19"/>
        <v>8.48</v>
      </c>
    </row>
    <row r="582" spans="1:11" x14ac:dyDescent="0.3">
      <c r="A582" s="5" t="s">
        <v>5853</v>
      </c>
      <c r="B582" s="5" t="s">
        <v>45</v>
      </c>
      <c r="C582" s="5" t="s">
        <v>5427</v>
      </c>
      <c r="D582" s="28" t="s">
        <v>2427</v>
      </c>
      <c r="E582" s="5" t="s">
        <v>55</v>
      </c>
      <c r="F582" s="5" t="s">
        <v>5076</v>
      </c>
      <c r="G582" s="5" t="s">
        <v>5071</v>
      </c>
      <c r="H582" s="5" t="s">
        <v>2505</v>
      </c>
      <c r="I582" s="5">
        <v>4.01</v>
      </c>
      <c r="J582" s="6" t="str">
        <f t="shared" si="18"/>
        <v>2+</v>
      </c>
      <c r="K582" s="6">
        <f t="shared" si="19"/>
        <v>4.01</v>
      </c>
    </row>
    <row r="583" spans="1:11" x14ac:dyDescent="0.3">
      <c r="A583" s="5" t="s">
        <v>4602</v>
      </c>
      <c r="B583" s="5" t="s">
        <v>45</v>
      </c>
      <c r="C583" s="5" t="s">
        <v>6480</v>
      </c>
      <c r="D583" s="28" t="s">
        <v>2427</v>
      </c>
      <c r="E583" s="5" t="s">
        <v>55</v>
      </c>
      <c r="F583" s="5" t="s">
        <v>5073</v>
      </c>
      <c r="G583" s="5" t="s">
        <v>5071</v>
      </c>
      <c r="H583" s="5" t="s">
        <v>2423</v>
      </c>
      <c r="I583" s="5">
        <v>6.09</v>
      </c>
      <c r="J583" s="6" t="str">
        <f t="shared" si="18"/>
        <v>0</v>
      </c>
      <c r="K583" s="6">
        <f t="shared" si="19"/>
        <v>6.09</v>
      </c>
    </row>
    <row r="584" spans="1:11" x14ac:dyDescent="0.3">
      <c r="A584" s="5" t="s">
        <v>2752</v>
      </c>
      <c r="B584" s="5" t="s">
        <v>45</v>
      </c>
      <c r="C584" s="5" t="s">
        <v>5393</v>
      </c>
      <c r="D584" s="28" t="s">
        <v>2427</v>
      </c>
      <c r="E584" s="5" t="s">
        <v>55</v>
      </c>
      <c r="F584" s="5" t="s">
        <v>5076</v>
      </c>
      <c r="G584" s="5" t="s">
        <v>5076</v>
      </c>
      <c r="H584" s="5"/>
      <c r="I584" s="5">
        <v>4.84</v>
      </c>
      <c r="J584" s="6" t="str">
        <f t="shared" si="18"/>
        <v>Unknown</v>
      </c>
      <c r="K584" s="6">
        <f t="shared" si="19"/>
        <v>4.84</v>
      </c>
    </row>
    <row r="585" spans="1:11" x14ac:dyDescent="0.3">
      <c r="A585" s="5" t="s">
        <v>3988</v>
      </c>
      <c r="B585" s="5" t="s">
        <v>45</v>
      </c>
      <c r="C585" s="5" t="s">
        <v>6249</v>
      </c>
      <c r="D585" s="28" t="s">
        <v>2427</v>
      </c>
      <c r="E585" s="5" t="s">
        <v>55</v>
      </c>
      <c r="F585" s="5" t="s">
        <v>5070</v>
      </c>
      <c r="G585" s="5" t="s">
        <v>5070</v>
      </c>
      <c r="H585" s="5" t="s">
        <v>2418</v>
      </c>
      <c r="I585" s="5">
        <v>1.03</v>
      </c>
      <c r="J585" s="6" t="str">
        <f t="shared" si="18"/>
        <v>1</v>
      </c>
      <c r="K585" s="6">
        <f t="shared" si="19"/>
        <v>1.03</v>
      </c>
    </row>
    <row r="586" spans="1:11" x14ac:dyDescent="0.3">
      <c r="A586" s="5" t="s">
        <v>3581</v>
      </c>
      <c r="B586" s="5" t="s">
        <v>45</v>
      </c>
      <c r="C586" s="5" t="s">
        <v>6251</v>
      </c>
      <c r="D586" s="28" t="s">
        <v>2427</v>
      </c>
      <c r="E586" s="5" t="s">
        <v>55</v>
      </c>
      <c r="F586" s="5" t="s">
        <v>5081</v>
      </c>
      <c r="G586" s="5" t="s">
        <v>5083</v>
      </c>
      <c r="H586" s="5" t="s">
        <v>2418</v>
      </c>
      <c r="I586" s="5">
        <v>17.87</v>
      </c>
      <c r="J586" s="6" t="str">
        <f t="shared" si="18"/>
        <v>1</v>
      </c>
      <c r="K586" s="6">
        <f t="shared" si="19"/>
        <v>17.87</v>
      </c>
    </row>
    <row r="587" spans="1:11" x14ac:dyDescent="0.3">
      <c r="A587" s="5" t="s">
        <v>3315</v>
      </c>
      <c r="B587" s="5" t="s">
        <v>45</v>
      </c>
      <c r="C587" s="5" t="s">
        <v>5457</v>
      </c>
      <c r="D587" s="28" t="s">
        <v>2427</v>
      </c>
      <c r="E587" s="5" t="s">
        <v>55</v>
      </c>
      <c r="F587" s="5" t="s">
        <v>5076</v>
      </c>
      <c r="G587" s="5" t="s">
        <v>5073</v>
      </c>
      <c r="H587" s="5" t="s">
        <v>2477</v>
      </c>
      <c r="I587" s="5">
        <v>5.98</v>
      </c>
      <c r="J587" s="6" t="str">
        <f t="shared" si="18"/>
        <v>0</v>
      </c>
      <c r="K587" s="6">
        <f t="shared" si="19"/>
        <v>5.98</v>
      </c>
    </row>
    <row r="588" spans="1:11" x14ac:dyDescent="0.3">
      <c r="A588" s="5" t="s">
        <v>5713</v>
      </c>
      <c r="B588" s="5" t="s">
        <v>45</v>
      </c>
      <c r="C588" s="5" t="s">
        <v>5714</v>
      </c>
      <c r="D588" s="28" t="s">
        <v>2427</v>
      </c>
      <c r="E588" s="5" t="s">
        <v>55</v>
      </c>
      <c r="F588" s="5" t="s">
        <v>5070</v>
      </c>
      <c r="G588" s="5" t="s">
        <v>5073</v>
      </c>
      <c r="H588" s="5" t="s">
        <v>2428</v>
      </c>
      <c r="I588" s="5">
        <v>9.76</v>
      </c>
      <c r="J588" s="6" t="str">
        <f t="shared" si="18"/>
        <v>2</v>
      </c>
      <c r="K588" s="6">
        <f t="shared" si="19"/>
        <v>9.76</v>
      </c>
    </row>
    <row r="589" spans="1:11" x14ac:dyDescent="0.3">
      <c r="A589" s="5" t="s">
        <v>3538</v>
      </c>
      <c r="B589" s="5" t="s">
        <v>14</v>
      </c>
      <c r="C589" s="5" t="s">
        <v>5609</v>
      </c>
      <c r="D589" s="28" t="s">
        <v>2427</v>
      </c>
      <c r="E589" s="5" t="s">
        <v>55</v>
      </c>
      <c r="F589" s="5" t="s">
        <v>5073</v>
      </c>
      <c r="G589" s="5" t="s">
        <v>5083</v>
      </c>
      <c r="H589" s="5" t="s">
        <v>2408</v>
      </c>
      <c r="I589" s="5">
        <v>6.42</v>
      </c>
      <c r="J589" s="6" t="str">
        <f t="shared" si="18"/>
        <v>0</v>
      </c>
      <c r="K589" s="6">
        <f t="shared" si="19"/>
        <v>6.42</v>
      </c>
    </row>
    <row r="590" spans="1:11" x14ac:dyDescent="0.3">
      <c r="A590" s="5" t="s">
        <v>4006</v>
      </c>
      <c r="B590" s="5" t="s">
        <v>14</v>
      </c>
      <c r="C590" s="5" t="s">
        <v>5627</v>
      </c>
      <c r="D590" s="28" t="s">
        <v>2427</v>
      </c>
      <c r="E590" s="5" t="s">
        <v>55</v>
      </c>
      <c r="F590" s="5" t="s">
        <v>5073</v>
      </c>
      <c r="G590" s="5" t="s">
        <v>5081</v>
      </c>
      <c r="H590" s="5" t="s">
        <v>2435</v>
      </c>
      <c r="I590" s="5">
        <v>13.41</v>
      </c>
      <c r="J590" s="6" t="str">
        <f t="shared" si="18"/>
        <v>0</v>
      </c>
      <c r="K590" s="6">
        <f t="shared" si="19"/>
        <v>13.41</v>
      </c>
    </row>
    <row r="591" spans="1:11" x14ac:dyDescent="0.3">
      <c r="A591" s="5" t="s">
        <v>4138</v>
      </c>
      <c r="B591" s="5" t="s">
        <v>14</v>
      </c>
      <c r="C591" s="5" t="s">
        <v>6223</v>
      </c>
      <c r="D591" s="28" t="s">
        <v>2427</v>
      </c>
      <c r="E591" s="5" t="s">
        <v>55</v>
      </c>
      <c r="F591" s="5" t="s">
        <v>5083</v>
      </c>
      <c r="G591" s="5" t="s">
        <v>5073</v>
      </c>
      <c r="H591" s="5" t="s">
        <v>2423</v>
      </c>
      <c r="I591" s="5">
        <v>13.65</v>
      </c>
      <c r="J591" s="6" t="str">
        <f t="shared" si="18"/>
        <v>0</v>
      </c>
      <c r="K591" s="6">
        <f t="shared" si="19"/>
        <v>13.65</v>
      </c>
    </row>
    <row r="592" spans="1:11" x14ac:dyDescent="0.3">
      <c r="A592" s="5" t="s">
        <v>3833</v>
      </c>
      <c r="B592" s="5" t="s">
        <v>117</v>
      </c>
      <c r="C592" s="5" t="s">
        <v>6369</v>
      </c>
      <c r="D592" s="28" t="s">
        <v>2427</v>
      </c>
      <c r="E592" s="5" t="s">
        <v>55</v>
      </c>
      <c r="F592" s="5" t="s">
        <v>5083</v>
      </c>
      <c r="G592" s="5" t="s">
        <v>5081</v>
      </c>
      <c r="H592" s="5" t="s">
        <v>2746</v>
      </c>
      <c r="I592" s="5">
        <v>19.18</v>
      </c>
      <c r="J592" s="6" t="str">
        <f t="shared" si="18"/>
        <v>2</v>
      </c>
      <c r="K592" s="6">
        <f t="shared" si="19"/>
        <v>19.18</v>
      </c>
    </row>
    <row r="593" spans="1:11" x14ac:dyDescent="0.3">
      <c r="A593" s="5" t="s">
        <v>5544</v>
      </c>
      <c r="B593" s="5" t="s">
        <v>117</v>
      </c>
      <c r="C593" s="5" t="s">
        <v>5545</v>
      </c>
      <c r="D593" s="28" t="s">
        <v>2427</v>
      </c>
      <c r="E593" s="5" t="s">
        <v>55</v>
      </c>
      <c r="F593" s="5" t="s">
        <v>5076</v>
      </c>
      <c r="G593" s="5" t="s">
        <v>5071</v>
      </c>
      <c r="H593" s="5" t="s">
        <v>2423</v>
      </c>
      <c r="I593" s="5">
        <v>13.11</v>
      </c>
      <c r="J593" s="6" t="str">
        <f t="shared" si="18"/>
        <v>0</v>
      </c>
      <c r="K593" s="6">
        <f t="shared" si="19"/>
        <v>13.11</v>
      </c>
    </row>
    <row r="594" spans="1:11" x14ac:dyDescent="0.3">
      <c r="A594" s="5" t="s">
        <v>4061</v>
      </c>
      <c r="B594" s="5" t="s">
        <v>117</v>
      </c>
      <c r="C594" s="5" t="s">
        <v>5806</v>
      </c>
      <c r="D594" s="28" t="s">
        <v>2427</v>
      </c>
      <c r="E594" s="5" t="s">
        <v>55</v>
      </c>
      <c r="F594" s="5" t="s">
        <v>5073</v>
      </c>
      <c r="G594" s="5" t="s">
        <v>5073</v>
      </c>
      <c r="H594" s="5" t="s">
        <v>2439</v>
      </c>
      <c r="I594" s="5">
        <v>7.17</v>
      </c>
      <c r="J594" s="6" t="str">
        <f t="shared" si="18"/>
        <v>2</v>
      </c>
      <c r="K594" s="6">
        <f t="shared" si="19"/>
        <v>7.17</v>
      </c>
    </row>
    <row r="595" spans="1:11" x14ac:dyDescent="0.3">
      <c r="A595" s="5" t="s">
        <v>4846</v>
      </c>
      <c r="B595" s="5" t="s">
        <v>117</v>
      </c>
      <c r="C595" s="5" t="s">
        <v>5793</v>
      </c>
      <c r="D595" s="28" t="s">
        <v>2427</v>
      </c>
      <c r="E595" s="5" t="s">
        <v>55</v>
      </c>
      <c r="F595" s="5" t="s">
        <v>5071</v>
      </c>
      <c r="G595" s="5" t="s">
        <v>5076</v>
      </c>
      <c r="H595" s="5" t="s">
        <v>2477</v>
      </c>
      <c r="I595" s="5">
        <v>3.47</v>
      </c>
      <c r="J595" s="6" t="str">
        <f t="shared" si="18"/>
        <v>0</v>
      </c>
      <c r="K595" s="6">
        <f t="shared" si="19"/>
        <v>3.47</v>
      </c>
    </row>
    <row r="596" spans="1:11" x14ac:dyDescent="0.3">
      <c r="A596" s="5" t="s">
        <v>2847</v>
      </c>
      <c r="B596" s="5" t="s">
        <v>117</v>
      </c>
      <c r="C596" s="5" t="s">
        <v>6227</v>
      </c>
      <c r="D596" s="28" t="s">
        <v>2427</v>
      </c>
      <c r="E596" s="5" t="s">
        <v>55</v>
      </c>
      <c r="F596" s="5" t="s">
        <v>5070</v>
      </c>
      <c r="G596" s="5" t="s">
        <v>5081</v>
      </c>
      <c r="H596" s="5" t="s">
        <v>2439</v>
      </c>
      <c r="I596" s="5">
        <v>18.78</v>
      </c>
      <c r="J596" s="6" t="str">
        <f t="shared" si="18"/>
        <v>2</v>
      </c>
      <c r="K596" s="6">
        <f t="shared" si="19"/>
        <v>18.78</v>
      </c>
    </row>
    <row r="597" spans="1:11" x14ac:dyDescent="0.3">
      <c r="A597" s="5" t="s">
        <v>2789</v>
      </c>
      <c r="B597" s="5" t="s">
        <v>117</v>
      </c>
      <c r="C597" s="5" t="s">
        <v>5690</v>
      </c>
      <c r="D597" s="28" t="s">
        <v>2427</v>
      </c>
      <c r="E597" s="5" t="s">
        <v>55</v>
      </c>
      <c r="F597" s="5" t="s">
        <v>5071</v>
      </c>
      <c r="G597" s="5" t="s">
        <v>5083</v>
      </c>
      <c r="H597" s="5" t="s">
        <v>2455</v>
      </c>
      <c r="I597" s="5">
        <v>14.65</v>
      </c>
      <c r="J597" s="6" t="str">
        <f t="shared" si="18"/>
        <v>1</v>
      </c>
      <c r="K597" s="6">
        <f t="shared" si="19"/>
        <v>14.65</v>
      </c>
    </row>
    <row r="598" spans="1:11" x14ac:dyDescent="0.3">
      <c r="A598" s="5" t="s">
        <v>6534</v>
      </c>
      <c r="B598" s="5" t="s">
        <v>117</v>
      </c>
      <c r="C598" s="5" t="s">
        <v>6535</v>
      </c>
      <c r="D598" s="28" t="s">
        <v>2427</v>
      </c>
      <c r="E598" s="5" t="s">
        <v>55</v>
      </c>
      <c r="F598" s="5" t="s">
        <v>5070</v>
      </c>
      <c r="G598" s="5" t="s">
        <v>5071</v>
      </c>
      <c r="H598" s="5" t="s">
        <v>2450</v>
      </c>
      <c r="I598" s="5">
        <v>14.05</v>
      </c>
      <c r="J598" s="6" t="str">
        <f t="shared" si="18"/>
        <v>1</v>
      </c>
      <c r="K598" s="6">
        <f t="shared" si="19"/>
        <v>14.05</v>
      </c>
    </row>
    <row r="599" spans="1:11" x14ac:dyDescent="0.3">
      <c r="A599" s="5" t="s">
        <v>2964</v>
      </c>
      <c r="B599" s="5" t="s">
        <v>117</v>
      </c>
      <c r="C599" s="5" t="s">
        <v>6430</v>
      </c>
      <c r="D599" s="28" t="s">
        <v>2427</v>
      </c>
      <c r="E599" s="5" t="s">
        <v>55</v>
      </c>
      <c r="F599" s="5" t="s">
        <v>5081</v>
      </c>
      <c r="G599" s="5" t="s">
        <v>5076</v>
      </c>
      <c r="H599" s="5" t="s">
        <v>2408</v>
      </c>
      <c r="I599" s="5">
        <v>18.88</v>
      </c>
      <c r="J599" s="6" t="str">
        <f t="shared" si="18"/>
        <v>0</v>
      </c>
      <c r="K599" s="6">
        <f t="shared" si="19"/>
        <v>18.88</v>
      </c>
    </row>
    <row r="600" spans="1:11" x14ac:dyDescent="0.3">
      <c r="A600" s="5" t="s">
        <v>6273</v>
      </c>
      <c r="B600" s="5" t="s">
        <v>117</v>
      </c>
      <c r="C600" s="5" t="s">
        <v>6274</v>
      </c>
      <c r="D600" s="28" t="s">
        <v>2427</v>
      </c>
      <c r="E600" s="5" t="s">
        <v>55</v>
      </c>
      <c r="F600" s="5" t="s">
        <v>5073</v>
      </c>
      <c r="G600" s="5" t="s">
        <v>5083</v>
      </c>
      <c r="H600" s="5" t="s">
        <v>2450</v>
      </c>
      <c r="I600" s="5">
        <v>17.149999999999999</v>
      </c>
      <c r="J600" s="6" t="str">
        <f t="shared" si="18"/>
        <v>1</v>
      </c>
      <c r="K600" s="6">
        <f t="shared" si="19"/>
        <v>17.149999999999999</v>
      </c>
    </row>
    <row r="601" spans="1:11" x14ac:dyDescent="0.3">
      <c r="A601" s="5" t="s">
        <v>2426</v>
      </c>
      <c r="B601" s="5" t="s">
        <v>25</v>
      </c>
      <c r="C601" s="5" t="s">
        <v>5559</v>
      </c>
      <c r="D601" s="28" t="s">
        <v>2427</v>
      </c>
      <c r="E601" s="5" t="s">
        <v>55</v>
      </c>
      <c r="F601" s="5" t="s">
        <v>5073</v>
      </c>
      <c r="G601" s="5" t="s">
        <v>5070</v>
      </c>
      <c r="H601" s="5" t="s">
        <v>2418</v>
      </c>
      <c r="I601" s="5">
        <v>7.53</v>
      </c>
      <c r="J601" s="6" t="str">
        <f t="shared" si="18"/>
        <v>1</v>
      </c>
      <c r="K601" s="6">
        <f t="shared" si="19"/>
        <v>7.53</v>
      </c>
    </row>
    <row r="602" spans="1:11" x14ac:dyDescent="0.3">
      <c r="A602" s="5" t="s">
        <v>3758</v>
      </c>
      <c r="B602" s="5" t="s">
        <v>25</v>
      </c>
      <c r="C602" s="5" t="s">
        <v>6407</v>
      </c>
      <c r="D602" s="28" t="s">
        <v>2427</v>
      </c>
      <c r="E602" s="5" t="s">
        <v>55</v>
      </c>
      <c r="F602" s="5" t="s">
        <v>5076</v>
      </c>
      <c r="G602" s="5" t="s">
        <v>5083</v>
      </c>
      <c r="H602" s="5" t="s">
        <v>2408</v>
      </c>
      <c r="I602" s="5"/>
      <c r="J602" s="6" t="str">
        <f t="shared" si="18"/>
        <v>0</v>
      </c>
      <c r="K602" s="6">
        <f t="shared" si="19"/>
        <v>10</v>
      </c>
    </row>
    <row r="603" spans="1:11" x14ac:dyDescent="0.3">
      <c r="A603" s="5" t="s">
        <v>5883</v>
      </c>
      <c r="B603" s="5" t="s">
        <v>25</v>
      </c>
      <c r="C603" s="5" t="s">
        <v>5884</v>
      </c>
      <c r="D603" s="28" t="s">
        <v>2427</v>
      </c>
      <c r="E603" s="5" t="s">
        <v>55</v>
      </c>
      <c r="F603" s="5" t="s">
        <v>5076</v>
      </c>
      <c r="G603" s="5" t="s">
        <v>5073</v>
      </c>
      <c r="H603" s="5" t="s">
        <v>2505</v>
      </c>
      <c r="I603" s="5">
        <v>4.75</v>
      </c>
      <c r="J603" s="6" t="str">
        <f t="shared" si="18"/>
        <v>2+</v>
      </c>
      <c r="K603" s="6">
        <f t="shared" si="19"/>
        <v>4.75</v>
      </c>
    </row>
    <row r="604" spans="1:11" x14ac:dyDescent="0.3">
      <c r="A604" s="5" t="s">
        <v>5129</v>
      </c>
      <c r="B604" s="5" t="s">
        <v>25</v>
      </c>
      <c r="C604" s="5" t="s">
        <v>5130</v>
      </c>
      <c r="D604" s="28" t="s">
        <v>2427</v>
      </c>
      <c r="E604" s="5" t="s">
        <v>55</v>
      </c>
      <c r="F604" s="5" t="s">
        <v>5076</v>
      </c>
      <c r="G604" s="5" t="s">
        <v>5073</v>
      </c>
      <c r="H604" s="5"/>
      <c r="I604" s="5">
        <v>5.36</v>
      </c>
      <c r="J604" s="6" t="str">
        <f t="shared" si="18"/>
        <v>Unknown</v>
      </c>
      <c r="K604" s="6">
        <f t="shared" si="19"/>
        <v>5.36</v>
      </c>
    </row>
    <row r="605" spans="1:11" x14ac:dyDescent="0.3">
      <c r="A605" s="5" t="s">
        <v>2940</v>
      </c>
      <c r="B605" s="5" t="s">
        <v>106</v>
      </c>
      <c r="C605" s="5" t="s">
        <v>5986</v>
      </c>
      <c r="D605" s="28" t="s">
        <v>2427</v>
      </c>
      <c r="E605" s="5" t="s">
        <v>55</v>
      </c>
      <c r="F605" s="5" t="s">
        <v>5076</v>
      </c>
      <c r="G605" s="5" t="s">
        <v>5083</v>
      </c>
      <c r="H605" s="5" t="s">
        <v>2450</v>
      </c>
      <c r="I605" s="5">
        <v>9.56</v>
      </c>
      <c r="J605" s="6" t="str">
        <f t="shared" si="18"/>
        <v>1</v>
      </c>
      <c r="K605" s="6">
        <f t="shared" si="19"/>
        <v>9.56</v>
      </c>
    </row>
    <row r="606" spans="1:11" x14ac:dyDescent="0.3">
      <c r="A606" s="5" t="s">
        <v>6370</v>
      </c>
      <c r="B606" s="5" t="s">
        <v>106</v>
      </c>
      <c r="C606" s="5" t="s">
        <v>6371</v>
      </c>
      <c r="D606" s="28" t="s">
        <v>2427</v>
      </c>
      <c r="E606" s="5" t="s">
        <v>55</v>
      </c>
      <c r="F606" s="5" t="s">
        <v>5071</v>
      </c>
      <c r="G606" s="5" t="s">
        <v>5070</v>
      </c>
      <c r="H606" s="5"/>
      <c r="I606" s="5">
        <v>15.63</v>
      </c>
      <c r="J606" s="6" t="str">
        <f t="shared" si="18"/>
        <v>Unknown</v>
      </c>
      <c r="K606" s="6">
        <f t="shared" si="19"/>
        <v>15.63</v>
      </c>
    </row>
    <row r="607" spans="1:11" x14ac:dyDescent="0.3">
      <c r="A607" s="5" t="s">
        <v>6018</v>
      </c>
      <c r="B607" s="5" t="s">
        <v>106</v>
      </c>
      <c r="C607" s="5" t="s">
        <v>6019</v>
      </c>
      <c r="D607" s="28" t="s">
        <v>2427</v>
      </c>
      <c r="E607" s="5" t="s">
        <v>55</v>
      </c>
      <c r="F607" s="5" t="s">
        <v>5071</v>
      </c>
      <c r="G607" s="5" t="s">
        <v>5081</v>
      </c>
      <c r="H607" s="5" t="s">
        <v>2455</v>
      </c>
      <c r="I607" s="5">
        <v>1.19</v>
      </c>
      <c r="J607" s="6" t="str">
        <f t="shared" si="18"/>
        <v>1</v>
      </c>
      <c r="K607" s="6">
        <f t="shared" si="19"/>
        <v>1.19</v>
      </c>
    </row>
    <row r="608" spans="1:11" x14ac:dyDescent="0.3">
      <c r="A608" s="5" t="s">
        <v>4106</v>
      </c>
      <c r="B608" s="5" t="s">
        <v>106</v>
      </c>
      <c r="C608" s="5" t="s">
        <v>6465</v>
      </c>
      <c r="D608" s="28" t="s">
        <v>2427</v>
      </c>
      <c r="E608" s="5" t="s">
        <v>55</v>
      </c>
      <c r="F608" s="5" t="s">
        <v>5073</v>
      </c>
      <c r="G608" s="5" t="s">
        <v>5073</v>
      </c>
      <c r="H608" s="5" t="s">
        <v>2477</v>
      </c>
      <c r="I608" s="5">
        <v>8.26</v>
      </c>
      <c r="J608" s="6" t="str">
        <f t="shared" si="18"/>
        <v>0</v>
      </c>
      <c r="K608" s="6">
        <f t="shared" si="19"/>
        <v>8.26</v>
      </c>
    </row>
    <row r="609" spans="1:11" x14ac:dyDescent="0.3">
      <c r="A609" s="5" t="s">
        <v>6527</v>
      </c>
      <c r="B609" s="5" t="s">
        <v>106</v>
      </c>
      <c r="C609" s="5" t="s">
        <v>6528</v>
      </c>
      <c r="D609" s="28" t="s">
        <v>2427</v>
      </c>
      <c r="E609" s="5" t="s">
        <v>55</v>
      </c>
      <c r="F609" s="5" t="s">
        <v>5081</v>
      </c>
      <c r="G609" s="5" t="s">
        <v>5071</v>
      </c>
      <c r="H609" s="5" t="s">
        <v>2477</v>
      </c>
      <c r="I609" s="5">
        <v>4.3</v>
      </c>
      <c r="J609" s="6" t="str">
        <f t="shared" si="18"/>
        <v>0</v>
      </c>
      <c r="K609" s="6">
        <f t="shared" si="19"/>
        <v>4.3</v>
      </c>
    </row>
    <row r="610" spans="1:11" x14ac:dyDescent="0.3">
      <c r="A610" s="5" t="s">
        <v>5803</v>
      </c>
      <c r="B610" s="5" t="s">
        <v>106</v>
      </c>
      <c r="C610" s="5" t="s">
        <v>5804</v>
      </c>
      <c r="D610" s="28" t="s">
        <v>2427</v>
      </c>
      <c r="E610" s="5" t="s">
        <v>55</v>
      </c>
      <c r="F610" s="5" t="s">
        <v>5073</v>
      </c>
      <c r="G610" s="5" t="s">
        <v>5083</v>
      </c>
      <c r="H610" s="5" t="s">
        <v>2412</v>
      </c>
      <c r="I610" s="5">
        <v>14.9</v>
      </c>
      <c r="J610" s="6" t="str">
        <f t="shared" si="18"/>
        <v>1</v>
      </c>
      <c r="K610" s="6">
        <f t="shared" si="19"/>
        <v>14.9</v>
      </c>
    </row>
    <row r="611" spans="1:11" x14ac:dyDescent="0.3">
      <c r="A611" s="5" t="s">
        <v>4584</v>
      </c>
      <c r="B611" s="5" t="s">
        <v>106</v>
      </c>
      <c r="C611" s="5" t="s">
        <v>5732</v>
      </c>
      <c r="D611" s="28" t="s">
        <v>2427</v>
      </c>
      <c r="E611" s="5" t="s">
        <v>55</v>
      </c>
      <c r="F611" s="5" t="s">
        <v>5081</v>
      </c>
      <c r="G611" s="5" t="s">
        <v>5076</v>
      </c>
      <c r="H611" s="5" t="s">
        <v>2450</v>
      </c>
      <c r="I611" s="5">
        <v>6.15</v>
      </c>
      <c r="J611" s="6" t="str">
        <f t="shared" si="18"/>
        <v>1</v>
      </c>
      <c r="K611" s="6">
        <f t="shared" si="19"/>
        <v>6.15</v>
      </c>
    </row>
    <row r="612" spans="1:11" x14ac:dyDescent="0.3">
      <c r="A612" s="5" t="s">
        <v>2861</v>
      </c>
      <c r="B612" s="5" t="s">
        <v>106</v>
      </c>
      <c r="C612" s="5" t="s">
        <v>5113</v>
      </c>
      <c r="D612" s="28" t="s">
        <v>2427</v>
      </c>
      <c r="E612" s="5" t="s">
        <v>55</v>
      </c>
      <c r="F612" s="5" t="s">
        <v>5071</v>
      </c>
      <c r="G612" s="5" t="s">
        <v>5071</v>
      </c>
      <c r="H612" s="5" t="s">
        <v>2746</v>
      </c>
      <c r="I612" s="5">
        <v>18.09</v>
      </c>
      <c r="J612" s="6" t="str">
        <f t="shared" si="18"/>
        <v>2</v>
      </c>
      <c r="K612" s="6">
        <f t="shared" si="19"/>
        <v>18.09</v>
      </c>
    </row>
    <row r="613" spans="1:11" x14ac:dyDescent="0.3">
      <c r="A613" s="5" t="s">
        <v>3359</v>
      </c>
      <c r="B613" s="5" t="s">
        <v>78</v>
      </c>
      <c r="C613" s="5" t="s">
        <v>6110</v>
      </c>
      <c r="D613" s="28" t="s">
        <v>2485</v>
      </c>
      <c r="E613" s="5" t="s">
        <v>61</v>
      </c>
      <c r="F613" s="5" t="s">
        <v>5070</v>
      </c>
      <c r="G613" s="5" t="s">
        <v>5071</v>
      </c>
      <c r="H613" s="5" t="s">
        <v>2746</v>
      </c>
      <c r="I613" s="5">
        <v>18.239999999999998</v>
      </c>
      <c r="J613" s="6" t="str">
        <f t="shared" si="18"/>
        <v>2</v>
      </c>
      <c r="K613" s="6">
        <f t="shared" si="19"/>
        <v>18.239999999999998</v>
      </c>
    </row>
    <row r="614" spans="1:11" x14ac:dyDescent="0.3">
      <c r="A614" s="5" t="s">
        <v>3350</v>
      </c>
      <c r="B614" s="5" t="s">
        <v>78</v>
      </c>
      <c r="C614" s="5" t="s">
        <v>5464</v>
      </c>
      <c r="D614" s="28" t="s">
        <v>2485</v>
      </c>
      <c r="E614" s="5" t="s">
        <v>61</v>
      </c>
      <c r="F614" s="5" t="s">
        <v>5081</v>
      </c>
      <c r="G614" s="5" t="s">
        <v>5083</v>
      </c>
      <c r="H614" s="5" t="s">
        <v>2408</v>
      </c>
      <c r="I614" s="5">
        <v>0.56999999999999995</v>
      </c>
      <c r="J614" s="6" t="str">
        <f t="shared" si="18"/>
        <v>0</v>
      </c>
      <c r="K614" s="6">
        <f t="shared" si="19"/>
        <v>0.56999999999999995</v>
      </c>
    </row>
    <row r="615" spans="1:11" x14ac:dyDescent="0.3">
      <c r="A615" s="5" t="s">
        <v>4210</v>
      </c>
      <c r="B615" s="5" t="s">
        <v>78</v>
      </c>
      <c r="C615" s="5" t="s">
        <v>5843</v>
      </c>
      <c r="D615" s="28" t="s">
        <v>2485</v>
      </c>
      <c r="E615" s="5" t="s">
        <v>61</v>
      </c>
      <c r="F615" s="5" t="s">
        <v>5070</v>
      </c>
      <c r="G615" s="5" t="s">
        <v>5081</v>
      </c>
      <c r="H615" s="5" t="s">
        <v>2418</v>
      </c>
      <c r="I615" s="5">
        <v>18.13</v>
      </c>
      <c r="J615" s="6" t="str">
        <f t="shared" si="18"/>
        <v>1</v>
      </c>
      <c r="K615" s="6">
        <f t="shared" si="19"/>
        <v>18.13</v>
      </c>
    </row>
    <row r="616" spans="1:11" x14ac:dyDescent="0.3">
      <c r="A616" s="5" t="s">
        <v>6513</v>
      </c>
      <c r="B616" s="5" t="s">
        <v>78</v>
      </c>
      <c r="C616" s="5" t="s">
        <v>5860</v>
      </c>
      <c r="D616" s="28" t="s">
        <v>2485</v>
      </c>
      <c r="E616" s="5" t="s">
        <v>61</v>
      </c>
      <c r="F616" s="5" t="s">
        <v>5073</v>
      </c>
      <c r="G616" s="5" t="s">
        <v>5076</v>
      </c>
      <c r="H616" s="5" t="s">
        <v>2428</v>
      </c>
      <c r="I616" s="5">
        <v>9.5399999999999991</v>
      </c>
      <c r="J616" s="6" t="str">
        <f t="shared" si="18"/>
        <v>2</v>
      </c>
      <c r="K616" s="6">
        <f t="shared" si="19"/>
        <v>9.5399999999999991</v>
      </c>
    </row>
    <row r="617" spans="1:11" x14ac:dyDescent="0.3">
      <c r="A617" s="5" t="s">
        <v>3225</v>
      </c>
      <c r="B617" s="5" t="s">
        <v>78</v>
      </c>
      <c r="C617" s="5" t="s">
        <v>6112</v>
      </c>
      <c r="D617" s="28" t="s">
        <v>2485</v>
      </c>
      <c r="E617" s="5" t="s">
        <v>61</v>
      </c>
      <c r="F617" s="5" t="s">
        <v>5070</v>
      </c>
      <c r="G617" s="5" t="s">
        <v>5070</v>
      </c>
      <c r="H617" s="5" t="s">
        <v>2423</v>
      </c>
      <c r="I617" s="5">
        <v>10.4</v>
      </c>
      <c r="J617" s="6" t="str">
        <f t="shared" si="18"/>
        <v>0</v>
      </c>
      <c r="K617" s="6">
        <f t="shared" si="19"/>
        <v>10.4</v>
      </c>
    </row>
    <row r="618" spans="1:11" x14ac:dyDescent="0.3">
      <c r="A618" s="5" t="s">
        <v>6245</v>
      </c>
      <c r="B618" s="5" t="s">
        <v>78</v>
      </c>
      <c r="C618" s="5" t="s">
        <v>6246</v>
      </c>
      <c r="D618" s="28" t="s">
        <v>2485</v>
      </c>
      <c r="E618" s="5" t="s">
        <v>61</v>
      </c>
      <c r="F618" s="5" t="s">
        <v>5083</v>
      </c>
      <c r="G618" s="5" t="s">
        <v>5076</v>
      </c>
      <c r="H618" s="5" t="s">
        <v>2412</v>
      </c>
      <c r="I618" s="5">
        <v>12.27</v>
      </c>
      <c r="J618" s="6" t="str">
        <f t="shared" si="18"/>
        <v>1</v>
      </c>
      <c r="K618" s="6">
        <f t="shared" si="19"/>
        <v>12.27</v>
      </c>
    </row>
    <row r="619" spans="1:11" x14ac:dyDescent="0.3">
      <c r="A619" s="5" t="s">
        <v>3116</v>
      </c>
      <c r="B619" s="5" t="s">
        <v>78</v>
      </c>
      <c r="C619" s="5" t="s">
        <v>6194</v>
      </c>
      <c r="D619" s="28" t="s">
        <v>2485</v>
      </c>
      <c r="E619" s="5" t="s">
        <v>61</v>
      </c>
      <c r="F619" s="5" t="s">
        <v>5071</v>
      </c>
      <c r="G619" s="5" t="s">
        <v>5083</v>
      </c>
      <c r="H619" s="5" t="s">
        <v>2408</v>
      </c>
      <c r="I619" s="5">
        <v>10</v>
      </c>
      <c r="J619" s="6" t="str">
        <f t="shared" si="18"/>
        <v>0</v>
      </c>
      <c r="K619" s="6">
        <f t="shared" si="19"/>
        <v>10</v>
      </c>
    </row>
    <row r="620" spans="1:11" x14ac:dyDescent="0.3">
      <c r="A620" s="5" t="s">
        <v>3307</v>
      </c>
      <c r="B620" s="5" t="s">
        <v>45</v>
      </c>
      <c r="C620" s="5" t="s">
        <v>5104</v>
      </c>
      <c r="D620" s="28" t="s">
        <v>2485</v>
      </c>
      <c r="E620" s="5" t="s">
        <v>61</v>
      </c>
      <c r="F620" s="5" t="s">
        <v>5071</v>
      </c>
      <c r="G620" s="5" t="s">
        <v>5071</v>
      </c>
      <c r="H620" s="5" t="s">
        <v>2408</v>
      </c>
      <c r="I620" s="5">
        <v>5.61</v>
      </c>
      <c r="J620" s="6" t="str">
        <f t="shared" si="18"/>
        <v>0</v>
      </c>
      <c r="K620" s="6">
        <f t="shared" si="19"/>
        <v>5.61</v>
      </c>
    </row>
    <row r="621" spans="1:11" x14ac:dyDescent="0.3">
      <c r="A621" s="5" t="s">
        <v>3461</v>
      </c>
      <c r="B621" s="5" t="s">
        <v>45</v>
      </c>
      <c r="C621" s="5" t="s">
        <v>6204</v>
      </c>
      <c r="D621" s="28" t="s">
        <v>2485</v>
      </c>
      <c r="E621" s="5" t="s">
        <v>61</v>
      </c>
      <c r="F621" s="5" t="s">
        <v>5070</v>
      </c>
      <c r="G621" s="5" t="s">
        <v>5083</v>
      </c>
      <c r="H621" s="5" t="s">
        <v>2477</v>
      </c>
      <c r="I621" s="5">
        <v>11.97</v>
      </c>
      <c r="J621" s="6" t="str">
        <f t="shared" si="18"/>
        <v>0</v>
      </c>
      <c r="K621" s="6">
        <f t="shared" si="19"/>
        <v>11.97</v>
      </c>
    </row>
    <row r="622" spans="1:11" x14ac:dyDescent="0.3">
      <c r="A622" s="5" t="s">
        <v>4535</v>
      </c>
      <c r="B622" s="5" t="s">
        <v>45</v>
      </c>
      <c r="C622" s="5" t="s">
        <v>5213</v>
      </c>
      <c r="D622" s="28" t="s">
        <v>2485</v>
      </c>
      <c r="E622" s="5" t="s">
        <v>61</v>
      </c>
      <c r="F622" s="5" t="s">
        <v>5070</v>
      </c>
      <c r="G622" s="5" t="s">
        <v>5083</v>
      </c>
      <c r="H622" s="5" t="s">
        <v>2428</v>
      </c>
      <c r="I622" s="5">
        <v>0.88</v>
      </c>
      <c r="J622" s="6" t="str">
        <f t="shared" si="18"/>
        <v>2</v>
      </c>
      <c r="K622" s="6">
        <f t="shared" si="19"/>
        <v>0.88</v>
      </c>
    </row>
    <row r="623" spans="1:11" x14ac:dyDescent="0.3">
      <c r="A623" s="5" t="s">
        <v>4686</v>
      </c>
      <c r="B623" s="5" t="s">
        <v>14</v>
      </c>
      <c r="C623" s="5" t="s">
        <v>5673</v>
      </c>
      <c r="D623" s="28" t="s">
        <v>2485</v>
      </c>
      <c r="E623" s="5" t="s">
        <v>61</v>
      </c>
      <c r="F623" s="5" t="s">
        <v>5081</v>
      </c>
      <c r="G623" s="5" t="s">
        <v>5083</v>
      </c>
      <c r="H623" s="5" t="s">
        <v>2408</v>
      </c>
      <c r="I623" s="5">
        <v>6.95</v>
      </c>
      <c r="J623" s="6" t="str">
        <f t="shared" si="18"/>
        <v>0</v>
      </c>
      <c r="K623" s="6">
        <f t="shared" si="19"/>
        <v>6.95</v>
      </c>
    </row>
    <row r="624" spans="1:11" x14ac:dyDescent="0.3">
      <c r="A624" s="5" t="s">
        <v>2757</v>
      </c>
      <c r="B624" s="5" t="s">
        <v>14</v>
      </c>
      <c r="C624" s="5" t="s">
        <v>5268</v>
      </c>
      <c r="D624" s="28" t="s">
        <v>2485</v>
      </c>
      <c r="E624" s="5" t="s">
        <v>61</v>
      </c>
      <c r="F624" s="5" t="s">
        <v>5071</v>
      </c>
      <c r="G624" s="5" t="s">
        <v>5070</v>
      </c>
      <c r="H624" s="5" t="s">
        <v>2435</v>
      </c>
      <c r="I624" s="5">
        <v>15.48</v>
      </c>
      <c r="J624" s="6" t="str">
        <f t="shared" si="18"/>
        <v>0</v>
      </c>
      <c r="K624" s="6">
        <f t="shared" si="19"/>
        <v>15.48</v>
      </c>
    </row>
    <row r="625" spans="1:11" x14ac:dyDescent="0.3">
      <c r="A625" s="5" t="s">
        <v>6542</v>
      </c>
      <c r="B625" s="5" t="s">
        <v>14</v>
      </c>
      <c r="C625" s="5" t="s">
        <v>6543</v>
      </c>
      <c r="D625" s="28" t="s">
        <v>2485</v>
      </c>
      <c r="E625" s="5" t="s">
        <v>61</v>
      </c>
      <c r="F625" s="5" t="s">
        <v>5073</v>
      </c>
      <c r="G625" s="5" t="s">
        <v>5070</v>
      </c>
      <c r="H625" s="5" t="s">
        <v>2408</v>
      </c>
      <c r="I625" s="5"/>
      <c r="J625" s="6" t="str">
        <f t="shared" si="18"/>
        <v>0</v>
      </c>
      <c r="K625" s="6">
        <f t="shared" si="19"/>
        <v>11</v>
      </c>
    </row>
    <row r="626" spans="1:11" x14ac:dyDescent="0.3">
      <c r="A626" s="5" t="s">
        <v>5759</v>
      </c>
      <c r="B626" s="5" t="s">
        <v>14</v>
      </c>
      <c r="C626" s="5" t="s">
        <v>5169</v>
      </c>
      <c r="D626" s="28" t="s">
        <v>2485</v>
      </c>
      <c r="E626" s="5" t="s">
        <v>61</v>
      </c>
      <c r="F626" s="5" t="s">
        <v>5073</v>
      </c>
      <c r="G626" s="5" t="s">
        <v>5073</v>
      </c>
      <c r="H626" s="5" t="s">
        <v>2428</v>
      </c>
      <c r="I626" s="5">
        <v>8.8000000000000007</v>
      </c>
      <c r="J626" s="6" t="str">
        <f t="shared" si="18"/>
        <v>2</v>
      </c>
      <c r="K626" s="6">
        <f t="shared" si="19"/>
        <v>8.8000000000000007</v>
      </c>
    </row>
    <row r="627" spans="1:11" x14ac:dyDescent="0.3">
      <c r="A627" s="5" t="s">
        <v>4460</v>
      </c>
      <c r="B627" s="5" t="s">
        <v>14</v>
      </c>
      <c r="C627" s="5" t="s">
        <v>6117</v>
      </c>
      <c r="D627" s="28" t="s">
        <v>2485</v>
      </c>
      <c r="E627" s="5" t="s">
        <v>61</v>
      </c>
      <c r="F627" s="5" t="s">
        <v>5070</v>
      </c>
      <c r="G627" s="5" t="s">
        <v>5076</v>
      </c>
      <c r="H627" s="5" t="s">
        <v>2423</v>
      </c>
      <c r="I627" s="5">
        <v>19.78</v>
      </c>
      <c r="J627" s="6" t="str">
        <f t="shared" si="18"/>
        <v>0</v>
      </c>
      <c r="K627" s="6">
        <f t="shared" si="19"/>
        <v>19.78</v>
      </c>
    </row>
    <row r="628" spans="1:11" x14ac:dyDescent="0.3">
      <c r="A628" s="5" t="s">
        <v>3152</v>
      </c>
      <c r="B628" s="5" t="s">
        <v>14</v>
      </c>
      <c r="C628" s="5" t="s">
        <v>6267</v>
      </c>
      <c r="D628" s="28" t="s">
        <v>2485</v>
      </c>
      <c r="E628" s="5" t="s">
        <v>61</v>
      </c>
      <c r="F628" s="5" t="s">
        <v>5076</v>
      </c>
      <c r="G628" s="5" t="s">
        <v>5081</v>
      </c>
      <c r="H628" s="5" t="s">
        <v>2455</v>
      </c>
      <c r="I628" s="5">
        <v>17.829999999999998</v>
      </c>
      <c r="J628" s="6" t="str">
        <f t="shared" si="18"/>
        <v>1</v>
      </c>
      <c r="K628" s="6">
        <f t="shared" si="19"/>
        <v>17.829999999999998</v>
      </c>
    </row>
    <row r="629" spans="1:11" x14ac:dyDescent="0.3">
      <c r="A629" s="5" t="s">
        <v>6143</v>
      </c>
      <c r="B629" s="5" t="s">
        <v>14</v>
      </c>
      <c r="C629" s="5" t="s">
        <v>6144</v>
      </c>
      <c r="D629" s="28" t="s">
        <v>2485</v>
      </c>
      <c r="E629" s="5" t="s">
        <v>61</v>
      </c>
      <c r="F629" s="5" t="s">
        <v>5073</v>
      </c>
      <c r="G629" s="5" t="s">
        <v>5070</v>
      </c>
      <c r="H629" s="5" t="s">
        <v>2455</v>
      </c>
      <c r="I629" s="5">
        <v>3.27</v>
      </c>
      <c r="J629" s="6" t="str">
        <f t="shared" si="18"/>
        <v>1</v>
      </c>
      <c r="K629" s="6">
        <f t="shared" si="19"/>
        <v>3.27</v>
      </c>
    </row>
    <row r="630" spans="1:11" x14ac:dyDescent="0.3">
      <c r="A630" s="5" t="s">
        <v>2693</v>
      </c>
      <c r="B630" s="5" t="s">
        <v>14</v>
      </c>
      <c r="C630" s="5" t="s">
        <v>5150</v>
      </c>
      <c r="D630" s="28" t="s">
        <v>2485</v>
      </c>
      <c r="E630" s="5" t="s">
        <v>61</v>
      </c>
      <c r="F630" s="5" t="s">
        <v>5076</v>
      </c>
      <c r="G630" s="5" t="s">
        <v>5073</v>
      </c>
      <c r="H630" s="5" t="s">
        <v>2477</v>
      </c>
      <c r="I630" s="5">
        <v>12.75</v>
      </c>
      <c r="J630" s="6" t="str">
        <f t="shared" si="18"/>
        <v>0</v>
      </c>
      <c r="K630" s="6">
        <f t="shared" si="19"/>
        <v>12.75</v>
      </c>
    </row>
    <row r="631" spans="1:11" x14ac:dyDescent="0.3">
      <c r="A631" s="5" t="s">
        <v>3587</v>
      </c>
      <c r="B631" s="5" t="s">
        <v>117</v>
      </c>
      <c r="C631" s="5" t="s">
        <v>5238</v>
      </c>
      <c r="D631" s="28" t="s">
        <v>2485</v>
      </c>
      <c r="E631" s="5" t="s">
        <v>61</v>
      </c>
      <c r="F631" s="5" t="s">
        <v>5071</v>
      </c>
      <c r="G631" s="5" t="s">
        <v>5070</v>
      </c>
      <c r="H631" s="5" t="s">
        <v>2455</v>
      </c>
      <c r="I631" s="5">
        <v>14.38</v>
      </c>
      <c r="J631" s="6" t="str">
        <f t="shared" si="18"/>
        <v>1</v>
      </c>
      <c r="K631" s="6">
        <f t="shared" si="19"/>
        <v>14.38</v>
      </c>
    </row>
    <row r="632" spans="1:11" x14ac:dyDescent="0.3">
      <c r="A632" s="5" t="s">
        <v>2541</v>
      </c>
      <c r="B632" s="5" t="s">
        <v>117</v>
      </c>
      <c r="C632" s="5" t="s">
        <v>5226</v>
      </c>
      <c r="D632" s="28" t="s">
        <v>2485</v>
      </c>
      <c r="E632" s="5" t="s">
        <v>61</v>
      </c>
      <c r="F632" s="5" t="s">
        <v>5081</v>
      </c>
      <c r="G632" s="5" t="s">
        <v>5071</v>
      </c>
      <c r="H632" s="5" t="s">
        <v>2418</v>
      </c>
      <c r="I632" s="5">
        <v>8.01</v>
      </c>
      <c r="J632" s="6" t="str">
        <f t="shared" si="18"/>
        <v>1</v>
      </c>
      <c r="K632" s="6">
        <f t="shared" si="19"/>
        <v>8.01</v>
      </c>
    </row>
    <row r="633" spans="1:11" x14ac:dyDescent="0.3">
      <c r="A633" s="5" t="s">
        <v>5503</v>
      </c>
      <c r="B633" s="5" t="s">
        <v>117</v>
      </c>
      <c r="C633" s="5" t="s">
        <v>5504</v>
      </c>
      <c r="D633" s="28" t="s">
        <v>2485</v>
      </c>
      <c r="E633" s="5" t="s">
        <v>61</v>
      </c>
      <c r="F633" s="5" t="s">
        <v>5076</v>
      </c>
      <c r="G633" s="5" t="s">
        <v>5081</v>
      </c>
      <c r="H633" s="5" t="s">
        <v>2408</v>
      </c>
      <c r="I633" s="5"/>
      <c r="J633" s="6" t="str">
        <f t="shared" si="18"/>
        <v>0</v>
      </c>
      <c r="K633" s="6">
        <f t="shared" si="19"/>
        <v>10.4</v>
      </c>
    </row>
    <row r="634" spans="1:11" x14ac:dyDescent="0.3">
      <c r="A634" s="5" t="s">
        <v>3007</v>
      </c>
      <c r="B634" s="5" t="s">
        <v>117</v>
      </c>
      <c r="C634" s="5" t="s">
        <v>5419</v>
      </c>
      <c r="D634" s="28" t="s">
        <v>2485</v>
      </c>
      <c r="E634" s="5" t="s">
        <v>61</v>
      </c>
      <c r="F634" s="5" t="s">
        <v>5083</v>
      </c>
      <c r="G634" s="5" t="s">
        <v>5081</v>
      </c>
      <c r="H634" s="5" t="s">
        <v>2412</v>
      </c>
      <c r="I634" s="5">
        <v>11.81</v>
      </c>
      <c r="J634" s="6" t="str">
        <f t="shared" si="18"/>
        <v>1</v>
      </c>
      <c r="K634" s="6">
        <f t="shared" si="19"/>
        <v>11.81</v>
      </c>
    </row>
    <row r="635" spans="1:11" x14ac:dyDescent="0.3">
      <c r="A635" s="5" t="s">
        <v>6027</v>
      </c>
      <c r="B635" s="5" t="s">
        <v>117</v>
      </c>
      <c r="C635" s="5" t="s">
        <v>5886</v>
      </c>
      <c r="D635" s="28" t="s">
        <v>2485</v>
      </c>
      <c r="E635" s="5" t="s">
        <v>61</v>
      </c>
      <c r="F635" s="5" t="s">
        <v>5070</v>
      </c>
      <c r="G635" s="5" t="s">
        <v>5073</v>
      </c>
      <c r="H635" s="5" t="s">
        <v>2455</v>
      </c>
      <c r="I635" s="5">
        <v>4.79</v>
      </c>
      <c r="J635" s="6" t="str">
        <f t="shared" si="18"/>
        <v>1</v>
      </c>
      <c r="K635" s="6">
        <f t="shared" si="19"/>
        <v>4.79</v>
      </c>
    </row>
    <row r="636" spans="1:11" x14ac:dyDescent="0.3">
      <c r="A636" s="5" t="s">
        <v>6399</v>
      </c>
      <c r="B636" s="5" t="s">
        <v>117</v>
      </c>
      <c r="C636" s="5" t="s">
        <v>5421</v>
      </c>
      <c r="D636" s="28" t="s">
        <v>2485</v>
      </c>
      <c r="E636" s="5" t="s">
        <v>61</v>
      </c>
      <c r="F636" s="5" t="s">
        <v>5073</v>
      </c>
      <c r="G636" s="5" t="s">
        <v>5076</v>
      </c>
      <c r="H636" s="5" t="s">
        <v>2486</v>
      </c>
      <c r="I636" s="5">
        <v>19.62</v>
      </c>
      <c r="J636" s="6" t="str">
        <f t="shared" si="18"/>
        <v>2+</v>
      </c>
      <c r="K636" s="6">
        <f t="shared" si="19"/>
        <v>19.62</v>
      </c>
    </row>
    <row r="637" spans="1:11" x14ac:dyDescent="0.3">
      <c r="A637" s="5" t="s">
        <v>5864</v>
      </c>
      <c r="B637" s="5" t="s">
        <v>117</v>
      </c>
      <c r="C637" s="5" t="s">
        <v>5865</v>
      </c>
      <c r="D637" s="28" t="s">
        <v>2485</v>
      </c>
      <c r="E637" s="5" t="s">
        <v>61</v>
      </c>
      <c r="F637" s="5" t="s">
        <v>5076</v>
      </c>
      <c r="G637" s="5" t="s">
        <v>5070</v>
      </c>
      <c r="H637" s="5" t="s">
        <v>2477</v>
      </c>
      <c r="I637" s="5">
        <v>5.94</v>
      </c>
      <c r="J637" s="6" t="str">
        <f t="shared" si="18"/>
        <v>0</v>
      </c>
      <c r="K637" s="6">
        <f t="shared" si="19"/>
        <v>5.94</v>
      </c>
    </row>
    <row r="638" spans="1:11" x14ac:dyDescent="0.3">
      <c r="A638" s="5" t="s">
        <v>5786</v>
      </c>
      <c r="B638" s="5" t="s">
        <v>117</v>
      </c>
      <c r="C638" s="5" t="s">
        <v>5787</v>
      </c>
      <c r="D638" s="28" t="s">
        <v>2485</v>
      </c>
      <c r="E638" s="5" t="s">
        <v>61</v>
      </c>
      <c r="F638" s="5" t="s">
        <v>5071</v>
      </c>
      <c r="G638" s="5" t="s">
        <v>5083</v>
      </c>
      <c r="H638" s="5" t="s">
        <v>2408</v>
      </c>
      <c r="I638" s="5">
        <v>14.23</v>
      </c>
      <c r="J638" s="6" t="str">
        <f t="shared" si="18"/>
        <v>0</v>
      </c>
      <c r="K638" s="6">
        <f t="shared" si="19"/>
        <v>14.23</v>
      </c>
    </row>
    <row r="639" spans="1:11" x14ac:dyDescent="0.3">
      <c r="A639" s="5" t="s">
        <v>4391</v>
      </c>
      <c r="B639" s="5" t="s">
        <v>25</v>
      </c>
      <c r="C639" s="5" t="s">
        <v>5269</v>
      </c>
      <c r="D639" s="28" t="s">
        <v>2485</v>
      </c>
      <c r="E639" s="5" t="s">
        <v>61</v>
      </c>
      <c r="F639" s="5" t="s">
        <v>5081</v>
      </c>
      <c r="G639" s="5" t="s">
        <v>5073</v>
      </c>
      <c r="H639" s="5" t="s">
        <v>2993</v>
      </c>
      <c r="I639" s="5">
        <v>14.61</v>
      </c>
      <c r="J639" s="6" t="str">
        <f t="shared" si="18"/>
        <v>2+</v>
      </c>
      <c r="K639" s="6">
        <f t="shared" si="19"/>
        <v>14.61</v>
      </c>
    </row>
    <row r="640" spans="1:11" x14ac:dyDescent="0.3">
      <c r="A640" s="5" t="s">
        <v>2606</v>
      </c>
      <c r="B640" s="5" t="s">
        <v>25</v>
      </c>
      <c r="C640" s="5" t="s">
        <v>5217</v>
      </c>
      <c r="D640" s="28" t="s">
        <v>2485</v>
      </c>
      <c r="E640" s="5" t="s">
        <v>61</v>
      </c>
      <c r="F640" s="5" t="s">
        <v>5083</v>
      </c>
      <c r="G640" s="5" t="s">
        <v>5083</v>
      </c>
      <c r="H640" s="5" t="s">
        <v>2450</v>
      </c>
      <c r="I640" s="5">
        <v>16.829999999999998</v>
      </c>
      <c r="J640" s="6" t="str">
        <f t="shared" si="18"/>
        <v>1</v>
      </c>
      <c r="K640" s="6">
        <f t="shared" si="19"/>
        <v>16.829999999999998</v>
      </c>
    </row>
    <row r="641" spans="1:11" x14ac:dyDescent="0.3">
      <c r="A641" s="5" t="s">
        <v>5493</v>
      </c>
      <c r="B641" s="5" t="s">
        <v>25</v>
      </c>
      <c r="C641" s="5" t="s">
        <v>5494</v>
      </c>
      <c r="D641" s="28" t="s">
        <v>2485</v>
      </c>
      <c r="E641" s="5" t="s">
        <v>61</v>
      </c>
      <c r="F641" s="5" t="s">
        <v>5081</v>
      </c>
      <c r="G641" s="5" t="s">
        <v>5071</v>
      </c>
      <c r="H641" s="5" t="s">
        <v>2455</v>
      </c>
      <c r="I641" s="5">
        <v>12.47</v>
      </c>
      <c r="J641" s="6" t="str">
        <f t="shared" si="18"/>
        <v>1</v>
      </c>
      <c r="K641" s="6">
        <f t="shared" si="19"/>
        <v>12.47</v>
      </c>
    </row>
    <row r="642" spans="1:11" x14ac:dyDescent="0.3">
      <c r="A642" s="5" t="s">
        <v>5748</v>
      </c>
      <c r="B642" s="5" t="s">
        <v>25</v>
      </c>
      <c r="C642" s="5" t="s">
        <v>5749</v>
      </c>
      <c r="D642" s="28" t="s">
        <v>2485</v>
      </c>
      <c r="E642" s="5" t="s">
        <v>61</v>
      </c>
      <c r="F642" s="5" t="s">
        <v>5070</v>
      </c>
      <c r="G642" s="5" t="s">
        <v>5076</v>
      </c>
      <c r="H642" s="5" t="s">
        <v>2435</v>
      </c>
      <c r="I642" s="5">
        <v>17.16</v>
      </c>
      <c r="J642" s="6" t="str">
        <f t="shared" ref="J642:J705" si="20">IF(OR(LOWER(TRIM(H642))="0",LOWER(TRIM(H642))="ZERO"),"0",IF(OR(LOWER(TRIM(H642))="1",LOWER(TRIM(H642))="one"),"1",IF(OR(LOWER(TRIM(H642))="2",LOWER(TRIM(H642))="two"),"2",IF(OR(LOWER(TRIM(H642))="2+",LOWER(TRIM(H642))="two_or_more",LOWER(TRIM(H642))="multiple"),"2+","Unknown"))))</f>
        <v>0</v>
      </c>
      <c r="K642" s="6">
        <f t="shared" si="19"/>
        <v>17.16</v>
      </c>
    </row>
    <row r="643" spans="1:11" x14ac:dyDescent="0.3">
      <c r="A643" s="5" t="s">
        <v>2696</v>
      </c>
      <c r="B643" s="5" t="s">
        <v>25</v>
      </c>
      <c r="C643" s="5" t="s">
        <v>6538</v>
      </c>
      <c r="D643" s="28" t="s">
        <v>2485</v>
      </c>
      <c r="E643" s="5" t="s">
        <v>61</v>
      </c>
      <c r="F643" s="5" t="s">
        <v>5073</v>
      </c>
      <c r="G643" s="5" t="s">
        <v>5081</v>
      </c>
      <c r="H643" s="5" t="s">
        <v>2423</v>
      </c>
      <c r="I643" s="5">
        <v>13.92</v>
      </c>
      <c r="J643" s="6" t="str">
        <f t="shared" si="20"/>
        <v>0</v>
      </c>
      <c r="K643" s="6">
        <f t="shared" ref="K643:K706" si="21">IF(I643="",ROUND(AVERAGEIF($B$2:$B$1000,B643,$I$2:$I$1000),1),I643)</f>
        <v>13.92</v>
      </c>
    </row>
    <row r="644" spans="1:11" x14ac:dyDescent="0.3">
      <c r="A644" s="5" t="s">
        <v>3227</v>
      </c>
      <c r="B644" s="5" t="s">
        <v>25</v>
      </c>
      <c r="C644" s="5" t="s">
        <v>6529</v>
      </c>
      <c r="D644" s="28" t="s">
        <v>2485</v>
      </c>
      <c r="E644" s="5" t="s">
        <v>61</v>
      </c>
      <c r="F644" s="5" t="s">
        <v>5071</v>
      </c>
      <c r="G644" s="5" t="s">
        <v>5083</v>
      </c>
      <c r="H644" s="5" t="s">
        <v>2455</v>
      </c>
      <c r="I644" s="5">
        <v>8.2200000000000006</v>
      </c>
      <c r="J644" s="6" t="str">
        <f t="shared" si="20"/>
        <v>1</v>
      </c>
      <c r="K644" s="6">
        <f t="shared" si="21"/>
        <v>8.2200000000000006</v>
      </c>
    </row>
    <row r="645" spans="1:11" x14ac:dyDescent="0.3">
      <c r="A645" s="5" t="s">
        <v>6449</v>
      </c>
      <c r="B645" s="5" t="s">
        <v>25</v>
      </c>
      <c r="C645" s="5" t="s">
        <v>6450</v>
      </c>
      <c r="D645" s="28" t="s">
        <v>2485</v>
      </c>
      <c r="E645" s="5" t="s">
        <v>61</v>
      </c>
      <c r="F645" s="5" t="s">
        <v>5070</v>
      </c>
      <c r="G645" s="5" t="s">
        <v>5081</v>
      </c>
      <c r="H645" s="5" t="s">
        <v>2423</v>
      </c>
      <c r="I645" s="5">
        <v>9.32</v>
      </c>
      <c r="J645" s="6" t="str">
        <f t="shared" si="20"/>
        <v>0</v>
      </c>
      <c r="K645" s="6">
        <f t="shared" si="21"/>
        <v>9.32</v>
      </c>
    </row>
    <row r="646" spans="1:11" x14ac:dyDescent="0.3">
      <c r="A646" s="5" t="s">
        <v>6228</v>
      </c>
      <c r="B646" s="5" t="s">
        <v>25</v>
      </c>
      <c r="C646" s="5" t="s">
        <v>6229</v>
      </c>
      <c r="D646" s="28" t="s">
        <v>2485</v>
      </c>
      <c r="E646" s="5" t="s">
        <v>61</v>
      </c>
      <c r="F646" s="5" t="s">
        <v>5081</v>
      </c>
      <c r="G646" s="5" t="s">
        <v>5083</v>
      </c>
      <c r="H646" s="5" t="s">
        <v>2408</v>
      </c>
      <c r="I646" s="5">
        <v>6.26</v>
      </c>
      <c r="J646" s="6" t="str">
        <f t="shared" si="20"/>
        <v>0</v>
      </c>
      <c r="K646" s="6">
        <f t="shared" si="21"/>
        <v>6.26</v>
      </c>
    </row>
    <row r="647" spans="1:11" x14ac:dyDescent="0.3">
      <c r="A647" s="5" t="s">
        <v>2710</v>
      </c>
      <c r="B647" s="5" t="s">
        <v>25</v>
      </c>
      <c r="C647" s="5" t="s">
        <v>5171</v>
      </c>
      <c r="D647" s="28" t="s">
        <v>2485</v>
      </c>
      <c r="E647" s="5" t="s">
        <v>61</v>
      </c>
      <c r="F647" s="5" t="s">
        <v>5073</v>
      </c>
      <c r="G647" s="5" t="s">
        <v>5081</v>
      </c>
      <c r="H647" s="5" t="s">
        <v>2455</v>
      </c>
      <c r="I647" s="5">
        <v>5.31</v>
      </c>
      <c r="J647" s="6" t="str">
        <f t="shared" si="20"/>
        <v>1</v>
      </c>
      <c r="K647" s="6">
        <f t="shared" si="21"/>
        <v>5.31</v>
      </c>
    </row>
    <row r="648" spans="1:11" x14ac:dyDescent="0.3">
      <c r="A648" s="5" t="s">
        <v>3000</v>
      </c>
      <c r="B648" s="5" t="s">
        <v>106</v>
      </c>
      <c r="C648" s="5" t="s">
        <v>6489</v>
      </c>
      <c r="D648" s="28" t="s">
        <v>2485</v>
      </c>
      <c r="E648" s="5" t="s">
        <v>61</v>
      </c>
      <c r="F648" s="5" t="s">
        <v>5070</v>
      </c>
      <c r="G648" s="5" t="s">
        <v>5076</v>
      </c>
      <c r="H648" s="5" t="s">
        <v>2423</v>
      </c>
      <c r="I648" s="5">
        <v>3.65</v>
      </c>
      <c r="J648" s="6" t="str">
        <f t="shared" si="20"/>
        <v>0</v>
      </c>
      <c r="K648" s="6">
        <f t="shared" si="21"/>
        <v>3.65</v>
      </c>
    </row>
    <row r="649" spans="1:11" x14ac:dyDescent="0.3">
      <c r="A649" s="5" t="s">
        <v>4656</v>
      </c>
      <c r="B649" s="5" t="s">
        <v>106</v>
      </c>
      <c r="C649" s="5" t="s">
        <v>6044</v>
      </c>
      <c r="D649" s="28" t="s">
        <v>2485</v>
      </c>
      <c r="E649" s="5" t="s">
        <v>61</v>
      </c>
      <c r="F649" s="5" t="s">
        <v>5070</v>
      </c>
      <c r="G649" s="5" t="s">
        <v>5076</v>
      </c>
      <c r="H649" s="5" t="s">
        <v>2408</v>
      </c>
      <c r="I649" s="5">
        <v>9.14</v>
      </c>
      <c r="J649" s="6" t="str">
        <f t="shared" si="20"/>
        <v>0</v>
      </c>
      <c r="K649" s="6">
        <f t="shared" si="21"/>
        <v>9.14</v>
      </c>
    </row>
    <row r="650" spans="1:11" x14ac:dyDescent="0.3">
      <c r="A650" s="5" t="s">
        <v>2484</v>
      </c>
      <c r="B650" s="5" t="s">
        <v>106</v>
      </c>
      <c r="C650" s="5" t="s">
        <v>6288</v>
      </c>
      <c r="D650" s="28" t="s">
        <v>2485</v>
      </c>
      <c r="E650" s="5" t="s">
        <v>61</v>
      </c>
      <c r="F650" s="5" t="s">
        <v>5070</v>
      </c>
      <c r="G650" s="5" t="s">
        <v>5073</v>
      </c>
      <c r="H650" s="5" t="s">
        <v>2477</v>
      </c>
      <c r="I650" s="5">
        <v>16.190000000000001</v>
      </c>
      <c r="J650" s="6" t="str">
        <f t="shared" si="20"/>
        <v>0</v>
      </c>
      <c r="K650" s="6">
        <f t="shared" si="21"/>
        <v>16.190000000000001</v>
      </c>
    </row>
    <row r="651" spans="1:11" x14ac:dyDescent="0.3">
      <c r="A651" s="5" t="s">
        <v>3079</v>
      </c>
      <c r="B651" s="5" t="s">
        <v>106</v>
      </c>
      <c r="C651" s="5" t="s">
        <v>6133</v>
      </c>
      <c r="D651" s="28" t="s">
        <v>2485</v>
      </c>
      <c r="E651" s="5" t="s">
        <v>61</v>
      </c>
      <c r="F651" s="5" t="s">
        <v>5071</v>
      </c>
      <c r="G651" s="5" t="s">
        <v>5081</v>
      </c>
      <c r="H651" s="5" t="s">
        <v>2435</v>
      </c>
      <c r="I651" s="5">
        <v>13.75</v>
      </c>
      <c r="J651" s="6" t="str">
        <f t="shared" si="20"/>
        <v>0</v>
      </c>
      <c r="K651" s="6">
        <f t="shared" si="21"/>
        <v>13.75</v>
      </c>
    </row>
    <row r="652" spans="1:11" x14ac:dyDescent="0.3">
      <c r="A652" s="5" t="s">
        <v>4485</v>
      </c>
      <c r="B652" s="5" t="s">
        <v>106</v>
      </c>
      <c r="C652" s="5" t="s">
        <v>5974</v>
      </c>
      <c r="D652" s="28" t="s">
        <v>2485</v>
      </c>
      <c r="E652" s="5" t="s">
        <v>61</v>
      </c>
      <c r="F652" s="5" t="s">
        <v>5081</v>
      </c>
      <c r="G652" s="5" t="s">
        <v>5070</v>
      </c>
      <c r="H652" s="5" t="s">
        <v>2423</v>
      </c>
      <c r="I652" s="5">
        <v>1.02</v>
      </c>
      <c r="J652" s="6" t="str">
        <f t="shared" si="20"/>
        <v>0</v>
      </c>
      <c r="K652" s="6">
        <f t="shared" si="21"/>
        <v>1.02</v>
      </c>
    </row>
    <row r="653" spans="1:11" x14ac:dyDescent="0.3">
      <c r="A653" s="5" t="s">
        <v>5681</v>
      </c>
      <c r="B653" s="5" t="s">
        <v>106</v>
      </c>
      <c r="C653" s="5" t="s">
        <v>5682</v>
      </c>
      <c r="D653" s="28" t="s">
        <v>2485</v>
      </c>
      <c r="E653" s="5" t="s">
        <v>61</v>
      </c>
      <c r="F653" s="5" t="s">
        <v>5071</v>
      </c>
      <c r="G653" s="5" t="s">
        <v>5073</v>
      </c>
      <c r="H653" s="5" t="s">
        <v>2477</v>
      </c>
      <c r="I653" s="5">
        <v>13.28</v>
      </c>
      <c r="J653" s="6" t="str">
        <f t="shared" si="20"/>
        <v>0</v>
      </c>
      <c r="K653" s="6">
        <f t="shared" si="21"/>
        <v>13.28</v>
      </c>
    </row>
    <row r="654" spans="1:11" x14ac:dyDescent="0.3">
      <c r="A654" s="5" t="s">
        <v>6511</v>
      </c>
      <c r="B654" s="5" t="s">
        <v>106</v>
      </c>
      <c r="C654" s="5" t="s">
        <v>6248</v>
      </c>
      <c r="D654" s="28" t="s">
        <v>2485</v>
      </c>
      <c r="E654" s="5" t="s">
        <v>61</v>
      </c>
      <c r="F654" s="5" t="s">
        <v>5070</v>
      </c>
      <c r="G654" s="5" t="s">
        <v>5070</v>
      </c>
      <c r="H654" s="5" t="s">
        <v>2418</v>
      </c>
      <c r="I654" s="5">
        <v>18.78</v>
      </c>
      <c r="J654" s="6" t="str">
        <f t="shared" si="20"/>
        <v>1</v>
      </c>
      <c r="K654" s="6">
        <f t="shared" si="21"/>
        <v>18.78</v>
      </c>
    </row>
    <row r="655" spans="1:11" x14ac:dyDescent="0.3">
      <c r="A655" s="5" t="s">
        <v>6501</v>
      </c>
      <c r="B655" s="5" t="s">
        <v>106</v>
      </c>
      <c r="C655" s="5" t="s">
        <v>6502</v>
      </c>
      <c r="D655" s="28" t="s">
        <v>2485</v>
      </c>
      <c r="E655" s="5" t="s">
        <v>61</v>
      </c>
      <c r="F655" s="5" t="s">
        <v>5083</v>
      </c>
      <c r="G655" s="5" t="s">
        <v>5073</v>
      </c>
      <c r="H655" s="5" t="s">
        <v>2477</v>
      </c>
      <c r="I655" s="5">
        <v>5.07</v>
      </c>
      <c r="J655" s="6" t="str">
        <f t="shared" si="20"/>
        <v>0</v>
      </c>
      <c r="K655" s="6">
        <f t="shared" si="21"/>
        <v>5.07</v>
      </c>
    </row>
    <row r="656" spans="1:11" x14ac:dyDescent="0.3">
      <c r="A656" s="5" t="s">
        <v>2580</v>
      </c>
      <c r="B656" s="5" t="s">
        <v>78</v>
      </c>
      <c r="C656" s="5" t="s">
        <v>5636</v>
      </c>
      <c r="D656" s="28" t="s">
        <v>2449</v>
      </c>
      <c r="E656" s="5" t="s">
        <v>61</v>
      </c>
      <c r="F656" s="5" t="s">
        <v>5081</v>
      </c>
      <c r="G656" s="5" t="s">
        <v>5071</v>
      </c>
      <c r="H656" s="5" t="s">
        <v>2408</v>
      </c>
      <c r="I656" s="5">
        <v>1.38</v>
      </c>
      <c r="J656" s="6" t="str">
        <f t="shared" si="20"/>
        <v>0</v>
      </c>
      <c r="K656" s="6">
        <f t="shared" si="21"/>
        <v>1.38</v>
      </c>
    </row>
    <row r="657" spans="1:11" x14ac:dyDescent="0.3">
      <c r="A657" s="5" t="s">
        <v>3187</v>
      </c>
      <c r="B657" s="5" t="s">
        <v>78</v>
      </c>
      <c r="C657" s="5" t="s">
        <v>5182</v>
      </c>
      <c r="D657" s="28" t="s">
        <v>2449</v>
      </c>
      <c r="E657" s="5" t="s">
        <v>61</v>
      </c>
      <c r="F657" s="5" t="s">
        <v>5071</v>
      </c>
      <c r="G657" s="5" t="s">
        <v>5076</v>
      </c>
      <c r="H657" s="5" t="s">
        <v>2435</v>
      </c>
      <c r="I657" s="5">
        <v>8.2100000000000009</v>
      </c>
      <c r="J657" s="6" t="str">
        <f t="shared" si="20"/>
        <v>0</v>
      </c>
      <c r="K657" s="6">
        <f t="shared" si="21"/>
        <v>8.2100000000000009</v>
      </c>
    </row>
    <row r="658" spans="1:11" x14ac:dyDescent="0.3">
      <c r="A658" s="5" t="s">
        <v>6579</v>
      </c>
      <c r="B658" s="5" t="s">
        <v>78</v>
      </c>
      <c r="C658" s="5" t="s">
        <v>6580</v>
      </c>
      <c r="D658" s="28" t="s">
        <v>2449</v>
      </c>
      <c r="E658" s="5" t="s">
        <v>61</v>
      </c>
      <c r="F658" s="5" t="s">
        <v>5083</v>
      </c>
      <c r="G658" s="5" t="s">
        <v>5076</v>
      </c>
      <c r="H658" s="5" t="s">
        <v>2428</v>
      </c>
      <c r="I658" s="5">
        <v>19.47</v>
      </c>
      <c r="J658" s="6" t="str">
        <f t="shared" si="20"/>
        <v>2</v>
      </c>
      <c r="K658" s="6">
        <f t="shared" si="21"/>
        <v>19.47</v>
      </c>
    </row>
    <row r="659" spans="1:11" x14ac:dyDescent="0.3">
      <c r="A659" s="5" t="s">
        <v>3761</v>
      </c>
      <c r="B659" s="5" t="s">
        <v>78</v>
      </c>
      <c r="C659" s="5" t="s">
        <v>6187</v>
      </c>
      <c r="D659" s="28" t="s">
        <v>2449</v>
      </c>
      <c r="E659" s="5" t="s">
        <v>61</v>
      </c>
      <c r="F659" s="5" t="s">
        <v>5070</v>
      </c>
      <c r="G659" s="5" t="s">
        <v>5081</v>
      </c>
      <c r="H659" s="5" t="s">
        <v>2428</v>
      </c>
      <c r="I659" s="5">
        <v>13.91</v>
      </c>
      <c r="J659" s="6" t="str">
        <f t="shared" si="20"/>
        <v>2</v>
      </c>
      <c r="K659" s="6">
        <f t="shared" si="21"/>
        <v>13.91</v>
      </c>
    </row>
    <row r="660" spans="1:11" x14ac:dyDescent="0.3">
      <c r="A660" s="5" t="s">
        <v>3251</v>
      </c>
      <c r="B660" s="5" t="s">
        <v>78</v>
      </c>
      <c r="C660" s="5" t="s">
        <v>5249</v>
      </c>
      <c r="D660" s="28" t="s">
        <v>2449</v>
      </c>
      <c r="E660" s="5" t="s">
        <v>61</v>
      </c>
      <c r="F660" s="5" t="s">
        <v>5070</v>
      </c>
      <c r="G660" s="5" t="s">
        <v>5081</v>
      </c>
      <c r="H660" s="5" t="s">
        <v>2486</v>
      </c>
      <c r="I660" s="5">
        <v>7.29</v>
      </c>
      <c r="J660" s="6" t="str">
        <f t="shared" si="20"/>
        <v>2+</v>
      </c>
      <c r="K660" s="6">
        <f t="shared" si="21"/>
        <v>7.29</v>
      </c>
    </row>
    <row r="661" spans="1:11" x14ac:dyDescent="0.3">
      <c r="A661" s="5" t="s">
        <v>3853</v>
      </c>
      <c r="B661" s="5" t="s">
        <v>78</v>
      </c>
      <c r="C661" s="5" t="s">
        <v>5595</v>
      </c>
      <c r="D661" s="28" t="s">
        <v>2449</v>
      </c>
      <c r="E661" s="5" t="s">
        <v>61</v>
      </c>
      <c r="F661" s="5" t="s">
        <v>5070</v>
      </c>
      <c r="G661" s="5" t="s">
        <v>5070</v>
      </c>
      <c r="H661" s="5" t="s">
        <v>2505</v>
      </c>
      <c r="I661" s="5">
        <v>13.11</v>
      </c>
      <c r="J661" s="6" t="str">
        <f t="shared" si="20"/>
        <v>2+</v>
      </c>
      <c r="K661" s="6">
        <f t="shared" si="21"/>
        <v>13.11</v>
      </c>
    </row>
    <row r="662" spans="1:11" x14ac:dyDescent="0.3">
      <c r="A662" s="5" t="s">
        <v>2667</v>
      </c>
      <c r="B662" s="5" t="s">
        <v>78</v>
      </c>
      <c r="C662" s="5" t="s">
        <v>5405</v>
      </c>
      <c r="D662" s="28" t="s">
        <v>2449</v>
      </c>
      <c r="E662" s="5" t="s">
        <v>61</v>
      </c>
      <c r="F662" s="5" t="s">
        <v>5071</v>
      </c>
      <c r="G662" s="5" t="s">
        <v>5076</v>
      </c>
      <c r="H662" s="5" t="s">
        <v>2450</v>
      </c>
      <c r="I662" s="5">
        <v>12.94</v>
      </c>
      <c r="J662" s="6" t="str">
        <f t="shared" si="20"/>
        <v>1</v>
      </c>
      <c r="K662" s="6">
        <f t="shared" si="21"/>
        <v>12.94</v>
      </c>
    </row>
    <row r="663" spans="1:11" x14ac:dyDescent="0.3">
      <c r="A663" s="5" t="s">
        <v>2448</v>
      </c>
      <c r="B663" s="5" t="s">
        <v>78</v>
      </c>
      <c r="C663" s="5" t="s">
        <v>5792</v>
      </c>
      <c r="D663" s="28" t="s">
        <v>2449</v>
      </c>
      <c r="E663" s="5" t="s">
        <v>61</v>
      </c>
      <c r="F663" s="5" t="s">
        <v>5073</v>
      </c>
      <c r="G663" s="5" t="s">
        <v>5076</v>
      </c>
      <c r="H663" s="5" t="s">
        <v>2505</v>
      </c>
      <c r="I663" s="5">
        <v>19.329999999999998</v>
      </c>
      <c r="J663" s="6" t="str">
        <f t="shared" si="20"/>
        <v>2+</v>
      </c>
      <c r="K663" s="6">
        <f t="shared" si="21"/>
        <v>19.329999999999998</v>
      </c>
    </row>
    <row r="664" spans="1:11" x14ac:dyDescent="0.3">
      <c r="A664" s="5" t="s">
        <v>2589</v>
      </c>
      <c r="B664" s="5" t="s">
        <v>45</v>
      </c>
      <c r="C664" s="5" t="s">
        <v>5149</v>
      </c>
      <c r="D664" s="28" t="s">
        <v>2449</v>
      </c>
      <c r="E664" s="5" t="s">
        <v>61</v>
      </c>
      <c r="F664" s="5" t="s">
        <v>5081</v>
      </c>
      <c r="G664" s="5" t="s">
        <v>5070</v>
      </c>
      <c r="H664" s="5" t="s">
        <v>2993</v>
      </c>
      <c r="I664" s="5">
        <v>15.27</v>
      </c>
      <c r="J664" s="6" t="str">
        <f t="shared" si="20"/>
        <v>2+</v>
      </c>
      <c r="K664" s="6">
        <f t="shared" si="21"/>
        <v>15.27</v>
      </c>
    </row>
    <row r="665" spans="1:11" x14ac:dyDescent="0.3">
      <c r="A665" s="5" t="s">
        <v>4880</v>
      </c>
      <c r="B665" s="5" t="s">
        <v>45</v>
      </c>
      <c r="C665" s="5" t="s">
        <v>6405</v>
      </c>
      <c r="D665" s="28" t="s">
        <v>2449</v>
      </c>
      <c r="E665" s="5" t="s">
        <v>61</v>
      </c>
      <c r="F665" s="5" t="s">
        <v>5073</v>
      </c>
      <c r="G665" s="5" t="s">
        <v>5083</v>
      </c>
      <c r="H665" s="5" t="s">
        <v>2450</v>
      </c>
      <c r="I665" s="5">
        <v>13.6</v>
      </c>
      <c r="J665" s="6" t="str">
        <f t="shared" si="20"/>
        <v>1</v>
      </c>
      <c r="K665" s="6">
        <f t="shared" si="21"/>
        <v>13.6</v>
      </c>
    </row>
    <row r="666" spans="1:11" x14ac:dyDescent="0.3">
      <c r="A666" s="5" t="s">
        <v>4968</v>
      </c>
      <c r="B666" s="5" t="s">
        <v>45</v>
      </c>
      <c r="C666" s="5" t="s">
        <v>5973</v>
      </c>
      <c r="D666" s="28" t="s">
        <v>2449</v>
      </c>
      <c r="E666" s="5" t="s">
        <v>61</v>
      </c>
      <c r="F666" s="5" t="s">
        <v>5083</v>
      </c>
      <c r="G666" s="5" t="s">
        <v>5071</v>
      </c>
      <c r="H666" s="5" t="s">
        <v>2423</v>
      </c>
      <c r="I666" s="5">
        <v>13.01</v>
      </c>
      <c r="J666" s="6" t="str">
        <f t="shared" si="20"/>
        <v>0</v>
      </c>
      <c r="K666" s="6">
        <f t="shared" si="21"/>
        <v>13.01</v>
      </c>
    </row>
    <row r="667" spans="1:11" x14ac:dyDescent="0.3">
      <c r="A667" s="5" t="s">
        <v>4025</v>
      </c>
      <c r="B667" s="5" t="s">
        <v>14</v>
      </c>
      <c r="C667" s="5" t="s">
        <v>6104</v>
      </c>
      <c r="D667" s="28" t="s">
        <v>2449</v>
      </c>
      <c r="E667" s="5" t="s">
        <v>61</v>
      </c>
      <c r="F667" s="5" t="s">
        <v>5071</v>
      </c>
      <c r="G667" s="5" t="s">
        <v>5076</v>
      </c>
      <c r="H667" s="5" t="s">
        <v>2428</v>
      </c>
      <c r="I667" s="5">
        <v>10.77</v>
      </c>
      <c r="J667" s="6" t="str">
        <f t="shared" si="20"/>
        <v>2</v>
      </c>
      <c r="K667" s="6">
        <f t="shared" si="21"/>
        <v>10.77</v>
      </c>
    </row>
    <row r="668" spans="1:11" x14ac:dyDescent="0.3">
      <c r="A668" s="5" t="s">
        <v>4305</v>
      </c>
      <c r="B668" s="5" t="s">
        <v>14</v>
      </c>
      <c r="C668" s="5" t="s">
        <v>6524</v>
      </c>
      <c r="D668" s="28" t="s">
        <v>2449</v>
      </c>
      <c r="E668" s="5" t="s">
        <v>61</v>
      </c>
      <c r="F668" s="5" t="s">
        <v>5081</v>
      </c>
      <c r="G668" s="5" t="s">
        <v>5073</v>
      </c>
      <c r="H668" s="5" t="s">
        <v>2423</v>
      </c>
      <c r="I668" s="5">
        <v>5.55</v>
      </c>
      <c r="J668" s="6" t="str">
        <f t="shared" si="20"/>
        <v>0</v>
      </c>
      <c r="K668" s="6">
        <f t="shared" si="21"/>
        <v>5.55</v>
      </c>
    </row>
    <row r="669" spans="1:11" x14ac:dyDescent="0.3">
      <c r="A669" s="5" t="s">
        <v>3033</v>
      </c>
      <c r="B669" s="5" t="s">
        <v>14</v>
      </c>
      <c r="C669" s="5" t="s">
        <v>5440</v>
      </c>
      <c r="D669" s="28" t="s">
        <v>2449</v>
      </c>
      <c r="E669" s="5" t="s">
        <v>61</v>
      </c>
      <c r="F669" s="5" t="s">
        <v>5076</v>
      </c>
      <c r="G669" s="5" t="s">
        <v>5083</v>
      </c>
      <c r="H669" s="5" t="s">
        <v>2408</v>
      </c>
      <c r="I669" s="5">
        <v>15.48</v>
      </c>
      <c r="J669" s="6" t="str">
        <f t="shared" si="20"/>
        <v>0</v>
      </c>
      <c r="K669" s="6">
        <f t="shared" si="21"/>
        <v>15.48</v>
      </c>
    </row>
    <row r="670" spans="1:11" x14ac:dyDescent="0.3">
      <c r="A670" s="5" t="s">
        <v>3828</v>
      </c>
      <c r="B670" s="5" t="s">
        <v>117</v>
      </c>
      <c r="C670" s="5" t="s">
        <v>5416</v>
      </c>
      <c r="D670" s="28" t="s">
        <v>2449</v>
      </c>
      <c r="E670" s="5" t="s">
        <v>61</v>
      </c>
      <c r="F670" s="5" t="s">
        <v>5070</v>
      </c>
      <c r="G670" s="5" t="s">
        <v>5081</v>
      </c>
      <c r="H670" s="5" t="s">
        <v>2505</v>
      </c>
      <c r="I670" s="5">
        <v>17.239999999999998</v>
      </c>
      <c r="J670" s="6" t="str">
        <f t="shared" si="20"/>
        <v>2+</v>
      </c>
      <c r="K670" s="6">
        <f t="shared" si="21"/>
        <v>17.239999999999998</v>
      </c>
    </row>
    <row r="671" spans="1:11" x14ac:dyDescent="0.3">
      <c r="A671" s="5" t="s">
        <v>5436</v>
      </c>
      <c r="B671" s="5" t="s">
        <v>117</v>
      </c>
      <c r="C671" s="5" t="s">
        <v>5437</v>
      </c>
      <c r="D671" s="28" t="s">
        <v>2449</v>
      </c>
      <c r="E671" s="5" t="s">
        <v>61</v>
      </c>
      <c r="F671" s="5" t="s">
        <v>5070</v>
      </c>
      <c r="G671" s="5" t="s">
        <v>5073</v>
      </c>
      <c r="H671" s="5" t="s">
        <v>2412</v>
      </c>
      <c r="I671" s="5">
        <v>15.84</v>
      </c>
      <c r="J671" s="6" t="str">
        <f t="shared" si="20"/>
        <v>1</v>
      </c>
      <c r="K671" s="6">
        <f t="shared" si="21"/>
        <v>15.84</v>
      </c>
    </row>
    <row r="672" spans="1:11" x14ac:dyDescent="0.3">
      <c r="A672" s="5" t="s">
        <v>6566</v>
      </c>
      <c r="B672" s="5" t="s">
        <v>117</v>
      </c>
      <c r="C672" s="5" t="s">
        <v>6567</v>
      </c>
      <c r="D672" s="28" t="s">
        <v>2449</v>
      </c>
      <c r="E672" s="5" t="s">
        <v>61</v>
      </c>
      <c r="F672" s="5" t="s">
        <v>5071</v>
      </c>
      <c r="G672" s="5" t="s">
        <v>5070</v>
      </c>
      <c r="H672" s="5" t="s">
        <v>2435</v>
      </c>
      <c r="I672" s="5">
        <v>12.01</v>
      </c>
      <c r="J672" s="6" t="str">
        <f t="shared" si="20"/>
        <v>0</v>
      </c>
      <c r="K672" s="6">
        <f t="shared" si="21"/>
        <v>12.01</v>
      </c>
    </row>
    <row r="673" spans="1:11" x14ac:dyDescent="0.3">
      <c r="A673" s="5" t="s">
        <v>6205</v>
      </c>
      <c r="B673" s="5" t="s">
        <v>117</v>
      </c>
      <c r="C673" s="5" t="s">
        <v>6206</v>
      </c>
      <c r="D673" s="28" t="s">
        <v>2449</v>
      </c>
      <c r="E673" s="5" t="s">
        <v>61</v>
      </c>
      <c r="F673" s="5" t="s">
        <v>5076</v>
      </c>
      <c r="G673" s="5" t="s">
        <v>5083</v>
      </c>
      <c r="H673" s="5" t="s">
        <v>2505</v>
      </c>
      <c r="I673" s="5">
        <v>4.3099999999999996</v>
      </c>
      <c r="J673" s="6" t="str">
        <f t="shared" si="20"/>
        <v>2+</v>
      </c>
      <c r="K673" s="6">
        <f t="shared" si="21"/>
        <v>4.3099999999999996</v>
      </c>
    </row>
    <row r="674" spans="1:11" x14ac:dyDescent="0.3">
      <c r="A674" s="5" t="s">
        <v>6437</v>
      </c>
      <c r="B674" s="5" t="s">
        <v>117</v>
      </c>
      <c r="C674" s="5" t="s">
        <v>6438</v>
      </c>
      <c r="D674" s="28" t="s">
        <v>2449</v>
      </c>
      <c r="E674" s="5" t="s">
        <v>61</v>
      </c>
      <c r="F674" s="5" t="s">
        <v>5076</v>
      </c>
      <c r="G674" s="5" t="s">
        <v>5073</v>
      </c>
      <c r="H674" s="5"/>
      <c r="I674" s="5">
        <v>1.47</v>
      </c>
      <c r="J674" s="6" t="str">
        <f t="shared" si="20"/>
        <v>Unknown</v>
      </c>
      <c r="K674" s="6">
        <f t="shared" si="21"/>
        <v>1.47</v>
      </c>
    </row>
    <row r="675" spans="1:11" x14ac:dyDescent="0.3">
      <c r="A675" s="5" t="s">
        <v>6456</v>
      </c>
      <c r="B675" s="5" t="s">
        <v>117</v>
      </c>
      <c r="C675" s="5" t="s">
        <v>6457</v>
      </c>
      <c r="D675" s="28" t="s">
        <v>2449</v>
      </c>
      <c r="E675" s="5" t="s">
        <v>61</v>
      </c>
      <c r="F675" s="5" t="s">
        <v>5073</v>
      </c>
      <c r="G675" s="5" t="s">
        <v>5073</v>
      </c>
      <c r="H675" s="5" t="s">
        <v>2455</v>
      </c>
      <c r="I675" s="5">
        <v>7.33</v>
      </c>
      <c r="J675" s="6" t="str">
        <f t="shared" si="20"/>
        <v>1</v>
      </c>
      <c r="K675" s="6">
        <f t="shared" si="21"/>
        <v>7.33</v>
      </c>
    </row>
    <row r="676" spans="1:11" x14ac:dyDescent="0.3">
      <c r="A676" s="5" t="s">
        <v>5483</v>
      </c>
      <c r="B676" s="5" t="s">
        <v>117</v>
      </c>
      <c r="C676" s="5" t="s">
        <v>5484</v>
      </c>
      <c r="D676" s="28" t="s">
        <v>2449</v>
      </c>
      <c r="E676" s="5" t="s">
        <v>61</v>
      </c>
      <c r="F676" s="5" t="s">
        <v>5070</v>
      </c>
      <c r="G676" s="5" t="s">
        <v>5081</v>
      </c>
      <c r="H676" s="5"/>
      <c r="I676" s="5">
        <v>10.99</v>
      </c>
      <c r="J676" s="6" t="str">
        <f t="shared" si="20"/>
        <v>Unknown</v>
      </c>
      <c r="K676" s="6">
        <f t="shared" si="21"/>
        <v>10.99</v>
      </c>
    </row>
    <row r="677" spans="1:11" x14ac:dyDescent="0.3">
      <c r="A677" s="5" t="s">
        <v>6197</v>
      </c>
      <c r="B677" s="5" t="s">
        <v>117</v>
      </c>
      <c r="C677" s="5" t="s">
        <v>6198</v>
      </c>
      <c r="D677" s="28" t="s">
        <v>2449</v>
      </c>
      <c r="E677" s="5" t="s">
        <v>61</v>
      </c>
      <c r="F677" s="5" t="s">
        <v>5073</v>
      </c>
      <c r="G677" s="5" t="s">
        <v>5073</v>
      </c>
      <c r="H677" s="5" t="s">
        <v>2746</v>
      </c>
      <c r="I677" s="5">
        <v>12.29</v>
      </c>
      <c r="J677" s="6" t="str">
        <f t="shared" si="20"/>
        <v>2</v>
      </c>
      <c r="K677" s="6">
        <f t="shared" si="21"/>
        <v>12.29</v>
      </c>
    </row>
    <row r="678" spans="1:11" x14ac:dyDescent="0.3">
      <c r="A678" s="5" t="s">
        <v>4807</v>
      </c>
      <c r="B678" s="5" t="s">
        <v>25</v>
      </c>
      <c r="C678" s="5" t="s">
        <v>5543</v>
      </c>
      <c r="D678" s="28" t="s">
        <v>2449</v>
      </c>
      <c r="E678" s="5" t="s">
        <v>61</v>
      </c>
      <c r="F678" s="5" t="s">
        <v>5083</v>
      </c>
      <c r="G678" s="5" t="s">
        <v>5071</v>
      </c>
      <c r="H678" s="5" t="s">
        <v>2477</v>
      </c>
      <c r="I678" s="5">
        <v>12.59</v>
      </c>
      <c r="J678" s="6" t="str">
        <f t="shared" si="20"/>
        <v>0</v>
      </c>
      <c r="K678" s="6">
        <f t="shared" si="21"/>
        <v>12.59</v>
      </c>
    </row>
    <row r="679" spans="1:11" x14ac:dyDescent="0.3">
      <c r="A679" s="5" t="s">
        <v>5033</v>
      </c>
      <c r="B679" s="5" t="s">
        <v>25</v>
      </c>
      <c r="C679" s="5" t="s">
        <v>5906</v>
      </c>
      <c r="D679" s="28" t="s">
        <v>2449</v>
      </c>
      <c r="E679" s="5" t="s">
        <v>61</v>
      </c>
      <c r="F679" s="5" t="s">
        <v>5083</v>
      </c>
      <c r="G679" s="5" t="s">
        <v>5081</v>
      </c>
      <c r="H679" s="5" t="s">
        <v>2439</v>
      </c>
      <c r="I679" s="5">
        <v>2.99</v>
      </c>
      <c r="J679" s="6" t="str">
        <f t="shared" si="20"/>
        <v>2</v>
      </c>
      <c r="K679" s="6">
        <f t="shared" si="21"/>
        <v>2.99</v>
      </c>
    </row>
    <row r="680" spans="1:11" x14ac:dyDescent="0.3">
      <c r="A680" s="5" t="s">
        <v>3264</v>
      </c>
      <c r="B680" s="5" t="s">
        <v>25</v>
      </c>
      <c r="C680" s="5" t="s">
        <v>5158</v>
      </c>
      <c r="D680" s="28" t="s">
        <v>2449</v>
      </c>
      <c r="E680" s="5" t="s">
        <v>61</v>
      </c>
      <c r="F680" s="5" t="s">
        <v>5071</v>
      </c>
      <c r="G680" s="5" t="s">
        <v>5076</v>
      </c>
      <c r="H680" s="5" t="s">
        <v>2428</v>
      </c>
      <c r="I680" s="5">
        <v>0.74</v>
      </c>
      <c r="J680" s="6" t="str">
        <f t="shared" si="20"/>
        <v>2</v>
      </c>
      <c r="K680" s="6">
        <f t="shared" si="21"/>
        <v>0.74</v>
      </c>
    </row>
    <row r="681" spans="1:11" x14ac:dyDescent="0.3">
      <c r="A681" s="5" t="s">
        <v>6490</v>
      </c>
      <c r="B681" s="5" t="s">
        <v>25</v>
      </c>
      <c r="C681" s="5" t="s">
        <v>6491</v>
      </c>
      <c r="D681" s="28" t="s">
        <v>2449</v>
      </c>
      <c r="E681" s="5" t="s">
        <v>61</v>
      </c>
      <c r="F681" s="5" t="s">
        <v>5081</v>
      </c>
      <c r="G681" s="5" t="s">
        <v>5081</v>
      </c>
      <c r="H681" s="5" t="s">
        <v>2455</v>
      </c>
      <c r="I681" s="5">
        <v>2.16</v>
      </c>
      <c r="J681" s="6" t="str">
        <f t="shared" si="20"/>
        <v>1</v>
      </c>
      <c r="K681" s="6">
        <f t="shared" si="21"/>
        <v>2.16</v>
      </c>
    </row>
    <row r="682" spans="1:11" x14ac:dyDescent="0.3">
      <c r="A682" s="5" t="s">
        <v>5932</v>
      </c>
      <c r="B682" s="5" t="s">
        <v>25</v>
      </c>
      <c r="C682" s="5" t="s">
        <v>5933</v>
      </c>
      <c r="D682" s="28" t="s">
        <v>2449</v>
      </c>
      <c r="E682" s="5" t="s">
        <v>61</v>
      </c>
      <c r="F682" s="5" t="s">
        <v>5071</v>
      </c>
      <c r="G682" s="5" t="s">
        <v>5081</v>
      </c>
      <c r="H682" s="5" t="s">
        <v>2435</v>
      </c>
      <c r="I682" s="5">
        <v>1.98</v>
      </c>
      <c r="J682" s="6" t="str">
        <f t="shared" si="20"/>
        <v>0</v>
      </c>
      <c r="K682" s="6">
        <f t="shared" si="21"/>
        <v>1.98</v>
      </c>
    </row>
    <row r="683" spans="1:11" x14ac:dyDescent="0.3">
      <c r="A683" s="5" t="s">
        <v>5197</v>
      </c>
      <c r="B683" s="5" t="s">
        <v>25</v>
      </c>
      <c r="C683" s="5" t="s">
        <v>5198</v>
      </c>
      <c r="D683" s="28" t="s">
        <v>2449</v>
      </c>
      <c r="E683" s="5" t="s">
        <v>61</v>
      </c>
      <c r="F683" s="5" t="s">
        <v>5073</v>
      </c>
      <c r="G683" s="5" t="s">
        <v>5076</v>
      </c>
      <c r="H683" s="5" t="s">
        <v>2435</v>
      </c>
      <c r="I683" s="5">
        <v>9.14</v>
      </c>
      <c r="J683" s="6" t="str">
        <f t="shared" si="20"/>
        <v>0</v>
      </c>
      <c r="K683" s="6">
        <f t="shared" si="21"/>
        <v>9.14</v>
      </c>
    </row>
    <row r="684" spans="1:11" x14ac:dyDescent="0.3">
      <c r="A684" s="5" t="s">
        <v>3601</v>
      </c>
      <c r="B684" s="5" t="s">
        <v>25</v>
      </c>
      <c r="C684" s="5" t="s">
        <v>5790</v>
      </c>
      <c r="D684" s="28" t="s">
        <v>2449</v>
      </c>
      <c r="E684" s="5" t="s">
        <v>61</v>
      </c>
      <c r="F684" s="5" t="s">
        <v>5076</v>
      </c>
      <c r="G684" s="5" t="s">
        <v>5076</v>
      </c>
      <c r="H684" s="5" t="s">
        <v>2408</v>
      </c>
      <c r="I684" s="5">
        <v>2.62</v>
      </c>
      <c r="J684" s="6" t="str">
        <f t="shared" si="20"/>
        <v>0</v>
      </c>
      <c r="K684" s="6">
        <f t="shared" si="21"/>
        <v>2.62</v>
      </c>
    </row>
    <row r="685" spans="1:11" x14ac:dyDescent="0.3">
      <c r="A685" s="5" t="s">
        <v>3848</v>
      </c>
      <c r="B685" s="5" t="s">
        <v>25</v>
      </c>
      <c r="C685" s="5" t="s">
        <v>6512</v>
      </c>
      <c r="D685" s="28" t="s">
        <v>2449</v>
      </c>
      <c r="E685" s="5" t="s">
        <v>61</v>
      </c>
      <c r="F685" s="5" t="s">
        <v>5070</v>
      </c>
      <c r="G685" s="5" t="s">
        <v>5081</v>
      </c>
      <c r="H685" s="5" t="s">
        <v>2423</v>
      </c>
      <c r="I685" s="5">
        <v>5.94</v>
      </c>
      <c r="J685" s="6" t="str">
        <f t="shared" si="20"/>
        <v>0</v>
      </c>
      <c r="K685" s="6">
        <f t="shared" si="21"/>
        <v>5.94</v>
      </c>
    </row>
    <row r="686" spans="1:11" x14ac:dyDescent="0.3">
      <c r="A686" s="5" t="s">
        <v>5328</v>
      </c>
      <c r="B686" s="5" t="s">
        <v>25</v>
      </c>
      <c r="C686" s="5" t="s">
        <v>5329</v>
      </c>
      <c r="D686" s="28" t="s">
        <v>2449</v>
      </c>
      <c r="E686" s="5" t="s">
        <v>61</v>
      </c>
      <c r="F686" s="5" t="s">
        <v>5070</v>
      </c>
      <c r="G686" s="5" t="s">
        <v>5081</v>
      </c>
      <c r="H686" s="5" t="s">
        <v>2408</v>
      </c>
      <c r="I686" s="5">
        <v>9.6</v>
      </c>
      <c r="J686" s="6" t="str">
        <f t="shared" si="20"/>
        <v>0</v>
      </c>
      <c r="K686" s="6">
        <f t="shared" si="21"/>
        <v>9.6</v>
      </c>
    </row>
    <row r="687" spans="1:11" x14ac:dyDescent="0.3">
      <c r="A687" s="5" t="s">
        <v>3310</v>
      </c>
      <c r="B687" s="5" t="s">
        <v>25</v>
      </c>
      <c r="C687" s="5" t="s">
        <v>6155</v>
      </c>
      <c r="D687" s="28" t="s">
        <v>2449</v>
      </c>
      <c r="E687" s="5" t="s">
        <v>61</v>
      </c>
      <c r="F687" s="5" t="s">
        <v>5071</v>
      </c>
      <c r="G687" s="5" t="s">
        <v>5083</v>
      </c>
      <c r="H687" s="5" t="s">
        <v>2455</v>
      </c>
      <c r="I687" s="5">
        <v>8.6300000000000008</v>
      </c>
      <c r="J687" s="6" t="str">
        <f t="shared" si="20"/>
        <v>1</v>
      </c>
      <c r="K687" s="6">
        <f t="shared" si="21"/>
        <v>8.6300000000000008</v>
      </c>
    </row>
    <row r="688" spans="1:11" x14ac:dyDescent="0.3">
      <c r="A688" s="5" t="s">
        <v>5739</v>
      </c>
      <c r="B688" s="5" t="s">
        <v>25</v>
      </c>
      <c r="C688" s="5" t="s">
        <v>5740</v>
      </c>
      <c r="D688" s="28" t="s">
        <v>2449</v>
      </c>
      <c r="E688" s="5" t="s">
        <v>61</v>
      </c>
      <c r="F688" s="5" t="s">
        <v>5070</v>
      </c>
      <c r="G688" s="5" t="s">
        <v>5081</v>
      </c>
      <c r="H688" s="5" t="s">
        <v>2418</v>
      </c>
      <c r="I688" s="5">
        <v>7.64</v>
      </c>
      <c r="J688" s="6" t="str">
        <f t="shared" si="20"/>
        <v>1</v>
      </c>
      <c r="K688" s="6">
        <f t="shared" si="21"/>
        <v>7.64</v>
      </c>
    </row>
    <row r="689" spans="1:11" x14ac:dyDescent="0.3">
      <c r="A689" s="5" t="s">
        <v>5977</v>
      </c>
      <c r="B689" s="5" t="s">
        <v>25</v>
      </c>
      <c r="C689" s="5" t="s">
        <v>5978</v>
      </c>
      <c r="D689" s="28" t="s">
        <v>2449</v>
      </c>
      <c r="E689" s="5" t="s">
        <v>61</v>
      </c>
      <c r="F689" s="5" t="s">
        <v>5073</v>
      </c>
      <c r="G689" s="5" t="s">
        <v>5073</v>
      </c>
      <c r="H689" s="5" t="s">
        <v>2408</v>
      </c>
      <c r="I689" s="5">
        <v>13.5</v>
      </c>
      <c r="J689" s="6" t="str">
        <f t="shared" si="20"/>
        <v>0</v>
      </c>
      <c r="K689" s="6">
        <f t="shared" si="21"/>
        <v>13.5</v>
      </c>
    </row>
    <row r="690" spans="1:11" x14ac:dyDescent="0.3">
      <c r="A690" s="5" t="s">
        <v>6366</v>
      </c>
      <c r="B690" s="5" t="s">
        <v>106</v>
      </c>
      <c r="C690" s="5" t="s">
        <v>6367</v>
      </c>
      <c r="D690" s="28" t="s">
        <v>2449</v>
      </c>
      <c r="E690" s="5" t="s">
        <v>61</v>
      </c>
      <c r="F690" s="5" t="s">
        <v>5081</v>
      </c>
      <c r="G690" s="5" t="s">
        <v>5071</v>
      </c>
      <c r="H690" s="5" t="s">
        <v>2408</v>
      </c>
      <c r="I690" s="5">
        <v>6.39</v>
      </c>
      <c r="J690" s="6" t="str">
        <f t="shared" si="20"/>
        <v>0</v>
      </c>
      <c r="K690" s="6">
        <f t="shared" si="21"/>
        <v>6.39</v>
      </c>
    </row>
    <row r="691" spans="1:11" x14ac:dyDescent="0.3">
      <c r="A691" s="5" t="s">
        <v>5617</v>
      </c>
      <c r="B691" s="5" t="s">
        <v>106</v>
      </c>
      <c r="C691" s="5" t="s">
        <v>5618</v>
      </c>
      <c r="D691" s="28" t="s">
        <v>2449</v>
      </c>
      <c r="E691" s="5" t="s">
        <v>61</v>
      </c>
      <c r="F691" s="5" t="s">
        <v>5071</v>
      </c>
      <c r="G691" s="5" t="s">
        <v>5073</v>
      </c>
      <c r="H691" s="5" t="s">
        <v>2435</v>
      </c>
      <c r="I691" s="5">
        <v>4.5199999999999996</v>
      </c>
      <c r="J691" s="6" t="str">
        <f t="shared" si="20"/>
        <v>0</v>
      </c>
      <c r="K691" s="6">
        <f t="shared" si="21"/>
        <v>4.5199999999999996</v>
      </c>
    </row>
    <row r="692" spans="1:11" x14ac:dyDescent="0.3">
      <c r="A692" s="5" t="s">
        <v>5755</v>
      </c>
      <c r="B692" s="5" t="s">
        <v>106</v>
      </c>
      <c r="C692" s="5" t="s">
        <v>5756</v>
      </c>
      <c r="D692" s="28" t="s">
        <v>2449</v>
      </c>
      <c r="E692" s="5" t="s">
        <v>61</v>
      </c>
      <c r="F692" s="5" t="s">
        <v>5071</v>
      </c>
      <c r="G692" s="5" t="s">
        <v>5070</v>
      </c>
      <c r="H692" s="5" t="s">
        <v>2423</v>
      </c>
      <c r="I692" s="5">
        <v>11.33</v>
      </c>
      <c r="J692" s="6" t="str">
        <f t="shared" si="20"/>
        <v>0</v>
      </c>
      <c r="K692" s="6">
        <f t="shared" si="21"/>
        <v>11.33</v>
      </c>
    </row>
    <row r="693" spans="1:11" x14ac:dyDescent="0.3">
      <c r="A693" s="5" t="s">
        <v>3322</v>
      </c>
      <c r="B693" s="5" t="s">
        <v>106</v>
      </c>
      <c r="C693" s="5" t="s">
        <v>5190</v>
      </c>
      <c r="D693" s="28" t="s">
        <v>2449</v>
      </c>
      <c r="E693" s="5" t="s">
        <v>61</v>
      </c>
      <c r="F693" s="5" t="s">
        <v>5070</v>
      </c>
      <c r="G693" s="5" t="s">
        <v>5070</v>
      </c>
      <c r="H693" s="5" t="s">
        <v>2477</v>
      </c>
      <c r="I693" s="5"/>
      <c r="J693" s="6" t="str">
        <f t="shared" si="20"/>
        <v>0</v>
      </c>
      <c r="K693" s="6">
        <f t="shared" si="21"/>
        <v>10.1</v>
      </c>
    </row>
    <row r="694" spans="1:11" x14ac:dyDescent="0.3">
      <c r="A694" s="5" t="s">
        <v>3217</v>
      </c>
      <c r="B694" s="5" t="s">
        <v>106</v>
      </c>
      <c r="C694" s="5" t="s">
        <v>5988</v>
      </c>
      <c r="D694" s="28" t="s">
        <v>2449</v>
      </c>
      <c r="E694" s="5" t="s">
        <v>61</v>
      </c>
      <c r="F694" s="5" t="s">
        <v>5070</v>
      </c>
      <c r="G694" s="5" t="s">
        <v>5083</v>
      </c>
      <c r="H694" s="5" t="s">
        <v>2455</v>
      </c>
      <c r="I694" s="5">
        <v>16.989999999999998</v>
      </c>
      <c r="J694" s="6" t="str">
        <f t="shared" si="20"/>
        <v>1</v>
      </c>
      <c r="K694" s="6">
        <f t="shared" si="21"/>
        <v>16.989999999999998</v>
      </c>
    </row>
    <row r="695" spans="1:11" x14ac:dyDescent="0.3">
      <c r="A695" s="5" t="s">
        <v>5735</v>
      </c>
      <c r="B695" s="5" t="s">
        <v>106</v>
      </c>
      <c r="C695" s="5" t="s">
        <v>5736</v>
      </c>
      <c r="D695" s="28" t="s">
        <v>2449</v>
      </c>
      <c r="E695" s="5" t="s">
        <v>61</v>
      </c>
      <c r="F695" s="5" t="s">
        <v>5071</v>
      </c>
      <c r="G695" s="5" t="s">
        <v>5081</v>
      </c>
      <c r="H695" s="5" t="s">
        <v>2450</v>
      </c>
      <c r="I695" s="5">
        <v>1.51</v>
      </c>
      <c r="J695" s="6" t="str">
        <f t="shared" si="20"/>
        <v>1</v>
      </c>
      <c r="K695" s="6">
        <f t="shared" si="21"/>
        <v>1.51</v>
      </c>
    </row>
    <row r="696" spans="1:11" x14ac:dyDescent="0.3">
      <c r="A696" s="5" t="s">
        <v>4482</v>
      </c>
      <c r="B696" s="5" t="s">
        <v>106</v>
      </c>
      <c r="C696" s="5" t="s">
        <v>5680</v>
      </c>
      <c r="D696" s="28" t="s">
        <v>2449</v>
      </c>
      <c r="E696" s="5" t="s">
        <v>61</v>
      </c>
      <c r="F696" s="5" t="s">
        <v>5083</v>
      </c>
      <c r="G696" s="5" t="s">
        <v>5076</v>
      </c>
      <c r="H696" s="5" t="s">
        <v>2435</v>
      </c>
      <c r="I696" s="5">
        <v>5.12</v>
      </c>
      <c r="J696" s="6" t="str">
        <f t="shared" si="20"/>
        <v>0</v>
      </c>
      <c r="K696" s="6">
        <f t="shared" si="21"/>
        <v>5.12</v>
      </c>
    </row>
    <row r="697" spans="1:11" x14ac:dyDescent="0.3">
      <c r="A697" s="5" t="s">
        <v>5098</v>
      </c>
      <c r="B697" s="5" t="s">
        <v>106</v>
      </c>
      <c r="C697" s="5" t="s">
        <v>5099</v>
      </c>
      <c r="D697" s="28" t="s">
        <v>2449</v>
      </c>
      <c r="E697" s="5" t="s">
        <v>61</v>
      </c>
      <c r="F697" s="5" t="s">
        <v>5083</v>
      </c>
      <c r="G697" s="5" t="s">
        <v>5083</v>
      </c>
      <c r="H697" s="5" t="s">
        <v>2439</v>
      </c>
      <c r="I697" s="5">
        <v>6.81</v>
      </c>
      <c r="J697" s="6" t="str">
        <f t="shared" si="20"/>
        <v>2</v>
      </c>
      <c r="K697" s="6">
        <f t="shared" si="21"/>
        <v>6.81</v>
      </c>
    </row>
    <row r="698" spans="1:11" x14ac:dyDescent="0.3">
      <c r="A698" s="5" t="s">
        <v>6530</v>
      </c>
      <c r="B698" s="5" t="s">
        <v>106</v>
      </c>
      <c r="C698" s="5" t="s">
        <v>6531</v>
      </c>
      <c r="D698" s="28" t="s">
        <v>2449</v>
      </c>
      <c r="E698" s="5" t="s">
        <v>61</v>
      </c>
      <c r="F698" s="5" t="s">
        <v>5070</v>
      </c>
      <c r="G698" s="5" t="s">
        <v>5083</v>
      </c>
      <c r="H698" s="5" t="s">
        <v>2408</v>
      </c>
      <c r="I698" s="5">
        <v>17.100000000000001</v>
      </c>
      <c r="J698" s="6" t="str">
        <f t="shared" si="20"/>
        <v>0</v>
      </c>
      <c r="K698" s="6">
        <f t="shared" si="21"/>
        <v>17.100000000000001</v>
      </c>
    </row>
    <row r="699" spans="1:11" x14ac:dyDescent="0.3">
      <c r="A699" s="5" t="s">
        <v>3922</v>
      </c>
      <c r="B699" s="5" t="s">
        <v>106</v>
      </c>
      <c r="C699" s="5" t="s">
        <v>5808</v>
      </c>
      <c r="D699" s="28" t="s">
        <v>2449</v>
      </c>
      <c r="E699" s="5" t="s">
        <v>61</v>
      </c>
      <c r="F699" s="5" t="s">
        <v>5071</v>
      </c>
      <c r="G699" s="5" t="s">
        <v>5076</v>
      </c>
      <c r="H699" s="5" t="s">
        <v>2418</v>
      </c>
      <c r="I699" s="5">
        <v>11.79</v>
      </c>
      <c r="J699" s="6" t="str">
        <f t="shared" si="20"/>
        <v>1</v>
      </c>
      <c r="K699" s="6">
        <f t="shared" si="21"/>
        <v>11.79</v>
      </c>
    </row>
    <row r="700" spans="1:11" x14ac:dyDescent="0.3">
      <c r="A700" s="5" t="s">
        <v>6010</v>
      </c>
      <c r="B700" s="5" t="s">
        <v>78</v>
      </c>
      <c r="C700" s="5" t="s">
        <v>6011</v>
      </c>
      <c r="D700" s="28" t="s">
        <v>2577</v>
      </c>
      <c r="E700" s="5" t="s">
        <v>61</v>
      </c>
      <c r="F700" s="5" t="s">
        <v>5081</v>
      </c>
      <c r="G700" s="5" t="s">
        <v>5076</v>
      </c>
      <c r="H700" s="5" t="s">
        <v>2412</v>
      </c>
      <c r="I700" s="5">
        <v>2.2599999999999998</v>
      </c>
      <c r="J700" s="6" t="str">
        <f t="shared" si="20"/>
        <v>1</v>
      </c>
      <c r="K700" s="6">
        <f t="shared" si="21"/>
        <v>2.2599999999999998</v>
      </c>
    </row>
    <row r="701" spans="1:11" x14ac:dyDescent="0.3">
      <c r="A701" s="5" t="s">
        <v>6294</v>
      </c>
      <c r="B701" s="5" t="s">
        <v>78</v>
      </c>
      <c r="C701" s="5" t="s">
        <v>6295</v>
      </c>
      <c r="D701" s="28" t="s">
        <v>2577</v>
      </c>
      <c r="E701" s="5" t="s">
        <v>61</v>
      </c>
      <c r="F701" s="5" t="s">
        <v>5076</v>
      </c>
      <c r="G701" s="5" t="s">
        <v>5081</v>
      </c>
      <c r="H701" s="5" t="s">
        <v>2455</v>
      </c>
      <c r="I701" s="5">
        <v>0.85</v>
      </c>
      <c r="J701" s="6" t="str">
        <f t="shared" si="20"/>
        <v>1</v>
      </c>
      <c r="K701" s="6">
        <f t="shared" si="21"/>
        <v>0.85</v>
      </c>
    </row>
    <row r="702" spans="1:11" x14ac:dyDescent="0.3">
      <c r="A702" s="5" t="s">
        <v>2910</v>
      </c>
      <c r="B702" s="5" t="s">
        <v>78</v>
      </c>
      <c r="C702" s="5" t="s">
        <v>6389</v>
      </c>
      <c r="D702" s="28" t="s">
        <v>2577</v>
      </c>
      <c r="E702" s="5" t="s">
        <v>61</v>
      </c>
      <c r="F702" s="5" t="s">
        <v>5071</v>
      </c>
      <c r="G702" s="5" t="s">
        <v>5083</v>
      </c>
      <c r="H702" s="5" t="s">
        <v>2450</v>
      </c>
      <c r="I702" s="5">
        <v>9.5299999999999994</v>
      </c>
      <c r="J702" s="6" t="str">
        <f t="shared" si="20"/>
        <v>1</v>
      </c>
      <c r="K702" s="6">
        <f t="shared" si="21"/>
        <v>9.5299999999999994</v>
      </c>
    </row>
    <row r="703" spans="1:11" x14ac:dyDescent="0.3">
      <c r="A703" s="5" t="s">
        <v>4759</v>
      </c>
      <c r="B703" s="5" t="s">
        <v>78</v>
      </c>
      <c r="C703" s="5" t="s">
        <v>6320</v>
      </c>
      <c r="D703" s="28" t="s">
        <v>2577</v>
      </c>
      <c r="E703" s="5" t="s">
        <v>61</v>
      </c>
      <c r="F703" s="5" t="s">
        <v>5073</v>
      </c>
      <c r="G703" s="5" t="s">
        <v>5071</v>
      </c>
      <c r="H703" s="5" t="s">
        <v>2455</v>
      </c>
      <c r="I703" s="5">
        <v>9.36</v>
      </c>
      <c r="J703" s="6" t="str">
        <f t="shared" si="20"/>
        <v>1</v>
      </c>
      <c r="K703" s="6">
        <f t="shared" si="21"/>
        <v>9.36</v>
      </c>
    </row>
    <row r="704" spans="1:11" x14ac:dyDescent="0.3">
      <c r="A704" s="5" t="s">
        <v>6402</v>
      </c>
      <c r="B704" s="5" t="s">
        <v>78</v>
      </c>
      <c r="C704" s="5" t="s">
        <v>6403</v>
      </c>
      <c r="D704" s="28" t="s">
        <v>2577</v>
      </c>
      <c r="E704" s="5" t="s">
        <v>61</v>
      </c>
      <c r="F704" s="5" t="s">
        <v>5081</v>
      </c>
      <c r="G704" s="5" t="s">
        <v>5073</v>
      </c>
      <c r="H704" s="5" t="s">
        <v>2408</v>
      </c>
      <c r="I704" s="5">
        <v>4.05</v>
      </c>
      <c r="J704" s="6" t="str">
        <f t="shared" si="20"/>
        <v>0</v>
      </c>
      <c r="K704" s="6">
        <f t="shared" si="21"/>
        <v>4.05</v>
      </c>
    </row>
    <row r="705" spans="1:11" x14ac:dyDescent="0.3">
      <c r="A705" s="5" t="s">
        <v>3174</v>
      </c>
      <c r="B705" s="5" t="s">
        <v>78</v>
      </c>
      <c r="C705" s="5" t="s">
        <v>5429</v>
      </c>
      <c r="D705" s="28" t="s">
        <v>2577</v>
      </c>
      <c r="E705" s="5" t="s">
        <v>61</v>
      </c>
      <c r="F705" s="5" t="s">
        <v>5073</v>
      </c>
      <c r="G705" s="5" t="s">
        <v>5071</v>
      </c>
      <c r="H705" s="5" t="s">
        <v>2477</v>
      </c>
      <c r="I705" s="5">
        <v>2.35</v>
      </c>
      <c r="J705" s="6" t="str">
        <f t="shared" si="20"/>
        <v>0</v>
      </c>
      <c r="K705" s="6">
        <f t="shared" si="21"/>
        <v>2.35</v>
      </c>
    </row>
    <row r="706" spans="1:11" x14ac:dyDescent="0.3">
      <c r="A706" s="5" t="s">
        <v>6150</v>
      </c>
      <c r="B706" s="5" t="s">
        <v>78</v>
      </c>
      <c r="C706" s="5" t="s">
        <v>6151</v>
      </c>
      <c r="D706" s="28" t="s">
        <v>2577</v>
      </c>
      <c r="E706" s="5" t="s">
        <v>61</v>
      </c>
      <c r="F706" s="5" t="s">
        <v>5076</v>
      </c>
      <c r="G706" s="5" t="s">
        <v>5076</v>
      </c>
      <c r="H706" s="5" t="s">
        <v>2455</v>
      </c>
      <c r="I706" s="5">
        <v>9.36</v>
      </c>
      <c r="J706" s="6" t="str">
        <f t="shared" ref="J706:J769" si="22">IF(OR(LOWER(TRIM(H706))="0",LOWER(TRIM(H706))="ZERO"),"0",IF(OR(LOWER(TRIM(H706))="1",LOWER(TRIM(H706))="one"),"1",IF(OR(LOWER(TRIM(H706))="2",LOWER(TRIM(H706))="two"),"2",IF(OR(LOWER(TRIM(H706))="2+",LOWER(TRIM(H706))="two_or_more",LOWER(TRIM(H706))="multiple"),"2+","Unknown"))))</f>
        <v>1</v>
      </c>
      <c r="K706" s="6">
        <f t="shared" si="21"/>
        <v>9.36</v>
      </c>
    </row>
    <row r="707" spans="1:11" x14ac:dyDescent="0.3">
      <c r="A707" s="5" t="s">
        <v>5639</v>
      </c>
      <c r="B707" s="5" t="s">
        <v>45</v>
      </c>
      <c r="C707" s="5" t="s">
        <v>5640</v>
      </c>
      <c r="D707" s="28" t="s">
        <v>2577</v>
      </c>
      <c r="E707" s="5" t="s">
        <v>61</v>
      </c>
      <c r="F707" s="5" t="s">
        <v>5081</v>
      </c>
      <c r="G707" s="5" t="s">
        <v>5073</v>
      </c>
      <c r="H707" s="5" t="s">
        <v>2412</v>
      </c>
      <c r="I707" s="5">
        <v>11.95</v>
      </c>
      <c r="J707" s="6" t="str">
        <f t="shared" si="22"/>
        <v>1</v>
      </c>
      <c r="K707" s="6">
        <f t="shared" ref="K707:K770" si="23">IF(I707="",ROUND(AVERAGEIF($B$2:$B$1000,B707,$I$2:$I$1000),1),I707)</f>
        <v>11.95</v>
      </c>
    </row>
    <row r="708" spans="1:11" x14ac:dyDescent="0.3">
      <c r="A708" s="5" t="s">
        <v>2684</v>
      </c>
      <c r="B708" s="5" t="s">
        <v>45</v>
      </c>
      <c r="C708" s="5" t="s">
        <v>6463</v>
      </c>
      <c r="D708" s="28" t="s">
        <v>2577</v>
      </c>
      <c r="E708" s="5" t="s">
        <v>61</v>
      </c>
      <c r="F708" s="5" t="s">
        <v>5083</v>
      </c>
      <c r="G708" s="5" t="s">
        <v>5076</v>
      </c>
      <c r="H708" s="5" t="s">
        <v>2408</v>
      </c>
      <c r="I708" s="5">
        <v>13</v>
      </c>
      <c r="J708" s="6" t="str">
        <f t="shared" si="22"/>
        <v>0</v>
      </c>
      <c r="K708" s="6">
        <f t="shared" si="23"/>
        <v>13</v>
      </c>
    </row>
    <row r="709" spans="1:11" x14ac:dyDescent="0.3">
      <c r="A709" s="5" t="s">
        <v>2586</v>
      </c>
      <c r="B709" s="5" t="s">
        <v>45</v>
      </c>
      <c r="C709" s="5" t="s">
        <v>5987</v>
      </c>
      <c r="D709" s="28" t="s">
        <v>2577</v>
      </c>
      <c r="E709" s="5" t="s">
        <v>61</v>
      </c>
      <c r="F709" s="5" t="s">
        <v>5073</v>
      </c>
      <c r="G709" s="5" t="s">
        <v>5076</v>
      </c>
      <c r="H709" s="5" t="s">
        <v>2477</v>
      </c>
      <c r="I709" s="5">
        <v>8.94</v>
      </c>
      <c r="J709" s="6" t="str">
        <f t="shared" si="22"/>
        <v>0</v>
      </c>
      <c r="K709" s="6">
        <f t="shared" si="23"/>
        <v>8.94</v>
      </c>
    </row>
    <row r="710" spans="1:11" x14ac:dyDescent="0.3">
      <c r="A710" s="5" t="s">
        <v>4909</v>
      </c>
      <c r="B710" s="5" t="s">
        <v>45</v>
      </c>
      <c r="C710" s="5" t="s">
        <v>5693</v>
      </c>
      <c r="D710" s="28" t="s">
        <v>2577</v>
      </c>
      <c r="E710" s="5" t="s">
        <v>61</v>
      </c>
      <c r="F710" s="5" t="s">
        <v>5081</v>
      </c>
      <c r="G710" s="5" t="s">
        <v>5070</v>
      </c>
      <c r="H710" s="5" t="s">
        <v>2435</v>
      </c>
      <c r="I710" s="5">
        <v>2.97</v>
      </c>
      <c r="J710" s="6" t="str">
        <f t="shared" si="22"/>
        <v>0</v>
      </c>
      <c r="K710" s="6">
        <f t="shared" si="23"/>
        <v>2.97</v>
      </c>
    </row>
    <row r="711" spans="1:11" x14ac:dyDescent="0.3">
      <c r="A711" s="5" t="s">
        <v>4428</v>
      </c>
      <c r="B711" s="5" t="s">
        <v>45</v>
      </c>
      <c r="C711" s="5" t="s">
        <v>5722</v>
      </c>
      <c r="D711" s="28" t="s">
        <v>2577</v>
      </c>
      <c r="E711" s="5" t="s">
        <v>61</v>
      </c>
      <c r="F711" s="5" t="s">
        <v>5081</v>
      </c>
      <c r="G711" s="5" t="s">
        <v>5073</v>
      </c>
      <c r="H711" s="5" t="s">
        <v>2477</v>
      </c>
      <c r="I711" s="5">
        <v>14.47</v>
      </c>
      <c r="J711" s="6" t="str">
        <f t="shared" si="22"/>
        <v>0</v>
      </c>
      <c r="K711" s="6">
        <f t="shared" si="23"/>
        <v>14.47</v>
      </c>
    </row>
    <row r="712" spans="1:11" x14ac:dyDescent="0.3">
      <c r="A712" s="5" t="s">
        <v>6138</v>
      </c>
      <c r="B712" s="5" t="s">
        <v>45</v>
      </c>
      <c r="C712" s="5" t="s">
        <v>6139</v>
      </c>
      <c r="D712" s="28" t="s">
        <v>2577</v>
      </c>
      <c r="E712" s="5" t="s">
        <v>61</v>
      </c>
      <c r="F712" s="5" t="s">
        <v>5071</v>
      </c>
      <c r="G712" s="5" t="s">
        <v>5081</v>
      </c>
      <c r="H712" s="5" t="s">
        <v>2746</v>
      </c>
      <c r="I712" s="5">
        <v>19.45</v>
      </c>
      <c r="J712" s="6" t="str">
        <f t="shared" si="22"/>
        <v>2</v>
      </c>
      <c r="K712" s="6">
        <f t="shared" si="23"/>
        <v>19.45</v>
      </c>
    </row>
    <row r="713" spans="1:11" x14ac:dyDescent="0.3">
      <c r="A713" s="5" t="s">
        <v>4075</v>
      </c>
      <c r="B713" s="5" t="s">
        <v>14</v>
      </c>
      <c r="C713" s="5" t="s">
        <v>6073</v>
      </c>
      <c r="D713" s="28" t="s">
        <v>2577</v>
      </c>
      <c r="E713" s="5" t="s">
        <v>61</v>
      </c>
      <c r="F713" s="5" t="s">
        <v>5071</v>
      </c>
      <c r="G713" s="5" t="s">
        <v>5083</v>
      </c>
      <c r="H713" s="5" t="s">
        <v>2423</v>
      </c>
      <c r="I713" s="5">
        <v>15.48</v>
      </c>
      <c r="J713" s="6" t="str">
        <f t="shared" si="22"/>
        <v>0</v>
      </c>
      <c r="K713" s="6">
        <f t="shared" si="23"/>
        <v>15.48</v>
      </c>
    </row>
    <row r="714" spans="1:11" x14ac:dyDescent="0.3">
      <c r="A714" s="5" t="s">
        <v>2816</v>
      </c>
      <c r="B714" s="5" t="s">
        <v>14</v>
      </c>
      <c r="C714" s="5" t="s">
        <v>5094</v>
      </c>
      <c r="D714" s="28" t="s">
        <v>2577</v>
      </c>
      <c r="E714" s="5" t="s">
        <v>61</v>
      </c>
      <c r="F714" s="5" t="s">
        <v>5070</v>
      </c>
      <c r="G714" s="5" t="s">
        <v>5083</v>
      </c>
      <c r="H714" s="5" t="s">
        <v>2450</v>
      </c>
      <c r="I714" s="5">
        <v>16.32</v>
      </c>
      <c r="J714" s="6" t="str">
        <f t="shared" si="22"/>
        <v>1</v>
      </c>
      <c r="K714" s="6">
        <f t="shared" si="23"/>
        <v>16.32</v>
      </c>
    </row>
    <row r="715" spans="1:11" x14ac:dyDescent="0.3">
      <c r="A715" s="5" t="s">
        <v>4727</v>
      </c>
      <c r="B715" s="5" t="s">
        <v>14</v>
      </c>
      <c r="C715" s="5" t="s">
        <v>5627</v>
      </c>
      <c r="D715" s="28" t="s">
        <v>2577</v>
      </c>
      <c r="E715" s="5" t="s">
        <v>61</v>
      </c>
      <c r="F715" s="5" t="s">
        <v>5081</v>
      </c>
      <c r="G715" s="5" t="s">
        <v>5071</v>
      </c>
      <c r="H715" s="5" t="s">
        <v>2455</v>
      </c>
      <c r="I715" s="5">
        <v>9.9700000000000006</v>
      </c>
      <c r="J715" s="6" t="str">
        <f t="shared" si="22"/>
        <v>1</v>
      </c>
      <c r="K715" s="6">
        <f t="shared" si="23"/>
        <v>9.9700000000000006</v>
      </c>
    </row>
    <row r="716" spans="1:11" x14ac:dyDescent="0.3">
      <c r="A716" s="5" t="s">
        <v>6459</v>
      </c>
      <c r="B716" s="5" t="s">
        <v>14</v>
      </c>
      <c r="C716" s="5" t="s">
        <v>6460</v>
      </c>
      <c r="D716" s="28" t="s">
        <v>2577</v>
      </c>
      <c r="E716" s="5" t="s">
        <v>61</v>
      </c>
      <c r="F716" s="5" t="s">
        <v>5073</v>
      </c>
      <c r="G716" s="5" t="s">
        <v>5076</v>
      </c>
      <c r="H716" s="5" t="s">
        <v>2450</v>
      </c>
      <c r="I716" s="5"/>
      <c r="J716" s="6" t="str">
        <f t="shared" si="22"/>
        <v>1</v>
      </c>
      <c r="K716" s="6">
        <f t="shared" si="23"/>
        <v>11</v>
      </c>
    </row>
    <row r="717" spans="1:11" x14ac:dyDescent="0.3">
      <c r="A717" s="5" t="s">
        <v>4810</v>
      </c>
      <c r="B717" s="5" t="s">
        <v>14</v>
      </c>
      <c r="C717" s="5" t="s">
        <v>6423</v>
      </c>
      <c r="D717" s="28" t="s">
        <v>2577</v>
      </c>
      <c r="E717" s="5" t="s">
        <v>61</v>
      </c>
      <c r="F717" s="5" t="s">
        <v>5076</v>
      </c>
      <c r="G717" s="5" t="s">
        <v>5083</v>
      </c>
      <c r="H717" s="5" t="s">
        <v>2439</v>
      </c>
      <c r="I717" s="5">
        <v>10.96</v>
      </c>
      <c r="J717" s="6" t="str">
        <f t="shared" si="22"/>
        <v>2</v>
      </c>
      <c r="K717" s="6">
        <f t="shared" si="23"/>
        <v>10.96</v>
      </c>
    </row>
    <row r="718" spans="1:11" x14ac:dyDescent="0.3">
      <c r="A718" s="5" t="s">
        <v>4506</v>
      </c>
      <c r="B718" s="5" t="s">
        <v>14</v>
      </c>
      <c r="C718" s="5" t="s">
        <v>6510</v>
      </c>
      <c r="D718" s="28" t="s">
        <v>2577</v>
      </c>
      <c r="E718" s="5" t="s">
        <v>61</v>
      </c>
      <c r="F718" s="5" t="s">
        <v>5083</v>
      </c>
      <c r="G718" s="5" t="s">
        <v>5070</v>
      </c>
      <c r="H718" s="5" t="s">
        <v>2418</v>
      </c>
      <c r="I718" s="5">
        <v>3.36</v>
      </c>
      <c r="J718" s="6" t="str">
        <f t="shared" si="22"/>
        <v>1</v>
      </c>
      <c r="K718" s="6">
        <f t="shared" si="23"/>
        <v>3.36</v>
      </c>
    </row>
    <row r="719" spans="1:11" x14ac:dyDescent="0.3">
      <c r="A719" s="5" t="s">
        <v>2945</v>
      </c>
      <c r="B719" s="5" t="s">
        <v>14</v>
      </c>
      <c r="C719" s="5" t="s">
        <v>5412</v>
      </c>
      <c r="D719" s="28" t="s">
        <v>2577</v>
      </c>
      <c r="E719" s="5" t="s">
        <v>61</v>
      </c>
      <c r="F719" s="5" t="s">
        <v>5070</v>
      </c>
      <c r="G719" s="5" t="s">
        <v>5076</v>
      </c>
      <c r="H719" s="5" t="s">
        <v>2412</v>
      </c>
      <c r="I719" s="5">
        <v>12.24</v>
      </c>
      <c r="J719" s="6" t="str">
        <f t="shared" si="22"/>
        <v>1</v>
      </c>
      <c r="K719" s="6">
        <f t="shared" si="23"/>
        <v>12.24</v>
      </c>
    </row>
    <row r="720" spans="1:11" x14ac:dyDescent="0.3">
      <c r="A720" s="5" t="s">
        <v>2599</v>
      </c>
      <c r="B720" s="5" t="s">
        <v>117</v>
      </c>
      <c r="C720" s="5" t="s">
        <v>5870</v>
      </c>
      <c r="D720" s="28" t="s">
        <v>2577</v>
      </c>
      <c r="E720" s="5" t="s">
        <v>61</v>
      </c>
      <c r="F720" s="5" t="s">
        <v>5083</v>
      </c>
      <c r="G720" s="5" t="s">
        <v>5070</v>
      </c>
      <c r="H720" s="5" t="s">
        <v>2477</v>
      </c>
      <c r="I720" s="5">
        <v>12.37</v>
      </c>
      <c r="J720" s="6" t="str">
        <f t="shared" si="22"/>
        <v>0</v>
      </c>
      <c r="K720" s="6">
        <f t="shared" si="23"/>
        <v>12.37</v>
      </c>
    </row>
    <row r="721" spans="1:11" x14ac:dyDescent="0.3">
      <c r="A721" s="5" t="s">
        <v>4160</v>
      </c>
      <c r="B721" s="5" t="s">
        <v>117</v>
      </c>
      <c r="C721" s="5" t="s">
        <v>6224</v>
      </c>
      <c r="D721" s="28" t="s">
        <v>2577</v>
      </c>
      <c r="E721" s="5" t="s">
        <v>61</v>
      </c>
      <c r="F721" s="5" t="s">
        <v>5071</v>
      </c>
      <c r="G721" s="5" t="s">
        <v>5083</v>
      </c>
      <c r="H721" s="5" t="s">
        <v>2746</v>
      </c>
      <c r="I721" s="5">
        <v>13.42</v>
      </c>
      <c r="J721" s="6" t="str">
        <f t="shared" si="22"/>
        <v>2</v>
      </c>
      <c r="K721" s="6">
        <f t="shared" si="23"/>
        <v>13.42</v>
      </c>
    </row>
    <row r="722" spans="1:11" x14ac:dyDescent="0.3">
      <c r="A722" s="5" t="s">
        <v>2826</v>
      </c>
      <c r="B722" s="5" t="s">
        <v>117</v>
      </c>
      <c r="C722" s="5" t="s">
        <v>5568</v>
      </c>
      <c r="D722" s="28" t="s">
        <v>2577</v>
      </c>
      <c r="E722" s="5" t="s">
        <v>61</v>
      </c>
      <c r="F722" s="5" t="s">
        <v>5076</v>
      </c>
      <c r="G722" s="5" t="s">
        <v>5071</v>
      </c>
      <c r="H722" s="5"/>
      <c r="I722" s="5">
        <v>17.02</v>
      </c>
      <c r="J722" s="6" t="str">
        <f t="shared" si="22"/>
        <v>Unknown</v>
      </c>
      <c r="K722" s="6">
        <f t="shared" si="23"/>
        <v>17.02</v>
      </c>
    </row>
    <row r="723" spans="1:11" x14ac:dyDescent="0.3">
      <c r="A723" s="5" t="s">
        <v>6416</v>
      </c>
      <c r="B723" s="5" t="s">
        <v>117</v>
      </c>
      <c r="C723" s="5" t="s">
        <v>6417</v>
      </c>
      <c r="D723" s="28" t="s">
        <v>2577</v>
      </c>
      <c r="E723" s="5" t="s">
        <v>61</v>
      </c>
      <c r="F723" s="5" t="s">
        <v>5073</v>
      </c>
      <c r="G723" s="5" t="s">
        <v>5083</v>
      </c>
      <c r="H723" s="5" t="s">
        <v>2412</v>
      </c>
      <c r="I723" s="5">
        <v>3.1</v>
      </c>
      <c r="J723" s="6" t="str">
        <f t="shared" si="22"/>
        <v>1</v>
      </c>
      <c r="K723" s="6">
        <f t="shared" si="23"/>
        <v>3.1</v>
      </c>
    </row>
    <row r="724" spans="1:11" x14ac:dyDescent="0.3">
      <c r="A724" s="5" t="s">
        <v>3662</v>
      </c>
      <c r="B724" s="5" t="s">
        <v>117</v>
      </c>
      <c r="C724" s="5" t="s">
        <v>5895</v>
      </c>
      <c r="D724" s="28" t="s">
        <v>2577</v>
      </c>
      <c r="E724" s="5" t="s">
        <v>61</v>
      </c>
      <c r="F724" s="5" t="s">
        <v>5070</v>
      </c>
      <c r="G724" s="5" t="s">
        <v>5076</v>
      </c>
      <c r="H724" s="5" t="s">
        <v>2423</v>
      </c>
      <c r="I724" s="5">
        <v>3.88</v>
      </c>
      <c r="J724" s="6" t="str">
        <f t="shared" si="22"/>
        <v>0</v>
      </c>
      <c r="K724" s="6">
        <f t="shared" si="23"/>
        <v>3.88</v>
      </c>
    </row>
    <row r="725" spans="1:11" x14ac:dyDescent="0.3">
      <c r="A725" s="5" t="s">
        <v>4757</v>
      </c>
      <c r="B725" s="5" t="s">
        <v>117</v>
      </c>
      <c r="C725" s="5" t="s">
        <v>5734</v>
      </c>
      <c r="D725" s="28" t="s">
        <v>2577</v>
      </c>
      <c r="E725" s="5" t="s">
        <v>61</v>
      </c>
      <c r="F725" s="5" t="s">
        <v>5071</v>
      </c>
      <c r="G725" s="5" t="s">
        <v>5073</v>
      </c>
      <c r="H725" s="5" t="s">
        <v>2450</v>
      </c>
      <c r="I725" s="5">
        <v>19.100000000000001</v>
      </c>
      <c r="J725" s="6" t="str">
        <f t="shared" si="22"/>
        <v>1</v>
      </c>
      <c r="K725" s="6">
        <f t="shared" si="23"/>
        <v>19.100000000000001</v>
      </c>
    </row>
    <row r="726" spans="1:11" x14ac:dyDescent="0.3">
      <c r="A726" s="5" t="s">
        <v>5927</v>
      </c>
      <c r="B726" s="5" t="s">
        <v>25</v>
      </c>
      <c r="C726" s="5" t="s">
        <v>5928</v>
      </c>
      <c r="D726" s="28" t="s">
        <v>2577</v>
      </c>
      <c r="E726" s="5" t="s">
        <v>61</v>
      </c>
      <c r="F726" s="5" t="s">
        <v>5081</v>
      </c>
      <c r="G726" s="5" t="s">
        <v>5070</v>
      </c>
      <c r="H726" s="5" t="s">
        <v>2423</v>
      </c>
      <c r="I726" s="5">
        <v>10.43</v>
      </c>
      <c r="J726" s="6" t="str">
        <f t="shared" si="22"/>
        <v>0</v>
      </c>
      <c r="K726" s="6">
        <f t="shared" si="23"/>
        <v>10.43</v>
      </c>
    </row>
    <row r="727" spans="1:11" x14ac:dyDescent="0.3">
      <c r="A727" s="5" t="s">
        <v>5391</v>
      </c>
      <c r="B727" s="5" t="s">
        <v>25</v>
      </c>
      <c r="C727" s="5" t="s">
        <v>5392</v>
      </c>
      <c r="D727" s="28" t="s">
        <v>2577</v>
      </c>
      <c r="E727" s="5" t="s">
        <v>61</v>
      </c>
      <c r="F727" s="5" t="s">
        <v>5081</v>
      </c>
      <c r="G727" s="5" t="s">
        <v>5076</v>
      </c>
      <c r="H727" s="5" t="s">
        <v>2412</v>
      </c>
      <c r="I727" s="5">
        <v>17.59</v>
      </c>
      <c r="J727" s="6" t="str">
        <f t="shared" si="22"/>
        <v>1</v>
      </c>
      <c r="K727" s="6">
        <f t="shared" si="23"/>
        <v>17.59</v>
      </c>
    </row>
    <row r="728" spans="1:11" x14ac:dyDescent="0.3">
      <c r="A728" s="5" t="s">
        <v>5585</v>
      </c>
      <c r="B728" s="5" t="s">
        <v>25</v>
      </c>
      <c r="C728" s="5" t="s">
        <v>5586</v>
      </c>
      <c r="D728" s="28" t="s">
        <v>2577</v>
      </c>
      <c r="E728" s="5" t="s">
        <v>61</v>
      </c>
      <c r="F728" s="5" t="s">
        <v>5083</v>
      </c>
      <c r="G728" s="5" t="s">
        <v>5073</v>
      </c>
      <c r="H728" s="5" t="s">
        <v>2486</v>
      </c>
      <c r="I728" s="5">
        <v>16.649999999999999</v>
      </c>
      <c r="J728" s="6" t="str">
        <f t="shared" si="22"/>
        <v>2+</v>
      </c>
      <c r="K728" s="6">
        <f t="shared" si="23"/>
        <v>16.649999999999999</v>
      </c>
    </row>
    <row r="729" spans="1:11" x14ac:dyDescent="0.3">
      <c r="A729" s="5" t="s">
        <v>3164</v>
      </c>
      <c r="B729" s="5" t="s">
        <v>25</v>
      </c>
      <c r="C729" s="5" t="s">
        <v>5906</v>
      </c>
      <c r="D729" s="28" t="s">
        <v>2577</v>
      </c>
      <c r="E729" s="5" t="s">
        <v>61</v>
      </c>
      <c r="F729" s="5" t="s">
        <v>5083</v>
      </c>
      <c r="G729" s="5" t="s">
        <v>5076</v>
      </c>
      <c r="H729" s="5" t="s">
        <v>2408</v>
      </c>
      <c r="I729" s="5">
        <v>12.86</v>
      </c>
      <c r="J729" s="6" t="str">
        <f t="shared" si="22"/>
        <v>0</v>
      </c>
      <c r="K729" s="6">
        <f t="shared" si="23"/>
        <v>12.86</v>
      </c>
    </row>
    <row r="730" spans="1:11" x14ac:dyDescent="0.3">
      <c r="A730" s="5" t="s">
        <v>3796</v>
      </c>
      <c r="B730" s="5" t="s">
        <v>25</v>
      </c>
      <c r="C730" s="5" t="s">
        <v>5940</v>
      </c>
      <c r="D730" s="28" t="s">
        <v>2577</v>
      </c>
      <c r="E730" s="5" t="s">
        <v>61</v>
      </c>
      <c r="F730" s="5" t="s">
        <v>5071</v>
      </c>
      <c r="G730" s="5" t="s">
        <v>5081</v>
      </c>
      <c r="H730" s="5" t="s">
        <v>2408</v>
      </c>
      <c r="I730" s="5">
        <v>14.91</v>
      </c>
      <c r="J730" s="6" t="str">
        <f t="shared" si="22"/>
        <v>0</v>
      </c>
      <c r="K730" s="6">
        <f t="shared" si="23"/>
        <v>14.91</v>
      </c>
    </row>
    <row r="731" spans="1:11" x14ac:dyDescent="0.3">
      <c r="A731" s="5" t="s">
        <v>6344</v>
      </c>
      <c r="B731" s="5" t="s">
        <v>25</v>
      </c>
      <c r="C731" s="5" t="s">
        <v>6345</v>
      </c>
      <c r="D731" s="28" t="s">
        <v>2577</v>
      </c>
      <c r="E731" s="5" t="s">
        <v>61</v>
      </c>
      <c r="F731" s="5" t="s">
        <v>5073</v>
      </c>
      <c r="G731" s="5" t="s">
        <v>5076</v>
      </c>
      <c r="H731" s="5" t="s">
        <v>2435</v>
      </c>
      <c r="I731" s="5">
        <v>4.67</v>
      </c>
      <c r="J731" s="6" t="str">
        <f t="shared" si="22"/>
        <v>0</v>
      </c>
      <c r="K731" s="6">
        <f t="shared" si="23"/>
        <v>4.67</v>
      </c>
    </row>
    <row r="732" spans="1:11" x14ac:dyDescent="0.3">
      <c r="A732" s="5" t="s">
        <v>5557</v>
      </c>
      <c r="B732" s="5" t="s">
        <v>25</v>
      </c>
      <c r="C732" s="5" t="s">
        <v>5558</v>
      </c>
      <c r="D732" s="28" t="s">
        <v>2577</v>
      </c>
      <c r="E732" s="5" t="s">
        <v>61</v>
      </c>
      <c r="F732" s="5" t="s">
        <v>5073</v>
      </c>
      <c r="G732" s="5" t="s">
        <v>5076</v>
      </c>
      <c r="H732" s="5" t="s">
        <v>2412</v>
      </c>
      <c r="I732" s="5">
        <v>12.21</v>
      </c>
      <c r="J732" s="6" t="str">
        <f t="shared" si="22"/>
        <v>1</v>
      </c>
      <c r="K732" s="6">
        <f t="shared" si="23"/>
        <v>12.21</v>
      </c>
    </row>
    <row r="733" spans="1:11" x14ac:dyDescent="0.3">
      <c r="A733" s="5" t="s">
        <v>5304</v>
      </c>
      <c r="B733" s="5" t="s">
        <v>25</v>
      </c>
      <c r="C733" s="5" t="s">
        <v>5305</v>
      </c>
      <c r="D733" s="28" t="s">
        <v>2577</v>
      </c>
      <c r="E733" s="5" t="s">
        <v>61</v>
      </c>
      <c r="F733" s="5" t="s">
        <v>5070</v>
      </c>
      <c r="G733" s="5" t="s">
        <v>5073</v>
      </c>
      <c r="H733" s="5" t="s">
        <v>2435</v>
      </c>
      <c r="I733" s="5">
        <v>15.72</v>
      </c>
      <c r="J733" s="6" t="str">
        <f t="shared" si="22"/>
        <v>0</v>
      </c>
      <c r="K733" s="6">
        <f t="shared" si="23"/>
        <v>15.72</v>
      </c>
    </row>
    <row r="734" spans="1:11" x14ac:dyDescent="0.3">
      <c r="A734" s="5" t="s">
        <v>3012</v>
      </c>
      <c r="B734" s="5" t="s">
        <v>25</v>
      </c>
      <c r="C734" s="5" t="s">
        <v>6265</v>
      </c>
      <c r="D734" s="28" t="s">
        <v>2577</v>
      </c>
      <c r="E734" s="5" t="s">
        <v>61</v>
      </c>
      <c r="F734" s="5" t="s">
        <v>5076</v>
      </c>
      <c r="G734" s="5" t="s">
        <v>5076</v>
      </c>
      <c r="H734" s="5" t="s">
        <v>2423</v>
      </c>
      <c r="I734" s="5">
        <v>1.23</v>
      </c>
      <c r="J734" s="6" t="str">
        <f t="shared" si="22"/>
        <v>0</v>
      </c>
      <c r="K734" s="6">
        <f t="shared" si="23"/>
        <v>1.23</v>
      </c>
    </row>
    <row r="735" spans="1:11" x14ac:dyDescent="0.3">
      <c r="A735" s="5" t="s">
        <v>5663</v>
      </c>
      <c r="B735" s="5" t="s">
        <v>106</v>
      </c>
      <c r="C735" s="5" t="s">
        <v>5664</v>
      </c>
      <c r="D735" s="28" t="s">
        <v>2577</v>
      </c>
      <c r="E735" s="5" t="s">
        <v>61</v>
      </c>
      <c r="F735" s="5" t="s">
        <v>5071</v>
      </c>
      <c r="G735" s="5" t="s">
        <v>5073</v>
      </c>
      <c r="H735" s="5" t="s">
        <v>2412</v>
      </c>
      <c r="I735" s="5"/>
      <c r="J735" s="6" t="str">
        <f t="shared" si="22"/>
        <v>1</v>
      </c>
      <c r="K735" s="6">
        <f t="shared" si="23"/>
        <v>10.1</v>
      </c>
    </row>
    <row r="736" spans="1:11" x14ac:dyDescent="0.3">
      <c r="A736" s="5" t="s">
        <v>4077</v>
      </c>
      <c r="B736" s="5" t="s">
        <v>106</v>
      </c>
      <c r="C736" s="5" t="s">
        <v>5406</v>
      </c>
      <c r="D736" s="28" t="s">
        <v>2577</v>
      </c>
      <c r="E736" s="5" t="s">
        <v>61</v>
      </c>
      <c r="F736" s="5" t="s">
        <v>5071</v>
      </c>
      <c r="G736" s="5" t="s">
        <v>5083</v>
      </c>
      <c r="H736" s="5" t="s">
        <v>2408</v>
      </c>
      <c r="I736" s="5">
        <v>2.08</v>
      </c>
      <c r="J736" s="6" t="str">
        <f t="shared" si="22"/>
        <v>0</v>
      </c>
      <c r="K736" s="6">
        <f t="shared" si="23"/>
        <v>2.08</v>
      </c>
    </row>
    <row r="737" spans="1:11" x14ac:dyDescent="0.3">
      <c r="A737" s="5" t="s">
        <v>5522</v>
      </c>
      <c r="B737" s="5" t="s">
        <v>106</v>
      </c>
      <c r="C737" s="5" t="s">
        <v>5126</v>
      </c>
      <c r="D737" s="28" t="s">
        <v>2577</v>
      </c>
      <c r="E737" s="5" t="s">
        <v>61</v>
      </c>
      <c r="F737" s="5" t="s">
        <v>5076</v>
      </c>
      <c r="G737" s="5" t="s">
        <v>5076</v>
      </c>
      <c r="H737" s="5" t="s">
        <v>2477</v>
      </c>
      <c r="I737" s="5">
        <v>8.98</v>
      </c>
      <c r="J737" s="6" t="str">
        <f t="shared" si="22"/>
        <v>0</v>
      </c>
      <c r="K737" s="6">
        <f t="shared" si="23"/>
        <v>8.98</v>
      </c>
    </row>
    <row r="738" spans="1:11" x14ac:dyDescent="0.3">
      <c r="A738" s="5" t="s">
        <v>5518</v>
      </c>
      <c r="B738" s="5" t="s">
        <v>106</v>
      </c>
      <c r="C738" s="5" t="s">
        <v>5519</v>
      </c>
      <c r="D738" s="28" t="s">
        <v>2577</v>
      </c>
      <c r="E738" s="5" t="s">
        <v>61</v>
      </c>
      <c r="F738" s="5" t="s">
        <v>5070</v>
      </c>
      <c r="G738" s="5" t="s">
        <v>5071</v>
      </c>
      <c r="H738" s="5" t="s">
        <v>2505</v>
      </c>
      <c r="I738" s="5">
        <v>7.28</v>
      </c>
      <c r="J738" s="6" t="str">
        <f t="shared" si="22"/>
        <v>2+</v>
      </c>
      <c r="K738" s="6">
        <f t="shared" si="23"/>
        <v>7.28</v>
      </c>
    </row>
    <row r="739" spans="1:11" x14ac:dyDescent="0.3">
      <c r="A739" s="5" t="s">
        <v>2576</v>
      </c>
      <c r="B739" s="5" t="s">
        <v>106</v>
      </c>
      <c r="C739" s="5" t="s">
        <v>6119</v>
      </c>
      <c r="D739" s="28" t="s">
        <v>2577</v>
      </c>
      <c r="E739" s="5" t="s">
        <v>61</v>
      </c>
      <c r="F739" s="5" t="s">
        <v>5076</v>
      </c>
      <c r="G739" s="5" t="s">
        <v>5073</v>
      </c>
      <c r="H739" s="5" t="s">
        <v>2408</v>
      </c>
      <c r="I739" s="5">
        <v>3.69</v>
      </c>
      <c r="J739" s="6" t="str">
        <f t="shared" si="22"/>
        <v>0</v>
      </c>
      <c r="K739" s="6">
        <f t="shared" si="23"/>
        <v>3.69</v>
      </c>
    </row>
    <row r="740" spans="1:11" x14ac:dyDescent="0.3">
      <c r="A740" s="5" t="s">
        <v>5856</v>
      </c>
      <c r="B740" s="5" t="s">
        <v>106</v>
      </c>
      <c r="C740" s="5" t="s">
        <v>5857</v>
      </c>
      <c r="D740" s="28" t="s">
        <v>2577</v>
      </c>
      <c r="E740" s="5" t="s">
        <v>61</v>
      </c>
      <c r="F740" s="5" t="s">
        <v>5081</v>
      </c>
      <c r="G740" s="5" t="s">
        <v>5073</v>
      </c>
      <c r="H740" s="5" t="s">
        <v>2418</v>
      </c>
      <c r="I740" s="5">
        <v>15.09</v>
      </c>
      <c r="J740" s="6" t="str">
        <f t="shared" si="22"/>
        <v>1</v>
      </c>
      <c r="K740" s="6">
        <f t="shared" si="23"/>
        <v>15.09</v>
      </c>
    </row>
    <row r="741" spans="1:11" x14ac:dyDescent="0.3">
      <c r="A741" s="5" t="s">
        <v>5878</v>
      </c>
      <c r="B741" s="5" t="s">
        <v>106</v>
      </c>
      <c r="C741" s="5" t="s">
        <v>5879</v>
      </c>
      <c r="D741" s="28" t="s">
        <v>2577</v>
      </c>
      <c r="E741" s="5" t="s">
        <v>61</v>
      </c>
      <c r="F741" s="5" t="s">
        <v>5076</v>
      </c>
      <c r="G741" s="5" t="s">
        <v>5073</v>
      </c>
      <c r="H741" s="5"/>
      <c r="I741" s="5">
        <v>3.54</v>
      </c>
      <c r="J741" s="6" t="str">
        <f t="shared" si="22"/>
        <v>Unknown</v>
      </c>
      <c r="K741" s="6">
        <f t="shared" si="23"/>
        <v>3.54</v>
      </c>
    </row>
    <row r="742" spans="1:11" x14ac:dyDescent="0.3">
      <c r="A742" s="5" t="s">
        <v>5621</v>
      </c>
      <c r="B742" s="5" t="s">
        <v>106</v>
      </c>
      <c r="C742" s="5" t="s">
        <v>5622</v>
      </c>
      <c r="D742" s="28" t="s">
        <v>2577</v>
      </c>
      <c r="E742" s="5" t="s">
        <v>61</v>
      </c>
      <c r="F742" s="5" t="s">
        <v>5083</v>
      </c>
      <c r="G742" s="5" t="s">
        <v>5081</v>
      </c>
      <c r="H742" s="5" t="s">
        <v>2423</v>
      </c>
      <c r="I742" s="5">
        <v>19.57</v>
      </c>
      <c r="J742" s="6" t="str">
        <f t="shared" si="22"/>
        <v>0</v>
      </c>
      <c r="K742" s="6">
        <f t="shared" si="23"/>
        <v>19.57</v>
      </c>
    </row>
    <row r="743" spans="1:11" x14ac:dyDescent="0.3">
      <c r="A743" s="5" t="s">
        <v>2906</v>
      </c>
      <c r="B743" s="5" t="s">
        <v>106</v>
      </c>
      <c r="C743" s="5" t="s">
        <v>5540</v>
      </c>
      <c r="D743" s="28" t="s">
        <v>2577</v>
      </c>
      <c r="E743" s="5" t="s">
        <v>61</v>
      </c>
      <c r="F743" s="5" t="s">
        <v>5073</v>
      </c>
      <c r="G743" s="5" t="s">
        <v>5081</v>
      </c>
      <c r="H743" s="5" t="s">
        <v>2412</v>
      </c>
      <c r="I743" s="5">
        <v>15.14</v>
      </c>
      <c r="J743" s="6" t="str">
        <f t="shared" si="22"/>
        <v>1</v>
      </c>
      <c r="K743" s="6">
        <f t="shared" si="23"/>
        <v>15.14</v>
      </c>
    </row>
    <row r="744" spans="1:11" x14ac:dyDescent="0.3">
      <c r="A744" s="5" t="s">
        <v>2597</v>
      </c>
      <c r="B744" s="5" t="s">
        <v>106</v>
      </c>
      <c r="C744" s="5" t="s">
        <v>5711</v>
      </c>
      <c r="D744" s="28" t="s">
        <v>2577</v>
      </c>
      <c r="E744" s="5" t="s">
        <v>61</v>
      </c>
      <c r="F744" s="5" t="s">
        <v>5076</v>
      </c>
      <c r="G744" s="5" t="s">
        <v>5081</v>
      </c>
      <c r="H744" s="5"/>
      <c r="I744" s="5">
        <v>7.69</v>
      </c>
      <c r="J744" s="6" t="str">
        <f t="shared" si="22"/>
        <v>Unknown</v>
      </c>
      <c r="K744" s="6">
        <f t="shared" si="23"/>
        <v>7.69</v>
      </c>
    </row>
    <row r="745" spans="1:11" x14ac:dyDescent="0.3">
      <c r="A745" s="5" t="s">
        <v>5575</v>
      </c>
      <c r="B745" s="5" t="s">
        <v>78</v>
      </c>
      <c r="C745" s="5" t="s">
        <v>5576</v>
      </c>
      <c r="D745" s="28" t="s">
        <v>2454</v>
      </c>
      <c r="E745" s="5" t="s">
        <v>61</v>
      </c>
      <c r="F745" s="5" t="s">
        <v>5073</v>
      </c>
      <c r="G745" s="5" t="s">
        <v>5071</v>
      </c>
      <c r="H745" s="5" t="s">
        <v>2412</v>
      </c>
      <c r="I745" s="5">
        <v>5.0199999999999996</v>
      </c>
      <c r="J745" s="6" t="str">
        <f t="shared" si="22"/>
        <v>1</v>
      </c>
      <c r="K745" s="6">
        <f t="shared" si="23"/>
        <v>5.0199999999999996</v>
      </c>
    </row>
    <row r="746" spans="1:11" x14ac:dyDescent="0.3">
      <c r="A746" s="5" t="s">
        <v>3746</v>
      </c>
      <c r="B746" s="5" t="s">
        <v>78</v>
      </c>
      <c r="C746" s="5" t="s">
        <v>6581</v>
      </c>
      <c r="D746" s="28" t="s">
        <v>2454</v>
      </c>
      <c r="E746" s="5" t="s">
        <v>61</v>
      </c>
      <c r="F746" s="5" t="s">
        <v>5071</v>
      </c>
      <c r="G746" s="5" t="s">
        <v>5071</v>
      </c>
      <c r="H746" s="5" t="s">
        <v>2435</v>
      </c>
      <c r="I746" s="5">
        <v>12.35</v>
      </c>
      <c r="J746" s="6" t="str">
        <f t="shared" si="22"/>
        <v>0</v>
      </c>
      <c r="K746" s="6">
        <f t="shared" si="23"/>
        <v>12.35</v>
      </c>
    </row>
    <row r="747" spans="1:11" x14ac:dyDescent="0.3">
      <c r="A747" s="5" t="s">
        <v>5199</v>
      </c>
      <c r="B747" s="5" t="s">
        <v>78</v>
      </c>
      <c r="C747" s="5" t="s">
        <v>5200</v>
      </c>
      <c r="D747" s="28" t="s">
        <v>2454</v>
      </c>
      <c r="E747" s="5" t="s">
        <v>61</v>
      </c>
      <c r="F747" s="5" t="s">
        <v>5070</v>
      </c>
      <c r="G747" s="5" t="s">
        <v>5081</v>
      </c>
      <c r="H747" s="5"/>
      <c r="I747" s="5"/>
      <c r="J747" s="6" t="str">
        <f t="shared" si="22"/>
        <v>Unknown</v>
      </c>
      <c r="K747" s="6">
        <f t="shared" si="23"/>
        <v>9.6999999999999993</v>
      </c>
    </row>
    <row r="748" spans="1:11" x14ac:dyDescent="0.3">
      <c r="A748" s="5" t="s">
        <v>3678</v>
      </c>
      <c r="B748" s="5" t="s">
        <v>78</v>
      </c>
      <c r="C748" s="5" t="s">
        <v>6145</v>
      </c>
      <c r="D748" s="28" t="s">
        <v>2454</v>
      </c>
      <c r="E748" s="5" t="s">
        <v>61</v>
      </c>
      <c r="F748" s="5" t="s">
        <v>5073</v>
      </c>
      <c r="G748" s="5" t="s">
        <v>5071</v>
      </c>
      <c r="H748" s="5" t="s">
        <v>2418</v>
      </c>
      <c r="I748" s="5">
        <v>11.22</v>
      </c>
      <c r="J748" s="6" t="str">
        <f t="shared" si="22"/>
        <v>1</v>
      </c>
      <c r="K748" s="6">
        <f t="shared" si="23"/>
        <v>11.22</v>
      </c>
    </row>
    <row r="749" spans="1:11" x14ac:dyDescent="0.3">
      <c r="A749" s="5" t="s">
        <v>4973</v>
      </c>
      <c r="B749" s="5" t="s">
        <v>45</v>
      </c>
      <c r="C749" s="5" t="s">
        <v>6017</v>
      </c>
      <c r="D749" s="28" t="s">
        <v>2454</v>
      </c>
      <c r="E749" s="5" t="s">
        <v>61</v>
      </c>
      <c r="F749" s="5" t="s">
        <v>5076</v>
      </c>
      <c r="G749" s="5" t="s">
        <v>5073</v>
      </c>
      <c r="H749" s="5" t="s">
        <v>2435</v>
      </c>
      <c r="I749" s="5">
        <v>2.44</v>
      </c>
      <c r="J749" s="6" t="str">
        <f t="shared" si="22"/>
        <v>0</v>
      </c>
      <c r="K749" s="6">
        <f t="shared" si="23"/>
        <v>2.44</v>
      </c>
    </row>
    <row r="750" spans="1:11" x14ac:dyDescent="0.3">
      <c r="A750" s="5" t="s">
        <v>2539</v>
      </c>
      <c r="B750" s="5" t="s">
        <v>45</v>
      </c>
      <c r="C750" s="5" t="s">
        <v>5175</v>
      </c>
      <c r="D750" s="28" t="s">
        <v>2454</v>
      </c>
      <c r="E750" s="5" t="s">
        <v>61</v>
      </c>
      <c r="F750" s="5" t="s">
        <v>5071</v>
      </c>
      <c r="G750" s="5" t="s">
        <v>5073</v>
      </c>
      <c r="H750" s="5" t="s">
        <v>2435</v>
      </c>
      <c r="I750" s="5">
        <v>2.2000000000000002</v>
      </c>
      <c r="J750" s="6" t="str">
        <f t="shared" si="22"/>
        <v>0</v>
      </c>
      <c r="K750" s="6">
        <f t="shared" si="23"/>
        <v>2.2000000000000002</v>
      </c>
    </row>
    <row r="751" spans="1:11" x14ac:dyDescent="0.3">
      <c r="A751" s="5" t="s">
        <v>4182</v>
      </c>
      <c r="B751" s="5" t="s">
        <v>45</v>
      </c>
      <c r="C751" s="5" t="s">
        <v>5219</v>
      </c>
      <c r="D751" s="28" t="s">
        <v>2454</v>
      </c>
      <c r="E751" s="5" t="s">
        <v>61</v>
      </c>
      <c r="F751" s="5" t="s">
        <v>5071</v>
      </c>
      <c r="G751" s="5" t="s">
        <v>5070</v>
      </c>
      <c r="H751" s="5" t="s">
        <v>2477</v>
      </c>
      <c r="I751" s="5">
        <v>15.52</v>
      </c>
      <c r="J751" s="6" t="str">
        <f t="shared" si="22"/>
        <v>0</v>
      </c>
      <c r="K751" s="6">
        <f t="shared" si="23"/>
        <v>15.52</v>
      </c>
    </row>
    <row r="752" spans="1:11" x14ac:dyDescent="0.3">
      <c r="A752" s="5" t="s">
        <v>5243</v>
      </c>
      <c r="B752" s="5" t="s">
        <v>45</v>
      </c>
      <c r="C752" s="5" t="s">
        <v>5244</v>
      </c>
      <c r="D752" s="28" t="s">
        <v>2454</v>
      </c>
      <c r="E752" s="5" t="s">
        <v>61</v>
      </c>
      <c r="F752" s="5" t="s">
        <v>5073</v>
      </c>
      <c r="G752" s="5" t="s">
        <v>5070</v>
      </c>
      <c r="H752" s="5" t="s">
        <v>2435</v>
      </c>
      <c r="I752" s="5">
        <v>9.83</v>
      </c>
      <c r="J752" s="6" t="str">
        <f t="shared" si="22"/>
        <v>0</v>
      </c>
      <c r="K752" s="6">
        <f t="shared" si="23"/>
        <v>9.83</v>
      </c>
    </row>
    <row r="753" spans="1:11" x14ac:dyDescent="0.3">
      <c r="A753" s="5" t="s">
        <v>2977</v>
      </c>
      <c r="B753" s="5" t="s">
        <v>45</v>
      </c>
      <c r="C753" s="5" t="s">
        <v>6541</v>
      </c>
      <c r="D753" s="28" t="s">
        <v>2454</v>
      </c>
      <c r="E753" s="5" t="s">
        <v>61</v>
      </c>
      <c r="F753" s="5" t="s">
        <v>5073</v>
      </c>
      <c r="G753" s="5" t="s">
        <v>5083</v>
      </c>
      <c r="H753" s="5" t="s">
        <v>2412</v>
      </c>
      <c r="I753" s="5">
        <v>15.01</v>
      </c>
      <c r="J753" s="6" t="str">
        <f t="shared" si="22"/>
        <v>1</v>
      </c>
      <c r="K753" s="6">
        <f t="shared" si="23"/>
        <v>15.01</v>
      </c>
    </row>
    <row r="754" spans="1:11" x14ac:dyDescent="0.3">
      <c r="A754" s="5" t="s">
        <v>2523</v>
      </c>
      <c r="B754" s="5" t="s">
        <v>45</v>
      </c>
      <c r="C754" s="5" t="s">
        <v>6280</v>
      </c>
      <c r="D754" s="28" t="s">
        <v>2454</v>
      </c>
      <c r="E754" s="5" t="s">
        <v>61</v>
      </c>
      <c r="F754" s="5" t="s">
        <v>5070</v>
      </c>
      <c r="G754" s="5" t="s">
        <v>5071</v>
      </c>
      <c r="H754" s="5" t="s">
        <v>2412</v>
      </c>
      <c r="I754" s="5">
        <v>10.050000000000001</v>
      </c>
      <c r="J754" s="6" t="str">
        <f t="shared" si="22"/>
        <v>1</v>
      </c>
      <c r="K754" s="6">
        <f t="shared" si="23"/>
        <v>10.050000000000001</v>
      </c>
    </row>
    <row r="755" spans="1:11" x14ac:dyDescent="0.3">
      <c r="A755" s="5" t="s">
        <v>3937</v>
      </c>
      <c r="B755" s="5" t="s">
        <v>45</v>
      </c>
      <c r="C755" s="5" t="s">
        <v>5891</v>
      </c>
      <c r="D755" s="28" t="s">
        <v>2454</v>
      </c>
      <c r="E755" s="5" t="s">
        <v>61</v>
      </c>
      <c r="F755" s="5" t="s">
        <v>5071</v>
      </c>
      <c r="G755" s="5" t="s">
        <v>5083</v>
      </c>
      <c r="H755" s="5" t="s">
        <v>2408</v>
      </c>
      <c r="I755" s="5">
        <v>3.95</v>
      </c>
      <c r="J755" s="6" t="str">
        <f t="shared" si="22"/>
        <v>0</v>
      </c>
      <c r="K755" s="6">
        <f t="shared" si="23"/>
        <v>3.95</v>
      </c>
    </row>
    <row r="756" spans="1:11" x14ac:dyDescent="0.3">
      <c r="A756" s="5" t="s">
        <v>3535</v>
      </c>
      <c r="B756" s="5" t="s">
        <v>14</v>
      </c>
      <c r="C756" s="5" t="s">
        <v>6219</v>
      </c>
      <c r="D756" s="28" t="s">
        <v>2454</v>
      </c>
      <c r="E756" s="5" t="s">
        <v>61</v>
      </c>
      <c r="F756" s="5" t="s">
        <v>5081</v>
      </c>
      <c r="G756" s="5" t="s">
        <v>5081</v>
      </c>
      <c r="H756" s="5" t="s">
        <v>2455</v>
      </c>
      <c r="I756" s="5">
        <v>1.76</v>
      </c>
      <c r="J756" s="6" t="str">
        <f t="shared" si="22"/>
        <v>1</v>
      </c>
      <c r="K756" s="6">
        <f t="shared" si="23"/>
        <v>1.76</v>
      </c>
    </row>
    <row r="757" spans="1:11" x14ac:dyDescent="0.3">
      <c r="A757" s="5" t="s">
        <v>4313</v>
      </c>
      <c r="B757" s="5" t="s">
        <v>14</v>
      </c>
      <c r="C757" s="5" t="s">
        <v>5779</v>
      </c>
      <c r="D757" s="28" t="s">
        <v>2454</v>
      </c>
      <c r="E757" s="5" t="s">
        <v>61</v>
      </c>
      <c r="F757" s="5" t="s">
        <v>5076</v>
      </c>
      <c r="G757" s="5" t="s">
        <v>5076</v>
      </c>
      <c r="H757" s="5" t="s">
        <v>2418</v>
      </c>
      <c r="I757" s="5">
        <v>5.37</v>
      </c>
      <c r="J757" s="6" t="str">
        <f t="shared" si="22"/>
        <v>1</v>
      </c>
      <c r="K757" s="6">
        <f t="shared" si="23"/>
        <v>5.37</v>
      </c>
    </row>
    <row r="758" spans="1:11" x14ac:dyDescent="0.3">
      <c r="A758" s="5" t="s">
        <v>2453</v>
      </c>
      <c r="B758" s="5" t="s">
        <v>14</v>
      </c>
      <c r="C758" s="5" t="s">
        <v>6149</v>
      </c>
      <c r="D758" s="28" t="s">
        <v>2454</v>
      </c>
      <c r="E758" s="5" t="s">
        <v>61</v>
      </c>
      <c r="F758" s="5" t="s">
        <v>5071</v>
      </c>
      <c r="G758" s="5" t="s">
        <v>5081</v>
      </c>
      <c r="H758" s="5" t="s">
        <v>2423</v>
      </c>
      <c r="I758" s="5">
        <v>9</v>
      </c>
      <c r="J758" s="6" t="str">
        <f t="shared" si="22"/>
        <v>0</v>
      </c>
      <c r="K758" s="6">
        <f t="shared" si="23"/>
        <v>9</v>
      </c>
    </row>
    <row r="759" spans="1:11" x14ac:dyDescent="0.3">
      <c r="A759" s="5" t="s">
        <v>2631</v>
      </c>
      <c r="B759" s="5" t="s">
        <v>14</v>
      </c>
      <c r="C759" s="5" t="s">
        <v>5896</v>
      </c>
      <c r="D759" s="28" t="s">
        <v>2454</v>
      </c>
      <c r="E759" s="5" t="s">
        <v>61</v>
      </c>
      <c r="F759" s="5" t="s">
        <v>5071</v>
      </c>
      <c r="G759" s="5" t="s">
        <v>5076</v>
      </c>
      <c r="H759" s="5" t="s">
        <v>2408</v>
      </c>
      <c r="I759" s="5">
        <v>14.53</v>
      </c>
      <c r="J759" s="6" t="str">
        <f t="shared" si="22"/>
        <v>0</v>
      </c>
      <c r="K759" s="6">
        <f t="shared" si="23"/>
        <v>14.53</v>
      </c>
    </row>
    <row r="760" spans="1:11" x14ac:dyDescent="0.3">
      <c r="A760" s="5" t="s">
        <v>3304</v>
      </c>
      <c r="B760" s="5" t="s">
        <v>14</v>
      </c>
      <c r="C760" s="5" t="s">
        <v>5967</v>
      </c>
      <c r="D760" s="28" t="s">
        <v>2454</v>
      </c>
      <c r="E760" s="5" t="s">
        <v>61</v>
      </c>
      <c r="F760" s="5" t="s">
        <v>5083</v>
      </c>
      <c r="G760" s="5" t="s">
        <v>5081</v>
      </c>
      <c r="H760" s="5" t="s">
        <v>2477</v>
      </c>
      <c r="I760" s="5">
        <v>5.18</v>
      </c>
      <c r="J760" s="6" t="str">
        <f t="shared" si="22"/>
        <v>0</v>
      </c>
      <c r="K760" s="6">
        <f t="shared" si="23"/>
        <v>5.18</v>
      </c>
    </row>
    <row r="761" spans="1:11" x14ac:dyDescent="0.3">
      <c r="A761" s="5" t="s">
        <v>2705</v>
      </c>
      <c r="B761" s="5" t="s">
        <v>14</v>
      </c>
      <c r="C761" s="5" t="s">
        <v>5904</v>
      </c>
      <c r="D761" s="28" t="s">
        <v>2454</v>
      </c>
      <c r="E761" s="5" t="s">
        <v>61</v>
      </c>
      <c r="F761" s="5" t="s">
        <v>5070</v>
      </c>
      <c r="G761" s="5" t="s">
        <v>5070</v>
      </c>
      <c r="H761" s="5" t="s">
        <v>2439</v>
      </c>
      <c r="I761" s="5">
        <v>17.440000000000001</v>
      </c>
      <c r="J761" s="6" t="str">
        <f t="shared" si="22"/>
        <v>2</v>
      </c>
      <c r="K761" s="6">
        <f t="shared" si="23"/>
        <v>17.440000000000001</v>
      </c>
    </row>
    <row r="762" spans="1:11" x14ac:dyDescent="0.3">
      <c r="A762" s="5" t="s">
        <v>5055</v>
      </c>
      <c r="B762" s="5" t="s">
        <v>14</v>
      </c>
      <c r="C762" s="5" t="s">
        <v>5760</v>
      </c>
      <c r="D762" s="28" t="s">
        <v>2454</v>
      </c>
      <c r="E762" s="5" t="s">
        <v>61</v>
      </c>
      <c r="F762" s="5" t="s">
        <v>5083</v>
      </c>
      <c r="G762" s="5" t="s">
        <v>5083</v>
      </c>
      <c r="H762" s="5" t="s">
        <v>2455</v>
      </c>
      <c r="I762" s="5">
        <v>8.06</v>
      </c>
      <c r="J762" s="6" t="str">
        <f t="shared" si="22"/>
        <v>1</v>
      </c>
      <c r="K762" s="6">
        <f t="shared" si="23"/>
        <v>8.06</v>
      </c>
    </row>
    <row r="763" spans="1:11" x14ac:dyDescent="0.3">
      <c r="A763" s="5" t="s">
        <v>5989</v>
      </c>
      <c r="B763" s="5" t="s">
        <v>14</v>
      </c>
      <c r="C763" s="5" t="s">
        <v>5990</v>
      </c>
      <c r="D763" s="28" t="s">
        <v>2454</v>
      </c>
      <c r="E763" s="5" t="s">
        <v>61</v>
      </c>
      <c r="F763" s="5" t="s">
        <v>5073</v>
      </c>
      <c r="G763" s="5" t="s">
        <v>5073</v>
      </c>
      <c r="H763" s="5" t="s">
        <v>2418</v>
      </c>
      <c r="I763" s="5">
        <v>14.8</v>
      </c>
      <c r="J763" s="6" t="str">
        <f t="shared" si="22"/>
        <v>1</v>
      </c>
      <c r="K763" s="6">
        <f t="shared" si="23"/>
        <v>14.8</v>
      </c>
    </row>
    <row r="764" spans="1:11" x14ac:dyDescent="0.3">
      <c r="A764" s="5" t="s">
        <v>4470</v>
      </c>
      <c r="B764" s="5" t="s">
        <v>117</v>
      </c>
      <c r="C764" s="5" t="s">
        <v>6103</v>
      </c>
      <c r="D764" s="28" t="s">
        <v>2454</v>
      </c>
      <c r="E764" s="5" t="s">
        <v>61</v>
      </c>
      <c r="F764" s="5" t="s">
        <v>5083</v>
      </c>
      <c r="G764" s="5" t="s">
        <v>5070</v>
      </c>
      <c r="H764" s="5" t="s">
        <v>2455</v>
      </c>
      <c r="I764" s="5">
        <v>14.25</v>
      </c>
      <c r="J764" s="6" t="str">
        <f t="shared" si="22"/>
        <v>1</v>
      </c>
      <c r="K764" s="6">
        <f t="shared" si="23"/>
        <v>14.25</v>
      </c>
    </row>
    <row r="765" spans="1:11" x14ac:dyDescent="0.3">
      <c r="A765" s="5" t="s">
        <v>4163</v>
      </c>
      <c r="B765" s="5" t="s">
        <v>117</v>
      </c>
      <c r="C765" s="5" t="s">
        <v>5176</v>
      </c>
      <c r="D765" s="28" t="s">
        <v>2454</v>
      </c>
      <c r="E765" s="5" t="s">
        <v>61</v>
      </c>
      <c r="F765" s="5" t="s">
        <v>5070</v>
      </c>
      <c r="G765" s="5" t="s">
        <v>5070</v>
      </c>
      <c r="H765" s="5" t="s">
        <v>2412</v>
      </c>
      <c r="I765" s="5">
        <v>17.37</v>
      </c>
      <c r="J765" s="6" t="str">
        <f t="shared" si="22"/>
        <v>1</v>
      </c>
      <c r="K765" s="6">
        <f t="shared" si="23"/>
        <v>17.37</v>
      </c>
    </row>
    <row r="766" spans="1:11" x14ac:dyDescent="0.3">
      <c r="A766" s="5" t="s">
        <v>4154</v>
      </c>
      <c r="B766" s="5" t="s">
        <v>117</v>
      </c>
      <c r="C766" s="5" t="s">
        <v>5972</v>
      </c>
      <c r="D766" s="28" t="s">
        <v>2454</v>
      </c>
      <c r="E766" s="5" t="s">
        <v>61</v>
      </c>
      <c r="F766" s="5" t="s">
        <v>5076</v>
      </c>
      <c r="G766" s="5" t="s">
        <v>5081</v>
      </c>
      <c r="H766" s="5" t="s">
        <v>2412</v>
      </c>
      <c r="I766" s="5">
        <v>8.65</v>
      </c>
      <c r="J766" s="6" t="str">
        <f t="shared" si="22"/>
        <v>1</v>
      </c>
      <c r="K766" s="6">
        <f t="shared" si="23"/>
        <v>8.65</v>
      </c>
    </row>
    <row r="767" spans="1:11" x14ac:dyDescent="0.3">
      <c r="A767" s="5" t="s">
        <v>3160</v>
      </c>
      <c r="B767" s="5" t="s">
        <v>117</v>
      </c>
      <c r="C767" s="5" t="s">
        <v>6045</v>
      </c>
      <c r="D767" s="28" t="s">
        <v>2454</v>
      </c>
      <c r="E767" s="5" t="s">
        <v>61</v>
      </c>
      <c r="F767" s="5" t="s">
        <v>5076</v>
      </c>
      <c r="G767" s="5" t="s">
        <v>5073</v>
      </c>
      <c r="H767" s="5" t="s">
        <v>2505</v>
      </c>
      <c r="I767" s="5">
        <v>17.190000000000001</v>
      </c>
      <c r="J767" s="6" t="str">
        <f t="shared" si="22"/>
        <v>2+</v>
      </c>
      <c r="K767" s="6">
        <f t="shared" si="23"/>
        <v>17.190000000000001</v>
      </c>
    </row>
    <row r="768" spans="1:11" x14ac:dyDescent="0.3">
      <c r="A768" s="5" t="s">
        <v>3595</v>
      </c>
      <c r="B768" s="5" t="s">
        <v>117</v>
      </c>
      <c r="C768" s="5" t="s">
        <v>6504</v>
      </c>
      <c r="D768" s="28" t="s">
        <v>2454</v>
      </c>
      <c r="E768" s="5" t="s">
        <v>61</v>
      </c>
      <c r="F768" s="5" t="s">
        <v>5081</v>
      </c>
      <c r="G768" s="5" t="s">
        <v>5083</v>
      </c>
      <c r="H768" s="5"/>
      <c r="I768" s="5">
        <v>11.29</v>
      </c>
      <c r="J768" s="6" t="str">
        <f t="shared" si="22"/>
        <v>Unknown</v>
      </c>
      <c r="K768" s="6">
        <f t="shared" si="23"/>
        <v>11.29</v>
      </c>
    </row>
    <row r="769" spans="1:11" x14ac:dyDescent="0.3">
      <c r="A769" s="5" t="s">
        <v>3850</v>
      </c>
      <c r="B769" s="5" t="s">
        <v>117</v>
      </c>
      <c r="C769" s="5" t="s">
        <v>6099</v>
      </c>
      <c r="D769" s="28" t="s">
        <v>2454</v>
      </c>
      <c r="E769" s="5" t="s">
        <v>61</v>
      </c>
      <c r="F769" s="5" t="s">
        <v>5073</v>
      </c>
      <c r="G769" s="5" t="s">
        <v>5076</v>
      </c>
      <c r="H769" s="5" t="s">
        <v>2418</v>
      </c>
      <c r="I769" s="5">
        <v>10.74</v>
      </c>
      <c r="J769" s="6" t="str">
        <f t="shared" si="22"/>
        <v>1</v>
      </c>
      <c r="K769" s="6">
        <f t="shared" si="23"/>
        <v>10.74</v>
      </c>
    </row>
    <row r="770" spans="1:11" x14ac:dyDescent="0.3">
      <c r="A770" s="5" t="s">
        <v>6461</v>
      </c>
      <c r="B770" s="5" t="s">
        <v>117</v>
      </c>
      <c r="C770" s="5" t="s">
        <v>6462</v>
      </c>
      <c r="D770" s="28" t="s">
        <v>2454</v>
      </c>
      <c r="E770" s="5" t="s">
        <v>61</v>
      </c>
      <c r="F770" s="5" t="s">
        <v>5071</v>
      </c>
      <c r="G770" s="5" t="s">
        <v>5073</v>
      </c>
      <c r="H770" s="5" t="s">
        <v>2408</v>
      </c>
      <c r="I770" s="5">
        <v>14.83</v>
      </c>
      <c r="J770" s="6" t="str">
        <f t="shared" ref="J770:J833" si="24">IF(OR(LOWER(TRIM(H770))="0",LOWER(TRIM(H770))="ZERO"),"0",IF(OR(LOWER(TRIM(H770))="1",LOWER(TRIM(H770))="one"),"1",IF(OR(LOWER(TRIM(H770))="2",LOWER(TRIM(H770))="two"),"2",IF(OR(LOWER(TRIM(H770))="2+",LOWER(TRIM(H770))="two_or_more",LOWER(TRIM(H770))="multiple"),"2+","Unknown"))))</f>
        <v>0</v>
      </c>
      <c r="K770" s="6">
        <f t="shared" si="23"/>
        <v>14.83</v>
      </c>
    </row>
    <row r="771" spans="1:11" x14ac:dyDescent="0.3">
      <c r="A771" s="5" t="s">
        <v>4288</v>
      </c>
      <c r="B771" s="5" t="s">
        <v>117</v>
      </c>
      <c r="C771" s="5" t="s">
        <v>6439</v>
      </c>
      <c r="D771" s="28" t="s">
        <v>2454</v>
      </c>
      <c r="E771" s="5" t="s">
        <v>61</v>
      </c>
      <c r="F771" s="5" t="s">
        <v>5081</v>
      </c>
      <c r="G771" s="5" t="s">
        <v>5083</v>
      </c>
      <c r="H771" s="5" t="s">
        <v>2408</v>
      </c>
      <c r="I771" s="5">
        <v>19.55</v>
      </c>
      <c r="J771" s="6" t="str">
        <f t="shared" si="24"/>
        <v>0</v>
      </c>
      <c r="K771" s="6">
        <f t="shared" ref="K771:K834" si="25">IF(I771="",ROUND(AVERAGEIF($B$2:$B$1000,B771,$I$2:$I$1000),1),I771)</f>
        <v>19.55</v>
      </c>
    </row>
    <row r="772" spans="1:11" x14ac:dyDescent="0.3">
      <c r="A772" s="5" t="s">
        <v>6176</v>
      </c>
      <c r="B772" s="5" t="s">
        <v>25</v>
      </c>
      <c r="C772" s="5" t="s">
        <v>6177</v>
      </c>
      <c r="D772" s="28" t="s">
        <v>2454</v>
      </c>
      <c r="E772" s="5" t="s">
        <v>61</v>
      </c>
      <c r="F772" s="5" t="s">
        <v>5070</v>
      </c>
      <c r="G772" s="5" t="s">
        <v>5076</v>
      </c>
      <c r="H772" s="5" t="s">
        <v>2408</v>
      </c>
      <c r="I772" s="5">
        <v>4.68</v>
      </c>
      <c r="J772" s="6" t="str">
        <f t="shared" si="24"/>
        <v>0</v>
      </c>
      <c r="K772" s="6">
        <f t="shared" si="25"/>
        <v>4.68</v>
      </c>
    </row>
    <row r="773" spans="1:11" x14ac:dyDescent="0.3">
      <c r="A773" s="5" t="s">
        <v>6166</v>
      </c>
      <c r="B773" s="5" t="s">
        <v>25</v>
      </c>
      <c r="C773" s="5" t="s">
        <v>6167</v>
      </c>
      <c r="D773" s="28" t="s">
        <v>2454</v>
      </c>
      <c r="E773" s="5" t="s">
        <v>61</v>
      </c>
      <c r="F773" s="5" t="s">
        <v>5083</v>
      </c>
      <c r="G773" s="5" t="s">
        <v>5081</v>
      </c>
      <c r="H773" s="5" t="s">
        <v>2423</v>
      </c>
      <c r="I773" s="5">
        <v>11.61</v>
      </c>
      <c r="J773" s="6" t="str">
        <f t="shared" si="24"/>
        <v>0</v>
      </c>
      <c r="K773" s="6">
        <f t="shared" si="25"/>
        <v>11.61</v>
      </c>
    </row>
    <row r="774" spans="1:11" x14ac:dyDescent="0.3">
      <c r="A774" s="5" t="s">
        <v>3515</v>
      </c>
      <c r="B774" s="5" t="s">
        <v>25</v>
      </c>
      <c r="C774" s="5" t="s">
        <v>5686</v>
      </c>
      <c r="D774" s="28" t="s">
        <v>2454</v>
      </c>
      <c r="E774" s="5" t="s">
        <v>61</v>
      </c>
      <c r="F774" s="5" t="s">
        <v>5071</v>
      </c>
      <c r="G774" s="5" t="s">
        <v>5073</v>
      </c>
      <c r="H774" s="5" t="s">
        <v>2477</v>
      </c>
      <c r="I774" s="5"/>
      <c r="J774" s="6" t="str">
        <f t="shared" si="24"/>
        <v>0</v>
      </c>
      <c r="K774" s="6">
        <f t="shared" si="25"/>
        <v>10</v>
      </c>
    </row>
    <row r="775" spans="1:11" x14ac:dyDescent="0.3">
      <c r="A775" s="5" t="s">
        <v>3424</v>
      </c>
      <c r="B775" s="5" t="s">
        <v>25</v>
      </c>
      <c r="C775" s="5" t="s">
        <v>6285</v>
      </c>
      <c r="D775" s="28" t="s">
        <v>2454</v>
      </c>
      <c r="E775" s="5" t="s">
        <v>61</v>
      </c>
      <c r="F775" s="5" t="s">
        <v>5073</v>
      </c>
      <c r="G775" s="5" t="s">
        <v>5070</v>
      </c>
      <c r="H775" s="5" t="s">
        <v>2418</v>
      </c>
      <c r="I775" s="5">
        <v>13.88</v>
      </c>
      <c r="J775" s="6" t="str">
        <f t="shared" si="24"/>
        <v>1</v>
      </c>
      <c r="K775" s="6">
        <f t="shared" si="25"/>
        <v>13.88</v>
      </c>
    </row>
    <row r="776" spans="1:11" x14ac:dyDescent="0.3">
      <c r="A776" s="5" t="s">
        <v>6478</v>
      </c>
      <c r="B776" s="5" t="s">
        <v>25</v>
      </c>
      <c r="C776" s="5" t="s">
        <v>6479</v>
      </c>
      <c r="D776" s="28" t="s">
        <v>2454</v>
      </c>
      <c r="E776" s="5" t="s">
        <v>61</v>
      </c>
      <c r="F776" s="5" t="s">
        <v>5071</v>
      </c>
      <c r="G776" s="5" t="s">
        <v>5081</v>
      </c>
      <c r="H776" s="5" t="s">
        <v>2477</v>
      </c>
      <c r="I776" s="5">
        <v>2.3199999999999998</v>
      </c>
      <c r="J776" s="6" t="str">
        <f t="shared" si="24"/>
        <v>0</v>
      </c>
      <c r="K776" s="6">
        <f t="shared" si="25"/>
        <v>2.3199999999999998</v>
      </c>
    </row>
    <row r="777" spans="1:11" x14ac:dyDescent="0.3">
      <c r="A777" s="5" t="s">
        <v>3445</v>
      </c>
      <c r="B777" s="5" t="s">
        <v>25</v>
      </c>
      <c r="C777" s="5" t="s">
        <v>6111</v>
      </c>
      <c r="D777" s="28" t="s">
        <v>2454</v>
      </c>
      <c r="E777" s="5" t="s">
        <v>61</v>
      </c>
      <c r="F777" s="5" t="s">
        <v>5070</v>
      </c>
      <c r="G777" s="5" t="s">
        <v>5073</v>
      </c>
      <c r="H777" s="5" t="s">
        <v>2477</v>
      </c>
      <c r="I777" s="5">
        <v>7.66</v>
      </c>
      <c r="J777" s="6" t="str">
        <f t="shared" si="24"/>
        <v>0</v>
      </c>
      <c r="K777" s="6">
        <f t="shared" si="25"/>
        <v>7.66</v>
      </c>
    </row>
    <row r="778" spans="1:11" x14ac:dyDescent="0.3">
      <c r="A778" s="5" t="s">
        <v>6012</v>
      </c>
      <c r="B778" s="5" t="s">
        <v>25</v>
      </c>
      <c r="C778" s="5" t="s">
        <v>6013</v>
      </c>
      <c r="D778" s="28" t="s">
        <v>2454</v>
      </c>
      <c r="E778" s="5" t="s">
        <v>61</v>
      </c>
      <c r="F778" s="5" t="s">
        <v>5083</v>
      </c>
      <c r="G778" s="5" t="s">
        <v>5071</v>
      </c>
      <c r="H778" s="5" t="s">
        <v>2450</v>
      </c>
      <c r="I778" s="5">
        <v>2.83</v>
      </c>
      <c r="J778" s="6" t="str">
        <f t="shared" si="24"/>
        <v>1</v>
      </c>
      <c r="K778" s="6">
        <f t="shared" si="25"/>
        <v>2.83</v>
      </c>
    </row>
    <row r="779" spans="1:11" x14ac:dyDescent="0.3">
      <c r="A779" s="5" t="s">
        <v>6050</v>
      </c>
      <c r="B779" s="5" t="s">
        <v>106</v>
      </c>
      <c r="C779" s="5" t="s">
        <v>6051</v>
      </c>
      <c r="D779" s="28" t="s">
        <v>2454</v>
      </c>
      <c r="E779" s="5" t="s">
        <v>61</v>
      </c>
      <c r="F779" s="5" t="s">
        <v>5076</v>
      </c>
      <c r="G779" s="5" t="s">
        <v>5076</v>
      </c>
      <c r="H779" s="5" t="s">
        <v>2477</v>
      </c>
      <c r="I779" s="5">
        <v>9.0299999999999994</v>
      </c>
      <c r="J779" s="6" t="str">
        <f t="shared" si="24"/>
        <v>0</v>
      </c>
      <c r="K779" s="6">
        <f t="shared" si="25"/>
        <v>9.0299999999999994</v>
      </c>
    </row>
    <row r="780" spans="1:11" x14ac:dyDescent="0.3">
      <c r="A780" s="5" t="s">
        <v>2772</v>
      </c>
      <c r="B780" s="5" t="s">
        <v>106</v>
      </c>
      <c r="C780" s="5" t="s">
        <v>5434</v>
      </c>
      <c r="D780" s="28" t="s">
        <v>2454</v>
      </c>
      <c r="E780" s="5" t="s">
        <v>61</v>
      </c>
      <c r="F780" s="5" t="s">
        <v>5076</v>
      </c>
      <c r="G780" s="5" t="s">
        <v>5083</v>
      </c>
      <c r="H780" s="5" t="s">
        <v>2455</v>
      </c>
      <c r="I780" s="5">
        <v>18.71</v>
      </c>
      <c r="J780" s="6" t="str">
        <f t="shared" si="24"/>
        <v>1</v>
      </c>
      <c r="K780" s="6">
        <f t="shared" si="25"/>
        <v>18.71</v>
      </c>
    </row>
    <row r="781" spans="1:11" x14ac:dyDescent="0.3">
      <c r="A781" s="5" t="s">
        <v>4704</v>
      </c>
      <c r="B781" s="5" t="s">
        <v>106</v>
      </c>
      <c r="C781" s="5" t="s">
        <v>5812</v>
      </c>
      <c r="D781" s="28" t="s">
        <v>2454</v>
      </c>
      <c r="E781" s="5" t="s">
        <v>61</v>
      </c>
      <c r="F781" s="5" t="s">
        <v>5073</v>
      </c>
      <c r="G781" s="5" t="s">
        <v>5071</v>
      </c>
      <c r="H781" s="5" t="s">
        <v>2450</v>
      </c>
      <c r="I781" s="5">
        <v>18.57</v>
      </c>
      <c r="J781" s="6" t="str">
        <f t="shared" si="24"/>
        <v>1</v>
      </c>
      <c r="K781" s="6">
        <f t="shared" si="25"/>
        <v>18.57</v>
      </c>
    </row>
    <row r="782" spans="1:11" x14ac:dyDescent="0.3">
      <c r="A782" s="5" t="s">
        <v>6080</v>
      </c>
      <c r="B782" s="5" t="s">
        <v>106</v>
      </c>
      <c r="C782" s="5" t="s">
        <v>6081</v>
      </c>
      <c r="D782" s="28" t="s">
        <v>2454</v>
      </c>
      <c r="E782" s="5" t="s">
        <v>61</v>
      </c>
      <c r="F782" s="5" t="s">
        <v>5071</v>
      </c>
      <c r="G782" s="5" t="s">
        <v>5081</v>
      </c>
      <c r="H782" s="5" t="s">
        <v>2435</v>
      </c>
      <c r="I782" s="5">
        <v>9.2799999999999994</v>
      </c>
      <c r="J782" s="6" t="str">
        <f t="shared" si="24"/>
        <v>0</v>
      </c>
      <c r="K782" s="6">
        <f t="shared" si="25"/>
        <v>9.2799999999999994</v>
      </c>
    </row>
    <row r="783" spans="1:11" x14ac:dyDescent="0.3">
      <c r="A783" s="5" t="s">
        <v>2982</v>
      </c>
      <c r="B783" s="5" t="s">
        <v>106</v>
      </c>
      <c r="C783" s="5" t="s">
        <v>5855</v>
      </c>
      <c r="D783" s="28" t="s">
        <v>2454</v>
      </c>
      <c r="E783" s="5" t="s">
        <v>61</v>
      </c>
      <c r="F783" s="5" t="s">
        <v>5073</v>
      </c>
      <c r="G783" s="5" t="s">
        <v>5083</v>
      </c>
      <c r="H783" s="5" t="s">
        <v>2412</v>
      </c>
      <c r="I783" s="5">
        <v>11.44</v>
      </c>
      <c r="J783" s="6" t="str">
        <f t="shared" si="24"/>
        <v>1</v>
      </c>
      <c r="K783" s="6">
        <f t="shared" si="25"/>
        <v>11.44</v>
      </c>
    </row>
    <row r="784" spans="1:11" x14ac:dyDescent="0.3">
      <c r="A784" s="5" t="s">
        <v>3191</v>
      </c>
      <c r="B784" s="5" t="s">
        <v>106</v>
      </c>
      <c r="C784" s="5" t="s">
        <v>5236</v>
      </c>
      <c r="D784" s="28" t="s">
        <v>2454</v>
      </c>
      <c r="E784" s="5" t="s">
        <v>61</v>
      </c>
      <c r="F784" s="5" t="s">
        <v>5083</v>
      </c>
      <c r="G784" s="5" t="s">
        <v>5071</v>
      </c>
      <c r="H784" s="5" t="s">
        <v>2435</v>
      </c>
      <c r="I784" s="5">
        <v>5.89</v>
      </c>
      <c r="J784" s="6" t="str">
        <f t="shared" si="24"/>
        <v>0</v>
      </c>
      <c r="K784" s="6">
        <f t="shared" si="25"/>
        <v>5.89</v>
      </c>
    </row>
    <row r="785" spans="1:11" x14ac:dyDescent="0.3">
      <c r="A785" s="5" t="s">
        <v>4092</v>
      </c>
      <c r="B785" s="5" t="s">
        <v>106</v>
      </c>
      <c r="C785" s="5" t="s">
        <v>6062</v>
      </c>
      <c r="D785" s="28" t="s">
        <v>2454</v>
      </c>
      <c r="E785" s="5" t="s">
        <v>61</v>
      </c>
      <c r="F785" s="5" t="s">
        <v>5073</v>
      </c>
      <c r="G785" s="5" t="s">
        <v>5081</v>
      </c>
      <c r="H785" s="5" t="s">
        <v>2477</v>
      </c>
      <c r="I785" s="5">
        <v>7.44</v>
      </c>
      <c r="J785" s="6" t="str">
        <f t="shared" si="24"/>
        <v>0</v>
      </c>
      <c r="K785" s="6">
        <f t="shared" si="25"/>
        <v>7.44</v>
      </c>
    </row>
    <row r="786" spans="1:11" x14ac:dyDescent="0.3">
      <c r="A786" s="5" t="s">
        <v>6356</v>
      </c>
      <c r="B786" s="5" t="s">
        <v>78</v>
      </c>
      <c r="C786" s="5" t="s">
        <v>6357</v>
      </c>
      <c r="D786" s="28" t="s">
        <v>2481</v>
      </c>
      <c r="E786" s="5" t="s">
        <v>80</v>
      </c>
      <c r="F786" s="5" t="s">
        <v>5073</v>
      </c>
      <c r="G786" s="5" t="s">
        <v>5083</v>
      </c>
      <c r="H786" s="5" t="s">
        <v>2423</v>
      </c>
      <c r="I786" s="5">
        <v>7.69</v>
      </c>
      <c r="J786" s="6" t="str">
        <f t="shared" si="24"/>
        <v>0</v>
      </c>
      <c r="K786" s="6">
        <f t="shared" si="25"/>
        <v>7.69</v>
      </c>
    </row>
    <row r="787" spans="1:11" x14ac:dyDescent="0.3">
      <c r="A787" s="5" t="s">
        <v>5826</v>
      </c>
      <c r="B787" s="5" t="s">
        <v>78</v>
      </c>
      <c r="C787" s="5" t="s">
        <v>5827</v>
      </c>
      <c r="D787" s="28" t="s">
        <v>2481</v>
      </c>
      <c r="E787" s="5" t="s">
        <v>80</v>
      </c>
      <c r="F787" s="5" t="s">
        <v>5083</v>
      </c>
      <c r="G787" s="5" t="s">
        <v>5083</v>
      </c>
      <c r="H787" s="5" t="s">
        <v>2428</v>
      </c>
      <c r="I787" s="5">
        <v>5.38</v>
      </c>
      <c r="J787" s="6" t="str">
        <f t="shared" si="24"/>
        <v>2</v>
      </c>
      <c r="K787" s="6">
        <f t="shared" si="25"/>
        <v>5.38</v>
      </c>
    </row>
    <row r="788" spans="1:11" x14ac:dyDescent="0.3">
      <c r="A788" s="5" t="s">
        <v>6551</v>
      </c>
      <c r="B788" s="5" t="s">
        <v>78</v>
      </c>
      <c r="C788" s="5" t="s">
        <v>6300</v>
      </c>
      <c r="D788" s="28" t="s">
        <v>2481</v>
      </c>
      <c r="E788" s="5" t="s">
        <v>80</v>
      </c>
      <c r="F788" s="5" t="s">
        <v>5071</v>
      </c>
      <c r="G788" s="5" t="s">
        <v>5070</v>
      </c>
      <c r="H788" s="5" t="s">
        <v>2423</v>
      </c>
      <c r="I788" s="5">
        <v>2.86</v>
      </c>
      <c r="J788" s="6" t="str">
        <f t="shared" si="24"/>
        <v>0</v>
      </c>
      <c r="K788" s="6">
        <f t="shared" si="25"/>
        <v>2.86</v>
      </c>
    </row>
    <row r="789" spans="1:11" x14ac:dyDescent="0.3">
      <c r="A789" s="5" t="s">
        <v>3167</v>
      </c>
      <c r="B789" s="5" t="s">
        <v>78</v>
      </c>
      <c r="C789" s="5" t="s">
        <v>5737</v>
      </c>
      <c r="D789" s="28" t="s">
        <v>2481</v>
      </c>
      <c r="E789" s="5" t="s">
        <v>80</v>
      </c>
      <c r="F789" s="5" t="s">
        <v>5073</v>
      </c>
      <c r="G789" s="5" t="s">
        <v>5073</v>
      </c>
      <c r="H789" s="5" t="s">
        <v>2412</v>
      </c>
      <c r="I789" s="5">
        <v>10.52</v>
      </c>
      <c r="J789" s="6" t="str">
        <f t="shared" si="24"/>
        <v>1</v>
      </c>
      <c r="K789" s="6">
        <f t="shared" si="25"/>
        <v>10.52</v>
      </c>
    </row>
    <row r="790" spans="1:11" x14ac:dyDescent="0.3">
      <c r="A790" s="5" t="s">
        <v>3878</v>
      </c>
      <c r="B790" s="5" t="s">
        <v>45</v>
      </c>
      <c r="C790" s="5" t="s">
        <v>5103</v>
      </c>
      <c r="D790" s="28" t="s">
        <v>2481</v>
      </c>
      <c r="E790" s="5" t="s">
        <v>80</v>
      </c>
      <c r="F790" s="5" t="s">
        <v>5083</v>
      </c>
      <c r="G790" s="5" t="s">
        <v>5083</v>
      </c>
      <c r="H790" s="5" t="s">
        <v>2993</v>
      </c>
      <c r="I790" s="5">
        <v>16.96</v>
      </c>
      <c r="J790" s="6" t="str">
        <f t="shared" si="24"/>
        <v>2+</v>
      </c>
      <c r="K790" s="6">
        <f t="shared" si="25"/>
        <v>16.96</v>
      </c>
    </row>
    <row r="791" spans="1:11" x14ac:dyDescent="0.3">
      <c r="A791" s="5" t="s">
        <v>5342</v>
      </c>
      <c r="B791" s="5" t="s">
        <v>45</v>
      </c>
      <c r="C791" s="5" t="s">
        <v>5343</v>
      </c>
      <c r="D791" s="28" t="s">
        <v>2481</v>
      </c>
      <c r="E791" s="5" t="s">
        <v>80</v>
      </c>
      <c r="F791" s="5" t="s">
        <v>5083</v>
      </c>
      <c r="G791" s="5" t="s">
        <v>5081</v>
      </c>
      <c r="H791" s="5" t="s">
        <v>2428</v>
      </c>
      <c r="I791" s="5">
        <v>6.73</v>
      </c>
      <c r="J791" s="6" t="str">
        <f t="shared" si="24"/>
        <v>2</v>
      </c>
      <c r="K791" s="6">
        <f t="shared" si="25"/>
        <v>6.73</v>
      </c>
    </row>
    <row r="792" spans="1:11" x14ac:dyDescent="0.3">
      <c r="A792" s="5" t="s">
        <v>3447</v>
      </c>
      <c r="B792" s="5" t="s">
        <v>45</v>
      </c>
      <c r="C792" s="5" t="s">
        <v>5235</v>
      </c>
      <c r="D792" s="28" t="s">
        <v>2481</v>
      </c>
      <c r="E792" s="5" t="s">
        <v>80</v>
      </c>
      <c r="F792" s="5" t="s">
        <v>5073</v>
      </c>
      <c r="G792" s="5" t="s">
        <v>5070</v>
      </c>
      <c r="H792" s="5" t="s">
        <v>2423</v>
      </c>
      <c r="I792" s="5">
        <v>5.52</v>
      </c>
      <c r="J792" s="6" t="str">
        <f t="shared" si="24"/>
        <v>0</v>
      </c>
      <c r="K792" s="6">
        <f t="shared" si="25"/>
        <v>5.52</v>
      </c>
    </row>
    <row r="793" spans="1:11" x14ac:dyDescent="0.3">
      <c r="A793" s="5" t="s">
        <v>3045</v>
      </c>
      <c r="B793" s="5" t="s">
        <v>45</v>
      </c>
      <c r="C793" s="5" t="s">
        <v>5902</v>
      </c>
      <c r="D793" s="28" t="s">
        <v>2481</v>
      </c>
      <c r="E793" s="5" t="s">
        <v>80</v>
      </c>
      <c r="F793" s="5" t="s">
        <v>5083</v>
      </c>
      <c r="G793" s="5" t="s">
        <v>5081</v>
      </c>
      <c r="H793" s="5" t="s">
        <v>2423</v>
      </c>
      <c r="I793" s="5">
        <v>1.22</v>
      </c>
      <c r="J793" s="6" t="str">
        <f t="shared" si="24"/>
        <v>0</v>
      </c>
      <c r="K793" s="6">
        <f t="shared" si="25"/>
        <v>1.22</v>
      </c>
    </row>
    <row r="794" spans="1:11" x14ac:dyDescent="0.3">
      <c r="A794" s="5" t="s">
        <v>2903</v>
      </c>
      <c r="B794" s="5" t="s">
        <v>45</v>
      </c>
      <c r="C794" s="5" t="s">
        <v>6129</v>
      </c>
      <c r="D794" s="28" t="s">
        <v>2481</v>
      </c>
      <c r="E794" s="5" t="s">
        <v>80</v>
      </c>
      <c r="F794" s="5" t="s">
        <v>5083</v>
      </c>
      <c r="G794" s="5" t="s">
        <v>5071</v>
      </c>
      <c r="H794" s="5" t="s">
        <v>2412</v>
      </c>
      <c r="I794" s="5">
        <v>19.07</v>
      </c>
      <c r="J794" s="6" t="str">
        <f t="shared" si="24"/>
        <v>1</v>
      </c>
      <c r="K794" s="6">
        <f t="shared" si="25"/>
        <v>19.07</v>
      </c>
    </row>
    <row r="795" spans="1:11" x14ac:dyDescent="0.3">
      <c r="A795" s="5" t="s">
        <v>5144</v>
      </c>
      <c r="B795" s="5" t="s">
        <v>45</v>
      </c>
      <c r="C795" s="5" t="s">
        <v>5145</v>
      </c>
      <c r="D795" s="28" t="s">
        <v>2481</v>
      </c>
      <c r="E795" s="5" t="s">
        <v>80</v>
      </c>
      <c r="F795" s="5" t="s">
        <v>5071</v>
      </c>
      <c r="G795" s="5" t="s">
        <v>5071</v>
      </c>
      <c r="H795" s="5" t="s">
        <v>2486</v>
      </c>
      <c r="I795" s="5">
        <v>14.96</v>
      </c>
      <c r="J795" s="6" t="str">
        <f t="shared" si="24"/>
        <v>2+</v>
      </c>
      <c r="K795" s="6">
        <f t="shared" si="25"/>
        <v>14.96</v>
      </c>
    </row>
    <row r="796" spans="1:11" x14ac:dyDescent="0.3">
      <c r="A796" s="5" t="s">
        <v>4225</v>
      </c>
      <c r="B796" s="5" t="s">
        <v>45</v>
      </c>
      <c r="C796" s="5" t="s">
        <v>5835</v>
      </c>
      <c r="D796" s="28" t="s">
        <v>2481</v>
      </c>
      <c r="E796" s="5" t="s">
        <v>80</v>
      </c>
      <c r="F796" s="5" t="s">
        <v>5083</v>
      </c>
      <c r="G796" s="5" t="s">
        <v>5076</v>
      </c>
      <c r="H796" s="5" t="s">
        <v>2477</v>
      </c>
      <c r="I796" s="5">
        <v>18.260000000000002</v>
      </c>
      <c r="J796" s="6" t="str">
        <f t="shared" si="24"/>
        <v>0</v>
      </c>
      <c r="K796" s="6">
        <f t="shared" si="25"/>
        <v>18.260000000000002</v>
      </c>
    </row>
    <row r="797" spans="1:11" x14ac:dyDescent="0.3">
      <c r="A797" s="5" t="s">
        <v>3387</v>
      </c>
      <c r="B797" s="5" t="s">
        <v>45</v>
      </c>
      <c r="C797" s="5" t="s">
        <v>5375</v>
      </c>
      <c r="D797" s="28" t="s">
        <v>2481</v>
      </c>
      <c r="E797" s="5" t="s">
        <v>80</v>
      </c>
      <c r="F797" s="5" t="s">
        <v>5083</v>
      </c>
      <c r="G797" s="5" t="s">
        <v>5076</v>
      </c>
      <c r="H797" s="5" t="s">
        <v>2477</v>
      </c>
      <c r="I797" s="5">
        <v>13.35</v>
      </c>
      <c r="J797" s="6" t="str">
        <f t="shared" si="24"/>
        <v>0</v>
      </c>
      <c r="K797" s="6">
        <f t="shared" si="25"/>
        <v>13.35</v>
      </c>
    </row>
    <row r="798" spans="1:11" x14ac:dyDescent="0.3">
      <c r="A798" s="5" t="s">
        <v>5027</v>
      </c>
      <c r="B798" s="5" t="s">
        <v>45</v>
      </c>
      <c r="C798" s="5" t="s">
        <v>6301</v>
      </c>
      <c r="D798" s="28" t="s">
        <v>2481</v>
      </c>
      <c r="E798" s="5" t="s">
        <v>80</v>
      </c>
      <c r="F798" s="5" t="s">
        <v>5083</v>
      </c>
      <c r="G798" s="5" t="s">
        <v>5083</v>
      </c>
      <c r="H798" s="5" t="s">
        <v>2455</v>
      </c>
      <c r="I798" s="5">
        <v>12.74</v>
      </c>
      <c r="J798" s="6" t="str">
        <f t="shared" si="24"/>
        <v>1</v>
      </c>
      <c r="K798" s="6">
        <f t="shared" si="25"/>
        <v>12.74</v>
      </c>
    </row>
    <row r="799" spans="1:11" x14ac:dyDescent="0.3">
      <c r="A799" s="5" t="s">
        <v>2552</v>
      </c>
      <c r="B799" s="5" t="s">
        <v>14</v>
      </c>
      <c r="C799" s="5" t="s">
        <v>5458</v>
      </c>
      <c r="D799" s="28" t="s">
        <v>2481</v>
      </c>
      <c r="E799" s="5" t="s">
        <v>80</v>
      </c>
      <c r="F799" s="5" t="s">
        <v>5071</v>
      </c>
      <c r="G799" s="5" t="s">
        <v>5070</v>
      </c>
      <c r="H799" s="5" t="s">
        <v>2439</v>
      </c>
      <c r="I799" s="5"/>
      <c r="J799" s="6" t="str">
        <f t="shared" si="24"/>
        <v>2</v>
      </c>
      <c r="K799" s="6">
        <f t="shared" si="25"/>
        <v>11</v>
      </c>
    </row>
    <row r="800" spans="1:11" x14ac:dyDescent="0.3">
      <c r="A800" s="5" t="s">
        <v>3558</v>
      </c>
      <c r="B800" s="5" t="s">
        <v>14</v>
      </c>
      <c r="C800" s="5" t="s">
        <v>6258</v>
      </c>
      <c r="D800" s="28" t="s">
        <v>2481</v>
      </c>
      <c r="E800" s="5" t="s">
        <v>80</v>
      </c>
      <c r="F800" s="5" t="s">
        <v>5070</v>
      </c>
      <c r="G800" s="5" t="s">
        <v>5070</v>
      </c>
      <c r="H800" s="5" t="s">
        <v>2423</v>
      </c>
      <c r="I800" s="5">
        <v>15.38</v>
      </c>
      <c r="J800" s="6" t="str">
        <f t="shared" si="24"/>
        <v>0</v>
      </c>
      <c r="K800" s="6">
        <f t="shared" si="25"/>
        <v>15.38</v>
      </c>
    </row>
    <row r="801" spans="1:11" x14ac:dyDescent="0.3">
      <c r="A801" s="5" t="s">
        <v>2619</v>
      </c>
      <c r="B801" s="5" t="s">
        <v>14</v>
      </c>
      <c r="C801" s="5" t="s">
        <v>6473</v>
      </c>
      <c r="D801" s="28" t="s">
        <v>2481</v>
      </c>
      <c r="E801" s="5" t="s">
        <v>80</v>
      </c>
      <c r="F801" s="5" t="s">
        <v>5070</v>
      </c>
      <c r="G801" s="5" t="s">
        <v>5076</v>
      </c>
      <c r="H801" s="5" t="s">
        <v>2408</v>
      </c>
      <c r="I801" s="5">
        <v>2.5099999999999998</v>
      </c>
      <c r="J801" s="6" t="str">
        <f t="shared" si="24"/>
        <v>0</v>
      </c>
      <c r="K801" s="6">
        <f t="shared" si="25"/>
        <v>2.5099999999999998</v>
      </c>
    </row>
    <row r="802" spans="1:11" x14ac:dyDescent="0.3">
      <c r="A802" s="5" t="s">
        <v>5357</v>
      </c>
      <c r="B802" s="5" t="s">
        <v>14</v>
      </c>
      <c r="C802" s="5" t="s">
        <v>5358</v>
      </c>
      <c r="D802" s="28" t="s">
        <v>2481</v>
      </c>
      <c r="E802" s="5" t="s">
        <v>80</v>
      </c>
      <c r="F802" s="5" t="s">
        <v>5076</v>
      </c>
      <c r="G802" s="5" t="s">
        <v>5081</v>
      </c>
      <c r="H802" s="5" t="s">
        <v>2455</v>
      </c>
      <c r="I802" s="5">
        <v>11.5</v>
      </c>
      <c r="J802" s="6" t="str">
        <f t="shared" si="24"/>
        <v>1</v>
      </c>
      <c r="K802" s="6">
        <f t="shared" si="25"/>
        <v>11.5</v>
      </c>
    </row>
    <row r="803" spans="1:11" x14ac:dyDescent="0.3">
      <c r="A803" s="5" t="s">
        <v>2897</v>
      </c>
      <c r="B803" s="5" t="s">
        <v>14</v>
      </c>
      <c r="C803" s="5" t="s">
        <v>5114</v>
      </c>
      <c r="D803" s="28" t="s">
        <v>2481</v>
      </c>
      <c r="E803" s="5" t="s">
        <v>80</v>
      </c>
      <c r="F803" s="5" t="s">
        <v>5070</v>
      </c>
      <c r="G803" s="5" t="s">
        <v>5071</v>
      </c>
      <c r="H803" s="5" t="s">
        <v>2455</v>
      </c>
      <c r="I803" s="5">
        <v>17.46</v>
      </c>
      <c r="J803" s="6" t="str">
        <f t="shared" si="24"/>
        <v>1</v>
      </c>
      <c r="K803" s="6">
        <f t="shared" si="25"/>
        <v>17.46</v>
      </c>
    </row>
    <row r="804" spans="1:11" x14ac:dyDescent="0.3">
      <c r="A804" s="5" t="s">
        <v>6134</v>
      </c>
      <c r="B804" s="5" t="s">
        <v>117</v>
      </c>
      <c r="C804" s="5" t="s">
        <v>6135</v>
      </c>
      <c r="D804" s="28" t="s">
        <v>2481</v>
      </c>
      <c r="E804" s="5" t="s">
        <v>80</v>
      </c>
      <c r="F804" s="5" t="s">
        <v>5073</v>
      </c>
      <c r="G804" s="5" t="s">
        <v>5070</v>
      </c>
      <c r="H804" s="5" t="s">
        <v>2408</v>
      </c>
      <c r="I804" s="5">
        <v>9.6</v>
      </c>
      <c r="J804" s="6" t="str">
        <f t="shared" si="24"/>
        <v>0</v>
      </c>
      <c r="K804" s="6">
        <f t="shared" si="25"/>
        <v>9.6</v>
      </c>
    </row>
    <row r="805" spans="1:11" x14ac:dyDescent="0.3">
      <c r="A805" s="5" t="s">
        <v>2480</v>
      </c>
      <c r="B805" s="5" t="s">
        <v>117</v>
      </c>
      <c r="C805" s="5" t="s">
        <v>5753</v>
      </c>
      <c r="D805" s="28" t="s">
        <v>2481</v>
      </c>
      <c r="E805" s="5" t="s">
        <v>80</v>
      </c>
      <c r="F805" s="5" t="s">
        <v>5071</v>
      </c>
      <c r="G805" s="5" t="s">
        <v>5070</v>
      </c>
      <c r="H805" s="5" t="s">
        <v>2993</v>
      </c>
      <c r="I805" s="5"/>
      <c r="J805" s="6" t="str">
        <f t="shared" si="24"/>
        <v>2+</v>
      </c>
      <c r="K805" s="6">
        <f t="shared" si="25"/>
        <v>10.4</v>
      </c>
    </row>
    <row r="806" spans="1:11" x14ac:dyDescent="0.3">
      <c r="A806" s="5" t="s">
        <v>4070</v>
      </c>
      <c r="B806" s="5" t="s">
        <v>117</v>
      </c>
      <c r="C806" s="5" t="s">
        <v>6391</v>
      </c>
      <c r="D806" s="28" t="s">
        <v>2481</v>
      </c>
      <c r="E806" s="5" t="s">
        <v>80</v>
      </c>
      <c r="F806" s="5" t="s">
        <v>5073</v>
      </c>
      <c r="G806" s="5" t="s">
        <v>5073</v>
      </c>
      <c r="H806" s="5" t="s">
        <v>2423</v>
      </c>
      <c r="I806" s="5">
        <v>10.74</v>
      </c>
      <c r="J806" s="6" t="str">
        <f t="shared" si="24"/>
        <v>0</v>
      </c>
      <c r="K806" s="6">
        <f t="shared" si="25"/>
        <v>10.74</v>
      </c>
    </row>
    <row r="807" spans="1:11" x14ac:dyDescent="0.3">
      <c r="A807" s="5" t="s">
        <v>3274</v>
      </c>
      <c r="B807" s="5" t="s">
        <v>117</v>
      </c>
      <c r="C807" s="5" t="s">
        <v>6140</v>
      </c>
      <c r="D807" s="28" t="s">
        <v>2481</v>
      </c>
      <c r="E807" s="5" t="s">
        <v>80</v>
      </c>
      <c r="F807" s="5" t="s">
        <v>5070</v>
      </c>
      <c r="G807" s="5" t="s">
        <v>5071</v>
      </c>
      <c r="H807" s="5" t="s">
        <v>2435</v>
      </c>
      <c r="I807" s="5">
        <v>17.54</v>
      </c>
      <c r="J807" s="6" t="str">
        <f t="shared" si="24"/>
        <v>0</v>
      </c>
      <c r="K807" s="6">
        <f t="shared" si="25"/>
        <v>17.54</v>
      </c>
    </row>
    <row r="808" spans="1:11" x14ac:dyDescent="0.3">
      <c r="A808" s="5" t="s">
        <v>5858</v>
      </c>
      <c r="B808" s="5" t="s">
        <v>117</v>
      </c>
      <c r="C808" s="5" t="s">
        <v>5859</v>
      </c>
      <c r="D808" s="28" t="s">
        <v>2481</v>
      </c>
      <c r="E808" s="5" t="s">
        <v>80</v>
      </c>
      <c r="F808" s="5" t="s">
        <v>5073</v>
      </c>
      <c r="G808" s="5" t="s">
        <v>5081</v>
      </c>
      <c r="H808" s="5" t="s">
        <v>2412</v>
      </c>
      <c r="I808" s="5"/>
      <c r="J808" s="6" t="str">
        <f t="shared" si="24"/>
        <v>1</v>
      </c>
      <c r="K808" s="6">
        <f t="shared" si="25"/>
        <v>10.4</v>
      </c>
    </row>
    <row r="809" spans="1:11" x14ac:dyDescent="0.3">
      <c r="A809" s="5" t="s">
        <v>5490</v>
      </c>
      <c r="B809" s="5" t="s">
        <v>117</v>
      </c>
      <c r="C809" s="5" t="s">
        <v>5491</v>
      </c>
      <c r="D809" s="28" t="s">
        <v>2481</v>
      </c>
      <c r="E809" s="5" t="s">
        <v>80</v>
      </c>
      <c r="F809" s="5" t="s">
        <v>5076</v>
      </c>
      <c r="G809" s="5" t="s">
        <v>5083</v>
      </c>
      <c r="H809" s="5" t="s">
        <v>2477</v>
      </c>
      <c r="I809" s="5">
        <v>18.46</v>
      </c>
      <c r="J809" s="6" t="str">
        <f t="shared" si="24"/>
        <v>0</v>
      </c>
      <c r="K809" s="6">
        <f t="shared" si="25"/>
        <v>18.46</v>
      </c>
    </row>
    <row r="810" spans="1:11" x14ac:dyDescent="0.3">
      <c r="A810" s="5" t="s">
        <v>4203</v>
      </c>
      <c r="B810" s="5" t="s">
        <v>117</v>
      </c>
      <c r="C810" s="5" t="s">
        <v>5886</v>
      </c>
      <c r="D810" s="28" t="s">
        <v>2481</v>
      </c>
      <c r="E810" s="5" t="s">
        <v>80</v>
      </c>
      <c r="F810" s="5" t="s">
        <v>5081</v>
      </c>
      <c r="G810" s="5" t="s">
        <v>5083</v>
      </c>
      <c r="H810" s="5" t="s">
        <v>2439</v>
      </c>
      <c r="I810" s="5">
        <v>17.77</v>
      </c>
      <c r="J810" s="6" t="str">
        <f t="shared" si="24"/>
        <v>2</v>
      </c>
      <c r="K810" s="6">
        <f t="shared" si="25"/>
        <v>17.77</v>
      </c>
    </row>
    <row r="811" spans="1:11" x14ac:dyDescent="0.3">
      <c r="A811" s="5" t="s">
        <v>2749</v>
      </c>
      <c r="B811" s="5" t="s">
        <v>117</v>
      </c>
      <c r="C811" s="5" t="s">
        <v>5815</v>
      </c>
      <c r="D811" s="28" t="s">
        <v>2481</v>
      </c>
      <c r="E811" s="5" t="s">
        <v>80</v>
      </c>
      <c r="F811" s="5" t="s">
        <v>5073</v>
      </c>
      <c r="G811" s="5" t="s">
        <v>5081</v>
      </c>
      <c r="H811" s="5"/>
      <c r="I811" s="5">
        <v>17.86</v>
      </c>
      <c r="J811" s="6" t="str">
        <f t="shared" si="24"/>
        <v>Unknown</v>
      </c>
      <c r="K811" s="6">
        <f t="shared" si="25"/>
        <v>17.86</v>
      </c>
    </row>
    <row r="812" spans="1:11" x14ac:dyDescent="0.3">
      <c r="A812" s="5" t="s">
        <v>5560</v>
      </c>
      <c r="B812" s="5" t="s">
        <v>117</v>
      </c>
      <c r="C812" s="5" t="s">
        <v>5561</v>
      </c>
      <c r="D812" s="28" t="s">
        <v>2481</v>
      </c>
      <c r="E812" s="5" t="s">
        <v>80</v>
      </c>
      <c r="F812" s="5" t="s">
        <v>5071</v>
      </c>
      <c r="G812" s="5" t="s">
        <v>5081</v>
      </c>
      <c r="H812" s="5" t="s">
        <v>2450</v>
      </c>
      <c r="I812" s="5">
        <v>10.62</v>
      </c>
      <c r="J812" s="6" t="str">
        <f t="shared" si="24"/>
        <v>1</v>
      </c>
      <c r="K812" s="6">
        <f t="shared" si="25"/>
        <v>10.62</v>
      </c>
    </row>
    <row r="813" spans="1:11" x14ac:dyDescent="0.3">
      <c r="A813" s="5" t="s">
        <v>2726</v>
      </c>
      <c r="B813" s="5" t="s">
        <v>117</v>
      </c>
      <c r="C813" s="5" t="s">
        <v>5863</v>
      </c>
      <c r="D813" s="28" t="s">
        <v>2481</v>
      </c>
      <c r="E813" s="5" t="s">
        <v>80</v>
      </c>
      <c r="F813" s="5" t="s">
        <v>5083</v>
      </c>
      <c r="G813" s="5" t="s">
        <v>5083</v>
      </c>
      <c r="H813" s="5" t="s">
        <v>2435</v>
      </c>
      <c r="I813" s="5">
        <v>11.97</v>
      </c>
      <c r="J813" s="6" t="str">
        <f t="shared" si="24"/>
        <v>0</v>
      </c>
      <c r="K813" s="6">
        <f t="shared" si="25"/>
        <v>11.97</v>
      </c>
    </row>
    <row r="814" spans="1:11" x14ac:dyDescent="0.3">
      <c r="A814" s="5" t="s">
        <v>5703</v>
      </c>
      <c r="B814" s="5" t="s">
        <v>25</v>
      </c>
      <c r="C814" s="5" t="s">
        <v>5704</v>
      </c>
      <c r="D814" s="28" t="s">
        <v>2481</v>
      </c>
      <c r="E814" s="5" t="s">
        <v>80</v>
      </c>
      <c r="F814" s="5" t="s">
        <v>5073</v>
      </c>
      <c r="G814" s="5" t="s">
        <v>5073</v>
      </c>
      <c r="H814" s="5" t="s">
        <v>2423</v>
      </c>
      <c r="I814" s="5">
        <v>9.44</v>
      </c>
      <c r="J814" s="6" t="str">
        <f t="shared" si="24"/>
        <v>0</v>
      </c>
      <c r="K814" s="6">
        <f t="shared" si="25"/>
        <v>9.44</v>
      </c>
    </row>
    <row r="815" spans="1:11" x14ac:dyDescent="0.3">
      <c r="A815" s="5" t="s">
        <v>3048</v>
      </c>
      <c r="B815" s="5" t="s">
        <v>25</v>
      </c>
      <c r="C815" s="5" t="s">
        <v>6418</v>
      </c>
      <c r="D815" s="28" t="s">
        <v>2481</v>
      </c>
      <c r="E815" s="5" t="s">
        <v>80</v>
      </c>
      <c r="F815" s="5" t="s">
        <v>5070</v>
      </c>
      <c r="G815" s="5" t="s">
        <v>5070</v>
      </c>
      <c r="H815" s="5" t="s">
        <v>2993</v>
      </c>
      <c r="I815" s="5">
        <v>1.19</v>
      </c>
      <c r="J815" s="6" t="str">
        <f t="shared" si="24"/>
        <v>2+</v>
      </c>
      <c r="K815" s="6">
        <f t="shared" si="25"/>
        <v>1.19</v>
      </c>
    </row>
    <row r="816" spans="1:11" x14ac:dyDescent="0.3">
      <c r="A816" s="5" t="s">
        <v>4803</v>
      </c>
      <c r="B816" s="5" t="s">
        <v>25</v>
      </c>
      <c r="C816" s="5" t="s">
        <v>5435</v>
      </c>
      <c r="D816" s="28" t="s">
        <v>2481</v>
      </c>
      <c r="E816" s="5" t="s">
        <v>80</v>
      </c>
      <c r="F816" s="5" t="s">
        <v>5071</v>
      </c>
      <c r="G816" s="5" t="s">
        <v>5083</v>
      </c>
      <c r="H816" s="5" t="s">
        <v>2455</v>
      </c>
      <c r="I816" s="5">
        <v>17.71</v>
      </c>
      <c r="J816" s="6" t="str">
        <f t="shared" si="24"/>
        <v>1</v>
      </c>
      <c r="K816" s="6">
        <f t="shared" si="25"/>
        <v>17.71</v>
      </c>
    </row>
    <row r="817" spans="1:11" x14ac:dyDescent="0.3">
      <c r="A817" s="5" t="s">
        <v>5887</v>
      </c>
      <c r="B817" s="5" t="s">
        <v>25</v>
      </c>
      <c r="C817" s="5" t="s">
        <v>5888</v>
      </c>
      <c r="D817" s="28" t="s">
        <v>2481</v>
      </c>
      <c r="E817" s="5" t="s">
        <v>80</v>
      </c>
      <c r="F817" s="5" t="s">
        <v>5073</v>
      </c>
      <c r="G817" s="5" t="s">
        <v>5076</v>
      </c>
      <c r="H817" s="5" t="s">
        <v>2418</v>
      </c>
      <c r="I817" s="5">
        <v>15.46</v>
      </c>
      <c r="J817" s="6" t="str">
        <f t="shared" si="24"/>
        <v>1</v>
      </c>
      <c r="K817" s="6">
        <f t="shared" si="25"/>
        <v>15.46</v>
      </c>
    </row>
    <row r="818" spans="1:11" x14ac:dyDescent="0.3">
      <c r="A818" s="5" t="s">
        <v>3520</v>
      </c>
      <c r="B818" s="5" t="s">
        <v>25</v>
      </c>
      <c r="C818" s="5" t="s">
        <v>6384</v>
      </c>
      <c r="D818" s="28" t="s">
        <v>2481</v>
      </c>
      <c r="E818" s="5" t="s">
        <v>80</v>
      </c>
      <c r="F818" s="5" t="s">
        <v>5076</v>
      </c>
      <c r="G818" s="5" t="s">
        <v>5081</v>
      </c>
      <c r="H818" s="5" t="s">
        <v>2418</v>
      </c>
      <c r="I818" s="5">
        <v>18.52</v>
      </c>
      <c r="J818" s="6" t="str">
        <f t="shared" si="24"/>
        <v>1</v>
      </c>
      <c r="K818" s="6">
        <f t="shared" si="25"/>
        <v>18.52</v>
      </c>
    </row>
    <row r="819" spans="1:11" x14ac:dyDescent="0.3">
      <c r="A819" s="5" t="s">
        <v>2525</v>
      </c>
      <c r="B819" s="5" t="s">
        <v>25</v>
      </c>
      <c r="C819" s="5" t="s">
        <v>5823</v>
      </c>
      <c r="D819" s="28" t="s">
        <v>2481</v>
      </c>
      <c r="E819" s="5" t="s">
        <v>80</v>
      </c>
      <c r="F819" s="5" t="s">
        <v>5081</v>
      </c>
      <c r="G819" s="5" t="s">
        <v>5081</v>
      </c>
      <c r="H819" s="5" t="s">
        <v>2412</v>
      </c>
      <c r="I819" s="5">
        <v>5.99</v>
      </c>
      <c r="J819" s="6" t="str">
        <f t="shared" si="24"/>
        <v>1</v>
      </c>
      <c r="K819" s="6">
        <f t="shared" si="25"/>
        <v>5.99</v>
      </c>
    </row>
    <row r="820" spans="1:11" x14ac:dyDescent="0.3">
      <c r="A820" s="5" t="s">
        <v>4319</v>
      </c>
      <c r="B820" s="5" t="s">
        <v>25</v>
      </c>
      <c r="C820" s="5" t="s">
        <v>6323</v>
      </c>
      <c r="D820" s="28" t="s">
        <v>2481</v>
      </c>
      <c r="E820" s="5" t="s">
        <v>80</v>
      </c>
      <c r="F820" s="5" t="s">
        <v>5071</v>
      </c>
      <c r="G820" s="5" t="s">
        <v>5081</v>
      </c>
      <c r="H820" s="5" t="s">
        <v>2423</v>
      </c>
      <c r="I820" s="5">
        <v>17.22</v>
      </c>
      <c r="J820" s="6" t="str">
        <f t="shared" si="24"/>
        <v>0</v>
      </c>
      <c r="K820" s="6">
        <f t="shared" si="25"/>
        <v>17.22</v>
      </c>
    </row>
    <row r="821" spans="1:11" x14ac:dyDescent="0.3">
      <c r="A821" s="5" t="s">
        <v>4638</v>
      </c>
      <c r="B821" s="5" t="s">
        <v>25</v>
      </c>
      <c r="C821" s="5" t="s">
        <v>5903</v>
      </c>
      <c r="D821" s="28" t="s">
        <v>2481</v>
      </c>
      <c r="E821" s="5" t="s">
        <v>80</v>
      </c>
      <c r="F821" s="5" t="s">
        <v>5071</v>
      </c>
      <c r="G821" s="5" t="s">
        <v>5083</v>
      </c>
      <c r="H821" s="5" t="s">
        <v>2455</v>
      </c>
      <c r="I821" s="5">
        <v>0.98</v>
      </c>
      <c r="J821" s="6" t="str">
        <f t="shared" si="24"/>
        <v>1</v>
      </c>
      <c r="K821" s="6">
        <f t="shared" si="25"/>
        <v>0.98</v>
      </c>
    </row>
    <row r="822" spans="1:11" x14ac:dyDescent="0.3">
      <c r="A822" s="5" t="s">
        <v>3642</v>
      </c>
      <c r="B822" s="5" t="s">
        <v>25</v>
      </c>
      <c r="C822" s="5" t="s">
        <v>6029</v>
      </c>
      <c r="D822" s="28" t="s">
        <v>2481</v>
      </c>
      <c r="E822" s="5" t="s">
        <v>80</v>
      </c>
      <c r="F822" s="5" t="s">
        <v>5081</v>
      </c>
      <c r="G822" s="5" t="s">
        <v>5071</v>
      </c>
      <c r="H822" s="5" t="s">
        <v>2455</v>
      </c>
      <c r="I822" s="5">
        <v>13.65</v>
      </c>
      <c r="J822" s="6" t="str">
        <f t="shared" si="24"/>
        <v>1</v>
      </c>
      <c r="K822" s="6">
        <f t="shared" si="25"/>
        <v>13.65</v>
      </c>
    </row>
    <row r="823" spans="1:11" x14ac:dyDescent="0.3">
      <c r="A823" s="5" t="s">
        <v>4285</v>
      </c>
      <c r="B823" s="5" t="s">
        <v>25</v>
      </c>
      <c r="C823" s="5" t="s">
        <v>5729</v>
      </c>
      <c r="D823" s="28" t="s">
        <v>2481</v>
      </c>
      <c r="E823" s="5" t="s">
        <v>80</v>
      </c>
      <c r="F823" s="5" t="s">
        <v>5081</v>
      </c>
      <c r="G823" s="5" t="s">
        <v>5073</v>
      </c>
      <c r="H823" s="5" t="s">
        <v>2450</v>
      </c>
      <c r="I823" s="5">
        <v>9.8800000000000008</v>
      </c>
      <c r="J823" s="6" t="str">
        <f t="shared" si="24"/>
        <v>1</v>
      </c>
      <c r="K823" s="6">
        <f t="shared" si="25"/>
        <v>9.8800000000000008</v>
      </c>
    </row>
    <row r="824" spans="1:11" x14ac:dyDescent="0.3">
      <c r="A824" s="5" t="s">
        <v>3289</v>
      </c>
      <c r="B824" s="5" t="s">
        <v>25</v>
      </c>
      <c r="C824" s="5" t="s">
        <v>6447</v>
      </c>
      <c r="D824" s="28" t="s">
        <v>2481</v>
      </c>
      <c r="E824" s="5" t="s">
        <v>80</v>
      </c>
      <c r="F824" s="5" t="s">
        <v>5076</v>
      </c>
      <c r="G824" s="5" t="s">
        <v>5083</v>
      </c>
      <c r="H824" s="5" t="s">
        <v>2423</v>
      </c>
      <c r="I824" s="5">
        <v>0.61</v>
      </c>
      <c r="J824" s="6" t="str">
        <f t="shared" si="24"/>
        <v>0</v>
      </c>
      <c r="K824" s="6">
        <f t="shared" si="25"/>
        <v>0.61</v>
      </c>
    </row>
    <row r="825" spans="1:11" x14ac:dyDescent="0.3">
      <c r="A825" s="5" t="s">
        <v>5801</v>
      </c>
      <c r="B825" s="5" t="s">
        <v>106</v>
      </c>
      <c r="C825" s="5" t="s">
        <v>5802</v>
      </c>
      <c r="D825" s="28" t="s">
        <v>2481</v>
      </c>
      <c r="E825" s="5" t="s">
        <v>80</v>
      </c>
      <c r="F825" s="5" t="s">
        <v>5076</v>
      </c>
      <c r="G825" s="5" t="s">
        <v>5083</v>
      </c>
      <c r="H825" s="5" t="s">
        <v>2455</v>
      </c>
      <c r="I825" s="5">
        <v>15.88</v>
      </c>
      <c r="J825" s="6" t="str">
        <f t="shared" si="24"/>
        <v>1</v>
      </c>
      <c r="K825" s="6">
        <f t="shared" si="25"/>
        <v>15.88</v>
      </c>
    </row>
    <row r="826" spans="1:11" x14ac:dyDescent="0.3">
      <c r="A826" s="5" t="s">
        <v>3014</v>
      </c>
      <c r="B826" s="5" t="s">
        <v>106</v>
      </c>
      <c r="C826" s="5" t="s">
        <v>5472</v>
      </c>
      <c r="D826" s="28" t="s">
        <v>2481</v>
      </c>
      <c r="E826" s="5" t="s">
        <v>80</v>
      </c>
      <c r="F826" s="5" t="s">
        <v>5083</v>
      </c>
      <c r="G826" s="5" t="s">
        <v>5083</v>
      </c>
      <c r="H826" s="5" t="s">
        <v>2477</v>
      </c>
      <c r="I826" s="5">
        <v>5.0599999999999996</v>
      </c>
      <c r="J826" s="6" t="str">
        <f t="shared" si="24"/>
        <v>0</v>
      </c>
      <c r="K826" s="6">
        <f t="shared" si="25"/>
        <v>5.0599999999999996</v>
      </c>
    </row>
    <row r="827" spans="1:11" x14ac:dyDescent="0.3">
      <c r="A827" s="5" t="s">
        <v>2840</v>
      </c>
      <c r="B827" s="5" t="s">
        <v>106</v>
      </c>
      <c r="C827" s="5" t="s">
        <v>6091</v>
      </c>
      <c r="D827" s="28" t="s">
        <v>2481</v>
      </c>
      <c r="E827" s="5" t="s">
        <v>80</v>
      </c>
      <c r="F827" s="5" t="s">
        <v>5070</v>
      </c>
      <c r="G827" s="5" t="s">
        <v>5071</v>
      </c>
      <c r="H827" s="5" t="s">
        <v>2450</v>
      </c>
      <c r="I827" s="5">
        <v>3.42</v>
      </c>
      <c r="J827" s="6" t="str">
        <f t="shared" si="24"/>
        <v>1</v>
      </c>
      <c r="K827" s="6">
        <f t="shared" si="25"/>
        <v>3.42</v>
      </c>
    </row>
    <row r="828" spans="1:11" x14ac:dyDescent="0.3">
      <c r="A828" s="5" t="s">
        <v>3258</v>
      </c>
      <c r="B828" s="5" t="s">
        <v>106</v>
      </c>
      <c r="C828" s="5" t="s">
        <v>5957</v>
      </c>
      <c r="D828" s="28" t="s">
        <v>2481</v>
      </c>
      <c r="E828" s="5" t="s">
        <v>80</v>
      </c>
      <c r="F828" s="5" t="s">
        <v>5073</v>
      </c>
      <c r="G828" s="5" t="s">
        <v>5071</v>
      </c>
      <c r="H828" s="5"/>
      <c r="I828" s="5">
        <v>14.59</v>
      </c>
      <c r="J828" s="6" t="str">
        <f t="shared" si="24"/>
        <v>Unknown</v>
      </c>
      <c r="K828" s="6">
        <f t="shared" si="25"/>
        <v>14.59</v>
      </c>
    </row>
    <row r="829" spans="1:11" x14ac:dyDescent="0.3">
      <c r="A829" s="5" t="s">
        <v>3547</v>
      </c>
      <c r="B829" s="5" t="s">
        <v>106</v>
      </c>
      <c r="C829" s="5" t="s">
        <v>5649</v>
      </c>
      <c r="D829" s="28" t="s">
        <v>2481</v>
      </c>
      <c r="E829" s="5" t="s">
        <v>80</v>
      </c>
      <c r="F829" s="5" t="s">
        <v>5083</v>
      </c>
      <c r="G829" s="5" t="s">
        <v>5083</v>
      </c>
      <c r="H829" s="5" t="s">
        <v>2505</v>
      </c>
      <c r="I829" s="5"/>
      <c r="J829" s="6" t="str">
        <f t="shared" si="24"/>
        <v>2+</v>
      </c>
      <c r="K829" s="6">
        <f t="shared" si="25"/>
        <v>10.1</v>
      </c>
    </row>
    <row r="830" spans="1:11" x14ac:dyDescent="0.3">
      <c r="A830" s="5" t="s">
        <v>5832</v>
      </c>
      <c r="B830" s="5" t="s">
        <v>106</v>
      </c>
      <c r="C830" s="5" t="s">
        <v>5833</v>
      </c>
      <c r="D830" s="28" t="s">
        <v>2481</v>
      </c>
      <c r="E830" s="5" t="s">
        <v>80</v>
      </c>
      <c r="F830" s="5" t="s">
        <v>5076</v>
      </c>
      <c r="G830" s="5" t="s">
        <v>5073</v>
      </c>
      <c r="H830" s="5" t="s">
        <v>2435</v>
      </c>
      <c r="I830" s="5">
        <v>8.73</v>
      </c>
      <c r="J830" s="6" t="str">
        <f t="shared" si="24"/>
        <v>0</v>
      </c>
      <c r="K830" s="6">
        <f t="shared" si="25"/>
        <v>8.73</v>
      </c>
    </row>
    <row r="831" spans="1:11" x14ac:dyDescent="0.3">
      <c r="A831" s="5" t="s">
        <v>2501</v>
      </c>
      <c r="B831" s="5" t="s">
        <v>106</v>
      </c>
      <c r="C831" s="5" t="s">
        <v>5378</v>
      </c>
      <c r="D831" s="28" t="s">
        <v>2481</v>
      </c>
      <c r="E831" s="5" t="s">
        <v>80</v>
      </c>
      <c r="F831" s="5" t="s">
        <v>5073</v>
      </c>
      <c r="G831" s="5" t="s">
        <v>5076</v>
      </c>
      <c r="H831" s="5" t="s">
        <v>2423</v>
      </c>
      <c r="I831" s="5">
        <v>3.78</v>
      </c>
      <c r="J831" s="6" t="str">
        <f t="shared" si="24"/>
        <v>0</v>
      </c>
      <c r="K831" s="6">
        <f t="shared" si="25"/>
        <v>3.78</v>
      </c>
    </row>
    <row r="832" spans="1:11" x14ac:dyDescent="0.3">
      <c r="A832" s="5" t="s">
        <v>3062</v>
      </c>
      <c r="B832" s="5" t="s">
        <v>78</v>
      </c>
      <c r="C832" s="5" t="s">
        <v>5112</v>
      </c>
      <c r="D832" s="28" t="s">
        <v>2473</v>
      </c>
      <c r="E832" s="5" t="s">
        <v>80</v>
      </c>
      <c r="F832" s="5" t="s">
        <v>5073</v>
      </c>
      <c r="G832" s="5" t="s">
        <v>5073</v>
      </c>
      <c r="H832" s="5" t="s">
        <v>2477</v>
      </c>
      <c r="I832" s="5">
        <v>7.97</v>
      </c>
      <c r="J832" s="6" t="str">
        <f t="shared" si="24"/>
        <v>0</v>
      </c>
      <c r="K832" s="6">
        <f t="shared" si="25"/>
        <v>7.97</v>
      </c>
    </row>
    <row r="833" spans="1:11" x14ac:dyDescent="0.3">
      <c r="A833" s="5" t="s">
        <v>3674</v>
      </c>
      <c r="B833" s="5" t="s">
        <v>78</v>
      </c>
      <c r="C833" s="5" t="s">
        <v>6156</v>
      </c>
      <c r="D833" s="28" t="s">
        <v>2473</v>
      </c>
      <c r="E833" s="5" t="s">
        <v>80</v>
      </c>
      <c r="F833" s="5" t="s">
        <v>5073</v>
      </c>
      <c r="G833" s="5" t="s">
        <v>5081</v>
      </c>
      <c r="H833" s="5" t="s">
        <v>2435</v>
      </c>
      <c r="I833" s="5">
        <v>8.39</v>
      </c>
      <c r="J833" s="6" t="str">
        <f t="shared" si="24"/>
        <v>0</v>
      </c>
      <c r="K833" s="6">
        <f t="shared" si="25"/>
        <v>8.39</v>
      </c>
    </row>
    <row r="834" spans="1:11" x14ac:dyDescent="0.3">
      <c r="A834" s="5" t="s">
        <v>3076</v>
      </c>
      <c r="B834" s="5" t="s">
        <v>78</v>
      </c>
      <c r="C834" s="5" t="s">
        <v>6509</v>
      </c>
      <c r="D834" s="28" t="s">
        <v>2473</v>
      </c>
      <c r="E834" s="5" t="s">
        <v>80</v>
      </c>
      <c r="F834" s="5" t="s">
        <v>5081</v>
      </c>
      <c r="G834" s="5" t="s">
        <v>5081</v>
      </c>
      <c r="H834" s="5" t="s">
        <v>2450</v>
      </c>
      <c r="I834" s="5">
        <v>7.51</v>
      </c>
      <c r="J834" s="6" t="str">
        <f t="shared" ref="J834:J897" si="26">IF(OR(LOWER(TRIM(H834))="0",LOWER(TRIM(H834))="ZERO"),"0",IF(OR(LOWER(TRIM(H834))="1",LOWER(TRIM(H834))="one"),"1",IF(OR(LOWER(TRIM(H834))="2",LOWER(TRIM(H834))="two"),"2",IF(OR(LOWER(TRIM(H834))="2+",LOWER(TRIM(H834))="two_or_more",LOWER(TRIM(H834))="multiple"),"2+","Unknown"))))</f>
        <v>1</v>
      </c>
      <c r="K834" s="6">
        <f t="shared" si="25"/>
        <v>7.51</v>
      </c>
    </row>
    <row r="835" spans="1:11" x14ac:dyDescent="0.3">
      <c r="A835" s="5" t="s">
        <v>3234</v>
      </c>
      <c r="B835" s="5" t="s">
        <v>78</v>
      </c>
      <c r="C835" s="5" t="s">
        <v>5446</v>
      </c>
      <c r="D835" s="28" t="s">
        <v>2473</v>
      </c>
      <c r="E835" s="5" t="s">
        <v>80</v>
      </c>
      <c r="F835" s="5" t="s">
        <v>5076</v>
      </c>
      <c r="G835" s="5" t="s">
        <v>5083</v>
      </c>
      <c r="H835" s="5" t="s">
        <v>2435</v>
      </c>
      <c r="I835" s="5">
        <v>9.4</v>
      </c>
      <c r="J835" s="6" t="str">
        <f t="shared" si="26"/>
        <v>0</v>
      </c>
      <c r="K835" s="6">
        <f t="shared" ref="K835:K898" si="27">IF(I835="",ROUND(AVERAGEIF($B$2:$B$1000,B835,$I$2:$I$1000),1),I835)</f>
        <v>9.4</v>
      </c>
    </row>
    <row r="836" spans="1:11" x14ac:dyDescent="0.3">
      <c r="A836" s="5" t="s">
        <v>3975</v>
      </c>
      <c r="B836" s="5" t="s">
        <v>78</v>
      </c>
      <c r="C836" s="5" t="s">
        <v>5589</v>
      </c>
      <c r="D836" s="28" t="s">
        <v>2473</v>
      </c>
      <c r="E836" s="5" t="s">
        <v>80</v>
      </c>
      <c r="F836" s="5" t="s">
        <v>5083</v>
      </c>
      <c r="G836" s="5" t="s">
        <v>5083</v>
      </c>
      <c r="H836" s="5" t="s">
        <v>2450</v>
      </c>
      <c r="I836" s="5">
        <v>19.22</v>
      </c>
      <c r="J836" s="6" t="str">
        <f t="shared" si="26"/>
        <v>1</v>
      </c>
      <c r="K836" s="6">
        <f t="shared" si="27"/>
        <v>19.22</v>
      </c>
    </row>
    <row r="837" spans="1:11" x14ac:dyDescent="0.3">
      <c r="A837" s="5" t="s">
        <v>5562</v>
      </c>
      <c r="B837" s="5" t="s">
        <v>78</v>
      </c>
      <c r="C837" s="5" t="s">
        <v>5563</v>
      </c>
      <c r="D837" s="28" t="s">
        <v>2473</v>
      </c>
      <c r="E837" s="5" t="s">
        <v>80</v>
      </c>
      <c r="F837" s="5" t="s">
        <v>5083</v>
      </c>
      <c r="G837" s="5" t="s">
        <v>5081</v>
      </c>
      <c r="H837" s="5" t="s">
        <v>2450</v>
      </c>
      <c r="I837" s="5">
        <v>2.66</v>
      </c>
      <c r="J837" s="6" t="str">
        <f t="shared" si="26"/>
        <v>1</v>
      </c>
      <c r="K837" s="6">
        <f t="shared" si="27"/>
        <v>2.66</v>
      </c>
    </row>
    <row r="838" spans="1:11" x14ac:dyDescent="0.3">
      <c r="A838" s="5" t="s">
        <v>5875</v>
      </c>
      <c r="B838" s="5" t="s">
        <v>78</v>
      </c>
      <c r="C838" s="5" t="s">
        <v>5876</v>
      </c>
      <c r="D838" s="28" t="s">
        <v>2473</v>
      </c>
      <c r="E838" s="5" t="s">
        <v>80</v>
      </c>
      <c r="F838" s="5" t="s">
        <v>5083</v>
      </c>
      <c r="G838" s="5" t="s">
        <v>5081</v>
      </c>
      <c r="H838" s="5" t="s">
        <v>2435</v>
      </c>
      <c r="I838" s="5">
        <v>19.03</v>
      </c>
      <c r="J838" s="6" t="str">
        <f t="shared" si="26"/>
        <v>0</v>
      </c>
      <c r="K838" s="6">
        <f t="shared" si="27"/>
        <v>19.03</v>
      </c>
    </row>
    <row r="839" spans="1:11" x14ac:dyDescent="0.3">
      <c r="A839" s="5" t="s">
        <v>3071</v>
      </c>
      <c r="B839" s="5" t="s">
        <v>45</v>
      </c>
      <c r="C839" s="5" t="s">
        <v>5555</v>
      </c>
      <c r="D839" s="28" t="s">
        <v>2473</v>
      </c>
      <c r="E839" s="5" t="s">
        <v>80</v>
      </c>
      <c r="F839" s="5" t="s">
        <v>5076</v>
      </c>
      <c r="G839" s="5" t="s">
        <v>5070</v>
      </c>
      <c r="H839" s="5" t="s">
        <v>2435</v>
      </c>
      <c r="I839" s="5">
        <v>11.01</v>
      </c>
      <c r="J839" s="6" t="str">
        <f t="shared" si="26"/>
        <v>0</v>
      </c>
      <c r="K839" s="6">
        <f t="shared" si="27"/>
        <v>11.01</v>
      </c>
    </row>
    <row r="840" spans="1:11" x14ac:dyDescent="0.3">
      <c r="A840" s="5" t="s">
        <v>2928</v>
      </c>
      <c r="B840" s="5" t="s">
        <v>45</v>
      </c>
      <c r="C840" s="5" t="s">
        <v>5902</v>
      </c>
      <c r="D840" s="28" t="s">
        <v>2473</v>
      </c>
      <c r="E840" s="5" t="s">
        <v>80</v>
      </c>
      <c r="F840" s="5" t="s">
        <v>5070</v>
      </c>
      <c r="G840" s="5" t="s">
        <v>5081</v>
      </c>
      <c r="H840" s="5" t="s">
        <v>2418</v>
      </c>
      <c r="I840" s="5">
        <v>12.38</v>
      </c>
      <c r="J840" s="6" t="str">
        <f t="shared" si="26"/>
        <v>1</v>
      </c>
      <c r="K840" s="6">
        <f t="shared" si="27"/>
        <v>12.38</v>
      </c>
    </row>
    <row r="841" spans="1:11" x14ac:dyDescent="0.3">
      <c r="A841" s="5" t="s">
        <v>2800</v>
      </c>
      <c r="B841" s="5" t="s">
        <v>45</v>
      </c>
      <c r="C841" s="5" t="s">
        <v>6255</v>
      </c>
      <c r="D841" s="28" t="s">
        <v>2473</v>
      </c>
      <c r="E841" s="5" t="s">
        <v>80</v>
      </c>
      <c r="F841" s="5" t="s">
        <v>5073</v>
      </c>
      <c r="G841" s="5" t="s">
        <v>5070</v>
      </c>
      <c r="H841" s="5" t="s">
        <v>2412</v>
      </c>
      <c r="I841" s="5">
        <v>16.34</v>
      </c>
      <c r="J841" s="6" t="str">
        <f t="shared" si="26"/>
        <v>1</v>
      </c>
      <c r="K841" s="6">
        <f t="shared" si="27"/>
        <v>16.34</v>
      </c>
    </row>
    <row r="842" spans="1:11" x14ac:dyDescent="0.3">
      <c r="A842" s="5" t="s">
        <v>4143</v>
      </c>
      <c r="B842" s="5" t="s">
        <v>45</v>
      </c>
      <c r="C842" s="5" t="s">
        <v>5242</v>
      </c>
      <c r="D842" s="28" t="s">
        <v>2473</v>
      </c>
      <c r="E842" s="5" t="s">
        <v>80</v>
      </c>
      <c r="F842" s="5" t="s">
        <v>5076</v>
      </c>
      <c r="G842" s="5" t="s">
        <v>5071</v>
      </c>
      <c r="H842" s="5" t="s">
        <v>2435</v>
      </c>
      <c r="I842" s="5">
        <v>10.43</v>
      </c>
      <c r="J842" s="6" t="str">
        <f t="shared" si="26"/>
        <v>0</v>
      </c>
      <c r="K842" s="6">
        <f t="shared" si="27"/>
        <v>10.43</v>
      </c>
    </row>
    <row r="843" spans="1:11" x14ac:dyDescent="0.3">
      <c r="A843" s="5" t="s">
        <v>3041</v>
      </c>
      <c r="B843" s="5" t="s">
        <v>45</v>
      </c>
      <c r="C843" s="5" t="s">
        <v>6507</v>
      </c>
      <c r="D843" s="28" t="s">
        <v>2473</v>
      </c>
      <c r="E843" s="5" t="s">
        <v>80</v>
      </c>
      <c r="F843" s="5" t="s">
        <v>5081</v>
      </c>
      <c r="G843" s="5" t="s">
        <v>5076</v>
      </c>
      <c r="H843" s="5" t="s">
        <v>2423</v>
      </c>
      <c r="I843" s="5">
        <v>17.14</v>
      </c>
      <c r="J843" s="6" t="str">
        <f t="shared" si="26"/>
        <v>0</v>
      </c>
      <c r="K843" s="6">
        <f t="shared" si="27"/>
        <v>17.14</v>
      </c>
    </row>
    <row r="844" spans="1:11" x14ac:dyDescent="0.3">
      <c r="A844" s="5" t="s">
        <v>2584</v>
      </c>
      <c r="B844" s="5" t="s">
        <v>45</v>
      </c>
      <c r="C844" s="5" t="s">
        <v>6160</v>
      </c>
      <c r="D844" s="28" t="s">
        <v>2473</v>
      </c>
      <c r="E844" s="5" t="s">
        <v>80</v>
      </c>
      <c r="F844" s="5" t="s">
        <v>5081</v>
      </c>
      <c r="G844" s="5" t="s">
        <v>5071</v>
      </c>
      <c r="H844" s="5" t="s">
        <v>2439</v>
      </c>
      <c r="I844" s="5">
        <v>2.59</v>
      </c>
      <c r="J844" s="6" t="str">
        <f t="shared" si="26"/>
        <v>2</v>
      </c>
      <c r="K844" s="6">
        <f t="shared" si="27"/>
        <v>2.59</v>
      </c>
    </row>
    <row r="845" spans="1:11" x14ac:dyDescent="0.3">
      <c r="A845" s="5" t="s">
        <v>5209</v>
      </c>
      <c r="B845" s="5" t="s">
        <v>45</v>
      </c>
      <c r="C845" s="5" t="s">
        <v>5210</v>
      </c>
      <c r="D845" s="28" t="s">
        <v>2473</v>
      </c>
      <c r="E845" s="5" t="s">
        <v>80</v>
      </c>
      <c r="F845" s="5" t="s">
        <v>5073</v>
      </c>
      <c r="G845" s="5" t="s">
        <v>5076</v>
      </c>
      <c r="H845" s="5" t="s">
        <v>2428</v>
      </c>
      <c r="I845" s="5">
        <v>1.78</v>
      </c>
      <c r="J845" s="6" t="str">
        <f t="shared" si="26"/>
        <v>2</v>
      </c>
      <c r="K845" s="6">
        <f t="shared" si="27"/>
        <v>1.78</v>
      </c>
    </row>
    <row r="846" spans="1:11" x14ac:dyDescent="0.3">
      <c r="A846" s="5" t="s">
        <v>3492</v>
      </c>
      <c r="B846" s="5" t="s">
        <v>45</v>
      </c>
      <c r="C846" s="5" t="s">
        <v>5991</v>
      </c>
      <c r="D846" s="28" t="s">
        <v>2473</v>
      </c>
      <c r="E846" s="5" t="s">
        <v>80</v>
      </c>
      <c r="F846" s="5" t="s">
        <v>5071</v>
      </c>
      <c r="G846" s="5" t="s">
        <v>5081</v>
      </c>
      <c r="H846" s="5" t="s">
        <v>2418</v>
      </c>
      <c r="I846" s="5">
        <v>8.0299999999999994</v>
      </c>
      <c r="J846" s="6" t="str">
        <f t="shared" si="26"/>
        <v>1</v>
      </c>
      <c r="K846" s="6">
        <f t="shared" si="27"/>
        <v>8.0299999999999994</v>
      </c>
    </row>
    <row r="847" spans="1:11" x14ac:dyDescent="0.3">
      <c r="A847" s="5" t="s">
        <v>3859</v>
      </c>
      <c r="B847" s="5" t="s">
        <v>45</v>
      </c>
      <c r="C847" s="5" t="s">
        <v>6147</v>
      </c>
      <c r="D847" s="28" t="s">
        <v>2473</v>
      </c>
      <c r="E847" s="5" t="s">
        <v>80</v>
      </c>
      <c r="F847" s="5" t="s">
        <v>5073</v>
      </c>
      <c r="G847" s="5" t="s">
        <v>5073</v>
      </c>
      <c r="H847" s="5" t="s">
        <v>2418</v>
      </c>
      <c r="I847" s="5">
        <v>14.46</v>
      </c>
      <c r="J847" s="6" t="str">
        <f t="shared" si="26"/>
        <v>1</v>
      </c>
      <c r="K847" s="6">
        <f t="shared" si="27"/>
        <v>14.46</v>
      </c>
    </row>
    <row r="848" spans="1:11" x14ac:dyDescent="0.3">
      <c r="A848" s="5" t="s">
        <v>3341</v>
      </c>
      <c r="B848" s="5" t="s">
        <v>14</v>
      </c>
      <c r="C848" s="5" t="s">
        <v>6493</v>
      </c>
      <c r="D848" s="28" t="s">
        <v>2473</v>
      </c>
      <c r="E848" s="5" t="s">
        <v>80</v>
      </c>
      <c r="F848" s="5" t="s">
        <v>5076</v>
      </c>
      <c r="G848" s="5" t="s">
        <v>5073</v>
      </c>
      <c r="H848" s="5" t="s">
        <v>2428</v>
      </c>
      <c r="I848" s="5">
        <v>9.85</v>
      </c>
      <c r="J848" s="6" t="str">
        <f t="shared" si="26"/>
        <v>2</v>
      </c>
      <c r="K848" s="6">
        <f t="shared" si="27"/>
        <v>9.85</v>
      </c>
    </row>
    <row r="849" spans="1:11" x14ac:dyDescent="0.3">
      <c r="A849" s="5" t="s">
        <v>2617</v>
      </c>
      <c r="B849" s="5" t="s">
        <v>14</v>
      </c>
      <c r="C849" s="5" t="s">
        <v>6308</v>
      </c>
      <c r="D849" s="28" t="s">
        <v>2473</v>
      </c>
      <c r="E849" s="5" t="s">
        <v>80</v>
      </c>
      <c r="F849" s="5" t="s">
        <v>5083</v>
      </c>
      <c r="G849" s="5" t="s">
        <v>5070</v>
      </c>
      <c r="H849" s="5" t="s">
        <v>2455</v>
      </c>
      <c r="I849" s="5">
        <v>18.170000000000002</v>
      </c>
      <c r="J849" s="6" t="str">
        <f t="shared" si="26"/>
        <v>1</v>
      </c>
      <c r="K849" s="6">
        <f t="shared" si="27"/>
        <v>18.170000000000002</v>
      </c>
    </row>
    <row r="850" spans="1:11" x14ac:dyDescent="0.3">
      <c r="A850" s="5" t="s">
        <v>6556</v>
      </c>
      <c r="B850" s="5" t="s">
        <v>117</v>
      </c>
      <c r="C850" s="5" t="s">
        <v>6135</v>
      </c>
      <c r="D850" s="28" t="s">
        <v>2473</v>
      </c>
      <c r="E850" s="5" t="s">
        <v>80</v>
      </c>
      <c r="F850" s="5" t="s">
        <v>5081</v>
      </c>
      <c r="G850" s="5" t="s">
        <v>5071</v>
      </c>
      <c r="H850" s="5" t="s">
        <v>2428</v>
      </c>
      <c r="I850" s="5">
        <v>7.42</v>
      </c>
      <c r="J850" s="6" t="str">
        <f t="shared" si="26"/>
        <v>2</v>
      </c>
      <c r="K850" s="6">
        <f t="shared" si="27"/>
        <v>7.42</v>
      </c>
    </row>
    <row r="851" spans="1:11" x14ac:dyDescent="0.3">
      <c r="A851" s="5" t="s">
        <v>3476</v>
      </c>
      <c r="B851" s="5" t="s">
        <v>117</v>
      </c>
      <c r="C851" s="5" t="s">
        <v>5838</v>
      </c>
      <c r="D851" s="28" t="s">
        <v>2473</v>
      </c>
      <c r="E851" s="5" t="s">
        <v>80</v>
      </c>
      <c r="F851" s="5" t="s">
        <v>5073</v>
      </c>
      <c r="G851" s="5" t="s">
        <v>5073</v>
      </c>
      <c r="H851" s="5" t="s">
        <v>2412</v>
      </c>
      <c r="I851" s="5">
        <v>4.4000000000000004</v>
      </c>
      <c r="J851" s="6" t="str">
        <f t="shared" si="26"/>
        <v>1</v>
      </c>
      <c r="K851" s="6">
        <f t="shared" si="27"/>
        <v>4.4000000000000004</v>
      </c>
    </row>
    <row r="852" spans="1:11" x14ac:dyDescent="0.3">
      <c r="A852" s="5" t="s">
        <v>2762</v>
      </c>
      <c r="B852" s="5" t="s">
        <v>117</v>
      </c>
      <c r="C852" s="5" t="s">
        <v>5665</v>
      </c>
      <c r="D852" s="28" t="s">
        <v>2473</v>
      </c>
      <c r="E852" s="5" t="s">
        <v>80</v>
      </c>
      <c r="F852" s="5" t="s">
        <v>5081</v>
      </c>
      <c r="G852" s="5" t="s">
        <v>5083</v>
      </c>
      <c r="H852" s="5" t="s">
        <v>2423</v>
      </c>
      <c r="I852" s="5">
        <v>7.5</v>
      </c>
      <c r="J852" s="6" t="str">
        <f t="shared" si="26"/>
        <v>0</v>
      </c>
      <c r="K852" s="6">
        <f t="shared" si="27"/>
        <v>7.5</v>
      </c>
    </row>
    <row r="853" spans="1:11" x14ac:dyDescent="0.3">
      <c r="A853" s="5" t="s">
        <v>4369</v>
      </c>
      <c r="B853" s="5" t="s">
        <v>25</v>
      </c>
      <c r="C853" s="5" t="s">
        <v>6495</v>
      </c>
      <c r="D853" s="28" t="s">
        <v>2473</v>
      </c>
      <c r="E853" s="5" t="s">
        <v>80</v>
      </c>
      <c r="F853" s="5" t="s">
        <v>5081</v>
      </c>
      <c r="G853" s="5" t="s">
        <v>5073</v>
      </c>
      <c r="H853" s="5" t="s">
        <v>2412</v>
      </c>
      <c r="I853" s="5">
        <v>4.25</v>
      </c>
      <c r="J853" s="6" t="str">
        <f t="shared" si="26"/>
        <v>1</v>
      </c>
      <c r="K853" s="6">
        <f t="shared" si="27"/>
        <v>4.25</v>
      </c>
    </row>
    <row r="854" spans="1:11" x14ac:dyDescent="0.3">
      <c r="A854" s="5" t="s">
        <v>4629</v>
      </c>
      <c r="B854" s="5" t="s">
        <v>25</v>
      </c>
      <c r="C854" s="5" t="s">
        <v>6057</v>
      </c>
      <c r="D854" s="28" t="s">
        <v>2473</v>
      </c>
      <c r="E854" s="5" t="s">
        <v>80</v>
      </c>
      <c r="F854" s="5" t="s">
        <v>5076</v>
      </c>
      <c r="G854" s="5" t="s">
        <v>5076</v>
      </c>
      <c r="H854" s="5" t="s">
        <v>2418</v>
      </c>
      <c r="I854" s="5">
        <v>10.07</v>
      </c>
      <c r="J854" s="6" t="str">
        <f t="shared" si="26"/>
        <v>1</v>
      </c>
      <c r="K854" s="6">
        <f t="shared" si="27"/>
        <v>10.07</v>
      </c>
    </row>
    <row r="855" spans="1:11" x14ac:dyDescent="0.3">
      <c r="A855" s="5" t="s">
        <v>2472</v>
      </c>
      <c r="B855" s="5" t="s">
        <v>25</v>
      </c>
      <c r="C855" s="5" t="s">
        <v>5844</v>
      </c>
      <c r="D855" s="28" t="s">
        <v>2473</v>
      </c>
      <c r="E855" s="5" t="s">
        <v>80</v>
      </c>
      <c r="F855" s="5" t="s">
        <v>5070</v>
      </c>
      <c r="G855" s="5" t="s">
        <v>5070</v>
      </c>
      <c r="H855" s="5"/>
      <c r="I855" s="5"/>
      <c r="J855" s="6" t="str">
        <f t="shared" si="26"/>
        <v>Unknown</v>
      </c>
      <c r="K855" s="6">
        <f t="shared" si="27"/>
        <v>10</v>
      </c>
    </row>
    <row r="856" spans="1:11" x14ac:dyDescent="0.3">
      <c r="A856" s="5" t="s">
        <v>5279</v>
      </c>
      <c r="B856" s="5" t="s">
        <v>25</v>
      </c>
      <c r="C856" s="5" t="s">
        <v>5134</v>
      </c>
      <c r="D856" s="28" t="s">
        <v>2473</v>
      </c>
      <c r="E856" s="5" t="s">
        <v>80</v>
      </c>
      <c r="F856" s="5" t="s">
        <v>5070</v>
      </c>
      <c r="G856" s="5" t="s">
        <v>5083</v>
      </c>
      <c r="H856" s="5" t="s">
        <v>2450</v>
      </c>
      <c r="I856" s="5">
        <v>11.67</v>
      </c>
      <c r="J856" s="6" t="str">
        <f t="shared" si="26"/>
        <v>1</v>
      </c>
      <c r="K856" s="6">
        <f t="shared" si="27"/>
        <v>11.67</v>
      </c>
    </row>
    <row r="857" spans="1:11" x14ac:dyDescent="0.3">
      <c r="A857" s="5" t="s">
        <v>4883</v>
      </c>
      <c r="B857" s="5" t="s">
        <v>25</v>
      </c>
      <c r="C857" s="5" t="s">
        <v>5122</v>
      </c>
      <c r="D857" s="28" t="s">
        <v>2473</v>
      </c>
      <c r="E857" s="5" t="s">
        <v>80</v>
      </c>
      <c r="F857" s="5" t="s">
        <v>5083</v>
      </c>
      <c r="G857" s="5" t="s">
        <v>5081</v>
      </c>
      <c r="H857" s="5" t="s">
        <v>2408</v>
      </c>
      <c r="I857" s="5">
        <v>12.19</v>
      </c>
      <c r="J857" s="6" t="str">
        <f t="shared" si="26"/>
        <v>0</v>
      </c>
      <c r="K857" s="6">
        <f t="shared" si="27"/>
        <v>12.19</v>
      </c>
    </row>
    <row r="858" spans="1:11" x14ac:dyDescent="0.3">
      <c r="A858" s="5" t="s">
        <v>6078</v>
      </c>
      <c r="B858" s="5" t="s">
        <v>25</v>
      </c>
      <c r="C858" s="5" t="s">
        <v>6079</v>
      </c>
      <c r="D858" s="28" t="s">
        <v>2473</v>
      </c>
      <c r="E858" s="5" t="s">
        <v>80</v>
      </c>
      <c r="F858" s="5" t="s">
        <v>5076</v>
      </c>
      <c r="G858" s="5" t="s">
        <v>5073</v>
      </c>
      <c r="H858" s="5" t="s">
        <v>2477</v>
      </c>
      <c r="I858" s="5">
        <v>13.37</v>
      </c>
      <c r="J858" s="6" t="str">
        <f t="shared" si="26"/>
        <v>0</v>
      </c>
      <c r="K858" s="6">
        <f t="shared" si="27"/>
        <v>13.37</v>
      </c>
    </row>
    <row r="859" spans="1:11" x14ac:dyDescent="0.3">
      <c r="A859" s="5" t="s">
        <v>5889</v>
      </c>
      <c r="B859" s="5" t="s">
        <v>106</v>
      </c>
      <c r="C859" s="5" t="s">
        <v>5890</v>
      </c>
      <c r="D859" s="28" t="s">
        <v>2473</v>
      </c>
      <c r="E859" s="5" t="s">
        <v>80</v>
      </c>
      <c r="F859" s="5" t="s">
        <v>5071</v>
      </c>
      <c r="G859" s="5" t="s">
        <v>5081</v>
      </c>
      <c r="H859" s="5" t="s">
        <v>2418</v>
      </c>
      <c r="I859" s="5">
        <v>6.38</v>
      </c>
      <c r="J859" s="6" t="str">
        <f t="shared" si="26"/>
        <v>1</v>
      </c>
      <c r="K859" s="6">
        <f t="shared" si="27"/>
        <v>6.38</v>
      </c>
    </row>
    <row r="860" spans="1:11" x14ac:dyDescent="0.3">
      <c r="A860" s="5" t="s">
        <v>4439</v>
      </c>
      <c r="B860" s="5" t="s">
        <v>106</v>
      </c>
      <c r="C860" s="5" t="s">
        <v>5511</v>
      </c>
      <c r="D860" s="28" t="s">
        <v>2473</v>
      </c>
      <c r="E860" s="5" t="s">
        <v>80</v>
      </c>
      <c r="F860" s="5" t="s">
        <v>5073</v>
      </c>
      <c r="G860" s="5" t="s">
        <v>5070</v>
      </c>
      <c r="H860" s="5" t="s">
        <v>2412</v>
      </c>
      <c r="I860" s="5">
        <v>11.48</v>
      </c>
      <c r="J860" s="6" t="str">
        <f t="shared" si="26"/>
        <v>1</v>
      </c>
      <c r="K860" s="6">
        <f t="shared" si="27"/>
        <v>11.48</v>
      </c>
    </row>
    <row r="861" spans="1:11" x14ac:dyDescent="0.3">
      <c r="A861" s="5" t="s">
        <v>5514</v>
      </c>
      <c r="B861" s="5" t="s">
        <v>106</v>
      </c>
      <c r="C861" s="5" t="s">
        <v>5515</v>
      </c>
      <c r="D861" s="28" t="s">
        <v>2473</v>
      </c>
      <c r="E861" s="5" t="s">
        <v>80</v>
      </c>
      <c r="F861" s="5" t="s">
        <v>5083</v>
      </c>
      <c r="G861" s="5" t="s">
        <v>5071</v>
      </c>
      <c r="H861" s="5" t="s">
        <v>2435</v>
      </c>
      <c r="I861" s="5">
        <v>0.76</v>
      </c>
      <c r="J861" s="6" t="str">
        <f t="shared" si="26"/>
        <v>0</v>
      </c>
      <c r="K861" s="6">
        <f t="shared" si="27"/>
        <v>0.76</v>
      </c>
    </row>
    <row r="862" spans="1:11" x14ac:dyDescent="0.3">
      <c r="A862" s="5" t="s">
        <v>3469</v>
      </c>
      <c r="B862" s="5" t="s">
        <v>106</v>
      </c>
      <c r="C862" s="5" t="s">
        <v>6315</v>
      </c>
      <c r="D862" s="28" t="s">
        <v>2473</v>
      </c>
      <c r="E862" s="5" t="s">
        <v>80</v>
      </c>
      <c r="F862" s="5" t="s">
        <v>5071</v>
      </c>
      <c r="G862" s="5" t="s">
        <v>5071</v>
      </c>
      <c r="H862" s="5" t="s">
        <v>2477</v>
      </c>
      <c r="I862" s="5">
        <v>5.34</v>
      </c>
      <c r="J862" s="6" t="str">
        <f t="shared" si="26"/>
        <v>0</v>
      </c>
      <c r="K862" s="6">
        <f t="shared" si="27"/>
        <v>5.34</v>
      </c>
    </row>
    <row r="863" spans="1:11" x14ac:dyDescent="0.3">
      <c r="A863" s="5" t="s">
        <v>5389</v>
      </c>
      <c r="B863" s="5" t="s">
        <v>106</v>
      </c>
      <c r="C863" s="5" t="s">
        <v>5390</v>
      </c>
      <c r="D863" s="28" t="s">
        <v>2473</v>
      </c>
      <c r="E863" s="5" t="s">
        <v>80</v>
      </c>
      <c r="F863" s="5" t="s">
        <v>5076</v>
      </c>
      <c r="G863" s="5" t="s">
        <v>5073</v>
      </c>
      <c r="H863" s="5" t="s">
        <v>2435</v>
      </c>
      <c r="I863" s="5">
        <v>4.8499999999999996</v>
      </c>
      <c r="J863" s="6" t="str">
        <f t="shared" si="26"/>
        <v>0</v>
      </c>
      <c r="K863" s="6">
        <f t="shared" si="27"/>
        <v>4.8499999999999996</v>
      </c>
    </row>
    <row r="864" spans="1:11" x14ac:dyDescent="0.3">
      <c r="A864" s="5" t="s">
        <v>2745</v>
      </c>
      <c r="B864" s="5" t="s">
        <v>106</v>
      </c>
      <c r="C864" s="5" t="s">
        <v>6393</v>
      </c>
      <c r="D864" s="28" t="s">
        <v>2473</v>
      </c>
      <c r="E864" s="5" t="s">
        <v>80</v>
      </c>
      <c r="F864" s="5" t="s">
        <v>5073</v>
      </c>
      <c r="G864" s="5" t="s">
        <v>5071</v>
      </c>
      <c r="H864" s="5" t="s">
        <v>2477</v>
      </c>
      <c r="I864" s="5">
        <v>16.47</v>
      </c>
      <c r="J864" s="6" t="str">
        <f t="shared" si="26"/>
        <v>0</v>
      </c>
      <c r="K864" s="6">
        <f t="shared" si="27"/>
        <v>16.47</v>
      </c>
    </row>
    <row r="865" spans="1:11" x14ac:dyDescent="0.3">
      <c r="A865" s="5" t="s">
        <v>5042</v>
      </c>
      <c r="B865" s="5" t="s">
        <v>106</v>
      </c>
      <c r="C865" s="5" t="s">
        <v>5082</v>
      </c>
      <c r="D865" s="28" t="s">
        <v>2473</v>
      </c>
      <c r="E865" s="5" t="s">
        <v>80</v>
      </c>
      <c r="F865" s="5" t="s">
        <v>5083</v>
      </c>
      <c r="G865" s="5" t="s">
        <v>5071</v>
      </c>
      <c r="H865" s="5" t="s">
        <v>2412</v>
      </c>
      <c r="I865" s="5">
        <v>2.99</v>
      </c>
      <c r="J865" s="6" t="str">
        <f t="shared" si="26"/>
        <v>1</v>
      </c>
      <c r="K865" s="6">
        <f t="shared" si="27"/>
        <v>2.99</v>
      </c>
    </row>
    <row r="866" spans="1:11" x14ac:dyDescent="0.3">
      <c r="A866" s="5" t="s">
        <v>2995</v>
      </c>
      <c r="B866" s="5" t="s">
        <v>106</v>
      </c>
      <c r="C866" s="5" t="s">
        <v>5892</v>
      </c>
      <c r="D866" s="28" t="s">
        <v>2473</v>
      </c>
      <c r="E866" s="5" t="s">
        <v>80</v>
      </c>
      <c r="F866" s="5" t="s">
        <v>5081</v>
      </c>
      <c r="G866" s="5" t="s">
        <v>5083</v>
      </c>
      <c r="H866" s="5" t="s">
        <v>2455</v>
      </c>
      <c r="I866" s="5">
        <v>7.29</v>
      </c>
      <c r="J866" s="6" t="str">
        <f t="shared" si="26"/>
        <v>1</v>
      </c>
      <c r="K866" s="6">
        <f t="shared" si="27"/>
        <v>7.29</v>
      </c>
    </row>
    <row r="867" spans="1:11" x14ac:dyDescent="0.3">
      <c r="A867" s="5" t="s">
        <v>5084</v>
      </c>
      <c r="B867" s="5" t="s">
        <v>106</v>
      </c>
      <c r="C867" s="5" t="s">
        <v>5085</v>
      </c>
      <c r="D867" s="28" t="s">
        <v>2473</v>
      </c>
      <c r="E867" s="5" t="s">
        <v>80</v>
      </c>
      <c r="F867" s="5" t="s">
        <v>5083</v>
      </c>
      <c r="G867" s="5" t="s">
        <v>5083</v>
      </c>
      <c r="H867" s="5" t="s">
        <v>2435</v>
      </c>
      <c r="I867" s="5">
        <v>18.73</v>
      </c>
      <c r="J867" s="6" t="str">
        <f t="shared" si="26"/>
        <v>0</v>
      </c>
      <c r="K867" s="6">
        <f t="shared" si="27"/>
        <v>18.73</v>
      </c>
    </row>
    <row r="868" spans="1:11" x14ac:dyDescent="0.3">
      <c r="A868" s="5" t="s">
        <v>3813</v>
      </c>
      <c r="B868" s="5" t="s">
        <v>78</v>
      </c>
      <c r="C868" s="5" t="s">
        <v>5695</v>
      </c>
      <c r="D868" s="28" t="s">
        <v>2730</v>
      </c>
      <c r="E868" s="5" t="s">
        <v>189</v>
      </c>
      <c r="F868" s="5" t="s">
        <v>5071</v>
      </c>
      <c r="G868" s="5" t="s">
        <v>5073</v>
      </c>
      <c r="H868" s="5" t="s">
        <v>2423</v>
      </c>
      <c r="I868" s="5">
        <v>16.559999999999999</v>
      </c>
      <c r="J868" s="6" t="str">
        <f t="shared" si="26"/>
        <v>0</v>
      </c>
      <c r="K868" s="6">
        <f t="shared" si="27"/>
        <v>16.559999999999999</v>
      </c>
    </row>
    <row r="869" spans="1:11" x14ac:dyDescent="0.3">
      <c r="A869" s="5" t="s">
        <v>4126</v>
      </c>
      <c r="B869" s="5" t="s">
        <v>78</v>
      </c>
      <c r="C869" s="5" t="s">
        <v>6563</v>
      </c>
      <c r="D869" s="28" t="s">
        <v>2730</v>
      </c>
      <c r="E869" s="5" t="s">
        <v>189</v>
      </c>
      <c r="F869" s="5" t="s">
        <v>5070</v>
      </c>
      <c r="G869" s="5" t="s">
        <v>5083</v>
      </c>
      <c r="H869" s="5" t="s">
        <v>2486</v>
      </c>
      <c r="I869" s="5"/>
      <c r="J869" s="6" t="str">
        <f t="shared" si="26"/>
        <v>2+</v>
      </c>
      <c r="K869" s="6">
        <f t="shared" si="27"/>
        <v>9.6999999999999993</v>
      </c>
    </row>
    <row r="870" spans="1:11" x14ac:dyDescent="0.3">
      <c r="A870" s="5" t="s">
        <v>4190</v>
      </c>
      <c r="B870" s="5" t="s">
        <v>45</v>
      </c>
      <c r="C870" s="5" t="s">
        <v>5882</v>
      </c>
      <c r="D870" s="28" t="s">
        <v>2730</v>
      </c>
      <c r="E870" s="5" t="s">
        <v>189</v>
      </c>
      <c r="F870" s="5" t="s">
        <v>5073</v>
      </c>
      <c r="G870" s="5" t="s">
        <v>5083</v>
      </c>
      <c r="H870" s="5" t="s">
        <v>2423</v>
      </c>
      <c r="I870" s="5">
        <v>7.45</v>
      </c>
      <c r="J870" s="6" t="str">
        <f t="shared" si="26"/>
        <v>0</v>
      </c>
      <c r="K870" s="6">
        <f t="shared" si="27"/>
        <v>7.45</v>
      </c>
    </row>
    <row r="871" spans="1:11" x14ac:dyDescent="0.3">
      <c r="A871" s="5" t="s">
        <v>3486</v>
      </c>
      <c r="B871" s="5" t="s">
        <v>45</v>
      </c>
      <c r="C871" s="5" t="s">
        <v>6230</v>
      </c>
      <c r="D871" s="28" t="s">
        <v>2730</v>
      </c>
      <c r="E871" s="5" t="s">
        <v>189</v>
      </c>
      <c r="F871" s="5" t="s">
        <v>5081</v>
      </c>
      <c r="G871" s="5" t="s">
        <v>5083</v>
      </c>
      <c r="H871" s="5" t="s">
        <v>2408</v>
      </c>
      <c r="I871" s="5">
        <v>5.04</v>
      </c>
      <c r="J871" s="6" t="str">
        <f t="shared" si="26"/>
        <v>0</v>
      </c>
      <c r="K871" s="6">
        <f t="shared" si="27"/>
        <v>5.04</v>
      </c>
    </row>
    <row r="872" spans="1:11" x14ac:dyDescent="0.3">
      <c r="A872" s="5" t="s">
        <v>5924</v>
      </c>
      <c r="B872" s="5" t="s">
        <v>45</v>
      </c>
      <c r="C872" s="5" t="s">
        <v>5925</v>
      </c>
      <c r="D872" s="28" t="s">
        <v>2730</v>
      </c>
      <c r="E872" s="5" t="s">
        <v>189</v>
      </c>
      <c r="F872" s="5" t="s">
        <v>5073</v>
      </c>
      <c r="G872" s="5" t="s">
        <v>5073</v>
      </c>
      <c r="H872" s="5" t="s">
        <v>2450</v>
      </c>
      <c r="I872" s="5">
        <v>19.489999999999998</v>
      </c>
      <c r="J872" s="6" t="str">
        <f t="shared" si="26"/>
        <v>1</v>
      </c>
      <c r="K872" s="6">
        <f t="shared" si="27"/>
        <v>19.489999999999998</v>
      </c>
    </row>
    <row r="873" spans="1:11" x14ac:dyDescent="0.3">
      <c r="A873" s="5" t="s">
        <v>4467</v>
      </c>
      <c r="B873" s="5" t="s">
        <v>45</v>
      </c>
      <c r="C873" s="5" t="s">
        <v>6226</v>
      </c>
      <c r="D873" s="28" t="s">
        <v>2730</v>
      </c>
      <c r="E873" s="5" t="s">
        <v>189</v>
      </c>
      <c r="F873" s="5" t="s">
        <v>5083</v>
      </c>
      <c r="G873" s="5" t="s">
        <v>5081</v>
      </c>
      <c r="H873" s="5" t="s">
        <v>2423</v>
      </c>
      <c r="I873" s="5">
        <v>18.010000000000002</v>
      </c>
      <c r="J873" s="6" t="str">
        <f t="shared" si="26"/>
        <v>0</v>
      </c>
      <c r="K873" s="6">
        <f t="shared" si="27"/>
        <v>18.010000000000002</v>
      </c>
    </row>
    <row r="874" spans="1:11" x14ac:dyDescent="0.3">
      <c r="A874" s="5" t="s">
        <v>3781</v>
      </c>
      <c r="B874" s="5" t="s">
        <v>45</v>
      </c>
      <c r="C874" s="5" t="s">
        <v>6427</v>
      </c>
      <c r="D874" s="28" t="s">
        <v>2730</v>
      </c>
      <c r="E874" s="5" t="s">
        <v>189</v>
      </c>
      <c r="F874" s="5" t="s">
        <v>5073</v>
      </c>
      <c r="G874" s="5" t="s">
        <v>5081</v>
      </c>
      <c r="H874" s="5" t="s">
        <v>2455</v>
      </c>
      <c r="I874" s="5">
        <v>10.93</v>
      </c>
      <c r="J874" s="6" t="str">
        <f t="shared" si="26"/>
        <v>1</v>
      </c>
      <c r="K874" s="6">
        <f t="shared" si="27"/>
        <v>10.93</v>
      </c>
    </row>
    <row r="875" spans="1:11" x14ac:dyDescent="0.3">
      <c r="A875" s="5" t="s">
        <v>6153</v>
      </c>
      <c r="B875" s="5" t="s">
        <v>45</v>
      </c>
      <c r="C875" s="5" t="s">
        <v>6154</v>
      </c>
      <c r="D875" s="28" t="s">
        <v>2730</v>
      </c>
      <c r="E875" s="5" t="s">
        <v>189</v>
      </c>
      <c r="F875" s="5" t="s">
        <v>5071</v>
      </c>
      <c r="G875" s="5" t="s">
        <v>5083</v>
      </c>
      <c r="H875" s="5" t="s">
        <v>2412</v>
      </c>
      <c r="I875" s="5">
        <v>16.64</v>
      </c>
      <c r="J875" s="6" t="str">
        <f t="shared" si="26"/>
        <v>1</v>
      </c>
      <c r="K875" s="6">
        <f t="shared" si="27"/>
        <v>16.64</v>
      </c>
    </row>
    <row r="876" spans="1:11" x14ac:dyDescent="0.3">
      <c r="A876" s="5" t="s">
        <v>2804</v>
      </c>
      <c r="B876" s="5" t="s">
        <v>14</v>
      </c>
      <c r="C876" s="5" t="s">
        <v>5954</v>
      </c>
      <c r="D876" s="28" t="s">
        <v>2730</v>
      </c>
      <c r="E876" s="5" t="s">
        <v>189</v>
      </c>
      <c r="F876" s="5" t="s">
        <v>5070</v>
      </c>
      <c r="G876" s="5" t="s">
        <v>5083</v>
      </c>
      <c r="H876" s="5" t="s">
        <v>2418</v>
      </c>
      <c r="I876" s="5"/>
      <c r="J876" s="6" t="str">
        <f t="shared" si="26"/>
        <v>1</v>
      </c>
      <c r="K876" s="6">
        <f t="shared" si="27"/>
        <v>11</v>
      </c>
    </row>
    <row r="877" spans="1:11" x14ac:dyDescent="0.3">
      <c r="A877" s="5" t="s">
        <v>3106</v>
      </c>
      <c r="B877" s="5" t="s">
        <v>14</v>
      </c>
      <c r="C877" s="5" t="s">
        <v>6298</v>
      </c>
      <c r="D877" s="28" t="s">
        <v>2730</v>
      </c>
      <c r="E877" s="5" t="s">
        <v>189</v>
      </c>
      <c r="F877" s="5" t="s">
        <v>5070</v>
      </c>
      <c r="G877" s="5" t="s">
        <v>5071</v>
      </c>
      <c r="H877" s="5" t="s">
        <v>2435</v>
      </c>
      <c r="I877" s="5">
        <v>11.44</v>
      </c>
      <c r="J877" s="6" t="str">
        <f t="shared" si="26"/>
        <v>0</v>
      </c>
      <c r="K877" s="6">
        <f t="shared" si="27"/>
        <v>11.44</v>
      </c>
    </row>
    <row r="878" spans="1:11" x14ac:dyDescent="0.3">
      <c r="A878" s="5" t="s">
        <v>6476</v>
      </c>
      <c r="B878" s="5" t="s">
        <v>14</v>
      </c>
      <c r="C878" s="5" t="s">
        <v>5634</v>
      </c>
      <c r="D878" s="28" t="s">
        <v>2730</v>
      </c>
      <c r="E878" s="5" t="s">
        <v>189</v>
      </c>
      <c r="F878" s="5" t="s">
        <v>5073</v>
      </c>
      <c r="G878" s="5" t="s">
        <v>5071</v>
      </c>
      <c r="H878" s="5" t="s">
        <v>2435</v>
      </c>
      <c r="I878" s="5">
        <v>15.24</v>
      </c>
      <c r="J878" s="6" t="str">
        <f t="shared" si="26"/>
        <v>0</v>
      </c>
      <c r="K878" s="6">
        <f t="shared" si="27"/>
        <v>15.24</v>
      </c>
    </row>
    <row r="879" spans="1:11" x14ac:dyDescent="0.3">
      <c r="A879" s="5" t="s">
        <v>3592</v>
      </c>
      <c r="B879" s="5" t="s">
        <v>14</v>
      </c>
      <c r="C879" s="5" t="s">
        <v>5644</v>
      </c>
      <c r="D879" s="28" t="s">
        <v>2730</v>
      </c>
      <c r="E879" s="5" t="s">
        <v>189</v>
      </c>
      <c r="F879" s="5" t="s">
        <v>5083</v>
      </c>
      <c r="G879" s="5" t="s">
        <v>5071</v>
      </c>
      <c r="H879" s="5" t="s">
        <v>2418</v>
      </c>
      <c r="I879" s="5">
        <v>12.02</v>
      </c>
      <c r="J879" s="6" t="str">
        <f t="shared" si="26"/>
        <v>1</v>
      </c>
      <c r="K879" s="6">
        <f t="shared" si="27"/>
        <v>12.02</v>
      </c>
    </row>
    <row r="880" spans="1:11" x14ac:dyDescent="0.3">
      <c r="A880" s="5" t="s">
        <v>4292</v>
      </c>
      <c r="B880" s="5" t="s">
        <v>14</v>
      </c>
      <c r="C880" s="5" t="s">
        <v>6396</v>
      </c>
      <c r="D880" s="28" t="s">
        <v>2730</v>
      </c>
      <c r="E880" s="5" t="s">
        <v>189</v>
      </c>
      <c r="F880" s="5" t="s">
        <v>5070</v>
      </c>
      <c r="G880" s="5" t="s">
        <v>5083</v>
      </c>
      <c r="H880" s="5" t="s">
        <v>2423</v>
      </c>
      <c r="I880" s="5">
        <v>19.13</v>
      </c>
      <c r="J880" s="6" t="str">
        <f t="shared" si="26"/>
        <v>0</v>
      </c>
      <c r="K880" s="6">
        <f t="shared" si="27"/>
        <v>19.13</v>
      </c>
    </row>
    <row r="881" spans="1:11" x14ac:dyDescent="0.3">
      <c r="A881" s="5" t="s">
        <v>4960</v>
      </c>
      <c r="B881" s="5" t="s">
        <v>14</v>
      </c>
      <c r="C881" s="5" t="s">
        <v>6343</v>
      </c>
      <c r="D881" s="28" t="s">
        <v>2730</v>
      </c>
      <c r="E881" s="5" t="s">
        <v>189</v>
      </c>
      <c r="F881" s="5" t="s">
        <v>5081</v>
      </c>
      <c r="G881" s="5" t="s">
        <v>5071</v>
      </c>
      <c r="H881" s="5" t="s">
        <v>2408</v>
      </c>
      <c r="I881" s="5">
        <v>17.739999999999998</v>
      </c>
      <c r="J881" s="6" t="str">
        <f t="shared" si="26"/>
        <v>0</v>
      </c>
      <c r="K881" s="6">
        <f t="shared" si="27"/>
        <v>17.739999999999998</v>
      </c>
    </row>
    <row r="882" spans="1:11" x14ac:dyDescent="0.3">
      <c r="A882" s="5" t="s">
        <v>3481</v>
      </c>
      <c r="B882" s="5" t="s">
        <v>14</v>
      </c>
      <c r="C882" s="5" t="s">
        <v>5700</v>
      </c>
      <c r="D882" s="28" t="s">
        <v>2730</v>
      </c>
      <c r="E882" s="5" t="s">
        <v>189</v>
      </c>
      <c r="F882" s="5" t="s">
        <v>5071</v>
      </c>
      <c r="G882" s="5" t="s">
        <v>5081</v>
      </c>
      <c r="H882" s="5" t="s">
        <v>2428</v>
      </c>
      <c r="I882" s="5">
        <v>6.39</v>
      </c>
      <c r="J882" s="6" t="str">
        <f t="shared" si="26"/>
        <v>2</v>
      </c>
      <c r="K882" s="6">
        <f t="shared" si="27"/>
        <v>6.39</v>
      </c>
    </row>
    <row r="883" spans="1:11" x14ac:dyDescent="0.3">
      <c r="A883" s="5" t="s">
        <v>2774</v>
      </c>
      <c r="B883" s="5" t="s">
        <v>117</v>
      </c>
      <c r="C883" s="5" t="s">
        <v>5341</v>
      </c>
      <c r="D883" s="28" t="s">
        <v>2730</v>
      </c>
      <c r="E883" s="5" t="s">
        <v>189</v>
      </c>
      <c r="F883" s="5" t="s">
        <v>5081</v>
      </c>
      <c r="G883" s="5" t="s">
        <v>5070</v>
      </c>
      <c r="H883" s="5" t="s">
        <v>2450</v>
      </c>
      <c r="I883" s="5">
        <v>6.82</v>
      </c>
      <c r="J883" s="6" t="str">
        <f t="shared" si="26"/>
        <v>1</v>
      </c>
      <c r="K883" s="6">
        <f t="shared" si="27"/>
        <v>6.82</v>
      </c>
    </row>
    <row r="884" spans="1:11" x14ac:dyDescent="0.3">
      <c r="A884" s="5" t="s">
        <v>3483</v>
      </c>
      <c r="B884" s="5" t="s">
        <v>117</v>
      </c>
      <c r="C884" s="5" t="s">
        <v>5201</v>
      </c>
      <c r="D884" s="28" t="s">
        <v>2730</v>
      </c>
      <c r="E884" s="5" t="s">
        <v>189</v>
      </c>
      <c r="F884" s="5" t="s">
        <v>5081</v>
      </c>
      <c r="G884" s="5" t="s">
        <v>5073</v>
      </c>
      <c r="H884" s="5"/>
      <c r="I884" s="5">
        <v>13.48</v>
      </c>
      <c r="J884" s="6" t="str">
        <f t="shared" si="26"/>
        <v>Unknown</v>
      </c>
      <c r="K884" s="6">
        <f t="shared" si="27"/>
        <v>13.48</v>
      </c>
    </row>
    <row r="885" spans="1:11" x14ac:dyDescent="0.3">
      <c r="A885" s="5" t="s">
        <v>3856</v>
      </c>
      <c r="B885" s="5" t="s">
        <v>117</v>
      </c>
      <c r="C885" s="5" t="s">
        <v>6212</v>
      </c>
      <c r="D885" s="28" t="s">
        <v>2730</v>
      </c>
      <c r="E885" s="5" t="s">
        <v>189</v>
      </c>
      <c r="F885" s="5" t="s">
        <v>5071</v>
      </c>
      <c r="G885" s="5" t="s">
        <v>5070</v>
      </c>
      <c r="H885" s="5" t="s">
        <v>2450</v>
      </c>
      <c r="I885" s="5">
        <v>18.37</v>
      </c>
      <c r="J885" s="6" t="str">
        <f t="shared" si="26"/>
        <v>1</v>
      </c>
      <c r="K885" s="6">
        <f t="shared" si="27"/>
        <v>18.37</v>
      </c>
    </row>
    <row r="886" spans="1:11" x14ac:dyDescent="0.3">
      <c r="A886" s="5" t="s">
        <v>5894</v>
      </c>
      <c r="B886" s="5" t="s">
        <v>117</v>
      </c>
      <c r="C886" s="5" t="s">
        <v>5895</v>
      </c>
      <c r="D886" s="28" t="s">
        <v>2730</v>
      </c>
      <c r="E886" s="5" t="s">
        <v>189</v>
      </c>
      <c r="F886" s="5" t="s">
        <v>5071</v>
      </c>
      <c r="G886" s="5" t="s">
        <v>5071</v>
      </c>
      <c r="H886" s="5" t="s">
        <v>2408</v>
      </c>
      <c r="I886" s="5">
        <v>8.0399999999999991</v>
      </c>
      <c r="J886" s="6" t="str">
        <f t="shared" si="26"/>
        <v>0</v>
      </c>
      <c r="K886" s="6">
        <f t="shared" si="27"/>
        <v>8.0399999999999991</v>
      </c>
    </row>
    <row r="887" spans="1:11" x14ac:dyDescent="0.3">
      <c r="A887" s="5" t="s">
        <v>2729</v>
      </c>
      <c r="B887" s="5" t="s">
        <v>117</v>
      </c>
      <c r="C887" s="5" t="s">
        <v>6114</v>
      </c>
      <c r="D887" s="28" t="s">
        <v>2730</v>
      </c>
      <c r="E887" s="5" t="s">
        <v>189</v>
      </c>
      <c r="F887" s="5" t="s">
        <v>5083</v>
      </c>
      <c r="G887" s="5" t="s">
        <v>5083</v>
      </c>
      <c r="H887" s="5" t="s">
        <v>2477</v>
      </c>
      <c r="I887" s="5">
        <v>17.809999999999999</v>
      </c>
      <c r="J887" s="6" t="str">
        <f t="shared" si="26"/>
        <v>0</v>
      </c>
      <c r="K887" s="6">
        <f t="shared" si="27"/>
        <v>17.809999999999999</v>
      </c>
    </row>
    <row r="888" spans="1:11" x14ac:dyDescent="0.3">
      <c r="A888" s="5" t="s">
        <v>4784</v>
      </c>
      <c r="B888" s="5" t="s">
        <v>117</v>
      </c>
      <c r="C888" s="5" t="s">
        <v>5706</v>
      </c>
      <c r="D888" s="28" t="s">
        <v>2730</v>
      </c>
      <c r="E888" s="5" t="s">
        <v>189</v>
      </c>
      <c r="F888" s="5" t="s">
        <v>5076</v>
      </c>
      <c r="G888" s="5" t="s">
        <v>5073</v>
      </c>
      <c r="H888" s="5" t="s">
        <v>2418</v>
      </c>
      <c r="I888" s="5">
        <v>12.99</v>
      </c>
      <c r="J888" s="6" t="str">
        <f t="shared" si="26"/>
        <v>1</v>
      </c>
      <c r="K888" s="6">
        <f t="shared" si="27"/>
        <v>12.99</v>
      </c>
    </row>
    <row r="889" spans="1:11" x14ac:dyDescent="0.3">
      <c r="A889" s="5" t="s">
        <v>4169</v>
      </c>
      <c r="B889" s="5" t="s">
        <v>25</v>
      </c>
      <c r="C889" s="5" t="s">
        <v>6128</v>
      </c>
      <c r="D889" s="28" t="s">
        <v>2730</v>
      </c>
      <c r="E889" s="5" t="s">
        <v>189</v>
      </c>
      <c r="F889" s="5" t="s">
        <v>5076</v>
      </c>
      <c r="G889" s="5" t="s">
        <v>5070</v>
      </c>
      <c r="H889" s="5" t="s">
        <v>2418</v>
      </c>
      <c r="I889" s="5">
        <v>12.49</v>
      </c>
      <c r="J889" s="6" t="str">
        <f t="shared" si="26"/>
        <v>1</v>
      </c>
      <c r="K889" s="6">
        <f t="shared" si="27"/>
        <v>12.49</v>
      </c>
    </row>
    <row r="890" spans="1:11" x14ac:dyDescent="0.3">
      <c r="A890" s="5" t="s">
        <v>3205</v>
      </c>
      <c r="B890" s="5" t="s">
        <v>25</v>
      </c>
      <c r="C890" s="5" t="s">
        <v>6453</v>
      </c>
      <c r="D890" s="28" t="s">
        <v>2730</v>
      </c>
      <c r="E890" s="5" t="s">
        <v>189</v>
      </c>
      <c r="F890" s="5" t="s">
        <v>5083</v>
      </c>
      <c r="G890" s="5" t="s">
        <v>5073</v>
      </c>
      <c r="H890" s="5" t="s">
        <v>2993</v>
      </c>
      <c r="I890" s="5">
        <v>6.22</v>
      </c>
      <c r="J890" s="6" t="str">
        <f t="shared" si="26"/>
        <v>2+</v>
      </c>
      <c r="K890" s="6">
        <f t="shared" si="27"/>
        <v>6.22</v>
      </c>
    </row>
    <row r="891" spans="1:11" x14ac:dyDescent="0.3">
      <c r="A891" s="5" t="s">
        <v>4659</v>
      </c>
      <c r="B891" s="5" t="s">
        <v>25</v>
      </c>
      <c r="C891" s="5" t="s">
        <v>5572</v>
      </c>
      <c r="D891" s="28" t="s">
        <v>2730</v>
      </c>
      <c r="E891" s="5" t="s">
        <v>189</v>
      </c>
      <c r="F891" s="5" t="s">
        <v>5071</v>
      </c>
      <c r="G891" s="5" t="s">
        <v>5071</v>
      </c>
      <c r="H891" s="5" t="s">
        <v>2435</v>
      </c>
      <c r="I891" s="5">
        <v>11.66</v>
      </c>
      <c r="J891" s="6" t="str">
        <f t="shared" si="26"/>
        <v>0</v>
      </c>
      <c r="K891" s="6">
        <f t="shared" si="27"/>
        <v>11.66</v>
      </c>
    </row>
    <row r="892" spans="1:11" x14ac:dyDescent="0.3">
      <c r="A892" s="5" t="s">
        <v>6284</v>
      </c>
      <c r="B892" s="5" t="s">
        <v>25</v>
      </c>
      <c r="C892" s="5" t="s">
        <v>5704</v>
      </c>
      <c r="D892" s="28" t="s">
        <v>2730</v>
      </c>
      <c r="E892" s="5" t="s">
        <v>189</v>
      </c>
      <c r="F892" s="5" t="s">
        <v>5076</v>
      </c>
      <c r="G892" s="5" t="s">
        <v>5083</v>
      </c>
      <c r="H892" s="5" t="s">
        <v>2455</v>
      </c>
      <c r="I892" s="5">
        <v>19.96</v>
      </c>
      <c r="J892" s="6" t="str">
        <f t="shared" si="26"/>
        <v>1</v>
      </c>
      <c r="K892" s="6">
        <f t="shared" si="27"/>
        <v>19.96</v>
      </c>
    </row>
    <row r="893" spans="1:11" x14ac:dyDescent="0.3">
      <c r="A893" s="5" t="s">
        <v>5836</v>
      </c>
      <c r="B893" s="5" t="s">
        <v>25</v>
      </c>
      <c r="C893" s="5" t="s">
        <v>5837</v>
      </c>
      <c r="D893" s="28" t="s">
        <v>2730</v>
      </c>
      <c r="E893" s="5" t="s">
        <v>189</v>
      </c>
      <c r="F893" s="5" t="s">
        <v>5083</v>
      </c>
      <c r="G893" s="5" t="s">
        <v>5083</v>
      </c>
      <c r="H893" s="5" t="s">
        <v>2412</v>
      </c>
      <c r="I893" s="5">
        <v>6.21</v>
      </c>
      <c r="J893" s="6" t="str">
        <f t="shared" si="26"/>
        <v>1</v>
      </c>
      <c r="K893" s="6">
        <f t="shared" si="27"/>
        <v>6.21</v>
      </c>
    </row>
    <row r="894" spans="1:11" x14ac:dyDescent="0.3">
      <c r="A894" s="5" t="s">
        <v>5000</v>
      </c>
      <c r="B894" s="5" t="s">
        <v>25</v>
      </c>
      <c r="C894" s="5" t="s">
        <v>6111</v>
      </c>
      <c r="D894" s="28" t="s">
        <v>2730</v>
      </c>
      <c r="E894" s="5" t="s">
        <v>189</v>
      </c>
      <c r="F894" s="5" t="s">
        <v>5073</v>
      </c>
      <c r="G894" s="5" t="s">
        <v>5076</v>
      </c>
      <c r="H894" s="5" t="s">
        <v>2505</v>
      </c>
      <c r="I894" s="5">
        <v>14.32</v>
      </c>
      <c r="J894" s="6" t="str">
        <f t="shared" si="26"/>
        <v>2+</v>
      </c>
      <c r="K894" s="6">
        <f t="shared" si="27"/>
        <v>14.32</v>
      </c>
    </row>
    <row r="895" spans="1:11" x14ac:dyDescent="0.3">
      <c r="A895" s="5" t="s">
        <v>4038</v>
      </c>
      <c r="B895" s="5" t="s">
        <v>25</v>
      </c>
      <c r="C895" s="5" t="s">
        <v>5513</v>
      </c>
      <c r="D895" s="28" t="s">
        <v>2730</v>
      </c>
      <c r="E895" s="5" t="s">
        <v>189</v>
      </c>
      <c r="F895" s="5" t="s">
        <v>5083</v>
      </c>
      <c r="G895" s="5" t="s">
        <v>5083</v>
      </c>
      <c r="H895" s="5" t="s">
        <v>2450</v>
      </c>
      <c r="I895" s="5">
        <v>2.73</v>
      </c>
      <c r="J895" s="6" t="str">
        <f t="shared" si="26"/>
        <v>1</v>
      </c>
      <c r="K895" s="6">
        <f t="shared" si="27"/>
        <v>2.73</v>
      </c>
    </row>
    <row r="896" spans="1:11" x14ac:dyDescent="0.3">
      <c r="A896" s="5" t="s">
        <v>4615</v>
      </c>
      <c r="B896" s="5" t="s">
        <v>25</v>
      </c>
      <c r="C896" s="5" t="s">
        <v>5818</v>
      </c>
      <c r="D896" s="28" t="s">
        <v>2730</v>
      </c>
      <c r="E896" s="5" t="s">
        <v>189</v>
      </c>
      <c r="F896" s="5" t="s">
        <v>5083</v>
      </c>
      <c r="G896" s="5" t="s">
        <v>5070</v>
      </c>
      <c r="H896" s="5" t="s">
        <v>2423</v>
      </c>
      <c r="I896" s="5">
        <v>18.37</v>
      </c>
      <c r="J896" s="6" t="str">
        <f t="shared" si="26"/>
        <v>0</v>
      </c>
      <c r="K896" s="6">
        <f t="shared" si="27"/>
        <v>18.37</v>
      </c>
    </row>
    <row r="897" spans="1:11" x14ac:dyDescent="0.3">
      <c r="A897" s="5" t="s">
        <v>2953</v>
      </c>
      <c r="B897" s="5" t="s">
        <v>106</v>
      </c>
      <c r="C897" s="5" t="s">
        <v>5228</v>
      </c>
      <c r="D897" s="28" t="s">
        <v>2730</v>
      </c>
      <c r="E897" s="5" t="s">
        <v>189</v>
      </c>
      <c r="F897" s="5" t="s">
        <v>5076</v>
      </c>
      <c r="G897" s="5" t="s">
        <v>5070</v>
      </c>
      <c r="H897" s="5" t="s">
        <v>2412</v>
      </c>
      <c r="I897" s="5">
        <v>6.78</v>
      </c>
      <c r="J897" s="6" t="str">
        <f t="shared" si="26"/>
        <v>1</v>
      </c>
      <c r="K897" s="6">
        <f t="shared" si="27"/>
        <v>6.78</v>
      </c>
    </row>
    <row r="898" spans="1:11" x14ac:dyDescent="0.3">
      <c r="A898" s="5" t="s">
        <v>4692</v>
      </c>
      <c r="B898" s="5" t="s">
        <v>106</v>
      </c>
      <c r="C898" s="5" t="s">
        <v>5679</v>
      </c>
      <c r="D898" s="28" t="s">
        <v>2730</v>
      </c>
      <c r="E898" s="5" t="s">
        <v>189</v>
      </c>
      <c r="F898" s="5" t="s">
        <v>5071</v>
      </c>
      <c r="G898" s="5" t="s">
        <v>5071</v>
      </c>
      <c r="H898" s="5" t="s">
        <v>2408</v>
      </c>
      <c r="I898" s="5">
        <v>0.64</v>
      </c>
      <c r="J898" s="6" t="str">
        <f t="shared" ref="J898:J961" si="28">IF(OR(LOWER(TRIM(H898))="0",LOWER(TRIM(H898))="ZERO"),"0",IF(OR(LOWER(TRIM(H898))="1",LOWER(TRIM(H898))="one"),"1",IF(OR(LOWER(TRIM(H898))="2",LOWER(TRIM(H898))="two"),"2",IF(OR(LOWER(TRIM(H898))="2+",LOWER(TRIM(H898))="two_or_more",LOWER(TRIM(H898))="multiple"),"2+","Unknown"))))</f>
        <v>0</v>
      </c>
      <c r="K898" s="6">
        <f t="shared" si="27"/>
        <v>0.64</v>
      </c>
    </row>
    <row r="899" spans="1:11" x14ac:dyDescent="0.3">
      <c r="A899" s="5" t="s">
        <v>3271</v>
      </c>
      <c r="B899" s="5" t="s">
        <v>106</v>
      </c>
      <c r="C899" s="5" t="s">
        <v>5475</v>
      </c>
      <c r="D899" s="28" t="s">
        <v>2730</v>
      </c>
      <c r="E899" s="5" t="s">
        <v>189</v>
      </c>
      <c r="F899" s="5" t="s">
        <v>5071</v>
      </c>
      <c r="G899" s="5" t="s">
        <v>5070</v>
      </c>
      <c r="H899" s="5" t="s">
        <v>2993</v>
      </c>
      <c r="I899" s="5">
        <v>3.36</v>
      </c>
      <c r="J899" s="6" t="str">
        <f t="shared" si="28"/>
        <v>2+</v>
      </c>
      <c r="K899" s="6">
        <f t="shared" ref="K899:K962" si="29">IF(I899="",ROUND(AVERAGEIF($B$2:$B$1000,B899,$I$2:$I$1000),1),I899)</f>
        <v>3.36</v>
      </c>
    </row>
    <row r="900" spans="1:11" x14ac:dyDescent="0.3">
      <c r="A900" s="5" t="s">
        <v>6466</v>
      </c>
      <c r="B900" s="5" t="s">
        <v>106</v>
      </c>
      <c r="C900" s="5" t="s">
        <v>6467</v>
      </c>
      <c r="D900" s="28" t="s">
        <v>2730</v>
      </c>
      <c r="E900" s="5" t="s">
        <v>189</v>
      </c>
      <c r="F900" s="5" t="s">
        <v>5070</v>
      </c>
      <c r="G900" s="5" t="s">
        <v>5083</v>
      </c>
      <c r="H900" s="5" t="s">
        <v>2423</v>
      </c>
      <c r="I900" s="5"/>
      <c r="J900" s="6" t="str">
        <f t="shared" si="28"/>
        <v>0</v>
      </c>
      <c r="K900" s="6">
        <f t="shared" si="29"/>
        <v>10.1</v>
      </c>
    </row>
    <row r="901" spans="1:11" x14ac:dyDescent="0.3">
      <c r="A901" s="5" t="s">
        <v>3422</v>
      </c>
      <c r="B901" s="5" t="s">
        <v>106</v>
      </c>
      <c r="C901" s="5" t="s">
        <v>5756</v>
      </c>
      <c r="D901" s="28" t="s">
        <v>2730</v>
      </c>
      <c r="E901" s="5" t="s">
        <v>189</v>
      </c>
      <c r="F901" s="5" t="s">
        <v>5081</v>
      </c>
      <c r="G901" s="5" t="s">
        <v>5083</v>
      </c>
      <c r="H901" s="5" t="s">
        <v>2435</v>
      </c>
      <c r="I901" s="5"/>
      <c r="J901" s="6" t="str">
        <f t="shared" si="28"/>
        <v>0</v>
      </c>
      <c r="K901" s="6">
        <f t="shared" si="29"/>
        <v>10.1</v>
      </c>
    </row>
    <row r="902" spans="1:11" x14ac:dyDescent="0.3">
      <c r="A902" s="5" t="s">
        <v>3119</v>
      </c>
      <c r="B902" s="5" t="s">
        <v>106</v>
      </c>
      <c r="C902" s="5" t="s">
        <v>5110</v>
      </c>
      <c r="D902" s="28" t="s">
        <v>2730</v>
      </c>
      <c r="E902" s="5" t="s">
        <v>189</v>
      </c>
      <c r="F902" s="5" t="s">
        <v>5076</v>
      </c>
      <c r="G902" s="5" t="s">
        <v>5081</v>
      </c>
      <c r="H902" s="5" t="s">
        <v>2505</v>
      </c>
      <c r="I902" s="5">
        <v>18.75</v>
      </c>
      <c r="J902" s="6" t="str">
        <f t="shared" si="28"/>
        <v>2+</v>
      </c>
      <c r="K902" s="6">
        <f t="shared" si="29"/>
        <v>18.75</v>
      </c>
    </row>
    <row r="903" spans="1:11" x14ac:dyDescent="0.3">
      <c r="A903" s="5" t="s">
        <v>3019</v>
      </c>
      <c r="B903" s="5" t="s">
        <v>106</v>
      </c>
      <c r="C903" s="5" t="s">
        <v>6256</v>
      </c>
      <c r="D903" s="28" t="s">
        <v>2730</v>
      </c>
      <c r="E903" s="5" t="s">
        <v>189</v>
      </c>
      <c r="F903" s="5" t="s">
        <v>5081</v>
      </c>
      <c r="G903" s="5" t="s">
        <v>5071</v>
      </c>
      <c r="H903" s="5" t="s">
        <v>2477</v>
      </c>
      <c r="I903" s="5"/>
      <c r="J903" s="6" t="str">
        <f t="shared" si="28"/>
        <v>0</v>
      </c>
      <c r="K903" s="6">
        <f t="shared" si="29"/>
        <v>10.1</v>
      </c>
    </row>
    <row r="904" spans="1:11" x14ac:dyDescent="0.3">
      <c r="A904" s="5" t="s">
        <v>5965</v>
      </c>
      <c r="B904" s="5" t="s">
        <v>106</v>
      </c>
      <c r="C904" s="5" t="s">
        <v>5966</v>
      </c>
      <c r="D904" s="28" t="s">
        <v>2730</v>
      </c>
      <c r="E904" s="5" t="s">
        <v>189</v>
      </c>
      <c r="F904" s="5" t="s">
        <v>5076</v>
      </c>
      <c r="G904" s="5" t="s">
        <v>5083</v>
      </c>
      <c r="H904" s="5" t="s">
        <v>2746</v>
      </c>
      <c r="I904" s="5">
        <v>6.77</v>
      </c>
      <c r="J904" s="6" t="str">
        <f t="shared" si="28"/>
        <v>2</v>
      </c>
      <c r="K904" s="6">
        <f t="shared" si="29"/>
        <v>6.77</v>
      </c>
    </row>
    <row r="905" spans="1:11" x14ac:dyDescent="0.3">
      <c r="A905" s="5" t="s">
        <v>3605</v>
      </c>
      <c r="B905" s="5" t="s">
        <v>106</v>
      </c>
      <c r="C905" s="5" t="s">
        <v>5354</v>
      </c>
      <c r="D905" s="28" t="s">
        <v>2730</v>
      </c>
      <c r="E905" s="5" t="s">
        <v>189</v>
      </c>
      <c r="F905" s="5" t="s">
        <v>5071</v>
      </c>
      <c r="G905" s="5" t="s">
        <v>5076</v>
      </c>
      <c r="H905" s="5" t="s">
        <v>2435</v>
      </c>
      <c r="I905" s="5">
        <v>7.05</v>
      </c>
      <c r="J905" s="6" t="str">
        <f t="shared" si="28"/>
        <v>0</v>
      </c>
      <c r="K905" s="6">
        <f t="shared" si="29"/>
        <v>7.05</v>
      </c>
    </row>
    <row r="906" spans="1:11" x14ac:dyDescent="0.3">
      <c r="A906" s="5" t="s">
        <v>6124</v>
      </c>
      <c r="B906" s="5" t="s">
        <v>106</v>
      </c>
      <c r="C906" s="5" t="s">
        <v>6125</v>
      </c>
      <c r="D906" s="28" t="s">
        <v>2730</v>
      </c>
      <c r="E906" s="5" t="s">
        <v>189</v>
      </c>
      <c r="F906" s="5" t="s">
        <v>5083</v>
      </c>
      <c r="G906" s="5" t="s">
        <v>5070</v>
      </c>
      <c r="H906" s="5" t="s">
        <v>2435</v>
      </c>
      <c r="I906" s="5">
        <v>18.13</v>
      </c>
      <c r="J906" s="6" t="str">
        <f t="shared" si="28"/>
        <v>0</v>
      </c>
      <c r="K906" s="6">
        <f t="shared" si="29"/>
        <v>18.13</v>
      </c>
    </row>
    <row r="907" spans="1:11" x14ac:dyDescent="0.3">
      <c r="A907" s="5" t="s">
        <v>4435</v>
      </c>
      <c r="B907" s="5" t="s">
        <v>106</v>
      </c>
      <c r="C907" s="5" t="s">
        <v>6105</v>
      </c>
      <c r="D907" s="28" t="s">
        <v>2730</v>
      </c>
      <c r="E907" s="5" t="s">
        <v>189</v>
      </c>
      <c r="F907" s="5" t="s">
        <v>5070</v>
      </c>
      <c r="G907" s="5" t="s">
        <v>5073</v>
      </c>
      <c r="H907" s="5" t="s">
        <v>2418</v>
      </c>
      <c r="I907" s="5">
        <v>7.48</v>
      </c>
      <c r="J907" s="6" t="str">
        <f t="shared" si="28"/>
        <v>1</v>
      </c>
      <c r="K907" s="6">
        <f t="shared" si="29"/>
        <v>7.48</v>
      </c>
    </row>
    <row r="908" spans="1:11" x14ac:dyDescent="0.3">
      <c r="A908" s="5" t="s">
        <v>2858</v>
      </c>
      <c r="B908" s="5" t="s">
        <v>78</v>
      </c>
      <c r="C908" s="5" t="s">
        <v>6148</v>
      </c>
      <c r="D908" s="28" t="s">
        <v>2514</v>
      </c>
      <c r="E908" s="5" t="s">
        <v>80</v>
      </c>
      <c r="F908" s="5" t="s">
        <v>5076</v>
      </c>
      <c r="G908" s="5" t="s">
        <v>5083</v>
      </c>
      <c r="H908" s="5" t="s">
        <v>2450</v>
      </c>
      <c r="I908" s="5"/>
      <c r="J908" s="6" t="str">
        <f t="shared" si="28"/>
        <v>1</v>
      </c>
      <c r="K908" s="6">
        <f t="shared" si="29"/>
        <v>9.6999999999999993</v>
      </c>
    </row>
    <row r="909" spans="1:11" x14ac:dyDescent="0.3">
      <c r="A909" s="5" t="s">
        <v>3104</v>
      </c>
      <c r="B909" s="5" t="s">
        <v>78</v>
      </c>
      <c r="C909" s="5" t="s">
        <v>5112</v>
      </c>
      <c r="D909" s="28" t="s">
        <v>2514</v>
      </c>
      <c r="E909" s="5" t="s">
        <v>80</v>
      </c>
      <c r="F909" s="5" t="s">
        <v>5070</v>
      </c>
      <c r="G909" s="5" t="s">
        <v>5070</v>
      </c>
      <c r="H909" s="5"/>
      <c r="I909" s="5">
        <v>8.69</v>
      </c>
      <c r="J909" s="6" t="str">
        <f t="shared" si="28"/>
        <v>Unknown</v>
      </c>
      <c r="K909" s="6">
        <f t="shared" si="29"/>
        <v>8.69</v>
      </c>
    </row>
    <row r="910" spans="1:11" x14ac:dyDescent="0.3">
      <c r="A910" s="5" t="s">
        <v>5445</v>
      </c>
      <c r="B910" s="5" t="s">
        <v>78</v>
      </c>
      <c r="C910" s="5" t="s">
        <v>5446</v>
      </c>
      <c r="D910" s="28" t="s">
        <v>2514</v>
      </c>
      <c r="E910" s="5" t="s">
        <v>80</v>
      </c>
      <c r="F910" s="5" t="s">
        <v>5071</v>
      </c>
      <c r="G910" s="5" t="s">
        <v>5081</v>
      </c>
      <c r="H910" s="5" t="s">
        <v>2428</v>
      </c>
      <c r="I910" s="5">
        <v>18.41</v>
      </c>
      <c r="J910" s="6" t="str">
        <f t="shared" si="28"/>
        <v>2</v>
      </c>
      <c r="K910" s="6">
        <f t="shared" si="29"/>
        <v>18.41</v>
      </c>
    </row>
    <row r="911" spans="1:11" x14ac:dyDescent="0.3">
      <c r="A911" s="5" t="s">
        <v>3815</v>
      </c>
      <c r="B911" s="5" t="s">
        <v>78</v>
      </c>
      <c r="C911" s="5" t="s">
        <v>6521</v>
      </c>
      <c r="D911" s="28" t="s">
        <v>2514</v>
      </c>
      <c r="E911" s="5" t="s">
        <v>80</v>
      </c>
      <c r="F911" s="5" t="s">
        <v>5070</v>
      </c>
      <c r="G911" s="5" t="s">
        <v>5070</v>
      </c>
      <c r="H911" s="5" t="s">
        <v>2455</v>
      </c>
      <c r="I911" s="5">
        <v>9.6300000000000008</v>
      </c>
      <c r="J911" s="6" t="str">
        <f t="shared" si="28"/>
        <v>1</v>
      </c>
      <c r="K911" s="6">
        <f t="shared" si="29"/>
        <v>9.6300000000000008</v>
      </c>
    </row>
    <row r="912" spans="1:11" x14ac:dyDescent="0.3">
      <c r="A912" s="5" t="s">
        <v>5968</v>
      </c>
      <c r="B912" s="5" t="s">
        <v>78</v>
      </c>
      <c r="C912" s="5" t="s">
        <v>5969</v>
      </c>
      <c r="D912" s="28" t="s">
        <v>2514</v>
      </c>
      <c r="E912" s="5" t="s">
        <v>80</v>
      </c>
      <c r="F912" s="5" t="s">
        <v>5081</v>
      </c>
      <c r="G912" s="5" t="s">
        <v>5083</v>
      </c>
      <c r="H912" s="5" t="s">
        <v>2746</v>
      </c>
      <c r="I912" s="5">
        <v>18.079999999999998</v>
      </c>
      <c r="J912" s="6" t="str">
        <f t="shared" si="28"/>
        <v>2</v>
      </c>
      <c r="K912" s="6">
        <f t="shared" si="29"/>
        <v>18.079999999999998</v>
      </c>
    </row>
    <row r="913" spans="1:11" x14ac:dyDescent="0.3">
      <c r="A913" s="5" t="s">
        <v>3665</v>
      </c>
      <c r="B913" s="5" t="s">
        <v>78</v>
      </c>
      <c r="C913" s="5" t="s">
        <v>5761</v>
      </c>
      <c r="D913" s="28" t="s">
        <v>2514</v>
      </c>
      <c r="E913" s="5" t="s">
        <v>80</v>
      </c>
      <c r="F913" s="5" t="s">
        <v>5083</v>
      </c>
      <c r="G913" s="5" t="s">
        <v>5083</v>
      </c>
      <c r="H913" s="5"/>
      <c r="I913" s="5">
        <v>12.76</v>
      </c>
      <c r="J913" s="6" t="str">
        <f t="shared" si="28"/>
        <v>Unknown</v>
      </c>
      <c r="K913" s="6">
        <f t="shared" si="29"/>
        <v>12.76</v>
      </c>
    </row>
    <row r="914" spans="1:11" x14ac:dyDescent="0.3">
      <c r="A914" s="5" t="s">
        <v>5152</v>
      </c>
      <c r="B914" s="5" t="s">
        <v>78</v>
      </c>
      <c r="C914" s="5" t="s">
        <v>5153</v>
      </c>
      <c r="D914" s="28" t="s">
        <v>2514</v>
      </c>
      <c r="E914" s="5" t="s">
        <v>80</v>
      </c>
      <c r="F914" s="5" t="s">
        <v>5076</v>
      </c>
      <c r="G914" s="5" t="s">
        <v>5070</v>
      </c>
      <c r="H914" s="5" t="s">
        <v>2423</v>
      </c>
      <c r="I914" s="5">
        <v>13.61</v>
      </c>
      <c r="J914" s="6" t="str">
        <f t="shared" si="28"/>
        <v>0</v>
      </c>
      <c r="K914" s="6">
        <f t="shared" si="29"/>
        <v>13.61</v>
      </c>
    </row>
    <row r="915" spans="1:11" x14ac:dyDescent="0.3">
      <c r="A915" s="5" t="s">
        <v>3589</v>
      </c>
      <c r="B915" s="5" t="s">
        <v>78</v>
      </c>
      <c r="C915" s="5" t="s">
        <v>5106</v>
      </c>
      <c r="D915" s="28" t="s">
        <v>2514</v>
      </c>
      <c r="E915" s="5" t="s">
        <v>80</v>
      </c>
      <c r="F915" s="5" t="s">
        <v>5071</v>
      </c>
      <c r="G915" s="5" t="s">
        <v>5083</v>
      </c>
      <c r="H915" s="5" t="s">
        <v>2450</v>
      </c>
      <c r="I915" s="5">
        <v>18.170000000000002</v>
      </c>
      <c r="J915" s="6" t="str">
        <f t="shared" si="28"/>
        <v>1</v>
      </c>
      <c r="K915" s="6">
        <f t="shared" si="29"/>
        <v>18.170000000000002</v>
      </c>
    </row>
    <row r="916" spans="1:11" x14ac:dyDescent="0.3">
      <c r="A916" s="5" t="s">
        <v>4252</v>
      </c>
      <c r="B916" s="5" t="s">
        <v>45</v>
      </c>
      <c r="C916" s="5" t="s">
        <v>6584</v>
      </c>
      <c r="D916" s="28" t="s">
        <v>2514</v>
      </c>
      <c r="E916" s="5" t="s">
        <v>80</v>
      </c>
      <c r="F916" s="5" t="s">
        <v>5081</v>
      </c>
      <c r="G916" s="5" t="s">
        <v>5073</v>
      </c>
      <c r="H916" s="5" t="s">
        <v>2408</v>
      </c>
      <c r="I916" s="5">
        <v>6.6</v>
      </c>
      <c r="J916" s="6" t="str">
        <f t="shared" si="28"/>
        <v>0</v>
      </c>
      <c r="K916" s="6">
        <f t="shared" si="29"/>
        <v>6.6</v>
      </c>
    </row>
    <row r="917" spans="1:11" x14ac:dyDescent="0.3">
      <c r="A917" s="5" t="s">
        <v>4343</v>
      </c>
      <c r="B917" s="5" t="s">
        <v>45</v>
      </c>
      <c r="C917" s="5" t="s">
        <v>6175</v>
      </c>
      <c r="D917" s="28" t="s">
        <v>2514</v>
      </c>
      <c r="E917" s="5" t="s">
        <v>80</v>
      </c>
      <c r="F917" s="5" t="s">
        <v>5081</v>
      </c>
      <c r="G917" s="5" t="s">
        <v>5073</v>
      </c>
      <c r="H917" s="5" t="s">
        <v>2408</v>
      </c>
      <c r="I917" s="5">
        <v>5.0199999999999996</v>
      </c>
      <c r="J917" s="6" t="str">
        <f t="shared" si="28"/>
        <v>0</v>
      </c>
      <c r="K917" s="6">
        <f t="shared" si="29"/>
        <v>5.0199999999999996</v>
      </c>
    </row>
    <row r="918" spans="1:11" x14ac:dyDescent="0.3">
      <c r="A918" s="5" t="s">
        <v>5218</v>
      </c>
      <c r="B918" s="5" t="s">
        <v>45</v>
      </c>
      <c r="C918" s="5" t="s">
        <v>5219</v>
      </c>
      <c r="D918" s="28" t="s">
        <v>2514</v>
      </c>
      <c r="E918" s="5" t="s">
        <v>80</v>
      </c>
      <c r="F918" s="5" t="s">
        <v>5070</v>
      </c>
      <c r="G918" s="5" t="s">
        <v>5076</v>
      </c>
      <c r="H918" s="5" t="s">
        <v>2477</v>
      </c>
      <c r="I918" s="5"/>
      <c r="J918" s="6" t="str">
        <f t="shared" si="28"/>
        <v>0</v>
      </c>
      <c r="K918" s="6">
        <f t="shared" si="29"/>
        <v>10.199999999999999</v>
      </c>
    </row>
    <row r="919" spans="1:11" x14ac:dyDescent="0.3">
      <c r="A919" s="5" t="s">
        <v>4120</v>
      </c>
      <c r="B919" s="5" t="s">
        <v>45</v>
      </c>
      <c r="C919" s="5" t="s">
        <v>6279</v>
      </c>
      <c r="D919" s="28" t="s">
        <v>2514</v>
      </c>
      <c r="E919" s="5" t="s">
        <v>80</v>
      </c>
      <c r="F919" s="5" t="s">
        <v>5076</v>
      </c>
      <c r="G919" s="5" t="s">
        <v>5083</v>
      </c>
      <c r="H919" s="5" t="s">
        <v>2418</v>
      </c>
      <c r="I919" s="5">
        <v>6.81</v>
      </c>
      <c r="J919" s="6" t="str">
        <f t="shared" si="28"/>
        <v>1</v>
      </c>
      <c r="K919" s="6">
        <f t="shared" si="29"/>
        <v>6.81</v>
      </c>
    </row>
    <row r="920" spans="1:11" x14ac:dyDescent="0.3">
      <c r="A920" s="5" t="s">
        <v>4047</v>
      </c>
      <c r="B920" s="5" t="s">
        <v>45</v>
      </c>
      <c r="C920" s="5" t="s">
        <v>5479</v>
      </c>
      <c r="D920" s="28" t="s">
        <v>2514</v>
      </c>
      <c r="E920" s="5" t="s">
        <v>80</v>
      </c>
      <c r="F920" s="5" t="s">
        <v>5076</v>
      </c>
      <c r="G920" s="5" t="s">
        <v>5070</v>
      </c>
      <c r="H920" s="5" t="s">
        <v>2435</v>
      </c>
      <c r="I920" s="5">
        <v>10.66</v>
      </c>
      <c r="J920" s="6" t="str">
        <f t="shared" si="28"/>
        <v>0</v>
      </c>
      <c r="K920" s="6">
        <f t="shared" si="29"/>
        <v>10.66</v>
      </c>
    </row>
    <row r="921" spans="1:11" x14ac:dyDescent="0.3">
      <c r="A921" s="5" t="s">
        <v>2853</v>
      </c>
      <c r="B921" s="5" t="s">
        <v>14</v>
      </c>
      <c r="C921" s="5" t="s">
        <v>5609</v>
      </c>
      <c r="D921" s="28" t="s">
        <v>2514</v>
      </c>
      <c r="E921" s="5" t="s">
        <v>80</v>
      </c>
      <c r="F921" s="5" t="s">
        <v>5071</v>
      </c>
      <c r="G921" s="5" t="s">
        <v>5071</v>
      </c>
      <c r="H921" s="5" t="s">
        <v>2746</v>
      </c>
      <c r="I921" s="5">
        <v>6.73</v>
      </c>
      <c r="J921" s="6" t="str">
        <f t="shared" si="28"/>
        <v>2</v>
      </c>
      <c r="K921" s="6">
        <f t="shared" si="29"/>
        <v>6.73</v>
      </c>
    </row>
    <row r="922" spans="1:11" x14ac:dyDescent="0.3">
      <c r="A922" s="5" t="s">
        <v>3683</v>
      </c>
      <c r="B922" s="5" t="s">
        <v>14</v>
      </c>
      <c r="C922" s="5" t="s">
        <v>5893</v>
      </c>
      <c r="D922" s="28" t="s">
        <v>2514</v>
      </c>
      <c r="E922" s="5" t="s">
        <v>80</v>
      </c>
      <c r="F922" s="5" t="s">
        <v>5081</v>
      </c>
      <c r="G922" s="5" t="s">
        <v>5076</v>
      </c>
      <c r="H922" s="5" t="s">
        <v>2435</v>
      </c>
      <c r="I922" s="5">
        <v>10.86</v>
      </c>
      <c r="J922" s="6" t="str">
        <f t="shared" si="28"/>
        <v>0</v>
      </c>
      <c r="K922" s="6">
        <f t="shared" si="29"/>
        <v>10.86</v>
      </c>
    </row>
    <row r="923" spans="1:11" x14ac:dyDescent="0.3">
      <c r="A923" s="5" t="s">
        <v>5481</v>
      </c>
      <c r="B923" s="5" t="s">
        <v>14</v>
      </c>
      <c r="C923" s="5" t="s">
        <v>5482</v>
      </c>
      <c r="D923" s="28" t="s">
        <v>2514</v>
      </c>
      <c r="E923" s="5" t="s">
        <v>80</v>
      </c>
      <c r="F923" s="5" t="s">
        <v>5073</v>
      </c>
      <c r="G923" s="5" t="s">
        <v>5083</v>
      </c>
      <c r="H923" s="5" t="s">
        <v>2450</v>
      </c>
      <c r="I923" s="5">
        <v>19.05</v>
      </c>
      <c r="J923" s="6" t="str">
        <f t="shared" si="28"/>
        <v>1</v>
      </c>
      <c r="K923" s="6">
        <f t="shared" si="29"/>
        <v>19.05</v>
      </c>
    </row>
    <row r="924" spans="1:11" x14ac:dyDescent="0.3">
      <c r="A924" s="5" t="s">
        <v>4962</v>
      </c>
      <c r="B924" s="5" t="s">
        <v>14</v>
      </c>
      <c r="C924" s="5" t="s">
        <v>6085</v>
      </c>
      <c r="D924" s="28" t="s">
        <v>2514</v>
      </c>
      <c r="E924" s="5" t="s">
        <v>80</v>
      </c>
      <c r="F924" s="5" t="s">
        <v>5070</v>
      </c>
      <c r="G924" s="5" t="s">
        <v>5081</v>
      </c>
      <c r="H924" s="5" t="s">
        <v>2408</v>
      </c>
      <c r="I924" s="5">
        <v>10.81</v>
      </c>
      <c r="J924" s="6" t="str">
        <f t="shared" si="28"/>
        <v>0</v>
      </c>
      <c r="K924" s="6">
        <f t="shared" si="29"/>
        <v>10.81</v>
      </c>
    </row>
    <row r="925" spans="1:11" x14ac:dyDescent="0.3">
      <c r="A925" s="5" t="s">
        <v>2707</v>
      </c>
      <c r="B925" s="5" t="s">
        <v>14</v>
      </c>
      <c r="C925" s="5" t="s">
        <v>5388</v>
      </c>
      <c r="D925" s="28" t="s">
        <v>2514</v>
      </c>
      <c r="E925" s="5" t="s">
        <v>80</v>
      </c>
      <c r="F925" s="5" t="s">
        <v>5076</v>
      </c>
      <c r="G925" s="5" t="s">
        <v>5073</v>
      </c>
      <c r="H925" s="5"/>
      <c r="I925" s="5">
        <v>16.45</v>
      </c>
      <c r="J925" s="6" t="str">
        <f t="shared" si="28"/>
        <v>Unknown</v>
      </c>
      <c r="K925" s="6">
        <f t="shared" si="29"/>
        <v>16.45</v>
      </c>
    </row>
    <row r="926" spans="1:11" x14ac:dyDescent="0.3">
      <c r="A926" s="5" t="s">
        <v>3497</v>
      </c>
      <c r="B926" s="5" t="s">
        <v>14</v>
      </c>
      <c r="C926" s="5" t="s">
        <v>5624</v>
      </c>
      <c r="D926" s="28" t="s">
        <v>2514</v>
      </c>
      <c r="E926" s="5" t="s">
        <v>80</v>
      </c>
      <c r="F926" s="5" t="s">
        <v>5076</v>
      </c>
      <c r="G926" s="5" t="s">
        <v>5071</v>
      </c>
      <c r="H926" s="5" t="s">
        <v>2412</v>
      </c>
      <c r="I926" s="5">
        <v>1.84</v>
      </c>
      <c r="J926" s="6" t="str">
        <f t="shared" si="28"/>
        <v>1</v>
      </c>
      <c r="K926" s="6">
        <f t="shared" si="29"/>
        <v>1.84</v>
      </c>
    </row>
    <row r="927" spans="1:11" x14ac:dyDescent="0.3">
      <c r="A927" s="5" t="s">
        <v>2942</v>
      </c>
      <c r="B927" s="5" t="s">
        <v>14</v>
      </c>
      <c r="C927" s="5" t="s">
        <v>6268</v>
      </c>
      <c r="D927" s="28" t="s">
        <v>2514</v>
      </c>
      <c r="E927" s="5" t="s">
        <v>80</v>
      </c>
      <c r="F927" s="5" t="s">
        <v>5070</v>
      </c>
      <c r="G927" s="5" t="s">
        <v>5070</v>
      </c>
      <c r="H927" s="5" t="s">
        <v>2450</v>
      </c>
      <c r="I927" s="5">
        <v>14.9</v>
      </c>
      <c r="J927" s="6" t="str">
        <f t="shared" si="28"/>
        <v>1</v>
      </c>
      <c r="K927" s="6">
        <f t="shared" si="29"/>
        <v>14.9</v>
      </c>
    </row>
    <row r="928" spans="1:11" x14ac:dyDescent="0.3">
      <c r="A928" s="5" t="s">
        <v>2513</v>
      </c>
      <c r="B928" s="5" t="s">
        <v>14</v>
      </c>
      <c r="C928" s="5" t="s">
        <v>6184</v>
      </c>
      <c r="D928" s="28" t="s">
        <v>2514</v>
      </c>
      <c r="E928" s="5" t="s">
        <v>80</v>
      </c>
      <c r="F928" s="5" t="s">
        <v>5071</v>
      </c>
      <c r="G928" s="5" t="s">
        <v>5071</v>
      </c>
      <c r="H928" s="5"/>
      <c r="I928" s="5">
        <v>8.94</v>
      </c>
      <c r="J928" s="6" t="str">
        <f t="shared" si="28"/>
        <v>Unknown</v>
      </c>
      <c r="K928" s="6">
        <f t="shared" si="29"/>
        <v>8.94</v>
      </c>
    </row>
    <row r="929" spans="1:11" x14ac:dyDescent="0.3">
      <c r="A929" s="5" t="s">
        <v>6277</v>
      </c>
      <c r="B929" s="5" t="s">
        <v>14</v>
      </c>
      <c r="C929" s="5" t="s">
        <v>6278</v>
      </c>
      <c r="D929" s="28" t="s">
        <v>2514</v>
      </c>
      <c r="E929" s="5" t="s">
        <v>80</v>
      </c>
      <c r="F929" s="5" t="s">
        <v>5070</v>
      </c>
      <c r="G929" s="5" t="s">
        <v>5081</v>
      </c>
      <c r="H929" s="5" t="s">
        <v>2439</v>
      </c>
      <c r="I929" s="5">
        <v>5.26</v>
      </c>
      <c r="J929" s="6" t="str">
        <f t="shared" si="28"/>
        <v>2</v>
      </c>
      <c r="K929" s="6">
        <f t="shared" si="29"/>
        <v>5.26</v>
      </c>
    </row>
    <row r="930" spans="1:11" x14ac:dyDescent="0.3">
      <c r="A930" s="5" t="s">
        <v>5587</v>
      </c>
      <c r="B930" s="5" t="s">
        <v>14</v>
      </c>
      <c r="C930" s="5" t="s">
        <v>5588</v>
      </c>
      <c r="D930" s="28" t="s">
        <v>2514</v>
      </c>
      <c r="E930" s="5" t="s">
        <v>80</v>
      </c>
      <c r="F930" s="5" t="s">
        <v>5076</v>
      </c>
      <c r="G930" s="5" t="s">
        <v>5076</v>
      </c>
      <c r="H930" s="5" t="s">
        <v>2435</v>
      </c>
      <c r="I930" s="5">
        <v>4.8099999999999996</v>
      </c>
      <c r="J930" s="6" t="str">
        <f t="shared" si="28"/>
        <v>0</v>
      </c>
      <c r="K930" s="6">
        <f t="shared" si="29"/>
        <v>4.8099999999999996</v>
      </c>
    </row>
    <row r="931" spans="1:11" x14ac:dyDescent="0.3">
      <c r="A931" s="5" t="s">
        <v>3111</v>
      </c>
      <c r="B931" s="5" t="s">
        <v>14</v>
      </c>
      <c r="C931" s="5" t="s">
        <v>5137</v>
      </c>
      <c r="D931" s="28" t="s">
        <v>2514</v>
      </c>
      <c r="E931" s="5" t="s">
        <v>80</v>
      </c>
      <c r="F931" s="5" t="s">
        <v>5076</v>
      </c>
      <c r="G931" s="5" t="s">
        <v>5070</v>
      </c>
      <c r="H931" s="5" t="s">
        <v>2435</v>
      </c>
      <c r="I931" s="5">
        <v>8.8000000000000007</v>
      </c>
      <c r="J931" s="6" t="str">
        <f t="shared" si="28"/>
        <v>0</v>
      </c>
      <c r="K931" s="6">
        <f t="shared" si="29"/>
        <v>8.8000000000000007</v>
      </c>
    </row>
    <row r="932" spans="1:11" x14ac:dyDescent="0.3">
      <c r="A932" s="5" t="s">
        <v>4751</v>
      </c>
      <c r="B932" s="5" t="s">
        <v>14</v>
      </c>
      <c r="C932" s="5" t="s">
        <v>5602</v>
      </c>
      <c r="D932" s="28" t="s">
        <v>2514</v>
      </c>
      <c r="E932" s="5" t="s">
        <v>80</v>
      </c>
      <c r="F932" s="5" t="s">
        <v>5071</v>
      </c>
      <c r="G932" s="5" t="s">
        <v>5081</v>
      </c>
      <c r="H932" s="5" t="s">
        <v>2450</v>
      </c>
      <c r="I932" s="5">
        <v>15.03</v>
      </c>
      <c r="J932" s="6" t="str">
        <f t="shared" si="28"/>
        <v>1</v>
      </c>
      <c r="K932" s="6">
        <f t="shared" si="29"/>
        <v>15.03</v>
      </c>
    </row>
    <row r="933" spans="1:11" x14ac:dyDescent="0.3">
      <c r="A933" s="5" t="s">
        <v>3526</v>
      </c>
      <c r="B933" s="5" t="s">
        <v>14</v>
      </c>
      <c r="C933" s="5" t="s">
        <v>5512</v>
      </c>
      <c r="D933" s="28" t="s">
        <v>2514</v>
      </c>
      <c r="E933" s="5" t="s">
        <v>80</v>
      </c>
      <c r="F933" s="5" t="s">
        <v>5081</v>
      </c>
      <c r="G933" s="5" t="s">
        <v>5081</v>
      </c>
      <c r="H933" s="5" t="s">
        <v>2435</v>
      </c>
      <c r="I933" s="5">
        <v>1.3</v>
      </c>
      <c r="J933" s="6" t="str">
        <f t="shared" si="28"/>
        <v>0</v>
      </c>
      <c r="K933" s="6">
        <f t="shared" si="29"/>
        <v>1.3</v>
      </c>
    </row>
    <row r="934" spans="1:11" x14ac:dyDescent="0.3">
      <c r="A934" s="5" t="s">
        <v>6126</v>
      </c>
      <c r="B934" s="5" t="s">
        <v>117</v>
      </c>
      <c r="C934" s="5" t="s">
        <v>6127</v>
      </c>
      <c r="D934" s="28" t="s">
        <v>2514</v>
      </c>
      <c r="E934" s="5" t="s">
        <v>80</v>
      </c>
      <c r="F934" s="5" t="s">
        <v>5076</v>
      </c>
      <c r="G934" s="5" t="s">
        <v>5076</v>
      </c>
      <c r="H934" s="5" t="s">
        <v>2477</v>
      </c>
      <c r="I934" s="5">
        <v>8.02</v>
      </c>
      <c r="J934" s="6" t="str">
        <f t="shared" si="28"/>
        <v>0</v>
      </c>
      <c r="K934" s="6">
        <f t="shared" si="29"/>
        <v>8.02</v>
      </c>
    </row>
    <row r="935" spans="1:11" x14ac:dyDescent="0.3">
      <c r="A935" s="5" t="s">
        <v>3533</v>
      </c>
      <c r="B935" s="5" t="s">
        <v>117</v>
      </c>
      <c r="C935" s="5" t="s">
        <v>5926</v>
      </c>
      <c r="D935" s="28" t="s">
        <v>2514</v>
      </c>
      <c r="E935" s="5" t="s">
        <v>80</v>
      </c>
      <c r="F935" s="5" t="s">
        <v>5071</v>
      </c>
      <c r="G935" s="5" t="s">
        <v>5070</v>
      </c>
      <c r="H935" s="5" t="s">
        <v>2428</v>
      </c>
      <c r="I935" s="5"/>
      <c r="J935" s="6" t="str">
        <f t="shared" si="28"/>
        <v>2</v>
      </c>
      <c r="K935" s="6">
        <f t="shared" si="29"/>
        <v>10.4</v>
      </c>
    </row>
    <row r="936" spans="1:11" x14ac:dyDescent="0.3">
      <c r="A936" s="5" t="s">
        <v>2863</v>
      </c>
      <c r="B936" s="5" t="s">
        <v>117</v>
      </c>
      <c r="C936" s="5" t="s">
        <v>5550</v>
      </c>
      <c r="D936" s="28" t="s">
        <v>2514</v>
      </c>
      <c r="E936" s="5" t="s">
        <v>80</v>
      </c>
      <c r="F936" s="5" t="s">
        <v>5083</v>
      </c>
      <c r="G936" s="5" t="s">
        <v>5076</v>
      </c>
      <c r="H936" s="5" t="s">
        <v>2435</v>
      </c>
      <c r="I936" s="5">
        <v>11.67</v>
      </c>
      <c r="J936" s="6" t="str">
        <f t="shared" si="28"/>
        <v>0</v>
      </c>
      <c r="K936" s="6">
        <f t="shared" si="29"/>
        <v>11.67</v>
      </c>
    </row>
    <row r="937" spans="1:11" x14ac:dyDescent="0.3">
      <c r="A937" s="5" t="s">
        <v>4622</v>
      </c>
      <c r="B937" s="5" t="s">
        <v>117</v>
      </c>
      <c r="C937" s="5" t="s">
        <v>5430</v>
      </c>
      <c r="D937" s="28" t="s">
        <v>2514</v>
      </c>
      <c r="E937" s="5" t="s">
        <v>80</v>
      </c>
      <c r="F937" s="5" t="s">
        <v>5070</v>
      </c>
      <c r="G937" s="5" t="s">
        <v>5071</v>
      </c>
      <c r="H937" s="5" t="s">
        <v>2450</v>
      </c>
      <c r="I937" s="5">
        <v>17.23</v>
      </c>
      <c r="J937" s="6" t="str">
        <f t="shared" si="28"/>
        <v>1</v>
      </c>
      <c r="K937" s="6">
        <f t="shared" si="29"/>
        <v>17.23</v>
      </c>
    </row>
    <row r="938" spans="1:11" x14ac:dyDescent="0.3">
      <c r="A938" s="5" t="s">
        <v>5615</v>
      </c>
      <c r="B938" s="5" t="s">
        <v>117</v>
      </c>
      <c r="C938" s="5" t="s">
        <v>5616</v>
      </c>
      <c r="D938" s="28" t="s">
        <v>2514</v>
      </c>
      <c r="E938" s="5" t="s">
        <v>80</v>
      </c>
      <c r="F938" s="5" t="s">
        <v>5070</v>
      </c>
      <c r="G938" s="5" t="s">
        <v>5083</v>
      </c>
      <c r="H938" s="5" t="s">
        <v>2993</v>
      </c>
      <c r="I938" s="5">
        <v>15.57</v>
      </c>
      <c r="J938" s="6" t="str">
        <f t="shared" si="28"/>
        <v>2+</v>
      </c>
      <c r="K938" s="6">
        <f t="shared" si="29"/>
        <v>15.57</v>
      </c>
    </row>
    <row r="939" spans="1:11" x14ac:dyDescent="0.3">
      <c r="A939" s="5" t="s">
        <v>4559</v>
      </c>
      <c r="B939" s="5" t="s">
        <v>117</v>
      </c>
      <c r="C939" s="5" t="s">
        <v>5763</v>
      </c>
      <c r="D939" s="28" t="s">
        <v>2514</v>
      </c>
      <c r="E939" s="5" t="s">
        <v>80</v>
      </c>
      <c r="F939" s="5" t="s">
        <v>5076</v>
      </c>
      <c r="G939" s="5" t="s">
        <v>5083</v>
      </c>
      <c r="H939" s="5" t="s">
        <v>2477</v>
      </c>
      <c r="I939" s="5">
        <v>17.579999999999998</v>
      </c>
      <c r="J939" s="6" t="str">
        <f t="shared" si="28"/>
        <v>0</v>
      </c>
      <c r="K939" s="6">
        <f t="shared" si="29"/>
        <v>17.579999999999998</v>
      </c>
    </row>
    <row r="940" spans="1:11" x14ac:dyDescent="0.3">
      <c r="A940" s="5" t="s">
        <v>3565</v>
      </c>
      <c r="B940" s="5" t="s">
        <v>117</v>
      </c>
      <c r="C940" s="5" t="s">
        <v>5938</v>
      </c>
      <c r="D940" s="28" t="s">
        <v>2514</v>
      </c>
      <c r="E940" s="5" t="s">
        <v>80</v>
      </c>
      <c r="F940" s="5" t="s">
        <v>5071</v>
      </c>
      <c r="G940" s="5" t="s">
        <v>5070</v>
      </c>
      <c r="H940" s="5" t="s">
        <v>2418</v>
      </c>
      <c r="I940" s="5">
        <v>17.739999999999998</v>
      </c>
      <c r="J940" s="6" t="str">
        <f t="shared" si="28"/>
        <v>1</v>
      </c>
      <c r="K940" s="6">
        <f t="shared" si="29"/>
        <v>17.739999999999998</v>
      </c>
    </row>
    <row r="941" spans="1:11" x14ac:dyDescent="0.3">
      <c r="A941" s="5" t="s">
        <v>4152</v>
      </c>
      <c r="B941" s="5" t="s">
        <v>117</v>
      </c>
      <c r="C941" s="5" t="s">
        <v>5625</v>
      </c>
      <c r="D941" s="28" t="s">
        <v>2514</v>
      </c>
      <c r="E941" s="5" t="s">
        <v>80</v>
      </c>
      <c r="F941" s="5" t="s">
        <v>5081</v>
      </c>
      <c r="G941" s="5" t="s">
        <v>5076</v>
      </c>
      <c r="H941" s="5" t="s">
        <v>2455</v>
      </c>
      <c r="I941" s="5">
        <v>1.66</v>
      </c>
      <c r="J941" s="6" t="str">
        <f t="shared" si="28"/>
        <v>1</v>
      </c>
      <c r="K941" s="6">
        <f t="shared" si="29"/>
        <v>1.66</v>
      </c>
    </row>
    <row r="942" spans="1:11" x14ac:dyDescent="0.3">
      <c r="A942" s="5" t="s">
        <v>3211</v>
      </c>
      <c r="B942" s="5" t="s">
        <v>117</v>
      </c>
      <c r="C942" s="5" t="s">
        <v>5556</v>
      </c>
      <c r="D942" s="28" t="s">
        <v>2514</v>
      </c>
      <c r="E942" s="5" t="s">
        <v>80</v>
      </c>
      <c r="F942" s="5" t="s">
        <v>5071</v>
      </c>
      <c r="G942" s="5" t="s">
        <v>5073</v>
      </c>
      <c r="H942" s="5" t="s">
        <v>2486</v>
      </c>
      <c r="I942" s="5"/>
      <c r="J942" s="6" t="str">
        <f t="shared" si="28"/>
        <v>2+</v>
      </c>
      <c r="K942" s="6">
        <f t="shared" si="29"/>
        <v>10.4</v>
      </c>
    </row>
    <row r="943" spans="1:11" x14ac:dyDescent="0.3">
      <c r="A943" s="5" t="s">
        <v>4952</v>
      </c>
      <c r="B943" s="5" t="s">
        <v>117</v>
      </c>
      <c r="C943" s="5" t="s">
        <v>5939</v>
      </c>
      <c r="D943" s="28" t="s">
        <v>2514</v>
      </c>
      <c r="E943" s="5" t="s">
        <v>80</v>
      </c>
      <c r="F943" s="5" t="s">
        <v>5070</v>
      </c>
      <c r="G943" s="5" t="s">
        <v>5071</v>
      </c>
      <c r="H943" s="5" t="s">
        <v>2455</v>
      </c>
      <c r="I943" s="5">
        <v>19.260000000000002</v>
      </c>
      <c r="J943" s="6" t="str">
        <f t="shared" si="28"/>
        <v>1</v>
      </c>
      <c r="K943" s="6">
        <f t="shared" si="29"/>
        <v>19.260000000000002</v>
      </c>
    </row>
    <row r="944" spans="1:11" x14ac:dyDescent="0.3">
      <c r="A944" s="5" t="s">
        <v>3375</v>
      </c>
      <c r="B944" s="5" t="s">
        <v>25</v>
      </c>
      <c r="C944" s="5" t="s">
        <v>6009</v>
      </c>
      <c r="D944" s="28" t="s">
        <v>2514</v>
      </c>
      <c r="E944" s="5" t="s">
        <v>80</v>
      </c>
      <c r="F944" s="5" t="s">
        <v>5070</v>
      </c>
      <c r="G944" s="5" t="s">
        <v>5070</v>
      </c>
      <c r="H944" s="5" t="s">
        <v>2418</v>
      </c>
      <c r="I944" s="5">
        <v>13.4</v>
      </c>
      <c r="J944" s="6" t="str">
        <f t="shared" si="28"/>
        <v>1</v>
      </c>
      <c r="K944" s="6">
        <f t="shared" si="29"/>
        <v>13.4</v>
      </c>
    </row>
    <row r="945" spans="1:11" x14ac:dyDescent="0.3">
      <c r="A945" s="5" t="s">
        <v>6554</v>
      </c>
      <c r="B945" s="5" t="s">
        <v>25</v>
      </c>
      <c r="C945" s="5" t="s">
        <v>6555</v>
      </c>
      <c r="D945" s="28" t="s">
        <v>2514</v>
      </c>
      <c r="E945" s="5" t="s">
        <v>80</v>
      </c>
      <c r="F945" s="5" t="s">
        <v>5076</v>
      </c>
      <c r="G945" s="5" t="s">
        <v>5073</v>
      </c>
      <c r="H945" s="5" t="s">
        <v>2408</v>
      </c>
      <c r="I945" s="5">
        <v>6.73</v>
      </c>
      <c r="J945" s="6" t="str">
        <f t="shared" si="28"/>
        <v>0</v>
      </c>
      <c r="K945" s="6">
        <f t="shared" si="29"/>
        <v>6.73</v>
      </c>
    </row>
    <row r="946" spans="1:11" x14ac:dyDescent="0.3">
      <c r="A946" s="5" t="s">
        <v>2544</v>
      </c>
      <c r="B946" s="5" t="s">
        <v>25</v>
      </c>
      <c r="C946" s="5" t="s">
        <v>6137</v>
      </c>
      <c r="D946" s="28" t="s">
        <v>2514</v>
      </c>
      <c r="E946" s="5" t="s">
        <v>80</v>
      </c>
      <c r="F946" s="5" t="s">
        <v>5076</v>
      </c>
      <c r="G946" s="5" t="s">
        <v>5071</v>
      </c>
      <c r="H946" s="5" t="s">
        <v>2477</v>
      </c>
      <c r="I946" s="5">
        <v>5.53</v>
      </c>
      <c r="J946" s="6" t="str">
        <f t="shared" si="28"/>
        <v>0</v>
      </c>
      <c r="K946" s="6">
        <f t="shared" si="29"/>
        <v>5.53</v>
      </c>
    </row>
    <row r="947" spans="1:11" x14ac:dyDescent="0.3">
      <c r="A947" s="5" t="s">
        <v>3415</v>
      </c>
      <c r="B947" s="5" t="s">
        <v>25</v>
      </c>
      <c r="C947" s="5" t="s">
        <v>5223</v>
      </c>
      <c r="D947" s="28" t="s">
        <v>2514</v>
      </c>
      <c r="E947" s="5" t="s">
        <v>80</v>
      </c>
      <c r="F947" s="5" t="s">
        <v>5076</v>
      </c>
      <c r="G947" s="5" t="s">
        <v>5081</v>
      </c>
      <c r="H947" s="5" t="s">
        <v>2412</v>
      </c>
      <c r="I947" s="5">
        <v>19.97</v>
      </c>
      <c r="J947" s="6" t="str">
        <f t="shared" si="28"/>
        <v>1</v>
      </c>
      <c r="K947" s="6">
        <f t="shared" si="29"/>
        <v>19.97</v>
      </c>
    </row>
    <row r="948" spans="1:11" x14ac:dyDescent="0.3">
      <c r="A948" s="5" t="s">
        <v>3528</v>
      </c>
      <c r="B948" s="5" t="s">
        <v>25</v>
      </c>
      <c r="C948" s="5" t="s">
        <v>5211</v>
      </c>
      <c r="D948" s="28" t="s">
        <v>2514</v>
      </c>
      <c r="E948" s="5" t="s">
        <v>80</v>
      </c>
      <c r="F948" s="5" t="s">
        <v>5071</v>
      </c>
      <c r="G948" s="5" t="s">
        <v>5071</v>
      </c>
      <c r="H948" s="5" t="s">
        <v>2428</v>
      </c>
      <c r="I948" s="5">
        <v>7.75</v>
      </c>
      <c r="J948" s="6" t="str">
        <f t="shared" si="28"/>
        <v>2</v>
      </c>
      <c r="K948" s="6">
        <f t="shared" si="29"/>
        <v>7.75</v>
      </c>
    </row>
    <row r="949" spans="1:11" x14ac:dyDescent="0.3">
      <c r="A949" s="5" t="s">
        <v>5671</v>
      </c>
      <c r="B949" s="5" t="s">
        <v>25</v>
      </c>
      <c r="C949" s="5" t="s">
        <v>5672</v>
      </c>
      <c r="D949" s="28" t="s">
        <v>2514</v>
      </c>
      <c r="E949" s="5" t="s">
        <v>80</v>
      </c>
      <c r="F949" s="5" t="s">
        <v>5071</v>
      </c>
      <c r="G949" s="5" t="s">
        <v>5076</v>
      </c>
      <c r="H949" s="5" t="s">
        <v>2435</v>
      </c>
      <c r="I949" s="5">
        <v>8.7200000000000006</v>
      </c>
      <c r="J949" s="6" t="str">
        <f t="shared" si="28"/>
        <v>0</v>
      </c>
      <c r="K949" s="6">
        <f t="shared" si="29"/>
        <v>8.7200000000000006</v>
      </c>
    </row>
    <row r="950" spans="1:11" x14ac:dyDescent="0.3">
      <c r="A950" s="5" t="s">
        <v>4124</v>
      </c>
      <c r="B950" s="5" t="s">
        <v>25</v>
      </c>
      <c r="C950" s="5" t="s">
        <v>6220</v>
      </c>
      <c r="D950" s="28" t="s">
        <v>2514</v>
      </c>
      <c r="E950" s="5" t="s">
        <v>80</v>
      </c>
      <c r="F950" s="5" t="s">
        <v>5081</v>
      </c>
      <c r="G950" s="5" t="s">
        <v>5070</v>
      </c>
      <c r="H950" s="5" t="s">
        <v>2435</v>
      </c>
      <c r="I950" s="5"/>
      <c r="J950" s="6" t="str">
        <f t="shared" si="28"/>
        <v>0</v>
      </c>
      <c r="K950" s="6">
        <f t="shared" si="29"/>
        <v>10</v>
      </c>
    </row>
    <row r="951" spans="1:11" x14ac:dyDescent="0.3">
      <c r="A951" s="5" t="s">
        <v>3767</v>
      </c>
      <c r="B951" s="5" t="s">
        <v>25</v>
      </c>
      <c r="C951" s="5" t="s">
        <v>5741</v>
      </c>
      <c r="D951" s="28" t="s">
        <v>2514</v>
      </c>
      <c r="E951" s="5" t="s">
        <v>80</v>
      </c>
      <c r="F951" s="5" t="s">
        <v>5070</v>
      </c>
      <c r="G951" s="5" t="s">
        <v>5081</v>
      </c>
      <c r="H951" s="5" t="s">
        <v>2505</v>
      </c>
      <c r="I951" s="5">
        <v>13.9</v>
      </c>
      <c r="J951" s="6" t="str">
        <f t="shared" si="28"/>
        <v>2+</v>
      </c>
      <c r="K951" s="6">
        <f t="shared" si="29"/>
        <v>13.9</v>
      </c>
    </row>
    <row r="952" spans="1:11" x14ac:dyDescent="0.3">
      <c r="A952" s="5" t="s">
        <v>2655</v>
      </c>
      <c r="B952" s="5" t="s">
        <v>106</v>
      </c>
      <c r="C952" s="5" t="s">
        <v>6264</v>
      </c>
      <c r="D952" s="28" t="s">
        <v>2514</v>
      </c>
      <c r="E952" s="5" t="s">
        <v>80</v>
      </c>
      <c r="F952" s="5" t="s">
        <v>5071</v>
      </c>
      <c r="G952" s="5" t="s">
        <v>5073</v>
      </c>
      <c r="H952" s="5" t="s">
        <v>2435</v>
      </c>
      <c r="I952" s="5">
        <v>2.74</v>
      </c>
      <c r="J952" s="6" t="str">
        <f t="shared" si="28"/>
        <v>0</v>
      </c>
      <c r="K952" s="6">
        <f t="shared" si="29"/>
        <v>2.74</v>
      </c>
    </row>
    <row r="953" spans="1:11" x14ac:dyDescent="0.3">
      <c r="A953" s="5" t="s">
        <v>3633</v>
      </c>
      <c r="B953" s="5" t="s">
        <v>106</v>
      </c>
      <c r="C953" s="5" t="s">
        <v>5306</v>
      </c>
      <c r="D953" s="28" t="s">
        <v>2514</v>
      </c>
      <c r="E953" s="5" t="s">
        <v>80</v>
      </c>
      <c r="F953" s="5" t="s">
        <v>5073</v>
      </c>
      <c r="G953" s="5" t="s">
        <v>5073</v>
      </c>
      <c r="H953" s="5" t="s">
        <v>2477</v>
      </c>
      <c r="I953" s="5">
        <v>4.04</v>
      </c>
      <c r="J953" s="6" t="str">
        <f t="shared" si="28"/>
        <v>0</v>
      </c>
      <c r="K953" s="6">
        <f t="shared" si="29"/>
        <v>4.04</v>
      </c>
    </row>
    <row r="954" spans="1:11" x14ac:dyDescent="0.3">
      <c r="A954" s="5" t="s">
        <v>4896</v>
      </c>
      <c r="B954" s="5" t="s">
        <v>106</v>
      </c>
      <c r="C954" s="5" t="s">
        <v>6028</v>
      </c>
      <c r="D954" s="28" t="s">
        <v>2514</v>
      </c>
      <c r="E954" s="5" t="s">
        <v>80</v>
      </c>
      <c r="F954" s="5" t="s">
        <v>5083</v>
      </c>
      <c r="G954" s="5" t="s">
        <v>5083</v>
      </c>
      <c r="H954" s="5"/>
      <c r="I954" s="5">
        <v>7.19</v>
      </c>
      <c r="J954" s="6" t="str">
        <f t="shared" si="28"/>
        <v>Unknown</v>
      </c>
      <c r="K954" s="6">
        <f t="shared" si="29"/>
        <v>7.19</v>
      </c>
    </row>
    <row r="955" spans="1:11" x14ac:dyDescent="0.3">
      <c r="A955" s="5" t="s">
        <v>2836</v>
      </c>
      <c r="B955" s="5" t="s">
        <v>106</v>
      </c>
      <c r="C955" s="5" t="s">
        <v>6060</v>
      </c>
      <c r="D955" s="28" t="s">
        <v>2514</v>
      </c>
      <c r="E955" s="5" t="s">
        <v>80</v>
      </c>
      <c r="F955" s="5" t="s">
        <v>5070</v>
      </c>
      <c r="G955" s="5" t="s">
        <v>5076</v>
      </c>
      <c r="H955" s="5" t="s">
        <v>2435</v>
      </c>
      <c r="I955" s="5">
        <v>13.83</v>
      </c>
      <c r="J955" s="6" t="str">
        <f t="shared" si="28"/>
        <v>0</v>
      </c>
      <c r="K955" s="6">
        <f t="shared" si="29"/>
        <v>13.83</v>
      </c>
    </row>
    <row r="956" spans="1:11" x14ac:dyDescent="0.3">
      <c r="A956" s="5" t="s">
        <v>4571</v>
      </c>
      <c r="B956" s="5" t="s">
        <v>78</v>
      </c>
      <c r="C956" s="5" t="s">
        <v>6526</v>
      </c>
      <c r="D956" s="28" t="s">
        <v>2494</v>
      </c>
      <c r="E956" s="5" t="s">
        <v>189</v>
      </c>
      <c r="F956" s="5" t="s">
        <v>5076</v>
      </c>
      <c r="G956" s="5" t="s">
        <v>5071</v>
      </c>
      <c r="H956" s="5" t="s">
        <v>2412</v>
      </c>
      <c r="I956" s="5">
        <v>6.6</v>
      </c>
      <c r="J956" s="6" t="str">
        <f t="shared" si="28"/>
        <v>1</v>
      </c>
      <c r="K956" s="6">
        <f t="shared" si="29"/>
        <v>6.6</v>
      </c>
    </row>
    <row r="957" spans="1:11" x14ac:dyDescent="0.3">
      <c r="A957" s="5" t="s">
        <v>6234</v>
      </c>
      <c r="B957" s="5" t="s">
        <v>78</v>
      </c>
      <c r="C957" s="5" t="s">
        <v>6235</v>
      </c>
      <c r="D957" s="28" t="s">
        <v>2494</v>
      </c>
      <c r="E957" s="5" t="s">
        <v>189</v>
      </c>
      <c r="F957" s="5" t="s">
        <v>5076</v>
      </c>
      <c r="G957" s="5" t="s">
        <v>5071</v>
      </c>
      <c r="H957" s="5" t="s">
        <v>2746</v>
      </c>
      <c r="I957" s="5">
        <v>7.51</v>
      </c>
      <c r="J957" s="6" t="str">
        <f t="shared" si="28"/>
        <v>2</v>
      </c>
      <c r="K957" s="6">
        <f t="shared" si="29"/>
        <v>7.51</v>
      </c>
    </row>
    <row r="958" spans="1:11" x14ac:dyDescent="0.3">
      <c r="A958" s="5" t="s">
        <v>3624</v>
      </c>
      <c r="B958" s="5" t="s">
        <v>78</v>
      </c>
      <c r="C958" s="5" t="s">
        <v>6022</v>
      </c>
      <c r="D958" s="28" t="s">
        <v>2494</v>
      </c>
      <c r="E958" s="5" t="s">
        <v>189</v>
      </c>
      <c r="F958" s="5" t="s">
        <v>5083</v>
      </c>
      <c r="G958" s="5" t="s">
        <v>5081</v>
      </c>
      <c r="H958" s="5" t="s">
        <v>2455</v>
      </c>
      <c r="I958" s="5">
        <v>10.74</v>
      </c>
      <c r="J958" s="6" t="str">
        <f t="shared" si="28"/>
        <v>1</v>
      </c>
      <c r="K958" s="6">
        <f t="shared" si="29"/>
        <v>10.74</v>
      </c>
    </row>
    <row r="959" spans="1:11" x14ac:dyDescent="0.3">
      <c r="A959" s="5" t="s">
        <v>6400</v>
      </c>
      <c r="B959" s="5" t="s">
        <v>78</v>
      </c>
      <c r="C959" s="5" t="s">
        <v>6401</v>
      </c>
      <c r="D959" s="28" t="s">
        <v>2494</v>
      </c>
      <c r="E959" s="5" t="s">
        <v>189</v>
      </c>
      <c r="F959" s="5" t="s">
        <v>5070</v>
      </c>
      <c r="G959" s="5" t="s">
        <v>5073</v>
      </c>
      <c r="H959" s="5" t="s">
        <v>2423</v>
      </c>
      <c r="I959" s="5">
        <v>6.66</v>
      </c>
      <c r="J959" s="6" t="str">
        <f t="shared" si="28"/>
        <v>0</v>
      </c>
      <c r="K959" s="6">
        <f t="shared" si="29"/>
        <v>6.66</v>
      </c>
    </row>
    <row r="960" spans="1:11" x14ac:dyDescent="0.3">
      <c r="A960" s="5" t="s">
        <v>2831</v>
      </c>
      <c r="B960" s="5" t="s">
        <v>78</v>
      </c>
      <c r="C960" s="5" t="s">
        <v>5102</v>
      </c>
      <c r="D960" s="28" t="s">
        <v>2494</v>
      </c>
      <c r="E960" s="5" t="s">
        <v>189</v>
      </c>
      <c r="F960" s="5" t="s">
        <v>5076</v>
      </c>
      <c r="G960" s="5" t="s">
        <v>5071</v>
      </c>
      <c r="H960" s="5" t="s">
        <v>2439</v>
      </c>
      <c r="I960" s="5">
        <v>8.27</v>
      </c>
      <c r="J960" s="6" t="str">
        <f t="shared" si="28"/>
        <v>2</v>
      </c>
      <c r="K960" s="6">
        <f t="shared" si="29"/>
        <v>8.27</v>
      </c>
    </row>
    <row r="961" spans="1:11" x14ac:dyDescent="0.3">
      <c r="A961" s="5" t="s">
        <v>3640</v>
      </c>
      <c r="B961" s="5" t="s">
        <v>78</v>
      </c>
      <c r="C961" s="5" t="s">
        <v>6436</v>
      </c>
      <c r="D961" s="28" t="s">
        <v>2494</v>
      </c>
      <c r="E961" s="5" t="s">
        <v>189</v>
      </c>
      <c r="F961" s="5" t="s">
        <v>5073</v>
      </c>
      <c r="G961" s="5" t="s">
        <v>5073</v>
      </c>
      <c r="H961" s="5" t="s">
        <v>2408</v>
      </c>
      <c r="I961" s="5">
        <v>3.69</v>
      </c>
      <c r="J961" s="6" t="str">
        <f t="shared" si="28"/>
        <v>0</v>
      </c>
      <c r="K961" s="6">
        <f t="shared" si="29"/>
        <v>3.69</v>
      </c>
    </row>
    <row r="962" spans="1:11" x14ac:dyDescent="0.3">
      <c r="A962" s="5" t="s">
        <v>3648</v>
      </c>
      <c r="B962" s="5" t="s">
        <v>78</v>
      </c>
      <c r="C962" s="5" t="s">
        <v>5308</v>
      </c>
      <c r="D962" s="28" t="s">
        <v>2494</v>
      </c>
      <c r="E962" s="5" t="s">
        <v>189</v>
      </c>
      <c r="F962" s="5" t="s">
        <v>5076</v>
      </c>
      <c r="G962" s="5" t="s">
        <v>5073</v>
      </c>
      <c r="H962" s="5" t="s">
        <v>2505</v>
      </c>
      <c r="I962" s="5"/>
      <c r="J962" s="6" t="str">
        <f t="shared" ref="J962:J1025" si="30">IF(OR(LOWER(TRIM(H962))="0",LOWER(TRIM(H962))="ZERO"),"0",IF(OR(LOWER(TRIM(H962))="1",LOWER(TRIM(H962))="one"),"1",IF(OR(LOWER(TRIM(H962))="2",LOWER(TRIM(H962))="two"),"2",IF(OR(LOWER(TRIM(H962))="2+",LOWER(TRIM(H962))="two_or_more",LOWER(TRIM(H962))="multiple"),"2+","Unknown"))))</f>
        <v>2+</v>
      </c>
      <c r="K962" s="6">
        <f t="shared" si="29"/>
        <v>9.6999999999999993</v>
      </c>
    </row>
    <row r="963" spans="1:11" x14ac:dyDescent="0.3">
      <c r="A963" s="5" t="s">
        <v>6425</v>
      </c>
      <c r="B963" s="5" t="s">
        <v>45</v>
      </c>
      <c r="C963" s="5" t="s">
        <v>6426</v>
      </c>
      <c r="D963" s="28" t="s">
        <v>2494</v>
      </c>
      <c r="E963" s="5" t="s">
        <v>189</v>
      </c>
      <c r="F963" s="5" t="s">
        <v>5076</v>
      </c>
      <c r="G963" s="5" t="s">
        <v>5081</v>
      </c>
      <c r="H963" s="5" t="s">
        <v>2455</v>
      </c>
      <c r="I963" s="5">
        <v>11.33</v>
      </c>
      <c r="J963" s="6" t="str">
        <f t="shared" si="30"/>
        <v>1</v>
      </c>
      <c r="K963" s="6">
        <f t="shared" ref="K963:K1026" si="31">IF(I963="",ROUND(AVERAGEIF($B$2:$B$1000,B963,$I$2:$I$1000),1),I963)</f>
        <v>11.33</v>
      </c>
    </row>
    <row r="964" spans="1:11" x14ac:dyDescent="0.3">
      <c r="A964" s="5" t="s">
        <v>5872</v>
      </c>
      <c r="B964" s="5" t="s">
        <v>45</v>
      </c>
      <c r="C964" s="5" t="s">
        <v>5873</v>
      </c>
      <c r="D964" s="28" t="s">
        <v>2494</v>
      </c>
      <c r="E964" s="5" t="s">
        <v>189</v>
      </c>
      <c r="F964" s="5" t="s">
        <v>5070</v>
      </c>
      <c r="G964" s="5" t="s">
        <v>5070</v>
      </c>
      <c r="H964" s="5" t="s">
        <v>2412</v>
      </c>
      <c r="I964" s="5">
        <v>18.5</v>
      </c>
      <c r="J964" s="6" t="str">
        <f t="shared" si="30"/>
        <v>1</v>
      </c>
      <c r="K964" s="6">
        <f t="shared" si="31"/>
        <v>18.5</v>
      </c>
    </row>
    <row r="965" spans="1:11" x14ac:dyDescent="0.3">
      <c r="A965" s="5" t="s">
        <v>5074</v>
      </c>
      <c r="B965" s="5" t="s">
        <v>45</v>
      </c>
      <c r="C965" s="5" t="s">
        <v>5075</v>
      </c>
      <c r="D965" s="28" t="s">
        <v>2494</v>
      </c>
      <c r="E965" s="5" t="s">
        <v>189</v>
      </c>
      <c r="F965" s="5" t="s">
        <v>5076</v>
      </c>
      <c r="G965" s="5" t="s">
        <v>5076</v>
      </c>
      <c r="H965" s="5" t="s">
        <v>2435</v>
      </c>
      <c r="I965" s="5">
        <v>19.09</v>
      </c>
      <c r="J965" s="6" t="str">
        <f t="shared" si="30"/>
        <v>0</v>
      </c>
      <c r="K965" s="6">
        <f t="shared" si="31"/>
        <v>19.09</v>
      </c>
    </row>
    <row r="966" spans="1:11" x14ac:dyDescent="0.3">
      <c r="A966" s="5" t="s">
        <v>4030</v>
      </c>
      <c r="B966" s="5" t="s">
        <v>45</v>
      </c>
      <c r="C966" s="5" t="s">
        <v>6163</v>
      </c>
      <c r="D966" s="28" t="s">
        <v>2494</v>
      </c>
      <c r="E966" s="5" t="s">
        <v>189</v>
      </c>
      <c r="F966" s="5" t="s">
        <v>5073</v>
      </c>
      <c r="G966" s="5" t="s">
        <v>5071</v>
      </c>
      <c r="H966" s="5" t="s">
        <v>2486</v>
      </c>
      <c r="I966" s="5">
        <v>13.2</v>
      </c>
      <c r="J966" s="6" t="str">
        <f t="shared" si="30"/>
        <v>2+</v>
      </c>
      <c r="K966" s="6">
        <f t="shared" si="31"/>
        <v>13.2</v>
      </c>
    </row>
    <row r="967" spans="1:11" x14ac:dyDescent="0.3">
      <c r="A967" s="5" t="s">
        <v>5194</v>
      </c>
      <c r="B967" s="5" t="s">
        <v>45</v>
      </c>
      <c r="C967" s="5" t="s">
        <v>5195</v>
      </c>
      <c r="D967" s="28" t="s">
        <v>2494</v>
      </c>
      <c r="E967" s="5" t="s">
        <v>189</v>
      </c>
      <c r="F967" s="5" t="s">
        <v>5071</v>
      </c>
      <c r="G967" s="5" t="s">
        <v>5071</v>
      </c>
      <c r="H967" s="5" t="s">
        <v>2408</v>
      </c>
      <c r="I967" s="5">
        <v>4.84</v>
      </c>
      <c r="J967" s="6" t="str">
        <f t="shared" si="30"/>
        <v>0</v>
      </c>
      <c r="K967" s="6">
        <f t="shared" si="31"/>
        <v>4.84</v>
      </c>
    </row>
    <row r="968" spans="1:11" x14ac:dyDescent="0.3">
      <c r="A968" s="5" t="s">
        <v>2888</v>
      </c>
      <c r="B968" s="5" t="s">
        <v>45</v>
      </c>
      <c r="C968" s="5" t="s">
        <v>5280</v>
      </c>
      <c r="D968" s="28" t="s">
        <v>2494</v>
      </c>
      <c r="E968" s="5" t="s">
        <v>189</v>
      </c>
      <c r="F968" s="5" t="s">
        <v>5071</v>
      </c>
      <c r="G968" s="5" t="s">
        <v>5070</v>
      </c>
      <c r="H968" s="5" t="s">
        <v>2486</v>
      </c>
      <c r="I968" s="5">
        <v>0.65</v>
      </c>
      <c r="J968" s="6" t="str">
        <f t="shared" si="30"/>
        <v>2+</v>
      </c>
      <c r="K968" s="6">
        <f t="shared" si="31"/>
        <v>0.65</v>
      </c>
    </row>
    <row r="969" spans="1:11" x14ac:dyDescent="0.3">
      <c r="A969" s="5" t="s">
        <v>5239</v>
      </c>
      <c r="B969" s="5" t="s">
        <v>45</v>
      </c>
      <c r="C969" s="5" t="s">
        <v>5240</v>
      </c>
      <c r="D969" s="28" t="s">
        <v>2494</v>
      </c>
      <c r="E969" s="5" t="s">
        <v>189</v>
      </c>
      <c r="F969" s="5" t="s">
        <v>5070</v>
      </c>
      <c r="G969" s="5" t="s">
        <v>5071</v>
      </c>
      <c r="H969" s="5" t="s">
        <v>2450</v>
      </c>
      <c r="I969" s="5">
        <v>19.25</v>
      </c>
      <c r="J969" s="6" t="str">
        <f t="shared" si="30"/>
        <v>1</v>
      </c>
      <c r="K969" s="6">
        <f t="shared" si="31"/>
        <v>19.25</v>
      </c>
    </row>
    <row r="970" spans="1:11" x14ac:dyDescent="0.3">
      <c r="A970" s="5" t="s">
        <v>6375</v>
      </c>
      <c r="B970" s="5" t="s">
        <v>14</v>
      </c>
      <c r="C970" s="5" t="s">
        <v>6376</v>
      </c>
      <c r="D970" s="28" t="s">
        <v>2494</v>
      </c>
      <c r="E970" s="5" t="s">
        <v>189</v>
      </c>
      <c r="F970" s="5" t="s">
        <v>5076</v>
      </c>
      <c r="G970" s="5" t="s">
        <v>5070</v>
      </c>
      <c r="H970" s="5" t="s">
        <v>2505</v>
      </c>
      <c r="I970" s="5">
        <v>9.0399999999999991</v>
      </c>
      <c r="J970" s="6" t="str">
        <f t="shared" si="30"/>
        <v>2+</v>
      </c>
      <c r="K970" s="6">
        <f t="shared" si="31"/>
        <v>9.0399999999999991</v>
      </c>
    </row>
    <row r="971" spans="1:11" x14ac:dyDescent="0.3">
      <c r="A971" s="5" t="s">
        <v>4036</v>
      </c>
      <c r="B971" s="5" t="s">
        <v>14</v>
      </c>
      <c r="C971" s="5" t="s">
        <v>5620</v>
      </c>
      <c r="D971" s="28" t="s">
        <v>2494</v>
      </c>
      <c r="E971" s="5" t="s">
        <v>189</v>
      </c>
      <c r="F971" s="5" t="s">
        <v>5071</v>
      </c>
      <c r="G971" s="5" t="s">
        <v>5070</v>
      </c>
      <c r="H971" s="5" t="s">
        <v>2435</v>
      </c>
      <c r="I971" s="5">
        <v>13.58</v>
      </c>
      <c r="J971" s="6" t="str">
        <f t="shared" si="30"/>
        <v>0</v>
      </c>
      <c r="K971" s="6">
        <f t="shared" si="31"/>
        <v>13.58</v>
      </c>
    </row>
    <row r="972" spans="1:11" x14ac:dyDescent="0.3">
      <c r="A972" s="5" t="s">
        <v>3572</v>
      </c>
      <c r="B972" s="5" t="s">
        <v>14</v>
      </c>
      <c r="C972" s="5" t="s">
        <v>5796</v>
      </c>
      <c r="D972" s="28" t="s">
        <v>2494</v>
      </c>
      <c r="E972" s="5" t="s">
        <v>189</v>
      </c>
      <c r="F972" s="5" t="s">
        <v>5073</v>
      </c>
      <c r="G972" s="5" t="s">
        <v>5076</v>
      </c>
      <c r="H972" s="5" t="s">
        <v>2408</v>
      </c>
      <c r="I972" s="5">
        <v>19.02</v>
      </c>
      <c r="J972" s="6" t="str">
        <f t="shared" si="30"/>
        <v>0</v>
      </c>
      <c r="K972" s="6">
        <f t="shared" si="31"/>
        <v>19.02</v>
      </c>
    </row>
    <row r="973" spans="1:11" x14ac:dyDescent="0.3">
      <c r="A973" s="5" t="s">
        <v>5410</v>
      </c>
      <c r="B973" s="5" t="s">
        <v>14</v>
      </c>
      <c r="C973" s="5" t="s">
        <v>5411</v>
      </c>
      <c r="D973" s="28" t="s">
        <v>2494</v>
      </c>
      <c r="E973" s="5" t="s">
        <v>189</v>
      </c>
      <c r="F973" s="5" t="s">
        <v>5070</v>
      </c>
      <c r="G973" s="5" t="s">
        <v>5073</v>
      </c>
      <c r="H973" s="5" t="s">
        <v>2435</v>
      </c>
      <c r="I973" s="5">
        <v>3.75</v>
      </c>
      <c r="J973" s="6" t="str">
        <f t="shared" si="30"/>
        <v>0</v>
      </c>
      <c r="K973" s="6">
        <f t="shared" si="31"/>
        <v>3.75</v>
      </c>
    </row>
    <row r="974" spans="1:11" x14ac:dyDescent="0.3">
      <c r="A974" s="5" t="s">
        <v>5845</v>
      </c>
      <c r="B974" s="5" t="s">
        <v>14</v>
      </c>
      <c r="C974" s="5" t="s">
        <v>5846</v>
      </c>
      <c r="D974" s="28" t="s">
        <v>2494</v>
      </c>
      <c r="E974" s="5" t="s">
        <v>189</v>
      </c>
      <c r="F974" s="5" t="s">
        <v>5073</v>
      </c>
      <c r="G974" s="5" t="s">
        <v>5070</v>
      </c>
      <c r="H974" s="5" t="s">
        <v>2455</v>
      </c>
      <c r="I974" s="5">
        <v>1.44</v>
      </c>
      <c r="J974" s="6" t="str">
        <f t="shared" si="30"/>
        <v>1</v>
      </c>
      <c r="K974" s="6">
        <f t="shared" si="31"/>
        <v>1.44</v>
      </c>
    </row>
    <row r="975" spans="1:11" x14ac:dyDescent="0.3">
      <c r="A975" s="5" t="s">
        <v>4033</v>
      </c>
      <c r="B975" s="5" t="s">
        <v>14</v>
      </c>
      <c r="C975" s="5" t="s">
        <v>5591</v>
      </c>
      <c r="D975" s="28" t="s">
        <v>2494</v>
      </c>
      <c r="E975" s="5" t="s">
        <v>189</v>
      </c>
      <c r="F975" s="5" t="s">
        <v>5071</v>
      </c>
      <c r="G975" s="5" t="s">
        <v>5070</v>
      </c>
      <c r="H975" s="5" t="s">
        <v>2423</v>
      </c>
      <c r="I975" s="5">
        <v>10.87</v>
      </c>
      <c r="J975" s="6" t="str">
        <f t="shared" si="30"/>
        <v>0</v>
      </c>
      <c r="K975" s="6">
        <f t="shared" si="31"/>
        <v>10.87</v>
      </c>
    </row>
    <row r="976" spans="1:11" x14ac:dyDescent="0.3">
      <c r="A976" s="5" t="s">
        <v>4707</v>
      </c>
      <c r="B976" s="5" t="s">
        <v>117</v>
      </c>
      <c r="C976" s="5" t="s">
        <v>6087</v>
      </c>
      <c r="D976" s="28" t="s">
        <v>2494</v>
      </c>
      <c r="E976" s="5" t="s">
        <v>189</v>
      </c>
      <c r="F976" s="5" t="s">
        <v>5083</v>
      </c>
      <c r="G976" s="5" t="s">
        <v>5070</v>
      </c>
      <c r="H976" s="5" t="s">
        <v>2450</v>
      </c>
      <c r="I976" s="5">
        <v>10.199999999999999</v>
      </c>
      <c r="J976" s="6" t="str">
        <f t="shared" si="30"/>
        <v>1</v>
      </c>
      <c r="K976" s="6">
        <f t="shared" si="31"/>
        <v>10.199999999999999</v>
      </c>
    </row>
    <row r="977" spans="1:11" x14ac:dyDescent="0.3">
      <c r="A977" s="5" t="s">
        <v>4262</v>
      </c>
      <c r="B977" s="5" t="s">
        <v>117</v>
      </c>
      <c r="C977" s="5" t="s">
        <v>6334</v>
      </c>
      <c r="D977" s="28" t="s">
        <v>2494</v>
      </c>
      <c r="E977" s="5" t="s">
        <v>189</v>
      </c>
      <c r="F977" s="5" t="s">
        <v>5070</v>
      </c>
      <c r="G977" s="5" t="s">
        <v>5073</v>
      </c>
      <c r="H977" s="5" t="s">
        <v>2746</v>
      </c>
      <c r="I977" s="5">
        <v>11.86</v>
      </c>
      <c r="J977" s="6" t="str">
        <f t="shared" si="30"/>
        <v>2</v>
      </c>
      <c r="K977" s="6">
        <f t="shared" si="31"/>
        <v>11.86</v>
      </c>
    </row>
    <row r="978" spans="1:11" x14ac:dyDescent="0.3">
      <c r="A978" s="5" t="s">
        <v>4220</v>
      </c>
      <c r="B978" s="5" t="s">
        <v>117</v>
      </c>
      <c r="C978" s="5" t="s">
        <v>5407</v>
      </c>
      <c r="D978" s="28" t="s">
        <v>2494</v>
      </c>
      <c r="E978" s="5" t="s">
        <v>189</v>
      </c>
      <c r="F978" s="5" t="s">
        <v>5081</v>
      </c>
      <c r="G978" s="5" t="s">
        <v>5071</v>
      </c>
      <c r="H978" s="5" t="s">
        <v>2435</v>
      </c>
      <c r="I978" s="5">
        <v>4.07</v>
      </c>
      <c r="J978" s="6" t="str">
        <f t="shared" si="30"/>
        <v>0</v>
      </c>
      <c r="K978" s="6">
        <f t="shared" si="31"/>
        <v>4.07</v>
      </c>
    </row>
    <row r="979" spans="1:11" x14ac:dyDescent="0.3">
      <c r="A979" s="5" t="s">
        <v>4431</v>
      </c>
      <c r="B979" s="5" t="s">
        <v>117</v>
      </c>
      <c r="C979" s="5" t="s">
        <v>6113</v>
      </c>
      <c r="D979" s="28" t="s">
        <v>2494</v>
      </c>
      <c r="E979" s="5" t="s">
        <v>189</v>
      </c>
      <c r="F979" s="5" t="s">
        <v>5073</v>
      </c>
      <c r="G979" s="5" t="s">
        <v>5073</v>
      </c>
      <c r="H979" s="5" t="s">
        <v>2423</v>
      </c>
      <c r="I979" s="5">
        <v>5.69</v>
      </c>
      <c r="J979" s="6" t="str">
        <f t="shared" si="30"/>
        <v>0</v>
      </c>
      <c r="K979" s="6">
        <f t="shared" si="31"/>
        <v>5.69</v>
      </c>
    </row>
    <row r="980" spans="1:11" x14ac:dyDescent="0.3">
      <c r="A980" s="5" t="s">
        <v>5100</v>
      </c>
      <c r="B980" s="5" t="s">
        <v>117</v>
      </c>
      <c r="C980" s="5" t="s">
        <v>5101</v>
      </c>
      <c r="D980" s="28" t="s">
        <v>2494</v>
      </c>
      <c r="E980" s="5" t="s">
        <v>189</v>
      </c>
      <c r="F980" s="5" t="s">
        <v>5071</v>
      </c>
      <c r="G980" s="5" t="s">
        <v>5071</v>
      </c>
      <c r="H980" s="5" t="s">
        <v>2455</v>
      </c>
      <c r="I980" s="5">
        <v>3.41</v>
      </c>
      <c r="J980" s="6" t="str">
        <f t="shared" si="30"/>
        <v>1</v>
      </c>
      <c r="K980" s="6">
        <f t="shared" si="31"/>
        <v>3.41</v>
      </c>
    </row>
    <row r="981" spans="1:11" x14ac:dyDescent="0.3">
      <c r="A981" s="5" t="s">
        <v>4213</v>
      </c>
      <c r="B981" s="5" t="s">
        <v>117</v>
      </c>
      <c r="C981" s="5" t="s">
        <v>5480</v>
      </c>
      <c r="D981" s="28" t="s">
        <v>2494</v>
      </c>
      <c r="E981" s="5" t="s">
        <v>189</v>
      </c>
      <c r="F981" s="5" t="s">
        <v>5076</v>
      </c>
      <c r="G981" s="5" t="s">
        <v>5081</v>
      </c>
      <c r="H981" s="5" t="s">
        <v>2428</v>
      </c>
      <c r="I981" s="5">
        <v>0.95</v>
      </c>
      <c r="J981" s="6" t="str">
        <f t="shared" si="30"/>
        <v>2</v>
      </c>
      <c r="K981" s="6">
        <f t="shared" si="31"/>
        <v>0.95</v>
      </c>
    </row>
    <row r="982" spans="1:11" x14ac:dyDescent="0.3">
      <c r="A982" s="5" t="s">
        <v>5178</v>
      </c>
      <c r="B982" s="5" t="s">
        <v>117</v>
      </c>
      <c r="C982" s="5" t="s">
        <v>5179</v>
      </c>
      <c r="D982" s="28" t="s">
        <v>2494</v>
      </c>
      <c r="E982" s="5" t="s">
        <v>189</v>
      </c>
      <c r="F982" s="5" t="s">
        <v>5083</v>
      </c>
      <c r="G982" s="5" t="s">
        <v>5083</v>
      </c>
      <c r="H982" s="5" t="s">
        <v>2477</v>
      </c>
      <c r="I982" s="5">
        <v>16.71</v>
      </c>
      <c r="J982" s="6" t="str">
        <f t="shared" si="30"/>
        <v>0</v>
      </c>
      <c r="K982" s="6">
        <f t="shared" si="31"/>
        <v>16.71</v>
      </c>
    </row>
    <row r="983" spans="1:11" x14ac:dyDescent="0.3">
      <c r="A983" s="5" t="s">
        <v>2702</v>
      </c>
      <c r="B983" s="5" t="s">
        <v>117</v>
      </c>
      <c r="C983" s="5" t="s">
        <v>5148</v>
      </c>
      <c r="D983" s="28" t="s">
        <v>2494</v>
      </c>
      <c r="E983" s="5" t="s">
        <v>189</v>
      </c>
      <c r="F983" s="5" t="s">
        <v>5073</v>
      </c>
      <c r="G983" s="5" t="s">
        <v>5070</v>
      </c>
      <c r="H983" s="5" t="s">
        <v>2423</v>
      </c>
      <c r="I983" s="5">
        <v>8.93</v>
      </c>
      <c r="J983" s="6" t="str">
        <f t="shared" si="30"/>
        <v>0</v>
      </c>
      <c r="K983" s="6">
        <f t="shared" si="31"/>
        <v>8.93</v>
      </c>
    </row>
    <row r="984" spans="1:11" x14ac:dyDescent="0.3">
      <c r="A984" s="5" t="s">
        <v>6141</v>
      </c>
      <c r="B984" s="5" t="s">
        <v>25</v>
      </c>
      <c r="C984" s="5" t="s">
        <v>6009</v>
      </c>
      <c r="D984" s="28" t="s">
        <v>2494</v>
      </c>
      <c r="E984" s="5" t="s">
        <v>189</v>
      </c>
      <c r="F984" s="5" t="s">
        <v>5070</v>
      </c>
      <c r="G984" s="5" t="s">
        <v>5073</v>
      </c>
      <c r="H984" s="5"/>
      <c r="I984" s="5">
        <v>3.41</v>
      </c>
      <c r="J984" s="6" t="str">
        <f t="shared" si="30"/>
        <v>Unknown</v>
      </c>
      <c r="K984" s="6">
        <f t="shared" si="31"/>
        <v>3.41</v>
      </c>
    </row>
    <row r="985" spans="1:11" x14ac:dyDescent="0.3">
      <c r="A985" s="5" t="s">
        <v>3432</v>
      </c>
      <c r="B985" s="5" t="s">
        <v>25</v>
      </c>
      <c r="C985" s="5" t="s">
        <v>6327</v>
      </c>
      <c r="D985" s="28" t="s">
        <v>2494</v>
      </c>
      <c r="E985" s="5" t="s">
        <v>189</v>
      </c>
      <c r="F985" s="5" t="s">
        <v>5081</v>
      </c>
      <c r="G985" s="5" t="s">
        <v>5076</v>
      </c>
      <c r="H985" s="5" t="s">
        <v>2418</v>
      </c>
      <c r="I985" s="5">
        <v>13.23</v>
      </c>
      <c r="J985" s="6" t="str">
        <f t="shared" si="30"/>
        <v>1</v>
      </c>
      <c r="K985" s="6">
        <f t="shared" si="31"/>
        <v>13.23</v>
      </c>
    </row>
    <row r="986" spans="1:11" x14ac:dyDescent="0.3">
      <c r="A986" s="5" t="s">
        <v>5036</v>
      </c>
      <c r="B986" s="5" t="s">
        <v>25</v>
      </c>
      <c r="C986" s="5" t="s">
        <v>5452</v>
      </c>
      <c r="D986" s="28" t="s">
        <v>2494</v>
      </c>
      <c r="E986" s="5" t="s">
        <v>189</v>
      </c>
      <c r="F986" s="5" t="s">
        <v>5083</v>
      </c>
      <c r="G986" s="5" t="s">
        <v>5076</v>
      </c>
      <c r="H986" s="5" t="s">
        <v>2408</v>
      </c>
      <c r="I986" s="5">
        <v>2.82</v>
      </c>
      <c r="J986" s="6" t="str">
        <f t="shared" si="30"/>
        <v>0</v>
      </c>
      <c r="K986" s="6">
        <f t="shared" si="31"/>
        <v>2.82</v>
      </c>
    </row>
    <row r="987" spans="1:11" x14ac:dyDescent="0.3">
      <c r="A987" s="5" t="s">
        <v>4079</v>
      </c>
      <c r="B987" s="5" t="s">
        <v>25</v>
      </c>
      <c r="C987" s="5" t="s">
        <v>5600</v>
      </c>
      <c r="D987" s="28" t="s">
        <v>2494</v>
      </c>
      <c r="E987" s="5" t="s">
        <v>189</v>
      </c>
      <c r="F987" s="5" t="s">
        <v>5073</v>
      </c>
      <c r="G987" s="5" t="s">
        <v>5070</v>
      </c>
      <c r="H987" s="5" t="s">
        <v>2477</v>
      </c>
      <c r="I987" s="5">
        <v>8.58</v>
      </c>
      <c r="J987" s="6" t="str">
        <f t="shared" si="30"/>
        <v>0</v>
      </c>
      <c r="K987" s="6">
        <f t="shared" si="31"/>
        <v>8.58</v>
      </c>
    </row>
    <row r="988" spans="1:11" x14ac:dyDescent="0.3">
      <c r="A988" s="5" t="s">
        <v>2498</v>
      </c>
      <c r="B988" s="5" t="s">
        <v>25</v>
      </c>
      <c r="C988" s="5" t="s">
        <v>5363</v>
      </c>
      <c r="D988" s="28" t="s">
        <v>2494</v>
      </c>
      <c r="E988" s="5" t="s">
        <v>189</v>
      </c>
      <c r="F988" s="5" t="s">
        <v>5076</v>
      </c>
      <c r="G988" s="5" t="s">
        <v>5070</v>
      </c>
      <c r="H988" s="5" t="s">
        <v>2418</v>
      </c>
      <c r="I988" s="5">
        <v>14.66</v>
      </c>
      <c r="J988" s="6" t="str">
        <f t="shared" si="30"/>
        <v>1</v>
      </c>
      <c r="K988" s="6">
        <f t="shared" si="31"/>
        <v>14.66</v>
      </c>
    </row>
    <row r="989" spans="1:11" x14ac:dyDescent="0.3">
      <c r="A989" s="5" t="s">
        <v>3598</v>
      </c>
      <c r="B989" s="5" t="s">
        <v>25</v>
      </c>
      <c r="C989" s="5" t="s">
        <v>5689</v>
      </c>
      <c r="D989" s="28" t="s">
        <v>2494</v>
      </c>
      <c r="E989" s="5" t="s">
        <v>189</v>
      </c>
      <c r="F989" s="5" t="s">
        <v>5083</v>
      </c>
      <c r="G989" s="5" t="s">
        <v>5073</v>
      </c>
      <c r="H989" s="5" t="s">
        <v>2408</v>
      </c>
      <c r="I989" s="5">
        <v>2.69</v>
      </c>
      <c r="J989" s="6" t="str">
        <f t="shared" si="30"/>
        <v>0</v>
      </c>
      <c r="K989" s="6">
        <f t="shared" si="31"/>
        <v>2.69</v>
      </c>
    </row>
    <row r="990" spans="1:11" x14ac:dyDescent="0.3">
      <c r="A990" s="5" t="s">
        <v>4938</v>
      </c>
      <c r="B990" s="5" t="s">
        <v>106</v>
      </c>
      <c r="C990" s="5" t="s">
        <v>6256</v>
      </c>
      <c r="D990" s="28" t="s">
        <v>2494</v>
      </c>
      <c r="E990" s="5" t="s">
        <v>189</v>
      </c>
      <c r="F990" s="5" t="s">
        <v>5070</v>
      </c>
      <c r="G990" s="5" t="s">
        <v>5083</v>
      </c>
      <c r="H990" s="5" t="s">
        <v>2435</v>
      </c>
      <c r="I990" s="5"/>
      <c r="J990" s="6" t="str">
        <f t="shared" si="30"/>
        <v>0</v>
      </c>
      <c r="K990" s="6">
        <f t="shared" si="31"/>
        <v>10.1</v>
      </c>
    </row>
    <row r="991" spans="1:11" x14ac:dyDescent="0.3">
      <c r="A991" s="5" t="s">
        <v>6385</v>
      </c>
      <c r="B991" s="5" t="s">
        <v>106</v>
      </c>
      <c r="C991" s="5" t="s">
        <v>6386</v>
      </c>
      <c r="D991" s="28" t="s">
        <v>2494</v>
      </c>
      <c r="E991" s="5" t="s">
        <v>189</v>
      </c>
      <c r="F991" s="5" t="s">
        <v>5070</v>
      </c>
      <c r="G991" s="5" t="s">
        <v>5071</v>
      </c>
      <c r="H991" s="5" t="s">
        <v>2455</v>
      </c>
      <c r="I991" s="5">
        <v>0.99</v>
      </c>
      <c r="J991" s="6" t="str">
        <f t="shared" si="30"/>
        <v>1</v>
      </c>
      <c r="K991" s="6">
        <f t="shared" si="31"/>
        <v>0.99</v>
      </c>
    </row>
    <row r="992" spans="1:11" x14ac:dyDescent="0.3">
      <c r="A992" s="5" t="s">
        <v>3959</v>
      </c>
      <c r="B992" s="5" t="s">
        <v>106</v>
      </c>
      <c r="C992" s="5" t="s">
        <v>5641</v>
      </c>
      <c r="D992" s="28" t="s">
        <v>2494</v>
      </c>
      <c r="E992" s="5" t="s">
        <v>189</v>
      </c>
      <c r="F992" s="5" t="s">
        <v>5083</v>
      </c>
      <c r="G992" s="5" t="s">
        <v>5070</v>
      </c>
      <c r="H992" s="5" t="s">
        <v>2486</v>
      </c>
      <c r="I992" s="5">
        <v>16.32</v>
      </c>
      <c r="J992" s="6" t="str">
        <f t="shared" si="30"/>
        <v>2+</v>
      </c>
      <c r="K992" s="6">
        <f t="shared" si="31"/>
        <v>16.32</v>
      </c>
    </row>
    <row r="993" spans="1:11" x14ac:dyDescent="0.3">
      <c r="A993" s="5" t="s">
        <v>4663</v>
      </c>
      <c r="B993" s="5" t="s">
        <v>106</v>
      </c>
      <c r="C993" s="5" t="s">
        <v>5313</v>
      </c>
      <c r="D993" s="28" t="s">
        <v>2494</v>
      </c>
      <c r="E993" s="5" t="s">
        <v>189</v>
      </c>
      <c r="F993" s="5" t="s">
        <v>5081</v>
      </c>
      <c r="G993" s="5" t="s">
        <v>5071</v>
      </c>
      <c r="H993" s="5"/>
      <c r="I993" s="5">
        <v>11.71</v>
      </c>
      <c r="J993" s="6" t="str">
        <f t="shared" si="30"/>
        <v>Unknown</v>
      </c>
      <c r="K993" s="6">
        <f t="shared" si="31"/>
        <v>11.71</v>
      </c>
    </row>
    <row r="994" spans="1:11" x14ac:dyDescent="0.3">
      <c r="A994" s="5" t="s">
        <v>2633</v>
      </c>
      <c r="B994" s="5" t="s">
        <v>106</v>
      </c>
      <c r="C994" s="5" t="s">
        <v>5961</v>
      </c>
      <c r="D994" s="28" t="s">
        <v>2494</v>
      </c>
      <c r="E994" s="5" t="s">
        <v>189</v>
      </c>
      <c r="F994" s="5" t="s">
        <v>5070</v>
      </c>
      <c r="G994" s="5" t="s">
        <v>5070</v>
      </c>
      <c r="H994" s="5"/>
      <c r="I994" s="5">
        <v>6.44</v>
      </c>
      <c r="J994" s="6" t="str">
        <f t="shared" si="30"/>
        <v>Unknown</v>
      </c>
      <c r="K994" s="6">
        <f t="shared" si="31"/>
        <v>6.44</v>
      </c>
    </row>
    <row r="995" spans="1:11" x14ac:dyDescent="0.3">
      <c r="A995" s="5" t="s">
        <v>5164</v>
      </c>
      <c r="B995" s="5" t="s">
        <v>106</v>
      </c>
      <c r="C995" s="5" t="s">
        <v>5165</v>
      </c>
      <c r="D995" s="28" t="s">
        <v>2494</v>
      </c>
      <c r="E995" s="5" t="s">
        <v>189</v>
      </c>
      <c r="F995" s="5" t="s">
        <v>5073</v>
      </c>
      <c r="G995" s="5" t="s">
        <v>5073</v>
      </c>
      <c r="H995" s="5" t="s">
        <v>2412</v>
      </c>
      <c r="I995" s="5">
        <v>3.2</v>
      </c>
      <c r="J995" s="6" t="str">
        <f t="shared" si="30"/>
        <v>1</v>
      </c>
      <c r="K995" s="6">
        <f t="shared" si="31"/>
        <v>3.2</v>
      </c>
    </row>
    <row r="996" spans="1:11" x14ac:dyDescent="0.3">
      <c r="A996" s="5" t="s">
        <v>6517</v>
      </c>
      <c r="B996" s="5" t="s">
        <v>106</v>
      </c>
      <c r="C996" s="5" t="s">
        <v>6518</v>
      </c>
      <c r="D996" s="28" t="s">
        <v>2494</v>
      </c>
      <c r="E996" s="5" t="s">
        <v>189</v>
      </c>
      <c r="F996" s="5" t="s">
        <v>5081</v>
      </c>
      <c r="G996" s="5" t="s">
        <v>5071</v>
      </c>
      <c r="H996" s="5" t="s">
        <v>2408</v>
      </c>
      <c r="I996" s="5">
        <v>15.5</v>
      </c>
      <c r="J996" s="6" t="str">
        <f t="shared" si="30"/>
        <v>0</v>
      </c>
      <c r="K996" s="6">
        <f t="shared" si="31"/>
        <v>15.5</v>
      </c>
    </row>
    <row r="997" spans="1:11" x14ac:dyDescent="0.3">
      <c r="A997" s="5" t="s">
        <v>2493</v>
      </c>
      <c r="B997" s="5" t="s">
        <v>106</v>
      </c>
      <c r="C997" s="5" t="s">
        <v>5719</v>
      </c>
      <c r="D997" s="28" t="s">
        <v>2494</v>
      </c>
      <c r="E997" s="5" t="s">
        <v>189</v>
      </c>
      <c r="F997" s="5" t="s">
        <v>5081</v>
      </c>
      <c r="G997" s="5" t="s">
        <v>5081</v>
      </c>
      <c r="H997" s="5" t="s">
        <v>2423</v>
      </c>
      <c r="I997" s="5">
        <v>12.98</v>
      </c>
      <c r="J997" s="6" t="str">
        <f t="shared" si="30"/>
        <v>0</v>
      </c>
      <c r="K997" s="6">
        <f t="shared" si="31"/>
        <v>12.98</v>
      </c>
    </row>
    <row r="998" spans="1:11" x14ac:dyDescent="0.3">
      <c r="A998" s="5" t="s">
        <v>6557</v>
      </c>
      <c r="B998" s="5" t="s">
        <v>78</v>
      </c>
      <c r="C998" s="5" t="s">
        <v>6558</v>
      </c>
      <c r="D998" s="28" t="s">
        <v>2504</v>
      </c>
      <c r="E998" s="5" t="s">
        <v>27</v>
      </c>
      <c r="F998" s="5" t="s">
        <v>5076</v>
      </c>
      <c r="G998" s="5" t="s">
        <v>5083</v>
      </c>
      <c r="H998" s="5" t="s">
        <v>2450</v>
      </c>
      <c r="I998" s="5">
        <v>8.3000000000000007</v>
      </c>
      <c r="J998" s="6" t="str">
        <f t="shared" si="30"/>
        <v>1</v>
      </c>
      <c r="K998" s="6">
        <f t="shared" si="31"/>
        <v>8.3000000000000007</v>
      </c>
    </row>
    <row r="999" spans="1:11" x14ac:dyDescent="0.3">
      <c r="A999" s="5" t="s">
        <v>4463</v>
      </c>
      <c r="B999" s="5" t="s">
        <v>78</v>
      </c>
      <c r="C999" s="5" t="s">
        <v>5643</v>
      </c>
      <c r="D999" s="28" t="s">
        <v>2504</v>
      </c>
      <c r="E999" s="5" t="s">
        <v>27</v>
      </c>
      <c r="F999" s="5" t="s">
        <v>5081</v>
      </c>
      <c r="G999" s="5" t="s">
        <v>5083</v>
      </c>
      <c r="H999" s="5" t="s">
        <v>2412</v>
      </c>
      <c r="I999" s="5">
        <v>18.64</v>
      </c>
      <c r="J999" s="6" t="str">
        <f t="shared" si="30"/>
        <v>1</v>
      </c>
      <c r="K999" s="6">
        <f t="shared" si="31"/>
        <v>18.64</v>
      </c>
    </row>
    <row r="1000" spans="1:11" x14ac:dyDescent="0.3">
      <c r="A1000" s="5" t="s">
        <v>4173</v>
      </c>
      <c r="B1000" s="5" t="s">
        <v>78</v>
      </c>
      <c r="C1000" s="5" t="s">
        <v>5985</v>
      </c>
      <c r="D1000" s="28" t="s">
        <v>2504</v>
      </c>
      <c r="E1000" s="5" t="s">
        <v>27</v>
      </c>
      <c r="F1000" s="5" t="s">
        <v>5070</v>
      </c>
      <c r="G1000" s="5" t="s">
        <v>5070</v>
      </c>
      <c r="H1000" s="5" t="s">
        <v>2423</v>
      </c>
      <c r="I1000" s="5">
        <v>10.88</v>
      </c>
      <c r="J1000" s="6" t="str">
        <f t="shared" si="30"/>
        <v>0</v>
      </c>
      <c r="K1000" s="6">
        <f t="shared" si="31"/>
        <v>10.88</v>
      </c>
    </row>
    <row r="1001" spans="1:11" x14ac:dyDescent="0.3">
      <c r="A1001" s="5" t="s">
        <v>5448</v>
      </c>
      <c r="B1001" s="5" t="s">
        <v>78</v>
      </c>
      <c r="C1001" s="5" t="s">
        <v>5449</v>
      </c>
      <c r="D1001" s="28" t="s">
        <v>2504</v>
      </c>
      <c r="E1001" s="5" t="s">
        <v>27</v>
      </c>
      <c r="F1001" s="5" t="s">
        <v>5081</v>
      </c>
      <c r="G1001" s="5" t="s">
        <v>5081</v>
      </c>
      <c r="H1001" s="5" t="s">
        <v>2408</v>
      </c>
      <c r="I1001" s="5">
        <v>10.02</v>
      </c>
      <c r="J1001" s="6" t="str">
        <f t="shared" si="30"/>
        <v>0</v>
      </c>
      <c r="K1001" s="6">
        <f t="shared" si="31"/>
        <v>10.02</v>
      </c>
    </row>
    <row r="1002" spans="1:11" x14ac:dyDescent="0.3">
      <c r="A1002" s="5" t="s">
        <v>4527</v>
      </c>
      <c r="B1002" s="5" t="s">
        <v>78</v>
      </c>
      <c r="C1002" s="5" t="s">
        <v>5327</v>
      </c>
      <c r="D1002" s="28" t="s">
        <v>2504</v>
      </c>
      <c r="E1002" s="5" t="s">
        <v>27</v>
      </c>
      <c r="F1002" s="5" t="s">
        <v>5073</v>
      </c>
      <c r="G1002" s="5" t="s">
        <v>5083</v>
      </c>
      <c r="H1002" s="5" t="s">
        <v>2477</v>
      </c>
      <c r="I1002" s="5">
        <v>11.38</v>
      </c>
      <c r="J1002" s="6" t="str">
        <f t="shared" si="30"/>
        <v>0</v>
      </c>
      <c r="K1002" s="6">
        <f t="shared" si="31"/>
        <v>11.38</v>
      </c>
    </row>
    <row r="1003" spans="1:11" x14ac:dyDescent="0.3">
      <c r="A1003" s="5" t="s">
        <v>3933</v>
      </c>
      <c r="B1003" s="5" t="s">
        <v>78</v>
      </c>
      <c r="C1003" s="5" t="s">
        <v>5800</v>
      </c>
      <c r="D1003" s="28" t="s">
        <v>2504</v>
      </c>
      <c r="E1003" s="5" t="s">
        <v>27</v>
      </c>
      <c r="F1003" s="5" t="s">
        <v>5071</v>
      </c>
      <c r="G1003" s="5" t="s">
        <v>5083</v>
      </c>
      <c r="H1003" s="5" t="s">
        <v>2505</v>
      </c>
      <c r="I1003" s="5">
        <v>17.809999999999999</v>
      </c>
      <c r="J1003" s="6" t="str">
        <f t="shared" si="30"/>
        <v>2+</v>
      </c>
      <c r="K1003" s="6">
        <f t="shared" si="31"/>
        <v>17.809999999999999</v>
      </c>
    </row>
    <row r="1004" spans="1:11" x14ac:dyDescent="0.3">
      <c r="A1004" s="5" t="s">
        <v>4096</v>
      </c>
      <c r="B1004" s="5" t="s">
        <v>78</v>
      </c>
      <c r="C1004" s="5" t="s">
        <v>5850</v>
      </c>
      <c r="D1004" s="28" t="s">
        <v>2504</v>
      </c>
      <c r="E1004" s="5" t="s">
        <v>27</v>
      </c>
      <c r="F1004" s="5" t="s">
        <v>5070</v>
      </c>
      <c r="G1004" s="5" t="s">
        <v>5070</v>
      </c>
      <c r="H1004" s="5" t="s">
        <v>2423</v>
      </c>
      <c r="I1004" s="5">
        <v>12.72</v>
      </c>
      <c r="J1004" s="6" t="str">
        <f t="shared" si="30"/>
        <v>0</v>
      </c>
      <c r="K1004" s="6">
        <f t="shared" si="31"/>
        <v>12.72</v>
      </c>
    </row>
    <row r="1005" spans="1:11" x14ac:dyDescent="0.3">
      <c r="A1005" s="5" t="s">
        <v>2980</v>
      </c>
      <c r="B1005" s="5" t="s">
        <v>78</v>
      </c>
      <c r="C1005" s="5" t="s">
        <v>5418</v>
      </c>
      <c r="D1005" s="28" t="s">
        <v>2504</v>
      </c>
      <c r="E1005" s="5" t="s">
        <v>27</v>
      </c>
      <c r="F1005" s="5" t="s">
        <v>5076</v>
      </c>
      <c r="G1005" s="5" t="s">
        <v>5076</v>
      </c>
      <c r="H1005" s="5" t="s">
        <v>2450</v>
      </c>
      <c r="I1005" s="5">
        <v>4.57</v>
      </c>
      <c r="J1005" s="6" t="str">
        <f t="shared" si="30"/>
        <v>1</v>
      </c>
      <c r="K1005" s="6">
        <f t="shared" si="31"/>
        <v>4.57</v>
      </c>
    </row>
    <row r="1006" spans="1:11" x14ac:dyDescent="0.3">
      <c r="A1006" s="5" t="s">
        <v>3966</v>
      </c>
      <c r="B1006" s="5" t="s">
        <v>45</v>
      </c>
      <c r="C1006" s="5" t="s">
        <v>6082</v>
      </c>
      <c r="D1006" s="28" t="s">
        <v>2504</v>
      </c>
      <c r="E1006" s="5" t="s">
        <v>27</v>
      </c>
      <c r="F1006" s="5" t="s">
        <v>5071</v>
      </c>
      <c r="G1006" s="5" t="s">
        <v>5070</v>
      </c>
      <c r="H1006" s="5" t="s">
        <v>2439</v>
      </c>
      <c r="I1006" s="5">
        <v>3.62</v>
      </c>
      <c r="J1006" s="6" t="str">
        <f t="shared" si="30"/>
        <v>2</v>
      </c>
      <c r="K1006" s="6">
        <f t="shared" si="31"/>
        <v>3.62</v>
      </c>
    </row>
    <row r="1007" spans="1:11" x14ac:dyDescent="0.3">
      <c r="A1007" s="5" t="s">
        <v>3004</v>
      </c>
      <c r="B1007" s="5" t="s">
        <v>45</v>
      </c>
      <c r="C1007" s="5" t="s">
        <v>6048</v>
      </c>
      <c r="D1007" s="28" t="s">
        <v>2504</v>
      </c>
      <c r="E1007" s="5" t="s">
        <v>27</v>
      </c>
      <c r="F1007" s="5" t="s">
        <v>5070</v>
      </c>
      <c r="G1007" s="5" t="s">
        <v>5076</v>
      </c>
      <c r="H1007" s="5" t="s">
        <v>2746</v>
      </c>
      <c r="I1007" s="5">
        <v>15.14</v>
      </c>
      <c r="J1007" s="6" t="str">
        <f t="shared" si="30"/>
        <v>2</v>
      </c>
      <c r="K1007" s="6">
        <f t="shared" si="31"/>
        <v>15.14</v>
      </c>
    </row>
    <row r="1008" spans="1:11" x14ac:dyDescent="0.3">
      <c r="A1008" s="5" t="s">
        <v>3373</v>
      </c>
      <c r="B1008" s="5" t="s">
        <v>45</v>
      </c>
      <c r="C1008" s="5" t="s">
        <v>5371</v>
      </c>
      <c r="D1008" s="28" t="s">
        <v>2504</v>
      </c>
      <c r="E1008" s="5" t="s">
        <v>27</v>
      </c>
      <c r="F1008" s="5" t="s">
        <v>5070</v>
      </c>
      <c r="G1008" s="5" t="s">
        <v>5081</v>
      </c>
      <c r="H1008" s="5" t="s">
        <v>2455</v>
      </c>
      <c r="I1008" s="5">
        <v>19.47</v>
      </c>
      <c r="J1008" s="6" t="str">
        <f t="shared" si="30"/>
        <v>1</v>
      </c>
      <c r="K1008" s="6">
        <f t="shared" si="31"/>
        <v>19.47</v>
      </c>
    </row>
    <row r="1009" spans="1:11" x14ac:dyDescent="0.3">
      <c r="A1009" s="5" t="s">
        <v>2720</v>
      </c>
      <c r="B1009" s="5" t="s">
        <v>45</v>
      </c>
      <c r="C1009" s="5" t="s">
        <v>5571</v>
      </c>
      <c r="D1009" s="28" t="s">
        <v>2504</v>
      </c>
      <c r="E1009" s="5" t="s">
        <v>27</v>
      </c>
      <c r="F1009" s="5" t="s">
        <v>5070</v>
      </c>
      <c r="G1009" s="5" t="s">
        <v>5071</v>
      </c>
      <c r="H1009" s="5" t="s">
        <v>2439</v>
      </c>
      <c r="I1009" s="5">
        <v>14.64</v>
      </c>
      <c r="J1009" s="6" t="str">
        <f t="shared" si="30"/>
        <v>2</v>
      </c>
      <c r="K1009" s="6">
        <f t="shared" si="31"/>
        <v>14.64</v>
      </c>
    </row>
    <row r="1010" spans="1:11" x14ac:dyDescent="0.3">
      <c r="A1010" s="5" t="s">
        <v>3501</v>
      </c>
      <c r="B1010" s="5" t="s">
        <v>45</v>
      </c>
      <c r="C1010" s="5" t="s">
        <v>5466</v>
      </c>
      <c r="D1010" s="28" t="s">
        <v>2504</v>
      </c>
      <c r="E1010" s="5" t="s">
        <v>27</v>
      </c>
      <c r="F1010" s="5" t="s">
        <v>5073</v>
      </c>
      <c r="G1010" s="5" t="s">
        <v>5070</v>
      </c>
      <c r="H1010" s="5" t="s">
        <v>2423</v>
      </c>
      <c r="I1010" s="5">
        <v>16.100000000000001</v>
      </c>
      <c r="J1010" s="6" t="str">
        <f t="shared" si="30"/>
        <v>0</v>
      </c>
      <c r="K1010" s="6">
        <f t="shared" si="31"/>
        <v>16.100000000000001</v>
      </c>
    </row>
    <row r="1011" spans="1:11" x14ac:dyDescent="0.3">
      <c r="A1011" s="5" t="s">
        <v>2555</v>
      </c>
      <c r="B1011" s="5" t="s">
        <v>14</v>
      </c>
      <c r="C1011" s="5" t="s">
        <v>5773</v>
      </c>
      <c r="D1011" s="28" t="s">
        <v>2504</v>
      </c>
      <c r="E1011" s="5" t="s">
        <v>27</v>
      </c>
      <c r="F1011" s="5" t="s">
        <v>5081</v>
      </c>
      <c r="G1011" s="5" t="s">
        <v>5076</v>
      </c>
      <c r="H1011" s="5" t="s">
        <v>2412</v>
      </c>
      <c r="I1011" s="5">
        <v>8.7799999999999994</v>
      </c>
      <c r="J1011" s="6" t="str">
        <f t="shared" si="30"/>
        <v>1</v>
      </c>
      <c r="K1011" s="6">
        <f t="shared" si="31"/>
        <v>8.7799999999999994</v>
      </c>
    </row>
    <row r="1012" spans="1:11" x14ac:dyDescent="0.3">
      <c r="A1012" s="5" t="s">
        <v>2776</v>
      </c>
      <c r="B1012" s="5" t="s">
        <v>14</v>
      </c>
      <c r="C1012" s="5" t="s">
        <v>6569</v>
      </c>
      <c r="D1012" s="28" t="s">
        <v>2504</v>
      </c>
      <c r="E1012" s="5" t="s">
        <v>27</v>
      </c>
      <c r="F1012" s="5" t="s">
        <v>5076</v>
      </c>
      <c r="G1012" s="5" t="s">
        <v>5073</v>
      </c>
      <c r="H1012" s="5" t="s">
        <v>2455</v>
      </c>
      <c r="I1012" s="5">
        <v>18.899999999999999</v>
      </c>
      <c r="J1012" s="6" t="str">
        <f t="shared" si="30"/>
        <v>1</v>
      </c>
      <c r="K1012" s="6">
        <f t="shared" si="31"/>
        <v>18.899999999999999</v>
      </c>
    </row>
    <row r="1013" spans="1:11" x14ac:dyDescent="0.3">
      <c r="A1013" s="5" t="s">
        <v>3896</v>
      </c>
      <c r="B1013" s="5" t="s">
        <v>14</v>
      </c>
      <c r="C1013" s="5" t="s">
        <v>6560</v>
      </c>
      <c r="D1013" s="28" t="s">
        <v>2504</v>
      </c>
      <c r="E1013" s="5" t="s">
        <v>27</v>
      </c>
      <c r="F1013" s="5" t="s">
        <v>5081</v>
      </c>
      <c r="G1013" s="5" t="s">
        <v>5070</v>
      </c>
      <c r="H1013" s="5" t="s">
        <v>2408</v>
      </c>
      <c r="I1013" s="5">
        <v>6.4</v>
      </c>
      <c r="J1013" s="6" t="str">
        <f t="shared" si="30"/>
        <v>0</v>
      </c>
      <c r="K1013" s="6">
        <f t="shared" si="31"/>
        <v>6.4</v>
      </c>
    </row>
    <row r="1014" spans="1:11" x14ac:dyDescent="0.3">
      <c r="A1014" s="5" t="s">
        <v>3570</v>
      </c>
      <c r="B1014" s="5" t="s">
        <v>14</v>
      </c>
      <c r="C1014" s="5" t="s">
        <v>5607</v>
      </c>
      <c r="D1014" s="28" t="s">
        <v>2504</v>
      </c>
      <c r="E1014" s="5" t="s">
        <v>27</v>
      </c>
      <c r="F1014" s="5" t="s">
        <v>5076</v>
      </c>
      <c r="G1014" s="5" t="s">
        <v>5071</v>
      </c>
      <c r="H1014" s="5" t="s">
        <v>2423</v>
      </c>
      <c r="I1014" s="5">
        <v>8.44</v>
      </c>
      <c r="J1014" s="6" t="str">
        <f t="shared" si="30"/>
        <v>0</v>
      </c>
      <c r="K1014" s="6">
        <f t="shared" si="31"/>
        <v>8.44</v>
      </c>
    </row>
    <row r="1015" spans="1:11" x14ac:dyDescent="0.3">
      <c r="A1015" s="5" t="s">
        <v>5492</v>
      </c>
      <c r="B1015" s="5" t="s">
        <v>14</v>
      </c>
      <c r="C1015" s="5" t="s">
        <v>5384</v>
      </c>
      <c r="D1015" s="28" t="s">
        <v>2504</v>
      </c>
      <c r="E1015" s="5" t="s">
        <v>27</v>
      </c>
      <c r="F1015" s="5" t="s">
        <v>5083</v>
      </c>
      <c r="G1015" s="5" t="s">
        <v>5071</v>
      </c>
      <c r="H1015" s="5" t="s">
        <v>2477</v>
      </c>
      <c r="I1015" s="5">
        <v>8.07</v>
      </c>
      <c r="J1015" s="6" t="str">
        <f t="shared" si="30"/>
        <v>0</v>
      </c>
      <c r="K1015" s="6">
        <f t="shared" si="31"/>
        <v>8.07</v>
      </c>
    </row>
    <row r="1016" spans="1:11" x14ac:dyDescent="0.3">
      <c r="A1016" s="5" t="s">
        <v>5908</v>
      </c>
      <c r="B1016" s="5" t="s">
        <v>14</v>
      </c>
      <c r="C1016" s="5" t="s">
        <v>5909</v>
      </c>
      <c r="D1016" s="28" t="s">
        <v>2504</v>
      </c>
      <c r="E1016" s="5" t="s">
        <v>27</v>
      </c>
      <c r="F1016" s="5" t="s">
        <v>5073</v>
      </c>
      <c r="G1016" s="5" t="s">
        <v>5081</v>
      </c>
      <c r="H1016" s="5" t="s">
        <v>2423</v>
      </c>
      <c r="I1016" s="5">
        <v>5.07</v>
      </c>
      <c r="J1016" s="6" t="str">
        <f t="shared" si="30"/>
        <v>0</v>
      </c>
      <c r="K1016" s="6">
        <f t="shared" si="31"/>
        <v>5.07</v>
      </c>
    </row>
    <row r="1017" spans="1:11" x14ac:dyDescent="0.3">
      <c r="A1017" s="5" t="s">
        <v>3458</v>
      </c>
      <c r="B1017" s="5" t="s">
        <v>14</v>
      </c>
      <c r="C1017" s="5" t="s">
        <v>6408</v>
      </c>
      <c r="D1017" s="28" t="s">
        <v>2504</v>
      </c>
      <c r="E1017" s="5" t="s">
        <v>27</v>
      </c>
      <c r="F1017" s="5" t="s">
        <v>5083</v>
      </c>
      <c r="G1017" s="5" t="s">
        <v>5081</v>
      </c>
      <c r="H1017" s="5" t="s">
        <v>2412</v>
      </c>
      <c r="I1017" s="5">
        <v>14.99</v>
      </c>
      <c r="J1017" s="6" t="str">
        <f t="shared" si="30"/>
        <v>1</v>
      </c>
      <c r="K1017" s="6">
        <f t="shared" si="31"/>
        <v>14.99</v>
      </c>
    </row>
    <row r="1018" spans="1:11" x14ac:dyDescent="0.3">
      <c r="A1018" s="5" t="s">
        <v>2914</v>
      </c>
      <c r="B1018" s="5" t="s">
        <v>117</v>
      </c>
      <c r="C1018" s="5" t="s">
        <v>6068</v>
      </c>
      <c r="D1018" s="28" t="s">
        <v>2504</v>
      </c>
      <c r="E1018" s="5" t="s">
        <v>27</v>
      </c>
      <c r="F1018" s="5" t="s">
        <v>5071</v>
      </c>
      <c r="G1018" s="5" t="s">
        <v>5083</v>
      </c>
      <c r="H1018" s="5" t="s">
        <v>2423</v>
      </c>
      <c r="I1018" s="5">
        <v>3.14</v>
      </c>
      <c r="J1018" s="6" t="str">
        <f t="shared" si="30"/>
        <v>0</v>
      </c>
      <c r="K1018" s="6">
        <f t="shared" si="31"/>
        <v>3.14</v>
      </c>
    </row>
    <row r="1019" spans="1:11" x14ac:dyDescent="0.3">
      <c r="A1019" s="5" t="s">
        <v>3410</v>
      </c>
      <c r="B1019" s="5" t="s">
        <v>117</v>
      </c>
      <c r="C1019" s="5" t="s">
        <v>5683</v>
      </c>
      <c r="D1019" s="28" t="s">
        <v>2504</v>
      </c>
      <c r="E1019" s="5" t="s">
        <v>27</v>
      </c>
      <c r="F1019" s="5" t="s">
        <v>5071</v>
      </c>
      <c r="G1019" s="5" t="s">
        <v>5073</v>
      </c>
      <c r="H1019" s="5" t="s">
        <v>2408</v>
      </c>
      <c r="I1019" s="5"/>
      <c r="J1019" s="6" t="str">
        <f t="shared" si="30"/>
        <v>0</v>
      </c>
      <c r="K1019" s="6">
        <f t="shared" si="31"/>
        <v>10.4</v>
      </c>
    </row>
    <row r="1020" spans="1:11" x14ac:dyDescent="0.3">
      <c r="A1020" s="5" t="s">
        <v>3138</v>
      </c>
      <c r="B1020" s="5" t="s">
        <v>117</v>
      </c>
      <c r="C1020" s="5" t="s">
        <v>5554</v>
      </c>
      <c r="D1020" s="28" t="s">
        <v>2504</v>
      </c>
      <c r="E1020" s="5" t="s">
        <v>27</v>
      </c>
      <c r="F1020" s="5" t="s">
        <v>5081</v>
      </c>
      <c r="G1020" s="5" t="s">
        <v>5081</v>
      </c>
      <c r="H1020" s="5" t="s">
        <v>2418</v>
      </c>
      <c r="I1020" s="5">
        <v>10.53</v>
      </c>
      <c r="J1020" s="6" t="str">
        <f t="shared" si="30"/>
        <v>1</v>
      </c>
      <c r="K1020" s="6">
        <f t="shared" si="31"/>
        <v>10.53</v>
      </c>
    </row>
    <row r="1021" spans="1:11" x14ac:dyDescent="0.3">
      <c r="A1021" s="5" t="s">
        <v>2604</v>
      </c>
      <c r="B1021" s="5" t="s">
        <v>117</v>
      </c>
      <c r="C1021" s="5" t="s">
        <v>5366</v>
      </c>
      <c r="D1021" s="28" t="s">
        <v>2504</v>
      </c>
      <c r="E1021" s="5" t="s">
        <v>27</v>
      </c>
      <c r="F1021" s="5" t="s">
        <v>5081</v>
      </c>
      <c r="G1021" s="5" t="s">
        <v>5081</v>
      </c>
      <c r="H1021" s="5" t="s">
        <v>2412</v>
      </c>
      <c r="I1021" s="5">
        <v>7.17</v>
      </c>
      <c r="J1021" s="6" t="str">
        <f t="shared" si="30"/>
        <v>1</v>
      </c>
      <c r="K1021" s="6">
        <f t="shared" si="31"/>
        <v>7.17</v>
      </c>
    </row>
    <row r="1022" spans="1:11" x14ac:dyDescent="0.3">
      <c r="A1022" s="5" t="s">
        <v>2503</v>
      </c>
      <c r="B1022" s="5" t="s">
        <v>117</v>
      </c>
      <c r="C1022" s="5" t="s">
        <v>6302</v>
      </c>
      <c r="D1022" s="28" t="s">
        <v>2504</v>
      </c>
      <c r="E1022" s="5" t="s">
        <v>27</v>
      </c>
      <c r="F1022" s="5" t="s">
        <v>5070</v>
      </c>
      <c r="G1022" s="5" t="s">
        <v>5073</v>
      </c>
      <c r="H1022" s="5" t="s">
        <v>2450</v>
      </c>
      <c r="I1022" s="5">
        <v>15.78</v>
      </c>
      <c r="J1022" s="6" t="str">
        <f t="shared" si="30"/>
        <v>1</v>
      </c>
      <c r="K1022" s="6">
        <f t="shared" si="31"/>
        <v>15.78</v>
      </c>
    </row>
    <row r="1023" spans="1:11" x14ac:dyDescent="0.3">
      <c r="A1023" s="5" t="s">
        <v>5797</v>
      </c>
      <c r="B1023" s="5" t="s">
        <v>25</v>
      </c>
      <c r="C1023" s="5" t="s">
        <v>5798</v>
      </c>
      <c r="D1023" s="28" t="s">
        <v>2504</v>
      </c>
      <c r="E1023" s="5" t="s">
        <v>27</v>
      </c>
      <c r="F1023" s="5" t="s">
        <v>5071</v>
      </c>
      <c r="G1023" s="5" t="s">
        <v>5081</v>
      </c>
      <c r="H1023" s="5" t="s">
        <v>2455</v>
      </c>
      <c r="I1023" s="5">
        <v>9.1999999999999993</v>
      </c>
      <c r="J1023" s="6" t="str">
        <f t="shared" si="30"/>
        <v>1</v>
      </c>
      <c r="K1023" s="6">
        <f t="shared" si="31"/>
        <v>9.1999999999999993</v>
      </c>
    </row>
    <row r="1024" spans="1:11" x14ac:dyDescent="0.3">
      <c r="A1024" s="5" t="s">
        <v>6178</v>
      </c>
      <c r="B1024" s="5" t="s">
        <v>25</v>
      </c>
      <c r="C1024" s="5" t="s">
        <v>6179</v>
      </c>
      <c r="D1024" s="28" t="s">
        <v>2504</v>
      </c>
      <c r="E1024" s="5" t="s">
        <v>27</v>
      </c>
      <c r="F1024" s="5" t="s">
        <v>5071</v>
      </c>
      <c r="G1024" s="5" t="s">
        <v>5073</v>
      </c>
      <c r="H1024" s="5" t="s">
        <v>2477</v>
      </c>
      <c r="I1024" s="5"/>
      <c r="J1024" s="6" t="str">
        <f t="shared" si="30"/>
        <v>0</v>
      </c>
      <c r="K1024" s="6">
        <f t="shared" si="31"/>
        <v>10</v>
      </c>
    </row>
    <row r="1025" spans="1:11" x14ac:dyDescent="0.3">
      <c r="A1025" s="5" t="s">
        <v>4679</v>
      </c>
      <c r="B1025" s="5" t="s">
        <v>25</v>
      </c>
      <c r="C1025" s="5" t="s">
        <v>5292</v>
      </c>
      <c r="D1025" s="28" t="s">
        <v>2504</v>
      </c>
      <c r="E1025" s="5" t="s">
        <v>27</v>
      </c>
      <c r="F1025" s="5" t="s">
        <v>5070</v>
      </c>
      <c r="G1025" s="5" t="s">
        <v>5083</v>
      </c>
      <c r="H1025" s="5" t="s">
        <v>2423</v>
      </c>
      <c r="I1025" s="5">
        <v>12.59</v>
      </c>
      <c r="J1025" s="6" t="str">
        <f t="shared" si="30"/>
        <v>0</v>
      </c>
      <c r="K1025" s="6">
        <f t="shared" si="31"/>
        <v>12.59</v>
      </c>
    </row>
    <row r="1026" spans="1:11" x14ac:dyDescent="0.3">
      <c r="A1026" s="5" t="s">
        <v>3405</v>
      </c>
      <c r="B1026" s="5" t="s">
        <v>25</v>
      </c>
      <c r="C1026" s="5" t="s">
        <v>5782</v>
      </c>
      <c r="D1026" s="28" t="s">
        <v>2504</v>
      </c>
      <c r="E1026" s="5" t="s">
        <v>27</v>
      </c>
      <c r="F1026" s="5" t="s">
        <v>5076</v>
      </c>
      <c r="G1026" s="5" t="s">
        <v>5073</v>
      </c>
      <c r="H1026" s="5" t="s">
        <v>2455</v>
      </c>
      <c r="I1026" s="5">
        <v>16.690000000000001</v>
      </c>
      <c r="J1026" s="6" t="str">
        <f t="shared" ref="J1026:J1089" si="32">IF(OR(LOWER(TRIM(H1026))="0",LOWER(TRIM(H1026))="ZERO"),"0",IF(OR(LOWER(TRIM(H1026))="1",LOWER(TRIM(H1026))="one"),"1",IF(OR(LOWER(TRIM(H1026))="2",LOWER(TRIM(H1026))="two"),"2",IF(OR(LOWER(TRIM(H1026))="2+",LOWER(TRIM(H1026))="two_or_more",LOWER(TRIM(H1026))="multiple"),"2+","Unknown"))))</f>
        <v>1</v>
      </c>
      <c r="K1026" s="6">
        <f t="shared" si="31"/>
        <v>16.690000000000001</v>
      </c>
    </row>
    <row r="1027" spans="1:11" x14ac:dyDescent="0.3">
      <c r="A1027" s="5" t="s">
        <v>5742</v>
      </c>
      <c r="B1027" s="5" t="s">
        <v>25</v>
      </c>
      <c r="C1027" s="5" t="s">
        <v>5743</v>
      </c>
      <c r="D1027" s="28" t="s">
        <v>2504</v>
      </c>
      <c r="E1027" s="5" t="s">
        <v>27</v>
      </c>
      <c r="F1027" s="5" t="s">
        <v>5071</v>
      </c>
      <c r="G1027" s="5" t="s">
        <v>5083</v>
      </c>
      <c r="H1027" s="5" t="s">
        <v>2455</v>
      </c>
      <c r="I1027" s="5">
        <v>7.8</v>
      </c>
      <c r="J1027" s="6" t="str">
        <f t="shared" si="32"/>
        <v>1</v>
      </c>
      <c r="K1027" s="6">
        <f t="shared" ref="K1027:K1090" si="33">IF(I1027="",ROUND(AVERAGEIF($B$2:$B$1000,B1027,$I$2:$I$1000),1),I1027)</f>
        <v>7.8</v>
      </c>
    </row>
    <row r="1028" spans="1:11" x14ac:dyDescent="0.3">
      <c r="A1028" s="5" t="s">
        <v>3291</v>
      </c>
      <c r="B1028" s="5" t="s">
        <v>25</v>
      </c>
      <c r="C1028" s="5" t="s">
        <v>5305</v>
      </c>
      <c r="D1028" s="28" t="s">
        <v>2504</v>
      </c>
      <c r="E1028" s="5" t="s">
        <v>27</v>
      </c>
      <c r="F1028" s="5" t="s">
        <v>5070</v>
      </c>
      <c r="G1028" s="5" t="s">
        <v>5083</v>
      </c>
      <c r="H1028" s="5" t="s">
        <v>2477</v>
      </c>
      <c r="I1028" s="5">
        <v>4.63</v>
      </c>
      <c r="J1028" s="6" t="str">
        <f t="shared" si="32"/>
        <v>0</v>
      </c>
      <c r="K1028" s="6">
        <f t="shared" si="33"/>
        <v>4.63</v>
      </c>
    </row>
    <row r="1029" spans="1:11" x14ac:dyDescent="0.3">
      <c r="A1029" s="5" t="s">
        <v>4920</v>
      </c>
      <c r="B1029" s="5" t="s">
        <v>25</v>
      </c>
      <c r="C1029" s="5" t="s">
        <v>5570</v>
      </c>
      <c r="D1029" s="28" t="s">
        <v>2504</v>
      </c>
      <c r="E1029" s="5" t="s">
        <v>27</v>
      </c>
      <c r="F1029" s="5" t="s">
        <v>5070</v>
      </c>
      <c r="G1029" s="5" t="s">
        <v>5073</v>
      </c>
      <c r="H1029" s="5" t="s">
        <v>2455</v>
      </c>
      <c r="I1029" s="5">
        <v>5.82</v>
      </c>
      <c r="J1029" s="6" t="str">
        <f t="shared" si="32"/>
        <v>1</v>
      </c>
      <c r="K1029" s="6">
        <f t="shared" si="33"/>
        <v>5.82</v>
      </c>
    </row>
    <row r="1030" spans="1:11" x14ac:dyDescent="0.3">
      <c r="A1030" s="5" t="s">
        <v>2834</v>
      </c>
      <c r="B1030" s="5" t="s">
        <v>25</v>
      </c>
      <c r="C1030" s="5" t="s">
        <v>5762</v>
      </c>
      <c r="D1030" s="28" t="s">
        <v>2504</v>
      </c>
      <c r="E1030" s="5" t="s">
        <v>27</v>
      </c>
      <c r="F1030" s="5" t="s">
        <v>5071</v>
      </c>
      <c r="G1030" s="5" t="s">
        <v>5076</v>
      </c>
      <c r="H1030" s="5" t="s">
        <v>2418</v>
      </c>
      <c r="I1030" s="5">
        <v>2.88</v>
      </c>
      <c r="J1030" s="6" t="str">
        <f t="shared" si="32"/>
        <v>1</v>
      </c>
      <c r="K1030" s="6">
        <f t="shared" si="33"/>
        <v>2.88</v>
      </c>
    </row>
    <row r="1031" spans="1:11" x14ac:dyDescent="0.3">
      <c r="A1031" s="5" t="s">
        <v>4424</v>
      </c>
      <c r="B1031" s="5" t="s">
        <v>106</v>
      </c>
      <c r="C1031" s="5" t="s">
        <v>6368</v>
      </c>
      <c r="D1031" s="28" t="s">
        <v>2504</v>
      </c>
      <c r="E1031" s="5" t="s">
        <v>27</v>
      </c>
      <c r="F1031" s="5" t="s">
        <v>5073</v>
      </c>
      <c r="G1031" s="5" t="s">
        <v>5076</v>
      </c>
      <c r="H1031" s="5" t="s">
        <v>2435</v>
      </c>
      <c r="I1031" s="5">
        <v>7.45</v>
      </c>
      <c r="J1031" s="6" t="str">
        <f t="shared" si="32"/>
        <v>0</v>
      </c>
      <c r="K1031" s="6">
        <f t="shared" si="33"/>
        <v>7.45</v>
      </c>
    </row>
    <row r="1032" spans="1:11" x14ac:dyDescent="0.3">
      <c r="A1032" s="5" t="s">
        <v>5310</v>
      </c>
      <c r="B1032" s="5" t="s">
        <v>106</v>
      </c>
      <c r="C1032" s="5" t="s">
        <v>5311</v>
      </c>
      <c r="D1032" s="28" t="s">
        <v>2504</v>
      </c>
      <c r="E1032" s="5" t="s">
        <v>27</v>
      </c>
      <c r="F1032" s="5" t="s">
        <v>5073</v>
      </c>
      <c r="G1032" s="5" t="s">
        <v>5071</v>
      </c>
      <c r="H1032" s="5" t="s">
        <v>2423</v>
      </c>
      <c r="I1032" s="5">
        <v>15.31</v>
      </c>
      <c r="J1032" s="6" t="str">
        <f t="shared" si="32"/>
        <v>0</v>
      </c>
      <c r="K1032" s="6">
        <f t="shared" si="33"/>
        <v>15.31</v>
      </c>
    </row>
    <row r="1033" spans="1:11" x14ac:dyDescent="0.3">
      <c r="A1033" s="5" t="s">
        <v>6211</v>
      </c>
      <c r="B1033" s="5" t="s">
        <v>106</v>
      </c>
      <c r="C1033" s="5" t="s">
        <v>5765</v>
      </c>
      <c r="D1033" s="28" t="s">
        <v>2504</v>
      </c>
      <c r="E1033" s="5" t="s">
        <v>27</v>
      </c>
      <c r="F1033" s="5" t="s">
        <v>5073</v>
      </c>
      <c r="G1033" s="5" t="s">
        <v>5081</v>
      </c>
      <c r="H1033" s="5" t="s">
        <v>2477</v>
      </c>
      <c r="I1033" s="5">
        <v>10.31</v>
      </c>
      <c r="J1033" s="6" t="str">
        <f t="shared" si="32"/>
        <v>0</v>
      </c>
      <c r="K1033" s="6">
        <f t="shared" si="33"/>
        <v>10.31</v>
      </c>
    </row>
    <row r="1034" spans="1:11" x14ac:dyDescent="0.3">
      <c r="A1034" s="5" t="s">
        <v>5698</v>
      </c>
      <c r="B1034" s="5" t="s">
        <v>106</v>
      </c>
      <c r="C1034" s="5" t="s">
        <v>5699</v>
      </c>
      <c r="D1034" s="28" t="s">
        <v>2504</v>
      </c>
      <c r="E1034" s="5" t="s">
        <v>27</v>
      </c>
      <c r="F1034" s="5" t="s">
        <v>5076</v>
      </c>
      <c r="G1034" s="5" t="s">
        <v>5073</v>
      </c>
      <c r="H1034" s="5" t="s">
        <v>2477</v>
      </c>
      <c r="I1034" s="5">
        <v>8.6</v>
      </c>
      <c r="J1034" s="6" t="str">
        <f t="shared" si="32"/>
        <v>0</v>
      </c>
      <c r="K1034" s="6">
        <f t="shared" si="33"/>
        <v>8.6</v>
      </c>
    </row>
    <row r="1035" spans="1:11" x14ac:dyDescent="0.3">
      <c r="A1035" s="5" t="s">
        <v>2573</v>
      </c>
      <c r="B1035" s="5" t="s">
        <v>106</v>
      </c>
      <c r="C1035" s="5" t="s">
        <v>6458</v>
      </c>
      <c r="D1035" s="28" t="s">
        <v>2504</v>
      </c>
      <c r="E1035" s="5" t="s">
        <v>27</v>
      </c>
      <c r="F1035" s="5" t="s">
        <v>5073</v>
      </c>
      <c r="G1035" s="5" t="s">
        <v>5083</v>
      </c>
      <c r="H1035" s="5" t="s">
        <v>2428</v>
      </c>
      <c r="I1035" s="5">
        <v>6.22</v>
      </c>
      <c r="J1035" s="6" t="str">
        <f t="shared" si="32"/>
        <v>2</v>
      </c>
      <c r="K1035" s="6">
        <f t="shared" si="33"/>
        <v>6.22</v>
      </c>
    </row>
    <row r="1036" spans="1:11" x14ac:dyDescent="0.3">
      <c r="A1036" s="5" t="s">
        <v>4386</v>
      </c>
      <c r="B1036" s="5" t="s">
        <v>106</v>
      </c>
      <c r="C1036" s="5" t="s">
        <v>5460</v>
      </c>
      <c r="D1036" s="28" t="s">
        <v>2504</v>
      </c>
      <c r="E1036" s="5" t="s">
        <v>27</v>
      </c>
      <c r="F1036" s="5" t="s">
        <v>5083</v>
      </c>
      <c r="G1036" s="5" t="s">
        <v>5071</v>
      </c>
      <c r="H1036" s="5" t="s">
        <v>2408</v>
      </c>
      <c r="I1036" s="5">
        <v>7.15</v>
      </c>
      <c r="J1036" s="6" t="str">
        <f t="shared" si="32"/>
        <v>0</v>
      </c>
      <c r="K1036" s="6">
        <f t="shared" si="33"/>
        <v>7.15</v>
      </c>
    </row>
    <row r="1037" spans="1:11" x14ac:dyDescent="0.3">
      <c r="A1037" s="5" t="s">
        <v>3575</v>
      </c>
      <c r="B1037" s="5" t="s">
        <v>106</v>
      </c>
      <c r="C1037" s="5" t="s">
        <v>5752</v>
      </c>
      <c r="D1037" s="28" t="s">
        <v>2504</v>
      </c>
      <c r="E1037" s="5" t="s">
        <v>27</v>
      </c>
      <c r="F1037" s="5" t="s">
        <v>5070</v>
      </c>
      <c r="G1037" s="5" t="s">
        <v>5073</v>
      </c>
      <c r="H1037" s="5" t="s">
        <v>2455</v>
      </c>
      <c r="I1037" s="5">
        <v>4.79</v>
      </c>
      <c r="J1037" s="6" t="str">
        <f t="shared" si="32"/>
        <v>1</v>
      </c>
      <c r="K1037" s="6">
        <f t="shared" si="33"/>
        <v>4.79</v>
      </c>
    </row>
    <row r="1038" spans="1:11" x14ac:dyDescent="0.3">
      <c r="A1038" s="5" t="s">
        <v>3939</v>
      </c>
      <c r="B1038" s="5" t="s">
        <v>106</v>
      </c>
      <c r="C1038" s="5" t="s">
        <v>5976</v>
      </c>
      <c r="D1038" s="28" t="s">
        <v>2504</v>
      </c>
      <c r="E1038" s="5" t="s">
        <v>27</v>
      </c>
      <c r="F1038" s="5" t="s">
        <v>5083</v>
      </c>
      <c r="G1038" s="5" t="s">
        <v>5071</v>
      </c>
      <c r="H1038" s="5" t="s">
        <v>2412</v>
      </c>
      <c r="I1038" s="5">
        <v>18.02</v>
      </c>
      <c r="J1038" s="6" t="str">
        <f t="shared" si="32"/>
        <v>1</v>
      </c>
      <c r="K1038" s="6">
        <f t="shared" si="33"/>
        <v>18.02</v>
      </c>
    </row>
    <row r="1039" spans="1:11" x14ac:dyDescent="0.3">
      <c r="A1039" s="5" t="s">
        <v>4381</v>
      </c>
      <c r="B1039" s="5" t="s">
        <v>106</v>
      </c>
      <c r="C1039" s="5" t="s">
        <v>5675</v>
      </c>
      <c r="D1039" s="28" t="s">
        <v>2504</v>
      </c>
      <c r="E1039" s="5" t="s">
        <v>27</v>
      </c>
      <c r="F1039" s="5" t="s">
        <v>5076</v>
      </c>
      <c r="G1039" s="5" t="s">
        <v>5081</v>
      </c>
      <c r="H1039" s="5" t="s">
        <v>2439</v>
      </c>
      <c r="I1039" s="5">
        <v>0.66</v>
      </c>
      <c r="J1039" s="6" t="str">
        <f t="shared" si="32"/>
        <v>2</v>
      </c>
      <c r="K1039" s="6">
        <f t="shared" si="33"/>
        <v>0.66</v>
      </c>
    </row>
    <row r="1040" spans="1:11" x14ac:dyDescent="0.3">
      <c r="A1040" s="5" t="s">
        <v>5413</v>
      </c>
      <c r="B1040" s="5" t="s">
        <v>106</v>
      </c>
      <c r="C1040" s="5" t="s">
        <v>5414</v>
      </c>
      <c r="D1040" s="28" t="s">
        <v>2504</v>
      </c>
      <c r="E1040" s="5" t="s">
        <v>27</v>
      </c>
      <c r="F1040" s="5" t="s">
        <v>5071</v>
      </c>
      <c r="G1040" s="5" t="s">
        <v>5070</v>
      </c>
      <c r="H1040" s="5" t="s">
        <v>2418</v>
      </c>
      <c r="I1040" s="5">
        <v>15.28</v>
      </c>
      <c r="J1040" s="6" t="str">
        <f t="shared" si="32"/>
        <v>1</v>
      </c>
      <c r="K1040" s="6">
        <f t="shared" si="33"/>
        <v>15.28</v>
      </c>
    </row>
    <row r="1041" spans="1:11" x14ac:dyDescent="0.3">
      <c r="A1041" s="5" t="s">
        <v>4676</v>
      </c>
      <c r="B1041" s="5" t="s">
        <v>106</v>
      </c>
      <c r="C1041" s="5" t="s">
        <v>5141</v>
      </c>
      <c r="D1041" s="28" t="s">
        <v>2504</v>
      </c>
      <c r="E1041" s="5" t="s">
        <v>27</v>
      </c>
      <c r="F1041" s="5" t="s">
        <v>5081</v>
      </c>
      <c r="G1041" s="5" t="s">
        <v>5071</v>
      </c>
      <c r="H1041" s="5"/>
      <c r="I1041" s="5">
        <v>18.57</v>
      </c>
      <c r="J1041" s="6" t="str">
        <f t="shared" si="32"/>
        <v>Unknown</v>
      </c>
      <c r="K1041" s="6">
        <f t="shared" si="33"/>
        <v>18.57</v>
      </c>
    </row>
    <row r="1042" spans="1:11" x14ac:dyDescent="0.3">
      <c r="A1042" s="5" t="s">
        <v>2591</v>
      </c>
      <c r="B1042" s="5" t="s">
        <v>78</v>
      </c>
      <c r="C1042" s="5" t="s">
        <v>6346</v>
      </c>
      <c r="D1042" s="28" t="s">
        <v>2445</v>
      </c>
      <c r="E1042" s="5" t="s">
        <v>27</v>
      </c>
      <c r="F1042" s="5" t="s">
        <v>5073</v>
      </c>
      <c r="G1042" s="5" t="s">
        <v>5070</v>
      </c>
      <c r="H1042" s="5" t="s">
        <v>2455</v>
      </c>
      <c r="I1042" s="5">
        <v>19.68</v>
      </c>
      <c r="J1042" s="6" t="str">
        <f t="shared" si="32"/>
        <v>1</v>
      </c>
      <c r="K1042" s="6">
        <f t="shared" si="33"/>
        <v>19.68</v>
      </c>
    </row>
    <row r="1043" spans="1:11" x14ac:dyDescent="0.3">
      <c r="A1043" s="5" t="s">
        <v>2444</v>
      </c>
      <c r="B1043" s="5" t="s">
        <v>78</v>
      </c>
      <c r="C1043" s="5" t="s">
        <v>5368</v>
      </c>
      <c r="D1043" s="28" t="s">
        <v>2445</v>
      </c>
      <c r="E1043" s="5" t="s">
        <v>27</v>
      </c>
      <c r="F1043" s="5" t="s">
        <v>5083</v>
      </c>
      <c r="G1043" s="5" t="s">
        <v>5070</v>
      </c>
      <c r="H1043" s="5" t="s">
        <v>2746</v>
      </c>
      <c r="I1043" s="5">
        <v>6.88</v>
      </c>
      <c r="J1043" s="6" t="str">
        <f t="shared" si="32"/>
        <v>2</v>
      </c>
      <c r="K1043" s="6">
        <f t="shared" si="33"/>
        <v>6.88</v>
      </c>
    </row>
    <row r="1044" spans="1:11" x14ac:dyDescent="0.3">
      <c r="A1044" s="5" t="s">
        <v>6309</v>
      </c>
      <c r="B1044" s="5" t="s">
        <v>78</v>
      </c>
      <c r="C1044" s="5" t="s">
        <v>5232</v>
      </c>
      <c r="D1044" s="28" t="s">
        <v>2445</v>
      </c>
      <c r="E1044" s="5" t="s">
        <v>27</v>
      </c>
      <c r="F1044" s="5" t="s">
        <v>5073</v>
      </c>
      <c r="G1044" s="5" t="s">
        <v>5081</v>
      </c>
      <c r="H1044" s="5" t="s">
        <v>2455</v>
      </c>
      <c r="I1044" s="5">
        <v>2.12</v>
      </c>
      <c r="J1044" s="6" t="str">
        <f t="shared" si="32"/>
        <v>1</v>
      </c>
      <c r="K1044" s="6">
        <f t="shared" si="33"/>
        <v>2.12</v>
      </c>
    </row>
    <row r="1045" spans="1:11" x14ac:dyDescent="0.3">
      <c r="A1045" s="5" t="s">
        <v>6477</v>
      </c>
      <c r="B1045" s="5" t="s">
        <v>45</v>
      </c>
      <c r="C1045" s="5" t="s">
        <v>6095</v>
      </c>
      <c r="D1045" s="28" t="s">
        <v>2445</v>
      </c>
      <c r="E1045" s="5" t="s">
        <v>27</v>
      </c>
      <c r="F1045" s="5" t="s">
        <v>5070</v>
      </c>
      <c r="G1045" s="5" t="s">
        <v>5081</v>
      </c>
      <c r="H1045" s="5" t="s">
        <v>2477</v>
      </c>
      <c r="I1045" s="5">
        <v>6.92</v>
      </c>
      <c r="J1045" s="6" t="str">
        <f t="shared" si="32"/>
        <v>0</v>
      </c>
      <c r="K1045" s="6">
        <f t="shared" si="33"/>
        <v>6.92</v>
      </c>
    </row>
    <row r="1046" spans="1:11" x14ac:dyDescent="0.3">
      <c r="A1046" s="5" t="s">
        <v>2594</v>
      </c>
      <c r="B1046" s="5" t="s">
        <v>45</v>
      </c>
      <c r="C1046" s="5" t="s">
        <v>6570</v>
      </c>
      <c r="D1046" s="28" t="s">
        <v>2445</v>
      </c>
      <c r="E1046" s="5" t="s">
        <v>27</v>
      </c>
      <c r="F1046" s="5" t="s">
        <v>5083</v>
      </c>
      <c r="G1046" s="5" t="s">
        <v>5076</v>
      </c>
      <c r="H1046" s="5"/>
      <c r="I1046" s="5">
        <v>7.26</v>
      </c>
      <c r="J1046" s="6" t="str">
        <f t="shared" si="32"/>
        <v>Unknown</v>
      </c>
      <c r="K1046" s="6">
        <f t="shared" si="33"/>
        <v>7.26</v>
      </c>
    </row>
    <row r="1047" spans="1:11" x14ac:dyDescent="0.3">
      <c r="A1047" s="5" t="s">
        <v>6158</v>
      </c>
      <c r="B1047" s="5" t="s">
        <v>45</v>
      </c>
      <c r="C1047" s="5" t="s">
        <v>6159</v>
      </c>
      <c r="D1047" s="28" t="s">
        <v>2445</v>
      </c>
      <c r="E1047" s="5" t="s">
        <v>27</v>
      </c>
      <c r="F1047" s="5" t="s">
        <v>5070</v>
      </c>
      <c r="G1047" s="5" t="s">
        <v>5081</v>
      </c>
      <c r="H1047" s="5" t="s">
        <v>2412</v>
      </c>
      <c r="I1047" s="5">
        <v>3.84</v>
      </c>
      <c r="J1047" s="6" t="str">
        <f t="shared" si="32"/>
        <v>1</v>
      </c>
      <c r="K1047" s="6">
        <f t="shared" si="33"/>
        <v>3.84</v>
      </c>
    </row>
    <row r="1048" spans="1:11" x14ac:dyDescent="0.3">
      <c r="A1048" s="5" t="s">
        <v>6349</v>
      </c>
      <c r="B1048" s="5" t="s">
        <v>45</v>
      </c>
      <c r="C1048" s="5" t="s">
        <v>6350</v>
      </c>
      <c r="D1048" s="28" t="s">
        <v>2445</v>
      </c>
      <c r="E1048" s="5" t="s">
        <v>27</v>
      </c>
      <c r="F1048" s="5" t="s">
        <v>5083</v>
      </c>
      <c r="G1048" s="5" t="s">
        <v>5076</v>
      </c>
      <c r="H1048" s="5" t="s">
        <v>2423</v>
      </c>
      <c r="I1048" s="5"/>
      <c r="J1048" s="6" t="str">
        <f t="shared" si="32"/>
        <v>0</v>
      </c>
      <c r="K1048" s="6">
        <f t="shared" si="33"/>
        <v>10.199999999999999</v>
      </c>
    </row>
    <row r="1049" spans="1:11" x14ac:dyDescent="0.3">
      <c r="A1049" s="5" t="s">
        <v>6539</v>
      </c>
      <c r="B1049" s="5" t="s">
        <v>45</v>
      </c>
      <c r="C1049" s="5" t="s">
        <v>6540</v>
      </c>
      <c r="D1049" s="28" t="s">
        <v>2445</v>
      </c>
      <c r="E1049" s="5" t="s">
        <v>27</v>
      </c>
      <c r="F1049" s="5" t="s">
        <v>5081</v>
      </c>
      <c r="G1049" s="5" t="s">
        <v>5081</v>
      </c>
      <c r="H1049" s="5" t="s">
        <v>2455</v>
      </c>
      <c r="I1049" s="5">
        <v>13</v>
      </c>
      <c r="J1049" s="6" t="str">
        <f t="shared" si="32"/>
        <v>1</v>
      </c>
      <c r="K1049" s="6">
        <f t="shared" si="33"/>
        <v>13</v>
      </c>
    </row>
    <row r="1050" spans="1:11" x14ac:dyDescent="0.3">
      <c r="A1050" s="5" t="s">
        <v>5299</v>
      </c>
      <c r="B1050" s="5" t="s">
        <v>45</v>
      </c>
      <c r="C1050" s="5" t="s">
        <v>5300</v>
      </c>
      <c r="D1050" s="28" t="s">
        <v>2445</v>
      </c>
      <c r="E1050" s="5" t="s">
        <v>27</v>
      </c>
      <c r="F1050" s="5" t="s">
        <v>5071</v>
      </c>
      <c r="G1050" s="5" t="s">
        <v>5071</v>
      </c>
      <c r="H1050" s="5" t="s">
        <v>2477</v>
      </c>
      <c r="I1050" s="5">
        <v>18.16</v>
      </c>
      <c r="J1050" s="6" t="str">
        <f t="shared" si="32"/>
        <v>0</v>
      </c>
      <c r="K1050" s="6">
        <f t="shared" si="33"/>
        <v>18.16</v>
      </c>
    </row>
    <row r="1051" spans="1:11" x14ac:dyDescent="0.3">
      <c r="A1051" s="5" t="s">
        <v>3254</v>
      </c>
      <c r="B1051" s="5" t="s">
        <v>45</v>
      </c>
      <c r="C1051" s="5" t="s">
        <v>5119</v>
      </c>
      <c r="D1051" s="28" t="s">
        <v>2445</v>
      </c>
      <c r="E1051" s="5" t="s">
        <v>27</v>
      </c>
      <c r="F1051" s="5" t="s">
        <v>5081</v>
      </c>
      <c r="G1051" s="5" t="s">
        <v>5070</v>
      </c>
      <c r="H1051" s="5" t="s">
        <v>2435</v>
      </c>
      <c r="I1051" s="5">
        <v>5.34</v>
      </c>
      <c r="J1051" s="6" t="str">
        <f t="shared" si="32"/>
        <v>0</v>
      </c>
      <c r="K1051" s="6">
        <f t="shared" si="33"/>
        <v>5.34</v>
      </c>
    </row>
    <row r="1052" spans="1:11" x14ac:dyDescent="0.3">
      <c r="A1052" s="5" t="s">
        <v>5821</v>
      </c>
      <c r="B1052" s="5" t="s">
        <v>45</v>
      </c>
      <c r="C1052" s="5" t="s">
        <v>5822</v>
      </c>
      <c r="D1052" s="28" t="s">
        <v>2445</v>
      </c>
      <c r="E1052" s="5" t="s">
        <v>27</v>
      </c>
      <c r="F1052" s="5" t="s">
        <v>5070</v>
      </c>
      <c r="G1052" s="5" t="s">
        <v>5070</v>
      </c>
      <c r="H1052" s="5" t="s">
        <v>2477</v>
      </c>
      <c r="I1052" s="5">
        <v>2.7</v>
      </c>
      <c r="J1052" s="6" t="str">
        <f t="shared" si="32"/>
        <v>0</v>
      </c>
      <c r="K1052" s="6">
        <f t="shared" si="33"/>
        <v>2.7</v>
      </c>
    </row>
    <row r="1053" spans="1:11" x14ac:dyDescent="0.3">
      <c r="A1053" s="5" t="s">
        <v>2682</v>
      </c>
      <c r="B1053" s="5" t="s">
        <v>45</v>
      </c>
      <c r="C1053" s="5" t="s">
        <v>6454</v>
      </c>
      <c r="D1053" s="28" t="s">
        <v>2445</v>
      </c>
      <c r="E1053" s="5" t="s">
        <v>27</v>
      </c>
      <c r="F1053" s="5" t="s">
        <v>5081</v>
      </c>
      <c r="G1053" s="5" t="s">
        <v>5071</v>
      </c>
      <c r="H1053" s="5" t="s">
        <v>2412</v>
      </c>
      <c r="I1053" s="5">
        <v>18.82</v>
      </c>
      <c r="J1053" s="6" t="str">
        <f t="shared" si="32"/>
        <v>1</v>
      </c>
      <c r="K1053" s="6">
        <f t="shared" si="33"/>
        <v>18.82</v>
      </c>
    </row>
    <row r="1054" spans="1:11" x14ac:dyDescent="0.3">
      <c r="A1054" s="5" t="s">
        <v>3999</v>
      </c>
      <c r="B1054" s="5" t="s">
        <v>14</v>
      </c>
      <c r="C1054" s="5" t="s">
        <v>6208</v>
      </c>
      <c r="D1054" s="28" t="s">
        <v>2445</v>
      </c>
      <c r="E1054" s="5" t="s">
        <v>27</v>
      </c>
      <c r="F1054" s="5" t="s">
        <v>5076</v>
      </c>
      <c r="G1054" s="5" t="s">
        <v>5070</v>
      </c>
      <c r="H1054" s="5" t="s">
        <v>2477</v>
      </c>
      <c r="I1054" s="5">
        <v>2.4300000000000002</v>
      </c>
      <c r="J1054" s="6" t="str">
        <f t="shared" si="32"/>
        <v>0</v>
      </c>
      <c r="K1054" s="6">
        <f t="shared" si="33"/>
        <v>2.4300000000000002</v>
      </c>
    </row>
    <row r="1055" spans="1:11" x14ac:dyDescent="0.3">
      <c r="A1055" s="5" t="s">
        <v>6347</v>
      </c>
      <c r="B1055" s="5" t="s">
        <v>14</v>
      </c>
      <c r="C1055" s="5" t="s">
        <v>6348</v>
      </c>
      <c r="D1055" s="28" t="s">
        <v>2445</v>
      </c>
      <c r="E1055" s="5" t="s">
        <v>27</v>
      </c>
      <c r="F1055" s="5" t="s">
        <v>5070</v>
      </c>
      <c r="G1055" s="5" t="s">
        <v>5073</v>
      </c>
      <c r="H1055" s="5" t="s">
        <v>2428</v>
      </c>
      <c r="I1055" s="5">
        <v>15</v>
      </c>
      <c r="J1055" s="6" t="str">
        <f t="shared" si="32"/>
        <v>2</v>
      </c>
      <c r="K1055" s="6">
        <f t="shared" si="33"/>
        <v>15</v>
      </c>
    </row>
    <row r="1056" spans="1:11" x14ac:dyDescent="0.3">
      <c r="A1056" s="5" t="s">
        <v>4300</v>
      </c>
      <c r="B1056" s="5" t="s">
        <v>14</v>
      </c>
      <c r="C1056" s="5" t="s">
        <v>5746</v>
      </c>
      <c r="D1056" s="28" t="s">
        <v>2445</v>
      </c>
      <c r="E1056" s="5" t="s">
        <v>27</v>
      </c>
      <c r="F1056" s="5" t="s">
        <v>5076</v>
      </c>
      <c r="G1056" s="5" t="s">
        <v>5083</v>
      </c>
      <c r="H1056" s="5" t="s">
        <v>2746</v>
      </c>
      <c r="I1056" s="5">
        <v>10.050000000000001</v>
      </c>
      <c r="J1056" s="6" t="str">
        <f t="shared" si="32"/>
        <v>2</v>
      </c>
      <c r="K1056" s="6">
        <f t="shared" si="33"/>
        <v>10.050000000000001</v>
      </c>
    </row>
    <row r="1057" spans="1:11" x14ac:dyDescent="0.3">
      <c r="A1057" s="5" t="s">
        <v>5064</v>
      </c>
      <c r="B1057" s="5" t="s">
        <v>14</v>
      </c>
      <c r="C1057" s="5" t="s">
        <v>6550</v>
      </c>
      <c r="D1057" s="28" t="s">
        <v>2445</v>
      </c>
      <c r="E1057" s="5" t="s">
        <v>27</v>
      </c>
      <c r="F1057" s="5" t="s">
        <v>5083</v>
      </c>
      <c r="G1057" s="5" t="s">
        <v>5081</v>
      </c>
      <c r="H1057" s="5" t="s">
        <v>2455</v>
      </c>
      <c r="I1057" s="5">
        <v>16.260000000000002</v>
      </c>
      <c r="J1057" s="6" t="str">
        <f t="shared" si="32"/>
        <v>1</v>
      </c>
      <c r="K1057" s="6">
        <f t="shared" si="33"/>
        <v>16.260000000000002</v>
      </c>
    </row>
    <row r="1058" spans="1:11" x14ac:dyDescent="0.3">
      <c r="A1058" s="5" t="s">
        <v>3903</v>
      </c>
      <c r="B1058" s="5" t="s">
        <v>14</v>
      </c>
      <c r="C1058" s="5" t="s">
        <v>6354</v>
      </c>
      <c r="D1058" s="28" t="s">
        <v>2445</v>
      </c>
      <c r="E1058" s="5" t="s">
        <v>27</v>
      </c>
      <c r="F1058" s="5" t="s">
        <v>5076</v>
      </c>
      <c r="G1058" s="5" t="s">
        <v>5076</v>
      </c>
      <c r="H1058" s="5" t="s">
        <v>2450</v>
      </c>
      <c r="I1058" s="5">
        <v>8.82</v>
      </c>
      <c r="J1058" s="6" t="str">
        <f t="shared" si="32"/>
        <v>1</v>
      </c>
      <c r="K1058" s="6">
        <f t="shared" si="33"/>
        <v>8.82</v>
      </c>
    </row>
    <row r="1059" spans="1:11" x14ac:dyDescent="0.3">
      <c r="A1059" s="5" t="s">
        <v>5934</v>
      </c>
      <c r="B1059" s="5" t="s">
        <v>14</v>
      </c>
      <c r="C1059" s="5" t="s">
        <v>5935</v>
      </c>
      <c r="D1059" s="28" t="s">
        <v>2445</v>
      </c>
      <c r="E1059" s="5" t="s">
        <v>27</v>
      </c>
      <c r="F1059" s="5" t="s">
        <v>5076</v>
      </c>
      <c r="G1059" s="5" t="s">
        <v>5076</v>
      </c>
      <c r="H1059" s="5" t="s">
        <v>2455</v>
      </c>
      <c r="I1059" s="5">
        <v>18.27</v>
      </c>
      <c r="J1059" s="6" t="str">
        <f t="shared" si="32"/>
        <v>1</v>
      </c>
      <c r="K1059" s="6">
        <f t="shared" si="33"/>
        <v>18.27</v>
      </c>
    </row>
    <row r="1060" spans="1:11" x14ac:dyDescent="0.3">
      <c r="A1060" s="5" t="s">
        <v>6014</v>
      </c>
      <c r="B1060" s="5" t="s">
        <v>14</v>
      </c>
      <c r="C1060" s="5" t="s">
        <v>6015</v>
      </c>
      <c r="D1060" s="28" t="s">
        <v>2445</v>
      </c>
      <c r="E1060" s="5" t="s">
        <v>27</v>
      </c>
      <c r="F1060" s="5" t="s">
        <v>5081</v>
      </c>
      <c r="G1060" s="5" t="s">
        <v>5070</v>
      </c>
      <c r="H1060" s="5" t="s">
        <v>2435</v>
      </c>
      <c r="I1060" s="5">
        <v>0.78</v>
      </c>
      <c r="J1060" s="6" t="str">
        <f t="shared" si="32"/>
        <v>0</v>
      </c>
      <c r="K1060" s="6">
        <f t="shared" si="33"/>
        <v>0.78</v>
      </c>
    </row>
    <row r="1061" spans="1:11" x14ac:dyDescent="0.3">
      <c r="A1061" s="5" t="s">
        <v>5628</v>
      </c>
      <c r="B1061" s="5" t="s">
        <v>14</v>
      </c>
      <c r="C1061" s="5" t="s">
        <v>5629</v>
      </c>
      <c r="D1061" s="28" t="s">
        <v>2445</v>
      </c>
      <c r="E1061" s="5" t="s">
        <v>27</v>
      </c>
      <c r="F1061" s="5" t="s">
        <v>5070</v>
      </c>
      <c r="G1061" s="5" t="s">
        <v>5083</v>
      </c>
      <c r="H1061" s="5" t="s">
        <v>2455</v>
      </c>
      <c r="I1061" s="5">
        <v>1.58</v>
      </c>
      <c r="J1061" s="6" t="str">
        <f t="shared" si="32"/>
        <v>1</v>
      </c>
      <c r="K1061" s="6">
        <f t="shared" si="33"/>
        <v>1.58</v>
      </c>
    </row>
    <row r="1062" spans="1:11" x14ac:dyDescent="0.3">
      <c r="A1062" s="5" t="s">
        <v>2549</v>
      </c>
      <c r="B1062" s="5" t="s">
        <v>117</v>
      </c>
      <c r="C1062" s="5" t="s">
        <v>5400</v>
      </c>
      <c r="D1062" s="28" t="s">
        <v>2445</v>
      </c>
      <c r="E1062" s="5" t="s">
        <v>27</v>
      </c>
      <c r="F1062" s="5" t="s">
        <v>5070</v>
      </c>
      <c r="G1062" s="5" t="s">
        <v>5071</v>
      </c>
      <c r="H1062" s="5" t="s">
        <v>2423</v>
      </c>
      <c r="I1062" s="5">
        <v>4.96</v>
      </c>
      <c r="J1062" s="6" t="str">
        <f t="shared" si="32"/>
        <v>0</v>
      </c>
      <c r="K1062" s="6">
        <f t="shared" si="33"/>
        <v>4.96</v>
      </c>
    </row>
    <row r="1063" spans="1:11" x14ac:dyDescent="0.3">
      <c r="A1063" s="5" t="s">
        <v>6093</v>
      </c>
      <c r="B1063" s="5" t="s">
        <v>117</v>
      </c>
      <c r="C1063" s="5" t="s">
        <v>5437</v>
      </c>
      <c r="D1063" s="28" t="s">
        <v>2445</v>
      </c>
      <c r="E1063" s="5" t="s">
        <v>27</v>
      </c>
      <c r="F1063" s="5" t="s">
        <v>5081</v>
      </c>
      <c r="G1063" s="5" t="s">
        <v>5081</v>
      </c>
      <c r="H1063" s="5" t="s">
        <v>2450</v>
      </c>
      <c r="I1063" s="5">
        <v>18.28</v>
      </c>
      <c r="J1063" s="6" t="str">
        <f t="shared" si="32"/>
        <v>1</v>
      </c>
      <c r="K1063" s="6">
        <f t="shared" si="33"/>
        <v>18.28</v>
      </c>
    </row>
    <row r="1064" spans="1:11" x14ac:dyDescent="0.3">
      <c r="A1064" s="5" t="s">
        <v>3256</v>
      </c>
      <c r="B1064" s="5" t="s">
        <v>117</v>
      </c>
      <c r="C1064" s="5" t="s">
        <v>5630</v>
      </c>
      <c r="D1064" s="28" t="s">
        <v>2445</v>
      </c>
      <c r="E1064" s="5" t="s">
        <v>27</v>
      </c>
      <c r="F1064" s="5" t="s">
        <v>5071</v>
      </c>
      <c r="G1064" s="5" t="s">
        <v>5081</v>
      </c>
      <c r="H1064" s="5" t="s">
        <v>2435</v>
      </c>
      <c r="I1064" s="5"/>
      <c r="J1064" s="6" t="str">
        <f t="shared" si="32"/>
        <v>0</v>
      </c>
      <c r="K1064" s="6">
        <f t="shared" si="33"/>
        <v>10.4</v>
      </c>
    </row>
    <row r="1065" spans="1:11" x14ac:dyDescent="0.3">
      <c r="A1065" s="5" t="s">
        <v>2755</v>
      </c>
      <c r="B1065" s="5" t="s">
        <v>117</v>
      </c>
      <c r="C1065" s="5" t="s">
        <v>5610</v>
      </c>
      <c r="D1065" s="28" t="s">
        <v>2445</v>
      </c>
      <c r="E1065" s="5" t="s">
        <v>27</v>
      </c>
      <c r="F1065" s="5" t="s">
        <v>5081</v>
      </c>
      <c r="G1065" s="5" t="s">
        <v>5070</v>
      </c>
      <c r="H1065" s="5" t="s">
        <v>2450</v>
      </c>
      <c r="I1065" s="5">
        <v>0.84</v>
      </c>
      <c r="J1065" s="6" t="str">
        <f t="shared" si="32"/>
        <v>1</v>
      </c>
      <c r="K1065" s="6">
        <f t="shared" si="33"/>
        <v>0.84</v>
      </c>
    </row>
    <row r="1066" spans="1:11" x14ac:dyDescent="0.3">
      <c r="A1066" s="5" t="s">
        <v>3383</v>
      </c>
      <c r="B1066" s="5" t="s">
        <v>117</v>
      </c>
      <c r="C1066" s="5" t="s">
        <v>5069</v>
      </c>
      <c r="D1066" s="28" t="s">
        <v>2445</v>
      </c>
      <c r="E1066" s="5" t="s">
        <v>27</v>
      </c>
      <c r="F1066" s="5" t="s">
        <v>5070</v>
      </c>
      <c r="G1066" s="5" t="s">
        <v>5071</v>
      </c>
      <c r="H1066" s="5" t="s">
        <v>2477</v>
      </c>
      <c r="I1066" s="5">
        <v>14.67</v>
      </c>
      <c r="J1066" s="6" t="str">
        <f t="shared" si="32"/>
        <v>0</v>
      </c>
      <c r="K1066" s="6">
        <f t="shared" si="33"/>
        <v>14.67</v>
      </c>
    </row>
    <row r="1067" spans="1:11" x14ac:dyDescent="0.3">
      <c r="A1067" s="5" t="s">
        <v>5092</v>
      </c>
      <c r="B1067" s="5" t="s">
        <v>25</v>
      </c>
      <c r="C1067" s="5" t="s">
        <v>5093</v>
      </c>
      <c r="D1067" s="28" t="s">
        <v>2445</v>
      </c>
      <c r="E1067" s="5" t="s">
        <v>27</v>
      </c>
      <c r="F1067" s="5" t="s">
        <v>5070</v>
      </c>
      <c r="G1067" s="5" t="s">
        <v>5076</v>
      </c>
      <c r="H1067" s="5" t="s">
        <v>2477</v>
      </c>
      <c r="I1067" s="5">
        <v>15.7</v>
      </c>
      <c r="J1067" s="6" t="str">
        <f t="shared" si="32"/>
        <v>0</v>
      </c>
      <c r="K1067" s="6">
        <f t="shared" si="33"/>
        <v>15.7</v>
      </c>
    </row>
    <row r="1068" spans="1:11" x14ac:dyDescent="0.3">
      <c r="A1068" s="5" t="s">
        <v>5183</v>
      </c>
      <c r="B1068" s="5" t="s">
        <v>25</v>
      </c>
      <c r="C1068" s="5" t="s">
        <v>5184</v>
      </c>
      <c r="D1068" s="28" t="s">
        <v>2445</v>
      </c>
      <c r="E1068" s="5" t="s">
        <v>27</v>
      </c>
      <c r="F1068" s="5" t="s">
        <v>5073</v>
      </c>
      <c r="G1068" s="5" t="s">
        <v>5070</v>
      </c>
      <c r="H1068" s="5" t="s">
        <v>2418</v>
      </c>
      <c r="I1068" s="5">
        <v>8.86</v>
      </c>
      <c r="J1068" s="6" t="str">
        <f t="shared" si="32"/>
        <v>1</v>
      </c>
      <c r="K1068" s="6">
        <f t="shared" si="33"/>
        <v>8.86</v>
      </c>
    </row>
    <row r="1069" spans="1:11" x14ac:dyDescent="0.3">
      <c r="A1069" s="5" t="s">
        <v>4458</v>
      </c>
      <c r="B1069" s="5" t="s">
        <v>25</v>
      </c>
      <c r="C1069" s="5" t="s">
        <v>5435</v>
      </c>
      <c r="D1069" s="28" t="s">
        <v>2445</v>
      </c>
      <c r="E1069" s="5" t="s">
        <v>27</v>
      </c>
      <c r="F1069" s="5" t="s">
        <v>5071</v>
      </c>
      <c r="G1069" s="5" t="s">
        <v>5071</v>
      </c>
      <c r="H1069" s="5" t="s">
        <v>2477</v>
      </c>
      <c r="I1069" s="5">
        <v>12.57</v>
      </c>
      <c r="J1069" s="6" t="str">
        <f t="shared" si="32"/>
        <v>0</v>
      </c>
      <c r="K1069" s="6">
        <f t="shared" si="33"/>
        <v>12.57</v>
      </c>
    </row>
    <row r="1070" spans="1:11" x14ac:dyDescent="0.3">
      <c r="A1070" s="5" t="s">
        <v>2948</v>
      </c>
      <c r="B1070" s="5" t="s">
        <v>25</v>
      </c>
      <c r="C1070" s="5" t="s">
        <v>5474</v>
      </c>
      <c r="D1070" s="28" t="s">
        <v>2445</v>
      </c>
      <c r="E1070" s="5" t="s">
        <v>27</v>
      </c>
      <c r="F1070" s="5" t="s">
        <v>5071</v>
      </c>
      <c r="G1070" s="5" t="s">
        <v>5071</v>
      </c>
      <c r="H1070" s="5" t="s">
        <v>2412</v>
      </c>
      <c r="I1070" s="5"/>
      <c r="J1070" s="6" t="str">
        <f t="shared" si="32"/>
        <v>1</v>
      </c>
      <c r="K1070" s="6">
        <f t="shared" si="33"/>
        <v>10</v>
      </c>
    </row>
    <row r="1071" spans="1:11" x14ac:dyDescent="0.3">
      <c r="A1071" s="5" t="s">
        <v>2689</v>
      </c>
      <c r="B1071" s="5" t="s">
        <v>25</v>
      </c>
      <c r="C1071" s="5" t="s">
        <v>5552</v>
      </c>
      <c r="D1071" s="28" t="s">
        <v>2445</v>
      </c>
      <c r="E1071" s="5" t="s">
        <v>27</v>
      </c>
      <c r="F1071" s="5" t="s">
        <v>5081</v>
      </c>
      <c r="G1071" s="5" t="s">
        <v>5076</v>
      </c>
      <c r="H1071" s="5" t="s">
        <v>2412</v>
      </c>
      <c r="I1071" s="5">
        <v>19.87</v>
      </c>
      <c r="J1071" s="6" t="str">
        <f t="shared" si="32"/>
        <v>1</v>
      </c>
      <c r="K1071" s="6">
        <f t="shared" si="33"/>
        <v>19.87</v>
      </c>
    </row>
    <row r="1072" spans="1:11" x14ac:dyDescent="0.3">
      <c r="A1072" s="5" t="s">
        <v>4539</v>
      </c>
      <c r="B1072" s="5" t="s">
        <v>25</v>
      </c>
      <c r="C1072" s="5" t="s">
        <v>6100</v>
      </c>
      <c r="D1072" s="28" t="s">
        <v>2445</v>
      </c>
      <c r="E1072" s="5" t="s">
        <v>27</v>
      </c>
      <c r="F1072" s="5" t="s">
        <v>5073</v>
      </c>
      <c r="G1072" s="5" t="s">
        <v>5081</v>
      </c>
      <c r="H1072" s="5" t="s">
        <v>2408</v>
      </c>
      <c r="I1072" s="5">
        <v>8.1</v>
      </c>
      <c r="J1072" s="6" t="str">
        <f t="shared" si="32"/>
        <v>0</v>
      </c>
      <c r="K1072" s="6">
        <f t="shared" si="33"/>
        <v>8.1</v>
      </c>
    </row>
    <row r="1073" spans="1:11" x14ac:dyDescent="0.3">
      <c r="A1073" s="5" t="s">
        <v>4780</v>
      </c>
      <c r="B1073" s="5" t="s">
        <v>106</v>
      </c>
      <c r="C1073" s="5" t="s">
        <v>6281</v>
      </c>
      <c r="D1073" s="28" t="s">
        <v>2445</v>
      </c>
      <c r="E1073" s="5" t="s">
        <v>27</v>
      </c>
      <c r="F1073" s="5" t="s">
        <v>5071</v>
      </c>
      <c r="G1073" s="5" t="s">
        <v>5076</v>
      </c>
      <c r="H1073" s="5" t="s">
        <v>2412</v>
      </c>
      <c r="I1073" s="5">
        <v>8.0500000000000007</v>
      </c>
      <c r="J1073" s="6" t="str">
        <f t="shared" si="32"/>
        <v>1</v>
      </c>
      <c r="K1073" s="6">
        <f t="shared" si="33"/>
        <v>8.0500000000000007</v>
      </c>
    </row>
    <row r="1074" spans="1:11" x14ac:dyDescent="0.3">
      <c r="A1074" s="5" t="s">
        <v>4593</v>
      </c>
      <c r="B1074" s="5" t="s">
        <v>106</v>
      </c>
      <c r="C1074" s="5" t="s">
        <v>6565</v>
      </c>
      <c r="D1074" s="28" t="s">
        <v>2445</v>
      </c>
      <c r="E1074" s="5" t="s">
        <v>27</v>
      </c>
      <c r="F1074" s="5" t="s">
        <v>5083</v>
      </c>
      <c r="G1074" s="5" t="s">
        <v>5083</v>
      </c>
      <c r="H1074" s="5" t="s">
        <v>2418</v>
      </c>
      <c r="I1074" s="5">
        <v>2.27</v>
      </c>
      <c r="J1074" s="6" t="str">
        <f t="shared" si="32"/>
        <v>1</v>
      </c>
      <c r="K1074" s="6">
        <f t="shared" si="33"/>
        <v>2.27</v>
      </c>
    </row>
    <row r="1075" spans="1:11" x14ac:dyDescent="0.3">
      <c r="A1075" s="5" t="s">
        <v>5265</v>
      </c>
      <c r="B1075" s="5" t="s">
        <v>106</v>
      </c>
      <c r="C1075" s="5" t="s">
        <v>5266</v>
      </c>
      <c r="D1075" s="28" t="s">
        <v>2445</v>
      </c>
      <c r="E1075" s="5" t="s">
        <v>27</v>
      </c>
      <c r="F1075" s="5" t="s">
        <v>5083</v>
      </c>
      <c r="G1075" s="5" t="s">
        <v>5070</v>
      </c>
      <c r="H1075" s="5" t="s">
        <v>2418</v>
      </c>
      <c r="I1075" s="5">
        <v>2.7</v>
      </c>
      <c r="J1075" s="6" t="str">
        <f t="shared" si="32"/>
        <v>1</v>
      </c>
      <c r="K1075" s="6">
        <f t="shared" si="33"/>
        <v>2.7</v>
      </c>
    </row>
    <row r="1076" spans="1:11" x14ac:dyDescent="0.3">
      <c r="A1076" s="5" t="s">
        <v>3353</v>
      </c>
      <c r="B1076" s="5" t="s">
        <v>106</v>
      </c>
      <c r="C1076" s="5" t="s">
        <v>5450</v>
      </c>
      <c r="D1076" s="28" t="s">
        <v>2445</v>
      </c>
      <c r="E1076" s="5" t="s">
        <v>27</v>
      </c>
      <c r="F1076" s="5" t="s">
        <v>5071</v>
      </c>
      <c r="G1076" s="5" t="s">
        <v>5076</v>
      </c>
      <c r="H1076" s="5" t="s">
        <v>2505</v>
      </c>
      <c r="I1076" s="5">
        <v>14.58</v>
      </c>
      <c r="J1076" s="6" t="str">
        <f t="shared" si="32"/>
        <v>2+</v>
      </c>
      <c r="K1076" s="6">
        <f t="shared" si="33"/>
        <v>14.58</v>
      </c>
    </row>
    <row r="1077" spans="1:11" x14ac:dyDescent="0.3">
      <c r="A1077" s="5" t="s">
        <v>3055</v>
      </c>
      <c r="B1077" s="5" t="s">
        <v>106</v>
      </c>
      <c r="C1077" s="5" t="s">
        <v>5256</v>
      </c>
      <c r="D1077" s="28" t="s">
        <v>2445</v>
      </c>
      <c r="E1077" s="5" t="s">
        <v>27</v>
      </c>
      <c r="F1077" s="5" t="s">
        <v>5071</v>
      </c>
      <c r="G1077" s="5" t="s">
        <v>5073</v>
      </c>
      <c r="H1077" s="5" t="s">
        <v>2418</v>
      </c>
      <c r="I1077" s="5">
        <v>6.64</v>
      </c>
      <c r="J1077" s="6" t="str">
        <f t="shared" si="32"/>
        <v>1</v>
      </c>
      <c r="K1077" s="6">
        <f t="shared" si="33"/>
        <v>6.64</v>
      </c>
    </row>
    <row r="1078" spans="1:11" x14ac:dyDescent="0.3">
      <c r="A1078" s="5" t="s">
        <v>3972</v>
      </c>
      <c r="B1078" s="5" t="s">
        <v>106</v>
      </c>
      <c r="C1078" s="5" t="s">
        <v>6233</v>
      </c>
      <c r="D1078" s="28" t="s">
        <v>2445</v>
      </c>
      <c r="E1078" s="5" t="s">
        <v>27</v>
      </c>
      <c r="F1078" s="5" t="s">
        <v>5073</v>
      </c>
      <c r="G1078" s="5" t="s">
        <v>5073</v>
      </c>
      <c r="H1078" s="5" t="s">
        <v>2435</v>
      </c>
      <c r="I1078" s="5">
        <v>8.2899999999999991</v>
      </c>
      <c r="J1078" s="6" t="str">
        <f t="shared" si="32"/>
        <v>0</v>
      </c>
      <c r="K1078" s="6">
        <f t="shared" si="33"/>
        <v>8.2899999999999991</v>
      </c>
    </row>
    <row r="1079" spans="1:11" x14ac:dyDescent="0.3">
      <c r="A1079" s="5" t="s">
        <v>3449</v>
      </c>
      <c r="B1079" s="5" t="s">
        <v>106</v>
      </c>
      <c r="C1079" s="5" t="s">
        <v>5604</v>
      </c>
      <c r="D1079" s="28" t="s">
        <v>2445</v>
      </c>
      <c r="E1079" s="5" t="s">
        <v>27</v>
      </c>
      <c r="F1079" s="5" t="s">
        <v>5083</v>
      </c>
      <c r="G1079" s="5" t="s">
        <v>5083</v>
      </c>
      <c r="H1079" s="5" t="s">
        <v>2412</v>
      </c>
      <c r="I1079" s="5">
        <v>12.33</v>
      </c>
      <c r="J1079" s="6" t="str">
        <f t="shared" si="32"/>
        <v>1</v>
      </c>
      <c r="K1079" s="6">
        <f t="shared" si="33"/>
        <v>12.33</v>
      </c>
    </row>
    <row r="1080" spans="1:11" x14ac:dyDescent="0.3">
      <c r="A1080" s="5" t="s">
        <v>4044</v>
      </c>
      <c r="B1080" s="5" t="s">
        <v>106</v>
      </c>
      <c r="C1080" s="5" t="s">
        <v>6305</v>
      </c>
      <c r="D1080" s="28" t="s">
        <v>2445</v>
      </c>
      <c r="E1080" s="5" t="s">
        <v>27</v>
      </c>
      <c r="F1080" s="5" t="s">
        <v>5083</v>
      </c>
      <c r="G1080" s="5" t="s">
        <v>5081</v>
      </c>
      <c r="H1080" s="5" t="s">
        <v>2455</v>
      </c>
      <c r="I1080" s="5">
        <v>4.9000000000000004</v>
      </c>
      <c r="J1080" s="6" t="str">
        <f t="shared" si="32"/>
        <v>1</v>
      </c>
      <c r="K1080" s="6">
        <f t="shared" si="33"/>
        <v>4.9000000000000004</v>
      </c>
    </row>
    <row r="1081" spans="1:11" x14ac:dyDescent="0.3">
      <c r="A1081" s="5" t="s">
        <v>5351</v>
      </c>
      <c r="B1081" s="5" t="s">
        <v>106</v>
      </c>
      <c r="C1081" s="5" t="s">
        <v>5352</v>
      </c>
      <c r="D1081" s="28" t="s">
        <v>2445</v>
      </c>
      <c r="E1081" s="5" t="s">
        <v>27</v>
      </c>
      <c r="F1081" s="5" t="s">
        <v>5071</v>
      </c>
      <c r="G1081" s="5" t="s">
        <v>5083</v>
      </c>
      <c r="H1081" s="5" t="s">
        <v>2408</v>
      </c>
      <c r="I1081" s="5">
        <v>12.16</v>
      </c>
      <c r="J1081" s="6" t="str">
        <f t="shared" si="32"/>
        <v>0</v>
      </c>
      <c r="K1081" s="6">
        <f t="shared" si="33"/>
        <v>12.16</v>
      </c>
    </row>
    <row r="1082" spans="1:11" x14ac:dyDescent="0.3">
      <c r="A1082" s="5" t="s">
        <v>4487</v>
      </c>
      <c r="B1082" s="5" t="s">
        <v>106</v>
      </c>
      <c r="C1082" s="5" t="s">
        <v>6395</v>
      </c>
      <c r="D1082" s="28" t="s">
        <v>2445</v>
      </c>
      <c r="E1082" s="5" t="s">
        <v>27</v>
      </c>
      <c r="F1082" s="5" t="s">
        <v>5083</v>
      </c>
      <c r="G1082" s="5" t="s">
        <v>5083</v>
      </c>
      <c r="H1082" s="5" t="s">
        <v>2408</v>
      </c>
      <c r="I1082" s="5">
        <v>7.96</v>
      </c>
      <c r="J1082" s="6" t="str">
        <f t="shared" si="32"/>
        <v>0</v>
      </c>
      <c r="K1082" s="6">
        <f t="shared" si="33"/>
        <v>7.96</v>
      </c>
    </row>
    <row r="1083" spans="1:11" x14ac:dyDescent="0.3">
      <c r="A1083" s="5" t="s">
        <v>6464</v>
      </c>
      <c r="B1083" s="5" t="s">
        <v>78</v>
      </c>
      <c r="C1083" s="5" t="s">
        <v>6136</v>
      </c>
      <c r="D1083" s="28" t="s">
        <v>2463</v>
      </c>
      <c r="E1083" s="5" t="s">
        <v>27</v>
      </c>
      <c r="F1083" s="5" t="s">
        <v>5073</v>
      </c>
      <c r="G1083" s="5" t="s">
        <v>5083</v>
      </c>
      <c r="H1083" s="5" t="s">
        <v>2412</v>
      </c>
      <c r="I1083" s="5">
        <v>3.69</v>
      </c>
      <c r="J1083" s="6" t="str">
        <f t="shared" si="32"/>
        <v>1</v>
      </c>
      <c r="K1083" s="6">
        <f t="shared" si="33"/>
        <v>3.69</v>
      </c>
    </row>
    <row r="1084" spans="1:11" x14ac:dyDescent="0.3">
      <c r="A1084" s="5" t="s">
        <v>3101</v>
      </c>
      <c r="B1084" s="5" t="s">
        <v>78</v>
      </c>
      <c r="C1084" s="5" t="s">
        <v>6131</v>
      </c>
      <c r="D1084" s="28" t="s">
        <v>2463</v>
      </c>
      <c r="E1084" s="5" t="s">
        <v>27</v>
      </c>
      <c r="F1084" s="5" t="s">
        <v>5081</v>
      </c>
      <c r="G1084" s="5" t="s">
        <v>5073</v>
      </c>
      <c r="H1084" s="5" t="s">
        <v>2477</v>
      </c>
      <c r="I1084" s="5">
        <v>1.66</v>
      </c>
      <c r="J1084" s="6" t="str">
        <f t="shared" si="32"/>
        <v>0</v>
      </c>
      <c r="K1084" s="6">
        <f t="shared" si="33"/>
        <v>1.66</v>
      </c>
    </row>
    <row r="1085" spans="1:11" x14ac:dyDescent="0.3">
      <c r="A1085" s="5" t="s">
        <v>4232</v>
      </c>
      <c r="B1085" s="5" t="s">
        <v>78</v>
      </c>
      <c r="C1085" s="5" t="s">
        <v>6142</v>
      </c>
      <c r="D1085" s="28" t="s">
        <v>2463</v>
      </c>
      <c r="E1085" s="5" t="s">
        <v>27</v>
      </c>
      <c r="F1085" s="5" t="s">
        <v>5071</v>
      </c>
      <c r="G1085" s="5" t="s">
        <v>5081</v>
      </c>
      <c r="H1085" s="5" t="s">
        <v>2408</v>
      </c>
      <c r="I1085" s="5">
        <v>4.05</v>
      </c>
      <c r="J1085" s="6" t="str">
        <f t="shared" si="32"/>
        <v>0</v>
      </c>
      <c r="K1085" s="6">
        <f t="shared" si="33"/>
        <v>4.05</v>
      </c>
    </row>
    <row r="1086" spans="1:11" x14ac:dyDescent="0.3">
      <c r="A1086" s="5" t="s">
        <v>2496</v>
      </c>
      <c r="B1086" s="5" t="s">
        <v>78</v>
      </c>
      <c r="C1086" s="5" t="s">
        <v>6005</v>
      </c>
      <c r="D1086" s="28" t="s">
        <v>2463</v>
      </c>
      <c r="E1086" s="5" t="s">
        <v>27</v>
      </c>
      <c r="F1086" s="5" t="s">
        <v>5070</v>
      </c>
      <c r="G1086" s="5" t="s">
        <v>5071</v>
      </c>
      <c r="H1086" s="5" t="s">
        <v>2435</v>
      </c>
      <c r="I1086" s="5">
        <v>17.63</v>
      </c>
      <c r="J1086" s="6" t="str">
        <f t="shared" si="32"/>
        <v>0</v>
      </c>
      <c r="K1086" s="6">
        <f t="shared" si="33"/>
        <v>17.63</v>
      </c>
    </row>
    <row r="1087" spans="1:11" x14ac:dyDescent="0.3">
      <c r="A1087" s="5" t="s">
        <v>4050</v>
      </c>
      <c r="B1087" s="5" t="s">
        <v>78</v>
      </c>
      <c r="C1087" s="5" t="s">
        <v>5255</v>
      </c>
      <c r="D1087" s="28" t="s">
        <v>2463</v>
      </c>
      <c r="E1087" s="5" t="s">
        <v>27</v>
      </c>
      <c r="F1087" s="5" t="s">
        <v>5071</v>
      </c>
      <c r="G1087" s="5" t="s">
        <v>5081</v>
      </c>
      <c r="H1087" s="5" t="s">
        <v>2423</v>
      </c>
      <c r="I1087" s="5">
        <v>7.86</v>
      </c>
      <c r="J1087" s="6" t="str">
        <f t="shared" si="32"/>
        <v>0</v>
      </c>
      <c r="K1087" s="6">
        <f t="shared" si="33"/>
        <v>7.86</v>
      </c>
    </row>
    <row r="1088" spans="1:11" x14ac:dyDescent="0.3">
      <c r="A1088" s="5" t="s">
        <v>3298</v>
      </c>
      <c r="B1088" s="5" t="s">
        <v>78</v>
      </c>
      <c r="C1088" s="5" t="s">
        <v>5807</v>
      </c>
      <c r="D1088" s="28" t="s">
        <v>2463</v>
      </c>
      <c r="E1088" s="5" t="s">
        <v>27</v>
      </c>
      <c r="F1088" s="5" t="s">
        <v>5083</v>
      </c>
      <c r="G1088" s="5" t="s">
        <v>5081</v>
      </c>
      <c r="H1088" s="5" t="s">
        <v>2418</v>
      </c>
      <c r="I1088" s="5">
        <v>16.36</v>
      </c>
      <c r="J1088" s="6" t="str">
        <f t="shared" si="32"/>
        <v>1</v>
      </c>
      <c r="K1088" s="6">
        <f t="shared" si="33"/>
        <v>16.36</v>
      </c>
    </row>
    <row r="1089" spans="1:11" x14ac:dyDescent="0.3">
      <c r="A1089" s="5" t="s">
        <v>4418</v>
      </c>
      <c r="B1089" s="5" t="s">
        <v>78</v>
      </c>
      <c r="C1089" s="5" t="s">
        <v>5376</v>
      </c>
      <c r="D1089" s="28" t="s">
        <v>2463</v>
      </c>
      <c r="E1089" s="5" t="s">
        <v>27</v>
      </c>
      <c r="F1089" s="5" t="s">
        <v>5081</v>
      </c>
      <c r="G1089" s="5" t="s">
        <v>5083</v>
      </c>
      <c r="H1089" s="5" t="s">
        <v>2423</v>
      </c>
      <c r="I1089" s="5">
        <v>17.579999999999998</v>
      </c>
      <c r="J1089" s="6" t="str">
        <f t="shared" si="32"/>
        <v>0</v>
      </c>
      <c r="K1089" s="6">
        <f t="shared" si="33"/>
        <v>17.579999999999998</v>
      </c>
    </row>
    <row r="1090" spans="1:11" x14ac:dyDescent="0.3">
      <c r="A1090" s="5" t="s">
        <v>3894</v>
      </c>
      <c r="B1090" s="5" t="s">
        <v>78</v>
      </c>
      <c r="C1090" s="5" t="s">
        <v>5498</v>
      </c>
      <c r="D1090" s="28" t="s">
        <v>2463</v>
      </c>
      <c r="E1090" s="5" t="s">
        <v>27</v>
      </c>
      <c r="F1090" s="5" t="s">
        <v>5071</v>
      </c>
      <c r="G1090" s="5" t="s">
        <v>5083</v>
      </c>
      <c r="H1090" s="5" t="s">
        <v>2450</v>
      </c>
      <c r="I1090" s="5">
        <v>7.46</v>
      </c>
      <c r="J1090" s="6" t="str">
        <f t="shared" ref="J1090:J1153" si="34">IF(OR(LOWER(TRIM(H1090))="0",LOWER(TRIM(H1090))="ZERO"),"0",IF(OR(LOWER(TRIM(H1090))="1",LOWER(TRIM(H1090))="one"),"1",IF(OR(LOWER(TRIM(H1090))="2",LOWER(TRIM(H1090))="two"),"2",IF(OR(LOWER(TRIM(H1090))="2+",LOWER(TRIM(H1090))="two_or_more",LOWER(TRIM(H1090))="multiple"),"2+","Unknown"))))</f>
        <v>1</v>
      </c>
      <c r="K1090" s="6">
        <f t="shared" si="33"/>
        <v>7.46</v>
      </c>
    </row>
    <row r="1091" spans="1:11" x14ac:dyDescent="0.3">
      <c r="A1091" s="5" t="s">
        <v>4812</v>
      </c>
      <c r="B1091" s="5" t="s">
        <v>78</v>
      </c>
      <c r="C1091" s="5" t="s">
        <v>6292</v>
      </c>
      <c r="D1091" s="28" t="s">
        <v>2463</v>
      </c>
      <c r="E1091" s="5" t="s">
        <v>27</v>
      </c>
      <c r="F1091" s="5" t="s">
        <v>5073</v>
      </c>
      <c r="G1091" s="5" t="s">
        <v>5076</v>
      </c>
      <c r="H1091" s="5" t="s">
        <v>2408</v>
      </c>
      <c r="I1091" s="5">
        <v>4.4400000000000004</v>
      </c>
      <c r="J1091" s="6" t="str">
        <f t="shared" si="34"/>
        <v>0</v>
      </c>
      <c r="K1091" s="6">
        <f t="shared" ref="K1091:K1154" si="35">IF(I1091="",ROUND(AVERAGEIF($B$2:$B$1000,B1091,$I$2:$I$1000),1),I1091)</f>
        <v>4.4400000000000004</v>
      </c>
    </row>
    <row r="1092" spans="1:11" x14ac:dyDescent="0.3">
      <c r="A1092" s="5" t="s">
        <v>5849</v>
      </c>
      <c r="B1092" s="5" t="s">
        <v>78</v>
      </c>
      <c r="C1092" s="5" t="s">
        <v>5850</v>
      </c>
      <c r="D1092" s="28" t="s">
        <v>2463</v>
      </c>
      <c r="E1092" s="5" t="s">
        <v>27</v>
      </c>
      <c r="F1092" s="5" t="s">
        <v>5083</v>
      </c>
      <c r="G1092" s="5" t="s">
        <v>5083</v>
      </c>
      <c r="H1092" s="5" t="s">
        <v>2477</v>
      </c>
      <c r="I1092" s="5">
        <v>6.79</v>
      </c>
      <c r="J1092" s="6" t="str">
        <f t="shared" si="34"/>
        <v>0</v>
      </c>
      <c r="K1092" s="6">
        <f t="shared" si="35"/>
        <v>6.79</v>
      </c>
    </row>
    <row r="1093" spans="1:11" x14ac:dyDescent="0.3">
      <c r="A1093" s="5" t="s">
        <v>4227</v>
      </c>
      <c r="B1093" s="5" t="s">
        <v>78</v>
      </c>
      <c r="C1093" s="5" t="s">
        <v>5444</v>
      </c>
      <c r="D1093" s="28" t="s">
        <v>2463</v>
      </c>
      <c r="E1093" s="5" t="s">
        <v>27</v>
      </c>
      <c r="F1093" s="5" t="s">
        <v>5076</v>
      </c>
      <c r="G1093" s="5" t="s">
        <v>5083</v>
      </c>
      <c r="H1093" s="5" t="s">
        <v>2408</v>
      </c>
      <c r="I1093" s="5"/>
      <c r="J1093" s="6" t="str">
        <f t="shared" si="34"/>
        <v>0</v>
      </c>
      <c r="K1093" s="6">
        <f t="shared" si="35"/>
        <v>9.6999999999999993</v>
      </c>
    </row>
    <row r="1094" spans="1:11" x14ac:dyDescent="0.3">
      <c r="A1094" s="5" t="s">
        <v>2647</v>
      </c>
      <c r="B1094" s="5" t="s">
        <v>45</v>
      </c>
      <c r="C1094" s="5" t="s">
        <v>5330</v>
      </c>
      <c r="D1094" s="28" t="s">
        <v>2463</v>
      </c>
      <c r="E1094" s="5" t="s">
        <v>27</v>
      </c>
      <c r="F1094" s="5" t="s">
        <v>5070</v>
      </c>
      <c r="G1094" s="5" t="s">
        <v>5070</v>
      </c>
      <c r="H1094" s="5" t="s">
        <v>2477</v>
      </c>
      <c r="I1094" s="5">
        <v>14.13</v>
      </c>
      <c r="J1094" s="6" t="str">
        <f t="shared" si="34"/>
        <v>0</v>
      </c>
      <c r="K1094" s="6">
        <f t="shared" si="35"/>
        <v>14.13</v>
      </c>
    </row>
    <row r="1095" spans="1:11" x14ac:dyDescent="0.3">
      <c r="A1095" s="5" t="s">
        <v>3268</v>
      </c>
      <c r="B1095" s="5" t="s">
        <v>45</v>
      </c>
      <c r="C1095" s="5" t="s">
        <v>5177</v>
      </c>
      <c r="D1095" s="28" t="s">
        <v>2463</v>
      </c>
      <c r="E1095" s="5" t="s">
        <v>27</v>
      </c>
      <c r="F1095" s="5" t="s">
        <v>5083</v>
      </c>
      <c r="G1095" s="5" t="s">
        <v>5076</v>
      </c>
      <c r="H1095" s="5" t="s">
        <v>2408</v>
      </c>
      <c r="I1095" s="5">
        <v>18.059999999999999</v>
      </c>
      <c r="J1095" s="6" t="str">
        <f t="shared" si="34"/>
        <v>0</v>
      </c>
      <c r="K1095" s="6">
        <f t="shared" si="35"/>
        <v>18.059999999999999</v>
      </c>
    </row>
    <row r="1096" spans="1:11" x14ac:dyDescent="0.3">
      <c r="A1096" s="5" t="s">
        <v>3436</v>
      </c>
      <c r="B1096" s="5" t="s">
        <v>45</v>
      </c>
      <c r="C1096" s="5" t="s">
        <v>5142</v>
      </c>
      <c r="D1096" s="28" t="s">
        <v>2463</v>
      </c>
      <c r="E1096" s="5" t="s">
        <v>27</v>
      </c>
      <c r="F1096" s="5" t="s">
        <v>5071</v>
      </c>
      <c r="G1096" s="5" t="s">
        <v>5083</v>
      </c>
      <c r="H1096" s="5" t="s">
        <v>2993</v>
      </c>
      <c r="I1096" s="5">
        <v>4.26</v>
      </c>
      <c r="J1096" s="6" t="str">
        <f t="shared" si="34"/>
        <v>2+</v>
      </c>
      <c r="K1096" s="6">
        <f t="shared" si="35"/>
        <v>4.26</v>
      </c>
    </row>
    <row r="1097" spans="1:11" x14ac:dyDescent="0.3">
      <c r="A1097" s="5" t="s">
        <v>4041</v>
      </c>
      <c r="B1097" s="5" t="s">
        <v>45</v>
      </c>
      <c r="C1097" s="5" t="s">
        <v>5181</v>
      </c>
      <c r="D1097" s="28" t="s">
        <v>2463</v>
      </c>
      <c r="E1097" s="5" t="s">
        <v>27</v>
      </c>
      <c r="F1097" s="5" t="s">
        <v>5083</v>
      </c>
      <c r="G1097" s="5" t="s">
        <v>5081</v>
      </c>
      <c r="H1097" s="5" t="s">
        <v>2418</v>
      </c>
      <c r="I1097" s="5">
        <v>5.34</v>
      </c>
      <c r="J1097" s="6" t="str">
        <f t="shared" si="34"/>
        <v>1</v>
      </c>
      <c r="K1097" s="6">
        <f t="shared" si="35"/>
        <v>5.34</v>
      </c>
    </row>
    <row r="1098" spans="1:11" x14ac:dyDescent="0.3">
      <c r="A1098" s="5" t="s">
        <v>5337</v>
      </c>
      <c r="B1098" s="5" t="s">
        <v>45</v>
      </c>
      <c r="C1098" s="5" t="s">
        <v>5338</v>
      </c>
      <c r="D1098" s="28" t="s">
        <v>2463</v>
      </c>
      <c r="E1098" s="5" t="s">
        <v>27</v>
      </c>
      <c r="F1098" s="5" t="s">
        <v>5076</v>
      </c>
      <c r="G1098" s="5" t="s">
        <v>5081</v>
      </c>
      <c r="H1098" s="5" t="s">
        <v>2455</v>
      </c>
      <c r="I1098" s="5">
        <v>5.73</v>
      </c>
      <c r="J1098" s="6" t="str">
        <f t="shared" si="34"/>
        <v>1</v>
      </c>
      <c r="K1098" s="6">
        <f t="shared" si="35"/>
        <v>5.73</v>
      </c>
    </row>
    <row r="1099" spans="1:11" x14ac:dyDescent="0.3">
      <c r="A1099" s="5" t="s">
        <v>4333</v>
      </c>
      <c r="B1099" s="5" t="s">
        <v>45</v>
      </c>
      <c r="C1099" s="5" t="s">
        <v>5751</v>
      </c>
      <c r="D1099" s="28" t="s">
        <v>2463</v>
      </c>
      <c r="E1099" s="5" t="s">
        <v>27</v>
      </c>
      <c r="F1099" s="5" t="s">
        <v>5070</v>
      </c>
      <c r="G1099" s="5" t="s">
        <v>5076</v>
      </c>
      <c r="H1099" s="5" t="s">
        <v>2477</v>
      </c>
      <c r="I1099" s="5">
        <v>9.75</v>
      </c>
      <c r="J1099" s="6" t="str">
        <f t="shared" si="34"/>
        <v>0</v>
      </c>
      <c r="K1099" s="6">
        <f t="shared" si="35"/>
        <v>9.75</v>
      </c>
    </row>
    <row r="1100" spans="1:11" x14ac:dyDescent="0.3">
      <c r="A1100" s="5" t="s">
        <v>2679</v>
      </c>
      <c r="B1100" s="5" t="s">
        <v>45</v>
      </c>
      <c r="C1100" s="5" t="s">
        <v>5230</v>
      </c>
      <c r="D1100" s="28" t="s">
        <v>2463</v>
      </c>
      <c r="E1100" s="5" t="s">
        <v>27</v>
      </c>
      <c r="F1100" s="5" t="s">
        <v>5073</v>
      </c>
      <c r="G1100" s="5" t="s">
        <v>5071</v>
      </c>
      <c r="H1100" s="5" t="s">
        <v>2428</v>
      </c>
      <c r="I1100" s="5">
        <v>6.57</v>
      </c>
      <c r="J1100" s="6" t="str">
        <f t="shared" si="34"/>
        <v>2</v>
      </c>
      <c r="K1100" s="6">
        <f t="shared" si="35"/>
        <v>6.57</v>
      </c>
    </row>
    <row r="1101" spans="1:11" x14ac:dyDescent="0.3">
      <c r="A1101" s="5" t="s">
        <v>5288</v>
      </c>
      <c r="B1101" s="5" t="s">
        <v>45</v>
      </c>
      <c r="C1101" s="5" t="s">
        <v>5289</v>
      </c>
      <c r="D1101" s="28" t="s">
        <v>2463</v>
      </c>
      <c r="E1101" s="5" t="s">
        <v>27</v>
      </c>
      <c r="F1101" s="5" t="s">
        <v>5083</v>
      </c>
      <c r="G1101" s="5" t="s">
        <v>5083</v>
      </c>
      <c r="H1101" s="5"/>
      <c r="I1101" s="5">
        <v>17.309999999999999</v>
      </c>
      <c r="J1101" s="6" t="str">
        <f t="shared" si="34"/>
        <v>Unknown</v>
      </c>
      <c r="K1101" s="6">
        <f t="shared" si="35"/>
        <v>17.309999999999999</v>
      </c>
    </row>
    <row r="1102" spans="1:11" x14ac:dyDescent="0.3">
      <c r="A1102" s="5" t="s">
        <v>3861</v>
      </c>
      <c r="B1102" s="5" t="s">
        <v>14</v>
      </c>
      <c r="C1102" s="5" t="s">
        <v>5866</v>
      </c>
      <c r="D1102" s="28" t="s">
        <v>2463</v>
      </c>
      <c r="E1102" s="5" t="s">
        <v>27</v>
      </c>
      <c r="F1102" s="5" t="s">
        <v>5076</v>
      </c>
      <c r="G1102" s="5" t="s">
        <v>5081</v>
      </c>
      <c r="H1102" s="5" t="s">
        <v>2423</v>
      </c>
      <c r="I1102" s="5">
        <v>10</v>
      </c>
      <c r="J1102" s="6" t="str">
        <f t="shared" si="34"/>
        <v>0</v>
      </c>
      <c r="K1102" s="6">
        <f t="shared" si="35"/>
        <v>10</v>
      </c>
    </row>
    <row r="1103" spans="1:11" x14ac:dyDescent="0.3">
      <c r="A1103" s="5" t="s">
        <v>5500</v>
      </c>
      <c r="B1103" s="5" t="s">
        <v>14</v>
      </c>
      <c r="C1103" s="5" t="s">
        <v>5501</v>
      </c>
      <c r="D1103" s="28" t="s">
        <v>2463</v>
      </c>
      <c r="E1103" s="5" t="s">
        <v>27</v>
      </c>
      <c r="F1103" s="5" t="s">
        <v>5070</v>
      </c>
      <c r="G1103" s="5" t="s">
        <v>5071</v>
      </c>
      <c r="H1103" s="5" t="s">
        <v>2435</v>
      </c>
      <c r="I1103" s="5">
        <v>8.01</v>
      </c>
      <c r="J1103" s="6" t="str">
        <f t="shared" si="34"/>
        <v>0</v>
      </c>
      <c r="K1103" s="6">
        <f t="shared" si="35"/>
        <v>8.01</v>
      </c>
    </row>
    <row r="1104" spans="1:11" x14ac:dyDescent="0.3">
      <c r="A1104" s="5" t="s">
        <v>5470</v>
      </c>
      <c r="B1104" s="5" t="s">
        <v>14</v>
      </c>
      <c r="C1104" s="5" t="s">
        <v>5471</v>
      </c>
      <c r="D1104" s="28" t="s">
        <v>2463</v>
      </c>
      <c r="E1104" s="5" t="s">
        <v>27</v>
      </c>
      <c r="F1104" s="5" t="s">
        <v>5083</v>
      </c>
      <c r="G1104" s="5" t="s">
        <v>5070</v>
      </c>
      <c r="H1104" s="5" t="s">
        <v>2993</v>
      </c>
      <c r="I1104" s="5">
        <v>3.45</v>
      </c>
      <c r="J1104" s="6" t="str">
        <f t="shared" si="34"/>
        <v>2+</v>
      </c>
      <c r="K1104" s="6">
        <f t="shared" si="35"/>
        <v>3.45</v>
      </c>
    </row>
    <row r="1105" spans="1:11" x14ac:dyDescent="0.3">
      <c r="A1105" s="5" t="s">
        <v>3627</v>
      </c>
      <c r="B1105" s="5" t="s">
        <v>14</v>
      </c>
      <c r="C1105" s="5" t="s">
        <v>5997</v>
      </c>
      <c r="D1105" s="28" t="s">
        <v>2463</v>
      </c>
      <c r="E1105" s="5" t="s">
        <v>27</v>
      </c>
      <c r="F1105" s="5" t="s">
        <v>5071</v>
      </c>
      <c r="G1105" s="5" t="s">
        <v>5081</v>
      </c>
      <c r="H1105" s="5" t="s">
        <v>2450</v>
      </c>
      <c r="I1105" s="5">
        <v>3.66</v>
      </c>
      <c r="J1105" s="6" t="str">
        <f t="shared" si="34"/>
        <v>1</v>
      </c>
      <c r="K1105" s="6">
        <f t="shared" si="35"/>
        <v>3.66</v>
      </c>
    </row>
    <row r="1106" spans="1:11" x14ac:dyDescent="0.3">
      <c r="A1106" s="5" t="s">
        <v>5245</v>
      </c>
      <c r="B1106" s="5" t="s">
        <v>14</v>
      </c>
      <c r="C1106" s="5" t="s">
        <v>5246</v>
      </c>
      <c r="D1106" s="28" t="s">
        <v>2463</v>
      </c>
      <c r="E1106" s="5" t="s">
        <v>27</v>
      </c>
      <c r="F1106" s="5" t="s">
        <v>5076</v>
      </c>
      <c r="G1106" s="5" t="s">
        <v>5070</v>
      </c>
      <c r="H1106" s="5"/>
      <c r="I1106" s="5">
        <v>19.91</v>
      </c>
      <c r="J1106" s="6" t="str">
        <f t="shared" si="34"/>
        <v>Unknown</v>
      </c>
      <c r="K1106" s="6">
        <f t="shared" si="35"/>
        <v>19.91</v>
      </c>
    </row>
    <row r="1107" spans="1:11" x14ac:dyDescent="0.3">
      <c r="A1107" s="5" t="s">
        <v>3064</v>
      </c>
      <c r="B1107" s="5" t="s">
        <v>14</v>
      </c>
      <c r="C1107" s="5" t="s">
        <v>6299</v>
      </c>
      <c r="D1107" s="28" t="s">
        <v>2463</v>
      </c>
      <c r="E1107" s="5" t="s">
        <v>27</v>
      </c>
      <c r="F1107" s="5" t="s">
        <v>5071</v>
      </c>
      <c r="G1107" s="5" t="s">
        <v>5073</v>
      </c>
      <c r="H1107" s="5" t="s">
        <v>2408</v>
      </c>
      <c r="I1107" s="5">
        <v>2.4300000000000002</v>
      </c>
      <c r="J1107" s="6" t="str">
        <f t="shared" si="34"/>
        <v>0</v>
      </c>
      <c r="K1107" s="6">
        <f t="shared" si="35"/>
        <v>2.4300000000000002</v>
      </c>
    </row>
    <row r="1108" spans="1:11" x14ac:dyDescent="0.3">
      <c r="A1108" s="5" t="s">
        <v>4185</v>
      </c>
      <c r="B1108" s="5" t="s">
        <v>117</v>
      </c>
      <c r="C1108" s="5" t="s">
        <v>6108</v>
      </c>
      <c r="D1108" s="28" t="s">
        <v>2463</v>
      </c>
      <c r="E1108" s="5" t="s">
        <v>27</v>
      </c>
      <c r="F1108" s="5" t="s">
        <v>5076</v>
      </c>
      <c r="G1108" s="5" t="s">
        <v>5081</v>
      </c>
      <c r="H1108" s="5" t="s">
        <v>2408</v>
      </c>
      <c r="I1108" s="5">
        <v>5.43</v>
      </c>
      <c r="J1108" s="6" t="str">
        <f t="shared" si="34"/>
        <v>0</v>
      </c>
      <c r="K1108" s="6">
        <f t="shared" si="35"/>
        <v>5.43</v>
      </c>
    </row>
    <row r="1109" spans="1:11" x14ac:dyDescent="0.3">
      <c r="A1109" s="5" t="s">
        <v>2462</v>
      </c>
      <c r="B1109" s="5" t="s">
        <v>117</v>
      </c>
      <c r="C1109" s="5" t="s">
        <v>5385</v>
      </c>
      <c r="D1109" s="28" t="s">
        <v>2463</v>
      </c>
      <c r="E1109" s="5" t="s">
        <v>27</v>
      </c>
      <c r="F1109" s="5" t="s">
        <v>5076</v>
      </c>
      <c r="G1109" s="5" t="s">
        <v>5076</v>
      </c>
      <c r="H1109" s="5" t="s">
        <v>2408</v>
      </c>
      <c r="I1109" s="5">
        <v>19.96</v>
      </c>
      <c r="J1109" s="6" t="str">
        <f t="shared" si="34"/>
        <v>0</v>
      </c>
      <c r="K1109" s="6">
        <f t="shared" si="35"/>
        <v>19.96</v>
      </c>
    </row>
    <row r="1110" spans="1:11" x14ac:dyDescent="0.3">
      <c r="A1110" s="5" t="s">
        <v>3769</v>
      </c>
      <c r="B1110" s="5" t="s">
        <v>117</v>
      </c>
      <c r="C1110" s="5" t="s">
        <v>5362</v>
      </c>
      <c r="D1110" s="28" t="s">
        <v>2463</v>
      </c>
      <c r="E1110" s="5" t="s">
        <v>27</v>
      </c>
      <c r="F1110" s="5" t="s">
        <v>5076</v>
      </c>
      <c r="G1110" s="5" t="s">
        <v>5081</v>
      </c>
      <c r="H1110" s="5" t="s">
        <v>2428</v>
      </c>
      <c r="I1110" s="5">
        <v>6.3</v>
      </c>
      <c r="J1110" s="6" t="str">
        <f t="shared" si="34"/>
        <v>2</v>
      </c>
      <c r="K1110" s="6">
        <f t="shared" si="35"/>
        <v>6.3</v>
      </c>
    </row>
    <row r="1111" spans="1:11" x14ac:dyDescent="0.3">
      <c r="A1111" s="5" t="s">
        <v>5784</v>
      </c>
      <c r="B1111" s="5" t="s">
        <v>117</v>
      </c>
      <c r="C1111" s="5" t="s">
        <v>5785</v>
      </c>
      <c r="D1111" s="28" t="s">
        <v>2463</v>
      </c>
      <c r="E1111" s="5" t="s">
        <v>27</v>
      </c>
      <c r="F1111" s="5" t="s">
        <v>5081</v>
      </c>
      <c r="G1111" s="5" t="s">
        <v>5076</v>
      </c>
      <c r="H1111" s="5" t="s">
        <v>2408</v>
      </c>
      <c r="I1111" s="5">
        <v>17.12</v>
      </c>
      <c r="J1111" s="6" t="str">
        <f t="shared" si="34"/>
        <v>0</v>
      </c>
      <c r="K1111" s="6">
        <f t="shared" si="35"/>
        <v>17.12</v>
      </c>
    </row>
    <row r="1112" spans="1:11" x14ac:dyDescent="0.3">
      <c r="A1112" s="5" t="s">
        <v>6481</v>
      </c>
      <c r="B1112" s="5" t="s">
        <v>117</v>
      </c>
      <c r="C1112" s="5" t="s">
        <v>6482</v>
      </c>
      <c r="D1112" s="28" t="s">
        <v>2463</v>
      </c>
      <c r="E1112" s="5" t="s">
        <v>27</v>
      </c>
      <c r="F1112" s="5" t="s">
        <v>5070</v>
      </c>
      <c r="G1112" s="5" t="s">
        <v>5071</v>
      </c>
      <c r="H1112" s="5" t="s">
        <v>2455</v>
      </c>
      <c r="I1112" s="5">
        <v>17.5</v>
      </c>
      <c r="J1112" s="6" t="str">
        <f t="shared" si="34"/>
        <v>1</v>
      </c>
      <c r="K1112" s="6">
        <f t="shared" si="35"/>
        <v>17.5</v>
      </c>
    </row>
    <row r="1113" spans="1:11" x14ac:dyDescent="0.3">
      <c r="A1113" s="5" t="s">
        <v>5995</v>
      </c>
      <c r="B1113" s="5" t="s">
        <v>117</v>
      </c>
      <c r="C1113" s="5" t="s">
        <v>5996</v>
      </c>
      <c r="D1113" s="28" t="s">
        <v>2463</v>
      </c>
      <c r="E1113" s="5" t="s">
        <v>27</v>
      </c>
      <c r="F1113" s="5" t="s">
        <v>5070</v>
      </c>
      <c r="G1113" s="5" t="s">
        <v>5083</v>
      </c>
      <c r="H1113" s="5" t="s">
        <v>2746</v>
      </c>
      <c r="I1113" s="5">
        <v>14.91</v>
      </c>
      <c r="J1113" s="6" t="str">
        <f t="shared" si="34"/>
        <v>2</v>
      </c>
      <c r="K1113" s="6">
        <f t="shared" si="35"/>
        <v>14.91</v>
      </c>
    </row>
    <row r="1114" spans="1:11" x14ac:dyDescent="0.3">
      <c r="A1114" s="5" t="s">
        <v>2779</v>
      </c>
      <c r="B1114" s="5" t="s">
        <v>117</v>
      </c>
      <c r="C1114" s="5" t="s">
        <v>5233</v>
      </c>
      <c r="D1114" s="28" t="s">
        <v>2463</v>
      </c>
      <c r="E1114" s="5" t="s">
        <v>27</v>
      </c>
      <c r="F1114" s="5" t="s">
        <v>5071</v>
      </c>
      <c r="G1114" s="5" t="s">
        <v>5073</v>
      </c>
      <c r="H1114" s="5" t="s">
        <v>2412</v>
      </c>
      <c r="I1114" s="5">
        <v>6.96</v>
      </c>
      <c r="J1114" s="6" t="str">
        <f t="shared" si="34"/>
        <v>1</v>
      </c>
      <c r="K1114" s="6">
        <f t="shared" si="35"/>
        <v>6.96</v>
      </c>
    </row>
    <row r="1115" spans="1:11" x14ac:dyDescent="0.3">
      <c r="A1115" s="5" t="s">
        <v>2922</v>
      </c>
      <c r="B1115" s="5" t="s">
        <v>25</v>
      </c>
      <c r="C1115" s="5" t="s">
        <v>5829</v>
      </c>
      <c r="D1115" s="28" t="s">
        <v>2463</v>
      </c>
      <c r="E1115" s="5" t="s">
        <v>27</v>
      </c>
      <c r="F1115" s="5" t="s">
        <v>5081</v>
      </c>
      <c r="G1115" s="5" t="s">
        <v>5076</v>
      </c>
      <c r="H1115" s="5" t="s">
        <v>2450</v>
      </c>
      <c r="I1115" s="5">
        <v>17.86</v>
      </c>
      <c r="J1115" s="6" t="str">
        <f t="shared" si="34"/>
        <v>1</v>
      </c>
      <c r="K1115" s="6">
        <f t="shared" si="35"/>
        <v>17.86</v>
      </c>
    </row>
    <row r="1116" spans="1:11" x14ac:dyDescent="0.3">
      <c r="A1116" s="5" t="s">
        <v>2886</v>
      </c>
      <c r="B1116" s="5" t="s">
        <v>25</v>
      </c>
      <c r="C1116" s="5" t="s">
        <v>6355</v>
      </c>
      <c r="D1116" s="28" t="s">
        <v>2463</v>
      </c>
      <c r="E1116" s="5" t="s">
        <v>27</v>
      </c>
      <c r="F1116" s="5" t="s">
        <v>5073</v>
      </c>
      <c r="G1116" s="5" t="s">
        <v>5070</v>
      </c>
      <c r="H1116" s="5" t="s">
        <v>2477</v>
      </c>
      <c r="I1116" s="5">
        <v>8.1</v>
      </c>
      <c r="J1116" s="6" t="str">
        <f t="shared" si="34"/>
        <v>0</v>
      </c>
      <c r="K1116" s="6">
        <f t="shared" si="35"/>
        <v>8.1</v>
      </c>
    </row>
    <row r="1117" spans="1:11" x14ac:dyDescent="0.3">
      <c r="A1117" s="5" t="s">
        <v>3696</v>
      </c>
      <c r="B1117" s="5" t="s">
        <v>25</v>
      </c>
      <c r="C1117" s="5" t="s">
        <v>6218</v>
      </c>
      <c r="D1117" s="28" t="s">
        <v>2463</v>
      </c>
      <c r="E1117" s="5" t="s">
        <v>27</v>
      </c>
      <c r="F1117" s="5" t="s">
        <v>5081</v>
      </c>
      <c r="G1117" s="5" t="s">
        <v>5071</v>
      </c>
      <c r="H1117" s="5" t="s">
        <v>2428</v>
      </c>
      <c r="I1117" s="5">
        <v>19.09</v>
      </c>
      <c r="J1117" s="6" t="str">
        <f t="shared" si="34"/>
        <v>2</v>
      </c>
      <c r="K1117" s="6">
        <f t="shared" si="35"/>
        <v>19.09</v>
      </c>
    </row>
    <row r="1118" spans="1:11" x14ac:dyDescent="0.3">
      <c r="A1118" s="5" t="s">
        <v>6243</v>
      </c>
      <c r="B1118" s="5" t="s">
        <v>25</v>
      </c>
      <c r="C1118" s="5" t="s">
        <v>6244</v>
      </c>
      <c r="D1118" s="28" t="s">
        <v>2463</v>
      </c>
      <c r="E1118" s="5" t="s">
        <v>27</v>
      </c>
      <c r="F1118" s="5" t="s">
        <v>5076</v>
      </c>
      <c r="G1118" s="5" t="s">
        <v>5083</v>
      </c>
      <c r="H1118" s="5"/>
      <c r="I1118" s="5">
        <v>13.91</v>
      </c>
      <c r="J1118" s="6" t="str">
        <f t="shared" si="34"/>
        <v>Unknown</v>
      </c>
      <c r="K1118" s="6">
        <f t="shared" si="35"/>
        <v>13.91</v>
      </c>
    </row>
    <row r="1119" spans="1:11" x14ac:dyDescent="0.3">
      <c r="A1119" s="5" t="s">
        <v>5322</v>
      </c>
      <c r="B1119" s="5" t="s">
        <v>25</v>
      </c>
      <c r="C1119" s="5" t="s">
        <v>5323</v>
      </c>
      <c r="D1119" s="28" t="s">
        <v>2463</v>
      </c>
      <c r="E1119" s="5" t="s">
        <v>27</v>
      </c>
      <c r="F1119" s="5" t="s">
        <v>5076</v>
      </c>
      <c r="G1119" s="5" t="s">
        <v>5070</v>
      </c>
      <c r="H1119" s="5" t="s">
        <v>2435</v>
      </c>
      <c r="I1119" s="5">
        <v>14.92</v>
      </c>
      <c r="J1119" s="6" t="str">
        <f t="shared" si="34"/>
        <v>0</v>
      </c>
      <c r="K1119" s="6">
        <f t="shared" si="35"/>
        <v>14.92</v>
      </c>
    </row>
    <row r="1120" spans="1:11" x14ac:dyDescent="0.3">
      <c r="A1120" s="5" t="s">
        <v>6303</v>
      </c>
      <c r="B1120" s="5" t="s">
        <v>25</v>
      </c>
      <c r="C1120" s="5" t="s">
        <v>6304</v>
      </c>
      <c r="D1120" s="28" t="s">
        <v>2463</v>
      </c>
      <c r="E1120" s="5" t="s">
        <v>27</v>
      </c>
      <c r="F1120" s="5" t="s">
        <v>5076</v>
      </c>
      <c r="G1120" s="5" t="s">
        <v>5083</v>
      </c>
      <c r="H1120" s="5" t="s">
        <v>2455</v>
      </c>
      <c r="I1120" s="5">
        <v>13.38</v>
      </c>
      <c r="J1120" s="6" t="str">
        <f t="shared" si="34"/>
        <v>1</v>
      </c>
      <c r="K1120" s="6">
        <f t="shared" si="35"/>
        <v>13.38</v>
      </c>
    </row>
    <row r="1121" spans="1:11" x14ac:dyDescent="0.3">
      <c r="A1121" s="5" t="s">
        <v>4599</v>
      </c>
      <c r="B1121" s="5" t="s">
        <v>25</v>
      </c>
      <c r="C1121" s="5" t="s">
        <v>6042</v>
      </c>
      <c r="D1121" s="28" t="s">
        <v>2463</v>
      </c>
      <c r="E1121" s="5" t="s">
        <v>27</v>
      </c>
      <c r="F1121" s="5" t="s">
        <v>5073</v>
      </c>
      <c r="G1121" s="5" t="s">
        <v>5081</v>
      </c>
      <c r="H1121" s="5" t="s">
        <v>2746</v>
      </c>
      <c r="I1121" s="5">
        <v>18</v>
      </c>
      <c r="J1121" s="6" t="str">
        <f t="shared" si="34"/>
        <v>2</v>
      </c>
      <c r="K1121" s="6">
        <f t="shared" si="35"/>
        <v>18</v>
      </c>
    </row>
    <row r="1122" spans="1:11" x14ac:dyDescent="0.3">
      <c r="A1122" s="5" t="s">
        <v>3380</v>
      </c>
      <c r="B1122" s="5" t="s">
        <v>25</v>
      </c>
      <c r="C1122" s="5" t="s">
        <v>5485</v>
      </c>
      <c r="D1122" s="28" t="s">
        <v>2463</v>
      </c>
      <c r="E1122" s="5" t="s">
        <v>27</v>
      </c>
      <c r="F1122" s="5" t="s">
        <v>5073</v>
      </c>
      <c r="G1122" s="5" t="s">
        <v>5070</v>
      </c>
      <c r="H1122" s="5" t="s">
        <v>2423</v>
      </c>
      <c r="I1122" s="5">
        <v>11.19</v>
      </c>
      <c r="J1122" s="6" t="str">
        <f t="shared" si="34"/>
        <v>0</v>
      </c>
      <c r="K1122" s="6">
        <f t="shared" si="35"/>
        <v>11.19</v>
      </c>
    </row>
    <row r="1123" spans="1:11" x14ac:dyDescent="0.3">
      <c r="A1123" s="5" t="s">
        <v>4085</v>
      </c>
      <c r="B1123" s="5" t="s">
        <v>25</v>
      </c>
      <c r="C1123" s="5" t="s">
        <v>6322</v>
      </c>
      <c r="D1123" s="28" t="s">
        <v>2463</v>
      </c>
      <c r="E1123" s="5" t="s">
        <v>27</v>
      </c>
      <c r="F1123" s="5" t="s">
        <v>5070</v>
      </c>
      <c r="G1123" s="5" t="s">
        <v>5076</v>
      </c>
      <c r="H1123" s="5" t="s">
        <v>2428</v>
      </c>
      <c r="I1123" s="5">
        <v>18.37</v>
      </c>
      <c r="J1123" s="6" t="str">
        <f t="shared" si="34"/>
        <v>2</v>
      </c>
      <c r="K1123" s="6">
        <f t="shared" si="35"/>
        <v>18.37</v>
      </c>
    </row>
    <row r="1124" spans="1:11" x14ac:dyDescent="0.3">
      <c r="A1124" s="5" t="s">
        <v>2932</v>
      </c>
      <c r="B1124" s="5" t="s">
        <v>106</v>
      </c>
      <c r="C1124" s="5" t="s">
        <v>5443</v>
      </c>
      <c r="D1124" s="28" t="s">
        <v>2463</v>
      </c>
      <c r="E1124" s="5" t="s">
        <v>27</v>
      </c>
      <c r="F1124" s="5" t="s">
        <v>5076</v>
      </c>
      <c r="G1124" s="5" t="s">
        <v>5071</v>
      </c>
      <c r="H1124" s="5" t="s">
        <v>2455</v>
      </c>
      <c r="I1124" s="5">
        <v>9.08</v>
      </c>
      <c r="J1124" s="6" t="str">
        <f t="shared" si="34"/>
        <v>1</v>
      </c>
      <c r="K1124" s="6">
        <f t="shared" si="35"/>
        <v>9.08</v>
      </c>
    </row>
    <row r="1125" spans="1:11" x14ac:dyDescent="0.3">
      <c r="A1125" s="5" t="s">
        <v>5727</v>
      </c>
      <c r="B1125" s="5" t="s">
        <v>106</v>
      </c>
      <c r="C1125" s="5" t="s">
        <v>5728</v>
      </c>
      <c r="D1125" s="28" t="s">
        <v>2463</v>
      </c>
      <c r="E1125" s="5" t="s">
        <v>27</v>
      </c>
      <c r="F1125" s="5" t="s">
        <v>5073</v>
      </c>
      <c r="G1125" s="5" t="s">
        <v>5076</v>
      </c>
      <c r="H1125" s="5" t="s">
        <v>2423</v>
      </c>
      <c r="I1125" s="5">
        <v>7.49</v>
      </c>
      <c r="J1125" s="6" t="str">
        <f t="shared" si="34"/>
        <v>0</v>
      </c>
      <c r="K1125" s="6">
        <f t="shared" si="35"/>
        <v>7.49</v>
      </c>
    </row>
    <row r="1126" spans="1:11" x14ac:dyDescent="0.3">
      <c r="A1126" s="5" t="s">
        <v>5332</v>
      </c>
      <c r="B1126" s="5" t="s">
        <v>106</v>
      </c>
      <c r="C1126" s="5" t="s">
        <v>5333</v>
      </c>
      <c r="D1126" s="28" t="s">
        <v>2463</v>
      </c>
      <c r="E1126" s="5" t="s">
        <v>27</v>
      </c>
      <c r="F1126" s="5" t="s">
        <v>5070</v>
      </c>
      <c r="G1126" s="5" t="s">
        <v>5070</v>
      </c>
      <c r="H1126" s="5" t="s">
        <v>2423</v>
      </c>
      <c r="I1126" s="5">
        <v>10.71</v>
      </c>
      <c r="J1126" s="6" t="str">
        <f t="shared" si="34"/>
        <v>0</v>
      </c>
      <c r="K1126" s="6">
        <f t="shared" si="35"/>
        <v>10.71</v>
      </c>
    </row>
    <row r="1127" spans="1:11" x14ac:dyDescent="0.3">
      <c r="A1127" s="5" t="s">
        <v>5922</v>
      </c>
      <c r="B1127" s="5" t="s">
        <v>106</v>
      </c>
      <c r="C1127" s="5" t="s">
        <v>5923</v>
      </c>
      <c r="D1127" s="28" t="s">
        <v>2463</v>
      </c>
      <c r="E1127" s="5" t="s">
        <v>27</v>
      </c>
      <c r="F1127" s="5" t="s">
        <v>5070</v>
      </c>
      <c r="G1127" s="5" t="s">
        <v>5081</v>
      </c>
      <c r="H1127" s="5" t="s">
        <v>2412</v>
      </c>
      <c r="I1127" s="5">
        <v>17.48</v>
      </c>
      <c r="J1127" s="6" t="str">
        <f t="shared" si="34"/>
        <v>1</v>
      </c>
      <c r="K1127" s="6">
        <f t="shared" si="35"/>
        <v>17.48</v>
      </c>
    </row>
    <row r="1128" spans="1:11" x14ac:dyDescent="0.3">
      <c r="A1128" s="5" t="s">
        <v>5959</v>
      </c>
      <c r="B1128" s="5" t="s">
        <v>106</v>
      </c>
      <c r="C1128" s="5" t="s">
        <v>5833</v>
      </c>
      <c r="D1128" s="28" t="s">
        <v>2463</v>
      </c>
      <c r="E1128" s="5" t="s">
        <v>27</v>
      </c>
      <c r="F1128" s="5" t="s">
        <v>5070</v>
      </c>
      <c r="G1128" s="5" t="s">
        <v>5073</v>
      </c>
      <c r="H1128" s="5" t="s">
        <v>2477</v>
      </c>
      <c r="I1128" s="5">
        <v>5.75</v>
      </c>
      <c r="J1128" s="6" t="str">
        <f t="shared" si="34"/>
        <v>0</v>
      </c>
      <c r="K1128" s="6">
        <f t="shared" si="35"/>
        <v>5.75</v>
      </c>
    </row>
    <row r="1129" spans="1:11" x14ac:dyDescent="0.3">
      <c r="A1129" s="5" t="s">
        <v>4265</v>
      </c>
      <c r="B1129" s="5" t="s">
        <v>106</v>
      </c>
      <c r="C1129" s="5" t="s">
        <v>6090</v>
      </c>
      <c r="D1129" s="28" t="s">
        <v>2463</v>
      </c>
      <c r="E1129" s="5" t="s">
        <v>27</v>
      </c>
      <c r="F1129" s="5" t="s">
        <v>5070</v>
      </c>
      <c r="G1129" s="5" t="s">
        <v>5081</v>
      </c>
      <c r="H1129" s="5" t="s">
        <v>2412</v>
      </c>
      <c r="I1129" s="5">
        <v>18.690000000000001</v>
      </c>
      <c r="J1129" s="6" t="str">
        <f t="shared" si="34"/>
        <v>1</v>
      </c>
      <c r="K1129" s="6">
        <f t="shared" si="35"/>
        <v>18.690000000000001</v>
      </c>
    </row>
    <row r="1130" spans="1:11" x14ac:dyDescent="0.3">
      <c r="A1130" s="5" t="s">
        <v>4064</v>
      </c>
      <c r="B1130" s="5" t="s">
        <v>106</v>
      </c>
      <c r="C1130" s="5" t="s">
        <v>6307</v>
      </c>
      <c r="D1130" s="28" t="s">
        <v>2463</v>
      </c>
      <c r="E1130" s="5" t="s">
        <v>27</v>
      </c>
      <c r="F1130" s="5" t="s">
        <v>5070</v>
      </c>
      <c r="G1130" s="5" t="s">
        <v>5076</v>
      </c>
      <c r="H1130" s="5"/>
      <c r="I1130" s="5">
        <v>6.34</v>
      </c>
      <c r="J1130" s="6" t="str">
        <f t="shared" si="34"/>
        <v>Unknown</v>
      </c>
      <c r="K1130" s="6">
        <f t="shared" si="35"/>
        <v>6.34</v>
      </c>
    </row>
    <row r="1131" spans="1:11" x14ac:dyDescent="0.3">
      <c r="A1131" s="5" t="s">
        <v>5205</v>
      </c>
      <c r="B1131" s="5" t="s">
        <v>106</v>
      </c>
      <c r="C1131" s="5" t="s">
        <v>5206</v>
      </c>
      <c r="D1131" s="28" t="s">
        <v>2463</v>
      </c>
      <c r="E1131" s="5" t="s">
        <v>27</v>
      </c>
      <c r="F1131" s="5" t="s">
        <v>5070</v>
      </c>
      <c r="G1131" s="5" t="s">
        <v>5081</v>
      </c>
      <c r="H1131" s="5" t="s">
        <v>2423</v>
      </c>
      <c r="I1131" s="5">
        <v>4.12</v>
      </c>
      <c r="J1131" s="6" t="str">
        <f t="shared" si="34"/>
        <v>0</v>
      </c>
      <c r="K1131" s="6">
        <f t="shared" si="35"/>
        <v>4.12</v>
      </c>
    </row>
    <row r="1132" spans="1:11" x14ac:dyDescent="0.3">
      <c r="A1132" s="5" t="s">
        <v>3413</v>
      </c>
      <c r="B1132" s="5" t="s">
        <v>78</v>
      </c>
      <c r="C1132" s="5" t="s">
        <v>5750</v>
      </c>
      <c r="D1132" s="28" t="s">
        <v>2431</v>
      </c>
      <c r="E1132" s="5" t="s">
        <v>16</v>
      </c>
      <c r="F1132" s="5" t="s">
        <v>5073</v>
      </c>
      <c r="G1132" s="5" t="s">
        <v>5071</v>
      </c>
      <c r="H1132" s="5" t="s">
        <v>2423</v>
      </c>
      <c r="I1132" s="5">
        <v>16.61</v>
      </c>
      <c r="J1132" s="6" t="str">
        <f t="shared" si="34"/>
        <v>0</v>
      </c>
      <c r="K1132" s="6">
        <f t="shared" si="35"/>
        <v>16.61</v>
      </c>
    </row>
    <row r="1133" spans="1:11" x14ac:dyDescent="0.3">
      <c r="A1133" s="5" t="s">
        <v>4733</v>
      </c>
      <c r="B1133" s="5" t="s">
        <v>78</v>
      </c>
      <c r="C1133" s="5" t="s">
        <v>5731</v>
      </c>
      <c r="D1133" s="28" t="s">
        <v>2431</v>
      </c>
      <c r="E1133" s="5" t="s">
        <v>16</v>
      </c>
      <c r="F1133" s="5" t="s">
        <v>5076</v>
      </c>
      <c r="G1133" s="5" t="s">
        <v>5081</v>
      </c>
      <c r="H1133" s="5" t="s">
        <v>2455</v>
      </c>
      <c r="I1133" s="5">
        <v>14.98</v>
      </c>
      <c r="J1133" s="6" t="str">
        <f t="shared" si="34"/>
        <v>1</v>
      </c>
      <c r="K1133" s="6">
        <f t="shared" si="35"/>
        <v>14.98</v>
      </c>
    </row>
    <row r="1134" spans="1:11" x14ac:dyDescent="0.3">
      <c r="A1134" s="5" t="s">
        <v>4195</v>
      </c>
      <c r="B1134" s="5" t="s">
        <v>78</v>
      </c>
      <c r="C1134" s="5" t="s">
        <v>5949</v>
      </c>
      <c r="D1134" s="28" t="s">
        <v>2431</v>
      </c>
      <c r="E1134" s="5" t="s">
        <v>16</v>
      </c>
      <c r="F1134" s="5" t="s">
        <v>5071</v>
      </c>
      <c r="G1134" s="5" t="s">
        <v>5081</v>
      </c>
      <c r="H1134" s="5"/>
      <c r="I1134" s="5">
        <v>1.78</v>
      </c>
      <c r="J1134" s="6" t="str">
        <f t="shared" si="34"/>
        <v>Unknown</v>
      </c>
      <c r="K1134" s="6">
        <f t="shared" si="35"/>
        <v>1.78</v>
      </c>
    </row>
    <row r="1135" spans="1:11" x14ac:dyDescent="0.3">
      <c r="A1135" s="5" t="s">
        <v>5941</v>
      </c>
      <c r="B1135" s="5" t="s">
        <v>78</v>
      </c>
      <c r="C1135" s="5" t="s">
        <v>5498</v>
      </c>
      <c r="D1135" s="28" t="s">
        <v>2431</v>
      </c>
      <c r="E1135" s="5" t="s">
        <v>16</v>
      </c>
      <c r="F1135" s="5" t="s">
        <v>5083</v>
      </c>
      <c r="G1135" s="5" t="s">
        <v>5073</v>
      </c>
      <c r="H1135" s="5" t="s">
        <v>2746</v>
      </c>
      <c r="I1135" s="5">
        <v>14.12</v>
      </c>
      <c r="J1135" s="6" t="str">
        <f t="shared" si="34"/>
        <v>2</v>
      </c>
      <c r="K1135" s="6">
        <f t="shared" si="35"/>
        <v>14.12</v>
      </c>
    </row>
    <row r="1136" spans="1:11" x14ac:dyDescent="0.3">
      <c r="A1136" s="5" t="s">
        <v>5381</v>
      </c>
      <c r="B1136" s="5" t="s">
        <v>45</v>
      </c>
      <c r="C1136" s="5" t="s">
        <v>5382</v>
      </c>
      <c r="D1136" s="28" t="s">
        <v>2431</v>
      </c>
      <c r="E1136" s="5" t="s">
        <v>16</v>
      </c>
      <c r="F1136" s="5" t="s">
        <v>5083</v>
      </c>
      <c r="G1136" s="5" t="s">
        <v>5083</v>
      </c>
      <c r="H1136" s="5" t="s">
        <v>2412</v>
      </c>
      <c r="I1136" s="5">
        <v>12.69</v>
      </c>
      <c r="J1136" s="6" t="str">
        <f t="shared" si="34"/>
        <v>1</v>
      </c>
      <c r="K1136" s="6">
        <f t="shared" si="35"/>
        <v>12.69</v>
      </c>
    </row>
    <row r="1137" spans="1:11" x14ac:dyDescent="0.3">
      <c r="A1137" s="5" t="s">
        <v>5523</v>
      </c>
      <c r="B1137" s="5" t="s">
        <v>45</v>
      </c>
      <c r="C1137" s="5" t="s">
        <v>5524</v>
      </c>
      <c r="D1137" s="28" t="s">
        <v>2431</v>
      </c>
      <c r="E1137" s="5" t="s">
        <v>16</v>
      </c>
      <c r="F1137" s="5" t="s">
        <v>5083</v>
      </c>
      <c r="G1137" s="5" t="s">
        <v>5073</v>
      </c>
      <c r="H1137" s="5" t="s">
        <v>2477</v>
      </c>
      <c r="I1137" s="5">
        <v>2.63</v>
      </c>
      <c r="J1137" s="6" t="str">
        <f t="shared" si="34"/>
        <v>0</v>
      </c>
      <c r="K1137" s="6">
        <f t="shared" si="35"/>
        <v>2.63</v>
      </c>
    </row>
    <row r="1138" spans="1:11" x14ac:dyDescent="0.3">
      <c r="A1138" s="5" t="s">
        <v>5297</v>
      </c>
      <c r="B1138" s="5" t="s">
        <v>45</v>
      </c>
      <c r="C1138" s="5" t="s">
        <v>5298</v>
      </c>
      <c r="D1138" s="28" t="s">
        <v>2431</v>
      </c>
      <c r="E1138" s="5" t="s">
        <v>16</v>
      </c>
      <c r="F1138" s="5" t="s">
        <v>5081</v>
      </c>
      <c r="G1138" s="5" t="s">
        <v>5081</v>
      </c>
      <c r="H1138" s="5" t="s">
        <v>2435</v>
      </c>
      <c r="I1138" s="5"/>
      <c r="J1138" s="6" t="str">
        <f t="shared" si="34"/>
        <v>0</v>
      </c>
      <c r="K1138" s="6">
        <f t="shared" si="35"/>
        <v>10.199999999999999</v>
      </c>
    </row>
    <row r="1139" spans="1:11" x14ac:dyDescent="0.3">
      <c r="A1139" s="5" t="s">
        <v>5637</v>
      </c>
      <c r="B1139" s="5" t="s">
        <v>45</v>
      </c>
      <c r="C1139" s="5" t="s">
        <v>5638</v>
      </c>
      <c r="D1139" s="28" t="s">
        <v>2431</v>
      </c>
      <c r="E1139" s="5" t="s">
        <v>16</v>
      </c>
      <c r="F1139" s="5" t="s">
        <v>5083</v>
      </c>
      <c r="G1139" s="5" t="s">
        <v>5070</v>
      </c>
      <c r="H1139" s="5" t="s">
        <v>2486</v>
      </c>
      <c r="I1139" s="5">
        <v>18.16</v>
      </c>
      <c r="J1139" s="6" t="str">
        <f t="shared" si="34"/>
        <v>2+</v>
      </c>
      <c r="K1139" s="6">
        <f t="shared" si="35"/>
        <v>18.16</v>
      </c>
    </row>
    <row r="1140" spans="1:11" x14ac:dyDescent="0.3">
      <c r="A1140" s="5" t="s">
        <v>3928</v>
      </c>
      <c r="B1140" s="5" t="s">
        <v>45</v>
      </c>
      <c r="C1140" s="5" t="s">
        <v>5911</v>
      </c>
      <c r="D1140" s="28" t="s">
        <v>2431</v>
      </c>
      <c r="E1140" s="5" t="s">
        <v>16</v>
      </c>
      <c r="F1140" s="5" t="s">
        <v>5083</v>
      </c>
      <c r="G1140" s="5" t="s">
        <v>5083</v>
      </c>
      <c r="H1140" s="5" t="s">
        <v>2423</v>
      </c>
      <c r="I1140" s="5">
        <v>4.22</v>
      </c>
      <c r="J1140" s="6" t="str">
        <f t="shared" si="34"/>
        <v>0</v>
      </c>
      <c r="K1140" s="6">
        <f t="shared" si="35"/>
        <v>4.22</v>
      </c>
    </row>
    <row r="1141" spans="1:11" x14ac:dyDescent="0.3">
      <c r="A1141" s="5" t="s">
        <v>4843</v>
      </c>
      <c r="B1141" s="5" t="s">
        <v>45</v>
      </c>
      <c r="C1141" s="5" t="s">
        <v>5375</v>
      </c>
      <c r="D1141" s="28" t="s">
        <v>2431</v>
      </c>
      <c r="E1141" s="5" t="s">
        <v>16</v>
      </c>
      <c r="F1141" s="5" t="s">
        <v>5076</v>
      </c>
      <c r="G1141" s="5" t="s">
        <v>5073</v>
      </c>
      <c r="H1141" s="5" t="s">
        <v>2423</v>
      </c>
      <c r="I1141" s="5">
        <v>15.49</v>
      </c>
      <c r="J1141" s="6" t="str">
        <f t="shared" si="34"/>
        <v>0</v>
      </c>
      <c r="K1141" s="6">
        <f t="shared" si="35"/>
        <v>15.49</v>
      </c>
    </row>
    <row r="1142" spans="1:11" x14ac:dyDescent="0.3">
      <c r="A1142" s="5" t="s">
        <v>5355</v>
      </c>
      <c r="B1142" s="5" t="s">
        <v>14</v>
      </c>
      <c r="C1142" s="5" t="s">
        <v>5356</v>
      </c>
      <c r="D1142" s="28" t="s">
        <v>2431</v>
      </c>
      <c r="E1142" s="5" t="s">
        <v>16</v>
      </c>
      <c r="F1142" s="5" t="s">
        <v>5076</v>
      </c>
      <c r="G1142" s="5" t="s">
        <v>5071</v>
      </c>
      <c r="H1142" s="5" t="s">
        <v>2435</v>
      </c>
      <c r="I1142" s="5">
        <v>8.2200000000000006</v>
      </c>
      <c r="J1142" s="6" t="str">
        <f t="shared" si="34"/>
        <v>0</v>
      </c>
      <c r="K1142" s="6">
        <f t="shared" si="35"/>
        <v>8.2200000000000006</v>
      </c>
    </row>
    <row r="1143" spans="1:11" x14ac:dyDescent="0.3">
      <c r="A1143" s="5" t="s">
        <v>4272</v>
      </c>
      <c r="B1143" s="5" t="s">
        <v>14</v>
      </c>
      <c r="C1143" s="5" t="s">
        <v>6132</v>
      </c>
      <c r="D1143" s="28" t="s">
        <v>2431</v>
      </c>
      <c r="E1143" s="5" t="s">
        <v>16</v>
      </c>
      <c r="F1143" s="5" t="s">
        <v>5071</v>
      </c>
      <c r="G1143" s="5" t="s">
        <v>5076</v>
      </c>
      <c r="H1143" s="5" t="s">
        <v>2423</v>
      </c>
      <c r="I1143" s="5">
        <v>7.66</v>
      </c>
      <c r="J1143" s="6" t="str">
        <f t="shared" si="34"/>
        <v>0</v>
      </c>
      <c r="K1143" s="6">
        <f t="shared" si="35"/>
        <v>7.66</v>
      </c>
    </row>
    <row r="1144" spans="1:11" x14ac:dyDescent="0.3">
      <c r="A1144" s="5" t="s">
        <v>4389</v>
      </c>
      <c r="B1144" s="5" t="s">
        <v>14</v>
      </c>
      <c r="C1144" s="5" t="s">
        <v>6207</v>
      </c>
      <c r="D1144" s="28" t="s">
        <v>2431</v>
      </c>
      <c r="E1144" s="5" t="s">
        <v>16</v>
      </c>
      <c r="F1144" s="5" t="s">
        <v>5070</v>
      </c>
      <c r="G1144" s="5" t="s">
        <v>5076</v>
      </c>
      <c r="H1144" s="5" t="s">
        <v>2423</v>
      </c>
      <c r="I1144" s="5">
        <v>8.65</v>
      </c>
      <c r="J1144" s="6" t="str">
        <f t="shared" si="34"/>
        <v>0</v>
      </c>
      <c r="K1144" s="6">
        <f t="shared" si="35"/>
        <v>8.65</v>
      </c>
    </row>
    <row r="1145" spans="1:11" x14ac:dyDescent="0.3">
      <c r="A1145" s="5" t="s">
        <v>4004</v>
      </c>
      <c r="B1145" s="5" t="s">
        <v>14</v>
      </c>
      <c r="C1145" s="5" t="s">
        <v>6420</v>
      </c>
      <c r="D1145" s="28" t="s">
        <v>2431</v>
      </c>
      <c r="E1145" s="5" t="s">
        <v>16</v>
      </c>
      <c r="F1145" s="5" t="s">
        <v>5076</v>
      </c>
      <c r="G1145" s="5" t="s">
        <v>5081</v>
      </c>
      <c r="H1145" s="5" t="s">
        <v>2450</v>
      </c>
      <c r="I1145" s="5">
        <v>11.06</v>
      </c>
      <c r="J1145" s="6" t="str">
        <f t="shared" si="34"/>
        <v>1</v>
      </c>
      <c r="K1145" s="6">
        <f t="shared" si="35"/>
        <v>11.06</v>
      </c>
    </row>
    <row r="1146" spans="1:11" x14ac:dyDescent="0.3">
      <c r="A1146" s="5" t="s">
        <v>5408</v>
      </c>
      <c r="B1146" s="5" t="s">
        <v>14</v>
      </c>
      <c r="C1146" s="5" t="s">
        <v>5409</v>
      </c>
      <c r="D1146" s="28" t="s">
        <v>2431</v>
      </c>
      <c r="E1146" s="5" t="s">
        <v>16</v>
      </c>
      <c r="F1146" s="5" t="s">
        <v>5083</v>
      </c>
      <c r="G1146" s="5" t="s">
        <v>5073</v>
      </c>
      <c r="H1146" s="5" t="s">
        <v>2418</v>
      </c>
      <c r="I1146" s="5">
        <v>17.22</v>
      </c>
      <c r="J1146" s="6" t="str">
        <f t="shared" si="34"/>
        <v>1</v>
      </c>
      <c r="K1146" s="6">
        <f t="shared" si="35"/>
        <v>17.22</v>
      </c>
    </row>
    <row r="1147" spans="1:11" x14ac:dyDescent="0.3">
      <c r="A1147" s="5" t="s">
        <v>6209</v>
      </c>
      <c r="B1147" s="5" t="s">
        <v>117</v>
      </c>
      <c r="C1147" s="5" t="s">
        <v>6210</v>
      </c>
      <c r="D1147" s="28" t="s">
        <v>2431</v>
      </c>
      <c r="E1147" s="5" t="s">
        <v>16</v>
      </c>
      <c r="F1147" s="5" t="s">
        <v>5076</v>
      </c>
      <c r="G1147" s="5" t="s">
        <v>5076</v>
      </c>
      <c r="H1147" s="5" t="s">
        <v>2435</v>
      </c>
      <c r="I1147" s="5">
        <v>1.1599999999999999</v>
      </c>
      <c r="J1147" s="6" t="str">
        <f t="shared" si="34"/>
        <v>0</v>
      </c>
      <c r="K1147" s="6">
        <f t="shared" si="35"/>
        <v>1.1599999999999999</v>
      </c>
    </row>
    <row r="1148" spans="1:11" x14ac:dyDescent="0.3">
      <c r="A1148" s="5" t="s">
        <v>3397</v>
      </c>
      <c r="B1148" s="5" t="s">
        <v>117</v>
      </c>
      <c r="C1148" s="5" t="s">
        <v>5319</v>
      </c>
      <c r="D1148" s="28" t="s">
        <v>2431</v>
      </c>
      <c r="E1148" s="5" t="s">
        <v>16</v>
      </c>
      <c r="F1148" s="5" t="s">
        <v>5073</v>
      </c>
      <c r="G1148" s="5" t="s">
        <v>5073</v>
      </c>
      <c r="H1148" s="5" t="s">
        <v>2505</v>
      </c>
      <c r="I1148" s="5">
        <v>6.33</v>
      </c>
      <c r="J1148" s="6" t="str">
        <f t="shared" si="34"/>
        <v>2+</v>
      </c>
      <c r="K1148" s="6">
        <f t="shared" si="35"/>
        <v>6.33</v>
      </c>
    </row>
    <row r="1149" spans="1:11" x14ac:dyDescent="0.3">
      <c r="A1149" s="5" t="s">
        <v>3995</v>
      </c>
      <c r="B1149" s="5" t="s">
        <v>117</v>
      </c>
      <c r="C1149" s="5" t="s">
        <v>5726</v>
      </c>
      <c r="D1149" s="28" t="s">
        <v>2431</v>
      </c>
      <c r="E1149" s="5" t="s">
        <v>16</v>
      </c>
      <c r="F1149" s="5" t="s">
        <v>5070</v>
      </c>
      <c r="G1149" s="5" t="s">
        <v>5076</v>
      </c>
      <c r="H1149" s="5" t="s">
        <v>2408</v>
      </c>
      <c r="I1149" s="5">
        <v>18.89</v>
      </c>
      <c r="J1149" s="6" t="str">
        <f t="shared" si="34"/>
        <v>0</v>
      </c>
      <c r="K1149" s="6">
        <f t="shared" si="35"/>
        <v>18.89</v>
      </c>
    </row>
    <row r="1150" spans="1:11" x14ac:dyDescent="0.3">
      <c r="A1150" s="5" t="s">
        <v>2508</v>
      </c>
      <c r="B1150" s="5" t="s">
        <v>117</v>
      </c>
      <c r="C1150" s="5" t="s">
        <v>5473</v>
      </c>
      <c r="D1150" s="28" t="s">
        <v>2431</v>
      </c>
      <c r="E1150" s="5" t="s">
        <v>16</v>
      </c>
      <c r="F1150" s="5" t="s">
        <v>5073</v>
      </c>
      <c r="G1150" s="5" t="s">
        <v>5071</v>
      </c>
      <c r="H1150" s="5" t="s">
        <v>2746</v>
      </c>
      <c r="I1150" s="5">
        <v>19.95</v>
      </c>
      <c r="J1150" s="6" t="str">
        <f t="shared" si="34"/>
        <v>2</v>
      </c>
      <c r="K1150" s="6">
        <f t="shared" si="35"/>
        <v>19.95</v>
      </c>
    </row>
    <row r="1151" spans="1:11" x14ac:dyDescent="0.3">
      <c r="A1151" s="5" t="s">
        <v>6035</v>
      </c>
      <c r="B1151" s="5" t="s">
        <v>25</v>
      </c>
      <c r="C1151" s="5" t="s">
        <v>6036</v>
      </c>
      <c r="D1151" s="28" t="s">
        <v>2431</v>
      </c>
      <c r="E1151" s="5" t="s">
        <v>16</v>
      </c>
      <c r="F1151" s="5" t="s">
        <v>5083</v>
      </c>
      <c r="G1151" s="5" t="s">
        <v>5076</v>
      </c>
      <c r="H1151" s="5" t="s">
        <v>2993</v>
      </c>
      <c r="I1151" s="5">
        <v>5.08</v>
      </c>
      <c r="J1151" s="6" t="str">
        <f t="shared" si="34"/>
        <v>2+</v>
      </c>
      <c r="K1151" s="6">
        <f t="shared" si="35"/>
        <v>5.08</v>
      </c>
    </row>
    <row r="1152" spans="1:11" x14ac:dyDescent="0.3">
      <c r="A1152" s="5" t="s">
        <v>3503</v>
      </c>
      <c r="B1152" s="5" t="s">
        <v>25</v>
      </c>
      <c r="C1152" s="5" t="s">
        <v>5121</v>
      </c>
      <c r="D1152" s="28" t="s">
        <v>2431</v>
      </c>
      <c r="E1152" s="5" t="s">
        <v>16</v>
      </c>
      <c r="F1152" s="5" t="s">
        <v>5070</v>
      </c>
      <c r="G1152" s="5" t="s">
        <v>5073</v>
      </c>
      <c r="H1152" s="5" t="s">
        <v>2450</v>
      </c>
      <c r="I1152" s="5">
        <v>7.19</v>
      </c>
      <c r="J1152" s="6" t="str">
        <f t="shared" si="34"/>
        <v>1</v>
      </c>
      <c r="K1152" s="6">
        <f t="shared" si="35"/>
        <v>7.19</v>
      </c>
    </row>
    <row r="1153" spans="1:11" x14ac:dyDescent="0.3">
      <c r="A1153" s="5" t="s">
        <v>2601</v>
      </c>
      <c r="B1153" s="5" t="s">
        <v>25</v>
      </c>
      <c r="C1153" s="5" t="s">
        <v>5783</v>
      </c>
      <c r="D1153" s="28" t="s">
        <v>2431</v>
      </c>
      <c r="E1153" s="5" t="s">
        <v>16</v>
      </c>
      <c r="F1153" s="5" t="s">
        <v>5070</v>
      </c>
      <c r="G1153" s="5" t="s">
        <v>5073</v>
      </c>
      <c r="H1153" s="5" t="s">
        <v>2418</v>
      </c>
      <c r="I1153" s="5">
        <v>9.16</v>
      </c>
      <c r="J1153" s="6" t="str">
        <f t="shared" si="34"/>
        <v>1</v>
      </c>
      <c r="K1153" s="6">
        <f t="shared" si="35"/>
        <v>9.16</v>
      </c>
    </row>
    <row r="1154" spans="1:11" x14ac:dyDescent="0.3">
      <c r="A1154" s="5" t="s">
        <v>3069</v>
      </c>
      <c r="B1154" s="5" t="s">
        <v>25</v>
      </c>
      <c r="C1154" s="5" t="s">
        <v>5601</v>
      </c>
      <c r="D1154" s="28" t="s">
        <v>2431</v>
      </c>
      <c r="E1154" s="5" t="s">
        <v>16</v>
      </c>
      <c r="F1154" s="5" t="s">
        <v>5073</v>
      </c>
      <c r="G1154" s="5" t="s">
        <v>5070</v>
      </c>
      <c r="H1154" s="5" t="s">
        <v>2408</v>
      </c>
      <c r="I1154" s="5">
        <v>17.079999999999998</v>
      </c>
      <c r="J1154" s="6" t="str">
        <f t="shared" ref="J1154:J1211" si="36">IF(OR(LOWER(TRIM(H1154))="0",LOWER(TRIM(H1154))="ZERO"),"0",IF(OR(LOWER(TRIM(H1154))="1",LOWER(TRIM(H1154))="one"),"1",IF(OR(LOWER(TRIM(H1154))="2",LOWER(TRIM(H1154))="two"),"2",IF(OR(LOWER(TRIM(H1154))="2+",LOWER(TRIM(H1154))="two_or_more",LOWER(TRIM(H1154))="multiple"),"2+","Unknown"))))</f>
        <v>0</v>
      </c>
      <c r="K1154" s="6">
        <f t="shared" si="35"/>
        <v>17.079999999999998</v>
      </c>
    </row>
    <row r="1155" spans="1:11" x14ac:dyDescent="0.3">
      <c r="A1155" s="5" t="s">
        <v>6002</v>
      </c>
      <c r="B1155" s="5" t="s">
        <v>25</v>
      </c>
      <c r="C1155" s="5" t="s">
        <v>5678</v>
      </c>
      <c r="D1155" s="28" t="s">
        <v>2431</v>
      </c>
      <c r="E1155" s="5" t="s">
        <v>16</v>
      </c>
      <c r="F1155" s="5" t="s">
        <v>5083</v>
      </c>
      <c r="G1155" s="5" t="s">
        <v>5076</v>
      </c>
      <c r="H1155" s="5" t="s">
        <v>2435</v>
      </c>
      <c r="I1155" s="5">
        <v>2.06</v>
      </c>
      <c r="J1155" s="6" t="str">
        <f t="shared" si="36"/>
        <v>0</v>
      </c>
      <c r="K1155" s="6">
        <f t="shared" ref="K1155:K1211" si="37">IF(I1155="",ROUND(AVERAGEIF($B$2:$B$1000,B1155,$I$2:$I$1000),1),I1155)</f>
        <v>2.06</v>
      </c>
    </row>
    <row r="1156" spans="1:11" x14ac:dyDescent="0.3">
      <c r="A1156" s="5" t="s">
        <v>3836</v>
      </c>
      <c r="B1156" s="5" t="s">
        <v>25</v>
      </c>
      <c r="C1156" s="5" t="s">
        <v>6326</v>
      </c>
      <c r="D1156" s="28" t="s">
        <v>2431</v>
      </c>
      <c r="E1156" s="5" t="s">
        <v>16</v>
      </c>
      <c r="F1156" s="5" t="s">
        <v>5081</v>
      </c>
      <c r="G1156" s="5" t="s">
        <v>5076</v>
      </c>
      <c r="H1156" s="5" t="s">
        <v>2477</v>
      </c>
      <c r="I1156" s="5">
        <v>15.01</v>
      </c>
      <c r="J1156" s="6" t="str">
        <f t="shared" si="36"/>
        <v>0</v>
      </c>
      <c r="K1156" s="6">
        <f t="shared" si="37"/>
        <v>15.01</v>
      </c>
    </row>
    <row r="1157" spans="1:11" x14ac:dyDescent="0.3">
      <c r="A1157" s="5" t="s">
        <v>6469</v>
      </c>
      <c r="B1157" s="5" t="s">
        <v>25</v>
      </c>
      <c r="C1157" s="5" t="s">
        <v>6470</v>
      </c>
      <c r="D1157" s="28" t="s">
        <v>2431</v>
      </c>
      <c r="E1157" s="5" t="s">
        <v>16</v>
      </c>
      <c r="F1157" s="5" t="s">
        <v>5083</v>
      </c>
      <c r="G1157" s="5" t="s">
        <v>5073</v>
      </c>
      <c r="H1157" s="5" t="s">
        <v>2423</v>
      </c>
      <c r="I1157" s="5">
        <v>6.1</v>
      </c>
      <c r="J1157" s="6" t="str">
        <f t="shared" si="36"/>
        <v>0</v>
      </c>
      <c r="K1157" s="6">
        <f t="shared" si="37"/>
        <v>6.1</v>
      </c>
    </row>
    <row r="1158" spans="1:11" x14ac:dyDescent="0.3">
      <c r="A1158" s="5" t="s">
        <v>5046</v>
      </c>
      <c r="B1158" s="5" t="s">
        <v>106</v>
      </c>
      <c r="C1158" s="5" t="s">
        <v>5404</v>
      </c>
      <c r="D1158" s="28" t="s">
        <v>2431</v>
      </c>
      <c r="E1158" s="5" t="s">
        <v>16</v>
      </c>
      <c r="F1158" s="5" t="s">
        <v>5073</v>
      </c>
      <c r="G1158" s="5" t="s">
        <v>5070</v>
      </c>
      <c r="H1158" s="5" t="s">
        <v>2408</v>
      </c>
      <c r="I1158" s="5">
        <v>13.47</v>
      </c>
      <c r="J1158" s="6" t="str">
        <f t="shared" si="36"/>
        <v>0</v>
      </c>
      <c r="K1158" s="6">
        <f t="shared" si="37"/>
        <v>13.47</v>
      </c>
    </row>
    <row r="1159" spans="1:11" x14ac:dyDescent="0.3">
      <c r="A1159" s="5" t="s">
        <v>4141</v>
      </c>
      <c r="B1159" s="5" t="s">
        <v>106</v>
      </c>
      <c r="C1159" s="5" t="s">
        <v>5406</v>
      </c>
      <c r="D1159" s="28" t="s">
        <v>2431</v>
      </c>
      <c r="E1159" s="5" t="s">
        <v>16</v>
      </c>
      <c r="F1159" s="5" t="s">
        <v>5073</v>
      </c>
      <c r="G1159" s="5" t="s">
        <v>5073</v>
      </c>
      <c r="H1159" s="5" t="s">
        <v>2423</v>
      </c>
      <c r="I1159" s="5">
        <v>12.87</v>
      </c>
      <c r="J1159" s="6" t="str">
        <f t="shared" si="36"/>
        <v>0</v>
      </c>
      <c r="K1159" s="6">
        <f t="shared" si="37"/>
        <v>12.87</v>
      </c>
    </row>
    <row r="1160" spans="1:11" x14ac:dyDescent="0.3">
      <c r="A1160" s="5" t="s">
        <v>6046</v>
      </c>
      <c r="B1160" s="5" t="s">
        <v>106</v>
      </c>
      <c r="C1160" s="5" t="s">
        <v>6047</v>
      </c>
      <c r="D1160" s="28" t="s">
        <v>2431</v>
      </c>
      <c r="E1160" s="5" t="s">
        <v>16</v>
      </c>
      <c r="F1160" s="5" t="s">
        <v>5081</v>
      </c>
      <c r="G1160" s="5" t="s">
        <v>5073</v>
      </c>
      <c r="H1160" s="5" t="s">
        <v>2455</v>
      </c>
      <c r="I1160" s="5">
        <v>18.600000000000001</v>
      </c>
      <c r="J1160" s="6" t="str">
        <f t="shared" si="36"/>
        <v>1</v>
      </c>
      <c r="K1160" s="6">
        <f t="shared" si="37"/>
        <v>18.600000000000001</v>
      </c>
    </row>
    <row r="1161" spans="1:11" x14ac:dyDescent="0.3">
      <c r="A1161" s="5" t="s">
        <v>3786</v>
      </c>
      <c r="B1161" s="5" t="s">
        <v>106</v>
      </c>
      <c r="C1161" s="5" t="s">
        <v>5486</v>
      </c>
      <c r="D1161" s="28" t="s">
        <v>2431</v>
      </c>
      <c r="E1161" s="5" t="s">
        <v>16</v>
      </c>
      <c r="F1161" s="5" t="s">
        <v>5081</v>
      </c>
      <c r="G1161" s="5" t="s">
        <v>5076</v>
      </c>
      <c r="H1161" s="5" t="s">
        <v>2418</v>
      </c>
      <c r="I1161" s="5">
        <v>15.39</v>
      </c>
      <c r="J1161" s="6" t="str">
        <f t="shared" si="36"/>
        <v>1</v>
      </c>
      <c r="K1161" s="6">
        <f t="shared" si="37"/>
        <v>15.39</v>
      </c>
    </row>
    <row r="1162" spans="1:11" x14ac:dyDescent="0.3">
      <c r="A1162" s="5" t="s">
        <v>5013</v>
      </c>
      <c r="B1162" s="5" t="s">
        <v>106</v>
      </c>
      <c r="C1162" s="5" t="s">
        <v>5316</v>
      </c>
      <c r="D1162" s="28" t="s">
        <v>2431</v>
      </c>
      <c r="E1162" s="5" t="s">
        <v>16</v>
      </c>
      <c r="F1162" s="5" t="s">
        <v>5073</v>
      </c>
      <c r="G1162" s="5" t="s">
        <v>5073</v>
      </c>
      <c r="H1162" s="5" t="s">
        <v>2418</v>
      </c>
      <c r="I1162" s="5">
        <v>8.64</v>
      </c>
      <c r="J1162" s="6" t="str">
        <f t="shared" si="36"/>
        <v>1</v>
      </c>
      <c r="K1162" s="6">
        <f t="shared" si="37"/>
        <v>8.64</v>
      </c>
    </row>
    <row r="1163" spans="1:11" x14ac:dyDescent="0.3">
      <c r="A1163" s="5" t="s">
        <v>5258</v>
      </c>
      <c r="B1163" s="5" t="s">
        <v>106</v>
      </c>
      <c r="C1163" s="5" t="s">
        <v>5259</v>
      </c>
      <c r="D1163" s="28" t="s">
        <v>2431</v>
      </c>
      <c r="E1163" s="5" t="s">
        <v>16</v>
      </c>
      <c r="F1163" s="5" t="s">
        <v>5083</v>
      </c>
      <c r="G1163" s="5" t="s">
        <v>5073</v>
      </c>
      <c r="H1163" s="5" t="s">
        <v>2418</v>
      </c>
      <c r="I1163" s="5">
        <v>9.2799999999999994</v>
      </c>
      <c r="J1163" s="6" t="str">
        <f t="shared" si="36"/>
        <v>1</v>
      </c>
      <c r="K1163" s="6">
        <f t="shared" si="37"/>
        <v>9.2799999999999994</v>
      </c>
    </row>
    <row r="1164" spans="1:11" x14ac:dyDescent="0.3">
      <c r="A1164" s="5" t="s">
        <v>5847</v>
      </c>
      <c r="B1164" s="5" t="s">
        <v>106</v>
      </c>
      <c r="C1164" s="5" t="s">
        <v>5848</v>
      </c>
      <c r="D1164" s="28" t="s">
        <v>2431</v>
      </c>
      <c r="E1164" s="5" t="s">
        <v>16</v>
      </c>
      <c r="F1164" s="5" t="s">
        <v>5070</v>
      </c>
      <c r="G1164" s="5" t="s">
        <v>5073</v>
      </c>
      <c r="H1164" s="5" t="s">
        <v>2418</v>
      </c>
      <c r="I1164" s="5">
        <v>5.95</v>
      </c>
      <c r="J1164" s="6" t="str">
        <f t="shared" si="36"/>
        <v>1</v>
      </c>
      <c r="K1164" s="6">
        <f t="shared" si="37"/>
        <v>5.95</v>
      </c>
    </row>
    <row r="1165" spans="1:11" x14ac:dyDescent="0.3">
      <c r="A1165" s="5" t="s">
        <v>5324</v>
      </c>
      <c r="B1165" s="5" t="s">
        <v>106</v>
      </c>
      <c r="C1165" s="5" t="s">
        <v>5325</v>
      </c>
      <c r="D1165" s="28" t="s">
        <v>2431</v>
      </c>
      <c r="E1165" s="5" t="s">
        <v>16</v>
      </c>
      <c r="F1165" s="5" t="s">
        <v>5076</v>
      </c>
      <c r="G1165" s="5" t="s">
        <v>5083</v>
      </c>
      <c r="H1165" s="5" t="s">
        <v>2455</v>
      </c>
      <c r="I1165" s="5">
        <v>5.1100000000000003</v>
      </c>
      <c r="J1165" s="6" t="str">
        <f t="shared" si="36"/>
        <v>1</v>
      </c>
      <c r="K1165" s="6">
        <f t="shared" si="37"/>
        <v>5.1100000000000003</v>
      </c>
    </row>
    <row r="1166" spans="1:11" x14ac:dyDescent="0.3">
      <c r="A1166" s="5" t="s">
        <v>2430</v>
      </c>
      <c r="B1166" s="5" t="s">
        <v>106</v>
      </c>
      <c r="C1166" s="5" t="s">
        <v>5861</v>
      </c>
      <c r="D1166" s="28" t="s">
        <v>2431</v>
      </c>
      <c r="E1166" s="5" t="s">
        <v>16</v>
      </c>
      <c r="F1166" s="5" t="s">
        <v>5083</v>
      </c>
      <c r="G1166" s="5" t="s">
        <v>5076</v>
      </c>
      <c r="H1166" s="5" t="s">
        <v>2418</v>
      </c>
      <c r="I1166" s="5">
        <v>12.62</v>
      </c>
      <c r="J1166" s="6" t="str">
        <f t="shared" si="36"/>
        <v>1</v>
      </c>
      <c r="K1166" s="6">
        <f t="shared" si="37"/>
        <v>12.62</v>
      </c>
    </row>
    <row r="1167" spans="1:11" x14ac:dyDescent="0.3">
      <c r="A1167" s="5" t="s">
        <v>3680</v>
      </c>
      <c r="B1167" s="5" t="s">
        <v>78</v>
      </c>
      <c r="C1167" s="5" t="s">
        <v>6136</v>
      </c>
      <c r="D1167" s="28" t="s">
        <v>2518</v>
      </c>
      <c r="E1167" s="5" t="s">
        <v>16</v>
      </c>
      <c r="F1167" s="5" t="s">
        <v>5083</v>
      </c>
      <c r="G1167" s="5" t="s">
        <v>5073</v>
      </c>
      <c r="H1167" s="5" t="s">
        <v>2423</v>
      </c>
      <c r="I1167" s="5">
        <v>6.04</v>
      </c>
      <c r="J1167" s="6" t="str">
        <f t="shared" si="36"/>
        <v>0</v>
      </c>
      <c r="K1167" s="6">
        <f t="shared" si="37"/>
        <v>6.04</v>
      </c>
    </row>
    <row r="1168" spans="1:11" x14ac:dyDescent="0.3">
      <c r="A1168" s="5" t="s">
        <v>6362</v>
      </c>
      <c r="B1168" s="5" t="s">
        <v>78</v>
      </c>
      <c r="C1168" s="5" t="s">
        <v>6363</v>
      </c>
      <c r="D1168" s="28" t="s">
        <v>2518</v>
      </c>
      <c r="E1168" s="5" t="s">
        <v>16</v>
      </c>
      <c r="F1168" s="5" t="s">
        <v>5076</v>
      </c>
      <c r="G1168" s="5" t="s">
        <v>5070</v>
      </c>
      <c r="H1168" s="5" t="s">
        <v>2408</v>
      </c>
      <c r="I1168" s="5">
        <v>4.75</v>
      </c>
      <c r="J1168" s="6" t="str">
        <f t="shared" si="36"/>
        <v>0</v>
      </c>
      <c r="K1168" s="6">
        <f t="shared" si="37"/>
        <v>4.75</v>
      </c>
    </row>
    <row r="1169" spans="1:11" x14ac:dyDescent="0.3">
      <c r="A1169" s="5" t="s">
        <v>2937</v>
      </c>
      <c r="B1169" s="5" t="s">
        <v>78</v>
      </c>
      <c r="C1169" s="5" t="s">
        <v>5133</v>
      </c>
      <c r="D1169" s="28" t="s">
        <v>2518</v>
      </c>
      <c r="E1169" s="5" t="s">
        <v>16</v>
      </c>
      <c r="F1169" s="5" t="s">
        <v>5071</v>
      </c>
      <c r="G1169" s="5" t="s">
        <v>5070</v>
      </c>
      <c r="H1169" s="5" t="s">
        <v>2435</v>
      </c>
      <c r="I1169" s="5">
        <v>7.73</v>
      </c>
      <c r="J1169" s="6" t="str">
        <f t="shared" si="36"/>
        <v>0</v>
      </c>
      <c r="K1169" s="6">
        <f t="shared" si="37"/>
        <v>7.73</v>
      </c>
    </row>
    <row r="1170" spans="1:11" x14ac:dyDescent="0.3">
      <c r="A1170" s="5" t="s">
        <v>5186</v>
      </c>
      <c r="B1170" s="5" t="s">
        <v>78</v>
      </c>
      <c r="C1170" s="5" t="s">
        <v>5187</v>
      </c>
      <c r="D1170" s="28" t="s">
        <v>2518</v>
      </c>
      <c r="E1170" s="5" t="s">
        <v>16</v>
      </c>
      <c r="F1170" s="5" t="s">
        <v>5081</v>
      </c>
      <c r="G1170" s="5" t="s">
        <v>5076</v>
      </c>
      <c r="H1170" s="5" t="s">
        <v>2993</v>
      </c>
      <c r="I1170" s="5">
        <v>5.45</v>
      </c>
      <c r="J1170" s="6" t="str">
        <f t="shared" si="36"/>
        <v>2+</v>
      </c>
      <c r="K1170" s="6">
        <f t="shared" si="37"/>
        <v>5.45</v>
      </c>
    </row>
    <row r="1171" spans="1:11" x14ac:dyDescent="0.3">
      <c r="A1171" s="5" t="s">
        <v>3792</v>
      </c>
      <c r="B1171" s="5" t="s">
        <v>78</v>
      </c>
      <c r="C1171" s="5" t="s">
        <v>5420</v>
      </c>
      <c r="D1171" s="28" t="s">
        <v>2518</v>
      </c>
      <c r="E1171" s="5" t="s">
        <v>16</v>
      </c>
      <c r="F1171" s="5" t="s">
        <v>5076</v>
      </c>
      <c r="G1171" s="5" t="s">
        <v>5070</v>
      </c>
      <c r="H1171" s="5" t="s">
        <v>2418</v>
      </c>
      <c r="I1171" s="5">
        <v>11.67</v>
      </c>
      <c r="J1171" s="6" t="str">
        <f t="shared" si="36"/>
        <v>1</v>
      </c>
      <c r="K1171" s="6">
        <f t="shared" si="37"/>
        <v>11.67</v>
      </c>
    </row>
    <row r="1172" spans="1:11" x14ac:dyDescent="0.3">
      <c r="A1172" s="5" t="s">
        <v>6293</v>
      </c>
      <c r="B1172" s="5" t="s">
        <v>78</v>
      </c>
      <c r="C1172" s="5" t="s">
        <v>5163</v>
      </c>
      <c r="D1172" s="28" t="s">
        <v>2518</v>
      </c>
      <c r="E1172" s="5" t="s">
        <v>16</v>
      </c>
      <c r="F1172" s="5" t="s">
        <v>5083</v>
      </c>
      <c r="G1172" s="5" t="s">
        <v>5073</v>
      </c>
      <c r="H1172" s="5" t="s">
        <v>2408</v>
      </c>
      <c r="I1172" s="5">
        <v>17.829999999999998</v>
      </c>
      <c r="J1172" s="6" t="str">
        <f t="shared" si="36"/>
        <v>0</v>
      </c>
      <c r="K1172" s="6">
        <f t="shared" si="37"/>
        <v>17.829999999999998</v>
      </c>
    </row>
    <row r="1173" spans="1:11" x14ac:dyDescent="0.3">
      <c r="A1173" s="5" t="s">
        <v>4546</v>
      </c>
      <c r="B1173" s="5" t="s">
        <v>78</v>
      </c>
      <c r="C1173" s="5" t="s">
        <v>5789</v>
      </c>
      <c r="D1173" s="28" t="s">
        <v>2518</v>
      </c>
      <c r="E1173" s="5" t="s">
        <v>16</v>
      </c>
      <c r="F1173" s="5" t="s">
        <v>5071</v>
      </c>
      <c r="G1173" s="5" t="s">
        <v>5083</v>
      </c>
      <c r="H1173" s="5" t="s">
        <v>2477</v>
      </c>
      <c r="I1173" s="5"/>
      <c r="J1173" s="6" t="str">
        <f t="shared" si="36"/>
        <v>0</v>
      </c>
      <c r="K1173" s="6">
        <f t="shared" si="37"/>
        <v>9.6999999999999993</v>
      </c>
    </row>
    <row r="1174" spans="1:11" x14ac:dyDescent="0.3">
      <c r="A1174" s="5" t="s">
        <v>3293</v>
      </c>
      <c r="B1174" s="5" t="s">
        <v>78</v>
      </c>
      <c r="C1174" s="5" t="s">
        <v>5170</v>
      </c>
      <c r="D1174" s="28" t="s">
        <v>2518</v>
      </c>
      <c r="E1174" s="5" t="s">
        <v>16</v>
      </c>
      <c r="F1174" s="5" t="s">
        <v>5073</v>
      </c>
      <c r="G1174" s="5" t="s">
        <v>5081</v>
      </c>
      <c r="H1174" s="5" t="s">
        <v>2408</v>
      </c>
      <c r="I1174" s="5">
        <v>7.07</v>
      </c>
      <c r="J1174" s="6" t="str">
        <f t="shared" si="36"/>
        <v>0</v>
      </c>
      <c r="K1174" s="6">
        <f t="shared" si="37"/>
        <v>7.07</v>
      </c>
    </row>
    <row r="1175" spans="1:11" x14ac:dyDescent="0.3">
      <c r="A1175" s="5" t="s">
        <v>5347</v>
      </c>
      <c r="B1175" s="5" t="s">
        <v>45</v>
      </c>
      <c r="C1175" s="5" t="s">
        <v>5348</v>
      </c>
      <c r="D1175" s="28" t="s">
        <v>2518</v>
      </c>
      <c r="E1175" s="5" t="s">
        <v>16</v>
      </c>
      <c r="F1175" s="5" t="s">
        <v>5081</v>
      </c>
      <c r="G1175" s="5" t="s">
        <v>5070</v>
      </c>
      <c r="H1175" s="5" t="s">
        <v>2423</v>
      </c>
      <c r="I1175" s="5">
        <v>10.76</v>
      </c>
      <c r="J1175" s="6" t="str">
        <f t="shared" si="36"/>
        <v>0</v>
      </c>
      <c r="K1175" s="6">
        <f t="shared" si="37"/>
        <v>10.76</v>
      </c>
    </row>
    <row r="1176" spans="1:11" x14ac:dyDescent="0.3">
      <c r="A1176" s="5" t="s">
        <v>3630</v>
      </c>
      <c r="B1176" s="5" t="s">
        <v>45</v>
      </c>
      <c r="C1176" s="5" t="s">
        <v>5369</v>
      </c>
      <c r="D1176" s="28" t="s">
        <v>2518</v>
      </c>
      <c r="E1176" s="5" t="s">
        <v>16</v>
      </c>
      <c r="F1176" s="5" t="s">
        <v>5081</v>
      </c>
      <c r="G1176" s="5" t="s">
        <v>5076</v>
      </c>
      <c r="H1176" s="5" t="s">
        <v>2418</v>
      </c>
      <c r="I1176" s="5">
        <v>0.87</v>
      </c>
      <c r="J1176" s="6" t="str">
        <f t="shared" si="36"/>
        <v>1</v>
      </c>
      <c r="K1176" s="6">
        <f t="shared" si="37"/>
        <v>0.87</v>
      </c>
    </row>
    <row r="1177" spans="1:11" x14ac:dyDescent="0.3">
      <c r="A1177" s="5" t="s">
        <v>5052</v>
      </c>
      <c r="B1177" s="5" t="s">
        <v>45</v>
      </c>
      <c r="C1177" s="5" t="s">
        <v>5427</v>
      </c>
      <c r="D1177" s="28" t="s">
        <v>2518</v>
      </c>
      <c r="E1177" s="5" t="s">
        <v>16</v>
      </c>
      <c r="F1177" s="5" t="s">
        <v>5081</v>
      </c>
      <c r="G1177" s="5" t="s">
        <v>5083</v>
      </c>
      <c r="H1177" s="5" t="s">
        <v>2450</v>
      </c>
      <c r="I1177" s="5">
        <v>5.45</v>
      </c>
      <c r="J1177" s="6" t="str">
        <f t="shared" si="36"/>
        <v>1</v>
      </c>
      <c r="K1177" s="6">
        <f t="shared" si="37"/>
        <v>5.45</v>
      </c>
    </row>
    <row r="1178" spans="1:11" x14ac:dyDescent="0.3">
      <c r="A1178" s="5" t="s">
        <v>3285</v>
      </c>
      <c r="B1178" s="5" t="s">
        <v>45</v>
      </c>
      <c r="C1178" s="5" t="s">
        <v>6109</v>
      </c>
      <c r="D1178" s="28" t="s">
        <v>2518</v>
      </c>
      <c r="E1178" s="5" t="s">
        <v>16</v>
      </c>
      <c r="F1178" s="5" t="s">
        <v>5071</v>
      </c>
      <c r="G1178" s="5" t="s">
        <v>5083</v>
      </c>
      <c r="H1178" s="5"/>
      <c r="I1178" s="5">
        <v>9.27</v>
      </c>
      <c r="J1178" s="6" t="str">
        <f t="shared" si="36"/>
        <v>Unknown</v>
      </c>
      <c r="K1178" s="6">
        <f t="shared" si="37"/>
        <v>9.27</v>
      </c>
    </row>
    <row r="1179" spans="1:11" x14ac:dyDescent="0.3">
      <c r="A1179" s="5" t="s">
        <v>5774</v>
      </c>
      <c r="B1179" s="5" t="s">
        <v>45</v>
      </c>
      <c r="C1179" s="5" t="s">
        <v>5775</v>
      </c>
      <c r="D1179" s="28" t="s">
        <v>2518</v>
      </c>
      <c r="E1179" s="5" t="s">
        <v>16</v>
      </c>
      <c r="F1179" s="5" t="s">
        <v>5083</v>
      </c>
      <c r="G1179" s="5" t="s">
        <v>5071</v>
      </c>
      <c r="H1179" s="5" t="s">
        <v>2455</v>
      </c>
      <c r="I1179" s="5">
        <v>6.37</v>
      </c>
      <c r="J1179" s="6" t="str">
        <f t="shared" si="36"/>
        <v>1</v>
      </c>
      <c r="K1179" s="6">
        <f t="shared" si="37"/>
        <v>6.37</v>
      </c>
    </row>
    <row r="1180" spans="1:11" x14ac:dyDescent="0.3">
      <c r="A1180" s="5" t="s">
        <v>3772</v>
      </c>
      <c r="B1180" s="5" t="s">
        <v>45</v>
      </c>
      <c r="C1180" s="5" t="s">
        <v>5608</v>
      </c>
      <c r="D1180" s="28" t="s">
        <v>2518</v>
      </c>
      <c r="E1180" s="5" t="s">
        <v>16</v>
      </c>
      <c r="F1180" s="5" t="s">
        <v>5071</v>
      </c>
      <c r="G1180" s="5" t="s">
        <v>5083</v>
      </c>
      <c r="H1180" s="5" t="s">
        <v>2412</v>
      </c>
      <c r="I1180" s="5">
        <v>9.94</v>
      </c>
      <c r="J1180" s="6" t="str">
        <f t="shared" si="36"/>
        <v>1</v>
      </c>
      <c r="K1180" s="6">
        <f t="shared" si="37"/>
        <v>9.94</v>
      </c>
    </row>
    <row r="1181" spans="1:11" x14ac:dyDescent="0.3">
      <c r="A1181" s="5" t="s">
        <v>3108</v>
      </c>
      <c r="B1181" s="5" t="s">
        <v>45</v>
      </c>
      <c r="C1181" s="5" t="s">
        <v>5603</v>
      </c>
      <c r="D1181" s="28" t="s">
        <v>2518</v>
      </c>
      <c r="E1181" s="5" t="s">
        <v>16</v>
      </c>
      <c r="F1181" s="5" t="s">
        <v>5073</v>
      </c>
      <c r="G1181" s="5" t="s">
        <v>5070</v>
      </c>
      <c r="H1181" s="5" t="s">
        <v>2423</v>
      </c>
      <c r="I1181" s="5">
        <v>3.22</v>
      </c>
      <c r="J1181" s="6" t="str">
        <f t="shared" si="36"/>
        <v>0</v>
      </c>
      <c r="K1181" s="6">
        <f t="shared" si="37"/>
        <v>3.22</v>
      </c>
    </row>
    <row r="1182" spans="1:11" x14ac:dyDescent="0.3">
      <c r="A1182" s="5" t="s">
        <v>4239</v>
      </c>
      <c r="B1182" s="5" t="s">
        <v>45</v>
      </c>
      <c r="C1182" s="5" t="s">
        <v>6582</v>
      </c>
      <c r="D1182" s="28" t="s">
        <v>2518</v>
      </c>
      <c r="E1182" s="5" t="s">
        <v>16</v>
      </c>
      <c r="F1182" s="5" t="s">
        <v>5081</v>
      </c>
      <c r="G1182" s="5" t="s">
        <v>5070</v>
      </c>
      <c r="H1182" s="5" t="s">
        <v>2435</v>
      </c>
      <c r="I1182" s="5">
        <v>19.54</v>
      </c>
      <c r="J1182" s="6" t="str">
        <f t="shared" si="36"/>
        <v>0</v>
      </c>
      <c r="K1182" s="6">
        <f t="shared" si="37"/>
        <v>19.54</v>
      </c>
    </row>
    <row r="1183" spans="1:11" x14ac:dyDescent="0.3">
      <c r="A1183" s="5" t="s">
        <v>3155</v>
      </c>
      <c r="B1183" s="5" t="s">
        <v>45</v>
      </c>
      <c r="C1183" s="5" t="s">
        <v>6130</v>
      </c>
      <c r="D1183" s="28" t="s">
        <v>2518</v>
      </c>
      <c r="E1183" s="5" t="s">
        <v>16</v>
      </c>
      <c r="F1183" s="5" t="s">
        <v>5081</v>
      </c>
      <c r="G1183" s="5" t="s">
        <v>5081</v>
      </c>
      <c r="H1183" s="5" t="s">
        <v>2450</v>
      </c>
      <c r="I1183" s="5">
        <v>19.440000000000001</v>
      </c>
      <c r="J1183" s="6" t="str">
        <f t="shared" si="36"/>
        <v>1</v>
      </c>
      <c r="K1183" s="6">
        <f t="shared" si="37"/>
        <v>19.440000000000001</v>
      </c>
    </row>
    <row r="1184" spans="1:11" x14ac:dyDescent="0.3">
      <c r="A1184" s="5" t="s">
        <v>2686</v>
      </c>
      <c r="B1184" s="5" t="s">
        <v>45</v>
      </c>
      <c r="C1184" s="5" t="s">
        <v>6583</v>
      </c>
      <c r="D1184" s="28" t="s">
        <v>2518</v>
      </c>
      <c r="E1184" s="5" t="s">
        <v>16</v>
      </c>
      <c r="F1184" s="5" t="s">
        <v>5076</v>
      </c>
      <c r="G1184" s="5" t="s">
        <v>5081</v>
      </c>
      <c r="H1184" s="5" t="s">
        <v>2408</v>
      </c>
      <c r="I1184" s="5">
        <v>11.85</v>
      </c>
      <c r="J1184" s="6" t="str">
        <f t="shared" si="36"/>
        <v>0</v>
      </c>
      <c r="K1184" s="6">
        <f t="shared" si="37"/>
        <v>11.85</v>
      </c>
    </row>
    <row r="1185" spans="1:11" x14ac:dyDescent="0.3">
      <c r="A1185" s="5" t="s">
        <v>5583</v>
      </c>
      <c r="B1185" s="5" t="s">
        <v>45</v>
      </c>
      <c r="C1185" s="5" t="s">
        <v>5584</v>
      </c>
      <c r="D1185" s="28" t="s">
        <v>2518</v>
      </c>
      <c r="E1185" s="5" t="s">
        <v>16</v>
      </c>
      <c r="F1185" s="5" t="s">
        <v>5070</v>
      </c>
      <c r="G1185" s="5" t="s">
        <v>5073</v>
      </c>
      <c r="H1185" s="5" t="s">
        <v>2423</v>
      </c>
      <c r="I1185" s="5">
        <v>3.21</v>
      </c>
      <c r="J1185" s="6" t="str">
        <f t="shared" si="36"/>
        <v>0</v>
      </c>
      <c r="K1185" s="6">
        <f t="shared" si="37"/>
        <v>3.21</v>
      </c>
    </row>
    <row r="1186" spans="1:11" x14ac:dyDescent="0.3">
      <c r="A1186" s="5" t="s">
        <v>4326</v>
      </c>
      <c r="B1186" s="5" t="s">
        <v>14</v>
      </c>
      <c r="C1186" s="5" t="s">
        <v>6553</v>
      </c>
      <c r="D1186" s="28" t="s">
        <v>2518</v>
      </c>
      <c r="E1186" s="5" t="s">
        <v>16</v>
      </c>
      <c r="F1186" s="5" t="s">
        <v>5081</v>
      </c>
      <c r="G1186" s="5" t="s">
        <v>5083</v>
      </c>
      <c r="H1186" s="5" t="s">
        <v>2477</v>
      </c>
      <c r="I1186" s="5">
        <v>2.7</v>
      </c>
      <c r="J1186" s="6" t="str">
        <f t="shared" si="36"/>
        <v>0</v>
      </c>
      <c r="K1186" s="6">
        <f t="shared" si="37"/>
        <v>2.7</v>
      </c>
    </row>
    <row r="1187" spans="1:11" x14ac:dyDescent="0.3">
      <c r="A1187" s="5" t="s">
        <v>3822</v>
      </c>
      <c r="B1187" s="5" t="s">
        <v>117</v>
      </c>
      <c r="C1187" s="5" t="s">
        <v>5517</v>
      </c>
      <c r="D1187" s="28" t="s">
        <v>2518</v>
      </c>
      <c r="E1187" s="5" t="s">
        <v>16</v>
      </c>
      <c r="F1187" s="5" t="s">
        <v>5070</v>
      </c>
      <c r="G1187" s="5" t="s">
        <v>5083</v>
      </c>
      <c r="H1187" s="5" t="s">
        <v>2435</v>
      </c>
      <c r="I1187" s="5">
        <v>7.36</v>
      </c>
      <c r="J1187" s="6" t="str">
        <f t="shared" si="36"/>
        <v>0</v>
      </c>
      <c r="K1187" s="6">
        <f t="shared" si="37"/>
        <v>7.36</v>
      </c>
    </row>
    <row r="1188" spans="1:11" x14ac:dyDescent="0.3">
      <c r="A1188" s="5" t="s">
        <v>3051</v>
      </c>
      <c r="B1188" s="5" t="s">
        <v>117</v>
      </c>
      <c r="C1188" s="5" t="s">
        <v>6317</v>
      </c>
      <c r="D1188" s="28" t="s">
        <v>2518</v>
      </c>
      <c r="E1188" s="5" t="s">
        <v>16</v>
      </c>
      <c r="F1188" s="5" t="s">
        <v>5073</v>
      </c>
      <c r="G1188" s="5" t="s">
        <v>5083</v>
      </c>
      <c r="H1188" s="5" t="s">
        <v>2428</v>
      </c>
      <c r="I1188" s="5">
        <v>8.94</v>
      </c>
      <c r="J1188" s="6" t="str">
        <f t="shared" si="36"/>
        <v>2</v>
      </c>
      <c r="K1188" s="6">
        <f t="shared" si="37"/>
        <v>8.94</v>
      </c>
    </row>
    <row r="1189" spans="1:11" x14ac:dyDescent="0.3">
      <c r="A1189" s="5" t="s">
        <v>5252</v>
      </c>
      <c r="B1189" s="5" t="s">
        <v>117</v>
      </c>
      <c r="C1189" s="5" t="s">
        <v>5253</v>
      </c>
      <c r="D1189" s="28" t="s">
        <v>2518</v>
      </c>
      <c r="E1189" s="5" t="s">
        <v>16</v>
      </c>
      <c r="F1189" s="5" t="s">
        <v>5073</v>
      </c>
      <c r="G1189" s="5" t="s">
        <v>5070</v>
      </c>
      <c r="H1189" s="5" t="s">
        <v>2412</v>
      </c>
      <c r="I1189" s="5">
        <v>7.72</v>
      </c>
      <c r="J1189" s="6" t="str">
        <f t="shared" si="36"/>
        <v>1</v>
      </c>
      <c r="K1189" s="6">
        <f t="shared" si="37"/>
        <v>7.72</v>
      </c>
    </row>
    <row r="1190" spans="1:11" x14ac:dyDescent="0.3">
      <c r="A1190" s="5" t="s">
        <v>6432</v>
      </c>
      <c r="B1190" s="5" t="s">
        <v>25</v>
      </c>
      <c r="C1190" s="5" t="s">
        <v>6433</v>
      </c>
      <c r="D1190" s="28" t="s">
        <v>2518</v>
      </c>
      <c r="E1190" s="5" t="s">
        <v>16</v>
      </c>
      <c r="F1190" s="5" t="s">
        <v>5073</v>
      </c>
      <c r="G1190" s="5" t="s">
        <v>5083</v>
      </c>
      <c r="H1190" s="5" t="s">
        <v>2477</v>
      </c>
      <c r="I1190" s="5">
        <v>19.66</v>
      </c>
      <c r="J1190" s="6" t="str">
        <f t="shared" si="36"/>
        <v>0</v>
      </c>
      <c r="K1190" s="6">
        <f t="shared" si="37"/>
        <v>19.66</v>
      </c>
    </row>
    <row r="1191" spans="1:11" x14ac:dyDescent="0.3">
      <c r="A1191" s="5" t="s">
        <v>3719</v>
      </c>
      <c r="B1191" s="5" t="s">
        <v>25</v>
      </c>
      <c r="C1191" s="5" t="s">
        <v>5461</v>
      </c>
      <c r="D1191" s="28" t="s">
        <v>2518</v>
      </c>
      <c r="E1191" s="5" t="s">
        <v>16</v>
      </c>
      <c r="F1191" s="5" t="s">
        <v>5076</v>
      </c>
      <c r="G1191" s="5" t="s">
        <v>5081</v>
      </c>
      <c r="H1191" s="5" t="s">
        <v>2746</v>
      </c>
      <c r="I1191" s="5">
        <v>1.35</v>
      </c>
      <c r="J1191" s="6" t="str">
        <f t="shared" si="36"/>
        <v>2</v>
      </c>
      <c r="K1191" s="6">
        <f t="shared" si="37"/>
        <v>1.35</v>
      </c>
    </row>
    <row r="1192" spans="1:11" x14ac:dyDescent="0.3">
      <c r="A1192" s="5" t="s">
        <v>5120</v>
      </c>
      <c r="B1192" s="5" t="s">
        <v>25</v>
      </c>
      <c r="C1192" s="5" t="s">
        <v>5121</v>
      </c>
      <c r="D1192" s="28" t="s">
        <v>2518</v>
      </c>
      <c r="E1192" s="5" t="s">
        <v>16</v>
      </c>
      <c r="F1192" s="5" t="s">
        <v>5083</v>
      </c>
      <c r="G1192" s="5" t="s">
        <v>5076</v>
      </c>
      <c r="H1192" s="5" t="s">
        <v>2435</v>
      </c>
      <c r="I1192" s="5">
        <v>9.77</v>
      </c>
      <c r="J1192" s="6" t="str">
        <f t="shared" si="36"/>
        <v>0</v>
      </c>
      <c r="K1192" s="6">
        <f t="shared" si="37"/>
        <v>9.77</v>
      </c>
    </row>
    <row r="1193" spans="1:11" x14ac:dyDescent="0.3">
      <c r="A1193" s="5" t="s">
        <v>5950</v>
      </c>
      <c r="B1193" s="5" t="s">
        <v>25</v>
      </c>
      <c r="C1193" s="5" t="s">
        <v>5951</v>
      </c>
      <c r="D1193" s="28" t="s">
        <v>2518</v>
      </c>
      <c r="E1193" s="5" t="s">
        <v>16</v>
      </c>
      <c r="F1193" s="5" t="s">
        <v>5070</v>
      </c>
      <c r="G1193" s="5" t="s">
        <v>5076</v>
      </c>
      <c r="H1193" s="5" t="s">
        <v>2435</v>
      </c>
      <c r="I1193" s="5"/>
      <c r="J1193" s="6" t="str">
        <f t="shared" si="36"/>
        <v>0</v>
      </c>
      <c r="K1193" s="6">
        <f t="shared" si="37"/>
        <v>10</v>
      </c>
    </row>
    <row r="1194" spans="1:11" x14ac:dyDescent="0.3">
      <c r="A1194" s="5" t="s">
        <v>5548</v>
      </c>
      <c r="B1194" s="5" t="s">
        <v>25</v>
      </c>
      <c r="C1194" s="5" t="s">
        <v>5549</v>
      </c>
      <c r="D1194" s="28" t="s">
        <v>2518</v>
      </c>
      <c r="E1194" s="5" t="s">
        <v>16</v>
      </c>
      <c r="F1194" s="5" t="s">
        <v>5081</v>
      </c>
      <c r="G1194" s="5" t="s">
        <v>5081</v>
      </c>
      <c r="H1194" s="5" t="s">
        <v>2477</v>
      </c>
      <c r="I1194" s="5">
        <v>10.53</v>
      </c>
      <c r="J1194" s="6" t="str">
        <f t="shared" si="36"/>
        <v>0</v>
      </c>
      <c r="K1194" s="6">
        <f t="shared" si="37"/>
        <v>10.53</v>
      </c>
    </row>
    <row r="1195" spans="1:11" x14ac:dyDescent="0.3">
      <c r="A1195" s="5" t="s">
        <v>2676</v>
      </c>
      <c r="B1195" s="5" t="s">
        <v>25</v>
      </c>
      <c r="C1195" s="5" t="s">
        <v>5975</v>
      </c>
      <c r="D1195" s="28" t="s">
        <v>2518</v>
      </c>
      <c r="E1195" s="5" t="s">
        <v>16</v>
      </c>
      <c r="F1195" s="5" t="s">
        <v>5076</v>
      </c>
      <c r="G1195" s="5" t="s">
        <v>5070</v>
      </c>
      <c r="H1195" s="5"/>
      <c r="I1195" s="5">
        <v>2.15</v>
      </c>
      <c r="J1195" s="6" t="str">
        <f t="shared" si="36"/>
        <v>Unknown</v>
      </c>
      <c r="K1195" s="6">
        <f t="shared" si="37"/>
        <v>2.15</v>
      </c>
    </row>
    <row r="1196" spans="1:11" x14ac:dyDescent="0.3">
      <c r="A1196" s="5" t="s">
        <v>3653</v>
      </c>
      <c r="B1196" s="5" t="s">
        <v>25</v>
      </c>
      <c r="C1196" s="5" t="s">
        <v>6472</v>
      </c>
      <c r="D1196" s="28" t="s">
        <v>2518</v>
      </c>
      <c r="E1196" s="5" t="s">
        <v>16</v>
      </c>
      <c r="F1196" s="5" t="s">
        <v>5071</v>
      </c>
      <c r="G1196" s="5" t="s">
        <v>5073</v>
      </c>
      <c r="H1196" s="5" t="s">
        <v>2993</v>
      </c>
      <c r="I1196" s="5">
        <v>14.81</v>
      </c>
      <c r="J1196" s="6" t="str">
        <f t="shared" si="36"/>
        <v>2+</v>
      </c>
      <c r="K1196" s="6">
        <f t="shared" si="37"/>
        <v>14.81</v>
      </c>
    </row>
    <row r="1197" spans="1:11" x14ac:dyDescent="0.3">
      <c r="A1197" s="5" t="s">
        <v>2626</v>
      </c>
      <c r="B1197" s="5" t="s">
        <v>25</v>
      </c>
      <c r="C1197" s="5" t="s">
        <v>6559</v>
      </c>
      <c r="D1197" s="28" t="s">
        <v>2518</v>
      </c>
      <c r="E1197" s="5" t="s">
        <v>16</v>
      </c>
      <c r="F1197" s="5" t="s">
        <v>5070</v>
      </c>
      <c r="G1197" s="5" t="s">
        <v>5070</v>
      </c>
      <c r="H1197" s="5" t="s">
        <v>2428</v>
      </c>
      <c r="I1197" s="5">
        <v>0.76</v>
      </c>
      <c r="J1197" s="6" t="str">
        <f t="shared" si="36"/>
        <v>2</v>
      </c>
      <c r="K1197" s="6">
        <f t="shared" si="37"/>
        <v>0.76</v>
      </c>
    </row>
    <row r="1198" spans="1:11" x14ac:dyDescent="0.3">
      <c r="A1198" s="5" t="s">
        <v>3645</v>
      </c>
      <c r="B1198" s="5" t="s">
        <v>106</v>
      </c>
      <c r="C1198" s="5" t="s">
        <v>5901</v>
      </c>
      <c r="D1198" s="28" t="s">
        <v>2518</v>
      </c>
      <c r="E1198" s="5" t="s">
        <v>16</v>
      </c>
      <c r="F1198" s="5" t="s">
        <v>5083</v>
      </c>
      <c r="G1198" s="5" t="s">
        <v>5083</v>
      </c>
      <c r="H1198" s="5" t="s">
        <v>2477</v>
      </c>
      <c r="I1198" s="5">
        <v>1.1499999999999999</v>
      </c>
      <c r="J1198" s="6" t="str">
        <f t="shared" si="36"/>
        <v>0</v>
      </c>
      <c r="K1198" s="6">
        <f t="shared" si="37"/>
        <v>1.1499999999999999</v>
      </c>
    </row>
    <row r="1199" spans="1:11" x14ac:dyDescent="0.3">
      <c r="A1199" s="5" t="s">
        <v>3807</v>
      </c>
      <c r="B1199" s="5" t="s">
        <v>106</v>
      </c>
      <c r="C1199" s="5" t="s">
        <v>5294</v>
      </c>
      <c r="D1199" s="28" t="s">
        <v>2518</v>
      </c>
      <c r="E1199" s="5" t="s">
        <v>16</v>
      </c>
      <c r="F1199" s="5" t="s">
        <v>5076</v>
      </c>
      <c r="G1199" s="5" t="s">
        <v>5081</v>
      </c>
      <c r="H1199" s="5" t="s">
        <v>2408</v>
      </c>
      <c r="I1199" s="5">
        <v>17.55</v>
      </c>
      <c r="J1199" s="6" t="str">
        <f t="shared" si="36"/>
        <v>0</v>
      </c>
      <c r="K1199" s="6">
        <f t="shared" si="37"/>
        <v>17.55</v>
      </c>
    </row>
    <row r="1200" spans="1:11" x14ac:dyDescent="0.3">
      <c r="A1200" s="5" t="s">
        <v>6434</v>
      </c>
      <c r="B1200" s="5" t="s">
        <v>106</v>
      </c>
      <c r="C1200" s="5" t="s">
        <v>6435</v>
      </c>
      <c r="D1200" s="28" t="s">
        <v>2518</v>
      </c>
      <c r="E1200" s="5" t="s">
        <v>16</v>
      </c>
      <c r="F1200" s="5" t="s">
        <v>5070</v>
      </c>
      <c r="G1200" s="5" t="s">
        <v>5081</v>
      </c>
      <c r="H1200" s="5" t="s">
        <v>2477</v>
      </c>
      <c r="I1200" s="5">
        <v>15.06</v>
      </c>
      <c r="J1200" s="6" t="str">
        <f t="shared" si="36"/>
        <v>0</v>
      </c>
      <c r="K1200" s="6">
        <f t="shared" si="37"/>
        <v>15.06</v>
      </c>
    </row>
    <row r="1201" spans="1:11" x14ac:dyDescent="0.3">
      <c r="A1201" s="5" t="s">
        <v>5160</v>
      </c>
      <c r="B1201" s="5" t="s">
        <v>106</v>
      </c>
      <c r="C1201" s="5" t="s">
        <v>5161</v>
      </c>
      <c r="D1201" s="28" t="s">
        <v>2518</v>
      </c>
      <c r="E1201" s="5" t="s">
        <v>16</v>
      </c>
      <c r="F1201" s="5" t="s">
        <v>5083</v>
      </c>
      <c r="G1201" s="5" t="s">
        <v>5073</v>
      </c>
      <c r="H1201" s="5" t="s">
        <v>2455</v>
      </c>
      <c r="I1201" s="5">
        <v>9.49</v>
      </c>
      <c r="J1201" s="6" t="str">
        <f t="shared" si="36"/>
        <v>1</v>
      </c>
      <c r="K1201" s="6">
        <f t="shared" si="37"/>
        <v>9.49</v>
      </c>
    </row>
    <row r="1202" spans="1:11" x14ac:dyDescent="0.3">
      <c r="A1202" s="5" t="s">
        <v>2843</v>
      </c>
      <c r="B1202" s="5" t="s">
        <v>106</v>
      </c>
      <c r="C1202" s="5" t="s">
        <v>6222</v>
      </c>
      <c r="D1202" s="28" t="s">
        <v>2518</v>
      </c>
      <c r="E1202" s="5" t="s">
        <v>16</v>
      </c>
      <c r="F1202" s="5" t="s">
        <v>5073</v>
      </c>
      <c r="G1202" s="5" t="s">
        <v>5071</v>
      </c>
      <c r="H1202" s="5" t="s">
        <v>2477</v>
      </c>
      <c r="I1202" s="5">
        <v>4.68</v>
      </c>
      <c r="J1202" s="6" t="str">
        <f t="shared" si="36"/>
        <v>0</v>
      </c>
      <c r="K1202" s="6">
        <f t="shared" si="37"/>
        <v>4.68</v>
      </c>
    </row>
    <row r="1203" spans="1:11" x14ac:dyDescent="0.3">
      <c r="A1203" s="5" t="s">
        <v>6532</v>
      </c>
      <c r="B1203" s="5" t="s">
        <v>106</v>
      </c>
      <c r="C1203" s="5" t="s">
        <v>6533</v>
      </c>
      <c r="D1203" s="28" t="s">
        <v>2518</v>
      </c>
      <c r="E1203" s="5" t="s">
        <v>16</v>
      </c>
      <c r="F1203" s="5" t="s">
        <v>5071</v>
      </c>
      <c r="G1203" s="5" t="s">
        <v>5073</v>
      </c>
      <c r="H1203" s="5" t="s">
        <v>2412</v>
      </c>
      <c r="I1203" s="5">
        <v>1.87</v>
      </c>
      <c r="J1203" s="6" t="str">
        <f t="shared" si="36"/>
        <v>1</v>
      </c>
      <c r="K1203" s="6">
        <f t="shared" si="37"/>
        <v>1.87</v>
      </c>
    </row>
    <row r="1204" spans="1:11" x14ac:dyDescent="0.3">
      <c r="A1204" s="5" t="s">
        <v>6505</v>
      </c>
      <c r="B1204" s="5" t="s">
        <v>106</v>
      </c>
      <c r="C1204" s="5" t="s">
        <v>6506</v>
      </c>
      <c r="D1204" s="28" t="s">
        <v>2518</v>
      </c>
      <c r="E1204" s="5" t="s">
        <v>16</v>
      </c>
      <c r="F1204" s="5" t="s">
        <v>5083</v>
      </c>
      <c r="G1204" s="5" t="s">
        <v>5076</v>
      </c>
      <c r="H1204" s="5" t="s">
        <v>2993</v>
      </c>
      <c r="I1204" s="5">
        <v>16.41</v>
      </c>
      <c r="J1204" s="6" t="str">
        <f t="shared" si="36"/>
        <v>2+</v>
      </c>
      <c r="K1204" s="6">
        <f t="shared" si="37"/>
        <v>16.41</v>
      </c>
    </row>
    <row r="1205" spans="1:11" x14ac:dyDescent="0.3">
      <c r="A1205" s="5" t="s">
        <v>4269</v>
      </c>
      <c r="B1205" s="5" t="s">
        <v>106</v>
      </c>
      <c r="C1205" s="5" t="s">
        <v>5426</v>
      </c>
      <c r="D1205" s="28" t="s">
        <v>2518</v>
      </c>
      <c r="E1205" s="5" t="s">
        <v>16</v>
      </c>
      <c r="F1205" s="5" t="s">
        <v>5083</v>
      </c>
      <c r="G1205" s="5" t="s">
        <v>5073</v>
      </c>
      <c r="H1205" s="5"/>
      <c r="I1205" s="5">
        <v>10.35</v>
      </c>
      <c r="J1205" s="6" t="str">
        <f t="shared" si="36"/>
        <v>Unknown</v>
      </c>
      <c r="K1205" s="6">
        <f t="shared" si="37"/>
        <v>10.35</v>
      </c>
    </row>
    <row r="1206" spans="1:11" x14ac:dyDescent="0.3">
      <c r="A1206" s="5" t="s">
        <v>2611</v>
      </c>
      <c r="B1206" s="5" t="s">
        <v>106</v>
      </c>
      <c r="C1206" s="5" t="s">
        <v>6055</v>
      </c>
      <c r="D1206" s="28" t="s">
        <v>2518</v>
      </c>
      <c r="E1206" s="5" t="s">
        <v>16</v>
      </c>
      <c r="F1206" s="5" t="s">
        <v>5071</v>
      </c>
      <c r="G1206" s="5" t="s">
        <v>5081</v>
      </c>
      <c r="H1206" s="5" t="s">
        <v>2418</v>
      </c>
      <c r="I1206" s="5">
        <v>15.56</v>
      </c>
      <c r="J1206" s="6" t="str">
        <f t="shared" si="36"/>
        <v>1</v>
      </c>
      <c r="K1206" s="6">
        <f t="shared" si="37"/>
        <v>15.56</v>
      </c>
    </row>
    <row r="1207" spans="1:11" x14ac:dyDescent="0.3">
      <c r="A1207" s="5" t="s">
        <v>2796</v>
      </c>
      <c r="B1207" s="5" t="s">
        <v>106</v>
      </c>
      <c r="C1207" s="5" t="s">
        <v>5251</v>
      </c>
      <c r="D1207" s="28" t="s">
        <v>2518</v>
      </c>
      <c r="E1207" s="5" t="s">
        <v>16</v>
      </c>
      <c r="F1207" s="5" t="s">
        <v>5081</v>
      </c>
      <c r="G1207" s="5" t="s">
        <v>5073</v>
      </c>
      <c r="H1207" s="5" t="s">
        <v>2423</v>
      </c>
      <c r="I1207" s="5">
        <v>12.24</v>
      </c>
      <c r="J1207" s="6" t="str">
        <f t="shared" si="36"/>
        <v>0</v>
      </c>
      <c r="K1207" s="6">
        <f t="shared" si="37"/>
        <v>12.24</v>
      </c>
    </row>
    <row r="1208" spans="1:11" x14ac:dyDescent="0.3">
      <c r="A1208" s="5" t="s">
        <v>6387</v>
      </c>
      <c r="B1208" s="5" t="s">
        <v>106</v>
      </c>
      <c r="C1208" s="5" t="s">
        <v>6388</v>
      </c>
      <c r="D1208" s="28" t="s">
        <v>2518</v>
      </c>
      <c r="E1208" s="5" t="s">
        <v>16</v>
      </c>
      <c r="F1208" s="5" t="s">
        <v>5083</v>
      </c>
      <c r="G1208" s="5" t="s">
        <v>5073</v>
      </c>
      <c r="H1208" s="5" t="s">
        <v>2435</v>
      </c>
      <c r="I1208" s="5">
        <v>1.63</v>
      </c>
      <c r="J1208" s="6" t="str">
        <f t="shared" si="36"/>
        <v>0</v>
      </c>
      <c r="K1208" s="6">
        <f t="shared" si="37"/>
        <v>1.63</v>
      </c>
    </row>
    <row r="1209" spans="1:11" x14ac:dyDescent="0.3">
      <c r="A1209" s="5" t="s">
        <v>5139</v>
      </c>
      <c r="B1209" s="5" t="s">
        <v>106</v>
      </c>
      <c r="C1209" s="5" t="s">
        <v>5140</v>
      </c>
      <c r="D1209" s="28" t="s">
        <v>2518</v>
      </c>
      <c r="E1209" s="5" t="s">
        <v>16</v>
      </c>
      <c r="F1209" s="5" t="s">
        <v>5071</v>
      </c>
      <c r="G1209" s="5" t="s">
        <v>5083</v>
      </c>
      <c r="H1209" s="5" t="s">
        <v>2455</v>
      </c>
      <c r="I1209" s="5">
        <v>11.62</v>
      </c>
      <c r="J1209" s="6" t="str">
        <f t="shared" si="36"/>
        <v>1</v>
      </c>
      <c r="K1209" s="6">
        <f t="shared" si="37"/>
        <v>11.62</v>
      </c>
    </row>
    <row r="1210" spans="1:11" x14ac:dyDescent="0.3">
      <c r="A1210" s="5" t="s">
        <v>6053</v>
      </c>
      <c r="B1210" s="5" t="s">
        <v>106</v>
      </c>
      <c r="C1210" s="5" t="s">
        <v>6054</v>
      </c>
      <c r="D1210" s="28" t="s">
        <v>2518</v>
      </c>
      <c r="E1210" s="5" t="s">
        <v>16</v>
      </c>
      <c r="F1210" s="5" t="s">
        <v>5073</v>
      </c>
      <c r="G1210" s="5" t="s">
        <v>5071</v>
      </c>
      <c r="H1210" s="5" t="s">
        <v>2435</v>
      </c>
      <c r="I1210" s="5"/>
      <c r="J1210" s="6" t="str">
        <f t="shared" si="36"/>
        <v>0</v>
      </c>
      <c r="K1210" s="6">
        <f t="shared" si="37"/>
        <v>10.1</v>
      </c>
    </row>
    <row r="1211" spans="1:11" x14ac:dyDescent="0.3">
      <c r="A1211" s="5" t="s">
        <v>2517</v>
      </c>
      <c r="B1211" s="5" t="s">
        <v>106</v>
      </c>
      <c r="C1211" s="5" t="s">
        <v>6500</v>
      </c>
      <c r="D1211" s="28" t="s">
        <v>2518</v>
      </c>
      <c r="E1211" s="5" t="s">
        <v>16</v>
      </c>
      <c r="F1211" s="5" t="s">
        <v>5076</v>
      </c>
      <c r="G1211" s="5" t="s">
        <v>5076</v>
      </c>
      <c r="H1211" s="5" t="s">
        <v>2435</v>
      </c>
      <c r="I1211" s="5">
        <v>5.64</v>
      </c>
      <c r="J1211" s="6" t="str">
        <f t="shared" si="36"/>
        <v>0</v>
      </c>
      <c r="K1211" s="6">
        <f t="shared" si="37"/>
        <v>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7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4.4" x14ac:dyDescent="0.3"/>
  <cols>
    <col min="1" max="1" width="15" customWidth="1"/>
    <col min="2" max="2" width="11" customWidth="1"/>
    <col min="3" max="3" width="18" customWidth="1"/>
    <col min="4" max="4" width="10" customWidth="1"/>
    <col min="5" max="5" width="18" customWidth="1"/>
    <col min="6" max="6" width="17" customWidth="1"/>
    <col min="7" max="7" width="19" customWidth="1"/>
    <col min="8" max="8" width="15" customWidth="1"/>
    <col min="9" max="9" width="25" customWidth="1"/>
    <col min="10" max="10" width="16" customWidth="1"/>
  </cols>
  <sheetData>
    <row r="1" spans="1:10" x14ac:dyDescent="0.3">
      <c r="A1" s="23" t="s">
        <v>2401</v>
      </c>
      <c r="B1" s="23" t="s">
        <v>3</v>
      </c>
      <c r="C1" s="23" t="s">
        <v>4</v>
      </c>
      <c r="D1" s="23" t="s">
        <v>6587</v>
      </c>
      <c r="E1" s="23" t="s">
        <v>6588</v>
      </c>
      <c r="F1" s="23" t="s">
        <v>6589</v>
      </c>
      <c r="G1" s="23" t="s">
        <v>6590</v>
      </c>
      <c r="H1" s="23" t="s">
        <v>6591</v>
      </c>
      <c r="I1" s="23" t="s">
        <v>6592</v>
      </c>
      <c r="J1" s="23" t="s">
        <v>6593</v>
      </c>
    </row>
    <row r="2" spans="1:10" x14ac:dyDescent="0.3">
      <c r="A2" s="5" t="s">
        <v>2415</v>
      </c>
      <c r="B2" s="5" t="s">
        <v>189</v>
      </c>
      <c r="C2" s="5" t="s">
        <v>17</v>
      </c>
      <c r="D2" s="5" t="s">
        <v>6609</v>
      </c>
      <c r="E2" s="5">
        <v>5</v>
      </c>
      <c r="F2" s="5">
        <v>5</v>
      </c>
      <c r="G2" s="5">
        <v>1</v>
      </c>
      <c r="H2" s="5">
        <v>7.36</v>
      </c>
      <c r="I2" s="5">
        <v>2</v>
      </c>
      <c r="J2" s="5">
        <v>3</v>
      </c>
    </row>
    <row r="3" spans="1:10" x14ac:dyDescent="0.3">
      <c r="A3" s="5" t="s">
        <v>2415</v>
      </c>
      <c r="B3" s="5" t="s">
        <v>189</v>
      </c>
      <c r="C3" s="5" t="s">
        <v>17</v>
      </c>
      <c r="D3" s="5" t="s">
        <v>6609</v>
      </c>
      <c r="E3" s="5">
        <v>8</v>
      </c>
      <c r="F3" s="5">
        <v>6</v>
      </c>
      <c r="G3" s="5">
        <v>4</v>
      </c>
      <c r="H3" s="5">
        <v>3.93</v>
      </c>
      <c r="I3" s="5">
        <v>4</v>
      </c>
      <c r="J3" s="5">
        <v>4</v>
      </c>
    </row>
    <row r="4" spans="1:10" x14ac:dyDescent="0.3">
      <c r="A4" s="5" t="s">
        <v>2434</v>
      </c>
      <c r="B4" s="5" t="s">
        <v>16</v>
      </c>
      <c r="C4" s="5" t="s">
        <v>108</v>
      </c>
      <c r="D4" s="5" t="s">
        <v>6609</v>
      </c>
      <c r="E4" s="5">
        <v>25</v>
      </c>
      <c r="F4" s="5">
        <v>22</v>
      </c>
      <c r="G4" s="5">
        <v>2</v>
      </c>
      <c r="H4" s="5">
        <v>5.58</v>
      </c>
      <c r="I4" s="5">
        <v>16</v>
      </c>
      <c r="J4" s="5">
        <v>9</v>
      </c>
    </row>
    <row r="5" spans="1:10" x14ac:dyDescent="0.3">
      <c r="A5" s="5" t="s">
        <v>2434</v>
      </c>
      <c r="B5" s="5" t="s">
        <v>16</v>
      </c>
      <c r="C5" s="5" t="s">
        <v>108</v>
      </c>
      <c r="D5" s="5" t="s">
        <v>6609</v>
      </c>
      <c r="E5" s="5">
        <v>22</v>
      </c>
      <c r="F5" s="5">
        <v>20</v>
      </c>
      <c r="G5" s="5">
        <v>1</v>
      </c>
      <c r="H5" s="5">
        <v>5.01</v>
      </c>
      <c r="I5" s="5">
        <v>16</v>
      </c>
      <c r="J5" s="5">
        <v>6</v>
      </c>
    </row>
    <row r="6" spans="1:10" x14ac:dyDescent="0.3">
      <c r="A6" s="5" t="s">
        <v>2434</v>
      </c>
      <c r="B6" s="5" t="s">
        <v>16</v>
      </c>
      <c r="C6" s="5" t="s">
        <v>108</v>
      </c>
      <c r="D6" s="5" t="s">
        <v>6609</v>
      </c>
      <c r="E6" s="5">
        <v>16</v>
      </c>
      <c r="F6" s="5">
        <v>16</v>
      </c>
      <c r="G6" s="5">
        <v>4</v>
      </c>
      <c r="H6" s="5">
        <v>9.98</v>
      </c>
      <c r="I6" s="5">
        <v>9</v>
      </c>
      <c r="J6" s="5">
        <v>7</v>
      </c>
    </row>
    <row r="7" spans="1:10" x14ac:dyDescent="0.3">
      <c r="A7" s="5" t="s">
        <v>2469</v>
      </c>
      <c r="B7" s="5" t="s">
        <v>16</v>
      </c>
      <c r="C7" s="5" t="s">
        <v>99</v>
      </c>
      <c r="D7" s="5" t="s">
        <v>6609</v>
      </c>
      <c r="E7" s="5">
        <v>10</v>
      </c>
      <c r="F7" s="5">
        <v>9</v>
      </c>
      <c r="G7" s="5">
        <v>1</v>
      </c>
      <c r="H7" s="5">
        <v>6.01</v>
      </c>
      <c r="I7" s="5">
        <v>7</v>
      </c>
      <c r="J7" s="5">
        <v>3</v>
      </c>
    </row>
    <row r="8" spans="1:10" x14ac:dyDescent="0.3">
      <c r="A8" s="5" t="s">
        <v>2536</v>
      </c>
      <c r="B8" s="5" t="s">
        <v>36</v>
      </c>
      <c r="C8" s="5" t="s">
        <v>99</v>
      </c>
      <c r="D8" s="5" t="s">
        <v>6609</v>
      </c>
      <c r="E8" s="5">
        <v>10</v>
      </c>
      <c r="F8" s="5">
        <v>10</v>
      </c>
      <c r="G8" s="5">
        <v>2</v>
      </c>
      <c r="H8" s="5">
        <v>10.87</v>
      </c>
      <c r="I8" s="5">
        <v>7</v>
      </c>
      <c r="J8" s="5">
        <v>3</v>
      </c>
    </row>
    <row r="9" spans="1:10" x14ac:dyDescent="0.3">
      <c r="A9" s="5" t="s">
        <v>2536</v>
      </c>
      <c r="B9" s="5" t="s">
        <v>36</v>
      </c>
      <c r="C9" s="5" t="s">
        <v>99</v>
      </c>
      <c r="D9" s="5" t="s">
        <v>6609</v>
      </c>
      <c r="E9" s="5">
        <v>19</v>
      </c>
      <c r="F9" s="5">
        <v>17</v>
      </c>
      <c r="G9" s="5">
        <v>1</v>
      </c>
      <c r="H9" s="5">
        <v>2.81</v>
      </c>
      <c r="I9" s="5">
        <v>14</v>
      </c>
      <c r="J9" s="5">
        <v>5</v>
      </c>
    </row>
    <row r="10" spans="1:10" x14ac:dyDescent="0.3">
      <c r="A10" s="5" t="s">
        <v>2532</v>
      </c>
      <c r="B10" s="5" t="s">
        <v>36</v>
      </c>
      <c r="C10" s="5" t="s">
        <v>67</v>
      </c>
      <c r="D10" s="5" t="s">
        <v>6609</v>
      </c>
      <c r="E10" s="5">
        <v>12</v>
      </c>
      <c r="F10" s="5">
        <v>9</v>
      </c>
      <c r="G10" s="5">
        <v>1</v>
      </c>
      <c r="H10" s="5">
        <v>2.2599999999999998</v>
      </c>
      <c r="I10" s="5">
        <v>6</v>
      </c>
      <c r="J10" s="5">
        <v>6</v>
      </c>
    </row>
    <row r="11" spans="1:10" x14ac:dyDescent="0.3">
      <c r="A11" s="5" t="s">
        <v>2532</v>
      </c>
      <c r="B11" s="5" t="s">
        <v>36</v>
      </c>
      <c r="C11" s="5" t="s">
        <v>67</v>
      </c>
      <c r="D11" s="5" t="s">
        <v>6609</v>
      </c>
      <c r="E11" s="5">
        <v>13</v>
      </c>
      <c r="F11" s="5">
        <v>11</v>
      </c>
      <c r="G11" s="5">
        <v>1</v>
      </c>
      <c r="H11" s="5">
        <v>11.41</v>
      </c>
      <c r="I11" s="5">
        <v>8</v>
      </c>
      <c r="J11" s="5">
        <v>5</v>
      </c>
    </row>
    <row r="12" spans="1:10" x14ac:dyDescent="0.3">
      <c r="A12" s="5" t="s">
        <v>2532</v>
      </c>
      <c r="B12" s="5" t="s">
        <v>36</v>
      </c>
      <c r="C12" s="5" t="s">
        <v>67</v>
      </c>
      <c r="D12" s="5" t="s">
        <v>6609</v>
      </c>
      <c r="E12" s="5">
        <v>5</v>
      </c>
      <c r="F12" s="5">
        <v>2</v>
      </c>
      <c r="G12" s="5">
        <v>3</v>
      </c>
      <c r="H12" s="5">
        <v>8.52</v>
      </c>
      <c r="I12" s="5">
        <v>2</v>
      </c>
      <c r="J12" s="5">
        <v>3</v>
      </c>
    </row>
    <row r="13" spans="1:10" x14ac:dyDescent="0.3">
      <c r="A13" s="5" t="s">
        <v>2532</v>
      </c>
      <c r="B13" s="5" t="s">
        <v>36</v>
      </c>
      <c r="C13" s="5" t="s">
        <v>67</v>
      </c>
      <c r="D13" s="5" t="s">
        <v>6609</v>
      </c>
      <c r="E13" s="5">
        <v>7</v>
      </c>
      <c r="F13" s="5">
        <v>7</v>
      </c>
      <c r="G13" s="5">
        <v>2</v>
      </c>
      <c r="H13" s="5">
        <v>9.41</v>
      </c>
      <c r="I13" s="5">
        <v>3</v>
      </c>
      <c r="J13" s="5">
        <v>4</v>
      </c>
    </row>
    <row r="14" spans="1:10" x14ac:dyDescent="0.3">
      <c r="A14" s="5" t="s">
        <v>2532</v>
      </c>
      <c r="B14" s="5" t="s">
        <v>36</v>
      </c>
      <c r="C14" s="5" t="s">
        <v>67</v>
      </c>
      <c r="D14" s="5" t="s">
        <v>6609</v>
      </c>
      <c r="E14" s="5">
        <v>20</v>
      </c>
      <c r="F14" s="5">
        <v>17</v>
      </c>
      <c r="G14" s="5">
        <v>3</v>
      </c>
      <c r="H14" s="5">
        <v>1.57</v>
      </c>
      <c r="I14" s="5">
        <v>16</v>
      </c>
      <c r="J14" s="5">
        <v>4</v>
      </c>
    </row>
    <row r="15" spans="1:10" x14ac:dyDescent="0.3">
      <c r="A15" s="5" t="s">
        <v>2490</v>
      </c>
      <c r="B15" s="5" t="s">
        <v>36</v>
      </c>
      <c r="C15" s="5" t="s">
        <v>28</v>
      </c>
      <c r="D15" s="5" t="s">
        <v>6609</v>
      </c>
      <c r="E15" s="5">
        <v>14</v>
      </c>
      <c r="F15" s="5">
        <v>12</v>
      </c>
      <c r="G15" s="5">
        <v>4</v>
      </c>
      <c r="H15" s="5">
        <v>1.52</v>
      </c>
      <c r="I15" s="5">
        <v>8</v>
      </c>
      <c r="J15" s="5">
        <v>6</v>
      </c>
    </row>
    <row r="16" spans="1:10" x14ac:dyDescent="0.3">
      <c r="A16" s="5" t="s">
        <v>2490</v>
      </c>
      <c r="B16" s="5" t="s">
        <v>36</v>
      </c>
      <c r="C16" s="5" t="s">
        <v>28</v>
      </c>
      <c r="D16" s="5" t="s">
        <v>6609</v>
      </c>
      <c r="E16" s="5">
        <v>13</v>
      </c>
      <c r="F16" s="5">
        <v>11</v>
      </c>
      <c r="G16" s="5">
        <v>1</v>
      </c>
      <c r="H16" s="5">
        <v>4.66</v>
      </c>
      <c r="I16" s="5">
        <v>9</v>
      </c>
      <c r="J16" s="5">
        <v>4</v>
      </c>
    </row>
    <row r="17" spans="1:10" x14ac:dyDescent="0.3">
      <c r="A17" s="5" t="s">
        <v>2490</v>
      </c>
      <c r="B17" s="5" t="s">
        <v>36</v>
      </c>
      <c r="C17" s="5" t="s">
        <v>28</v>
      </c>
      <c r="D17" s="5" t="s">
        <v>6609</v>
      </c>
      <c r="E17" s="5">
        <v>10</v>
      </c>
      <c r="F17" s="5">
        <v>7</v>
      </c>
      <c r="G17" s="5">
        <v>2</v>
      </c>
      <c r="H17" s="5">
        <v>4.03</v>
      </c>
      <c r="I17" s="5">
        <v>7</v>
      </c>
      <c r="J17" s="5">
        <v>3</v>
      </c>
    </row>
    <row r="18" spans="1:10" x14ac:dyDescent="0.3">
      <c r="A18" s="5" t="s">
        <v>2561</v>
      </c>
      <c r="B18" s="5" t="s">
        <v>36</v>
      </c>
      <c r="C18" s="5" t="s">
        <v>74</v>
      </c>
      <c r="D18" s="5" t="s">
        <v>6609</v>
      </c>
      <c r="E18" s="5">
        <v>20</v>
      </c>
      <c r="F18" s="5">
        <v>17</v>
      </c>
      <c r="G18" s="5">
        <v>1</v>
      </c>
      <c r="H18" s="5">
        <v>4.37</v>
      </c>
      <c r="I18" s="5">
        <v>15</v>
      </c>
      <c r="J18" s="5">
        <v>5</v>
      </c>
    </row>
    <row r="19" spans="1:10" x14ac:dyDescent="0.3">
      <c r="A19" s="5" t="s">
        <v>2561</v>
      </c>
      <c r="B19" s="5" t="s">
        <v>36</v>
      </c>
      <c r="C19" s="5" t="s">
        <v>74</v>
      </c>
      <c r="D19" s="5" t="s">
        <v>6609</v>
      </c>
      <c r="E19" s="5">
        <v>25</v>
      </c>
      <c r="F19" s="5">
        <v>23</v>
      </c>
      <c r="G19" s="5">
        <v>3</v>
      </c>
      <c r="H19" s="5">
        <v>10.02</v>
      </c>
      <c r="I19" s="5">
        <v>16</v>
      </c>
      <c r="J19" s="5">
        <v>9</v>
      </c>
    </row>
    <row r="20" spans="1:10" x14ac:dyDescent="0.3">
      <c r="A20" s="5" t="s">
        <v>2407</v>
      </c>
      <c r="B20" s="5" t="s">
        <v>66</v>
      </c>
      <c r="C20" s="5" t="s">
        <v>93</v>
      </c>
      <c r="D20" s="5" t="s">
        <v>6609</v>
      </c>
      <c r="E20" s="5">
        <v>19</v>
      </c>
      <c r="F20" s="5">
        <v>17</v>
      </c>
      <c r="G20" s="5">
        <v>2</v>
      </c>
      <c r="H20" s="5">
        <v>10.95</v>
      </c>
      <c r="I20" s="5">
        <v>15</v>
      </c>
      <c r="J20" s="5">
        <v>4</v>
      </c>
    </row>
    <row r="21" spans="1:10" x14ac:dyDescent="0.3">
      <c r="A21" s="5" t="s">
        <v>2407</v>
      </c>
      <c r="B21" s="5" t="s">
        <v>66</v>
      </c>
      <c r="C21" s="5" t="s">
        <v>93</v>
      </c>
      <c r="D21" s="5" t="s">
        <v>6609</v>
      </c>
      <c r="E21" s="5">
        <v>17</v>
      </c>
      <c r="F21" s="5">
        <v>15</v>
      </c>
      <c r="G21" s="5">
        <v>2</v>
      </c>
      <c r="H21" s="5">
        <v>4.2699999999999996</v>
      </c>
      <c r="I21" s="5">
        <v>9</v>
      </c>
      <c r="J21" s="5">
        <v>8</v>
      </c>
    </row>
    <row r="22" spans="1:10" x14ac:dyDescent="0.3">
      <c r="A22" s="5" t="s">
        <v>2466</v>
      </c>
      <c r="B22" s="5" t="s">
        <v>66</v>
      </c>
      <c r="C22" s="5" t="s">
        <v>67</v>
      </c>
      <c r="D22" s="5" t="s">
        <v>6609</v>
      </c>
      <c r="E22" s="5">
        <v>3</v>
      </c>
      <c r="F22" s="5">
        <v>3</v>
      </c>
      <c r="G22" s="5">
        <v>4</v>
      </c>
      <c r="H22" s="5">
        <v>9.41</v>
      </c>
      <c r="I22" s="5">
        <v>2</v>
      </c>
      <c r="J22" s="5">
        <v>1</v>
      </c>
    </row>
    <row r="23" spans="1:10" x14ac:dyDescent="0.3">
      <c r="A23" s="5" t="s">
        <v>2466</v>
      </c>
      <c r="B23" s="5" t="s">
        <v>66</v>
      </c>
      <c r="C23" s="5" t="s">
        <v>67</v>
      </c>
      <c r="D23" s="5" t="s">
        <v>6609</v>
      </c>
      <c r="E23" s="5">
        <v>24</v>
      </c>
      <c r="F23" s="5">
        <v>22</v>
      </c>
      <c r="G23" s="5">
        <v>3</v>
      </c>
      <c r="H23" s="5">
        <v>5.62</v>
      </c>
      <c r="I23" s="5">
        <v>16</v>
      </c>
      <c r="J23" s="5">
        <v>8</v>
      </c>
    </row>
    <row r="24" spans="1:10" x14ac:dyDescent="0.3">
      <c r="A24" s="5" t="s">
        <v>2521</v>
      </c>
      <c r="B24" s="5" t="s">
        <v>66</v>
      </c>
      <c r="C24" s="5" t="s">
        <v>99</v>
      </c>
      <c r="D24" s="5" t="s">
        <v>6609</v>
      </c>
      <c r="E24" s="5">
        <v>17</v>
      </c>
      <c r="F24" s="5">
        <v>15</v>
      </c>
      <c r="G24" s="5">
        <v>4</v>
      </c>
      <c r="H24" s="5">
        <v>7.63</v>
      </c>
      <c r="I24" s="5">
        <v>11</v>
      </c>
      <c r="J24" s="5">
        <v>6</v>
      </c>
    </row>
    <row r="25" spans="1:10" x14ac:dyDescent="0.3">
      <c r="A25" s="5" t="s">
        <v>2521</v>
      </c>
      <c r="B25" s="5" t="s">
        <v>66</v>
      </c>
      <c r="C25" s="5" t="s">
        <v>99</v>
      </c>
      <c r="D25" s="5" t="s">
        <v>6609</v>
      </c>
      <c r="E25" s="5">
        <v>25</v>
      </c>
      <c r="F25" s="5">
        <v>22</v>
      </c>
      <c r="G25" s="5">
        <v>2</v>
      </c>
      <c r="H25" s="5">
        <v>4.68</v>
      </c>
      <c r="I25" s="5">
        <v>16</v>
      </c>
      <c r="J25" s="5">
        <v>9</v>
      </c>
    </row>
    <row r="26" spans="1:10" x14ac:dyDescent="0.3">
      <c r="A26" s="5" t="s">
        <v>2411</v>
      </c>
      <c r="B26" s="5" t="s">
        <v>55</v>
      </c>
      <c r="C26" s="5" t="s">
        <v>108</v>
      </c>
      <c r="D26" s="5" t="s">
        <v>6609</v>
      </c>
      <c r="E26" s="5">
        <v>11</v>
      </c>
      <c r="F26" s="5">
        <v>10</v>
      </c>
      <c r="G26" s="5">
        <v>2</v>
      </c>
      <c r="H26" s="5">
        <v>11.91</v>
      </c>
      <c r="I26" s="5">
        <v>9</v>
      </c>
      <c r="J26" s="5">
        <v>2</v>
      </c>
    </row>
    <row r="27" spans="1:10" x14ac:dyDescent="0.3">
      <c r="A27" s="5" t="s">
        <v>2459</v>
      </c>
      <c r="B27" s="5" t="s">
        <v>189</v>
      </c>
      <c r="C27" s="5" t="s">
        <v>67</v>
      </c>
      <c r="D27" s="5" t="s">
        <v>6609</v>
      </c>
      <c r="E27" s="5">
        <v>22</v>
      </c>
      <c r="F27" s="5">
        <v>21</v>
      </c>
      <c r="G27" s="5">
        <v>4</v>
      </c>
      <c r="H27" s="5">
        <v>5.52</v>
      </c>
      <c r="I27" s="5">
        <v>15</v>
      </c>
      <c r="J27" s="5">
        <v>7</v>
      </c>
    </row>
    <row r="28" spans="1:10" x14ac:dyDescent="0.3">
      <c r="A28" s="5" t="s">
        <v>2459</v>
      </c>
      <c r="B28" s="5" t="s">
        <v>189</v>
      </c>
      <c r="C28" s="5" t="s">
        <v>67</v>
      </c>
      <c r="D28" s="5" t="s">
        <v>6609</v>
      </c>
      <c r="E28" s="5">
        <v>6</v>
      </c>
      <c r="F28" s="5">
        <v>5</v>
      </c>
      <c r="G28" s="5">
        <v>4</v>
      </c>
      <c r="H28" s="5">
        <v>7.85</v>
      </c>
      <c r="I28" s="5">
        <v>3</v>
      </c>
      <c r="J28" s="5">
        <v>3</v>
      </c>
    </row>
    <row r="29" spans="1:10" x14ac:dyDescent="0.3">
      <c r="A29" s="5" t="s">
        <v>2459</v>
      </c>
      <c r="B29" s="5" t="s">
        <v>189</v>
      </c>
      <c r="C29" s="5" t="s">
        <v>67</v>
      </c>
      <c r="D29" s="5" t="s">
        <v>6609</v>
      </c>
      <c r="E29" s="5">
        <v>14</v>
      </c>
      <c r="F29" s="5">
        <v>13</v>
      </c>
      <c r="G29" s="5">
        <v>3</v>
      </c>
      <c r="H29" s="5">
        <v>8.0399999999999991</v>
      </c>
      <c r="I29" s="5">
        <v>7</v>
      </c>
      <c r="J29" s="5">
        <v>7</v>
      </c>
    </row>
    <row r="30" spans="1:10" x14ac:dyDescent="0.3">
      <c r="A30" s="5" t="s">
        <v>2629</v>
      </c>
      <c r="B30" s="5" t="s">
        <v>55</v>
      </c>
      <c r="C30" s="5" t="s">
        <v>164</v>
      </c>
      <c r="D30" s="5" t="s">
        <v>6609</v>
      </c>
      <c r="E30" s="5">
        <v>21</v>
      </c>
      <c r="F30" s="5">
        <v>19</v>
      </c>
      <c r="G30" s="5">
        <v>1</v>
      </c>
      <c r="H30" s="5">
        <v>8.66</v>
      </c>
      <c r="I30" s="5">
        <v>13</v>
      </c>
      <c r="J30" s="5">
        <v>8</v>
      </c>
    </row>
    <row r="31" spans="1:10" x14ac:dyDescent="0.3">
      <c r="A31" s="5" t="s">
        <v>2629</v>
      </c>
      <c r="B31" s="5" t="s">
        <v>55</v>
      </c>
      <c r="C31" s="5" t="s">
        <v>164</v>
      </c>
      <c r="D31" s="5" t="s">
        <v>6609</v>
      </c>
      <c r="E31" s="5">
        <v>4</v>
      </c>
      <c r="F31" s="5">
        <v>1</v>
      </c>
      <c r="G31" s="5">
        <v>4</v>
      </c>
      <c r="H31" s="5">
        <v>9.3800000000000008</v>
      </c>
      <c r="I31" s="5">
        <v>2</v>
      </c>
      <c r="J31" s="5">
        <v>2</v>
      </c>
    </row>
    <row r="32" spans="1:10" x14ac:dyDescent="0.3">
      <c r="A32" s="5" t="s">
        <v>2422</v>
      </c>
      <c r="B32" s="5" t="s">
        <v>55</v>
      </c>
      <c r="C32" s="5" t="s">
        <v>28</v>
      </c>
      <c r="D32" s="5" t="s">
        <v>6609</v>
      </c>
      <c r="E32" s="5">
        <v>12</v>
      </c>
      <c r="F32" s="5">
        <v>12</v>
      </c>
      <c r="G32" s="5">
        <v>4</v>
      </c>
      <c r="H32" s="5">
        <v>3.23</v>
      </c>
      <c r="I32" s="5">
        <v>7</v>
      </c>
      <c r="J32" s="5">
        <v>5</v>
      </c>
    </row>
    <row r="33" spans="1:10" x14ac:dyDescent="0.3">
      <c r="A33" s="5" t="s">
        <v>2438</v>
      </c>
      <c r="B33" s="5" t="s">
        <v>55</v>
      </c>
      <c r="C33" s="5" t="s">
        <v>74</v>
      </c>
      <c r="D33" s="5" t="s">
        <v>6609</v>
      </c>
      <c r="E33" s="5">
        <v>24</v>
      </c>
      <c r="F33" s="5">
        <v>21</v>
      </c>
      <c r="G33" s="5">
        <v>2</v>
      </c>
      <c r="H33" s="5">
        <v>8.5299999999999994</v>
      </c>
      <c r="I33" s="5">
        <v>17</v>
      </c>
      <c r="J33" s="5">
        <v>7</v>
      </c>
    </row>
    <row r="34" spans="1:10" x14ac:dyDescent="0.3">
      <c r="A34" s="5" t="s">
        <v>2438</v>
      </c>
      <c r="B34" s="5" t="s">
        <v>55</v>
      </c>
      <c r="C34" s="5" t="s">
        <v>74</v>
      </c>
      <c r="D34" s="5" t="s">
        <v>6609</v>
      </c>
      <c r="E34" s="5">
        <v>20</v>
      </c>
      <c r="F34" s="5">
        <v>17</v>
      </c>
      <c r="G34" s="5">
        <v>3</v>
      </c>
      <c r="H34" s="5">
        <v>4.8600000000000003</v>
      </c>
      <c r="I34" s="5">
        <v>11</v>
      </c>
      <c r="J34" s="5">
        <v>9</v>
      </c>
    </row>
    <row r="35" spans="1:10" x14ac:dyDescent="0.3">
      <c r="A35" s="5" t="s">
        <v>2427</v>
      </c>
      <c r="B35" s="5" t="s">
        <v>55</v>
      </c>
      <c r="C35" s="5" t="s">
        <v>93</v>
      </c>
      <c r="D35" s="5" t="s">
        <v>6609</v>
      </c>
      <c r="E35" s="5">
        <v>12</v>
      </c>
      <c r="F35" s="5">
        <v>12</v>
      </c>
      <c r="G35" s="5">
        <v>2</v>
      </c>
      <c r="H35" s="5">
        <v>2.09</v>
      </c>
      <c r="I35" s="5">
        <v>8</v>
      </c>
      <c r="J35" s="5">
        <v>4</v>
      </c>
    </row>
    <row r="36" spans="1:10" x14ac:dyDescent="0.3">
      <c r="A36" s="5" t="s">
        <v>2427</v>
      </c>
      <c r="B36" s="5" t="s">
        <v>55</v>
      </c>
      <c r="C36" s="5" t="s">
        <v>93</v>
      </c>
      <c r="D36" s="5" t="s">
        <v>6609</v>
      </c>
      <c r="E36" s="5">
        <v>20</v>
      </c>
      <c r="F36" s="5">
        <v>17</v>
      </c>
      <c r="G36" s="5">
        <v>2</v>
      </c>
      <c r="H36" s="5">
        <v>9.44</v>
      </c>
      <c r="I36" s="5">
        <v>14</v>
      </c>
      <c r="J36" s="5">
        <v>6</v>
      </c>
    </row>
    <row r="37" spans="1:10" x14ac:dyDescent="0.3">
      <c r="A37" s="5" t="s">
        <v>2485</v>
      </c>
      <c r="B37" s="5" t="s">
        <v>61</v>
      </c>
      <c r="C37" s="5" t="s">
        <v>99</v>
      </c>
      <c r="D37" s="5" t="s">
        <v>6609</v>
      </c>
      <c r="E37" s="5">
        <v>16</v>
      </c>
      <c r="F37" s="5">
        <v>14</v>
      </c>
      <c r="G37" s="5">
        <v>3</v>
      </c>
      <c r="H37" s="5">
        <v>11.83</v>
      </c>
      <c r="I37" s="5">
        <v>11</v>
      </c>
      <c r="J37" s="5">
        <v>5</v>
      </c>
    </row>
    <row r="38" spans="1:10" x14ac:dyDescent="0.3">
      <c r="A38" s="5" t="s">
        <v>2485</v>
      </c>
      <c r="B38" s="5" t="s">
        <v>61</v>
      </c>
      <c r="C38" s="5" t="s">
        <v>99</v>
      </c>
      <c r="D38" s="5" t="s">
        <v>6609</v>
      </c>
      <c r="E38" s="5">
        <v>15</v>
      </c>
      <c r="F38" s="5">
        <v>15</v>
      </c>
      <c r="G38" s="5">
        <v>3</v>
      </c>
      <c r="H38" s="5">
        <v>7.69</v>
      </c>
      <c r="I38" s="5">
        <v>12</v>
      </c>
      <c r="J38" s="5">
        <v>3</v>
      </c>
    </row>
    <row r="39" spans="1:10" x14ac:dyDescent="0.3">
      <c r="A39" s="5" t="s">
        <v>2485</v>
      </c>
      <c r="B39" s="5" t="s">
        <v>61</v>
      </c>
      <c r="C39" s="5" t="s">
        <v>99</v>
      </c>
      <c r="D39" s="5" t="s">
        <v>6609</v>
      </c>
      <c r="E39" s="5">
        <v>8</v>
      </c>
      <c r="F39" s="5">
        <v>6</v>
      </c>
      <c r="G39" s="5">
        <v>2</v>
      </c>
      <c r="H39" s="5">
        <v>4.66</v>
      </c>
      <c r="I39" s="5">
        <v>4</v>
      </c>
      <c r="J39" s="5">
        <v>4</v>
      </c>
    </row>
    <row r="40" spans="1:10" x14ac:dyDescent="0.3">
      <c r="A40" s="5" t="s">
        <v>2485</v>
      </c>
      <c r="B40" s="5" t="s">
        <v>61</v>
      </c>
      <c r="C40" s="5" t="s">
        <v>99</v>
      </c>
      <c r="D40" s="5" t="s">
        <v>6609</v>
      </c>
      <c r="E40" s="5">
        <v>22</v>
      </c>
      <c r="F40" s="5">
        <v>20</v>
      </c>
      <c r="G40" s="5">
        <v>1</v>
      </c>
      <c r="H40" s="5">
        <v>9.09</v>
      </c>
      <c r="I40" s="5">
        <v>12</v>
      </c>
      <c r="J40" s="5">
        <v>10</v>
      </c>
    </row>
    <row r="41" spans="1:10" x14ac:dyDescent="0.3">
      <c r="A41" s="5" t="s">
        <v>2449</v>
      </c>
      <c r="B41" s="5" t="s">
        <v>61</v>
      </c>
      <c r="C41" s="5" t="s">
        <v>108</v>
      </c>
      <c r="D41" s="5" t="s">
        <v>6609</v>
      </c>
      <c r="E41" s="5">
        <v>21</v>
      </c>
      <c r="F41" s="5">
        <v>20</v>
      </c>
      <c r="G41" s="5">
        <v>1</v>
      </c>
      <c r="H41" s="5">
        <v>6.85</v>
      </c>
      <c r="I41" s="5">
        <v>15</v>
      </c>
      <c r="J41" s="5">
        <v>6</v>
      </c>
    </row>
    <row r="42" spans="1:10" x14ac:dyDescent="0.3">
      <c r="A42" s="5" t="s">
        <v>2577</v>
      </c>
      <c r="B42" s="5" t="s">
        <v>61</v>
      </c>
      <c r="C42" s="5" t="s">
        <v>67</v>
      </c>
      <c r="D42" s="5" t="s">
        <v>6609</v>
      </c>
      <c r="E42" s="5">
        <v>5</v>
      </c>
      <c r="F42" s="5">
        <v>4</v>
      </c>
      <c r="G42" s="5">
        <v>3</v>
      </c>
      <c r="H42" s="5">
        <v>7.96</v>
      </c>
      <c r="I42" s="5">
        <v>3</v>
      </c>
      <c r="J42" s="5">
        <v>2</v>
      </c>
    </row>
    <row r="43" spans="1:10" x14ac:dyDescent="0.3">
      <c r="A43" s="5" t="s">
        <v>2454</v>
      </c>
      <c r="B43" s="5" t="s">
        <v>61</v>
      </c>
      <c r="C43" s="5" t="s">
        <v>17</v>
      </c>
      <c r="D43" s="5" t="s">
        <v>6609</v>
      </c>
      <c r="E43" s="5">
        <v>21</v>
      </c>
      <c r="F43" s="5">
        <v>21</v>
      </c>
      <c r="G43" s="5">
        <v>2</v>
      </c>
      <c r="H43" s="5">
        <v>2.79</v>
      </c>
      <c r="I43" s="5">
        <v>12</v>
      </c>
      <c r="J43" s="5">
        <v>9</v>
      </c>
    </row>
    <row r="44" spans="1:10" x14ac:dyDescent="0.3">
      <c r="A44" s="5" t="s">
        <v>2481</v>
      </c>
      <c r="B44" s="5" t="s">
        <v>80</v>
      </c>
      <c r="C44" s="5" t="s">
        <v>37</v>
      </c>
      <c r="D44" s="5" t="s">
        <v>6609</v>
      </c>
      <c r="E44" s="5">
        <v>22</v>
      </c>
      <c r="F44" s="5">
        <v>19</v>
      </c>
      <c r="G44" s="5">
        <v>1</v>
      </c>
      <c r="H44" s="5">
        <v>7.66</v>
      </c>
      <c r="I44" s="5">
        <v>18</v>
      </c>
      <c r="J44" s="5">
        <v>4</v>
      </c>
    </row>
    <row r="45" spans="1:10" x14ac:dyDescent="0.3">
      <c r="A45" s="5" t="s">
        <v>2473</v>
      </c>
      <c r="B45" s="5" t="s">
        <v>80</v>
      </c>
      <c r="C45" s="5" t="s">
        <v>93</v>
      </c>
      <c r="D45" s="5" t="s">
        <v>6609</v>
      </c>
      <c r="E45" s="5">
        <v>4</v>
      </c>
      <c r="F45" s="5">
        <v>3</v>
      </c>
      <c r="G45" s="5">
        <v>3</v>
      </c>
      <c r="H45" s="5">
        <v>9.9</v>
      </c>
      <c r="I45" s="5">
        <v>2</v>
      </c>
      <c r="J45" s="5">
        <v>2</v>
      </c>
    </row>
    <row r="46" spans="1:10" x14ac:dyDescent="0.3">
      <c r="A46" s="5" t="s">
        <v>2473</v>
      </c>
      <c r="B46" s="5" t="s">
        <v>80</v>
      </c>
      <c r="C46" s="5" t="s">
        <v>93</v>
      </c>
      <c r="D46" s="5" t="s">
        <v>6609</v>
      </c>
      <c r="E46" s="5">
        <v>11</v>
      </c>
      <c r="F46" s="5">
        <v>9</v>
      </c>
      <c r="G46" s="5">
        <v>4</v>
      </c>
      <c r="H46" s="5">
        <v>10.32</v>
      </c>
      <c r="I46" s="5">
        <v>6</v>
      </c>
      <c r="J46" s="5">
        <v>5</v>
      </c>
    </row>
    <row r="47" spans="1:10" x14ac:dyDescent="0.3">
      <c r="A47" s="5" t="s">
        <v>2473</v>
      </c>
      <c r="B47" s="5" t="s">
        <v>80</v>
      </c>
      <c r="C47" s="5" t="s">
        <v>93</v>
      </c>
      <c r="D47" s="5" t="s">
        <v>6609</v>
      </c>
      <c r="E47" s="5">
        <v>8</v>
      </c>
      <c r="F47" s="5">
        <v>8</v>
      </c>
      <c r="G47" s="5">
        <v>2</v>
      </c>
      <c r="H47" s="5">
        <v>5.14</v>
      </c>
      <c r="I47" s="5">
        <v>4</v>
      </c>
      <c r="J47" s="5">
        <v>4</v>
      </c>
    </row>
    <row r="48" spans="1:10" x14ac:dyDescent="0.3">
      <c r="A48" s="5" t="s">
        <v>2473</v>
      </c>
      <c r="B48" s="5" t="s">
        <v>80</v>
      </c>
      <c r="C48" s="5" t="s">
        <v>93</v>
      </c>
      <c r="D48" s="5" t="s">
        <v>6609</v>
      </c>
      <c r="E48" s="5">
        <v>12</v>
      </c>
      <c r="F48" s="5">
        <v>9</v>
      </c>
      <c r="G48" s="5">
        <v>1</v>
      </c>
      <c r="H48" s="5">
        <v>6.52</v>
      </c>
      <c r="I48" s="5">
        <v>8</v>
      </c>
      <c r="J48" s="5">
        <v>4</v>
      </c>
    </row>
    <row r="49" spans="1:10" x14ac:dyDescent="0.3">
      <c r="A49" s="5" t="s">
        <v>2730</v>
      </c>
      <c r="B49" s="5" t="s">
        <v>189</v>
      </c>
      <c r="C49" s="5" t="s">
        <v>74</v>
      </c>
      <c r="D49" s="5" t="s">
        <v>6609</v>
      </c>
      <c r="E49" s="5">
        <v>18</v>
      </c>
      <c r="F49" s="5">
        <v>18</v>
      </c>
      <c r="G49" s="5">
        <v>1</v>
      </c>
      <c r="H49" s="5">
        <v>8.73</v>
      </c>
      <c r="I49" s="5">
        <v>10</v>
      </c>
      <c r="J49" s="5">
        <v>8</v>
      </c>
    </row>
    <row r="50" spans="1:10" x14ac:dyDescent="0.3">
      <c r="A50" s="5" t="s">
        <v>2730</v>
      </c>
      <c r="B50" s="5" t="s">
        <v>189</v>
      </c>
      <c r="C50" s="5" t="s">
        <v>74</v>
      </c>
      <c r="D50" s="5" t="s">
        <v>6609</v>
      </c>
      <c r="E50" s="5">
        <v>22</v>
      </c>
      <c r="F50" s="5">
        <v>19</v>
      </c>
      <c r="G50" s="5">
        <v>3</v>
      </c>
      <c r="H50" s="5">
        <v>7.76</v>
      </c>
      <c r="I50" s="5">
        <v>16</v>
      </c>
      <c r="J50" s="5">
        <v>6</v>
      </c>
    </row>
    <row r="51" spans="1:10" x14ac:dyDescent="0.3">
      <c r="A51" s="5" t="s">
        <v>2730</v>
      </c>
      <c r="B51" s="5" t="s">
        <v>189</v>
      </c>
      <c r="C51" s="5" t="s">
        <v>74</v>
      </c>
      <c r="D51" s="5" t="s">
        <v>6609</v>
      </c>
      <c r="E51" s="5">
        <v>25</v>
      </c>
      <c r="F51" s="5">
        <v>24</v>
      </c>
      <c r="G51" s="5">
        <v>3</v>
      </c>
      <c r="H51" s="5">
        <v>3.74</v>
      </c>
      <c r="I51" s="5">
        <v>18</v>
      </c>
      <c r="J51" s="5">
        <v>7</v>
      </c>
    </row>
    <row r="52" spans="1:10" x14ac:dyDescent="0.3">
      <c r="A52" s="5" t="s">
        <v>2730</v>
      </c>
      <c r="B52" s="5" t="s">
        <v>189</v>
      </c>
      <c r="C52" s="5" t="s">
        <v>74</v>
      </c>
      <c r="D52" s="5" t="s">
        <v>6609</v>
      </c>
      <c r="E52" s="5">
        <v>19</v>
      </c>
      <c r="F52" s="5">
        <v>16</v>
      </c>
      <c r="G52" s="5">
        <v>4</v>
      </c>
      <c r="H52" s="5">
        <v>1.9</v>
      </c>
      <c r="I52" s="5">
        <v>11</v>
      </c>
      <c r="J52" s="5">
        <v>8</v>
      </c>
    </row>
    <row r="53" spans="1:10" x14ac:dyDescent="0.3">
      <c r="A53" s="5" t="s">
        <v>2730</v>
      </c>
      <c r="B53" s="5" t="s">
        <v>189</v>
      </c>
      <c r="C53" s="5" t="s">
        <v>74</v>
      </c>
      <c r="D53" s="5" t="s">
        <v>6609</v>
      </c>
      <c r="E53" s="5">
        <v>19</v>
      </c>
      <c r="F53" s="5">
        <v>17</v>
      </c>
      <c r="G53" s="5">
        <v>1</v>
      </c>
      <c r="H53" s="5">
        <v>7.82</v>
      </c>
      <c r="I53" s="5">
        <v>15</v>
      </c>
      <c r="J53" s="5">
        <v>4</v>
      </c>
    </row>
    <row r="54" spans="1:10" x14ac:dyDescent="0.3">
      <c r="A54" s="5" t="s">
        <v>2514</v>
      </c>
      <c r="B54" s="5" t="s">
        <v>80</v>
      </c>
      <c r="C54" s="5" t="s">
        <v>47</v>
      </c>
      <c r="D54" s="5" t="s">
        <v>6609</v>
      </c>
      <c r="E54" s="5">
        <v>22</v>
      </c>
      <c r="F54" s="5">
        <v>22</v>
      </c>
      <c r="G54" s="5">
        <v>1</v>
      </c>
      <c r="H54" s="5">
        <v>2.2400000000000002</v>
      </c>
      <c r="I54" s="5">
        <v>13</v>
      </c>
      <c r="J54" s="5">
        <v>9</v>
      </c>
    </row>
    <row r="55" spans="1:10" x14ac:dyDescent="0.3">
      <c r="A55" s="5" t="s">
        <v>2514</v>
      </c>
      <c r="B55" s="5" t="s">
        <v>80</v>
      </c>
      <c r="C55" s="5" t="s">
        <v>47</v>
      </c>
      <c r="D55" s="5" t="s">
        <v>6609</v>
      </c>
      <c r="E55" s="5">
        <v>5</v>
      </c>
      <c r="F55" s="5">
        <v>4</v>
      </c>
      <c r="G55" s="5">
        <v>2</v>
      </c>
      <c r="H55" s="5">
        <v>2.61</v>
      </c>
      <c r="I55" s="5">
        <v>4</v>
      </c>
      <c r="J55" s="5">
        <v>1</v>
      </c>
    </row>
    <row r="56" spans="1:10" x14ac:dyDescent="0.3">
      <c r="A56" s="5" t="s">
        <v>2494</v>
      </c>
      <c r="B56" s="5" t="s">
        <v>189</v>
      </c>
      <c r="C56" s="5" t="s">
        <v>99</v>
      </c>
      <c r="D56" s="5" t="s">
        <v>6609</v>
      </c>
      <c r="E56" s="5">
        <v>9</v>
      </c>
      <c r="F56" s="5">
        <v>6</v>
      </c>
      <c r="G56" s="5">
        <v>3</v>
      </c>
      <c r="H56" s="5">
        <v>7.46</v>
      </c>
      <c r="I56" s="5">
        <v>6</v>
      </c>
      <c r="J56" s="5">
        <v>3</v>
      </c>
    </row>
    <row r="57" spans="1:10" x14ac:dyDescent="0.3">
      <c r="A57" s="5" t="s">
        <v>2494</v>
      </c>
      <c r="B57" s="5" t="s">
        <v>189</v>
      </c>
      <c r="C57" s="5" t="s">
        <v>99</v>
      </c>
      <c r="D57" s="5" t="s">
        <v>6609</v>
      </c>
      <c r="E57" s="5">
        <v>6</v>
      </c>
      <c r="F57" s="5">
        <v>5</v>
      </c>
      <c r="G57" s="5">
        <v>4</v>
      </c>
      <c r="H57" s="5">
        <v>7.9</v>
      </c>
      <c r="I57" s="5">
        <v>4</v>
      </c>
      <c r="J57" s="5">
        <v>2</v>
      </c>
    </row>
    <row r="58" spans="1:10" x14ac:dyDescent="0.3">
      <c r="A58" s="5" t="s">
        <v>2494</v>
      </c>
      <c r="B58" s="5" t="s">
        <v>189</v>
      </c>
      <c r="C58" s="5" t="s">
        <v>99</v>
      </c>
      <c r="D58" s="5" t="s">
        <v>6609</v>
      </c>
      <c r="E58" s="5">
        <v>18</v>
      </c>
      <c r="F58" s="5">
        <v>17</v>
      </c>
      <c r="G58" s="5">
        <v>1</v>
      </c>
      <c r="H58" s="5">
        <v>9.91</v>
      </c>
      <c r="I58" s="5">
        <v>13</v>
      </c>
      <c r="J58" s="5">
        <v>5</v>
      </c>
    </row>
    <row r="59" spans="1:10" x14ac:dyDescent="0.3">
      <c r="A59" s="5" t="s">
        <v>2504</v>
      </c>
      <c r="B59" s="5" t="s">
        <v>27</v>
      </c>
      <c r="C59" s="5" t="s">
        <v>37</v>
      </c>
      <c r="D59" s="5" t="s">
        <v>6609</v>
      </c>
      <c r="E59" s="5">
        <v>25</v>
      </c>
      <c r="F59" s="5">
        <v>22</v>
      </c>
      <c r="G59" s="5">
        <v>2</v>
      </c>
      <c r="H59" s="5">
        <v>3.37</v>
      </c>
      <c r="I59" s="5">
        <v>14</v>
      </c>
      <c r="J59" s="5">
        <v>11</v>
      </c>
    </row>
    <row r="60" spans="1:10" x14ac:dyDescent="0.3">
      <c r="A60" s="5" t="s">
        <v>2504</v>
      </c>
      <c r="B60" s="5" t="s">
        <v>27</v>
      </c>
      <c r="C60" s="5" t="s">
        <v>37</v>
      </c>
      <c r="D60" s="5" t="s">
        <v>6609</v>
      </c>
      <c r="E60" s="5">
        <v>25</v>
      </c>
      <c r="F60" s="5">
        <v>24</v>
      </c>
      <c r="G60" s="5">
        <v>4</v>
      </c>
      <c r="H60" s="5">
        <v>5.66</v>
      </c>
      <c r="I60" s="5">
        <v>18</v>
      </c>
      <c r="J60" s="5">
        <v>7</v>
      </c>
    </row>
    <row r="61" spans="1:10" x14ac:dyDescent="0.3">
      <c r="A61" s="5" t="s">
        <v>2445</v>
      </c>
      <c r="B61" s="5" t="s">
        <v>27</v>
      </c>
      <c r="C61" s="5" t="s">
        <v>164</v>
      </c>
      <c r="D61" s="5" t="s">
        <v>6609</v>
      </c>
      <c r="E61" s="5">
        <v>18</v>
      </c>
      <c r="F61" s="5">
        <v>15</v>
      </c>
      <c r="G61" s="5">
        <v>4</v>
      </c>
      <c r="H61" s="5">
        <v>10.94</v>
      </c>
      <c r="I61" s="5">
        <v>12</v>
      </c>
      <c r="J61" s="5">
        <v>6</v>
      </c>
    </row>
    <row r="62" spans="1:10" x14ac:dyDescent="0.3">
      <c r="A62" s="5" t="s">
        <v>2445</v>
      </c>
      <c r="B62" s="5" t="s">
        <v>27</v>
      </c>
      <c r="C62" s="5" t="s">
        <v>164</v>
      </c>
      <c r="D62" s="5" t="s">
        <v>6609</v>
      </c>
      <c r="E62" s="5">
        <v>6</v>
      </c>
      <c r="F62" s="5">
        <v>6</v>
      </c>
      <c r="G62" s="5">
        <v>1</v>
      </c>
      <c r="H62" s="5">
        <v>11.16</v>
      </c>
      <c r="I62" s="5">
        <v>4</v>
      </c>
      <c r="J62" s="5">
        <v>2</v>
      </c>
    </row>
    <row r="63" spans="1:10" x14ac:dyDescent="0.3">
      <c r="A63" s="5" t="s">
        <v>2463</v>
      </c>
      <c r="B63" s="5" t="s">
        <v>27</v>
      </c>
      <c r="C63" s="5" t="s">
        <v>74</v>
      </c>
      <c r="D63" s="5" t="s">
        <v>6609</v>
      </c>
      <c r="E63" s="5">
        <v>25</v>
      </c>
      <c r="F63" s="5">
        <v>22</v>
      </c>
      <c r="G63" s="5">
        <v>4</v>
      </c>
      <c r="H63" s="5">
        <v>2.42</v>
      </c>
      <c r="I63" s="5">
        <v>13</v>
      </c>
      <c r="J63" s="5">
        <v>12</v>
      </c>
    </row>
    <row r="64" spans="1:10" x14ac:dyDescent="0.3">
      <c r="A64" s="5" t="s">
        <v>2463</v>
      </c>
      <c r="B64" s="5" t="s">
        <v>27</v>
      </c>
      <c r="C64" s="5" t="s">
        <v>74</v>
      </c>
      <c r="D64" s="5" t="s">
        <v>6609</v>
      </c>
      <c r="E64" s="5">
        <v>7</v>
      </c>
      <c r="F64" s="5">
        <v>4</v>
      </c>
      <c r="G64" s="5">
        <v>2</v>
      </c>
      <c r="H64" s="5">
        <v>6.75</v>
      </c>
      <c r="I64" s="5">
        <v>3</v>
      </c>
      <c r="J64" s="5">
        <v>4</v>
      </c>
    </row>
    <row r="65" spans="1:10" x14ac:dyDescent="0.3">
      <c r="A65" s="5" t="s">
        <v>2463</v>
      </c>
      <c r="B65" s="5" t="s">
        <v>27</v>
      </c>
      <c r="C65" s="5" t="s">
        <v>74</v>
      </c>
      <c r="D65" s="5" t="s">
        <v>6609</v>
      </c>
      <c r="E65" s="5">
        <v>11</v>
      </c>
      <c r="F65" s="5">
        <v>11</v>
      </c>
      <c r="G65" s="5">
        <v>2</v>
      </c>
      <c r="H65" s="5">
        <v>5.59</v>
      </c>
      <c r="I65" s="5">
        <v>8</v>
      </c>
      <c r="J65" s="5">
        <v>3</v>
      </c>
    </row>
    <row r="66" spans="1:10" x14ac:dyDescent="0.3">
      <c r="A66" s="5" t="s">
        <v>2431</v>
      </c>
      <c r="B66" s="5" t="s">
        <v>16</v>
      </c>
      <c r="C66" s="5" t="s">
        <v>67</v>
      </c>
      <c r="D66" s="5" t="s">
        <v>6609</v>
      </c>
      <c r="E66" s="5">
        <v>14</v>
      </c>
      <c r="F66" s="5">
        <v>12</v>
      </c>
      <c r="G66" s="5">
        <v>4</v>
      </c>
      <c r="H66" s="5">
        <v>8.08</v>
      </c>
      <c r="I66" s="5">
        <v>9</v>
      </c>
      <c r="J66" s="5">
        <v>5</v>
      </c>
    </row>
    <row r="67" spans="1:10" x14ac:dyDescent="0.3">
      <c r="A67" s="5" t="s">
        <v>2431</v>
      </c>
      <c r="B67" s="5" t="s">
        <v>16</v>
      </c>
      <c r="C67" s="5" t="s">
        <v>67</v>
      </c>
      <c r="D67" s="5" t="s">
        <v>6609</v>
      </c>
      <c r="E67" s="5">
        <v>7</v>
      </c>
      <c r="F67" s="5">
        <v>5</v>
      </c>
      <c r="G67" s="5">
        <v>1</v>
      </c>
      <c r="H67" s="5">
        <v>10.07</v>
      </c>
      <c r="I67" s="5">
        <v>4</v>
      </c>
      <c r="J67" s="5">
        <v>3</v>
      </c>
    </row>
    <row r="68" spans="1:10" x14ac:dyDescent="0.3">
      <c r="A68" s="5" t="s">
        <v>2431</v>
      </c>
      <c r="B68" s="5" t="s">
        <v>16</v>
      </c>
      <c r="C68" s="5" t="s">
        <v>67</v>
      </c>
      <c r="D68" s="5" t="s">
        <v>6609</v>
      </c>
      <c r="E68" s="5">
        <v>6</v>
      </c>
      <c r="F68" s="5">
        <v>5</v>
      </c>
      <c r="G68" s="5">
        <v>1</v>
      </c>
      <c r="H68" s="5">
        <v>3.68</v>
      </c>
      <c r="I68" s="5">
        <v>4</v>
      </c>
      <c r="J68" s="5">
        <v>2</v>
      </c>
    </row>
    <row r="69" spans="1:10" x14ac:dyDescent="0.3">
      <c r="A69" s="5" t="s">
        <v>2431</v>
      </c>
      <c r="B69" s="5" t="s">
        <v>16</v>
      </c>
      <c r="C69" s="5" t="s">
        <v>67</v>
      </c>
      <c r="D69" s="5" t="s">
        <v>6609</v>
      </c>
      <c r="E69" s="5">
        <v>24</v>
      </c>
      <c r="F69" s="5">
        <v>23</v>
      </c>
      <c r="G69" s="5">
        <v>2</v>
      </c>
      <c r="H69" s="5">
        <v>5.55</v>
      </c>
      <c r="I69" s="5">
        <v>19</v>
      </c>
      <c r="J69" s="5">
        <v>5</v>
      </c>
    </row>
    <row r="70" spans="1:10" x14ac:dyDescent="0.3">
      <c r="A70" s="5" t="s">
        <v>2431</v>
      </c>
      <c r="B70" s="5" t="s">
        <v>16</v>
      </c>
      <c r="C70" s="5" t="s">
        <v>67</v>
      </c>
      <c r="D70" s="5" t="s">
        <v>6609</v>
      </c>
      <c r="E70" s="5">
        <v>17</v>
      </c>
      <c r="F70" s="5">
        <v>14</v>
      </c>
      <c r="G70" s="5">
        <v>3</v>
      </c>
      <c r="H70" s="5">
        <v>11.5</v>
      </c>
      <c r="I70" s="5">
        <v>8</v>
      </c>
      <c r="J70" s="5">
        <v>9</v>
      </c>
    </row>
    <row r="71" spans="1:10" x14ac:dyDescent="0.3">
      <c r="A71" s="5" t="s">
        <v>2431</v>
      </c>
      <c r="B71" s="5" t="s">
        <v>16</v>
      </c>
      <c r="C71" s="5" t="s">
        <v>67</v>
      </c>
      <c r="D71" s="5" t="s">
        <v>6609</v>
      </c>
      <c r="E71" s="5">
        <v>18</v>
      </c>
      <c r="F71" s="5">
        <v>18</v>
      </c>
      <c r="G71" s="5">
        <v>2</v>
      </c>
      <c r="H71" s="5">
        <v>5.76</v>
      </c>
      <c r="I71" s="5">
        <v>9</v>
      </c>
      <c r="J71" s="5">
        <v>9</v>
      </c>
    </row>
    <row r="72" spans="1:10" x14ac:dyDescent="0.3">
      <c r="A72" s="5" t="s">
        <v>2518</v>
      </c>
      <c r="B72" s="5" t="s">
        <v>16</v>
      </c>
      <c r="C72" s="5" t="s">
        <v>164</v>
      </c>
      <c r="D72" s="5" t="s">
        <v>6609</v>
      </c>
      <c r="E72" s="5">
        <v>14</v>
      </c>
      <c r="F72" s="5">
        <v>13</v>
      </c>
      <c r="G72" s="5">
        <v>1</v>
      </c>
      <c r="H72" s="5">
        <v>10.61</v>
      </c>
      <c r="I72" s="5">
        <v>10</v>
      </c>
      <c r="J72" s="5">
        <v>4</v>
      </c>
    </row>
    <row r="73" spans="1:10" x14ac:dyDescent="0.3">
      <c r="A73" s="5" t="s">
        <v>2518</v>
      </c>
      <c r="B73" s="5" t="s">
        <v>16</v>
      </c>
      <c r="C73" s="5" t="s">
        <v>164</v>
      </c>
      <c r="D73" s="5" t="s">
        <v>6609</v>
      </c>
      <c r="E73" s="5">
        <v>6</v>
      </c>
      <c r="F73" s="5">
        <v>6</v>
      </c>
      <c r="G73" s="5">
        <v>4</v>
      </c>
      <c r="H73" s="5">
        <v>4.3499999999999996</v>
      </c>
      <c r="I73" s="5">
        <v>3</v>
      </c>
      <c r="J73" s="5">
        <v>3</v>
      </c>
    </row>
    <row r="74" spans="1:10" x14ac:dyDescent="0.3">
      <c r="A74" s="5" t="s">
        <v>2415</v>
      </c>
      <c r="B74" s="5" t="s">
        <v>189</v>
      </c>
      <c r="C74" s="5" t="s">
        <v>17</v>
      </c>
      <c r="D74" s="5" t="s">
        <v>6608</v>
      </c>
      <c r="E74" s="5">
        <v>5</v>
      </c>
      <c r="F74" s="5">
        <v>5</v>
      </c>
      <c r="G74" s="5">
        <v>4</v>
      </c>
      <c r="H74" s="5">
        <v>7.93</v>
      </c>
      <c r="I74" s="5">
        <v>3</v>
      </c>
      <c r="J74" s="5">
        <v>2</v>
      </c>
    </row>
    <row r="75" spans="1:10" x14ac:dyDescent="0.3">
      <c r="A75" s="5" t="s">
        <v>2415</v>
      </c>
      <c r="B75" s="5" t="s">
        <v>189</v>
      </c>
      <c r="C75" s="5" t="s">
        <v>17</v>
      </c>
      <c r="D75" s="5" t="s">
        <v>6608</v>
      </c>
      <c r="E75" s="5">
        <v>23</v>
      </c>
      <c r="F75" s="5">
        <v>22</v>
      </c>
      <c r="G75" s="5">
        <v>1</v>
      </c>
      <c r="H75" s="5">
        <v>5.88</v>
      </c>
      <c r="I75" s="5">
        <v>19</v>
      </c>
      <c r="J75" s="5">
        <v>4</v>
      </c>
    </row>
    <row r="76" spans="1:10" x14ac:dyDescent="0.3">
      <c r="A76" s="5" t="s">
        <v>2434</v>
      </c>
      <c r="B76" s="5" t="s">
        <v>16</v>
      </c>
      <c r="C76" s="5" t="s">
        <v>108</v>
      </c>
      <c r="D76" s="5" t="s">
        <v>6608</v>
      </c>
      <c r="E76" s="5">
        <v>20</v>
      </c>
      <c r="F76" s="5">
        <v>19</v>
      </c>
      <c r="G76" s="5">
        <v>4</v>
      </c>
      <c r="H76" s="5">
        <v>2.19</v>
      </c>
      <c r="I76" s="5">
        <v>10</v>
      </c>
      <c r="J76" s="5">
        <v>10</v>
      </c>
    </row>
    <row r="77" spans="1:10" x14ac:dyDescent="0.3">
      <c r="A77" s="5" t="s">
        <v>2434</v>
      </c>
      <c r="B77" s="5" t="s">
        <v>16</v>
      </c>
      <c r="C77" s="5" t="s">
        <v>108</v>
      </c>
      <c r="D77" s="5" t="s">
        <v>6608</v>
      </c>
      <c r="E77" s="5">
        <v>13</v>
      </c>
      <c r="F77" s="5">
        <v>11</v>
      </c>
      <c r="G77" s="5">
        <v>2</v>
      </c>
      <c r="H77" s="5">
        <v>11.68</v>
      </c>
      <c r="I77" s="5">
        <v>9</v>
      </c>
      <c r="J77" s="5">
        <v>4</v>
      </c>
    </row>
    <row r="78" spans="1:10" x14ac:dyDescent="0.3">
      <c r="A78" s="5" t="s">
        <v>2469</v>
      </c>
      <c r="B78" s="5" t="s">
        <v>16</v>
      </c>
      <c r="C78" s="5" t="s">
        <v>99</v>
      </c>
      <c r="D78" s="5" t="s">
        <v>6608</v>
      </c>
      <c r="E78" s="5">
        <v>6</v>
      </c>
      <c r="F78" s="5">
        <v>6</v>
      </c>
      <c r="G78" s="5">
        <v>2</v>
      </c>
      <c r="H78" s="5">
        <v>7.64</v>
      </c>
      <c r="I78" s="5">
        <v>3</v>
      </c>
      <c r="J78" s="5">
        <v>3</v>
      </c>
    </row>
    <row r="79" spans="1:10" x14ac:dyDescent="0.3">
      <c r="A79" s="5" t="s">
        <v>2469</v>
      </c>
      <c r="B79" s="5" t="s">
        <v>16</v>
      </c>
      <c r="C79" s="5" t="s">
        <v>99</v>
      </c>
      <c r="D79" s="5" t="s">
        <v>6608</v>
      </c>
      <c r="E79" s="5">
        <v>12</v>
      </c>
      <c r="F79" s="5">
        <v>9</v>
      </c>
      <c r="G79" s="5">
        <v>1</v>
      </c>
      <c r="H79" s="5">
        <v>9.09</v>
      </c>
      <c r="I79" s="5">
        <v>8</v>
      </c>
      <c r="J79" s="5">
        <v>4</v>
      </c>
    </row>
    <row r="80" spans="1:10" x14ac:dyDescent="0.3">
      <c r="A80" s="5" t="s">
        <v>2536</v>
      </c>
      <c r="B80" s="5" t="s">
        <v>36</v>
      </c>
      <c r="C80" s="5" t="s">
        <v>99</v>
      </c>
      <c r="D80" s="5" t="s">
        <v>6608</v>
      </c>
      <c r="E80" s="5">
        <v>23</v>
      </c>
      <c r="F80" s="5">
        <v>22</v>
      </c>
      <c r="G80" s="5">
        <v>2</v>
      </c>
      <c r="H80" s="5">
        <v>8.5500000000000007</v>
      </c>
      <c r="I80" s="5">
        <v>16</v>
      </c>
      <c r="J80" s="5">
        <v>7</v>
      </c>
    </row>
    <row r="81" spans="1:10" x14ac:dyDescent="0.3">
      <c r="A81" s="5" t="s">
        <v>2532</v>
      </c>
      <c r="B81" s="5" t="s">
        <v>36</v>
      </c>
      <c r="C81" s="5" t="s">
        <v>67</v>
      </c>
      <c r="D81" s="5" t="s">
        <v>6608</v>
      </c>
      <c r="E81" s="5">
        <v>12</v>
      </c>
      <c r="F81" s="5">
        <v>12</v>
      </c>
      <c r="G81" s="5">
        <v>2</v>
      </c>
      <c r="H81" s="5">
        <v>7.79</v>
      </c>
      <c r="I81" s="5">
        <v>6</v>
      </c>
      <c r="J81" s="5">
        <v>6</v>
      </c>
    </row>
    <row r="82" spans="1:10" x14ac:dyDescent="0.3">
      <c r="A82" s="5" t="s">
        <v>2532</v>
      </c>
      <c r="B82" s="5" t="s">
        <v>36</v>
      </c>
      <c r="C82" s="5" t="s">
        <v>67</v>
      </c>
      <c r="D82" s="5" t="s">
        <v>6608</v>
      </c>
      <c r="E82" s="5">
        <v>17</v>
      </c>
      <c r="F82" s="5">
        <v>15</v>
      </c>
      <c r="G82" s="5">
        <v>1</v>
      </c>
      <c r="H82" s="5">
        <v>8.9499999999999993</v>
      </c>
      <c r="I82" s="5">
        <v>13</v>
      </c>
      <c r="J82" s="5">
        <v>4</v>
      </c>
    </row>
    <row r="83" spans="1:10" x14ac:dyDescent="0.3">
      <c r="A83" s="5" t="s">
        <v>2532</v>
      </c>
      <c r="B83" s="5" t="s">
        <v>36</v>
      </c>
      <c r="C83" s="5" t="s">
        <v>67</v>
      </c>
      <c r="D83" s="5" t="s">
        <v>6608</v>
      </c>
      <c r="E83" s="5">
        <v>16</v>
      </c>
      <c r="F83" s="5">
        <v>14</v>
      </c>
      <c r="G83" s="5">
        <v>2</v>
      </c>
      <c r="H83" s="5">
        <v>2.73</v>
      </c>
      <c r="I83" s="5">
        <v>8</v>
      </c>
      <c r="J83" s="5">
        <v>8</v>
      </c>
    </row>
    <row r="84" spans="1:10" x14ac:dyDescent="0.3">
      <c r="A84" s="5" t="s">
        <v>2490</v>
      </c>
      <c r="B84" s="5" t="s">
        <v>36</v>
      </c>
      <c r="C84" s="5" t="s">
        <v>28</v>
      </c>
      <c r="D84" s="5" t="s">
        <v>6608</v>
      </c>
      <c r="E84" s="5">
        <v>11</v>
      </c>
      <c r="F84" s="5">
        <v>10</v>
      </c>
      <c r="G84" s="5">
        <v>1</v>
      </c>
      <c r="H84" s="5">
        <v>3.66</v>
      </c>
      <c r="I84" s="5">
        <v>7</v>
      </c>
      <c r="J84" s="5">
        <v>4</v>
      </c>
    </row>
    <row r="85" spans="1:10" x14ac:dyDescent="0.3">
      <c r="A85" s="5" t="s">
        <v>2561</v>
      </c>
      <c r="B85" s="5" t="s">
        <v>36</v>
      </c>
      <c r="C85" s="5" t="s">
        <v>74</v>
      </c>
      <c r="D85" s="5" t="s">
        <v>6608</v>
      </c>
      <c r="E85" s="5">
        <v>12</v>
      </c>
      <c r="F85" s="5">
        <v>12</v>
      </c>
      <c r="G85" s="5">
        <v>3</v>
      </c>
      <c r="H85" s="5">
        <v>8.33</v>
      </c>
      <c r="I85" s="5">
        <v>8</v>
      </c>
      <c r="J85" s="5">
        <v>4</v>
      </c>
    </row>
    <row r="86" spans="1:10" x14ac:dyDescent="0.3">
      <c r="A86" s="5" t="s">
        <v>2561</v>
      </c>
      <c r="B86" s="5" t="s">
        <v>36</v>
      </c>
      <c r="C86" s="5" t="s">
        <v>74</v>
      </c>
      <c r="D86" s="5" t="s">
        <v>6608</v>
      </c>
      <c r="E86" s="5">
        <v>15</v>
      </c>
      <c r="F86" s="5">
        <v>13</v>
      </c>
      <c r="G86" s="5">
        <v>1</v>
      </c>
      <c r="H86" s="5">
        <v>6.18</v>
      </c>
      <c r="I86" s="5">
        <v>12</v>
      </c>
      <c r="J86" s="5">
        <v>3</v>
      </c>
    </row>
    <row r="87" spans="1:10" x14ac:dyDescent="0.3">
      <c r="A87" s="5" t="s">
        <v>2407</v>
      </c>
      <c r="B87" s="5" t="s">
        <v>66</v>
      </c>
      <c r="C87" s="5" t="s">
        <v>93</v>
      </c>
      <c r="D87" s="5" t="s">
        <v>6608</v>
      </c>
      <c r="E87" s="5">
        <v>21</v>
      </c>
      <c r="F87" s="5">
        <v>20</v>
      </c>
      <c r="G87" s="5">
        <v>1</v>
      </c>
      <c r="H87" s="5">
        <v>3.18</v>
      </c>
      <c r="I87" s="5">
        <v>15</v>
      </c>
      <c r="J87" s="5">
        <v>6</v>
      </c>
    </row>
    <row r="88" spans="1:10" x14ac:dyDescent="0.3">
      <c r="A88" s="5" t="s">
        <v>2407</v>
      </c>
      <c r="B88" s="5" t="s">
        <v>66</v>
      </c>
      <c r="C88" s="5" t="s">
        <v>93</v>
      </c>
      <c r="D88" s="5" t="s">
        <v>6608</v>
      </c>
      <c r="E88" s="5">
        <v>17</v>
      </c>
      <c r="F88" s="5">
        <v>16</v>
      </c>
      <c r="G88" s="5">
        <v>4</v>
      </c>
      <c r="H88" s="5">
        <v>5.75</v>
      </c>
      <c r="I88" s="5">
        <v>9</v>
      </c>
      <c r="J88" s="5">
        <v>8</v>
      </c>
    </row>
    <row r="89" spans="1:10" x14ac:dyDescent="0.3">
      <c r="A89" s="5" t="s">
        <v>2466</v>
      </c>
      <c r="B89" s="5" t="s">
        <v>66</v>
      </c>
      <c r="C89" s="5" t="s">
        <v>67</v>
      </c>
      <c r="D89" s="5" t="s">
        <v>6608</v>
      </c>
      <c r="E89" s="5">
        <v>21</v>
      </c>
      <c r="F89" s="5">
        <v>20</v>
      </c>
      <c r="G89" s="5">
        <v>2</v>
      </c>
      <c r="H89" s="5">
        <v>4.7699999999999996</v>
      </c>
      <c r="I89" s="5">
        <v>11</v>
      </c>
      <c r="J89" s="5">
        <v>10</v>
      </c>
    </row>
    <row r="90" spans="1:10" x14ac:dyDescent="0.3">
      <c r="A90" s="5" t="s">
        <v>2466</v>
      </c>
      <c r="B90" s="5" t="s">
        <v>66</v>
      </c>
      <c r="C90" s="5" t="s">
        <v>67</v>
      </c>
      <c r="D90" s="5" t="s">
        <v>6608</v>
      </c>
      <c r="E90" s="5">
        <v>24</v>
      </c>
      <c r="F90" s="5">
        <v>22</v>
      </c>
      <c r="G90" s="5">
        <v>4</v>
      </c>
      <c r="H90" s="5">
        <v>11.57</v>
      </c>
      <c r="I90" s="5">
        <v>15</v>
      </c>
      <c r="J90" s="5">
        <v>9</v>
      </c>
    </row>
    <row r="91" spans="1:10" x14ac:dyDescent="0.3">
      <c r="A91" s="5" t="s">
        <v>2466</v>
      </c>
      <c r="B91" s="5" t="s">
        <v>66</v>
      </c>
      <c r="C91" s="5" t="s">
        <v>67</v>
      </c>
      <c r="D91" s="5" t="s">
        <v>6608</v>
      </c>
      <c r="E91" s="5">
        <v>15</v>
      </c>
      <c r="F91" s="5">
        <v>15</v>
      </c>
      <c r="G91" s="5">
        <v>4</v>
      </c>
      <c r="H91" s="5">
        <v>6.86</v>
      </c>
      <c r="I91" s="5">
        <v>10</v>
      </c>
      <c r="J91" s="5">
        <v>5</v>
      </c>
    </row>
    <row r="92" spans="1:10" x14ac:dyDescent="0.3">
      <c r="A92" s="5" t="s">
        <v>2521</v>
      </c>
      <c r="B92" s="5" t="s">
        <v>66</v>
      </c>
      <c r="C92" s="5" t="s">
        <v>99</v>
      </c>
      <c r="D92" s="5" t="s">
        <v>6608</v>
      </c>
      <c r="E92" s="5">
        <v>3</v>
      </c>
      <c r="F92" s="5">
        <v>3</v>
      </c>
      <c r="G92" s="5">
        <v>3</v>
      </c>
      <c r="H92" s="5">
        <v>9.1999999999999993</v>
      </c>
      <c r="I92" s="5">
        <v>1</v>
      </c>
      <c r="J92" s="5">
        <v>2</v>
      </c>
    </row>
    <row r="93" spans="1:10" x14ac:dyDescent="0.3">
      <c r="A93" s="5" t="s">
        <v>2521</v>
      </c>
      <c r="B93" s="5" t="s">
        <v>66</v>
      </c>
      <c r="C93" s="5" t="s">
        <v>99</v>
      </c>
      <c r="D93" s="5" t="s">
        <v>6608</v>
      </c>
      <c r="E93" s="5">
        <v>3</v>
      </c>
      <c r="F93" s="5">
        <v>1</v>
      </c>
      <c r="G93" s="5">
        <v>4</v>
      </c>
      <c r="H93" s="5">
        <v>5.19</v>
      </c>
      <c r="I93" s="5">
        <v>1</v>
      </c>
      <c r="J93" s="5">
        <v>2</v>
      </c>
    </row>
    <row r="94" spans="1:10" x14ac:dyDescent="0.3">
      <c r="A94" s="5" t="s">
        <v>2411</v>
      </c>
      <c r="B94" s="5" t="s">
        <v>55</v>
      </c>
      <c r="C94" s="5" t="s">
        <v>108</v>
      </c>
      <c r="D94" s="5" t="s">
        <v>6608</v>
      </c>
      <c r="E94" s="5">
        <v>10</v>
      </c>
      <c r="F94" s="5">
        <v>7</v>
      </c>
      <c r="G94" s="5">
        <v>4</v>
      </c>
      <c r="H94" s="5">
        <v>10.050000000000001</v>
      </c>
      <c r="I94" s="5">
        <v>7</v>
      </c>
      <c r="J94" s="5">
        <v>3</v>
      </c>
    </row>
    <row r="95" spans="1:10" x14ac:dyDescent="0.3">
      <c r="A95" s="5" t="s">
        <v>2411</v>
      </c>
      <c r="B95" s="5" t="s">
        <v>55</v>
      </c>
      <c r="C95" s="5" t="s">
        <v>108</v>
      </c>
      <c r="D95" s="5" t="s">
        <v>6608</v>
      </c>
      <c r="E95" s="5">
        <v>12</v>
      </c>
      <c r="F95" s="5">
        <v>11</v>
      </c>
      <c r="G95" s="5">
        <v>2</v>
      </c>
      <c r="H95" s="5">
        <v>1.57</v>
      </c>
      <c r="I95" s="5">
        <v>8</v>
      </c>
      <c r="J95" s="5">
        <v>4</v>
      </c>
    </row>
    <row r="96" spans="1:10" x14ac:dyDescent="0.3">
      <c r="A96" s="5" t="s">
        <v>2411</v>
      </c>
      <c r="B96" s="5" t="s">
        <v>55</v>
      </c>
      <c r="C96" s="5" t="s">
        <v>108</v>
      </c>
      <c r="D96" s="5" t="s">
        <v>6608</v>
      </c>
      <c r="E96" s="5">
        <v>14</v>
      </c>
      <c r="F96" s="5">
        <v>11</v>
      </c>
      <c r="G96" s="5">
        <v>4</v>
      </c>
      <c r="H96" s="5">
        <v>2.96</v>
      </c>
      <c r="I96" s="5">
        <v>11</v>
      </c>
      <c r="J96" s="5">
        <v>3</v>
      </c>
    </row>
    <row r="97" spans="1:10" x14ac:dyDescent="0.3">
      <c r="A97" s="5" t="s">
        <v>2459</v>
      </c>
      <c r="B97" s="5" t="s">
        <v>189</v>
      </c>
      <c r="C97" s="5" t="s">
        <v>67</v>
      </c>
      <c r="D97" s="5" t="s">
        <v>6608</v>
      </c>
      <c r="E97" s="5">
        <v>19</v>
      </c>
      <c r="F97" s="5">
        <v>16</v>
      </c>
      <c r="G97" s="5">
        <v>2</v>
      </c>
      <c r="H97" s="5">
        <v>2.76</v>
      </c>
      <c r="I97" s="5">
        <v>14</v>
      </c>
      <c r="J97" s="5">
        <v>5</v>
      </c>
    </row>
    <row r="98" spans="1:10" x14ac:dyDescent="0.3">
      <c r="A98" s="5" t="s">
        <v>2459</v>
      </c>
      <c r="B98" s="5" t="s">
        <v>189</v>
      </c>
      <c r="C98" s="5" t="s">
        <v>67</v>
      </c>
      <c r="D98" s="5" t="s">
        <v>6608</v>
      </c>
      <c r="E98" s="5">
        <v>17</v>
      </c>
      <c r="F98" s="5">
        <v>17</v>
      </c>
      <c r="G98" s="5">
        <v>1</v>
      </c>
      <c r="H98" s="5">
        <v>7.25</v>
      </c>
      <c r="I98" s="5">
        <v>14</v>
      </c>
      <c r="J98" s="5">
        <v>3</v>
      </c>
    </row>
    <row r="99" spans="1:10" x14ac:dyDescent="0.3">
      <c r="A99" s="5" t="s">
        <v>2459</v>
      </c>
      <c r="B99" s="5" t="s">
        <v>189</v>
      </c>
      <c r="C99" s="5" t="s">
        <v>67</v>
      </c>
      <c r="D99" s="5" t="s">
        <v>6608</v>
      </c>
      <c r="E99" s="5">
        <v>3</v>
      </c>
      <c r="F99" s="5">
        <v>1</v>
      </c>
      <c r="G99" s="5">
        <v>3</v>
      </c>
      <c r="H99" s="5">
        <v>1.89</v>
      </c>
      <c r="I99" s="5">
        <v>2</v>
      </c>
      <c r="J99" s="5">
        <v>1</v>
      </c>
    </row>
    <row r="100" spans="1:10" x14ac:dyDescent="0.3">
      <c r="A100" s="5" t="s">
        <v>2459</v>
      </c>
      <c r="B100" s="5" t="s">
        <v>189</v>
      </c>
      <c r="C100" s="5" t="s">
        <v>67</v>
      </c>
      <c r="D100" s="5" t="s">
        <v>6608</v>
      </c>
      <c r="E100" s="5">
        <v>7</v>
      </c>
      <c r="F100" s="5">
        <v>7</v>
      </c>
      <c r="G100" s="5">
        <v>1</v>
      </c>
      <c r="H100" s="5">
        <v>1.64</v>
      </c>
      <c r="I100" s="5">
        <v>5</v>
      </c>
      <c r="J100" s="5">
        <v>2</v>
      </c>
    </row>
    <row r="101" spans="1:10" x14ac:dyDescent="0.3">
      <c r="A101" s="5" t="s">
        <v>2629</v>
      </c>
      <c r="B101" s="5" t="s">
        <v>55</v>
      </c>
      <c r="C101" s="5" t="s">
        <v>164</v>
      </c>
      <c r="D101" s="5" t="s">
        <v>6608</v>
      </c>
      <c r="E101" s="5">
        <v>22</v>
      </c>
      <c r="F101" s="5">
        <v>22</v>
      </c>
      <c r="G101" s="5">
        <v>1</v>
      </c>
      <c r="H101" s="5">
        <v>4.25</v>
      </c>
      <c r="I101" s="5">
        <v>15</v>
      </c>
      <c r="J101" s="5">
        <v>7</v>
      </c>
    </row>
    <row r="102" spans="1:10" x14ac:dyDescent="0.3">
      <c r="A102" s="5" t="s">
        <v>2629</v>
      </c>
      <c r="B102" s="5" t="s">
        <v>55</v>
      </c>
      <c r="C102" s="5" t="s">
        <v>164</v>
      </c>
      <c r="D102" s="5" t="s">
        <v>6608</v>
      </c>
      <c r="E102" s="5">
        <v>3</v>
      </c>
      <c r="F102" s="5">
        <v>1</v>
      </c>
      <c r="G102" s="5">
        <v>1</v>
      </c>
      <c r="H102" s="5">
        <v>9.77</v>
      </c>
      <c r="I102" s="5">
        <v>2</v>
      </c>
      <c r="J102" s="5">
        <v>1</v>
      </c>
    </row>
    <row r="103" spans="1:10" x14ac:dyDescent="0.3">
      <c r="A103" s="5" t="s">
        <v>2422</v>
      </c>
      <c r="B103" s="5" t="s">
        <v>55</v>
      </c>
      <c r="C103" s="5" t="s">
        <v>28</v>
      </c>
      <c r="D103" s="5" t="s">
        <v>6608</v>
      </c>
      <c r="E103" s="5">
        <v>20</v>
      </c>
      <c r="F103" s="5">
        <v>20</v>
      </c>
      <c r="G103" s="5">
        <v>4</v>
      </c>
      <c r="H103" s="5">
        <v>3.8</v>
      </c>
      <c r="I103" s="5">
        <v>14</v>
      </c>
      <c r="J103" s="5">
        <v>6</v>
      </c>
    </row>
    <row r="104" spans="1:10" x14ac:dyDescent="0.3">
      <c r="A104" s="5" t="s">
        <v>2438</v>
      </c>
      <c r="B104" s="5" t="s">
        <v>55</v>
      </c>
      <c r="C104" s="5" t="s">
        <v>74</v>
      </c>
      <c r="D104" s="5" t="s">
        <v>6608</v>
      </c>
      <c r="E104" s="5">
        <v>10</v>
      </c>
      <c r="F104" s="5">
        <v>10</v>
      </c>
      <c r="G104" s="5">
        <v>3</v>
      </c>
      <c r="H104" s="5">
        <v>6.88</v>
      </c>
      <c r="I104" s="5">
        <v>6</v>
      </c>
      <c r="J104" s="5">
        <v>4</v>
      </c>
    </row>
    <row r="105" spans="1:10" x14ac:dyDescent="0.3">
      <c r="A105" s="5" t="s">
        <v>2438</v>
      </c>
      <c r="B105" s="5" t="s">
        <v>55</v>
      </c>
      <c r="C105" s="5" t="s">
        <v>74</v>
      </c>
      <c r="D105" s="5" t="s">
        <v>6608</v>
      </c>
      <c r="E105" s="5">
        <v>22</v>
      </c>
      <c r="F105" s="5">
        <v>20</v>
      </c>
      <c r="G105" s="5">
        <v>2</v>
      </c>
      <c r="H105" s="5">
        <v>4.7699999999999996</v>
      </c>
      <c r="I105" s="5">
        <v>11</v>
      </c>
      <c r="J105" s="5">
        <v>11</v>
      </c>
    </row>
    <row r="106" spans="1:10" x14ac:dyDescent="0.3">
      <c r="A106" s="5" t="s">
        <v>2438</v>
      </c>
      <c r="B106" s="5" t="s">
        <v>55</v>
      </c>
      <c r="C106" s="5" t="s">
        <v>74</v>
      </c>
      <c r="D106" s="5" t="s">
        <v>6608</v>
      </c>
      <c r="E106" s="5">
        <v>15</v>
      </c>
      <c r="F106" s="5">
        <v>14</v>
      </c>
      <c r="G106" s="5">
        <v>1</v>
      </c>
      <c r="H106" s="5">
        <v>2.97</v>
      </c>
      <c r="I106" s="5">
        <v>11</v>
      </c>
      <c r="J106" s="5">
        <v>4</v>
      </c>
    </row>
    <row r="107" spans="1:10" x14ac:dyDescent="0.3">
      <c r="A107" s="5" t="s">
        <v>2438</v>
      </c>
      <c r="B107" s="5" t="s">
        <v>55</v>
      </c>
      <c r="C107" s="5" t="s">
        <v>74</v>
      </c>
      <c r="D107" s="5" t="s">
        <v>6608</v>
      </c>
      <c r="E107" s="5">
        <v>25</v>
      </c>
      <c r="F107" s="5">
        <v>22</v>
      </c>
      <c r="G107" s="5">
        <v>4</v>
      </c>
      <c r="H107" s="5">
        <v>2.82</v>
      </c>
      <c r="I107" s="5">
        <v>19</v>
      </c>
      <c r="J107" s="5">
        <v>6</v>
      </c>
    </row>
    <row r="108" spans="1:10" x14ac:dyDescent="0.3">
      <c r="A108" s="5" t="s">
        <v>2438</v>
      </c>
      <c r="B108" s="5" t="s">
        <v>55</v>
      </c>
      <c r="C108" s="5" t="s">
        <v>74</v>
      </c>
      <c r="D108" s="5" t="s">
        <v>6608</v>
      </c>
      <c r="E108" s="5">
        <v>6</v>
      </c>
      <c r="F108" s="5">
        <v>5</v>
      </c>
      <c r="G108" s="5">
        <v>3</v>
      </c>
      <c r="H108" s="5">
        <v>3.3</v>
      </c>
      <c r="I108" s="5">
        <v>4</v>
      </c>
      <c r="J108" s="5">
        <v>2</v>
      </c>
    </row>
    <row r="109" spans="1:10" x14ac:dyDescent="0.3">
      <c r="A109" s="5" t="s">
        <v>2427</v>
      </c>
      <c r="B109" s="5" t="s">
        <v>55</v>
      </c>
      <c r="C109" s="5" t="s">
        <v>93</v>
      </c>
      <c r="D109" s="5" t="s">
        <v>6608</v>
      </c>
      <c r="E109" s="5">
        <v>17</v>
      </c>
      <c r="F109" s="5">
        <v>16</v>
      </c>
      <c r="G109" s="5">
        <v>2</v>
      </c>
      <c r="H109" s="5">
        <v>3.49</v>
      </c>
      <c r="I109" s="5">
        <v>13</v>
      </c>
      <c r="J109" s="5">
        <v>4</v>
      </c>
    </row>
    <row r="110" spans="1:10" x14ac:dyDescent="0.3">
      <c r="A110" s="5" t="s">
        <v>2427</v>
      </c>
      <c r="B110" s="5" t="s">
        <v>55</v>
      </c>
      <c r="C110" s="5" t="s">
        <v>93</v>
      </c>
      <c r="D110" s="5" t="s">
        <v>6608</v>
      </c>
      <c r="E110" s="5">
        <v>6</v>
      </c>
      <c r="F110" s="5">
        <v>3</v>
      </c>
      <c r="G110" s="5">
        <v>3</v>
      </c>
      <c r="H110" s="5">
        <v>4.6500000000000004</v>
      </c>
      <c r="I110" s="5">
        <v>3</v>
      </c>
      <c r="J110" s="5">
        <v>3</v>
      </c>
    </row>
    <row r="111" spans="1:10" x14ac:dyDescent="0.3">
      <c r="A111" s="5" t="s">
        <v>2427</v>
      </c>
      <c r="B111" s="5" t="s">
        <v>55</v>
      </c>
      <c r="C111" s="5" t="s">
        <v>93</v>
      </c>
      <c r="D111" s="5" t="s">
        <v>6608</v>
      </c>
      <c r="E111" s="5">
        <v>20</v>
      </c>
      <c r="F111" s="5">
        <v>17</v>
      </c>
      <c r="G111" s="5">
        <v>1</v>
      </c>
      <c r="H111" s="5">
        <v>7.05</v>
      </c>
      <c r="I111" s="5">
        <v>10</v>
      </c>
      <c r="J111" s="5">
        <v>10</v>
      </c>
    </row>
    <row r="112" spans="1:10" x14ac:dyDescent="0.3">
      <c r="A112" s="5" t="s">
        <v>2427</v>
      </c>
      <c r="B112" s="5" t="s">
        <v>55</v>
      </c>
      <c r="C112" s="5" t="s">
        <v>93</v>
      </c>
      <c r="D112" s="5" t="s">
        <v>6608</v>
      </c>
      <c r="E112" s="5">
        <v>5</v>
      </c>
      <c r="F112" s="5">
        <v>5</v>
      </c>
      <c r="G112" s="5">
        <v>2</v>
      </c>
      <c r="H112" s="5">
        <v>2.69</v>
      </c>
      <c r="I112" s="5">
        <v>3</v>
      </c>
      <c r="J112" s="5">
        <v>2</v>
      </c>
    </row>
    <row r="113" spans="1:10" x14ac:dyDescent="0.3">
      <c r="A113" s="5" t="s">
        <v>2427</v>
      </c>
      <c r="B113" s="5" t="s">
        <v>55</v>
      </c>
      <c r="C113" s="5" t="s">
        <v>93</v>
      </c>
      <c r="D113" s="5" t="s">
        <v>6608</v>
      </c>
      <c r="E113" s="5">
        <v>24</v>
      </c>
      <c r="F113" s="5">
        <v>22</v>
      </c>
      <c r="G113" s="5">
        <v>2</v>
      </c>
      <c r="H113" s="5">
        <v>5.89</v>
      </c>
      <c r="I113" s="5">
        <v>14</v>
      </c>
      <c r="J113" s="5">
        <v>10</v>
      </c>
    </row>
    <row r="114" spans="1:10" x14ac:dyDescent="0.3">
      <c r="A114" s="5" t="s">
        <v>2485</v>
      </c>
      <c r="B114" s="5" t="s">
        <v>61</v>
      </c>
      <c r="C114" s="5" t="s">
        <v>99</v>
      </c>
      <c r="D114" s="5" t="s">
        <v>6608</v>
      </c>
      <c r="E114" s="5">
        <v>5</v>
      </c>
      <c r="F114" s="5">
        <v>3</v>
      </c>
      <c r="G114" s="5">
        <v>3</v>
      </c>
      <c r="H114" s="5">
        <v>3.25</v>
      </c>
      <c r="I114" s="5">
        <v>4</v>
      </c>
      <c r="J114" s="5">
        <v>1</v>
      </c>
    </row>
    <row r="115" spans="1:10" x14ac:dyDescent="0.3">
      <c r="A115" s="5" t="s">
        <v>2449</v>
      </c>
      <c r="B115" s="5" t="s">
        <v>61</v>
      </c>
      <c r="C115" s="5" t="s">
        <v>108</v>
      </c>
      <c r="D115" s="5" t="s">
        <v>6608</v>
      </c>
      <c r="E115" s="5">
        <v>24</v>
      </c>
      <c r="F115" s="5">
        <v>22</v>
      </c>
      <c r="G115" s="5">
        <v>1</v>
      </c>
      <c r="H115" s="5">
        <v>3.39</v>
      </c>
      <c r="I115" s="5">
        <v>16</v>
      </c>
      <c r="J115" s="5">
        <v>8</v>
      </c>
    </row>
    <row r="116" spans="1:10" x14ac:dyDescent="0.3">
      <c r="A116" s="5" t="s">
        <v>2577</v>
      </c>
      <c r="B116" s="5" t="s">
        <v>61</v>
      </c>
      <c r="C116" s="5" t="s">
        <v>67</v>
      </c>
      <c r="D116" s="5" t="s">
        <v>6608</v>
      </c>
      <c r="E116" s="5">
        <v>14</v>
      </c>
      <c r="F116" s="5">
        <v>12</v>
      </c>
      <c r="G116" s="5">
        <v>2</v>
      </c>
      <c r="H116" s="5">
        <v>7.93</v>
      </c>
      <c r="I116" s="5">
        <v>7</v>
      </c>
      <c r="J116" s="5">
        <v>7</v>
      </c>
    </row>
    <row r="117" spans="1:10" x14ac:dyDescent="0.3">
      <c r="A117" s="5" t="s">
        <v>2577</v>
      </c>
      <c r="B117" s="5" t="s">
        <v>61</v>
      </c>
      <c r="C117" s="5" t="s">
        <v>67</v>
      </c>
      <c r="D117" s="5" t="s">
        <v>6608</v>
      </c>
      <c r="E117" s="5">
        <v>5</v>
      </c>
      <c r="F117" s="5">
        <v>3</v>
      </c>
      <c r="G117" s="5">
        <v>2</v>
      </c>
      <c r="H117" s="5">
        <v>11.68</v>
      </c>
      <c r="I117" s="5">
        <v>3</v>
      </c>
      <c r="J117" s="5">
        <v>2</v>
      </c>
    </row>
    <row r="118" spans="1:10" x14ac:dyDescent="0.3">
      <c r="A118" s="5" t="s">
        <v>2454</v>
      </c>
      <c r="B118" s="5" t="s">
        <v>61</v>
      </c>
      <c r="C118" s="5" t="s">
        <v>17</v>
      </c>
      <c r="D118" s="5" t="s">
        <v>6608</v>
      </c>
      <c r="E118" s="5">
        <v>5</v>
      </c>
      <c r="F118" s="5">
        <v>4</v>
      </c>
      <c r="G118" s="5">
        <v>2</v>
      </c>
      <c r="H118" s="5">
        <v>7.89</v>
      </c>
      <c r="I118" s="5">
        <v>3</v>
      </c>
      <c r="J118" s="5">
        <v>2</v>
      </c>
    </row>
    <row r="119" spans="1:10" x14ac:dyDescent="0.3">
      <c r="A119" s="5" t="s">
        <v>2454</v>
      </c>
      <c r="B119" s="5" t="s">
        <v>61</v>
      </c>
      <c r="C119" s="5" t="s">
        <v>17</v>
      </c>
      <c r="D119" s="5" t="s">
        <v>6608</v>
      </c>
      <c r="E119" s="5">
        <v>4</v>
      </c>
      <c r="F119" s="5">
        <v>2</v>
      </c>
      <c r="G119" s="5">
        <v>2</v>
      </c>
      <c r="H119" s="5">
        <v>8.89</v>
      </c>
      <c r="I119" s="5">
        <v>2</v>
      </c>
      <c r="J119" s="5">
        <v>2</v>
      </c>
    </row>
    <row r="120" spans="1:10" x14ac:dyDescent="0.3">
      <c r="A120" s="5" t="s">
        <v>2481</v>
      </c>
      <c r="B120" s="5" t="s">
        <v>80</v>
      </c>
      <c r="C120" s="5" t="s">
        <v>37</v>
      </c>
      <c r="D120" s="5" t="s">
        <v>6608</v>
      </c>
      <c r="E120" s="5">
        <v>9</v>
      </c>
      <c r="F120" s="5">
        <v>6</v>
      </c>
      <c r="G120" s="5">
        <v>1</v>
      </c>
      <c r="H120" s="5">
        <v>3.16</v>
      </c>
      <c r="I120" s="5">
        <v>5</v>
      </c>
      <c r="J120" s="5">
        <v>4</v>
      </c>
    </row>
    <row r="121" spans="1:10" x14ac:dyDescent="0.3">
      <c r="A121" s="5" t="s">
        <v>2481</v>
      </c>
      <c r="B121" s="5" t="s">
        <v>80</v>
      </c>
      <c r="C121" s="5" t="s">
        <v>37</v>
      </c>
      <c r="D121" s="5" t="s">
        <v>6608</v>
      </c>
      <c r="E121" s="5">
        <v>11</v>
      </c>
      <c r="F121" s="5">
        <v>11</v>
      </c>
      <c r="G121" s="5">
        <v>4</v>
      </c>
      <c r="H121" s="5">
        <v>3.87</v>
      </c>
      <c r="I121" s="5">
        <v>8</v>
      </c>
      <c r="J121" s="5">
        <v>3</v>
      </c>
    </row>
    <row r="122" spans="1:10" x14ac:dyDescent="0.3">
      <c r="A122" s="5" t="s">
        <v>2481</v>
      </c>
      <c r="B122" s="5" t="s">
        <v>80</v>
      </c>
      <c r="C122" s="5" t="s">
        <v>37</v>
      </c>
      <c r="D122" s="5" t="s">
        <v>6608</v>
      </c>
      <c r="E122" s="5">
        <v>25</v>
      </c>
      <c r="F122" s="5">
        <v>25</v>
      </c>
      <c r="G122" s="5">
        <v>4</v>
      </c>
      <c r="H122" s="5">
        <v>5.97</v>
      </c>
      <c r="I122" s="5">
        <v>15</v>
      </c>
      <c r="J122" s="5">
        <v>10</v>
      </c>
    </row>
    <row r="123" spans="1:10" x14ac:dyDescent="0.3">
      <c r="A123" s="5" t="s">
        <v>2473</v>
      </c>
      <c r="B123" s="5" t="s">
        <v>80</v>
      </c>
      <c r="C123" s="5" t="s">
        <v>93</v>
      </c>
      <c r="D123" s="5" t="s">
        <v>6608</v>
      </c>
      <c r="E123" s="5">
        <v>5</v>
      </c>
      <c r="F123" s="5">
        <v>4</v>
      </c>
      <c r="G123" s="5">
        <v>1</v>
      </c>
      <c r="H123" s="5">
        <v>9.06</v>
      </c>
      <c r="I123" s="5">
        <v>3</v>
      </c>
      <c r="J123" s="5">
        <v>2</v>
      </c>
    </row>
    <row r="124" spans="1:10" x14ac:dyDescent="0.3">
      <c r="A124" s="5" t="s">
        <v>2473</v>
      </c>
      <c r="B124" s="5" t="s">
        <v>80</v>
      </c>
      <c r="C124" s="5" t="s">
        <v>93</v>
      </c>
      <c r="D124" s="5" t="s">
        <v>6608</v>
      </c>
      <c r="E124" s="5">
        <v>7</v>
      </c>
      <c r="F124" s="5">
        <v>6</v>
      </c>
      <c r="G124" s="5">
        <v>2</v>
      </c>
      <c r="H124" s="5">
        <v>4.9000000000000004</v>
      </c>
      <c r="I124" s="5">
        <v>5</v>
      </c>
      <c r="J124" s="5">
        <v>2</v>
      </c>
    </row>
    <row r="125" spans="1:10" x14ac:dyDescent="0.3">
      <c r="A125" s="5" t="s">
        <v>2730</v>
      </c>
      <c r="B125" s="5" t="s">
        <v>189</v>
      </c>
      <c r="C125" s="5" t="s">
        <v>74</v>
      </c>
      <c r="D125" s="5" t="s">
        <v>6608</v>
      </c>
      <c r="E125" s="5">
        <v>25</v>
      </c>
      <c r="F125" s="5">
        <v>22</v>
      </c>
      <c r="G125" s="5">
        <v>2</v>
      </c>
      <c r="H125" s="5">
        <v>5.36</v>
      </c>
      <c r="I125" s="5">
        <v>13</v>
      </c>
      <c r="J125" s="5">
        <v>12</v>
      </c>
    </row>
    <row r="126" spans="1:10" x14ac:dyDescent="0.3">
      <c r="A126" s="5" t="s">
        <v>2730</v>
      </c>
      <c r="B126" s="5" t="s">
        <v>189</v>
      </c>
      <c r="C126" s="5" t="s">
        <v>74</v>
      </c>
      <c r="D126" s="5" t="s">
        <v>6608</v>
      </c>
      <c r="E126" s="5">
        <v>23</v>
      </c>
      <c r="F126" s="5">
        <v>22</v>
      </c>
      <c r="G126" s="5">
        <v>2</v>
      </c>
      <c r="H126" s="5">
        <v>1.56</v>
      </c>
      <c r="I126" s="5">
        <v>17</v>
      </c>
      <c r="J126" s="5">
        <v>6</v>
      </c>
    </row>
    <row r="127" spans="1:10" x14ac:dyDescent="0.3">
      <c r="A127" s="5" t="s">
        <v>2730</v>
      </c>
      <c r="B127" s="5" t="s">
        <v>189</v>
      </c>
      <c r="C127" s="5" t="s">
        <v>74</v>
      </c>
      <c r="D127" s="5" t="s">
        <v>6608</v>
      </c>
      <c r="E127" s="5">
        <v>13</v>
      </c>
      <c r="F127" s="5">
        <v>12</v>
      </c>
      <c r="G127" s="5">
        <v>3</v>
      </c>
      <c r="H127" s="5">
        <v>7.46</v>
      </c>
      <c r="I127" s="5">
        <v>7</v>
      </c>
      <c r="J127" s="5">
        <v>6</v>
      </c>
    </row>
    <row r="128" spans="1:10" x14ac:dyDescent="0.3">
      <c r="A128" s="5" t="s">
        <v>2514</v>
      </c>
      <c r="B128" s="5" t="s">
        <v>80</v>
      </c>
      <c r="C128" s="5" t="s">
        <v>47</v>
      </c>
      <c r="D128" s="5" t="s">
        <v>6608</v>
      </c>
      <c r="E128" s="5">
        <v>21</v>
      </c>
      <c r="F128" s="5">
        <v>18</v>
      </c>
      <c r="G128" s="5">
        <v>3</v>
      </c>
      <c r="H128" s="5">
        <v>6.54</v>
      </c>
      <c r="I128" s="5">
        <v>15</v>
      </c>
      <c r="J128" s="5">
        <v>6</v>
      </c>
    </row>
    <row r="129" spans="1:10" x14ac:dyDescent="0.3">
      <c r="A129" s="5" t="s">
        <v>2514</v>
      </c>
      <c r="B129" s="5" t="s">
        <v>80</v>
      </c>
      <c r="C129" s="5" t="s">
        <v>47</v>
      </c>
      <c r="D129" s="5" t="s">
        <v>6608</v>
      </c>
      <c r="E129" s="5">
        <v>20</v>
      </c>
      <c r="F129" s="5">
        <v>18</v>
      </c>
      <c r="G129" s="5">
        <v>1</v>
      </c>
      <c r="H129" s="5">
        <v>1.54</v>
      </c>
      <c r="I129" s="5">
        <v>14</v>
      </c>
      <c r="J129" s="5">
        <v>6</v>
      </c>
    </row>
    <row r="130" spans="1:10" x14ac:dyDescent="0.3">
      <c r="A130" s="5" t="s">
        <v>2514</v>
      </c>
      <c r="B130" s="5" t="s">
        <v>80</v>
      </c>
      <c r="C130" s="5" t="s">
        <v>47</v>
      </c>
      <c r="D130" s="5" t="s">
        <v>6608</v>
      </c>
      <c r="E130" s="5">
        <v>15</v>
      </c>
      <c r="F130" s="5">
        <v>12</v>
      </c>
      <c r="G130" s="5">
        <v>3</v>
      </c>
      <c r="H130" s="5">
        <v>11.52</v>
      </c>
      <c r="I130" s="5">
        <v>8</v>
      </c>
      <c r="J130" s="5">
        <v>7</v>
      </c>
    </row>
    <row r="131" spans="1:10" x14ac:dyDescent="0.3">
      <c r="A131" s="5" t="s">
        <v>2514</v>
      </c>
      <c r="B131" s="5" t="s">
        <v>80</v>
      </c>
      <c r="C131" s="5" t="s">
        <v>47</v>
      </c>
      <c r="D131" s="5" t="s">
        <v>6608</v>
      </c>
      <c r="E131" s="5">
        <v>6</v>
      </c>
      <c r="F131" s="5">
        <v>6</v>
      </c>
      <c r="G131" s="5">
        <v>1</v>
      </c>
      <c r="H131" s="5">
        <v>10.77</v>
      </c>
      <c r="I131" s="5">
        <v>4</v>
      </c>
      <c r="J131" s="5">
        <v>2</v>
      </c>
    </row>
    <row r="132" spans="1:10" x14ac:dyDescent="0.3">
      <c r="A132" s="5" t="s">
        <v>2494</v>
      </c>
      <c r="B132" s="5" t="s">
        <v>189</v>
      </c>
      <c r="C132" s="5" t="s">
        <v>99</v>
      </c>
      <c r="D132" s="5" t="s">
        <v>6608</v>
      </c>
      <c r="E132" s="5">
        <v>18</v>
      </c>
      <c r="F132" s="5">
        <v>16</v>
      </c>
      <c r="G132" s="5">
        <v>4</v>
      </c>
      <c r="H132" s="5">
        <v>8.4600000000000009</v>
      </c>
      <c r="I132" s="5">
        <v>10</v>
      </c>
      <c r="J132" s="5">
        <v>8</v>
      </c>
    </row>
    <row r="133" spans="1:10" x14ac:dyDescent="0.3">
      <c r="A133" s="5" t="s">
        <v>2494</v>
      </c>
      <c r="B133" s="5" t="s">
        <v>189</v>
      </c>
      <c r="C133" s="5" t="s">
        <v>99</v>
      </c>
      <c r="D133" s="5" t="s">
        <v>6608</v>
      </c>
      <c r="E133" s="5">
        <v>25</v>
      </c>
      <c r="F133" s="5">
        <v>24</v>
      </c>
      <c r="G133" s="5">
        <v>2</v>
      </c>
      <c r="H133" s="5">
        <v>10.39</v>
      </c>
      <c r="I133" s="5">
        <v>15</v>
      </c>
      <c r="J133" s="5">
        <v>10</v>
      </c>
    </row>
    <row r="134" spans="1:10" x14ac:dyDescent="0.3">
      <c r="A134" s="5" t="s">
        <v>2504</v>
      </c>
      <c r="B134" s="5" t="s">
        <v>27</v>
      </c>
      <c r="C134" s="5" t="s">
        <v>37</v>
      </c>
      <c r="D134" s="5" t="s">
        <v>6608</v>
      </c>
      <c r="E134" s="5">
        <v>14</v>
      </c>
      <c r="F134" s="5">
        <v>14</v>
      </c>
      <c r="G134" s="5">
        <v>4</v>
      </c>
      <c r="H134" s="5">
        <v>9.93</v>
      </c>
      <c r="I134" s="5">
        <v>7</v>
      </c>
      <c r="J134" s="5">
        <v>7</v>
      </c>
    </row>
    <row r="135" spans="1:10" x14ac:dyDescent="0.3">
      <c r="A135" s="5" t="s">
        <v>2504</v>
      </c>
      <c r="B135" s="5" t="s">
        <v>27</v>
      </c>
      <c r="C135" s="5" t="s">
        <v>37</v>
      </c>
      <c r="D135" s="5" t="s">
        <v>6608</v>
      </c>
      <c r="E135" s="5">
        <v>3</v>
      </c>
      <c r="F135" s="5">
        <v>1</v>
      </c>
      <c r="G135" s="5">
        <v>3</v>
      </c>
      <c r="H135" s="5">
        <v>8.43</v>
      </c>
      <c r="I135" s="5">
        <v>2</v>
      </c>
      <c r="J135" s="5">
        <v>1</v>
      </c>
    </row>
    <row r="136" spans="1:10" x14ac:dyDescent="0.3">
      <c r="A136" s="5" t="s">
        <v>2504</v>
      </c>
      <c r="B136" s="5" t="s">
        <v>27</v>
      </c>
      <c r="C136" s="5" t="s">
        <v>37</v>
      </c>
      <c r="D136" s="5" t="s">
        <v>6608</v>
      </c>
      <c r="E136" s="5">
        <v>11</v>
      </c>
      <c r="F136" s="5">
        <v>8</v>
      </c>
      <c r="G136" s="5">
        <v>2</v>
      </c>
      <c r="H136" s="5">
        <v>4.03</v>
      </c>
      <c r="I136" s="5">
        <v>7</v>
      </c>
      <c r="J136" s="5">
        <v>4</v>
      </c>
    </row>
    <row r="137" spans="1:10" x14ac:dyDescent="0.3">
      <c r="A137" s="5" t="s">
        <v>2445</v>
      </c>
      <c r="B137" s="5" t="s">
        <v>27</v>
      </c>
      <c r="C137" s="5" t="s">
        <v>164</v>
      </c>
      <c r="D137" s="5" t="s">
        <v>6608</v>
      </c>
      <c r="E137" s="5">
        <v>15</v>
      </c>
      <c r="F137" s="5">
        <v>15</v>
      </c>
      <c r="G137" s="5">
        <v>1</v>
      </c>
      <c r="H137" s="5">
        <v>8.33</v>
      </c>
      <c r="I137" s="5">
        <v>9</v>
      </c>
      <c r="J137" s="5">
        <v>6</v>
      </c>
    </row>
    <row r="138" spans="1:10" x14ac:dyDescent="0.3">
      <c r="A138" s="5" t="s">
        <v>2445</v>
      </c>
      <c r="B138" s="5" t="s">
        <v>27</v>
      </c>
      <c r="C138" s="5" t="s">
        <v>164</v>
      </c>
      <c r="D138" s="5" t="s">
        <v>6608</v>
      </c>
      <c r="E138" s="5">
        <v>22</v>
      </c>
      <c r="F138" s="5">
        <v>20</v>
      </c>
      <c r="G138" s="5">
        <v>1</v>
      </c>
      <c r="H138" s="5">
        <v>10.41</v>
      </c>
      <c r="I138" s="5">
        <v>16</v>
      </c>
      <c r="J138" s="5">
        <v>6</v>
      </c>
    </row>
    <row r="139" spans="1:10" x14ac:dyDescent="0.3">
      <c r="A139" s="5" t="s">
        <v>2445</v>
      </c>
      <c r="B139" s="5" t="s">
        <v>27</v>
      </c>
      <c r="C139" s="5" t="s">
        <v>164</v>
      </c>
      <c r="D139" s="5" t="s">
        <v>6608</v>
      </c>
      <c r="E139" s="5">
        <v>19</v>
      </c>
      <c r="F139" s="5">
        <v>16</v>
      </c>
      <c r="G139" s="5">
        <v>3</v>
      </c>
      <c r="H139" s="5">
        <v>4.5999999999999996</v>
      </c>
      <c r="I139" s="5">
        <v>9</v>
      </c>
      <c r="J139" s="5">
        <v>10</v>
      </c>
    </row>
    <row r="140" spans="1:10" x14ac:dyDescent="0.3">
      <c r="A140" s="5" t="s">
        <v>2463</v>
      </c>
      <c r="B140" s="5" t="s">
        <v>27</v>
      </c>
      <c r="C140" s="5" t="s">
        <v>74</v>
      </c>
      <c r="D140" s="5" t="s">
        <v>6608</v>
      </c>
      <c r="E140" s="5">
        <v>15</v>
      </c>
      <c r="F140" s="5">
        <v>14</v>
      </c>
      <c r="G140" s="5">
        <v>1</v>
      </c>
      <c r="H140" s="5">
        <v>6.92</v>
      </c>
      <c r="I140" s="5">
        <v>11</v>
      </c>
      <c r="J140" s="5">
        <v>4</v>
      </c>
    </row>
    <row r="141" spans="1:10" x14ac:dyDescent="0.3">
      <c r="A141" s="5" t="s">
        <v>2463</v>
      </c>
      <c r="B141" s="5" t="s">
        <v>27</v>
      </c>
      <c r="C141" s="5" t="s">
        <v>74</v>
      </c>
      <c r="D141" s="5" t="s">
        <v>6608</v>
      </c>
      <c r="E141" s="5">
        <v>3</v>
      </c>
      <c r="F141" s="5">
        <v>3</v>
      </c>
      <c r="G141" s="5">
        <v>1</v>
      </c>
      <c r="H141" s="5">
        <v>6.41</v>
      </c>
      <c r="I141" s="5">
        <v>1</v>
      </c>
      <c r="J141" s="5">
        <v>2</v>
      </c>
    </row>
    <row r="142" spans="1:10" x14ac:dyDescent="0.3">
      <c r="A142" s="5" t="s">
        <v>2463</v>
      </c>
      <c r="B142" s="5" t="s">
        <v>27</v>
      </c>
      <c r="C142" s="5" t="s">
        <v>74</v>
      </c>
      <c r="D142" s="5" t="s">
        <v>6608</v>
      </c>
      <c r="E142" s="5">
        <v>3</v>
      </c>
      <c r="F142" s="5">
        <v>3</v>
      </c>
      <c r="G142" s="5">
        <v>4</v>
      </c>
      <c r="H142" s="5">
        <v>5.13</v>
      </c>
      <c r="I142" s="5">
        <v>1</v>
      </c>
      <c r="J142" s="5">
        <v>2</v>
      </c>
    </row>
    <row r="143" spans="1:10" x14ac:dyDescent="0.3">
      <c r="A143" s="5" t="s">
        <v>2431</v>
      </c>
      <c r="B143" s="5" t="s">
        <v>16</v>
      </c>
      <c r="C143" s="5" t="s">
        <v>67</v>
      </c>
      <c r="D143" s="5" t="s">
        <v>6608</v>
      </c>
      <c r="E143" s="5">
        <v>5</v>
      </c>
      <c r="F143" s="5">
        <v>3</v>
      </c>
      <c r="G143" s="5">
        <v>4</v>
      </c>
      <c r="H143" s="5">
        <v>6.19</v>
      </c>
      <c r="I143" s="5">
        <v>3</v>
      </c>
      <c r="J143" s="5">
        <v>2</v>
      </c>
    </row>
    <row r="144" spans="1:10" x14ac:dyDescent="0.3">
      <c r="A144" s="5" t="s">
        <v>2431</v>
      </c>
      <c r="B144" s="5" t="s">
        <v>16</v>
      </c>
      <c r="C144" s="5" t="s">
        <v>67</v>
      </c>
      <c r="D144" s="5" t="s">
        <v>6608</v>
      </c>
      <c r="E144" s="5">
        <v>6</v>
      </c>
      <c r="F144" s="5">
        <v>3</v>
      </c>
      <c r="G144" s="5">
        <v>4</v>
      </c>
      <c r="H144" s="5">
        <v>11.91</v>
      </c>
      <c r="I144" s="5">
        <v>3</v>
      </c>
      <c r="J144" s="5">
        <v>3</v>
      </c>
    </row>
    <row r="145" spans="1:10" x14ac:dyDescent="0.3">
      <c r="A145" s="5" t="s">
        <v>2431</v>
      </c>
      <c r="B145" s="5" t="s">
        <v>16</v>
      </c>
      <c r="C145" s="5" t="s">
        <v>67</v>
      </c>
      <c r="D145" s="5" t="s">
        <v>6608</v>
      </c>
      <c r="E145" s="5">
        <v>3</v>
      </c>
      <c r="F145" s="5">
        <v>3</v>
      </c>
      <c r="G145" s="5">
        <v>1</v>
      </c>
      <c r="H145" s="5">
        <v>5.86</v>
      </c>
      <c r="I145" s="5">
        <v>1</v>
      </c>
      <c r="J145" s="5">
        <v>2</v>
      </c>
    </row>
    <row r="146" spans="1:10" x14ac:dyDescent="0.3">
      <c r="A146" s="5" t="s">
        <v>2518</v>
      </c>
      <c r="B146" s="5" t="s">
        <v>16</v>
      </c>
      <c r="C146" s="5" t="s">
        <v>164</v>
      </c>
      <c r="D146" s="5" t="s">
        <v>6608</v>
      </c>
      <c r="E146" s="5">
        <v>13</v>
      </c>
      <c r="F146" s="5">
        <v>13</v>
      </c>
      <c r="G146" s="5">
        <v>3</v>
      </c>
      <c r="H146" s="5">
        <v>6.2</v>
      </c>
      <c r="I146" s="5">
        <v>9</v>
      </c>
      <c r="J146" s="5">
        <v>4</v>
      </c>
    </row>
    <row r="147" spans="1:10" x14ac:dyDescent="0.3">
      <c r="A147" s="5" t="s">
        <v>2518</v>
      </c>
      <c r="B147" s="5" t="s">
        <v>16</v>
      </c>
      <c r="C147" s="5" t="s">
        <v>164</v>
      </c>
      <c r="D147" s="5" t="s">
        <v>6608</v>
      </c>
      <c r="E147" s="5">
        <v>6</v>
      </c>
      <c r="F147" s="5">
        <v>6</v>
      </c>
      <c r="G147" s="5">
        <v>1</v>
      </c>
      <c r="H147" s="5">
        <v>10.27</v>
      </c>
      <c r="I147" s="5">
        <v>3</v>
      </c>
      <c r="J147" s="5">
        <v>3</v>
      </c>
    </row>
    <row r="148" spans="1:10" x14ac:dyDescent="0.3">
      <c r="A148" s="5" t="s">
        <v>2518</v>
      </c>
      <c r="B148" s="5" t="s">
        <v>16</v>
      </c>
      <c r="C148" s="5" t="s">
        <v>164</v>
      </c>
      <c r="D148" s="5" t="s">
        <v>6608</v>
      </c>
      <c r="E148" s="5">
        <v>17</v>
      </c>
      <c r="F148" s="5">
        <v>14</v>
      </c>
      <c r="G148" s="5">
        <v>3</v>
      </c>
      <c r="H148" s="5">
        <v>7.29</v>
      </c>
      <c r="I148" s="5">
        <v>12</v>
      </c>
      <c r="J148" s="5">
        <v>5</v>
      </c>
    </row>
    <row r="149" spans="1:10" x14ac:dyDescent="0.3">
      <c r="A149" s="5" t="s">
        <v>2518</v>
      </c>
      <c r="B149" s="5" t="s">
        <v>16</v>
      </c>
      <c r="C149" s="5" t="s">
        <v>164</v>
      </c>
      <c r="D149" s="5" t="s">
        <v>6608</v>
      </c>
      <c r="E149" s="5">
        <v>13</v>
      </c>
      <c r="F149" s="5">
        <v>12</v>
      </c>
      <c r="G149" s="5">
        <v>4</v>
      </c>
      <c r="H149" s="5">
        <v>9.32</v>
      </c>
      <c r="I149" s="5">
        <v>7</v>
      </c>
      <c r="J149" s="5">
        <v>6</v>
      </c>
    </row>
    <row r="150" spans="1:10" x14ac:dyDescent="0.3">
      <c r="A150" s="5" t="s">
        <v>2415</v>
      </c>
      <c r="B150" s="5" t="s">
        <v>189</v>
      </c>
      <c r="C150" s="5" t="s">
        <v>17</v>
      </c>
      <c r="D150" s="5" t="s">
        <v>6607</v>
      </c>
      <c r="E150" s="5">
        <v>8</v>
      </c>
      <c r="F150" s="5">
        <v>8</v>
      </c>
      <c r="G150" s="5">
        <v>1</v>
      </c>
      <c r="H150" s="5">
        <v>10.15</v>
      </c>
      <c r="I150" s="5">
        <v>5</v>
      </c>
      <c r="J150" s="5">
        <v>3</v>
      </c>
    </row>
    <row r="151" spans="1:10" x14ac:dyDescent="0.3">
      <c r="A151" s="5" t="s">
        <v>2415</v>
      </c>
      <c r="B151" s="5" t="s">
        <v>189</v>
      </c>
      <c r="C151" s="5" t="s">
        <v>17</v>
      </c>
      <c r="D151" s="5" t="s">
        <v>6607</v>
      </c>
      <c r="E151" s="5">
        <v>8</v>
      </c>
      <c r="F151" s="5">
        <v>5</v>
      </c>
      <c r="G151" s="5">
        <v>3</v>
      </c>
      <c r="H151" s="5">
        <v>8.6300000000000008</v>
      </c>
      <c r="I151" s="5">
        <v>5</v>
      </c>
      <c r="J151" s="5">
        <v>3</v>
      </c>
    </row>
    <row r="152" spans="1:10" x14ac:dyDescent="0.3">
      <c r="A152" s="5" t="s">
        <v>2415</v>
      </c>
      <c r="B152" s="5" t="s">
        <v>189</v>
      </c>
      <c r="C152" s="5" t="s">
        <v>17</v>
      </c>
      <c r="D152" s="5" t="s">
        <v>6607</v>
      </c>
      <c r="E152" s="5">
        <v>9</v>
      </c>
      <c r="F152" s="5">
        <v>8</v>
      </c>
      <c r="G152" s="5">
        <v>3</v>
      </c>
      <c r="H152" s="5">
        <v>5.79</v>
      </c>
      <c r="I152" s="5">
        <v>5</v>
      </c>
      <c r="J152" s="5">
        <v>4</v>
      </c>
    </row>
    <row r="153" spans="1:10" x14ac:dyDescent="0.3">
      <c r="A153" s="5" t="s">
        <v>2415</v>
      </c>
      <c r="B153" s="5" t="s">
        <v>189</v>
      </c>
      <c r="C153" s="5" t="s">
        <v>17</v>
      </c>
      <c r="D153" s="5" t="s">
        <v>6607</v>
      </c>
      <c r="E153" s="5">
        <v>22</v>
      </c>
      <c r="F153" s="5">
        <v>19</v>
      </c>
      <c r="G153" s="5">
        <v>2</v>
      </c>
      <c r="H153" s="5">
        <v>10.84</v>
      </c>
      <c r="I153" s="5">
        <v>16</v>
      </c>
      <c r="J153" s="5">
        <v>6</v>
      </c>
    </row>
    <row r="154" spans="1:10" x14ac:dyDescent="0.3">
      <c r="A154" s="5" t="s">
        <v>2434</v>
      </c>
      <c r="B154" s="5" t="s">
        <v>16</v>
      </c>
      <c r="C154" s="5" t="s">
        <v>108</v>
      </c>
      <c r="D154" s="5" t="s">
        <v>6607</v>
      </c>
      <c r="E154" s="5">
        <v>6</v>
      </c>
      <c r="F154" s="5">
        <v>3</v>
      </c>
      <c r="G154" s="5">
        <v>4</v>
      </c>
      <c r="H154" s="5">
        <v>8.48</v>
      </c>
      <c r="I154" s="5">
        <v>4</v>
      </c>
      <c r="J154" s="5">
        <v>2</v>
      </c>
    </row>
    <row r="155" spans="1:10" x14ac:dyDescent="0.3">
      <c r="A155" s="5" t="s">
        <v>2434</v>
      </c>
      <c r="B155" s="5" t="s">
        <v>16</v>
      </c>
      <c r="C155" s="5" t="s">
        <v>108</v>
      </c>
      <c r="D155" s="5" t="s">
        <v>6607</v>
      </c>
      <c r="E155" s="5">
        <v>4</v>
      </c>
      <c r="F155" s="5">
        <v>2</v>
      </c>
      <c r="G155" s="5">
        <v>3</v>
      </c>
      <c r="H155" s="5">
        <v>6.79</v>
      </c>
      <c r="I155" s="5">
        <v>3</v>
      </c>
      <c r="J155" s="5">
        <v>1</v>
      </c>
    </row>
    <row r="156" spans="1:10" x14ac:dyDescent="0.3">
      <c r="A156" s="5" t="s">
        <v>2434</v>
      </c>
      <c r="B156" s="5" t="s">
        <v>16</v>
      </c>
      <c r="C156" s="5" t="s">
        <v>108</v>
      </c>
      <c r="D156" s="5" t="s">
        <v>6607</v>
      </c>
      <c r="E156" s="5">
        <v>22</v>
      </c>
      <c r="F156" s="5">
        <v>20</v>
      </c>
      <c r="G156" s="5">
        <v>2</v>
      </c>
      <c r="H156" s="5">
        <v>4.2699999999999996</v>
      </c>
      <c r="I156" s="5">
        <v>15</v>
      </c>
      <c r="J156" s="5">
        <v>7</v>
      </c>
    </row>
    <row r="157" spans="1:10" x14ac:dyDescent="0.3">
      <c r="A157" s="5" t="s">
        <v>2469</v>
      </c>
      <c r="B157" s="5" t="s">
        <v>16</v>
      </c>
      <c r="C157" s="5" t="s">
        <v>99</v>
      </c>
      <c r="D157" s="5" t="s">
        <v>6607</v>
      </c>
      <c r="E157" s="5">
        <v>8</v>
      </c>
      <c r="F157" s="5">
        <v>6</v>
      </c>
      <c r="G157" s="5">
        <v>1</v>
      </c>
      <c r="H157" s="5">
        <v>10.09</v>
      </c>
      <c r="I157" s="5">
        <v>4</v>
      </c>
      <c r="J157" s="5">
        <v>4</v>
      </c>
    </row>
    <row r="158" spans="1:10" x14ac:dyDescent="0.3">
      <c r="A158" s="5" t="s">
        <v>2469</v>
      </c>
      <c r="B158" s="5" t="s">
        <v>16</v>
      </c>
      <c r="C158" s="5" t="s">
        <v>99</v>
      </c>
      <c r="D158" s="5" t="s">
        <v>6607</v>
      </c>
      <c r="E158" s="5">
        <v>4</v>
      </c>
      <c r="F158" s="5">
        <v>3</v>
      </c>
      <c r="G158" s="5">
        <v>1</v>
      </c>
      <c r="H158" s="5">
        <v>4.8899999999999997</v>
      </c>
      <c r="I158" s="5">
        <v>2</v>
      </c>
      <c r="J158" s="5">
        <v>2</v>
      </c>
    </row>
    <row r="159" spans="1:10" x14ac:dyDescent="0.3">
      <c r="A159" s="5" t="s">
        <v>2469</v>
      </c>
      <c r="B159" s="5" t="s">
        <v>16</v>
      </c>
      <c r="C159" s="5" t="s">
        <v>99</v>
      </c>
      <c r="D159" s="5" t="s">
        <v>6607</v>
      </c>
      <c r="E159" s="5">
        <v>15</v>
      </c>
      <c r="F159" s="5">
        <v>15</v>
      </c>
      <c r="G159" s="5">
        <v>3</v>
      </c>
      <c r="H159" s="5">
        <v>2.38</v>
      </c>
      <c r="I159" s="5">
        <v>7</v>
      </c>
      <c r="J159" s="5">
        <v>8</v>
      </c>
    </row>
    <row r="160" spans="1:10" x14ac:dyDescent="0.3">
      <c r="A160" s="5" t="s">
        <v>2536</v>
      </c>
      <c r="B160" s="5" t="s">
        <v>36</v>
      </c>
      <c r="C160" s="5" t="s">
        <v>99</v>
      </c>
      <c r="D160" s="5" t="s">
        <v>6607</v>
      </c>
      <c r="E160" s="5">
        <v>6</v>
      </c>
      <c r="F160" s="5">
        <v>5</v>
      </c>
      <c r="G160" s="5">
        <v>2</v>
      </c>
      <c r="H160" s="5">
        <v>8.5</v>
      </c>
      <c r="I160" s="5">
        <v>3</v>
      </c>
      <c r="J160" s="5">
        <v>3</v>
      </c>
    </row>
    <row r="161" spans="1:10" x14ac:dyDescent="0.3">
      <c r="A161" s="5" t="s">
        <v>2536</v>
      </c>
      <c r="B161" s="5" t="s">
        <v>36</v>
      </c>
      <c r="C161" s="5" t="s">
        <v>99</v>
      </c>
      <c r="D161" s="5" t="s">
        <v>6607</v>
      </c>
      <c r="E161" s="5">
        <v>22</v>
      </c>
      <c r="F161" s="5">
        <v>19</v>
      </c>
      <c r="G161" s="5">
        <v>3</v>
      </c>
      <c r="H161" s="5">
        <v>4.9000000000000004</v>
      </c>
      <c r="I161" s="5">
        <v>18</v>
      </c>
      <c r="J161" s="5">
        <v>4</v>
      </c>
    </row>
    <row r="162" spans="1:10" x14ac:dyDescent="0.3">
      <c r="A162" s="5" t="s">
        <v>2536</v>
      </c>
      <c r="B162" s="5" t="s">
        <v>36</v>
      </c>
      <c r="C162" s="5" t="s">
        <v>99</v>
      </c>
      <c r="D162" s="5" t="s">
        <v>6607</v>
      </c>
      <c r="E162" s="5">
        <v>5</v>
      </c>
      <c r="F162" s="5">
        <v>2</v>
      </c>
      <c r="G162" s="5">
        <v>2</v>
      </c>
      <c r="H162" s="5">
        <v>11.04</v>
      </c>
      <c r="I162" s="5">
        <v>3</v>
      </c>
      <c r="J162" s="5">
        <v>2</v>
      </c>
    </row>
    <row r="163" spans="1:10" x14ac:dyDescent="0.3">
      <c r="A163" s="5" t="s">
        <v>2532</v>
      </c>
      <c r="B163" s="5" t="s">
        <v>36</v>
      </c>
      <c r="C163" s="5" t="s">
        <v>67</v>
      </c>
      <c r="D163" s="5" t="s">
        <v>6607</v>
      </c>
      <c r="E163" s="5">
        <v>23</v>
      </c>
      <c r="F163" s="5">
        <v>20</v>
      </c>
      <c r="G163" s="5">
        <v>1</v>
      </c>
      <c r="H163" s="5">
        <v>10.72</v>
      </c>
      <c r="I163" s="5">
        <v>14</v>
      </c>
      <c r="J163" s="5">
        <v>9</v>
      </c>
    </row>
    <row r="164" spans="1:10" x14ac:dyDescent="0.3">
      <c r="A164" s="5" t="s">
        <v>2532</v>
      </c>
      <c r="B164" s="5" t="s">
        <v>36</v>
      </c>
      <c r="C164" s="5" t="s">
        <v>67</v>
      </c>
      <c r="D164" s="5" t="s">
        <v>6607</v>
      </c>
      <c r="E164" s="5">
        <v>6</v>
      </c>
      <c r="F164" s="5">
        <v>4</v>
      </c>
      <c r="G164" s="5">
        <v>1</v>
      </c>
      <c r="H164" s="5">
        <v>7.26</v>
      </c>
      <c r="I164" s="5">
        <v>4</v>
      </c>
      <c r="J164" s="5">
        <v>2</v>
      </c>
    </row>
    <row r="165" spans="1:10" x14ac:dyDescent="0.3">
      <c r="A165" s="5" t="s">
        <v>2490</v>
      </c>
      <c r="B165" s="5" t="s">
        <v>36</v>
      </c>
      <c r="C165" s="5" t="s">
        <v>28</v>
      </c>
      <c r="D165" s="5" t="s">
        <v>6607</v>
      </c>
      <c r="E165" s="5">
        <v>8</v>
      </c>
      <c r="F165" s="5">
        <v>7</v>
      </c>
      <c r="G165" s="5">
        <v>3</v>
      </c>
      <c r="H165" s="5">
        <v>3.46</v>
      </c>
      <c r="I165" s="5">
        <v>5</v>
      </c>
      <c r="J165" s="5">
        <v>3</v>
      </c>
    </row>
    <row r="166" spans="1:10" x14ac:dyDescent="0.3">
      <c r="A166" s="5" t="s">
        <v>2490</v>
      </c>
      <c r="B166" s="5" t="s">
        <v>36</v>
      </c>
      <c r="C166" s="5" t="s">
        <v>28</v>
      </c>
      <c r="D166" s="5" t="s">
        <v>6607</v>
      </c>
      <c r="E166" s="5">
        <v>15</v>
      </c>
      <c r="F166" s="5">
        <v>15</v>
      </c>
      <c r="G166" s="5">
        <v>1</v>
      </c>
      <c r="H166" s="5">
        <v>4.75</v>
      </c>
      <c r="I166" s="5">
        <v>8</v>
      </c>
      <c r="J166" s="5">
        <v>7</v>
      </c>
    </row>
    <row r="167" spans="1:10" x14ac:dyDescent="0.3">
      <c r="A167" s="5" t="s">
        <v>2561</v>
      </c>
      <c r="B167" s="5" t="s">
        <v>36</v>
      </c>
      <c r="C167" s="5" t="s">
        <v>74</v>
      </c>
      <c r="D167" s="5" t="s">
        <v>6607</v>
      </c>
      <c r="E167" s="5">
        <v>14</v>
      </c>
      <c r="F167" s="5">
        <v>12</v>
      </c>
      <c r="G167" s="5">
        <v>1</v>
      </c>
      <c r="H167" s="5">
        <v>10.46</v>
      </c>
      <c r="I167" s="5">
        <v>7</v>
      </c>
      <c r="J167" s="5">
        <v>7</v>
      </c>
    </row>
    <row r="168" spans="1:10" x14ac:dyDescent="0.3">
      <c r="A168" s="5" t="s">
        <v>2407</v>
      </c>
      <c r="B168" s="5" t="s">
        <v>66</v>
      </c>
      <c r="C168" s="5" t="s">
        <v>93</v>
      </c>
      <c r="D168" s="5" t="s">
        <v>6607</v>
      </c>
      <c r="E168" s="5">
        <v>21</v>
      </c>
      <c r="F168" s="5">
        <v>20</v>
      </c>
      <c r="G168" s="5">
        <v>3</v>
      </c>
      <c r="H168" s="5">
        <v>3.47</v>
      </c>
      <c r="I168" s="5">
        <v>16</v>
      </c>
      <c r="J168" s="5">
        <v>5</v>
      </c>
    </row>
    <row r="169" spans="1:10" x14ac:dyDescent="0.3">
      <c r="A169" s="5" t="s">
        <v>2407</v>
      </c>
      <c r="B169" s="5" t="s">
        <v>66</v>
      </c>
      <c r="C169" s="5" t="s">
        <v>93</v>
      </c>
      <c r="D169" s="5" t="s">
        <v>6607</v>
      </c>
      <c r="E169" s="5">
        <v>13</v>
      </c>
      <c r="F169" s="5">
        <v>13</v>
      </c>
      <c r="G169" s="5">
        <v>1</v>
      </c>
      <c r="H169" s="5">
        <v>11.44</v>
      </c>
      <c r="I169" s="5">
        <v>9</v>
      </c>
      <c r="J169" s="5">
        <v>4</v>
      </c>
    </row>
    <row r="170" spans="1:10" x14ac:dyDescent="0.3">
      <c r="A170" s="5" t="s">
        <v>2407</v>
      </c>
      <c r="B170" s="5" t="s">
        <v>66</v>
      </c>
      <c r="C170" s="5" t="s">
        <v>93</v>
      </c>
      <c r="D170" s="5" t="s">
        <v>6607</v>
      </c>
      <c r="E170" s="5">
        <v>13</v>
      </c>
      <c r="F170" s="5">
        <v>11</v>
      </c>
      <c r="G170" s="5">
        <v>4</v>
      </c>
      <c r="H170" s="5">
        <v>5.14</v>
      </c>
      <c r="I170" s="5">
        <v>9</v>
      </c>
      <c r="J170" s="5">
        <v>4</v>
      </c>
    </row>
    <row r="171" spans="1:10" x14ac:dyDescent="0.3">
      <c r="A171" s="5" t="s">
        <v>2407</v>
      </c>
      <c r="B171" s="5" t="s">
        <v>66</v>
      </c>
      <c r="C171" s="5" t="s">
        <v>93</v>
      </c>
      <c r="D171" s="5" t="s">
        <v>6607</v>
      </c>
      <c r="E171" s="5">
        <v>17</v>
      </c>
      <c r="F171" s="5">
        <v>15</v>
      </c>
      <c r="G171" s="5">
        <v>4</v>
      </c>
      <c r="H171" s="5">
        <v>9.32</v>
      </c>
      <c r="I171" s="5">
        <v>9</v>
      </c>
      <c r="J171" s="5">
        <v>8</v>
      </c>
    </row>
    <row r="172" spans="1:10" x14ac:dyDescent="0.3">
      <c r="A172" s="5" t="s">
        <v>2466</v>
      </c>
      <c r="B172" s="5" t="s">
        <v>66</v>
      </c>
      <c r="C172" s="5" t="s">
        <v>67</v>
      </c>
      <c r="D172" s="5" t="s">
        <v>6607</v>
      </c>
      <c r="E172" s="5">
        <v>8</v>
      </c>
      <c r="F172" s="5">
        <v>5</v>
      </c>
      <c r="G172" s="5">
        <v>1</v>
      </c>
      <c r="H172" s="5">
        <v>6.1</v>
      </c>
      <c r="I172" s="5">
        <v>4</v>
      </c>
      <c r="J172" s="5">
        <v>4</v>
      </c>
    </row>
    <row r="173" spans="1:10" x14ac:dyDescent="0.3">
      <c r="A173" s="5" t="s">
        <v>2466</v>
      </c>
      <c r="B173" s="5" t="s">
        <v>66</v>
      </c>
      <c r="C173" s="5" t="s">
        <v>67</v>
      </c>
      <c r="D173" s="5" t="s">
        <v>6607</v>
      </c>
      <c r="E173" s="5">
        <v>21</v>
      </c>
      <c r="F173" s="5">
        <v>18</v>
      </c>
      <c r="G173" s="5">
        <v>2</v>
      </c>
      <c r="H173" s="5">
        <v>2.9</v>
      </c>
      <c r="I173" s="5">
        <v>15</v>
      </c>
      <c r="J173" s="5">
        <v>6</v>
      </c>
    </row>
    <row r="174" spans="1:10" x14ac:dyDescent="0.3">
      <c r="A174" s="5" t="s">
        <v>2466</v>
      </c>
      <c r="B174" s="5" t="s">
        <v>66</v>
      </c>
      <c r="C174" s="5" t="s">
        <v>67</v>
      </c>
      <c r="D174" s="5" t="s">
        <v>6607</v>
      </c>
      <c r="E174" s="5">
        <v>20</v>
      </c>
      <c r="F174" s="5">
        <v>17</v>
      </c>
      <c r="G174" s="5">
        <v>3</v>
      </c>
      <c r="H174" s="5">
        <v>3.65</v>
      </c>
      <c r="I174" s="5">
        <v>16</v>
      </c>
      <c r="J174" s="5">
        <v>4</v>
      </c>
    </row>
    <row r="175" spans="1:10" x14ac:dyDescent="0.3">
      <c r="A175" s="5" t="s">
        <v>2466</v>
      </c>
      <c r="B175" s="5" t="s">
        <v>66</v>
      </c>
      <c r="C175" s="5" t="s">
        <v>67</v>
      </c>
      <c r="D175" s="5" t="s">
        <v>6607</v>
      </c>
      <c r="E175" s="5">
        <v>21</v>
      </c>
      <c r="F175" s="5">
        <v>19</v>
      </c>
      <c r="G175" s="5">
        <v>1</v>
      </c>
      <c r="H175" s="5">
        <v>2.33</v>
      </c>
      <c r="I175" s="5">
        <v>10</v>
      </c>
      <c r="J175" s="5">
        <v>11</v>
      </c>
    </row>
    <row r="176" spans="1:10" x14ac:dyDescent="0.3">
      <c r="A176" s="5" t="s">
        <v>2521</v>
      </c>
      <c r="B176" s="5" t="s">
        <v>66</v>
      </c>
      <c r="C176" s="5" t="s">
        <v>99</v>
      </c>
      <c r="D176" s="5" t="s">
        <v>6607</v>
      </c>
      <c r="E176" s="5">
        <v>14</v>
      </c>
      <c r="F176" s="5">
        <v>12</v>
      </c>
      <c r="G176" s="5">
        <v>4</v>
      </c>
      <c r="H176" s="5">
        <v>9.34</v>
      </c>
      <c r="I176" s="5">
        <v>7</v>
      </c>
      <c r="J176" s="5">
        <v>7</v>
      </c>
    </row>
    <row r="177" spans="1:10" x14ac:dyDescent="0.3">
      <c r="A177" s="5" t="s">
        <v>2521</v>
      </c>
      <c r="B177" s="5" t="s">
        <v>66</v>
      </c>
      <c r="C177" s="5" t="s">
        <v>99</v>
      </c>
      <c r="D177" s="5" t="s">
        <v>6607</v>
      </c>
      <c r="E177" s="5">
        <v>22</v>
      </c>
      <c r="F177" s="5">
        <v>19</v>
      </c>
      <c r="G177" s="5">
        <v>3</v>
      </c>
      <c r="H177" s="5">
        <v>11.56</v>
      </c>
      <c r="I177" s="5">
        <v>17</v>
      </c>
      <c r="J177" s="5">
        <v>5</v>
      </c>
    </row>
    <row r="178" spans="1:10" x14ac:dyDescent="0.3">
      <c r="A178" s="5" t="s">
        <v>2521</v>
      </c>
      <c r="B178" s="5" t="s">
        <v>66</v>
      </c>
      <c r="C178" s="5" t="s">
        <v>99</v>
      </c>
      <c r="D178" s="5" t="s">
        <v>6607</v>
      </c>
      <c r="E178" s="5">
        <v>22</v>
      </c>
      <c r="F178" s="5">
        <v>19</v>
      </c>
      <c r="G178" s="5">
        <v>2</v>
      </c>
      <c r="H178" s="5">
        <v>10.66</v>
      </c>
      <c r="I178" s="5">
        <v>12</v>
      </c>
      <c r="J178" s="5">
        <v>10</v>
      </c>
    </row>
    <row r="179" spans="1:10" x14ac:dyDescent="0.3">
      <c r="A179" s="5" t="s">
        <v>2521</v>
      </c>
      <c r="B179" s="5" t="s">
        <v>66</v>
      </c>
      <c r="C179" s="5" t="s">
        <v>99</v>
      </c>
      <c r="D179" s="5" t="s">
        <v>6607</v>
      </c>
      <c r="E179" s="5">
        <v>20</v>
      </c>
      <c r="F179" s="5">
        <v>20</v>
      </c>
      <c r="G179" s="5">
        <v>3</v>
      </c>
      <c r="H179" s="5">
        <v>3.21</v>
      </c>
      <c r="I179" s="5">
        <v>13</v>
      </c>
      <c r="J179" s="5">
        <v>7</v>
      </c>
    </row>
    <row r="180" spans="1:10" x14ac:dyDescent="0.3">
      <c r="A180" s="5" t="s">
        <v>2521</v>
      </c>
      <c r="B180" s="5" t="s">
        <v>66</v>
      </c>
      <c r="C180" s="5" t="s">
        <v>99</v>
      </c>
      <c r="D180" s="5" t="s">
        <v>6607</v>
      </c>
      <c r="E180" s="5">
        <v>20</v>
      </c>
      <c r="F180" s="5">
        <v>19</v>
      </c>
      <c r="G180" s="5">
        <v>1</v>
      </c>
      <c r="H180" s="5">
        <v>6.79</v>
      </c>
      <c r="I180" s="5">
        <v>11</v>
      </c>
      <c r="J180" s="5">
        <v>9</v>
      </c>
    </row>
    <row r="181" spans="1:10" x14ac:dyDescent="0.3">
      <c r="A181" s="5" t="s">
        <v>2521</v>
      </c>
      <c r="B181" s="5" t="s">
        <v>66</v>
      </c>
      <c r="C181" s="5" t="s">
        <v>99</v>
      </c>
      <c r="D181" s="5" t="s">
        <v>6607</v>
      </c>
      <c r="E181" s="5">
        <v>10</v>
      </c>
      <c r="F181" s="5">
        <v>10</v>
      </c>
      <c r="G181" s="5">
        <v>3</v>
      </c>
      <c r="H181" s="5">
        <v>9.27</v>
      </c>
      <c r="I181" s="5">
        <v>6</v>
      </c>
      <c r="J181" s="5">
        <v>4</v>
      </c>
    </row>
    <row r="182" spans="1:10" x14ac:dyDescent="0.3">
      <c r="A182" s="5" t="s">
        <v>2411</v>
      </c>
      <c r="B182" s="5" t="s">
        <v>55</v>
      </c>
      <c r="C182" s="5" t="s">
        <v>108</v>
      </c>
      <c r="D182" s="5" t="s">
        <v>6607</v>
      </c>
      <c r="E182" s="5">
        <v>10</v>
      </c>
      <c r="F182" s="5">
        <v>10</v>
      </c>
      <c r="G182" s="5">
        <v>2</v>
      </c>
      <c r="H182" s="5">
        <v>9.7899999999999991</v>
      </c>
      <c r="I182" s="5">
        <v>6</v>
      </c>
      <c r="J182" s="5">
        <v>4</v>
      </c>
    </row>
    <row r="183" spans="1:10" x14ac:dyDescent="0.3">
      <c r="A183" s="5" t="s">
        <v>2459</v>
      </c>
      <c r="B183" s="5" t="s">
        <v>189</v>
      </c>
      <c r="C183" s="5" t="s">
        <v>67</v>
      </c>
      <c r="D183" s="5" t="s">
        <v>6607</v>
      </c>
      <c r="E183" s="5">
        <v>21</v>
      </c>
      <c r="F183" s="5">
        <v>20</v>
      </c>
      <c r="G183" s="5">
        <v>2</v>
      </c>
      <c r="H183" s="5">
        <v>6.26</v>
      </c>
      <c r="I183" s="5">
        <v>14</v>
      </c>
      <c r="J183" s="5">
        <v>7</v>
      </c>
    </row>
    <row r="184" spans="1:10" x14ac:dyDescent="0.3">
      <c r="A184" s="5" t="s">
        <v>2459</v>
      </c>
      <c r="B184" s="5" t="s">
        <v>189</v>
      </c>
      <c r="C184" s="5" t="s">
        <v>67</v>
      </c>
      <c r="D184" s="5" t="s">
        <v>6607</v>
      </c>
      <c r="E184" s="5">
        <v>15</v>
      </c>
      <c r="F184" s="5">
        <v>15</v>
      </c>
      <c r="G184" s="5">
        <v>4</v>
      </c>
      <c r="H184" s="5">
        <v>7.66</v>
      </c>
      <c r="I184" s="5">
        <v>9</v>
      </c>
      <c r="J184" s="5">
        <v>6</v>
      </c>
    </row>
    <row r="185" spans="1:10" x14ac:dyDescent="0.3">
      <c r="A185" s="5" t="s">
        <v>2459</v>
      </c>
      <c r="B185" s="5" t="s">
        <v>189</v>
      </c>
      <c r="C185" s="5" t="s">
        <v>67</v>
      </c>
      <c r="D185" s="5" t="s">
        <v>6607</v>
      </c>
      <c r="E185" s="5">
        <v>24</v>
      </c>
      <c r="F185" s="5">
        <v>21</v>
      </c>
      <c r="G185" s="5">
        <v>1</v>
      </c>
      <c r="H185" s="5">
        <v>2.2799999999999998</v>
      </c>
      <c r="I185" s="5">
        <v>18</v>
      </c>
      <c r="J185" s="5">
        <v>6</v>
      </c>
    </row>
    <row r="186" spans="1:10" x14ac:dyDescent="0.3">
      <c r="A186" s="5" t="s">
        <v>2629</v>
      </c>
      <c r="B186" s="5" t="s">
        <v>55</v>
      </c>
      <c r="C186" s="5" t="s">
        <v>164</v>
      </c>
      <c r="D186" s="5" t="s">
        <v>6607</v>
      </c>
      <c r="E186" s="5">
        <v>3</v>
      </c>
      <c r="F186" s="5">
        <v>1</v>
      </c>
      <c r="G186" s="5">
        <v>2</v>
      </c>
      <c r="H186" s="5">
        <v>2.48</v>
      </c>
      <c r="I186" s="5">
        <v>1</v>
      </c>
      <c r="J186" s="5">
        <v>2</v>
      </c>
    </row>
    <row r="187" spans="1:10" x14ac:dyDescent="0.3">
      <c r="A187" s="5" t="s">
        <v>2629</v>
      </c>
      <c r="B187" s="5" t="s">
        <v>55</v>
      </c>
      <c r="C187" s="5" t="s">
        <v>164</v>
      </c>
      <c r="D187" s="5" t="s">
        <v>6607</v>
      </c>
      <c r="E187" s="5">
        <v>12</v>
      </c>
      <c r="F187" s="5">
        <v>10</v>
      </c>
      <c r="G187" s="5">
        <v>4</v>
      </c>
      <c r="H187" s="5">
        <v>1.55</v>
      </c>
      <c r="I187" s="5">
        <v>9</v>
      </c>
      <c r="J187" s="5">
        <v>3</v>
      </c>
    </row>
    <row r="188" spans="1:10" x14ac:dyDescent="0.3">
      <c r="A188" s="5" t="s">
        <v>2422</v>
      </c>
      <c r="B188" s="5" t="s">
        <v>55</v>
      </c>
      <c r="C188" s="5" t="s">
        <v>28</v>
      </c>
      <c r="D188" s="5" t="s">
        <v>6607</v>
      </c>
      <c r="E188" s="5">
        <v>6</v>
      </c>
      <c r="F188" s="5">
        <v>3</v>
      </c>
      <c r="G188" s="5">
        <v>4</v>
      </c>
      <c r="H188" s="5">
        <v>11.4</v>
      </c>
      <c r="I188" s="5">
        <v>3</v>
      </c>
      <c r="J188" s="5">
        <v>3</v>
      </c>
    </row>
    <row r="189" spans="1:10" x14ac:dyDescent="0.3">
      <c r="A189" s="5" t="s">
        <v>2422</v>
      </c>
      <c r="B189" s="5" t="s">
        <v>55</v>
      </c>
      <c r="C189" s="5" t="s">
        <v>28</v>
      </c>
      <c r="D189" s="5" t="s">
        <v>6607</v>
      </c>
      <c r="E189" s="5">
        <v>9</v>
      </c>
      <c r="F189" s="5">
        <v>7</v>
      </c>
      <c r="G189" s="5">
        <v>4</v>
      </c>
      <c r="H189" s="5">
        <v>5.61</v>
      </c>
      <c r="I189" s="5">
        <v>7</v>
      </c>
      <c r="J189" s="5">
        <v>2</v>
      </c>
    </row>
    <row r="190" spans="1:10" x14ac:dyDescent="0.3">
      <c r="A190" s="5" t="s">
        <v>2422</v>
      </c>
      <c r="B190" s="5" t="s">
        <v>55</v>
      </c>
      <c r="C190" s="5" t="s">
        <v>28</v>
      </c>
      <c r="D190" s="5" t="s">
        <v>6607</v>
      </c>
      <c r="E190" s="5">
        <v>10</v>
      </c>
      <c r="F190" s="5">
        <v>7</v>
      </c>
      <c r="G190" s="5">
        <v>1</v>
      </c>
      <c r="H190" s="5">
        <v>11.64</v>
      </c>
      <c r="I190" s="5">
        <v>5</v>
      </c>
      <c r="J190" s="5">
        <v>5</v>
      </c>
    </row>
    <row r="191" spans="1:10" x14ac:dyDescent="0.3">
      <c r="A191" s="5" t="s">
        <v>2438</v>
      </c>
      <c r="B191" s="5" t="s">
        <v>55</v>
      </c>
      <c r="C191" s="5" t="s">
        <v>74</v>
      </c>
      <c r="D191" s="5" t="s">
        <v>6607</v>
      </c>
      <c r="E191" s="5">
        <v>19</v>
      </c>
      <c r="F191" s="5">
        <v>19</v>
      </c>
      <c r="G191" s="5">
        <v>3</v>
      </c>
      <c r="H191" s="5">
        <v>5.45</v>
      </c>
      <c r="I191" s="5">
        <v>11</v>
      </c>
      <c r="J191" s="5">
        <v>8</v>
      </c>
    </row>
    <row r="192" spans="1:10" x14ac:dyDescent="0.3">
      <c r="A192" s="5" t="s">
        <v>2438</v>
      </c>
      <c r="B192" s="5" t="s">
        <v>55</v>
      </c>
      <c r="C192" s="5" t="s">
        <v>74</v>
      </c>
      <c r="D192" s="5" t="s">
        <v>6607</v>
      </c>
      <c r="E192" s="5">
        <v>8</v>
      </c>
      <c r="F192" s="5">
        <v>6</v>
      </c>
      <c r="G192" s="5">
        <v>2</v>
      </c>
      <c r="H192" s="5">
        <v>4.29</v>
      </c>
      <c r="I192" s="5">
        <v>6</v>
      </c>
      <c r="J192" s="5">
        <v>2</v>
      </c>
    </row>
    <row r="193" spans="1:10" x14ac:dyDescent="0.3">
      <c r="A193" s="5" t="s">
        <v>2427</v>
      </c>
      <c r="B193" s="5" t="s">
        <v>55</v>
      </c>
      <c r="C193" s="5" t="s">
        <v>93</v>
      </c>
      <c r="D193" s="5" t="s">
        <v>6607</v>
      </c>
      <c r="E193" s="5">
        <v>23</v>
      </c>
      <c r="F193" s="5">
        <v>21</v>
      </c>
      <c r="G193" s="5">
        <v>3</v>
      </c>
      <c r="H193" s="5">
        <v>3.99</v>
      </c>
      <c r="I193" s="5">
        <v>15</v>
      </c>
      <c r="J193" s="5">
        <v>8</v>
      </c>
    </row>
    <row r="194" spans="1:10" x14ac:dyDescent="0.3">
      <c r="A194" s="5" t="s">
        <v>2427</v>
      </c>
      <c r="B194" s="5" t="s">
        <v>55</v>
      </c>
      <c r="C194" s="5" t="s">
        <v>93</v>
      </c>
      <c r="D194" s="5" t="s">
        <v>6607</v>
      </c>
      <c r="E194" s="5">
        <v>6</v>
      </c>
      <c r="F194" s="5">
        <v>3</v>
      </c>
      <c r="G194" s="5">
        <v>2</v>
      </c>
      <c r="H194" s="5">
        <v>7.35</v>
      </c>
      <c r="I194" s="5">
        <v>4</v>
      </c>
      <c r="J194" s="5">
        <v>2</v>
      </c>
    </row>
    <row r="195" spans="1:10" x14ac:dyDescent="0.3">
      <c r="A195" s="5" t="s">
        <v>2427</v>
      </c>
      <c r="B195" s="5" t="s">
        <v>55</v>
      </c>
      <c r="C195" s="5" t="s">
        <v>93</v>
      </c>
      <c r="D195" s="5" t="s">
        <v>6607</v>
      </c>
      <c r="E195" s="5">
        <v>21</v>
      </c>
      <c r="F195" s="5">
        <v>20</v>
      </c>
      <c r="G195" s="5">
        <v>2</v>
      </c>
      <c r="H195" s="5">
        <v>6.87</v>
      </c>
      <c r="I195" s="5">
        <v>16</v>
      </c>
      <c r="J195" s="5">
        <v>5</v>
      </c>
    </row>
    <row r="196" spans="1:10" x14ac:dyDescent="0.3">
      <c r="A196" s="5" t="s">
        <v>2427</v>
      </c>
      <c r="B196" s="5" t="s">
        <v>55</v>
      </c>
      <c r="C196" s="5" t="s">
        <v>93</v>
      </c>
      <c r="D196" s="5" t="s">
        <v>6607</v>
      </c>
      <c r="E196" s="5">
        <v>21</v>
      </c>
      <c r="F196" s="5">
        <v>19</v>
      </c>
      <c r="G196" s="5">
        <v>1</v>
      </c>
      <c r="H196" s="5">
        <v>6.43</v>
      </c>
      <c r="I196" s="5">
        <v>17</v>
      </c>
      <c r="J196" s="5">
        <v>4</v>
      </c>
    </row>
    <row r="197" spans="1:10" x14ac:dyDescent="0.3">
      <c r="A197" s="5" t="s">
        <v>2427</v>
      </c>
      <c r="B197" s="5" t="s">
        <v>55</v>
      </c>
      <c r="C197" s="5" t="s">
        <v>93</v>
      </c>
      <c r="D197" s="5" t="s">
        <v>6607</v>
      </c>
      <c r="E197" s="5">
        <v>13</v>
      </c>
      <c r="F197" s="5">
        <v>10</v>
      </c>
      <c r="G197" s="5">
        <v>1</v>
      </c>
      <c r="H197" s="5">
        <v>4.0199999999999996</v>
      </c>
      <c r="I197" s="5">
        <v>8</v>
      </c>
      <c r="J197" s="5">
        <v>5</v>
      </c>
    </row>
    <row r="198" spans="1:10" x14ac:dyDescent="0.3">
      <c r="A198" s="5" t="s">
        <v>2485</v>
      </c>
      <c r="B198" s="5" t="s">
        <v>61</v>
      </c>
      <c r="C198" s="5" t="s">
        <v>99</v>
      </c>
      <c r="D198" s="5" t="s">
        <v>6607</v>
      </c>
      <c r="E198" s="5">
        <v>10</v>
      </c>
      <c r="F198" s="5">
        <v>10</v>
      </c>
      <c r="G198" s="5">
        <v>2</v>
      </c>
      <c r="H198" s="5">
        <v>11.57</v>
      </c>
      <c r="I198" s="5">
        <v>7</v>
      </c>
      <c r="J198" s="5">
        <v>3</v>
      </c>
    </row>
    <row r="199" spans="1:10" x14ac:dyDescent="0.3">
      <c r="A199" s="5" t="s">
        <v>2485</v>
      </c>
      <c r="B199" s="5" t="s">
        <v>61</v>
      </c>
      <c r="C199" s="5" t="s">
        <v>99</v>
      </c>
      <c r="D199" s="5" t="s">
        <v>6607</v>
      </c>
      <c r="E199" s="5">
        <v>6</v>
      </c>
      <c r="F199" s="5">
        <v>5</v>
      </c>
      <c r="G199" s="5">
        <v>1</v>
      </c>
      <c r="H199" s="5">
        <v>8.3000000000000007</v>
      </c>
      <c r="I199" s="5">
        <v>4</v>
      </c>
      <c r="J199" s="5">
        <v>2</v>
      </c>
    </row>
    <row r="200" spans="1:10" x14ac:dyDescent="0.3">
      <c r="A200" s="5" t="s">
        <v>2485</v>
      </c>
      <c r="B200" s="5" t="s">
        <v>61</v>
      </c>
      <c r="C200" s="5" t="s">
        <v>99</v>
      </c>
      <c r="D200" s="5" t="s">
        <v>6607</v>
      </c>
      <c r="E200" s="5">
        <v>12</v>
      </c>
      <c r="F200" s="5">
        <v>9</v>
      </c>
      <c r="G200" s="5">
        <v>4</v>
      </c>
      <c r="H200" s="5">
        <v>4.79</v>
      </c>
      <c r="I200" s="5">
        <v>9</v>
      </c>
      <c r="J200" s="5">
        <v>3</v>
      </c>
    </row>
    <row r="201" spans="1:10" x14ac:dyDescent="0.3">
      <c r="A201" s="5" t="s">
        <v>2449</v>
      </c>
      <c r="B201" s="5" t="s">
        <v>61</v>
      </c>
      <c r="C201" s="5" t="s">
        <v>108</v>
      </c>
      <c r="D201" s="5" t="s">
        <v>6607</v>
      </c>
      <c r="E201" s="5">
        <v>23</v>
      </c>
      <c r="F201" s="5">
        <v>23</v>
      </c>
      <c r="G201" s="5">
        <v>4</v>
      </c>
      <c r="H201" s="5">
        <v>10.220000000000001</v>
      </c>
      <c r="I201" s="5">
        <v>13</v>
      </c>
      <c r="J201" s="5">
        <v>10</v>
      </c>
    </row>
    <row r="202" spans="1:10" x14ac:dyDescent="0.3">
      <c r="A202" s="5" t="s">
        <v>2449</v>
      </c>
      <c r="B202" s="5" t="s">
        <v>61</v>
      </c>
      <c r="C202" s="5" t="s">
        <v>108</v>
      </c>
      <c r="D202" s="5" t="s">
        <v>6607</v>
      </c>
      <c r="E202" s="5">
        <v>5</v>
      </c>
      <c r="F202" s="5">
        <v>2</v>
      </c>
      <c r="G202" s="5">
        <v>4</v>
      </c>
      <c r="H202" s="5">
        <v>11.3</v>
      </c>
      <c r="I202" s="5">
        <v>2</v>
      </c>
      <c r="J202" s="5">
        <v>3</v>
      </c>
    </row>
    <row r="203" spans="1:10" x14ac:dyDescent="0.3">
      <c r="A203" s="5" t="s">
        <v>2577</v>
      </c>
      <c r="B203" s="5" t="s">
        <v>61</v>
      </c>
      <c r="C203" s="5" t="s">
        <v>67</v>
      </c>
      <c r="D203" s="5" t="s">
        <v>6607</v>
      </c>
      <c r="E203" s="5">
        <v>20</v>
      </c>
      <c r="F203" s="5">
        <v>18</v>
      </c>
      <c r="G203" s="5">
        <v>4</v>
      </c>
      <c r="H203" s="5">
        <v>6.23</v>
      </c>
      <c r="I203" s="5">
        <v>10</v>
      </c>
      <c r="J203" s="5">
        <v>10</v>
      </c>
    </row>
    <row r="204" spans="1:10" x14ac:dyDescent="0.3">
      <c r="A204" s="5" t="s">
        <v>2577</v>
      </c>
      <c r="B204" s="5" t="s">
        <v>61</v>
      </c>
      <c r="C204" s="5" t="s">
        <v>67</v>
      </c>
      <c r="D204" s="5" t="s">
        <v>6607</v>
      </c>
      <c r="E204" s="5">
        <v>18</v>
      </c>
      <c r="F204" s="5">
        <v>17</v>
      </c>
      <c r="G204" s="5">
        <v>3</v>
      </c>
      <c r="H204" s="5">
        <v>6.64</v>
      </c>
      <c r="I204" s="5">
        <v>9</v>
      </c>
      <c r="J204" s="5">
        <v>9</v>
      </c>
    </row>
    <row r="205" spans="1:10" x14ac:dyDescent="0.3">
      <c r="A205" s="5" t="s">
        <v>2454</v>
      </c>
      <c r="B205" s="5" t="s">
        <v>61</v>
      </c>
      <c r="C205" s="5" t="s">
        <v>17</v>
      </c>
      <c r="D205" s="5" t="s">
        <v>6607</v>
      </c>
      <c r="E205" s="5">
        <v>23</v>
      </c>
      <c r="F205" s="5">
        <v>23</v>
      </c>
      <c r="G205" s="5">
        <v>1</v>
      </c>
      <c r="H205" s="5">
        <v>9.58</v>
      </c>
      <c r="I205" s="5">
        <v>14</v>
      </c>
      <c r="J205" s="5">
        <v>9</v>
      </c>
    </row>
    <row r="206" spans="1:10" x14ac:dyDescent="0.3">
      <c r="A206" s="5" t="s">
        <v>2454</v>
      </c>
      <c r="B206" s="5" t="s">
        <v>61</v>
      </c>
      <c r="C206" s="5" t="s">
        <v>17</v>
      </c>
      <c r="D206" s="5" t="s">
        <v>6607</v>
      </c>
      <c r="E206" s="5">
        <v>19</v>
      </c>
      <c r="F206" s="5">
        <v>17</v>
      </c>
      <c r="G206" s="5">
        <v>1</v>
      </c>
      <c r="H206" s="5">
        <v>7.63</v>
      </c>
      <c r="I206" s="5">
        <v>13</v>
      </c>
      <c r="J206" s="5">
        <v>6</v>
      </c>
    </row>
    <row r="207" spans="1:10" x14ac:dyDescent="0.3">
      <c r="A207" s="5" t="s">
        <v>2454</v>
      </c>
      <c r="B207" s="5" t="s">
        <v>61</v>
      </c>
      <c r="C207" s="5" t="s">
        <v>17</v>
      </c>
      <c r="D207" s="5" t="s">
        <v>6607</v>
      </c>
      <c r="E207" s="5">
        <v>16</v>
      </c>
      <c r="F207" s="5">
        <v>15</v>
      </c>
      <c r="G207" s="5">
        <v>4</v>
      </c>
      <c r="H207" s="5">
        <v>9.26</v>
      </c>
      <c r="I207" s="5">
        <v>12</v>
      </c>
      <c r="J207" s="5">
        <v>4</v>
      </c>
    </row>
    <row r="208" spans="1:10" x14ac:dyDescent="0.3">
      <c r="A208" s="5" t="s">
        <v>2454</v>
      </c>
      <c r="B208" s="5" t="s">
        <v>61</v>
      </c>
      <c r="C208" s="5" t="s">
        <v>17</v>
      </c>
      <c r="D208" s="5" t="s">
        <v>6607</v>
      </c>
      <c r="E208" s="5">
        <v>18</v>
      </c>
      <c r="F208" s="5">
        <v>15</v>
      </c>
      <c r="G208" s="5">
        <v>4</v>
      </c>
      <c r="H208" s="5">
        <v>9.31</v>
      </c>
      <c r="I208" s="5">
        <v>12</v>
      </c>
      <c r="J208" s="5">
        <v>6</v>
      </c>
    </row>
    <row r="209" spans="1:10" x14ac:dyDescent="0.3">
      <c r="A209" s="5" t="s">
        <v>2454</v>
      </c>
      <c r="B209" s="5" t="s">
        <v>61</v>
      </c>
      <c r="C209" s="5" t="s">
        <v>17</v>
      </c>
      <c r="D209" s="5" t="s">
        <v>6607</v>
      </c>
      <c r="E209" s="5">
        <v>8</v>
      </c>
      <c r="F209" s="5">
        <v>5</v>
      </c>
      <c r="G209" s="5">
        <v>4</v>
      </c>
      <c r="H209" s="5">
        <v>8.32</v>
      </c>
      <c r="I209" s="5">
        <v>4</v>
      </c>
      <c r="J209" s="5">
        <v>4</v>
      </c>
    </row>
    <row r="210" spans="1:10" x14ac:dyDescent="0.3">
      <c r="A210" s="5" t="s">
        <v>2481</v>
      </c>
      <c r="B210" s="5" t="s">
        <v>80</v>
      </c>
      <c r="C210" s="5" t="s">
        <v>37</v>
      </c>
      <c r="D210" s="5" t="s">
        <v>6607</v>
      </c>
      <c r="E210" s="5">
        <v>8</v>
      </c>
      <c r="F210" s="5">
        <v>6</v>
      </c>
      <c r="G210" s="5">
        <v>1</v>
      </c>
      <c r="H210" s="5">
        <v>8.75</v>
      </c>
      <c r="I210" s="5">
        <v>6</v>
      </c>
      <c r="J210" s="5">
        <v>2</v>
      </c>
    </row>
    <row r="211" spans="1:10" x14ac:dyDescent="0.3">
      <c r="A211" s="5" t="s">
        <v>2481</v>
      </c>
      <c r="B211" s="5" t="s">
        <v>80</v>
      </c>
      <c r="C211" s="5" t="s">
        <v>37</v>
      </c>
      <c r="D211" s="5" t="s">
        <v>6607</v>
      </c>
      <c r="E211" s="5">
        <v>4</v>
      </c>
      <c r="F211" s="5">
        <v>4</v>
      </c>
      <c r="G211" s="5">
        <v>4</v>
      </c>
      <c r="H211" s="5">
        <v>6.13</v>
      </c>
      <c r="I211" s="5">
        <v>2</v>
      </c>
      <c r="J211" s="5">
        <v>2</v>
      </c>
    </row>
    <row r="212" spans="1:10" x14ac:dyDescent="0.3">
      <c r="A212" s="5" t="s">
        <v>2481</v>
      </c>
      <c r="B212" s="5" t="s">
        <v>80</v>
      </c>
      <c r="C212" s="5" t="s">
        <v>37</v>
      </c>
      <c r="D212" s="5" t="s">
        <v>6607</v>
      </c>
      <c r="E212" s="5">
        <v>17</v>
      </c>
      <c r="F212" s="5">
        <v>15</v>
      </c>
      <c r="G212" s="5">
        <v>1</v>
      </c>
      <c r="H212" s="5">
        <v>11.62</v>
      </c>
      <c r="I212" s="5">
        <v>8</v>
      </c>
      <c r="J212" s="5">
        <v>9</v>
      </c>
    </row>
    <row r="213" spans="1:10" x14ac:dyDescent="0.3">
      <c r="A213" s="5" t="s">
        <v>2481</v>
      </c>
      <c r="B213" s="5" t="s">
        <v>80</v>
      </c>
      <c r="C213" s="5" t="s">
        <v>37</v>
      </c>
      <c r="D213" s="5" t="s">
        <v>6607</v>
      </c>
      <c r="E213" s="5">
        <v>21</v>
      </c>
      <c r="F213" s="5">
        <v>20</v>
      </c>
      <c r="G213" s="5">
        <v>2</v>
      </c>
      <c r="H213" s="5">
        <v>9.4700000000000006</v>
      </c>
      <c r="I213" s="5">
        <v>17</v>
      </c>
      <c r="J213" s="5">
        <v>4</v>
      </c>
    </row>
    <row r="214" spans="1:10" x14ac:dyDescent="0.3">
      <c r="A214" s="5" t="s">
        <v>2473</v>
      </c>
      <c r="B214" s="5" t="s">
        <v>80</v>
      </c>
      <c r="C214" s="5" t="s">
        <v>93</v>
      </c>
      <c r="D214" s="5" t="s">
        <v>6607</v>
      </c>
      <c r="E214" s="5">
        <v>25</v>
      </c>
      <c r="F214" s="5">
        <v>24</v>
      </c>
      <c r="G214" s="5">
        <v>3</v>
      </c>
      <c r="H214" s="5">
        <v>11.85</v>
      </c>
      <c r="I214" s="5">
        <v>15</v>
      </c>
      <c r="J214" s="5">
        <v>10</v>
      </c>
    </row>
    <row r="215" spans="1:10" x14ac:dyDescent="0.3">
      <c r="A215" s="5" t="s">
        <v>2473</v>
      </c>
      <c r="B215" s="5" t="s">
        <v>80</v>
      </c>
      <c r="C215" s="5" t="s">
        <v>93</v>
      </c>
      <c r="D215" s="5" t="s">
        <v>6607</v>
      </c>
      <c r="E215" s="5">
        <v>22</v>
      </c>
      <c r="F215" s="5">
        <v>21</v>
      </c>
      <c r="G215" s="5">
        <v>3</v>
      </c>
      <c r="H215" s="5">
        <v>8.0500000000000007</v>
      </c>
      <c r="I215" s="5">
        <v>11</v>
      </c>
      <c r="J215" s="5">
        <v>11</v>
      </c>
    </row>
    <row r="216" spans="1:10" x14ac:dyDescent="0.3">
      <c r="A216" s="5" t="s">
        <v>2730</v>
      </c>
      <c r="B216" s="5" t="s">
        <v>189</v>
      </c>
      <c r="C216" s="5" t="s">
        <v>74</v>
      </c>
      <c r="D216" s="5" t="s">
        <v>6607</v>
      </c>
      <c r="E216" s="5">
        <v>14</v>
      </c>
      <c r="F216" s="5">
        <v>11</v>
      </c>
      <c r="G216" s="5">
        <v>4</v>
      </c>
      <c r="H216" s="5">
        <v>7.04</v>
      </c>
      <c r="I216" s="5">
        <v>9</v>
      </c>
      <c r="J216" s="5">
        <v>5</v>
      </c>
    </row>
    <row r="217" spans="1:10" x14ac:dyDescent="0.3">
      <c r="A217" s="5" t="s">
        <v>2730</v>
      </c>
      <c r="B217" s="5" t="s">
        <v>189</v>
      </c>
      <c r="C217" s="5" t="s">
        <v>74</v>
      </c>
      <c r="D217" s="5" t="s">
        <v>6607</v>
      </c>
      <c r="E217" s="5">
        <v>19</v>
      </c>
      <c r="F217" s="5">
        <v>19</v>
      </c>
      <c r="G217" s="5">
        <v>4</v>
      </c>
      <c r="H217" s="5">
        <v>4.93</v>
      </c>
      <c r="I217" s="5">
        <v>15</v>
      </c>
      <c r="J217" s="5">
        <v>4</v>
      </c>
    </row>
    <row r="218" spans="1:10" x14ac:dyDescent="0.3">
      <c r="A218" s="5" t="s">
        <v>2514</v>
      </c>
      <c r="B218" s="5" t="s">
        <v>80</v>
      </c>
      <c r="C218" s="5" t="s">
        <v>47</v>
      </c>
      <c r="D218" s="5" t="s">
        <v>6607</v>
      </c>
      <c r="E218" s="5">
        <v>9</v>
      </c>
      <c r="F218" s="5">
        <v>9</v>
      </c>
      <c r="G218" s="5">
        <v>2</v>
      </c>
      <c r="H218" s="5">
        <v>10.59</v>
      </c>
      <c r="I218" s="5">
        <v>6</v>
      </c>
      <c r="J218" s="5">
        <v>3</v>
      </c>
    </row>
    <row r="219" spans="1:10" x14ac:dyDescent="0.3">
      <c r="A219" s="5" t="s">
        <v>2514</v>
      </c>
      <c r="B219" s="5" t="s">
        <v>80</v>
      </c>
      <c r="C219" s="5" t="s">
        <v>47</v>
      </c>
      <c r="D219" s="5" t="s">
        <v>6607</v>
      </c>
      <c r="E219" s="5">
        <v>14</v>
      </c>
      <c r="F219" s="5">
        <v>14</v>
      </c>
      <c r="G219" s="5">
        <v>3</v>
      </c>
      <c r="H219" s="5">
        <v>3.89</v>
      </c>
      <c r="I219" s="5">
        <v>10</v>
      </c>
      <c r="J219" s="5">
        <v>4</v>
      </c>
    </row>
    <row r="220" spans="1:10" x14ac:dyDescent="0.3">
      <c r="A220" s="5" t="s">
        <v>2494</v>
      </c>
      <c r="B220" s="5" t="s">
        <v>189</v>
      </c>
      <c r="C220" s="5" t="s">
        <v>99</v>
      </c>
      <c r="D220" s="5" t="s">
        <v>6607</v>
      </c>
      <c r="E220" s="5">
        <v>7</v>
      </c>
      <c r="F220" s="5">
        <v>6</v>
      </c>
      <c r="G220" s="5">
        <v>3</v>
      </c>
      <c r="H220" s="5">
        <v>10.47</v>
      </c>
      <c r="I220" s="5">
        <v>4</v>
      </c>
      <c r="J220" s="5">
        <v>3</v>
      </c>
    </row>
    <row r="221" spans="1:10" x14ac:dyDescent="0.3">
      <c r="A221" s="5" t="s">
        <v>2494</v>
      </c>
      <c r="B221" s="5" t="s">
        <v>189</v>
      </c>
      <c r="C221" s="5" t="s">
        <v>99</v>
      </c>
      <c r="D221" s="5" t="s">
        <v>6607</v>
      </c>
      <c r="E221" s="5">
        <v>4</v>
      </c>
      <c r="F221" s="5">
        <v>3</v>
      </c>
      <c r="G221" s="5">
        <v>3</v>
      </c>
      <c r="H221" s="5">
        <v>7.16</v>
      </c>
      <c r="I221" s="5">
        <v>3</v>
      </c>
      <c r="J221" s="5">
        <v>1</v>
      </c>
    </row>
    <row r="222" spans="1:10" x14ac:dyDescent="0.3">
      <c r="A222" s="5" t="s">
        <v>2494</v>
      </c>
      <c r="B222" s="5" t="s">
        <v>189</v>
      </c>
      <c r="C222" s="5" t="s">
        <v>99</v>
      </c>
      <c r="D222" s="5" t="s">
        <v>6607</v>
      </c>
      <c r="E222" s="5">
        <v>16</v>
      </c>
      <c r="F222" s="5">
        <v>14</v>
      </c>
      <c r="G222" s="5">
        <v>2</v>
      </c>
      <c r="H222" s="5">
        <v>10.09</v>
      </c>
      <c r="I222" s="5">
        <v>10</v>
      </c>
      <c r="J222" s="5">
        <v>6</v>
      </c>
    </row>
    <row r="223" spans="1:10" x14ac:dyDescent="0.3">
      <c r="A223" s="5" t="s">
        <v>2494</v>
      </c>
      <c r="B223" s="5" t="s">
        <v>189</v>
      </c>
      <c r="C223" s="5" t="s">
        <v>99</v>
      </c>
      <c r="D223" s="5" t="s">
        <v>6607</v>
      </c>
      <c r="E223" s="5">
        <v>13</v>
      </c>
      <c r="F223" s="5">
        <v>11</v>
      </c>
      <c r="G223" s="5">
        <v>3</v>
      </c>
      <c r="H223" s="5">
        <v>5.18</v>
      </c>
      <c r="I223" s="5">
        <v>10</v>
      </c>
      <c r="J223" s="5">
        <v>3</v>
      </c>
    </row>
    <row r="224" spans="1:10" x14ac:dyDescent="0.3">
      <c r="A224" s="5" t="s">
        <v>2504</v>
      </c>
      <c r="B224" s="5" t="s">
        <v>27</v>
      </c>
      <c r="C224" s="5" t="s">
        <v>37</v>
      </c>
      <c r="D224" s="5" t="s">
        <v>6607</v>
      </c>
      <c r="E224" s="5">
        <v>5</v>
      </c>
      <c r="F224" s="5">
        <v>5</v>
      </c>
      <c r="G224" s="5">
        <v>1</v>
      </c>
      <c r="H224" s="5">
        <v>9.31</v>
      </c>
      <c r="I224" s="5">
        <v>3</v>
      </c>
      <c r="J224" s="5">
        <v>2</v>
      </c>
    </row>
    <row r="225" spans="1:10" x14ac:dyDescent="0.3">
      <c r="A225" s="5" t="s">
        <v>2445</v>
      </c>
      <c r="B225" s="5" t="s">
        <v>27</v>
      </c>
      <c r="C225" s="5" t="s">
        <v>164</v>
      </c>
      <c r="D225" s="5" t="s">
        <v>6607</v>
      </c>
      <c r="E225" s="5">
        <v>3</v>
      </c>
      <c r="F225" s="5">
        <v>1</v>
      </c>
      <c r="G225" s="5">
        <v>2</v>
      </c>
      <c r="H225" s="5">
        <v>6.87</v>
      </c>
      <c r="I225" s="5">
        <v>2</v>
      </c>
      <c r="J225" s="5">
        <v>1</v>
      </c>
    </row>
    <row r="226" spans="1:10" x14ac:dyDescent="0.3">
      <c r="A226" s="5" t="s">
        <v>2445</v>
      </c>
      <c r="B226" s="5" t="s">
        <v>27</v>
      </c>
      <c r="C226" s="5" t="s">
        <v>164</v>
      </c>
      <c r="D226" s="5" t="s">
        <v>6607</v>
      </c>
      <c r="E226" s="5">
        <v>9</v>
      </c>
      <c r="F226" s="5">
        <v>8</v>
      </c>
      <c r="G226" s="5">
        <v>4</v>
      </c>
      <c r="H226" s="5">
        <v>7.99</v>
      </c>
      <c r="I226" s="5">
        <v>7</v>
      </c>
      <c r="J226" s="5">
        <v>2</v>
      </c>
    </row>
    <row r="227" spans="1:10" x14ac:dyDescent="0.3">
      <c r="A227" s="5" t="s">
        <v>2445</v>
      </c>
      <c r="B227" s="5" t="s">
        <v>27</v>
      </c>
      <c r="C227" s="5" t="s">
        <v>164</v>
      </c>
      <c r="D227" s="5" t="s">
        <v>6607</v>
      </c>
      <c r="E227" s="5">
        <v>14</v>
      </c>
      <c r="F227" s="5">
        <v>13</v>
      </c>
      <c r="G227" s="5">
        <v>3</v>
      </c>
      <c r="H227" s="5">
        <v>2.91</v>
      </c>
      <c r="I227" s="5">
        <v>8</v>
      </c>
      <c r="J227" s="5">
        <v>6</v>
      </c>
    </row>
    <row r="228" spans="1:10" x14ac:dyDescent="0.3">
      <c r="A228" s="5" t="s">
        <v>2445</v>
      </c>
      <c r="B228" s="5" t="s">
        <v>27</v>
      </c>
      <c r="C228" s="5" t="s">
        <v>164</v>
      </c>
      <c r="D228" s="5" t="s">
        <v>6607</v>
      </c>
      <c r="E228" s="5">
        <v>7</v>
      </c>
      <c r="F228" s="5">
        <v>5</v>
      </c>
      <c r="G228" s="5">
        <v>2</v>
      </c>
      <c r="H228" s="5">
        <v>8.6</v>
      </c>
      <c r="I228" s="5">
        <v>3</v>
      </c>
      <c r="J228" s="5">
        <v>4</v>
      </c>
    </row>
    <row r="229" spans="1:10" x14ac:dyDescent="0.3">
      <c r="A229" s="5" t="s">
        <v>2463</v>
      </c>
      <c r="B229" s="5" t="s">
        <v>27</v>
      </c>
      <c r="C229" s="5" t="s">
        <v>74</v>
      </c>
      <c r="D229" s="5" t="s">
        <v>6607</v>
      </c>
      <c r="E229" s="5">
        <v>10</v>
      </c>
      <c r="F229" s="5">
        <v>7</v>
      </c>
      <c r="G229" s="5">
        <v>2</v>
      </c>
      <c r="H229" s="5">
        <v>1.6</v>
      </c>
      <c r="I229" s="5">
        <v>7</v>
      </c>
      <c r="J229" s="5">
        <v>3</v>
      </c>
    </row>
    <row r="230" spans="1:10" x14ac:dyDescent="0.3">
      <c r="A230" s="5" t="s">
        <v>2463</v>
      </c>
      <c r="B230" s="5" t="s">
        <v>27</v>
      </c>
      <c r="C230" s="5" t="s">
        <v>74</v>
      </c>
      <c r="D230" s="5" t="s">
        <v>6607</v>
      </c>
      <c r="E230" s="5">
        <v>11</v>
      </c>
      <c r="F230" s="5">
        <v>8</v>
      </c>
      <c r="G230" s="5">
        <v>2</v>
      </c>
      <c r="H230" s="5">
        <v>5.74</v>
      </c>
      <c r="I230" s="5">
        <v>8</v>
      </c>
      <c r="J230" s="5">
        <v>3</v>
      </c>
    </row>
    <row r="231" spans="1:10" x14ac:dyDescent="0.3">
      <c r="A231" s="5" t="s">
        <v>2463</v>
      </c>
      <c r="B231" s="5" t="s">
        <v>27</v>
      </c>
      <c r="C231" s="5" t="s">
        <v>74</v>
      </c>
      <c r="D231" s="5" t="s">
        <v>6607</v>
      </c>
      <c r="E231" s="5">
        <v>11</v>
      </c>
      <c r="F231" s="5">
        <v>11</v>
      </c>
      <c r="G231" s="5">
        <v>4</v>
      </c>
      <c r="H231" s="5">
        <v>3.87</v>
      </c>
      <c r="I231" s="5">
        <v>7</v>
      </c>
      <c r="J231" s="5">
        <v>4</v>
      </c>
    </row>
    <row r="232" spans="1:10" x14ac:dyDescent="0.3">
      <c r="A232" s="5" t="s">
        <v>2431</v>
      </c>
      <c r="B232" s="5" t="s">
        <v>16</v>
      </c>
      <c r="C232" s="5" t="s">
        <v>67</v>
      </c>
      <c r="D232" s="5" t="s">
        <v>6607</v>
      </c>
      <c r="E232" s="5">
        <v>20</v>
      </c>
      <c r="F232" s="5">
        <v>20</v>
      </c>
      <c r="G232" s="5">
        <v>2</v>
      </c>
      <c r="H232" s="5">
        <v>3.72</v>
      </c>
      <c r="I232" s="5">
        <v>11</v>
      </c>
      <c r="J232" s="5">
        <v>9</v>
      </c>
    </row>
    <row r="233" spans="1:10" x14ac:dyDescent="0.3">
      <c r="A233" s="5" t="s">
        <v>2431</v>
      </c>
      <c r="B233" s="5" t="s">
        <v>16</v>
      </c>
      <c r="C233" s="5" t="s">
        <v>67</v>
      </c>
      <c r="D233" s="5" t="s">
        <v>6607</v>
      </c>
      <c r="E233" s="5">
        <v>15</v>
      </c>
      <c r="F233" s="5">
        <v>14</v>
      </c>
      <c r="G233" s="5">
        <v>4</v>
      </c>
      <c r="H233" s="5">
        <v>10.06</v>
      </c>
      <c r="I233" s="5">
        <v>10</v>
      </c>
      <c r="J233" s="5">
        <v>5</v>
      </c>
    </row>
    <row r="234" spans="1:10" x14ac:dyDescent="0.3">
      <c r="A234" s="5" t="s">
        <v>2431</v>
      </c>
      <c r="B234" s="5" t="s">
        <v>16</v>
      </c>
      <c r="C234" s="5" t="s">
        <v>67</v>
      </c>
      <c r="D234" s="5" t="s">
        <v>6607</v>
      </c>
      <c r="E234" s="5">
        <v>24</v>
      </c>
      <c r="F234" s="5">
        <v>23</v>
      </c>
      <c r="G234" s="5">
        <v>1</v>
      </c>
      <c r="H234" s="5">
        <v>7.99</v>
      </c>
      <c r="I234" s="5">
        <v>18</v>
      </c>
      <c r="J234" s="5">
        <v>6</v>
      </c>
    </row>
    <row r="235" spans="1:10" x14ac:dyDescent="0.3">
      <c r="A235" s="5" t="s">
        <v>2518</v>
      </c>
      <c r="B235" s="5" t="s">
        <v>16</v>
      </c>
      <c r="C235" s="5" t="s">
        <v>164</v>
      </c>
      <c r="D235" s="5" t="s">
        <v>6607</v>
      </c>
      <c r="E235" s="5">
        <v>7</v>
      </c>
      <c r="F235" s="5">
        <v>5</v>
      </c>
      <c r="G235" s="5">
        <v>1</v>
      </c>
      <c r="H235" s="5">
        <v>4.55</v>
      </c>
      <c r="I235" s="5">
        <v>4</v>
      </c>
      <c r="J235" s="5">
        <v>3</v>
      </c>
    </row>
    <row r="236" spans="1:10" x14ac:dyDescent="0.3">
      <c r="A236" s="5" t="s">
        <v>2518</v>
      </c>
      <c r="B236" s="5" t="s">
        <v>16</v>
      </c>
      <c r="C236" s="5" t="s">
        <v>164</v>
      </c>
      <c r="D236" s="5" t="s">
        <v>6607</v>
      </c>
      <c r="E236" s="5">
        <v>9</v>
      </c>
      <c r="F236" s="5">
        <v>6</v>
      </c>
      <c r="G236" s="5">
        <v>1</v>
      </c>
      <c r="H236" s="5">
        <v>7.26</v>
      </c>
      <c r="I236" s="5">
        <v>4</v>
      </c>
      <c r="J236" s="5">
        <v>5</v>
      </c>
    </row>
    <row r="237" spans="1:10" x14ac:dyDescent="0.3">
      <c r="A237" s="5" t="s">
        <v>2415</v>
      </c>
      <c r="B237" s="5" t="s">
        <v>189</v>
      </c>
      <c r="C237" s="5" t="s">
        <v>17</v>
      </c>
      <c r="D237" s="5" t="s">
        <v>6606</v>
      </c>
      <c r="E237" s="5">
        <v>4</v>
      </c>
      <c r="F237" s="5">
        <v>3</v>
      </c>
      <c r="G237" s="5">
        <v>2</v>
      </c>
      <c r="H237" s="5">
        <v>7.66</v>
      </c>
      <c r="I237" s="5">
        <v>3</v>
      </c>
      <c r="J237" s="5">
        <v>1</v>
      </c>
    </row>
    <row r="238" spans="1:10" x14ac:dyDescent="0.3">
      <c r="A238" s="5" t="s">
        <v>2415</v>
      </c>
      <c r="B238" s="5" t="s">
        <v>189</v>
      </c>
      <c r="C238" s="5" t="s">
        <v>17</v>
      </c>
      <c r="D238" s="5" t="s">
        <v>6606</v>
      </c>
      <c r="E238" s="5">
        <v>6</v>
      </c>
      <c r="F238" s="5">
        <v>4</v>
      </c>
      <c r="G238" s="5">
        <v>1</v>
      </c>
      <c r="H238" s="5">
        <v>10.43</v>
      </c>
      <c r="I238" s="5">
        <v>4</v>
      </c>
      <c r="J238" s="5">
        <v>2</v>
      </c>
    </row>
    <row r="239" spans="1:10" x14ac:dyDescent="0.3">
      <c r="A239" s="5" t="s">
        <v>2415</v>
      </c>
      <c r="B239" s="5" t="s">
        <v>189</v>
      </c>
      <c r="C239" s="5" t="s">
        <v>17</v>
      </c>
      <c r="D239" s="5" t="s">
        <v>6606</v>
      </c>
      <c r="E239" s="5">
        <v>15</v>
      </c>
      <c r="F239" s="5">
        <v>15</v>
      </c>
      <c r="G239" s="5">
        <v>1</v>
      </c>
      <c r="H239" s="5">
        <v>3.2</v>
      </c>
      <c r="I239" s="5">
        <v>9</v>
      </c>
      <c r="J239" s="5">
        <v>6</v>
      </c>
    </row>
    <row r="240" spans="1:10" x14ac:dyDescent="0.3">
      <c r="A240" s="5" t="s">
        <v>2434</v>
      </c>
      <c r="B240" s="5" t="s">
        <v>16</v>
      </c>
      <c r="C240" s="5" t="s">
        <v>108</v>
      </c>
      <c r="D240" s="5" t="s">
        <v>6606</v>
      </c>
      <c r="E240" s="5">
        <v>16</v>
      </c>
      <c r="F240" s="5">
        <v>13</v>
      </c>
      <c r="G240" s="5">
        <v>1</v>
      </c>
      <c r="H240" s="5">
        <v>1.66</v>
      </c>
      <c r="I240" s="5">
        <v>10</v>
      </c>
      <c r="J240" s="5">
        <v>6</v>
      </c>
    </row>
    <row r="241" spans="1:10" x14ac:dyDescent="0.3">
      <c r="A241" s="5" t="s">
        <v>2469</v>
      </c>
      <c r="B241" s="5" t="s">
        <v>16</v>
      </c>
      <c r="C241" s="5" t="s">
        <v>99</v>
      </c>
      <c r="D241" s="5" t="s">
        <v>6606</v>
      </c>
      <c r="E241" s="5">
        <v>7</v>
      </c>
      <c r="F241" s="5">
        <v>6</v>
      </c>
      <c r="G241" s="5">
        <v>4</v>
      </c>
      <c r="H241" s="5">
        <v>8.5500000000000007</v>
      </c>
      <c r="I241" s="5">
        <v>4</v>
      </c>
      <c r="J241" s="5">
        <v>3</v>
      </c>
    </row>
    <row r="242" spans="1:10" x14ac:dyDescent="0.3">
      <c r="A242" s="5" t="s">
        <v>2469</v>
      </c>
      <c r="B242" s="5" t="s">
        <v>16</v>
      </c>
      <c r="C242" s="5" t="s">
        <v>99</v>
      </c>
      <c r="D242" s="5" t="s">
        <v>6606</v>
      </c>
      <c r="E242" s="5">
        <v>5</v>
      </c>
      <c r="F242" s="5">
        <v>5</v>
      </c>
      <c r="G242" s="5">
        <v>3</v>
      </c>
      <c r="H242" s="5">
        <v>9.0399999999999991</v>
      </c>
      <c r="I242" s="5">
        <v>3</v>
      </c>
      <c r="J242" s="5">
        <v>2</v>
      </c>
    </row>
    <row r="243" spans="1:10" x14ac:dyDescent="0.3">
      <c r="A243" s="5" t="s">
        <v>2469</v>
      </c>
      <c r="B243" s="5" t="s">
        <v>16</v>
      </c>
      <c r="C243" s="5" t="s">
        <v>99</v>
      </c>
      <c r="D243" s="5" t="s">
        <v>6606</v>
      </c>
      <c r="E243" s="5">
        <v>17</v>
      </c>
      <c r="F243" s="5">
        <v>17</v>
      </c>
      <c r="G243" s="5">
        <v>1</v>
      </c>
      <c r="H243" s="5">
        <v>4.3600000000000003</v>
      </c>
      <c r="I243" s="5">
        <v>9</v>
      </c>
      <c r="J243" s="5">
        <v>8</v>
      </c>
    </row>
    <row r="244" spans="1:10" x14ac:dyDescent="0.3">
      <c r="A244" s="5" t="s">
        <v>2536</v>
      </c>
      <c r="B244" s="5" t="s">
        <v>36</v>
      </c>
      <c r="C244" s="5" t="s">
        <v>99</v>
      </c>
      <c r="D244" s="5" t="s">
        <v>6606</v>
      </c>
      <c r="E244" s="5">
        <v>5</v>
      </c>
      <c r="F244" s="5">
        <v>3</v>
      </c>
      <c r="G244" s="5">
        <v>1</v>
      </c>
      <c r="H244" s="5">
        <v>3.98</v>
      </c>
      <c r="I244" s="5">
        <v>3</v>
      </c>
      <c r="J244" s="5">
        <v>2</v>
      </c>
    </row>
    <row r="245" spans="1:10" x14ac:dyDescent="0.3">
      <c r="A245" s="5" t="s">
        <v>2536</v>
      </c>
      <c r="B245" s="5" t="s">
        <v>36</v>
      </c>
      <c r="C245" s="5" t="s">
        <v>99</v>
      </c>
      <c r="D245" s="5" t="s">
        <v>6606</v>
      </c>
      <c r="E245" s="5">
        <v>7</v>
      </c>
      <c r="F245" s="5">
        <v>5</v>
      </c>
      <c r="G245" s="5">
        <v>3</v>
      </c>
      <c r="H245" s="5">
        <v>6.5</v>
      </c>
      <c r="I245" s="5">
        <v>5</v>
      </c>
      <c r="J245" s="5">
        <v>2</v>
      </c>
    </row>
    <row r="246" spans="1:10" x14ac:dyDescent="0.3">
      <c r="A246" s="5" t="s">
        <v>2536</v>
      </c>
      <c r="B246" s="5" t="s">
        <v>36</v>
      </c>
      <c r="C246" s="5" t="s">
        <v>99</v>
      </c>
      <c r="D246" s="5" t="s">
        <v>6606</v>
      </c>
      <c r="E246" s="5">
        <v>14</v>
      </c>
      <c r="F246" s="5">
        <v>11</v>
      </c>
      <c r="G246" s="5">
        <v>4</v>
      </c>
      <c r="H246" s="5">
        <v>11.85</v>
      </c>
      <c r="I246" s="5">
        <v>10</v>
      </c>
      <c r="J246" s="5">
        <v>4</v>
      </c>
    </row>
    <row r="247" spans="1:10" x14ac:dyDescent="0.3">
      <c r="A247" s="5" t="s">
        <v>2532</v>
      </c>
      <c r="B247" s="5" t="s">
        <v>36</v>
      </c>
      <c r="C247" s="5" t="s">
        <v>67</v>
      </c>
      <c r="D247" s="5" t="s">
        <v>6606</v>
      </c>
      <c r="E247" s="5">
        <v>14</v>
      </c>
      <c r="F247" s="5">
        <v>12</v>
      </c>
      <c r="G247" s="5">
        <v>1</v>
      </c>
      <c r="H247" s="5">
        <v>7.08</v>
      </c>
      <c r="I247" s="5">
        <v>10</v>
      </c>
      <c r="J247" s="5">
        <v>4</v>
      </c>
    </row>
    <row r="248" spans="1:10" x14ac:dyDescent="0.3">
      <c r="A248" s="5" t="s">
        <v>2532</v>
      </c>
      <c r="B248" s="5" t="s">
        <v>36</v>
      </c>
      <c r="C248" s="5" t="s">
        <v>67</v>
      </c>
      <c r="D248" s="5" t="s">
        <v>6606</v>
      </c>
      <c r="E248" s="5">
        <v>7</v>
      </c>
      <c r="F248" s="5">
        <v>5</v>
      </c>
      <c r="G248" s="5">
        <v>3</v>
      </c>
      <c r="H248" s="5">
        <v>11.43</v>
      </c>
      <c r="I248" s="5">
        <v>4</v>
      </c>
      <c r="J248" s="5">
        <v>3</v>
      </c>
    </row>
    <row r="249" spans="1:10" x14ac:dyDescent="0.3">
      <c r="A249" s="5" t="s">
        <v>2532</v>
      </c>
      <c r="B249" s="5" t="s">
        <v>36</v>
      </c>
      <c r="C249" s="5" t="s">
        <v>67</v>
      </c>
      <c r="D249" s="5" t="s">
        <v>6606</v>
      </c>
      <c r="E249" s="5">
        <v>11</v>
      </c>
      <c r="F249" s="5">
        <v>10</v>
      </c>
      <c r="G249" s="5">
        <v>3</v>
      </c>
      <c r="H249" s="5">
        <v>5.17</v>
      </c>
      <c r="I249" s="5">
        <v>9</v>
      </c>
      <c r="J249" s="5">
        <v>2</v>
      </c>
    </row>
    <row r="250" spans="1:10" x14ac:dyDescent="0.3">
      <c r="A250" s="5" t="s">
        <v>2490</v>
      </c>
      <c r="B250" s="5" t="s">
        <v>36</v>
      </c>
      <c r="C250" s="5" t="s">
        <v>28</v>
      </c>
      <c r="D250" s="5" t="s">
        <v>6606</v>
      </c>
      <c r="E250" s="5">
        <v>20</v>
      </c>
      <c r="F250" s="5">
        <v>18</v>
      </c>
      <c r="G250" s="5">
        <v>1</v>
      </c>
      <c r="H250" s="5">
        <v>4.7300000000000004</v>
      </c>
      <c r="I250" s="5">
        <v>12</v>
      </c>
      <c r="J250" s="5">
        <v>8</v>
      </c>
    </row>
    <row r="251" spans="1:10" x14ac:dyDescent="0.3">
      <c r="A251" s="5" t="s">
        <v>2561</v>
      </c>
      <c r="B251" s="5" t="s">
        <v>36</v>
      </c>
      <c r="C251" s="5" t="s">
        <v>74</v>
      </c>
      <c r="D251" s="5" t="s">
        <v>6606</v>
      </c>
      <c r="E251" s="5">
        <v>20</v>
      </c>
      <c r="F251" s="5">
        <v>18</v>
      </c>
      <c r="G251" s="5">
        <v>2</v>
      </c>
      <c r="H251" s="5">
        <v>6.1</v>
      </c>
      <c r="I251" s="5">
        <v>15</v>
      </c>
      <c r="J251" s="5">
        <v>5</v>
      </c>
    </row>
    <row r="252" spans="1:10" x14ac:dyDescent="0.3">
      <c r="A252" s="5" t="s">
        <v>2561</v>
      </c>
      <c r="B252" s="5" t="s">
        <v>36</v>
      </c>
      <c r="C252" s="5" t="s">
        <v>74</v>
      </c>
      <c r="D252" s="5" t="s">
        <v>6606</v>
      </c>
      <c r="E252" s="5">
        <v>11</v>
      </c>
      <c r="F252" s="5">
        <v>10</v>
      </c>
      <c r="G252" s="5">
        <v>4</v>
      </c>
      <c r="H252" s="5">
        <v>10.56</v>
      </c>
      <c r="I252" s="5">
        <v>8</v>
      </c>
      <c r="J252" s="5">
        <v>3</v>
      </c>
    </row>
    <row r="253" spans="1:10" x14ac:dyDescent="0.3">
      <c r="A253" s="5" t="s">
        <v>2561</v>
      </c>
      <c r="B253" s="5" t="s">
        <v>36</v>
      </c>
      <c r="C253" s="5" t="s">
        <v>74</v>
      </c>
      <c r="D253" s="5" t="s">
        <v>6606</v>
      </c>
      <c r="E253" s="5">
        <v>10</v>
      </c>
      <c r="F253" s="5">
        <v>7</v>
      </c>
      <c r="G253" s="5">
        <v>1</v>
      </c>
      <c r="H253" s="5">
        <v>6.31</v>
      </c>
      <c r="I253" s="5">
        <v>5</v>
      </c>
      <c r="J253" s="5">
        <v>5</v>
      </c>
    </row>
    <row r="254" spans="1:10" x14ac:dyDescent="0.3">
      <c r="A254" s="5" t="s">
        <v>2561</v>
      </c>
      <c r="B254" s="5" t="s">
        <v>36</v>
      </c>
      <c r="C254" s="5" t="s">
        <v>74</v>
      </c>
      <c r="D254" s="5" t="s">
        <v>6606</v>
      </c>
      <c r="E254" s="5">
        <v>3</v>
      </c>
      <c r="F254" s="5">
        <v>1</v>
      </c>
      <c r="G254" s="5">
        <v>3</v>
      </c>
      <c r="H254" s="5">
        <v>5.41</v>
      </c>
      <c r="I254" s="5">
        <v>2</v>
      </c>
      <c r="J254" s="5">
        <v>1</v>
      </c>
    </row>
    <row r="255" spans="1:10" x14ac:dyDescent="0.3">
      <c r="A255" s="5" t="s">
        <v>2561</v>
      </c>
      <c r="B255" s="5" t="s">
        <v>36</v>
      </c>
      <c r="C255" s="5" t="s">
        <v>74</v>
      </c>
      <c r="D255" s="5" t="s">
        <v>6606</v>
      </c>
      <c r="E255" s="5">
        <v>19</v>
      </c>
      <c r="F255" s="5">
        <v>18</v>
      </c>
      <c r="G255" s="5">
        <v>4</v>
      </c>
      <c r="H255" s="5">
        <v>11.53</v>
      </c>
      <c r="I255" s="5">
        <v>10</v>
      </c>
      <c r="J255" s="5">
        <v>9</v>
      </c>
    </row>
    <row r="256" spans="1:10" x14ac:dyDescent="0.3">
      <c r="A256" s="5" t="s">
        <v>2407</v>
      </c>
      <c r="B256" s="5" t="s">
        <v>66</v>
      </c>
      <c r="C256" s="5" t="s">
        <v>93</v>
      </c>
      <c r="D256" s="5" t="s">
        <v>6606</v>
      </c>
      <c r="E256" s="5">
        <v>19</v>
      </c>
      <c r="F256" s="5">
        <v>18</v>
      </c>
      <c r="G256" s="5">
        <v>4</v>
      </c>
      <c r="H256" s="5">
        <v>10.93</v>
      </c>
      <c r="I256" s="5">
        <v>11</v>
      </c>
      <c r="J256" s="5">
        <v>8</v>
      </c>
    </row>
    <row r="257" spans="1:10" x14ac:dyDescent="0.3">
      <c r="A257" s="5" t="s">
        <v>2407</v>
      </c>
      <c r="B257" s="5" t="s">
        <v>66</v>
      </c>
      <c r="C257" s="5" t="s">
        <v>93</v>
      </c>
      <c r="D257" s="5" t="s">
        <v>6606</v>
      </c>
      <c r="E257" s="5">
        <v>10</v>
      </c>
      <c r="F257" s="5">
        <v>8</v>
      </c>
      <c r="G257" s="5">
        <v>2</v>
      </c>
      <c r="H257" s="5">
        <v>9.61</v>
      </c>
      <c r="I257" s="5">
        <v>5</v>
      </c>
      <c r="J257" s="5">
        <v>5</v>
      </c>
    </row>
    <row r="258" spans="1:10" x14ac:dyDescent="0.3">
      <c r="A258" s="5" t="s">
        <v>2407</v>
      </c>
      <c r="B258" s="5" t="s">
        <v>66</v>
      </c>
      <c r="C258" s="5" t="s">
        <v>93</v>
      </c>
      <c r="D258" s="5" t="s">
        <v>6606</v>
      </c>
      <c r="E258" s="5">
        <v>21</v>
      </c>
      <c r="F258" s="5">
        <v>18</v>
      </c>
      <c r="G258" s="5">
        <v>1</v>
      </c>
      <c r="H258" s="5">
        <v>6.52</v>
      </c>
      <c r="I258" s="5">
        <v>14</v>
      </c>
      <c r="J258" s="5">
        <v>7</v>
      </c>
    </row>
    <row r="259" spans="1:10" x14ac:dyDescent="0.3">
      <c r="A259" s="5" t="s">
        <v>2407</v>
      </c>
      <c r="B259" s="5" t="s">
        <v>66</v>
      </c>
      <c r="C259" s="5" t="s">
        <v>93</v>
      </c>
      <c r="D259" s="5" t="s">
        <v>6606</v>
      </c>
      <c r="E259" s="5">
        <v>4</v>
      </c>
      <c r="F259" s="5">
        <v>2</v>
      </c>
      <c r="G259" s="5">
        <v>2</v>
      </c>
      <c r="H259" s="5">
        <v>11.3</v>
      </c>
      <c r="I259" s="5">
        <v>2</v>
      </c>
      <c r="J259" s="5">
        <v>2</v>
      </c>
    </row>
    <row r="260" spans="1:10" x14ac:dyDescent="0.3">
      <c r="A260" s="5" t="s">
        <v>2466</v>
      </c>
      <c r="B260" s="5" t="s">
        <v>66</v>
      </c>
      <c r="C260" s="5" t="s">
        <v>67</v>
      </c>
      <c r="D260" s="5" t="s">
        <v>6606</v>
      </c>
      <c r="E260" s="5">
        <v>8</v>
      </c>
      <c r="F260" s="5">
        <v>8</v>
      </c>
      <c r="G260" s="5">
        <v>3</v>
      </c>
      <c r="H260" s="5">
        <v>6.88</v>
      </c>
      <c r="I260" s="5">
        <v>5</v>
      </c>
      <c r="J260" s="5">
        <v>3</v>
      </c>
    </row>
    <row r="261" spans="1:10" x14ac:dyDescent="0.3">
      <c r="A261" s="5" t="s">
        <v>2466</v>
      </c>
      <c r="B261" s="5" t="s">
        <v>66</v>
      </c>
      <c r="C261" s="5" t="s">
        <v>67</v>
      </c>
      <c r="D261" s="5" t="s">
        <v>6606</v>
      </c>
      <c r="E261" s="5">
        <v>17</v>
      </c>
      <c r="F261" s="5">
        <v>14</v>
      </c>
      <c r="G261" s="5">
        <v>1</v>
      </c>
      <c r="H261" s="5">
        <v>7.25</v>
      </c>
      <c r="I261" s="5">
        <v>12</v>
      </c>
      <c r="J261" s="5">
        <v>5</v>
      </c>
    </row>
    <row r="262" spans="1:10" x14ac:dyDescent="0.3">
      <c r="A262" s="5" t="s">
        <v>2521</v>
      </c>
      <c r="B262" s="5" t="s">
        <v>66</v>
      </c>
      <c r="C262" s="5" t="s">
        <v>99</v>
      </c>
      <c r="D262" s="5" t="s">
        <v>6606</v>
      </c>
      <c r="E262" s="5">
        <v>12</v>
      </c>
      <c r="F262" s="5">
        <v>12</v>
      </c>
      <c r="G262" s="5">
        <v>3</v>
      </c>
      <c r="H262" s="5">
        <v>4.16</v>
      </c>
      <c r="I262" s="5">
        <v>9</v>
      </c>
      <c r="J262" s="5">
        <v>3</v>
      </c>
    </row>
    <row r="263" spans="1:10" x14ac:dyDescent="0.3">
      <c r="A263" s="5" t="s">
        <v>2411</v>
      </c>
      <c r="B263" s="5" t="s">
        <v>55</v>
      </c>
      <c r="C263" s="5" t="s">
        <v>108</v>
      </c>
      <c r="D263" s="5" t="s">
        <v>6606</v>
      </c>
      <c r="E263" s="5">
        <v>12</v>
      </c>
      <c r="F263" s="5">
        <v>10</v>
      </c>
      <c r="G263" s="5">
        <v>2</v>
      </c>
      <c r="H263" s="5">
        <v>7.81</v>
      </c>
      <c r="I263" s="5">
        <v>6</v>
      </c>
      <c r="J263" s="5">
        <v>6</v>
      </c>
    </row>
    <row r="264" spans="1:10" x14ac:dyDescent="0.3">
      <c r="A264" s="5" t="s">
        <v>2411</v>
      </c>
      <c r="B264" s="5" t="s">
        <v>55</v>
      </c>
      <c r="C264" s="5" t="s">
        <v>108</v>
      </c>
      <c r="D264" s="5" t="s">
        <v>6606</v>
      </c>
      <c r="E264" s="5">
        <v>10</v>
      </c>
      <c r="F264" s="5">
        <v>8</v>
      </c>
      <c r="G264" s="5">
        <v>3</v>
      </c>
      <c r="H264" s="5">
        <v>9.27</v>
      </c>
      <c r="I264" s="5">
        <v>6</v>
      </c>
      <c r="J264" s="5">
        <v>4</v>
      </c>
    </row>
    <row r="265" spans="1:10" x14ac:dyDescent="0.3">
      <c r="A265" s="5" t="s">
        <v>2459</v>
      </c>
      <c r="B265" s="5" t="s">
        <v>189</v>
      </c>
      <c r="C265" s="5" t="s">
        <v>67</v>
      </c>
      <c r="D265" s="5" t="s">
        <v>6606</v>
      </c>
      <c r="E265" s="5">
        <v>9</v>
      </c>
      <c r="F265" s="5">
        <v>8</v>
      </c>
      <c r="G265" s="5">
        <v>2</v>
      </c>
      <c r="H265" s="5">
        <v>3.77</v>
      </c>
      <c r="I265" s="5">
        <v>6</v>
      </c>
      <c r="J265" s="5">
        <v>3</v>
      </c>
    </row>
    <row r="266" spans="1:10" x14ac:dyDescent="0.3">
      <c r="A266" s="5" t="s">
        <v>2459</v>
      </c>
      <c r="B266" s="5" t="s">
        <v>189</v>
      </c>
      <c r="C266" s="5" t="s">
        <v>67</v>
      </c>
      <c r="D266" s="5" t="s">
        <v>6606</v>
      </c>
      <c r="E266" s="5">
        <v>9</v>
      </c>
      <c r="F266" s="5">
        <v>6</v>
      </c>
      <c r="G266" s="5">
        <v>1</v>
      </c>
      <c r="H266" s="5">
        <v>10.85</v>
      </c>
      <c r="I266" s="5">
        <v>6</v>
      </c>
      <c r="J266" s="5">
        <v>3</v>
      </c>
    </row>
    <row r="267" spans="1:10" x14ac:dyDescent="0.3">
      <c r="A267" s="5" t="s">
        <v>2629</v>
      </c>
      <c r="B267" s="5" t="s">
        <v>55</v>
      </c>
      <c r="C267" s="5" t="s">
        <v>164</v>
      </c>
      <c r="D267" s="5" t="s">
        <v>6606</v>
      </c>
      <c r="E267" s="5">
        <v>18</v>
      </c>
      <c r="F267" s="5">
        <v>18</v>
      </c>
      <c r="G267" s="5">
        <v>2</v>
      </c>
      <c r="H267" s="5">
        <v>8.3699999999999992</v>
      </c>
      <c r="I267" s="5">
        <v>12</v>
      </c>
      <c r="J267" s="5">
        <v>6</v>
      </c>
    </row>
    <row r="268" spans="1:10" x14ac:dyDescent="0.3">
      <c r="A268" s="5" t="s">
        <v>2629</v>
      </c>
      <c r="B268" s="5" t="s">
        <v>55</v>
      </c>
      <c r="C268" s="5" t="s">
        <v>164</v>
      </c>
      <c r="D268" s="5" t="s">
        <v>6606</v>
      </c>
      <c r="E268" s="5">
        <v>24</v>
      </c>
      <c r="F268" s="5">
        <v>24</v>
      </c>
      <c r="G268" s="5">
        <v>2</v>
      </c>
      <c r="H268" s="5">
        <v>6.72</v>
      </c>
      <c r="I268" s="5">
        <v>14</v>
      </c>
      <c r="J268" s="5">
        <v>10</v>
      </c>
    </row>
    <row r="269" spans="1:10" x14ac:dyDescent="0.3">
      <c r="A269" s="5" t="s">
        <v>2422</v>
      </c>
      <c r="B269" s="5" t="s">
        <v>55</v>
      </c>
      <c r="C269" s="5" t="s">
        <v>28</v>
      </c>
      <c r="D269" s="5" t="s">
        <v>6606</v>
      </c>
      <c r="E269" s="5">
        <v>18</v>
      </c>
      <c r="F269" s="5">
        <v>17</v>
      </c>
      <c r="G269" s="5">
        <v>2</v>
      </c>
      <c r="H269" s="5">
        <v>3.6</v>
      </c>
      <c r="I269" s="5">
        <v>10</v>
      </c>
      <c r="J269" s="5">
        <v>8</v>
      </c>
    </row>
    <row r="270" spans="1:10" x14ac:dyDescent="0.3">
      <c r="A270" s="5" t="s">
        <v>2438</v>
      </c>
      <c r="B270" s="5" t="s">
        <v>55</v>
      </c>
      <c r="C270" s="5" t="s">
        <v>74</v>
      </c>
      <c r="D270" s="5" t="s">
        <v>6606</v>
      </c>
      <c r="E270" s="5">
        <v>10</v>
      </c>
      <c r="F270" s="5">
        <v>10</v>
      </c>
      <c r="G270" s="5">
        <v>3</v>
      </c>
      <c r="H270" s="5">
        <v>6.36</v>
      </c>
      <c r="I270" s="5">
        <v>6</v>
      </c>
      <c r="J270" s="5">
        <v>4</v>
      </c>
    </row>
    <row r="271" spans="1:10" x14ac:dyDescent="0.3">
      <c r="A271" s="5" t="s">
        <v>2427</v>
      </c>
      <c r="B271" s="5" t="s">
        <v>55</v>
      </c>
      <c r="C271" s="5" t="s">
        <v>93</v>
      </c>
      <c r="D271" s="5" t="s">
        <v>6606</v>
      </c>
      <c r="E271" s="5">
        <v>24</v>
      </c>
      <c r="F271" s="5">
        <v>23</v>
      </c>
      <c r="G271" s="5">
        <v>3</v>
      </c>
      <c r="H271" s="5">
        <v>8.1</v>
      </c>
      <c r="I271" s="5">
        <v>14</v>
      </c>
      <c r="J271" s="5">
        <v>10</v>
      </c>
    </row>
    <row r="272" spans="1:10" x14ac:dyDescent="0.3">
      <c r="A272" s="5" t="s">
        <v>2427</v>
      </c>
      <c r="B272" s="5" t="s">
        <v>55</v>
      </c>
      <c r="C272" s="5" t="s">
        <v>93</v>
      </c>
      <c r="D272" s="5" t="s">
        <v>6606</v>
      </c>
      <c r="E272" s="5">
        <v>19</v>
      </c>
      <c r="F272" s="5">
        <v>17</v>
      </c>
      <c r="G272" s="5">
        <v>2</v>
      </c>
      <c r="H272" s="5">
        <v>10.57</v>
      </c>
      <c r="I272" s="5">
        <v>11</v>
      </c>
      <c r="J272" s="5">
        <v>8</v>
      </c>
    </row>
    <row r="273" spans="1:10" x14ac:dyDescent="0.3">
      <c r="A273" s="5" t="s">
        <v>2427</v>
      </c>
      <c r="B273" s="5" t="s">
        <v>55</v>
      </c>
      <c r="C273" s="5" t="s">
        <v>93</v>
      </c>
      <c r="D273" s="5" t="s">
        <v>6606</v>
      </c>
      <c r="E273" s="5">
        <v>6</v>
      </c>
      <c r="F273" s="5">
        <v>5</v>
      </c>
      <c r="G273" s="5">
        <v>2</v>
      </c>
      <c r="H273" s="5">
        <v>10.32</v>
      </c>
      <c r="I273" s="5">
        <v>3</v>
      </c>
      <c r="J273" s="5">
        <v>3</v>
      </c>
    </row>
    <row r="274" spans="1:10" x14ac:dyDescent="0.3">
      <c r="A274" s="5" t="s">
        <v>2485</v>
      </c>
      <c r="B274" s="5" t="s">
        <v>61</v>
      </c>
      <c r="C274" s="5" t="s">
        <v>99</v>
      </c>
      <c r="D274" s="5" t="s">
        <v>6606</v>
      </c>
      <c r="E274" s="5">
        <v>23</v>
      </c>
      <c r="F274" s="5">
        <v>22</v>
      </c>
      <c r="G274" s="5">
        <v>3</v>
      </c>
      <c r="H274" s="5">
        <v>11.4</v>
      </c>
      <c r="I274" s="5">
        <v>17</v>
      </c>
      <c r="J274" s="5">
        <v>6</v>
      </c>
    </row>
    <row r="275" spans="1:10" x14ac:dyDescent="0.3">
      <c r="A275" s="5" t="s">
        <v>2485</v>
      </c>
      <c r="B275" s="5" t="s">
        <v>61</v>
      </c>
      <c r="C275" s="5" t="s">
        <v>99</v>
      </c>
      <c r="D275" s="5" t="s">
        <v>6606</v>
      </c>
      <c r="E275" s="5">
        <v>14</v>
      </c>
      <c r="F275" s="5">
        <v>14</v>
      </c>
      <c r="G275" s="5">
        <v>4</v>
      </c>
      <c r="H275" s="5">
        <v>4.76</v>
      </c>
      <c r="I275" s="5">
        <v>8</v>
      </c>
      <c r="J275" s="5">
        <v>6</v>
      </c>
    </row>
    <row r="276" spans="1:10" x14ac:dyDescent="0.3">
      <c r="A276" s="5" t="s">
        <v>2449</v>
      </c>
      <c r="B276" s="5" t="s">
        <v>61</v>
      </c>
      <c r="C276" s="5" t="s">
        <v>108</v>
      </c>
      <c r="D276" s="5" t="s">
        <v>6606</v>
      </c>
      <c r="E276" s="5">
        <v>12</v>
      </c>
      <c r="F276" s="5">
        <v>9</v>
      </c>
      <c r="G276" s="5">
        <v>4</v>
      </c>
      <c r="H276" s="5">
        <v>6.26</v>
      </c>
      <c r="I276" s="5">
        <v>7</v>
      </c>
      <c r="J276" s="5">
        <v>5</v>
      </c>
    </row>
    <row r="277" spans="1:10" x14ac:dyDescent="0.3">
      <c r="A277" s="5" t="s">
        <v>2449</v>
      </c>
      <c r="B277" s="5" t="s">
        <v>61</v>
      </c>
      <c r="C277" s="5" t="s">
        <v>108</v>
      </c>
      <c r="D277" s="5" t="s">
        <v>6606</v>
      </c>
      <c r="E277" s="5">
        <v>11</v>
      </c>
      <c r="F277" s="5">
        <v>11</v>
      </c>
      <c r="G277" s="5">
        <v>4</v>
      </c>
      <c r="H277" s="5">
        <v>2.39</v>
      </c>
      <c r="I277" s="5">
        <v>8</v>
      </c>
      <c r="J277" s="5">
        <v>3</v>
      </c>
    </row>
    <row r="278" spans="1:10" x14ac:dyDescent="0.3">
      <c r="A278" s="5" t="s">
        <v>2449</v>
      </c>
      <c r="B278" s="5" t="s">
        <v>61</v>
      </c>
      <c r="C278" s="5" t="s">
        <v>108</v>
      </c>
      <c r="D278" s="5" t="s">
        <v>6606</v>
      </c>
      <c r="E278" s="5">
        <v>4</v>
      </c>
      <c r="F278" s="5">
        <v>2</v>
      </c>
      <c r="G278" s="5">
        <v>2</v>
      </c>
      <c r="H278" s="5">
        <v>11.04</v>
      </c>
      <c r="I278" s="5">
        <v>3</v>
      </c>
      <c r="J278" s="5">
        <v>1</v>
      </c>
    </row>
    <row r="279" spans="1:10" x14ac:dyDescent="0.3">
      <c r="A279" s="5" t="s">
        <v>2449</v>
      </c>
      <c r="B279" s="5" t="s">
        <v>61</v>
      </c>
      <c r="C279" s="5" t="s">
        <v>108</v>
      </c>
      <c r="D279" s="5" t="s">
        <v>6606</v>
      </c>
      <c r="E279" s="5">
        <v>5</v>
      </c>
      <c r="F279" s="5">
        <v>4</v>
      </c>
      <c r="G279" s="5">
        <v>3</v>
      </c>
      <c r="H279" s="5">
        <v>1.76</v>
      </c>
      <c r="I279" s="5">
        <v>2</v>
      </c>
      <c r="J279" s="5">
        <v>3</v>
      </c>
    </row>
    <row r="280" spans="1:10" x14ac:dyDescent="0.3">
      <c r="A280" s="5" t="s">
        <v>2577</v>
      </c>
      <c r="B280" s="5" t="s">
        <v>61</v>
      </c>
      <c r="C280" s="5" t="s">
        <v>67</v>
      </c>
      <c r="D280" s="5" t="s">
        <v>6606</v>
      </c>
      <c r="E280" s="5">
        <v>13</v>
      </c>
      <c r="F280" s="5">
        <v>10</v>
      </c>
      <c r="G280" s="5">
        <v>4</v>
      </c>
      <c r="H280" s="5">
        <v>10.63</v>
      </c>
      <c r="I280" s="5">
        <v>6</v>
      </c>
      <c r="J280" s="5">
        <v>7</v>
      </c>
    </row>
    <row r="281" spans="1:10" x14ac:dyDescent="0.3">
      <c r="A281" s="5" t="s">
        <v>2577</v>
      </c>
      <c r="B281" s="5" t="s">
        <v>61</v>
      </c>
      <c r="C281" s="5" t="s">
        <v>67</v>
      </c>
      <c r="D281" s="5" t="s">
        <v>6606</v>
      </c>
      <c r="E281" s="5">
        <v>7</v>
      </c>
      <c r="F281" s="5">
        <v>4</v>
      </c>
      <c r="G281" s="5">
        <v>4</v>
      </c>
      <c r="H281" s="5">
        <v>11.96</v>
      </c>
      <c r="I281" s="5">
        <v>5</v>
      </c>
      <c r="J281" s="5">
        <v>2</v>
      </c>
    </row>
    <row r="282" spans="1:10" x14ac:dyDescent="0.3">
      <c r="A282" s="5" t="s">
        <v>2577</v>
      </c>
      <c r="B282" s="5" t="s">
        <v>61</v>
      </c>
      <c r="C282" s="5" t="s">
        <v>67</v>
      </c>
      <c r="D282" s="5" t="s">
        <v>6606</v>
      </c>
      <c r="E282" s="5">
        <v>6</v>
      </c>
      <c r="F282" s="5">
        <v>3</v>
      </c>
      <c r="G282" s="5">
        <v>2</v>
      </c>
      <c r="H282" s="5">
        <v>8.5299999999999994</v>
      </c>
      <c r="I282" s="5">
        <v>3</v>
      </c>
      <c r="J282" s="5">
        <v>3</v>
      </c>
    </row>
    <row r="283" spans="1:10" x14ac:dyDescent="0.3">
      <c r="A283" s="5" t="s">
        <v>2577</v>
      </c>
      <c r="B283" s="5" t="s">
        <v>61</v>
      </c>
      <c r="C283" s="5" t="s">
        <v>67</v>
      </c>
      <c r="D283" s="5" t="s">
        <v>6606</v>
      </c>
      <c r="E283" s="5">
        <v>5</v>
      </c>
      <c r="F283" s="5">
        <v>5</v>
      </c>
      <c r="G283" s="5">
        <v>2</v>
      </c>
      <c r="H283" s="5">
        <v>1.5</v>
      </c>
      <c r="I283" s="5">
        <v>3</v>
      </c>
      <c r="J283" s="5">
        <v>2</v>
      </c>
    </row>
    <row r="284" spans="1:10" x14ac:dyDescent="0.3">
      <c r="A284" s="5" t="s">
        <v>2577</v>
      </c>
      <c r="B284" s="5" t="s">
        <v>61</v>
      </c>
      <c r="C284" s="5" t="s">
        <v>67</v>
      </c>
      <c r="D284" s="5" t="s">
        <v>6606</v>
      </c>
      <c r="E284" s="5">
        <v>6</v>
      </c>
      <c r="F284" s="5">
        <v>4</v>
      </c>
      <c r="G284" s="5">
        <v>2</v>
      </c>
      <c r="H284" s="5">
        <v>9.7799999999999994</v>
      </c>
      <c r="I284" s="5">
        <v>3</v>
      </c>
      <c r="J284" s="5">
        <v>3</v>
      </c>
    </row>
    <row r="285" spans="1:10" x14ac:dyDescent="0.3">
      <c r="A285" s="5" t="s">
        <v>2577</v>
      </c>
      <c r="B285" s="5" t="s">
        <v>61</v>
      </c>
      <c r="C285" s="5" t="s">
        <v>67</v>
      </c>
      <c r="D285" s="5" t="s">
        <v>6606</v>
      </c>
      <c r="E285" s="5">
        <v>25</v>
      </c>
      <c r="F285" s="5">
        <v>23</v>
      </c>
      <c r="G285" s="5">
        <v>2</v>
      </c>
      <c r="H285" s="5">
        <v>3.99</v>
      </c>
      <c r="I285" s="5">
        <v>13</v>
      </c>
      <c r="J285" s="5">
        <v>12</v>
      </c>
    </row>
    <row r="286" spans="1:10" x14ac:dyDescent="0.3">
      <c r="A286" s="5" t="s">
        <v>2577</v>
      </c>
      <c r="B286" s="5" t="s">
        <v>61</v>
      </c>
      <c r="C286" s="5" t="s">
        <v>67</v>
      </c>
      <c r="D286" s="5" t="s">
        <v>6606</v>
      </c>
      <c r="E286" s="5">
        <v>9</v>
      </c>
      <c r="F286" s="5">
        <v>7</v>
      </c>
      <c r="G286" s="5">
        <v>2</v>
      </c>
      <c r="H286" s="5">
        <v>2.87</v>
      </c>
      <c r="I286" s="5">
        <v>5</v>
      </c>
      <c r="J286" s="5">
        <v>4</v>
      </c>
    </row>
    <row r="287" spans="1:10" x14ac:dyDescent="0.3">
      <c r="A287" s="5" t="s">
        <v>2454</v>
      </c>
      <c r="B287" s="5" t="s">
        <v>61</v>
      </c>
      <c r="C287" s="5" t="s">
        <v>17</v>
      </c>
      <c r="D287" s="5" t="s">
        <v>6606</v>
      </c>
      <c r="E287" s="5">
        <v>13</v>
      </c>
      <c r="F287" s="5">
        <v>13</v>
      </c>
      <c r="G287" s="5">
        <v>2</v>
      </c>
      <c r="H287" s="5">
        <v>8.7100000000000009</v>
      </c>
      <c r="I287" s="5">
        <v>9</v>
      </c>
      <c r="J287" s="5">
        <v>4</v>
      </c>
    </row>
    <row r="288" spans="1:10" x14ac:dyDescent="0.3">
      <c r="A288" s="5" t="s">
        <v>2481</v>
      </c>
      <c r="B288" s="5" t="s">
        <v>80</v>
      </c>
      <c r="C288" s="5" t="s">
        <v>37</v>
      </c>
      <c r="D288" s="5" t="s">
        <v>6606</v>
      </c>
      <c r="E288" s="5">
        <v>7</v>
      </c>
      <c r="F288" s="5">
        <v>4</v>
      </c>
      <c r="G288" s="5">
        <v>1</v>
      </c>
      <c r="H288" s="5">
        <v>7.36</v>
      </c>
      <c r="I288" s="5">
        <v>3</v>
      </c>
      <c r="J288" s="5">
        <v>4</v>
      </c>
    </row>
    <row r="289" spans="1:10" x14ac:dyDescent="0.3">
      <c r="A289" s="5" t="s">
        <v>2481</v>
      </c>
      <c r="B289" s="5" t="s">
        <v>80</v>
      </c>
      <c r="C289" s="5" t="s">
        <v>37</v>
      </c>
      <c r="D289" s="5" t="s">
        <v>6606</v>
      </c>
      <c r="E289" s="5">
        <v>22</v>
      </c>
      <c r="F289" s="5">
        <v>20</v>
      </c>
      <c r="G289" s="5">
        <v>1</v>
      </c>
      <c r="H289" s="5">
        <v>5.66</v>
      </c>
      <c r="I289" s="5">
        <v>15</v>
      </c>
      <c r="J289" s="5">
        <v>7</v>
      </c>
    </row>
    <row r="290" spans="1:10" x14ac:dyDescent="0.3">
      <c r="A290" s="5" t="s">
        <v>2481</v>
      </c>
      <c r="B290" s="5" t="s">
        <v>80</v>
      </c>
      <c r="C290" s="5" t="s">
        <v>37</v>
      </c>
      <c r="D290" s="5" t="s">
        <v>6606</v>
      </c>
      <c r="E290" s="5">
        <v>14</v>
      </c>
      <c r="F290" s="5">
        <v>11</v>
      </c>
      <c r="G290" s="5">
        <v>3</v>
      </c>
      <c r="H290" s="5">
        <v>4.26</v>
      </c>
      <c r="I290" s="5">
        <v>8</v>
      </c>
      <c r="J290" s="5">
        <v>6</v>
      </c>
    </row>
    <row r="291" spans="1:10" x14ac:dyDescent="0.3">
      <c r="A291" s="5" t="s">
        <v>2473</v>
      </c>
      <c r="B291" s="5" t="s">
        <v>80</v>
      </c>
      <c r="C291" s="5" t="s">
        <v>93</v>
      </c>
      <c r="D291" s="5" t="s">
        <v>6606</v>
      </c>
      <c r="E291" s="5">
        <v>17</v>
      </c>
      <c r="F291" s="5">
        <v>15</v>
      </c>
      <c r="G291" s="5">
        <v>4</v>
      </c>
      <c r="H291" s="5">
        <v>11</v>
      </c>
      <c r="I291" s="5">
        <v>13</v>
      </c>
      <c r="J291" s="5">
        <v>4</v>
      </c>
    </row>
    <row r="292" spans="1:10" x14ac:dyDescent="0.3">
      <c r="A292" s="5" t="s">
        <v>2473</v>
      </c>
      <c r="B292" s="5" t="s">
        <v>80</v>
      </c>
      <c r="C292" s="5" t="s">
        <v>93</v>
      </c>
      <c r="D292" s="5" t="s">
        <v>6606</v>
      </c>
      <c r="E292" s="5">
        <v>19</v>
      </c>
      <c r="F292" s="5">
        <v>19</v>
      </c>
      <c r="G292" s="5">
        <v>1</v>
      </c>
      <c r="H292" s="5">
        <v>8.85</v>
      </c>
      <c r="I292" s="5">
        <v>9</v>
      </c>
      <c r="J292" s="5">
        <v>10</v>
      </c>
    </row>
    <row r="293" spans="1:10" x14ac:dyDescent="0.3">
      <c r="A293" s="5" t="s">
        <v>2730</v>
      </c>
      <c r="B293" s="5" t="s">
        <v>189</v>
      </c>
      <c r="C293" s="5" t="s">
        <v>74</v>
      </c>
      <c r="D293" s="5" t="s">
        <v>6606</v>
      </c>
      <c r="E293" s="5">
        <v>10</v>
      </c>
      <c r="F293" s="5">
        <v>10</v>
      </c>
      <c r="G293" s="5">
        <v>2</v>
      </c>
      <c r="H293" s="5">
        <v>4.67</v>
      </c>
      <c r="I293" s="5">
        <v>5</v>
      </c>
      <c r="J293" s="5">
        <v>5</v>
      </c>
    </row>
    <row r="294" spans="1:10" x14ac:dyDescent="0.3">
      <c r="A294" s="5" t="s">
        <v>2730</v>
      </c>
      <c r="B294" s="5" t="s">
        <v>189</v>
      </c>
      <c r="C294" s="5" t="s">
        <v>74</v>
      </c>
      <c r="D294" s="5" t="s">
        <v>6606</v>
      </c>
      <c r="E294" s="5">
        <v>16</v>
      </c>
      <c r="F294" s="5">
        <v>16</v>
      </c>
      <c r="G294" s="5">
        <v>2</v>
      </c>
      <c r="H294" s="5">
        <v>9.68</v>
      </c>
      <c r="I294" s="5">
        <v>10</v>
      </c>
      <c r="J294" s="5">
        <v>6</v>
      </c>
    </row>
    <row r="295" spans="1:10" x14ac:dyDescent="0.3">
      <c r="A295" s="5" t="s">
        <v>2514</v>
      </c>
      <c r="B295" s="5" t="s">
        <v>80</v>
      </c>
      <c r="C295" s="5" t="s">
        <v>47</v>
      </c>
      <c r="D295" s="5" t="s">
        <v>6606</v>
      </c>
      <c r="E295" s="5">
        <v>6</v>
      </c>
      <c r="F295" s="5">
        <v>6</v>
      </c>
      <c r="G295" s="5">
        <v>1</v>
      </c>
      <c r="H295" s="5">
        <v>9.44</v>
      </c>
      <c r="I295" s="5">
        <v>3</v>
      </c>
      <c r="J295" s="5">
        <v>3</v>
      </c>
    </row>
    <row r="296" spans="1:10" x14ac:dyDescent="0.3">
      <c r="A296" s="5" t="s">
        <v>2514</v>
      </c>
      <c r="B296" s="5" t="s">
        <v>80</v>
      </c>
      <c r="C296" s="5" t="s">
        <v>47</v>
      </c>
      <c r="D296" s="5" t="s">
        <v>6606</v>
      </c>
      <c r="E296" s="5">
        <v>7</v>
      </c>
      <c r="F296" s="5">
        <v>6</v>
      </c>
      <c r="G296" s="5">
        <v>3</v>
      </c>
      <c r="H296" s="5">
        <v>8.1</v>
      </c>
      <c r="I296" s="5">
        <v>5</v>
      </c>
      <c r="J296" s="5">
        <v>2</v>
      </c>
    </row>
    <row r="297" spans="1:10" x14ac:dyDescent="0.3">
      <c r="A297" s="5" t="s">
        <v>2514</v>
      </c>
      <c r="B297" s="5" t="s">
        <v>80</v>
      </c>
      <c r="C297" s="5" t="s">
        <v>47</v>
      </c>
      <c r="D297" s="5" t="s">
        <v>6606</v>
      </c>
      <c r="E297" s="5">
        <v>4</v>
      </c>
      <c r="F297" s="5">
        <v>3</v>
      </c>
      <c r="G297" s="5">
        <v>2</v>
      </c>
      <c r="H297" s="5">
        <v>5.79</v>
      </c>
      <c r="I297" s="5">
        <v>3</v>
      </c>
      <c r="J297" s="5">
        <v>1</v>
      </c>
    </row>
    <row r="298" spans="1:10" x14ac:dyDescent="0.3">
      <c r="A298" s="5" t="s">
        <v>2494</v>
      </c>
      <c r="B298" s="5" t="s">
        <v>189</v>
      </c>
      <c r="C298" s="5" t="s">
        <v>99</v>
      </c>
      <c r="D298" s="5" t="s">
        <v>6606</v>
      </c>
      <c r="E298" s="5">
        <v>8</v>
      </c>
      <c r="F298" s="5">
        <v>8</v>
      </c>
      <c r="G298" s="5">
        <v>2</v>
      </c>
      <c r="H298" s="5">
        <v>8.25</v>
      </c>
      <c r="I298" s="5">
        <v>6</v>
      </c>
      <c r="J298" s="5">
        <v>2</v>
      </c>
    </row>
    <row r="299" spans="1:10" x14ac:dyDescent="0.3">
      <c r="A299" s="5" t="s">
        <v>2494</v>
      </c>
      <c r="B299" s="5" t="s">
        <v>189</v>
      </c>
      <c r="C299" s="5" t="s">
        <v>99</v>
      </c>
      <c r="D299" s="5" t="s">
        <v>6606</v>
      </c>
      <c r="E299" s="5">
        <v>6</v>
      </c>
      <c r="F299" s="5">
        <v>4</v>
      </c>
      <c r="G299" s="5">
        <v>3</v>
      </c>
      <c r="H299" s="5">
        <v>1.73</v>
      </c>
      <c r="I299" s="5">
        <v>4</v>
      </c>
      <c r="J299" s="5">
        <v>2</v>
      </c>
    </row>
    <row r="300" spans="1:10" x14ac:dyDescent="0.3">
      <c r="A300" s="5" t="s">
        <v>2494</v>
      </c>
      <c r="B300" s="5" t="s">
        <v>189</v>
      </c>
      <c r="C300" s="5" t="s">
        <v>99</v>
      </c>
      <c r="D300" s="5" t="s">
        <v>6606</v>
      </c>
      <c r="E300" s="5">
        <v>23</v>
      </c>
      <c r="F300" s="5">
        <v>23</v>
      </c>
      <c r="G300" s="5">
        <v>3</v>
      </c>
      <c r="H300" s="5">
        <v>5.41</v>
      </c>
      <c r="I300" s="5">
        <v>18</v>
      </c>
      <c r="J300" s="5">
        <v>5</v>
      </c>
    </row>
    <row r="301" spans="1:10" x14ac:dyDescent="0.3">
      <c r="A301" s="5" t="s">
        <v>2494</v>
      </c>
      <c r="B301" s="5" t="s">
        <v>189</v>
      </c>
      <c r="C301" s="5" t="s">
        <v>99</v>
      </c>
      <c r="D301" s="5" t="s">
        <v>6606</v>
      </c>
      <c r="E301" s="5">
        <v>3</v>
      </c>
      <c r="F301" s="5">
        <v>2</v>
      </c>
      <c r="G301" s="5">
        <v>3</v>
      </c>
      <c r="H301" s="5">
        <v>5.58</v>
      </c>
      <c r="I301" s="5">
        <v>2</v>
      </c>
      <c r="J301" s="5">
        <v>1</v>
      </c>
    </row>
    <row r="302" spans="1:10" x14ac:dyDescent="0.3">
      <c r="A302" s="5" t="s">
        <v>2504</v>
      </c>
      <c r="B302" s="5" t="s">
        <v>27</v>
      </c>
      <c r="C302" s="5" t="s">
        <v>37</v>
      </c>
      <c r="D302" s="5" t="s">
        <v>6606</v>
      </c>
      <c r="E302" s="5">
        <v>4</v>
      </c>
      <c r="F302" s="5">
        <v>3</v>
      </c>
      <c r="G302" s="5">
        <v>4</v>
      </c>
      <c r="H302" s="5">
        <v>4.16</v>
      </c>
      <c r="I302" s="5">
        <v>2</v>
      </c>
      <c r="J302" s="5">
        <v>2</v>
      </c>
    </row>
    <row r="303" spans="1:10" x14ac:dyDescent="0.3">
      <c r="A303" s="5" t="s">
        <v>2504</v>
      </c>
      <c r="B303" s="5" t="s">
        <v>27</v>
      </c>
      <c r="C303" s="5" t="s">
        <v>37</v>
      </c>
      <c r="D303" s="5" t="s">
        <v>6606</v>
      </c>
      <c r="E303" s="5">
        <v>6</v>
      </c>
      <c r="F303" s="5">
        <v>6</v>
      </c>
      <c r="G303" s="5">
        <v>3</v>
      </c>
      <c r="H303" s="5">
        <v>7.81</v>
      </c>
      <c r="I303" s="5">
        <v>3</v>
      </c>
      <c r="J303" s="5">
        <v>3</v>
      </c>
    </row>
    <row r="304" spans="1:10" x14ac:dyDescent="0.3">
      <c r="A304" s="5" t="s">
        <v>2504</v>
      </c>
      <c r="B304" s="5" t="s">
        <v>27</v>
      </c>
      <c r="C304" s="5" t="s">
        <v>37</v>
      </c>
      <c r="D304" s="5" t="s">
        <v>6606</v>
      </c>
      <c r="E304" s="5">
        <v>24</v>
      </c>
      <c r="F304" s="5">
        <v>24</v>
      </c>
      <c r="G304" s="5">
        <v>4</v>
      </c>
      <c r="H304" s="5">
        <v>10.39</v>
      </c>
      <c r="I304" s="5">
        <v>15</v>
      </c>
      <c r="J304" s="5">
        <v>9</v>
      </c>
    </row>
    <row r="305" spans="1:10" x14ac:dyDescent="0.3">
      <c r="A305" s="5" t="s">
        <v>2445</v>
      </c>
      <c r="B305" s="5" t="s">
        <v>27</v>
      </c>
      <c r="C305" s="5" t="s">
        <v>164</v>
      </c>
      <c r="D305" s="5" t="s">
        <v>6606</v>
      </c>
      <c r="E305" s="5">
        <v>13</v>
      </c>
      <c r="F305" s="5">
        <v>10</v>
      </c>
      <c r="G305" s="5">
        <v>4</v>
      </c>
      <c r="H305" s="5">
        <v>8.2899999999999991</v>
      </c>
      <c r="I305" s="5">
        <v>9</v>
      </c>
      <c r="J305" s="5">
        <v>4</v>
      </c>
    </row>
    <row r="306" spans="1:10" x14ac:dyDescent="0.3">
      <c r="A306" s="5" t="s">
        <v>2445</v>
      </c>
      <c r="B306" s="5" t="s">
        <v>27</v>
      </c>
      <c r="C306" s="5" t="s">
        <v>164</v>
      </c>
      <c r="D306" s="5" t="s">
        <v>6606</v>
      </c>
      <c r="E306" s="5">
        <v>10</v>
      </c>
      <c r="F306" s="5">
        <v>9</v>
      </c>
      <c r="G306" s="5">
        <v>4</v>
      </c>
      <c r="H306" s="5">
        <v>1.91</v>
      </c>
      <c r="I306" s="5">
        <v>6</v>
      </c>
      <c r="J306" s="5">
        <v>4</v>
      </c>
    </row>
    <row r="307" spans="1:10" x14ac:dyDescent="0.3">
      <c r="A307" s="5" t="s">
        <v>2445</v>
      </c>
      <c r="B307" s="5" t="s">
        <v>27</v>
      </c>
      <c r="C307" s="5" t="s">
        <v>164</v>
      </c>
      <c r="D307" s="5" t="s">
        <v>6606</v>
      </c>
      <c r="E307" s="5">
        <v>21</v>
      </c>
      <c r="F307" s="5">
        <v>18</v>
      </c>
      <c r="G307" s="5">
        <v>2</v>
      </c>
      <c r="H307" s="5">
        <v>8.39</v>
      </c>
      <c r="I307" s="5">
        <v>13</v>
      </c>
      <c r="J307" s="5">
        <v>8</v>
      </c>
    </row>
    <row r="308" spans="1:10" x14ac:dyDescent="0.3">
      <c r="A308" s="5" t="s">
        <v>2463</v>
      </c>
      <c r="B308" s="5" t="s">
        <v>27</v>
      </c>
      <c r="C308" s="5" t="s">
        <v>74</v>
      </c>
      <c r="D308" s="5" t="s">
        <v>6606</v>
      </c>
      <c r="E308" s="5">
        <v>14</v>
      </c>
      <c r="F308" s="5">
        <v>11</v>
      </c>
      <c r="G308" s="5">
        <v>4</v>
      </c>
      <c r="H308" s="5">
        <v>7.68</v>
      </c>
      <c r="I308" s="5">
        <v>10</v>
      </c>
      <c r="J308" s="5">
        <v>4</v>
      </c>
    </row>
    <row r="309" spans="1:10" x14ac:dyDescent="0.3">
      <c r="A309" s="5" t="s">
        <v>2463</v>
      </c>
      <c r="B309" s="5" t="s">
        <v>27</v>
      </c>
      <c r="C309" s="5" t="s">
        <v>74</v>
      </c>
      <c r="D309" s="5" t="s">
        <v>6606</v>
      </c>
      <c r="E309" s="5">
        <v>22</v>
      </c>
      <c r="F309" s="5">
        <v>19</v>
      </c>
      <c r="G309" s="5">
        <v>1</v>
      </c>
      <c r="H309" s="5">
        <v>3.26</v>
      </c>
      <c r="I309" s="5">
        <v>12</v>
      </c>
      <c r="J309" s="5">
        <v>10</v>
      </c>
    </row>
    <row r="310" spans="1:10" x14ac:dyDescent="0.3">
      <c r="A310" s="5" t="s">
        <v>2463</v>
      </c>
      <c r="B310" s="5" t="s">
        <v>27</v>
      </c>
      <c r="C310" s="5" t="s">
        <v>74</v>
      </c>
      <c r="D310" s="5" t="s">
        <v>6606</v>
      </c>
      <c r="E310" s="5">
        <v>5</v>
      </c>
      <c r="F310" s="5">
        <v>2</v>
      </c>
      <c r="G310" s="5">
        <v>1</v>
      </c>
      <c r="H310" s="5">
        <v>9.76</v>
      </c>
      <c r="I310" s="5">
        <v>3</v>
      </c>
      <c r="J310" s="5">
        <v>2</v>
      </c>
    </row>
    <row r="311" spans="1:10" x14ac:dyDescent="0.3">
      <c r="A311" s="5" t="s">
        <v>2431</v>
      </c>
      <c r="B311" s="5" t="s">
        <v>16</v>
      </c>
      <c r="C311" s="5" t="s">
        <v>67</v>
      </c>
      <c r="D311" s="5" t="s">
        <v>6606</v>
      </c>
      <c r="E311" s="5">
        <v>5</v>
      </c>
      <c r="F311" s="5">
        <v>5</v>
      </c>
      <c r="G311" s="5">
        <v>1</v>
      </c>
      <c r="H311" s="5">
        <v>11.91</v>
      </c>
      <c r="I311" s="5">
        <v>3</v>
      </c>
      <c r="J311" s="5">
        <v>2</v>
      </c>
    </row>
    <row r="312" spans="1:10" x14ac:dyDescent="0.3">
      <c r="A312" s="5" t="s">
        <v>2431</v>
      </c>
      <c r="B312" s="5" t="s">
        <v>16</v>
      </c>
      <c r="C312" s="5" t="s">
        <v>67</v>
      </c>
      <c r="D312" s="5" t="s">
        <v>6606</v>
      </c>
      <c r="E312" s="5">
        <v>17</v>
      </c>
      <c r="F312" s="5">
        <v>16</v>
      </c>
      <c r="G312" s="5">
        <v>4</v>
      </c>
      <c r="H312" s="5">
        <v>3.03</v>
      </c>
      <c r="I312" s="5">
        <v>11</v>
      </c>
      <c r="J312" s="5">
        <v>6</v>
      </c>
    </row>
    <row r="313" spans="1:10" x14ac:dyDescent="0.3">
      <c r="A313" s="5" t="s">
        <v>2431</v>
      </c>
      <c r="B313" s="5" t="s">
        <v>16</v>
      </c>
      <c r="C313" s="5" t="s">
        <v>67</v>
      </c>
      <c r="D313" s="5" t="s">
        <v>6606</v>
      </c>
      <c r="E313" s="5">
        <v>8</v>
      </c>
      <c r="F313" s="5">
        <v>7</v>
      </c>
      <c r="G313" s="5">
        <v>2</v>
      </c>
      <c r="H313" s="5">
        <v>4.5999999999999996</v>
      </c>
      <c r="I313" s="5">
        <v>5</v>
      </c>
      <c r="J313" s="5">
        <v>3</v>
      </c>
    </row>
    <row r="314" spans="1:10" x14ac:dyDescent="0.3">
      <c r="A314" s="5" t="s">
        <v>2431</v>
      </c>
      <c r="B314" s="5" t="s">
        <v>16</v>
      </c>
      <c r="C314" s="5" t="s">
        <v>67</v>
      </c>
      <c r="D314" s="5" t="s">
        <v>6606</v>
      </c>
      <c r="E314" s="5">
        <v>21</v>
      </c>
      <c r="F314" s="5">
        <v>18</v>
      </c>
      <c r="G314" s="5">
        <v>2</v>
      </c>
      <c r="H314" s="5">
        <v>11.51</v>
      </c>
      <c r="I314" s="5">
        <v>13</v>
      </c>
      <c r="J314" s="5">
        <v>8</v>
      </c>
    </row>
    <row r="315" spans="1:10" x14ac:dyDescent="0.3">
      <c r="A315" s="5" t="s">
        <v>2518</v>
      </c>
      <c r="B315" s="5" t="s">
        <v>16</v>
      </c>
      <c r="C315" s="5" t="s">
        <v>164</v>
      </c>
      <c r="D315" s="5" t="s">
        <v>6606</v>
      </c>
      <c r="E315" s="5">
        <v>9</v>
      </c>
      <c r="F315" s="5">
        <v>6</v>
      </c>
      <c r="G315" s="5">
        <v>2</v>
      </c>
      <c r="H315" s="5">
        <v>8.58</v>
      </c>
      <c r="I315" s="5">
        <v>4</v>
      </c>
      <c r="J315" s="5">
        <v>5</v>
      </c>
    </row>
    <row r="316" spans="1:10" x14ac:dyDescent="0.3">
      <c r="A316" s="5" t="s">
        <v>2518</v>
      </c>
      <c r="B316" s="5" t="s">
        <v>16</v>
      </c>
      <c r="C316" s="5" t="s">
        <v>164</v>
      </c>
      <c r="D316" s="5" t="s">
        <v>6606</v>
      </c>
      <c r="E316" s="5">
        <v>24</v>
      </c>
      <c r="F316" s="5">
        <v>24</v>
      </c>
      <c r="G316" s="5">
        <v>3</v>
      </c>
      <c r="H316" s="5">
        <v>5.43</v>
      </c>
      <c r="I316" s="5">
        <v>15</v>
      </c>
      <c r="J316" s="5">
        <v>9</v>
      </c>
    </row>
    <row r="317" spans="1:10" x14ac:dyDescent="0.3">
      <c r="A317" s="5" t="s">
        <v>2518</v>
      </c>
      <c r="B317" s="5" t="s">
        <v>16</v>
      </c>
      <c r="C317" s="5" t="s">
        <v>164</v>
      </c>
      <c r="D317" s="5" t="s">
        <v>6606</v>
      </c>
      <c r="E317" s="5">
        <v>15</v>
      </c>
      <c r="F317" s="5">
        <v>13</v>
      </c>
      <c r="G317" s="5">
        <v>1</v>
      </c>
      <c r="H317" s="5">
        <v>9.75</v>
      </c>
      <c r="I317" s="5">
        <v>9</v>
      </c>
      <c r="J317" s="5">
        <v>6</v>
      </c>
    </row>
    <row r="318" spans="1:10" x14ac:dyDescent="0.3">
      <c r="A318" s="5" t="s">
        <v>2415</v>
      </c>
      <c r="B318" s="5" t="s">
        <v>189</v>
      </c>
      <c r="C318" s="5" t="s">
        <v>17</v>
      </c>
      <c r="D318" s="5" t="s">
        <v>6605</v>
      </c>
      <c r="E318" s="5">
        <v>24</v>
      </c>
      <c r="F318" s="5">
        <v>24</v>
      </c>
      <c r="G318" s="5">
        <v>4</v>
      </c>
      <c r="H318" s="5">
        <v>10.23</v>
      </c>
      <c r="I318" s="5">
        <v>15</v>
      </c>
      <c r="J318" s="5">
        <v>9</v>
      </c>
    </row>
    <row r="319" spans="1:10" x14ac:dyDescent="0.3">
      <c r="A319" s="5" t="s">
        <v>2415</v>
      </c>
      <c r="B319" s="5" t="s">
        <v>189</v>
      </c>
      <c r="C319" s="5" t="s">
        <v>17</v>
      </c>
      <c r="D319" s="5" t="s">
        <v>6605</v>
      </c>
      <c r="E319" s="5">
        <v>8</v>
      </c>
      <c r="F319" s="5">
        <v>6</v>
      </c>
      <c r="G319" s="5">
        <v>3</v>
      </c>
      <c r="H319" s="5">
        <v>1.63</v>
      </c>
      <c r="I319" s="5">
        <v>5</v>
      </c>
      <c r="J319" s="5">
        <v>3</v>
      </c>
    </row>
    <row r="320" spans="1:10" x14ac:dyDescent="0.3">
      <c r="A320" s="5" t="s">
        <v>2434</v>
      </c>
      <c r="B320" s="5" t="s">
        <v>16</v>
      </c>
      <c r="C320" s="5" t="s">
        <v>108</v>
      </c>
      <c r="D320" s="5" t="s">
        <v>6605</v>
      </c>
      <c r="E320" s="5">
        <v>10</v>
      </c>
      <c r="F320" s="5">
        <v>9</v>
      </c>
      <c r="G320" s="5">
        <v>1</v>
      </c>
      <c r="H320" s="5">
        <v>2.1800000000000002</v>
      </c>
      <c r="I320" s="5">
        <v>5</v>
      </c>
      <c r="J320" s="5">
        <v>5</v>
      </c>
    </row>
    <row r="321" spans="1:10" x14ac:dyDescent="0.3">
      <c r="A321" s="5" t="s">
        <v>2434</v>
      </c>
      <c r="B321" s="5" t="s">
        <v>16</v>
      </c>
      <c r="C321" s="5" t="s">
        <v>108</v>
      </c>
      <c r="D321" s="5" t="s">
        <v>6605</v>
      </c>
      <c r="E321" s="5">
        <v>17</v>
      </c>
      <c r="F321" s="5">
        <v>16</v>
      </c>
      <c r="G321" s="5">
        <v>2</v>
      </c>
      <c r="H321" s="5">
        <v>10.85</v>
      </c>
      <c r="I321" s="5">
        <v>13</v>
      </c>
      <c r="J321" s="5">
        <v>4</v>
      </c>
    </row>
    <row r="322" spans="1:10" x14ac:dyDescent="0.3">
      <c r="A322" s="5" t="s">
        <v>2469</v>
      </c>
      <c r="B322" s="5" t="s">
        <v>16</v>
      </c>
      <c r="C322" s="5" t="s">
        <v>99</v>
      </c>
      <c r="D322" s="5" t="s">
        <v>6605</v>
      </c>
      <c r="E322" s="5">
        <v>14</v>
      </c>
      <c r="F322" s="5">
        <v>12</v>
      </c>
      <c r="G322" s="5">
        <v>1</v>
      </c>
      <c r="H322" s="5">
        <v>10.51</v>
      </c>
      <c r="I322" s="5">
        <v>11</v>
      </c>
      <c r="J322" s="5">
        <v>3</v>
      </c>
    </row>
    <row r="323" spans="1:10" x14ac:dyDescent="0.3">
      <c r="A323" s="5" t="s">
        <v>2536</v>
      </c>
      <c r="B323" s="5" t="s">
        <v>36</v>
      </c>
      <c r="C323" s="5" t="s">
        <v>99</v>
      </c>
      <c r="D323" s="5" t="s">
        <v>6605</v>
      </c>
      <c r="E323" s="5">
        <v>20</v>
      </c>
      <c r="F323" s="5">
        <v>17</v>
      </c>
      <c r="G323" s="5">
        <v>2</v>
      </c>
      <c r="H323" s="5">
        <v>8.11</v>
      </c>
      <c r="I323" s="5">
        <v>14</v>
      </c>
      <c r="J323" s="5">
        <v>6</v>
      </c>
    </row>
    <row r="324" spans="1:10" x14ac:dyDescent="0.3">
      <c r="A324" s="5" t="s">
        <v>2536</v>
      </c>
      <c r="B324" s="5" t="s">
        <v>36</v>
      </c>
      <c r="C324" s="5" t="s">
        <v>99</v>
      </c>
      <c r="D324" s="5" t="s">
        <v>6605</v>
      </c>
      <c r="E324" s="5">
        <v>21</v>
      </c>
      <c r="F324" s="5">
        <v>21</v>
      </c>
      <c r="G324" s="5">
        <v>4</v>
      </c>
      <c r="H324" s="5">
        <v>10.73</v>
      </c>
      <c r="I324" s="5">
        <v>11</v>
      </c>
      <c r="J324" s="5">
        <v>10</v>
      </c>
    </row>
    <row r="325" spans="1:10" x14ac:dyDescent="0.3">
      <c r="A325" s="5" t="s">
        <v>2536</v>
      </c>
      <c r="B325" s="5" t="s">
        <v>36</v>
      </c>
      <c r="C325" s="5" t="s">
        <v>99</v>
      </c>
      <c r="D325" s="5" t="s">
        <v>6605</v>
      </c>
      <c r="E325" s="5">
        <v>20</v>
      </c>
      <c r="F325" s="5">
        <v>20</v>
      </c>
      <c r="G325" s="5">
        <v>1</v>
      </c>
      <c r="H325" s="5">
        <v>10.119999999999999</v>
      </c>
      <c r="I325" s="5">
        <v>12</v>
      </c>
      <c r="J325" s="5">
        <v>8</v>
      </c>
    </row>
    <row r="326" spans="1:10" x14ac:dyDescent="0.3">
      <c r="A326" s="5" t="s">
        <v>2536</v>
      </c>
      <c r="B326" s="5" t="s">
        <v>36</v>
      </c>
      <c r="C326" s="5" t="s">
        <v>99</v>
      </c>
      <c r="D326" s="5" t="s">
        <v>6605</v>
      </c>
      <c r="E326" s="5">
        <v>20</v>
      </c>
      <c r="F326" s="5">
        <v>17</v>
      </c>
      <c r="G326" s="5">
        <v>4</v>
      </c>
      <c r="H326" s="5">
        <v>1.63</v>
      </c>
      <c r="I326" s="5">
        <v>13</v>
      </c>
      <c r="J326" s="5">
        <v>7</v>
      </c>
    </row>
    <row r="327" spans="1:10" x14ac:dyDescent="0.3">
      <c r="A327" s="5" t="s">
        <v>2536</v>
      </c>
      <c r="B327" s="5" t="s">
        <v>36</v>
      </c>
      <c r="C327" s="5" t="s">
        <v>99</v>
      </c>
      <c r="D327" s="5" t="s">
        <v>6605</v>
      </c>
      <c r="E327" s="5">
        <v>20</v>
      </c>
      <c r="F327" s="5">
        <v>18</v>
      </c>
      <c r="G327" s="5">
        <v>4</v>
      </c>
      <c r="H327" s="5">
        <v>5.4</v>
      </c>
      <c r="I327" s="5">
        <v>14</v>
      </c>
      <c r="J327" s="5">
        <v>6</v>
      </c>
    </row>
    <row r="328" spans="1:10" x14ac:dyDescent="0.3">
      <c r="A328" s="5" t="s">
        <v>2536</v>
      </c>
      <c r="B328" s="5" t="s">
        <v>36</v>
      </c>
      <c r="C328" s="5" t="s">
        <v>99</v>
      </c>
      <c r="D328" s="5" t="s">
        <v>6605</v>
      </c>
      <c r="E328" s="5">
        <v>11</v>
      </c>
      <c r="F328" s="5">
        <v>9</v>
      </c>
      <c r="G328" s="5">
        <v>2</v>
      </c>
      <c r="H328" s="5">
        <v>10.18</v>
      </c>
      <c r="I328" s="5">
        <v>9</v>
      </c>
      <c r="J328" s="5">
        <v>2</v>
      </c>
    </row>
    <row r="329" spans="1:10" x14ac:dyDescent="0.3">
      <c r="A329" s="5" t="s">
        <v>2532</v>
      </c>
      <c r="B329" s="5" t="s">
        <v>36</v>
      </c>
      <c r="C329" s="5" t="s">
        <v>67</v>
      </c>
      <c r="D329" s="5" t="s">
        <v>6605</v>
      </c>
      <c r="E329" s="5">
        <v>17</v>
      </c>
      <c r="F329" s="5">
        <v>17</v>
      </c>
      <c r="G329" s="5">
        <v>3</v>
      </c>
      <c r="H329" s="5">
        <v>10.02</v>
      </c>
      <c r="I329" s="5">
        <v>9</v>
      </c>
      <c r="J329" s="5">
        <v>8</v>
      </c>
    </row>
    <row r="330" spans="1:10" x14ac:dyDescent="0.3">
      <c r="A330" s="5" t="s">
        <v>2532</v>
      </c>
      <c r="B330" s="5" t="s">
        <v>36</v>
      </c>
      <c r="C330" s="5" t="s">
        <v>67</v>
      </c>
      <c r="D330" s="5" t="s">
        <v>6605</v>
      </c>
      <c r="E330" s="5">
        <v>19</v>
      </c>
      <c r="F330" s="5">
        <v>17</v>
      </c>
      <c r="G330" s="5">
        <v>2</v>
      </c>
      <c r="H330" s="5">
        <v>3.17</v>
      </c>
      <c r="I330" s="5">
        <v>15</v>
      </c>
      <c r="J330" s="5">
        <v>4</v>
      </c>
    </row>
    <row r="331" spans="1:10" x14ac:dyDescent="0.3">
      <c r="A331" s="5" t="s">
        <v>2532</v>
      </c>
      <c r="B331" s="5" t="s">
        <v>36</v>
      </c>
      <c r="C331" s="5" t="s">
        <v>67</v>
      </c>
      <c r="D331" s="5" t="s">
        <v>6605</v>
      </c>
      <c r="E331" s="5">
        <v>16</v>
      </c>
      <c r="F331" s="5">
        <v>14</v>
      </c>
      <c r="G331" s="5">
        <v>1</v>
      </c>
      <c r="H331" s="5">
        <v>6.93</v>
      </c>
      <c r="I331" s="5">
        <v>9</v>
      </c>
      <c r="J331" s="5">
        <v>7</v>
      </c>
    </row>
    <row r="332" spans="1:10" x14ac:dyDescent="0.3">
      <c r="A332" s="5" t="s">
        <v>2532</v>
      </c>
      <c r="B332" s="5" t="s">
        <v>36</v>
      </c>
      <c r="C332" s="5" t="s">
        <v>67</v>
      </c>
      <c r="D332" s="5" t="s">
        <v>6605</v>
      </c>
      <c r="E332" s="5">
        <v>23</v>
      </c>
      <c r="F332" s="5">
        <v>20</v>
      </c>
      <c r="G332" s="5">
        <v>1</v>
      </c>
      <c r="H332" s="5">
        <v>9.75</v>
      </c>
      <c r="I332" s="5">
        <v>16</v>
      </c>
      <c r="J332" s="5">
        <v>7</v>
      </c>
    </row>
    <row r="333" spans="1:10" x14ac:dyDescent="0.3">
      <c r="A333" s="5" t="s">
        <v>2490</v>
      </c>
      <c r="B333" s="5" t="s">
        <v>36</v>
      </c>
      <c r="C333" s="5" t="s">
        <v>28</v>
      </c>
      <c r="D333" s="5" t="s">
        <v>6605</v>
      </c>
      <c r="E333" s="5">
        <v>12</v>
      </c>
      <c r="F333" s="5">
        <v>9</v>
      </c>
      <c r="G333" s="5">
        <v>3</v>
      </c>
      <c r="H333" s="5">
        <v>9.0399999999999991</v>
      </c>
      <c r="I333" s="5">
        <v>8</v>
      </c>
      <c r="J333" s="5">
        <v>4</v>
      </c>
    </row>
    <row r="334" spans="1:10" x14ac:dyDescent="0.3">
      <c r="A334" s="5" t="s">
        <v>2490</v>
      </c>
      <c r="B334" s="5" t="s">
        <v>36</v>
      </c>
      <c r="C334" s="5" t="s">
        <v>28</v>
      </c>
      <c r="D334" s="5" t="s">
        <v>6605</v>
      </c>
      <c r="E334" s="5">
        <v>20</v>
      </c>
      <c r="F334" s="5">
        <v>17</v>
      </c>
      <c r="G334" s="5">
        <v>4</v>
      </c>
      <c r="H334" s="5">
        <v>5.65</v>
      </c>
      <c r="I334" s="5">
        <v>10</v>
      </c>
      <c r="J334" s="5">
        <v>10</v>
      </c>
    </row>
    <row r="335" spans="1:10" x14ac:dyDescent="0.3">
      <c r="A335" s="5" t="s">
        <v>2561</v>
      </c>
      <c r="B335" s="5" t="s">
        <v>36</v>
      </c>
      <c r="C335" s="5" t="s">
        <v>74</v>
      </c>
      <c r="D335" s="5" t="s">
        <v>6605</v>
      </c>
      <c r="E335" s="5">
        <v>13</v>
      </c>
      <c r="F335" s="5">
        <v>10</v>
      </c>
      <c r="G335" s="5">
        <v>4</v>
      </c>
      <c r="H335" s="5">
        <v>7.06</v>
      </c>
      <c r="I335" s="5">
        <v>6</v>
      </c>
      <c r="J335" s="5">
        <v>7</v>
      </c>
    </row>
    <row r="336" spans="1:10" x14ac:dyDescent="0.3">
      <c r="A336" s="5" t="s">
        <v>2561</v>
      </c>
      <c r="B336" s="5" t="s">
        <v>36</v>
      </c>
      <c r="C336" s="5" t="s">
        <v>74</v>
      </c>
      <c r="D336" s="5" t="s">
        <v>6605</v>
      </c>
      <c r="E336" s="5">
        <v>5</v>
      </c>
      <c r="F336" s="5">
        <v>5</v>
      </c>
      <c r="G336" s="5">
        <v>3</v>
      </c>
      <c r="H336" s="5">
        <v>4.91</v>
      </c>
      <c r="I336" s="5">
        <v>3</v>
      </c>
      <c r="J336" s="5">
        <v>2</v>
      </c>
    </row>
    <row r="337" spans="1:10" x14ac:dyDescent="0.3">
      <c r="A337" s="5" t="s">
        <v>2407</v>
      </c>
      <c r="B337" s="5" t="s">
        <v>66</v>
      </c>
      <c r="C337" s="5" t="s">
        <v>93</v>
      </c>
      <c r="D337" s="5" t="s">
        <v>6605</v>
      </c>
      <c r="E337" s="5">
        <v>24</v>
      </c>
      <c r="F337" s="5">
        <v>23</v>
      </c>
      <c r="G337" s="5">
        <v>3</v>
      </c>
      <c r="H337" s="5">
        <v>8.36</v>
      </c>
      <c r="I337" s="5">
        <v>12</v>
      </c>
      <c r="J337" s="5">
        <v>12</v>
      </c>
    </row>
    <row r="338" spans="1:10" x14ac:dyDescent="0.3">
      <c r="A338" s="5" t="s">
        <v>2407</v>
      </c>
      <c r="B338" s="5" t="s">
        <v>66</v>
      </c>
      <c r="C338" s="5" t="s">
        <v>93</v>
      </c>
      <c r="D338" s="5" t="s">
        <v>6605</v>
      </c>
      <c r="E338" s="5">
        <v>3</v>
      </c>
      <c r="F338" s="5">
        <v>3</v>
      </c>
      <c r="G338" s="5">
        <v>3</v>
      </c>
      <c r="H338" s="5">
        <v>11.18</v>
      </c>
      <c r="I338" s="5">
        <v>2</v>
      </c>
      <c r="J338" s="5">
        <v>1</v>
      </c>
    </row>
    <row r="339" spans="1:10" x14ac:dyDescent="0.3">
      <c r="A339" s="5" t="s">
        <v>2407</v>
      </c>
      <c r="B339" s="5" t="s">
        <v>66</v>
      </c>
      <c r="C339" s="5" t="s">
        <v>93</v>
      </c>
      <c r="D339" s="5" t="s">
        <v>6605</v>
      </c>
      <c r="E339" s="5">
        <v>8</v>
      </c>
      <c r="F339" s="5">
        <v>6</v>
      </c>
      <c r="G339" s="5">
        <v>2</v>
      </c>
      <c r="H339" s="5">
        <v>9.75</v>
      </c>
      <c r="I339" s="5">
        <v>5</v>
      </c>
      <c r="J339" s="5">
        <v>3</v>
      </c>
    </row>
    <row r="340" spans="1:10" x14ac:dyDescent="0.3">
      <c r="A340" s="5" t="s">
        <v>2466</v>
      </c>
      <c r="B340" s="5" t="s">
        <v>66</v>
      </c>
      <c r="C340" s="5" t="s">
        <v>67</v>
      </c>
      <c r="D340" s="5" t="s">
        <v>6605</v>
      </c>
      <c r="E340" s="5">
        <v>10</v>
      </c>
      <c r="F340" s="5">
        <v>8</v>
      </c>
      <c r="G340" s="5">
        <v>4</v>
      </c>
      <c r="H340" s="5">
        <v>7.83</v>
      </c>
      <c r="I340" s="5">
        <v>6</v>
      </c>
      <c r="J340" s="5">
        <v>4</v>
      </c>
    </row>
    <row r="341" spans="1:10" x14ac:dyDescent="0.3">
      <c r="A341" s="5" t="s">
        <v>2521</v>
      </c>
      <c r="B341" s="5" t="s">
        <v>66</v>
      </c>
      <c r="C341" s="5" t="s">
        <v>99</v>
      </c>
      <c r="D341" s="5" t="s">
        <v>6605</v>
      </c>
      <c r="E341" s="5">
        <v>18</v>
      </c>
      <c r="F341" s="5">
        <v>18</v>
      </c>
      <c r="G341" s="5">
        <v>2</v>
      </c>
      <c r="H341" s="5">
        <v>4.09</v>
      </c>
      <c r="I341" s="5">
        <v>12</v>
      </c>
      <c r="J341" s="5">
        <v>6</v>
      </c>
    </row>
    <row r="342" spans="1:10" x14ac:dyDescent="0.3">
      <c r="A342" s="5" t="s">
        <v>2521</v>
      </c>
      <c r="B342" s="5" t="s">
        <v>66</v>
      </c>
      <c r="C342" s="5" t="s">
        <v>99</v>
      </c>
      <c r="D342" s="5" t="s">
        <v>6605</v>
      </c>
      <c r="E342" s="5">
        <v>4</v>
      </c>
      <c r="F342" s="5">
        <v>2</v>
      </c>
      <c r="G342" s="5">
        <v>2</v>
      </c>
      <c r="H342" s="5">
        <v>2.7</v>
      </c>
      <c r="I342" s="5">
        <v>2</v>
      </c>
      <c r="J342" s="5">
        <v>2</v>
      </c>
    </row>
    <row r="343" spans="1:10" x14ac:dyDescent="0.3">
      <c r="A343" s="5" t="s">
        <v>2411</v>
      </c>
      <c r="B343" s="5" t="s">
        <v>55</v>
      </c>
      <c r="C343" s="5" t="s">
        <v>108</v>
      </c>
      <c r="D343" s="5" t="s">
        <v>6605</v>
      </c>
      <c r="E343" s="5">
        <v>14</v>
      </c>
      <c r="F343" s="5">
        <v>13</v>
      </c>
      <c r="G343" s="5">
        <v>3</v>
      </c>
      <c r="H343" s="5">
        <v>1.62</v>
      </c>
      <c r="I343" s="5">
        <v>10</v>
      </c>
      <c r="J343" s="5">
        <v>4</v>
      </c>
    </row>
    <row r="344" spans="1:10" x14ac:dyDescent="0.3">
      <c r="A344" s="5" t="s">
        <v>2411</v>
      </c>
      <c r="B344" s="5" t="s">
        <v>55</v>
      </c>
      <c r="C344" s="5" t="s">
        <v>108</v>
      </c>
      <c r="D344" s="5" t="s">
        <v>6605</v>
      </c>
      <c r="E344" s="5">
        <v>5</v>
      </c>
      <c r="F344" s="5">
        <v>2</v>
      </c>
      <c r="G344" s="5">
        <v>4</v>
      </c>
      <c r="H344" s="5">
        <v>7.15</v>
      </c>
      <c r="I344" s="5">
        <v>2</v>
      </c>
      <c r="J344" s="5">
        <v>3</v>
      </c>
    </row>
    <row r="345" spans="1:10" x14ac:dyDescent="0.3">
      <c r="A345" s="5" t="s">
        <v>2411</v>
      </c>
      <c r="B345" s="5" t="s">
        <v>55</v>
      </c>
      <c r="C345" s="5" t="s">
        <v>108</v>
      </c>
      <c r="D345" s="5" t="s">
        <v>6605</v>
      </c>
      <c r="E345" s="5">
        <v>25</v>
      </c>
      <c r="F345" s="5">
        <v>25</v>
      </c>
      <c r="G345" s="5">
        <v>2</v>
      </c>
      <c r="H345" s="5">
        <v>2.02</v>
      </c>
      <c r="I345" s="5">
        <v>20</v>
      </c>
      <c r="J345" s="5">
        <v>5</v>
      </c>
    </row>
    <row r="346" spans="1:10" x14ac:dyDescent="0.3">
      <c r="A346" s="5" t="s">
        <v>2411</v>
      </c>
      <c r="B346" s="5" t="s">
        <v>55</v>
      </c>
      <c r="C346" s="5" t="s">
        <v>108</v>
      </c>
      <c r="D346" s="5" t="s">
        <v>6605</v>
      </c>
      <c r="E346" s="5">
        <v>19</v>
      </c>
      <c r="F346" s="5">
        <v>18</v>
      </c>
      <c r="G346" s="5">
        <v>3</v>
      </c>
      <c r="H346" s="5">
        <v>9.5</v>
      </c>
      <c r="I346" s="5">
        <v>10</v>
      </c>
      <c r="J346" s="5">
        <v>9</v>
      </c>
    </row>
    <row r="347" spans="1:10" x14ac:dyDescent="0.3">
      <c r="A347" s="5" t="s">
        <v>2459</v>
      </c>
      <c r="B347" s="5" t="s">
        <v>189</v>
      </c>
      <c r="C347" s="5" t="s">
        <v>67</v>
      </c>
      <c r="D347" s="5" t="s">
        <v>6605</v>
      </c>
      <c r="E347" s="5">
        <v>17</v>
      </c>
      <c r="F347" s="5">
        <v>16</v>
      </c>
      <c r="G347" s="5">
        <v>1</v>
      </c>
      <c r="H347" s="5">
        <v>8.89</v>
      </c>
      <c r="I347" s="5">
        <v>11</v>
      </c>
      <c r="J347" s="5">
        <v>6</v>
      </c>
    </row>
    <row r="348" spans="1:10" x14ac:dyDescent="0.3">
      <c r="A348" s="5" t="s">
        <v>2629</v>
      </c>
      <c r="B348" s="5" t="s">
        <v>55</v>
      </c>
      <c r="C348" s="5" t="s">
        <v>164</v>
      </c>
      <c r="D348" s="5" t="s">
        <v>6605</v>
      </c>
      <c r="E348" s="5">
        <v>14</v>
      </c>
      <c r="F348" s="5">
        <v>12</v>
      </c>
      <c r="G348" s="5">
        <v>3</v>
      </c>
      <c r="H348" s="5">
        <v>6.04</v>
      </c>
      <c r="I348" s="5">
        <v>8</v>
      </c>
      <c r="J348" s="5">
        <v>6</v>
      </c>
    </row>
    <row r="349" spans="1:10" x14ac:dyDescent="0.3">
      <c r="A349" s="5" t="s">
        <v>2629</v>
      </c>
      <c r="B349" s="5" t="s">
        <v>55</v>
      </c>
      <c r="C349" s="5" t="s">
        <v>164</v>
      </c>
      <c r="D349" s="5" t="s">
        <v>6605</v>
      </c>
      <c r="E349" s="5">
        <v>5</v>
      </c>
      <c r="F349" s="5">
        <v>5</v>
      </c>
      <c r="G349" s="5">
        <v>1</v>
      </c>
      <c r="H349" s="5">
        <v>3.33</v>
      </c>
      <c r="I349" s="5">
        <v>3</v>
      </c>
      <c r="J349" s="5">
        <v>2</v>
      </c>
    </row>
    <row r="350" spans="1:10" x14ac:dyDescent="0.3">
      <c r="A350" s="5" t="s">
        <v>2422</v>
      </c>
      <c r="B350" s="5" t="s">
        <v>55</v>
      </c>
      <c r="C350" s="5" t="s">
        <v>28</v>
      </c>
      <c r="D350" s="5" t="s">
        <v>6605</v>
      </c>
      <c r="E350" s="5">
        <v>3</v>
      </c>
      <c r="F350" s="5">
        <v>2</v>
      </c>
      <c r="G350" s="5">
        <v>2</v>
      </c>
      <c r="H350" s="5">
        <v>11.2</v>
      </c>
      <c r="I350" s="5">
        <v>1</v>
      </c>
      <c r="J350" s="5">
        <v>2</v>
      </c>
    </row>
    <row r="351" spans="1:10" x14ac:dyDescent="0.3">
      <c r="A351" s="5" t="s">
        <v>2422</v>
      </c>
      <c r="B351" s="5" t="s">
        <v>55</v>
      </c>
      <c r="C351" s="5" t="s">
        <v>28</v>
      </c>
      <c r="D351" s="5" t="s">
        <v>6605</v>
      </c>
      <c r="E351" s="5">
        <v>15</v>
      </c>
      <c r="F351" s="5">
        <v>15</v>
      </c>
      <c r="G351" s="5">
        <v>2</v>
      </c>
      <c r="H351" s="5">
        <v>10.76</v>
      </c>
      <c r="I351" s="5">
        <v>10</v>
      </c>
      <c r="J351" s="5">
        <v>5</v>
      </c>
    </row>
    <row r="352" spans="1:10" x14ac:dyDescent="0.3">
      <c r="A352" s="5" t="s">
        <v>2422</v>
      </c>
      <c r="B352" s="5" t="s">
        <v>55</v>
      </c>
      <c r="C352" s="5" t="s">
        <v>28</v>
      </c>
      <c r="D352" s="5" t="s">
        <v>6605</v>
      </c>
      <c r="E352" s="5">
        <v>25</v>
      </c>
      <c r="F352" s="5">
        <v>23</v>
      </c>
      <c r="G352" s="5">
        <v>2</v>
      </c>
      <c r="H352" s="5">
        <v>6.63</v>
      </c>
      <c r="I352" s="5">
        <v>17</v>
      </c>
      <c r="J352" s="5">
        <v>8</v>
      </c>
    </row>
    <row r="353" spans="1:10" x14ac:dyDescent="0.3">
      <c r="A353" s="5" t="s">
        <v>2422</v>
      </c>
      <c r="B353" s="5" t="s">
        <v>55</v>
      </c>
      <c r="C353" s="5" t="s">
        <v>28</v>
      </c>
      <c r="D353" s="5" t="s">
        <v>6605</v>
      </c>
      <c r="E353" s="5">
        <v>16</v>
      </c>
      <c r="F353" s="5">
        <v>13</v>
      </c>
      <c r="G353" s="5">
        <v>1</v>
      </c>
      <c r="H353" s="5">
        <v>7.58</v>
      </c>
      <c r="I353" s="5">
        <v>9</v>
      </c>
      <c r="J353" s="5">
        <v>7</v>
      </c>
    </row>
    <row r="354" spans="1:10" x14ac:dyDescent="0.3">
      <c r="A354" s="5" t="s">
        <v>2438</v>
      </c>
      <c r="B354" s="5" t="s">
        <v>55</v>
      </c>
      <c r="C354" s="5" t="s">
        <v>74</v>
      </c>
      <c r="D354" s="5" t="s">
        <v>6605</v>
      </c>
      <c r="E354" s="5">
        <v>7</v>
      </c>
      <c r="F354" s="5">
        <v>6</v>
      </c>
      <c r="G354" s="5">
        <v>1</v>
      </c>
      <c r="H354" s="5">
        <v>7</v>
      </c>
      <c r="I354" s="5">
        <v>3</v>
      </c>
      <c r="J354" s="5">
        <v>4</v>
      </c>
    </row>
    <row r="355" spans="1:10" x14ac:dyDescent="0.3">
      <c r="A355" s="5" t="s">
        <v>2427</v>
      </c>
      <c r="B355" s="5" t="s">
        <v>55</v>
      </c>
      <c r="C355" s="5" t="s">
        <v>93</v>
      </c>
      <c r="D355" s="5" t="s">
        <v>6605</v>
      </c>
      <c r="E355" s="5">
        <v>6</v>
      </c>
      <c r="F355" s="5">
        <v>4</v>
      </c>
      <c r="G355" s="5">
        <v>1</v>
      </c>
      <c r="H355" s="5">
        <v>6.72</v>
      </c>
      <c r="I355" s="5">
        <v>3</v>
      </c>
      <c r="J355" s="5">
        <v>3</v>
      </c>
    </row>
    <row r="356" spans="1:10" x14ac:dyDescent="0.3">
      <c r="A356" s="5" t="s">
        <v>2427</v>
      </c>
      <c r="B356" s="5" t="s">
        <v>55</v>
      </c>
      <c r="C356" s="5" t="s">
        <v>93</v>
      </c>
      <c r="D356" s="5" t="s">
        <v>6605</v>
      </c>
      <c r="E356" s="5">
        <v>14</v>
      </c>
      <c r="F356" s="5">
        <v>12</v>
      </c>
      <c r="G356" s="5">
        <v>3</v>
      </c>
      <c r="H356" s="5">
        <v>7.98</v>
      </c>
      <c r="I356" s="5">
        <v>11</v>
      </c>
      <c r="J356" s="5">
        <v>3</v>
      </c>
    </row>
    <row r="357" spans="1:10" x14ac:dyDescent="0.3">
      <c r="A357" s="5" t="s">
        <v>2485</v>
      </c>
      <c r="B357" s="5" t="s">
        <v>61</v>
      </c>
      <c r="C357" s="5" t="s">
        <v>99</v>
      </c>
      <c r="D357" s="5" t="s">
        <v>6605</v>
      </c>
      <c r="E357" s="5">
        <v>22</v>
      </c>
      <c r="F357" s="5">
        <v>19</v>
      </c>
      <c r="G357" s="5">
        <v>2</v>
      </c>
      <c r="H357" s="5">
        <v>8.8000000000000007</v>
      </c>
      <c r="I357" s="5">
        <v>12</v>
      </c>
      <c r="J357" s="5">
        <v>10</v>
      </c>
    </row>
    <row r="358" spans="1:10" x14ac:dyDescent="0.3">
      <c r="A358" s="5" t="s">
        <v>2485</v>
      </c>
      <c r="B358" s="5" t="s">
        <v>61</v>
      </c>
      <c r="C358" s="5" t="s">
        <v>99</v>
      </c>
      <c r="D358" s="5" t="s">
        <v>6605</v>
      </c>
      <c r="E358" s="5">
        <v>12</v>
      </c>
      <c r="F358" s="5">
        <v>11</v>
      </c>
      <c r="G358" s="5">
        <v>1</v>
      </c>
      <c r="H358" s="5">
        <v>2.65</v>
      </c>
      <c r="I358" s="5">
        <v>9</v>
      </c>
      <c r="J358" s="5">
        <v>3</v>
      </c>
    </row>
    <row r="359" spans="1:10" x14ac:dyDescent="0.3">
      <c r="A359" s="5" t="s">
        <v>2449</v>
      </c>
      <c r="B359" s="5" t="s">
        <v>61</v>
      </c>
      <c r="C359" s="5" t="s">
        <v>108</v>
      </c>
      <c r="D359" s="5" t="s">
        <v>6605</v>
      </c>
      <c r="E359" s="5">
        <v>3</v>
      </c>
      <c r="F359" s="5">
        <v>1</v>
      </c>
      <c r="G359" s="5">
        <v>2</v>
      </c>
      <c r="H359" s="5">
        <v>4.58</v>
      </c>
      <c r="I359" s="5">
        <v>2</v>
      </c>
      <c r="J359" s="5">
        <v>1</v>
      </c>
    </row>
    <row r="360" spans="1:10" x14ac:dyDescent="0.3">
      <c r="A360" s="5" t="s">
        <v>2449</v>
      </c>
      <c r="B360" s="5" t="s">
        <v>61</v>
      </c>
      <c r="C360" s="5" t="s">
        <v>108</v>
      </c>
      <c r="D360" s="5" t="s">
        <v>6605</v>
      </c>
      <c r="E360" s="5">
        <v>13</v>
      </c>
      <c r="F360" s="5">
        <v>13</v>
      </c>
      <c r="G360" s="5">
        <v>1</v>
      </c>
      <c r="H360" s="5">
        <v>3.25</v>
      </c>
      <c r="I360" s="5">
        <v>8</v>
      </c>
      <c r="J360" s="5">
        <v>5</v>
      </c>
    </row>
    <row r="361" spans="1:10" x14ac:dyDescent="0.3">
      <c r="A361" s="5" t="s">
        <v>2577</v>
      </c>
      <c r="B361" s="5" t="s">
        <v>61</v>
      </c>
      <c r="C361" s="5" t="s">
        <v>67</v>
      </c>
      <c r="D361" s="5" t="s">
        <v>6605</v>
      </c>
      <c r="E361" s="5">
        <v>15</v>
      </c>
      <c r="F361" s="5">
        <v>14</v>
      </c>
      <c r="G361" s="5">
        <v>3</v>
      </c>
      <c r="H361" s="5">
        <v>4.42</v>
      </c>
      <c r="I361" s="5">
        <v>12</v>
      </c>
      <c r="J361" s="5">
        <v>3</v>
      </c>
    </row>
    <row r="362" spans="1:10" x14ac:dyDescent="0.3">
      <c r="A362" s="5" t="s">
        <v>2577</v>
      </c>
      <c r="B362" s="5" t="s">
        <v>61</v>
      </c>
      <c r="C362" s="5" t="s">
        <v>67</v>
      </c>
      <c r="D362" s="5" t="s">
        <v>6605</v>
      </c>
      <c r="E362" s="5">
        <v>15</v>
      </c>
      <c r="F362" s="5">
        <v>14</v>
      </c>
      <c r="G362" s="5">
        <v>4</v>
      </c>
      <c r="H362" s="5">
        <v>2.0699999999999998</v>
      </c>
      <c r="I362" s="5">
        <v>8</v>
      </c>
      <c r="J362" s="5">
        <v>7</v>
      </c>
    </row>
    <row r="363" spans="1:10" x14ac:dyDescent="0.3">
      <c r="A363" s="5" t="s">
        <v>2577</v>
      </c>
      <c r="B363" s="5" t="s">
        <v>61</v>
      </c>
      <c r="C363" s="5" t="s">
        <v>67</v>
      </c>
      <c r="D363" s="5" t="s">
        <v>6605</v>
      </c>
      <c r="E363" s="5">
        <v>22</v>
      </c>
      <c r="F363" s="5">
        <v>21</v>
      </c>
      <c r="G363" s="5">
        <v>1</v>
      </c>
      <c r="H363" s="5">
        <v>11.51</v>
      </c>
      <c r="I363" s="5">
        <v>11</v>
      </c>
      <c r="J363" s="5">
        <v>11</v>
      </c>
    </row>
    <row r="364" spans="1:10" x14ac:dyDescent="0.3">
      <c r="A364" s="5" t="s">
        <v>2577</v>
      </c>
      <c r="B364" s="5" t="s">
        <v>61</v>
      </c>
      <c r="C364" s="5" t="s">
        <v>67</v>
      </c>
      <c r="D364" s="5" t="s">
        <v>6605</v>
      </c>
      <c r="E364" s="5">
        <v>8</v>
      </c>
      <c r="F364" s="5">
        <v>6</v>
      </c>
      <c r="G364" s="5">
        <v>2</v>
      </c>
      <c r="H364" s="5">
        <v>11.09</v>
      </c>
      <c r="I364" s="5">
        <v>4</v>
      </c>
      <c r="J364" s="5">
        <v>4</v>
      </c>
    </row>
    <row r="365" spans="1:10" x14ac:dyDescent="0.3">
      <c r="A365" s="5" t="s">
        <v>2454</v>
      </c>
      <c r="B365" s="5" t="s">
        <v>61</v>
      </c>
      <c r="C365" s="5" t="s">
        <v>17</v>
      </c>
      <c r="D365" s="5" t="s">
        <v>6605</v>
      </c>
      <c r="E365" s="5">
        <v>10</v>
      </c>
      <c r="F365" s="5">
        <v>10</v>
      </c>
      <c r="G365" s="5">
        <v>1</v>
      </c>
      <c r="H365" s="5">
        <v>8.3699999999999992</v>
      </c>
      <c r="I365" s="5">
        <v>8</v>
      </c>
      <c r="J365" s="5">
        <v>2</v>
      </c>
    </row>
    <row r="366" spans="1:10" x14ac:dyDescent="0.3">
      <c r="A366" s="5" t="s">
        <v>2454</v>
      </c>
      <c r="B366" s="5" t="s">
        <v>61</v>
      </c>
      <c r="C366" s="5" t="s">
        <v>17</v>
      </c>
      <c r="D366" s="5" t="s">
        <v>6605</v>
      </c>
      <c r="E366" s="5">
        <v>24</v>
      </c>
      <c r="F366" s="5">
        <v>21</v>
      </c>
      <c r="G366" s="5">
        <v>3</v>
      </c>
      <c r="H366" s="5">
        <v>4.28</v>
      </c>
      <c r="I366" s="5">
        <v>13</v>
      </c>
      <c r="J366" s="5">
        <v>11</v>
      </c>
    </row>
    <row r="367" spans="1:10" x14ac:dyDescent="0.3">
      <c r="A367" s="5" t="s">
        <v>2481</v>
      </c>
      <c r="B367" s="5" t="s">
        <v>80</v>
      </c>
      <c r="C367" s="5" t="s">
        <v>37</v>
      </c>
      <c r="D367" s="5" t="s">
        <v>6605</v>
      </c>
      <c r="E367" s="5">
        <v>6</v>
      </c>
      <c r="F367" s="5">
        <v>5</v>
      </c>
      <c r="G367" s="5">
        <v>3</v>
      </c>
      <c r="H367" s="5">
        <v>1.95</v>
      </c>
      <c r="I367" s="5">
        <v>3</v>
      </c>
      <c r="J367" s="5">
        <v>3</v>
      </c>
    </row>
    <row r="368" spans="1:10" x14ac:dyDescent="0.3">
      <c r="A368" s="5" t="s">
        <v>2481</v>
      </c>
      <c r="B368" s="5" t="s">
        <v>80</v>
      </c>
      <c r="C368" s="5" t="s">
        <v>37</v>
      </c>
      <c r="D368" s="5" t="s">
        <v>6605</v>
      </c>
      <c r="E368" s="5">
        <v>12</v>
      </c>
      <c r="F368" s="5">
        <v>10</v>
      </c>
      <c r="G368" s="5">
        <v>4</v>
      </c>
      <c r="H368" s="5">
        <v>10.47</v>
      </c>
      <c r="I368" s="5">
        <v>6</v>
      </c>
      <c r="J368" s="5">
        <v>6</v>
      </c>
    </row>
    <row r="369" spans="1:10" x14ac:dyDescent="0.3">
      <c r="A369" s="5" t="s">
        <v>2481</v>
      </c>
      <c r="B369" s="5" t="s">
        <v>80</v>
      </c>
      <c r="C369" s="5" t="s">
        <v>37</v>
      </c>
      <c r="D369" s="5" t="s">
        <v>6605</v>
      </c>
      <c r="E369" s="5">
        <v>18</v>
      </c>
      <c r="F369" s="5">
        <v>16</v>
      </c>
      <c r="G369" s="5">
        <v>1</v>
      </c>
      <c r="H369" s="5">
        <v>8.59</v>
      </c>
      <c r="I369" s="5">
        <v>11</v>
      </c>
      <c r="J369" s="5">
        <v>7</v>
      </c>
    </row>
    <row r="370" spans="1:10" x14ac:dyDescent="0.3">
      <c r="A370" s="5" t="s">
        <v>2481</v>
      </c>
      <c r="B370" s="5" t="s">
        <v>80</v>
      </c>
      <c r="C370" s="5" t="s">
        <v>37</v>
      </c>
      <c r="D370" s="5" t="s">
        <v>6605</v>
      </c>
      <c r="E370" s="5">
        <v>3</v>
      </c>
      <c r="F370" s="5">
        <v>1</v>
      </c>
      <c r="G370" s="5">
        <v>4</v>
      </c>
      <c r="H370" s="5">
        <v>6.94</v>
      </c>
      <c r="I370" s="5">
        <v>1</v>
      </c>
      <c r="J370" s="5">
        <v>2</v>
      </c>
    </row>
    <row r="371" spans="1:10" x14ac:dyDescent="0.3">
      <c r="A371" s="5" t="s">
        <v>2473</v>
      </c>
      <c r="B371" s="5" t="s">
        <v>80</v>
      </c>
      <c r="C371" s="5" t="s">
        <v>93</v>
      </c>
      <c r="D371" s="5" t="s">
        <v>6605</v>
      </c>
      <c r="E371" s="5">
        <v>21</v>
      </c>
      <c r="F371" s="5">
        <v>19</v>
      </c>
      <c r="G371" s="5">
        <v>4</v>
      </c>
      <c r="H371" s="5">
        <v>4.9400000000000004</v>
      </c>
      <c r="I371" s="5">
        <v>10</v>
      </c>
      <c r="J371" s="5">
        <v>11</v>
      </c>
    </row>
    <row r="372" spans="1:10" x14ac:dyDescent="0.3">
      <c r="A372" s="5" t="s">
        <v>2473</v>
      </c>
      <c r="B372" s="5" t="s">
        <v>80</v>
      </c>
      <c r="C372" s="5" t="s">
        <v>93</v>
      </c>
      <c r="D372" s="5" t="s">
        <v>6605</v>
      </c>
      <c r="E372" s="5">
        <v>19</v>
      </c>
      <c r="F372" s="5">
        <v>16</v>
      </c>
      <c r="G372" s="5">
        <v>2</v>
      </c>
      <c r="H372" s="5">
        <v>6.58</v>
      </c>
      <c r="I372" s="5">
        <v>10</v>
      </c>
      <c r="J372" s="5">
        <v>9</v>
      </c>
    </row>
    <row r="373" spans="1:10" x14ac:dyDescent="0.3">
      <c r="A373" s="5" t="s">
        <v>2473</v>
      </c>
      <c r="B373" s="5" t="s">
        <v>80</v>
      </c>
      <c r="C373" s="5" t="s">
        <v>93</v>
      </c>
      <c r="D373" s="5" t="s">
        <v>6605</v>
      </c>
      <c r="E373" s="5">
        <v>24</v>
      </c>
      <c r="F373" s="5">
        <v>24</v>
      </c>
      <c r="G373" s="5">
        <v>3</v>
      </c>
      <c r="H373" s="5">
        <v>11.42</v>
      </c>
      <c r="I373" s="5">
        <v>17</v>
      </c>
      <c r="J373" s="5">
        <v>7</v>
      </c>
    </row>
    <row r="374" spans="1:10" x14ac:dyDescent="0.3">
      <c r="A374" s="5" t="s">
        <v>2730</v>
      </c>
      <c r="B374" s="5" t="s">
        <v>189</v>
      </c>
      <c r="C374" s="5" t="s">
        <v>74</v>
      </c>
      <c r="D374" s="5" t="s">
        <v>6605</v>
      </c>
      <c r="E374" s="5">
        <v>20</v>
      </c>
      <c r="F374" s="5">
        <v>20</v>
      </c>
      <c r="G374" s="5">
        <v>2</v>
      </c>
      <c r="H374" s="5">
        <v>8.82</v>
      </c>
      <c r="I374" s="5">
        <v>13</v>
      </c>
      <c r="J374" s="5">
        <v>7</v>
      </c>
    </row>
    <row r="375" spans="1:10" x14ac:dyDescent="0.3">
      <c r="A375" s="5" t="s">
        <v>2730</v>
      </c>
      <c r="B375" s="5" t="s">
        <v>189</v>
      </c>
      <c r="C375" s="5" t="s">
        <v>74</v>
      </c>
      <c r="D375" s="5" t="s">
        <v>6605</v>
      </c>
      <c r="E375" s="5">
        <v>11</v>
      </c>
      <c r="F375" s="5">
        <v>11</v>
      </c>
      <c r="G375" s="5">
        <v>1</v>
      </c>
      <c r="H375" s="5">
        <v>4.08</v>
      </c>
      <c r="I375" s="5">
        <v>7</v>
      </c>
      <c r="J375" s="5">
        <v>4</v>
      </c>
    </row>
    <row r="376" spans="1:10" x14ac:dyDescent="0.3">
      <c r="A376" s="5" t="s">
        <v>2514</v>
      </c>
      <c r="B376" s="5" t="s">
        <v>80</v>
      </c>
      <c r="C376" s="5" t="s">
        <v>47</v>
      </c>
      <c r="D376" s="5" t="s">
        <v>6605</v>
      </c>
      <c r="E376" s="5">
        <v>17</v>
      </c>
      <c r="F376" s="5">
        <v>14</v>
      </c>
      <c r="G376" s="5">
        <v>4</v>
      </c>
      <c r="H376" s="5">
        <v>3.21</v>
      </c>
      <c r="I376" s="5">
        <v>11</v>
      </c>
      <c r="J376" s="5">
        <v>6</v>
      </c>
    </row>
    <row r="377" spans="1:10" x14ac:dyDescent="0.3">
      <c r="A377" s="5" t="s">
        <v>2514</v>
      </c>
      <c r="B377" s="5" t="s">
        <v>80</v>
      </c>
      <c r="C377" s="5" t="s">
        <v>47</v>
      </c>
      <c r="D377" s="5" t="s">
        <v>6605</v>
      </c>
      <c r="E377" s="5">
        <v>12</v>
      </c>
      <c r="F377" s="5">
        <v>11</v>
      </c>
      <c r="G377" s="5">
        <v>3</v>
      </c>
      <c r="H377" s="5">
        <v>5.28</v>
      </c>
      <c r="I377" s="5">
        <v>8</v>
      </c>
      <c r="J377" s="5">
        <v>4</v>
      </c>
    </row>
    <row r="378" spans="1:10" x14ac:dyDescent="0.3">
      <c r="A378" s="5" t="s">
        <v>2494</v>
      </c>
      <c r="B378" s="5" t="s">
        <v>189</v>
      </c>
      <c r="C378" s="5" t="s">
        <v>99</v>
      </c>
      <c r="D378" s="5" t="s">
        <v>6605</v>
      </c>
      <c r="E378" s="5">
        <v>7</v>
      </c>
      <c r="F378" s="5">
        <v>4</v>
      </c>
      <c r="G378" s="5">
        <v>2</v>
      </c>
      <c r="H378" s="5">
        <v>11.93</v>
      </c>
      <c r="I378" s="5">
        <v>5</v>
      </c>
      <c r="J378" s="5">
        <v>2</v>
      </c>
    </row>
    <row r="379" spans="1:10" x14ac:dyDescent="0.3">
      <c r="A379" s="5" t="s">
        <v>2494</v>
      </c>
      <c r="B379" s="5" t="s">
        <v>189</v>
      </c>
      <c r="C379" s="5" t="s">
        <v>99</v>
      </c>
      <c r="D379" s="5" t="s">
        <v>6605</v>
      </c>
      <c r="E379" s="5">
        <v>16</v>
      </c>
      <c r="F379" s="5">
        <v>15</v>
      </c>
      <c r="G379" s="5">
        <v>1</v>
      </c>
      <c r="H379" s="5">
        <v>5.6</v>
      </c>
      <c r="I379" s="5">
        <v>9</v>
      </c>
      <c r="J379" s="5">
        <v>7</v>
      </c>
    </row>
    <row r="380" spans="1:10" x14ac:dyDescent="0.3">
      <c r="A380" s="5" t="s">
        <v>2494</v>
      </c>
      <c r="B380" s="5" t="s">
        <v>189</v>
      </c>
      <c r="C380" s="5" t="s">
        <v>99</v>
      </c>
      <c r="D380" s="5" t="s">
        <v>6605</v>
      </c>
      <c r="E380" s="5">
        <v>13</v>
      </c>
      <c r="F380" s="5">
        <v>11</v>
      </c>
      <c r="G380" s="5">
        <v>4</v>
      </c>
      <c r="H380" s="5">
        <v>11.74</v>
      </c>
      <c r="I380" s="5">
        <v>9</v>
      </c>
      <c r="J380" s="5">
        <v>4</v>
      </c>
    </row>
    <row r="381" spans="1:10" x14ac:dyDescent="0.3">
      <c r="A381" s="5" t="s">
        <v>2504</v>
      </c>
      <c r="B381" s="5" t="s">
        <v>27</v>
      </c>
      <c r="C381" s="5" t="s">
        <v>37</v>
      </c>
      <c r="D381" s="5" t="s">
        <v>6605</v>
      </c>
      <c r="E381" s="5">
        <v>22</v>
      </c>
      <c r="F381" s="5">
        <v>20</v>
      </c>
      <c r="G381" s="5">
        <v>3</v>
      </c>
      <c r="H381" s="5">
        <v>6.96</v>
      </c>
      <c r="I381" s="5">
        <v>12</v>
      </c>
      <c r="J381" s="5">
        <v>10</v>
      </c>
    </row>
    <row r="382" spans="1:10" x14ac:dyDescent="0.3">
      <c r="A382" s="5" t="s">
        <v>2504</v>
      </c>
      <c r="B382" s="5" t="s">
        <v>27</v>
      </c>
      <c r="C382" s="5" t="s">
        <v>37</v>
      </c>
      <c r="D382" s="5" t="s">
        <v>6605</v>
      </c>
      <c r="E382" s="5">
        <v>14</v>
      </c>
      <c r="F382" s="5">
        <v>11</v>
      </c>
      <c r="G382" s="5">
        <v>1</v>
      </c>
      <c r="H382" s="5">
        <v>11.16</v>
      </c>
      <c r="I382" s="5">
        <v>9</v>
      </c>
      <c r="J382" s="5">
        <v>5</v>
      </c>
    </row>
    <row r="383" spans="1:10" x14ac:dyDescent="0.3">
      <c r="A383" s="5" t="s">
        <v>2504</v>
      </c>
      <c r="B383" s="5" t="s">
        <v>27</v>
      </c>
      <c r="C383" s="5" t="s">
        <v>37</v>
      </c>
      <c r="D383" s="5" t="s">
        <v>6605</v>
      </c>
      <c r="E383" s="5">
        <v>16</v>
      </c>
      <c r="F383" s="5">
        <v>15</v>
      </c>
      <c r="G383" s="5">
        <v>1</v>
      </c>
      <c r="H383" s="5">
        <v>11.61</v>
      </c>
      <c r="I383" s="5">
        <v>8</v>
      </c>
      <c r="J383" s="5">
        <v>8</v>
      </c>
    </row>
    <row r="384" spans="1:10" x14ac:dyDescent="0.3">
      <c r="A384" s="5" t="s">
        <v>2504</v>
      </c>
      <c r="B384" s="5" t="s">
        <v>27</v>
      </c>
      <c r="C384" s="5" t="s">
        <v>37</v>
      </c>
      <c r="D384" s="5" t="s">
        <v>6605</v>
      </c>
      <c r="E384" s="5">
        <v>9</v>
      </c>
      <c r="F384" s="5">
        <v>6</v>
      </c>
      <c r="G384" s="5">
        <v>3</v>
      </c>
      <c r="H384" s="5">
        <v>5.57</v>
      </c>
      <c r="I384" s="5">
        <v>5</v>
      </c>
      <c r="J384" s="5">
        <v>4</v>
      </c>
    </row>
    <row r="385" spans="1:10" x14ac:dyDescent="0.3">
      <c r="A385" s="5" t="s">
        <v>2445</v>
      </c>
      <c r="B385" s="5" t="s">
        <v>27</v>
      </c>
      <c r="C385" s="5" t="s">
        <v>164</v>
      </c>
      <c r="D385" s="5" t="s">
        <v>6605</v>
      </c>
      <c r="E385" s="5">
        <v>5</v>
      </c>
      <c r="F385" s="5">
        <v>3</v>
      </c>
      <c r="G385" s="5">
        <v>1</v>
      </c>
      <c r="H385" s="5">
        <v>8.5</v>
      </c>
      <c r="I385" s="5">
        <v>3</v>
      </c>
      <c r="J385" s="5">
        <v>2</v>
      </c>
    </row>
    <row r="386" spans="1:10" x14ac:dyDescent="0.3">
      <c r="A386" s="5" t="s">
        <v>2445</v>
      </c>
      <c r="B386" s="5" t="s">
        <v>27</v>
      </c>
      <c r="C386" s="5" t="s">
        <v>164</v>
      </c>
      <c r="D386" s="5" t="s">
        <v>6605</v>
      </c>
      <c r="E386" s="5">
        <v>13</v>
      </c>
      <c r="F386" s="5">
        <v>11</v>
      </c>
      <c r="G386" s="5">
        <v>2</v>
      </c>
      <c r="H386" s="5">
        <v>2.61</v>
      </c>
      <c r="I386" s="5">
        <v>10</v>
      </c>
      <c r="J386" s="5">
        <v>3</v>
      </c>
    </row>
    <row r="387" spans="1:10" x14ac:dyDescent="0.3">
      <c r="A387" s="5" t="s">
        <v>2445</v>
      </c>
      <c r="B387" s="5" t="s">
        <v>27</v>
      </c>
      <c r="C387" s="5" t="s">
        <v>164</v>
      </c>
      <c r="D387" s="5" t="s">
        <v>6605</v>
      </c>
      <c r="E387" s="5">
        <v>6</v>
      </c>
      <c r="F387" s="5">
        <v>4</v>
      </c>
      <c r="G387" s="5">
        <v>4</v>
      </c>
      <c r="H387" s="5">
        <v>7.79</v>
      </c>
      <c r="I387" s="5">
        <v>3</v>
      </c>
      <c r="J387" s="5">
        <v>3</v>
      </c>
    </row>
    <row r="388" spans="1:10" x14ac:dyDescent="0.3">
      <c r="A388" s="5" t="s">
        <v>2463</v>
      </c>
      <c r="B388" s="5" t="s">
        <v>27</v>
      </c>
      <c r="C388" s="5" t="s">
        <v>74</v>
      </c>
      <c r="D388" s="5" t="s">
        <v>6605</v>
      </c>
      <c r="E388" s="5">
        <v>15</v>
      </c>
      <c r="F388" s="5">
        <v>12</v>
      </c>
      <c r="G388" s="5">
        <v>1</v>
      </c>
      <c r="H388" s="5">
        <v>5.3</v>
      </c>
      <c r="I388" s="5">
        <v>10</v>
      </c>
      <c r="J388" s="5">
        <v>5</v>
      </c>
    </row>
    <row r="389" spans="1:10" x14ac:dyDescent="0.3">
      <c r="A389" s="5" t="s">
        <v>2463</v>
      </c>
      <c r="B389" s="5" t="s">
        <v>27</v>
      </c>
      <c r="C389" s="5" t="s">
        <v>74</v>
      </c>
      <c r="D389" s="5" t="s">
        <v>6605</v>
      </c>
      <c r="E389" s="5">
        <v>19</v>
      </c>
      <c r="F389" s="5">
        <v>16</v>
      </c>
      <c r="G389" s="5">
        <v>1</v>
      </c>
      <c r="H389" s="5">
        <v>8.4499999999999993</v>
      </c>
      <c r="I389" s="5">
        <v>12</v>
      </c>
      <c r="J389" s="5">
        <v>7</v>
      </c>
    </row>
    <row r="390" spans="1:10" x14ac:dyDescent="0.3">
      <c r="A390" s="5" t="s">
        <v>2431</v>
      </c>
      <c r="B390" s="5" t="s">
        <v>16</v>
      </c>
      <c r="C390" s="5" t="s">
        <v>67</v>
      </c>
      <c r="D390" s="5" t="s">
        <v>6605</v>
      </c>
      <c r="E390" s="5">
        <v>16</v>
      </c>
      <c r="F390" s="5">
        <v>13</v>
      </c>
      <c r="G390" s="5">
        <v>4</v>
      </c>
      <c r="H390" s="5">
        <v>6.58</v>
      </c>
      <c r="I390" s="5">
        <v>9</v>
      </c>
      <c r="J390" s="5">
        <v>7</v>
      </c>
    </row>
    <row r="391" spans="1:10" x14ac:dyDescent="0.3">
      <c r="A391" s="5" t="s">
        <v>2431</v>
      </c>
      <c r="B391" s="5" t="s">
        <v>16</v>
      </c>
      <c r="C391" s="5" t="s">
        <v>67</v>
      </c>
      <c r="D391" s="5" t="s">
        <v>6605</v>
      </c>
      <c r="E391" s="5">
        <v>3</v>
      </c>
      <c r="F391" s="5">
        <v>3</v>
      </c>
      <c r="G391" s="5">
        <v>3</v>
      </c>
      <c r="H391" s="5">
        <v>4.28</v>
      </c>
      <c r="I391" s="5">
        <v>2</v>
      </c>
      <c r="J391" s="5">
        <v>1</v>
      </c>
    </row>
    <row r="392" spans="1:10" x14ac:dyDescent="0.3">
      <c r="A392" s="5" t="s">
        <v>2431</v>
      </c>
      <c r="B392" s="5" t="s">
        <v>16</v>
      </c>
      <c r="C392" s="5" t="s">
        <v>67</v>
      </c>
      <c r="D392" s="5" t="s">
        <v>6605</v>
      </c>
      <c r="E392" s="5">
        <v>11</v>
      </c>
      <c r="F392" s="5">
        <v>8</v>
      </c>
      <c r="G392" s="5">
        <v>1</v>
      </c>
      <c r="H392" s="5">
        <v>3.64</v>
      </c>
      <c r="I392" s="5">
        <v>8</v>
      </c>
      <c r="J392" s="5">
        <v>3</v>
      </c>
    </row>
    <row r="393" spans="1:10" x14ac:dyDescent="0.3">
      <c r="A393" s="5" t="s">
        <v>2518</v>
      </c>
      <c r="B393" s="5" t="s">
        <v>16</v>
      </c>
      <c r="C393" s="5" t="s">
        <v>164</v>
      </c>
      <c r="D393" s="5" t="s">
        <v>6605</v>
      </c>
      <c r="E393" s="5">
        <v>12</v>
      </c>
      <c r="F393" s="5">
        <v>9</v>
      </c>
      <c r="G393" s="5">
        <v>2</v>
      </c>
      <c r="H393" s="5">
        <v>5.52</v>
      </c>
      <c r="I393" s="5">
        <v>6</v>
      </c>
      <c r="J393" s="5">
        <v>6</v>
      </c>
    </row>
    <row r="394" spans="1:10" x14ac:dyDescent="0.3">
      <c r="A394" s="5" t="s">
        <v>2518</v>
      </c>
      <c r="B394" s="5" t="s">
        <v>16</v>
      </c>
      <c r="C394" s="5" t="s">
        <v>164</v>
      </c>
      <c r="D394" s="5" t="s">
        <v>6605</v>
      </c>
      <c r="E394" s="5">
        <v>3</v>
      </c>
      <c r="F394" s="5">
        <v>1</v>
      </c>
      <c r="G394" s="5">
        <v>4</v>
      </c>
      <c r="H394" s="5">
        <v>11.38</v>
      </c>
      <c r="I394" s="5">
        <v>1</v>
      </c>
      <c r="J394" s="5">
        <v>2</v>
      </c>
    </row>
    <row r="395" spans="1:10" x14ac:dyDescent="0.3">
      <c r="A395" s="5" t="s">
        <v>2518</v>
      </c>
      <c r="B395" s="5" t="s">
        <v>16</v>
      </c>
      <c r="C395" s="5" t="s">
        <v>164</v>
      </c>
      <c r="D395" s="5" t="s">
        <v>6605</v>
      </c>
      <c r="E395" s="5">
        <v>18</v>
      </c>
      <c r="F395" s="5">
        <v>18</v>
      </c>
      <c r="G395" s="5">
        <v>1</v>
      </c>
      <c r="H395" s="5">
        <v>3.88</v>
      </c>
      <c r="I395" s="5">
        <v>14</v>
      </c>
      <c r="J395" s="5">
        <v>4</v>
      </c>
    </row>
    <row r="396" spans="1:10" x14ac:dyDescent="0.3">
      <c r="A396" s="5" t="s">
        <v>2518</v>
      </c>
      <c r="B396" s="5" t="s">
        <v>16</v>
      </c>
      <c r="C396" s="5" t="s">
        <v>164</v>
      </c>
      <c r="D396" s="5" t="s">
        <v>6605</v>
      </c>
      <c r="E396" s="5">
        <v>19</v>
      </c>
      <c r="F396" s="5">
        <v>17</v>
      </c>
      <c r="G396" s="5">
        <v>3</v>
      </c>
      <c r="H396" s="5">
        <v>11.77</v>
      </c>
      <c r="I396" s="5">
        <v>9</v>
      </c>
      <c r="J396" s="5">
        <v>10</v>
      </c>
    </row>
    <row r="397" spans="1:10" x14ac:dyDescent="0.3">
      <c r="A397" s="5" t="s">
        <v>2415</v>
      </c>
      <c r="B397" s="5" t="s">
        <v>189</v>
      </c>
      <c r="C397" s="5" t="s">
        <v>17</v>
      </c>
      <c r="D397" s="5" t="s">
        <v>6604</v>
      </c>
      <c r="E397" s="5">
        <v>14</v>
      </c>
      <c r="F397" s="5">
        <v>11</v>
      </c>
      <c r="G397" s="5">
        <v>2</v>
      </c>
      <c r="H397" s="5">
        <v>4.42</v>
      </c>
      <c r="I397" s="5">
        <v>7</v>
      </c>
      <c r="J397" s="5">
        <v>7</v>
      </c>
    </row>
    <row r="398" spans="1:10" x14ac:dyDescent="0.3">
      <c r="A398" s="5" t="s">
        <v>2415</v>
      </c>
      <c r="B398" s="5" t="s">
        <v>189</v>
      </c>
      <c r="C398" s="5" t="s">
        <v>17</v>
      </c>
      <c r="D398" s="5" t="s">
        <v>6604</v>
      </c>
      <c r="E398" s="5">
        <v>15</v>
      </c>
      <c r="F398" s="5">
        <v>15</v>
      </c>
      <c r="G398" s="5">
        <v>4</v>
      </c>
      <c r="H398" s="5">
        <v>10.67</v>
      </c>
      <c r="I398" s="5">
        <v>11</v>
      </c>
      <c r="J398" s="5">
        <v>4</v>
      </c>
    </row>
    <row r="399" spans="1:10" x14ac:dyDescent="0.3">
      <c r="A399" s="5" t="s">
        <v>2415</v>
      </c>
      <c r="B399" s="5" t="s">
        <v>189</v>
      </c>
      <c r="C399" s="5" t="s">
        <v>17</v>
      </c>
      <c r="D399" s="5" t="s">
        <v>6604</v>
      </c>
      <c r="E399" s="5">
        <v>15</v>
      </c>
      <c r="F399" s="5">
        <v>12</v>
      </c>
      <c r="G399" s="5">
        <v>4</v>
      </c>
      <c r="H399" s="5">
        <v>7.35</v>
      </c>
      <c r="I399" s="5">
        <v>9</v>
      </c>
      <c r="J399" s="5">
        <v>6</v>
      </c>
    </row>
    <row r="400" spans="1:10" x14ac:dyDescent="0.3">
      <c r="A400" s="5" t="s">
        <v>2434</v>
      </c>
      <c r="B400" s="5" t="s">
        <v>16</v>
      </c>
      <c r="C400" s="5" t="s">
        <v>108</v>
      </c>
      <c r="D400" s="5" t="s">
        <v>6604</v>
      </c>
      <c r="E400" s="5">
        <v>14</v>
      </c>
      <c r="F400" s="5">
        <v>11</v>
      </c>
      <c r="G400" s="5">
        <v>2</v>
      </c>
      <c r="H400" s="5">
        <v>8.34</v>
      </c>
      <c r="I400" s="5">
        <v>8</v>
      </c>
      <c r="J400" s="5">
        <v>6</v>
      </c>
    </row>
    <row r="401" spans="1:10" x14ac:dyDescent="0.3">
      <c r="A401" s="5" t="s">
        <v>2434</v>
      </c>
      <c r="B401" s="5" t="s">
        <v>16</v>
      </c>
      <c r="C401" s="5" t="s">
        <v>108</v>
      </c>
      <c r="D401" s="5" t="s">
        <v>6604</v>
      </c>
      <c r="E401" s="5">
        <v>21</v>
      </c>
      <c r="F401" s="5">
        <v>20</v>
      </c>
      <c r="G401" s="5">
        <v>2</v>
      </c>
      <c r="H401" s="5">
        <v>10.76</v>
      </c>
      <c r="I401" s="5">
        <v>11</v>
      </c>
      <c r="J401" s="5">
        <v>10</v>
      </c>
    </row>
    <row r="402" spans="1:10" x14ac:dyDescent="0.3">
      <c r="A402" s="5" t="s">
        <v>2434</v>
      </c>
      <c r="B402" s="5" t="s">
        <v>16</v>
      </c>
      <c r="C402" s="5" t="s">
        <v>108</v>
      </c>
      <c r="D402" s="5" t="s">
        <v>6604</v>
      </c>
      <c r="E402" s="5">
        <v>11</v>
      </c>
      <c r="F402" s="5">
        <v>11</v>
      </c>
      <c r="G402" s="5">
        <v>4</v>
      </c>
      <c r="H402" s="5">
        <v>5.6</v>
      </c>
      <c r="I402" s="5">
        <v>9</v>
      </c>
      <c r="J402" s="5">
        <v>2</v>
      </c>
    </row>
    <row r="403" spans="1:10" x14ac:dyDescent="0.3">
      <c r="A403" s="5" t="s">
        <v>2469</v>
      </c>
      <c r="B403" s="5" t="s">
        <v>16</v>
      </c>
      <c r="C403" s="5" t="s">
        <v>99</v>
      </c>
      <c r="D403" s="5" t="s">
        <v>6604</v>
      </c>
      <c r="E403" s="5">
        <v>9</v>
      </c>
      <c r="F403" s="5">
        <v>6</v>
      </c>
      <c r="G403" s="5">
        <v>2</v>
      </c>
      <c r="H403" s="5">
        <v>3.88</v>
      </c>
      <c r="I403" s="5">
        <v>5</v>
      </c>
      <c r="J403" s="5">
        <v>4</v>
      </c>
    </row>
    <row r="404" spans="1:10" x14ac:dyDescent="0.3">
      <c r="A404" s="5" t="s">
        <v>2469</v>
      </c>
      <c r="B404" s="5" t="s">
        <v>16</v>
      </c>
      <c r="C404" s="5" t="s">
        <v>99</v>
      </c>
      <c r="D404" s="5" t="s">
        <v>6604</v>
      </c>
      <c r="E404" s="5">
        <v>4</v>
      </c>
      <c r="F404" s="5">
        <v>1</v>
      </c>
      <c r="G404" s="5">
        <v>2</v>
      </c>
      <c r="H404" s="5">
        <v>8.33</v>
      </c>
      <c r="I404" s="5">
        <v>2</v>
      </c>
      <c r="J404" s="5">
        <v>2</v>
      </c>
    </row>
    <row r="405" spans="1:10" x14ac:dyDescent="0.3">
      <c r="A405" s="5" t="s">
        <v>2469</v>
      </c>
      <c r="B405" s="5" t="s">
        <v>16</v>
      </c>
      <c r="C405" s="5" t="s">
        <v>99</v>
      </c>
      <c r="D405" s="5" t="s">
        <v>6604</v>
      </c>
      <c r="E405" s="5">
        <v>22</v>
      </c>
      <c r="F405" s="5">
        <v>21</v>
      </c>
      <c r="G405" s="5">
        <v>2</v>
      </c>
      <c r="H405" s="5">
        <v>7.62</v>
      </c>
      <c r="I405" s="5">
        <v>12</v>
      </c>
      <c r="J405" s="5">
        <v>10</v>
      </c>
    </row>
    <row r="406" spans="1:10" x14ac:dyDescent="0.3">
      <c r="A406" s="5" t="s">
        <v>2536</v>
      </c>
      <c r="B406" s="5" t="s">
        <v>36</v>
      </c>
      <c r="C406" s="5" t="s">
        <v>99</v>
      </c>
      <c r="D406" s="5" t="s">
        <v>6604</v>
      </c>
      <c r="E406" s="5">
        <v>4</v>
      </c>
      <c r="F406" s="5">
        <v>1</v>
      </c>
      <c r="G406" s="5">
        <v>4</v>
      </c>
      <c r="H406" s="5">
        <v>11.32</v>
      </c>
      <c r="I406" s="5">
        <v>2</v>
      </c>
      <c r="J406" s="5">
        <v>2</v>
      </c>
    </row>
    <row r="407" spans="1:10" x14ac:dyDescent="0.3">
      <c r="A407" s="5" t="s">
        <v>2536</v>
      </c>
      <c r="B407" s="5" t="s">
        <v>36</v>
      </c>
      <c r="C407" s="5" t="s">
        <v>99</v>
      </c>
      <c r="D407" s="5" t="s">
        <v>6604</v>
      </c>
      <c r="E407" s="5">
        <v>21</v>
      </c>
      <c r="F407" s="5">
        <v>18</v>
      </c>
      <c r="G407" s="5">
        <v>4</v>
      </c>
      <c r="H407" s="5">
        <v>9.67</v>
      </c>
      <c r="I407" s="5">
        <v>16</v>
      </c>
      <c r="J407" s="5">
        <v>5</v>
      </c>
    </row>
    <row r="408" spans="1:10" x14ac:dyDescent="0.3">
      <c r="A408" s="5" t="s">
        <v>2536</v>
      </c>
      <c r="B408" s="5" t="s">
        <v>36</v>
      </c>
      <c r="C408" s="5" t="s">
        <v>99</v>
      </c>
      <c r="D408" s="5" t="s">
        <v>6604</v>
      </c>
      <c r="E408" s="5">
        <v>25</v>
      </c>
      <c r="F408" s="5">
        <v>23</v>
      </c>
      <c r="G408" s="5">
        <v>1</v>
      </c>
      <c r="H408" s="5">
        <v>5.83</v>
      </c>
      <c r="I408" s="5">
        <v>15</v>
      </c>
      <c r="J408" s="5">
        <v>10</v>
      </c>
    </row>
    <row r="409" spans="1:10" x14ac:dyDescent="0.3">
      <c r="A409" s="5" t="s">
        <v>2536</v>
      </c>
      <c r="B409" s="5" t="s">
        <v>36</v>
      </c>
      <c r="C409" s="5" t="s">
        <v>99</v>
      </c>
      <c r="D409" s="5" t="s">
        <v>6604</v>
      </c>
      <c r="E409" s="5">
        <v>5</v>
      </c>
      <c r="F409" s="5">
        <v>3</v>
      </c>
      <c r="G409" s="5">
        <v>4</v>
      </c>
      <c r="H409" s="5">
        <v>5</v>
      </c>
      <c r="I409" s="5">
        <v>3</v>
      </c>
      <c r="J409" s="5">
        <v>2</v>
      </c>
    </row>
    <row r="410" spans="1:10" x14ac:dyDescent="0.3">
      <c r="A410" s="5" t="s">
        <v>2532</v>
      </c>
      <c r="B410" s="5" t="s">
        <v>36</v>
      </c>
      <c r="C410" s="5" t="s">
        <v>67</v>
      </c>
      <c r="D410" s="5" t="s">
        <v>6604</v>
      </c>
      <c r="E410" s="5">
        <v>11</v>
      </c>
      <c r="F410" s="5">
        <v>11</v>
      </c>
      <c r="G410" s="5">
        <v>2</v>
      </c>
      <c r="H410" s="5">
        <v>9.39</v>
      </c>
      <c r="I410" s="5">
        <v>8</v>
      </c>
      <c r="J410" s="5">
        <v>3</v>
      </c>
    </row>
    <row r="411" spans="1:10" x14ac:dyDescent="0.3">
      <c r="A411" s="5" t="s">
        <v>2532</v>
      </c>
      <c r="B411" s="5" t="s">
        <v>36</v>
      </c>
      <c r="C411" s="5" t="s">
        <v>67</v>
      </c>
      <c r="D411" s="5" t="s">
        <v>6604</v>
      </c>
      <c r="E411" s="5">
        <v>14</v>
      </c>
      <c r="F411" s="5">
        <v>13</v>
      </c>
      <c r="G411" s="5">
        <v>3</v>
      </c>
      <c r="H411" s="5">
        <v>5.19</v>
      </c>
      <c r="I411" s="5">
        <v>8</v>
      </c>
      <c r="J411" s="5">
        <v>6</v>
      </c>
    </row>
    <row r="412" spans="1:10" x14ac:dyDescent="0.3">
      <c r="A412" s="5" t="s">
        <v>2490</v>
      </c>
      <c r="B412" s="5" t="s">
        <v>36</v>
      </c>
      <c r="C412" s="5" t="s">
        <v>28</v>
      </c>
      <c r="D412" s="5" t="s">
        <v>6604</v>
      </c>
      <c r="E412" s="5">
        <v>11</v>
      </c>
      <c r="F412" s="5">
        <v>8</v>
      </c>
      <c r="G412" s="5">
        <v>1</v>
      </c>
      <c r="H412" s="5">
        <v>10.73</v>
      </c>
      <c r="I412" s="5">
        <v>8</v>
      </c>
      <c r="J412" s="5">
        <v>3</v>
      </c>
    </row>
    <row r="413" spans="1:10" x14ac:dyDescent="0.3">
      <c r="A413" s="5" t="s">
        <v>2490</v>
      </c>
      <c r="B413" s="5" t="s">
        <v>36</v>
      </c>
      <c r="C413" s="5" t="s">
        <v>28</v>
      </c>
      <c r="D413" s="5" t="s">
        <v>6604</v>
      </c>
      <c r="E413" s="5">
        <v>10</v>
      </c>
      <c r="F413" s="5">
        <v>9</v>
      </c>
      <c r="G413" s="5">
        <v>1</v>
      </c>
      <c r="H413" s="5">
        <v>6.26</v>
      </c>
      <c r="I413" s="5">
        <v>8</v>
      </c>
      <c r="J413" s="5">
        <v>2</v>
      </c>
    </row>
    <row r="414" spans="1:10" x14ac:dyDescent="0.3">
      <c r="A414" s="5" t="s">
        <v>2490</v>
      </c>
      <c r="B414" s="5" t="s">
        <v>36</v>
      </c>
      <c r="C414" s="5" t="s">
        <v>28</v>
      </c>
      <c r="D414" s="5" t="s">
        <v>6604</v>
      </c>
      <c r="E414" s="5">
        <v>9</v>
      </c>
      <c r="F414" s="5">
        <v>6</v>
      </c>
      <c r="G414" s="5">
        <v>3</v>
      </c>
      <c r="H414" s="5">
        <v>9.5299999999999994</v>
      </c>
      <c r="I414" s="5">
        <v>6</v>
      </c>
      <c r="J414" s="5">
        <v>3</v>
      </c>
    </row>
    <row r="415" spans="1:10" x14ac:dyDescent="0.3">
      <c r="A415" s="5" t="s">
        <v>2561</v>
      </c>
      <c r="B415" s="5" t="s">
        <v>36</v>
      </c>
      <c r="C415" s="5" t="s">
        <v>74</v>
      </c>
      <c r="D415" s="5" t="s">
        <v>6604</v>
      </c>
      <c r="E415" s="5">
        <v>8</v>
      </c>
      <c r="F415" s="5">
        <v>6</v>
      </c>
      <c r="G415" s="5">
        <v>1</v>
      </c>
      <c r="H415" s="5">
        <v>10.77</v>
      </c>
      <c r="I415" s="5">
        <v>4</v>
      </c>
      <c r="J415" s="5">
        <v>4</v>
      </c>
    </row>
    <row r="416" spans="1:10" x14ac:dyDescent="0.3">
      <c r="A416" s="5" t="s">
        <v>2561</v>
      </c>
      <c r="B416" s="5" t="s">
        <v>36</v>
      </c>
      <c r="C416" s="5" t="s">
        <v>74</v>
      </c>
      <c r="D416" s="5" t="s">
        <v>6604</v>
      </c>
      <c r="E416" s="5">
        <v>4</v>
      </c>
      <c r="F416" s="5">
        <v>2</v>
      </c>
      <c r="G416" s="5">
        <v>3</v>
      </c>
      <c r="H416" s="5">
        <v>1.73</v>
      </c>
      <c r="I416" s="5">
        <v>2</v>
      </c>
      <c r="J416" s="5">
        <v>2</v>
      </c>
    </row>
    <row r="417" spans="1:10" x14ac:dyDescent="0.3">
      <c r="A417" s="5" t="s">
        <v>2407</v>
      </c>
      <c r="B417" s="5" t="s">
        <v>66</v>
      </c>
      <c r="C417" s="5" t="s">
        <v>93</v>
      </c>
      <c r="D417" s="5" t="s">
        <v>6604</v>
      </c>
      <c r="E417" s="5">
        <v>5</v>
      </c>
      <c r="F417" s="5">
        <v>4</v>
      </c>
      <c r="G417" s="5">
        <v>1</v>
      </c>
      <c r="H417" s="5">
        <v>3.74</v>
      </c>
      <c r="I417" s="5">
        <v>3</v>
      </c>
      <c r="J417" s="5">
        <v>2</v>
      </c>
    </row>
    <row r="418" spans="1:10" x14ac:dyDescent="0.3">
      <c r="A418" s="5" t="s">
        <v>2407</v>
      </c>
      <c r="B418" s="5" t="s">
        <v>66</v>
      </c>
      <c r="C418" s="5" t="s">
        <v>93</v>
      </c>
      <c r="D418" s="5" t="s">
        <v>6604</v>
      </c>
      <c r="E418" s="5">
        <v>20</v>
      </c>
      <c r="F418" s="5">
        <v>18</v>
      </c>
      <c r="G418" s="5">
        <v>2</v>
      </c>
      <c r="H418" s="5">
        <v>6.1</v>
      </c>
      <c r="I418" s="5">
        <v>14</v>
      </c>
      <c r="J418" s="5">
        <v>6</v>
      </c>
    </row>
    <row r="419" spans="1:10" x14ac:dyDescent="0.3">
      <c r="A419" s="5" t="s">
        <v>2466</v>
      </c>
      <c r="B419" s="5" t="s">
        <v>66</v>
      </c>
      <c r="C419" s="5" t="s">
        <v>67</v>
      </c>
      <c r="D419" s="5" t="s">
        <v>6604</v>
      </c>
      <c r="E419" s="5">
        <v>22</v>
      </c>
      <c r="F419" s="5">
        <v>20</v>
      </c>
      <c r="G419" s="5">
        <v>1</v>
      </c>
      <c r="H419" s="5">
        <v>2.19</v>
      </c>
      <c r="I419" s="5">
        <v>17</v>
      </c>
      <c r="J419" s="5">
        <v>5</v>
      </c>
    </row>
    <row r="420" spans="1:10" x14ac:dyDescent="0.3">
      <c r="A420" s="5" t="s">
        <v>2466</v>
      </c>
      <c r="B420" s="5" t="s">
        <v>66</v>
      </c>
      <c r="C420" s="5" t="s">
        <v>67</v>
      </c>
      <c r="D420" s="5" t="s">
        <v>6604</v>
      </c>
      <c r="E420" s="5">
        <v>6</v>
      </c>
      <c r="F420" s="5">
        <v>3</v>
      </c>
      <c r="G420" s="5">
        <v>1</v>
      </c>
      <c r="H420" s="5">
        <v>9.86</v>
      </c>
      <c r="I420" s="5">
        <v>4</v>
      </c>
      <c r="J420" s="5">
        <v>2</v>
      </c>
    </row>
    <row r="421" spans="1:10" x14ac:dyDescent="0.3">
      <c r="A421" s="5" t="s">
        <v>2466</v>
      </c>
      <c r="B421" s="5" t="s">
        <v>66</v>
      </c>
      <c r="C421" s="5" t="s">
        <v>67</v>
      </c>
      <c r="D421" s="5" t="s">
        <v>6604</v>
      </c>
      <c r="E421" s="5">
        <v>11</v>
      </c>
      <c r="F421" s="5">
        <v>9</v>
      </c>
      <c r="G421" s="5">
        <v>1</v>
      </c>
      <c r="H421" s="5">
        <v>10.029999999999999</v>
      </c>
      <c r="I421" s="5">
        <v>5</v>
      </c>
      <c r="J421" s="5">
        <v>6</v>
      </c>
    </row>
    <row r="422" spans="1:10" x14ac:dyDescent="0.3">
      <c r="A422" s="5" t="s">
        <v>2521</v>
      </c>
      <c r="B422" s="5" t="s">
        <v>66</v>
      </c>
      <c r="C422" s="5" t="s">
        <v>99</v>
      </c>
      <c r="D422" s="5" t="s">
        <v>6604</v>
      </c>
      <c r="E422" s="5">
        <v>7</v>
      </c>
      <c r="F422" s="5">
        <v>5</v>
      </c>
      <c r="G422" s="5">
        <v>3</v>
      </c>
      <c r="H422" s="5">
        <v>7.64</v>
      </c>
      <c r="I422" s="5">
        <v>4</v>
      </c>
      <c r="J422" s="5">
        <v>3</v>
      </c>
    </row>
    <row r="423" spans="1:10" x14ac:dyDescent="0.3">
      <c r="A423" s="5" t="s">
        <v>2521</v>
      </c>
      <c r="B423" s="5" t="s">
        <v>66</v>
      </c>
      <c r="C423" s="5" t="s">
        <v>99</v>
      </c>
      <c r="D423" s="5" t="s">
        <v>6604</v>
      </c>
      <c r="E423" s="5">
        <v>18</v>
      </c>
      <c r="F423" s="5">
        <v>16</v>
      </c>
      <c r="G423" s="5">
        <v>3</v>
      </c>
      <c r="H423" s="5">
        <v>8.8000000000000007</v>
      </c>
      <c r="I423" s="5">
        <v>13</v>
      </c>
      <c r="J423" s="5">
        <v>5</v>
      </c>
    </row>
    <row r="424" spans="1:10" x14ac:dyDescent="0.3">
      <c r="A424" s="5" t="s">
        <v>2521</v>
      </c>
      <c r="B424" s="5" t="s">
        <v>66</v>
      </c>
      <c r="C424" s="5" t="s">
        <v>99</v>
      </c>
      <c r="D424" s="5" t="s">
        <v>6604</v>
      </c>
      <c r="E424" s="5">
        <v>4</v>
      </c>
      <c r="F424" s="5">
        <v>2</v>
      </c>
      <c r="G424" s="5">
        <v>1</v>
      </c>
      <c r="H424" s="5">
        <v>3.72</v>
      </c>
      <c r="I424" s="5">
        <v>2</v>
      </c>
      <c r="J424" s="5">
        <v>2</v>
      </c>
    </row>
    <row r="425" spans="1:10" x14ac:dyDescent="0.3">
      <c r="A425" s="5" t="s">
        <v>2411</v>
      </c>
      <c r="B425" s="5" t="s">
        <v>55</v>
      </c>
      <c r="C425" s="5" t="s">
        <v>108</v>
      </c>
      <c r="D425" s="5" t="s">
        <v>6604</v>
      </c>
      <c r="E425" s="5">
        <v>6</v>
      </c>
      <c r="F425" s="5">
        <v>5</v>
      </c>
      <c r="G425" s="5">
        <v>1</v>
      </c>
      <c r="H425" s="5">
        <v>5</v>
      </c>
      <c r="I425" s="5">
        <v>4</v>
      </c>
      <c r="J425" s="5">
        <v>2</v>
      </c>
    </row>
    <row r="426" spans="1:10" x14ac:dyDescent="0.3">
      <c r="A426" s="5" t="s">
        <v>2411</v>
      </c>
      <c r="B426" s="5" t="s">
        <v>55</v>
      </c>
      <c r="C426" s="5" t="s">
        <v>108</v>
      </c>
      <c r="D426" s="5" t="s">
        <v>6604</v>
      </c>
      <c r="E426" s="5">
        <v>22</v>
      </c>
      <c r="F426" s="5">
        <v>20</v>
      </c>
      <c r="G426" s="5">
        <v>1</v>
      </c>
      <c r="H426" s="5">
        <v>3.07</v>
      </c>
      <c r="I426" s="5">
        <v>17</v>
      </c>
      <c r="J426" s="5">
        <v>5</v>
      </c>
    </row>
    <row r="427" spans="1:10" x14ac:dyDescent="0.3">
      <c r="A427" s="5" t="s">
        <v>2459</v>
      </c>
      <c r="B427" s="5" t="s">
        <v>189</v>
      </c>
      <c r="C427" s="5" t="s">
        <v>67</v>
      </c>
      <c r="D427" s="5" t="s">
        <v>6604</v>
      </c>
      <c r="E427" s="5">
        <v>4</v>
      </c>
      <c r="F427" s="5">
        <v>1</v>
      </c>
      <c r="G427" s="5">
        <v>1</v>
      </c>
      <c r="H427" s="5">
        <v>7.61</v>
      </c>
      <c r="I427" s="5">
        <v>2</v>
      </c>
      <c r="J427" s="5">
        <v>2</v>
      </c>
    </row>
    <row r="428" spans="1:10" x14ac:dyDescent="0.3">
      <c r="A428" s="5" t="s">
        <v>2459</v>
      </c>
      <c r="B428" s="5" t="s">
        <v>189</v>
      </c>
      <c r="C428" s="5" t="s">
        <v>67</v>
      </c>
      <c r="D428" s="5" t="s">
        <v>6604</v>
      </c>
      <c r="E428" s="5">
        <v>21</v>
      </c>
      <c r="F428" s="5">
        <v>20</v>
      </c>
      <c r="G428" s="5">
        <v>1</v>
      </c>
      <c r="H428" s="5">
        <v>6.02</v>
      </c>
      <c r="I428" s="5">
        <v>12</v>
      </c>
      <c r="J428" s="5">
        <v>9</v>
      </c>
    </row>
    <row r="429" spans="1:10" x14ac:dyDescent="0.3">
      <c r="A429" s="5" t="s">
        <v>2459</v>
      </c>
      <c r="B429" s="5" t="s">
        <v>189</v>
      </c>
      <c r="C429" s="5" t="s">
        <v>67</v>
      </c>
      <c r="D429" s="5" t="s">
        <v>6604</v>
      </c>
      <c r="E429" s="5">
        <v>22</v>
      </c>
      <c r="F429" s="5">
        <v>19</v>
      </c>
      <c r="G429" s="5">
        <v>4</v>
      </c>
      <c r="H429" s="5">
        <v>5</v>
      </c>
      <c r="I429" s="5">
        <v>16</v>
      </c>
      <c r="J429" s="5">
        <v>6</v>
      </c>
    </row>
    <row r="430" spans="1:10" x14ac:dyDescent="0.3">
      <c r="A430" s="5" t="s">
        <v>2459</v>
      </c>
      <c r="B430" s="5" t="s">
        <v>189</v>
      </c>
      <c r="C430" s="5" t="s">
        <v>67</v>
      </c>
      <c r="D430" s="5" t="s">
        <v>6604</v>
      </c>
      <c r="E430" s="5">
        <v>20</v>
      </c>
      <c r="F430" s="5">
        <v>17</v>
      </c>
      <c r="G430" s="5">
        <v>1</v>
      </c>
      <c r="H430" s="5">
        <v>11.4</v>
      </c>
      <c r="I430" s="5">
        <v>14</v>
      </c>
      <c r="J430" s="5">
        <v>6</v>
      </c>
    </row>
    <row r="431" spans="1:10" x14ac:dyDescent="0.3">
      <c r="A431" s="5" t="s">
        <v>2459</v>
      </c>
      <c r="B431" s="5" t="s">
        <v>189</v>
      </c>
      <c r="C431" s="5" t="s">
        <v>67</v>
      </c>
      <c r="D431" s="5" t="s">
        <v>6604</v>
      </c>
      <c r="E431" s="5">
        <v>4</v>
      </c>
      <c r="F431" s="5">
        <v>2</v>
      </c>
      <c r="G431" s="5">
        <v>1</v>
      </c>
      <c r="H431" s="5">
        <v>5.48</v>
      </c>
      <c r="I431" s="5">
        <v>2</v>
      </c>
      <c r="J431" s="5">
        <v>2</v>
      </c>
    </row>
    <row r="432" spans="1:10" x14ac:dyDescent="0.3">
      <c r="A432" s="5" t="s">
        <v>2629</v>
      </c>
      <c r="B432" s="5" t="s">
        <v>55</v>
      </c>
      <c r="C432" s="5" t="s">
        <v>164</v>
      </c>
      <c r="D432" s="5" t="s">
        <v>6604</v>
      </c>
      <c r="E432" s="5">
        <v>21</v>
      </c>
      <c r="F432" s="5">
        <v>18</v>
      </c>
      <c r="G432" s="5">
        <v>4</v>
      </c>
      <c r="H432" s="5">
        <v>7.67</v>
      </c>
      <c r="I432" s="5">
        <v>11</v>
      </c>
      <c r="J432" s="5">
        <v>10</v>
      </c>
    </row>
    <row r="433" spans="1:10" x14ac:dyDescent="0.3">
      <c r="A433" s="5" t="s">
        <v>2422</v>
      </c>
      <c r="B433" s="5" t="s">
        <v>55</v>
      </c>
      <c r="C433" s="5" t="s">
        <v>28</v>
      </c>
      <c r="D433" s="5" t="s">
        <v>6604</v>
      </c>
      <c r="E433" s="5">
        <v>18</v>
      </c>
      <c r="F433" s="5">
        <v>17</v>
      </c>
      <c r="G433" s="5">
        <v>3</v>
      </c>
      <c r="H433" s="5">
        <v>11.23</v>
      </c>
      <c r="I433" s="5">
        <v>12</v>
      </c>
      <c r="J433" s="5">
        <v>6</v>
      </c>
    </row>
    <row r="434" spans="1:10" x14ac:dyDescent="0.3">
      <c r="A434" s="5" t="s">
        <v>2438</v>
      </c>
      <c r="B434" s="5" t="s">
        <v>55</v>
      </c>
      <c r="C434" s="5" t="s">
        <v>74</v>
      </c>
      <c r="D434" s="5" t="s">
        <v>6604</v>
      </c>
      <c r="E434" s="5">
        <v>19</v>
      </c>
      <c r="F434" s="5">
        <v>18</v>
      </c>
      <c r="G434" s="5">
        <v>2</v>
      </c>
      <c r="H434" s="5">
        <v>11.71</v>
      </c>
      <c r="I434" s="5">
        <v>14</v>
      </c>
      <c r="J434" s="5">
        <v>5</v>
      </c>
    </row>
    <row r="435" spans="1:10" x14ac:dyDescent="0.3">
      <c r="A435" s="5" t="s">
        <v>2438</v>
      </c>
      <c r="B435" s="5" t="s">
        <v>55</v>
      </c>
      <c r="C435" s="5" t="s">
        <v>74</v>
      </c>
      <c r="D435" s="5" t="s">
        <v>6604</v>
      </c>
      <c r="E435" s="5">
        <v>17</v>
      </c>
      <c r="F435" s="5">
        <v>17</v>
      </c>
      <c r="G435" s="5">
        <v>3</v>
      </c>
      <c r="H435" s="5">
        <v>6.43</v>
      </c>
      <c r="I435" s="5">
        <v>11</v>
      </c>
      <c r="J435" s="5">
        <v>6</v>
      </c>
    </row>
    <row r="436" spans="1:10" x14ac:dyDescent="0.3">
      <c r="A436" s="5" t="s">
        <v>2427</v>
      </c>
      <c r="B436" s="5" t="s">
        <v>55</v>
      </c>
      <c r="C436" s="5" t="s">
        <v>93</v>
      </c>
      <c r="D436" s="5" t="s">
        <v>6604</v>
      </c>
      <c r="E436" s="5">
        <v>25</v>
      </c>
      <c r="F436" s="5">
        <v>22</v>
      </c>
      <c r="G436" s="5">
        <v>1</v>
      </c>
      <c r="H436" s="5">
        <v>10.73</v>
      </c>
      <c r="I436" s="5">
        <v>18</v>
      </c>
      <c r="J436" s="5">
        <v>7</v>
      </c>
    </row>
    <row r="437" spans="1:10" x14ac:dyDescent="0.3">
      <c r="A437" s="5" t="s">
        <v>2427</v>
      </c>
      <c r="B437" s="5" t="s">
        <v>55</v>
      </c>
      <c r="C437" s="5" t="s">
        <v>93</v>
      </c>
      <c r="D437" s="5" t="s">
        <v>6604</v>
      </c>
      <c r="E437" s="5">
        <v>13</v>
      </c>
      <c r="F437" s="5">
        <v>13</v>
      </c>
      <c r="G437" s="5">
        <v>4</v>
      </c>
      <c r="H437" s="5">
        <v>7.92</v>
      </c>
      <c r="I437" s="5">
        <v>7</v>
      </c>
      <c r="J437" s="5">
        <v>6</v>
      </c>
    </row>
    <row r="438" spans="1:10" x14ac:dyDescent="0.3">
      <c r="A438" s="5" t="s">
        <v>2485</v>
      </c>
      <c r="B438" s="5" t="s">
        <v>61</v>
      </c>
      <c r="C438" s="5" t="s">
        <v>99</v>
      </c>
      <c r="D438" s="5" t="s">
        <v>6604</v>
      </c>
      <c r="E438" s="5">
        <v>8</v>
      </c>
      <c r="F438" s="5">
        <v>5</v>
      </c>
      <c r="G438" s="5">
        <v>2</v>
      </c>
      <c r="H438" s="5">
        <v>3.59</v>
      </c>
      <c r="I438" s="5">
        <v>4</v>
      </c>
      <c r="J438" s="5">
        <v>4</v>
      </c>
    </row>
    <row r="439" spans="1:10" x14ac:dyDescent="0.3">
      <c r="A439" s="5" t="s">
        <v>2485</v>
      </c>
      <c r="B439" s="5" t="s">
        <v>61</v>
      </c>
      <c r="C439" s="5" t="s">
        <v>99</v>
      </c>
      <c r="D439" s="5" t="s">
        <v>6604</v>
      </c>
      <c r="E439" s="5">
        <v>25</v>
      </c>
      <c r="F439" s="5">
        <v>25</v>
      </c>
      <c r="G439" s="5">
        <v>3</v>
      </c>
      <c r="H439" s="5">
        <v>8.4600000000000009</v>
      </c>
      <c r="I439" s="5">
        <v>19</v>
      </c>
      <c r="J439" s="5">
        <v>6</v>
      </c>
    </row>
    <row r="440" spans="1:10" x14ac:dyDescent="0.3">
      <c r="A440" s="5" t="s">
        <v>2485</v>
      </c>
      <c r="B440" s="5" t="s">
        <v>61</v>
      </c>
      <c r="C440" s="5" t="s">
        <v>99</v>
      </c>
      <c r="D440" s="5" t="s">
        <v>6604</v>
      </c>
      <c r="E440" s="5">
        <v>25</v>
      </c>
      <c r="F440" s="5">
        <v>24</v>
      </c>
      <c r="G440" s="5">
        <v>2</v>
      </c>
      <c r="H440" s="5">
        <v>10.81</v>
      </c>
      <c r="I440" s="5">
        <v>13</v>
      </c>
      <c r="J440" s="5">
        <v>12</v>
      </c>
    </row>
    <row r="441" spans="1:10" x14ac:dyDescent="0.3">
      <c r="A441" s="5" t="s">
        <v>2485</v>
      </c>
      <c r="B441" s="5" t="s">
        <v>61</v>
      </c>
      <c r="C441" s="5" t="s">
        <v>99</v>
      </c>
      <c r="D441" s="5" t="s">
        <v>6604</v>
      </c>
      <c r="E441" s="5">
        <v>17</v>
      </c>
      <c r="F441" s="5">
        <v>14</v>
      </c>
      <c r="G441" s="5">
        <v>1</v>
      </c>
      <c r="H441" s="5">
        <v>2.7</v>
      </c>
      <c r="I441" s="5">
        <v>9</v>
      </c>
      <c r="J441" s="5">
        <v>8</v>
      </c>
    </row>
    <row r="442" spans="1:10" x14ac:dyDescent="0.3">
      <c r="A442" s="5" t="s">
        <v>2449</v>
      </c>
      <c r="B442" s="5" t="s">
        <v>61</v>
      </c>
      <c r="C442" s="5" t="s">
        <v>108</v>
      </c>
      <c r="D442" s="5" t="s">
        <v>6604</v>
      </c>
      <c r="E442" s="5">
        <v>9</v>
      </c>
      <c r="F442" s="5">
        <v>6</v>
      </c>
      <c r="G442" s="5">
        <v>3</v>
      </c>
      <c r="H442" s="5">
        <v>10.56</v>
      </c>
      <c r="I442" s="5">
        <v>5</v>
      </c>
      <c r="J442" s="5">
        <v>4</v>
      </c>
    </row>
    <row r="443" spans="1:10" x14ac:dyDescent="0.3">
      <c r="A443" s="5" t="s">
        <v>2449</v>
      </c>
      <c r="B443" s="5" t="s">
        <v>61</v>
      </c>
      <c r="C443" s="5" t="s">
        <v>108</v>
      </c>
      <c r="D443" s="5" t="s">
        <v>6604</v>
      </c>
      <c r="E443" s="5">
        <v>24</v>
      </c>
      <c r="F443" s="5">
        <v>24</v>
      </c>
      <c r="G443" s="5">
        <v>4</v>
      </c>
      <c r="H443" s="5">
        <v>5.09</v>
      </c>
      <c r="I443" s="5">
        <v>19</v>
      </c>
      <c r="J443" s="5">
        <v>5</v>
      </c>
    </row>
    <row r="444" spans="1:10" x14ac:dyDescent="0.3">
      <c r="A444" s="5" t="s">
        <v>2449</v>
      </c>
      <c r="B444" s="5" t="s">
        <v>61</v>
      </c>
      <c r="C444" s="5" t="s">
        <v>108</v>
      </c>
      <c r="D444" s="5" t="s">
        <v>6604</v>
      </c>
      <c r="E444" s="5">
        <v>15</v>
      </c>
      <c r="F444" s="5">
        <v>13</v>
      </c>
      <c r="G444" s="5">
        <v>2</v>
      </c>
      <c r="H444" s="5">
        <v>1.55</v>
      </c>
      <c r="I444" s="5">
        <v>7</v>
      </c>
      <c r="J444" s="5">
        <v>8</v>
      </c>
    </row>
    <row r="445" spans="1:10" x14ac:dyDescent="0.3">
      <c r="A445" s="5" t="s">
        <v>2449</v>
      </c>
      <c r="B445" s="5" t="s">
        <v>61</v>
      </c>
      <c r="C445" s="5" t="s">
        <v>108</v>
      </c>
      <c r="D445" s="5" t="s">
        <v>6604</v>
      </c>
      <c r="E445" s="5">
        <v>13</v>
      </c>
      <c r="F445" s="5">
        <v>12</v>
      </c>
      <c r="G445" s="5">
        <v>2</v>
      </c>
      <c r="H445" s="5">
        <v>8.83</v>
      </c>
      <c r="I445" s="5">
        <v>9</v>
      </c>
      <c r="J445" s="5">
        <v>4</v>
      </c>
    </row>
    <row r="446" spans="1:10" x14ac:dyDescent="0.3">
      <c r="A446" s="5" t="s">
        <v>2577</v>
      </c>
      <c r="B446" s="5" t="s">
        <v>61</v>
      </c>
      <c r="C446" s="5" t="s">
        <v>67</v>
      </c>
      <c r="D446" s="5" t="s">
        <v>6604</v>
      </c>
      <c r="E446" s="5">
        <v>25</v>
      </c>
      <c r="F446" s="5">
        <v>24</v>
      </c>
      <c r="G446" s="5">
        <v>3</v>
      </c>
      <c r="H446" s="5">
        <v>2.75</v>
      </c>
      <c r="I446" s="5">
        <v>19</v>
      </c>
      <c r="J446" s="5">
        <v>6</v>
      </c>
    </row>
    <row r="447" spans="1:10" x14ac:dyDescent="0.3">
      <c r="A447" s="5" t="s">
        <v>2577</v>
      </c>
      <c r="B447" s="5" t="s">
        <v>61</v>
      </c>
      <c r="C447" s="5" t="s">
        <v>67</v>
      </c>
      <c r="D447" s="5" t="s">
        <v>6604</v>
      </c>
      <c r="E447" s="5">
        <v>25</v>
      </c>
      <c r="F447" s="5">
        <v>23</v>
      </c>
      <c r="G447" s="5">
        <v>1</v>
      </c>
      <c r="H447" s="5">
        <v>11.26</v>
      </c>
      <c r="I447" s="5">
        <v>17</v>
      </c>
      <c r="J447" s="5">
        <v>8</v>
      </c>
    </row>
    <row r="448" spans="1:10" x14ac:dyDescent="0.3">
      <c r="A448" s="5" t="s">
        <v>2577</v>
      </c>
      <c r="B448" s="5" t="s">
        <v>61</v>
      </c>
      <c r="C448" s="5" t="s">
        <v>67</v>
      </c>
      <c r="D448" s="5" t="s">
        <v>6604</v>
      </c>
      <c r="E448" s="5">
        <v>17</v>
      </c>
      <c r="F448" s="5">
        <v>17</v>
      </c>
      <c r="G448" s="5">
        <v>4</v>
      </c>
      <c r="H448" s="5">
        <v>7.23</v>
      </c>
      <c r="I448" s="5">
        <v>11</v>
      </c>
      <c r="J448" s="5">
        <v>6</v>
      </c>
    </row>
    <row r="449" spans="1:10" x14ac:dyDescent="0.3">
      <c r="A449" s="5" t="s">
        <v>2454</v>
      </c>
      <c r="B449" s="5" t="s">
        <v>61</v>
      </c>
      <c r="C449" s="5" t="s">
        <v>17</v>
      </c>
      <c r="D449" s="5" t="s">
        <v>6604</v>
      </c>
      <c r="E449" s="5">
        <v>19</v>
      </c>
      <c r="F449" s="5">
        <v>18</v>
      </c>
      <c r="G449" s="5">
        <v>3</v>
      </c>
      <c r="H449" s="5">
        <v>6.97</v>
      </c>
      <c r="I449" s="5">
        <v>12</v>
      </c>
      <c r="J449" s="5">
        <v>7</v>
      </c>
    </row>
    <row r="450" spans="1:10" x14ac:dyDescent="0.3">
      <c r="A450" s="5" t="s">
        <v>2454</v>
      </c>
      <c r="B450" s="5" t="s">
        <v>61</v>
      </c>
      <c r="C450" s="5" t="s">
        <v>17</v>
      </c>
      <c r="D450" s="5" t="s">
        <v>6604</v>
      </c>
      <c r="E450" s="5">
        <v>13</v>
      </c>
      <c r="F450" s="5">
        <v>10</v>
      </c>
      <c r="G450" s="5">
        <v>2</v>
      </c>
      <c r="H450" s="5">
        <v>6.87</v>
      </c>
      <c r="I450" s="5">
        <v>8</v>
      </c>
      <c r="J450" s="5">
        <v>5</v>
      </c>
    </row>
    <row r="451" spans="1:10" x14ac:dyDescent="0.3">
      <c r="A451" s="5" t="s">
        <v>2481</v>
      </c>
      <c r="B451" s="5" t="s">
        <v>80</v>
      </c>
      <c r="C451" s="5" t="s">
        <v>37</v>
      </c>
      <c r="D451" s="5" t="s">
        <v>6604</v>
      </c>
      <c r="E451" s="5">
        <v>11</v>
      </c>
      <c r="F451" s="5">
        <v>8</v>
      </c>
      <c r="G451" s="5">
        <v>3</v>
      </c>
      <c r="H451" s="5">
        <v>6.83</v>
      </c>
      <c r="I451" s="5">
        <v>6</v>
      </c>
      <c r="J451" s="5">
        <v>5</v>
      </c>
    </row>
    <row r="452" spans="1:10" x14ac:dyDescent="0.3">
      <c r="A452" s="5" t="s">
        <v>2481</v>
      </c>
      <c r="B452" s="5" t="s">
        <v>80</v>
      </c>
      <c r="C452" s="5" t="s">
        <v>37</v>
      </c>
      <c r="D452" s="5" t="s">
        <v>6604</v>
      </c>
      <c r="E452" s="5">
        <v>12</v>
      </c>
      <c r="F452" s="5">
        <v>12</v>
      </c>
      <c r="G452" s="5">
        <v>4</v>
      </c>
      <c r="H452" s="5">
        <v>6.72</v>
      </c>
      <c r="I452" s="5">
        <v>8</v>
      </c>
      <c r="J452" s="5">
        <v>4</v>
      </c>
    </row>
    <row r="453" spans="1:10" x14ac:dyDescent="0.3">
      <c r="A453" s="5" t="s">
        <v>2481</v>
      </c>
      <c r="B453" s="5" t="s">
        <v>80</v>
      </c>
      <c r="C453" s="5" t="s">
        <v>37</v>
      </c>
      <c r="D453" s="5" t="s">
        <v>6604</v>
      </c>
      <c r="E453" s="5">
        <v>18</v>
      </c>
      <c r="F453" s="5">
        <v>18</v>
      </c>
      <c r="G453" s="5">
        <v>1</v>
      </c>
      <c r="H453" s="5">
        <v>3.91</v>
      </c>
      <c r="I453" s="5">
        <v>9</v>
      </c>
      <c r="J453" s="5">
        <v>9</v>
      </c>
    </row>
    <row r="454" spans="1:10" x14ac:dyDescent="0.3">
      <c r="A454" s="5" t="s">
        <v>2481</v>
      </c>
      <c r="B454" s="5" t="s">
        <v>80</v>
      </c>
      <c r="C454" s="5" t="s">
        <v>37</v>
      </c>
      <c r="D454" s="5" t="s">
        <v>6604</v>
      </c>
      <c r="E454" s="5">
        <v>3</v>
      </c>
      <c r="F454" s="5">
        <v>1</v>
      </c>
      <c r="G454" s="5">
        <v>3</v>
      </c>
      <c r="H454" s="5">
        <v>2.69</v>
      </c>
      <c r="I454" s="5">
        <v>1</v>
      </c>
      <c r="J454" s="5">
        <v>2</v>
      </c>
    </row>
    <row r="455" spans="1:10" x14ac:dyDescent="0.3">
      <c r="A455" s="5" t="s">
        <v>2481</v>
      </c>
      <c r="B455" s="5" t="s">
        <v>80</v>
      </c>
      <c r="C455" s="5" t="s">
        <v>37</v>
      </c>
      <c r="D455" s="5" t="s">
        <v>6604</v>
      </c>
      <c r="E455" s="5">
        <v>10</v>
      </c>
      <c r="F455" s="5">
        <v>8</v>
      </c>
      <c r="G455" s="5">
        <v>2</v>
      </c>
      <c r="H455" s="5">
        <v>6.59</v>
      </c>
      <c r="I455" s="5">
        <v>7</v>
      </c>
      <c r="J455" s="5">
        <v>3</v>
      </c>
    </row>
    <row r="456" spans="1:10" x14ac:dyDescent="0.3">
      <c r="A456" s="5" t="s">
        <v>2473</v>
      </c>
      <c r="B456" s="5" t="s">
        <v>80</v>
      </c>
      <c r="C456" s="5" t="s">
        <v>93</v>
      </c>
      <c r="D456" s="5" t="s">
        <v>6604</v>
      </c>
      <c r="E456" s="5">
        <v>4</v>
      </c>
      <c r="F456" s="5">
        <v>2</v>
      </c>
      <c r="G456" s="5">
        <v>4</v>
      </c>
      <c r="H456" s="5">
        <v>6.65</v>
      </c>
      <c r="I456" s="5">
        <v>2</v>
      </c>
      <c r="J456" s="5">
        <v>2</v>
      </c>
    </row>
    <row r="457" spans="1:10" x14ac:dyDescent="0.3">
      <c r="A457" s="5" t="s">
        <v>2473</v>
      </c>
      <c r="B457" s="5" t="s">
        <v>80</v>
      </c>
      <c r="C457" s="5" t="s">
        <v>93</v>
      </c>
      <c r="D457" s="5" t="s">
        <v>6604</v>
      </c>
      <c r="E457" s="5">
        <v>9</v>
      </c>
      <c r="F457" s="5">
        <v>6</v>
      </c>
      <c r="G457" s="5">
        <v>4</v>
      </c>
      <c r="H457" s="5">
        <v>4.97</v>
      </c>
      <c r="I457" s="5">
        <v>7</v>
      </c>
      <c r="J457" s="5">
        <v>2</v>
      </c>
    </row>
    <row r="458" spans="1:10" x14ac:dyDescent="0.3">
      <c r="A458" s="5" t="s">
        <v>2730</v>
      </c>
      <c r="B458" s="5" t="s">
        <v>189</v>
      </c>
      <c r="C458" s="5" t="s">
        <v>74</v>
      </c>
      <c r="D458" s="5" t="s">
        <v>6604</v>
      </c>
      <c r="E458" s="5">
        <v>16</v>
      </c>
      <c r="F458" s="5">
        <v>13</v>
      </c>
      <c r="G458" s="5">
        <v>1</v>
      </c>
      <c r="H458" s="5">
        <v>10.84</v>
      </c>
      <c r="I458" s="5">
        <v>8</v>
      </c>
      <c r="J458" s="5">
        <v>8</v>
      </c>
    </row>
    <row r="459" spans="1:10" x14ac:dyDescent="0.3">
      <c r="A459" s="5" t="s">
        <v>2730</v>
      </c>
      <c r="B459" s="5" t="s">
        <v>189</v>
      </c>
      <c r="C459" s="5" t="s">
        <v>74</v>
      </c>
      <c r="D459" s="5" t="s">
        <v>6604</v>
      </c>
      <c r="E459" s="5">
        <v>25</v>
      </c>
      <c r="F459" s="5">
        <v>24</v>
      </c>
      <c r="G459" s="5">
        <v>3</v>
      </c>
      <c r="H459" s="5">
        <v>7.97</v>
      </c>
      <c r="I459" s="5">
        <v>12</v>
      </c>
      <c r="J459" s="5">
        <v>13</v>
      </c>
    </row>
    <row r="460" spans="1:10" x14ac:dyDescent="0.3">
      <c r="A460" s="5" t="s">
        <v>2730</v>
      </c>
      <c r="B460" s="5" t="s">
        <v>189</v>
      </c>
      <c r="C460" s="5" t="s">
        <v>74</v>
      </c>
      <c r="D460" s="5" t="s">
        <v>6604</v>
      </c>
      <c r="E460" s="5">
        <v>17</v>
      </c>
      <c r="F460" s="5">
        <v>15</v>
      </c>
      <c r="G460" s="5">
        <v>1</v>
      </c>
      <c r="H460" s="5">
        <v>5.8</v>
      </c>
      <c r="I460" s="5">
        <v>9</v>
      </c>
      <c r="J460" s="5">
        <v>8</v>
      </c>
    </row>
    <row r="461" spans="1:10" x14ac:dyDescent="0.3">
      <c r="A461" s="5" t="s">
        <v>2514</v>
      </c>
      <c r="B461" s="5" t="s">
        <v>80</v>
      </c>
      <c r="C461" s="5" t="s">
        <v>47</v>
      </c>
      <c r="D461" s="5" t="s">
        <v>6604</v>
      </c>
      <c r="E461" s="5">
        <v>11</v>
      </c>
      <c r="F461" s="5">
        <v>11</v>
      </c>
      <c r="G461" s="5">
        <v>1</v>
      </c>
      <c r="H461" s="5">
        <v>8.06</v>
      </c>
      <c r="I461" s="5">
        <v>6</v>
      </c>
      <c r="J461" s="5">
        <v>5</v>
      </c>
    </row>
    <row r="462" spans="1:10" x14ac:dyDescent="0.3">
      <c r="A462" s="5" t="s">
        <v>2494</v>
      </c>
      <c r="B462" s="5" t="s">
        <v>189</v>
      </c>
      <c r="C462" s="5" t="s">
        <v>99</v>
      </c>
      <c r="D462" s="5" t="s">
        <v>6604</v>
      </c>
      <c r="E462" s="5">
        <v>25</v>
      </c>
      <c r="F462" s="5">
        <v>22</v>
      </c>
      <c r="G462" s="5">
        <v>4</v>
      </c>
      <c r="H462" s="5">
        <v>7.25</v>
      </c>
      <c r="I462" s="5">
        <v>20</v>
      </c>
      <c r="J462" s="5">
        <v>5</v>
      </c>
    </row>
    <row r="463" spans="1:10" x14ac:dyDescent="0.3">
      <c r="A463" s="5" t="s">
        <v>2504</v>
      </c>
      <c r="B463" s="5" t="s">
        <v>27</v>
      </c>
      <c r="C463" s="5" t="s">
        <v>37</v>
      </c>
      <c r="D463" s="5" t="s">
        <v>6604</v>
      </c>
      <c r="E463" s="5">
        <v>18</v>
      </c>
      <c r="F463" s="5">
        <v>18</v>
      </c>
      <c r="G463" s="5">
        <v>3</v>
      </c>
      <c r="H463" s="5">
        <v>10.62</v>
      </c>
      <c r="I463" s="5">
        <v>9</v>
      </c>
      <c r="J463" s="5">
        <v>9</v>
      </c>
    </row>
    <row r="464" spans="1:10" x14ac:dyDescent="0.3">
      <c r="A464" s="5" t="s">
        <v>2504</v>
      </c>
      <c r="B464" s="5" t="s">
        <v>27</v>
      </c>
      <c r="C464" s="5" t="s">
        <v>37</v>
      </c>
      <c r="D464" s="5" t="s">
        <v>6604</v>
      </c>
      <c r="E464" s="5">
        <v>5</v>
      </c>
      <c r="F464" s="5">
        <v>5</v>
      </c>
      <c r="G464" s="5">
        <v>4</v>
      </c>
      <c r="H464" s="5">
        <v>10.65</v>
      </c>
      <c r="I464" s="5">
        <v>3</v>
      </c>
      <c r="J464" s="5">
        <v>2</v>
      </c>
    </row>
    <row r="465" spans="1:10" x14ac:dyDescent="0.3">
      <c r="A465" s="5" t="s">
        <v>2504</v>
      </c>
      <c r="B465" s="5" t="s">
        <v>27</v>
      </c>
      <c r="C465" s="5" t="s">
        <v>37</v>
      </c>
      <c r="D465" s="5" t="s">
        <v>6604</v>
      </c>
      <c r="E465" s="5">
        <v>20</v>
      </c>
      <c r="F465" s="5">
        <v>18</v>
      </c>
      <c r="G465" s="5">
        <v>4</v>
      </c>
      <c r="H465" s="5">
        <v>5.61</v>
      </c>
      <c r="I465" s="5">
        <v>14</v>
      </c>
      <c r="J465" s="5">
        <v>6</v>
      </c>
    </row>
    <row r="466" spans="1:10" x14ac:dyDescent="0.3">
      <c r="A466" s="5" t="s">
        <v>2504</v>
      </c>
      <c r="B466" s="5" t="s">
        <v>27</v>
      </c>
      <c r="C466" s="5" t="s">
        <v>37</v>
      </c>
      <c r="D466" s="5" t="s">
        <v>6604</v>
      </c>
      <c r="E466" s="5">
        <v>6</v>
      </c>
      <c r="F466" s="5">
        <v>6</v>
      </c>
      <c r="G466" s="5">
        <v>2</v>
      </c>
      <c r="H466" s="5">
        <v>2.1800000000000002</v>
      </c>
      <c r="I466" s="5">
        <v>4</v>
      </c>
      <c r="J466" s="5">
        <v>2</v>
      </c>
    </row>
    <row r="467" spans="1:10" x14ac:dyDescent="0.3">
      <c r="A467" s="5" t="s">
        <v>2445</v>
      </c>
      <c r="B467" s="5" t="s">
        <v>27</v>
      </c>
      <c r="C467" s="5" t="s">
        <v>164</v>
      </c>
      <c r="D467" s="5" t="s">
        <v>6604</v>
      </c>
      <c r="E467" s="5">
        <v>13</v>
      </c>
      <c r="F467" s="5">
        <v>10</v>
      </c>
      <c r="G467" s="5">
        <v>4</v>
      </c>
      <c r="H467" s="5">
        <v>10.61</v>
      </c>
      <c r="I467" s="5">
        <v>10</v>
      </c>
      <c r="J467" s="5">
        <v>3</v>
      </c>
    </row>
    <row r="468" spans="1:10" x14ac:dyDescent="0.3">
      <c r="A468" s="5" t="s">
        <v>2445</v>
      </c>
      <c r="B468" s="5" t="s">
        <v>27</v>
      </c>
      <c r="C468" s="5" t="s">
        <v>164</v>
      </c>
      <c r="D468" s="5" t="s">
        <v>6604</v>
      </c>
      <c r="E468" s="5">
        <v>20</v>
      </c>
      <c r="F468" s="5">
        <v>20</v>
      </c>
      <c r="G468" s="5">
        <v>1</v>
      </c>
      <c r="H468" s="5">
        <v>7.38</v>
      </c>
      <c r="I468" s="5">
        <v>14</v>
      </c>
      <c r="J468" s="5">
        <v>6</v>
      </c>
    </row>
    <row r="469" spans="1:10" x14ac:dyDescent="0.3">
      <c r="A469" s="5" t="s">
        <v>2445</v>
      </c>
      <c r="B469" s="5" t="s">
        <v>27</v>
      </c>
      <c r="C469" s="5" t="s">
        <v>164</v>
      </c>
      <c r="D469" s="5" t="s">
        <v>6604</v>
      </c>
      <c r="E469" s="5">
        <v>18</v>
      </c>
      <c r="F469" s="5">
        <v>16</v>
      </c>
      <c r="G469" s="5">
        <v>2</v>
      </c>
      <c r="H469" s="5">
        <v>8.4</v>
      </c>
      <c r="I469" s="5">
        <v>11</v>
      </c>
      <c r="J469" s="5">
        <v>7</v>
      </c>
    </row>
    <row r="470" spans="1:10" x14ac:dyDescent="0.3">
      <c r="A470" s="5" t="s">
        <v>2463</v>
      </c>
      <c r="B470" s="5" t="s">
        <v>27</v>
      </c>
      <c r="C470" s="5" t="s">
        <v>74</v>
      </c>
      <c r="D470" s="5" t="s">
        <v>6604</v>
      </c>
      <c r="E470" s="5">
        <v>16</v>
      </c>
      <c r="F470" s="5">
        <v>15</v>
      </c>
      <c r="G470" s="5">
        <v>2</v>
      </c>
      <c r="H470" s="5">
        <v>8.02</v>
      </c>
      <c r="I470" s="5">
        <v>11</v>
      </c>
      <c r="J470" s="5">
        <v>5</v>
      </c>
    </row>
    <row r="471" spans="1:10" x14ac:dyDescent="0.3">
      <c r="A471" s="5" t="s">
        <v>2463</v>
      </c>
      <c r="B471" s="5" t="s">
        <v>27</v>
      </c>
      <c r="C471" s="5" t="s">
        <v>74</v>
      </c>
      <c r="D471" s="5" t="s">
        <v>6604</v>
      </c>
      <c r="E471" s="5">
        <v>11</v>
      </c>
      <c r="F471" s="5">
        <v>10</v>
      </c>
      <c r="G471" s="5">
        <v>4</v>
      </c>
      <c r="H471" s="5">
        <v>9.86</v>
      </c>
      <c r="I471" s="5">
        <v>5</v>
      </c>
      <c r="J471" s="5">
        <v>6</v>
      </c>
    </row>
    <row r="472" spans="1:10" x14ac:dyDescent="0.3">
      <c r="A472" s="5" t="s">
        <v>2463</v>
      </c>
      <c r="B472" s="5" t="s">
        <v>27</v>
      </c>
      <c r="C472" s="5" t="s">
        <v>74</v>
      </c>
      <c r="D472" s="5" t="s">
        <v>6604</v>
      </c>
      <c r="E472" s="5">
        <v>21</v>
      </c>
      <c r="F472" s="5">
        <v>21</v>
      </c>
      <c r="G472" s="5">
        <v>4</v>
      </c>
      <c r="H472" s="5">
        <v>7.01</v>
      </c>
      <c r="I472" s="5">
        <v>16</v>
      </c>
      <c r="J472" s="5">
        <v>5</v>
      </c>
    </row>
    <row r="473" spans="1:10" x14ac:dyDescent="0.3">
      <c r="A473" s="5" t="s">
        <v>2431</v>
      </c>
      <c r="B473" s="5" t="s">
        <v>16</v>
      </c>
      <c r="C473" s="5" t="s">
        <v>67</v>
      </c>
      <c r="D473" s="5" t="s">
        <v>6604</v>
      </c>
      <c r="E473" s="5">
        <v>10</v>
      </c>
      <c r="F473" s="5">
        <v>7</v>
      </c>
      <c r="G473" s="5">
        <v>1</v>
      </c>
      <c r="H473" s="5">
        <v>11.5</v>
      </c>
      <c r="I473" s="5">
        <v>7</v>
      </c>
      <c r="J473" s="5">
        <v>3</v>
      </c>
    </row>
    <row r="474" spans="1:10" x14ac:dyDescent="0.3">
      <c r="A474" s="5" t="s">
        <v>2431</v>
      </c>
      <c r="B474" s="5" t="s">
        <v>16</v>
      </c>
      <c r="C474" s="5" t="s">
        <v>67</v>
      </c>
      <c r="D474" s="5" t="s">
        <v>6604</v>
      </c>
      <c r="E474" s="5">
        <v>24</v>
      </c>
      <c r="F474" s="5">
        <v>21</v>
      </c>
      <c r="G474" s="5">
        <v>3</v>
      </c>
      <c r="H474" s="5">
        <v>7.82</v>
      </c>
      <c r="I474" s="5">
        <v>20</v>
      </c>
      <c r="J474" s="5">
        <v>4</v>
      </c>
    </row>
    <row r="475" spans="1:10" x14ac:dyDescent="0.3">
      <c r="A475" s="5" t="s">
        <v>2431</v>
      </c>
      <c r="B475" s="5" t="s">
        <v>16</v>
      </c>
      <c r="C475" s="5" t="s">
        <v>67</v>
      </c>
      <c r="D475" s="5" t="s">
        <v>6604</v>
      </c>
      <c r="E475" s="5">
        <v>19</v>
      </c>
      <c r="F475" s="5">
        <v>19</v>
      </c>
      <c r="G475" s="5">
        <v>3</v>
      </c>
      <c r="H475" s="5">
        <v>2.79</v>
      </c>
      <c r="I475" s="5">
        <v>13</v>
      </c>
      <c r="J475" s="5">
        <v>6</v>
      </c>
    </row>
    <row r="476" spans="1:10" x14ac:dyDescent="0.3">
      <c r="A476" s="5" t="s">
        <v>2431</v>
      </c>
      <c r="B476" s="5" t="s">
        <v>16</v>
      </c>
      <c r="C476" s="5" t="s">
        <v>67</v>
      </c>
      <c r="D476" s="5" t="s">
        <v>6604</v>
      </c>
      <c r="E476" s="5">
        <v>3</v>
      </c>
      <c r="F476" s="5">
        <v>3</v>
      </c>
      <c r="G476" s="5">
        <v>4</v>
      </c>
      <c r="H476" s="5">
        <v>8.02</v>
      </c>
      <c r="I476" s="5">
        <v>2</v>
      </c>
      <c r="J476" s="5">
        <v>1</v>
      </c>
    </row>
    <row r="477" spans="1:10" x14ac:dyDescent="0.3">
      <c r="A477" s="5" t="s">
        <v>2431</v>
      </c>
      <c r="B477" s="5" t="s">
        <v>16</v>
      </c>
      <c r="C477" s="5" t="s">
        <v>67</v>
      </c>
      <c r="D477" s="5" t="s">
        <v>6604</v>
      </c>
      <c r="E477" s="5">
        <v>20</v>
      </c>
      <c r="F477" s="5">
        <v>19</v>
      </c>
      <c r="G477" s="5">
        <v>1</v>
      </c>
      <c r="H477" s="5">
        <v>9.49</v>
      </c>
      <c r="I477" s="5">
        <v>14</v>
      </c>
      <c r="J477" s="5">
        <v>6</v>
      </c>
    </row>
    <row r="478" spans="1:10" x14ac:dyDescent="0.3">
      <c r="A478" s="5" t="s">
        <v>2518</v>
      </c>
      <c r="B478" s="5" t="s">
        <v>16</v>
      </c>
      <c r="C478" s="5" t="s">
        <v>164</v>
      </c>
      <c r="D478" s="5" t="s">
        <v>6604</v>
      </c>
      <c r="E478" s="5">
        <v>12</v>
      </c>
      <c r="F478" s="5">
        <v>11</v>
      </c>
      <c r="G478" s="5">
        <v>4</v>
      </c>
      <c r="H478" s="5">
        <v>6.14</v>
      </c>
      <c r="I478" s="5">
        <v>9</v>
      </c>
      <c r="J478" s="5">
        <v>3</v>
      </c>
    </row>
    <row r="479" spans="1:10" x14ac:dyDescent="0.3">
      <c r="A479" s="5" t="s">
        <v>2518</v>
      </c>
      <c r="B479" s="5" t="s">
        <v>16</v>
      </c>
      <c r="C479" s="5" t="s">
        <v>164</v>
      </c>
      <c r="D479" s="5" t="s">
        <v>6604</v>
      </c>
      <c r="E479" s="5">
        <v>3</v>
      </c>
      <c r="F479" s="5">
        <v>1</v>
      </c>
      <c r="G479" s="5">
        <v>4</v>
      </c>
      <c r="H479" s="5">
        <v>4.16</v>
      </c>
      <c r="I479" s="5">
        <v>1</v>
      </c>
      <c r="J479" s="5">
        <v>2</v>
      </c>
    </row>
    <row r="480" spans="1:10" x14ac:dyDescent="0.3">
      <c r="A480" s="5" t="s">
        <v>2415</v>
      </c>
      <c r="B480" s="5" t="s">
        <v>189</v>
      </c>
      <c r="C480" s="5" t="s">
        <v>17</v>
      </c>
      <c r="D480" s="5" t="s">
        <v>6603</v>
      </c>
      <c r="E480" s="5">
        <v>3</v>
      </c>
      <c r="F480" s="5">
        <v>2</v>
      </c>
      <c r="G480" s="5">
        <v>3</v>
      </c>
      <c r="H480" s="5">
        <v>10.91</v>
      </c>
      <c r="I480" s="5">
        <v>2</v>
      </c>
      <c r="J480" s="5">
        <v>1</v>
      </c>
    </row>
    <row r="481" spans="1:10" x14ac:dyDescent="0.3">
      <c r="A481" s="5" t="s">
        <v>2415</v>
      </c>
      <c r="B481" s="5" t="s">
        <v>189</v>
      </c>
      <c r="C481" s="5" t="s">
        <v>17</v>
      </c>
      <c r="D481" s="5" t="s">
        <v>6603</v>
      </c>
      <c r="E481" s="5">
        <v>5</v>
      </c>
      <c r="F481" s="5">
        <v>4</v>
      </c>
      <c r="G481" s="5">
        <v>2</v>
      </c>
      <c r="H481" s="5">
        <v>8.6</v>
      </c>
      <c r="I481" s="5">
        <v>3</v>
      </c>
      <c r="J481" s="5">
        <v>2</v>
      </c>
    </row>
    <row r="482" spans="1:10" x14ac:dyDescent="0.3">
      <c r="A482" s="5" t="s">
        <v>2415</v>
      </c>
      <c r="B482" s="5" t="s">
        <v>189</v>
      </c>
      <c r="C482" s="5" t="s">
        <v>17</v>
      </c>
      <c r="D482" s="5" t="s">
        <v>6603</v>
      </c>
      <c r="E482" s="5">
        <v>17</v>
      </c>
      <c r="F482" s="5">
        <v>15</v>
      </c>
      <c r="G482" s="5">
        <v>4</v>
      </c>
      <c r="H482" s="5">
        <v>7.08</v>
      </c>
      <c r="I482" s="5">
        <v>8</v>
      </c>
      <c r="J482" s="5">
        <v>9</v>
      </c>
    </row>
    <row r="483" spans="1:10" x14ac:dyDescent="0.3">
      <c r="A483" s="5" t="s">
        <v>2415</v>
      </c>
      <c r="B483" s="5" t="s">
        <v>189</v>
      </c>
      <c r="C483" s="5" t="s">
        <v>17</v>
      </c>
      <c r="D483" s="5" t="s">
        <v>6603</v>
      </c>
      <c r="E483" s="5">
        <v>13</v>
      </c>
      <c r="F483" s="5">
        <v>10</v>
      </c>
      <c r="G483" s="5">
        <v>1</v>
      </c>
      <c r="H483" s="5">
        <v>6.44</v>
      </c>
      <c r="I483" s="5">
        <v>6</v>
      </c>
      <c r="J483" s="5">
        <v>7</v>
      </c>
    </row>
    <row r="484" spans="1:10" x14ac:dyDescent="0.3">
      <c r="A484" s="5" t="s">
        <v>2415</v>
      </c>
      <c r="B484" s="5" t="s">
        <v>189</v>
      </c>
      <c r="C484" s="5" t="s">
        <v>17</v>
      </c>
      <c r="D484" s="5" t="s">
        <v>6603</v>
      </c>
      <c r="E484" s="5">
        <v>16</v>
      </c>
      <c r="F484" s="5">
        <v>16</v>
      </c>
      <c r="G484" s="5">
        <v>1</v>
      </c>
      <c r="H484" s="5">
        <v>3.14</v>
      </c>
      <c r="I484" s="5">
        <v>11</v>
      </c>
      <c r="J484" s="5">
        <v>5</v>
      </c>
    </row>
    <row r="485" spans="1:10" x14ac:dyDescent="0.3">
      <c r="A485" s="5" t="s">
        <v>2434</v>
      </c>
      <c r="B485" s="5" t="s">
        <v>16</v>
      </c>
      <c r="C485" s="5" t="s">
        <v>108</v>
      </c>
      <c r="D485" s="5" t="s">
        <v>6603</v>
      </c>
      <c r="E485" s="5">
        <v>4</v>
      </c>
      <c r="F485" s="5">
        <v>2</v>
      </c>
      <c r="G485" s="5">
        <v>2</v>
      </c>
      <c r="H485" s="5">
        <v>10.28</v>
      </c>
      <c r="I485" s="5">
        <v>2</v>
      </c>
      <c r="J485" s="5">
        <v>2</v>
      </c>
    </row>
    <row r="486" spans="1:10" x14ac:dyDescent="0.3">
      <c r="A486" s="5" t="s">
        <v>2434</v>
      </c>
      <c r="B486" s="5" t="s">
        <v>16</v>
      </c>
      <c r="C486" s="5" t="s">
        <v>108</v>
      </c>
      <c r="D486" s="5" t="s">
        <v>6603</v>
      </c>
      <c r="E486" s="5">
        <v>20</v>
      </c>
      <c r="F486" s="5">
        <v>17</v>
      </c>
      <c r="G486" s="5">
        <v>3</v>
      </c>
      <c r="H486" s="5">
        <v>6.72</v>
      </c>
      <c r="I486" s="5">
        <v>13</v>
      </c>
      <c r="J486" s="5">
        <v>7</v>
      </c>
    </row>
    <row r="487" spans="1:10" x14ac:dyDescent="0.3">
      <c r="A487" s="5" t="s">
        <v>2434</v>
      </c>
      <c r="B487" s="5" t="s">
        <v>16</v>
      </c>
      <c r="C487" s="5" t="s">
        <v>108</v>
      </c>
      <c r="D487" s="5" t="s">
        <v>6603</v>
      </c>
      <c r="E487" s="5">
        <v>6</v>
      </c>
      <c r="F487" s="5">
        <v>6</v>
      </c>
      <c r="G487" s="5">
        <v>2</v>
      </c>
      <c r="H487" s="5">
        <v>4.22</v>
      </c>
      <c r="I487" s="5">
        <v>3</v>
      </c>
      <c r="J487" s="5">
        <v>3</v>
      </c>
    </row>
    <row r="488" spans="1:10" x14ac:dyDescent="0.3">
      <c r="A488" s="5" t="s">
        <v>2434</v>
      </c>
      <c r="B488" s="5" t="s">
        <v>16</v>
      </c>
      <c r="C488" s="5" t="s">
        <v>108</v>
      </c>
      <c r="D488" s="5" t="s">
        <v>6603</v>
      </c>
      <c r="E488" s="5">
        <v>12</v>
      </c>
      <c r="F488" s="5">
        <v>12</v>
      </c>
      <c r="G488" s="5">
        <v>2</v>
      </c>
      <c r="H488" s="5">
        <v>11.12</v>
      </c>
      <c r="I488" s="5">
        <v>6</v>
      </c>
      <c r="J488" s="5">
        <v>6</v>
      </c>
    </row>
    <row r="489" spans="1:10" x14ac:dyDescent="0.3">
      <c r="A489" s="5" t="s">
        <v>2469</v>
      </c>
      <c r="B489" s="5" t="s">
        <v>16</v>
      </c>
      <c r="C489" s="5" t="s">
        <v>99</v>
      </c>
      <c r="D489" s="5" t="s">
        <v>6603</v>
      </c>
      <c r="E489" s="5">
        <v>25</v>
      </c>
      <c r="F489" s="5">
        <v>23</v>
      </c>
      <c r="G489" s="5">
        <v>2</v>
      </c>
      <c r="H489" s="5">
        <v>10.91</v>
      </c>
      <c r="I489" s="5">
        <v>13</v>
      </c>
      <c r="J489" s="5">
        <v>12</v>
      </c>
    </row>
    <row r="490" spans="1:10" x14ac:dyDescent="0.3">
      <c r="A490" s="5" t="s">
        <v>2469</v>
      </c>
      <c r="B490" s="5" t="s">
        <v>16</v>
      </c>
      <c r="C490" s="5" t="s">
        <v>99</v>
      </c>
      <c r="D490" s="5" t="s">
        <v>6603</v>
      </c>
      <c r="E490" s="5">
        <v>6</v>
      </c>
      <c r="F490" s="5">
        <v>6</v>
      </c>
      <c r="G490" s="5">
        <v>2</v>
      </c>
      <c r="H490" s="5">
        <v>1.75</v>
      </c>
      <c r="I490" s="5">
        <v>3</v>
      </c>
      <c r="J490" s="5">
        <v>3</v>
      </c>
    </row>
    <row r="491" spans="1:10" x14ac:dyDescent="0.3">
      <c r="A491" s="5" t="s">
        <v>2469</v>
      </c>
      <c r="B491" s="5" t="s">
        <v>16</v>
      </c>
      <c r="C491" s="5" t="s">
        <v>99</v>
      </c>
      <c r="D491" s="5" t="s">
        <v>6603</v>
      </c>
      <c r="E491" s="5">
        <v>24</v>
      </c>
      <c r="F491" s="5">
        <v>21</v>
      </c>
      <c r="G491" s="5">
        <v>1</v>
      </c>
      <c r="H491" s="5">
        <v>7.08</v>
      </c>
      <c r="I491" s="5">
        <v>15</v>
      </c>
      <c r="J491" s="5">
        <v>9</v>
      </c>
    </row>
    <row r="492" spans="1:10" x14ac:dyDescent="0.3">
      <c r="A492" s="5" t="s">
        <v>2536</v>
      </c>
      <c r="B492" s="5" t="s">
        <v>36</v>
      </c>
      <c r="C492" s="5" t="s">
        <v>99</v>
      </c>
      <c r="D492" s="5" t="s">
        <v>6603</v>
      </c>
      <c r="E492" s="5">
        <v>24</v>
      </c>
      <c r="F492" s="5">
        <v>22</v>
      </c>
      <c r="G492" s="5">
        <v>1</v>
      </c>
      <c r="H492" s="5">
        <v>11.96</v>
      </c>
      <c r="I492" s="5">
        <v>14</v>
      </c>
      <c r="J492" s="5">
        <v>10</v>
      </c>
    </row>
    <row r="493" spans="1:10" x14ac:dyDescent="0.3">
      <c r="A493" s="5" t="s">
        <v>2536</v>
      </c>
      <c r="B493" s="5" t="s">
        <v>36</v>
      </c>
      <c r="C493" s="5" t="s">
        <v>99</v>
      </c>
      <c r="D493" s="5" t="s">
        <v>6603</v>
      </c>
      <c r="E493" s="5">
        <v>22</v>
      </c>
      <c r="F493" s="5">
        <v>22</v>
      </c>
      <c r="G493" s="5">
        <v>4</v>
      </c>
      <c r="H493" s="5">
        <v>3.75</v>
      </c>
      <c r="I493" s="5">
        <v>15</v>
      </c>
      <c r="J493" s="5">
        <v>7</v>
      </c>
    </row>
    <row r="494" spans="1:10" x14ac:dyDescent="0.3">
      <c r="A494" s="5" t="s">
        <v>2536</v>
      </c>
      <c r="B494" s="5" t="s">
        <v>36</v>
      </c>
      <c r="C494" s="5" t="s">
        <v>99</v>
      </c>
      <c r="D494" s="5" t="s">
        <v>6603</v>
      </c>
      <c r="E494" s="5">
        <v>15</v>
      </c>
      <c r="F494" s="5">
        <v>14</v>
      </c>
      <c r="G494" s="5">
        <v>3</v>
      </c>
      <c r="H494" s="5">
        <v>7.81</v>
      </c>
      <c r="I494" s="5">
        <v>11</v>
      </c>
      <c r="J494" s="5">
        <v>4</v>
      </c>
    </row>
    <row r="495" spans="1:10" x14ac:dyDescent="0.3">
      <c r="A495" s="5" t="s">
        <v>2532</v>
      </c>
      <c r="B495" s="5" t="s">
        <v>36</v>
      </c>
      <c r="C495" s="5" t="s">
        <v>67</v>
      </c>
      <c r="D495" s="5" t="s">
        <v>6603</v>
      </c>
      <c r="E495" s="5">
        <v>14</v>
      </c>
      <c r="F495" s="5">
        <v>13</v>
      </c>
      <c r="G495" s="5">
        <v>4</v>
      </c>
      <c r="H495" s="5">
        <v>1.63</v>
      </c>
      <c r="I495" s="5">
        <v>9</v>
      </c>
      <c r="J495" s="5">
        <v>5</v>
      </c>
    </row>
    <row r="496" spans="1:10" x14ac:dyDescent="0.3">
      <c r="A496" s="5" t="s">
        <v>2532</v>
      </c>
      <c r="B496" s="5" t="s">
        <v>36</v>
      </c>
      <c r="C496" s="5" t="s">
        <v>67</v>
      </c>
      <c r="D496" s="5" t="s">
        <v>6603</v>
      </c>
      <c r="E496" s="5">
        <v>22</v>
      </c>
      <c r="F496" s="5">
        <v>22</v>
      </c>
      <c r="G496" s="5">
        <v>4</v>
      </c>
      <c r="H496" s="5">
        <v>4.8</v>
      </c>
      <c r="I496" s="5">
        <v>14</v>
      </c>
      <c r="J496" s="5">
        <v>8</v>
      </c>
    </row>
    <row r="497" spans="1:10" x14ac:dyDescent="0.3">
      <c r="A497" s="5" t="s">
        <v>2490</v>
      </c>
      <c r="B497" s="5" t="s">
        <v>36</v>
      </c>
      <c r="C497" s="5" t="s">
        <v>28</v>
      </c>
      <c r="D497" s="5" t="s">
        <v>6603</v>
      </c>
      <c r="E497" s="5">
        <v>25</v>
      </c>
      <c r="F497" s="5">
        <v>24</v>
      </c>
      <c r="G497" s="5">
        <v>2</v>
      </c>
      <c r="H497" s="5">
        <v>6.78</v>
      </c>
      <c r="I497" s="5">
        <v>17</v>
      </c>
      <c r="J497" s="5">
        <v>8</v>
      </c>
    </row>
    <row r="498" spans="1:10" x14ac:dyDescent="0.3">
      <c r="A498" s="5" t="s">
        <v>2490</v>
      </c>
      <c r="B498" s="5" t="s">
        <v>36</v>
      </c>
      <c r="C498" s="5" t="s">
        <v>28</v>
      </c>
      <c r="D498" s="5" t="s">
        <v>6603</v>
      </c>
      <c r="E498" s="5">
        <v>21</v>
      </c>
      <c r="F498" s="5">
        <v>18</v>
      </c>
      <c r="G498" s="5">
        <v>2</v>
      </c>
      <c r="H498" s="5">
        <v>8.1199999999999992</v>
      </c>
      <c r="I498" s="5">
        <v>14</v>
      </c>
      <c r="J498" s="5">
        <v>7</v>
      </c>
    </row>
    <row r="499" spans="1:10" x14ac:dyDescent="0.3">
      <c r="A499" s="5" t="s">
        <v>2561</v>
      </c>
      <c r="B499" s="5" t="s">
        <v>36</v>
      </c>
      <c r="C499" s="5" t="s">
        <v>74</v>
      </c>
      <c r="D499" s="5" t="s">
        <v>6603</v>
      </c>
      <c r="E499" s="5">
        <v>8</v>
      </c>
      <c r="F499" s="5">
        <v>7</v>
      </c>
      <c r="G499" s="5">
        <v>2</v>
      </c>
      <c r="H499" s="5">
        <v>9.74</v>
      </c>
      <c r="I499" s="5">
        <v>4</v>
      </c>
      <c r="J499" s="5">
        <v>4</v>
      </c>
    </row>
    <row r="500" spans="1:10" x14ac:dyDescent="0.3">
      <c r="A500" s="5" t="s">
        <v>2407</v>
      </c>
      <c r="B500" s="5" t="s">
        <v>66</v>
      </c>
      <c r="C500" s="5" t="s">
        <v>93</v>
      </c>
      <c r="D500" s="5" t="s">
        <v>6603</v>
      </c>
      <c r="E500" s="5">
        <v>11</v>
      </c>
      <c r="F500" s="5">
        <v>8</v>
      </c>
      <c r="G500" s="5">
        <v>2</v>
      </c>
      <c r="H500" s="5">
        <v>7.82</v>
      </c>
      <c r="I500" s="5">
        <v>8</v>
      </c>
      <c r="J500" s="5">
        <v>3</v>
      </c>
    </row>
    <row r="501" spans="1:10" x14ac:dyDescent="0.3">
      <c r="A501" s="5" t="s">
        <v>2407</v>
      </c>
      <c r="B501" s="5" t="s">
        <v>66</v>
      </c>
      <c r="C501" s="5" t="s">
        <v>93</v>
      </c>
      <c r="D501" s="5" t="s">
        <v>6603</v>
      </c>
      <c r="E501" s="5">
        <v>3</v>
      </c>
      <c r="F501" s="5">
        <v>1</v>
      </c>
      <c r="G501" s="5">
        <v>2</v>
      </c>
      <c r="H501" s="5">
        <v>3.91</v>
      </c>
      <c r="I501" s="5">
        <v>1</v>
      </c>
      <c r="J501" s="5">
        <v>2</v>
      </c>
    </row>
    <row r="502" spans="1:10" x14ac:dyDescent="0.3">
      <c r="A502" s="5" t="s">
        <v>2407</v>
      </c>
      <c r="B502" s="5" t="s">
        <v>66</v>
      </c>
      <c r="C502" s="5" t="s">
        <v>93</v>
      </c>
      <c r="D502" s="5" t="s">
        <v>6603</v>
      </c>
      <c r="E502" s="5">
        <v>15</v>
      </c>
      <c r="F502" s="5">
        <v>14</v>
      </c>
      <c r="G502" s="5">
        <v>2</v>
      </c>
      <c r="H502" s="5">
        <v>5.09</v>
      </c>
      <c r="I502" s="5">
        <v>7</v>
      </c>
      <c r="J502" s="5">
        <v>8</v>
      </c>
    </row>
    <row r="503" spans="1:10" x14ac:dyDescent="0.3">
      <c r="A503" s="5" t="s">
        <v>2466</v>
      </c>
      <c r="B503" s="5" t="s">
        <v>66</v>
      </c>
      <c r="C503" s="5" t="s">
        <v>67</v>
      </c>
      <c r="D503" s="5" t="s">
        <v>6603</v>
      </c>
      <c r="E503" s="5">
        <v>18</v>
      </c>
      <c r="F503" s="5">
        <v>18</v>
      </c>
      <c r="G503" s="5">
        <v>1</v>
      </c>
      <c r="H503" s="5">
        <v>3.64</v>
      </c>
      <c r="I503" s="5">
        <v>14</v>
      </c>
      <c r="J503" s="5">
        <v>4</v>
      </c>
    </row>
    <row r="504" spans="1:10" x14ac:dyDescent="0.3">
      <c r="A504" s="5" t="s">
        <v>2521</v>
      </c>
      <c r="B504" s="5" t="s">
        <v>66</v>
      </c>
      <c r="C504" s="5" t="s">
        <v>99</v>
      </c>
      <c r="D504" s="5" t="s">
        <v>6603</v>
      </c>
      <c r="E504" s="5">
        <v>12</v>
      </c>
      <c r="F504" s="5">
        <v>11</v>
      </c>
      <c r="G504" s="5">
        <v>2</v>
      </c>
      <c r="H504" s="5">
        <v>6.54</v>
      </c>
      <c r="I504" s="5">
        <v>9</v>
      </c>
      <c r="J504" s="5">
        <v>3</v>
      </c>
    </row>
    <row r="505" spans="1:10" x14ac:dyDescent="0.3">
      <c r="A505" s="5" t="s">
        <v>2521</v>
      </c>
      <c r="B505" s="5" t="s">
        <v>66</v>
      </c>
      <c r="C505" s="5" t="s">
        <v>99</v>
      </c>
      <c r="D505" s="5" t="s">
        <v>6603</v>
      </c>
      <c r="E505" s="5">
        <v>11</v>
      </c>
      <c r="F505" s="5">
        <v>11</v>
      </c>
      <c r="G505" s="5">
        <v>1</v>
      </c>
      <c r="H505" s="5">
        <v>5.37</v>
      </c>
      <c r="I505" s="5">
        <v>9</v>
      </c>
      <c r="J505" s="5">
        <v>2</v>
      </c>
    </row>
    <row r="506" spans="1:10" x14ac:dyDescent="0.3">
      <c r="A506" s="5" t="s">
        <v>2521</v>
      </c>
      <c r="B506" s="5" t="s">
        <v>66</v>
      </c>
      <c r="C506" s="5" t="s">
        <v>99</v>
      </c>
      <c r="D506" s="5" t="s">
        <v>6603</v>
      </c>
      <c r="E506" s="5">
        <v>20</v>
      </c>
      <c r="F506" s="5">
        <v>17</v>
      </c>
      <c r="G506" s="5">
        <v>4</v>
      </c>
      <c r="H506" s="5">
        <v>11.3</v>
      </c>
      <c r="I506" s="5">
        <v>14</v>
      </c>
      <c r="J506" s="5">
        <v>6</v>
      </c>
    </row>
    <row r="507" spans="1:10" x14ac:dyDescent="0.3">
      <c r="A507" s="5" t="s">
        <v>2411</v>
      </c>
      <c r="B507" s="5" t="s">
        <v>55</v>
      </c>
      <c r="C507" s="5" t="s">
        <v>108</v>
      </c>
      <c r="D507" s="5" t="s">
        <v>6603</v>
      </c>
      <c r="E507" s="5">
        <v>18</v>
      </c>
      <c r="F507" s="5">
        <v>17</v>
      </c>
      <c r="G507" s="5">
        <v>4</v>
      </c>
      <c r="H507" s="5">
        <v>3.01</v>
      </c>
      <c r="I507" s="5">
        <v>14</v>
      </c>
      <c r="J507" s="5">
        <v>4</v>
      </c>
    </row>
    <row r="508" spans="1:10" x14ac:dyDescent="0.3">
      <c r="A508" s="5" t="s">
        <v>2411</v>
      </c>
      <c r="B508" s="5" t="s">
        <v>55</v>
      </c>
      <c r="C508" s="5" t="s">
        <v>108</v>
      </c>
      <c r="D508" s="5" t="s">
        <v>6603</v>
      </c>
      <c r="E508" s="5">
        <v>10</v>
      </c>
      <c r="F508" s="5">
        <v>8</v>
      </c>
      <c r="G508" s="5">
        <v>3</v>
      </c>
      <c r="H508" s="5">
        <v>2.23</v>
      </c>
      <c r="I508" s="5">
        <v>5</v>
      </c>
      <c r="J508" s="5">
        <v>5</v>
      </c>
    </row>
    <row r="509" spans="1:10" x14ac:dyDescent="0.3">
      <c r="A509" s="5" t="s">
        <v>2411</v>
      </c>
      <c r="B509" s="5" t="s">
        <v>55</v>
      </c>
      <c r="C509" s="5" t="s">
        <v>108</v>
      </c>
      <c r="D509" s="5" t="s">
        <v>6603</v>
      </c>
      <c r="E509" s="5">
        <v>24</v>
      </c>
      <c r="F509" s="5">
        <v>24</v>
      </c>
      <c r="G509" s="5">
        <v>4</v>
      </c>
      <c r="H509" s="5">
        <v>11.28</v>
      </c>
      <c r="I509" s="5">
        <v>12</v>
      </c>
      <c r="J509" s="5">
        <v>12</v>
      </c>
    </row>
    <row r="510" spans="1:10" x14ac:dyDescent="0.3">
      <c r="A510" s="5" t="s">
        <v>2459</v>
      </c>
      <c r="B510" s="5" t="s">
        <v>189</v>
      </c>
      <c r="C510" s="5" t="s">
        <v>67</v>
      </c>
      <c r="D510" s="5" t="s">
        <v>6603</v>
      </c>
      <c r="E510" s="5">
        <v>14</v>
      </c>
      <c r="F510" s="5">
        <v>14</v>
      </c>
      <c r="G510" s="5">
        <v>2</v>
      </c>
      <c r="H510" s="5">
        <v>5.46</v>
      </c>
      <c r="I510" s="5">
        <v>10</v>
      </c>
      <c r="J510" s="5">
        <v>4</v>
      </c>
    </row>
    <row r="511" spans="1:10" x14ac:dyDescent="0.3">
      <c r="A511" s="5" t="s">
        <v>2459</v>
      </c>
      <c r="B511" s="5" t="s">
        <v>189</v>
      </c>
      <c r="C511" s="5" t="s">
        <v>67</v>
      </c>
      <c r="D511" s="5" t="s">
        <v>6603</v>
      </c>
      <c r="E511" s="5">
        <v>3</v>
      </c>
      <c r="F511" s="5">
        <v>3</v>
      </c>
      <c r="G511" s="5">
        <v>4</v>
      </c>
      <c r="H511" s="5">
        <v>5.05</v>
      </c>
      <c r="I511" s="5">
        <v>1</v>
      </c>
      <c r="J511" s="5">
        <v>2</v>
      </c>
    </row>
    <row r="512" spans="1:10" x14ac:dyDescent="0.3">
      <c r="A512" s="5" t="s">
        <v>2629</v>
      </c>
      <c r="B512" s="5" t="s">
        <v>55</v>
      </c>
      <c r="C512" s="5" t="s">
        <v>164</v>
      </c>
      <c r="D512" s="5" t="s">
        <v>6603</v>
      </c>
      <c r="E512" s="5">
        <v>7</v>
      </c>
      <c r="F512" s="5">
        <v>6</v>
      </c>
      <c r="G512" s="5">
        <v>3</v>
      </c>
      <c r="H512" s="5">
        <v>4.92</v>
      </c>
      <c r="I512" s="5">
        <v>3</v>
      </c>
      <c r="J512" s="5">
        <v>4</v>
      </c>
    </row>
    <row r="513" spans="1:10" x14ac:dyDescent="0.3">
      <c r="A513" s="5" t="s">
        <v>2629</v>
      </c>
      <c r="B513" s="5" t="s">
        <v>55</v>
      </c>
      <c r="C513" s="5" t="s">
        <v>164</v>
      </c>
      <c r="D513" s="5" t="s">
        <v>6603</v>
      </c>
      <c r="E513" s="5">
        <v>8</v>
      </c>
      <c r="F513" s="5">
        <v>7</v>
      </c>
      <c r="G513" s="5">
        <v>4</v>
      </c>
      <c r="H513" s="5">
        <v>9.8800000000000008</v>
      </c>
      <c r="I513" s="5">
        <v>4</v>
      </c>
      <c r="J513" s="5">
        <v>4</v>
      </c>
    </row>
    <row r="514" spans="1:10" x14ac:dyDescent="0.3">
      <c r="A514" s="5" t="s">
        <v>2629</v>
      </c>
      <c r="B514" s="5" t="s">
        <v>55</v>
      </c>
      <c r="C514" s="5" t="s">
        <v>164</v>
      </c>
      <c r="D514" s="5" t="s">
        <v>6603</v>
      </c>
      <c r="E514" s="5">
        <v>24</v>
      </c>
      <c r="F514" s="5">
        <v>22</v>
      </c>
      <c r="G514" s="5">
        <v>3</v>
      </c>
      <c r="H514" s="5">
        <v>5.57</v>
      </c>
      <c r="I514" s="5">
        <v>16</v>
      </c>
      <c r="J514" s="5">
        <v>8</v>
      </c>
    </row>
    <row r="515" spans="1:10" x14ac:dyDescent="0.3">
      <c r="A515" s="5" t="s">
        <v>2422</v>
      </c>
      <c r="B515" s="5" t="s">
        <v>55</v>
      </c>
      <c r="C515" s="5" t="s">
        <v>28</v>
      </c>
      <c r="D515" s="5" t="s">
        <v>6603</v>
      </c>
      <c r="E515" s="5">
        <v>25</v>
      </c>
      <c r="F515" s="5">
        <v>23</v>
      </c>
      <c r="G515" s="5">
        <v>4</v>
      </c>
      <c r="H515" s="5">
        <v>9.39</v>
      </c>
      <c r="I515" s="5">
        <v>16</v>
      </c>
      <c r="J515" s="5">
        <v>9</v>
      </c>
    </row>
    <row r="516" spans="1:10" x14ac:dyDescent="0.3">
      <c r="A516" s="5" t="s">
        <v>2422</v>
      </c>
      <c r="B516" s="5" t="s">
        <v>55</v>
      </c>
      <c r="C516" s="5" t="s">
        <v>28</v>
      </c>
      <c r="D516" s="5" t="s">
        <v>6603</v>
      </c>
      <c r="E516" s="5">
        <v>6</v>
      </c>
      <c r="F516" s="5">
        <v>3</v>
      </c>
      <c r="G516" s="5">
        <v>1</v>
      </c>
      <c r="H516" s="5">
        <v>7.09</v>
      </c>
      <c r="I516" s="5">
        <v>3</v>
      </c>
      <c r="J516" s="5">
        <v>3</v>
      </c>
    </row>
    <row r="517" spans="1:10" x14ac:dyDescent="0.3">
      <c r="A517" s="5" t="s">
        <v>2422</v>
      </c>
      <c r="B517" s="5" t="s">
        <v>55</v>
      </c>
      <c r="C517" s="5" t="s">
        <v>28</v>
      </c>
      <c r="D517" s="5" t="s">
        <v>6603</v>
      </c>
      <c r="E517" s="5">
        <v>25</v>
      </c>
      <c r="F517" s="5">
        <v>22</v>
      </c>
      <c r="G517" s="5">
        <v>4</v>
      </c>
      <c r="H517" s="5">
        <v>4.29</v>
      </c>
      <c r="I517" s="5">
        <v>14</v>
      </c>
      <c r="J517" s="5">
        <v>11</v>
      </c>
    </row>
    <row r="518" spans="1:10" x14ac:dyDescent="0.3">
      <c r="A518" s="5" t="s">
        <v>2422</v>
      </c>
      <c r="B518" s="5" t="s">
        <v>55</v>
      </c>
      <c r="C518" s="5" t="s">
        <v>28</v>
      </c>
      <c r="D518" s="5" t="s">
        <v>6603</v>
      </c>
      <c r="E518" s="5">
        <v>14</v>
      </c>
      <c r="F518" s="5">
        <v>11</v>
      </c>
      <c r="G518" s="5">
        <v>2</v>
      </c>
      <c r="H518" s="5">
        <v>10.27</v>
      </c>
      <c r="I518" s="5">
        <v>8</v>
      </c>
      <c r="J518" s="5">
        <v>6</v>
      </c>
    </row>
    <row r="519" spans="1:10" x14ac:dyDescent="0.3">
      <c r="A519" s="5" t="s">
        <v>2438</v>
      </c>
      <c r="B519" s="5" t="s">
        <v>55</v>
      </c>
      <c r="C519" s="5" t="s">
        <v>74</v>
      </c>
      <c r="D519" s="5" t="s">
        <v>6603</v>
      </c>
      <c r="E519" s="5">
        <v>7</v>
      </c>
      <c r="F519" s="5">
        <v>7</v>
      </c>
      <c r="G519" s="5">
        <v>1</v>
      </c>
      <c r="H519" s="5">
        <v>8.94</v>
      </c>
      <c r="I519" s="5">
        <v>3</v>
      </c>
      <c r="J519" s="5">
        <v>4</v>
      </c>
    </row>
    <row r="520" spans="1:10" x14ac:dyDescent="0.3">
      <c r="A520" s="5" t="s">
        <v>2438</v>
      </c>
      <c r="B520" s="5" t="s">
        <v>55</v>
      </c>
      <c r="C520" s="5" t="s">
        <v>74</v>
      </c>
      <c r="D520" s="5" t="s">
        <v>6603</v>
      </c>
      <c r="E520" s="5">
        <v>14</v>
      </c>
      <c r="F520" s="5">
        <v>13</v>
      </c>
      <c r="G520" s="5">
        <v>4</v>
      </c>
      <c r="H520" s="5">
        <v>8.35</v>
      </c>
      <c r="I520" s="5">
        <v>9</v>
      </c>
      <c r="J520" s="5">
        <v>5</v>
      </c>
    </row>
    <row r="521" spans="1:10" x14ac:dyDescent="0.3">
      <c r="A521" s="5" t="s">
        <v>2438</v>
      </c>
      <c r="B521" s="5" t="s">
        <v>55</v>
      </c>
      <c r="C521" s="5" t="s">
        <v>74</v>
      </c>
      <c r="D521" s="5" t="s">
        <v>6603</v>
      </c>
      <c r="E521" s="5">
        <v>13</v>
      </c>
      <c r="F521" s="5">
        <v>12</v>
      </c>
      <c r="G521" s="5">
        <v>1</v>
      </c>
      <c r="H521" s="5">
        <v>9.75</v>
      </c>
      <c r="I521" s="5">
        <v>6</v>
      </c>
      <c r="J521" s="5">
        <v>7</v>
      </c>
    </row>
    <row r="522" spans="1:10" x14ac:dyDescent="0.3">
      <c r="A522" s="5" t="s">
        <v>2427</v>
      </c>
      <c r="B522" s="5" t="s">
        <v>55</v>
      </c>
      <c r="C522" s="5" t="s">
        <v>93</v>
      </c>
      <c r="D522" s="5" t="s">
        <v>6603</v>
      </c>
      <c r="E522" s="5">
        <v>16</v>
      </c>
      <c r="F522" s="5">
        <v>14</v>
      </c>
      <c r="G522" s="5">
        <v>4</v>
      </c>
      <c r="H522" s="5">
        <v>7.06</v>
      </c>
      <c r="I522" s="5">
        <v>12</v>
      </c>
      <c r="J522" s="5">
        <v>4</v>
      </c>
    </row>
    <row r="523" spans="1:10" x14ac:dyDescent="0.3">
      <c r="A523" s="5" t="s">
        <v>2427</v>
      </c>
      <c r="B523" s="5" t="s">
        <v>55</v>
      </c>
      <c r="C523" s="5" t="s">
        <v>93</v>
      </c>
      <c r="D523" s="5" t="s">
        <v>6603</v>
      </c>
      <c r="E523" s="5">
        <v>24</v>
      </c>
      <c r="F523" s="5">
        <v>24</v>
      </c>
      <c r="G523" s="5">
        <v>2</v>
      </c>
      <c r="H523" s="5">
        <v>5.27</v>
      </c>
      <c r="I523" s="5">
        <v>19</v>
      </c>
      <c r="J523" s="5">
        <v>5</v>
      </c>
    </row>
    <row r="524" spans="1:10" x14ac:dyDescent="0.3">
      <c r="A524" s="5" t="s">
        <v>2485</v>
      </c>
      <c r="B524" s="5" t="s">
        <v>61</v>
      </c>
      <c r="C524" s="5" t="s">
        <v>99</v>
      </c>
      <c r="D524" s="5" t="s">
        <v>6603</v>
      </c>
      <c r="E524" s="5">
        <v>19</v>
      </c>
      <c r="F524" s="5">
        <v>16</v>
      </c>
      <c r="G524" s="5">
        <v>3</v>
      </c>
      <c r="H524" s="5">
        <v>6.01</v>
      </c>
      <c r="I524" s="5">
        <v>12</v>
      </c>
      <c r="J524" s="5">
        <v>7</v>
      </c>
    </row>
    <row r="525" spans="1:10" x14ac:dyDescent="0.3">
      <c r="A525" s="5" t="s">
        <v>2485</v>
      </c>
      <c r="B525" s="5" t="s">
        <v>61</v>
      </c>
      <c r="C525" s="5" t="s">
        <v>99</v>
      </c>
      <c r="D525" s="5" t="s">
        <v>6603</v>
      </c>
      <c r="E525" s="5">
        <v>19</v>
      </c>
      <c r="F525" s="5">
        <v>17</v>
      </c>
      <c r="G525" s="5">
        <v>3</v>
      </c>
      <c r="H525" s="5">
        <v>8.5399999999999991</v>
      </c>
      <c r="I525" s="5">
        <v>15</v>
      </c>
      <c r="J525" s="5">
        <v>4</v>
      </c>
    </row>
    <row r="526" spans="1:10" x14ac:dyDescent="0.3">
      <c r="A526" s="5" t="s">
        <v>2449</v>
      </c>
      <c r="B526" s="5" t="s">
        <v>61</v>
      </c>
      <c r="C526" s="5" t="s">
        <v>108</v>
      </c>
      <c r="D526" s="5" t="s">
        <v>6603</v>
      </c>
      <c r="E526" s="5">
        <v>10</v>
      </c>
      <c r="F526" s="5">
        <v>10</v>
      </c>
      <c r="G526" s="5">
        <v>3</v>
      </c>
      <c r="H526" s="5">
        <v>11.82</v>
      </c>
      <c r="I526" s="5">
        <v>6</v>
      </c>
      <c r="J526" s="5">
        <v>4</v>
      </c>
    </row>
    <row r="527" spans="1:10" x14ac:dyDescent="0.3">
      <c r="A527" s="5" t="s">
        <v>2449</v>
      </c>
      <c r="B527" s="5" t="s">
        <v>61</v>
      </c>
      <c r="C527" s="5" t="s">
        <v>108</v>
      </c>
      <c r="D527" s="5" t="s">
        <v>6603</v>
      </c>
      <c r="E527" s="5">
        <v>18</v>
      </c>
      <c r="F527" s="5">
        <v>15</v>
      </c>
      <c r="G527" s="5">
        <v>3</v>
      </c>
      <c r="H527" s="5">
        <v>10.050000000000001</v>
      </c>
      <c r="I527" s="5">
        <v>13</v>
      </c>
      <c r="J527" s="5">
        <v>5</v>
      </c>
    </row>
    <row r="528" spans="1:10" x14ac:dyDescent="0.3">
      <c r="A528" s="5" t="s">
        <v>2577</v>
      </c>
      <c r="B528" s="5" t="s">
        <v>61</v>
      </c>
      <c r="C528" s="5" t="s">
        <v>67</v>
      </c>
      <c r="D528" s="5" t="s">
        <v>6603</v>
      </c>
      <c r="E528" s="5">
        <v>6</v>
      </c>
      <c r="F528" s="5">
        <v>6</v>
      </c>
      <c r="G528" s="5">
        <v>3</v>
      </c>
      <c r="H528" s="5">
        <v>10.4</v>
      </c>
      <c r="I528" s="5">
        <v>3</v>
      </c>
      <c r="J528" s="5">
        <v>3</v>
      </c>
    </row>
    <row r="529" spans="1:10" x14ac:dyDescent="0.3">
      <c r="A529" s="5" t="s">
        <v>2577</v>
      </c>
      <c r="B529" s="5" t="s">
        <v>61</v>
      </c>
      <c r="C529" s="5" t="s">
        <v>67</v>
      </c>
      <c r="D529" s="5" t="s">
        <v>6603</v>
      </c>
      <c r="E529" s="5">
        <v>24</v>
      </c>
      <c r="F529" s="5">
        <v>21</v>
      </c>
      <c r="G529" s="5">
        <v>3</v>
      </c>
      <c r="H529" s="5">
        <v>11.4</v>
      </c>
      <c r="I529" s="5">
        <v>12</v>
      </c>
      <c r="J529" s="5">
        <v>12</v>
      </c>
    </row>
    <row r="530" spans="1:10" x14ac:dyDescent="0.3">
      <c r="A530" s="5" t="s">
        <v>2454</v>
      </c>
      <c r="B530" s="5" t="s">
        <v>61</v>
      </c>
      <c r="C530" s="5" t="s">
        <v>17</v>
      </c>
      <c r="D530" s="5" t="s">
        <v>6603</v>
      </c>
      <c r="E530" s="5">
        <v>6</v>
      </c>
      <c r="F530" s="5">
        <v>4</v>
      </c>
      <c r="G530" s="5">
        <v>2</v>
      </c>
      <c r="H530" s="5">
        <v>3.89</v>
      </c>
      <c r="I530" s="5">
        <v>3</v>
      </c>
      <c r="J530" s="5">
        <v>3</v>
      </c>
    </row>
    <row r="531" spans="1:10" x14ac:dyDescent="0.3">
      <c r="A531" s="5" t="s">
        <v>2454</v>
      </c>
      <c r="B531" s="5" t="s">
        <v>61</v>
      </c>
      <c r="C531" s="5" t="s">
        <v>17</v>
      </c>
      <c r="D531" s="5" t="s">
        <v>6603</v>
      </c>
      <c r="E531" s="5">
        <v>9</v>
      </c>
      <c r="F531" s="5">
        <v>8</v>
      </c>
      <c r="G531" s="5">
        <v>3</v>
      </c>
      <c r="H531" s="5">
        <v>5.37</v>
      </c>
      <c r="I531" s="5">
        <v>5</v>
      </c>
      <c r="J531" s="5">
        <v>4</v>
      </c>
    </row>
    <row r="532" spans="1:10" x14ac:dyDescent="0.3">
      <c r="A532" s="5" t="s">
        <v>2454</v>
      </c>
      <c r="B532" s="5" t="s">
        <v>61</v>
      </c>
      <c r="C532" s="5" t="s">
        <v>17</v>
      </c>
      <c r="D532" s="5" t="s">
        <v>6603</v>
      </c>
      <c r="E532" s="5">
        <v>22</v>
      </c>
      <c r="F532" s="5">
        <v>20</v>
      </c>
      <c r="G532" s="5">
        <v>1</v>
      </c>
      <c r="H532" s="5">
        <v>2.76</v>
      </c>
      <c r="I532" s="5">
        <v>14</v>
      </c>
      <c r="J532" s="5">
        <v>8</v>
      </c>
    </row>
    <row r="533" spans="1:10" x14ac:dyDescent="0.3">
      <c r="A533" s="5" t="s">
        <v>2481</v>
      </c>
      <c r="B533" s="5" t="s">
        <v>80</v>
      </c>
      <c r="C533" s="5" t="s">
        <v>37</v>
      </c>
      <c r="D533" s="5" t="s">
        <v>6603</v>
      </c>
      <c r="E533" s="5">
        <v>6</v>
      </c>
      <c r="F533" s="5">
        <v>4</v>
      </c>
      <c r="G533" s="5">
        <v>1</v>
      </c>
      <c r="H533" s="5">
        <v>4.13</v>
      </c>
      <c r="I533" s="5">
        <v>3</v>
      </c>
      <c r="J533" s="5">
        <v>3</v>
      </c>
    </row>
    <row r="534" spans="1:10" x14ac:dyDescent="0.3">
      <c r="A534" s="5" t="s">
        <v>2481</v>
      </c>
      <c r="B534" s="5" t="s">
        <v>80</v>
      </c>
      <c r="C534" s="5" t="s">
        <v>37</v>
      </c>
      <c r="D534" s="5" t="s">
        <v>6603</v>
      </c>
      <c r="E534" s="5">
        <v>17</v>
      </c>
      <c r="F534" s="5">
        <v>17</v>
      </c>
      <c r="G534" s="5">
        <v>3</v>
      </c>
      <c r="H534" s="5">
        <v>1.52</v>
      </c>
      <c r="I534" s="5">
        <v>10</v>
      </c>
      <c r="J534" s="5">
        <v>7</v>
      </c>
    </row>
    <row r="535" spans="1:10" x14ac:dyDescent="0.3">
      <c r="A535" s="5" t="s">
        <v>2473</v>
      </c>
      <c r="B535" s="5" t="s">
        <v>80</v>
      </c>
      <c r="C535" s="5" t="s">
        <v>93</v>
      </c>
      <c r="D535" s="5" t="s">
        <v>6603</v>
      </c>
      <c r="E535" s="5">
        <v>3</v>
      </c>
      <c r="F535" s="5">
        <v>3</v>
      </c>
      <c r="G535" s="5">
        <v>4</v>
      </c>
      <c r="H535" s="5">
        <v>9.1300000000000008</v>
      </c>
      <c r="I535" s="5">
        <v>1</v>
      </c>
      <c r="J535" s="5">
        <v>2</v>
      </c>
    </row>
    <row r="536" spans="1:10" x14ac:dyDescent="0.3">
      <c r="A536" s="5" t="s">
        <v>2730</v>
      </c>
      <c r="B536" s="5" t="s">
        <v>189</v>
      </c>
      <c r="C536" s="5" t="s">
        <v>74</v>
      </c>
      <c r="D536" s="5" t="s">
        <v>6603</v>
      </c>
      <c r="E536" s="5">
        <v>23</v>
      </c>
      <c r="F536" s="5">
        <v>21</v>
      </c>
      <c r="G536" s="5">
        <v>4</v>
      </c>
      <c r="H536" s="5">
        <v>1.59</v>
      </c>
      <c r="I536" s="5">
        <v>16</v>
      </c>
      <c r="J536" s="5">
        <v>7</v>
      </c>
    </row>
    <row r="537" spans="1:10" x14ac:dyDescent="0.3">
      <c r="A537" s="5" t="s">
        <v>2730</v>
      </c>
      <c r="B537" s="5" t="s">
        <v>189</v>
      </c>
      <c r="C537" s="5" t="s">
        <v>74</v>
      </c>
      <c r="D537" s="5" t="s">
        <v>6603</v>
      </c>
      <c r="E537" s="5">
        <v>13</v>
      </c>
      <c r="F537" s="5">
        <v>11</v>
      </c>
      <c r="G537" s="5">
        <v>4</v>
      </c>
      <c r="H537" s="5">
        <v>7.55</v>
      </c>
      <c r="I537" s="5">
        <v>10</v>
      </c>
      <c r="J537" s="5">
        <v>3</v>
      </c>
    </row>
    <row r="538" spans="1:10" x14ac:dyDescent="0.3">
      <c r="A538" s="5" t="s">
        <v>2730</v>
      </c>
      <c r="B538" s="5" t="s">
        <v>189</v>
      </c>
      <c r="C538" s="5" t="s">
        <v>74</v>
      </c>
      <c r="D538" s="5" t="s">
        <v>6603</v>
      </c>
      <c r="E538" s="5">
        <v>6</v>
      </c>
      <c r="F538" s="5">
        <v>4</v>
      </c>
      <c r="G538" s="5">
        <v>1</v>
      </c>
      <c r="H538" s="5">
        <v>2.29</v>
      </c>
      <c r="I538" s="5">
        <v>4</v>
      </c>
      <c r="J538" s="5">
        <v>2</v>
      </c>
    </row>
    <row r="539" spans="1:10" x14ac:dyDescent="0.3">
      <c r="A539" s="5" t="s">
        <v>2730</v>
      </c>
      <c r="B539" s="5" t="s">
        <v>189</v>
      </c>
      <c r="C539" s="5" t="s">
        <v>74</v>
      </c>
      <c r="D539" s="5" t="s">
        <v>6603</v>
      </c>
      <c r="E539" s="5">
        <v>8</v>
      </c>
      <c r="F539" s="5">
        <v>5</v>
      </c>
      <c r="G539" s="5">
        <v>3</v>
      </c>
      <c r="H539" s="5">
        <v>5.6</v>
      </c>
      <c r="I539" s="5">
        <v>6</v>
      </c>
      <c r="J539" s="5">
        <v>2</v>
      </c>
    </row>
    <row r="540" spans="1:10" x14ac:dyDescent="0.3">
      <c r="A540" s="5" t="s">
        <v>2514</v>
      </c>
      <c r="B540" s="5" t="s">
        <v>80</v>
      </c>
      <c r="C540" s="5" t="s">
        <v>47</v>
      </c>
      <c r="D540" s="5" t="s">
        <v>6603</v>
      </c>
      <c r="E540" s="5">
        <v>4</v>
      </c>
      <c r="F540" s="5">
        <v>1</v>
      </c>
      <c r="G540" s="5">
        <v>2</v>
      </c>
      <c r="H540" s="5">
        <v>9.59</v>
      </c>
      <c r="I540" s="5">
        <v>2</v>
      </c>
      <c r="J540" s="5">
        <v>2</v>
      </c>
    </row>
    <row r="541" spans="1:10" x14ac:dyDescent="0.3">
      <c r="A541" s="5" t="s">
        <v>2514</v>
      </c>
      <c r="B541" s="5" t="s">
        <v>80</v>
      </c>
      <c r="C541" s="5" t="s">
        <v>47</v>
      </c>
      <c r="D541" s="5" t="s">
        <v>6603</v>
      </c>
      <c r="E541" s="5">
        <v>21</v>
      </c>
      <c r="F541" s="5">
        <v>21</v>
      </c>
      <c r="G541" s="5">
        <v>1</v>
      </c>
      <c r="H541" s="5">
        <v>2</v>
      </c>
      <c r="I541" s="5">
        <v>17</v>
      </c>
      <c r="J541" s="5">
        <v>4</v>
      </c>
    </row>
    <row r="542" spans="1:10" x14ac:dyDescent="0.3">
      <c r="A542" s="5" t="s">
        <v>2514</v>
      </c>
      <c r="B542" s="5" t="s">
        <v>80</v>
      </c>
      <c r="C542" s="5" t="s">
        <v>47</v>
      </c>
      <c r="D542" s="5" t="s">
        <v>6603</v>
      </c>
      <c r="E542" s="5">
        <v>23</v>
      </c>
      <c r="F542" s="5">
        <v>23</v>
      </c>
      <c r="G542" s="5">
        <v>2</v>
      </c>
      <c r="H542" s="5">
        <v>8.32</v>
      </c>
      <c r="I542" s="5">
        <v>15</v>
      </c>
      <c r="J542" s="5">
        <v>8</v>
      </c>
    </row>
    <row r="543" spans="1:10" x14ac:dyDescent="0.3">
      <c r="A543" s="5" t="s">
        <v>2494</v>
      </c>
      <c r="B543" s="5" t="s">
        <v>189</v>
      </c>
      <c r="C543" s="5" t="s">
        <v>99</v>
      </c>
      <c r="D543" s="5" t="s">
        <v>6603</v>
      </c>
      <c r="E543" s="5">
        <v>25</v>
      </c>
      <c r="F543" s="5">
        <v>23</v>
      </c>
      <c r="G543" s="5">
        <v>4</v>
      </c>
      <c r="H543" s="5">
        <v>2.25</v>
      </c>
      <c r="I543" s="5">
        <v>13</v>
      </c>
      <c r="J543" s="5">
        <v>12</v>
      </c>
    </row>
    <row r="544" spans="1:10" x14ac:dyDescent="0.3">
      <c r="A544" s="5" t="s">
        <v>2494</v>
      </c>
      <c r="B544" s="5" t="s">
        <v>189</v>
      </c>
      <c r="C544" s="5" t="s">
        <v>99</v>
      </c>
      <c r="D544" s="5" t="s">
        <v>6603</v>
      </c>
      <c r="E544" s="5">
        <v>16</v>
      </c>
      <c r="F544" s="5">
        <v>14</v>
      </c>
      <c r="G544" s="5">
        <v>4</v>
      </c>
      <c r="H544" s="5">
        <v>4.29</v>
      </c>
      <c r="I544" s="5">
        <v>9</v>
      </c>
      <c r="J544" s="5">
        <v>7</v>
      </c>
    </row>
    <row r="545" spans="1:10" x14ac:dyDescent="0.3">
      <c r="A545" s="5" t="s">
        <v>2494</v>
      </c>
      <c r="B545" s="5" t="s">
        <v>189</v>
      </c>
      <c r="C545" s="5" t="s">
        <v>99</v>
      </c>
      <c r="D545" s="5" t="s">
        <v>6603</v>
      </c>
      <c r="E545" s="5">
        <v>11</v>
      </c>
      <c r="F545" s="5">
        <v>11</v>
      </c>
      <c r="G545" s="5">
        <v>1</v>
      </c>
      <c r="H545" s="5">
        <v>6.82</v>
      </c>
      <c r="I545" s="5">
        <v>7</v>
      </c>
      <c r="J545" s="5">
        <v>4</v>
      </c>
    </row>
    <row r="546" spans="1:10" x14ac:dyDescent="0.3">
      <c r="A546" s="5" t="s">
        <v>2494</v>
      </c>
      <c r="B546" s="5" t="s">
        <v>189</v>
      </c>
      <c r="C546" s="5" t="s">
        <v>99</v>
      </c>
      <c r="D546" s="5" t="s">
        <v>6603</v>
      </c>
      <c r="E546" s="5">
        <v>7</v>
      </c>
      <c r="F546" s="5">
        <v>7</v>
      </c>
      <c r="G546" s="5">
        <v>1</v>
      </c>
      <c r="H546" s="5">
        <v>7.43</v>
      </c>
      <c r="I546" s="5">
        <v>4</v>
      </c>
      <c r="J546" s="5">
        <v>3</v>
      </c>
    </row>
    <row r="547" spans="1:10" x14ac:dyDescent="0.3">
      <c r="A547" s="5" t="s">
        <v>2504</v>
      </c>
      <c r="B547" s="5" t="s">
        <v>27</v>
      </c>
      <c r="C547" s="5" t="s">
        <v>37</v>
      </c>
      <c r="D547" s="5" t="s">
        <v>6603</v>
      </c>
      <c r="E547" s="5">
        <v>24</v>
      </c>
      <c r="F547" s="5">
        <v>22</v>
      </c>
      <c r="G547" s="5">
        <v>1</v>
      </c>
      <c r="H547" s="5">
        <v>11.57</v>
      </c>
      <c r="I547" s="5">
        <v>16</v>
      </c>
      <c r="J547" s="5">
        <v>8</v>
      </c>
    </row>
    <row r="548" spans="1:10" x14ac:dyDescent="0.3">
      <c r="A548" s="5" t="s">
        <v>2504</v>
      </c>
      <c r="B548" s="5" t="s">
        <v>27</v>
      </c>
      <c r="C548" s="5" t="s">
        <v>37</v>
      </c>
      <c r="D548" s="5" t="s">
        <v>6603</v>
      </c>
      <c r="E548" s="5">
        <v>14</v>
      </c>
      <c r="F548" s="5">
        <v>11</v>
      </c>
      <c r="G548" s="5">
        <v>2</v>
      </c>
      <c r="H548" s="5">
        <v>8.19</v>
      </c>
      <c r="I548" s="5">
        <v>7</v>
      </c>
      <c r="J548" s="5">
        <v>7</v>
      </c>
    </row>
    <row r="549" spans="1:10" x14ac:dyDescent="0.3">
      <c r="A549" s="5" t="s">
        <v>2445</v>
      </c>
      <c r="B549" s="5" t="s">
        <v>27</v>
      </c>
      <c r="C549" s="5" t="s">
        <v>164</v>
      </c>
      <c r="D549" s="5" t="s">
        <v>6603</v>
      </c>
      <c r="E549" s="5">
        <v>8</v>
      </c>
      <c r="F549" s="5">
        <v>6</v>
      </c>
      <c r="G549" s="5">
        <v>3</v>
      </c>
      <c r="H549" s="5">
        <v>10.45</v>
      </c>
      <c r="I549" s="5">
        <v>5</v>
      </c>
      <c r="J549" s="5">
        <v>3</v>
      </c>
    </row>
    <row r="550" spans="1:10" x14ac:dyDescent="0.3">
      <c r="A550" s="5" t="s">
        <v>2445</v>
      </c>
      <c r="B550" s="5" t="s">
        <v>27</v>
      </c>
      <c r="C550" s="5" t="s">
        <v>164</v>
      </c>
      <c r="D550" s="5" t="s">
        <v>6603</v>
      </c>
      <c r="E550" s="5">
        <v>6</v>
      </c>
      <c r="F550" s="5">
        <v>6</v>
      </c>
      <c r="G550" s="5">
        <v>2</v>
      </c>
      <c r="H550" s="5">
        <v>7.91</v>
      </c>
      <c r="I550" s="5">
        <v>5</v>
      </c>
      <c r="J550" s="5">
        <v>1</v>
      </c>
    </row>
    <row r="551" spans="1:10" x14ac:dyDescent="0.3">
      <c r="A551" s="5" t="s">
        <v>2463</v>
      </c>
      <c r="B551" s="5" t="s">
        <v>27</v>
      </c>
      <c r="C551" s="5" t="s">
        <v>74</v>
      </c>
      <c r="D551" s="5" t="s">
        <v>6603</v>
      </c>
      <c r="E551" s="5">
        <v>8</v>
      </c>
      <c r="F551" s="5">
        <v>6</v>
      </c>
      <c r="G551" s="5">
        <v>4</v>
      </c>
      <c r="H551" s="5">
        <v>10.85</v>
      </c>
      <c r="I551" s="5">
        <v>4</v>
      </c>
      <c r="J551" s="5">
        <v>4</v>
      </c>
    </row>
    <row r="552" spans="1:10" x14ac:dyDescent="0.3">
      <c r="A552" s="5" t="s">
        <v>2431</v>
      </c>
      <c r="B552" s="5" t="s">
        <v>16</v>
      </c>
      <c r="C552" s="5" t="s">
        <v>67</v>
      </c>
      <c r="D552" s="5" t="s">
        <v>6603</v>
      </c>
      <c r="E552" s="5">
        <v>24</v>
      </c>
      <c r="F552" s="5">
        <v>24</v>
      </c>
      <c r="G552" s="5">
        <v>4</v>
      </c>
      <c r="H552" s="5">
        <v>8.27</v>
      </c>
      <c r="I552" s="5">
        <v>18</v>
      </c>
      <c r="J552" s="5">
        <v>6</v>
      </c>
    </row>
    <row r="553" spans="1:10" x14ac:dyDescent="0.3">
      <c r="A553" s="5" t="s">
        <v>2431</v>
      </c>
      <c r="B553" s="5" t="s">
        <v>16</v>
      </c>
      <c r="C553" s="5" t="s">
        <v>67</v>
      </c>
      <c r="D553" s="5" t="s">
        <v>6603</v>
      </c>
      <c r="E553" s="5">
        <v>15</v>
      </c>
      <c r="F553" s="5">
        <v>15</v>
      </c>
      <c r="G553" s="5">
        <v>1</v>
      </c>
      <c r="H553" s="5">
        <v>3.9</v>
      </c>
      <c r="I553" s="5">
        <v>12</v>
      </c>
      <c r="J553" s="5">
        <v>3</v>
      </c>
    </row>
    <row r="554" spans="1:10" x14ac:dyDescent="0.3">
      <c r="A554" s="5" t="s">
        <v>2518</v>
      </c>
      <c r="B554" s="5" t="s">
        <v>16</v>
      </c>
      <c r="C554" s="5" t="s">
        <v>164</v>
      </c>
      <c r="D554" s="5" t="s">
        <v>6603</v>
      </c>
      <c r="E554" s="5">
        <v>19</v>
      </c>
      <c r="F554" s="5">
        <v>16</v>
      </c>
      <c r="G554" s="5">
        <v>2</v>
      </c>
      <c r="H554" s="5">
        <v>11.16</v>
      </c>
      <c r="I554" s="5">
        <v>10</v>
      </c>
      <c r="J554" s="5">
        <v>9</v>
      </c>
    </row>
    <row r="555" spans="1:10" x14ac:dyDescent="0.3">
      <c r="A555" s="5" t="s">
        <v>2518</v>
      </c>
      <c r="B555" s="5" t="s">
        <v>16</v>
      </c>
      <c r="C555" s="5" t="s">
        <v>164</v>
      </c>
      <c r="D555" s="5" t="s">
        <v>6603</v>
      </c>
      <c r="E555" s="5">
        <v>21</v>
      </c>
      <c r="F555" s="5">
        <v>19</v>
      </c>
      <c r="G555" s="5">
        <v>1</v>
      </c>
      <c r="H555" s="5">
        <v>5.55</v>
      </c>
      <c r="I555" s="5">
        <v>12</v>
      </c>
      <c r="J555" s="5">
        <v>9</v>
      </c>
    </row>
    <row r="556" spans="1:10" x14ac:dyDescent="0.3">
      <c r="A556" s="5" t="s">
        <v>2415</v>
      </c>
      <c r="B556" s="5" t="s">
        <v>189</v>
      </c>
      <c r="C556" s="5" t="s">
        <v>17</v>
      </c>
      <c r="D556" s="5" t="s">
        <v>6602</v>
      </c>
      <c r="E556" s="5">
        <v>9</v>
      </c>
      <c r="F556" s="5">
        <v>8</v>
      </c>
      <c r="G556" s="5">
        <v>1</v>
      </c>
      <c r="H556" s="5">
        <v>4.25</v>
      </c>
      <c r="I556" s="5">
        <v>5</v>
      </c>
      <c r="J556" s="5">
        <v>4</v>
      </c>
    </row>
    <row r="557" spans="1:10" x14ac:dyDescent="0.3">
      <c r="A557" s="5" t="s">
        <v>2434</v>
      </c>
      <c r="B557" s="5" t="s">
        <v>16</v>
      </c>
      <c r="C557" s="5" t="s">
        <v>108</v>
      </c>
      <c r="D557" s="5" t="s">
        <v>6602</v>
      </c>
      <c r="E557" s="5">
        <v>16</v>
      </c>
      <c r="F557" s="5">
        <v>13</v>
      </c>
      <c r="G557" s="5">
        <v>4</v>
      </c>
      <c r="H557" s="5">
        <v>8.25</v>
      </c>
      <c r="I557" s="5">
        <v>11</v>
      </c>
      <c r="J557" s="5">
        <v>5</v>
      </c>
    </row>
    <row r="558" spans="1:10" x14ac:dyDescent="0.3">
      <c r="A558" s="5" t="s">
        <v>2469</v>
      </c>
      <c r="B558" s="5" t="s">
        <v>16</v>
      </c>
      <c r="C558" s="5" t="s">
        <v>99</v>
      </c>
      <c r="D558" s="5" t="s">
        <v>6602</v>
      </c>
      <c r="E558" s="5">
        <v>7</v>
      </c>
      <c r="F558" s="5">
        <v>5</v>
      </c>
      <c r="G558" s="5">
        <v>3</v>
      </c>
      <c r="H558" s="5">
        <v>4.8899999999999997</v>
      </c>
      <c r="I558" s="5">
        <v>5</v>
      </c>
      <c r="J558" s="5">
        <v>2</v>
      </c>
    </row>
    <row r="559" spans="1:10" x14ac:dyDescent="0.3">
      <c r="A559" s="5" t="s">
        <v>2469</v>
      </c>
      <c r="B559" s="5" t="s">
        <v>16</v>
      </c>
      <c r="C559" s="5" t="s">
        <v>99</v>
      </c>
      <c r="D559" s="5" t="s">
        <v>6602</v>
      </c>
      <c r="E559" s="5">
        <v>23</v>
      </c>
      <c r="F559" s="5">
        <v>20</v>
      </c>
      <c r="G559" s="5">
        <v>2</v>
      </c>
      <c r="H559" s="5">
        <v>8.8800000000000008</v>
      </c>
      <c r="I559" s="5">
        <v>12</v>
      </c>
      <c r="J559" s="5">
        <v>11</v>
      </c>
    </row>
    <row r="560" spans="1:10" x14ac:dyDescent="0.3">
      <c r="A560" s="5" t="s">
        <v>2469</v>
      </c>
      <c r="B560" s="5" t="s">
        <v>16</v>
      </c>
      <c r="C560" s="5" t="s">
        <v>99</v>
      </c>
      <c r="D560" s="5" t="s">
        <v>6602</v>
      </c>
      <c r="E560" s="5">
        <v>15</v>
      </c>
      <c r="F560" s="5">
        <v>12</v>
      </c>
      <c r="G560" s="5">
        <v>1</v>
      </c>
      <c r="H560" s="5">
        <v>11.41</v>
      </c>
      <c r="I560" s="5">
        <v>9</v>
      </c>
      <c r="J560" s="5">
        <v>6</v>
      </c>
    </row>
    <row r="561" spans="1:10" x14ac:dyDescent="0.3">
      <c r="A561" s="5" t="s">
        <v>2469</v>
      </c>
      <c r="B561" s="5" t="s">
        <v>16</v>
      </c>
      <c r="C561" s="5" t="s">
        <v>99</v>
      </c>
      <c r="D561" s="5" t="s">
        <v>6602</v>
      </c>
      <c r="E561" s="5">
        <v>14</v>
      </c>
      <c r="F561" s="5">
        <v>14</v>
      </c>
      <c r="G561" s="5">
        <v>3</v>
      </c>
      <c r="H561" s="5">
        <v>3.13</v>
      </c>
      <c r="I561" s="5">
        <v>10</v>
      </c>
      <c r="J561" s="5">
        <v>4</v>
      </c>
    </row>
    <row r="562" spans="1:10" x14ac:dyDescent="0.3">
      <c r="A562" s="5" t="s">
        <v>2536</v>
      </c>
      <c r="B562" s="5" t="s">
        <v>36</v>
      </c>
      <c r="C562" s="5" t="s">
        <v>99</v>
      </c>
      <c r="D562" s="5" t="s">
        <v>6602</v>
      </c>
      <c r="E562" s="5">
        <v>11</v>
      </c>
      <c r="F562" s="5">
        <v>10</v>
      </c>
      <c r="G562" s="5">
        <v>4</v>
      </c>
      <c r="H562" s="5">
        <v>8.8800000000000008</v>
      </c>
      <c r="I562" s="5">
        <v>6</v>
      </c>
      <c r="J562" s="5">
        <v>5</v>
      </c>
    </row>
    <row r="563" spans="1:10" x14ac:dyDescent="0.3">
      <c r="A563" s="5" t="s">
        <v>2536</v>
      </c>
      <c r="B563" s="5" t="s">
        <v>36</v>
      </c>
      <c r="C563" s="5" t="s">
        <v>99</v>
      </c>
      <c r="D563" s="5" t="s">
        <v>6602</v>
      </c>
      <c r="E563" s="5">
        <v>4</v>
      </c>
      <c r="F563" s="5">
        <v>4</v>
      </c>
      <c r="G563" s="5">
        <v>3</v>
      </c>
      <c r="H563" s="5">
        <v>11.28</v>
      </c>
      <c r="I563" s="5">
        <v>3</v>
      </c>
      <c r="J563" s="5">
        <v>1</v>
      </c>
    </row>
    <row r="564" spans="1:10" x14ac:dyDescent="0.3">
      <c r="A564" s="5" t="s">
        <v>2536</v>
      </c>
      <c r="B564" s="5" t="s">
        <v>36</v>
      </c>
      <c r="C564" s="5" t="s">
        <v>99</v>
      </c>
      <c r="D564" s="5" t="s">
        <v>6602</v>
      </c>
      <c r="E564" s="5">
        <v>8</v>
      </c>
      <c r="F564" s="5">
        <v>5</v>
      </c>
      <c r="G564" s="5">
        <v>1</v>
      </c>
      <c r="H564" s="5">
        <v>11.74</v>
      </c>
      <c r="I564" s="5">
        <v>5</v>
      </c>
      <c r="J564" s="5">
        <v>3</v>
      </c>
    </row>
    <row r="565" spans="1:10" x14ac:dyDescent="0.3">
      <c r="A565" s="5" t="s">
        <v>2536</v>
      </c>
      <c r="B565" s="5" t="s">
        <v>36</v>
      </c>
      <c r="C565" s="5" t="s">
        <v>99</v>
      </c>
      <c r="D565" s="5" t="s">
        <v>6602</v>
      </c>
      <c r="E565" s="5">
        <v>6</v>
      </c>
      <c r="F565" s="5">
        <v>3</v>
      </c>
      <c r="G565" s="5">
        <v>4</v>
      </c>
      <c r="H565" s="5">
        <v>7.11</v>
      </c>
      <c r="I565" s="5">
        <v>4</v>
      </c>
      <c r="J565" s="5">
        <v>2</v>
      </c>
    </row>
    <row r="566" spans="1:10" x14ac:dyDescent="0.3">
      <c r="A566" s="5" t="s">
        <v>2536</v>
      </c>
      <c r="B566" s="5" t="s">
        <v>36</v>
      </c>
      <c r="C566" s="5" t="s">
        <v>99</v>
      </c>
      <c r="D566" s="5" t="s">
        <v>6602</v>
      </c>
      <c r="E566" s="5">
        <v>19</v>
      </c>
      <c r="F566" s="5">
        <v>17</v>
      </c>
      <c r="G566" s="5">
        <v>3</v>
      </c>
      <c r="H566" s="5">
        <v>3.04</v>
      </c>
      <c r="I566" s="5">
        <v>9</v>
      </c>
      <c r="J566" s="5">
        <v>10</v>
      </c>
    </row>
    <row r="567" spans="1:10" x14ac:dyDescent="0.3">
      <c r="A567" s="5" t="s">
        <v>2532</v>
      </c>
      <c r="B567" s="5" t="s">
        <v>36</v>
      </c>
      <c r="C567" s="5" t="s">
        <v>67</v>
      </c>
      <c r="D567" s="5" t="s">
        <v>6602</v>
      </c>
      <c r="E567" s="5">
        <v>10</v>
      </c>
      <c r="F567" s="5">
        <v>8</v>
      </c>
      <c r="G567" s="5">
        <v>4</v>
      </c>
      <c r="H567" s="5">
        <v>11.62</v>
      </c>
      <c r="I567" s="5">
        <v>7</v>
      </c>
      <c r="J567" s="5">
        <v>3</v>
      </c>
    </row>
    <row r="568" spans="1:10" x14ac:dyDescent="0.3">
      <c r="A568" s="5" t="s">
        <v>2532</v>
      </c>
      <c r="B568" s="5" t="s">
        <v>36</v>
      </c>
      <c r="C568" s="5" t="s">
        <v>67</v>
      </c>
      <c r="D568" s="5" t="s">
        <v>6602</v>
      </c>
      <c r="E568" s="5">
        <v>25</v>
      </c>
      <c r="F568" s="5">
        <v>24</v>
      </c>
      <c r="G568" s="5">
        <v>1</v>
      </c>
      <c r="H568" s="5">
        <v>7.52</v>
      </c>
      <c r="I568" s="5">
        <v>14</v>
      </c>
      <c r="J568" s="5">
        <v>11</v>
      </c>
    </row>
    <row r="569" spans="1:10" x14ac:dyDescent="0.3">
      <c r="A569" s="5" t="s">
        <v>2490</v>
      </c>
      <c r="B569" s="5" t="s">
        <v>36</v>
      </c>
      <c r="C569" s="5" t="s">
        <v>28</v>
      </c>
      <c r="D569" s="5" t="s">
        <v>6602</v>
      </c>
      <c r="E569" s="5">
        <v>23</v>
      </c>
      <c r="F569" s="5">
        <v>22</v>
      </c>
      <c r="G569" s="5">
        <v>4</v>
      </c>
      <c r="H569" s="5">
        <v>4.21</v>
      </c>
      <c r="I569" s="5">
        <v>19</v>
      </c>
      <c r="J569" s="5">
        <v>4</v>
      </c>
    </row>
    <row r="570" spans="1:10" x14ac:dyDescent="0.3">
      <c r="A570" s="5" t="s">
        <v>2490</v>
      </c>
      <c r="B570" s="5" t="s">
        <v>36</v>
      </c>
      <c r="C570" s="5" t="s">
        <v>28</v>
      </c>
      <c r="D570" s="5" t="s">
        <v>6602</v>
      </c>
      <c r="E570" s="5">
        <v>7</v>
      </c>
      <c r="F570" s="5">
        <v>7</v>
      </c>
      <c r="G570" s="5">
        <v>3</v>
      </c>
      <c r="H570" s="5">
        <v>8.81</v>
      </c>
      <c r="I570" s="5">
        <v>4</v>
      </c>
      <c r="J570" s="5">
        <v>3</v>
      </c>
    </row>
    <row r="571" spans="1:10" x14ac:dyDescent="0.3">
      <c r="A571" s="5" t="s">
        <v>2561</v>
      </c>
      <c r="B571" s="5" t="s">
        <v>36</v>
      </c>
      <c r="C571" s="5" t="s">
        <v>74</v>
      </c>
      <c r="D571" s="5" t="s">
        <v>6602</v>
      </c>
      <c r="E571" s="5">
        <v>18</v>
      </c>
      <c r="F571" s="5">
        <v>16</v>
      </c>
      <c r="G571" s="5">
        <v>4</v>
      </c>
      <c r="H571" s="5">
        <v>10.130000000000001</v>
      </c>
      <c r="I571" s="5">
        <v>13</v>
      </c>
      <c r="J571" s="5">
        <v>5</v>
      </c>
    </row>
    <row r="572" spans="1:10" x14ac:dyDescent="0.3">
      <c r="A572" s="5" t="s">
        <v>2561</v>
      </c>
      <c r="B572" s="5" t="s">
        <v>36</v>
      </c>
      <c r="C572" s="5" t="s">
        <v>74</v>
      </c>
      <c r="D572" s="5" t="s">
        <v>6602</v>
      </c>
      <c r="E572" s="5">
        <v>18</v>
      </c>
      <c r="F572" s="5">
        <v>17</v>
      </c>
      <c r="G572" s="5">
        <v>4</v>
      </c>
      <c r="H572" s="5">
        <v>3.14</v>
      </c>
      <c r="I572" s="5">
        <v>14</v>
      </c>
      <c r="J572" s="5">
        <v>4</v>
      </c>
    </row>
    <row r="573" spans="1:10" x14ac:dyDescent="0.3">
      <c r="A573" s="5" t="s">
        <v>2407</v>
      </c>
      <c r="B573" s="5" t="s">
        <v>66</v>
      </c>
      <c r="C573" s="5" t="s">
        <v>93</v>
      </c>
      <c r="D573" s="5" t="s">
        <v>6602</v>
      </c>
      <c r="E573" s="5">
        <v>8</v>
      </c>
      <c r="F573" s="5">
        <v>5</v>
      </c>
      <c r="G573" s="5">
        <v>1</v>
      </c>
      <c r="H573" s="5">
        <v>7.46</v>
      </c>
      <c r="I573" s="5">
        <v>6</v>
      </c>
      <c r="J573" s="5">
        <v>2</v>
      </c>
    </row>
    <row r="574" spans="1:10" x14ac:dyDescent="0.3">
      <c r="A574" s="5" t="s">
        <v>2466</v>
      </c>
      <c r="B574" s="5" t="s">
        <v>66</v>
      </c>
      <c r="C574" s="5" t="s">
        <v>67</v>
      </c>
      <c r="D574" s="5" t="s">
        <v>6602</v>
      </c>
      <c r="E574" s="5">
        <v>4</v>
      </c>
      <c r="F574" s="5">
        <v>4</v>
      </c>
      <c r="G574" s="5">
        <v>1</v>
      </c>
      <c r="H574" s="5">
        <v>11.37</v>
      </c>
      <c r="I574" s="5">
        <v>2</v>
      </c>
      <c r="J574" s="5">
        <v>2</v>
      </c>
    </row>
    <row r="575" spans="1:10" x14ac:dyDescent="0.3">
      <c r="A575" s="5" t="s">
        <v>2521</v>
      </c>
      <c r="B575" s="5" t="s">
        <v>66</v>
      </c>
      <c r="C575" s="5" t="s">
        <v>99</v>
      </c>
      <c r="D575" s="5" t="s">
        <v>6602</v>
      </c>
      <c r="E575" s="5">
        <v>24</v>
      </c>
      <c r="F575" s="5">
        <v>24</v>
      </c>
      <c r="G575" s="5">
        <v>3</v>
      </c>
      <c r="H575" s="5">
        <v>4.45</v>
      </c>
      <c r="I575" s="5">
        <v>17</v>
      </c>
      <c r="J575" s="5">
        <v>7</v>
      </c>
    </row>
    <row r="576" spans="1:10" x14ac:dyDescent="0.3">
      <c r="A576" s="5" t="s">
        <v>2521</v>
      </c>
      <c r="B576" s="5" t="s">
        <v>66</v>
      </c>
      <c r="C576" s="5" t="s">
        <v>99</v>
      </c>
      <c r="D576" s="5" t="s">
        <v>6602</v>
      </c>
      <c r="E576" s="5">
        <v>15</v>
      </c>
      <c r="F576" s="5">
        <v>12</v>
      </c>
      <c r="G576" s="5">
        <v>4</v>
      </c>
      <c r="H576" s="5">
        <v>8.14</v>
      </c>
      <c r="I576" s="5">
        <v>9</v>
      </c>
      <c r="J576" s="5">
        <v>6</v>
      </c>
    </row>
    <row r="577" spans="1:10" x14ac:dyDescent="0.3">
      <c r="A577" s="5" t="s">
        <v>2521</v>
      </c>
      <c r="B577" s="5" t="s">
        <v>66</v>
      </c>
      <c r="C577" s="5" t="s">
        <v>99</v>
      </c>
      <c r="D577" s="5" t="s">
        <v>6602</v>
      </c>
      <c r="E577" s="5">
        <v>8</v>
      </c>
      <c r="F577" s="5">
        <v>5</v>
      </c>
      <c r="G577" s="5">
        <v>1</v>
      </c>
      <c r="H577" s="5">
        <v>7.65</v>
      </c>
      <c r="I577" s="5">
        <v>5</v>
      </c>
      <c r="J577" s="5">
        <v>3</v>
      </c>
    </row>
    <row r="578" spans="1:10" x14ac:dyDescent="0.3">
      <c r="A578" s="5" t="s">
        <v>2411</v>
      </c>
      <c r="B578" s="5" t="s">
        <v>55</v>
      </c>
      <c r="C578" s="5" t="s">
        <v>108</v>
      </c>
      <c r="D578" s="5" t="s">
        <v>6602</v>
      </c>
      <c r="E578" s="5">
        <v>24</v>
      </c>
      <c r="F578" s="5">
        <v>22</v>
      </c>
      <c r="G578" s="5">
        <v>1</v>
      </c>
      <c r="H578" s="5">
        <v>4.12</v>
      </c>
      <c r="I578" s="5">
        <v>13</v>
      </c>
      <c r="J578" s="5">
        <v>11</v>
      </c>
    </row>
    <row r="579" spans="1:10" x14ac:dyDescent="0.3">
      <c r="A579" s="5" t="s">
        <v>2411</v>
      </c>
      <c r="B579" s="5" t="s">
        <v>55</v>
      </c>
      <c r="C579" s="5" t="s">
        <v>108</v>
      </c>
      <c r="D579" s="5" t="s">
        <v>6602</v>
      </c>
      <c r="E579" s="5">
        <v>6</v>
      </c>
      <c r="F579" s="5">
        <v>6</v>
      </c>
      <c r="G579" s="5">
        <v>1</v>
      </c>
      <c r="H579" s="5">
        <v>7.58</v>
      </c>
      <c r="I579" s="5">
        <v>4</v>
      </c>
      <c r="J579" s="5">
        <v>2</v>
      </c>
    </row>
    <row r="580" spans="1:10" x14ac:dyDescent="0.3">
      <c r="A580" s="5" t="s">
        <v>2459</v>
      </c>
      <c r="B580" s="5" t="s">
        <v>189</v>
      </c>
      <c r="C580" s="5" t="s">
        <v>67</v>
      </c>
      <c r="D580" s="5" t="s">
        <v>6602</v>
      </c>
      <c r="E580" s="5">
        <v>11</v>
      </c>
      <c r="F580" s="5">
        <v>11</v>
      </c>
      <c r="G580" s="5">
        <v>4</v>
      </c>
      <c r="H580" s="5">
        <v>6.09</v>
      </c>
      <c r="I580" s="5">
        <v>6</v>
      </c>
      <c r="J580" s="5">
        <v>5</v>
      </c>
    </row>
    <row r="581" spans="1:10" x14ac:dyDescent="0.3">
      <c r="A581" s="5" t="s">
        <v>2459</v>
      </c>
      <c r="B581" s="5" t="s">
        <v>189</v>
      </c>
      <c r="C581" s="5" t="s">
        <v>67</v>
      </c>
      <c r="D581" s="5" t="s">
        <v>6602</v>
      </c>
      <c r="E581" s="5">
        <v>20</v>
      </c>
      <c r="F581" s="5">
        <v>20</v>
      </c>
      <c r="G581" s="5">
        <v>3</v>
      </c>
      <c r="H581" s="5">
        <v>8.16</v>
      </c>
      <c r="I581" s="5">
        <v>16</v>
      </c>
      <c r="J581" s="5">
        <v>4</v>
      </c>
    </row>
    <row r="582" spans="1:10" x14ac:dyDescent="0.3">
      <c r="A582" s="5" t="s">
        <v>2459</v>
      </c>
      <c r="B582" s="5" t="s">
        <v>189</v>
      </c>
      <c r="C582" s="5" t="s">
        <v>67</v>
      </c>
      <c r="D582" s="5" t="s">
        <v>6602</v>
      </c>
      <c r="E582" s="5">
        <v>13</v>
      </c>
      <c r="F582" s="5">
        <v>11</v>
      </c>
      <c r="G582" s="5">
        <v>2</v>
      </c>
      <c r="H582" s="5">
        <v>3.69</v>
      </c>
      <c r="I582" s="5">
        <v>7</v>
      </c>
      <c r="J582" s="5">
        <v>6</v>
      </c>
    </row>
    <row r="583" spans="1:10" x14ac:dyDescent="0.3">
      <c r="A583" s="5" t="s">
        <v>2629</v>
      </c>
      <c r="B583" s="5" t="s">
        <v>55</v>
      </c>
      <c r="C583" s="5" t="s">
        <v>164</v>
      </c>
      <c r="D583" s="5" t="s">
        <v>6602</v>
      </c>
      <c r="E583" s="5">
        <v>14</v>
      </c>
      <c r="F583" s="5">
        <v>11</v>
      </c>
      <c r="G583" s="5">
        <v>4</v>
      </c>
      <c r="H583" s="5">
        <v>2.69</v>
      </c>
      <c r="I583" s="5">
        <v>9</v>
      </c>
      <c r="J583" s="5">
        <v>5</v>
      </c>
    </row>
    <row r="584" spans="1:10" x14ac:dyDescent="0.3">
      <c r="A584" s="5" t="s">
        <v>2629</v>
      </c>
      <c r="B584" s="5" t="s">
        <v>55</v>
      </c>
      <c r="C584" s="5" t="s">
        <v>164</v>
      </c>
      <c r="D584" s="5" t="s">
        <v>6602</v>
      </c>
      <c r="E584" s="5">
        <v>22</v>
      </c>
      <c r="F584" s="5">
        <v>20</v>
      </c>
      <c r="G584" s="5">
        <v>1</v>
      </c>
      <c r="H584" s="5">
        <v>10.9</v>
      </c>
      <c r="I584" s="5">
        <v>15</v>
      </c>
      <c r="J584" s="5">
        <v>7</v>
      </c>
    </row>
    <row r="585" spans="1:10" x14ac:dyDescent="0.3">
      <c r="A585" s="5" t="s">
        <v>2422</v>
      </c>
      <c r="B585" s="5" t="s">
        <v>55</v>
      </c>
      <c r="C585" s="5" t="s">
        <v>28</v>
      </c>
      <c r="D585" s="5" t="s">
        <v>6602</v>
      </c>
      <c r="E585" s="5">
        <v>6</v>
      </c>
      <c r="F585" s="5">
        <v>4</v>
      </c>
      <c r="G585" s="5">
        <v>1</v>
      </c>
      <c r="H585" s="5">
        <v>1.87</v>
      </c>
      <c r="I585" s="5">
        <v>4</v>
      </c>
      <c r="J585" s="5">
        <v>2</v>
      </c>
    </row>
    <row r="586" spans="1:10" x14ac:dyDescent="0.3">
      <c r="A586" s="5" t="s">
        <v>2422</v>
      </c>
      <c r="B586" s="5" t="s">
        <v>55</v>
      </c>
      <c r="C586" s="5" t="s">
        <v>28</v>
      </c>
      <c r="D586" s="5" t="s">
        <v>6602</v>
      </c>
      <c r="E586" s="5">
        <v>19</v>
      </c>
      <c r="F586" s="5">
        <v>16</v>
      </c>
      <c r="G586" s="5">
        <v>1</v>
      </c>
      <c r="H586" s="5">
        <v>8.4</v>
      </c>
      <c r="I586" s="5">
        <v>14</v>
      </c>
      <c r="J586" s="5">
        <v>5</v>
      </c>
    </row>
    <row r="587" spans="1:10" x14ac:dyDescent="0.3">
      <c r="A587" s="5" t="s">
        <v>2438</v>
      </c>
      <c r="B587" s="5" t="s">
        <v>55</v>
      </c>
      <c r="C587" s="5" t="s">
        <v>74</v>
      </c>
      <c r="D587" s="5" t="s">
        <v>6602</v>
      </c>
      <c r="E587" s="5">
        <v>9</v>
      </c>
      <c r="F587" s="5">
        <v>7</v>
      </c>
      <c r="G587" s="5">
        <v>1</v>
      </c>
      <c r="H587" s="5">
        <v>2.5499999999999998</v>
      </c>
      <c r="I587" s="5">
        <v>6</v>
      </c>
      <c r="J587" s="5">
        <v>3</v>
      </c>
    </row>
    <row r="588" spans="1:10" x14ac:dyDescent="0.3">
      <c r="A588" s="5" t="s">
        <v>2438</v>
      </c>
      <c r="B588" s="5" t="s">
        <v>55</v>
      </c>
      <c r="C588" s="5" t="s">
        <v>74</v>
      </c>
      <c r="D588" s="5" t="s">
        <v>6602</v>
      </c>
      <c r="E588" s="5">
        <v>9</v>
      </c>
      <c r="F588" s="5">
        <v>6</v>
      </c>
      <c r="G588" s="5">
        <v>2</v>
      </c>
      <c r="H588" s="5">
        <v>7.84</v>
      </c>
      <c r="I588" s="5">
        <v>6</v>
      </c>
      <c r="J588" s="5">
        <v>3</v>
      </c>
    </row>
    <row r="589" spans="1:10" x14ac:dyDescent="0.3">
      <c r="A589" s="5" t="s">
        <v>2427</v>
      </c>
      <c r="B589" s="5" t="s">
        <v>55</v>
      </c>
      <c r="C589" s="5" t="s">
        <v>93</v>
      </c>
      <c r="D589" s="5" t="s">
        <v>6602</v>
      </c>
      <c r="E589" s="5">
        <v>9</v>
      </c>
      <c r="F589" s="5">
        <v>6</v>
      </c>
      <c r="G589" s="5">
        <v>4</v>
      </c>
      <c r="H589" s="5">
        <v>7.47</v>
      </c>
      <c r="I589" s="5">
        <v>6</v>
      </c>
      <c r="J589" s="5">
        <v>3</v>
      </c>
    </row>
    <row r="590" spans="1:10" x14ac:dyDescent="0.3">
      <c r="A590" s="5" t="s">
        <v>2427</v>
      </c>
      <c r="B590" s="5" t="s">
        <v>55</v>
      </c>
      <c r="C590" s="5" t="s">
        <v>93</v>
      </c>
      <c r="D590" s="5" t="s">
        <v>6602</v>
      </c>
      <c r="E590" s="5">
        <v>7</v>
      </c>
      <c r="F590" s="5">
        <v>6</v>
      </c>
      <c r="G590" s="5">
        <v>1</v>
      </c>
      <c r="H590" s="5">
        <v>6.85</v>
      </c>
      <c r="I590" s="5">
        <v>4</v>
      </c>
      <c r="J590" s="5">
        <v>3</v>
      </c>
    </row>
    <row r="591" spans="1:10" x14ac:dyDescent="0.3">
      <c r="A591" s="5" t="s">
        <v>2485</v>
      </c>
      <c r="B591" s="5" t="s">
        <v>61</v>
      </c>
      <c r="C591" s="5" t="s">
        <v>99</v>
      </c>
      <c r="D591" s="5" t="s">
        <v>6602</v>
      </c>
      <c r="E591" s="5">
        <v>16</v>
      </c>
      <c r="F591" s="5">
        <v>15</v>
      </c>
      <c r="G591" s="5">
        <v>2</v>
      </c>
      <c r="H591" s="5">
        <v>10.54</v>
      </c>
      <c r="I591" s="5">
        <v>13</v>
      </c>
      <c r="J591" s="5">
        <v>3</v>
      </c>
    </row>
    <row r="592" spans="1:10" x14ac:dyDescent="0.3">
      <c r="A592" s="5" t="s">
        <v>2485</v>
      </c>
      <c r="B592" s="5" t="s">
        <v>61</v>
      </c>
      <c r="C592" s="5" t="s">
        <v>99</v>
      </c>
      <c r="D592" s="5" t="s">
        <v>6602</v>
      </c>
      <c r="E592" s="5">
        <v>12</v>
      </c>
      <c r="F592" s="5">
        <v>10</v>
      </c>
      <c r="G592" s="5">
        <v>1</v>
      </c>
      <c r="H592" s="5">
        <v>4.42</v>
      </c>
      <c r="I592" s="5">
        <v>7</v>
      </c>
      <c r="J592" s="5">
        <v>5</v>
      </c>
    </row>
    <row r="593" spans="1:10" x14ac:dyDescent="0.3">
      <c r="A593" s="5" t="s">
        <v>2449</v>
      </c>
      <c r="B593" s="5" t="s">
        <v>61</v>
      </c>
      <c r="C593" s="5" t="s">
        <v>108</v>
      </c>
      <c r="D593" s="5" t="s">
        <v>6602</v>
      </c>
      <c r="E593" s="5">
        <v>13</v>
      </c>
      <c r="F593" s="5">
        <v>10</v>
      </c>
      <c r="G593" s="5">
        <v>3</v>
      </c>
      <c r="H593" s="5">
        <v>8.6300000000000008</v>
      </c>
      <c r="I593" s="5">
        <v>9</v>
      </c>
      <c r="J593" s="5">
        <v>4</v>
      </c>
    </row>
    <row r="594" spans="1:10" x14ac:dyDescent="0.3">
      <c r="A594" s="5" t="s">
        <v>2577</v>
      </c>
      <c r="B594" s="5" t="s">
        <v>61</v>
      </c>
      <c r="C594" s="5" t="s">
        <v>67</v>
      </c>
      <c r="D594" s="5" t="s">
        <v>6602</v>
      </c>
      <c r="E594" s="5">
        <v>21</v>
      </c>
      <c r="F594" s="5">
        <v>19</v>
      </c>
      <c r="G594" s="5">
        <v>1</v>
      </c>
      <c r="H594" s="5">
        <v>5.21</v>
      </c>
      <c r="I594" s="5">
        <v>14</v>
      </c>
      <c r="J594" s="5">
        <v>7</v>
      </c>
    </row>
    <row r="595" spans="1:10" x14ac:dyDescent="0.3">
      <c r="A595" s="5" t="s">
        <v>2577</v>
      </c>
      <c r="B595" s="5" t="s">
        <v>61</v>
      </c>
      <c r="C595" s="5" t="s">
        <v>67</v>
      </c>
      <c r="D595" s="5" t="s">
        <v>6602</v>
      </c>
      <c r="E595" s="5">
        <v>12</v>
      </c>
      <c r="F595" s="5">
        <v>12</v>
      </c>
      <c r="G595" s="5">
        <v>1</v>
      </c>
      <c r="H595" s="5">
        <v>10.56</v>
      </c>
      <c r="I595" s="5">
        <v>9</v>
      </c>
      <c r="J595" s="5">
        <v>3</v>
      </c>
    </row>
    <row r="596" spans="1:10" x14ac:dyDescent="0.3">
      <c r="A596" s="5" t="s">
        <v>2454</v>
      </c>
      <c r="B596" s="5" t="s">
        <v>61</v>
      </c>
      <c r="C596" s="5" t="s">
        <v>17</v>
      </c>
      <c r="D596" s="5" t="s">
        <v>6602</v>
      </c>
      <c r="E596" s="5">
        <v>13</v>
      </c>
      <c r="F596" s="5">
        <v>11</v>
      </c>
      <c r="G596" s="5">
        <v>4</v>
      </c>
      <c r="H596" s="5">
        <v>6.89</v>
      </c>
      <c r="I596" s="5">
        <v>10</v>
      </c>
      <c r="J596" s="5">
        <v>3</v>
      </c>
    </row>
    <row r="597" spans="1:10" x14ac:dyDescent="0.3">
      <c r="A597" s="5" t="s">
        <v>2454</v>
      </c>
      <c r="B597" s="5" t="s">
        <v>61</v>
      </c>
      <c r="C597" s="5" t="s">
        <v>17</v>
      </c>
      <c r="D597" s="5" t="s">
        <v>6602</v>
      </c>
      <c r="E597" s="5">
        <v>15</v>
      </c>
      <c r="F597" s="5">
        <v>12</v>
      </c>
      <c r="G597" s="5">
        <v>4</v>
      </c>
      <c r="H597" s="5">
        <v>3.63</v>
      </c>
      <c r="I597" s="5">
        <v>9</v>
      </c>
      <c r="J597" s="5">
        <v>6</v>
      </c>
    </row>
    <row r="598" spans="1:10" x14ac:dyDescent="0.3">
      <c r="A598" s="5" t="s">
        <v>2454</v>
      </c>
      <c r="B598" s="5" t="s">
        <v>61</v>
      </c>
      <c r="C598" s="5" t="s">
        <v>17</v>
      </c>
      <c r="D598" s="5" t="s">
        <v>6602</v>
      </c>
      <c r="E598" s="5">
        <v>14</v>
      </c>
      <c r="F598" s="5">
        <v>14</v>
      </c>
      <c r="G598" s="5">
        <v>3</v>
      </c>
      <c r="H598" s="5">
        <v>1.68</v>
      </c>
      <c r="I598" s="5">
        <v>11</v>
      </c>
      <c r="J598" s="5">
        <v>3</v>
      </c>
    </row>
    <row r="599" spans="1:10" x14ac:dyDescent="0.3">
      <c r="A599" s="5" t="s">
        <v>2481</v>
      </c>
      <c r="B599" s="5" t="s">
        <v>80</v>
      </c>
      <c r="C599" s="5" t="s">
        <v>37</v>
      </c>
      <c r="D599" s="5" t="s">
        <v>6602</v>
      </c>
      <c r="E599" s="5">
        <v>20</v>
      </c>
      <c r="F599" s="5">
        <v>20</v>
      </c>
      <c r="G599" s="5">
        <v>4</v>
      </c>
      <c r="H599" s="5">
        <v>6.36</v>
      </c>
      <c r="I599" s="5">
        <v>14</v>
      </c>
      <c r="J599" s="5">
        <v>6</v>
      </c>
    </row>
    <row r="600" spans="1:10" x14ac:dyDescent="0.3">
      <c r="A600" s="5" t="s">
        <v>2481</v>
      </c>
      <c r="B600" s="5" t="s">
        <v>80</v>
      </c>
      <c r="C600" s="5" t="s">
        <v>37</v>
      </c>
      <c r="D600" s="5" t="s">
        <v>6602</v>
      </c>
      <c r="E600" s="5">
        <v>19</v>
      </c>
      <c r="F600" s="5">
        <v>16</v>
      </c>
      <c r="G600" s="5">
        <v>4</v>
      </c>
      <c r="H600" s="5">
        <v>4.83</v>
      </c>
      <c r="I600" s="5">
        <v>10</v>
      </c>
      <c r="J600" s="5">
        <v>9</v>
      </c>
    </row>
    <row r="601" spans="1:10" x14ac:dyDescent="0.3">
      <c r="A601" s="5" t="s">
        <v>2473</v>
      </c>
      <c r="B601" s="5" t="s">
        <v>80</v>
      </c>
      <c r="C601" s="5" t="s">
        <v>93</v>
      </c>
      <c r="D601" s="5" t="s">
        <v>6602</v>
      </c>
      <c r="E601" s="5">
        <v>18</v>
      </c>
      <c r="F601" s="5">
        <v>16</v>
      </c>
      <c r="G601" s="5">
        <v>1</v>
      </c>
      <c r="H601" s="5">
        <v>9.51</v>
      </c>
      <c r="I601" s="5">
        <v>11</v>
      </c>
      <c r="J601" s="5">
        <v>7</v>
      </c>
    </row>
    <row r="602" spans="1:10" x14ac:dyDescent="0.3">
      <c r="A602" s="5" t="s">
        <v>2473</v>
      </c>
      <c r="B602" s="5" t="s">
        <v>80</v>
      </c>
      <c r="C602" s="5" t="s">
        <v>93</v>
      </c>
      <c r="D602" s="5" t="s">
        <v>6602</v>
      </c>
      <c r="E602" s="5">
        <v>16</v>
      </c>
      <c r="F602" s="5">
        <v>14</v>
      </c>
      <c r="G602" s="5">
        <v>3</v>
      </c>
      <c r="H602" s="5">
        <v>2.6</v>
      </c>
      <c r="I602" s="5">
        <v>8</v>
      </c>
      <c r="J602" s="5">
        <v>8</v>
      </c>
    </row>
    <row r="603" spans="1:10" x14ac:dyDescent="0.3">
      <c r="A603" s="5" t="s">
        <v>2473</v>
      </c>
      <c r="B603" s="5" t="s">
        <v>80</v>
      </c>
      <c r="C603" s="5" t="s">
        <v>93</v>
      </c>
      <c r="D603" s="5" t="s">
        <v>6602</v>
      </c>
      <c r="E603" s="5">
        <v>5</v>
      </c>
      <c r="F603" s="5">
        <v>3</v>
      </c>
      <c r="G603" s="5">
        <v>1</v>
      </c>
      <c r="H603" s="5">
        <v>4.4800000000000004</v>
      </c>
      <c r="I603" s="5">
        <v>2</v>
      </c>
      <c r="J603" s="5">
        <v>3</v>
      </c>
    </row>
    <row r="604" spans="1:10" x14ac:dyDescent="0.3">
      <c r="A604" s="5" t="s">
        <v>2473</v>
      </c>
      <c r="B604" s="5" t="s">
        <v>80</v>
      </c>
      <c r="C604" s="5" t="s">
        <v>93</v>
      </c>
      <c r="D604" s="5" t="s">
        <v>6602</v>
      </c>
      <c r="E604" s="5">
        <v>14</v>
      </c>
      <c r="F604" s="5">
        <v>11</v>
      </c>
      <c r="G604" s="5">
        <v>3</v>
      </c>
      <c r="H604" s="5">
        <v>11.6</v>
      </c>
      <c r="I604" s="5">
        <v>7</v>
      </c>
      <c r="J604" s="5">
        <v>7</v>
      </c>
    </row>
    <row r="605" spans="1:10" x14ac:dyDescent="0.3">
      <c r="A605" s="5" t="s">
        <v>2473</v>
      </c>
      <c r="B605" s="5" t="s">
        <v>80</v>
      </c>
      <c r="C605" s="5" t="s">
        <v>93</v>
      </c>
      <c r="D605" s="5" t="s">
        <v>6602</v>
      </c>
      <c r="E605" s="5">
        <v>16</v>
      </c>
      <c r="F605" s="5">
        <v>13</v>
      </c>
      <c r="G605" s="5">
        <v>2</v>
      </c>
      <c r="H605" s="5">
        <v>3.26</v>
      </c>
      <c r="I605" s="5">
        <v>13</v>
      </c>
      <c r="J605" s="5">
        <v>3</v>
      </c>
    </row>
    <row r="606" spans="1:10" x14ac:dyDescent="0.3">
      <c r="A606" s="5" t="s">
        <v>2473</v>
      </c>
      <c r="B606" s="5" t="s">
        <v>80</v>
      </c>
      <c r="C606" s="5" t="s">
        <v>93</v>
      </c>
      <c r="D606" s="5" t="s">
        <v>6602</v>
      </c>
      <c r="E606" s="5">
        <v>9</v>
      </c>
      <c r="F606" s="5">
        <v>8</v>
      </c>
      <c r="G606" s="5">
        <v>4</v>
      </c>
      <c r="H606" s="5">
        <v>2.4900000000000002</v>
      </c>
      <c r="I606" s="5">
        <v>6</v>
      </c>
      <c r="J606" s="5">
        <v>3</v>
      </c>
    </row>
    <row r="607" spans="1:10" x14ac:dyDescent="0.3">
      <c r="A607" s="5" t="s">
        <v>2730</v>
      </c>
      <c r="B607" s="5" t="s">
        <v>189</v>
      </c>
      <c r="C607" s="5" t="s">
        <v>74</v>
      </c>
      <c r="D607" s="5" t="s">
        <v>6602</v>
      </c>
      <c r="E607" s="5">
        <v>23</v>
      </c>
      <c r="F607" s="5">
        <v>22</v>
      </c>
      <c r="G607" s="5">
        <v>1</v>
      </c>
      <c r="H607" s="5">
        <v>7.06</v>
      </c>
      <c r="I607" s="5">
        <v>16</v>
      </c>
      <c r="J607" s="5">
        <v>7</v>
      </c>
    </row>
    <row r="608" spans="1:10" x14ac:dyDescent="0.3">
      <c r="A608" s="5" t="s">
        <v>2730</v>
      </c>
      <c r="B608" s="5" t="s">
        <v>189</v>
      </c>
      <c r="C608" s="5" t="s">
        <v>74</v>
      </c>
      <c r="D608" s="5" t="s">
        <v>6602</v>
      </c>
      <c r="E608" s="5">
        <v>20</v>
      </c>
      <c r="F608" s="5">
        <v>20</v>
      </c>
      <c r="G608" s="5">
        <v>3</v>
      </c>
      <c r="H608" s="5">
        <v>3.19</v>
      </c>
      <c r="I608" s="5">
        <v>16</v>
      </c>
      <c r="J608" s="5">
        <v>4</v>
      </c>
    </row>
    <row r="609" spans="1:10" x14ac:dyDescent="0.3">
      <c r="A609" s="5" t="s">
        <v>2730</v>
      </c>
      <c r="B609" s="5" t="s">
        <v>189</v>
      </c>
      <c r="C609" s="5" t="s">
        <v>74</v>
      </c>
      <c r="D609" s="5" t="s">
        <v>6602</v>
      </c>
      <c r="E609" s="5">
        <v>19</v>
      </c>
      <c r="F609" s="5">
        <v>18</v>
      </c>
      <c r="G609" s="5">
        <v>1</v>
      </c>
      <c r="H609" s="5">
        <v>3.98</v>
      </c>
      <c r="I609" s="5">
        <v>10</v>
      </c>
      <c r="J609" s="5">
        <v>9</v>
      </c>
    </row>
    <row r="610" spans="1:10" x14ac:dyDescent="0.3">
      <c r="A610" s="5" t="s">
        <v>2730</v>
      </c>
      <c r="B610" s="5" t="s">
        <v>189</v>
      </c>
      <c r="C610" s="5" t="s">
        <v>74</v>
      </c>
      <c r="D610" s="5" t="s">
        <v>6602</v>
      </c>
      <c r="E610" s="5">
        <v>15</v>
      </c>
      <c r="F610" s="5">
        <v>13</v>
      </c>
      <c r="G610" s="5">
        <v>4</v>
      </c>
      <c r="H610" s="5">
        <v>3.92</v>
      </c>
      <c r="I610" s="5">
        <v>10</v>
      </c>
      <c r="J610" s="5">
        <v>5</v>
      </c>
    </row>
    <row r="611" spans="1:10" x14ac:dyDescent="0.3">
      <c r="A611" s="5" t="s">
        <v>2730</v>
      </c>
      <c r="B611" s="5" t="s">
        <v>189</v>
      </c>
      <c r="C611" s="5" t="s">
        <v>74</v>
      </c>
      <c r="D611" s="5" t="s">
        <v>6602</v>
      </c>
      <c r="E611" s="5">
        <v>17</v>
      </c>
      <c r="F611" s="5">
        <v>15</v>
      </c>
      <c r="G611" s="5">
        <v>3</v>
      </c>
      <c r="H611" s="5">
        <v>10.42</v>
      </c>
      <c r="I611" s="5">
        <v>9</v>
      </c>
      <c r="J611" s="5">
        <v>8</v>
      </c>
    </row>
    <row r="612" spans="1:10" x14ac:dyDescent="0.3">
      <c r="A612" s="5" t="s">
        <v>2514</v>
      </c>
      <c r="B612" s="5" t="s">
        <v>80</v>
      </c>
      <c r="C612" s="5" t="s">
        <v>47</v>
      </c>
      <c r="D612" s="5" t="s">
        <v>6602</v>
      </c>
      <c r="E612" s="5">
        <v>7</v>
      </c>
      <c r="F612" s="5">
        <v>7</v>
      </c>
      <c r="G612" s="5">
        <v>1</v>
      </c>
      <c r="H612" s="5">
        <v>6.24</v>
      </c>
      <c r="I612" s="5">
        <v>4</v>
      </c>
      <c r="J612" s="5">
        <v>3</v>
      </c>
    </row>
    <row r="613" spans="1:10" x14ac:dyDescent="0.3">
      <c r="A613" s="5" t="s">
        <v>2514</v>
      </c>
      <c r="B613" s="5" t="s">
        <v>80</v>
      </c>
      <c r="C613" s="5" t="s">
        <v>47</v>
      </c>
      <c r="D613" s="5" t="s">
        <v>6602</v>
      </c>
      <c r="E613" s="5">
        <v>9</v>
      </c>
      <c r="F613" s="5">
        <v>6</v>
      </c>
      <c r="G613" s="5">
        <v>1</v>
      </c>
      <c r="H613" s="5">
        <v>10.59</v>
      </c>
      <c r="I613" s="5">
        <v>7</v>
      </c>
      <c r="J613" s="5">
        <v>2</v>
      </c>
    </row>
    <row r="614" spans="1:10" x14ac:dyDescent="0.3">
      <c r="A614" s="5" t="s">
        <v>2514</v>
      </c>
      <c r="B614" s="5" t="s">
        <v>80</v>
      </c>
      <c r="C614" s="5" t="s">
        <v>47</v>
      </c>
      <c r="D614" s="5" t="s">
        <v>6602</v>
      </c>
      <c r="E614" s="5">
        <v>22</v>
      </c>
      <c r="F614" s="5">
        <v>19</v>
      </c>
      <c r="G614" s="5">
        <v>3</v>
      </c>
      <c r="H614" s="5">
        <v>3.97</v>
      </c>
      <c r="I614" s="5">
        <v>12</v>
      </c>
      <c r="J614" s="5">
        <v>10</v>
      </c>
    </row>
    <row r="615" spans="1:10" x14ac:dyDescent="0.3">
      <c r="A615" s="5" t="s">
        <v>2514</v>
      </c>
      <c r="B615" s="5" t="s">
        <v>80</v>
      </c>
      <c r="C615" s="5" t="s">
        <v>47</v>
      </c>
      <c r="D615" s="5" t="s">
        <v>6602</v>
      </c>
      <c r="E615" s="5">
        <v>21</v>
      </c>
      <c r="F615" s="5">
        <v>19</v>
      </c>
      <c r="G615" s="5">
        <v>4</v>
      </c>
      <c r="H615" s="5">
        <v>3.07</v>
      </c>
      <c r="I615" s="5">
        <v>15</v>
      </c>
      <c r="J615" s="5">
        <v>6</v>
      </c>
    </row>
    <row r="616" spans="1:10" x14ac:dyDescent="0.3">
      <c r="A616" s="5" t="s">
        <v>2494</v>
      </c>
      <c r="B616" s="5" t="s">
        <v>189</v>
      </c>
      <c r="C616" s="5" t="s">
        <v>99</v>
      </c>
      <c r="D616" s="5" t="s">
        <v>6602</v>
      </c>
      <c r="E616" s="5">
        <v>24</v>
      </c>
      <c r="F616" s="5">
        <v>24</v>
      </c>
      <c r="G616" s="5">
        <v>2</v>
      </c>
      <c r="H616" s="5">
        <v>2.46</v>
      </c>
      <c r="I616" s="5">
        <v>12</v>
      </c>
      <c r="J616" s="5">
        <v>12</v>
      </c>
    </row>
    <row r="617" spans="1:10" x14ac:dyDescent="0.3">
      <c r="A617" s="5" t="s">
        <v>2494</v>
      </c>
      <c r="B617" s="5" t="s">
        <v>189</v>
      </c>
      <c r="C617" s="5" t="s">
        <v>99</v>
      </c>
      <c r="D617" s="5" t="s">
        <v>6602</v>
      </c>
      <c r="E617" s="5">
        <v>21</v>
      </c>
      <c r="F617" s="5">
        <v>20</v>
      </c>
      <c r="G617" s="5">
        <v>3</v>
      </c>
      <c r="H617" s="5">
        <v>3.09</v>
      </c>
      <c r="I617" s="5">
        <v>12</v>
      </c>
      <c r="J617" s="5">
        <v>9</v>
      </c>
    </row>
    <row r="618" spans="1:10" x14ac:dyDescent="0.3">
      <c r="A618" s="5" t="s">
        <v>2494</v>
      </c>
      <c r="B618" s="5" t="s">
        <v>189</v>
      </c>
      <c r="C618" s="5" t="s">
        <v>99</v>
      </c>
      <c r="D618" s="5" t="s">
        <v>6602</v>
      </c>
      <c r="E618" s="5">
        <v>12</v>
      </c>
      <c r="F618" s="5">
        <v>11</v>
      </c>
      <c r="G618" s="5">
        <v>2</v>
      </c>
      <c r="H618" s="5">
        <v>9.31</v>
      </c>
      <c r="I618" s="5">
        <v>8</v>
      </c>
      <c r="J618" s="5">
        <v>4</v>
      </c>
    </row>
    <row r="619" spans="1:10" x14ac:dyDescent="0.3">
      <c r="A619" s="5" t="s">
        <v>2504</v>
      </c>
      <c r="B619" s="5" t="s">
        <v>27</v>
      </c>
      <c r="C619" s="5" t="s">
        <v>37</v>
      </c>
      <c r="D619" s="5" t="s">
        <v>6602</v>
      </c>
      <c r="E619" s="5">
        <v>12</v>
      </c>
      <c r="F619" s="5">
        <v>9</v>
      </c>
      <c r="G619" s="5">
        <v>4</v>
      </c>
      <c r="H619" s="5">
        <v>2.31</v>
      </c>
      <c r="I619" s="5">
        <v>6</v>
      </c>
      <c r="J619" s="5">
        <v>6</v>
      </c>
    </row>
    <row r="620" spans="1:10" x14ac:dyDescent="0.3">
      <c r="A620" s="5" t="s">
        <v>2504</v>
      </c>
      <c r="B620" s="5" t="s">
        <v>27</v>
      </c>
      <c r="C620" s="5" t="s">
        <v>37</v>
      </c>
      <c r="D620" s="5" t="s">
        <v>6602</v>
      </c>
      <c r="E620" s="5">
        <v>23</v>
      </c>
      <c r="F620" s="5">
        <v>21</v>
      </c>
      <c r="G620" s="5">
        <v>1</v>
      </c>
      <c r="H620" s="5">
        <v>10.74</v>
      </c>
      <c r="I620" s="5">
        <v>17</v>
      </c>
      <c r="J620" s="5">
        <v>6</v>
      </c>
    </row>
    <row r="621" spans="1:10" x14ac:dyDescent="0.3">
      <c r="A621" s="5" t="s">
        <v>2504</v>
      </c>
      <c r="B621" s="5" t="s">
        <v>27</v>
      </c>
      <c r="C621" s="5" t="s">
        <v>37</v>
      </c>
      <c r="D621" s="5" t="s">
        <v>6602</v>
      </c>
      <c r="E621" s="5">
        <v>8</v>
      </c>
      <c r="F621" s="5">
        <v>7</v>
      </c>
      <c r="G621" s="5">
        <v>2</v>
      </c>
      <c r="H621" s="5">
        <v>6.47</v>
      </c>
      <c r="I621" s="5">
        <v>6</v>
      </c>
      <c r="J621" s="5">
        <v>2</v>
      </c>
    </row>
    <row r="622" spans="1:10" x14ac:dyDescent="0.3">
      <c r="A622" s="5" t="s">
        <v>2445</v>
      </c>
      <c r="B622" s="5" t="s">
        <v>27</v>
      </c>
      <c r="C622" s="5" t="s">
        <v>164</v>
      </c>
      <c r="D622" s="5" t="s">
        <v>6602</v>
      </c>
      <c r="E622" s="5">
        <v>24</v>
      </c>
      <c r="F622" s="5">
        <v>24</v>
      </c>
      <c r="G622" s="5">
        <v>3</v>
      </c>
      <c r="H622" s="5">
        <v>3.51</v>
      </c>
      <c r="I622" s="5">
        <v>15</v>
      </c>
      <c r="J622" s="5">
        <v>9</v>
      </c>
    </row>
    <row r="623" spans="1:10" x14ac:dyDescent="0.3">
      <c r="A623" s="5" t="s">
        <v>2445</v>
      </c>
      <c r="B623" s="5" t="s">
        <v>27</v>
      </c>
      <c r="C623" s="5" t="s">
        <v>164</v>
      </c>
      <c r="D623" s="5" t="s">
        <v>6602</v>
      </c>
      <c r="E623" s="5">
        <v>3</v>
      </c>
      <c r="F623" s="5">
        <v>1</v>
      </c>
      <c r="G623" s="5">
        <v>1</v>
      </c>
      <c r="H623" s="5">
        <v>7.1</v>
      </c>
      <c r="I623" s="5">
        <v>1</v>
      </c>
      <c r="J623" s="5">
        <v>2</v>
      </c>
    </row>
    <row r="624" spans="1:10" x14ac:dyDescent="0.3">
      <c r="A624" s="5" t="s">
        <v>2445</v>
      </c>
      <c r="B624" s="5" t="s">
        <v>27</v>
      </c>
      <c r="C624" s="5" t="s">
        <v>164</v>
      </c>
      <c r="D624" s="5" t="s">
        <v>6602</v>
      </c>
      <c r="E624" s="5">
        <v>8</v>
      </c>
      <c r="F624" s="5">
        <v>8</v>
      </c>
      <c r="G624" s="5">
        <v>1</v>
      </c>
      <c r="H624" s="5">
        <v>2.34</v>
      </c>
      <c r="I624" s="5">
        <v>5</v>
      </c>
      <c r="J624" s="5">
        <v>3</v>
      </c>
    </row>
    <row r="625" spans="1:10" x14ac:dyDescent="0.3">
      <c r="A625" s="5" t="s">
        <v>2463</v>
      </c>
      <c r="B625" s="5" t="s">
        <v>27</v>
      </c>
      <c r="C625" s="5" t="s">
        <v>74</v>
      </c>
      <c r="D625" s="5" t="s">
        <v>6602</v>
      </c>
      <c r="E625" s="5">
        <v>3</v>
      </c>
      <c r="F625" s="5">
        <v>1</v>
      </c>
      <c r="G625" s="5">
        <v>1</v>
      </c>
      <c r="H625" s="5">
        <v>1.76</v>
      </c>
      <c r="I625" s="5">
        <v>2</v>
      </c>
      <c r="J625" s="5">
        <v>1</v>
      </c>
    </row>
    <row r="626" spans="1:10" x14ac:dyDescent="0.3">
      <c r="A626" s="5" t="s">
        <v>2463</v>
      </c>
      <c r="B626" s="5" t="s">
        <v>27</v>
      </c>
      <c r="C626" s="5" t="s">
        <v>74</v>
      </c>
      <c r="D626" s="5" t="s">
        <v>6602</v>
      </c>
      <c r="E626" s="5">
        <v>8</v>
      </c>
      <c r="F626" s="5">
        <v>7</v>
      </c>
      <c r="G626" s="5">
        <v>1</v>
      </c>
      <c r="H626" s="5">
        <v>1.53</v>
      </c>
      <c r="I626" s="5">
        <v>5</v>
      </c>
      <c r="J626" s="5">
        <v>3</v>
      </c>
    </row>
    <row r="627" spans="1:10" x14ac:dyDescent="0.3">
      <c r="A627" s="5" t="s">
        <v>2431</v>
      </c>
      <c r="B627" s="5" t="s">
        <v>16</v>
      </c>
      <c r="C627" s="5" t="s">
        <v>67</v>
      </c>
      <c r="D627" s="5" t="s">
        <v>6602</v>
      </c>
      <c r="E627" s="5">
        <v>22</v>
      </c>
      <c r="F627" s="5">
        <v>21</v>
      </c>
      <c r="G627" s="5">
        <v>3</v>
      </c>
      <c r="H627" s="5">
        <v>2.77</v>
      </c>
      <c r="I627" s="5">
        <v>12</v>
      </c>
      <c r="J627" s="5">
        <v>10</v>
      </c>
    </row>
    <row r="628" spans="1:10" x14ac:dyDescent="0.3">
      <c r="A628" s="5" t="s">
        <v>2431</v>
      </c>
      <c r="B628" s="5" t="s">
        <v>16</v>
      </c>
      <c r="C628" s="5" t="s">
        <v>67</v>
      </c>
      <c r="D628" s="5" t="s">
        <v>6602</v>
      </c>
      <c r="E628" s="5">
        <v>7</v>
      </c>
      <c r="F628" s="5">
        <v>4</v>
      </c>
      <c r="G628" s="5">
        <v>1</v>
      </c>
      <c r="H628" s="5">
        <v>1.61</v>
      </c>
      <c r="I628" s="5">
        <v>5</v>
      </c>
      <c r="J628" s="5">
        <v>2</v>
      </c>
    </row>
    <row r="629" spans="1:10" x14ac:dyDescent="0.3">
      <c r="A629" s="5" t="s">
        <v>2518</v>
      </c>
      <c r="B629" s="5" t="s">
        <v>16</v>
      </c>
      <c r="C629" s="5" t="s">
        <v>164</v>
      </c>
      <c r="D629" s="5" t="s">
        <v>6602</v>
      </c>
      <c r="E629" s="5">
        <v>20</v>
      </c>
      <c r="F629" s="5">
        <v>19</v>
      </c>
      <c r="G629" s="5">
        <v>4</v>
      </c>
      <c r="H629" s="5">
        <v>2.96</v>
      </c>
      <c r="I629" s="5">
        <v>15</v>
      </c>
      <c r="J629" s="5">
        <v>5</v>
      </c>
    </row>
    <row r="630" spans="1:10" x14ac:dyDescent="0.3">
      <c r="A630" s="5" t="s">
        <v>2518</v>
      </c>
      <c r="B630" s="5" t="s">
        <v>16</v>
      </c>
      <c r="C630" s="5" t="s">
        <v>164</v>
      </c>
      <c r="D630" s="5" t="s">
        <v>6602</v>
      </c>
      <c r="E630" s="5">
        <v>25</v>
      </c>
      <c r="F630" s="5">
        <v>22</v>
      </c>
      <c r="G630" s="5">
        <v>4</v>
      </c>
      <c r="H630" s="5">
        <v>10.64</v>
      </c>
      <c r="I630" s="5">
        <v>16</v>
      </c>
      <c r="J630" s="5">
        <v>9</v>
      </c>
    </row>
    <row r="631" spans="1:10" x14ac:dyDescent="0.3">
      <c r="A631" s="5" t="s">
        <v>2518</v>
      </c>
      <c r="B631" s="5" t="s">
        <v>16</v>
      </c>
      <c r="C631" s="5" t="s">
        <v>164</v>
      </c>
      <c r="D631" s="5" t="s">
        <v>6602</v>
      </c>
      <c r="E631" s="5">
        <v>3</v>
      </c>
      <c r="F631" s="5">
        <v>3</v>
      </c>
      <c r="G631" s="5">
        <v>4</v>
      </c>
      <c r="H631" s="5">
        <v>10.56</v>
      </c>
      <c r="I631" s="5">
        <v>1</v>
      </c>
      <c r="J631" s="5">
        <v>2</v>
      </c>
    </row>
    <row r="632" spans="1:10" x14ac:dyDescent="0.3">
      <c r="A632" s="5" t="s">
        <v>2518</v>
      </c>
      <c r="B632" s="5" t="s">
        <v>16</v>
      </c>
      <c r="C632" s="5" t="s">
        <v>164</v>
      </c>
      <c r="D632" s="5" t="s">
        <v>6602</v>
      </c>
      <c r="E632" s="5">
        <v>10</v>
      </c>
      <c r="F632" s="5">
        <v>9</v>
      </c>
      <c r="G632" s="5">
        <v>4</v>
      </c>
      <c r="H632" s="5">
        <v>8.34</v>
      </c>
      <c r="I632" s="5">
        <v>7</v>
      </c>
      <c r="J632" s="5">
        <v>3</v>
      </c>
    </row>
    <row r="633" spans="1:10" x14ac:dyDescent="0.3">
      <c r="A633" s="5" t="s">
        <v>2518</v>
      </c>
      <c r="B633" s="5" t="s">
        <v>16</v>
      </c>
      <c r="C633" s="5" t="s">
        <v>164</v>
      </c>
      <c r="D633" s="5" t="s">
        <v>6602</v>
      </c>
      <c r="E633" s="5">
        <v>18</v>
      </c>
      <c r="F633" s="5">
        <v>17</v>
      </c>
      <c r="G633" s="5">
        <v>2</v>
      </c>
      <c r="H633" s="5">
        <v>7.8</v>
      </c>
      <c r="I633" s="5">
        <v>11</v>
      </c>
      <c r="J633" s="5">
        <v>7</v>
      </c>
    </row>
    <row r="634" spans="1:10" x14ac:dyDescent="0.3">
      <c r="A634" s="5" t="s">
        <v>2415</v>
      </c>
      <c r="B634" s="5" t="s">
        <v>189</v>
      </c>
      <c r="C634" s="5" t="s">
        <v>17</v>
      </c>
      <c r="D634" s="5" t="s">
        <v>6601</v>
      </c>
      <c r="E634" s="5">
        <v>3</v>
      </c>
      <c r="F634" s="5">
        <v>1</v>
      </c>
      <c r="G634" s="5">
        <v>3</v>
      </c>
      <c r="H634" s="5">
        <v>10.199999999999999</v>
      </c>
      <c r="I634" s="5">
        <v>2</v>
      </c>
      <c r="J634" s="5">
        <v>1</v>
      </c>
    </row>
    <row r="635" spans="1:10" x14ac:dyDescent="0.3">
      <c r="A635" s="5" t="s">
        <v>2434</v>
      </c>
      <c r="B635" s="5" t="s">
        <v>16</v>
      </c>
      <c r="C635" s="5" t="s">
        <v>108</v>
      </c>
      <c r="D635" s="5" t="s">
        <v>6601</v>
      </c>
      <c r="E635" s="5">
        <v>13</v>
      </c>
      <c r="F635" s="5">
        <v>12</v>
      </c>
      <c r="G635" s="5">
        <v>3</v>
      </c>
      <c r="H635" s="5">
        <v>1.72</v>
      </c>
      <c r="I635" s="5">
        <v>7</v>
      </c>
      <c r="J635" s="5">
        <v>6</v>
      </c>
    </row>
    <row r="636" spans="1:10" x14ac:dyDescent="0.3">
      <c r="A636" s="5" t="s">
        <v>2434</v>
      </c>
      <c r="B636" s="5" t="s">
        <v>16</v>
      </c>
      <c r="C636" s="5" t="s">
        <v>108</v>
      </c>
      <c r="D636" s="5" t="s">
        <v>6601</v>
      </c>
      <c r="E636" s="5">
        <v>23</v>
      </c>
      <c r="F636" s="5">
        <v>23</v>
      </c>
      <c r="G636" s="5">
        <v>2</v>
      </c>
      <c r="H636" s="5">
        <v>8.6300000000000008</v>
      </c>
      <c r="I636" s="5">
        <v>13</v>
      </c>
      <c r="J636" s="5">
        <v>10</v>
      </c>
    </row>
    <row r="637" spans="1:10" x14ac:dyDescent="0.3">
      <c r="A637" s="5" t="s">
        <v>2434</v>
      </c>
      <c r="B637" s="5" t="s">
        <v>16</v>
      </c>
      <c r="C637" s="5" t="s">
        <v>108</v>
      </c>
      <c r="D637" s="5" t="s">
        <v>6601</v>
      </c>
      <c r="E637" s="5">
        <v>12</v>
      </c>
      <c r="F637" s="5">
        <v>11</v>
      </c>
      <c r="G637" s="5">
        <v>1</v>
      </c>
      <c r="H637" s="5">
        <v>10.220000000000001</v>
      </c>
      <c r="I637" s="5">
        <v>8</v>
      </c>
      <c r="J637" s="5">
        <v>4</v>
      </c>
    </row>
    <row r="638" spans="1:10" x14ac:dyDescent="0.3">
      <c r="A638" s="5" t="s">
        <v>2434</v>
      </c>
      <c r="B638" s="5" t="s">
        <v>16</v>
      </c>
      <c r="C638" s="5" t="s">
        <v>108</v>
      </c>
      <c r="D638" s="5" t="s">
        <v>6601</v>
      </c>
      <c r="E638" s="5">
        <v>15</v>
      </c>
      <c r="F638" s="5">
        <v>15</v>
      </c>
      <c r="G638" s="5">
        <v>3</v>
      </c>
      <c r="H638" s="5">
        <v>4.84</v>
      </c>
      <c r="I638" s="5">
        <v>9</v>
      </c>
      <c r="J638" s="5">
        <v>6</v>
      </c>
    </row>
    <row r="639" spans="1:10" x14ac:dyDescent="0.3">
      <c r="A639" s="5" t="s">
        <v>2434</v>
      </c>
      <c r="B639" s="5" t="s">
        <v>16</v>
      </c>
      <c r="C639" s="5" t="s">
        <v>108</v>
      </c>
      <c r="D639" s="5" t="s">
        <v>6601</v>
      </c>
      <c r="E639" s="5">
        <v>9</v>
      </c>
      <c r="F639" s="5">
        <v>7</v>
      </c>
      <c r="G639" s="5">
        <v>4</v>
      </c>
      <c r="H639" s="5">
        <v>8.94</v>
      </c>
      <c r="I639" s="5">
        <v>5</v>
      </c>
      <c r="J639" s="5">
        <v>4</v>
      </c>
    </row>
    <row r="640" spans="1:10" x14ac:dyDescent="0.3">
      <c r="A640" s="5" t="s">
        <v>2469</v>
      </c>
      <c r="B640" s="5" t="s">
        <v>16</v>
      </c>
      <c r="C640" s="5" t="s">
        <v>99</v>
      </c>
      <c r="D640" s="5" t="s">
        <v>6601</v>
      </c>
      <c r="E640" s="5">
        <v>22</v>
      </c>
      <c r="F640" s="5">
        <v>19</v>
      </c>
      <c r="G640" s="5">
        <v>1</v>
      </c>
      <c r="H640" s="5">
        <v>8.19</v>
      </c>
      <c r="I640" s="5">
        <v>13</v>
      </c>
      <c r="J640" s="5">
        <v>9</v>
      </c>
    </row>
    <row r="641" spans="1:10" x14ac:dyDescent="0.3">
      <c r="A641" s="5" t="s">
        <v>2536</v>
      </c>
      <c r="B641" s="5" t="s">
        <v>36</v>
      </c>
      <c r="C641" s="5" t="s">
        <v>99</v>
      </c>
      <c r="D641" s="5" t="s">
        <v>6601</v>
      </c>
      <c r="E641" s="5">
        <v>19</v>
      </c>
      <c r="F641" s="5">
        <v>16</v>
      </c>
      <c r="G641" s="5">
        <v>2</v>
      </c>
      <c r="H641" s="5">
        <v>6.51</v>
      </c>
      <c r="I641" s="5">
        <v>12</v>
      </c>
      <c r="J641" s="5">
        <v>7</v>
      </c>
    </row>
    <row r="642" spans="1:10" x14ac:dyDescent="0.3">
      <c r="A642" s="5" t="s">
        <v>2536</v>
      </c>
      <c r="B642" s="5" t="s">
        <v>36</v>
      </c>
      <c r="C642" s="5" t="s">
        <v>99</v>
      </c>
      <c r="D642" s="5" t="s">
        <v>6601</v>
      </c>
      <c r="E642" s="5">
        <v>6</v>
      </c>
      <c r="F642" s="5">
        <v>5</v>
      </c>
      <c r="G642" s="5">
        <v>1</v>
      </c>
      <c r="H642" s="5">
        <v>9.82</v>
      </c>
      <c r="I642" s="5">
        <v>4</v>
      </c>
      <c r="J642" s="5">
        <v>2</v>
      </c>
    </row>
    <row r="643" spans="1:10" x14ac:dyDescent="0.3">
      <c r="A643" s="5" t="s">
        <v>2536</v>
      </c>
      <c r="B643" s="5" t="s">
        <v>36</v>
      </c>
      <c r="C643" s="5" t="s">
        <v>99</v>
      </c>
      <c r="D643" s="5" t="s">
        <v>6601</v>
      </c>
      <c r="E643" s="5">
        <v>12</v>
      </c>
      <c r="F643" s="5">
        <v>11</v>
      </c>
      <c r="G643" s="5">
        <v>4</v>
      </c>
      <c r="H643" s="5">
        <v>3.64</v>
      </c>
      <c r="I643" s="5">
        <v>9</v>
      </c>
      <c r="J643" s="5">
        <v>3</v>
      </c>
    </row>
    <row r="644" spans="1:10" x14ac:dyDescent="0.3">
      <c r="A644" s="5" t="s">
        <v>2532</v>
      </c>
      <c r="B644" s="5" t="s">
        <v>36</v>
      </c>
      <c r="C644" s="5" t="s">
        <v>67</v>
      </c>
      <c r="D644" s="5" t="s">
        <v>6601</v>
      </c>
      <c r="E644" s="5">
        <v>7</v>
      </c>
      <c r="F644" s="5">
        <v>7</v>
      </c>
      <c r="G644" s="5">
        <v>4</v>
      </c>
      <c r="H644" s="5">
        <v>4.42</v>
      </c>
      <c r="I644" s="5">
        <v>5</v>
      </c>
      <c r="J644" s="5">
        <v>2</v>
      </c>
    </row>
    <row r="645" spans="1:10" x14ac:dyDescent="0.3">
      <c r="A645" s="5" t="s">
        <v>2532</v>
      </c>
      <c r="B645" s="5" t="s">
        <v>36</v>
      </c>
      <c r="C645" s="5" t="s">
        <v>67</v>
      </c>
      <c r="D645" s="5" t="s">
        <v>6601</v>
      </c>
      <c r="E645" s="5">
        <v>22</v>
      </c>
      <c r="F645" s="5">
        <v>21</v>
      </c>
      <c r="G645" s="5">
        <v>3</v>
      </c>
      <c r="H645" s="5">
        <v>3.29</v>
      </c>
      <c r="I645" s="5">
        <v>18</v>
      </c>
      <c r="J645" s="5">
        <v>4</v>
      </c>
    </row>
    <row r="646" spans="1:10" x14ac:dyDescent="0.3">
      <c r="A646" s="5" t="s">
        <v>2490</v>
      </c>
      <c r="B646" s="5" t="s">
        <v>36</v>
      </c>
      <c r="C646" s="5" t="s">
        <v>28</v>
      </c>
      <c r="D646" s="5" t="s">
        <v>6601</v>
      </c>
      <c r="E646" s="5">
        <v>13</v>
      </c>
      <c r="F646" s="5">
        <v>12</v>
      </c>
      <c r="G646" s="5">
        <v>3</v>
      </c>
      <c r="H646" s="5">
        <v>9.67</v>
      </c>
      <c r="I646" s="5">
        <v>7</v>
      </c>
      <c r="J646" s="5">
        <v>6</v>
      </c>
    </row>
    <row r="647" spans="1:10" x14ac:dyDescent="0.3">
      <c r="A647" s="5" t="s">
        <v>2561</v>
      </c>
      <c r="B647" s="5" t="s">
        <v>36</v>
      </c>
      <c r="C647" s="5" t="s">
        <v>74</v>
      </c>
      <c r="D647" s="5" t="s">
        <v>6601</v>
      </c>
      <c r="E647" s="5">
        <v>3</v>
      </c>
      <c r="F647" s="5">
        <v>1</v>
      </c>
      <c r="G647" s="5">
        <v>2</v>
      </c>
      <c r="H647" s="5">
        <v>8.66</v>
      </c>
      <c r="I647" s="5">
        <v>2</v>
      </c>
      <c r="J647" s="5">
        <v>1</v>
      </c>
    </row>
    <row r="648" spans="1:10" x14ac:dyDescent="0.3">
      <c r="A648" s="5" t="s">
        <v>2561</v>
      </c>
      <c r="B648" s="5" t="s">
        <v>36</v>
      </c>
      <c r="C648" s="5" t="s">
        <v>74</v>
      </c>
      <c r="D648" s="5" t="s">
        <v>6601</v>
      </c>
      <c r="E648" s="5">
        <v>18</v>
      </c>
      <c r="F648" s="5">
        <v>18</v>
      </c>
      <c r="G648" s="5">
        <v>2</v>
      </c>
      <c r="H648" s="5">
        <v>6.7</v>
      </c>
      <c r="I648" s="5">
        <v>9</v>
      </c>
      <c r="J648" s="5">
        <v>9</v>
      </c>
    </row>
    <row r="649" spans="1:10" x14ac:dyDescent="0.3">
      <c r="A649" s="5" t="s">
        <v>2407</v>
      </c>
      <c r="B649" s="5" t="s">
        <v>66</v>
      </c>
      <c r="C649" s="5" t="s">
        <v>93</v>
      </c>
      <c r="D649" s="5" t="s">
        <v>6601</v>
      </c>
      <c r="E649" s="5">
        <v>13</v>
      </c>
      <c r="F649" s="5">
        <v>12</v>
      </c>
      <c r="G649" s="5">
        <v>3</v>
      </c>
      <c r="H649" s="5">
        <v>8.58</v>
      </c>
      <c r="I649" s="5">
        <v>8</v>
      </c>
      <c r="J649" s="5">
        <v>5</v>
      </c>
    </row>
    <row r="650" spans="1:10" x14ac:dyDescent="0.3">
      <c r="A650" s="5" t="s">
        <v>2407</v>
      </c>
      <c r="B650" s="5" t="s">
        <v>66</v>
      </c>
      <c r="C650" s="5" t="s">
        <v>93</v>
      </c>
      <c r="D650" s="5" t="s">
        <v>6601</v>
      </c>
      <c r="E650" s="5">
        <v>8</v>
      </c>
      <c r="F650" s="5">
        <v>8</v>
      </c>
      <c r="G650" s="5">
        <v>1</v>
      </c>
      <c r="H650" s="5">
        <v>11.77</v>
      </c>
      <c r="I650" s="5">
        <v>5</v>
      </c>
      <c r="J650" s="5">
        <v>3</v>
      </c>
    </row>
    <row r="651" spans="1:10" x14ac:dyDescent="0.3">
      <c r="A651" s="5" t="s">
        <v>2407</v>
      </c>
      <c r="B651" s="5" t="s">
        <v>66</v>
      </c>
      <c r="C651" s="5" t="s">
        <v>93</v>
      </c>
      <c r="D651" s="5" t="s">
        <v>6601</v>
      </c>
      <c r="E651" s="5">
        <v>14</v>
      </c>
      <c r="F651" s="5">
        <v>12</v>
      </c>
      <c r="G651" s="5">
        <v>1</v>
      </c>
      <c r="H651" s="5">
        <v>2.91</v>
      </c>
      <c r="I651" s="5">
        <v>7</v>
      </c>
      <c r="J651" s="5">
        <v>7</v>
      </c>
    </row>
    <row r="652" spans="1:10" x14ac:dyDescent="0.3">
      <c r="A652" s="5" t="s">
        <v>2466</v>
      </c>
      <c r="B652" s="5" t="s">
        <v>66</v>
      </c>
      <c r="C652" s="5" t="s">
        <v>67</v>
      </c>
      <c r="D652" s="5" t="s">
        <v>6601</v>
      </c>
      <c r="E652" s="5">
        <v>25</v>
      </c>
      <c r="F652" s="5">
        <v>24</v>
      </c>
      <c r="G652" s="5">
        <v>4</v>
      </c>
      <c r="H652" s="5">
        <v>8.57</v>
      </c>
      <c r="I652" s="5">
        <v>17</v>
      </c>
      <c r="J652" s="5">
        <v>8</v>
      </c>
    </row>
    <row r="653" spans="1:10" x14ac:dyDescent="0.3">
      <c r="A653" s="5" t="s">
        <v>2466</v>
      </c>
      <c r="B653" s="5" t="s">
        <v>66</v>
      </c>
      <c r="C653" s="5" t="s">
        <v>67</v>
      </c>
      <c r="D653" s="5" t="s">
        <v>6601</v>
      </c>
      <c r="E653" s="5">
        <v>7</v>
      </c>
      <c r="F653" s="5">
        <v>7</v>
      </c>
      <c r="G653" s="5">
        <v>3</v>
      </c>
      <c r="H653" s="5">
        <v>10.85</v>
      </c>
      <c r="I653" s="5">
        <v>4</v>
      </c>
      <c r="J653" s="5">
        <v>3</v>
      </c>
    </row>
    <row r="654" spans="1:10" x14ac:dyDescent="0.3">
      <c r="A654" s="5" t="s">
        <v>2521</v>
      </c>
      <c r="B654" s="5" t="s">
        <v>66</v>
      </c>
      <c r="C654" s="5" t="s">
        <v>99</v>
      </c>
      <c r="D654" s="5" t="s">
        <v>6601</v>
      </c>
      <c r="E654" s="5">
        <v>7</v>
      </c>
      <c r="F654" s="5">
        <v>6</v>
      </c>
      <c r="G654" s="5">
        <v>1</v>
      </c>
      <c r="H654" s="5">
        <v>4.4800000000000004</v>
      </c>
      <c r="I654" s="5">
        <v>5</v>
      </c>
      <c r="J654" s="5">
        <v>2</v>
      </c>
    </row>
    <row r="655" spans="1:10" x14ac:dyDescent="0.3">
      <c r="A655" s="5" t="s">
        <v>2521</v>
      </c>
      <c r="B655" s="5" t="s">
        <v>66</v>
      </c>
      <c r="C655" s="5" t="s">
        <v>99</v>
      </c>
      <c r="D655" s="5" t="s">
        <v>6601</v>
      </c>
      <c r="E655" s="5">
        <v>7</v>
      </c>
      <c r="F655" s="5">
        <v>5</v>
      </c>
      <c r="G655" s="5">
        <v>1</v>
      </c>
      <c r="H655" s="5">
        <v>11.25</v>
      </c>
      <c r="I655" s="5">
        <v>5</v>
      </c>
      <c r="J655" s="5">
        <v>2</v>
      </c>
    </row>
    <row r="656" spans="1:10" x14ac:dyDescent="0.3">
      <c r="A656" s="5" t="s">
        <v>2521</v>
      </c>
      <c r="B656" s="5" t="s">
        <v>66</v>
      </c>
      <c r="C656" s="5" t="s">
        <v>99</v>
      </c>
      <c r="D656" s="5" t="s">
        <v>6601</v>
      </c>
      <c r="E656" s="5">
        <v>19</v>
      </c>
      <c r="F656" s="5">
        <v>17</v>
      </c>
      <c r="G656" s="5">
        <v>4</v>
      </c>
      <c r="H656" s="5">
        <v>6.34</v>
      </c>
      <c r="I656" s="5">
        <v>15</v>
      </c>
      <c r="J656" s="5">
        <v>4</v>
      </c>
    </row>
    <row r="657" spans="1:10" x14ac:dyDescent="0.3">
      <c r="A657" s="5" t="s">
        <v>2411</v>
      </c>
      <c r="B657" s="5" t="s">
        <v>55</v>
      </c>
      <c r="C657" s="5" t="s">
        <v>108</v>
      </c>
      <c r="D657" s="5" t="s">
        <v>6601</v>
      </c>
      <c r="E657" s="5">
        <v>14</v>
      </c>
      <c r="F657" s="5">
        <v>11</v>
      </c>
      <c r="G657" s="5">
        <v>1</v>
      </c>
      <c r="H657" s="5">
        <v>2.66</v>
      </c>
      <c r="I657" s="5">
        <v>11</v>
      </c>
      <c r="J657" s="5">
        <v>3</v>
      </c>
    </row>
    <row r="658" spans="1:10" x14ac:dyDescent="0.3">
      <c r="A658" s="5" t="s">
        <v>2459</v>
      </c>
      <c r="B658" s="5" t="s">
        <v>189</v>
      </c>
      <c r="C658" s="5" t="s">
        <v>67</v>
      </c>
      <c r="D658" s="5" t="s">
        <v>6601</v>
      </c>
      <c r="E658" s="5">
        <v>25</v>
      </c>
      <c r="F658" s="5">
        <v>24</v>
      </c>
      <c r="G658" s="5">
        <v>4</v>
      </c>
      <c r="H658" s="5">
        <v>5.45</v>
      </c>
      <c r="I658" s="5">
        <v>13</v>
      </c>
      <c r="J658" s="5">
        <v>12</v>
      </c>
    </row>
    <row r="659" spans="1:10" x14ac:dyDescent="0.3">
      <c r="A659" s="5" t="s">
        <v>2459</v>
      </c>
      <c r="B659" s="5" t="s">
        <v>189</v>
      </c>
      <c r="C659" s="5" t="s">
        <v>67</v>
      </c>
      <c r="D659" s="5" t="s">
        <v>6601</v>
      </c>
      <c r="E659" s="5">
        <v>16</v>
      </c>
      <c r="F659" s="5">
        <v>14</v>
      </c>
      <c r="G659" s="5">
        <v>4</v>
      </c>
      <c r="H659" s="5">
        <v>7.42</v>
      </c>
      <c r="I659" s="5">
        <v>13</v>
      </c>
      <c r="J659" s="5">
        <v>3</v>
      </c>
    </row>
    <row r="660" spans="1:10" x14ac:dyDescent="0.3">
      <c r="A660" s="5" t="s">
        <v>2629</v>
      </c>
      <c r="B660" s="5" t="s">
        <v>55</v>
      </c>
      <c r="C660" s="5" t="s">
        <v>164</v>
      </c>
      <c r="D660" s="5" t="s">
        <v>6601</v>
      </c>
      <c r="E660" s="5">
        <v>14</v>
      </c>
      <c r="F660" s="5">
        <v>13</v>
      </c>
      <c r="G660" s="5">
        <v>4</v>
      </c>
      <c r="H660" s="5">
        <v>5.37</v>
      </c>
      <c r="I660" s="5">
        <v>7</v>
      </c>
      <c r="J660" s="5">
        <v>7</v>
      </c>
    </row>
    <row r="661" spans="1:10" x14ac:dyDescent="0.3">
      <c r="A661" s="5" t="s">
        <v>2629</v>
      </c>
      <c r="B661" s="5" t="s">
        <v>55</v>
      </c>
      <c r="C661" s="5" t="s">
        <v>164</v>
      </c>
      <c r="D661" s="5" t="s">
        <v>6601</v>
      </c>
      <c r="E661" s="5">
        <v>10</v>
      </c>
      <c r="F661" s="5">
        <v>7</v>
      </c>
      <c r="G661" s="5">
        <v>3</v>
      </c>
      <c r="H661" s="5">
        <v>1.6</v>
      </c>
      <c r="I661" s="5">
        <v>6</v>
      </c>
      <c r="J661" s="5">
        <v>4</v>
      </c>
    </row>
    <row r="662" spans="1:10" x14ac:dyDescent="0.3">
      <c r="A662" s="5" t="s">
        <v>2422</v>
      </c>
      <c r="B662" s="5" t="s">
        <v>55</v>
      </c>
      <c r="C662" s="5" t="s">
        <v>28</v>
      </c>
      <c r="D662" s="5" t="s">
        <v>6601</v>
      </c>
      <c r="E662" s="5">
        <v>17</v>
      </c>
      <c r="F662" s="5">
        <v>15</v>
      </c>
      <c r="G662" s="5">
        <v>1</v>
      </c>
      <c r="H662" s="5">
        <v>6.4</v>
      </c>
      <c r="I662" s="5">
        <v>12</v>
      </c>
      <c r="J662" s="5">
        <v>5</v>
      </c>
    </row>
    <row r="663" spans="1:10" x14ac:dyDescent="0.3">
      <c r="A663" s="5" t="s">
        <v>2422</v>
      </c>
      <c r="B663" s="5" t="s">
        <v>55</v>
      </c>
      <c r="C663" s="5" t="s">
        <v>28</v>
      </c>
      <c r="D663" s="5" t="s">
        <v>6601</v>
      </c>
      <c r="E663" s="5">
        <v>5</v>
      </c>
      <c r="F663" s="5">
        <v>3</v>
      </c>
      <c r="G663" s="5">
        <v>4</v>
      </c>
      <c r="H663" s="5">
        <v>1.85</v>
      </c>
      <c r="I663" s="5">
        <v>3</v>
      </c>
      <c r="J663" s="5">
        <v>2</v>
      </c>
    </row>
    <row r="664" spans="1:10" x14ac:dyDescent="0.3">
      <c r="A664" s="5" t="s">
        <v>2438</v>
      </c>
      <c r="B664" s="5" t="s">
        <v>55</v>
      </c>
      <c r="C664" s="5" t="s">
        <v>74</v>
      </c>
      <c r="D664" s="5" t="s">
        <v>6601</v>
      </c>
      <c r="E664" s="5">
        <v>19</v>
      </c>
      <c r="F664" s="5">
        <v>17</v>
      </c>
      <c r="G664" s="5">
        <v>4</v>
      </c>
      <c r="H664" s="5">
        <v>7.18</v>
      </c>
      <c r="I664" s="5">
        <v>15</v>
      </c>
      <c r="J664" s="5">
        <v>4</v>
      </c>
    </row>
    <row r="665" spans="1:10" x14ac:dyDescent="0.3">
      <c r="A665" s="5" t="s">
        <v>2438</v>
      </c>
      <c r="B665" s="5" t="s">
        <v>55</v>
      </c>
      <c r="C665" s="5" t="s">
        <v>74</v>
      </c>
      <c r="D665" s="5" t="s">
        <v>6601</v>
      </c>
      <c r="E665" s="5">
        <v>7</v>
      </c>
      <c r="F665" s="5">
        <v>7</v>
      </c>
      <c r="G665" s="5">
        <v>1</v>
      </c>
      <c r="H665" s="5">
        <v>1.85</v>
      </c>
      <c r="I665" s="5">
        <v>5</v>
      </c>
      <c r="J665" s="5">
        <v>2</v>
      </c>
    </row>
    <row r="666" spans="1:10" x14ac:dyDescent="0.3">
      <c r="A666" s="5" t="s">
        <v>2427</v>
      </c>
      <c r="B666" s="5" t="s">
        <v>55</v>
      </c>
      <c r="C666" s="5" t="s">
        <v>93</v>
      </c>
      <c r="D666" s="5" t="s">
        <v>6601</v>
      </c>
      <c r="E666" s="5">
        <v>16</v>
      </c>
      <c r="F666" s="5">
        <v>14</v>
      </c>
      <c r="G666" s="5">
        <v>3</v>
      </c>
      <c r="H666" s="5">
        <v>6.1</v>
      </c>
      <c r="I666" s="5">
        <v>8</v>
      </c>
      <c r="J666" s="5">
        <v>8</v>
      </c>
    </row>
    <row r="667" spans="1:10" x14ac:dyDescent="0.3">
      <c r="A667" s="5" t="s">
        <v>2427</v>
      </c>
      <c r="B667" s="5" t="s">
        <v>55</v>
      </c>
      <c r="C667" s="5" t="s">
        <v>93</v>
      </c>
      <c r="D667" s="5" t="s">
        <v>6601</v>
      </c>
      <c r="E667" s="5">
        <v>11</v>
      </c>
      <c r="F667" s="5">
        <v>8</v>
      </c>
      <c r="G667" s="5">
        <v>3</v>
      </c>
      <c r="H667" s="5">
        <v>2.4900000000000002</v>
      </c>
      <c r="I667" s="5">
        <v>9</v>
      </c>
      <c r="J667" s="5">
        <v>2</v>
      </c>
    </row>
    <row r="668" spans="1:10" x14ac:dyDescent="0.3">
      <c r="A668" s="5" t="s">
        <v>2485</v>
      </c>
      <c r="B668" s="5" t="s">
        <v>61</v>
      </c>
      <c r="C668" s="5" t="s">
        <v>99</v>
      </c>
      <c r="D668" s="5" t="s">
        <v>6601</v>
      </c>
      <c r="E668" s="5">
        <v>19</v>
      </c>
      <c r="F668" s="5">
        <v>17</v>
      </c>
      <c r="G668" s="5">
        <v>3</v>
      </c>
      <c r="H668" s="5">
        <v>4.0199999999999996</v>
      </c>
      <c r="I668" s="5">
        <v>13</v>
      </c>
      <c r="J668" s="5">
        <v>6</v>
      </c>
    </row>
    <row r="669" spans="1:10" x14ac:dyDescent="0.3">
      <c r="A669" s="5" t="s">
        <v>2485</v>
      </c>
      <c r="B669" s="5" t="s">
        <v>61</v>
      </c>
      <c r="C669" s="5" t="s">
        <v>99</v>
      </c>
      <c r="D669" s="5" t="s">
        <v>6601</v>
      </c>
      <c r="E669" s="5">
        <v>13</v>
      </c>
      <c r="F669" s="5">
        <v>13</v>
      </c>
      <c r="G669" s="5">
        <v>1</v>
      </c>
      <c r="H669" s="5">
        <v>1.81</v>
      </c>
      <c r="I669" s="5">
        <v>9</v>
      </c>
      <c r="J669" s="5">
        <v>4</v>
      </c>
    </row>
    <row r="670" spans="1:10" x14ac:dyDescent="0.3">
      <c r="A670" s="5" t="s">
        <v>2449</v>
      </c>
      <c r="B670" s="5" t="s">
        <v>61</v>
      </c>
      <c r="C670" s="5" t="s">
        <v>108</v>
      </c>
      <c r="D670" s="5" t="s">
        <v>6601</v>
      </c>
      <c r="E670" s="5">
        <v>14</v>
      </c>
      <c r="F670" s="5">
        <v>12</v>
      </c>
      <c r="G670" s="5">
        <v>4</v>
      </c>
      <c r="H670" s="5">
        <v>10.050000000000001</v>
      </c>
      <c r="I670" s="5">
        <v>9</v>
      </c>
      <c r="J670" s="5">
        <v>5</v>
      </c>
    </row>
    <row r="671" spans="1:10" x14ac:dyDescent="0.3">
      <c r="A671" s="5" t="s">
        <v>2449</v>
      </c>
      <c r="B671" s="5" t="s">
        <v>61</v>
      </c>
      <c r="C671" s="5" t="s">
        <v>108</v>
      </c>
      <c r="D671" s="5" t="s">
        <v>6601</v>
      </c>
      <c r="E671" s="5">
        <v>7</v>
      </c>
      <c r="F671" s="5">
        <v>7</v>
      </c>
      <c r="G671" s="5">
        <v>2</v>
      </c>
      <c r="H671" s="5">
        <v>11.96</v>
      </c>
      <c r="I671" s="5">
        <v>4</v>
      </c>
      <c r="J671" s="5">
        <v>3</v>
      </c>
    </row>
    <row r="672" spans="1:10" x14ac:dyDescent="0.3">
      <c r="A672" s="5" t="s">
        <v>2577</v>
      </c>
      <c r="B672" s="5" t="s">
        <v>61</v>
      </c>
      <c r="C672" s="5" t="s">
        <v>67</v>
      </c>
      <c r="D672" s="5" t="s">
        <v>6601</v>
      </c>
      <c r="E672" s="5">
        <v>11</v>
      </c>
      <c r="F672" s="5">
        <v>8</v>
      </c>
      <c r="G672" s="5">
        <v>4</v>
      </c>
      <c r="H672" s="5">
        <v>7.51</v>
      </c>
      <c r="I672" s="5">
        <v>7</v>
      </c>
      <c r="J672" s="5">
        <v>4</v>
      </c>
    </row>
    <row r="673" spans="1:10" x14ac:dyDescent="0.3">
      <c r="A673" s="5" t="s">
        <v>2577</v>
      </c>
      <c r="B673" s="5" t="s">
        <v>61</v>
      </c>
      <c r="C673" s="5" t="s">
        <v>67</v>
      </c>
      <c r="D673" s="5" t="s">
        <v>6601</v>
      </c>
      <c r="E673" s="5">
        <v>10</v>
      </c>
      <c r="F673" s="5">
        <v>8</v>
      </c>
      <c r="G673" s="5">
        <v>1</v>
      </c>
      <c r="H673" s="5">
        <v>5.51</v>
      </c>
      <c r="I673" s="5">
        <v>5</v>
      </c>
      <c r="J673" s="5">
        <v>5</v>
      </c>
    </row>
    <row r="674" spans="1:10" x14ac:dyDescent="0.3">
      <c r="A674" s="5" t="s">
        <v>2577</v>
      </c>
      <c r="B674" s="5" t="s">
        <v>61</v>
      </c>
      <c r="C674" s="5" t="s">
        <v>67</v>
      </c>
      <c r="D674" s="5" t="s">
        <v>6601</v>
      </c>
      <c r="E674" s="5">
        <v>11</v>
      </c>
      <c r="F674" s="5">
        <v>8</v>
      </c>
      <c r="G674" s="5">
        <v>1</v>
      </c>
      <c r="H674" s="5">
        <v>5.17</v>
      </c>
      <c r="I674" s="5">
        <v>7</v>
      </c>
      <c r="J674" s="5">
        <v>4</v>
      </c>
    </row>
    <row r="675" spans="1:10" x14ac:dyDescent="0.3">
      <c r="A675" s="5" t="s">
        <v>2454</v>
      </c>
      <c r="B675" s="5" t="s">
        <v>61</v>
      </c>
      <c r="C675" s="5" t="s">
        <v>17</v>
      </c>
      <c r="D675" s="5" t="s">
        <v>6601</v>
      </c>
      <c r="E675" s="5">
        <v>12</v>
      </c>
      <c r="F675" s="5">
        <v>10</v>
      </c>
      <c r="G675" s="5">
        <v>3</v>
      </c>
      <c r="H675" s="5">
        <v>9.07</v>
      </c>
      <c r="I675" s="5">
        <v>7</v>
      </c>
      <c r="J675" s="5">
        <v>5</v>
      </c>
    </row>
    <row r="676" spans="1:10" x14ac:dyDescent="0.3">
      <c r="A676" s="5" t="s">
        <v>2454</v>
      </c>
      <c r="B676" s="5" t="s">
        <v>61</v>
      </c>
      <c r="C676" s="5" t="s">
        <v>17</v>
      </c>
      <c r="D676" s="5" t="s">
        <v>6601</v>
      </c>
      <c r="E676" s="5">
        <v>10</v>
      </c>
      <c r="F676" s="5">
        <v>8</v>
      </c>
      <c r="G676" s="5">
        <v>1</v>
      </c>
      <c r="H676" s="5">
        <v>7.12</v>
      </c>
      <c r="I676" s="5">
        <v>5</v>
      </c>
      <c r="J676" s="5">
        <v>5</v>
      </c>
    </row>
    <row r="677" spans="1:10" x14ac:dyDescent="0.3">
      <c r="A677" s="5" t="s">
        <v>2454</v>
      </c>
      <c r="B677" s="5" t="s">
        <v>61</v>
      </c>
      <c r="C677" s="5" t="s">
        <v>17</v>
      </c>
      <c r="D677" s="5" t="s">
        <v>6601</v>
      </c>
      <c r="E677" s="5">
        <v>23</v>
      </c>
      <c r="F677" s="5">
        <v>20</v>
      </c>
      <c r="G677" s="5">
        <v>3</v>
      </c>
      <c r="H677" s="5">
        <v>3.46</v>
      </c>
      <c r="I677" s="5">
        <v>16</v>
      </c>
      <c r="J677" s="5">
        <v>7</v>
      </c>
    </row>
    <row r="678" spans="1:10" x14ac:dyDescent="0.3">
      <c r="A678" s="5" t="s">
        <v>2481</v>
      </c>
      <c r="B678" s="5" t="s">
        <v>80</v>
      </c>
      <c r="C678" s="5" t="s">
        <v>37</v>
      </c>
      <c r="D678" s="5" t="s">
        <v>6601</v>
      </c>
      <c r="E678" s="5">
        <v>21</v>
      </c>
      <c r="F678" s="5">
        <v>18</v>
      </c>
      <c r="G678" s="5">
        <v>4</v>
      </c>
      <c r="H678" s="5">
        <v>10.050000000000001</v>
      </c>
      <c r="I678" s="5">
        <v>13</v>
      </c>
      <c r="J678" s="5">
        <v>8</v>
      </c>
    </row>
    <row r="679" spans="1:10" x14ac:dyDescent="0.3">
      <c r="A679" s="5" t="s">
        <v>2481</v>
      </c>
      <c r="B679" s="5" t="s">
        <v>80</v>
      </c>
      <c r="C679" s="5" t="s">
        <v>37</v>
      </c>
      <c r="D679" s="5" t="s">
        <v>6601</v>
      </c>
      <c r="E679" s="5">
        <v>13</v>
      </c>
      <c r="F679" s="5">
        <v>10</v>
      </c>
      <c r="G679" s="5">
        <v>3</v>
      </c>
      <c r="H679" s="5">
        <v>6.76</v>
      </c>
      <c r="I679" s="5">
        <v>8</v>
      </c>
      <c r="J679" s="5">
        <v>5</v>
      </c>
    </row>
    <row r="680" spans="1:10" x14ac:dyDescent="0.3">
      <c r="A680" s="5" t="s">
        <v>2473</v>
      </c>
      <c r="B680" s="5" t="s">
        <v>80</v>
      </c>
      <c r="C680" s="5" t="s">
        <v>93</v>
      </c>
      <c r="D680" s="5" t="s">
        <v>6601</v>
      </c>
      <c r="E680" s="5">
        <v>15</v>
      </c>
      <c r="F680" s="5">
        <v>13</v>
      </c>
      <c r="G680" s="5">
        <v>1</v>
      </c>
      <c r="H680" s="5">
        <v>9.5</v>
      </c>
      <c r="I680" s="5">
        <v>10</v>
      </c>
      <c r="J680" s="5">
        <v>5</v>
      </c>
    </row>
    <row r="681" spans="1:10" x14ac:dyDescent="0.3">
      <c r="A681" s="5" t="s">
        <v>2473</v>
      </c>
      <c r="B681" s="5" t="s">
        <v>80</v>
      </c>
      <c r="C681" s="5" t="s">
        <v>93</v>
      </c>
      <c r="D681" s="5" t="s">
        <v>6601</v>
      </c>
      <c r="E681" s="5">
        <v>5</v>
      </c>
      <c r="F681" s="5">
        <v>3</v>
      </c>
      <c r="G681" s="5">
        <v>2</v>
      </c>
      <c r="H681" s="5">
        <v>4.9000000000000004</v>
      </c>
      <c r="I681" s="5">
        <v>2</v>
      </c>
      <c r="J681" s="5">
        <v>3</v>
      </c>
    </row>
    <row r="682" spans="1:10" x14ac:dyDescent="0.3">
      <c r="A682" s="5" t="s">
        <v>2473</v>
      </c>
      <c r="B682" s="5" t="s">
        <v>80</v>
      </c>
      <c r="C682" s="5" t="s">
        <v>93</v>
      </c>
      <c r="D682" s="5" t="s">
        <v>6601</v>
      </c>
      <c r="E682" s="5">
        <v>9</v>
      </c>
      <c r="F682" s="5">
        <v>7</v>
      </c>
      <c r="G682" s="5">
        <v>1</v>
      </c>
      <c r="H682" s="5">
        <v>8.9700000000000006</v>
      </c>
      <c r="I682" s="5">
        <v>5</v>
      </c>
      <c r="J682" s="5">
        <v>4</v>
      </c>
    </row>
    <row r="683" spans="1:10" x14ac:dyDescent="0.3">
      <c r="A683" s="5" t="s">
        <v>2730</v>
      </c>
      <c r="B683" s="5" t="s">
        <v>189</v>
      </c>
      <c r="C683" s="5" t="s">
        <v>74</v>
      </c>
      <c r="D683" s="5" t="s">
        <v>6601</v>
      </c>
      <c r="E683" s="5">
        <v>12</v>
      </c>
      <c r="F683" s="5">
        <v>12</v>
      </c>
      <c r="G683" s="5">
        <v>4</v>
      </c>
      <c r="H683" s="5">
        <v>11.89</v>
      </c>
      <c r="I683" s="5">
        <v>8</v>
      </c>
      <c r="J683" s="5">
        <v>4</v>
      </c>
    </row>
    <row r="684" spans="1:10" x14ac:dyDescent="0.3">
      <c r="A684" s="5" t="s">
        <v>2730</v>
      </c>
      <c r="B684" s="5" t="s">
        <v>189</v>
      </c>
      <c r="C684" s="5" t="s">
        <v>74</v>
      </c>
      <c r="D684" s="5" t="s">
        <v>6601</v>
      </c>
      <c r="E684" s="5">
        <v>24</v>
      </c>
      <c r="F684" s="5">
        <v>24</v>
      </c>
      <c r="G684" s="5">
        <v>1</v>
      </c>
      <c r="H684" s="5">
        <v>8.09</v>
      </c>
      <c r="I684" s="5">
        <v>18</v>
      </c>
      <c r="J684" s="5">
        <v>6</v>
      </c>
    </row>
    <row r="685" spans="1:10" x14ac:dyDescent="0.3">
      <c r="A685" s="5" t="s">
        <v>2514</v>
      </c>
      <c r="B685" s="5" t="s">
        <v>80</v>
      </c>
      <c r="C685" s="5" t="s">
        <v>47</v>
      </c>
      <c r="D685" s="5" t="s">
        <v>6601</v>
      </c>
      <c r="E685" s="5">
        <v>13</v>
      </c>
      <c r="F685" s="5">
        <v>11</v>
      </c>
      <c r="G685" s="5">
        <v>3</v>
      </c>
      <c r="H685" s="5">
        <v>8.9700000000000006</v>
      </c>
      <c r="I685" s="5">
        <v>7</v>
      </c>
      <c r="J685" s="5">
        <v>6</v>
      </c>
    </row>
    <row r="686" spans="1:10" x14ac:dyDescent="0.3">
      <c r="A686" s="5" t="s">
        <v>2514</v>
      </c>
      <c r="B686" s="5" t="s">
        <v>80</v>
      </c>
      <c r="C686" s="5" t="s">
        <v>47</v>
      </c>
      <c r="D686" s="5" t="s">
        <v>6601</v>
      </c>
      <c r="E686" s="5">
        <v>23</v>
      </c>
      <c r="F686" s="5">
        <v>20</v>
      </c>
      <c r="G686" s="5">
        <v>3</v>
      </c>
      <c r="H686" s="5">
        <v>3.5</v>
      </c>
      <c r="I686" s="5">
        <v>19</v>
      </c>
      <c r="J686" s="5">
        <v>4</v>
      </c>
    </row>
    <row r="687" spans="1:10" x14ac:dyDescent="0.3">
      <c r="A687" s="5" t="s">
        <v>2514</v>
      </c>
      <c r="B687" s="5" t="s">
        <v>80</v>
      </c>
      <c r="C687" s="5" t="s">
        <v>47</v>
      </c>
      <c r="D687" s="5" t="s">
        <v>6601</v>
      </c>
      <c r="E687" s="5">
        <v>10</v>
      </c>
      <c r="F687" s="5">
        <v>8</v>
      </c>
      <c r="G687" s="5">
        <v>1</v>
      </c>
      <c r="H687" s="5">
        <v>10.57</v>
      </c>
      <c r="I687" s="5">
        <v>7</v>
      </c>
      <c r="J687" s="5">
        <v>3</v>
      </c>
    </row>
    <row r="688" spans="1:10" x14ac:dyDescent="0.3">
      <c r="A688" s="5" t="s">
        <v>2514</v>
      </c>
      <c r="B688" s="5" t="s">
        <v>80</v>
      </c>
      <c r="C688" s="5" t="s">
        <v>47</v>
      </c>
      <c r="D688" s="5" t="s">
        <v>6601</v>
      </c>
      <c r="E688" s="5">
        <v>4</v>
      </c>
      <c r="F688" s="5">
        <v>3</v>
      </c>
      <c r="G688" s="5">
        <v>3</v>
      </c>
      <c r="H688" s="5">
        <v>9.35</v>
      </c>
      <c r="I688" s="5">
        <v>2</v>
      </c>
      <c r="J688" s="5">
        <v>2</v>
      </c>
    </row>
    <row r="689" spans="1:10" x14ac:dyDescent="0.3">
      <c r="A689" s="5" t="s">
        <v>2494</v>
      </c>
      <c r="B689" s="5" t="s">
        <v>189</v>
      </c>
      <c r="C689" s="5" t="s">
        <v>99</v>
      </c>
      <c r="D689" s="5" t="s">
        <v>6601</v>
      </c>
      <c r="E689" s="5">
        <v>12</v>
      </c>
      <c r="F689" s="5">
        <v>9</v>
      </c>
      <c r="G689" s="5">
        <v>3</v>
      </c>
      <c r="H689" s="5">
        <v>5.85</v>
      </c>
      <c r="I689" s="5">
        <v>10</v>
      </c>
      <c r="J689" s="5">
        <v>2</v>
      </c>
    </row>
    <row r="690" spans="1:10" x14ac:dyDescent="0.3">
      <c r="A690" s="5" t="s">
        <v>2494</v>
      </c>
      <c r="B690" s="5" t="s">
        <v>189</v>
      </c>
      <c r="C690" s="5" t="s">
        <v>99</v>
      </c>
      <c r="D690" s="5" t="s">
        <v>6601</v>
      </c>
      <c r="E690" s="5">
        <v>7</v>
      </c>
      <c r="F690" s="5">
        <v>7</v>
      </c>
      <c r="G690" s="5">
        <v>3</v>
      </c>
      <c r="H690" s="5">
        <v>1.86</v>
      </c>
      <c r="I690" s="5">
        <v>4</v>
      </c>
      <c r="J690" s="5">
        <v>3</v>
      </c>
    </row>
    <row r="691" spans="1:10" x14ac:dyDescent="0.3">
      <c r="A691" s="5" t="s">
        <v>2494</v>
      </c>
      <c r="B691" s="5" t="s">
        <v>189</v>
      </c>
      <c r="C691" s="5" t="s">
        <v>99</v>
      </c>
      <c r="D691" s="5" t="s">
        <v>6601</v>
      </c>
      <c r="E691" s="5">
        <v>16</v>
      </c>
      <c r="F691" s="5">
        <v>14</v>
      </c>
      <c r="G691" s="5">
        <v>3</v>
      </c>
      <c r="H691" s="5">
        <v>3.13</v>
      </c>
      <c r="I691" s="5">
        <v>10</v>
      </c>
      <c r="J691" s="5">
        <v>6</v>
      </c>
    </row>
    <row r="692" spans="1:10" x14ac:dyDescent="0.3">
      <c r="A692" s="5" t="s">
        <v>2504</v>
      </c>
      <c r="B692" s="5" t="s">
        <v>27</v>
      </c>
      <c r="C692" s="5" t="s">
        <v>37</v>
      </c>
      <c r="D692" s="5" t="s">
        <v>6601</v>
      </c>
      <c r="E692" s="5">
        <v>19</v>
      </c>
      <c r="F692" s="5">
        <v>17</v>
      </c>
      <c r="G692" s="5">
        <v>3</v>
      </c>
      <c r="H692" s="5">
        <v>11.99</v>
      </c>
      <c r="I692" s="5">
        <v>15</v>
      </c>
      <c r="J692" s="5">
        <v>4</v>
      </c>
    </row>
    <row r="693" spans="1:10" x14ac:dyDescent="0.3">
      <c r="A693" s="5" t="s">
        <v>2504</v>
      </c>
      <c r="B693" s="5" t="s">
        <v>27</v>
      </c>
      <c r="C693" s="5" t="s">
        <v>37</v>
      </c>
      <c r="D693" s="5" t="s">
        <v>6601</v>
      </c>
      <c r="E693" s="5">
        <v>17</v>
      </c>
      <c r="F693" s="5">
        <v>15</v>
      </c>
      <c r="G693" s="5">
        <v>3</v>
      </c>
      <c r="H693" s="5">
        <v>3.61</v>
      </c>
      <c r="I693" s="5">
        <v>14</v>
      </c>
      <c r="J693" s="5">
        <v>3</v>
      </c>
    </row>
    <row r="694" spans="1:10" x14ac:dyDescent="0.3">
      <c r="A694" s="5" t="s">
        <v>2504</v>
      </c>
      <c r="B694" s="5" t="s">
        <v>27</v>
      </c>
      <c r="C694" s="5" t="s">
        <v>37</v>
      </c>
      <c r="D694" s="5" t="s">
        <v>6601</v>
      </c>
      <c r="E694" s="5">
        <v>6</v>
      </c>
      <c r="F694" s="5">
        <v>4</v>
      </c>
      <c r="G694" s="5">
        <v>3</v>
      </c>
      <c r="H694" s="5">
        <v>9.5500000000000007</v>
      </c>
      <c r="I694" s="5">
        <v>4</v>
      </c>
      <c r="J694" s="5">
        <v>2</v>
      </c>
    </row>
    <row r="695" spans="1:10" x14ac:dyDescent="0.3">
      <c r="A695" s="5" t="s">
        <v>2445</v>
      </c>
      <c r="B695" s="5" t="s">
        <v>27</v>
      </c>
      <c r="C695" s="5" t="s">
        <v>164</v>
      </c>
      <c r="D695" s="5" t="s">
        <v>6601</v>
      </c>
      <c r="E695" s="5">
        <v>16</v>
      </c>
      <c r="F695" s="5">
        <v>14</v>
      </c>
      <c r="G695" s="5">
        <v>1</v>
      </c>
      <c r="H695" s="5">
        <v>7.14</v>
      </c>
      <c r="I695" s="5">
        <v>8</v>
      </c>
      <c r="J695" s="5">
        <v>8</v>
      </c>
    </row>
    <row r="696" spans="1:10" x14ac:dyDescent="0.3">
      <c r="A696" s="5" t="s">
        <v>2445</v>
      </c>
      <c r="B696" s="5" t="s">
        <v>27</v>
      </c>
      <c r="C696" s="5" t="s">
        <v>164</v>
      </c>
      <c r="D696" s="5" t="s">
        <v>6601</v>
      </c>
      <c r="E696" s="5">
        <v>14</v>
      </c>
      <c r="F696" s="5">
        <v>12</v>
      </c>
      <c r="G696" s="5">
        <v>2</v>
      </c>
      <c r="H696" s="5">
        <v>6.68</v>
      </c>
      <c r="I696" s="5">
        <v>9</v>
      </c>
      <c r="J696" s="5">
        <v>5</v>
      </c>
    </row>
    <row r="697" spans="1:10" x14ac:dyDescent="0.3">
      <c r="A697" s="5" t="s">
        <v>2445</v>
      </c>
      <c r="B697" s="5" t="s">
        <v>27</v>
      </c>
      <c r="C697" s="5" t="s">
        <v>164</v>
      </c>
      <c r="D697" s="5" t="s">
        <v>6601</v>
      </c>
      <c r="E697" s="5">
        <v>16</v>
      </c>
      <c r="F697" s="5">
        <v>13</v>
      </c>
      <c r="G697" s="5">
        <v>2</v>
      </c>
      <c r="H697" s="5">
        <v>8.59</v>
      </c>
      <c r="I697" s="5">
        <v>12</v>
      </c>
      <c r="J697" s="5">
        <v>4</v>
      </c>
    </row>
    <row r="698" spans="1:10" x14ac:dyDescent="0.3">
      <c r="A698" s="5" t="s">
        <v>2445</v>
      </c>
      <c r="B698" s="5" t="s">
        <v>27</v>
      </c>
      <c r="C698" s="5" t="s">
        <v>164</v>
      </c>
      <c r="D698" s="5" t="s">
        <v>6601</v>
      </c>
      <c r="E698" s="5">
        <v>15</v>
      </c>
      <c r="F698" s="5">
        <v>15</v>
      </c>
      <c r="G698" s="5">
        <v>4</v>
      </c>
      <c r="H698" s="5">
        <v>4.6900000000000004</v>
      </c>
      <c r="I698" s="5">
        <v>9</v>
      </c>
      <c r="J698" s="5">
        <v>6</v>
      </c>
    </row>
    <row r="699" spans="1:10" x14ac:dyDescent="0.3">
      <c r="A699" s="5" t="s">
        <v>2463</v>
      </c>
      <c r="B699" s="5" t="s">
        <v>27</v>
      </c>
      <c r="C699" s="5" t="s">
        <v>74</v>
      </c>
      <c r="D699" s="5" t="s">
        <v>6601</v>
      </c>
      <c r="E699" s="5">
        <v>22</v>
      </c>
      <c r="F699" s="5">
        <v>19</v>
      </c>
      <c r="G699" s="5">
        <v>4</v>
      </c>
      <c r="H699" s="5">
        <v>5.14</v>
      </c>
      <c r="I699" s="5">
        <v>18</v>
      </c>
      <c r="J699" s="5">
        <v>4</v>
      </c>
    </row>
    <row r="700" spans="1:10" x14ac:dyDescent="0.3">
      <c r="A700" s="5" t="s">
        <v>2463</v>
      </c>
      <c r="B700" s="5" t="s">
        <v>27</v>
      </c>
      <c r="C700" s="5" t="s">
        <v>74</v>
      </c>
      <c r="D700" s="5" t="s">
        <v>6601</v>
      </c>
      <c r="E700" s="5">
        <v>24</v>
      </c>
      <c r="F700" s="5">
        <v>22</v>
      </c>
      <c r="G700" s="5">
        <v>1</v>
      </c>
      <c r="H700" s="5">
        <v>10.24</v>
      </c>
      <c r="I700" s="5">
        <v>12</v>
      </c>
      <c r="J700" s="5">
        <v>12</v>
      </c>
    </row>
    <row r="701" spans="1:10" x14ac:dyDescent="0.3">
      <c r="A701" s="5" t="s">
        <v>2431</v>
      </c>
      <c r="B701" s="5" t="s">
        <v>16</v>
      </c>
      <c r="C701" s="5" t="s">
        <v>67</v>
      </c>
      <c r="D701" s="5" t="s">
        <v>6601</v>
      </c>
      <c r="E701" s="5">
        <v>25</v>
      </c>
      <c r="F701" s="5">
        <v>24</v>
      </c>
      <c r="G701" s="5">
        <v>1</v>
      </c>
      <c r="H701" s="5">
        <v>2.06</v>
      </c>
      <c r="I701" s="5">
        <v>16</v>
      </c>
      <c r="J701" s="5">
        <v>9</v>
      </c>
    </row>
    <row r="702" spans="1:10" x14ac:dyDescent="0.3">
      <c r="A702" s="5" t="s">
        <v>2431</v>
      </c>
      <c r="B702" s="5" t="s">
        <v>16</v>
      </c>
      <c r="C702" s="5" t="s">
        <v>67</v>
      </c>
      <c r="D702" s="5" t="s">
        <v>6601</v>
      </c>
      <c r="E702" s="5">
        <v>9</v>
      </c>
      <c r="F702" s="5">
        <v>7</v>
      </c>
      <c r="G702" s="5">
        <v>1</v>
      </c>
      <c r="H702" s="5">
        <v>4.33</v>
      </c>
      <c r="I702" s="5">
        <v>5</v>
      </c>
      <c r="J702" s="5">
        <v>4</v>
      </c>
    </row>
    <row r="703" spans="1:10" x14ac:dyDescent="0.3">
      <c r="A703" s="5" t="s">
        <v>2431</v>
      </c>
      <c r="B703" s="5" t="s">
        <v>16</v>
      </c>
      <c r="C703" s="5" t="s">
        <v>67</v>
      </c>
      <c r="D703" s="5" t="s">
        <v>6601</v>
      </c>
      <c r="E703" s="5">
        <v>9</v>
      </c>
      <c r="F703" s="5">
        <v>9</v>
      </c>
      <c r="G703" s="5">
        <v>4</v>
      </c>
      <c r="H703" s="5">
        <v>4.91</v>
      </c>
      <c r="I703" s="5">
        <v>7</v>
      </c>
      <c r="J703" s="5">
        <v>2</v>
      </c>
    </row>
    <row r="704" spans="1:10" x14ac:dyDescent="0.3">
      <c r="A704" s="5" t="s">
        <v>2518</v>
      </c>
      <c r="B704" s="5" t="s">
        <v>16</v>
      </c>
      <c r="C704" s="5" t="s">
        <v>164</v>
      </c>
      <c r="D704" s="5" t="s">
        <v>6601</v>
      </c>
      <c r="E704" s="5">
        <v>22</v>
      </c>
      <c r="F704" s="5">
        <v>22</v>
      </c>
      <c r="G704" s="5">
        <v>4</v>
      </c>
      <c r="H704" s="5">
        <v>10.6</v>
      </c>
      <c r="I704" s="5">
        <v>17</v>
      </c>
      <c r="J704" s="5">
        <v>5</v>
      </c>
    </row>
    <row r="705" spans="1:10" x14ac:dyDescent="0.3">
      <c r="A705" s="5" t="s">
        <v>2518</v>
      </c>
      <c r="B705" s="5" t="s">
        <v>16</v>
      </c>
      <c r="C705" s="5" t="s">
        <v>164</v>
      </c>
      <c r="D705" s="5" t="s">
        <v>6601</v>
      </c>
      <c r="E705" s="5">
        <v>11</v>
      </c>
      <c r="F705" s="5">
        <v>10</v>
      </c>
      <c r="G705" s="5">
        <v>2</v>
      </c>
      <c r="H705" s="5">
        <v>8.1</v>
      </c>
      <c r="I705" s="5">
        <v>8</v>
      </c>
      <c r="J705" s="5">
        <v>3</v>
      </c>
    </row>
    <row r="706" spans="1:10" x14ac:dyDescent="0.3">
      <c r="A706" s="5" t="s">
        <v>2518</v>
      </c>
      <c r="B706" s="5" t="s">
        <v>16</v>
      </c>
      <c r="C706" s="5" t="s">
        <v>164</v>
      </c>
      <c r="D706" s="5" t="s">
        <v>6601</v>
      </c>
      <c r="E706" s="5">
        <v>8</v>
      </c>
      <c r="F706" s="5">
        <v>5</v>
      </c>
      <c r="G706" s="5">
        <v>3</v>
      </c>
      <c r="H706" s="5">
        <v>8.32</v>
      </c>
      <c r="I706" s="5">
        <v>6</v>
      </c>
      <c r="J706" s="5">
        <v>2</v>
      </c>
    </row>
    <row r="707" spans="1:10" x14ac:dyDescent="0.3">
      <c r="A707" s="5" t="s">
        <v>2415</v>
      </c>
      <c r="B707" s="5" t="s">
        <v>189</v>
      </c>
      <c r="C707" s="5" t="s">
        <v>17</v>
      </c>
      <c r="D707" s="5" t="s">
        <v>6600</v>
      </c>
      <c r="E707" s="5">
        <v>12</v>
      </c>
      <c r="F707" s="5">
        <v>9</v>
      </c>
      <c r="G707" s="5">
        <v>2</v>
      </c>
      <c r="H707" s="5">
        <v>7.76</v>
      </c>
      <c r="I707" s="5">
        <v>8</v>
      </c>
      <c r="J707" s="5">
        <v>4</v>
      </c>
    </row>
    <row r="708" spans="1:10" x14ac:dyDescent="0.3">
      <c r="A708" s="5" t="s">
        <v>2415</v>
      </c>
      <c r="B708" s="5" t="s">
        <v>189</v>
      </c>
      <c r="C708" s="5" t="s">
        <v>17</v>
      </c>
      <c r="D708" s="5" t="s">
        <v>6600</v>
      </c>
      <c r="E708" s="5">
        <v>9</v>
      </c>
      <c r="F708" s="5">
        <v>6</v>
      </c>
      <c r="G708" s="5">
        <v>1</v>
      </c>
      <c r="H708" s="5">
        <v>2.78</v>
      </c>
      <c r="I708" s="5">
        <v>6</v>
      </c>
      <c r="J708" s="5">
        <v>3</v>
      </c>
    </row>
    <row r="709" spans="1:10" x14ac:dyDescent="0.3">
      <c r="A709" s="5" t="s">
        <v>2434</v>
      </c>
      <c r="B709" s="5" t="s">
        <v>16</v>
      </c>
      <c r="C709" s="5" t="s">
        <v>108</v>
      </c>
      <c r="D709" s="5" t="s">
        <v>6600</v>
      </c>
      <c r="E709" s="5">
        <v>6</v>
      </c>
      <c r="F709" s="5">
        <v>3</v>
      </c>
      <c r="G709" s="5">
        <v>3</v>
      </c>
      <c r="H709" s="5">
        <v>11.39</v>
      </c>
      <c r="I709" s="5">
        <v>4</v>
      </c>
      <c r="J709" s="5">
        <v>2</v>
      </c>
    </row>
    <row r="710" spans="1:10" x14ac:dyDescent="0.3">
      <c r="A710" s="5" t="s">
        <v>2434</v>
      </c>
      <c r="B710" s="5" t="s">
        <v>16</v>
      </c>
      <c r="C710" s="5" t="s">
        <v>108</v>
      </c>
      <c r="D710" s="5" t="s">
        <v>6600</v>
      </c>
      <c r="E710" s="5">
        <v>24</v>
      </c>
      <c r="F710" s="5">
        <v>24</v>
      </c>
      <c r="G710" s="5">
        <v>3</v>
      </c>
      <c r="H710" s="5">
        <v>11.65</v>
      </c>
      <c r="I710" s="5">
        <v>17</v>
      </c>
      <c r="J710" s="5">
        <v>7</v>
      </c>
    </row>
    <row r="711" spans="1:10" x14ac:dyDescent="0.3">
      <c r="A711" s="5" t="s">
        <v>2469</v>
      </c>
      <c r="B711" s="5" t="s">
        <v>16</v>
      </c>
      <c r="C711" s="5" t="s">
        <v>99</v>
      </c>
      <c r="D711" s="5" t="s">
        <v>6600</v>
      </c>
      <c r="E711" s="5">
        <v>6</v>
      </c>
      <c r="F711" s="5">
        <v>3</v>
      </c>
      <c r="G711" s="5">
        <v>1</v>
      </c>
      <c r="H711" s="5">
        <v>10.87</v>
      </c>
      <c r="I711" s="5">
        <v>3</v>
      </c>
      <c r="J711" s="5">
        <v>3</v>
      </c>
    </row>
    <row r="712" spans="1:10" x14ac:dyDescent="0.3">
      <c r="A712" s="5" t="s">
        <v>2469</v>
      </c>
      <c r="B712" s="5" t="s">
        <v>16</v>
      </c>
      <c r="C712" s="5" t="s">
        <v>99</v>
      </c>
      <c r="D712" s="5" t="s">
        <v>6600</v>
      </c>
      <c r="E712" s="5">
        <v>3</v>
      </c>
      <c r="F712" s="5">
        <v>3</v>
      </c>
      <c r="G712" s="5">
        <v>3</v>
      </c>
      <c r="H712" s="5">
        <v>10.08</v>
      </c>
      <c r="I712" s="5">
        <v>2</v>
      </c>
      <c r="J712" s="5">
        <v>1</v>
      </c>
    </row>
    <row r="713" spans="1:10" x14ac:dyDescent="0.3">
      <c r="A713" s="5" t="s">
        <v>2536</v>
      </c>
      <c r="B713" s="5" t="s">
        <v>36</v>
      </c>
      <c r="C713" s="5" t="s">
        <v>99</v>
      </c>
      <c r="D713" s="5" t="s">
        <v>6600</v>
      </c>
      <c r="E713" s="5">
        <v>20</v>
      </c>
      <c r="F713" s="5">
        <v>17</v>
      </c>
      <c r="G713" s="5">
        <v>1</v>
      </c>
      <c r="H713" s="5">
        <v>4.41</v>
      </c>
      <c r="I713" s="5">
        <v>12</v>
      </c>
      <c r="J713" s="5">
        <v>8</v>
      </c>
    </row>
    <row r="714" spans="1:10" x14ac:dyDescent="0.3">
      <c r="A714" s="5" t="s">
        <v>2536</v>
      </c>
      <c r="B714" s="5" t="s">
        <v>36</v>
      </c>
      <c r="C714" s="5" t="s">
        <v>99</v>
      </c>
      <c r="D714" s="5" t="s">
        <v>6600</v>
      </c>
      <c r="E714" s="5">
        <v>13</v>
      </c>
      <c r="F714" s="5">
        <v>10</v>
      </c>
      <c r="G714" s="5">
        <v>2</v>
      </c>
      <c r="H714" s="5">
        <v>4.8600000000000003</v>
      </c>
      <c r="I714" s="5">
        <v>7</v>
      </c>
      <c r="J714" s="5">
        <v>6</v>
      </c>
    </row>
    <row r="715" spans="1:10" x14ac:dyDescent="0.3">
      <c r="A715" s="5" t="s">
        <v>2532</v>
      </c>
      <c r="B715" s="5" t="s">
        <v>36</v>
      </c>
      <c r="C715" s="5" t="s">
        <v>67</v>
      </c>
      <c r="D715" s="5" t="s">
        <v>6600</v>
      </c>
      <c r="E715" s="5">
        <v>12</v>
      </c>
      <c r="F715" s="5">
        <v>11</v>
      </c>
      <c r="G715" s="5">
        <v>1</v>
      </c>
      <c r="H715" s="5">
        <v>6.34</v>
      </c>
      <c r="I715" s="5">
        <v>7</v>
      </c>
      <c r="J715" s="5">
        <v>5</v>
      </c>
    </row>
    <row r="716" spans="1:10" x14ac:dyDescent="0.3">
      <c r="A716" s="5" t="s">
        <v>2532</v>
      </c>
      <c r="B716" s="5" t="s">
        <v>36</v>
      </c>
      <c r="C716" s="5" t="s">
        <v>67</v>
      </c>
      <c r="D716" s="5" t="s">
        <v>6600</v>
      </c>
      <c r="E716" s="5">
        <v>18</v>
      </c>
      <c r="F716" s="5">
        <v>18</v>
      </c>
      <c r="G716" s="5">
        <v>4</v>
      </c>
      <c r="H716" s="5">
        <v>11.02</v>
      </c>
      <c r="I716" s="5">
        <v>14</v>
      </c>
      <c r="J716" s="5">
        <v>4</v>
      </c>
    </row>
    <row r="717" spans="1:10" x14ac:dyDescent="0.3">
      <c r="A717" s="5" t="s">
        <v>2532</v>
      </c>
      <c r="B717" s="5" t="s">
        <v>36</v>
      </c>
      <c r="C717" s="5" t="s">
        <v>67</v>
      </c>
      <c r="D717" s="5" t="s">
        <v>6600</v>
      </c>
      <c r="E717" s="5">
        <v>13</v>
      </c>
      <c r="F717" s="5">
        <v>13</v>
      </c>
      <c r="G717" s="5">
        <v>1</v>
      </c>
      <c r="H717" s="5">
        <v>4.12</v>
      </c>
      <c r="I717" s="5">
        <v>8</v>
      </c>
      <c r="J717" s="5">
        <v>5</v>
      </c>
    </row>
    <row r="718" spans="1:10" x14ac:dyDescent="0.3">
      <c r="A718" s="5" t="s">
        <v>2490</v>
      </c>
      <c r="B718" s="5" t="s">
        <v>36</v>
      </c>
      <c r="C718" s="5" t="s">
        <v>28</v>
      </c>
      <c r="D718" s="5" t="s">
        <v>6600</v>
      </c>
      <c r="E718" s="5">
        <v>7</v>
      </c>
      <c r="F718" s="5">
        <v>5</v>
      </c>
      <c r="G718" s="5">
        <v>1</v>
      </c>
      <c r="H718" s="5">
        <v>2.33</v>
      </c>
      <c r="I718" s="5">
        <v>5</v>
      </c>
      <c r="J718" s="5">
        <v>2</v>
      </c>
    </row>
    <row r="719" spans="1:10" x14ac:dyDescent="0.3">
      <c r="A719" s="5" t="s">
        <v>2490</v>
      </c>
      <c r="B719" s="5" t="s">
        <v>36</v>
      </c>
      <c r="C719" s="5" t="s">
        <v>28</v>
      </c>
      <c r="D719" s="5" t="s">
        <v>6600</v>
      </c>
      <c r="E719" s="5">
        <v>25</v>
      </c>
      <c r="F719" s="5">
        <v>24</v>
      </c>
      <c r="G719" s="5">
        <v>3</v>
      </c>
      <c r="H719" s="5">
        <v>2.08</v>
      </c>
      <c r="I719" s="5">
        <v>14</v>
      </c>
      <c r="J719" s="5">
        <v>11</v>
      </c>
    </row>
    <row r="720" spans="1:10" x14ac:dyDescent="0.3">
      <c r="A720" s="5" t="s">
        <v>2490</v>
      </c>
      <c r="B720" s="5" t="s">
        <v>36</v>
      </c>
      <c r="C720" s="5" t="s">
        <v>28</v>
      </c>
      <c r="D720" s="5" t="s">
        <v>6600</v>
      </c>
      <c r="E720" s="5">
        <v>21</v>
      </c>
      <c r="F720" s="5">
        <v>21</v>
      </c>
      <c r="G720" s="5">
        <v>3</v>
      </c>
      <c r="H720" s="5">
        <v>8.24</v>
      </c>
      <c r="I720" s="5">
        <v>10</v>
      </c>
      <c r="J720" s="5">
        <v>11</v>
      </c>
    </row>
    <row r="721" spans="1:10" x14ac:dyDescent="0.3">
      <c r="A721" s="5" t="s">
        <v>2490</v>
      </c>
      <c r="B721" s="5" t="s">
        <v>36</v>
      </c>
      <c r="C721" s="5" t="s">
        <v>28</v>
      </c>
      <c r="D721" s="5" t="s">
        <v>6600</v>
      </c>
      <c r="E721" s="5">
        <v>25</v>
      </c>
      <c r="F721" s="5">
        <v>23</v>
      </c>
      <c r="G721" s="5">
        <v>3</v>
      </c>
      <c r="H721" s="5">
        <v>11.77</v>
      </c>
      <c r="I721" s="5">
        <v>21</v>
      </c>
      <c r="J721" s="5">
        <v>4</v>
      </c>
    </row>
    <row r="722" spans="1:10" x14ac:dyDescent="0.3">
      <c r="A722" s="5" t="s">
        <v>2561</v>
      </c>
      <c r="B722" s="5" t="s">
        <v>36</v>
      </c>
      <c r="C722" s="5" t="s">
        <v>74</v>
      </c>
      <c r="D722" s="5" t="s">
        <v>6600</v>
      </c>
      <c r="E722" s="5">
        <v>22</v>
      </c>
      <c r="F722" s="5">
        <v>22</v>
      </c>
      <c r="G722" s="5">
        <v>1</v>
      </c>
      <c r="H722" s="5">
        <v>5.86</v>
      </c>
      <c r="I722" s="5">
        <v>12</v>
      </c>
      <c r="J722" s="5">
        <v>10</v>
      </c>
    </row>
    <row r="723" spans="1:10" x14ac:dyDescent="0.3">
      <c r="A723" s="5" t="s">
        <v>2561</v>
      </c>
      <c r="B723" s="5" t="s">
        <v>36</v>
      </c>
      <c r="C723" s="5" t="s">
        <v>74</v>
      </c>
      <c r="D723" s="5" t="s">
        <v>6600</v>
      </c>
      <c r="E723" s="5">
        <v>23</v>
      </c>
      <c r="F723" s="5">
        <v>23</v>
      </c>
      <c r="G723" s="5">
        <v>3</v>
      </c>
      <c r="H723" s="5">
        <v>3.25</v>
      </c>
      <c r="I723" s="5">
        <v>16</v>
      </c>
      <c r="J723" s="5">
        <v>7</v>
      </c>
    </row>
    <row r="724" spans="1:10" x14ac:dyDescent="0.3">
      <c r="A724" s="5" t="s">
        <v>2561</v>
      </c>
      <c r="B724" s="5" t="s">
        <v>36</v>
      </c>
      <c r="C724" s="5" t="s">
        <v>74</v>
      </c>
      <c r="D724" s="5" t="s">
        <v>6600</v>
      </c>
      <c r="E724" s="5">
        <v>12</v>
      </c>
      <c r="F724" s="5">
        <v>9</v>
      </c>
      <c r="G724" s="5">
        <v>3</v>
      </c>
      <c r="H724" s="5">
        <v>2.96</v>
      </c>
      <c r="I724" s="5">
        <v>6</v>
      </c>
      <c r="J724" s="5">
        <v>6</v>
      </c>
    </row>
    <row r="725" spans="1:10" x14ac:dyDescent="0.3">
      <c r="A725" s="5" t="s">
        <v>2561</v>
      </c>
      <c r="B725" s="5" t="s">
        <v>36</v>
      </c>
      <c r="C725" s="5" t="s">
        <v>74</v>
      </c>
      <c r="D725" s="5" t="s">
        <v>6600</v>
      </c>
      <c r="E725" s="5">
        <v>8</v>
      </c>
      <c r="F725" s="5">
        <v>7</v>
      </c>
      <c r="G725" s="5">
        <v>1</v>
      </c>
      <c r="H725" s="5">
        <v>9.99</v>
      </c>
      <c r="I725" s="5">
        <v>4</v>
      </c>
      <c r="J725" s="5">
        <v>4</v>
      </c>
    </row>
    <row r="726" spans="1:10" x14ac:dyDescent="0.3">
      <c r="A726" s="5" t="s">
        <v>2561</v>
      </c>
      <c r="B726" s="5" t="s">
        <v>36</v>
      </c>
      <c r="C726" s="5" t="s">
        <v>74</v>
      </c>
      <c r="D726" s="5" t="s">
        <v>6600</v>
      </c>
      <c r="E726" s="5">
        <v>15</v>
      </c>
      <c r="F726" s="5">
        <v>14</v>
      </c>
      <c r="G726" s="5">
        <v>4</v>
      </c>
      <c r="H726" s="5">
        <v>4.96</v>
      </c>
      <c r="I726" s="5">
        <v>8</v>
      </c>
      <c r="J726" s="5">
        <v>7</v>
      </c>
    </row>
    <row r="727" spans="1:10" x14ac:dyDescent="0.3">
      <c r="A727" s="5" t="s">
        <v>2407</v>
      </c>
      <c r="B727" s="5" t="s">
        <v>66</v>
      </c>
      <c r="C727" s="5" t="s">
        <v>93</v>
      </c>
      <c r="D727" s="5" t="s">
        <v>6600</v>
      </c>
      <c r="E727" s="5">
        <v>8</v>
      </c>
      <c r="F727" s="5">
        <v>7</v>
      </c>
      <c r="G727" s="5">
        <v>1</v>
      </c>
      <c r="H727" s="5">
        <v>8.1999999999999993</v>
      </c>
      <c r="I727" s="5">
        <v>6</v>
      </c>
      <c r="J727" s="5">
        <v>2</v>
      </c>
    </row>
    <row r="728" spans="1:10" x14ac:dyDescent="0.3">
      <c r="A728" s="5" t="s">
        <v>2407</v>
      </c>
      <c r="B728" s="5" t="s">
        <v>66</v>
      </c>
      <c r="C728" s="5" t="s">
        <v>93</v>
      </c>
      <c r="D728" s="5" t="s">
        <v>6600</v>
      </c>
      <c r="E728" s="5">
        <v>11</v>
      </c>
      <c r="F728" s="5">
        <v>11</v>
      </c>
      <c r="G728" s="5">
        <v>3</v>
      </c>
      <c r="H728" s="5">
        <v>2.39</v>
      </c>
      <c r="I728" s="5">
        <v>9</v>
      </c>
      <c r="J728" s="5">
        <v>2</v>
      </c>
    </row>
    <row r="729" spans="1:10" x14ac:dyDescent="0.3">
      <c r="A729" s="5" t="s">
        <v>2407</v>
      </c>
      <c r="B729" s="5" t="s">
        <v>66</v>
      </c>
      <c r="C729" s="5" t="s">
        <v>93</v>
      </c>
      <c r="D729" s="5" t="s">
        <v>6600</v>
      </c>
      <c r="E729" s="5">
        <v>10</v>
      </c>
      <c r="F729" s="5">
        <v>10</v>
      </c>
      <c r="G729" s="5">
        <v>2</v>
      </c>
      <c r="H729" s="5">
        <v>8.64</v>
      </c>
      <c r="I729" s="5">
        <v>7</v>
      </c>
      <c r="J729" s="5">
        <v>3</v>
      </c>
    </row>
    <row r="730" spans="1:10" x14ac:dyDescent="0.3">
      <c r="A730" s="5" t="s">
        <v>2466</v>
      </c>
      <c r="B730" s="5" t="s">
        <v>66</v>
      </c>
      <c r="C730" s="5" t="s">
        <v>67</v>
      </c>
      <c r="D730" s="5" t="s">
        <v>6600</v>
      </c>
      <c r="E730" s="5">
        <v>8</v>
      </c>
      <c r="F730" s="5">
        <v>8</v>
      </c>
      <c r="G730" s="5">
        <v>1</v>
      </c>
      <c r="H730" s="5">
        <v>6.86</v>
      </c>
      <c r="I730" s="5">
        <v>4</v>
      </c>
      <c r="J730" s="5">
        <v>4</v>
      </c>
    </row>
    <row r="731" spans="1:10" x14ac:dyDescent="0.3">
      <c r="A731" s="5" t="s">
        <v>2521</v>
      </c>
      <c r="B731" s="5" t="s">
        <v>66</v>
      </c>
      <c r="C731" s="5" t="s">
        <v>99</v>
      </c>
      <c r="D731" s="5" t="s">
        <v>6600</v>
      </c>
      <c r="E731" s="5">
        <v>23</v>
      </c>
      <c r="F731" s="5">
        <v>21</v>
      </c>
      <c r="G731" s="5">
        <v>1</v>
      </c>
      <c r="H731" s="5">
        <v>11.32</v>
      </c>
      <c r="I731" s="5">
        <v>12</v>
      </c>
      <c r="J731" s="5">
        <v>11</v>
      </c>
    </row>
    <row r="732" spans="1:10" x14ac:dyDescent="0.3">
      <c r="A732" s="5" t="s">
        <v>2411</v>
      </c>
      <c r="B732" s="5" t="s">
        <v>55</v>
      </c>
      <c r="C732" s="5" t="s">
        <v>108</v>
      </c>
      <c r="D732" s="5" t="s">
        <v>6600</v>
      </c>
      <c r="E732" s="5">
        <v>5</v>
      </c>
      <c r="F732" s="5">
        <v>2</v>
      </c>
      <c r="G732" s="5">
        <v>1</v>
      </c>
      <c r="H732" s="5">
        <v>11.3</v>
      </c>
      <c r="I732" s="5">
        <v>3</v>
      </c>
      <c r="J732" s="5">
        <v>2</v>
      </c>
    </row>
    <row r="733" spans="1:10" x14ac:dyDescent="0.3">
      <c r="A733" s="5" t="s">
        <v>2411</v>
      </c>
      <c r="B733" s="5" t="s">
        <v>55</v>
      </c>
      <c r="C733" s="5" t="s">
        <v>108</v>
      </c>
      <c r="D733" s="5" t="s">
        <v>6600</v>
      </c>
      <c r="E733" s="5">
        <v>22</v>
      </c>
      <c r="F733" s="5">
        <v>21</v>
      </c>
      <c r="G733" s="5">
        <v>3</v>
      </c>
      <c r="H733" s="5">
        <v>5.61</v>
      </c>
      <c r="I733" s="5">
        <v>17</v>
      </c>
      <c r="J733" s="5">
        <v>5</v>
      </c>
    </row>
    <row r="734" spans="1:10" x14ac:dyDescent="0.3">
      <c r="A734" s="5" t="s">
        <v>2411</v>
      </c>
      <c r="B734" s="5" t="s">
        <v>55</v>
      </c>
      <c r="C734" s="5" t="s">
        <v>108</v>
      </c>
      <c r="D734" s="5" t="s">
        <v>6600</v>
      </c>
      <c r="E734" s="5">
        <v>19</v>
      </c>
      <c r="F734" s="5">
        <v>19</v>
      </c>
      <c r="G734" s="5">
        <v>1</v>
      </c>
      <c r="H734" s="5">
        <v>9.0500000000000007</v>
      </c>
      <c r="I734" s="5">
        <v>11</v>
      </c>
      <c r="J734" s="5">
        <v>8</v>
      </c>
    </row>
    <row r="735" spans="1:10" x14ac:dyDescent="0.3">
      <c r="A735" s="5" t="s">
        <v>2411</v>
      </c>
      <c r="B735" s="5" t="s">
        <v>55</v>
      </c>
      <c r="C735" s="5" t="s">
        <v>108</v>
      </c>
      <c r="D735" s="5" t="s">
        <v>6600</v>
      </c>
      <c r="E735" s="5">
        <v>5</v>
      </c>
      <c r="F735" s="5">
        <v>5</v>
      </c>
      <c r="G735" s="5">
        <v>4</v>
      </c>
      <c r="H735" s="5">
        <v>7.34</v>
      </c>
      <c r="I735" s="5">
        <v>3</v>
      </c>
      <c r="J735" s="5">
        <v>2</v>
      </c>
    </row>
    <row r="736" spans="1:10" x14ac:dyDescent="0.3">
      <c r="A736" s="5" t="s">
        <v>2459</v>
      </c>
      <c r="B736" s="5" t="s">
        <v>189</v>
      </c>
      <c r="C736" s="5" t="s">
        <v>67</v>
      </c>
      <c r="D736" s="5" t="s">
        <v>6600</v>
      </c>
      <c r="E736" s="5">
        <v>19</v>
      </c>
      <c r="F736" s="5">
        <v>17</v>
      </c>
      <c r="G736" s="5">
        <v>1</v>
      </c>
      <c r="H736" s="5">
        <v>2.0699999999999998</v>
      </c>
      <c r="I736" s="5">
        <v>15</v>
      </c>
      <c r="J736" s="5">
        <v>4</v>
      </c>
    </row>
    <row r="737" spans="1:10" x14ac:dyDescent="0.3">
      <c r="A737" s="5" t="s">
        <v>2459</v>
      </c>
      <c r="B737" s="5" t="s">
        <v>189</v>
      </c>
      <c r="C737" s="5" t="s">
        <v>67</v>
      </c>
      <c r="D737" s="5" t="s">
        <v>6600</v>
      </c>
      <c r="E737" s="5">
        <v>10</v>
      </c>
      <c r="F737" s="5">
        <v>10</v>
      </c>
      <c r="G737" s="5">
        <v>2</v>
      </c>
      <c r="H737" s="5">
        <v>8.1</v>
      </c>
      <c r="I737" s="5">
        <v>6</v>
      </c>
      <c r="J737" s="5">
        <v>4</v>
      </c>
    </row>
    <row r="738" spans="1:10" x14ac:dyDescent="0.3">
      <c r="A738" s="5" t="s">
        <v>2629</v>
      </c>
      <c r="B738" s="5" t="s">
        <v>55</v>
      </c>
      <c r="C738" s="5" t="s">
        <v>164</v>
      </c>
      <c r="D738" s="5" t="s">
        <v>6600</v>
      </c>
      <c r="E738" s="5">
        <v>8</v>
      </c>
      <c r="F738" s="5">
        <v>7</v>
      </c>
      <c r="G738" s="5">
        <v>3</v>
      </c>
      <c r="H738" s="5">
        <v>11.74</v>
      </c>
      <c r="I738" s="5">
        <v>6</v>
      </c>
      <c r="J738" s="5">
        <v>2</v>
      </c>
    </row>
    <row r="739" spans="1:10" x14ac:dyDescent="0.3">
      <c r="A739" s="5" t="s">
        <v>2629</v>
      </c>
      <c r="B739" s="5" t="s">
        <v>55</v>
      </c>
      <c r="C739" s="5" t="s">
        <v>164</v>
      </c>
      <c r="D739" s="5" t="s">
        <v>6600</v>
      </c>
      <c r="E739" s="5">
        <v>24</v>
      </c>
      <c r="F739" s="5">
        <v>22</v>
      </c>
      <c r="G739" s="5">
        <v>4</v>
      </c>
      <c r="H739" s="5">
        <v>3.98</v>
      </c>
      <c r="I739" s="5">
        <v>19</v>
      </c>
      <c r="J739" s="5">
        <v>5</v>
      </c>
    </row>
    <row r="740" spans="1:10" x14ac:dyDescent="0.3">
      <c r="A740" s="5" t="s">
        <v>2422</v>
      </c>
      <c r="B740" s="5" t="s">
        <v>55</v>
      </c>
      <c r="C740" s="5" t="s">
        <v>28</v>
      </c>
      <c r="D740" s="5" t="s">
        <v>6600</v>
      </c>
      <c r="E740" s="5">
        <v>17</v>
      </c>
      <c r="F740" s="5">
        <v>14</v>
      </c>
      <c r="G740" s="5">
        <v>4</v>
      </c>
      <c r="H740" s="5">
        <v>4.43</v>
      </c>
      <c r="I740" s="5">
        <v>13</v>
      </c>
      <c r="J740" s="5">
        <v>4</v>
      </c>
    </row>
    <row r="741" spans="1:10" x14ac:dyDescent="0.3">
      <c r="A741" s="5" t="s">
        <v>2422</v>
      </c>
      <c r="B741" s="5" t="s">
        <v>55</v>
      </c>
      <c r="C741" s="5" t="s">
        <v>28</v>
      </c>
      <c r="D741" s="5" t="s">
        <v>6600</v>
      </c>
      <c r="E741" s="5">
        <v>18</v>
      </c>
      <c r="F741" s="5">
        <v>18</v>
      </c>
      <c r="G741" s="5">
        <v>3</v>
      </c>
      <c r="H741" s="5">
        <v>8.9700000000000006</v>
      </c>
      <c r="I741" s="5">
        <v>9</v>
      </c>
      <c r="J741" s="5">
        <v>9</v>
      </c>
    </row>
    <row r="742" spans="1:10" x14ac:dyDescent="0.3">
      <c r="A742" s="5" t="s">
        <v>2438</v>
      </c>
      <c r="B742" s="5" t="s">
        <v>55</v>
      </c>
      <c r="C742" s="5" t="s">
        <v>74</v>
      </c>
      <c r="D742" s="5" t="s">
        <v>6600</v>
      </c>
      <c r="E742" s="5">
        <v>4</v>
      </c>
      <c r="F742" s="5">
        <v>1</v>
      </c>
      <c r="G742" s="5">
        <v>4</v>
      </c>
      <c r="H742" s="5">
        <v>3.33</v>
      </c>
      <c r="I742" s="5">
        <v>3</v>
      </c>
      <c r="J742" s="5">
        <v>1</v>
      </c>
    </row>
    <row r="743" spans="1:10" x14ac:dyDescent="0.3">
      <c r="A743" s="5" t="s">
        <v>2438</v>
      </c>
      <c r="B743" s="5" t="s">
        <v>55</v>
      </c>
      <c r="C743" s="5" t="s">
        <v>74</v>
      </c>
      <c r="D743" s="5" t="s">
        <v>6600</v>
      </c>
      <c r="E743" s="5">
        <v>18</v>
      </c>
      <c r="F743" s="5">
        <v>15</v>
      </c>
      <c r="G743" s="5">
        <v>4</v>
      </c>
      <c r="H743" s="5">
        <v>10.35</v>
      </c>
      <c r="I743" s="5">
        <v>9</v>
      </c>
      <c r="J743" s="5">
        <v>9</v>
      </c>
    </row>
    <row r="744" spans="1:10" x14ac:dyDescent="0.3">
      <c r="A744" s="5" t="s">
        <v>2438</v>
      </c>
      <c r="B744" s="5" t="s">
        <v>55</v>
      </c>
      <c r="C744" s="5" t="s">
        <v>74</v>
      </c>
      <c r="D744" s="5" t="s">
        <v>6600</v>
      </c>
      <c r="E744" s="5">
        <v>6</v>
      </c>
      <c r="F744" s="5">
        <v>5</v>
      </c>
      <c r="G744" s="5">
        <v>1</v>
      </c>
      <c r="H744" s="5">
        <v>6.9</v>
      </c>
      <c r="I744" s="5">
        <v>4</v>
      </c>
      <c r="J744" s="5">
        <v>2</v>
      </c>
    </row>
    <row r="745" spans="1:10" x14ac:dyDescent="0.3">
      <c r="A745" s="5" t="s">
        <v>2438</v>
      </c>
      <c r="B745" s="5" t="s">
        <v>55</v>
      </c>
      <c r="C745" s="5" t="s">
        <v>74</v>
      </c>
      <c r="D745" s="5" t="s">
        <v>6600</v>
      </c>
      <c r="E745" s="5">
        <v>25</v>
      </c>
      <c r="F745" s="5">
        <v>25</v>
      </c>
      <c r="G745" s="5">
        <v>2</v>
      </c>
      <c r="H745" s="5">
        <v>9.33</v>
      </c>
      <c r="I745" s="5">
        <v>18</v>
      </c>
      <c r="J745" s="5">
        <v>7</v>
      </c>
    </row>
    <row r="746" spans="1:10" x14ac:dyDescent="0.3">
      <c r="A746" s="5" t="s">
        <v>2438</v>
      </c>
      <c r="B746" s="5" t="s">
        <v>55</v>
      </c>
      <c r="C746" s="5" t="s">
        <v>74</v>
      </c>
      <c r="D746" s="5" t="s">
        <v>6600</v>
      </c>
      <c r="E746" s="5">
        <v>4</v>
      </c>
      <c r="F746" s="5">
        <v>3</v>
      </c>
      <c r="G746" s="5">
        <v>4</v>
      </c>
      <c r="H746" s="5">
        <v>6.06</v>
      </c>
      <c r="I746" s="5">
        <v>2</v>
      </c>
      <c r="J746" s="5">
        <v>2</v>
      </c>
    </row>
    <row r="747" spans="1:10" x14ac:dyDescent="0.3">
      <c r="A747" s="5" t="s">
        <v>2427</v>
      </c>
      <c r="B747" s="5" t="s">
        <v>55</v>
      </c>
      <c r="C747" s="5" t="s">
        <v>93</v>
      </c>
      <c r="D747" s="5" t="s">
        <v>6600</v>
      </c>
      <c r="E747" s="5">
        <v>4</v>
      </c>
      <c r="F747" s="5">
        <v>2</v>
      </c>
      <c r="G747" s="5">
        <v>4</v>
      </c>
      <c r="H747" s="5">
        <v>10.7</v>
      </c>
      <c r="I747" s="5">
        <v>2</v>
      </c>
      <c r="J747" s="5">
        <v>2</v>
      </c>
    </row>
    <row r="748" spans="1:10" x14ac:dyDescent="0.3">
      <c r="A748" s="5" t="s">
        <v>2427</v>
      </c>
      <c r="B748" s="5" t="s">
        <v>55</v>
      </c>
      <c r="C748" s="5" t="s">
        <v>93</v>
      </c>
      <c r="D748" s="5" t="s">
        <v>6600</v>
      </c>
      <c r="E748" s="5">
        <v>4</v>
      </c>
      <c r="F748" s="5">
        <v>1</v>
      </c>
      <c r="G748" s="5">
        <v>4</v>
      </c>
      <c r="H748" s="5">
        <v>11.38</v>
      </c>
      <c r="I748" s="5">
        <v>2</v>
      </c>
      <c r="J748" s="5">
        <v>2</v>
      </c>
    </row>
    <row r="749" spans="1:10" x14ac:dyDescent="0.3">
      <c r="A749" s="5" t="s">
        <v>2485</v>
      </c>
      <c r="B749" s="5" t="s">
        <v>61</v>
      </c>
      <c r="C749" s="5" t="s">
        <v>99</v>
      </c>
      <c r="D749" s="5" t="s">
        <v>6600</v>
      </c>
      <c r="E749" s="5">
        <v>3</v>
      </c>
      <c r="F749" s="5">
        <v>3</v>
      </c>
      <c r="G749" s="5">
        <v>2</v>
      </c>
      <c r="H749" s="5">
        <v>11.2</v>
      </c>
      <c r="I749" s="5">
        <v>2</v>
      </c>
      <c r="J749" s="5">
        <v>1</v>
      </c>
    </row>
    <row r="750" spans="1:10" x14ac:dyDescent="0.3">
      <c r="A750" s="5" t="s">
        <v>2485</v>
      </c>
      <c r="B750" s="5" t="s">
        <v>61</v>
      </c>
      <c r="C750" s="5" t="s">
        <v>99</v>
      </c>
      <c r="D750" s="5" t="s">
        <v>6600</v>
      </c>
      <c r="E750" s="5">
        <v>5</v>
      </c>
      <c r="F750" s="5">
        <v>4</v>
      </c>
      <c r="G750" s="5">
        <v>1</v>
      </c>
      <c r="H750" s="5">
        <v>7.49</v>
      </c>
      <c r="I750" s="5">
        <v>3</v>
      </c>
      <c r="J750" s="5">
        <v>2</v>
      </c>
    </row>
    <row r="751" spans="1:10" x14ac:dyDescent="0.3">
      <c r="A751" s="5" t="s">
        <v>2449</v>
      </c>
      <c r="B751" s="5" t="s">
        <v>61</v>
      </c>
      <c r="C751" s="5" t="s">
        <v>108</v>
      </c>
      <c r="D751" s="5" t="s">
        <v>6600</v>
      </c>
      <c r="E751" s="5">
        <v>7</v>
      </c>
      <c r="F751" s="5">
        <v>6</v>
      </c>
      <c r="G751" s="5">
        <v>1</v>
      </c>
      <c r="H751" s="5">
        <v>5.4</v>
      </c>
      <c r="I751" s="5">
        <v>5</v>
      </c>
      <c r="J751" s="5">
        <v>2</v>
      </c>
    </row>
    <row r="752" spans="1:10" x14ac:dyDescent="0.3">
      <c r="A752" s="5" t="s">
        <v>2449</v>
      </c>
      <c r="B752" s="5" t="s">
        <v>61</v>
      </c>
      <c r="C752" s="5" t="s">
        <v>108</v>
      </c>
      <c r="D752" s="5" t="s">
        <v>6600</v>
      </c>
      <c r="E752" s="5">
        <v>19</v>
      </c>
      <c r="F752" s="5">
        <v>17</v>
      </c>
      <c r="G752" s="5">
        <v>1</v>
      </c>
      <c r="H752" s="5">
        <v>11.58</v>
      </c>
      <c r="I752" s="5">
        <v>15</v>
      </c>
      <c r="J752" s="5">
        <v>4</v>
      </c>
    </row>
    <row r="753" spans="1:10" x14ac:dyDescent="0.3">
      <c r="A753" s="5" t="s">
        <v>2449</v>
      </c>
      <c r="B753" s="5" t="s">
        <v>61</v>
      </c>
      <c r="C753" s="5" t="s">
        <v>108</v>
      </c>
      <c r="D753" s="5" t="s">
        <v>6600</v>
      </c>
      <c r="E753" s="5">
        <v>4</v>
      </c>
      <c r="F753" s="5">
        <v>2</v>
      </c>
      <c r="G753" s="5">
        <v>1</v>
      </c>
      <c r="H753" s="5">
        <v>2.4900000000000002</v>
      </c>
      <c r="I753" s="5">
        <v>3</v>
      </c>
      <c r="J753" s="5">
        <v>1</v>
      </c>
    </row>
    <row r="754" spans="1:10" x14ac:dyDescent="0.3">
      <c r="A754" s="5" t="s">
        <v>2449</v>
      </c>
      <c r="B754" s="5" t="s">
        <v>61</v>
      </c>
      <c r="C754" s="5" t="s">
        <v>108</v>
      </c>
      <c r="D754" s="5" t="s">
        <v>6600</v>
      </c>
      <c r="E754" s="5">
        <v>25</v>
      </c>
      <c r="F754" s="5">
        <v>25</v>
      </c>
      <c r="G754" s="5">
        <v>3</v>
      </c>
      <c r="H754" s="5">
        <v>11.21</v>
      </c>
      <c r="I754" s="5">
        <v>16</v>
      </c>
      <c r="J754" s="5">
        <v>9</v>
      </c>
    </row>
    <row r="755" spans="1:10" x14ac:dyDescent="0.3">
      <c r="A755" s="5" t="s">
        <v>2449</v>
      </c>
      <c r="B755" s="5" t="s">
        <v>61</v>
      </c>
      <c r="C755" s="5" t="s">
        <v>108</v>
      </c>
      <c r="D755" s="5" t="s">
        <v>6600</v>
      </c>
      <c r="E755" s="5">
        <v>3</v>
      </c>
      <c r="F755" s="5">
        <v>3</v>
      </c>
      <c r="G755" s="5">
        <v>3</v>
      </c>
      <c r="H755" s="5">
        <v>2.68</v>
      </c>
      <c r="I755" s="5">
        <v>1</v>
      </c>
      <c r="J755" s="5">
        <v>2</v>
      </c>
    </row>
    <row r="756" spans="1:10" x14ac:dyDescent="0.3">
      <c r="A756" s="5" t="s">
        <v>2449</v>
      </c>
      <c r="B756" s="5" t="s">
        <v>61</v>
      </c>
      <c r="C756" s="5" t="s">
        <v>108</v>
      </c>
      <c r="D756" s="5" t="s">
        <v>6600</v>
      </c>
      <c r="E756" s="5">
        <v>3</v>
      </c>
      <c r="F756" s="5">
        <v>1</v>
      </c>
      <c r="G756" s="5">
        <v>3</v>
      </c>
      <c r="H756" s="5">
        <v>2.99</v>
      </c>
      <c r="I756" s="5">
        <v>2</v>
      </c>
      <c r="J756" s="5">
        <v>1</v>
      </c>
    </row>
    <row r="757" spans="1:10" x14ac:dyDescent="0.3">
      <c r="A757" s="5" t="s">
        <v>2449</v>
      </c>
      <c r="B757" s="5" t="s">
        <v>61</v>
      </c>
      <c r="C757" s="5" t="s">
        <v>108</v>
      </c>
      <c r="D757" s="5" t="s">
        <v>6600</v>
      </c>
      <c r="E757" s="5">
        <v>12</v>
      </c>
      <c r="F757" s="5">
        <v>10</v>
      </c>
      <c r="G757" s="5">
        <v>2</v>
      </c>
      <c r="H757" s="5">
        <v>7.75</v>
      </c>
      <c r="I757" s="5">
        <v>6</v>
      </c>
      <c r="J757" s="5">
        <v>6</v>
      </c>
    </row>
    <row r="758" spans="1:10" x14ac:dyDescent="0.3">
      <c r="A758" s="5" t="s">
        <v>2577</v>
      </c>
      <c r="B758" s="5" t="s">
        <v>61</v>
      </c>
      <c r="C758" s="5" t="s">
        <v>67</v>
      </c>
      <c r="D758" s="5" t="s">
        <v>6600</v>
      </c>
      <c r="E758" s="5">
        <v>11</v>
      </c>
      <c r="F758" s="5">
        <v>10</v>
      </c>
      <c r="G758" s="5">
        <v>3</v>
      </c>
      <c r="H758" s="5">
        <v>5.55</v>
      </c>
      <c r="I758" s="5">
        <v>8</v>
      </c>
      <c r="J758" s="5">
        <v>3</v>
      </c>
    </row>
    <row r="759" spans="1:10" x14ac:dyDescent="0.3">
      <c r="A759" s="5" t="s">
        <v>2577</v>
      </c>
      <c r="B759" s="5" t="s">
        <v>61</v>
      </c>
      <c r="C759" s="5" t="s">
        <v>67</v>
      </c>
      <c r="D759" s="5" t="s">
        <v>6600</v>
      </c>
      <c r="E759" s="5">
        <v>13</v>
      </c>
      <c r="F759" s="5">
        <v>13</v>
      </c>
      <c r="G759" s="5">
        <v>2</v>
      </c>
      <c r="H759" s="5">
        <v>7.48</v>
      </c>
      <c r="I759" s="5">
        <v>10</v>
      </c>
      <c r="J759" s="5">
        <v>3</v>
      </c>
    </row>
    <row r="760" spans="1:10" x14ac:dyDescent="0.3">
      <c r="A760" s="5" t="s">
        <v>2577</v>
      </c>
      <c r="B760" s="5" t="s">
        <v>61</v>
      </c>
      <c r="C760" s="5" t="s">
        <v>67</v>
      </c>
      <c r="D760" s="5" t="s">
        <v>6600</v>
      </c>
      <c r="E760" s="5">
        <v>18</v>
      </c>
      <c r="F760" s="5">
        <v>17</v>
      </c>
      <c r="G760" s="5">
        <v>1</v>
      </c>
      <c r="H760" s="5">
        <v>6.48</v>
      </c>
      <c r="I760" s="5">
        <v>10</v>
      </c>
      <c r="J760" s="5">
        <v>8</v>
      </c>
    </row>
    <row r="761" spans="1:10" x14ac:dyDescent="0.3">
      <c r="A761" s="5" t="s">
        <v>2454</v>
      </c>
      <c r="B761" s="5" t="s">
        <v>61</v>
      </c>
      <c r="C761" s="5" t="s">
        <v>17</v>
      </c>
      <c r="D761" s="5" t="s">
        <v>6600</v>
      </c>
      <c r="E761" s="5">
        <v>11</v>
      </c>
      <c r="F761" s="5">
        <v>8</v>
      </c>
      <c r="G761" s="5">
        <v>1</v>
      </c>
      <c r="H761" s="5">
        <v>11.63</v>
      </c>
      <c r="I761" s="5">
        <v>6</v>
      </c>
      <c r="J761" s="5">
        <v>5</v>
      </c>
    </row>
    <row r="762" spans="1:10" x14ac:dyDescent="0.3">
      <c r="A762" s="5" t="s">
        <v>2454</v>
      </c>
      <c r="B762" s="5" t="s">
        <v>61</v>
      </c>
      <c r="C762" s="5" t="s">
        <v>17</v>
      </c>
      <c r="D762" s="5" t="s">
        <v>6600</v>
      </c>
      <c r="E762" s="5">
        <v>24</v>
      </c>
      <c r="F762" s="5">
        <v>22</v>
      </c>
      <c r="G762" s="5">
        <v>1</v>
      </c>
      <c r="H762" s="5">
        <v>5.6</v>
      </c>
      <c r="I762" s="5">
        <v>13</v>
      </c>
      <c r="J762" s="5">
        <v>11</v>
      </c>
    </row>
    <row r="763" spans="1:10" x14ac:dyDescent="0.3">
      <c r="A763" s="5" t="s">
        <v>2481</v>
      </c>
      <c r="B763" s="5" t="s">
        <v>80</v>
      </c>
      <c r="C763" s="5" t="s">
        <v>37</v>
      </c>
      <c r="D763" s="5" t="s">
        <v>6600</v>
      </c>
      <c r="E763" s="5">
        <v>5</v>
      </c>
      <c r="F763" s="5">
        <v>5</v>
      </c>
      <c r="G763" s="5">
        <v>3</v>
      </c>
      <c r="H763" s="5">
        <v>10.36</v>
      </c>
      <c r="I763" s="5">
        <v>4</v>
      </c>
      <c r="J763" s="5">
        <v>1</v>
      </c>
    </row>
    <row r="764" spans="1:10" x14ac:dyDescent="0.3">
      <c r="A764" s="5" t="s">
        <v>2473</v>
      </c>
      <c r="B764" s="5" t="s">
        <v>80</v>
      </c>
      <c r="C764" s="5" t="s">
        <v>93</v>
      </c>
      <c r="D764" s="5" t="s">
        <v>6600</v>
      </c>
      <c r="E764" s="5">
        <v>14</v>
      </c>
      <c r="F764" s="5">
        <v>12</v>
      </c>
      <c r="G764" s="5">
        <v>2</v>
      </c>
      <c r="H764" s="5">
        <v>11.51</v>
      </c>
      <c r="I764" s="5">
        <v>7</v>
      </c>
      <c r="J764" s="5">
        <v>7</v>
      </c>
    </row>
    <row r="765" spans="1:10" x14ac:dyDescent="0.3">
      <c r="A765" s="5" t="s">
        <v>2730</v>
      </c>
      <c r="B765" s="5" t="s">
        <v>189</v>
      </c>
      <c r="C765" s="5" t="s">
        <v>74</v>
      </c>
      <c r="D765" s="5" t="s">
        <v>6600</v>
      </c>
      <c r="E765" s="5">
        <v>15</v>
      </c>
      <c r="F765" s="5">
        <v>12</v>
      </c>
      <c r="G765" s="5">
        <v>1</v>
      </c>
      <c r="H765" s="5">
        <v>10.31</v>
      </c>
      <c r="I765" s="5">
        <v>9</v>
      </c>
      <c r="J765" s="5">
        <v>6</v>
      </c>
    </row>
    <row r="766" spans="1:10" x14ac:dyDescent="0.3">
      <c r="A766" s="5" t="s">
        <v>2730</v>
      </c>
      <c r="B766" s="5" t="s">
        <v>189</v>
      </c>
      <c r="C766" s="5" t="s">
        <v>74</v>
      </c>
      <c r="D766" s="5" t="s">
        <v>6600</v>
      </c>
      <c r="E766" s="5">
        <v>25</v>
      </c>
      <c r="F766" s="5">
        <v>25</v>
      </c>
      <c r="G766" s="5">
        <v>2</v>
      </c>
      <c r="H766" s="5">
        <v>2.02</v>
      </c>
      <c r="I766" s="5">
        <v>18</v>
      </c>
      <c r="J766" s="5">
        <v>7</v>
      </c>
    </row>
    <row r="767" spans="1:10" x14ac:dyDescent="0.3">
      <c r="A767" s="5" t="s">
        <v>2514</v>
      </c>
      <c r="B767" s="5" t="s">
        <v>80</v>
      </c>
      <c r="C767" s="5" t="s">
        <v>47</v>
      </c>
      <c r="D767" s="5" t="s">
        <v>6600</v>
      </c>
      <c r="E767" s="5">
        <v>3</v>
      </c>
      <c r="F767" s="5">
        <v>1</v>
      </c>
      <c r="G767" s="5">
        <v>4</v>
      </c>
      <c r="H767" s="5">
        <v>7.68</v>
      </c>
      <c r="I767" s="5">
        <v>1</v>
      </c>
      <c r="J767" s="5">
        <v>2</v>
      </c>
    </row>
    <row r="768" spans="1:10" x14ac:dyDescent="0.3">
      <c r="A768" s="5" t="s">
        <v>2514</v>
      </c>
      <c r="B768" s="5" t="s">
        <v>80</v>
      </c>
      <c r="C768" s="5" t="s">
        <v>47</v>
      </c>
      <c r="D768" s="5" t="s">
        <v>6600</v>
      </c>
      <c r="E768" s="5">
        <v>16</v>
      </c>
      <c r="F768" s="5">
        <v>16</v>
      </c>
      <c r="G768" s="5">
        <v>2</v>
      </c>
      <c r="H768" s="5">
        <v>11.65</v>
      </c>
      <c r="I768" s="5">
        <v>11</v>
      </c>
      <c r="J768" s="5">
        <v>5</v>
      </c>
    </row>
    <row r="769" spans="1:10" x14ac:dyDescent="0.3">
      <c r="A769" s="5" t="s">
        <v>2494</v>
      </c>
      <c r="B769" s="5" t="s">
        <v>189</v>
      </c>
      <c r="C769" s="5" t="s">
        <v>99</v>
      </c>
      <c r="D769" s="5" t="s">
        <v>6600</v>
      </c>
      <c r="E769" s="5">
        <v>11</v>
      </c>
      <c r="F769" s="5">
        <v>9</v>
      </c>
      <c r="G769" s="5">
        <v>4</v>
      </c>
      <c r="H769" s="5">
        <v>5.8</v>
      </c>
      <c r="I769" s="5">
        <v>8</v>
      </c>
      <c r="J769" s="5">
        <v>3</v>
      </c>
    </row>
    <row r="770" spans="1:10" x14ac:dyDescent="0.3">
      <c r="A770" s="5" t="s">
        <v>2494</v>
      </c>
      <c r="B770" s="5" t="s">
        <v>189</v>
      </c>
      <c r="C770" s="5" t="s">
        <v>99</v>
      </c>
      <c r="D770" s="5" t="s">
        <v>6600</v>
      </c>
      <c r="E770" s="5">
        <v>15</v>
      </c>
      <c r="F770" s="5">
        <v>12</v>
      </c>
      <c r="G770" s="5">
        <v>1</v>
      </c>
      <c r="H770" s="5">
        <v>3.13</v>
      </c>
      <c r="I770" s="5">
        <v>10</v>
      </c>
      <c r="J770" s="5">
        <v>5</v>
      </c>
    </row>
    <row r="771" spans="1:10" x14ac:dyDescent="0.3">
      <c r="A771" s="5" t="s">
        <v>2504</v>
      </c>
      <c r="B771" s="5" t="s">
        <v>27</v>
      </c>
      <c r="C771" s="5" t="s">
        <v>37</v>
      </c>
      <c r="D771" s="5" t="s">
        <v>6600</v>
      </c>
      <c r="E771" s="5">
        <v>11</v>
      </c>
      <c r="F771" s="5">
        <v>10</v>
      </c>
      <c r="G771" s="5">
        <v>1</v>
      </c>
      <c r="H771" s="5">
        <v>11.21</v>
      </c>
      <c r="I771" s="5">
        <v>7</v>
      </c>
      <c r="J771" s="5">
        <v>4</v>
      </c>
    </row>
    <row r="772" spans="1:10" x14ac:dyDescent="0.3">
      <c r="A772" s="5" t="s">
        <v>2504</v>
      </c>
      <c r="B772" s="5" t="s">
        <v>27</v>
      </c>
      <c r="C772" s="5" t="s">
        <v>37</v>
      </c>
      <c r="D772" s="5" t="s">
        <v>6600</v>
      </c>
      <c r="E772" s="5">
        <v>17</v>
      </c>
      <c r="F772" s="5">
        <v>16</v>
      </c>
      <c r="G772" s="5">
        <v>4</v>
      </c>
      <c r="H772" s="5">
        <v>5.28</v>
      </c>
      <c r="I772" s="5">
        <v>9</v>
      </c>
      <c r="J772" s="5">
        <v>8</v>
      </c>
    </row>
    <row r="773" spans="1:10" x14ac:dyDescent="0.3">
      <c r="A773" s="5" t="s">
        <v>2504</v>
      </c>
      <c r="B773" s="5" t="s">
        <v>27</v>
      </c>
      <c r="C773" s="5" t="s">
        <v>37</v>
      </c>
      <c r="D773" s="5" t="s">
        <v>6600</v>
      </c>
      <c r="E773" s="5">
        <v>25</v>
      </c>
      <c r="F773" s="5">
        <v>22</v>
      </c>
      <c r="G773" s="5">
        <v>2</v>
      </c>
      <c r="H773" s="5">
        <v>11.32</v>
      </c>
      <c r="I773" s="5">
        <v>13</v>
      </c>
      <c r="J773" s="5">
        <v>12</v>
      </c>
    </row>
    <row r="774" spans="1:10" x14ac:dyDescent="0.3">
      <c r="A774" s="5" t="s">
        <v>2445</v>
      </c>
      <c r="B774" s="5" t="s">
        <v>27</v>
      </c>
      <c r="C774" s="5" t="s">
        <v>164</v>
      </c>
      <c r="D774" s="5" t="s">
        <v>6600</v>
      </c>
      <c r="E774" s="5">
        <v>6</v>
      </c>
      <c r="F774" s="5">
        <v>5</v>
      </c>
      <c r="G774" s="5">
        <v>2</v>
      </c>
      <c r="H774" s="5">
        <v>3.58</v>
      </c>
      <c r="I774" s="5">
        <v>4</v>
      </c>
      <c r="J774" s="5">
        <v>2</v>
      </c>
    </row>
    <row r="775" spans="1:10" x14ac:dyDescent="0.3">
      <c r="A775" s="5" t="s">
        <v>2445</v>
      </c>
      <c r="B775" s="5" t="s">
        <v>27</v>
      </c>
      <c r="C775" s="5" t="s">
        <v>164</v>
      </c>
      <c r="D775" s="5" t="s">
        <v>6600</v>
      </c>
      <c r="E775" s="5">
        <v>25</v>
      </c>
      <c r="F775" s="5">
        <v>25</v>
      </c>
      <c r="G775" s="5">
        <v>2</v>
      </c>
      <c r="H775" s="5">
        <v>6.11</v>
      </c>
      <c r="I775" s="5">
        <v>13</v>
      </c>
      <c r="J775" s="5">
        <v>12</v>
      </c>
    </row>
    <row r="776" spans="1:10" x14ac:dyDescent="0.3">
      <c r="A776" s="5" t="s">
        <v>2445</v>
      </c>
      <c r="B776" s="5" t="s">
        <v>27</v>
      </c>
      <c r="C776" s="5" t="s">
        <v>164</v>
      </c>
      <c r="D776" s="5" t="s">
        <v>6600</v>
      </c>
      <c r="E776" s="5">
        <v>13</v>
      </c>
      <c r="F776" s="5">
        <v>13</v>
      </c>
      <c r="G776" s="5">
        <v>4</v>
      </c>
      <c r="H776" s="5">
        <v>9.41</v>
      </c>
      <c r="I776" s="5">
        <v>7</v>
      </c>
      <c r="J776" s="5">
        <v>6</v>
      </c>
    </row>
    <row r="777" spans="1:10" x14ac:dyDescent="0.3">
      <c r="A777" s="5" t="s">
        <v>2463</v>
      </c>
      <c r="B777" s="5" t="s">
        <v>27</v>
      </c>
      <c r="C777" s="5" t="s">
        <v>74</v>
      </c>
      <c r="D777" s="5" t="s">
        <v>6600</v>
      </c>
      <c r="E777" s="5">
        <v>7</v>
      </c>
      <c r="F777" s="5">
        <v>5</v>
      </c>
      <c r="G777" s="5">
        <v>1</v>
      </c>
      <c r="H777" s="5">
        <v>11.04</v>
      </c>
      <c r="I777" s="5">
        <v>4</v>
      </c>
      <c r="J777" s="5">
        <v>3</v>
      </c>
    </row>
    <row r="778" spans="1:10" x14ac:dyDescent="0.3">
      <c r="A778" s="5" t="s">
        <v>2431</v>
      </c>
      <c r="B778" s="5" t="s">
        <v>16</v>
      </c>
      <c r="C778" s="5" t="s">
        <v>67</v>
      </c>
      <c r="D778" s="5" t="s">
        <v>6600</v>
      </c>
      <c r="E778" s="5">
        <v>24</v>
      </c>
      <c r="F778" s="5">
        <v>23</v>
      </c>
      <c r="G778" s="5">
        <v>2</v>
      </c>
      <c r="H778" s="5">
        <v>4.6500000000000004</v>
      </c>
      <c r="I778" s="5">
        <v>13</v>
      </c>
      <c r="J778" s="5">
        <v>11</v>
      </c>
    </row>
    <row r="779" spans="1:10" x14ac:dyDescent="0.3">
      <c r="A779" s="5" t="s">
        <v>2431</v>
      </c>
      <c r="B779" s="5" t="s">
        <v>16</v>
      </c>
      <c r="C779" s="5" t="s">
        <v>67</v>
      </c>
      <c r="D779" s="5" t="s">
        <v>6600</v>
      </c>
      <c r="E779" s="5">
        <v>24</v>
      </c>
      <c r="F779" s="5">
        <v>22</v>
      </c>
      <c r="G779" s="5">
        <v>1</v>
      </c>
      <c r="H779" s="5">
        <v>7.92</v>
      </c>
      <c r="I779" s="5">
        <v>13</v>
      </c>
      <c r="J779" s="5">
        <v>11</v>
      </c>
    </row>
    <row r="780" spans="1:10" x14ac:dyDescent="0.3">
      <c r="A780" s="5" t="s">
        <v>2431</v>
      </c>
      <c r="B780" s="5" t="s">
        <v>16</v>
      </c>
      <c r="C780" s="5" t="s">
        <v>67</v>
      </c>
      <c r="D780" s="5" t="s">
        <v>6600</v>
      </c>
      <c r="E780" s="5">
        <v>21</v>
      </c>
      <c r="F780" s="5">
        <v>18</v>
      </c>
      <c r="G780" s="5">
        <v>3</v>
      </c>
      <c r="H780" s="5">
        <v>4.25</v>
      </c>
      <c r="I780" s="5">
        <v>16</v>
      </c>
      <c r="J780" s="5">
        <v>5</v>
      </c>
    </row>
    <row r="781" spans="1:10" x14ac:dyDescent="0.3">
      <c r="A781" s="5" t="s">
        <v>2518</v>
      </c>
      <c r="B781" s="5" t="s">
        <v>16</v>
      </c>
      <c r="C781" s="5" t="s">
        <v>164</v>
      </c>
      <c r="D781" s="5" t="s">
        <v>6600</v>
      </c>
      <c r="E781" s="5">
        <v>10</v>
      </c>
      <c r="F781" s="5">
        <v>7</v>
      </c>
      <c r="G781" s="5">
        <v>2</v>
      </c>
      <c r="H781" s="5">
        <v>7.7</v>
      </c>
      <c r="I781" s="5">
        <v>6</v>
      </c>
      <c r="J781" s="5">
        <v>4</v>
      </c>
    </row>
    <row r="782" spans="1:10" x14ac:dyDescent="0.3">
      <c r="A782" s="5" t="s">
        <v>2518</v>
      </c>
      <c r="B782" s="5" t="s">
        <v>16</v>
      </c>
      <c r="C782" s="5" t="s">
        <v>164</v>
      </c>
      <c r="D782" s="5" t="s">
        <v>6600</v>
      </c>
      <c r="E782" s="5">
        <v>23</v>
      </c>
      <c r="F782" s="5">
        <v>20</v>
      </c>
      <c r="G782" s="5">
        <v>4</v>
      </c>
      <c r="H782" s="5">
        <v>6.82</v>
      </c>
      <c r="I782" s="5">
        <v>17</v>
      </c>
      <c r="J782" s="5">
        <v>6</v>
      </c>
    </row>
    <row r="783" spans="1:10" x14ac:dyDescent="0.3">
      <c r="A783" s="5" t="s">
        <v>2518</v>
      </c>
      <c r="B783" s="5" t="s">
        <v>16</v>
      </c>
      <c r="C783" s="5" t="s">
        <v>164</v>
      </c>
      <c r="D783" s="5" t="s">
        <v>6600</v>
      </c>
      <c r="E783" s="5">
        <v>13</v>
      </c>
      <c r="F783" s="5">
        <v>13</v>
      </c>
      <c r="G783" s="5">
        <v>4</v>
      </c>
      <c r="H783" s="5">
        <v>3.41</v>
      </c>
      <c r="I783" s="5">
        <v>6</v>
      </c>
      <c r="J783" s="5">
        <v>7</v>
      </c>
    </row>
    <row r="784" spans="1:10" x14ac:dyDescent="0.3">
      <c r="A784" s="5" t="s">
        <v>2518</v>
      </c>
      <c r="B784" s="5" t="s">
        <v>16</v>
      </c>
      <c r="C784" s="5" t="s">
        <v>164</v>
      </c>
      <c r="D784" s="5" t="s">
        <v>6600</v>
      </c>
      <c r="E784" s="5">
        <v>9</v>
      </c>
      <c r="F784" s="5">
        <v>6</v>
      </c>
      <c r="G784" s="5">
        <v>3</v>
      </c>
      <c r="H784" s="5">
        <v>4.84</v>
      </c>
      <c r="I784" s="5">
        <v>6</v>
      </c>
      <c r="J784" s="5">
        <v>3</v>
      </c>
    </row>
    <row r="785" spans="1:10" x14ac:dyDescent="0.3">
      <c r="A785" s="5" t="s">
        <v>2415</v>
      </c>
      <c r="B785" s="5" t="s">
        <v>189</v>
      </c>
      <c r="C785" s="5" t="s">
        <v>17</v>
      </c>
      <c r="D785" s="5" t="s">
        <v>6599</v>
      </c>
      <c r="E785" s="5">
        <v>18</v>
      </c>
      <c r="F785" s="5">
        <v>17</v>
      </c>
      <c r="G785" s="5">
        <v>4</v>
      </c>
      <c r="H785" s="5">
        <v>11.83</v>
      </c>
      <c r="I785" s="5">
        <v>13</v>
      </c>
      <c r="J785" s="5">
        <v>5</v>
      </c>
    </row>
    <row r="786" spans="1:10" x14ac:dyDescent="0.3">
      <c r="A786" s="5" t="s">
        <v>2415</v>
      </c>
      <c r="B786" s="5" t="s">
        <v>189</v>
      </c>
      <c r="C786" s="5" t="s">
        <v>17</v>
      </c>
      <c r="D786" s="5" t="s">
        <v>6599</v>
      </c>
      <c r="E786" s="5">
        <v>17</v>
      </c>
      <c r="F786" s="5">
        <v>15</v>
      </c>
      <c r="G786" s="5">
        <v>1</v>
      </c>
      <c r="H786" s="5">
        <v>7.2</v>
      </c>
      <c r="I786" s="5">
        <v>11</v>
      </c>
      <c r="J786" s="5">
        <v>6</v>
      </c>
    </row>
    <row r="787" spans="1:10" x14ac:dyDescent="0.3">
      <c r="A787" s="5" t="s">
        <v>2434</v>
      </c>
      <c r="B787" s="5" t="s">
        <v>16</v>
      </c>
      <c r="C787" s="5" t="s">
        <v>108</v>
      </c>
      <c r="D787" s="5" t="s">
        <v>6599</v>
      </c>
      <c r="E787" s="5">
        <v>6</v>
      </c>
      <c r="F787" s="5">
        <v>6</v>
      </c>
      <c r="G787" s="5">
        <v>1</v>
      </c>
      <c r="H787" s="5">
        <v>3.02</v>
      </c>
      <c r="I787" s="5">
        <v>3</v>
      </c>
      <c r="J787" s="5">
        <v>3</v>
      </c>
    </row>
    <row r="788" spans="1:10" x14ac:dyDescent="0.3">
      <c r="A788" s="5" t="s">
        <v>2469</v>
      </c>
      <c r="B788" s="5" t="s">
        <v>16</v>
      </c>
      <c r="C788" s="5" t="s">
        <v>99</v>
      </c>
      <c r="D788" s="5" t="s">
        <v>6599</v>
      </c>
      <c r="E788" s="5">
        <v>3</v>
      </c>
      <c r="F788" s="5">
        <v>3</v>
      </c>
      <c r="G788" s="5">
        <v>4</v>
      </c>
      <c r="H788" s="5">
        <v>9.3699999999999992</v>
      </c>
      <c r="I788" s="5">
        <v>1</v>
      </c>
      <c r="J788" s="5">
        <v>2</v>
      </c>
    </row>
    <row r="789" spans="1:10" x14ac:dyDescent="0.3">
      <c r="A789" s="5" t="s">
        <v>2469</v>
      </c>
      <c r="B789" s="5" t="s">
        <v>16</v>
      </c>
      <c r="C789" s="5" t="s">
        <v>99</v>
      </c>
      <c r="D789" s="5" t="s">
        <v>6599</v>
      </c>
      <c r="E789" s="5">
        <v>12</v>
      </c>
      <c r="F789" s="5">
        <v>9</v>
      </c>
      <c r="G789" s="5">
        <v>3</v>
      </c>
      <c r="H789" s="5">
        <v>5.52</v>
      </c>
      <c r="I789" s="5">
        <v>6</v>
      </c>
      <c r="J789" s="5">
        <v>6</v>
      </c>
    </row>
    <row r="790" spans="1:10" x14ac:dyDescent="0.3">
      <c r="A790" s="5" t="s">
        <v>2469</v>
      </c>
      <c r="B790" s="5" t="s">
        <v>16</v>
      </c>
      <c r="C790" s="5" t="s">
        <v>99</v>
      </c>
      <c r="D790" s="5" t="s">
        <v>6599</v>
      </c>
      <c r="E790" s="5">
        <v>25</v>
      </c>
      <c r="F790" s="5">
        <v>23</v>
      </c>
      <c r="G790" s="5">
        <v>1</v>
      </c>
      <c r="H790" s="5">
        <v>8.3800000000000008</v>
      </c>
      <c r="I790" s="5">
        <v>17</v>
      </c>
      <c r="J790" s="5">
        <v>8</v>
      </c>
    </row>
    <row r="791" spans="1:10" x14ac:dyDescent="0.3">
      <c r="A791" s="5" t="s">
        <v>2469</v>
      </c>
      <c r="B791" s="5" t="s">
        <v>16</v>
      </c>
      <c r="C791" s="5" t="s">
        <v>99</v>
      </c>
      <c r="D791" s="5" t="s">
        <v>6599</v>
      </c>
      <c r="E791" s="5">
        <v>17</v>
      </c>
      <c r="F791" s="5">
        <v>15</v>
      </c>
      <c r="G791" s="5">
        <v>1</v>
      </c>
      <c r="H791" s="5">
        <v>11.3</v>
      </c>
      <c r="I791" s="5">
        <v>12</v>
      </c>
      <c r="J791" s="5">
        <v>5</v>
      </c>
    </row>
    <row r="792" spans="1:10" x14ac:dyDescent="0.3">
      <c r="A792" s="5" t="s">
        <v>2536</v>
      </c>
      <c r="B792" s="5" t="s">
        <v>36</v>
      </c>
      <c r="C792" s="5" t="s">
        <v>99</v>
      </c>
      <c r="D792" s="5" t="s">
        <v>6599</v>
      </c>
      <c r="E792" s="5">
        <v>13</v>
      </c>
      <c r="F792" s="5">
        <v>11</v>
      </c>
      <c r="G792" s="5">
        <v>4</v>
      </c>
      <c r="H792" s="5">
        <v>8.67</v>
      </c>
      <c r="I792" s="5">
        <v>10</v>
      </c>
      <c r="J792" s="5">
        <v>3</v>
      </c>
    </row>
    <row r="793" spans="1:10" x14ac:dyDescent="0.3">
      <c r="A793" s="5" t="s">
        <v>2536</v>
      </c>
      <c r="B793" s="5" t="s">
        <v>36</v>
      </c>
      <c r="C793" s="5" t="s">
        <v>99</v>
      </c>
      <c r="D793" s="5" t="s">
        <v>6599</v>
      </c>
      <c r="E793" s="5">
        <v>5</v>
      </c>
      <c r="F793" s="5">
        <v>4</v>
      </c>
      <c r="G793" s="5">
        <v>4</v>
      </c>
      <c r="H793" s="5">
        <v>4.24</v>
      </c>
      <c r="I793" s="5">
        <v>4</v>
      </c>
      <c r="J793" s="5">
        <v>1</v>
      </c>
    </row>
    <row r="794" spans="1:10" x14ac:dyDescent="0.3">
      <c r="A794" s="5" t="s">
        <v>2536</v>
      </c>
      <c r="B794" s="5" t="s">
        <v>36</v>
      </c>
      <c r="C794" s="5" t="s">
        <v>99</v>
      </c>
      <c r="D794" s="5" t="s">
        <v>6599</v>
      </c>
      <c r="E794" s="5">
        <v>17</v>
      </c>
      <c r="F794" s="5">
        <v>17</v>
      </c>
      <c r="G794" s="5">
        <v>1</v>
      </c>
      <c r="H794" s="5">
        <v>2.6</v>
      </c>
      <c r="I794" s="5">
        <v>13</v>
      </c>
      <c r="J794" s="5">
        <v>4</v>
      </c>
    </row>
    <row r="795" spans="1:10" x14ac:dyDescent="0.3">
      <c r="A795" s="5" t="s">
        <v>2532</v>
      </c>
      <c r="B795" s="5" t="s">
        <v>36</v>
      </c>
      <c r="C795" s="5" t="s">
        <v>67</v>
      </c>
      <c r="D795" s="5" t="s">
        <v>6599</v>
      </c>
      <c r="E795" s="5">
        <v>23</v>
      </c>
      <c r="F795" s="5">
        <v>23</v>
      </c>
      <c r="G795" s="5">
        <v>1</v>
      </c>
      <c r="H795" s="5">
        <v>1.69</v>
      </c>
      <c r="I795" s="5">
        <v>12</v>
      </c>
      <c r="J795" s="5">
        <v>11</v>
      </c>
    </row>
    <row r="796" spans="1:10" x14ac:dyDescent="0.3">
      <c r="A796" s="5" t="s">
        <v>2532</v>
      </c>
      <c r="B796" s="5" t="s">
        <v>36</v>
      </c>
      <c r="C796" s="5" t="s">
        <v>67</v>
      </c>
      <c r="D796" s="5" t="s">
        <v>6599</v>
      </c>
      <c r="E796" s="5">
        <v>20</v>
      </c>
      <c r="F796" s="5">
        <v>19</v>
      </c>
      <c r="G796" s="5">
        <v>4</v>
      </c>
      <c r="H796" s="5">
        <v>8.49</v>
      </c>
      <c r="I796" s="5">
        <v>11</v>
      </c>
      <c r="J796" s="5">
        <v>9</v>
      </c>
    </row>
    <row r="797" spans="1:10" x14ac:dyDescent="0.3">
      <c r="A797" s="5" t="s">
        <v>2532</v>
      </c>
      <c r="B797" s="5" t="s">
        <v>36</v>
      </c>
      <c r="C797" s="5" t="s">
        <v>67</v>
      </c>
      <c r="D797" s="5" t="s">
        <v>6599</v>
      </c>
      <c r="E797" s="5">
        <v>3</v>
      </c>
      <c r="F797" s="5">
        <v>1</v>
      </c>
      <c r="G797" s="5">
        <v>3</v>
      </c>
      <c r="H797" s="5">
        <v>10.36</v>
      </c>
      <c r="I797" s="5">
        <v>2</v>
      </c>
      <c r="J797" s="5">
        <v>1</v>
      </c>
    </row>
    <row r="798" spans="1:10" x14ac:dyDescent="0.3">
      <c r="A798" s="5" t="s">
        <v>2532</v>
      </c>
      <c r="B798" s="5" t="s">
        <v>36</v>
      </c>
      <c r="C798" s="5" t="s">
        <v>67</v>
      </c>
      <c r="D798" s="5" t="s">
        <v>6599</v>
      </c>
      <c r="E798" s="5">
        <v>10</v>
      </c>
      <c r="F798" s="5">
        <v>9</v>
      </c>
      <c r="G798" s="5">
        <v>3</v>
      </c>
      <c r="H798" s="5">
        <v>3.76</v>
      </c>
      <c r="I798" s="5">
        <v>5</v>
      </c>
      <c r="J798" s="5">
        <v>5</v>
      </c>
    </row>
    <row r="799" spans="1:10" x14ac:dyDescent="0.3">
      <c r="A799" s="5" t="s">
        <v>2490</v>
      </c>
      <c r="B799" s="5" t="s">
        <v>36</v>
      </c>
      <c r="C799" s="5" t="s">
        <v>28</v>
      </c>
      <c r="D799" s="5" t="s">
        <v>6599</v>
      </c>
      <c r="E799" s="5">
        <v>24</v>
      </c>
      <c r="F799" s="5">
        <v>24</v>
      </c>
      <c r="G799" s="5">
        <v>1</v>
      </c>
      <c r="H799" s="5">
        <v>10.42</v>
      </c>
      <c r="I799" s="5">
        <v>16</v>
      </c>
      <c r="J799" s="5">
        <v>8</v>
      </c>
    </row>
    <row r="800" spans="1:10" x14ac:dyDescent="0.3">
      <c r="A800" s="5" t="s">
        <v>2490</v>
      </c>
      <c r="B800" s="5" t="s">
        <v>36</v>
      </c>
      <c r="C800" s="5" t="s">
        <v>28</v>
      </c>
      <c r="D800" s="5" t="s">
        <v>6599</v>
      </c>
      <c r="E800" s="5">
        <v>14</v>
      </c>
      <c r="F800" s="5">
        <v>14</v>
      </c>
      <c r="G800" s="5">
        <v>1</v>
      </c>
      <c r="H800" s="5">
        <v>10.130000000000001</v>
      </c>
      <c r="I800" s="5">
        <v>8</v>
      </c>
      <c r="J800" s="5">
        <v>6</v>
      </c>
    </row>
    <row r="801" spans="1:10" x14ac:dyDescent="0.3">
      <c r="A801" s="5" t="s">
        <v>2561</v>
      </c>
      <c r="B801" s="5" t="s">
        <v>36</v>
      </c>
      <c r="C801" s="5" t="s">
        <v>74</v>
      </c>
      <c r="D801" s="5" t="s">
        <v>6599</v>
      </c>
      <c r="E801" s="5">
        <v>14</v>
      </c>
      <c r="F801" s="5">
        <v>13</v>
      </c>
      <c r="G801" s="5">
        <v>4</v>
      </c>
      <c r="H801" s="5">
        <v>3.64</v>
      </c>
      <c r="I801" s="5">
        <v>11</v>
      </c>
      <c r="J801" s="5">
        <v>3</v>
      </c>
    </row>
    <row r="802" spans="1:10" x14ac:dyDescent="0.3">
      <c r="A802" s="5" t="s">
        <v>2561</v>
      </c>
      <c r="B802" s="5" t="s">
        <v>36</v>
      </c>
      <c r="C802" s="5" t="s">
        <v>74</v>
      </c>
      <c r="D802" s="5" t="s">
        <v>6599</v>
      </c>
      <c r="E802" s="5">
        <v>21</v>
      </c>
      <c r="F802" s="5">
        <v>21</v>
      </c>
      <c r="G802" s="5">
        <v>1</v>
      </c>
      <c r="H802" s="5">
        <v>11.81</v>
      </c>
      <c r="I802" s="5">
        <v>10</v>
      </c>
      <c r="J802" s="5">
        <v>11</v>
      </c>
    </row>
    <row r="803" spans="1:10" x14ac:dyDescent="0.3">
      <c r="A803" s="5" t="s">
        <v>2407</v>
      </c>
      <c r="B803" s="5" t="s">
        <v>66</v>
      </c>
      <c r="C803" s="5" t="s">
        <v>93</v>
      </c>
      <c r="D803" s="5" t="s">
        <v>6599</v>
      </c>
      <c r="E803" s="5">
        <v>9</v>
      </c>
      <c r="F803" s="5">
        <v>7</v>
      </c>
      <c r="G803" s="5">
        <v>1</v>
      </c>
      <c r="H803" s="5">
        <v>7.4</v>
      </c>
      <c r="I803" s="5">
        <v>6</v>
      </c>
      <c r="J803" s="5">
        <v>3</v>
      </c>
    </row>
    <row r="804" spans="1:10" x14ac:dyDescent="0.3">
      <c r="A804" s="5" t="s">
        <v>2407</v>
      </c>
      <c r="B804" s="5" t="s">
        <v>66</v>
      </c>
      <c r="C804" s="5" t="s">
        <v>93</v>
      </c>
      <c r="D804" s="5" t="s">
        <v>6599</v>
      </c>
      <c r="E804" s="5">
        <v>10</v>
      </c>
      <c r="F804" s="5">
        <v>10</v>
      </c>
      <c r="G804" s="5">
        <v>2</v>
      </c>
      <c r="H804" s="5">
        <v>6.49</v>
      </c>
      <c r="I804" s="5">
        <v>5</v>
      </c>
      <c r="J804" s="5">
        <v>5</v>
      </c>
    </row>
    <row r="805" spans="1:10" x14ac:dyDescent="0.3">
      <c r="A805" s="5" t="s">
        <v>2407</v>
      </c>
      <c r="B805" s="5" t="s">
        <v>66</v>
      </c>
      <c r="C805" s="5" t="s">
        <v>93</v>
      </c>
      <c r="D805" s="5" t="s">
        <v>6599</v>
      </c>
      <c r="E805" s="5">
        <v>9</v>
      </c>
      <c r="F805" s="5">
        <v>7</v>
      </c>
      <c r="G805" s="5">
        <v>1</v>
      </c>
      <c r="H805" s="5">
        <v>3.91</v>
      </c>
      <c r="I805" s="5">
        <v>7</v>
      </c>
      <c r="J805" s="5">
        <v>2</v>
      </c>
    </row>
    <row r="806" spans="1:10" x14ac:dyDescent="0.3">
      <c r="A806" s="5" t="s">
        <v>2407</v>
      </c>
      <c r="B806" s="5" t="s">
        <v>66</v>
      </c>
      <c r="C806" s="5" t="s">
        <v>93</v>
      </c>
      <c r="D806" s="5" t="s">
        <v>6599</v>
      </c>
      <c r="E806" s="5">
        <v>14</v>
      </c>
      <c r="F806" s="5">
        <v>12</v>
      </c>
      <c r="G806" s="5">
        <v>2</v>
      </c>
      <c r="H806" s="5">
        <v>7.38</v>
      </c>
      <c r="I806" s="5">
        <v>9</v>
      </c>
      <c r="J806" s="5">
        <v>5</v>
      </c>
    </row>
    <row r="807" spans="1:10" x14ac:dyDescent="0.3">
      <c r="A807" s="5" t="s">
        <v>2407</v>
      </c>
      <c r="B807" s="5" t="s">
        <v>66</v>
      </c>
      <c r="C807" s="5" t="s">
        <v>93</v>
      </c>
      <c r="D807" s="5" t="s">
        <v>6599</v>
      </c>
      <c r="E807" s="5">
        <v>18</v>
      </c>
      <c r="F807" s="5">
        <v>15</v>
      </c>
      <c r="G807" s="5">
        <v>3</v>
      </c>
      <c r="H807" s="5">
        <v>7.61</v>
      </c>
      <c r="I807" s="5">
        <v>11</v>
      </c>
      <c r="J807" s="5">
        <v>7</v>
      </c>
    </row>
    <row r="808" spans="1:10" x14ac:dyDescent="0.3">
      <c r="A808" s="5" t="s">
        <v>2466</v>
      </c>
      <c r="B808" s="5" t="s">
        <v>66</v>
      </c>
      <c r="C808" s="5" t="s">
        <v>67</v>
      </c>
      <c r="D808" s="5" t="s">
        <v>6599</v>
      </c>
      <c r="E808" s="5">
        <v>20</v>
      </c>
      <c r="F808" s="5">
        <v>19</v>
      </c>
      <c r="G808" s="5">
        <v>4</v>
      </c>
      <c r="H808" s="5">
        <v>10.75</v>
      </c>
      <c r="I808" s="5">
        <v>16</v>
      </c>
      <c r="J808" s="5">
        <v>4</v>
      </c>
    </row>
    <row r="809" spans="1:10" x14ac:dyDescent="0.3">
      <c r="A809" s="5" t="s">
        <v>2521</v>
      </c>
      <c r="B809" s="5" t="s">
        <v>66</v>
      </c>
      <c r="C809" s="5" t="s">
        <v>99</v>
      </c>
      <c r="D809" s="5" t="s">
        <v>6599</v>
      </c>
      <c r="E809" s="5">
        <v>24</v>
      </c>
      <c r="F809" s="5">
        <v>21</v>
      </c>
      <c r="G809" s="5">
        <v>4</v>
      </c>
      <c r="H809" s="5">
        <v>11.31</v>
      </c>
      <c r="I809" s="5">
        <v>19</v>
      </c>
      <c r="J809" s="5">
        <v>5</v>
      </c>
    </row>
    <row r="810" spans="1:10" x14ac:dyDescent="0.3">
      <c r="A810" s="5" t="s">
        <v>2521</v>
      </c>
      <c r="B810" s="5" t="s">
        <v>66</v>
      </c>
      <c r="C810" s="5" t="s">
        <v>99</v>
      </c>
      <c r="D810" s="5" t="s">
        <v>6599</v>
      </c>
      <c r="E810" s="5">
        <v>10</v>
      </c>
      <c r="F810" s="5">
        <v>7</v>
      </c>
      <c r="G810" s="5">
        <v>4</v>
      </c>
      <c r="H810" s="5">
        <v>9.7100000000000009</v>
      </c>
      <c r="I810" s="5">
        <v>5</v>
      </c>
      <c r="J810" s="5">
        <v>5</v>
      </c>
    </row>
    <row r="811" spans="1:10" x14ac:dyDescent="0.3">
      <c r="A811" s="5" t="s">
        <v>2411</v>
      </c>
      <c r="B811" s="5" t="s">
        <v>55</v>
      </c>
      <c r="C811" s="5" t="s">
        <v>108</v>
      </c>
      <c r="D811" s="5" t="s">
        <v>6599</v>
      </c>
      <c r="E811" s="5">
        <v>3</v>
      </c>
      <c r="F811" s="5">
        <v>2</v>
      </c>
      <c r="G811" s="5">
        <v>1</v>
      </c>
      <c r="H811" s="5">
        <v>8</v>
      </c>
      <c r="I811" s="5">
        <v>2</v>
      </c>
      <c r="J811" s="5">
        <v>1</v>
      </c>
    </row>
    <row r="812" spans="1:10" x14ac:dyDescent="0.3">
      <c r="A812" s="5" t="s">
        <v>2459</v>
      </c>
      <c r="B812" s="5" t="s">
        <v>189</v>
      </c>
      <c r="C812" s="5" t="s">
        <v>67</v>
      </c>
      <c r="D812" s="5" t="s">
        <v>6599</v>
      </c>
      <c r="E812" s="5">
        <v>23</v>
      </c>
      <c r="F812" s="5">
        <v>21</v>
      </c>
      <c r="G812" s="5">
        <v>2</v>
      </c>
      <c r="H812" s="5">
        <v>2.46</v>
      </c>
      <c r="I812" s="5">
        <v>15</v>
      </c>
      <c r="J812" s="5">
        <v>8</v>
      </c>
    </row>
    <row r="813" spans="1:10" x14ac:dyDescent="0.3">
      <c r="A813" s="5" t="s">
        <v>2459</v>
      </c>
      <c r="B813" s="5" t="s">
        <v>189</v>
      </c>
      <c r="C813" s="5" t="s">
        <v>67</v>
      </c>
      <c r="D813" s="5" t="s">
        <v>6599</v>
      </c>
      <c r="E813" s="5">
        <v>20</v>
      </c>
      <c r="F813" s="5">
        <v>19</v>
      </c>
      <c r="G813" s="5">
        <v>2</v>
      </c>
      <c r="H813" s="5">
        <v>8.68</v>
      </c>
      <c r="I813" s="5">
        <v>10</v>
      </c>
      <c r="J813" s="5">
        <v>10</v>
      </c>
    </row>
    <row r="814" spans="1:10" x14ac:dyDescent="0.3">
      <c r="A814" s="5" t="s">
        <v>2459</v>
      </c>
      <c r="B814" s="5" t="s">
        <v>189</v>
      </c>
      <c r="C814" s="5" t="s">
        <v>67</v>
      </c>
      <c r="D814" s="5" t="s">
        <v>6599</v>
      </c>
      <c r="E814" s="5">
        <v>14</v>
      </c>
      <c r="F814" s="5">
        <v>13</v>
      </c>
      <c r="G814" s="5">
        <v>3</v>
      </c>
      <c r="H814" s="5">
        <v>5.27</v>
      </c>
      <c r="I814" s="5">
        <v>9</v>
      </c>
      <c r="J814" s="5">
        <v>5</v>
      </c>
    </row>
    <row r="815" spans="1:10" x14ac:dyDescent="0.3">
      <c r="A815" s="5" t="s">
        <v>2629</v>
      </c>
      <c r="B815" s="5" t="s">
        <v>55</v>
      </c>
      <c r="C815" s="5" t="s">
        <v>164</v>
      </c>
      <c r="D815" s="5" t="s">
        <v>6599</v>
      </c>
      <c r="E815" s="5">
        <v>13</v>
      </c>
      <c r="F815" s="5">
        <v>10</v>
      </c>
      <c r="G815" s="5">
        <v>2</v>
      </c>
      <c r="H815" s="5">
        <v>7.41</v>
      </c>
      <c r="I815" s="5">
        <v>9</v>
      </c>
      <c r="J815" s="5">
        <v>4</v>
      </c>
    </row>
    <row r="816" spans="1:10" x14ac:dyDescent="0.3">
      <c r="A816" s="5" t="s">
        <v>2629</v>
      </c>
      <c r="B816" s="5" t="s">
        <v>55</v>
      </c>
      <c r="C816" s="5" t="s">
        <v>164</v>
      </c>
      <c r="D816" s="5" t="s">
        <v>6599</v>
      </c>
      <c r="E816" s="5">
        <v>7</v>
      </c>
      <c r="F816" s="5">
        <v>4</v>
      </c>
      <c r="G816" s="5">
        <v>3</v>
      </c>
      <c r="H816" s="5">
        <v>9.73</v>
      </c>
      <c r="I816" s="5">
        <v>3</v>
      </c>
      <c r="J816" s="5">
        <v>4</v>
      </c>
    </row>
    <row r="817" spans="1:10" x14ac:dyDescent="0.3">
      <c r="A817" s="5" t="s">
        <v>2629</v>
      </c>
      <c r="B817" s="5" t="s">
        <v>55</v>
      </c>
      <c r="C817" s="5" t="s">
        <v>164</v>
      </c>
      <c r="D817" s="5" t="s">
        <v>6599</v>
      </c>
      <c r="E817" s="5">
        <v>18</v>
      </c>
      <c r="F817" s="5">
        <v>16</v>
      </c>
      <c r="G817" s="5">
        <v>3</v>
      </c>
      <c r="H817" s="5">
        <v>9.14</v>
      </c>
      <c r="I817" s="5">
        <v>13</v>
      </c>
      <c r="J817" s="5">
        <v>5</v>
      </c>
    </row>
    <row r="818" spans="1:10" x14ac:dyDescent="0.3">
      <c r="A818" s="5" t="s">
        <v>2422</v>
      </c>
      <c r="B818" s="5" t="s">
        <v>55</v>
      </c>
      <c r="C818" s="5" t="s">
        <v>28</v>
      </c>
      <c r="D818" s="5" t="s">
        <v>6599</v>
      </c>
      <c r="E818" s="5">
        <v>4</v>
      </c>
      <c r="F818" s="5">
        <v>1</v>
      </c>
      <c r="G818" s="5">
        <v>4</v>
      </c>
      <c r="H818" s="5">
        <v>4.4400000000000004</v>
      </c>
      <c r="I818" s="5">
        <v>3</v>
      </c>
      <c r="J818" s="5">
        <v>1</v>
      </c>
    </row>
    <row r="819" spans="1:10" x14ac:dyDescent="0.3">
      <c r="A819" s="5" t="s">
        <v>2438</v>
      </c>
      <c r="B819" s="5" t="s">
        <v>55</v>
      </c>
      <c r="C819" s="5" t="s">
        <v>74</v>
      </c>
      <c r="D819" s="5" t="s">
        <v>6599</v>
      </c>
      <c r="E819" s="5">
        <v>21</v>
      </c>
      <c r="F819" s="5">
        <v>20</v>
      </c>
      <c r="G819" s="5">
        <v>4</v>
      </c>
      <c r="H819" s="5">
        <v>8.81</v>
      </c>
      <c r="I819" s="5">
        <v>11</v>
      </c>
      <c r="J819" s="5">
        <v>10</v>
      </c>
    </row>
    <row r="820" spans="1:10" x14ac:dyDescent="0.3">
      <c r="A820" s="5" t="s">
        <v>2438</v>
      </c>
      <c r="B820" s="5" t="s">
        <v>55</v>
      </c>
      <c r="C820" s="5" t="s">
        <v>74</v>
      </c>
      <c r="D820" s="5" t="s">
        <v>6599</v>
      </c>
      <c r="E820" s="5">
        <v>21</v>
      </c>
      <c r="F820" s="5">
        <v>18</v>
      </c>
      <c r="G820" s="5">
        <v>4</v>
      </c>
      <c r="H820" s="5">
        <v>6.18</v>
      </c>
      <c r="I820" s="5">
        <v>16</v>
      </c>
      <c r="J820" s="5">
        <v>5</v>
      </c>
    </row>
    <row r="821" spans="1:10" x14ac:dyDescent="0.3">
      <c r="A821" s="5" t="s">
        <v>2438</v>
      </c>
      <c r="B821" s="5" t="s">
        <v>55</v>
      </c>
      <c r="C821" s="5" t="s">
        <v>74</v>
      </c>
      <c r="D821" s="5" t="s">
        <v>6599</v>
      </c>
      <c r="E821" s="5">
        <v>19</v>
      </c>
      <c r="F821" s="5">
        <v>18</v>
      </c>
      <c r="G821" s="5">
        <v>3</v>
      </c>
      <c r="H821" s="5">
        <v>10.51</v>
      </c>
      <c r="I821" s="5">
        <v>11</v>
      </c>
      <c r="J821" s="5">
        <v>8</v>
      </c>
    </row>
    <row r="822" spans="1:10" x14ac:dyDescent="0.3">
      <c r="A822" s="5" t="s">
        <v>2427</v>
      </c>
      <c r="B822" s="5" t="s">
        <v>55</v>
      </c>
      <c r="C822" s="5" t="s">
        <v>93</v>
      </c>
      <c r="D822" s="5" t="s">
        <v>6599</v>
      </c>
      <c r="E822" s="5">
        <v>17</v>
      </c>
      <c r="F822" s="5">
        <v>17</v>
      </c>
      <c r="G822" s="5">
        <v>3</v>
      </c>
      <c r="H822" s="5">
        <v>10.53</v>
      </c>
      <c r="I822" s="5">
        <v>9</v>
      </c>
      <c r="J822" s="5">
        <v>8</v>
      </c>
    </row>
    <row r="823" spans="1:10" x14ac:dyDescent="0.3">
      <c r="A823" s="5" t="s">
        <v>2485</v>
      </c>
      <c r="B823" s="5" t="s">
        <v>61</v>
      </c>
      <c r="C823" s="5" t="s">
        <v>99</v>
      </c>
      <c r="D823" s="5" t="s">
        <v>6599</v>
      </c>
      <c r="E823" s="5">
        <v>21</v>
      </c>
      <c r="F823" s="5">
        <v>19</v>
      </c>
      <c r="G823" s="5">
        <v>3</v>
      </c>
      <c r="H823" s="5">
        <v>4.4800000000000004</v>
      </c>
      <c r="I823" s="5">
        <v>14</v>
      </c>
      <c r="J823" s="5">
        <v>7</v>
      </c>
    </row>
    <row r="824" spans="1:10" x14ac:dyDescent="0.3">
      <c r="A824" s="5" t="s">
        <v>2485</v>
      </c>
      <c r="B824" s="5" t="s">
        <v>61</v>
      </c>
      <c r="C824" s="5" t="s">
        <v>99</v>
      </c>
      <c r="D824" s="5" t="s">
        <v>6599</v>
      </c>
      <c r="E824" s="5">
        <v>7</v>
      </c>
      <c r="F824" s="5">
        <v>7</v>
      </c>
      <c r="G824" s="5">
        <v>2</v>
      </c>
      <c r="H824" s="5">
        <v>6</v>
      </c>
      <c r="I824" s="5">
        <v>4</v>
      </c>
      <c r="J824" s="5">
        <v>3</v>
      </c>
    </row>
    <row r="825" spans="1:10" x14ac:dyDescent="0.3">
      <c r="A825" s="5" t="s">
        <v>2449</v>
      </c>
      <c r="B825" s="5" t="s">
        <v>61</v>
      </c>
      <c r="C825" s="5" t="s">
        <v>108</v>
      </c>
      <c r="D825" s="5" t="s">
        <v>6599</v>
      </c>
      <c r="E825" s="5">
        <v>13</v>
      </c>
      <c r="F825" s="5">
        <v>13</v>
      </c>
      <c r="G825" s="5">
        <v>1</v>
      </c>
      <c r="H825" s="5">
        <v>2.2000000000000002</v>
      </c>
      <c r="I825" s="5">
        <v>7</v>
      </c>
      <c r="J825" s="5">
        <v>6</v>
      </c>
    </row>
    <row r="826" spans="1:10" x14ac:dyDescent="0.3">
      <c r="A826" s="5" t="s">
        <v>2449</v>
      </c>
      <c r="B826" s="5" t="s">
        <v>61</v>
      </c>
      <c r="C826" s="5" t="s">
        <v>108</v>
      </c>
      <c r="D826" s="5" t="s">
        <v>6599</v>
      </c>
      <c r="E826" s="5">
        <v>25</v>
      </c>
      <c r="F826" s="5">
        <v>23</v>
      </c>
      <c r="G826" s="5">
        <v>2</v>
      </c>
      <c r="H826" s="5">
        <v>4.17</v>
      </c>
      <c r="I826" s="5">
        <v>14</v>
      </c>
      <c r="J826" s="5">
        <v>11</v>
      </c>
    </row>
    <row r="827" spans="1:10" x14ac:dyDescent="0.3">
      <c r="A827" s="5" t="s">
        <v>2449</v>
      </c>
      <c r="B827" s="5" t="s">
        <v>61</v>
      </c>
      <c r="C827" s="5" t="s">
        <v>108</v>
      </c>
      <c r="D827" s="5" t="s">
        <v>6599</v>
      </c>
      <c r="E827" s="5">
        <v>18</v>
      </c>
      <c r="F827" s="5">
        <v>18</v>
      </c>
      <c r="G827" s="5">
        <v>1</v>
      </c>
      <c r="H827" s="5">
        <v>8.2100000000000009</v>
      </c>
      <c r="I827" s="5">
        <v>10</v>
      </c>
      <c r="J827" s="5">
        <v>8</v>
      </c>
    </row>
    <row r="828" spans="1:10" x14ac:dyDescent="0.3">
      <c r="A828" s="5" t="s">
        <v>2577</v>
      </c>
      <c r="B828" s="5" t="s">
        <v>61</v>
      </c>
      <c r="C828" s="5" t="s">
        <v>67</v>
      </c>
      <c r="D828" s="5" t="s">
        <v>6599</v>
      </c>
      <c r="E828" s="5">
        <v>21</v>
      </c>
      <c r="F828" s="5">
        <v>18</v>
      </c>
      <c r="G828" s="5">
        <v>1</v>
      </c>
      <c r="H828" s="5">
        <v>8.3000000000000007</v>
      </c>
      <c r="I828" s="5">
        <v>15</v>
      </c>
      <c r="J828" s="5">
        <v>6</v>
      </c>
    </row>
    <row r="829" spans="1:10" x14ac:dyDescent="0.3">
      <c r="A829" s="5" t="s">
        <v>2577</v>
      </c>
      <c r="B829" s="5" t="s">
        <v>61</v>
      </c>
      <c r="C829" s="5" t="s">
        <v>67</v>
      </c>
      <c r="D829" s="5" t="s">
        <v>6599</v>
      </c>
      <c r="E829" s="5">
        <v>15</v>
      </c>
      <c r="F829" s="5">
        <v>15</v>
      </c>
      <c r="G829" s="5">
        <v>3</v>
      </c>
      <c r="H829" s="5">
        <v>11.09</v>
      </c>
      <c r="I829" s="5">
        <v>7</v>
      </c>
      <c r="J829" s="5">
        <v>8</v>
      </c>
    </row>
    <row r="830" spans="1:10" x14ac:dyDescent="0.3">
      <c r="A830" s="5" t="s">
        <v>2577</v>
      </c>
      <c r="B830" s="5" t="s">
        <v>61</v>
      </c>
      <c r="C830" s="5" t="s">
        <v>67</v>
      </c>
      <c r="D830" s="5" t="s">
        <v>6599</v>
      </c>
      <c r="E830" s="5">
        <v>23</v>
      </c>
      <c r="F830" s="5">
        <v>22</v>
      </c>
      <c r="G830" s="5">
        <v>3</v>
      </c>
      <c r="H830" s="5">
        <v>5.56</v>
      </c>
      <c r="I830" s="5">
        <v>17</v>
      </c>
      <c r="J830" s="5">
        <v>6</v>
      </c>
    </row>
    <row r="831" spans="1:10" x14ac:dyDescent="0.3">
      <c r="A831" s="5" t="s">
        <v>2454</v>
      </c>
      <c r="B831" s="5" t="s">
        <v>61</v>
      </c>
      <c r="C831" s="5" t="s">
        <v>17</v>
      </c>
      <c r="D831" s="5" t="s">
        <v>6599</v>
      </c>
      <c r="E831" s="5">
        <v>7</v>
      </c>
      <c r="F831" s="5">
        <v>6</v>
      </c>
      <c r="G831" s="5">
        <v>1</v>
      </c>
      <c r="H831" s="5">
        <v>3.57</v>
      </c>
      <c r="I831" s="5">
        <v>5</v>
      </c>
      <c r="J831" s="5">
        <v>2</v>
      </c>
    </row>
    <row r="832" spans="1:10" x14ac:dyDescent="0.3">
      <c r="A832" s="5" t="s">
        <v>2454</v>
      </c>
      <c r="B832" s="5" t="s">
        <v>61</v>
      </c>
      <c r="C832" s="5" t="s">
        <v>17</v>
      </c>
      <c r="D832" s="5" t="s">
        <v>6599</v>
      </c>
      <c r="E832" s="5">
        <v>12</v>
      </c>
      <c r="F832" s="5">
        <v>12</v>
      </c>
      <c r="G832" s="5">
        <v>1</v>
      </c>
      <c r="H832" s="5">
        <v>4.76</v>
      </c>
      <c r="I832" s="5">
        <v>7</v>
      </c>
      <c r="J832" s="5">
        <v>5</v>
      </c>
    </row>
    <row r="833" spans="1:10" x14ac:dyDescent="0.3">
      <c r="A833" s="5" t="s">
        <v>2481</v>
      </c>
      <c r="B833" s="5" t="s">
        <v>80</v>
      </c>
      <c r="C833" s="5" t="s">
        <v>37</v>
      </c>
      <c r="D833" s="5" t="s">
        <v>6599</v>
      </c>
      <c r="E833" s="5">
        <v>14</v>
      </c>
      <c r="F833" s="5">
        <v>14</v>
      </c>
      <c r="G833" s="5">
        <v>3</v>
      </c>
      <c r="H833" s="5">
        <v>8.9499999999999993</v>
      </c>
      <c r="I833" s="5">
        <v>7</v>
      </c>
      <c r="J833" s="5">
        <v>7</v>
      </c>
    </row>
    <row r="834" spans="1:10" x14ac:dyDescent="0.3">
      <c r="A834" s="5" t="s">
        <v>2473</v>
      </c>
      <c r="B834" s="5" t="s">
        <v>80</v>
      </c>
      <c r="C834" s="5" t="s">
        <v>93</v>
      </c>
      <c r="D834" s="5" t="s">
        <v>6599</v>
      </c>
      <c r="E834" s="5">
        <v>24</v>
      </c>
      <c r="F834" s="5">
        <v>22</v>
      </c>
      <c r="G834" s="5">
        <v>4</v>
      </c>
      <c r="H834" s="5">
        <v>9.94</v>
      </c>
      <c r="I834" s="5">
        <v>20</v>
      </c>
      <c r="J834" s="5">
        <v>4</v>
      </c>
    </row>
    <row r="835" spans="1:10" x14ac:dyDescent="0.3">
      <c r="A835" s="5" t="s">
        <v>2730</v>
      </c>
      <c r="B835" s="5" t="s">
        <v>189</v>
      </c>
      <c r="C835" s="5" t="s">
        <v>74</v>
      </c>
      <c r="D835" s="5" t="s">
        <v>6599</v>
      </c>
      <c r="E835" s="5">
        <v>7</v>
      </c>
      <c r="F835" s="5">
        <v>5</v>
      </c>
      <c r="G835" s="5">
        <v>1</v>
      </c>
      <c r="H835" s="5">
        <v>11.3</v>
      </c>
      <c r="I835" s="5">
        <v>5</v>
      </c>
      <c r="J835" s="5">
        <v>2</v>
      </c>
    </row>
    <row r="836" spans="1:10" x14ac:dyDescent="0.3">
      <c r="A836" s="5" t="s">
        <v>2514</v>
      </c>
      <c r="B836" s="5" t="s">
        <v>80</v>
      </c>
      <c r="C836" s="5" t="s">
        <v>47</v>
      </c>
      <c r="D836" s="5" t="s">
        <v>6599</v>
      </c>
      <c r="E836" s="5">
        <v>5</v>
      </c>
      <c r="F836" s="5">
        <v>3</v>
      </c>
      <c r="G836" s="5">
        <v>3</v>
      </c>
      <c r="H836" s="5">
        <v>1.91</v>
      </c>
      <c r="I836" s="5">
        <v>3</v>
      </c>
      <c r="J836" s="5">
        <v>2</v>
      </c>
    </row>
    <row r="837" spans="1:10" x14ac:dyDescent="0.3">
      <c r="A837" s="5" t="s">
        <v>2514</v>
      </c>
      <c r="B837" s="5" t="s">
        <v>80</v>
      </c>
      <c r="C837" s="5" t="s">
        <v>47</v>
      </c>
      <c r="D837" s="5" t="s">
        <v>6599</v>
      </c>
      <c r="E837" s="5">
        <v>18</v>
      </c>
      <c r="F837" s="5">
        <v>18</v>
      </c>
      <c r="G837" s="5">
        <v>3</v>
      </c>
      <c r="H837" s="5">
        <v>3.38</v>
      </c>
      <c r="I837" s="5">
        <v>15</v>
      </c>
      <c r="J837" s="5">
        <v>3</v>
      </c>
    </row>
    <row r="838" spans="1:10" x14ac:dyDescent="0.3">
      <c r="A838" s="5" t="s">
        <v>2514</v>
      </c>
      <c r="B838" s="5" t="s">
        <v>80</v>
      </c>
      <c r="C838" s="5" t="s">
        <v>47</v>
      </c>
      <c r="D838" s="5" t="s">
        <v>6599</v>
      </c>
      <c r="E838" s="5">
        <v>15</v>
      </c>
      <c r="F838" s="5">
        <v>13</v>
      </c>
      <c r="G838" s="5">
        <v>4</v>
      </c>
      <c r="H838" s="5">
        <v>6.59</v>
      </c>
      <c r="I838" s="5">
        <v>10</v>
      </c>
      <c r="J838" s="5">
        <v>5</v>
      </c>
    </row>
    <row r="839" spans="1:10" x14ac:dyDescent="0.3">
      <c r="A839" s="5" t="s">
        <v>2494</v>
      </c>
      <c r="B839" s="5" t="s">
        <v>189</v>
      </c>
      <c r="C839" s="5" t="s">
        <v>99</v>
      </c>
      <c r="D839" s="5" t="s">
        <v>6599</v>
      </c>
      <c r="E839" s="5">
        <v>24</v>
      </c>
      <c r="F839" s="5">
        <v>21</v>
      </c>
      <c r="G839" s="5">
        <v>2</v>
      </c>
      <c r="H839" s="5">
        <v>4.3</v>
      </c>
      <c r="I839" s="5">
        <v>17</v>
      </c>
      <c r="J839" s="5">
        <v>7</v>
      </c>
    </row>
    <row r="840" spans="1:10" x14ac:dyDescent="0.3">
      <c r="A840" s="5" t="s">
        <v>2494</v>
      </c>
      <c r="B840" s="5" t="s">
        <v>189</v>
      </c>
      <c r="C840" s="5" t="s">
        <v>99</v>
      </c>
      <c r="D840" s="5" t="s">
        <v>6599</v>
      </c>
      <c r="E840" s="5">
        <v>23</v>
      </c>
      <c r="F840" s="5">
        <v>21</v>
      </c>
      <c r="G840" s="5">
        <v>2</v>
      </c>
      <c r="H840" s="5">
        <v>8.66</v>
      </c>
      <c r="I840" s="5">
        <v>14</v>
      </c>
      <c r="J840" s="5">
        <v>9</v>
      </c>
    </row>
    <row r="841" spans="1:10" x14ac:dyDescent="0.3">
      <c r="A841" s="5" t="s">
        <v>2494</v>
      </c>
      <c r="B841" s="5" t="s">
        <v>189</v>
      </c>
      <c r="C841" s="5" t="s">
        <v>99</v>
      </c>
      <c r="D841" s="5" t="s">
        <v>6599</v>
      </c>
      <c r="E841" s="5">
        <v>18</v>
      </c>
      <c r="F841" s="5">
        <v>18</v>
      </c>
      <c r="G841" s="5">
        <v>1</v>
      </c>
      <c r="H841" s="5">
        <v>3.18</v>
      </c>
      <c r="I841" s="5">
        <v>13</v>
      </c>
      <c r="J841" s="5">
        <v>5</v>
      </c>
    </row>
    <row r="842" spans="1:10" x14ac:dyDescent="0.3">
      <c r="A842" s="5" t="s">
        <v>2504</v>
      </c>
      <c r="B842" s="5" t="s">
        <v>27</v>
      </c>
      <c r="C842" s="5" t="s">
        <v>37</v>
      </c>
      <c r="D842" s="5" t="s">
        <v>6599</v>
      </c>
      <c r="E842" s="5">
        <v>25</v>
      </c>
      <c r="F842" s="5">
        <v>23</v>
      </c>
      <c r="G842" s="5">
        <v>1</v>
      </c>
      <c r="H842" s="5">
        <v>10.83</v>
      </c>
      <c r="I842" s="5">
        <v>12</v>
      </c>
      <c r="J842" s="5">
        <v>13</v>
      </c>
    </row>
    <row r="843" spans="1:10" x14ac:dyDescent="0.3">
      <c r="A843" s="5" t="s">
        <v>2504</v>
      </c>
      <c r="B843" s="5" t="s">
        <v>27</v>
      </c>
      <c r="C843" s="5" t="s">
        <v>37</v>
      </c>
      <c r="D843" s="5" t="s">
        <v>6599</v>
      </c>
      <c r="E843" s="5">
        <v>7</v>
      </c>
      <c r="F843" s="5">
        <v>7</v>
      </c>
      <c r="G843" s="5">
        <v>2</v>
      </c>
      <c r="H843" s="5">
        <v>7.61</v>
      </c>
      <c r="I843" s="5">
        <v>5</v>
      </c>
      <c r="J843" s="5">
        <v>2</v>
      </c>
    </row>
    <row r="844" spans="1:10" x14ac:dyDescent="0.3">
      <c r="A844" s="5" t="s">
        <v>2445</v>
      </c>
      <c r="B844" s="5" t="s">
        <v>27</v>
      </c>
      <c r="C844" s="5" t="s">
        <v>164</v>
      </c>
      <c r="D844" s="5" t="s">
        <v>6599</v>
      </c>
      <c r="E844" s="5">
        <v>20</v>
      </c>
      <c r="F844" s="5">
        <v>18</v>
      </c>
      <c r="G844" s="5">
        <v>4</v>
      </c>
      <c r="H844" s="5">
        <v>2.91</v>
      </c>
      <c r="I844" s="5">
        <v>12</v>
      </c>
      <c r="J844" s="5">
        <v>8</v>
      </c>
    </row>
    <row r="845" spans="1:10" x14ac:dyDescent="0.3">
      <c r="A845" s="5" t="s">
        <v>2445</v>
      </c>
      <c r="B845" s="5" t="s">
        <v>27</v>
      </c>
      <c r="C845" s="5" t="s">
        <v>164</v>
      </c>
      <c r="D845" s="5" t="s">
        <v>6599</v>
      </c>
      <c r="E845" s="5">
        <v>21</v>
      </c>
      <c r="F845" s="5">
        <v>20</v>
      </c>
      <c r="G845" s="5">
        <v>2</v>
      </c>
      <c r="H845" s="5">
        <v>3.59</v>
      </c>
      <c r="I845" s="5">
        <v>12</v>
      </c>
      <c r="J845" s="5">
        <v>9</v>
      </c>
    </row>
    <row r="846" spans="1:10" x14ac:dyDescent="0.3">
      <c r="A846" s="5" t="s">
        <v>2445</v>
      </c>
      <c r="B846" s="5" t="s">
        <v>27</v>
      </c>
      <c r="C846" s="5" t="s">
        <v>164</v>
      </c>
      <c r="D846" s="5" t="s">
        <v>6599</v>
      </c>
      <c r="E846" s="5">
        <v>12</v>
      </c>
      <c r="F846" s="5">
        <v>12</v>
      </c>
      <c r="G846" s="5">
        <v>3</v>
      </c>
      <c r="H846" s="5">
        <v>7.18</v>
      </c>
      <c r="I846" s="5">
        <v>9</v>
      </c>
      <c r="J846" s="5">
        <v>3</v>
      </c>
    </row>
    <row r="847" spans="1:10" x14ac:dyDescent="0.3">
      <c r="A847" s="5" t="s">
        <v>2463</v>
      </c>
      <c r="B847" s="5" t="s">
        <v>27</v>
      </c>
      <c r="C847" s="5" t="s">
        <v>74</v>
      </c>
      <c r="D847" s="5" t="s">
        <v>6599</v>
      </c>
      <c r="E847" s="5">
        <v>18</v>
      </c>
      <c r="F847" s="5">
        <v>17</v>
      </c>
      <c r="G847" s="5">
        <v>2</v>
      </c>
      <c r="H847" s="5">
        <v>8.99</v>
      </c>
      <c r="I847" s="5">
        <v>11</v>
      </c>
      <c r="J847" s="5">
        <v>7</v>
      </c>
    </row>
    <row r="848" spans="1:10" x14ac:dyDescent="0.3">
      <c r="A848" s="5" t="s">
        <v>2463</v>
      </c>
      <c r="B848" s="5" t="s">
        <v>27</v>
      </c>
      <c r="C848" s="5" t="s">
        <v>74</v>
      </c>
      <c r="D848" s="5" t="s">
        <v>6599</v>
      </c>
      <c r="E848" s="5">
        <v>5</v>
      </c>
      <c r="F848" s="5">
        <v>3</v>
      </c>
      <c r="G848" s="5">
        <v>2</v>
      </c>
      <c r="H848" s="5">
        <v>11.84</v>
      </c>
      <c r="I848" s="5">
        <v>2</v>
      </c>
      <c r="J848" s="5">
        <v>3</v>
      </c>
    </row>
    <row r="849" spans="1:10" x14ac:dyDescent="0.3">
      <c r="A849" s="5" t="s">
        <v>2463</v>
      </c>
      <c r="B849" s="5" t="s">
        <v>27</v>
      </c>
      <c r="C849" s="5" t="s">
        <v>74</v>
      </c>
      <c r="D849" s="5" t="s">
        <v>6599</v>
      </c>
      <c r="E849" s="5">
        <v>14</v>
      </c>
      <c r="F849" s="5">
        <v>13</v>
      </c>
      <c r="G849" s="5">
        <v>4</v>
      </c>
      <c r="H849" s="5">
        <v>1.67</v>
      </c>
      <c r="I849" s="5">
        <v>10</v>
      </c>
      <c r="J849" s="5">
        <v>4</v>
      </c>
    </row>
    <row r="850" spans="1:10" x14ac:dyDescent="0.3">
      <c r="A850" s="5" t="s">
        <v>2431</v>
      </c>
      <c r="B850" s="5" t="s">
        <v>16</v>
      </c>
      <c r="C850" s="5" t="s">
        <v>67</v>
      </c>
      <c r="D850" s="5" t="s">
        <v>6599</v>
      </c>
      <c r="E850" s="5">
        <v>9</v>
      </c>
      <c r="F850" s="5">
        <v>8</v>
      </c>
      <c r="G850" s="5">
        <v>3</v>
      </c>
      <c r="H850" s="5">
        <v>8.34</v>
      </c>
      <c r="I850" s="5">
        <v>6</v>
      </c>
      <c r="J850" s="5">
        <v>3</v>
      </c>
    </row>
    <row r="851" spans="1:10" x14ac:dyDescent="0.3">
      <c r="A851" s="5" t="s">
        <v>2518</v>
      </c>
      <c r="B851" s="5" t="s">
        <v>16</v>
      </c>
      <c r="C851" s="5" t="s">
        <v>164</v>
      </c>
      <c r="D851" s="5" t="s">
        <v>6599</v>
      </c>
      <c r="E851" s="5">
        <v>7</v>
      </c>
      <c r="F851" s="5">
        <v>7</v>
      </c>
      <c r="G851" s="5">
        <v>1</v>
      </c>
      <c r="H851" s="5">
        <v>5.47</v>
      </c>
      <c r="I851" s="5">
        <v>3</v>
      </c>
      <c r="J851" s="5">
        <v>4</v>
      </c>
    </row>
    <row r="852" spans="1:10" x14ac:dyDescent="0.3">
      <c r="A852" s="5" t="s">
        <v>2518</v>
      </c>
      <c r="B852" s="5" t="s">
        <v>16</v>
      </c>
      <c r="C852" s="5" t="s">
        <v>164</v>
      </c>
      <c r="D852" s="5" t="s">
        <v>6599</v>
      </c>
      <c r="E852" s="5">
        <v>11</v>
      </c>
      <c r="F852" s="5">
        <v>10</v>
      </c>
      <c r="G852" s="5">
        <v>4</v>
      </c>
      <c r="H852" s="5">
        <v>11.04</v>
      </c>
      <c r="I852" s="5">
        <v>6</v>
      </c>
      <c r="J852" s="5">
        <v>5</v>
      </c>
    </row>
    <row r="853" spans="1:10" x14ac:dyDescent="0.3">
      <c r="A853" s="5" t="s">
        <v>2415</v>
      </c>
      <c r="B853" s="5" t="s">
        <v>189</v>
      </c>
      <c r="C853" s="5" t="s">
        <v>17</v>
      </c>
      <c r="D853" s="5" t="s">
        <v>6598</v>
      </c>
      <c r="E853" s="5">
        <v>18</v>
      </c>
      <c r="F853" s="5">
        <v>16</v>
      </c>
      <c r="G853" s="5">
        <v>2</v>
      </c>
      <c r="H853" s="5">
        <v>7.69</v>
      </c>
      <c r="I853" s="5">
        <v>15</v>
      </c>
      <c r="J853" s="5">
        <v>3</v>
      </c>
    </row>
    <row r="854" spans="1:10" x14ac:dyDescent="0.3">
      <c r="A854" s="5" t="s">
        <v>2415</v>
      </c>
      <c r="B854" s="5" t="s">
        <v>189</v>
      </c>
      <c r="C854" s="5" t="s">
        <v>17</v>
      </c>
      <c r="D854" s="5" t="s">
        <v>6598</v>
      </c>
      <c r="E854" s="5">
        <v>15</v>
      </c>
      <c r="F854" s="5">
        <v>14</v>
      </c>
      <c r="G854" s="5">
        <v>1</v>
      </c>
      <c r="H854" s="5">
        <v>6.57</v>
      </c>
      <c r="I854" s="5">
        <v>9</v>
      </c>
      <c r="J854" s="5">
        <v>6</v>
      </c>
    </row>
    <row r="855" spans="1:10" x14ac:dyDescent="0.3">
      <c r="A855" s="5" t="s">
        <v>2415</v>
      </c>
      <c r="B855" s="5" t="s">
        <v>189</v>
      </c>
      <c r="C855" s="5" t="s">
        <v>17</v>
      </c>
      <c r="D855" s="5" t="s">
        <v>6598</v>
      </c>
      <c r="E855" s="5">
        <v>16</v>
      </c>
      <c r="F855" s="5">
        <v>13</v>
      </c>
      <c r="G855" s="5">
        <v>2</v>
      </c>
      <c r="H855" s="5">
        <v>9.24</v>
      </c>
      <c r="I855" s="5">
        <v>11</v>
      </c>
      <c r="J855" s="5">
        <v>5</v>
      </c>
    </row>
    <row r="856" spans="1:10" x14ac:dyDescent="0.3">
      <c r="A856" s="5" t="s">
        <v>2434</v>
      </c>
      <c r="B856" s="5" t="s">
        <v>16</v>
      </c>
      <c r="C856" s="5" t="s">
        <v>108</v>
      </c>
      <c r="D856" s="5" t="s">
        <v>6598</v>
      </c>
      <c r="E856" s="5">
        <v>9</v>
      </c>
      <c r="F856" s="5">
        <v>9</v>
      </c>
      <c r="G856" s="5">
        <v>2</v>
      </c>
      <c r="H856" s="5">
        <v>5.75</v>
      </c>
      <c r="I856" s="5">
        <v>7</v>
      </c>
      <c r="J856" s="5">
        <v>2</v>
      </c>
    </row>
    <row r="857" spans="1:10" x14ac:dyDescent="0.3">
      <c r="A857" s="5" t="s">
        <v>2469</v>
      </c>
      <c r="B857" s="5" t="s">
        <v>16</v>
      </c>
      <c r="C857" s="5" t="s">
        <v>99</v>
      </c>
      <c r="D857" s="5" t="s">
        <v>6598</v>
      </c>
      <c r="E857" s="5">
        <v>11</v>
      </c>
      <c r="F857" s="5">
        <v>11</v>
      </c>
      <c r="G857" s="5">
        <v>1</v>
      </c>
      <c r="H857" s="5">
        <v>2.46</v>
      </c>
      <c r="I857" s="5">
        <v>7</v>
      </c>
      <c r="J857" s="5">
        <v>4</v>
      </c>
    </row>
    <row r="858" spans="1:10" x14ac:dyDescent="0.3">
      <c r="A858" s="5" t="s">
        <v>2469</v>
      </c>
      <c r="B858" s="5" t="s">
        <v>16</v>
      </c>
      <c r="C858" s="5" t="s">
        <v>99</v>
      </c>
      <c r="D858" s="5" t="s">
        <v>6598</v>
      </c>
      <c r="E858" s="5">
        <v>25</v>
      </c>
      <c r="F858" s="5">
        <v>23</v>
      </c>
      <c r="G858" s="5">
        <v>1</v>
      </c>
      <c r="H858" s="5">
        <v>4.8499999999999996</v>
      </c>
      <c r="I858" s="5">
        <v>17</v>
      </c>
      <c r="J858" s="5">
        <v>8</v>
      </c>
    </row>
    <row r="859" spans="1:10" x14ac:dyDescent="0.3">
      <c r="A859" s="5" t="s">
        <v>2469</v>
      </c>
      <c r="B859" s="5" t="s">
        <v>16</v>
      </c>
      <c r="C859" s="5" t="s">
        <v>99</v>
      </c>
      <c r="D859" s="5" t="s">
        <v>6598</v>
      </c>
      <c r="E859" s="5">
        <v>24</v>
      </c>
      <c r="F859" s="5">
        <v>24</v>
      </c>
      <c r="G859" s="5">
        <v>1</v>
      </c>
      <c r="H859" s="5">
        <v>8.31</v>
      </c>
      <c r="I859" s="5">
        <v>13</v>
      </c>
      <c r="J859" s="5">
        <v>11</v>
      </c>
    </row>
    <row r="860" spans="1:10" x14ac:dyDescent="0.3">
      <c r="A860" s="5" t="s">
        <v>2536</v>
      </c>
      <c r="B860" s="5" t="s">
        <v>36</v>
      </c>
      <c r="C860" s="5" t="s">
        <v>99</v>
      </c>
      <c r="D860" s="5" t="s">
        <v>6598</v>
      </c>
      <c r="E860" s="5">
        <v>12</v>
      </c>
      <c r="F860" s="5">
        <v>12</v>
      </c>
      <c r="G860" s="5">
        <v>4</v>
      </c>
      <c r="H860" s="5">
        <v>10.48</v>
      </c>
      <c r="I860" s="5">
        <v>6</v>
      </c>
      <c r="J860" s="5">
        <v>6</v>
      </c>
    </row>
    <row r="861" spans="1:10" x14ac:dyDescent="0.3">
      <c r="A861" s="5" t="s">
        <v>2532</v>
      </c>
      <c r="B861" s="5" t="s">
        <v>36</v>
      </c>
      <c r="C861" s="5" t="s">
        <v>67</v>
      </c>
      <c r="D861" s="5" t="s">
        <v>6598</v>
      </c>
      <c r="E861" s="5">
        <v>11</v>
      </c>
      <c r="F861" s="5">
        <v>9</v>
      </c>
      <c r="G861" s="5">
        <v>4</v>
      </c>
      <c r="H861" s="5">
        <v>6.43</v>
      </c>
      <c r="I861" s="5">
        <v>6</v>
      </c>
      <c r="J861" s="5">
        <v>5</v>
      </c>
    </row>
    <row r="862" spans="1:10" x14ac:dyDescent="0.3">
      <c r="A862" s="5" t="s">
        <v>2532</v>
      </c>
      <c r="B862" s="5" t="s">
        <v>36</v>
      </c>
      <c r="C862" s="5" t="s">
        <v>67</v>
      </c>
      <c r="D862" s="5" t="s">
        <v>6598</v>
      </c>
      <c r="E862" s="5">
        <v>19</v>
      </c>
      <c r="F862" s="5">
        <v>16</v>
      </c>
      <c r="G862" s="5">
        <v>4</v>
      </c>
      <c r="H862" s="5">
        <v>10.8</v>
      </c>
      <c r="I862" s="5">
        <v>9</v>
      </c>
      <c r="J862" s="5">
        <v>10</v>
      </c>
    </row>
    <row r="863" spans="1:10" x14ac:dyDescent="0.3">
      <c r="A863" s="5" t="s">
        <v>2532</v>
      </c>
      <c r="B863" s="5" t="s">
        <v>36</v>
      </c>
      <c r="C863" s="5" t="s">
        <v>67</v>
      </c>
      <c r="D863" s="5" t="s">
        <v>6598</v>
      </c>
      <c r="E863" s="5">
        <v>25</v>
      </c>
      <c r="F863" s="5">
        <v>22</v>
      </c>
      <c r="G863" s="5">
        <v>3</v>
      </c>
      <c r="H863" s="5">
        <v>2.5099999999999998</v>
      </c>
      <c r="I863" s="5">
        <v>15</v>
      </c>
      <c r="J863" s="5">
        <v>10</v>
      </c>
    </row>
    <row r="864" spans="1:10" x14ac:dyDescent="0.3">
      <c r="A864" s="5" t="s">
        <v>2532</v>
      </c>
      <c r="B864" s="5" t="s">
        <v>36</v>
      </c>
      <c r="C864" s="5" t="s">
        <v>67</v>
      </c>
      <c r="D864" s="5" t="s">
        <v>6598</v>
      </c>
      <c r="E864" s="5">
        <v>24</v>
      </c>
      <c r="F864" s="5">
        <v>21</v>
      </c>
      <c r="G864" s="5">
        <v>2</v>
      </c>
      <c r="H864" s="5">
        <v>10.09</v>
      </c>
      <c r="I864" s="5">
        <v>15</v>
      </c>
      <c r="J864" s="5">
        <v>9</v>
      </c>
    </row>
    <row r="865" spans="1:10" x14ac:dyDescent="0.3">
      <c r="A865" s="5" t="s">
        <v>2532</v>
      </c>
      <c r="B865" s="5" t="s">
        <v>36</v>
      </c>
      <c r="C865" s="5" t="s">
        <v>67</v>
      </c>
      <c r="D865" s="5" t="s">
        <v>6598</v>
      </c>
      <c r="E865" s="5">
        <v>3</v>
      </c>
      <c r="F865" s="5">
        <v>1</v>
      </c>
      <c r="G865" s="5">
        <v>2</v>
      </c>
      <c r="H865" s="5">
        <v>4.1399999999999997</v>
      </c>
      <c r="I865" s="5">
        <v>2</v>
      </c>
      <c r="J865" s="5">
        <v>1</v>
      </c>
    </row>
    <row r="866" spans="1:10" x14ac:dyDescent="0.3">
      <c r="A866" s="5" t="s">
        <v>2490</v>
      </c>
      <c r="B866" s="5" t="s">
        <v>36</v>
      </c>
      <c r="C866" s="5" t="s">
        <v>28</v>
      </c>
      <c r="D866" s="5" t="s">
        <v>6598</v>
      </c>
      <c r="E866" s="5">
        <v>5</v>
      </c>
      <c r="F866" s="5">
        <v>3</v>
      </c>
      <c r="G866" s="5">
        <v>3</v>
      </c>
      <c r="H866" s="5">
        <v>7.86</v>
      </c>
      <c r="I866" s="5">
        <v>3</v>
      </c>
      <c r="J866" s="5">
        <v>2</v>
      </c>
    </row>
    <row r="867" spans="1:10" x14ac:dyDescent="0.3">
      <c r="A867" s="5" t="s">
        <v>2490</v>
      </c>
      <c r="B867" s="5" t="s">
        <v>36</v>
      </c>
      <c r="C867" s="5" t="s">
        <v>28</v>
      </c>
      <c r="D867" s="5" t="s">
        <v>6598</v>
      </c>
      <c r="E867" s="5">
        <v>17</v>
      </c>
      <c r="F867" s="5">
        <v>17</v>
      </c>
      <c r="G867" s="5">
        <v>3</v>
      </c>
      <c r="H867" s="5">
        <v>6.69</v>
      </c>
      <c r="I867" s="5">
        <v>10</v>
      </c>
      <c r="J867" s="5">
        <v>7</v>
      </c>
    </row>
    <row r="868" spans="1:10" x14ac:dyDescent="0.3">
      <c r="A868" s="5" t="s">
        <v>2561</v>
      </c>
      <c r="B868" s="5" t="s">
        <v>36</v>
      </c>
      <c r="C868" s="5" t="s">
        <v>74</v>
      </c>
      <c r="D868" s="5" t="s">
        <v>6598</v>
      </c>
      <c r="E868" s="5">
        <v>10</v>
      </c>
      <c r="F868" s="5">
        <v>9</v>
      </c>
      <c r="G868" s="5">
        <v>1</v>
      </c>
      <c r="H868" s="5">
        <v>11.17</v>
      </c>
      <c r="I868" s="5">
        <v>6</v>
      </c>
      <c r="J868" s="5">
        <v>4</v>
      </c>
    </row>
    <row r="869" spans="1:10" x14ac:dyDescent="0.3">
      <c r="A869" s="5" t="s">
        <v>2407</v>
      </c>
      <c r="B869" s="5" t="s">
        <v>66</v>
      </c>
      <c r="C869" s="5" t="s">
        <v>93</v>
      </c>
      <c r="D869" s="5" t="s">
        <v>6598</v>
      </c>
      <c r="E869" s="5">
        <v>5</v>
      </c>
      <c r="F869" s="5">
        <v>2</v>
      </c>
      <c r="G869" s="5">
        <v>3</v>
      </c>
      <c r="H869" s="5">
        <v>2.17</v>
      </c>
      <c r="I869" s="5">
        <v>4</v>
      </c>
      <c r="J869" s="5">
        <v>1</v>
      </c>
    </row>
    <row r="870" spans="1:10" x14ac:dyDescent="0.3">
      <c r="A870" s="5" t="s">
        <v>2466</v>
      </c>
      <c r="B870" s="5" t="s">
        <v>66</v>
      </c>
      <c r="C870" s="5" t="s">
        <v>67</v>
      </c>
      <c r="D870" s="5" t="s">
        <v>6598</v>
      </c>
      <c r="E870" s="5">
        <v>4</v>
      </c>
      <c r="F870" s="5">
        <v>1</v>
      </c>
      <c r="G870" s="5">
        <v>4</v>
      </c>
      <c r="H870" s="5">
        <v>3.69</v>
      </c>
      <c r="I870" s="5">
        <v>3</v>
      </c>
      <c r="J870" s="5">
        <v>1</v>
      </c>
    </row>
    <row r="871" spans="1:10" x14ac:dyDescent="0.3">
      <c r="A871" s="5" t="s">
        <v>2466</v>
      </c>
      <c r="B871" s="5" t="s">
        <v>66</v>
      </c>
      <c r="C871" s="5" t="s">
        <v>67</v>
      </c>
      <c r="D871" s="5" t="s">
        <v>6598</v>
      </c>
      <c r="E871" s="5">
        <v>8</v>
      </c>
      <c r="F871" s="5">
        <v>5</v>
      </c>
      <c r="G871" s="5">
        <v>1</v>
      </c>
      <c r="H871" s="5">
        <v>2.11</v>
      </c>
      <c r="I871" s="5">
        <v>6</v>
      </c>
      <c r="J871" s="5">
        <v>2</v>
      </c>
    </row>
    <row r="872" spans="1:10" x14ac:dyDescent="0.3">
      <c r="A872" s="5" t="s">
        <v>2521</v>
      </c>
      <c r="B872" s="5" t="s">
        <v>66</v>
      </c>
      <c r="C872" s="5" t="s">
        <v>99</v>
      </c>
      <c r="D872" s="5" t="s">
        <v>6598</v>
      </c>
      <c r="E872" s="5">
        <v>3</v>
      </c>
      <c r="F872" s="5">
        <v>3</v>
      </c>
      <c r="G872" s="5">
        <v>2</v>
      </c>
      <c r="H872" s="5">
        <v>7.76</v>
      </c>
      <c r="I872" s="5">
        <v>1</v>
      </c>
      <c r="J872" s="5">
        <v>2</v>
      </c>
    </row>
    <row r="873" spans="1:10" x14ac:dyDescent="0.3">
      <c r="A873" s="5" t="s">
        <v>2521</v>
      </c>
      <c r="B873" s="5" t="s">
        <v>66</v>
      </c>
      <c r="C873" s="5" t="s">
        <v>99</v>
      </c>
      <c r="D873" s="5" t="s">
        <v>6598</v>
      </c>
      <c r="E873" s="5">
        <v>7</v>
      </c>
      <c r="F873" s="5">
        <v>6</v>
      </c>
      <c r="G873" s="5">
        <v>2</v>
      </c>
      <c r="H873" s="5">
        <v>10.43</v>
      </c>
      <c r="I873" s="5">
        <v>5</v>
      </c>
      <c r="J873" s="5">
        <v>2</v>
      </c>
    </row>
    <row r="874" spans="1:10" x14ac:dyDescent="0.3">
      <c r="A874" s="5" t="s">
        <v>2521</v>
      </c>
      <c r="B874" s="5" t="s">
        <v>66</v>
      </c>
      <c r="C874" s="5" t="s">
        <v>99</v>
      </c>
      <c r="D874" s="5" t="s">
        <v>6598</v>
      </c>
      <c r="E874" s="5">
        <v>21</v>
      </c>
      <c r="F874" s="5">
        <v>19</v>
      </c>
      <c r="G874" s="5">
        <v>2</v>
      </c>
      <c r="H874" s="5">
        <v>11.94</v>
      </c>
      <c r="I874" s="5">
        <v>16</v>
      </c>
      <c r="J874" s="5">
        <v>5</v>
      </c>
    </row>
    <row r="875" spans="1:10" x14ac:dyDescent="0.3">
      <c r="A875" s="5" t="s">
        <v>2411</v>
      </c>
      <c r="B875" s="5" t="s">
        <v>55</v>
      </c>
      <c r="C875" s="5" t="s">
        <v>108</v>
      </c>
      <c r="D875" s="5" t="s">
        <v>6598</v>
      </c>
      <c r="E875" s="5">
        <v>25</v>
      </c>
      <c r="F875" s="5">
        <v>23</v>
      </c>
      <c r="G875" s="5">
        <v>1</v>
      </c>
      <c r="H875" s="5">
        <v>5.82</v>
      </c>
      <c r="I875" s="5">
        <v>13</v>
      </c>
      <c r="J875" s="5">
        <v>12</v>
      </c>
    </row>
    <row r="876" spans="1:10" x14ac:dyDescent="0.3">
      <c r="A876" s="5" t="s">
        <v>2411</v>
      </c>
      <c r="B876" s="5" t="s">
        <v>55</v>
      </c>
      <c r="C876" s="5" t="s">
        <v>108</v>
      </c>
      <c r="D876" s="5" t="s">
        <v>6598</v>
      </c>
      <c r="E876" s="5">
        <v>6</v>
      </c>
      <c r="F876" s="5">
        <v>4</v>
      </c>
      <c r="G876" s="5">
        <v>4</v>
      </c>
      <c r="H876" s="5">
        <v>8.83</v>
      </c>
      <c r="I876" s="5">
        <v>4</v>
      </c>
      <c r="J876" s="5">
        <v>2</v>
      </c>
    </row>
    <row r="877" spans="1:10" x14ac:dyDescent="0.3">
      <c r="A877" s="5" t="s">
        <v>2411</v>
      </c>
      <c r="B877" s="5" t="s">
        <v>55</v>
      </c>
      <c r="C877" s="5" t="s">
        <v>108</v>
      </c>
      <c r="D877" s="5" t="s">
        <v>6598</v>
      </c>
      <c r="E877" s="5">
        <v>11</v>
      </c>
      <c r="F877" s="5">
        <v>10</v>
      </c>
      <c r="G877" s="5">
        <v>1</v>
      </c>
      <c r="H877" s="5">
        <v>10.44</v>
      </c>
      <c r="I877" s="5">
        <v>5</v>
      </c>
      <c r="J877" s="5">
        <v>6</v>
      </c>
    </row>
    <row r="878" spans="1:10" x14ac:dyDescent="0.3">
      <c r="A878" s="5" t="s">
        <v>2411</v>
      </c>
      <c r="B878" s="5" t="s">
        <v>55</v>
      </c>
      <c r="C878" s="5" t="s">
        <v>108</v>
      </c>
      <c r="D878" s="5" t="s">
        <v>6598</v>
      </c>
      <c r="E878" s="5">
        <v>18</v>
      </c>
      <c r="F878" s="5">
        <v>18</v>
      </c>
      <c r="G878" s="5">
        <v>2</v>
      </c>
      <c r="H878" s="5">
        <v>1.77</v>
      </c>
      <c r="I878" s="5">
        <v>12</v>
      </c>
      <c r="J878" s="5">
        <v>6</v>
      </c>
    </row>
    <row r="879" spans="1:10" x14ac:dyDescent="0.3">
      <c r="A879" s="5" t="s">
        <v>2459</v>
      </c>
      <c r="B879" s="5" t="s">
        <v>189</v>
      </c>
      <c r="C879" s="5" t="s">
        <v>67</v>
      </c>
      <c r="D879" s="5" t="s">
        <v>6598</v>
      </c>
      <c r="E879" s="5">
        <v>19</v>
      </c>
      <c r="F879" s="5">
        <v>17</v>
      </c>
      <c r="G879" s="5">
        <v>4</v>
      </c>
      <c r="H879" s="5">
        <v>4.47</v>
      </c>
      <c r="I879" s="5">
        <v>11</v>
      </c>
      <c r="J879" s="5">
        <v>8</v>
      </c>
    </row>
    <row r="880" spans="1:10" x14ac:dyDescent="0.3">
      <c r="A880" s="5" t="s">
        <v>2459</v>
      </c>
      <c r="B880" s="5" t="s">
        <v>189</v>
      </c>
      <c r="C880" s="5" t="s">
        <v>67</v>
      </c>
      <c r="D880" s="5" t="s">
        <v>6598</v>
      </c>
      <c r="E880" s="5">
        <v>4</v>
      </c>
      <c r="F880" s="5">
        <v>2</v>
      </c>
      <c r="G880" s="5">
        <v>3</v>
      </c>
      <c r="H880" s="5">
        <v>3.87</v>
      </c>
      <c r="I880" s="5">
        <v>2</v>
      </c>
      <c r="J880" s="5">
        <v>2</v>
      </c>
    </row>
    <row r="881" spans="1:10" x14ac:dyDescent="0.3">
      <c r="A881" s="5" t="s">
        <v>2629</v>
      </c>
      <c r="B881" s="5" t="s">
        <v>55</v>
      </c>
      <c r="C881" s="5" t="s">
        <v>164</v>
      </c>
      <c r="D881" s="5" t="s">
        <v>6598</v>
      </c>
      <c r="E881" s="5">
        <v>13</v>
      </c>
      <c r="F881" s="5">
        <v>13</v>
      </c>
      <c r="G881" s="5">
        <v>4</v>
      </c>
      <c r="H881" s="5">
        <v>2.78</v>
      </c>
      <c r="I881" s="5">
        <v>9</v>
      </c>
      <c r="J881" s="5">
        <v>4</v>
      </c>
    </row>
    <row r="882" spans="1:10" x14ac:dyDescent="0.3">
      <c r="A882" s="5" t="s">
        <v>2629</v>
      </c>
      <c r="B882" s="5" t="s">
        <v>55</v>
      </c>
      <c r="C882" s="5" t="s">
        <v>164</v>
      </c>
      <c r="D882" s="5" t="s">
        <v>6598</v>
      </c>
      <c r="E882" s="5">
        <v>8</v>
      </c>
      <c r="F882" s="5">
        <v>8</v>
      </c>
      <c r="G882" s="5">
        <v>1</v>
      </c>
      <c r="H882" s="5">
        <v>4.46</v>
      </c>
      <c r="I882" s="5">
        <v>6</v>
      </c>
      <c r="J882" s="5">
        <v>2</v>
      </c>
    </row>
    <row r="883" spans="1:10" x14ac:dyDescent="0.3">
      <c r="A883" s="5" t="s">
        <v>2629</v>
      </c>
      <c r="B883" s="5" t="s">
        <v>55</v>
      </c>
      <c r="C883" s="5" t="s">
        <v>164</v>
      </c>
      <c r="D883" s="5" t="s">
        <v>6598</v>
      </c>
      <c r="E883" s="5">
        <v>11</v>
      </c>
      <c r="F883" s="5">
        <v>9</v>
      </c>
      <c r="G883" s="5">
        <v>3</v>
      </c>
      <c r="H883" s="5">
        <v>10.48</v>
      </c>
      <c r="I883" s="5">
        <v>7</v>
      </c>
      <c r="J883" s="5">
        <v>4</v>
      </c>
    </row>
    <row r="884" spans="1:10" x14ac:dyDescent="0.3">
      <c r="A884" s="5" t="s">
        <v>2422</v>
      </c>
      <c r="B884" s="5" t="s">
        <v>55</v>
      </c>
      <c r="C884" s="5" t="s">
        <v>28</v>
      </c>
      <c r="D884" s="5" t="s">
        <v>6598</v>
      </c>
      <c r="E884" s="5">
        <v>23</v>
      </c>
      <c r="F884" s="5">
        <v>21</v>
      </c>
      <c r="G884" s="5">
        <v>2</v>
      </c>
      <c r="H884" s="5">
        <v>11.53</v>
      </c>
      <c r="I884" s="5">
        <v>12</v>
      </c>
      <c r="J884" s="5">
        <v>11</v>
      </c>
    </row>
    <row r="885" spans="1:10" x14ac:dyDescent="0.3">
      <c r="A885" s="5" t="s">
        <v>2422</v>
      </c>
      <c r="B885" s="5" t="s">
        <v>55</v>
      </c>
      <c r="C885" s="5" t="s">
        <v>28</v>
      </c>
      <c r="D885" s="5" t="s">
        <v>6598</v>
      </c>
      <c r="E885" s="5">
        <v>3</v>
      </c>
      <c r="F885" s="5">
        <v>1</v>
      </c>
      <c r="G885" s="5">
        <v>4</v>
      </c>
      <c r="H885" s="5">
        <v>3.09</v>
      </c>
      <c r="I885" s="5">
        <v>2</v>
      </c>
      <c r="J885" s="5">
        <v>1</v>
      </c>
    </row>
    <row r="886" spans="1:10" x14ac:dyDescent="0.3">
      <c r="A886" s="5" t="s">
        <v>2422</v>
      </c>
      <c r="B886" s="5" t="s">
        <v>55</v>
      </c>
      <c r="C886" s="5" t="s">
        <v>28</v>
      </c>
      <c r="D886" s="5" t="s">
        <v>6598</v>
      </c>
      <c r="E886" s="5">
        <v>7</v>
      </c>
      <c r="F886" s="5">
        <v>4</v>
      </c>
      <c r="G886" s="5">
        <v>3</v>
      </c>
      <c r="H886" s="5">
        <v>7.99</v>
      </c>
      <c r="I886" s="5">
        <v>3</v>
      </c>
      <c r="J886" s="5">
        <v>4</v>
      </c>
    </row>
    <row r="887" spans="1:10" x14ac:dyDescent="0.3">
      <c r="A887" s="5" t="s">
        <v>2438</v>
      </c>
      <c r="B887" s="5" t="s">
        <v>55</v>
      </c>
      <c r="C887" s="5" t="s">
        <v>74</v>
      </c>
      <c r="D887" s="5" t="s">
        <v>6598</v>
      </c>
      <c r="E887" s="5">
        <v>21</v>
      </c>
      <c r="F887" s="5">
        <v>21</v>
      </c>
      <c r="G887" s="5">
        <v>4</v>
      </c>
      <c r="H887" s="5">
        <v>8.74</v>
      </c>
      <c r="I887" s="5">
        <v>17</v>
      </c>
      <c r="J887" s="5">
        <v>4</v>
      </c>
    </row>
    <row r="888" spans="1:10" x14ac:dyDescent="0.3">
      <c r="A888" s="5" t="s">
        <v>2438</v>
      </c>
      <c r="B888" s="5" t="s">
        <v>55</v>
      </c>
      <c r="C888" s="5" t="s">
        <v>74</v>
      </c>
      <c r="D888" s="5" t="s">
        <v>6598</v>
      </c>
      <c r="E888" s="5">
        <v>23</v>
      </c>
      <c r="F888" s="5">
        <v>23</v>
      </c>
      <c r="G888" s="5">
        <v>4</v>
      </c>
      <c r="H888" s="5">
        <v>2.7</v>
      </c>
      <c r="I888" s="5">
        <v>12</v>
      </c>
      <c r="J888" s="5">
        <v>11</v>
      </c>
    </row>
    <row r="889" spans="1:10" x14ac:dyDescent="0.3">
      <c r="A889" s="5" t="s">
        <v>2427</v>
      </c>
      <c r="B889" s="5" t="s">
        <v>55</v>
      </c>
      <c r="C889" s="5" t="s">
        <v>93</v>
      </c>
      <c r="D889" s="5" t="s">
        <v>6598</v>
      </c>
      <c r="E889" s="5">
        <v>24</v>
      </c>
      <c r="F889" s="5">
        <v>21</v>
      </c>
      <c r="G889" s="5">
        <v>1</v>
      </c>
      <c r="H889" s="5">
        <v>5.34</v>
      </c>
      <c r="I889" s="5">
        <v>16</v>
      </c>
      <c r="J889" s="5">
        <v>8</v>
      </c>
    </row>
    <row r="890" spans="1:10" x14ac:dyDescent="0.3">
      <c r="A890" s="5" t="s">
        <v>2485</v>
      </c>
      <c r="B890" s="5" t="s">
        <v>61</v>
      </c>
      <c r="C890" s="5" t="s">
        <v>99</v>
      </c>
      <c r="D890" s="5" t="s">
        <v>6598</v>
      </c>
      <c r="E890" s="5">
        <v>15</v>
      </c>
      <c r="F890" s="5">
        <v>14</v>
      </c>
      <c r="G890" s="5">
        <v>4</v>
      </c>
      <c r="H890" s="5">
        <v>6.73</v>
      </c>
      <c r="I890" s="5">
        <v>10</v>
      </c>
      <c r="J890" s="5">
        <v>5</v>
      </c>
    </row>
    <row r="891" spans="1:10" x14ac:dyDescent="0.3">
      <c r="A891" s="5" t="s">
        <v>2485</v>
      </c>
      <c r="B891" s="5" t="s">
        <v>61</v>
      </c>
      <c r="C891" s="5" t="s">
        <v>99</v>
      </c>
      <c r="D891" s="5" t="s">
        <v>6598</v>
      </c>
      <c r="E891" s="5">
        <v>15</v>
      </c>
      <c r="F891" s="5">
        <v>14</v>
      </c>
      <c r="G891" s="5">
        <v>2</v>
      </c>
      <c r="H891" s="5">
        <v>4.29</v>
      </c>
      <c r="I891" s="5">
        <v>8</v>
      </c>
      <c r="J891" s="5">
        <v>7</v>
      </c>
    </row>
    <row r="892" spans="1:10" x14ac:dyDescent="0.3">
      <c r="A892" s="5" t="s">
        <v>2485</v>
      </c>
      <c r="B892" s="5" t="s">
        <v>61</v>
      </c>
      <c r="C892" s="5" t="s">
        <v>99</v>
      </c>
      <c r="D892" s="5" t="s">
        <v>6598</v>
      </c>
      <c r="E892" s="5">
        <v>22</v>
      </c>
      <c r="F892" s="5">
        <v>22</v>
      </c>
      <c r="G892" s="5">
        <v>3</v>
      </c>
      <c r="H892" s="5">
        <v>11.36</v>
      </c>
      <c r="I892" s="5">
        <v>17</v>
      </c>
      <c r="J892" s="5">
        <v>5</v>
      </c>
    </row>
    <row r="893" spans="1:10" x14ac:dyDescent="0.3">
      <c r="A893" s="5" t="s">
        <v>2449</v>
      </c>
      <c r="B893" s="5" t="s">
        <v>61</v>
      </c>
      <c r="C893" s="5" t="s">
        <v>108</v>
      </c>
      <c r="D893" s="5" t="s">
        <v>6598</v>
      </c>
      <c r="E893" s="5">
        <v>22</v>
      </c>
      <c r="F893" s="5">
        <v>22</v>
      </c>
      <c r="G893" s="5">
        <v>3</v>
      </c>
      <c r="H893" s="5">
        <v>1.79</v>
      </c>
      <c r="I893" s="5">
        <v>18</v>
      </c>
      <c r="J893" s="5">
        <v>4</v>
      </c>
    </row>
    <row r="894" spans="1:10" x14ac:dyDescent="0.3">
      <c r="A894" s="5" t="s">
        <v>2449</v>
      </c>
      <c r="B894" s="5" t="s">
        <v>61</v>
      </c>
      <c r="C894" s="5" t="s">
        <v>108</v>
      </c>
      <c r="D894" s="5" t="s">
        <v>6598</v>
      </c>
      <c r="E894" s="5">
        <v>11</v>
      </c>
      <c r="F894" s="5">
        <v>10</v>
      </c>
      <c r="G894" s="5">
        <v>1</v>
      </c>
      <c r="H894" s="5">
        <v>2.4700000000000002</v>
      </c>
      <c r="I894" s="5">
        <v>6</v>
      </c>
      <c r="J894" s="5">
        <v>5</v>
      </c>
    </row>
    <row r="895" spans="1:10" x14ac:dyDescent="0.3">
      <c r="A895" s="5" t="s">
        <v>2577</v>
      </c>
      <c r="B895" s="5" t="s">
        <v>61</v>
      </c>
      <c r="C895" s="5" t="s">
        <v>67</v>
      </c>
      <c r="D895" s="5" t="s">
        <v>6598</v>
      </c>
      <c r="E895" s="5">
        <v>21</v>
      </c>
      <c r="F895" s="5">
        <v>18</v>
      </c>
      <c r="G895" s="5">
        <v>2</v>
      </c>
      <c r="H895" s="5">
        <v>7.13</v>
      </c>
      <c r="I895" s="5">
        <v>17</v>
      </c>
      <c r="J895" s="5">
        <v>4</v>
      </c>
    </row>
    <row r="896" spans="1:10" x14ac:dyDescent="0.3">
      <c r="A896" s="5" t="s">
        <v>2577</v>
      </c>
      <c r="B896" s="5" t="s">
        <v>61</v>
      </c>
      <c r="C896" s="5" t="s">
        <v>67</v>
      </c>
      <c r="D896" s="5" t="s">
        <v>6598</v>
      </c>
      <c r="E896" s="5">
        <v>19</v>
      </c>
      <c r="F896" s="5">
        <v>19</v>
      </c>
      <c r="G896" s="5">
        <v>2</v>
      </c>
      <c r="H896" s="5">
        <v>3.62</v>
      </c>
      <c r="I896" s="5">
        <v>10</v>
      </c>
      <c r="J896" s="5">
        <v>9</v>
      </c>
    </row>
    <row r="897" spans="1:10" x14ac:dyDescent="0.3">
      <c r="A897" s="5" t="s">
        <v>2454</v>
      </c>
      <c r="B897" s="5" t="s">
        <v>61</v>
      </c>
      <c r="C897" s="5" t="s">
        <v>17</v>
      </c>
      <c r="D897" s="5" t="s">
        <v>6598</v>
      </c>
      <c r="E897" s="5">
        <v>13</v>
      </c>
      <c r="F897" s="5">
        <v>12</v>
      </c>
      <c r="G897" s="5">
        <v>4</v>
      </c>
      <c r="H897" s="5">
        <v>8.4</v>
      </c>
      <c r="I897" s="5">
        <v>6</v>
      </c>
      <c r="J897" s="5">
        <v>7</v>
      </c>
    </row>
    <row r="898" spans="1:10" x14ac:dyDescent="0.3">
      <c r="A898" s="5" t="s">
        <v>2454</v>
      </c>
      <c r="B898" s="5" t="s">
        <v>61</v>
      </c>
      <c r="C898" s="5" t="s">
        <v>17</v>
      </c>
      <c r="D898" s="5" t="s">
        <v>6598</v>
      </c>
      <c r="E898" s="5">
        <v>12</v>
      </c>
      <c r="F898" s="5">
        <v>10</v>
      </c>
      <c r="G898" s="5">
        <v>3</v>
      </c>
      <c r="H898" s="5">
        <v>7.61</v>
      </c>
      <c r="I898" s="5">
        <v>9</v>
      </c>
      <c r="J898" s="5">
        <v>3</v>
      </c>
    </row>
    <row r="899" spans="1:10" x14ac:dyDescent="0.3">
      <c r="A899" s="5" t="s">
        <v>2454</v>
      </c>
      <c r="B899" s="5" t="s">
        <v>61</v>
      </c>
      <c r="C899" s="5" t="s">
        <v>17</v>
      </c>
      <c r="D899" s="5" t="s">
        <v>6598</v>
      </c>
      <c r="E899" s="5">
        <v>19</v>
      </c>
      <c r="F899" s="5">
        <v>19</v>
      </c>
      <c r="G899" s="5">
        <v>4</v>
      </c>
      <c r="H899" s="5">
        <v>3.85</v>
      </c>
      <c r="I899" s="5">
        <v>10</v>
      </c>
      <c r="J899" s="5">
        <v>9</v>
      </c>
    </row>
    <row r="900" spans="1:10" x14ac:dyDescent="0.3">
      <c r="A900" s="5" t="s">
        <v>2454</v>
      </c>
      <c r="B900" s="5" t="s">
        <v>61</v>
      </c>
      <c r="C900" s="5" t="s">
        <v>17</v>
      </c>
      <c r="D900" s="5" t="s">
        <v>6598</v>
      </c>
      <c r="E900" s="5">
        <v>24</v>
      </c>
      <c r="F900" s="5">
        <v>24</v>
      </c>
      <c r="G900" s="5">
        <v>4</v>
      </c>
      <c r="H900" s="5">
        <v>11.82</v>
      </c>
      <c r="I900" s="5">
        <v>14</v>
      </c>
      <c r="J900" s="5">
        <v>10</v>
      </c>
    </row>
    <row r="901" spans="1:10" x14ac:dyDescent="0.3">
      <c r="A901" s="5" t="s">
        <v>2481</v>
      </c>
      <c r="B901" s="5" t="s">
        <v>80</v>
      </c>
      <c r="C901" s="5" t="s">
        <v>37</v>
      </c>
      <c r="D901" s="5" t="s">
        <v>6598</v>
      </c>
      <c r="E901" s="5">
        <v>16</v>
      </c>
      <c r="F901" s="5">
        <v>16</v>
      </c>
      <c r="G901" s="5">
        <v>2</v>
      </c>
      <c r="H901" s="5">
        <v>11.27</v>
      </c>
      <c r="I901" s="5">
        <v>12</v>
      </c>
      <c r="J901" s="5">
        <v>4</v>
      </c>
    </row>
    <row r="902" spans="1:10" x14ac:dyDescent="0.3">
      <c r="A902" s="5" t="s">
        <v>2481</v>
      </c>
      <c r="B902" s="5" t="s">
        <v>80</v>
      </c>
      <c r="C902" s="5" t="s">
        <v>37</v>
      </c>
      <c r="D902" s="5" t="s">
        <v>6598</v>
      </c>
      <c r="E902" s="5">
        <v>22</v>
      </c>
      <c r="F902" s="5">
        <v>20</v>
      </c>
      <c r="G902" s="5">
        <v>1</v>
      </c>
      <c r="H902" s="5">
        <v>7.03</v>
      </c>
      <c r="I902" s="5">
        <v>13</v>
      </c>
      <c r="J902" s="5">
        <v>9</v>
      </c>
    </row>
    <row r="903" spans="1:10" x14ac:dyDescent="0.3">
      <c r="A903" s="5" t="s">
        <v>2481</v>
      </c>
      <c r="B903" s="5" t="s">
        <v>80</v>
      </c>
      <c r="C903" s="5" t="s">
        <v>37</v>
      </c>
      <c r="D903" s="5" t="s">
        <v>6598</v>
      </c>
      <c r="E903" s="5">
        <v>7</v>
      </c>
      <c r="F903" s="5">
        <v>5</v>
      </c>
      <c r="G903" s="5">
        <v>3</v>
      </c>
      <c r="H903" s="5">
        <v>9.9499999999999993</v>
      </c>
      <c r="I903" s="5">
        <v>5</v>
      </c>
      <c r="J903" s="5">
        <v>2</v>
      </c>
    </row>
    <row r="904" spans="1:10" x14ac:dyDescent="0.3">
      <c r="A904" s="5" t="s">
        <v>2481</v>
      </c>
      <c r="B904" s="5" t="s">
        <v>80</v>
      </c>
      <c r="C904" s="5" t="s">
        <v>37</v>
      </c>
      <c r="D904" s="5" t="s">
        <v>6598</v>
      </c>
      <c r="E904" s="5">
        <v>5</v>
      </c>
      <c r="F904" s="5">
        <v>3</v>
      </c>
      <c r="G904" s="5">
        <v>4</v>
      </c>
      <c r="H904" s="5">
        <v>3.29</v>
      </c>
      <c r="I904" s="5">
        <v>3</v>
      </c>
      <c r="J904" s="5">
        <v>2</v>
      </c>
    </row>
    <row r="905" spans="1:10" x14ac:dyDescent="0.3">
      <c r="A905" s="5" t="s">
        <v>2473</v>
      </c>
      <c r="B905" s="5" t="s">
        <v>80</v>
      </c>
      <c r="C905" s="5" t="s">
        <v>93</v>
      </c>
      <c r="D905" s="5" t="s">
        <v>6598</v>
      </c>
      <c r="E905" s="5">
        <v>17</v>
      </c>
      <c r="F905" s="5">
        <v>16</v>
      </c>
      <c r="G905" s="5">
        <v>3</v>
      </c>
      <c r="H905" s="5">
        <v>9.6999999999999993</v>
      </c>
      <c r="I905" s="5">
        <v>9</v>
      </c>
      <c r="J905" s="5">
        <v>8</v>
      </c>
    </row>
    <row r="906" spans="1:10" x14ac:dyDescent="0.3">
      <c r="A906" s="5" t="s">
        <v>2473</v>
      </c>
      <c r="B906" s="5" t="s">
        <v>80</v>
      </c>
      <c r="C906" s="5" t="s">
        <v>93</v>
      </c>
      <c r="D906" s="5" t="s">
        <v>6598</v>
      </c>
      <c r="E906" s="5">
        <v>22</v>
      </c>
      <c r="F906" s="5">
        <v>21</v>
      </c>
      <c r="G906" s="5">
        <v>3</v>
      </c>
      <c r="H906" s="5">
        <v>5.46</v>
      </c>
      <c r="I906" s="5">
        <v>17</v>
      </c>
      <c r="J906" s="5">
        <v>5</v>
      </c>
    </row>
    <row r="907" spans="1:10" x14ac:dyDescent="0.3">
      <c r="A907" s="5" t="s">
        <v>2473</v>
      </c>
      <c r="B907" s="5" t="s">
        <v>80</v>
      </c>
      <c r="C907" s="5" t="s">
        <v>93</v>
      </c>
      <c r="D907" s="5" t="s">
        <v>6598</v>
      </c>
      <c r="E907" s="5">
        <v>15</v>
      </c>
      <c r="F907" s="5">
        <v>15</v>
      </c>
      <c r="G907" s="5">
        <v>3</v>
      </c>
      <c r="H907" s="5">
        <v>9.08</v>
      </c>
      <c r="I907" s="5">
        <v>10</v>
      </c>
      <c r="J907" s="5">
        <v>5</v>
      </c>
    </row>
    <row r="908" spans="1:10" x14ac:dyDescent="0.3">
      <c r="A908" s="5" t="s">
        <v>2730</v>
      </c>
      <c r="B908" s="5" t="s">
        <v>189</v>
      </c>
      <c r="C908" s="5" t="s">
        <v>74</v>
      </c>
      <c r="D908" s="5" t="s">
        <v>6598</v>
      </c>
      <c r="E908" s="5">
        <v>8</v>
      </c>
      <c r="F908" s="5">
        <v>7</v>
      </c>
      <c r="G908" s="5">
        <v>1</v>
      </c>
      <c r="H908" s="5">
        <v>6.17</v>
      </c>
      <c r="I908" s="5">
        <v>4</v>
      </c>
      <c r="J908" s="5">
        <v>4</v>
      </c>
    </row>
    <row r="909" spans="1:10" x14ac:dyDescent="0.3">
      <c r="A909" s="5" t="s">
        <v>2514</v>
      </c>
      <c r="B909" s="5" t="s">
        <v>80</v>
      </c>
      <c r="C909" s="5" t="s">
        <v>47</v>
      </c>
      <c r="D909" s="5" t="s">
        <v>6598</v>
      </c>
      <c r="E909" s="5">
        <v>13</v>
      </c>
      <c r="F909" s="5">
        <v>13</v>
      </c>
      <c r="G909" s="5">
        <v>1</v>
      </c>
      <c r="H909" s="5">
        <v>5.89</v>
      </c>
      <c r="I909" s="5">
        <v>6</v>
      </c>
      <c r="J909" s="5">
        <v>7</v>
      </c>
    </row>
    <row r="910" spans="1:10" x14ac:dyDescent="0.3">
      <c r="A910" s="5" t="s">
        <v>2514</v>
      </c>
      <c r="B910" s="5" t="s">
        <v>80</v>
      </c>
      <c r="C910" s="5" t="s">
        <v>47</v>
      </c>
      <c r="D910" s="5" t="s">
        <v>6598</v>
      </c>
      <c r="E910" s="5">
        <v>3</v>
      </c>
      <c r="F910" s="5">
        <v>3</v>
      </c>
      <c r="G910" s="5">
        <v>2</v>
      </c>
      <c r="H910" s="5">
        <v>4.53</v>
      </c>
      <c r="I910" s="5">
        <v>2</v>
      </c>
      <c r="J910" s="5">
        <v>1</v>
      </c>
    </row>
    <row r="911" spans="1:10" x14ac:dyDescent="0.3">
      <c r="A911" s="5" t="s">
        <v>2494</v>
      </c>
      <c r="B911" s="5" t="s">
        <v>189</v>
      </c>
      <c r="C911" s="5" t="s">
        <v>99</v>
      </c>
      <c r="D911" s="5" t="s">
        <v>6598</v>
      </c>
      <c r="E911" s="5">
        <v>3</v>
      </c>
      <c r="F911" s="5">
        <v>3</v>
      </c>
      <c r="G911" s="5">
        <v>2</v>
      </c>
      <c r="H911" s="5">
        <v>10.66</v>
      </c>
      <c r="I911" s="5">
        <v>1</v>
      </c>
      <c r="J911" s="5">
        <v>2</v>
      </c>
    </row>
    <row r="912" spans="1:10" x14ac:dyDescent="0.3">
      <c r="A912" s="5" t="s">
        <v>2504</v>
      </c>
      <c r="B912" s="5" t="s">
        <v>27</v>
      </c>
      <c r="C912" s="5" t="s">
        <v>37</v>
      </c>
      <c r="D912" s="5" t="s">
        <v>6598</v>
      </c>
      <c r="E912" s="5">
        <v>23</v>
      </c>
      <c r="F912" s="5">
        <v>20</v>
      </c>
      <c r="G912" s="5">
        <v>3</v>
      </c>
      <c r="H912" s="5">
        <v>3.61</v>
      </c>
      <c r="I912" s="5">
        <v>12</v>
      </c>
      <c r="J912" s="5">
        <v>11</v>
      </c>
    </row>
    <row r="913" spans="1:10" x14ac:dyDescent="0.3">
      <c r="A913" s="5" t="s">
        <v>2445</v>
      </c>
      <c r="B913" s="5" t="s">
        <v>27</v>
      </c>
      <c r="C913" s="5" t="s">
        <v>164</v>
      </c>
      <c r="D913" s="5" t="s">
        <v>6598</v>
      </c>
      <c r="E913" s="5">
        <v>12</v>
      </c>
      <c r="F913" s="5">
        <v>10</v>
      </c>
      <c r="G913" s="5">
        <v>2</v>
      </c>
      <c r="H913" s="5">
        <v>1.57</v>
      </c>
      <c r="I913" s="5">
        <v>7</v>
      </c>
      <c r="J913" s="5">
        <v>5</v>
      </c>
    </row>
    <row r="914" spans="1:10" x14ac:dyDescent="0.3">
      <c r="A914" s="5" t="s">
        <v>2445</v>
      </c>
      <c r="B914" s="5" t="s">
        <v>27</v>
      </c>
      <c r="C914" s="5" t="s">
        <v>164</v>
      </c>
      <c r="D914" s="5" t="s">
        <v>6598</v>
      </c>
      <c r="E914" s="5">
        <v>18</v>
      </c>
      <c r="F914" s="5">
        <v>17</v>
      </c>
      <c r="G914" s="5">
        <v>3</v>
      </c>
      <c r="H914" s="5">
        <v>10.8</v>
      </c>
      <c r="I914" s="5">
        <v>12</v>
      </c>
      <c r="J914" s="5">
        <v>6</v>
      </c>
    </row>
    <row r="915" spans="1:10" x14ac:dyDescent="0.3">
      <c r="A915" s="5" t="s">
        <v>2463</v>
      </c>
      <c r="B915" s="5" t="s">
        <v>27</v>
      </c>
      <c r="C915" s="5" t="s">
        <v>74</v>
      </c>
      <c r="D915" s="5" t="s">
        <v>6598</v>
      </c>
      <c r="E915" s="5">
        <v>16</v>
      </c>
      <c r="F915" s="5">
        <v>13</v>
      </c>
      <c r="G915" s="5">
        <v>4</v>
      </c>
      <c r="H915" s="5">
        <v>6.97</v>
      </c>
      <c r="I915" s="5">
        <v>8</v>
      </c>
      <c r="J915" s="5">
        <v>8</v>
      </c>
    </row>
    <row r="916" spans="1:10" x14ac:dyDescent="0.3">
      <c r="A916" s="5" t="s">
        <v>2463</v>
      </c>
      <c r="B916" s="5" t="s">
        <v>27</v>
      </c>
      <c r="C916" s="5" t="s">
        <v>74</v>
      </c>
      <c r="D916" s="5" t="s">
        <v>6598</v>
      </c>
      <c r="E916" s="5">
        <v>8</v>
      </c>
      <c r="F916" s="5">
        <v>7</v>
      </c>
      <c r="G916" s="5">
        <v>1</v>
      </c>
      <c r="H916" s="5">
        <v>10.47</v>
      </c>
      <c r="I916" s="5">
        <v>6</v>
      </c>
      <c r="J916" s="5">
        <v>2</v>
      </c>
    </row>
    <row r="917" spans="1:10" x14ac:dyDescent="0.3">
      <c r="A917" s="5" t="s">
        <v>2463</v>
      </c>
      <c r="B917" s="5" t="s">
        <v>27</v>
      </c>
      <c r="C917" s="5" t="s">
        <v>74</v>
      </c>
      <c r="D917" s="5" t="s">
        <v>6598</v>
      </c>
      <c r="E917" s="5">
        <v>3</v>
      </c>
      <c r="F917" s="5">
        <v>3</v>
      </c>
      <c r="G917" s="5">
        <v>4</v>
      </c>
      <c r="H917" s="5">
        <v>7.05</v>
      </c>
      <c r="I917" s="5">
        <v>1</v>
      </c>
      <c r="J917" s="5">
        <v>2</v>
      </c>
    </row>
    <row r="918" spans="1:10" x14ac:dyDescent="0.3">
      <c r="A918" s="5" t="s">
        <v>2463</v>
      </c>
      <c r="B918" s="5" t="s">
        <v>27</v>
      </c>
      <c r="C918" s="5" t="s">
        <v>74</v>
      </c>
      <c r="D918" s="5" t="s">
        <v>6598</v>
      </c>
      <c r="E918" s="5">
        <v>22</v>
      </c>
      <c r="F918" s="5">
        <v>20</v>
      </c>
      <c r="G918" s="5">
        <v>2</v>
      </c>
      <c r="H918" s="5">
        <v>3.24</v>
      </c>
      <c r="I918" s="5">
        <v>13</v>
      </c>
      <c r="J918" s="5">
        <v>9</v>
      </c>
    </row>
    <row r="919" spans="1:10" x14ac:dyDescent="0.3">
      <c r="A919" s="5" t="s">
        <v>2431</v>
      </c>
      <c r="B919" s="5" t="s">
        <v>16</v>
      </c>
      <c r="C919" s="5" t="s">
        <v>67</v>
      </c>
      <c r="D919" s="5" t="s">
        <v>6598</v>
      </c>
      <c r="E919" s="5">
        <v>23</v>
      </c>
      <c r="F919" s="5">
        <v>20</v>
      </c>
      <c r="G919" s="5">
        <v>2</v>
      </c>
      <c r="H919" s="5">
        <v>9.9499999999999993</v>
      </c>
      <c r="I919" s="5">
        <v>13</v>
      </c>
      <c r="J919" s="5">
        <v>10</v>
      </c>
    </row>
    <row r="920" spans="1:10" x14ac:dyDescent="0.3">
      <c r="A920" s="5" t="s">
        <v>2431</v>
      </c>
      <c r="B920" s="5" t="s">
        <v>16</v>
      </c>
      <c r="C920" s="5" t="s">
        <v>67</v>
      </c>
      <c r="D920" s="5" t="s">
        <v>6598</v>
      </c>
      <c r="E920" s="5">
        <v>12</v>
      </c>
      <c r="F920" s="5">
        <v>9</v>
      </c>
      <c r="G920" s="5">
        <v>3</v>
      </c>
      <c r="H920" s="5">
        <v>8.59</v>
      </c>
      <c r="I920" s="5">
        <v>8</v>
      </c>
      <c r="J920" s="5">
        <v>4</v>
      </c>
    </row>
    <row r="921" spans="1:10" x14ac:dyDescent="0.3">
      <c r="A921" s="5" t="s">
        <v>2518</v>
      </c>
      <c r="B921" s="5" t="s">
        <v>16</v>
      </c>
      <c r="C921" s="5" t="s">
        <v>164</v>
      </c>
      <c r="D921" s="5" t="s">
        <v>6598</v>
      </c>
      <c r="E921" s="5">
        <v>20</v>
      </c>
      <c r="F921" s="5">
        <v>19</v>
      </c>
      <c r="G921" s="5">
        <v>2</v>
      </c>
      <c r="H921" s="5">
        <v>4.1900000000000004</v>
      </c>
      <c r="I921" s="5">
        <v>10</v>
      </c>
      <c r="J921" s="5">
        <v>10</v>
      </c>
    </row>
    <row r="922" spans="1:10" x14ac:dyDescent="0.3">
      <c r="A922" s="5" t="s">
        <v>2518</v>
      </c>
      <c r="B922" s="5" t="s">
        <v>16</v>
      </c>
      <c r="C922" s="5" t="s">
        <v>164</v>
      </c>
      <c r="D922" s="5" t="s">
        <v>6598</v>
      </c>
      <c r="E922" s="5">
        <v>22</v>
      </c>
      <c r="F922" s="5">
        <v>19</v>
      </c>
      <c r="G922" s="5">
        <v>1</v>
      </c>
      <c r="H922" s="5">
        <v>10.34</v>
      </c>
      <c r="I922" s="5">
        <v>15</v>
      </c>
      <c r="J922" s="5">
        <v>7</v>
      </c>
    </row>
    <row r="923" spans="1:10" x14ac:dyDescent="0.3">
      <c r="A923" s="5" t="s">
        <v>2518</v>
      </c>
      <c r="B923" s="5" t="s">
        <v>16</v>
      </c>
      <c r="C923" s="5" t="s">
        <v>164</v>
      </c>
      <c r="D923" s="5" t="s">
        <v>6598</v>
      </c>
      <c r="E923" s="5">
        <v>20</v>
      </c>
      <c r="F923" s="5">
        <v>18</v>
      </c>
      <c r="G923" s="5">
        <v>1</v>
      </c>
      <c r="H923" s="5">
        <v>6.5</v>
      </c>
      <c r="I923" s="5">
        <v>11</v>
      </c>
      <c r="J923" s="5">
        <v>9</v>
      </c>
    </row>
    <row r="924" spans="1:10" x14ac:dyDescent="0.3">
      <c r="A924" s="5" t="s">
        <v>2518</v>
      </c>
      <c r="B924" s="5" t="s">
        <v>16</v>
      </c>
      <c r="C924" s="5" t="s">
        <v>164</v>
      </c>
      <c r="D924" s="5" t="s">
        <v>6598</v>
      </c>
      <c r="E924" s="5">
        <v>21</v>
      </c>
      <c r="F924" s="5">
        <v>20</v>
      </c>
      <c r="G924" s="5">
        <v>1</v>
      </c>
      <c r="H924" s="5">
        <v>10.99</v>
      </c>
      <c r="I924" s="5">
        <v>15</v>
      </c>
      <c r="J924" s="5">
        <v>6</v>
      </c>
    </row>
    <row r="925" spans="1:10" x14ac:dyDescent="0.3">
      <c r="A925" s="5" t="s">
        <v>2415</v>
      </c>
      <c r="B925" s="5" t="s">
        <v>189</v>
      </c>
      <c r="C925" s="5" t="s">
        <v>17</v>
      </c>
      <c r="D925" s="5" t="s">
        <v>6597</v>
      </c>
      <c r="E925" s="5">
        <v>14</v>
      </c>
      <c r="F925" s="5">
        <v>12</v>
      </c>
      <c r="G925" s="5">
        <v>4</v>
      </c>
      <c r="H925" s="5">
        <v>9.49</v>
      </c>
      <c r="I925" s="5">
        <v>8</v>
      </c>
      <c r="J925" s="5">
        <v>6</v>
      </c>
    </row>
    <row r="926" spans="1:10" x14ac:dyDescent="0.3">
      <c r="A926" s="5" t="s">
        <v>2415</v>
      </c>
      <c r="B926" s="5" t="s">
        <v>189</v>
      </c>
      <c r="C926" s="5" t="s">
        <v>17</v>
      </c>
      <c r="D926" s="5" t="s">
        <v>6597</v>
      </c>
      <c r="E926" s="5">
        <v>9</v>
      </c>
      <c r="F926" s="5">
        <v>8</v>
      </c>
      <c r="G926" s="5">
        <v>1</v>
      </c>
      <c r="H926" s="5">
        <v>9.7100000000000009</v>
      </c>
      <c r="I926" s="5">
        <v>6</v>
      </c>
      <c r="J926" s="5">
        <v>3</v>
      </c>
    </row>
    <row r="927" spans="1:10" x14ac:dyDescent="0.3">
      <c r="A927" s="5" t="s">
        <v>2434</v>
      </c>
      <c r="B927" s="5" t="s">
        <v>16</v>
      </c>
      <c r="C927" s="5" t="s">
        <v>108</v>
      </c>
      <c r="D927" s="5" t="s">
        <v>6597</v>
      </c>
      <c r="E927" s="5">
        <v>9</v>
      </c>
      <c r="F927" s="5">
        <v>8</v>
      </c>
      <c r="G927" s="5">
        <v>2</v>
      </c>
      <c r="H927" s="5">
        <v>9.2799999999999994</v>
      </c>
      <c r="I927" s="5">
        <v>7</v>
      </c>
      <c r="J927" s="5">
        <v>2</v>
      </c>
    </row>
    <row r="928" spans="1:10" x14ac:dyDescent="0.3">
      <c r="A928" s="5" t="s">
        <v>2469</v>
      </c>
      <c r="B928" s="5" t="s">
        <v>16</v>
      </c>
      <c r="C928" s="5" t="s">
        <v>99</v>
      </c>
      <c r="D928" s="5" t="s">
        <v>6597</v>
      </c>
      <c r="E928" s="5">
        <v>24</v>
      </c>
      <c r="F928" s="5">
        <v>24</v>
      </c>
      <c r="G928" s="5">
        <v>3</v>
      </c>
      <c r="H928" s="5">
        <v>4.6399999999999997</v>
      </c>
      <c r="I928" s="5">
        <v>18</v>
      </c>
      <c r="J928" s="5">
        <v>6</v>
      </c>
    </row>
    <row r="929" spans="1:10" x14ac:dyDescent="0.3">
      <c r="A929" s="5" t="s">
        <v>2536</v>
      </c>
      <c r="B929" s="5" t="s">
        <v>36</v>
      </c>
      <c r="C929" s="5" t="s">
        <v>99</v>
      </c>
      <c r="D929" s="5" t="s">
        <v>6597</v>
      </c>
      <c r="E929" s="5">
        <v>5</v>
      </c>
      <c r="F929" s="5">
        <v>3</v>
      </c>
      <c r="G929" s="5">
        <v>2</v>
      </c>
      <c r="H929" s="5">
        <v>3.34</v>
      </c>
      <c r="I929" s="5">
        <v>2</v>
      </c>
      <c r="J929" s="5">
        <v>3</v>
      </c>
    </row>
    <row r="930" spans="1:10" x14ac:dyDescent="0.3">
      <c r="A930" s="5" t="s">
        <v>2532</v>
      </c>
      <c r="B930" s="5" t="s">
        <v>36</v>
      </c>
      <c r="C930" s="5" t="s">
        <v>67</v>
      </c>
      <c r="D930" s="5" t="s">
        <v>6597</v>
      </c>
      <c r="E930" s="5">
        <v>16</v>
      </c>
      <c r="F930" s="5">
        <v>15</v>
      </c>
      <c r="G930" s="5">
        <v>4</v>
      </c>
      <c r="H930" s="5">
        <v>7.15</v>
      </c>
      <c r="I930" s="5">
        <v>9</v>
      </c>
      <c r="J930" s="5">
        <v>7</v>
      </c>
    </row>
    <row r="931" spans="1:10" x14ac:dyDescent="0.3">
      <c r="A931" s="5" t="s">
        <v>2532</v>
      </c>
      <c r="B931" s="5" t="s">
        <v>36</v>
      </c>
      <c r="C931" s="5" t="s">
        <v>67</v>
      </c>
      <c r="D931" s="5" t="s">
        <v>6597</v>
      </c>
      <c r="E931" s="5">
        <v>20</v>
      </c>
      <c r="F931" s="5">
        <v>17</v>
      </c>
      <c r="G931" s="5">
        <v>3</v>
      </c>
      <c r="H931" s="5">
        <v>5.69</v>
      </c>
      <c r="I931" s="5">
        <v>16</v>
      </c>
      <c r="J931" s="5">
        <v>4</v>
      </c>
    </row>
    <row r="932" spans="1:10" x14ac:dyDescent="0.3">
      <c r="A932" s="5" t="s">
        <v>2532</v>
      </c>
      <c r="B932" s="5" t="s">
        <v>36</v>
      </c>
      <c r="C932" s="5" t="s">
        <v>67</v>
      </c>
      <c r="D932" s="5" t="s">
        <v>6597</v>
      </c>
      <c r="E932" s="5">
        <v>10</v>
      </c>
      <c r="F932" s="5">
        <v>7</v>
      </c>
      <c r="G932" s="5">
        <v>2</v>
      </c>
      <c r="H932" s="5">
        <v>4.0599999999999996</v>
      </c>
      <c r="I932" s="5">
        <v>5</v>
      </c>
      <c r="J932" s="5">
        <v>5</v>
      </c>
    </row>
    <row r="933" spans="1:10" x14ac:dyDescent="0.3">
      <c r="A933" s="5" t="s">
        <v>2490</v>
      </c>
      <c r="B933" s="5" t="s">
        <v>36</v>
      </c>
      <c r="C933" s="5" t="s">
        <v>28</v>
      </c>
      <c r="D933" s="5" t="s">
        <v>6597</v>
      </c>
      <c r="E933" s="5">
        <v>18</v>
      </c>
      <c r="F933" s="5">
        <v>17</v>
      </c>
      <c r="G933" s="5">
        <v>3</v>
      </c>
      <c r="H933" s="5">
        <v>6.13</v>
      </c>
      <c r="I933" s="5">
        <v>14</v>
      </c>
      <c r="J933" s="5">
        <v>4</v>
      </c>
    </row>
    <row r="934" spans="1:10" x14ac:dyDescent="0.3">
      <c r="A934" s="5" t="s">
        <v>2490</v>
      </c>
      <c r="B934" s="5" t="s">
        <v>36</v>
      </c>
      <c r="C934" s="5" t="s">
        <v>28</v>
      </c>
      <c r="D934" s="5" t="s">
        <v>6597</v>
      </c>
      <c r="E934" s="5">
        <v>6</v>
      </c>
      <c r="F934" s="5">
        <v>3</v>
      </c>
      <c r="G934" s="5">
        <v>4</v>
      </c>
      <c r="H934" s="5">
        <v>2.88</v>
      </c>
      <c r="I934" s="5">
        <v>3</v>
      </c>
      <c r="J934" s="5">
        <v>3</v>
      </c>
    </row>
    <row r="935" spans="1:10" x14ac:dyDescent="0.3">
      <c r="A935" s="5" t="s">
        <v>2561</v>
      </c>
      <c r="B935" s="5" t="s">
        <v>36</v>
      </c>
      <c r="C935" s="5" t="s">
        <v>74</v>
      </c>
      <c r="D935" s="5" t="s">
        <v>6597</v>
      </c>
      <c r="E935" s="5">
        <v>9</v>
      </c>
      <c r="F935" s="5">
        <v>9</v>
      </c>
      <c r="G935" s="5">
        <v>2</v>
      </c>
      <c r="H935" s="5">
        <v>11.86</v>
      </c>
      <c r="I935" s="5">
        <v>4</v>
      </c>
      <c r="J935" s="5">
        <v>5</v>
      </c>
    </row>
    <row r="936" spans="1:10" x14ac:dyDescent="0.3">
      <c r="A936" s="5" t="s">
        <v>2561</v>
      </c>
      <c r="B936" s="5" t="s">
        <v>36</v>
      </c>
      <c r="C936" s="5" t="s">
        <v>74</v>
      </c>
      <c r="D936" s="5" t="s">
        <v>6597</v>
      </c>
      <c r="E936" s="5">
        <v>4</v>
      </c>
      <c r="F936" s="5">
        <v>4</v>
      </c>
      <c r="G936" s="5">
        <v>3</v>
      </c>
      <c r="H936" s="5">
        <v>8.76</v>
      </c>
      <c r="I936" s="5">
        <v>3</v>
      </c>
      <c r="J936" s="5">
        <v>1</v>
      </c>
    </row>
    <row r="937" spans="1:10" x14ac:dyDescent="0.3">
      <c r="A937" s="5" t="s">
        <v>2561</v>
      </c>
      <c r="B937" s="5" t="s">
        <v>36</v>
      </c>
      <c r="C937" s="5" t="s">
        <v>74</v>
      </c>
      <c r="D937" s="5" t="s">
        <v>6597</v>
      </c>
      <c r="E937" s="5">
        <v>14</v>
      </c>
      <c r="F937" s="5">
        <v>11</v>
      </c>
      <c r="G937" s="5">
        <v>2</v>
      </c>
      <c r="H937" s="5">
        <v>7.49</v>
      </c>
      <c r="I937" s="5">
        <v>11</v>
      </c>
      <c r="J937" s="5">
        <v>3</v>
      </c>
    </row>
    <row r="938" spans="1:10" x14ac:dyDescent="0.3">
      <c r="A938" s="5" t="s">
        <v>2407</v>
      </c>
      <c r="B938" s="5" t="s">
        <v>66</v>
      </c>
      <c r="C938" s="5" t="s">
        <v>93</v>
      </c>
      <c r="D938" s="5" t="s">
        <v>6597</v>
      </c>
      <c r="E938" s="5">
        <v>24</v>
      </c>
      <c r="F938" s="5">
        <v>23</v>
      </c>
      <c r="G938" s="5">
        <v>1</v>
      </c>
      <c r="H938" s="5">
        <v>11.93</v>
      </c>
      <c r="I938" s="5">
        <v>16</v>
      </c>
      <c r="J938" s="5">
        <v>8</v>
      </c>
    </row>
    <row r="939" spans="1:10" x14ac:dyDescent="0.3">
      <c r="A939" s="5" t="s">
        <v>2407</v>
      </c>
      <c r="B939" s="5" t="s">
        <v>66</v>
      </c>
      <c r="C939" s="5" t="s">
        <v>93</v>
      </c>
      <c r="D939" s="5" t="s">
        <v>6597</v>
      </c>
      <c r="E939" s="5">
        <v>4</v>
      </c>
      <c r="F939" s="5">
        <v>3</v>
      </c>
      <c r="G939" s="5">
        <v>1</v>
      </c>
      <c r="H939" s="5">
        <v>11.9</v>
      </c>
      <c r="I939" s="5">
        <v>2</v>
      </c>
      <c r="J939" s="5">
        <v>2</v>
      </c>
    </row>
    <row r="940" spans="1:10" x14ac:dyDescent="0.3">
      <c r="A940" s="5" t="s">
        <v>2466</v>
      </c>
      <c r="B940" s="5" t="s">
        <v>66</v>
      </c>
      <c r="C940" s="5" t="s">
        <v>67</v>
      </c>
      <c r="D940" s="5" t="s">
        <v>6597</v>
      </c>
      <c r="E940" s="5">
        <v>24</v>
      </c>
      <c r="F940" s="5">
        <v>23</v>
      </c>
      <c r="G940" s="5">
        <v>3</v>
      </c>
      <c r="H940" s="5">
        <v>5.33</v>
      </c>
      <c r="I940" s="5">
        <v>15</v>
      </c>
      <c r="J940" s="5">
        <v>9</v>
      </c>
    </row>
    <row r="941" spans="1:10" x14ac:dyDescent="0.3">
      <c r="A941" s="5" t="s">
        <v>2466</v>
      </c>
      <c r="B941" s="5" t="s">
        <v>66</v>
      </c>
      <c r="C941" s="5" t="s">
        <v>67</v>
      </c>
      <c r="D941" s="5" t="s">
        <v>6597</v>
      </c>
      <c r="E941" s="5">
        <v>19</v>
      </c>
      <c r="F941" s="5">
        <v>16</v>
      </c>
      <c r="G941" s="5">
        <v>1</v>
      </c>
      <c r="H941" s="5">
        <v>9.59</v>
      </c>
      <c r="I941" s="5">
        <v>11</v>
      </c>
      <c r="J941" s="5">
        <v>8</v>
      </c>
    </row>
    <row r="942" spans="1:10" x14ac:dyDescent="0.3">
      <c r="A942" s="5" t="s">
        <v>2521</v>
      </c>
      <c r="B942" s="5" t="s">
        <v>66</v>
      </c>
      <c r="C942" s="5" t="s">
        <v>99</v>
      </c>
      <c r="D942" s="5" t="s">
        <v>6597</v>
      </c>
      <c r="E942" s="5">
        <v>4</v>
      </c>
      <c r="F942" s="5">
        <v>1</v>
      </c>
      <c r="G942" s="5">
        <v>3</v>
      </c>
      <c r="H942" s="5">
        <v>4.58</v>
      </c>
      <c r="I942" s="5">
        <v>2</v>
      </c>
      <c r="J942" s="5">
        <v>2</v>
      </c>
    </row>
    <row r="943" spans="1:10" x14ac:dyDescent="0.3">
      <c r="A943" s="5" t="s">
        <v>2521</v>
      </c>
      <c r="B943" s="5" t="s">
        <v>66</v>
      </c>
      <c r="C943" s="5" t="s">
        <v>99</v>
      </c>
      <c r="D943" s="5" t="s">
        <v>6597</v>
      </c>
      <c r="E943" s="5">
        <v>13</v>
      </c>
      <c r="F943" s="5">
        <v>10</v>
      </c>
      <c r="G943" s="5">
        <v>4</v>
      </c>
      <c r="H943" s="5">
        <v>3.34</v>
      </c>
      <c r="I943" s="5">
        <v>6</v>
      </c>
      <c r="J943" s="5">
        <v>7</v>
      </c>
    </row>
    <row r="944" spans="1:10" x14ac:dyDescent="0.3">
      <c r="A944" s="5" t="s">
        <v>2411</v>
      </c>
      <c r="B944" s="5" t="s">
        <v>55</v>
      </c>
      <c r="C944" s="5" t="s">
        <v>108</v>
      </c>
      <c r="D944" s="5" t="s">
        <v>6597</v>
      </c>
      <c r="E944" s="5">
        <v>17</v>
      </c>
      <c r="F944" s="5">
        <v>17</v>
      </c>
      <c r="G944" s="5">
        <v>2</v>
      </c>
      <c r="H944" s="5">
        <v>5.25</v>
      </c>
      <c r="I944" s="5">
        <v>11</v>
      </c>
      <c r="J944" s="5">
        <v>6</v>
      </c>
    </row>
    <row r="945" spans="1:10" x14ac:dyDescent="0.3">
      <c r="A945" s="5" t="s">
        <v>2411</v>
      </c>
      <c r="B945" s="5" t="s">
        <v>55</v>
      </c>
      <c r="C945" s="5" t="s">
        <v>108</v>
      </c>
      <c r="D945" s="5" t="s">
        <v>6597</v>
      </c>
      <c r="E945" s="5">
        <v>3</v>
      </c>
      <c r="F945" s="5">
        <v>1</v>
      </c>
      <c r="G945" s="5">
        <v>4</v>
      </c>
      <c r="H945" s="5">
        <v>3.27</v>
      </c>
      <c r="I945" s="5">
        <v>1</v>
      </c>
      <c r="J945" s="5">
        <v>2</v>
      </c>
    </row>
    <row r="946" spans="1:10" x14ac:dyDescent="0.3">
      <c r="A946" s="5" t="s">
        <v>2459</v>
      </c>
      <c r="B946" s="5" t="s">
        <v>189</v>
      </c>
      <c r="C946" s="5" t="s">
        <v>67</v>
      </c>
      <c r="D946" s="5" t="s">
        <v>6597</v>
      </c>
      <c r="E946" s="5">
        <v>21</v>
      </c>
      <c r="F946" s="5">
        <v>21</v>
      </c>
      <c r="G946" s="5">
        <v>3</v>
      </c>
      <c r="H946" s="5">
        <v>9</v>
      </c>
      <c r="I946" s="5">
        <v>13</v>
      </c>
      <c r="J946" s="5">
        <v>8</v>
      </c>
    </row>
    <row r="947" spans="1:10" x14ac:dyDescent="0.3">
      <c r="A947" s="5" t="s">
        <v>2459</v>
      </c>
      <c r="B947" s="5" t="s">
        <v>189</v>
      </c>
      <c r="C947" s="5" t="s">
        <v>67</v>
      </c>
      <c r="D947" s="5" t="s">
        <v>6597</v>
      </c>
      <c r="E947" s="5">
        <v>6</v>
      </c>
      <c r="F947" s="5">
        <v>6</v>
      </c>
      <c r="G947" s="5">
        <v>3</v>
      </c>
      <c r="H947" s="5">
        <v>3.49</v>
      </c>
      <c r="I947" s="5">
        <v>3</v>
      </c>
      <c r="J947" s="5">
        <v>3</v>
      </c>
    </row>
    <row r="948" spans="1:10" x14ac:dyDescent="0.3">
      <c r="A948" s="5" t="s">
        <v>2459</v>
      </c>
      <c r="B948" s="5" t="s">
        <v>189</v>
      </c>
      <c r="C948" s="5" t="s">
        <v>67</v>
      </c>
      <c r="D948" s="5" t="s">
        <v>6597</v>
      </c>
      <c r="E948" s="5">
        <v>9</v>
      </c>
      <c r="F948" s="5">
        <v>6</v>
      </c>
      <c r="G948" s="5">
        <v>4</v>
      </c>
      <c r="H948" s="5">
        <v>6.59</v>
      </c>
      <c r="I948" s="5">
        <v>7</v>
      </c>
      <c r="J948" s="5">
        <v>2</v>
      </c>
    </row>
    <row r="949" spans="1:10" x14ac:dyDescent="0.3">
      <c r="A949" s="5" t="s">
        <v>2629</v>
      </c>
      <c r="B949" s="5" t="s">
        <v>55</v>
      </c>
      <c r="C949" s="5" t="s">
        <v>164</v>
      </c>
      <c r="D949" s="5" t="s">
        <v>6597</v>
      </c>
      <c r="E949" s="5">
        <v>6</v>
      </c>
      <c r="F949" s="5">
        <v>3</v>
      </c>
      <c r="G949" s="5">
        <v>3</v>
      </c>
      <c r="H949" s="5">
        <v>8.5399999999999991</v>
      </c>
      <c r="I949" s="5">
        <v>4</v>
      </c>
      <c r="J949" s="5">
        <v>2</v>
      </c>
    </row>
    <row r="950" spans="1:10" x14ac:dyDescent="0.3">
      <c r="A950" s="5" t="s">
        <v>2629</v>
      </c>
      <c r="B950" s="5" t="s">
        <v>55</v>
      </c>
      <c r="C950" s="5" t="s">
        <v>164</v>
      </c>
      <c r="D950" s="5" t="s">
        <v>6597</v>
      </c>
      <c r="E950" s="5">
        <v>8</v>
      </c>
      <c r="F950" s="5">
        <v>8</v>
      </c>
      <c r="G950" s="5">
        <v>2</v>
      </c>
      <c r="H950" s="5">
        <v>7.02</v>
      </c>
      <c r="I950" s="5">
        <v>4</v>
      </c>
      <c r="J950" s="5">
        <v>4</v>
      </c>
    </row>
    <row r="951" spans="1:10" x14ac:dyDescent="0.3">
      <c r="A951" s="5" t="s">
        <v>2422</v>
      </c>
      <c r="B951" s="5" t="s">
        <v>55</v>
      </c>
      <c r="C951" s="5" t="s">
        <v>28</v>
      </c>
      <c r="D951" s="5" t="s">
        <v>6597</v>
      </c>
      <c r="E951" s="5">
        <v>16</v>
      </c>
      <c r="F951" s="5">
        <v>14</v>
      </c>
      <c r="G951" s="5">
        <v>3</v>
      </c>
      <c r="H951" s="5">
        <v>5.16</v>
      </c>
      <c r="I951" s="5">
        <v>9</v>
      </c>
      <c r="J951" s="5">
        <v>7</v>
      </c>
    </row>
    <row r="952" spans="1:10" x14ac:dyDescent="0.3">
      <c r="A952" s="5" t="s">
        <v>2422</v>
      </c>
      <c r="B952" s="5" t="s">
        <v>55</v>
      </c>
      <c r="C952" s="5" t="s">
        <v>28</v>
      </c>
      <c r="D952" s="5" t="s">
        <v>6597</v>
      </c>
      <c r="E952" s="5">
        <v>13</v>
      </c>
      <c r="F952" s="5">
        <v>13</v>
      </c>
      <c r="G952" s="5">
        <v>3</v>
      </c>
      <c r="H952" s="5">
        <v>1.54</v>
      </c>
      <c r="I952" s="5">
        <v>9</v>
      </c>
      <c r="J952" s="5">
        <v>4</v>
      </c>
    </row>
    <row r="953" spans="1:10" x14ac:dyDescent="0.3">
      <c r="A953" s="5" t="s">
        <v>2422</v>
      </c>
      <c r="B953" s="5" t="s">
        <v>55</v>
      </c>
      <c r="C953" s="5" t="s">
        <v>28</v>
      </c>
      <c r="D953" s="5" t="s">
        <v>6597</v>
      </c>
      <c r="E953" s="5">
        <v>9</v>
      </c>
      <c r="F953" s="5">
        <v>8</v>
      </c>
      <c r="G953" s="5">
        <v>4</v>
      </c>
      <c r="H953" s="5">
        <v>2.1800000000000002</v>
      </c>
      <c r="I953" s="5">
        <v>6</v>
      </c>
      <c r="J953" s="5">
        <v>3</v>
      </c>
    </row>
    <row r="954" spans="1:10" x14ac:dyDescent="0.3">
      <c r="A954" s="5" t="s">
        <v>2438</v>
      </c>
      <c r="B954" s="5" t="s">
        <v>55</v>
      </c>
      <c r="C954" s="5" t="s">
        <v>74</v>
      </c>
      <c r="D954" s="5" t="s">
        <v>6597</v>
      </c>
      <c r="E954" s="5">
        <v>5</v>
      </c>
      <c r="F954" s="5">
        <v>5</v>
      </c>
      <c r="G954" s="5">
        <v>1</v>
      </c>
      <c r="H954" s="5">
        <v>11.32</v>
      </c>
      <c r="I954" s="5">
        <v>3</v>
      </c>
      <c r="J954" s="5">
        <v>2</v>
      </c>
    </row>
    <row r="955" spans="1:10" x14ac:dyDescent="0.3">
      <c r="A955" s="5" t="s">
        <v>2438</v>
      </c>
      <c r="B955" s="5" t="s">
        <v>55</v>
      </c>
      <c r="C955" s="5" t="s">
        <v>74</v>
      </c>
      <c r="D955" s="5" t="s">
        <v>6597</v>
      </c>
      <c r="E955" s="5">
        <v>16</v>
      </c>
      <c r="F955" s="5">
        <v>16</v>
      </c>
      <c r="G955" s="5">
        <v>3</v>
      </c>
      <c r="H955" s="5">
        <v>6.35</v>
      </c>
      <c r="I955" s="5">
        <v>10</v>
      </c>
      <c r="J955" s="5">
        <v>6</v>
      </c>
    </row>
    <row r="956" spans="1:10" x14ac:dyDescent="0.3">
      <c r="A956" s="5" t="s">
        <v>2427</v>
      </c>
      <c r="B956" s="5" t="s">
        <v>55</v>
      </c>
      <c r="C956" s="5" t="s">
        <v>93</v>
      </c>
      <c r="D956" s="5" t="s">
        <v>6597</v>
      </c>
      <c r="E956" s="5">
        <v>13</v>
      </c>
      <c r="F956" s="5">
        <v>11</v>
      </c>
      <c r="G956" s="5">
        <v>2</v>
      </c>
      <c r="H956" s="5">
        <v>6.06</v>
      </c>
      <c r="I956" s="5">
        <v>10</v>
      </c>
      <c r="J956" s="5">
        <v>3</v>
      </c>
    </row>
    <row r="957" spans="1:10" x14ac:dyDescent="0.3">
      <c r="A957" s="5" t="s">
        <v>2485</v>
      </c>
      <c r="B957" s="5" t="s">
        <v>61</v>
      </c>
      <c r="C957" s="5" t="s">
        <v>99</v>
      </c>
      <c r="D957" s="5" t="s">
        <v>6597</v>
      </c>
      <c r="E957" s="5">
        <v>11</v>
      </c>
      <c r="F957" s="5">
        <v>11</v>
      </c>
      <c r="G957" s="5">
        <v>4</v>
      </c>
      <c r="H957" s="5">
        <v>2.2400000000000002</v>
      </c>
      <c r="I957" s="5">
        <v>8</v>
      </c>
      <c r="J957" s="5">
        <v>3</v>
      </c>
    </row>
    <row r="958" spans="1:10" x14ac:dyDescent="0.3">
      <c r="A958" s="5" t="s">
        <v>2449</v>
      </c>
      <c r="B958" s="5" t="s">
        <v>61</v>
      </c>
      <c r="C958" s="5" t="s">
        <v>108</v>
      </c>
      <c r="D958" s="5" t="s">
        <v>6597</v>
      </c>
      <c r="E958" s="5">
        <v>23</v>
      </c>
      <c r="F958" s="5">
        <v>20</v>
      </c>
      <c r="G958" s="5">
        <v>3</v>
      </c>
      <c r="H958" s="5">
        <v>7.67</v>
      </c>
      <c r="I958" s="5">
        <v>18</v>
      </c>
      <c r="J958" s="5">
        <v>5</v>
      </c>
    </row>
    <row r="959" spans="1:10" x14ac:dyDescent="0.3">
      <c r="A959" s="5" t="s">
        <v>2577</v>
      </c>
      <c r="B959" s="5" t="s">
        <v>61</v>
      </c>
      <c r="C959" s="5" t="s">
        <v>67</v>
      </c>
      <c r="D959" s="5" t="s">
        <v>6597</v>
      </c>
      <c r="E959" s="5">
        <v>18</v>
      </c>
      <c r="F959" s="5">
        <v>18</v>
      </c>
      <c r="G959" s="5">
        <v>1</v>
      </c>
      <c r="H959" s="5">
        <v>4.04</v>
      </c>
      <c r="I959" s="5">
        <v>11</v>
      </c>
      <c r="J959" s="5">
        <v>7</v>
      </c>
    </row>
    <row r="960" spans="1:10" x14ac:dyDescent="0.3">
      <c r="A960" s="5" t="s">
        <v>2577</v>
      </c>
      <c r="B960" s="5" t="s">
        <v>61</v>
      </c>
      <c r="C960" s="5" t="s">
        <v>67</v>
      </c>
      <c r="D960" s="5" t="s">
        <v>6597</v>
      </c>
      <c r="E960" s="5">
        <v>20</v>
      </c>
      <c r="F960" s="5">
        <v>19</v>
      </c>
      <c r="G960" s="5">
        <v>3</v>
      </c>
      <c r="H960" s="5">
        <v>1.69</v>
      </c>
      <c r="I960" s="5">
        <v>16</v>
      </c>
      <c r="J960" s="5">
        <v>4</v>
      </c>
    </row>
    <row r="961" spans="1:10" x14ac:dyDescent="0.3">
      <c r="A961" s="5" t="s">
        <v>2577</v>
      </c>
      <c r="B961" s="5" t="s">
        <v>61</v>
      </c>
      <c r="C961" s="5" t="s">
        <v>67</v>
      </c>
      <c r="D961" s="5" t="s">
        <v>6597</v>
      </c>
      <c r="E961" s="5">
        <v>20</v>
      </c>
      <c r="F961" s="5">
        <v>20</v>
      </c>
      <c r="G961" s="5">
        <v>2</v>
      </c>
      <c r="H961" s="5">
        <v>6.89</v>
      </c>
      <c r="I961" s="5">
        <v>15</v>
      </c>
      <c r="J961" s="5">
        <v>5</v>
      </c>
    </row>
    <row r="962" spans="1:10" x14ac:dyDescent="0.3">
      <c r="A962" s="5" t="s">
        <v>2577</v>
      </c>
      <c r="B962" s="5" t="s">
        <v>61</v>
      </c>
      <c r="C962" s="5" t="s">
        <v>67</v>
      </c>
      <c r="D962" s="5" t="s">
        <v>6597</v>
      </c>
      <c r="E962" s="5">
        <v>9</v>
      </c>
      <c r="F962" s="5">
        <v>8</v>
      </c>
      <c r="G962" s="5">
        <v>4</v>
      </c>
      <c r="H962" s="5">
        <v>8.5399999999999991</v>
      </c>
      <c r="I962" s="5">
        <v>4</v>
      </c>
      <c r="J962" s="5">
        <v>5</v>
      </c>
    </row>
    <row r="963" spans="1:10" x14ac:dyDescent="0.3">
      <c r="A963" s="5" t="s">
        <v>2454</v>
      </c>
      <c r="B963" s="5" t="s">
        <v>61</v>
      </c>
      <c r="C963" s="5" t="s">
        <v>17</v>
      </c>
      <c r="D963" s="5" t="s">
        <v>6597</v>
      </c>
      <c r="E963" s="5">
        <v>14</v>
      </c>
      <c r="F963" s="5">
        <v>14</v>
      </c>
      <c r="G963" s="5">
        <v>1</v>
      </c>
      <c r="H963" s="5">
        <v>6.76</v>
      </c>
      <c r="I963" s="5">
        <v>9</v>
      </c>
      <c r="J963" s="5">
        <v>5</v>
      </c>
    </row>
    <row r="964" spans="1:10" x14ac:dyDescent="0.3">
      <c r="A964" s="5" t="s">
        <v>2454</v>
      </c>
      <c r="B964" s="5" t="s">
        <v>61</v>
      </c>
      <c r="C964" s="5" t="s">
        <v>17</v>
      </c>
      <c r="D964" s="5" t="s">
        <v>6597</v>
      </c>
      <c r="E964" s="5">
        <v>7</v>
      </c>
      <c r="F964" s="5">
        <v>4</v>
      </c>
      <c r="G964" s="5">
        <v>2</v>
      </c>
      <c r="H964" s="5">
        <v>5.39</v>
      </c>
      <c r="I964" s="5">
        <v>4</v>
      </c>
      <c r="J964" s="5">
        <v>3</v>
      </c>
    </row>
    <row r="965" spans="1:10" x14ac:dyDescent="0.3">
      <c r="A965" s="5" t="s">
        <v>2454</v>
      </c>
      <c r="B965" s="5" t="s">
        <v>61</v>
      </c>
      <c r="C965" s="5" t="s">
        <v>17</v>
      </c>
      <c r="D965" s="5" t="s">
        <v>6597</v>
      </c>
      <c r="E965" s="5">
        <v>18</v>
      </c>
      <c r="F965" s="5">
        <v>16</v>
      </c>
      <c r="G965" s="5">
        <v>1</v>
      </c>
      <c r="H965" s="5">
        <v>4.9000000000000004</v>
      </c>
      <c r="I965" s="5">
        <v>12</v>
      </c>
      <c r="J965" s="5">
        <v>6</v>
      </c>
    </row>
    <row r="966" spans="1:10" x14ac:dyDescent="0.3">
      <c r="A966" s="5" t="s">
        <v>2454</v>
      </c>
      <c r="B966" s="5" t="s">
        <v>61</v>
      </c>
      <c r="C966" s="5" t="s">
        <v>17</v>
      </c>
      <c r="D966" s="5" t="s">
        <v>6597</v>
      </c>
      <c r="E966" s="5">
        <v>17</v>
      </c>
      <c r="F966" s="5">
        <v>17</v>
      </c>
      <c r="G966" s="5">
        <v>4</v>
      </c>
      <c r="H966" s="5">
        <v>4.01</v>
      </c>
      <c r="I966" s="5">
        <v>9</v>
      </c>
      <c r="J966" s="5">
        <v>8</v>
      </c>
    </row>
    <row r="967" spans="1:10" x14ac:dyDescent="0.3">
      <c r="A967" s="5" t="s">
        <v>2481</v>
      </c>
      <c r="B967" s="5" t="s">
        <v>80</v>
      </c>
      <c r="C967" s="5" t="s">
        <v>37</v>
      </c>
      <c r="D967" s="5" t="s">
        <v>6597</v>
      </c>
      <c r="E967" s="5">
        <v>4</v>
      </c>
      <c r="F967" s="5">
        <v>3</v>
      </c>
      <c r="G967" s="5">
        <v>3</v>
      </c>
      <c r="H967" s="5">
        <v>6.14</v>
      </c>
      <c r="I967" s="5">
        <v>2</v>
      </c>
      <c r="J967" s="5">
        <v>2</v>
      </c>
    </row>
    <row r="968" spans="1:10" x14ac:dyDescent="0.3">
      <c r="A968" s="5" t="s">
        <v>2481</v>
      </c>
      <c r="B968" s="5" t="s">
        <v>80</v>
      </c>
      <c r="C968" s="5" t="s">
        <v>37</v>
      </c>
      <c r="D968" s="5" t="s">
        <v>6597</v>
      </c>
      <c r="E968" s="5">
        <v>9</v>
      </c>
      <c r="F968" s="5">
        <v>8</v>
      </c>
      <c r="G968" s="5">
        <v>2</v>
      </c>
      <c r="H968" s="5">
        <v>4.22</v>
      </c>
      <c r="I968" s="5">
        <v>6</v>
      </c>
      <c r="J968" s="5">
        <v>3</v>
      </c>
    </row>
    <row r="969" spans="1:10" x14ac:dyDescent="0.3">
      <c r="A969" s="5" t="s">
        <v>2481</v>
      </c>
      <c r="B969" s="5" t="s">
        <v>80</v>
      </c>
      <c r="C969" s="5" t="s">
        <v>37</v>
      </c>
      <c r="D969" s="5" t="s">
        <v>6597</v>
      </c>
      <c r="E969" s="5">
        <v>10</v>
      </c>
      <c r="F969" s="5">
        <v>9</v>
      </c>
      <c r="G969" s="5">
        <v>4</v>
      </c>
      <c r="H969" s="5">
        <v>10.210000000000001</v>
      </c>
      <c r="I969" s="5">
        <v>8</v>
      </c>
      <c r="J969" s="5">
        <v>2</v>
      </c>
    </row>
    <row r="970" spans="1:10" x14ac:dyDescent="0.3">
      <c r="A970" s="5" t="s">
        <v>2481</v>
      </c>
      <c r="B970" s="5" t="s">
        <v>80</v>
      </c>
      <c r="C970" s="5" t="s">
        <v>37</v>
      </c>
      <c r="D970" s="5" t="s">
        <v>6597</v>
      </c>
      <c r="E970" s="5">
        <v>5</v>
      </c>
      <c r="F970" s="5">
        <v>5</v>
      </c>
      <c r="G970" s="5">
        <v>4</v>
      </c>
      <c r="H970" s="5">
        <v>2.33</v>
      </c>
      <c r="I970" s="5">
        <v>3</v>
      </c>
      <c r="J970" s="5">
        <v>2</v>
      </c>
    </row>
    <row r="971" spans="1:10" x14ac:dyDescent="0.3">
      <c r="A971" s="5" t="s">
        <v>2473</v>
      </c>
      <c r="B971" s="5" t="s">
        <v>80</v>
      </c>
      <c r="C971" s="5" t="s">
        <v>93</v>
      </c>
      <c r="D971" s="5" t="s">
        <v>6597</v>
      </c>
      <c r="E971" s="5">
        <v>3</v>
      </c>
      <c r="F971" s="5">
        <v>2</v>
      </c>
      <c r="G971" s="5">
        <v>3</v>
      </c>
      <c r="H971" s="5">
        <v>7.61</v>
      </c>
      <c r="I971" s="5">
        <v>1</v>
      </c>
      <c r="J971" s="5">
        <v>2</v>
      </c>
    </row>
    <row r="972" spans="1:10" x14ac:dyDescent="0.3">
      <c r="A972" s="5" t="s">
        <v>2730</v>
      </c>
      <c r="B972" s="5" t="s">
        <v>189</v>
      </c>
      <c r="C972" s="5" t="s">
        <v>74</v>
      </c>
      <c r="D972" s="5" t="s">
        <v>6597</v>
      </c>
      <c r="E972" s="5">
        <v>12</v>
      </c>
      <c r="F972" s="5">
        <v>12</v>
      </c>
      <c r="G972" s="5">
        <v>3</v>
      </c>
      <c r="H972" s="5">
        <v>4.0999999999999996</v>
      </c>
      <c r="I972" s="5">
        <v>8</v>
      </c>
      <c r="J972" s="5">
        <v>4</v>
      </c>
    </row>
    <row r="973" spans="1:10" x14ac:dyDescent="0.3">
      <c r="A973" s="5" t="s">
        <v>2730</v>
      </c>
      <c r="B973" s="5" t="s">
        <v>189</v>
      </c>
      <c r="C973" s="5" t="s">
        <v>74</v>
      </c>
      <c r="D973" s="5" t="s">
        <v>6597</v>
      </c>
      <c r="E973" s="5">
        <v>10</v>
      </c>
      <c r="F973" s="5">
        <v>7</v>
      </c>
      <c r="G973" s="5">
        <v>2</v>
      </c>
      <c r="H973" s="5">
        <v>6.1</v>
      </c>
      <c r="I973" s="5">
        <v>8</v>
      </c>
      <c r="J973" s="5">
        <v>2</v>
      </c>
    </row>
    <row r="974" spans="1:10" x14ac:dyDescent="0.3">
      <c r="A974" s="5" t="s">
        <v>2514</v>
      </c>
      <c r="B974" s="5" t="s">
        <v>80</v>
      </c>
      <c r="C974" s="5" t="s">
        <v>47</v>
      </c>
      <c r="D974" s="5" t="s">
        <v>6597</v>
      </c>
      <c r="E974" s="5">
        <v>13</v>
      </c>
      <c r="F974" s="5">
        <v>12</v>
      </c>
      <c r="G974" s="5">
        <v>1</v>
      </c>
      <c r="H974" s="5">
        <v>11.17</v>
      </c>
      <c r="I974" s="5">
        <v>6</v>
      </c>
      <c r="J974" s="5">
        <v>7</v>
      </c>
    </row>
    <row r="975" spans="1:10" x14ac:dyDescent="0.3">
      <c r="A975" s="5" t="s">
        <v>2514</v>
      </c>
      <c r="B975" s="5" t="s">
        <v>80</v>
      </c>
      <c r="C975" s="5" t="s">
        <v>47</v>
      </c>
      <c r="D975" s="5" t="s">
        <v>6597</v>
      </c>
      <c r="E975" s="5">
        <v>22</v>
      </c>
      <c r="F975" s="5">
        <v>20</v>
      </c>
      <c r="G975" s="5">
        <v>3</v>
      </c>
      <c r="H975" s="5">
        <v>11.71</v>
      </c>
      <c r="I975" s="5">
        <v>16</v>
      </c>
      <c r="J975" s="5">
        <v>6</v>
      </c>
    </row>
    <row r="976" spans="1:10" x14ac:dyDescent="0.3">
      <c r="A976" s="5" t="s">
        <v>2494</v>
      </c>
      <c r="B976" s="5" t="s">
        <v>189</v>
      </c>
      <c r="C976" s="5" t="s">
        <v>99</v>
      </c>
      <c r="D976" s="5" t="s">
        <v>6597</v>
      </c>
      <c r="E976" s="5">
        <v>10</v>
      </c>
      <c r="F976" s="5">
        <v>8</v>
      </c>
      <c r="G976" s="5">
        <v>2</v>
      </c>
      <c r="H976" s="5">
        <v>1.66</v>
      </c>
      <c r="I976" s="5">
        <v>8</v>
      </c>
      <c r="J976" s="5">
        <v>2</v>
      </c>
    </row>
    <row r="977" spans="1:10" x14ac:dyDescent="0.3">
      <c r="A977" s="5" t="s">
        <v>2494</v>
      </c>
      <c r="B977" s="5" t="s">
        <v>189</v>
      </c>
      <c r="C977" s="5" t="s">
        <v>99</v>
      </c>
      <c r="D977" s="5" t="s">
        <v>6597</v>
      </c>
      <c r="E977" s="5">
        <v>4</v>
      </c>
      <c r="F977" s="5">
        <v>1</v>
      </c>
      <c r="G977" s="5">
        <v>1</v>
      </c>
      <c r="H977" s="5">
        <v>11.49</v>
      </c>
      <c r="I977" s="5">
        <v>2</v>
      </c>
      <c r="J977" s="5">
        <v>2</v>
      </c>
    </row>
    <row r="978" spans="1:10" x14ac:dyDescent="0.3">
      <c r="A978" s="5" t="s">
        <v>2494</v>
      </c>
      <c r="B978" s="5" t="s">
        <v>189</v>
      </c>
      <c r="C978" s="5" t="s">
        <v>99</v>
      </c>
      <c r="D978" s="5" t="s">
        <v>6597</v>
      </c>
      <c r="E978" s="5">
        <v>12</v>
      </c>
      <c r="F978" s="5">
        <v>11</v>
      </c>
      <c r="G978" s="5">
        <v>1</v>
      </c>
      <c r="H978" s="5">
        <v>9.84</v>
      </c>
      <c r="I978" s="5">
        <v>6</v>
      </c>
      <c r="J978" s="5">
        <v>6</v>
      </c>
    </row>
    <row r="979" spans="1:10" x14ac:dyDescent="0.3">
      <c r="A979" s="5" t="s">
        <v>2494</v>
      </c>
      <c r="B979" s="5" t="s">
        <v>189</v>
      </c>
      <c r="C979" s="5" t="s">
        <v>99</v>
      </c>
      <c r="D979" s="5" t="s">
        <v>6597</v>
      </c>
      <c r="E979" s="5">
        <v>24</v>
      </c>
      <c r="F979" s="5">
        <v>21</v>
      </c>
      <c r="G979" s="5">
        <v>4</v>
      </c>
      <c r="H979" s="5">
        <v>3.71</v>
      </c>
      <c r="I979" s="5">
        <v>12</v>
      </c>
      <c r="J979" s="5">
        <v>12</v>
      </c>
    </row>
    <row r="980" spans="1:10" x14ac:dyDescent="0.3">
      <c r="A980" s="5" t="s">
        <v>2504</v>
      </c>
      <c r="B980" s="5" t="s">
        <v>27</v>
      </c>
      <c r="C980" s="5" t="s">
        <v>37</v>
      </c>
      <c r="D980" s="5" t="s">
        <v>6597</v>
      </c>
      <c r="E980" s="5">
        <v>20</v>
      </c>
      <c r="F980" s="5">
        <v>17</v>
      </c>
      <c r="G980" s="5">
        <v>2</v>
      </c>
      <c r="H980" s="5">
        <v>9.7899999999999991</v>
      </c>
      <c r="I980" s="5">
        <v>14</v>
      </c>
      <c r="J980" s="5">
        <v>6</v>
      </c>
    </row>
    <row r="981" spans="1:10" x14ac:dyDescent="0.3">
      <c r="A981" s="5" t="s">
        <v>2504</v>
      </c>
      <c r="B981" s="5" t="s">
        <v>27</v>
      </c>
      <c r="C981" s="5" t="s">
        <v>37</v>
      </c>
      <c r="D981" s="5" t="s">
        <v>6597</v>
      </c>
      <c r="E981" s="5">
        <v>5</v>
      </c>
      <c r="F981" s="5">
        <v>2</v>
      </c>
      <c r="G981" s="5">
        <v>3</v>
      </c>
      <c r="H981" s="5">
        <v>4.76</v>
      </c>
      <c r="I981" s="5">
        <v>3</v>
      </c>
      <c r="J981" s="5">
        <v>2</v>
      </c>
    </row>
    <row r="982" spans="1:10" x14ac:dyDescent="0.3">
      <c r="A982" s="5" t="s">
        <v>2504</v>
      </c>
      <c r="B982" s="5" t="s">
        <v>27</v>
      </c>
      <c r="C982" s="5" t="s">
        <v>37</v>
      </c>
      <c r="D982" s="5" t="s">
        <v>6597</v>
      </c>
      <c r="E982" s="5">
        <v>14</v>
      </c>
      <c r="F982" s="5">
        <v>11</v>
      </c>
      <c r="G982" s="5">
        <v>1</v>
      </c>
      <c r="H982" s="5">
        <v>6.72</v>
      </c>
      <c r="I982" s="5">
        <v>7</v>
      </c>
      <c r="J982" s="5">
        <v>7</v>
      </c>
    </row>
    <row r="983" spans="1:10" x14ac:dyDescent="0.3">
      <c r="A983" s="5" t="s">
        <v>2504</v>
      </c>
      <c r="B983" s="5" t="s">
        <v>27</v>
      </c>
      <c r="C983" s="5" t="s">
        <v>37</v>
      </c>
      <c r="D983" s="5" t="s">
        <v>6597</v>
      </c>
      <c r="E983" s="5">
        <v>8</v>
      </c>
      <c r="F983" s="5">
        <v>6</v>
      </c>
      <c r="G983" s="5">
        <v>3</v>
      </c>
      <c r="H983" s="5">
        <v>2.5</v>
      </c>
      <c r="I983" s="5">
        <v>4</v>
      </c>
      <c r="J983" s="5">
        <v>4</v>
      </c>
    </row>
    <row r="984" spans="1:10" x14ac:dyDescent="0.3">
      <c r="A984" s="5" t="s">
        <v>2445</v>
      </c>
      <c r="B984" s="5" t="s">
        <v>27</v>
      </c>
      <c r="C984" s="5" t="s">
        <v>164</v>
      </c>
      <c r="D984" s="5" t="s">
        <v>6597</v>
      </c>
      <c r="E984" s="5">
        <v>4</v>
      </c>
      <c r="F984" s="5">
        <v>1</v>
      </c>
      <c r="G984" s="5">
        <v>1</v>
      </c>
      <c r="H984" s="5">
        <v>5.74</v>
      </c>
      <c r="I984" s="5">
        <v>3</v>
      </c>
      <c r="J984" s="5">
        <v>1</v>
      </c>
    </row>
    <row r="985" spans="1:10" x14ac:dyDescent="0.3">
      <c r="A985" s="5" t="s">
        <v>2445</v>
      </c>
      <c r="B985" s="5" t="s">
        <v>27</v>
      </c>
      <c r="C985" s="5" t="s">
        <v>164</v>
      </c>
      <c r="D985" s="5" t="s">
        <v>6597</v>
      </c>
      <c r="E985" s="5">
        <v>5</v>
      </c>
      <c r="F985" s="5">
        <v>2</v>
      </c>
      <c r="G985" s="5">
        <v>3</v>
      </c>
      <c r="H985" s="5">
        <v>4.28</v>
      </c>
      <c r="I985" s="5">
        <v>3</v>
      </c>
      <c r="J985" s="5">
        <v>2</v>
      </c>
    </row>
    <row r="986" spans="1:10" x14ac:dyDescent="0.3">
      <c r="A986" s="5" t="s">
        <v>2445</v>
      </c>
      <c r="B986" s="5" t="s">
        <v>27</v>
      </c>
      <c r="C986" s="5" t="s">
        <v>164</v>
      </c>
      <c r="D986" s="5" t="s">
        <v>6597</v>
      </c>
      <c r="E986" s="5">
        <v>14</v>
      </c>
      <c r="F986" s="5">
        <v>11</v>
      </c>
      <c r="G986" s="5">
        <v>1</v>
      </c>
      <c r="H986" s="5">
        <v>9.9499999999999993</v>
      </c>
      <c r="I986" s="5">
        <v>8</v>
      </c>
      <c r="J986" s="5">
        <v>6</v>
      </c>
    </row>
    <row r="987" spans="1:10" x14ac:dyDescent="0.3">
      <c r="A987" s="5" t="s">
        <v>2445</v>
      </c>
      <c r="B987" s="5" t="s">
        <v>27</v>
      </c>
      <c r="C987" s="5" t="s">
        <v>164</v>
      </c>
      <c r="D987" s="5" t="s">
        <v>6597</v>
      </c>
      <c r="E987" s="5">
        <v>4</v>
      </c>
      <c r="F987" s="5">
        <v>2</v>
      </c>
      <c r="G987" s="5">
        <v>1</v>
      </c>
      <c r="H987" s="5">
        <v>9.06</v>
      </c>
      <c r="I987" s="5">
        <v>3</v>
      </c>
      <c r="J987" s="5">
        <v>1</v>
      </c>
    </row>
    <row r="988" spans="1:10" x14ac:dyDescent="0.3">
      <c r="A988" s="5" t="s">
        <v>2463</v>
      </c>
      <c r="B988" s="5" t="s">
        <v>27</v>
      </c>
      <c r="C988" s="5" t="s">
        <v>74</v>
      </c>
      <c r="D988" s="5" t="s">
        <v>6597</v>
      </c>
      <c r="E988" s="5">
        <v>21</v>
      </c>
      <c r="F988" s="5">
        <v>20</v>
      </c>
      <c r="G988" s="5">
        <v>1</v>
      </c>
      <c r="H988" s="5">
        <v>6.83</v>
      </c>
      <c r="I988" s="5">
        <v>11</v>
      </c>
      <c r="J988" s="5">
        <v>10</v>
      </c>
    </row>
    <row r="989" spans="1:10" x14ac:dyDescent="0.3">
      <c r="A989" s="5" t="s">
        <v>2463</v>
      </c>
      <c r="B989" s="5" t="s">
        <v>27</v>
      </c>
      <c r="C989" s="5" t="s">
        <v>74</v>
      </c>
      <c r="D989" s="5" t="s">
        <v>6597</v>
      </c>
      <c r="E989" s="5">
        <v>16</v>
      </c>
      <c r="F989" s="5">
        <v>16</v>
      </c>
      <c r="G989" s="5">
        <v>4</v>
      </c>
      <c r="H989" s="5">
        <v>1.99</v>
      </c>
      <c r="I989" s="5">
        <v>9</v>
      </c>
      <c r="J989" s="5">
        <v>7</v>
      </c>
    </row>
    <row r="990" spans="1:10" x14ac:dyDescent="0.3">
      <c r="A990" s="5" t="s">
        <v>2431</v>
      </c>
      <c r="B990" s="5" t="s">
        <v>16</v>
      </c>
      <c r="C990" s="5" t="s">
        <v>67</v>
      </c>
      <c r="D990" s="5" t="s">
        <v>6597</v>
      </c>
      <c r="E990" s="5">
        <v>20</v>
      </c>
      <c r="F990" s="5">
        <v>20</v>
      </c>
      <c r="G990" s="5">
        <v>3</v>
      </c>
      <c r="H990" s="5">
        <v>3.01</v>
      </c>
      <c r="I990" s="5">
        <v>10</v>
      </c>
      <c r="J990" s="5">
        <v>10</v>
      </c>
    </row>
    <row r="991" spans="1:10" x14ac:dyDescent="0.3">
      <c r="A991" s="5" t="s">
        <v>2431</v>
      </c>
      <c r="B991" s="5" t="s">
        <v>16</v>
      </c>
      <c r="C991" s="5" t="s">
        <v>67</v>
      </c>
      <c r="D991" s="5" t="s">
        <v>6597</v>
      </c>
      <c r="E991" s="5">
        <v>6</v>
      </c>
      <c r="F991" s="5">
        <v>6</v>
      </c>
      <c r="G991" s="5">
        <v>4</v>
      </c>
      <c r="H991" s="5">
        <v>4.8</v>
      </c>
      <c r="I991" s="5">
        <v>4</v>
      </c>
      <c r="J991" s="5">
        <v>2</v>
      </c>
    </row>
    <row r="992" spans="1:10" x14ac:dyDescent="0.3">
      <c r="A992" s="5" t="s">
        <v>2431</v>
      </c>
      <c r="B992" s="5" t="s">
        <v>16</v>
      </c>
      <c r="C992" s="5" t="s">
        <v>67</v>
      </c>
      <c r="D992" s="5" t="s">
        <v>6597</v>
      </c>
      <c r="E992" s="5">
        <v>12</v>
      </c>
      <c r="F992" s="5">
        <v>9</v>
      </c>
      <c r="G992" s="5">
        <v>4</v>
      </c>
      <c r="H992" s="5">
        <v>8.23</v>
      </c>
      <c r="I992" s="5">
        <v>9</v>
      </c>
      <c r="J992" s="5">
        <v>3</v>
      </c>
    </row>
    <row r="993" spans="1:10" x14ac:dyDescent="0.3">
      <c r="A993" s="5" t="s">
        <v>2518</v>
      </c>
      <c r="B993" s="5" t="s">
        <v>16</v>
      </c>
      <c r="C993" s="5" t="s">
        <v>164</v>
      </c>
      <c r="D993" s="5" t="s">
        <v>6597</v>
      </c>
      <c r="E993" s="5">
        <v>20</v>
      </c>
      <c r="F993" s="5">
        <v>20</v>
      </c>
      <c r="G993" s="5">
        <v>1</v>
      </c>
      <c r="H993" s="5">
        <v>8.58</v>
      </c>
      <c r="I993" s="5">
        <v>15</v>
      </c>
      <c r="J993" s="5">
        <v>5</v>
      </c>
    </row>
    <row r="994" spans="1:10" x14ac:dyDescent="0.3">
      <c r="A994" s="5" t="s">
        <v>2415</v>
      </c>
      <c r="B994" s="5" t="s">
        <v>189</v>
      </c>
      <c r="C994" s="5" t="s">
        <v>17</v>
      </c>
      <c r="D994" s="5" t="s">
        <v>6596</v>
      </c>
      <c r="E994" s="5">
        <v>16</v>
      </c>
      <c r="F994" s="5">
        <v>16</v>
      </c>
      <c r="G994" s="5">
        <v>2</v>
      </c>
      <c r="H994" s="5">
        <v>10.92</v>
      </c>
      <c r="I994" s="5">
        <v>8</v>
      </c>
      <c r="J994" s="5">
        <v>8</v>
      </c>
    </row>
    <row r="995" spans="1:10" x14ac:dyDescent="0.3">
      <c r="A995" s="5" t="s">
        <v>2415</v>
      </c>
      <c r="B995" s="5" t="s">
        <v>189</v>
      </c>
      <c r="C995" s="5" t="s">
        <v>17</v>
      </c>
      <c r="D995" s="5" t="s">
        <v>6596</v>
      </c>
      <c r="E995" s="5">
        <v>19</v>
      </c>
      <c r="F995" s="5">
        <v>18</v>
      </c>
      <c r="G995" s="5">
        <v>1</v>
      </c>
      <c r="H995" s="5">
        <v>10.87</v>
      </c>
      <c r="I995" s="5">
        <v>11</v>
      </c>
      <c r="J995" s="5">
        <v>8</v>
      </c>
    </row>
    <row r="996" spans="1:10" x14ac:dyDescent="0.3">
      <c r="A996" s="5" t="s">
        <v>2434</v>
      </c>
      <c r="B996" s="5" t="s">
        <v>16</v>
      </c>
      <c r="C996" s="5" t="s">
        <v>108</v>
      </c>
      <c r="D996" s="5" t="s">
        <v>6596</v>
      </c>
      <c r="E996" s="5">
        <v>18</v>
      </c>
      <c r="F996" s="5">
        <v>15</v>
      </c>
      <c r="G996" s="5">
        <v>4</v>
      </c>
      <c r="H996" s="5">
        <v>8.89</v>
      </c>
      <c r="I996" s="5">
        <v>14</v>
      </c>
      <c r="J996" s="5">
        <v>4</v>
      </c>
    </row>
    <row r="997" spans="1:10" x14ac:dyDescent="0.3">
      <c r="A997" s="5" t="s">
        <v>2434</v>
      </c>
      <c r="B997" s="5" t="s">
        <v>16</v>
      </c>
      <c r="C997" s="5" t="s">
        <v>108</v>
      </c>
      <c r="D997" s="5" t="s">
        <v>6596</v>
      </c>
      <c r="E997" s="5">
        <v>4</v>
      </c>
      <c r="F997" s="5">
        <v>4</v>
      </c>
      <c r="G997" s="5">
        <v>4</v>
      </c>
      <c r="H997" s="5">
        <v>9.9499999999999993</v>
      </c>
      <c r="I997" s="5">
        <v>2</v>
      </c>
      <c r="J997" s="5">
        <v>2</v>
      </c>
    </row>
    <row r="998" spans="1:10" x14ac:dyDescent="0.3">
      <c r="A998" s="5" t="s">
        <v>2434</v>
      </c>
      <c r="B998" s="5" t="s">
        <v>16</v>
      </c>
      <c r="C998" s="5" t="s">
        <v>108</v>
      </c>
      <c r="D998" s="5" t="s">
        <v>6596</v>
      </c>
      <c r="E998" s="5">
        <v>25</v>
      </c>
      <c r="F998" s="5">
        <v>23</v>
      </c>
      <c r="G998" s="5">
        <v>1</v>
      </c>
      <c r="H998" s="5">
        <v>1.82</v>
      </c>
      <c r="I998" s="5">
        <v>21</v>
      </c>
      <c r="J998" s="5">
        <v>4</v>
      </c>
    </row>
    <row r="999" spans="1:10" x14ac:dyDescent="0.3">
      <c r="A999" s="5" t="s">
        <v>2434</v>
      </c>
      <c r="B999" s="5" t="s">
        <v>16</v>
      </c>
      <c r="C999" s="5" t="s">
        <v>108</v>
      </c>
      <c r="D999" s="5" t="s">
        <v>6596</v>
      </c>
      <c r="E999" s="5">
        <v>4</v>
      </c>
      <c r="F999" s="5">
        <v>2</v>
      </c>
      <c r="G999" s="5">
        <v>4</v>
      </c>
      <c r="H999" s="5">
        <v>3.85</v>
      </c>
      <c r="I999" s="5">
        <v>2</v>
      </c>
      <c r="J999" s="5">
        <v>2</v>
      </c>
    </row>
    <row r="1000" spans="1:10" x14ac:dyDescent="0.3">
      <c r="A1000" s="5" t="s">
        <v>2469</v>
      </c>
      <c r="B1000" s="5" t="s">
        <v>16</v>
      </c>
      <c r="C1000" s="5" t="s">
        <v>99</v>
      </c>
      <c r="D1000" s="5" t="s">
        <v>6596</v>
      </c>
      <c r="E1000" s="5">
        <v>16</v>
      </c>
      <c r="F1000" s="5">
        <v>16</v>
      </c>
      <c r="G1000" s="5">
        <v>4</v>
      </c>
      <c r="H1000" s="5">
        <v>10.99</v>
      </c>
      <c r="I1000" s="5">
        <v>9</v>
      </c>
      <c r="J1000" s="5">
        <v>7</v>
      </c>
    </row>
    <row r="1001" spans="1:10" x14ac:dyDescent="0.3">
      <c r="A1001" s="5" t="s">
        <v>2469</v>
      </c>
      <c r="B1001" s="5" t="s">
        <v>16</v>
      </c>
      <c r="C1001" s="5" t="s">
        <v>99</v>
      </c>
      <c r="D1001" s="5" t="s">
        <v>6596</v>
      </c>
      <c r="E1001" s="5">
        <v>23</v>
      </c>
      <c r="F1001" s="5">
        <v>23</v>
      </c>
      <c r="G1001" s="5">
        <v>1</v>
      </c>
      <c r="H1001" s="5">
        <v>7.15</v>
      </c>
      <c r="I1001" s="5">
        <v>18</v>
      </c>
      <c r="J1001" s="5">
        <v>5</v>
      </c>
    </row>
    <row r="1002" spans="1:10" x14ac:dyDescent="0.3">
      <c r="A1002" s="5" t="s">
        <v>2469</v>
      </c>
      <c r="B1002" s="5" t="s">
        <v>16</v>
      </c>
      <c r="C1002" s="5" t="s">
        <v>99</v>
      </c>
      <c r="D1002" s="5" t="s">
        <v>6596</v>
      </c>
      <c r="E1002" s="5">
        <v>17</v>
      </c>
      <c r="F1002" s="5">
        <v>16</v>
      </c>
      <c r="G1002" s="5">
        <v>3</v>
      </c>
      <c r="H1002" s="5">
        <v>2.3199999999999998</v>
      </c>
      <c r="I1002" s="5">
        <v>13</v>
      </c>
      <c r="J1002" s="5">
        <v>4</v>
      </c>
    </row>
    <row r="1003" spans="1:10" x14ac:dyDescent="0.3">
      <c r="A1003" s="5" t="s">
        <v>2536</v>
      </c>
      <c r="B1003" s="5" t="s">
        <v>36</v>
      </c>
      <c r="C1003" s="5" t="s">
        <v>99</v>
      </c>
      <c r="D1003" s="5" t="s">
        <v>6596</v>
      </c>
      <c r="E1003" s="5">
        <v>19</v>
      </c>
      <c r="F1003" s="5">
        <v>18</v>
      </c>
      <c r="G1003" s="5">
        <v>1</v>
      </c>
      <c r="H1003" s="5">
        <v>3.1</v>
      </c>
      <c r="I1003" s="5">
        <v>10</v>
      </c>
      <c r="J1003" s="5">
        <v>9</v>
      </c>
    </row>
    <row r="1004" spans="1:10" x14ac:dyDescent="0.3">
      <c r="A1004" s="5" t="s">
        <v>2536</v>
      </c>
      <c r="B1004" s="5" t="s">
        <v>36</v>
      </c>
      <c r="C1004" s="5" t="s">
        <v>99</v>
      </c>
      <c r="D1004" s="5" t="s">
        <v>6596</v>
      </c>
      <c r="E1004" s="5">
        <v>20</v>
      </c>
      <c r="F1004" s="5">
        <v>19</v>
      </c>
      <c r="G1004" s="5">
        <v>1</v>
      </c>
      <c r="H1004" s="5">
        <v>2.27</v>
      </c>
      <c r="I1004" s="5">
        <v>16</v>
      </c>
      <c r="J1004" s="5">
        <v>4</v>
      </c>
    </row>
    <row r="1005" spans="1:10" x14ac:dyDescent="0.3">
      <c r="A1005" s="5" t="s">
        <v>2532</v>
      </c>
      <c r="B1005" s="5" t="s">
        <v>36</v>
      </c>
      <c r="C1005" s="5" t="s">
        <v>67</v>
      </c>
      <c r="D1005" s="5" t="s">
        <v>6596</v>
      </c>
      <c r="E1005" s="5">
        <v>17</v>
      </c>
      <c r="F1005" s="5">
        <v>15</v>
      </c>
      <c r="G1005" s="5">
        <v>3</v>
      </c>
      <c r="H1005" s="5">
        <v>2.2400000000000002</v>
      </c>
      <c r="I1005" s="5">
        <v>11</v>
      </c>
      <c r="J1005" s="5">
        <v>6</v>
      </c>
    </row>
    <row r="1006" spans="1:10" x14ac:dyDescent="0.3">
      <c r="A1006" s="5" t="s">
        <v>2490</v>
      </c>
      <c r="B1006" s="5" t="s">
        <v>36</v>
      </c>
      <c r="C1006" s="5" t="s">
        <v>28</v>
      </c>
      <c r="D1006" s="5" t="s">
        <v>6596</v>
      </c>
      <c r="E1006" s="5">
        <v>19</v>
      </c>
      <c r="F1006" s="5">
        <v>17</v>
      </c>
      <c r="G1006" s="5">
        <v>2</v>
      </c>
      <c r="H1006" s="5">
        <v>8.9</v>
      </c>
      <c r="I1006" s="5">
        <v>15</v>
      </c>
      <c r="J1006" s="5">
        <v>4</v>
      </c>
    </row>
    <row r="1007" spans="1:10" x14ac:dyDescent="0.3">
      <c r="A1007" s="5" t="s">
        <v>2561</v>
      </c>
      <c r="B1007" s="5" t="s">
        <v>36</v>
      </c>
      <c r="C1007" s="5" t="s">
        <v>74</v>
      </c>
      <c r="D1007" s="5" t="s">
        <v>6596</v>
      </c>
      <c r="E1007" s="5">
        <v>20</v>
      </c>
      <c r="F1007" s="5">
        <v>17</v>
      </c>
      <c r="G1007" s="5">
        <v>1</v>
      </c>
      <c r="H1007" s="5">
        <v>4.1399999999999997</v>
      </c>
      <c r="I1007" s="5">
        <v>13</v>
      </c>
      <c r="J1007" s="5">
        <v>7</v>
      </c>
    </row>
    <row r="1008" spans="1:10" x14ac:dyDescent="0.3">
      <c r="A1008" s="5" t="s">
        <v>2407</v>
      </c>
      <c r="B1008" s="5" t="s">
        <v>66</v>
      </c>
      <c r="C1008" s="5" t="s">
        <v>93</v>
      </c>
      <c r="D1008" s="5" t="s">
        <v>6596</v>
      </c>
      <c r="E1008" s="5">
        <v>7</v>
      </c>
      <c r="F1008" s="5">
        <v>4</v>
      </c>
      <c r="G1008" s="5">
        <v>4</v>
      </c>
      <c r="H1008" s="5">
        <v>6.58</v>
      </c>
      <c r="I1008" s="5">
        <v>3</v>
      </c>
      <c r="J1008" s="5">
        <v>4</v>
      </c>
    </row>
    <row r="1009" spans="1:10" x14ac:dyDescent="0.3">
      <c r="A1009" s="5" t="s">
        <v>2407</v>
      </c>
      <c r="B1009" s="5" t="s">
        <v>66</v>
      </c>
      <c r="C1009" s="5" t="s">
        <v>93</v>
      </c>
      <c r="D1009" s="5" t="s">
        <v>6596</v>
      </c>
      <c r="E1009" s="5">
        <v>4</v>
      </c>
      <c r="F1009" s="5">
        <v>3</v>
      </c>
      <c r="G1009" s="5">
        <v>4</v>
      </c>
      <c r="H1009" s="5">
        <v>5.91</v>
      </c>
      <c r="I1009" s="5">
        <v>2</v>
      </c>
      <c r="J1009" s="5">
        <v>2</v>
      </c>
    </row>
    <row r="1010" spans="1:10" x14ac:dyDescent="0.3">
      <c r="A1010" s="5" t="s">
        <v>2407</v>
      </c>
      <c r="B1010" s="5" t="s">
        <v>66</v>
      </c>
      <c r="C1010" s="5" t="s">
        <v>93</v>
      </c>
      <c r="D1010" s="5" t="s">
        <v>6596</v>
      </c>
      <c r="E1010" s="5">
        <v>21</v>
      </c>
      <c r="F1010" s="5">
        <v>21</v>
      </c>
      <c r="G1010" s="5">
        <v>2</v>
      </c>
      <c r="H1010" s="5">
        <v>5.52</v>
      </c>
      <c r="I1010" s="5">
        <v>12</v>
      </c>
      <c r="J1010" s="5">
        <v>9</v>
      </c>
    </row>
    <row r="1011" spans="1:10" x14ac:dyDescent="0.3">
      <c r="A1011" s="5" t="s">
        <v>2407</v>
      </c>
      <c r="B1011" s="5" t="s">
        <v>66</v>
      </c>
      <c r="C1011" s="5" t="s">
        <v>93</v>
      </c>
      <c r="D1011" s="5" t="s">
        <v>6596</v>
      </c>
      <c r="E1011" s="5">
        <v>18</v>
      </c>
      <c r="F1011" s="5">
        <v>18</v>
      </c>
      <c r="G1011" s="5">
        <v>4</v>
      </c>
      <c r="H1011" s="5">
        <v>7.66</v>
      </c>
      <c r="I1011" s="5">
        <v>10</v>
      </c>
      <c r="J1011" s="5">
        <v>8</v>
      </c>
    </row>
    <row r="1012" spans="1:10" x14ac:dyDescent="0.3">
      <c r="A1012" s="5" t="s">
        <v>2466</v>
      </c>
      <c r="B1012" s="5" t="s">
        <v>66</v>
      </c>
      <c r="C1012" s="5" t="s">
        <v>67</v>
      </c>
      <c r="D1012" s="5" t="s">
        <v>6596</v>
      </c>
      <c r="E1012" s="5">
        <v>22</v>
      </c>
      <c r="F1012" s="5">
        <v>22</v>
      </c>
      <c r="G1012" s="5">
        <v>4</v>
      </c>
      <c r="H1012" s="5">
        <v>3.15</v>
      </c>
      <c r="I1012" s="5">
        <v>18</v>
      </c>
      <c r="J1012" s="5">
        <v>4</v>
      </c>
    </row>
    <row r="1013" spans="1:10" x14ac:dyDescent="0.3">
      <c r="A1013" s="5" t="s">
        <v>2466</v>
      </c>
      <c r="B1013" s="5" t="s">
        <v>66</v>
      </c>
      <c r="C1013" s="5" t="s">
        <v>67</v>
      </c>
      <c r="D1013" s="5" t="s">
        <v>6596</v>
      </c>
      <c r="E1013" s="5">
        <v>13</v>
      </c>
      <c r="F1013" s="5">
        <v>11</v>
      </c>
      <c r="G1013" s="5">
        <v>1</v>
      </c>
      <c r="H1013" s="5">
        <v>7.63</v>
      </c>
      <c r="I1013" s="5">
        <v>9</v>
      </c>
      <c r="J1013" s="5">
        <v>4</v>
      </c>
    </row>
    <row r="1014" spans="1:10" x14ac:dyDescent="0.3">
      <c r="A1014" s="5" t="s">
        <v>2466</v>
      </c>
      <c r="B1014" s="5" t="s">
        <v>66</v>
      </c>
      <c r="C1014" s="5" t="s">
        <v>67</v>
      </c>
      <c r="D1014" s="5" t="s">
        <v>6596</v>
      </c>
      <c r="E1014" s="5">
        <v>12</v>
      </c>
      <c r="F1014" s="5">
        <v>10</v>
      </c>
      <c r="G1014" s="5">
        <v>1</v>
      </c>
      <c r="H1014" s="5">
        <v>7.44</v>
      </c>
      <c r="I1014" s="5">
        <v>7</v>
      </c>
      <c r="J1014" s="5">
        <v>5</v>
      </c>
    </row>
    <row r="1015" spans="1:10" x14ac:dyDescent="0.3">
      <c r="A1015" s="5" t="s">
        <v>2466</v>
      </c>
      <c r="B1015" s="5" t="s">
        <v>66</v>
      </c>
      <c r="C1015" s="5" t="s">
        <v>67</v>
      </c>
      <c r="D1015" s="5" t="s">
        <v>6596</v>
      </c>
      <c r="E1015" s="5">
        <v>9</v>
      </c>
      <c r="F1015" s="5">
        <v>9</v>
      </c>
      <c r="G1015" s="5">
        <v>3</v>
      </c>
      <c r="H1015" s="5">
        <v>6.81</v>
      </c>
      <c r="I1015" s="5">
        <v>4</v>
      </c>
      <c r="J1015" s="5">
        <v>5</v>
      </c>
    </row>
    <row r="1016" spans="1:10" x14ac:dyDescent="0.3">
      <c r="A1016" s="5" t="s">
        <v>2521</v>
      </c>
      <c r="B1016" s="5" t="s">
        <v>66</v>
      </c>
      <c r="C1016" s="5" t="s">
        <v>99</v>
      </c>
      <c r="D1016" s="5" t="s">
        <v>6596</v>
      </c>
      <c r="E1016" s="5">
        <v>6</v>
      </c>
      <c r="F1016" s="5">
        <v>5</v>
      </c>
      <c r="G1016" s="5">
        <v>1</v>
      </c>
      <c r="H1016" s="5">
        <v>7.96</v>
      </c>
      <c r="I1016" s="5">
        <v>3</v>
      </c>
      <c r="J1016" s="5">
        <v>3</v>
      </c>
    </row>
    <row r="1017" spans="1:10" x14ac:dyDescent="0.3">
      <c r="A1017" s="5" t="s">
        <v>2521</v>
      </c>
      <c r="B1017" s="5" t="s">
        <v>66</v>
      </c>
      <c r="C1017" s="5" t="s">
        <v>99</v>
      </c>
      <c r="D1017" s="5" t="s">
        <v>6596</v>
      </c>
      <c r="E1017" s="5">
        <v>14</v>
      </c>
      <c r="F1017" s="5">
        <v>11</v>
      </c>
      <c r="G1017" s="5">
        <v>3</v>
      </c>
      <c r="H1017" s="5">
        <v>8.7200000000000006</v>
      </c>
      <c r="I1017" s="5">
        <v>10</v>
      </c>
      <c r="J1017" s="5">
        <v>4</v>
      </c>
    </row>
    <row r="1018" spans="1:10" x14ac:dyDescent="0.3">
      <c r="A1018" s="5" t="s">
        <v>2411</v>
      </c>
      <c r="B1018" s="5" t="s">
        <v>55</v>
      </c>
      <c r="C1018" s="5" t="s">
        <v>108</v>
      </c>
      <c r="D1018" s="5" t="s">
        <v>6596</v>
      </c>
      <c r="E1018" s="5">
        <v>17</v>
      </c>
      <c r="F1018" s="5">
        <v>14</v>
      </c>
      <c r="G1018" s="5">
        <v>2</v>
      </c>
      <c r="H1018" s="5">
        <v>5.16</v>
      </c>
      <c r="I1018" s="5">
        <v>9</v>
      </c>
      <c r="J1018" s="5">
        <v>8</v>
      </c>
    </row>
    <row r="1019" spans="1:10" x14ac:dyDescent="0.3">
      <c r="A1019" s="5" t="s">
        <v>2411</v>
      </c>
      <c r="B1019" s="5" t="s">
        <v>55</v>
      </c>
      <c r="C1019" s="5" t="s">
        <v>108</v>
      </c>
      <c r="D1019" s="5" t="s">
        <v>6596</v>
      </c>
      <c r="E1019" s="5">
        <v>6</v>
      </c>
      <c r="F1019" s="5">
        <v>4</v>
      </c>
      <c r="G1019" s="5">
        <v>2</v>
      </c>
      <c r="H1019" s="5">
        <v>6.65</v>
      </c>
      <c r="I1019" s="5">
        <v>3</v>
      </c>
      <c r="J1019" s="5">
        <v>3</v>
      </c>
    </row>
    <row r="1020" spans="1:10" x14ac:dyDescent="0.3">
      <c r="A1020" s="5" t="s">
        <v>2459</v>
      </c>
      <c r="B1020" s="5" t="s">
        <v>189</v>
      </c>
      <c r="C1020" s="5" t="s">
        <v>67</v>
      </c>
      <c r="D1020" s="5" t="s">
        <v>6596</v>
      </c>
      <c r="E1020" s="5">
        <v>18</v>
      </c>
      <c r="F1020" s="5">
        <v>15</v>
      </c>
      <c r="G1020" s="5">
        <v>2</v>
      </c>
      <c r="H1020" s="5">
        <v>4.95</v>
      </c>
      <c r="I1020" s="5">
        <v>14</v>
      </c>
      <c r="J1020" s="5">
        <v>4</v>
      </c>
    </row>
    <row r="1021" spans="1:10" x14ac:dyDescent="0.3">
      <c r="A1021" s="5" t="s">
        <v>2459</v>
      </c>
      <c r="B1021" s="5" t="s">
        <v>189</v>
      </c>
      <c r="C1021" s="5" t="s">
        <v>67</v>
      </c>
      <c r="D1021" s="5" t="s">
        <v>6596</v>
      </c>
      <c r="E1021" s="5">
        <v>5</v>
      </c>
      <c r="F1021" s="5">
        <v>3</v>
      </c>
      <c r="G1021" s="5">
        <v>3</v>
      </c>
      <c r="H1021" s="5">
        <v>3.24</v>
      </c>
      <c r="I1021" s="5">
        <v>3</v>
      </c>
      <c r="J1021" s="5">
        <v>2</v>
      </c>
    </row>
    <row r="1022" spans="1:10" x14ac:dyDescent="0.3">
      <c r="A1022" s="5" t="s">
        <v>2459</v>
      </c>
      <c r="B1022" s="5" t="s">
        <v>189</v>
      </c>
      <c r="C1022" s="5" t="s">
        <v>67</v>
      </c>
      <c r="D1022" s="5" t="s">
        <v>6596</v>
      </c>
      <c r="E1022" s="5">
        <v>20</v>
      </c>
      <c r="F1022" s="5">
        <v>18</v>
      </c>
      <c r="G1022" s="5">
        <v>4</v>
      </c>
      <c r="H1022" s="5">
        <v>8.6300000000000008</v>
      </c>
      <c r="I1022" s="5">
        <v>12</v>
      </c>
      <c r="J1022" s="5">
        <v>8</v>
      </c>
    </row>
    <row r="1023" spans="1:10" x14ac:dyDescent="0.3">
      <c r="A1023" s="5" t="s">
        <v>2459</v>
      </c>
      <c r="B1023" s="5" t="s">
        <v>189</v>
      </c>
      <c r="C1023" s="5" t="s">
        <v>67</v>
      </c>
      <c r="D1023" s="5" t="s">
        <v>6596</v>
      </c>
      <c r="E1023" s="5">
        <v>15</v>
      </c>
      <c r="F1023" s="5">
        <v>13</v>
      </c>
      <c r="G1023" s="5">
        <v>1</v>
      </c>
      <c r="H1023" s="5">
        <v>5.71</v>
      </c>
      <c r="I1023" s="5">
        <v>8</v>
      </c>
      <c r="J1023" s="5">
        <v>7</v>
      </c>
    </row>
    <row r="1024" spans="1:10" x14ac:dyDescent="0.3">
      <c r="A1024" s="5" t="s">
        <v>2459</v>
      </c>
      <c r="B1024" s="5" t="s">
        <v>189</v>
      </c>
      <c r="C1024" s="5" t="s">
        <v>67</v>
      </c>
      <c r="D1024" s="5" t="s">
        <v>6596</v>
      </c>
      <c r="E1024" s="5">
        <v>25</v>
      </c>
      <c r="F1024" s="5">
        <v>24</v>
      </c>
      <c r="G1024" s="5">
        <v>2</v>
      </c>
      <c r="H1024" s="5">
        <v>11.19</v>
      </c>
      <c r="I1024" s="5">
        <v>17</v>
      </c>
      <c r="J1024" s="5">
        <v>8</v>
      </c>
    </row>
    <row r="1025" spans="1:10" x14ac:dyDescent="0.3">
      <c r="A1025" s="5" t="s">
        <v>2629</v>
      </c>
      <c r="B1025" s="5" t="s">
        <v>55</v>
      </c>
      <c r="C1025" s="5" t="s">
        <v>164</v>
      </c>
      <c r="D1025" s="5" t="s">
        <v>6596</v>
      </c>
      <c r="E1025" s="5">
        <v>18</v>
      </c>
      <c r="F1025" s="5">
        <v>17</v>
      </c>
      <c r="G1025" s="5">
        <v>1</v>
      </c>
      <c r="H1025" s="5">
        <v>8.26</v>
      </c>
      <c r="I1025" s="5">
        <v>11</v>
      </c>
      <c r="J1025" s="5">
        <v>7</v>
      </c>
    </row>
    <row r="1026" spans="1:10" x14ac:dyDescent="0.3">
      <c r="A1026" s="5" t="s">
        <v>2629</v>
      </c>
      <c r="B1026" s="5" t="s">
        <v>55</v>
      </c>
      <c r="C1026" s="5" t="s">
        <v>164</v>
      </c>
      <c r="D1026" s="5" t="s">
        <v>6596</v>
      </c>
      <c r="E1026" s="5">
        <v>11</v>
      </c>
      <c r="F1026" s="5">
        <v>9</v>
      </c>
      <c r="G1026" s="5">
        <v>1</v>
      </c>
      <c r="H1026" s="5">
        <v>5.98</v>
      </c>
      <c r="I1026" s="5">
        <v>7</v>
      </c>
      <c r="J1026" s="5">
        <v>4</v>
      </c>
    </row>
    <row r="1027" spans="1:10" x14ac:dyDescent="0.3">
      <c r="A1027" s="5" t="s">
        <v>2422</v>
      </c>
      <c r="B1027" s="5" t="s">
        <v>55</v>
      </c>
      <c r="C1027" s="5" t="s">
        <v>28</v>
      </c>
      <c r="D1027" s="5" t="s">
        <v>6596</v>
      </c>
      <c r="E1027" s="5">
        <v>4</v>
      </c>
      <c r="F1027" s="5">
        <v>1</v>
      </c>
      <c r="G1027" s="5">
        <v>3</v>
      </c>
      <c r="H1027" s="5">
        <v>5.6</v>
      </c>
      <c r="I1027" s="5">
        <v>2</v>
      </c>
      <c r="J1027" s="5">
        <v>2</v>
      </c>
    </row>
    <row r="1028" spans="1:10" x14ac:dyDescent="0.3">
      <c r="A1028" s="5" t="s">
        <v>2422</v>
      </c>
      <c r="B1028" s="5" t="s">
        <v>55</v>
      </c>
      <c r="C1028" s="5" t="s">
        <v>28</v>
      </c>
      <c r="D1028" s="5" t="s">
        <v>6596</v>
      </c>
      <c r="E1028" s="5">
        <v>14</v>
      </c>
      <c r="F1028" s="5">
        <v>11</v>
      </c>
      <c r="G1028" s="5">
        <v>1</v>
      </c>
      <c r="H1028" s="5">
        <v>11.4</v>
      </c>
      <c r="I1028" s="5">
        <v>10</v>
      </c>
      <c r="J1028" s="5">
        <v>4</v>
      </c>
    </row>
    <row r="1029" spans="1:10" x14ac:dyDescent="0.3">
      <c r="A1029" s="5" t="s">
        <v>2438</v>
      </c>
      <c r="B1029" s="5" t="s">
        <v>55</v>
      </c>
      <c r="C1029" s="5" t="s">
        <v>74</v>
      </c>
      <c r="D1029" s="5" t="s">
        <v>6596</v>
      </c>
      <c r="E1029" s="5">
        <v>15</v>
      </c>
      <c r="F1029" s="5">
        <v>15</v>
      </c>
      <c r="G1029" s="5">
        <v>2</v>
      </c>
      <c r="H1029" s="5">
        <v>7.44</v>
      </c>
      <c r="I1029" s="5">
        <v>10</v>
      </c>
      <c r="J1029" s="5">
        <v>5</v>
      </c>
    </row>
    <row r="1030" spans="1:10" x14ac:dyDescent="0.3">
      <c r="A1030" s="5" t="s">
        <v>2438</v>
      </c>
      <c r="B1030" s="5" t="s">
        <v>55</v>
      </c>
      <c r="C1030" s="5" t="s">
        <v>74</v>
      </c>
      <c r="D1030" s="5" t="s">
        <v>6596</v>
      </c>
      <c r="E1030" s="5">
        <v>23</v>
      </c>
      <c r="F1030" s="5">
        <v>20</v>
      </c>
      <c r="G1030" s="5">
        <v>3</v>
      </c>
      <c r="H1030" s="5">
        <v>2.92</v>
      </c>
      <c r="I1030" s="5">
        <v>11</v>
      </c>
      <c r="J1030" s="5">
        <v>12</v>
      </c>
    </row>
    <row r="1031" spans="1:10" x14ac:dyDescent="0.3">
      <c r="A1031" s="5" t="s">
        <v>2438</v>
      </c>
      <c r="B1031" s="5" t="s">
        <v>55</v>
      </c>
      <c r="C1031" s="5" t="s">
        <v>74</v>
      </c>
      <c r="D1031" s="5" t="s">
        <v>6596</v>
      </c>
      <c r="E1031" s="5">
        <v>18</v>
      </c>
      <c r="F1031" s="5">
        <v>18</v>
      </c>
      <c r="G1031" s="5">
        <v>2</v>
      </c>
      <c r="H1031" s="5">
        <v>4.7300000000000004</v>
      </c>
      <c r="I1031" s="5">
        <v>9</v>
      </c>
      <c r="J1031" s="5">
        <v>9</v>
      </c>
    </row>
    <row r="1032" spans="1:10" x14ac:dyDescent="0.3">
      <c r="A1032" s="5" t="s">
        <v>2427</v>
      </c>
      <c r="B1032" s="5" t="s">
        <v>55</v>
      </c>
      <c r="C1032" s="5" t="s">
        <v>93</v>
      </c>
      <c r="D1032" s="5" t="s">
        <v>6596</v>
      </c>
      <c r="E1032" s="5">
        <v>4</v>
      </c>
      <c r="F1032" s="5">
        <v>1</v>
      </c>
      <c r="G1032" s="5">
        <v>4</v>
      </c>
      <c r="H1032" s="5">
        <v>9.08</v>
      </c>
      <c r="I1032" s="5">
        <v>2</v>
      </c>
      <c r="J1032" s="5">
        <v>2</v>
      </c>
    </row>
    <row r="1033" spans="1:10" x14ac:dyDescent="0.3">
      <c r="A1033" s="5" t="s">
        <v>2427</v>
      </c>
      <c r="B1033" s="5" t="s">
        <v>55</v>
      </c>
      <c r="C1033" s="5" t="s">
        <v>93</v>
      </c>
      <c r="D1033" s="5" t="s">
        <v>6596</v>
      </c>
      <c r="E1033" s="5">
        <v>7</v>
      </c>
      <c r="F1033" s="5">
        <v>6</v>
      </c>
      <c r="G1033" s="5">
        <v>4</v>
      </c>
      <c r="H1033" s="5">
        <v>4.75</v>
      </c>
      <c r="I1033" s="5">
        <v>5</v>
      </c>
      <c r="J1033" s="5">
        <v>2</v>
      </c>
    </row>
    <row r="1034" spans="1:10" x14ac:dyDescent="0.3">
      <c r="A1034" s="5" t="s">
        <v>2427</v>
      </c>
      <c r="B1034" s="5" t="s">
        <v>55</v>
      </c>
      <c r="C1034" s="5" t="s">
        <v>93</v>
      </c>
      <c r="D1034" s="5" t="s">
        <v>6596</v>
      </c>
      <c r="E1034" s="5">
        <v>23</v>
      </c>
      <c r="F1034" s="5">
        <v>21</v>
      </c>
      <c r="G1034" s="5">
        <v>3</v>
      </c>
      <c r="H1034" s="5">
        <v>6.97</v>
      </c>
      <c r="I1034" s="5">
        <v>14</v>
      </c>
      <c r="J1034" s="5">
        <v>9</v>
      </c>
    </row>
    <row r="1035" spans="1:10" x14ac:dyDescent="0.3">
      <c r="A1035" s="5" t="s">
        <v>2485</v>
      </c>
      <c r="B1035" s="5" t="s">
        <v>61</v>
      </c>
      <c r="C1035" s="5" t="s">
        <v>99</v>
      </c>
      <c r="D1035" s="5" t="s">
        <v>6596</v>
      </c>
      <c r="E1035" s="5">
        <v>9</v>
      </c>
      <c r="F1035" s="5">
        <v>9</v>
      </c>
      <c r="G1035" s="5">
        <v>1</v>
      </c>
      <c r="H1035" s="5">
        <v>3.78</v>
      </c>
      <c r="I1035" s="5">
        <v>6</v>
      </c>
      <c r="J1035" s="5">
        <v>3</v>
      </c>
    </row>
    <row r="1036" spans="1:10" x14ac:dyDescent="0.3">
      <c r="A1036" s="5" t="s">
        <v>2485</v>
      </c>
      <c r="B1036" s="5" t="s">
        <v>61</v>
      </c>
      <c r="C1036" s="5" t="s">
        <v>99</v>
      </c>
      <c r="D1036" s="5" t="s">
        <v>6596</v>
      </c>
      <c r="E1036" s="5">
        <v>18</v>
      </c>
      <c r="F1036" s="5">
        <v>17</v>
      </c>
      <c r="G1036" s="5">
        <v>3</v>
      </c>
      <c r="H1036" s="5">
        <v>3.71</v>
      </c>
      <c r="I1036" s="5">
        <v>9</v>
      </c>
      <c r="J1036" s="5">
        <v>9</v>
      </c>
    </row>
    <row r="1037" spans="1:10" x14ac:dyDescent="0.3">
      <c r="A1037" s="5" t="s">
        <v>2485</v>
      </c>
      <c r="B1037" s="5" t="s">
        <v>61</v>
      </c>
      <c r="C1037" s="5" t="s">
        <v>99</v>
      </c>
      <c r="D1037" s="5" t="s">
        <v>6596</v>
      </c>
      <c r="E1037" s="5">
        <v>12</v>
      </c>
      <c r="F1037" s="5">
        <v>9</v>
      </c>
      <c r="G1037" s="5">
        <v>1</v>
      </c>
      <c r="H1037" s="5">
        <v>4.04</v>
      </c>
      <c r="I1037" s="5">
        <v>7</v>
      </c>
      <c r="J1037" s="5">
        <v>5</v>
      </c>
    </row>
    <row r="1038" spans="1:10" x14ac:dyDescent="0.3">
      <c r="A1038" s="5" t="s">
        <v>2485</v>
      </c>
      <c r="B1038" s="5" t="s">
        <v>61</v>
      </c>
      <c r="C1038" s="5" t="s">
        <v>99</v>
      </c>
      <c r="D1038" s="5" t="s">
        <v>6596</v>
      </c>
      <c r="E1038" s="5">
        <v>21</v>
      </c>
      <c r="F1038" s="5">
        <v>21</v>
      </c>
      <c r="G1038" s="5">
        <v>3</v>
      </c>
      <c r="H1038" s="5">
        <v>5.49</v>
      </c>
      <c r="I1038" s="5">
        <v>12</v>
      </c>
      <c r="J1038" s="5">
        <v>9</v>
      </c>
    </row>
    <row r="1039" spans="1:10" x14ac:dyDescent="0.3">
      <c r="A1039" s="5" t="s">
        <v>2449</v>
      </c>
      <c r="B1039" s="5" t="s">
        <v>61</v>
      </c>
      <c r="C1039" s="5" t="s">
        <v>108</v>
      </c>
      <c r="D1039" s="5" t="s">
        <v>6596</v>
      </c>
      <c r="E1039" s="5">
        <v>15</v>
      </c>
      <c r="F1039" s="5">
        <v>12</v>
      </c>
      <c r="G1039" s="5">
        <v>4</v>
      </c>
      <c r="H1039" s="5">
        <v>8.18</v>
      </c>
      <c r="I1039" s="5">
        <v>12</v>
      </c>
      <c r="J1039" s="5">
        <v>3</v>
      </c>
    </row>
    <row r="1040" spans="1:10" x14ac:dyDescent="0.3">
      <c r="A1040" s="5" t="s">
        <v>2449</v>
      </c>
      <c r="B1040" s="5" t="s">
        <v>61</v>
      </c>
      <c r="C1040" s="5" t="s">
        <v>108</v>
      </c>
      <c r="D1040" s="5" t="s">
        <v>6596</v>
      </c>
      <c r="E1040" s="5">
        <v>6</v>
      </c>
      <c r="F1040" s="5">
        <v>5</v>
      </c>
      <c r="G1040" s="5">
        <v>1</v>
      </c>
      <c r="H1040" s="5">
        <v>5.05</v>
      </c>
      <c r="I1040" s="5">
        <v>3</v>
      </c>
      <c r="J1040" s="5">
        <v>3</v>
      </c>
    </row>
    <row r="1041" spans="1:10" x14ac:dyDescent="0.3">
      <c r="A1041" s="5" t="s">
        <v>2449</v>
      </c>
      <c r="B1041" s="5" t="s">
        <v>61</v>
      </c>
      <c r="C1041" s="5" t="s">
        <v>108</v>
      </c>
      <c r="D1041" s="5" t="s">
        <v>6596</v>
      </c>
      <c r="E1041" s="5">
        <v>25</v>
      </c>
      <c r="F1041" s="5">
        <v>23</v>
      </c>
      <c r="G1041" s="5">
        <v>3</v>
      </c>
      <c r="H1041" s="5">
        <v>4.4000000000000004</v>
      </c>
      <c r="I1041" s="5">
        <v>18</v>
      </c>
      <c r="J1041" s="5">
        <v>7</v>
      </c>
    </row>
    <row r="1042" spans="1:10" x14ac:dyDescent="0.3">
      <c r="A1042" s="5" t="s">
        <v>2577</v>
      </c>
      <c r="B1042" s="5" t="s">
        <v>61</v>
      </c>
      <c r="C1042" s="5" t="s">
        <v>67</v>
      </c>
      <c r="D1042" s="5" t="s">
        <v>6596</v>
      </c>
      <c r="E1042" s="5">
        <v>23</v>
      </c>
      <c r="F1042" s="5">
        <v>23</v>
      </c>
      <c r="G1042" s="5">
        <v>2</v>
      </c>
      <c r="H1042" s="5">
        <v>3.13</v>
      </c>
      <c r="I1042" s="5">
        <v>13</v>
      </c>
      <c r="J1042" s="5">
        <v>10</v>
      </c>
    </row>
    <row r="1043" spans="1:10" x14ac:dyDescent="0.3">
      <c r="A1043" s="5" t="s">
        <v>2577</v>
      </c>
      <c r="B1043" s="5" t="s">
        <v>61</v>
      </c>
      <c r="C1043" s="5" t="s">
        <v>67</v>
      </c>
      <c r="D1043" s="5" t="s">
        <v>6596</v>
      </c>
      <c r="E1043" s="5">
        <v>16</v>
      </c>
      <c r="F1043" s="5">
        <v>16</v>
      </c>
      <c r="G1043" s="5">
        <v>2</v>
      </c>
      <c r="H1043" s="5">
        <v>1.86</v>
      </c>
      <c r="I1043" s="5">
        <v>9</v>
      </c>
      <c r="J1043" s="5">
        <v>7</v>
      </c>
    </row>
    <row r="1044" spans="1:10" x14ac:dyDescent="0.3">
      <c r="A1044" s="5" t="s">
        <v>2577</v>
      </c>
      <c r="B1044" s="5" t="s">
        <v>61</v>
      </c>
      <c r="C1044" s="5" t="s">
        <v>67</v>
      </c>
      <c r="D1044" s="5" t="s">
        <v>6596</v>
      </c>
      <c r="E1044" s="5">
        <v>6</v>
      </c>
      <c r="F1044" s="5">
        <v>4</v>
      </c>
      <c r="G1044" s="5">
        <v>3</v>
      </c>
      <c r="H1044" s="5">
        <v>6.95</v>
      </c>
      <c r="I1044" s="5">
        <v>4</v>
      </c>
      <c r="J1044" s="5">
        <v>2</v>
      </c>
    </row>
    <row r="1045" spans="1:10" x14ac:dyDescent="0.3">
      <c r="A1045" s="5" t="s">
        <v>2454</v>
      </c>
      <c r="B1045" s="5" t="s">
        <v>61</v>
      </c>
      <c r="C1045" s="5" t="s">
        <v>17</v>
      </c>
      <c r="D1045" s="5" t="s">
        <v>6596</v>
      </c>
      <c r="E1045" s="5">
        <v>5</v>
      </c>
      <c r="F1045" s="5">
        <v>4</v>
      </c>
      <c r="G1045" s="5">
        <v>2</v>
      </c>
      <c r="H1045" s="5">
        <v>7.56</v>
      </c>
      <c r="I1045" s="5">
        <v>3</v>
      </c>
      <c r="J1045" s="5">
        <v>2</v>
      </c>
    </row>
    <row r="1046" spans="1:10" x14ac:dyDescent="0.3">
      <c r="A1046" s="5" t="s">
        <v>2454</v>
      </c>
      <c r="B1046" s="5" t="s">
        <v>61</v>
      </c>
      <c r="C1046" s="5" t="s">
        <v>17</v>
      </c>
      <c r="D1046" s="5" t="s">
        <v>6596</v>
      </c>
      <c r="E1046" s="5">
        <v>14</v>
      </c>
      <c r="F1046" s="5">
        <v>12</v>
      </c>
      <c r="G1046" s="5">
        <v>2</v>
      </c>
      <c r="H1046" s="5">
        <v>4.54</v>
      </c>
      <c r="I1046" s="5">
        <v>8</v>
      </c>
      <c r="J1046" s="5">
        <v>6</v>
      </c>
    </row>
    <row r="1047" spans="1:10" x14ac:dyDescent="0.3">
      <c r="A1047" s="5" t="s">
        <v>2454</v>
      </c>
      <c r="B1047" s="5" t="s">
        <v>61</v>
      </c>
      <c r="C1047" s="5" t="s">
        <v>17</v>
      </c>
      <c r="D1047" s="5" t="s">
        <v>6596</v>
      </c>
      <c r="E1047" s="5">
        <v>12</v>
      </c>
      <c r="F1047" s="5">
        <v>11</v>
      </c>
      <c r="G1047" s="5">
        <v>3</v>
      </c>
      <c r="H1047" s="5">
        <v>4.21</v>
      </c>
      <c r="I1047" s="5">
        <v>7</v>
      </c>
      <c r="J1047" s="5">
        <v>5</v>
      </c>
    </row>
    <row r="1048" spans="1:10" x14ac:dyDescent="0.3">
      <c r="A1048" s="5" t="s">
        <v>2454</v>
      </c>
      <c r="B1048" s="5" t="s">
        <v>61</v>
      </c>
      <c r="C1048" s="5" t="s">
        <v>17</v>
      </c>
      <c r="D1048" s="5" t="s">
        <v>6596</v>
      </c>
      <c r="E1048" s="5">
        <v>13</v>
      </c>
      <c r="F1048" s="5">
        <v>11</v>
      </c>
      <c r="G1048" s="5">
        <v>3</v>
      </c>
      <c r="H1048" s="5">
        <v>10.06</v>
      </c>
      <c r="I1048" s="5">
        <v>7</v>
      </c>
      <c r="J1048" s="5">
        <v>6</v>
      </c>
    </row>
    <row r="1049" spans="1:10" x14ac:dyDescent="0.3">
      <c r="A1049" s="5" t="s">
        <v>2454</v>
      </c>
      <c r="B1049" s="5" t="s">
        <v>61</v>
      </c>
      <c r="C1049" s="5" t="s">
        <v>17</v>
      </c>
      <c r="D1049" s="5" t="s">
        <v>6596</v>
      </c>
      <c r="E1049" s="5">
        <v>22</v>
      </c>
      <c r="F1049" s="5">
        <v>20</v>
      </c>
      <c r="G1049" s="5">
        <v>1</v>
      </c>
      <c r="H1049" s="5">
        <v>3.42</v>
      </c>
      <c r="I1049" s="5">
        <v>11</v>
      </c>
      <c r="J1049" s="5">
        <v>11</v>
      </c>
    </row>
    <row r="1050" spans="1:10" x14ac:dyDescent="0.3">
      <c r="A1050" s="5" t="s">
        <v>2481</v>
      </c>
      <c r="B1050" s="5" t="s">
        <v>80</v>
      </c>
      <c r="C1050" s="5" t="s">
        <v>37</v>
      </c>
      <c r="D1050" s="5" t="s">
        <v>6596</v>
      </c>
      <c r="E1050" s="5">
        <v>8</v>
      </c>
      <c r="F1050" s="5">
        <v>5</v>
      </c>
      <c r="G1050" s="5">
        <v>4</v>
      </c>
      <c r="H1050" s="5">
        <v>11.11</v>
      </c>
      <c r="I1050" s="5">
        <v>6</v>
      </c>
      <c r="J1050" s="5">
        <v>2</v>
      </c>
    </row>
    <row r="1051" spans="1:10" x14ac:dyDescent="0.3">
      <c r="A1051" s="5" t="s">
        <v>2473</v>
      </c>
      <c r="B1051" s="5" t="s">
        <v>80</v>
      </c>
      <c r="C1051" s="5" t="s">
        <v>93</v>
      </c>
      <c r="D1051" s="5" t="s">
        <v>6596</v>
      </c>
      <c r="E1051" s="5">
        <v>22</v>
      </c>
      <c r="F1051" s="5">
        <v>20</v>
      </c>
      <c r="G1051" s="5">
        <v>4</v>
      </c>
      <c r="H1051" s="5">
        <v>7.81</v>
      </c>
      <c r="I1051" s="5">
        <v>15</v>
      </c>
      <c r="J1051" s="5">
        <v>7</v>
      </c>
    </row>
    <row r="1052" spans="1:10" x14ac:dyDescent="0.3">
      <c r="A1052" s="5" t="s">
        <v>2473</v>
      </c>
      <c r="B1052" s="5" t="s">
        <v>80</v>
      </c>
      <c r="C1052" s="5" t="s">
        <v>93</v>
      </c>
      <c r="D1052" s="5" t="s">
        <v>6596</v>
      </c>
      <c r="E1052" s="5">
        <v>4</v>
      </c>
      <c r="F1052" s="5">
        <v>4</v>
      </c>
      <c r="G1052" s="5">
        <v>4</v>
      </c>
      <c r="H1052" s="5">
        <v>2.74</v>
      </c>
      <c r="I1052" s="5">
        <v>2</v>
      </c>
      <c r="J1052" s="5">
        <v>2</v>
      </c>
    </row>
    <row r="1053" spans="1:10" x14ac:dyDescent="0.3">
      <c r="A1053" s="5" t="s">
        <v>2730</v>
      </c>
      <c r="B1053" s="5" t="s">
        <v>189</v>
      </c>
      <c r="C1053" s="5" t="s">
        <v>74</v>
      </c>
      <c r="D1053" s="5" t="s">
        <v>6596</v>
      </c>
      <c r="E1053" s="5">
        <v>6</v>
      </c>
      <c r="F1053" s="5">
        <v>6</v>
      </c>
      <c r="G1053" s="5">
        <v>3</v>
      </c>
      <c r="H1053" s="5">
        <v>4.46</v>
      </c>
      <c r="I1053" s="5">
        <v>3</v>
      </c>
      <c r="J1053" s="5">
        <v>3</v>
      </c>
    </row>
    <row r="1054" spans="1:10" x14ac:dyDescent="0.3">
      <c r="A1054" s="5" t="s">
        <v>2730</v>
      </c>
      <c r="B1054" s="5" t="s">
        <v>189</v>
      </c>
      <c r="C1054" s="5" t="s">
        <v>74</v>
      </c>
      <c r="D1054" s="5" t="s">
        <v>6596</v>
      </c>
      <c r="E1054" s="5">
        <v>7</v>
      </c>
      <c r="F1054" s="5">
        <v>7</v>
      </c>
      <c r="G1054" s="5">
        <v>3</v>
      </c>
      <c r="H1054" s="5">
        <v>9.36</v>
      </c>
      <c r="I1054" s="5">
        <v>4</v>
      </c>
      <c r="J1054" s="5">
        <v>3</v>
      </c>
    </row>
    <row r="1055" spans="1:10" x14ac:dyDescent="0.3">
      <c r="A1055" s="5" t="s">
        <v>2514</v>
      </c>
      <c r="B1055" s="5" t="s">
        <v>80</v>
      </c>
      <c r="C1055" s="5" t="s">
        <v>47</v>
      </c>
      <c r="D1055" s="5" t="s">
        <v>6596</v>
      </c>
      <c r="E1055" s="5">
        <v>12</v>
      </c>
      <c r="F1055" s="5">
        <v>12</v>
      </c>
      <c r="G1055" s="5">
        <v>1</v>
      </c>
      <c r="H1055" s="5">
        <v>4.08</v>
      </c>
      <c r="I1055" s="5">
        <v>9</v>
      </c>
      <c r="J1055" s="5">
        <v>3</v>
      </c>
    </row>
    <row r="1056" spans="1:10" x14ac:dyDescent="0.3">
      <c r="A1056" s="5" t="s">
        <v>2514</v>
      </c>
      <c r="B1056" s="5" t="s">
        <v>80</v>
      </c>
      <c r="C1056" s="5" t="s">
        <v>47</v>
      </c>
      <c r="D1056" s="5" t="s">
        <v>6596</v>
      </c>
      <c r="E1056" s="5">
        <v>25</v>
      </c>
      <c r="F1056" s="5">
        <v>24</v>
      </c>
      <c r="G1056" s="5">
        <v>2</v>
      </c>
      <c r="H1056" s="5">
        <v>6.36</v>
      </c>
      <c r="I1056" s="5">
        <v>14</v>
      </c>
      <c r="J1056" s="5">
        <v>11</v>
      </c>
    </row>
    <row r="1057" spans="1:10" x14ac:dyDescent="0.3">
      <c r="A1057" s="5" t="s">
        <v>2494</v>
      </c>
      <c r="B1057" s="5" t="s">
        <v>189</v>
      </c>
      <c r="C1057" s="5" t="s">
        <v>99</v>
      </c>
      <c r="D1057" s="5" t="s">
        <v>6596</v>
      </c>
      <c r="E1057" s="5">
        <v>20</v>
      </c>
      <c r="F1057" s="5">
        <v>20</v>
      </c>
      <c r="G1057" s="5">
        <v>3</v>
      </c>
      <c r="H1057" s="5">
        <v>10.67</v>
      </c>
      <c r="I1057" s="5">
        <v>14</v>
      </c>
      <c r="J1057" s="5">
        <v>6</v>
      </c>
    </row>
    <row r="1058" spans="1:10" x14ac:dyDescent="0.3">
      <c r="A1058" s="5" t="s">
        <v>2494</v>
      </c>
      <c r="B1058" s="5" t="s">
        <v>189</v>
      </c>
      <c r="C1058" s="5" t="s">
        <v>99</v>
      </c>
      <c r="D1058" s="5" t="s">
        <v>6596</v>
      </c>
      <c r="E1058" s="5">
        <v>14</v>
      </c>
      <c r="F1058" s="5">
        <v>11</v>
      </c>
      <c r="G1058" s="5">
        <v>2</v>
      </c>
      <c r="H1058" s="5">
        <v>1.6</v>
      </c>
      <c r="I1058" s="5">
        <v>7</v>
      </c>
      <c r="J1058" s="5">
        <v>7</v>
      </c>
    </row>
    <row r="1059" spans="1:10" x14ac:dyDescent="0.3">
      <c r="A1059" s="5" t="s">
        <v>2494</v>
      </c>
      <c r="B1059" s="5" t="s">
        <v>189</v>
      </c>
      <c r="C1059" s="5" t="s">
        <v>99</v>
      </c>
      <c r="D1059" s="5" t="s">
        <v>6596</v>
      </c>
      <c r="E1059" s="5">
        <v>4</v>
      </c>
      <c r="F1059" s="5">
        <v>2</v>
      </c>
      <c r="G1059" s="5">
        <v>1</v>
      </c>
      <c r="H1059" s="5">
        <v>6.57</v>
      </c>
      <c r="I1059" s="5">
        <v>2</v>
      </c>
      <c r="J1059" s="5">
        <v>2</v>
      </c>
    </row>
    <row r="1060" spans="1:10" x14ac:dyDescent="0.3">
      <c r="A1060" s="5" t="s">
        <v>2494</v>
      </c>
      <c r="B1060" s="5" t="s">
        <v>189</v>
      </c>
      <c r="C1060" s="5" t="s">
        <v>99</v>
      </c>
      <c r="D1060" s="5" t="s">
        <v>6596</v>
      </c>
      <c r="E1060" s="5">
        <v>25</v>
      </c>
      <c r="F1060" s="5">
        <v>24</v>
      </c>
      <c r="G1060" s="5">
        <v>4</v>
      </c>
      <c r="H1060" s="5">
        <v>9.06</v>
      </c>
      <c r="I1060" s="5">
        <v>17</v>
      </c>
      <c r="J1060" s="5">
        <v>8</v>
      </c>
    </row>
    <row r="1061" spans="1:10" x14ac:dyDescent="0.3">
      <c r="A1061" s="5" t="s">
        <v>2504</v>
      </c>
      <c r="B1061" s="5" t="s">
        <v>27</v>
      </c>
      <c r="C1061" s="5" t="s">
        <v>37</v>
      </c>
      <c r="D1061" s="5" t="s">
        <v>6596</v>
      </c>
      <c r="E1061" s="5">
        <v>10</v>
      </c>
      <c r="F1061" s="5">
        <v>7</v>
      </c>
      <c r="G1061" s="5">
        <v>3</v>
      </c>
      <c r="H1061" s="5">
        <v>4.93</v>
      </c>
      <c r="I1061" s="5">
        <v>8</v>
      </c>
      <c r="J1061" s="5">
        <v>2</v>
      </c>
    </row>
    <row r="1062" spans="1:10" x14ac:dyDescent="0.3">
      <c r="A1062" s="5" t="s">
        <v>2445</v>
      </c>
      <c r="B1062" s="5" t="s">
        <v>27</v>
      </c>
      <c r="C1062" s="5" t="s">
        <v>164</v>
      </c>
      <c r="D1062" s="5" t="s">
        <v>6596</v>
      </c>
      <c r="E1062" s="5">
        <v>11</v>
      </c>
      <c r="F1062" s="5">
        <v>9</v>
      </c>
      <c r="G1062" s="5">
        <v>4</v>
      </c>
      <c r="H1062" s="5">
        <v>4.33</v>
      </c>
      <c r="I1062" s="5">
        <v>5</v>
      </c>
      <c r="J1062" s="5">
        <v>6</v>
      </c>
    </row>
    <row r="1063" spans="1:10" x14ac:dyDescent="0.3">
      <c r="A1063" s="5" t="s">
        <v>2445</v>
      </c>
      <c r="B1063" s="5" t="s">
        <v>27</v>
      </c>
      <c r="C1063" s="5" t="s">
        <v>164</v>
      </c>
      <c r="D1063" s="5" t="s">
        <v>6596</v>
      </c>
      <c r="E1063" s="5">
        <v>22</v>
      </c>
      <c r="F1063" s="5">
        <v>22</v>
      </c>
      <c r="G1063" s="5">
        <v>2</v>
      </c>
      <c r="H1063" s="5">
        <v>7.22</v>
      </c>
      <c r="I1063" s="5">
        <v>15</v>
      </c>
      <c r="J1063" s="5">
        <v>7</v>
      </c>
    </row>
    <row r="1064" spans="1:10" x14ac:dyDescent="0.3">
      <c r="A1064" s="5" t="s">
        <v>2463</v>
      </c>
      <c r="B1064" s="5" t="s">
        <v>27</v>
      </c>
      <c r="C1064" s="5" t="s">
        <v>74</v>
      </c>
      <c r="D1064" s="5" t="s">
        <v>6596</v>
      </c>
      <c r="E1064" s="5">
        <v>7</v>
      </c>
      <c r="F1064" s="5">
        <v>4</v>
      </c>
      <c r="G1064" s="5">
        <v>4</v>
      </c>
      <c r="H1064" s="5">
        <v>11.99</v>
      </c>
      <c r="I1064" s="5">
        <v>5</v>
      </c>
      <c r="J1064" s="5">
        <v>2</v>
      </c>
    </row>
    <row r="1065" spans="1:10" x14ac:dyDescent="0.3">
      <c r="A1065" s="5" t="s">
        <v>2463</v>
      </c>
      <c r="B1065" s="5" t="s">
        <v>27</v>
      </c>
      <c r="C1065" s="5" t="s">
        <v>74</v>
      </c>
      <c r="D1065" s="5" t="s">
        <v>6596</v>
      </c>
      <c r="E1065" s="5">
        <v>8</v>
      </c>
      <c r="F1065" s="5">
        <v>7</v>
      </c>
      <c r="G1065" s="5">
        <v>4</v>
      </c>
      <c r="H1065" s="5">
        <v>7.34</v>
      </c>
      <c r="I1065" s="5">
        <v>4</v>
      </c>
      <c r="J1065" s="5">
        <v>4</v>
      </c>
    </row>
    <row r="1066" spans="1:10" x14ac:dyDescent="0.3">
      <c r="A1066" s="5" t="s">
        <v>2463</v>
      </c>
      <c r="B1066" s="5" t="s">
        <v>27</v>
      </c>
      <c r="C1066" s="5" t="s">
        <v>74</v>
      </c>
      <c r="D1066" s="5" t="s">
        <v>6596</v>
      </c>
      <c r="E1066" s="5">
        <v>17</v>
      </c>
      <c r="F1066" s="5">
        <v>14</v>
      </c>
      <c r="G1066" s="5">
        <v>4</v>
      </c>
      <c r="H1066" s="5">
        <v>9.01</v>
      </c>
      <c r="I1066" s="5">
        <v>8</v>
      </c>
      <c r="J1066" s="5">
        <v>9</v>
      </c>
    </row>
    <row r="1067" spans="1:10" x14ac:dyDescent="0.3">
      <c r="A1067" s="5" t="s">
        <v>2431</v>
      </c>
      <c r="B1067" s="5" t="s">
        <v>16</v>
      </c>
      <c r="C1067" s="5" t="s">
        <v>67</v>
      </c>
      <c r="D1067" s="5" t="s">
        <v>6596</v>
      </c>
      <c r="E1067" s="5">
        <v>6</v>
      </c>
      <c r="F1067" s="5">
        <v>4</v>
      </c>
      <c r="G1067" s="5">
        <v>1</v>
      </c>
      <c r="H1067" s="5">
        <v>9.7799999999999994</v>
      </c>
      <c r="I1067" s="5">
        <v>3</v>
      </c>
      <c r="J1067" s="5">
        <v>3</v>
      </c>
    </row>
    <row r="1068" spans="1:10" x14ac:dyDescent="0.3">
      <c r="A1068" s="5" t="s">
        <v>2518</v>
      </c>
      <c r="B1068" s="5" t="s">
        <v>16</v>
      </c>
      <c r="C1068" s="5" t="s">
        <v>164</v>
      </c>
      <c r="D1068" s="5" t="s">
        <v>6596</v>
      </c>
      <c r="E1068" s="5">
        <v>18</v>
      </c>
      <c r="F1068" s="5">
        <v>16</v>
      </c>
      <c r="G1068" s="5">
        <v>1</v>
      </c>
      <c r="H1068" s="5">
        <v>1.71</v>
      </c>
      <c r="I1068" s="5">
        <v>13</v>
      </c>
      <c r="J1068" s="5">
        <v>5</v>
      </c>
    </row>
    <row r="1069" spans="1:10" x14ac:dyDescent="0.3">
      <c r="A1069" s="5" t="s">
        <v>2415</v>
      </c>
      <c r="B1069" s="5" t="s">
        <v>189</v>
      </c>
      <c r="C1069" s="5" t="s">
        <v>17</v>
      </c>
      <c r="D1069" s="5" t="s">
        <v>6595</v>
      </c>
      <c r="E1069" s="5">
        <v>5</v>
      </c>
      <c r="F1069" s="5">
        <v>5</v>
      </c>
      <c r="G1069" s="5">
        <v>3</v>
      </c>
      <c r="H1069" s="5">
        <v>1.66</v>
      </c>
      <c r="I1069" s="5">
        <v>3</v>
      </c>
      <c r="J1069" s="5">
        <v>2</v>
      </c>
    </row>
    <row r="1070" spans="1:10" x14ac:dyDescent="0.3">
      <c r="A1070" s="5" t="s">
        <v>2415</v>
      </c>
      <c r="B1070" s="5" t="s">
        <v>189</v>
      </c>
      <c r="C1070" s="5" t="s">
        <v>17</v>
      </c>
      <c r="D1070" s="5" t="s">
        <v>6595</v>
      </c>
      <c r="E1070" s="5">
        <v>18</v>
      </c>
      <c r="F1070" s="5">
        <v>15</v>
      </c>
      <c r="G1070" s="5">
        <v>2</v>
      </c>
      <c r="H1070" s="5">
        <v>7.99</v>
      </c>
      <c r="I1070" s="5">
        <v>9</v>
      </c>
      <c r="J1070" s="5">
        <v>9</v>
      </c>
    </row>
    <row r="1071" spans="1:10" x14ac:dyDescent="0.3">
      <c r="A1071" s="5" t="s">
        <v>2434</v>
      </c>
      <c r="B1071" s="5" t="s">
        <v>16</v>
      </c>
      <c r="C1071" s="5" t="s">
        <v>108</v>
      </c>
      <c r="D1071" s="5" t="s">
        <v>6595</v>
      </c>
      <c r="E1071" s="5">
        <v>8</v>
      </c>
      <c r="F1071" s="5">
        <v>8</v>
      </c>
      <c r="G1071" s="5">
        <v>2</v>
      </c>
      <c r="H1071" s="5">
        <v>2.84</v>
      </c>
      <c r="I1071" s="5">
        <v>6</v>
      </c>
      <c r="J1071" s="5">
        <v>2</v>
      </c>
    </row>
    <row r="1072" spans="1:10" x14ac:dyDescent="0.3">
      <c r="A1072" s="5" t="s">
        <v>2434</v>
      </c>
      <c r="B1072" s="5" t="s">
        <v>16</v>
      </c>
      <c r="C1072" s="5" t="s">
        <v>108</v>
      </c>
      <c r="D1072" s="5" t="s">
        <v>6595</v>
      </c>
      <c r="E1072" s="5">
        <v>10</v>
      </c>
      <c r="F1072" s="5">
        <v>10</v>
      </c>
      <c r="G1072" s="5">
        <v>2</v>
      </c>
      <c r="H1072" s="5">
        <v>11.57</v>
      </c>
      <c r="I1072" s="5">
        <v>7</v>
      </c>
      <c r="J1072" s="5">
        <v>3</v>
      </c>
    </row>
    <row r="1073" spans="1:10" x14ac:dyDescent="0.3">
      <c r="A1073" s="5" t="s">
        <v>2469</v>
      </c>
      <c r="B1073" s="5" t="s">
        <v>16</v>
      </c>
      <c r="C1073" s="5" t="s">
        <v>99</v>
      </c>
      <c r="D1073" s="5" t="s">
        <v>6595</v>
      </c>
      <c r="E1073" s="5">
        <v>6</v>
      </c>
      <c r="F1073" s="5">
        <v>3</v>
      </c>
      <c r="G1073" s="5">
        <v>4</v>
      </c>
      <c r="H1073" s="5">
        <v>8.3000000000000007</v>
      </c>
      <c r="I1073" s="5">
        <v>4</v>
      </c>
      <c r="J1073" s="5">
        <v>2</v>
      </c>
    </row>
    <row r="1074" spans="1:10" x14ac:dyDescent="0.3">
      <c r="A1074" s="5" t="s">
        <v>2469</v>
      </c>
      <c r="B1074" s="5" t="s">
        <v>16</v>
      </c>
      <c r="C1074" s="5" t="s">
        <v>99</v>
      </c>
      <c r="D1074" s="5" t="s">
        <v>6595</v>
      </c>
      <c r="E1074" s="5">
        <v>25</v>
      </c>
      <c r="F1074" s="5">
        <v>22</v>
      </c>
      <c r="G1074" s="5">
        <v>2</v>
      </c>
      <c r="H1074" s="5">
        <v>7.1</v>
      </c>
      <c r="I1074" s="5">
        <v>16</v>
      </c>
      <c r="J1074" s="5">
        <v>9</v>
      </c>
    </row>
    <row r="1075" spans="1:10" x14ac:dyDescent="0.3">
      <c r="A1075" s="5" t="s">
        <v>2536</v>
      </c>
      <c r="B1075" s="5" t="s">
        <v>36</v>
      </c>
      <c r="C1075" s="5" t="s">
        <v>99</v>
      </c>
      <c r="D1075" s="5" t="s">
        <v>6595</v>
      </c>
      <c r="E1075" s="5">
        <v>7</v>
      </c>
      <c r="F1075" s="5">
        <v>4</v>
      </c>
      <c r="G1075" s="5">
        <v>1</v>
      </c>
      <c r="H1075" s="5">
        <v>11.15</v>
      </c>
      <c r="I1075" s="5">
        <v>4</v>
      </c>
      <c r="J1075" s="5">
        <v>3</v>
      </c>
    </row>
    <row r="1076" spans="1:10" x14ac:dyDescent="0.3">
      <c r="A1076" s="5" t="s">
        <v>2536</v>
      </c>
      <c r="B1076" s="5" t="s">
        <v>36</v>
      </c>
      <c r="C1076" s="5" t="s">
        <v>99</v>
      </c>
      <c r="D1076" s="5" t="s">
        <v>6595</v>
      </c>
      <c r="E1076" s="5">
        <v>18</v>
      </c>
      <c r="F1076" s="5">
        <v>17</v>
      </c>
      <c r="G1076" s="5">
        <v>4</v>
      </c>
      <c r="H1076" s="5">
        <v>4.08</v>
      </c>
      <c r="I1076" s="5">
        <v>11</v>
      </c>
      <c r="J1076" s="5">
        <v>7</v>
      </c>
    </row>
    <row r="1077" spans="1:10" x14ac:dyDescent="0.3">
      <c r="A1077" s="5" t="s">
        <v>2532</v>
      </c>
      <c r="B1077" s="5" t="s">
        <v>36</v>
      </c>
      <c r="C1077" s="5" t="s">
        <v>67</v>
      </c>
      <c r="D1077" s="5" t="s">
        <v>6595</v>
      </c>
      <c r="E1077" s="5">
        <v>21</v>
      </c>
      <c r="F1077" s="5">
        <v>20</v>
      </c>
      <c r="G1077" s="5">
        <v>3</v>
      </c>
      <c r="H1077" s="5">
        <v>5.51</v>
      </c>
      <c r="I1077" s="5">
        <v>10</v>
      </c>
      <c r="J1077" s="5">
        <v>11</v>
      </c>
    </row>
    <row r="1078" spans="1:10" x14ac:dyDescent="0.3">
      <c r="A1078" s="5" t="s">
        <v>2532</v>
      </c>
      <c r="B1078" s="5" t="s">
        <v>36</v>
      </c>
      <c r="C1078" s="5" t="s">
        <v>67</v>
      </c>
      <c r="D1078" s="5" t="s">
        <v>6595</v>
      </c>
      <c r="E1078" s="5">
        <v>7</v>
      </c>
      <c r="F1078" s="5">
        <v>4</v>
      </c>
      <c r="G1078" s="5">
        <v>2</v>
      </c>
      <c r="H1078" s="5">
        <v>4.05</v>
      </c>
      <c r="I1078" s="5">
        <v>3</v>
      </c>
      <c r="J1078" s="5">
        <v>4</v>
      </c>
    </row>
    <row r="1079" spans="1:10" x14ac:dyDescent="0.3">
      <c r="A1079" s="5" t="s">
        <v>2532</v>
      </c>
      <c r="B1079" s="5" t="s">
        <v>36</v>
      </c>
      <c r="C1079" s="5" t="s">
        <v>67</v>
      </c>
      <c r="D1079" s="5" t="s">
        <v>6595</v>
      </c>
      <c r="E1079" s="5">
        <v>5</v>
      </c>
      <c r="F1079" s="5">
        <v>4</v>
      </c>
      <c r="G1079" s="5">
        <v>2</v>
      </c>
      <c r="H1079" s="5">
        <v>8.15</v>
      </c>
      <c r="I1079" s="5">
        <v>4</v>
      </c>
      <c r="J1079" s="5">
        <v>1</v>
      </c>
    </row>
    <row r="1080" spans="1:10" x14ac:dyDescent="0.3">
      <c r="A1080" s="5" t="s">
        <v>2490</v>
      </c>
      <c r="B1080" s="5" t="s">
        <v>36</v>
      </c>
      <c r="C1080" s="5" t="s">
        <v>28</v>
      </c>
      <c r="D1080" s="5" t="s">
        <v>6595</v>
      </c>
      <c r="E1080" s="5">
        <v>7</v>
      </c>
      <c r="F1080" s="5">
        <v>4</v>
      </c>
      <c r="G1080" s="5">
        <v>4</v>
      </c>
      <c r="H1080" s="5">
        <v>11.31</v>
      </c>
      <c r="I1080" s="5">
        <v>5</v>
      </c>
      <c r="J1080" s="5">
        <v>2</v>
      </c>
    </row>
    <row r="1081" spans="1:10" x14ac:dyDescent="0.3">
      <c r="A1081" s="5" t="s">
        <v>2490</v>
      </c>
      <c r="B1081" s="5" t="s">
        <v>36</v>
      </c>
      <c r="C1081" s="5" t="s">
        <v>28</v>
      </c>
      <c r="D1081" s="5" t="s">
        <v>6595</v>
      </c>
      <c r="E1081" s="5">
        <v>20</v>
      </c>
      <c r="F1081" s="5">
        <v>17</v>
      </c>
      <c r="G1081" s="5">
        <v>2</v>
      </c>
      <c r="H1081" s="5">
        <v>11.08</v>
      </c>
      <c r="I1081" s="5">
        <v>14</v>
      </c>
      <c r="J1081" s="5">
        <v>6</v>
      </c>
    </row>
    <row r="1082" spans="1:10" x14ac:dyDescent="0.3">
      <c r="A1082" s="5" t="s">
        <v>2490</v>
      </c>
      <c r="B1082" s="5" t="s">
        <v>36</v>
      </c>
      <c r="C1082" s="5" t="s">
        <v>28</v>
      </c>
      <c r="D1082" s="5" t="s">
        <v>6595</v>
      </c>
      <c r="E1082" s="5">
        <v>19</v>
      </c>
      <c r="F1082" s="5">
        <v>17</v>
      </c>
      <c r="G1082" s="5">
        <v>4</v>
      </c>
      <c r="H1082" s="5">
        <v>7.85</v>
      </c>
      <c r="I1082" s="5">
        <v>10</v>
      </c>
      <c r="J1082" s="5">
        <v>9</v>
      </c>
    </row>
    <row r="1083" spans="1:10" x14ac:dyDescent="0.3">
      <c r="A1083" s="5" t="s">
        <v>2561</v>
      </c>
      <c r="B1083" s="5" t="s">
        <v>36</v>
      </c>
      <c r="C1083" s="5" t="s">
        <v>74</v>
      </c>
      <c r="D1083" s="5" t="s">
        <v>6595</v>
      </c>
      <c r="E1083" s="5">
        <v>24</v>
      </c>
      <c r="F1083" s="5">
        <v>23</v>
      </c>
      <c r="G1083" s="5">
        <v>2</v>
      </c>
      <c r="H1083" s="5">
        <v>10.09</v>
      </c>
      <c r="I1083" s="5">
        <v>16</v>
      </c>
      <c r="J1083" s="5">
        <v>8</v>
      </c>
    </row>
    <row r="1084" spans="1:10" x14ac:dyDescent="0.3">
      <c r="A1084" s="5" t="s">
        <v>2561</v>
      </c>
      <c r="B1084" s="5" t="s">
        <v>36</v>
      </c>
      <c r="C1084" s="5" t="s">
        <v>74</v>
      </c>
      <c r="D1084" s="5" t="s">
        <v>6595</v>
      </c>
      <c r="E1084" s="5">
        <v>23</v>
      </c>
      <c r="F1084" s="5">
        <v>21</v>
      </c>
      <c r="G1084" s="5">
        <v>1</v>
      </c>
      <c r="H1084" s="5">
        <v>3.73</v>
      </c>
      <c r="I1084" s="5">
        <v>16</v>
      </c>
      <c r="J1084" s="5">
        <v>7</v>
      </c>
    </row>
    <row r="1085" spans="1:10" x14ac:dyDescent="0.3">
      <c r="A1085" s="5" t="s">
        <v>2561</v>
      </c>
      <c r="B1085" s="5" t="s">
        <v>36</v>
      </c>
      <c r="C1085" s="5" t="s">
        <v>74</v>
      </c>
      <c r="D1085" s="5" t="s">
        <v>6595</v>
      </c>
      <c r="E1085" s="5">
        <v>9</v>
      </c>
      <c r="F1085" s="5">
        <v>9</v>
      </c>
      <c r="G1085" s="5">
        <v>1</v>
      </c>
      <c r="H1085" s="5">
        <v>4.46</v>
      </c>
      <c r="I1085" s="5">
        <v>5</v>
      </c>
      <c r="J1085" s="5">
        <v>4</v>
      </c>
    </row>
    <row r="1086" spans="1:10" x14ac:dyDescent="0.3">
      <c r="A1086" s="5" t="s">
        <v>2407</v>
      </c>
      <c r="B1086" s="5" t="s">
        <v>66</v>
      </c>
      <c r="C1086" s="5" t="s">
        <v>93</v>
      </c>
      <c r="D1086" s="5" t="s">
        <v>6595</v>
      </c>
      <c r="E1086" s="5">
        <v>3</v>
      </c>
      <c r="F1086" s="5">
        <v>3</v>
      </c>
      <c r="G1086" s="5">
        <v>1</v>
      </c>
      <c r="H1086" s="5">
        <v>9.25</v>
      </c>
      <c r="I1086" s="5">
        <v>1</v>
      </c>
      <c r="J1086" s="5">
        <v>2</v>
      </c>
    </row>
    <row r="1087" spans="1:10" x14ac:dyDescent="0.3">
      <c r="A1087" s="5" t="s">
        <v>2466</v>
      </c>
      <c r="B1087" s="5" t="s">
        <v>66</v>
      </c>
      <c r="C1087" s="5" t="s">
        <v>67</v>
      </c>
      <c r="D1087" s="5" t="s">
        <v>6595</v>
      </c>
      <c r="E1087" s="5">
        <v>18</v>
      </c>
      <c r="F1087" s="5">
        <v>17</v>
      </c>
      <c r="G1087" s="5">
        <v>4</v>
      </c>
      <c r="H1087" s="5">
        <v>2.97</v>
      </c>
      <c r="I1087" s="5">
        <v>15</v>
      </c>
      <c r="J1087" s="5">
        <v>3</v>
      </c>
    </row>
    <row r="1088" spans="1:10" x14ac:dyDescent="0.3">
      <c r="A1088" s="5" t="s">
        <v>2466</v>
      </c>
      <c r="B1088" s="5" t="s">
        <v>66</v>
      </c>
      <c r="C1088" s="5" t="s">
        <v>67</v>
      </c>
      <c r="D1088" s="5" t="s">
        <v>6595</v>
      </c>
      <c r="E1088" s="5">
        <v>9</v>
      </c>
      <c r="F1088" s="5">
        <v>6</v>
      </c>
      <c r="G1088" s="5">
        <v>4</v>
      </c>
      <c r="H1088" s="5">
        <v>6.31</v>
      </c>
      <c r="I1088" s="5">
        <v>5</v>
      </c>
      <c r="J1088" s="5">
        <v>4</v>
      </c>
    </row>
    <row r="1089" spans="1:10" x14ac:dyDescent="0.3">
      <c r="A1089" s="5" t="s">
        <v>2521</v>
      </c>
      <c r="B1089" s="5" t="s">
        <v>66</v>
      </c>
      <c r="C1089" s="5" t="s">
        <v>99</v>
      </c>
      <c r="D1089" s="5" t="s">
        <v>6595</v>
      </c>
      <c r="E1089" s="5">
        <v>12</v>
      </c>
      <c r="F1089" s="5">
        <v>12</v>
      </c>
      <c r="G1089" s="5">
        <v>2</v>
      </c>
      <c r="H1089" s="5">
        <v>7</v>
      </c>
      <c r="I1089" s="5">
        <v>6</v>
      </c>
      <c r="J1089" s="5">
        <v>6</v>
      </c>
    </row>
    <row r="1090" spans="1:10" x14ac:dyDescent="0.3">
      <c r="A1090" s="5" t="s">
        <v>2411</v>
      </c>
      <c r="B1090" s="5" t="s">
        <v>55</v>
      </c>
      <c r="C1090" s="5" t="s">
        <v>108</v>
      </c>
      <c r="D1090" s="5" t="s">
        <v>6595</v>
      </c>
      <c r="E1090" s="5">
        <v>6</v>
      </c>
      <c r="F1090" s="5">
        <v>3</v>
      </c>
      <c r="G1090" s="5">
        <v>4</v>
      </c>
      <c r="H1090" s="5">
        <v>8.99</v>
      </c>
      <c r="I1090" s="5">
        <v>4</v>
      </c>
      <c r="J1090" s="5">
        <v>2</v>
      </c>
    </row>
    <row r="1091" spans="1:10" x14ac:dyDescent="0.3">
      <c r="A1091" s="5" t="s">
        <v>2459</v>
      </c>
      <c r="B1091" s="5" t="s">
        <v>189</v>
      </c>
      <c r="C1091" s="5" t="s">
        <v>67</v>
      </c>
      <c r="D1091" s="5" t="s">
        <v>6595</v>
      </c>
      <c r="E1091" s="5">
        <v>13</v>
      </c>
      <c r="F1091" s="5">
        <v>12</v>
      </c>
      <c r="G1091" s="5">
        <v>4</v>
      </c>
      <c r="H1091" s="5">
        <v>10.25</v>
      </c>
      <c r="I1091" s="5">
        <v>6</v>
      </c>
      <c r="J1091" s="5">
        <v>7</v>
      </c>
    </row>
    <row r="1092" spans="1:10" x14ac:dyDescent="0.3">
      <c r="A1092" s="5" t="s">
        <v>2629</v>
      </c>
      <c r="B1092" s="5" t="s">
        <v>55</v>
      </c>
      <c r="C1092" s="5" t="s">
        <v>164</v>
      </c>
      <c r="D1092" s="5" t="s">
        <v>6595</v>
      </c>
      <c r="E1092" s="5">
        <v>6</v>
      </c>
      <c r="F1092" s="5">
        <v>4</v>
      </c>
      <c r="G1092" s="5">
        <v>2</v>
      </c>
      <c r="H1092" s="5">
        <v>6.4</v>
      </c>
      <c r="I1092" s="5">
        <v>3</v>
      </c>
      <c r="J1092" s="5">
        <v>3</v>
      </c>
    </row>
    <row r="1093" spans="1:10" x14ac:dyDescent="0.3">
      <c r="A1093" s="5" t="s">
        <v>2629</v>
      </c>
      <c r="B1093" s="5" t="s">
        <v>55</v>
      </c>
      <c r="C1093" s="5" t="s">
        <v>164</v>
      </c>
      <c r="D1093" s="5" t="s">
        <v>6595</v>
      </c>
      <c r="E1093" s="5">
        <v>17</v>
      </c>
      <c r="F1093" s="5">
        <v>17</v>
      </c>
      <c r="G1093" s="5">
        <v>2</v>
      </c>
      <c r="H1093" s="5">
        <v>6.45</v>
      </c>
      <c r="I1093" s="5">
        <v>12</v>
      </c>
      <c r="J1093" s="5">
        <v>5</v>
      </c>
    </row>
    <row r="1094" spans="1:10" x14ac:dyDescent="0.3">
      <c r="A1094" s="5" t="s">
        <v>2422</v>
      </c>
      <c r="B1094" s="5" t="s">
        <v>55</v>
      </c>
      <c r="C1094" s="5" t="s">
        <v>28</v>
      </c>
      <c r="D1094" s="5" t="s">
        <v>6595</v>
      </c>
      <c r="E1094" s="5">
        <v>20</v>
      </c>
      <c r="F1094" s="5">
        <v>18</v>
      </c>
      <c r="G1094" s="5">
        <v>1</v>
      </c>
      <c r="H1094" s="5">
        <v>10.24</v>
      </c>
      <c r="I1094" s="5">
        <v>16</v>
      </c>
      <c r="J1094" s="5">
        <v>4</v>
      </c>
    </row>
    <row r="1095" spans="1:10" x14ac:dyDescent="0.3">
      <c r="A1095" s="5" t="s">
        <v>2438</v>
      </c>
      <c r="B1095" s="5" t="s">
        <v>55</v>
      </c>
      <c r="C1095" s="5" t="s">
        <v>74</v>
      </c>
      <c r="D1095" s="5" t="s">
        <v>6595</v>
      </c>
      <c r="E1095" s="5">
        <v>14</v>
      </c>
      <c r="F1095" s="5">
        <v>12</v>
      </c>
      <c r="G1095" s="5">
        <v>3</v>
      </c>
      <c r="H1095" s="5">
        <v>8.1199999999999992</v>
      </c>
      <c r="I1095" s="5">
        <v>11</v>
      </c>
      <c r="J1095" s="5">
        <v>3</v>
      </c>
    </row>
    <row r="1096" spans="1:10" x14ac:dyDescent="0.3">
      <c r="A1096" s="5" t="s">
        <v>2438</v>
      </c>
      <c r="B1096" s="5" t="s">
        <v>55</v>
      </c>
      <c r="C1096" s="5" t="s">
        <v>74</v>
      </c>
      <c r="D1096" s="5" t="s">
        <v>6595</v>
      </c>
      <c r="E1096" s="5">
        <v>11</v>
      </c>
      <c r="F1096" s="5">
        <v>11</v>
      </c>
      <c r="G1096" s="5">
        <v>2</v>
      </c>
      <c r="H1096" s="5">
        <v>6.24</v>
      </c>
      <c r="I1096" s="5">
        <v>7</v>
      </c>
      <c r="J1096" s="5">
        <v>4</v>
      </c>
    </row>
    <row r="1097" spans="1:10" x14ac:dyDescent="0.3">
      <c r="A1097" s="5" t="s">
        <v>2438</v>
      </c>
      <c r="B1097" s="5" t="s">
        <v>55</v>
      </c>
      <c r="C1097" s="5" t="s">
        <v>74</v>
      </c>
      <c r="D1097" s="5" t="s">
        <v>6595</v>
      </c>
      <c r="E1097" s="5">
        <v>10</v>
      </c>
      <c r="F1097" s="5">
        <v>10</v>
      </c>
      <c r="G1097" s="5">
        <v>1</v>
      </c>
      <c r="H1097" s="5">
        <v>3.56</v>
      </c>
      <c r="I1097" s="5">
        <v>8</v>
      </c>
      <c r="J1097" s="5">
        <v>2</v>
      </c>
    </row>
    <row r="1098" spans="1:10" x14ac:dyDescent="0.3">
      <c r="A1098" s="5" t="s">
        <v>2438</v>
      </c>
      <c r="B1098" s="5" t="s">
        <v>55</v>
      </c>
      <c r="C1098" s="5" t="s">
        <v>74</v>
      </c>
      <c r="D1098" s="5" t="s">
        <v>6595</v>
      </c>
      <c r="E1098" s="5">
        <v>9</v>
      </c>
      <c r="F1098" s="5">
        <v>7</v>
      </c>
      <c r="G1098" s="5">
        <v>1</v>
      </c>
      <c r="H1098" s="5">
        <v>4.2300000000000004</v>
      </c>
      <c r="I1098" s="5">
        <v>4</v>
      </c>
      <c r="J1098" s="5">
        <v>5</v>
      </c>
    </row>
    <row r="1099" spans="1:10" x14ac:dyDescent="0.3">
      <c r="A1099" s="5" t="s">
        <v>2438</v>
      </c>
      <c r="B1099" s="5" t="s">
        <v>55</v>
      </c>
      <c r="C1099" s="5" t="s">
        <v>74</v>
      </c>
      <c r="D1099" s="5" t="s">
        <v>6595</v>
      </c>
      <c r="E1099" s="5">
        <v>21</v>
      </c>
      <c r="F1099" s="5">
        <v>20</v>
      </c>
      <c r="G1099" s="5">
        <v>4</v>
      </c>
      <c r="H1099" s="5">
        <v>4.87</v>
      </c>
      <c r="I1099" s="5">
        <v>13</v>
      </c>
      <c r="J1099" s="5">
        <v>8</v>
      </c>
    </row>
    <row r="1100" spans="1:10" x14ac:dyDescent="0.3">
      <c r="A1100" s="5" t="s">
        <v>2427</v>
      </c>
      <c r="B1100" s="5" t="s">
        <v>55</v>
      </c>
      <c r="C1100" s="5" t="s">
        <v>93</v>
      </c>
      <c r="D1100" s="5" t="s">
        <v>6595</v>
      </c>
      <c r="E1100" s="5">
        <v>12</v>
      </c>
      <c r="F1100" s="5">
        <v>12</v>
      </c>
      <c r="G1100" s="5">
        <v>2</v>
      </c>
      <c r="H1100" s="5">
        <v>8.81</v>
      </c>
      <c r="I1100" s="5">
        <v>8</v>
      </c>
      <c r="J1100" s="5">
        <v>4</v>
      </c>
    </row>
    <row r="1101" spans="1:10" x14ac:dyDescent="0.3">
      <c r="A1101" s="5" t="s">
        <v>2427</v>
      </c>
      <c r="B1101" s="5" t="s">
        <v>55</v>
      </c>
      <c r="C1101" s="5" t="s">
        <v>93</v>
      </c>
      <c r="D1101" s="5" t="s">
        <v>6595</v>
      </c>
      <c r="E1101" s="5">
        <v>7</v>
      </c>
      <c r="F1101" s="5">
        <v>6</v>
      </c>
      <c r="G1101" s="5">
        <v>1</v>
      </c>
      <c r="H1101" s="5">
        <v>11.77</v>
      </c>
      <c r="I1101" s="5">
        <v>3</v>
      </c>
      <c r="J1101" s="5">
        <v>4</v>
      </c>
    </row>
    <row r="1102" spans="1:10" x14ac:dyDescent="0.3">
      <c r="A1102" s="5" t="s">
        <v>2485</v>
      </c>
      <c r="B1102" s="5" t="s">
        <v>61</v>
      </c>
      <c r="C1102" s="5" t="s">
        <v>99</v>
      </c>
      <c r="D1102" s="5" t="s">
        <v>6595</v>
      </c>
      <c r="E1102" s="5">
        <v>25</v>
      </c>
      <c r="F1102" s="5">
        <v>22</v>
      </c>
      <c r="G1102" s="5">
        <v>1</v>
      </c>
      <c r="H1102" s="5">
        <v>5.62</v>
      </c>
      <c r="I1102" s="5">
        <v>13</v>
      </c>
      <c r="J1102" s="5">
        <v>12</v>
      </c>
    </row>
    <row r="1103" spans="1:10" x14ac:dyDescent="0.3">
      <c r="A1103" s="5" t="s">
        <v>2485</v>
      </c>
      <c r="B1103" s="5" t="s">
        <v>61</v>
      </c>
      <c r="C1103" s="5" t="s">
        <v>99</v>
      </c>
      <c r="D1103" s="5" t="s">
        <v>6595</v>
      </c>
      <c r="E1103" s="5">
        <v>10</v>
      </c>
      <c r="F1103" s="5">
        <v>8</v>
      </c>
      <c r="G1103" s="5">
        <v>1</v>
      </c>
      <c r="H1103" s="5">
        <v>2.65</v>
      </c>
      <c r="I1103" s="5">
        <v>5</v>
      </c>
      <c r="J1103" s="5">
        <v>5</v>
      </c>
    </row>
    <row r="1104" spans="1:10" x14ac:dyDescent="0.3">
      <c r="A1104" s="5" t="s">
        <v>2449</v>
      </c>
      <c r="B1104" s="5" t="s">
        <v>61</v>
      </c>
      <c r="C1104" s="5" t="s">
        <v>108</v>
      </c>
      <c r="D1104" s="5" t="s">
        <v>6595</v>
      </c>
      <c r="E1104" s="5">
        <v>4</v>
      </c>
      <c r="F1104" s="5">
        <v>3</v>
      </c>
      <c r="G1104" s="5">
        <v>1</v>
      </c>
      <c r="H1104" s="5">
        <v>6.85</v>
      </c>
      <c r="I1104" s="5">
        <v>2</v>
      </c>
      <c r="J1104" s="5">
        <v>2</v>
      </c>
    </row>
    <row r="1105" spans="1:10" x14ac:dyDescent="0.3">
      <c r="A1105" s="5" t="s">
        <v>2449</v>
      </c>
      <c r="B1105" s="5" t="s">
        <v>61</v>
      </c>
      <c r="C1105" s="5" t="s">
        <v>108</v>
      </c>
      <c r="D1105" s="5" t="s">
        <v>6595</v>
      </c>
      <c r="E1105" s="5">
        <v>17</v>
      </c>
      <c r="F1105" s="5">
        <v>14</v>
      </c>
      <c r="G1105" s="5">
        <v>3</v>
      </c>
      <c r="H1105" s="5">
        <v>8.67</v>
      </c>
      <c r="I1105" s="5">
        <v>9</v>
      </c>
      <c r="J1105" s="5">
        <v>8</v>
      </c>
    </row>
    <row r="1106" spans="1:10" x14ac:dyDescent="0.3">
      <c r="A1106" s="5" t="s">
        <v>2449</v>
      </c>
      <c r="B1106" s="5" t="s">
        <v>61</v>
      </c>
      <c r="C1106" s="5" t="s">
        <v>108</v>
      </c>
      <c r="D1106" s="5" t="s">
        <v>6595</v>
      </c>
      <c r="E1106" s="5">
        <v>5</v>
      </c>
      <c r="F1106" s="5">
        <v>3</v>
      </c>
      <c r="G1106" s="5">
        <v>2</v>
      </c>
      <c r="H1106" s="5">
        <v>7.6</v>
      </c>
      <c r="I1106" s="5">
        <v>2</v>
      </c>
      <c r="J1106" s="5">
        <v>3</v>
      </c>
    </row>
    <row r="1107" spans="1:10" x14ac:dyDescent="0.3">
      <c r="A1107" s="5" t="s">
        <v>2449</v>
      </c>
      <c r="B1107" s="5" t="s">
        <v>61</v>
      </c>
      <c r="C1107" s="5" t="s">
        <v>108</v>
      </c>
      <c r="D1107" s="5" t="s">
        <v>6595</v>
      </c>
      <c r="E1107" s="5">
        <v>12</v>
      </c>
      <c r="F1107" s="5">
        <v>9</v>
      </c>
      <c r="G1107" s="5">
        <v>3</v>
      </c>
      <c r="H1107" s="5">
        <v>10.31</v>
      </c>
      <c r="I1107" s="5">
        <v>6</v>
      </c>
      <c r="J1107" s="5">
        <v>6</v>
      </c>
    </row>
    <row r="1108" spans="1:10" x14ac:dyDescent="0.3">
      <c r="A1108" s="5" t="s">
        <v>2577</v>
      </c>
      <c r="B1108" s="5" t="s">
        <v>61</v>
      </c>
      <c r="C1108" s="5" t="s">
        <v>67</v>
      </c>
      <c r="D1108" s="5" t="s">
        <v>6595</v>
      </c>
      <c r="E1108" s="5">
        <v>17</v>
      </c>
      <c r="F1108" s="5">
        <v>17</v>
      </c>
      <c r="G1108" s="5">
        <v>1</v>
      </c>
      <c r="H1108" s="5">
        <v>5.88</v>
      </c>
      <c r="I1108" s="5">
        <v>12</v>
      </c>
      <c r="J1108" s="5">
        <v>5</v>
      </c>
    </row>
    <row r="1109" spans="1:10" x14ac:dyDescent="0.3">
      <c r="A1109" s="5" t="s">
        <v>2577</v>
      </c>
      <c r="B1109" s="5" t="s">
        <v>61</v>
      </c>
      <c r="C1109" s="5" t="s">
        <v>67</v>
      </c>
      <c r="D1109" s="5" t="s">
        <v>6595</v>
      </c>
      <c r="E1109" s="5">
        <v>21</v>
      </c>
      <c r="F1109" s="5">
        <v>19</v>
      </c>
      <c r="G1109" s="5">
        <v>1</v>
      </c>
      <c r="H1109" s="5">
        <v>2.0699999999999998</v>
      </c>
      <c r="I1109" s="5">
        <v>12</v>
      </c>
      <c r="J1109" s="5">
        <v>9</v>
      </c>
    </row>
    <row r="1110" spans="1:10" x14ac:dyDescent="0.3">
      <c r="A1110" s="5" t="s">
        <v>2577</v>
      </c>
      <c r="B1110" s="5" t="s">
        <v>61</v>
      </c>
      <c r="C1110" s="5" t="s">
        <v>67</v>
      </c>
      <c r="D1110" s="5" t="s">
        <v>6595</v>
      </c>
      <c r="E1110" s="5">
        <v>19</v>
      </c>
      <c r="F1110" s="5">
        <v>18</v>
      </c>
      <c r="G1110" s="5">
        <v>2</v>
      </c>
      <c r="H1110" s="5">
        <v>8.16</v>
      </c>
      <c r="I1110" s="5">
        <v>13</v>
      </c>
      <c r="J1110" s="5">
        <v>6</v>
      </c>
    </row>
    <row r="1111" spans="1:10" x14ac:dyDescent="0.3">
      <c r="A1111" s="5" t="s">
        <v>2454</v>
      </c>
      <c r="B1111" s="5" t="s">
        <v>61</v>
      </c>
      <c r="C1111" s="5" t="s">
        <v>17</v>
      </c>
      <c r="D1111" s="5" t="s">
        <v>6595</v>
      </c>
      <c r="E1111" s="5">
        <v>22</v>
      </c>
      <c r="F1111" s="5">
        <v>22</v>
      </c>
      <c r="G1111" s="5">
        <v>2</v>
      </c>
      <c r="H1111" s="5">
        <v>3.22</v>
      </c>
      <c r="I1111" s="5">
        <v>11</v>
      </c>
      <c r="J1111" s="5">
        <v>11</v>
      </c>
    </row>
    <row r="1112" spans="1:10" x14ac:dyDescent="0.3">
      <c r="A1112" s="5" t="s">
        <v>2454</v>
      </c>
      <c r="B1112" s="5" t="s">
        <v>61</v>
      </c>
      <c r="C1112" s="5" t="s">
        <v>17</v>
      </c>
      <c r="D1112" s="5" t="s">
        <v>6595</v>
      </c>
      <c r="E1112" s="5">
        <v>20</v>
      </c>
      <c r="F1112" s="5">
        <v>18</v>
      </c>
      <c r="G1112" s="5">
        <v>1</v>
      </c>
      <c r="H1112" s="5">
        <v>3.54</v>
      </c>
      <c r="I1112" s="5">
        <v>11</v>
      </c>
      <c r="J1112" s="5">
        <v>9</v>
      </c>
    </row>
    <row r="1113" spans="1:10" x14ac:dyDescent="0.3">
      <c r="A1113" s="5" t="s">
        <v>2454</v>
      </c>
      <c r="B1113" s="5" t="s">
        <v>61</v>
      </c>
      <c r="C1113" s="5" t="s">
        <v>17</v>
      </c>
      <c r="D1113" s="5" t="s">
        <v>6595</v>
      </c>
      <c r="E1113" s="5">
        <v>12</v>
      </c>
      <c r="F1113" s="5">
        <v>11</v>
      </c>
      <c r="G1113" s="5">
        <v>2</v>
      </c>
      <c r="H1113" s="5">
        <v>2.09</v>
      </c>
      <c r="I1113" s="5">
        <v>8</v>
      </c>
      <c r="J1113" s="5">
        <v>4</v>
      </c>
    </row>
    <row r="1114" spans="1:10" x14ac:dyDescent="0.3">
      <c r="A1114" s="5" t="s">
        <v>2454</v>
      </c>
      <c r="B1114" s="5" t="s">
        <v>61</v>
      </c>
      <c r="C1114" s="5" t="s">
        <v>17</v>
      </c>
      <c r="D1114" s="5" t="s">
        <v>6595</v>
      </c>
      <c r="E1114" s="5">
        <v>8</v>
      </c>
      <c r="F1114" s="5">
        <v>6</v>
      </c>
      <c r="G1114" s="5">
        <v>1</v>
      </c>
      <c r="H1114" s="5">
        <v>10.199999999999999</v>
      </c>
      <c r="I1114" s="5">
        <v>4</v>
      </c>
      <c r="J1114" s="5">
        <v>4</v>
      </c>
    </row>
    <row r="1115" spans="1:10" x14ac:dyDescent="0.3">
      <c r="A1115" s="5" t="s">
        <v>2481</v>
      </c>
      <c r="B1115" s="5" t="s">
        <v>80</v>
      </c>
      <c r="C1115" s="5" t="s">
        <v>37</v>
      </c>
      <c r="D1115" s="5" t="s">
        <v>6595</v>
      </c>
      <c r="E1115" s="5">
        <v>24</v>
      </c>
      <c r="F1115" s="5">
        <v>24</v>
      </c>
      <c r="G1115" s="5">
        <v>1</v>
      </c>
      <c r="H1115" s="5">
        <v>4</v>
      </c>
      <c r="I1115" s="5">
        <v>17</v>
      </c>
      <c r="J1115" s="5">
        <v>7</v>
      </c>
    </row>
    <row r="1116" spans="1:10" x14ac:dyDescent="0.3">
      <c r="A1116" s="5" t="s">
        <v>2481</v>
      </c>
      <c r="B1116" s="5" t="s">
        <v>80</v>
      </c>
      <c r="C1116" s="5" t="s">
        <v>37</v>
      </c>
      <c r="D1116" s="5" t="s">
        <v>6595</v>
      </c>
      <c r="E1116" s="5">
        <v>16</v>
      </c>
      <c r="F1116" s="5">
        <v>15</v>
      </c>
      <c r="G1116" s="5">
        <v>2</v>
      </c>
      <c r="H1116" s="5">
        <v>6.47</v>
      </c>
      <c r="I1116" s="5">
        <v>9</v>
      </c>
      <c r="J1116" s="5">
        <v>7</v>
      </c>
    </row>
    <row r="1117" spans="1:10" x14ac:dyDescent="0.3">
      <c r="A1117" s="5" t="s">
        <v>2481</v>
      </c>
      <c r="B1117" s="5" t="s">
        <v>80</v>
      </c>
      <c r="C1117" s="5" t="s">
        <v>37</v>
      </c>
      <c r="D1117" s="5" t="s">
        <v>6595</v>
      </c>
      <c r="E1117" s="5">
        <v>10</v>
      </c>
      <c r="F1117" s="5">
        <v>9</v>
      </c>
      <c r="G1117" s="5">
        <v>2</v>
      </c>
      <c r="H1117" s="5">
        <v>8.49</v>
      </c>
      <c r="I1117" s="5">
        <v>6</v>
      </c>
      <c r="J1117" s="5">
        <v>4</v>
      </c>
    </row>
    <row r="1118" spans="1:10" x14ac:dyDescent="0.3">
      <c r="A1118" s="5" t="s">
        <v>2473</v>
      </c>
      <c r="B1118" s="5" t="s">
        <v>80</v>
      </c>
      <c r="C1118" s="5" t="s">
        <v>93</v>
      </c>
      <c r="D1118" s="5" t="s">
        <v>6595</v>
      </c>
      <c r="E1118" s="5">
        <v>18</v>
      </c>
      <c r="F1118" s="5">
        <v>16</v>
      </c>
      <c r="G1118" s="5">
        <v>4</v>
      </c>
      <c r="H1118" s="5">
        <v>10.11</v>
      </c>
      <c r="I1118" s="5">
        <v>11</v>
      </c>
      <c r="J1118" s="5">
        <v>7</v>
      </c>
    </row>
    <row r="1119" spans="1:10" x14ac:dyDescent="0.3">
      <c r="A1119" s="5" t="s">
        <v>2473</v>
      </c>
      <c r="B1119" s="5" t="s">
        <v>80</v>
      </c>
      <c r="C1119" s="5" t="s">
        <v>93</v>
      </c>
      <c r="D1119" s="5" t="s">
        <v>6595</v>
      </c>
      <c r="E1119" s="5">
        <v>5</v>
      </c>
      <c r="F1119" s="5">
        <v>2</v>
      </c>
      <c r="G1119" s="5">
        <v>1</v>
      </c>
      <c r="H1119" s="5">
        <v>2.5499999999999998</v>
      </c>
      <c r="I1119" s="5">
        <v>3</v>
      </c>
      <c r="J1119" s="5">
        <v>2</v>
      </c>
    </row>
    <row r="1120" spans="1:10" x14ac:dyDescent="0.3">
      <c r="A1120" s="5" t="s">
        <v>2473</v>
      </c>
      <c r="B1120" s="5" t="s">
        <v>80</v>
      </c>
      <c r="C1120" s="5" t="s">
        <v>93</v>
      </c>
      <c r="D1120" s="5" t="s">
        <v>6595</v>
      </c>
      <c r="E1120" s="5">
        <v>7</v>
      </c>
      <c r="F1120" s="5">
        <v>6</v>
      </c>
      <c r="G1120" s="5">
        <v>2</v>
      </c>
      <c r="H1120" s="5">
        <v>5.79</v>
      </c>
      <c r="I1120" s="5">
        <v>4</v>
      </c>
      <c r="J1120" s="5">
        <v>3</v>
      </c>
    </row>
    <row r="1121" spans="1:10" x14ac:dyDescent="0.3">
      <c r="A1121" s="5" t="s">
        <v>2730</v>
      </c>
      <c r="B1121" s="5" t="s">
        <v>189</v>
      </c>
      <c r="C1121" s="5" t="s">
        <v>74</v>
      </c>
      <c r="D1121" s="5" t="s">
        <v>6595</v>
      </c>
      <c r="E1121" s="5">
        <v>16</v>
      </c>
      <c r="F1121" s="5">
        <v>14</v>
      </c>
      <c r="G1121" s="5">
        <v>2</v>
      </c>
      <c r="H1121" s="5">
        <v>8.2899999999999991</v>
      </c>
      <c r="I1121" s="5">
        <v>8</v>
      </c>
      <c r="J1121" s="5">
        <v>8</v>
      </c>
    </row>
    <row r="1122" spans="1:10" x14ac:dyDescent="0.3">
      <c r="A1122" s="5" t="s">
        <v>2730</v>
      </c>
      <c r="B1122" s="5" t="s">
        <v>189</v>
      </c>
      <c r="C1122" s="5" t="s">
        <v>74</v>
      </c>
      <c r="D1122" s="5" t="s">
        <v>6595</v>
      </c>
      <c r="E1122" s="5">
        <v>17</v>
      </c>
      <c r="F1122" s="5">
        <v>15</v>
      </c>
      <c r="G1122" s="5">
        <v>4</v>
      </c>
      <c r="H1122" s="5">
        <v>5.27</v>
      </c>
      <c r="I1122" s="5">
        <v>13</v>
      </c>
      <c r="J1122" s="5">
        <v>4</v>
      </c>
    </row>
    <row r="1123" spans="1:10" x14ac:dyDescent="0.3">
      <c r="A1123" s="5" t="s">
        <v>2514</v>
      </c>
      <c r="B1123" s="5" t="s">
        <v>80</v>
      </c>
      <c r="C1123" s="5" t="s">
        <v>47</v>
      </c>
      <c r="D1123" s="5" t="s">
        <v>6595</v>
      </c>
      <c r="E1123" s="5">
        <v>7</v>
      </c>
      <c r="F1123" s="5">
        <v>7</v>
      </c>
      <c r="G1123" s="5">
        <v>3</v>
      </c>
      <c r="H1123" s="5">
        <v>6.7</v>
      </c>
      <c r="I1123" s="5">
        <v>4</v>
      </c>
      <c r="J1123" s="5">
        <v>3</v>
      </c>
    </row>
    <row r="1124" spans="1:10" x14ac:dyDescent="0.3">
      <c r="A1124" s="5" t="s">
        <v>2514</v>
      </c>
      <c r="B1124" s="5" t="s">
        <v>80</v>
      </c>
      <c r="C1124" s="5" t="s">
        <v>47</v>
      </c>
      <c r="D1124" s="5" t="s">
        <v>6595</v>
      </c>
      <c r="E1124" s="5">
        <v>12</v>
      </c>
      <c r="F1124" s="5">
        <v>11</v>
      </c>
      <c r="G1124" s="5">
        <v>4</v>
      </c>
      <c r="H1124" s="5">
        <v>7.26</v>
      </c>
      <c r="I1124" s="5">
        <v>9</v>
      </c>
      <c r="J1124" s="5">
        <v>3</v>
      </c>
    </row>
    <row r="1125" spans="1:10" x14ac:dyDescent="0.3">
      <c r="A1125" s="5" t="s">
        <v>2494</v>
      </c>
      <c r="B1125" s="5" t="s">
        <v>189</v>
      </c>
      <c r="C1125" s="5" t="s">
        <v>99</v>
      </c>
      <c r="D1125" s="5" t="s">
        <v>6595</v>
      </c>
      <c r="E1125" s="5">
        <v>10</v>
      </c>
      <c r="F1125" s="5">
        <v>7</v>
      </c>
      <c r="G1125" s="5">
        <v>3</v>
      </c>
      <c r="H1125" s="5">
        <v>9.77</v>
      </c>
      <c r="I1125" s="5">
        <v>5</v>
      </c>
      <c r="J1125" s="5">
        <v>5</v>
      </c>
    </row>
    <row r="1126" spans="1:10" x14ac:dyDescent="0.3">
      <c r="A1126" s="5" t="s">
        <v>2494</v>
      </c>
      <c r="B1126" s="5" t="s">
        <v>189</v>
      </c>
      <c r="C1126" s="5" t="s">
        <v>99</v>
      </c>
      <c r="D1126" s="5" t="s">
        <v>6595</v>
      </c>
      <c r="E1126" s="5">
        <v>22</v>
      </c>
      <c r="F1126" s="5">
        <v>19</v>
      </c>
      <c r="G1126" s="5">
        <v>2</v>
      </c>
      <c r="H1126" s="5">
        <v>6.51</v>
      </c>
      <c r="I1126" s="5">
        <v>15</v>
      </c>
      <c r="J1126" s="5">
        <v>7</v>
      </c>
    </row>
    <row r="1127" spans="1:10" x14ac:dyDescent="0.3">
      <c r="A1127" s="5" t="s">
        <v>2504</v>
      </c>
      <c r="B1127" s="5" t="s">
        <v>27</v>
      </c>
      <c r="C1127" s="5" t="s">
        <v>37</v>
      </c>
      <c r="D1127" s="5" t="s">
        <v>6595</v>
      </c>
      <c r="E1127" s="5">
        <v>15</v>
      </c>
      <c r="F1127" s="5">
        <v>13</v>
      </c>
      <c r="G1127" s="5">
        <v>2</v>
      </c>
      <c r="H1127" s="5">
        <v>4.0599999999999996</v>
      </c>
      <c r="I1127" s="5">
        <v>9</v>
      </c>
      <c r="J1127" s="5">
        <v>6</v>
      </c>
    </row>
    <row r="1128" spans="1:10" x14ac:dyDescent="0.3">
      <c r="A1128" s="5" t="s">
        <v>2445</v>
      </c>
      <c r="B1128" s="5" t="s">
        <v>27</v>
      </c>
      <c r="C1128" s="5" t="s">
        <v>164</v>
      </c>
      <c r="D1128" s="5" t="s">
        <v>6595</v>
      </c>
      <c r="E1128" s="5">
        <v>24</v>
      </c>
      <c r="F1128" s="5">
        <v>22</v>
      </c>
      <c r="G1128" s="5">
        <v>3</v>
      </c>
      <c r="H1128" s="5">
        <v>3.14</v>
      </c>
      <c r="I1128" s="5">
        <v>18</v>
      </c>
      <c r="J1128" s="5">
        <v>6</v>
      </c>
    </row>
    <row r="1129" spans="1:10" x14ac:dyDescent="0.3">
      <c r="A1129" s="5" t="s">
        <v>2445</v>
      </c>
      <c r="B1129" s="5" t="s">
        <v>27</v>
      </c>
      <c r="C1129" s="5" t="s">
        <v>164</v>
      </c>
      <c r="D1129" s="5" t="s">
        <v>6595</v>
      </c>
      <c r="E1129" s="5">
        <v>4</v>
      </c>
      <c r="F1129" s="5">
        <v>4</v>
      </c>
      <c r="G1129" s="5">
        <v>1</v>
      </c>
      <c r="H1129" s="5">
        <v>9.43</v>
      </c>
      <c r="I1129" s="5">
        <v>2</v>
      </c>
      <c r="J1129" s="5">
        <v>2</v>
      </c>
    </row>
    <row r="1130" spans="1:10" x14ac:dyDescent="0.3">
      <c r="A1130" s="5" t="s">
        <v>2445</v>
      </c>
      <c r="B1130" s="5" t="s">
        <v>27</v>
      </c>
      <c r="C1130" s="5" t="s">
        <v>164</v>
      </c>
      <c r="D1130" s="5" t="s">
        <v>6595</v>
      </c>
      <c r="E1130" s="5">
        <v>17</v>
      </c>
      <c r="F1130" s="5">
        <v>17</v>
      </c>
      <c r="G1130" s="5">
        <v>3</v>
      </c>
      <c r="H1130" s="5">
        <v>9.57</v>
      </c>
      <c r="I1130" s="5">
        <v>10</v>
      </c>
      <c r="J1130" s="5">
        <v>7</v>
      </c>
    </row>
    <row r="1131" spans="1:10" x14ac:dyDescent="0.3">
      <c r="A1131" s="5" t="s">
        <v>2463</v>
      </c>
      <c r="B1131" s="5" t="s">
        <v>27</v>
      </c>
      <c r="C1131" s="5" t="s">
        <v>74</v>
      </c>
      <c r="D1131" s="5" t="s">
        <v>6595</v>
      </c>
      <c r="E1131" s="5">
        <v>25</v>
      </c>
      <c r="F1131" s="5">
        <v>23</v>
      </c>
      <c r="G1131" s="5">
        <v>2</v>
      </c>
      <c r="H1131" s="5">
        <v>4.92</v>
      </c>
      <c r="I1131" s="5">
        <v>15</v>
      </c>
      <c r="J1131" s="5">
        <v>10</v>
      </c>
    </row>
    <row r="1132" spans="1:10" x14ac:dyDescent="0.3">
      <c r="A1132" s="5" t="s">
        <v>2463</v>
      </c>
      <c r="B1132" s="5" t="s">
        <v>27</v>
      </c>
      <c r="C1132" s="5" t="s">
        <v>74</v>
      </c>
      <c r="D1132" s="5" t="s">
        <v>6595</v>
      </c>
      <c r="E1132" s="5">
        <v>16</v>
      </c>
      <c r="F1132" s="5">
        <v>13</v>
      </c>
      <c r="G1132" s="5">
        <v>2</v>
      </c>
      <c r="H1132" s="5">
        <v>6.59</v>
      </c>
      <c r="I1132" s="5">
        <v>11</v>
      </c>
      <c r="J1132" s="5">
        <v>5</v>
      </c>
    </row>
    <row r="1133" spans="1:10" x14ac:dyDescent="0.3">
      <c r="A1133" s="5" t="s">
        <v>2463</v>
      </c>
      <c r="B1133" s="5" t="s">
        <v>27</v>
      </c>
      <c r="C1133" s="5" t="s">
        <v>74</v>
      </c>
      <c r="D1133" s="5" t="s">
        <v>6595</v>
      </c>
      <c r="E1133" s="5">
        <v>20</v>
      </c>
      <c r="F1133" s="5">
        <v>19</v>
      </c>
      <c r="G1133" s="5">
        <v>4</v>
      </c>
      <c r="H1133" s="5">
        <v>10.67</v>
      </c>
      <c r="I1133" s="5">
        <v>16</v>
      </c>
      <c r="J1133" s="5">
        <v>4</v>
      </c>
    </row>
    <row r="1134" spans="1:10" x14ac:dyDescent="0.3">
      <c r="A1134" s="5" t="s">
        <v>2463</v>
      </c>
      <c r="B1134" s="5" t="s">
        <v>27</v>
      </c>
      <c r="C1134" s="5" t="s">
        <v>74</v>
      </c>
      <c r="D1134" s="5" t="s">
        <v>6595</v>
      </c>
      <c r="E1134" s="5">
        <v>17</v>
      </c>
      <c r="F1134" s="5">
        <v>16</v>
      </c>
      <c r="G1134" s="5">
        <v>1</v>
      </c>
      <c r="H1134" s="5">
        <v>10.42</v>
      </c>
      <c r="I1134" s="5">
        <v>14</v>
      </c>
      <c r="J1134" s="5">
        <v>3</v>
      </c>
    </row>
    <row r="1135" spans="1:10" x14ac:dyDescent="0.3">
      <c r="A1135" s="5" t="s">
        <v>2463</v>
      </c>
      <c r="B1135" s="5" t="s">
        <v>27</v>
      </c>
      <c r="C1135" s="5" t="s">
        <v>74</v>
      </c>
      <c r="D1135" s="5" t="s">
        <v>6595</v>
      </c>
      <c r="E1135" s="5">
        <v>4</v>
      </c>
      <c r="F1135" s="5">
        <v>3</v>
      </c>
      <c r="G1135" s="5">
        <v>1</v>
      </c>
      <c r="H1135" s="5">
        <v>10.64</v>
      </c>
      <c r="I1135" s="5">
        <v>2</v>
      </c>
      <c r="J1135" s="5">
        <v>2</v>
      </c>
    </row>
    <row r="1136" spans="1:10" x14ac:dyDescent="0.3">
      <c r="A1136" s="5" t="s">
        <v>2431</v>
      </c>
      <c r="B1136" s="5" t="s">
        <v>16</v>
      </c>
      <c r="C1136" s="5" t="s">
        <v>67</v>
      </c>
      <c r="D1136" s="5" t="s">
        <v>6595</v>
      </c>
      <c r="E1136" s="5">
        <v>6</v>
      </c>
      <c r="F1136" s="5">
        <v>6</v>
      </c>
      <c r="G1136" s="5">
        <v>4</v>
      </c>
      <c r="H1136" s="5">
        <v>2.0499999999999998</v>
      </c>
      <c r="I1136" s="5">
        <v>4</v>
      </c>
      <c r="J1136" s="5">
        <v>2</v>
      </c>
    </row>
    <row r="1137" spans="1:10" x14ac:dyDescent="0.3">
      <c r="A1137" s="5" t="s">
        <v>2518</v>
      </c>
      <c r="B1137" s="5" t="s">
        <v>16</v>
      </c>
      <c r="C1137" s="5" t="s">
        <v>164</v>
      </c>
      <c r="D1137" s="5" t="s">
        <v>6595</v>
      </c>
      <c r="E1137" s="5">
        <v>12</v>
      </c>
      <c r="F1137" s="5">
        <v>9</v>
      </c>
      <c r="G1137" s="5">
        <v>3</v>
      </c>
      <c r="H1137" s="5">
        <v>2.69</v>
      </c>
      <c r="I1137" s="5">
        <v>8</v>
      </c>
      <c r="J1137" s="5">
        <v>4</v>
      </c>
    </row>
    <row r="1138" spans="1:10" x14ac:dyDescent="0.3">
      <c r="A1138" s="5" t="s">
        <v>2518</v>
      </c>
      <c r="B1138" s="5" t="s">
        <v>16</v>
      </c>
      <c r="C1138" s="5" t="s">
        <v>164</v>
      </c>
      <c r="D1138" s="5" t="s">
        <v>6595</v>
      </c>
      <c r="E1138" s="5">
        <v>25</v>
      </c>
      <c r="F1138" s="5">
        <v>22</v>
      </c>
      <c r="G1138" s="5">
        <v>4</v>
      </c>
      <c r="H1138" s="5">
        <v>2.29</v>
      </c>
      <c r="I1138" s="5">
        <v>20</v>
      </c>
      <c r="J1138" s="5">
        <v>5</v>
      </c>
    </row>
    <row r="1139" spans="1:10" x14ac:dyDescent="0.3">
      <c r="A1139" s="5" t="s">
        <v>2518</v>
      </c>
      <c r="B1139" s="5" t="s">
        <v>16</v>
      </c>
      <c r="C1139" s="5" t="s">
        <v>164</v>
      </c>
      <c r="D1139" s="5" t="s">
        <v>6595</v>
      </c>
      <c r="E1139" s="5">
        <v>5</v>
      </c>
      <c r="F1139" s="5">
        <v>5</v>
      </c>
      <c r="G1139" s="5">
        <v>4</v>
      </c>
      <c r="H1139" s="5">
        <v>7.05</v>
      </c>
      <c r="I1139" s="5">
        <v>3</v>
      </c>
      <c r="J1139" s="5">
        <v>2</v>
      </c>
    </row>
    <row r="1140" spans="1:10" x14ac:dyDescent="0.3">
      <c r="A1140" s="5" t="s">
        <v>2518</v>
      </c>
      <c r="B1140" s="5" t="s">
        <v>16</v>
      </c>
      <c r="C1140" s="5" t="s">
        <v>164</v>
      </c>
      <c r="D1140" s="5" t="s">
        <v>6595</v>
      </c>
      <c r="E1140" s="5">
        <v>23</v>
      </c>
      <c r="F1140" s="5">
        <v>22</v>
      </c>
      <c r="G1140" s="5">
        <v>1</v>
      </c>
      <c r="H1140" s="5">
        <v>2.9</v>
      </c>
      <c r="I1140" s="5">
        <v>14</v>
      </c>
      <c r="J1140" s="5">
        <v>9</v>
      </c>
    </row>
    <row r="1141" spans="1:10" x14ac:dyDescent="0.3">
      <c r="A1141" s="5" t="s">
        <v>2518</v>
      </c>
      <c r="B1141" s="5" t="s">
        <v>16</v>
      </c>
      <c r="C1141" s="5" t="s">
        <v>164</v>
      </c>
      <c r="D1141" s="5" t="s">
        <v>6595</v>
      </c>
      <c r="E1141" s="5">
        <v>23</v>
      </c>
      <c r="F1141" s="5">
        <v>20</v>
      </c>
      <c r="G1141" s="5">
        <v>3</v>
      </c>
      <c r="H1141" s="5">
        <v>8.31</v>
      </c>
      <c r="I1141" s="5">
        <v>13</v>
      </c>
      <c r="J1141" s="5">
        <v>10</v>
      </c>
    </row>
    <row r="1142" spans="1:10" x14ac:dyDescent="0.3">
      <c r="A1142" s="5" t="s">
        <v>2415</v>
      </c>
      <c r="B1142" s="5" t="s">
        <v>189</v>
      </c>
      <c r="C1142" s="5" t="s">
        <v>17</v>
      </c>
      <c r="D1142" s="5" t="s">
        <v>6594</v>
      </c>
      <c r="E1142" s="5">
        <v>8</v>
      </c>
      <c r="F1142" s="5">
        <v>8</v>
      </c>
      <c r="G1142" s="5">
        <v>1</v>
      </c>
      <c r="H1142" s="5">
        <v>9.1</v>
      </c>
      <c r="I1142" s="5">
        <v>4</v>
      </c>
      <c r="J1142" s="5">
        <v>4</v>
      </c>
    </row>
    <row r="1143" spans="1:10" x14ac:dyDescent="0.3">
      <c r="A1143" s="5" t="s">
        <v>2415</v>
      </c>
      <c r="B1143" s="5" t="s">
        <v>189</v>
      </c>
      <c r="C1143" s="5" t="s">
        <v>17</v>
      </c>
      <c r="D1143" s="5" t="s">
        <v>6594</v>
      </c>
      <c r="E1143" s="5">
        <v>9</v>
      </c>
      <c r="F1143" s="5">
        <v>8</v>
      </c>
      <c r="G1143" s="5">
        <v>4</v>
      </c>
      <c r="H1143" s="5">
        <v>7.71</v>
      </c>
      <c r="I1143" s="5">
        <v>7</v>
      </c>
      <c r="J1143" s="5">
        <v>2</v>
      </c>
    </row>
    <row r="1144" spans="1:10" x14ac:dyDescent="0.3">
      <c r="A1144" s="5" t="s">
        <v>2434</v>
      </c>
      <c r="B1144" s="5" t="s">
        <v>16</v>
      </c>
      <c r="C1144" s="5" t="s">
        <v>108</v>
      </c>
      <c r="D1144" s="5" t="s">
        <v>6594</v>
      </c>
      <c r="E1144" s="5">
        <v>14</v>
      </c>
      <c r="F1144" s="5">
        <v>14</v>
      </c>
      <c r="G1144" s="5">
        <v>1</v>
      </c>
      <c r="H1144" s="5">
        <v>3.78</v>
      </c>
      <c r="I1144" s="5">
        <v>10</v>
      </c>
      <c r="J1144" s="5">
        <v>4</v>
      </c>
    </row>
    <row r="1145" spans="1:10" x14ac:dyDescent="0.3">
      <c r="A1145" s="5" t="s">
        <v>2434</v>
      </c>
      <c r="B1145" s="5" t="s">
        <v>16</v>
      </c>
      <c r="C1145" s="5" t="s">
        <v>108</v>
      </c>
      <c r="D1145" s="5" t="s">
        <v>6594</v>
      </c>
      <c r="E1145" s="5">
        <v>14</v>
      </c>
      <c r="F1145" s="5">
        <v>11</v>
      </c>
      <c r="G1145" s="5">
        <v>4</v>
      </c>
      <c r="H1145" s="5">
        <v>2.4300000000000002</v>
      </c>
      <c r="I1145" s="5">
        <v>11</v>
      </c>
      <c r="J1145" s="5">
        <v>3</v>
      </c>
    </row>
    <row r="1146" spans="1:10" x14ac:dyDescent="0.3">
      <c r="A1146" s="5" t="s">
        <v>2469</v>
      </c>
      <c r="B1146" s="5" t="s">
        <v>16</v>
      </c>
      <c r="C1146" s="5" t="s">
        <v>99</v>
      </c>
      <c r="D1146" s="5" t="s">
        <v>6594</v>
      </c>
      <c r="E1146" s="5">
        <v>22</v>
      </c>
      <c r="F1146" s="5">
        <v>22</v>
      </c>
      <c r="G1146" s="5">
        <v>2</v>
      </c>
      <c r="H1146" s="5">
        <v>5.77</v>
      </c>
      <c r="I1146" s="5">
        <v>14</v>
      </c>
      <c r="J1146" s="5">
        <v>8</v>
      </c>
    </row>
    <row r="1147" spans="1:10" x14ac:dyDescent="0.3">
      <c r="A1147" s="5" t="s">
        <v>2469</v>
      </c>
      <c r="B1147" s="5" t="s">
        <v>16</v>
      </c>
      <c r="C1147" s="5" t="s">
        <v>99</v>
      </c>
      <c r="D1147" s="5" t="s">
        <v>6594</v>
      </c>
      <c r="E1147" s="5">
        <v>12</v>
      </c>
      <c r="F1147" s="5">
        <v>9</v>
      </c>
      <c r="G1147" s="5">
        <v>3</v>
      </c>
      <c r="H1147" s="5">
        <v>11.35</v>
      </c>
      <c r="I1147" s="5">
        <v>8</v>
      </c>
      <c r="J1147" s="5">
        <v>4</v>
      </c>
    </row>
    <row r="1148" spans="1:10" x14ac:dyDescent="0.3">
      <c r="A1148" s="5" t="s">
        <v>2469</v>
      </c>
      <c r="B1148" s="5" t="s">
        <v>16</v>
      </c>
      <c r="C1148" s="5" t="s">
        <v>99</v>
      </c>
      <c r="D1148" s="5" t="s">
        <v>6594</v>
      </c>
      <c r="E1148" s="5">
        <v>12</v>
      </c>
      <c r="F1148" s="5">
        <v>11</v>
      </c>
      <c r="G1148" s="5">
        <v>1</v>
      </c>
      <c r="H1148" s="5">
        <v>5.0599999999999996</v>
      </c>
      <c r="I1148" s="5">
        <v>6</v>
      </c>
      <c r="J1148" s="5">
        <v>6</v>
      </c>
    </row>
    <row r="1149" spans="1:10" x14ac:dyDescent="0.3">
      <c r="A1149" s="5" t="s">
        <v>2469</v>
      </c>
      <c r="B1149" s="5" t="s">
        <v>16</v>
      </c>
      <c r="C1149" s="5" t="s">
        <v>99</v>
      </c>
      <c r="D1149" s="5" t="s">
        <v>6594</v>
      </c>
      <c r="E1149" s="5">
        <v>9</v>
      </c>
      <c r="F1149" s="5">
        <v>9</v>
      </c>
      <c r="G1149" s="5">
        <v>3</v>
      </c>
      <c r="H1149" s="5">
        <v>4.43</v>
      </c>
      <c r="I1149" s="5">
        <v>5</v>
      </c>
      <c r="J1149" s="5">
        <v>4</v>
      </c>
    </row>
    <row r="1150" spans="1:10" x14ac:dyDescent="0.3">
      <c r="A1150" s="5" t="s">
        <v>2536</v>
      </c>
      <c r="B1150" s="5" t="s">
        <v>36</v>
      </c>
      <c r="C1150" s="5" t="s">
        <v>99</v>
      </c>
      <c r="D1150" s="5" t="s">
        <v>6594</v>
      </c>
      <c r="E1150" s="5">
        <v>12</v>
      </c>
      <c r="F1150" s="5">
        <v>12</v>
      </c>
      <c r="G1150" s="5">
        <v>3</v>
      </c>
      <c r="H1150" s="5">
        <v>2.86</v>
      </c>
      <c r="I1150" s="5">
        <v>6</v>
      </c>
      <c r="J1150" s="5">
        <v>6</v>
      </c>
    </row>
    <row r="1151" spans="1:10" x14ac:dyDescent="0.3">
      <c r="A1151" s="5" t="s">
        <v>2536</v>
      </c>
      <c r="B1151" s="5" t="s">
        <v>36</v>
      </c>
      <c r="C1151" s="5" t="s">
        <v>99</v>
      </c>
      <c r="D1151" s="5" t="s">
        <v>6594</v>
      </c>
      <c r="E1151" s="5">
        <v>6</v>
      </c>
      <c r="F1151" s="5">
        <v>4</v>
      </c>
      <c r="G1151" s="5">
        <v>3</v>
      </c>
      <c r="H1151" s="5">
        <v>6.63</v>
      </c>
      <c r="I1151" s="5">
        <v>4</v>
      </c>
      <c r="J1151" s="5">
        <v>2</v>
      </c>
    </row>
    <row r="1152" spans="1:10" x14ac:dyDescent="0.3">
      <c r="A1152" s="5" t="s">
        <v>2536</v>
      </c>
      <c r="B1152" s="5" t="s">
        <v>36</v>
      </c>
      <c r="C1152" s="5" t="s">
        <v>99</v>
      </c>
      <c r="D1152" s="5" t="s">
        <v>6594</v>
      </c>
      <c r="E1152" s="5">
        <v>25</v>
      </c>
      <c r="F1152" s="5">
        <v>22</v>
      </c>
      <c r="G1152" s="5">
        <v>1</v>
      </c>
      <c r="H1152" s="5">
        <v>4.3</v>
      </c>
      <c r="I1152" s="5">
        <v>18</v>
      </c>
      <c r="J1152" s="5">
        <v>7</v>
      </c>
    </row>
    <row r="1153" spans="1:10" x14ac:dyDescent="0.3">
      <c r="A1153" s="5" t="s">
        <v>2532</v>
      </c>
      <c r="B1153" s="5" t="s">
        <v>36</v>
      </c>
      <c r="C1153" s="5" t="s">
        <v>67</v>
      </c>
      <c r="D1153" s="5" t="s">
        <v>6594</v>
      </c>
      <c r="E1153" s="5">
        <v>12</v>
      </c>
      <c r="F1153" s="5">
        <v>10</v>
      </c>
      <c r="G1153" s="5">
        <v>4</v>
      </c>
      <c r="H1153" s="5">
        <v>11.67</v>
      </c>
      <c r="I1153" s="5">
        <v>8</v>
      </c>
      <c r="J1153" s="5">
        <v>4</v>
      </c>
    </row>
    <row r="1154" spans="1:10" x14ac:dyDescent="0.3">
      <c r="A1154" s="5" t="s">
        <v>2490</v>
      </c>
      <c r="B1154" s="5" t="s">
        <v>36</v>
      </c>
      <c r="C1154" s="5" t="s">
        <v>28</v>
      </c>
      <c r="D1154" s="5" t="s">
        <v>6594</v>
      </c>
      <c r="E1154" s="5">
        <v>3</v>
      </c>
      <c r="F1154" s="5">
        <v>2</v>
      </c>
      <c r="G1154" s="5">
        <v>3</v>
      </c>
      <c r="H1154" s="5">
        <v>12</v>
      </c>
      <c r="I1154" s="5">
        <v>2</v>
      </c>
      <c r="J1154" s="5">
        <v>1</v>
      </c>
    </row>
    <row r="1155" spans="1:10" x14ac:dyDescent="0.3">
      <c r="A1155" s="5" t="s">
        <v>2490</v>
      </c>
      <c r="B1155" s="5" t="s">
        <v>36</v>
      </c>
      <c r="C1155" s="5" t="s">
        <v>28</v>
      </c>
      <c r="D1155" s="5" t="s">
        <v>6594</v>
      </c>
      <c r="E1155" s="5">
        <v>10</v>
      </c>
      <c r="F1155" s="5">
        <v>7</v>
      </c>
      <c r="G1155" s="5">
        <v>2</v>
      </c>
      <c r="H1155" s="5">
        <v>2.25</v>
      </c>
      <c r="I1155" s="5">
        <v>8</v>
      </c>
      <c r="J1155" s="5">
        <v>2</v>
      </c>
    </row>
    <row r="1156" spans="1:10" x14ac:dyDescent="0.3">
      <c r="A1156" s="5" t="s">
        <v>2490</v>
      </c>
      <c r="B1156" s="5" t="s">
        <v>36</v>
      </c>
      <c r="C1156" s="5" t="s">
        <v>28</v>
      </c>
      <c r="D1156" s="5" t="s">
        <v>6594</v>
      </c>
      <c r="E1156" s="5">
        <v>25</v>
      </c>
      <c r="F1156" s="5">
        <v>24</v>
      </c>
      <c r="G1156" s="5">
        <v>3</v>
      </c>
      <c r="H1156" s="5">
        <v>2.68</v>
      </c>
      <c r="I1156" s="5">
        <v>17</v>
      </c>
      <c r="J1156" s="5">
        <v>8</v>
      </c>
    </row>
    <row r="1157" spans="1:10" x14ac:dyDescent="0.3">
      <c r="A1157" s="5" t="s">
        <v>2490</v>
      </c>
      <c r="B1157" s="5" t="s">
        <v>36</v>
      </c>
      <c r="C1157" s="5" t="s">
        <v>28</v>
      </c>
      <c r="D1157" s="5" t="s">
        <v>6594</v>
      </c>
      <c r="E1157" s="5">
        <v>16</v>
      </c>
      <c r="F1157" s="5">
        <v>15</v>
      </c>
      <c r="G1157" s="5">
        <v>1</v>
      </c>
      <c r="H1157" s="5">
        <v>8.18</v>
      </c>
      <c r="I1157" s="5">
        <v>8</v>
      </c>
      <c r="J1157" s="5">
        <v>8</v>
      </c>
    </row>
    <row r="1158" spans="1:10" x14ac:dyDescent="0.3">
      <c r="A1158" s="5" t="s">
        <v>2490</v>
      </c>
      <c r="B1158" s="5" t="s">
        <v>36</v>
      </c>
      <c r="C1158" s="5" t="s">
        <v>28</v>
      </c>
      <c r="D1158" s="5" t="s">
        <v>6594</v>
      </c>
      <c r="E1158" s="5">
        <v>10</v>
      </c>
      <c r="F1158" s="5">
        <v>10</v>
      </c>
      <c r="G1158" s="5">
        <v>1</v>
      </c>
      <c r="H1158" s="5">
        <v>1.57</v>
      </c>
      <c r="I1158" s="5">
        <v>7</v>
      </c>
      <c r="J1158" s="5">
        <v>3</v>
      </c>
    </row>
    <row r="1159" spans="1:10" x14ac:dyDescent="0.3">
      <c r="A1159" s="5" t="s">
        <v>2561</v>
      </c>
      <c r="B1159" s="5" t="s">
        <v>36</v>
      </c>
      <c r="C1159" s="5" t="s">
        <v>74</v>
      </c>
      <c r="D1159" s="5" t="s">
        <v>6594</v>
      </c>
      <c r="E1159" s="5">
        <v>3</v>
      </c>
      <c r="F1159" s="5">
        <v>3</v>
      </c>
      <c r="G1159" s="5">
        <v>2</v>
      </c>
      <c r="H1159" s="5">
        <v>9.33</v>
      </c>
      <c r="I1159" s="5">
        <v>2</v>
      </c>
      <c r="J1159" s="5">
        <v>1</v>
      </c>
    </row>
    <row r="1160" spans="1:10" x14ac:dyDescent="0.3">
      <c r="A1160" s="5" t="s">
        <v>2561</v>
      </c>
      <c r="B1160" s="5" t="s">
        <v>36</v>
      </c>
      <c r="C1160" s="5" t="s">
        <v>74</v>
      </c>
      <c r="D1160" s="5" t="s">
        <v>6594</v>
      </c>
      <c r="E1160" s="5">
        <v>10</v>
      </c>
      <c r="F1160" s="5">
        <v>10</v>
      </c>
      <c r="G1160" s="5">
        <v>1</v>
      </c>
      <c r="H1160" s="5">
        <v>11.12</v>
      </c>
      <c r="I1160" s="5">
        <v>6</v>
      </c>
      <c r="J1160" s="5">
        <v>4</v>
      </c>
    </row>
    <row r="1161" spans="1:10" x14ac:dyDescent="0.3">
      <c r="A1161" s="5" t="s">
        <v>2561</v>
      </c>
      <c r="B1161" s="5" t="s">
        <v>36</v>
      </c>
      <c r="C1161" s="5" t="s">
        <v>74</v>
      </c>
      <c r="D1161" s="5" t="s">
        <v>6594</v>
      </c>
      <c r="E1161" s="5">
        <v>12</v>
      </c>
      <c r="F1161" s="5">
        <v>9</v>
      </c>
      <c r="G1161" s="5">
        <v>1</v>
      </c>
      <c r="H1161" s="5">
        <v>11.52</v>
      </c>
      <c r="I1161" s="5">
        <v>7</v>
      </c>
      <c r="J1161" s="5">
        <v>5</v>
      </c>
    </row>
    <row r="1162" spans="1:10" x14ac:dyDescent="0.3">
      <c r="A1162" s="5" t="s">
        <v>2407</v>
      </c>
      <c r="B1162" s="5" t="s">
        <v>66</v>
      </c>
      <c r="C1162" s="5" t="s">
        <v>93</v>
      </c>
      <c r="D1162" s="5" t="s">
        <v>6594</v>
      </c>
      <c r="E1162" s="5">
        <v>9</v>
      </c>
      <c r="F1162" s="5">
        <v>7</v>
      </c>
      <c r="G1162" s="5">
        <v>2</v>
      </c>
      <c r="H1162" s="5">
        <v>8.06</v>
      </c>
      <c r="I1162" s="5">
        <v>5</v>
      </c>
      <c r="J1162" s="5">
        <v>4</v>
      </c>
    </row>
    <row r="1163" spans="1:10" x14ac:dyDescent="0.3">
      <c r="A1163" s="5" t="s">
        <v>2466</v>
      </c>
      <c r="B1163" s="5" t="s">
        <v>66</v>
      </c>
      <c r="C1163" s="5" t="s">
        <v>67</v>
      </c>
      <c r="D1163" s="5" t="s">
        <v>6594</v>
      </c>
      <c r="E1163" s="5">
        <v>15</v>
      </c>
      <c r="F1163" s="5">
        <v>13</v>
      </c>
      <c r="G1163" s="5">
        <v>3</v>
      </c>
      <c r="H1163" s="5">
        <v>5.75</v>
      </c>
      <c r="I1163" s="5">
        <v>9</v>
      </c>
      <c r="J1163" s="5">
        <v>6</v>
      </c>
    </row>
    <row r="1164" spans="1:10" x14ac:dyDescent="0.3">
      <c r="A1164" s="5" t="s">
        <v>2466</v>
      </c>
      <c r="B1164" s="5" t="s">
        <v>66</v>
      </c>
      <c r="C1164" s="5" t="s">
        <v>67</v>
      </c>
      <c r="D1164" s="5" t="s">
        <v>6594</v>
      </c>
      <c r="E1164" s="5">
        <v>20</v>
      </c>
      <c r="F1164" s="5">
        <v>17</v>
      </c>
      <c r="G1164" s="5">
        <v>2</v>
      </c>
      <c r="H1164" s="5">
        <v>6.69</v>
      </c>
      <c r="I1164" s="5">
        <v>16</v>
      </c>
      <c r="J1164" s="5">
        <v>4</v>
      </c>
    </row>
    <row r="1165" spans="1:10" x14ac:dyDescent="0.3">
      <c r="A1165" s="5" t="s">
        <v>2521</v>
      </c>
      <c r="B1165" s="5" t="s">
        <v>66</v>
      </c>
      <c r="C1165" s="5" t="s">
        <v>99</v>
      </c>
      <c r="D1165" s="5" t="s">
        <v>6594</v>
      </c>
      <c r="E1165" s="5">
        <v>17</v>
      </c>
      <c r="F1165" s="5">
        <v>17</v>
      </c>
      <c r="G1165" s="5">
        <v>1</v>
      </c>
      <c r="H1165" s="5">
        <v>2.2799999999999998</v>
      </c>
      <c r="I1165" s="5">
        <v>13</v>
      </c>
      <c r="J1165" s="5">
        <v>4</v>
      </c>
    </row>
    <row r="1166" spans="1:10" x14ac:dyDescent="0.3">
      <c r="A1166" s="5" t="s">
        <v>2521</v>
      </c>
      <c r="B1166" s="5" t="s">
        <v>66</v>
      </c>
      <c r="C1166" s="5" t="s">
        <v>99</v>
      </c>
      <c r="D1166" s="5" t="s">
        <v>6594</v>
      </c>
      <c r="E1166" s="5">
        <v>25</v>
      </c>
      <c r="F1166" s="5">
        <v>25</v>
      </c>
      <c r="G1166" s="5">
        <v>4</v>
      </c>
      <c r="H1166" s="5">
        <v>5.37</v>
      </c>
      <c r="I1166" s="5">
        <v>16</v>
      </c>
      <c r="J1166" s="5">
        <v>9</v>
      </c>
    </row>
    <row r="1167" spans="1:10" x14ac:dyDescent="0.3">
      <c r="A1167" s="5" t="s">
        <v>2521</v>
      </c>
      <c r="B1167" s="5" t="s">
        <v>66</v>
      </c>
      <c r="C1167" s="5" t="s">
        <v>99</v>
      </c>
      <c r="D1167" s="5" t="s">
        <v>6594</v>
      </c>
      <c r="E1167" s="5">
        <v>23</v>
      </c>
      <c r="F1167" s="5">
        <v>21</v>
      </c>
      <c r="G1167" s="5">
        <v>2</v>
      </c>
      <c r="H1167" s="5">
        <v>8.52</v>
      </c>
      <c r="I1167" s="5">
        <v>11</v>
      </c>
      <c r="J1167" s="5">
        <v>12</v>
      </c>
    </row>
    <row r="1168" spans="1:10" x14ac:dyDescent="0.3">
      <c r="A1168" s="5" t="s">
        <v>2411</v>
      </c>
      <c r="B1168" s="5" t="s">
        <v>55</v>
      </c>
      <c r="C1168" s="5" t="s">
        <v>108</v>
      </c>
      <c r="D1168" s="5" t="s">
        <v>6594</v>
      </c>
      <c r="E1168" s="5">
        <v>5</v>
      </c>
      <c r="F1168" s="5">
        <v>3</v>
      </c>
      <c r="G1168" s="5">
        <v>1</v>
      </c>
      <c r="H1168" s="5">
        <v>7.93</v>
      </c>
      <c r="I1168" s="5">
        <v>3</v>
      </c>
      <c r="J1168" s="5">
        <v>2</v>
      </c>
    </row>
    <row r="1169" spans="1:10" x14ac:dyDescent="0.3">
      <c r="A1169" s="5" t="s">
        <v>2459</v>
      </c>
      <c r="B1169" s="5" t="s">
        <v>189</v>
      </c>
      <c r="C1169" s="5" t="s">
        <v>67</v>
      </c>
      <c r="D1169" s="5" t="s">
        <v>6594</v>
      </c>
      <c r="E1169" s="5">
        <v>21</v>
      </c>
      <c r="F1169" s="5">
        <v>19</v>
      </c>
      <c r="G1169" s="5">
        <v>4</v>
      </c>
      <c r="H1169" s="5">
        <v>11.6</v>
      </c>
      <c r="I1169" s="5">
        <v>13</v>
      </c>
      <c r="J1169" s="5">
        <v>8</v>
      </c>
    </row>
    <row r="1170" spans="1:10" x14ac:dyDescent="0.3">
      <c r="A1170" s="5" t="s">
        <v>2629</v>
      </c>
      <c r="B1170" s="5" t="s">
        <v>55</v>
      </c>
      <c r="C1170" s="5" t="s">
        <v>164</v>
      </c>
      <c r="D1170" s="5" t="s">
        <v>6594</v>
      </c>
      <c r="E1170" s="5">
        <v>18</v>
      </c>
      <c r="F1170" s="5">
        <v>15</v>
      </c>
      <c r="G1170" s="5">
        <v>3</v>
      </c>
      <c r="H1170" s="5">
        <v>6.6</v>
      </c>
      <c r="I1170" s="5">
        <v>14</v>
      </c>
      <c r="J1170" s="5">
        <v>4</v>
      </c>
    </row>
    <row r="1171" spans="1:10" x14ac:dyDescent="0.3">
      <c r="A1171" s="5" t="s">
        <v>2629</v>
      </c>
      <c r="B1171" s="5" t="s">
        <v>55</v>
      </c>
      <c r="C1171" s="5" t="s">
        <v>164</v>
      </c>
      <c r="D1171" s="5" t="s">
        <v>6594</v>
      </c>
      <c r="E1171" s="5">
        <v>22</v>
      </c>
      <c r="F1171" s="5">
        <v>22</v>
      </c>
      <c r="G1171" s="5">
        <v>3</v>
      </c>
      <c r="H1171" s="5">
        <v>2.57</v>
      </c>
      <c r="I1171" s="5">
        <v>14</v>
      </c>
      <c r="J1171" s="5">
        <v>8</v>
      </c>
    </row>
    <row r="1172" spans="1:10" x14ac:dyDescent="0.3">
      <c r="A1172" s="5" t="s">
        <v>2629</v>
      </c>
      <c r="B1172" s="5" t="s">
        <v>55</v>
      </c>
      <c r="C1172" s="5" t="s">
        <v>164</v>
      </c>
      <c r="D1172" s="5" t="s">
        <v>6594</v>
      </c>
      <c r="E1172" s="5">
        <v>3</v>
      </c>
      <c r="F1172" s="5">
        <v>3</v>
      </c>
      <c r="G1172" s="5">
        <v>1</v>
      </c>
      <c r="H1172" s="5">
        <v>5.34</v>
      </c>
      <c r="I1172" s="5">
        <v>2</v>
      </c>
      <c r="J1172" s="5">
        <v>1</v>
      </c>
    </row>
    <row r="1173" spans="1:10" x14ac:dyDescent="0.3">
      <c r="A1173" s="5" t="s">
        <v>2629</v>
      </c>
      <c r="B1173" s="5" t="s">
        <v>55</v>
      </c>
      <c r="C1173" s="5" t="s">
        <v>164</v>
      </c>
      <c r="D1173" s="5" t="s">
        <v>6594</v>
      </c>
      <c r="E1173" s="5">
        <v>13</v>
      </c>
      <c r="F1173" s="5">
        <v>10</v>
      </c>
      <c r="G1173" s="5">
        <v>3</v>
      </c>
      <c r="H1173" s="5">
        <v>9.9600000000000009</v>
      </c>
      <c r="I1173" s="5">
        <v>9</v>
      </c>
      <c r="J1173" s="5">
        <v>4</v>
      </c>
    </row>
    <row r="1174" spans="1:10" x14ac:dyDescent="0.3">
      <c r="A1174" s="5" t="s">
        <v>2422</v>
      </c>
      <c r="B1174" s="5" t="s">
        <v>55</v>
      </c>
      <c r="C1174" s="5" t="s">
        <v>28</v>
      </c>
      <c r="D1174" s="5" t="s">
        <v>6594</v>
      </c>
      <c r="E1174" s="5">
        <v>14</v>
      </c>
      <c r="F1174" s="5">
        <v>12</v>
      </c>
      <c r="G1174" s="5">
        <v>3</v>
      </c>
      <c r="H1174" s="5">
        <v>3.97</v>
      </c>
      <c r="I1174" s="5">
        <v>10</v>
      </c>
      <c r="J1174" s="5">
        <v>4</v>
      </c>
    </row>
    <row r="1175" spans="1:10" x14ac:dyDescent="0.3">
      <c r="A1175" s="5" t="s">
        <v>2422</v>
      </c>
      <c r="B1175" s="5" t="s">
        <v>55</v>
      </c>
      <c r="C1175" s="5" t="s">
        <v>28</v>
      </c>
      <c r="D1175" s="5" t="s">
        <v>6594</v>
      </c>
      <c r="E1175" s="5">
        <v>22</v>
      </c>
      <c r="F1175" s="5">
        <v>21</v>
      </c>
      <c r="G1175" s="5">
        <v>1</v>
      </c>
      <c r="H1175" s="5">
        <v>8.98</v>
      </c>
      <c r="I1175" s="5">
        <v>13</v>
      </c>
      <c r="J1175" s="5">
        <v>9</v>
      </c>
    </row>
    <row r="1176" spans="1:10" x14ac:dyDescent="0.3">
      <c r="A1176" s="5" t="s">
        <v>2438</v>
      </c>
      <c r="B1176" s="5" t="s">
        <v>55</v>
      </c>
      <c r="C1176" s="5" t="s">
        <v>74</v>
      </c>
      <c r="D1176" s="5" t="s">
        <v>6594</v>
      </c>
      <c r="E1176" s="5">
        <v>15</v>
      </c>
      <c r="F1176" s="5">
        <v>14</v>
      </c>
      <c r="G1176" s="5">
        <v>3</v>
      </c>
      <c r="H1176" s="5">
        <v>3.04</v>
      </c>
      <c r="I1176" s="5">
        <v>7</v>
      </c>
      <c r="J1176" s="5">
        <v>8</v>
      </c>
    </row>
    <row r="1177" spans="1:10" x14ac:dyDescent="0.3">
      <c r="A1177" s="5" t="s">
        <v>2438</v>
      </c>
      <c r="B1177" s="5" t="s">
        <v>55</v>
      </c>
      <c r="C1177" s="5" t="s">
        <v>74</v>
      </c>
      <c r="D1177" s="5" t="s">
        <v>6594</v>
      </c>
      <c r="E1177" s="5">
        <v>4</v>
      </c>
      <c r="F1177" s="5">
        <v>4</v>
      </c>
      <c r="G1177" s="5">
        <v>1</v>
      </c>
      <c r="H1177" s="5">
        <v>3.77</v>
      </c>
      <c r="I1177" s="5">
        <v>3</v>
      </c>
      <c r="J1177" s="5">
        <v>1</v>
      </c>
    </row>
    <row r="1178" spans="1:10" x14ac:dyDescent="0.3">
      <c r="A1178" s="5" t="s">
        <v>2427</v>
      </c>
      <c r="B1178" s="5" t="s">
        <v>55</v>
      </c>
      <c r="C1178" s="5" t="s">
        <v>93</v>
      </c>
      <c r="D1178" s="5" t="s">
        <v>6594</v>
      </c>
      <c r="E1178" s="5">
        <v>15</v>
      </c>
      <c r="F1178" s="5">
        <v>15</v>
      </c>
      <c r="G1178" s="5">
        <v>2</v>
      </c>
      <c r="H1178" s="5">
        <v>2.17</v>
      </c>
      <c r="I1178" s="5">
        <v>8</v>
      </c>
      <c r="J1178" s="5">
        <v>7</v>
      </c>
    </row>
    <row r="1179" spans="1:10" x14ac:dyDescent="0.3">
      <c r="A1179" s="5" t="s">
        <v>2427</v>
      </c>
      <c r="B1179" s="5" t="s">
        <v>55</v>
      </c>
      <c r="C1179" s="5" t="s">
        <v>93</v>
      </c>
      <c r="D1179" s="5" t="s">
        <v>6594</v>
      </c>
      <c r="E1179" s="5">
        <v>20</v>
      </c>
      <c r="F1179" s="5">
        <v>18</v>
      </c>
      <c r="G1179" s="5">
        <v>4</v>
      </c>
      <c r="H1179" s="5">
        <v>11.16</v>
      </c>
      <c r="I1179" s="5">
        <v>11</v>
      </c>
      <c r="J1179" s="5">
        <v>9</v>
      </c>
    </row>
    <row r="1180" spans="1:10" x14ac:dyDescent="0.3">
      <c r="A1180" s="5" t="s">
        <v>2485</v>
      </c>
      <c r="B1180" s="5" t="s">
        <v>61</v>
      </c>
      <c r="C1180" s="5" t="s">
        <v>99</v>
      </c>
      <c r="D1180" s="5" t="s">
        <v>6594</v>
      </c>
      <c r="E1180" s="5">
        <v>7</v>
      </c>
      <c r="F1180" s="5">
        <v>5</v>
      </c>
      <c r="G1180" s="5">
        <v>3</v>
      </c>
      <c r="H1180" s="5">
        <v>11.63</v>
      </c>
      <c r="I1180" s="5">
        <v>4</v>
      </c>
      <c r="J1180" s="5">
        <v>3</v>
      </c>
    </row>
    <row r="1181" spans="1:10" x14ac:dyDescent="0.3">
      <c r="A1181" s="5" t="s">
        <v>2485</v>
      </c>
      <c r="B1181" s="5" t="s">
        <v>61</v>
      </c>
      <c r="C1181" s="5" t="s">
        <v>99</v>
      </c>
      <c r="D1181" s="5" t="s">
        <v>6594</v>
      </c>
      <c r="E1181" s="5">
        <v>20</v>
      </c>
      <c r="F1181" s="5">
        <v>17</v>
      </c>
      <c r="G1181" s="5">
        <v>4</v>
      </c>
      <c r="H1181" s="5">
        <v>3.17</v>
      </c>
      <c r="I1181" s="5">
        <v>13</v>
      </c>
      <c r="J1181" s="5">
        <v>7</v>
      </c>
    </row>
    <row r="1182" spans="1:10" x14ac:dyDescent="0.3">
      <c r="A1182" s="5" t="s">
        <v>2449</v>
      </c>
      <c r="B1182" s="5" t="s">
        <v>61</v>
      </c>
      <c r="C1182" s="5" t="s">
        <v>108</v>
      </c>
      <c r="D1182" s="5" t="s">
        <v>6594</v>
      </c>
      <c r="E1182" s="5">
        <v>9</v>
      </c>
      <c r="F1182" s="5">
        <v>7</v>
      </c>
      <c r="G1182" s="5">
        <v>3</v>
      </c>
      <c r="H1182" s="5">
        <v>11.23</v>
      </c>
      <c r="I1182" s="5">
        <v>6</v>
      </c>
      <c r="J1182" s="5">
        <v>3</v>
      </c>
    </row>
    <row r="1183" spans="1:10" x14ac:dyDescent="0.3">
      <c r="A1183" s="5" t="s">
        <v>2449</v>
      </c>
      <c r="B1183" s="5" t="s">
        <v>61</v>
      </c>
      <c r="C1183" s="5" t="s">
        <v>108</v>
      </c>
      <c r="D1183" s="5" t="s">
        <v>6594</v>
      </c>
      <c r="E1183" s="5">
        <v>23</v>
      </c>
      <c r="F1183" s="5">
        <v>22</v>
      </c>
      <c r="G1183" s="5">
        <v>4</v>
      </c>
      <c r="H1183" s="5">
        <v>3.66</v>
      </c>
      <c r="I1183" s="5">
        <v>19</v>
      </c>
      <c r="J1183" s="5">
        <v>4</v>
      </c>
    </row>
    <row r="1184" spans="1:10" x14ac:dyDescent="0.3">
      <c r="A1184" s="5" t="s">
        <v>2449</v>
      </c>
      <c r="B1184" s="5" t="s">
        <v>61</v>
      </c>
      <c r="C1184" s="5" t="s">
        <v>108</v>
      </c>
      <c r="D1184" s="5" t="s">
        <v>6594</v>
      </c>
      <c r="E1184" s="5">
        <v>22</v>
      </c>
      <c r="F1184" s="5">
        <v>21</v>
      </c>
      <c r="G1184" s="5">
        <v>3</v>
      </c>
      <c r="H1184" s="5">
        <v>9.1199999999999992</v>
      </c>
      <c r="I1184" s="5">
        <v>14</v>
      </c>
      <c r="J1184" s="5">
        <v>8</v>
      </c>
    </row>
    <row r="1185" spans="1:10" x14ac:dyDescent="0.3">
      <c r="A1185" s="5" t="s">
        <v>2577</v>
      </c>
      <c r="B1185" s="5" t="s">
        <v>61</v>
      </c>
      <c r="C1185" s="5" t="s">
        <v>67</v>
      </c>
      <c r="D1185" s="5" t="s">
        <v>6594</v>
      </c>
      <c r="E1185" s="5">
        <v>23</v>
      </c>
      <c r="F1185" s="5">
        <v>21</v>
      </c>
      <c r="G1185" s="5">
        <v>4</v>
      </c>
      <c r="H1185" s="5">
        <v>8.67</v>
      </c>
      <c r="I1185" s="5">
        <v>12</v>
      </c>
      <c r="J1185" s="5">
        <v>11</v>
      </c>
    </row>
    <row r="1186" spans="1:10" x14ac:dyDescent="0.3">
      <c r="A1186" s="5" t="s">
        <v>2577</v>
      </c>
      <c r="B1186" s="5" t="s">
        <v>61</v>
      </c>
      <c r="C1186" s="5" t="s">
        <v>67</v>
      </c>
      <c r="D1186" s="5" t="s">
        <v>6594</v>
      </c>
      <c r="E1186" s="5">
        <v>20</v>
      </c>
      <c r="F1186" s="5">
        <v>19</v>
      </c>
      <c r="G1186" s="5">
        <v>1</v>
      </c>
      <c r="H1186" s="5">
        <v>5.73</v>
      </c>
      <c r="I1186" s="5">
        <v>15</v>
      </c>
      <c r="J1186" s="5">
        <v>5</v>
      </c>
    </row>
    <row r="1187" spans="1:10" x14ac:dyDescent="0.3">
      <c r="A1187" s="5" t="s">
        <v>2577</v>
      </c>
      <c r="B1187" s="5" t="s">
        <v>61</v>
      </c>
      <c r="C1187" s="5" t="s">
        <v>67</v>
      </c>
      <c r="D1187" s="5" t="s">
        <v>6594</v>
      </c>
      <c r="E1187" s="5">
        <v>13</v>
      </c>
      <c r="F1187" s="5">
        <v>12</v>
      </c>
      <c r="G1187" s="5">
        <v>4</v>
      </c>
      <c r="H1187" s="5">
        <v>9.92</v>
      </c>
      <c r="I1187" s="5">
        <v>10</v>
      </c>
      <c r="J1187" s="5">
        <v>3</v>
      </c>
    </row>
    <row r="1188" spans="1:10" x14ac:dyDescent="0.3">
      <c r="A1188" s="5" t="s">
        <v>2577</v>
      </c>
      <c r="B1188" s="5" t="s">
        <v>61</v>
      </c>
      <c r="C1188" s="5" t="s">
        <v>67</v>
      </c>
      <c r="D1188" s="5" t="s">
        <v>6594</v>
      </c>
      <c r="E1188" s="5">
        <v>4</v>
      </c>
      <c r="F1188" s="5">
        <v>1</v>
      </c>
      <c r="G1188" s="5">
        <v>1</v>
      </c>
      <c r="H1188" s="5">
        <v>11.91</v>
      </c>
      <c r="I1188" s="5">
        <v>2</v>
      </c>
      <c r="J1188" s="5">
        <v>2</v>
      </c>
    </row>
    <row r="1189" spans="1:10" x14ac:dyDescent="0.3">
      <c r="A1189" s="5" t="s">
        <v>2454</v>
      </c>
      <c r="B1189" s="5" t="s">
        <v>61</v>
      </c>
      <c r="C1189" s="5" t="s">
        <v>17</v>
      </c>
      <c r="D1189" s="5" t="s">
        <v>6594</v>
      </c>
      <c r="E1189" s="5">
        <v>25</v>
      </c>
      <c r="F1189" s="5">
        <v>22</v>
      </c>
      <c r="G1189" s="5">
        <v>2</v>
      </c>
      <c r="H1189" s="5">
        <v>10.83</v>
      </c>
      <c r="I1189" s="5">
        <v>18</v>
      </c>
      <c r="J1189" s="5">
        <v>7</v>
      </c>
    </row>
    <row r="1190" spans="1:10" x14ac:dyDescent="0.3">
      <c r="A1190" s="5" t="s">
        <v>2454</v>
      </c>
      <c r="B1190" s="5" t="s">
        <v>61</v>
      </c>
      <c r="C1190" s="5" t="s">
        <v>17</v>
      </c>
      <c r="D1190" s="5" t="s">
        <v>6594</v>
      </c>
      <c r="E1190" s="5">
        <v>25</v>
      </c>
      <c r="F1190" s="5">
        <v>24</v>
      </c>
      <c r="G1190" s="5">
        <v>1</v>
      </c>
      <c r="H1190" s="5">
        <v>4.72</v>
      </c>
      <c r="I1190" s="5">
        <v>16</v>
      </c>
      <c r="J1190" s="5">
        <v>9</v>
      </c>
    </row>
    <row r="1191" spans="1:10" x14ac:dyDescent="0.3">
      <c r="A1191" s="5" t="s">
        <v>2481</v>
      </c>
      <c r="B1191" s="5" t="s">
        <v>80</v>
      </c>
      <c r="C1191" s="5" t="s">
        <v>37</v>
      </c>
      <c r="D1191" s="5" t="s">
        <v>6594</v>
      </c>
      <c r="E1191" s="5">
        <v>17</v>
      </c>
      <c r="F1191" s="5">
        <v>14</v>
      </c>
      <c r="G1191" s="5">
        <v>4</v>
      </c>
      <c r="H1191" s="5">
        <v>5.12</v>
      </c>
      <c r="I1191" s="5">
        <v>14</v>
      </c>
      <c r="J1191" s="5">
        <v>3</v>
      </c>
    </row>
    <row r="1192" spans="1:10" x14ac:dyDescent="0.3">
      <c r="A1192" s="5" t="s">
        <v>2481</v>
      </c>
      <c r="B1192" s="5" t="s">
        <v>80</v>
      </c>
      <c r="C1192" s="5" t="s">
        <v>37</v>
      </c>
      <c r="D1192" s="5" t="s">
        <v>6594</v>
      </c>
      <c r="E1192" s="5">
        <v>17</v>
      </c>
      <c r="F1192" s="5">
        <v>15</v>
      </c>
      <c r="G1192" s="5">
        <v>2</v>
      </c>
      <c r="H1192" s="5">
        <v>7.92</v>
      </c>
      <c r="I1192" s="5">
        <v>12</v>
      </c>
      <c r="J1192" s="5">
        <v>5</v>
      </c>
    </row>
    <row r="1193" spans="1:10" x14ac:dyDescent="0.3">
      <c r="A1193" s="5" t="s">
        <v>2473</v>
      </c>
      <c r="B1193" s="5" t="s">
        <v>80</v>
      </c>
      <c r="C1193" s="5" t="s">
        <v>93</v>
      </c>
      <c r="D1193" s="5" t="s">
        <v>6594</v>
      </c>
      <c r="E1193" s="5">
        <v>5</v>
      </c>
      <c r="F1193" s="5">
        <v>4</v>
      </c>
      <c r="G1193" s="5">
        <v>3</v>
      </c>
      <c r="H1193" s="5">
        <v>11.16</v>
      </c>
      <c r="I1193" s="5">
        <v>3</v>
      </c>
      <c r="J1193" s="5">
        <v>2</v>
      </c>
    </row>
    <row r="1194" spans="1:10" x14ac:dyDescent="0.3">
      <c r="A1194" s="5" t="s">
        <v>2473</v>
      </c>
      <c r="B1194" s="5" t="s">
        <v>80</v>
      </c>
      <c r="C1194" s="5" t="s">
        <v>93</v>
      </c>
      <c r="D1194" s="5" t="s">
        <v>6594</v>
      </c>
      <c r="E1194" s="5">
        <v>20</v>
      </c>
      <c r="F1194" s="5">
        <v>19</v>
      </c>
      <c r="G1194" s="5">
        <v>4</v>
      </c>
      <c r="H1194" s="5">
        <v>3.56</v>
      </c>
      <c r="I1194" s="5">
        <v>15</v>
      </c>
      <c r="J1194" s="5">
        <v>5</v>
      </c>
    </row>
    <row r="1195" spans="1:10" x14ac:dyDescent="0.3">
      <c r="A1195" s="5" t="s">
        <v>2730</v>
      </c>
      <c r="B1195" s="5" t="s">
        <v>189</v>
      </c>
      <c r="C1195" s="5" t="s">
        <v>74</v>
      </c>
      <c r="D1195" s="5" t="s">
        <v>6594</v>
      </c>
      <c r="E1195" s="5">
        <v>8</v>
      </c>
      <c r="F1195" s="5">
        <v>5</v>
      </c>
      <c r="G1195" s="5">
        <v>3</v>
      </c>
      <c r="H1195" s="5">
        <v>1.61</v>
      </c>
      <c r="I1195" s="5">
        <v>5</v>
      </c>
      <c r="J1195" s="5">
        <v>3</v>
      </c>
    </row>
    <row r="1196" spans="1:10" x14ac:dyDescent="0.3">
      <c r="A1196" s="5" t="s">
        <v>2730</v>
      </c>
      <c r="B1196" s="5" t="s">
        <v>189</v>
      </c>
      <c r="C1196" s="5" t="s">
        <v>74</v>
      </c>
      <c r="D1196" s="5" t="s">
        <v>6594</v>
      </c>
      <c r="E1196" s="5">
        <v>12</v>
      </c>
      <c r="F1196" s="5">
        <v>11</v>
      </c>
      <c r="G1196" s="5">
        <v>2</v>
      </c>
      <c r="H1196" s="5">
        <v>8.73</v>
      </c>
      <c r="I1196" s="5">
        <v>8</v>
      </c>
      <c r="J1196" s="5">
        <v>4</v>
      </c>
    </row>
    <row r="1197" spans="1:10" x14ac:dyDescent="0.3">
      <c r="A1197" s="5" t="s">
        <v>2730</v>
      </c>
      <c r="B1197" s="5" t="s">
        <v>189</v>
      </c>
      <c r="C1197" s="5" t="s">
        <v>74</v>
      </c>
      <c r="D1197" s="5" t="s">
        <v>6594</v>
      </c>
      <c r="E1197" s="5">
        <v>14</v>
      </c>
      <c r="F1197" s="5">
        <v>12</v>
      </c>
      <c r="G1197" s="5">
        <v>2</v>
      </c>
      <c r="H1197" s="5">
        <v>7.76</v>
      </c>
      <c r="I1197" s="5">
        <v>10</v>
      </c>
      <c r="J1197" s="5">
        <v>4</v>
      </c>
    </row>
    <row r="1198" spans="1:10" x14ac:dyDescent="0.3">
      <c r="A1198" s="5" t="s">
        <v>2514</v>
      </c>
      <c r="B1198" s="5" t="s">
        <v>80</v>
      </c>
      <c r="C1198" s="5" t="s">
        <v>47</v>
      </c>
      <c r="D1198" s="5" t="s">
        <v>6594</v>
      </c>
      <c r="E1198" s="5">
        <v>17</v>
      </c>
      <c r="F1198" s="5">
        <v>16</v>
      </c>
      <c r="G1198" s="5">
        <v>2</v>
      </c>
      <c r="H1198" s="5">
        <v>4.84</v>
      </c>
      <c r="I1198" s="5">
        <v>13</v>
      </c>
      <c r="J1198" s="5">
        <v>4</v>
      </c>
    </row>
    <row r="1199" spans="1:10" x14ac:dyDescent="0.3">
      <c r="A1199" s="5" t="s">
        <v>2514</v>
      </c>
      <c r="B1199" s="5" t="s">
        <v>80</v>
      </c>
      <c r="C1199" s="5" t="s">
        <v>47</v>
      </c>
      <c r="D1199" s="5" t="s">
        <v>6594</v>
      </c>
      <c r="E1199" s="5">
        <v>6</v>
      </c>
      <c r="F1199" s="5">
        <v>5</v>
      </c>
      <c r="G1199" s="5">
        <v>1</v>
      </c>
      <c r="H1199" s="5">
        <v>4.49</v>
      </c>
      <c r="I1199" s="5">
        <v>3</v>
      </c>
      <c r="J1199" s="5">
        <v>3</v>
      </c>
    </row>
    <row r="1200" spans="1:10" x14ac:dyDescent="0.3">
      <c r="A1200" s="5" t="s">
        <v>2514</v>
      </c>
      <c r="B1200" s="5" t="s">
        <v>80</v>
      </c>
      <c r="C1200" s="5" t="s">
        <v>47</v>
      </c>
      <c r="D1200" s="5" t="s">
        <v>6594</v>
      </c>
      <c r="E1200" s="5">
        <v>3</v>
      </c>
      <c r="F1200" s="5">
        <v>2</v>
      </c>
      <c r="G1200" s="5">
        <v>2</v>
      </c>
      <c r="H1200" s="5">
        <v>3.14</v>
      </c>
      <c r="I1200" s="5">
        <v>1</v>
      </c>
      <c r="J1200" s="5">
        <v>2</v>
      </c>
    </row>
    <row r="1201" spans="1:10" x14ac:dyDescent="0.3">
      <c r="A1201" s="5" t="s">
        <v>2514</v>
      </c>
      <c r="B1201" s="5" t="s">
        <v>80</v>
      </c>
      <c r="C1201" s="5" t="s">
        <v>47</v>
      </c>
      <c r="D1201" s="5" t="s">
        <v>6594</v>
      </c>
      <c r="E1201" s="5">
        <v>5</v>
      </c>
      <c r="F1201" s="5">
        <v>2</v>
      </c>
      <c r="G1201" s="5">
        <v>3</v>
      </c>
      <c r="H1201" s="5">
        <v>7.07</v>
      </c>
      <c r="I1201" s="5">
        <v>3</v>
      </c>
      <c r="J1201" s="5">
        <v>2</v>
      </c>
    </row>
    <row r="1202" spans="1:10" x14ac:dyDescent="0.3">
      <c r="A1202" s="5" t="s">
        <v>2494</v>
      </c>
      <c r="B1202" s="5" t="s">
        <v>189</v>
      </c>
      <c r="C1202" s="5" t="s">
        <v>99</v>
      </c>
      <c r="D1202" s="5" t="s">
        <v>6594</v>
      </c>
      <c r="E1202" s="5">
        <v>22</v>
      </c>
      <c r="F1202" s="5">
        <v>21</v>
      </c>
      <c r="G1202" s="5">
        <v>3</v>
      </c>
      <c r="H1202" s="5">
        <v>5.19</v>
      </c>
      <c r="I1202" s="5">
        <v>17</v>
      </c>
      <c r="J1202" s="5">
        <v>5</v>
      </c>
    </row>
    <row r="1203" spans="1:10" x14ac:dyDescent="0.3">
      <c r="A1203" s="5" t="s">
        <v>2494</v>
      </c>
      <c r="B1203" s="5" t="s">
        <v>189</v>
      </c>
      <c r="C1203" s="5" t="s">
        <v>99</v>
      </c>
      <c r="D1203" s="5" t="s">
        <v>6594</v>
      </c>
      <c r="E1203" s="5">
        <v>15</v>
      </c>
      <c r="F1203" s="5">
        <v>13</v>
      </c>
      <c r="G1203" s="5">
        <v>1</v>
      </c>
      <c r="H1203" s="5">
        <v>5.27</v>
      </c>
      <c r="I1203" s="5">
        <v>7</v>
      </c>
      <c r="J1203" s="5">
        <v>8</v>
      </c>
    </row>
    <row r="1204" spans="1:10" x14ac:dyDescent="0.3">
      <c r="A1204" s="5" t="s">
        <v>2494</v>
      </c>
      <c r="B1204" s="5" t="s">
        <v>189</v>
      </c>
      <c r="C1204" s="5" t="s">
        <v>99</v>
      </c>
      <c r="D1204" s="5" t="s">
        <v>6594</v>
      </c>
      <c r="E1204" s="5">
        <v>21</v>
      </c>
      <c r="F1204" s="5">
        <v>20</v>
      </c>
      <c r="G1204" s="5">
        <v>3</v>
      </c>
      <c r="H1204" s="5">
        <v>3.56</v>
      </c>
      <c r="I1204" s="5">
        <v>11</v>
      </c>
      <c r="J1204" s="5">
        <v>10</v>
      </c>
    </row>
    <row r="1205" spans="1:10" x14ac:dyDescent="0.3">
      <c r="A1205" s="5" t="s">
        <v>2504</v>
      </c>
      <c r="B1205" s="5" t="s">
        <v>27</v>
      </c>
      <c r="C1205" s="5" t="s">
        <v>37</v>
      </c>
      <c r="D1205" s="5" t="s">
        <v>6594</v>
      </c>
      <c r="E1205" s="5">
        <v>7</v>
      </c>
      <c r="F1205" s="5">
        <v>5</v>
      </c>
      <c r="G1205" s="5">
        <v>3</v>
      </c>
      <c r="H1205" s="5">
        <v>4.33</v>
      </c>
      <c r="I1205" s="5">
        <v>3</v>
      </c>
      <c r="J1205" s="5">
        <v>4</v>
      </c>
    </row>
    <row r="1206" spans="1:10" x14ac:dyDescent="0.3">
      <c r="A1206" s="5" t="s">
        <v>2504</v>
      </c>
      <c r="B1206" s="5" t="s">
        <v>27</v>
      </c>
      <c r="C1206" s="5" t="s">
        <v>37</v>
      </c>
      <c r="D1206" s="5" t="s">
        <v>6594</v>
      </c>
      <c r="E1206" s="5">
        <v>11</v>
      </c>
      <c r="F1206" s="5">
        <v>8</v>
      </c>
      <c r="G1206" s="5">
        <v>1</v>
      </c>
      <c r="H1206" s="5">
        <v>8.69</v>
      </c>
      <c r="I1206" s="5">
        <v>7</v>
      </c>
      <c r="J1206" s="5">
        <v>4</v>
      </c>
    </row>
    <row r="1207" spans="1:10" x14ac:dyDescent="0.3">
      <c r="A1207" s="5" t="s">
        <v>2504</v>
      </c>
      <c r="B1207" s="5" t="s">
        <v>27</v>
      </c>
      <c r="C1207" s="5" t="s">
        <v>37</v>
      </c>
      <c r="D1207" s="5" t="s">
        <v>6594</v>
      </c>
      <c r="E1207" s="5">
        <v>6</v>
      </c>
      <c r="F1207" s="5">
        <v>4</v>
      </c>
      <c r="G1207" s="5">
        <v>1</v>
      </c>
      <c r="H1207" s="5">
        <v>6.22</v>
      </c>
      <c r="I1207" s="5">
        <v>4</v>
      </c>
      <c r="J1207" s="5">
        <v>2</v>
      </c>
    </row>
    <row r="1208" spans="1:10" x14ac:dyDescent="0.3">
      <c r="A1208" s="5" t="s">
        <v>2445</v>
      </c>
      <c r="B1208" s="5" t="s">
        <v>27</v>
      </c>
      <c r="C1208" s="5" t="s">
        <v>164</v>
      </c>
      <c r="D1208" s="5" t="s">
        <v>6594</v>
      </c>
      <c r="E1208" s="5">
        <v>23</v>
      </c>
      <c r="F1208" s="5">
        <v>23</v>
      </c>
      <c r="G1208" s="5">
        <v>3</v>
      </c>
      <c r="H1208" s="5">
        <v>5.3</v>
      </c>
      <c r="I1208" s="5">
        <v>13</v>
      </c>
      <c r="J1208" s="5">
        <v>10</v>
      </c>
    </row>
    <row r="1209" spans="1:10" x14ac:dyDescent="0.3">
      <c r="A1209" s="5" t="s">
        <v>2445</v>
      </c>
      <c r="B1209" s="5" t="s">
        <v>27</v>
      </c>
      <c r="C1209" s="5" t="s">
        <v>164</v>
      </c>
      <c r="D1209" s="5" t="s">
        <v>6594</v>
      </c>
      <c r="E1209" s="5">
        <v>14</v>
      </c>
      <c r="F1209" s="5">
        <v>14</v>
      </c>
      <c r="G1209" s="5">
        <v>3</v>
      </c>
      <c r="H1209" s="5">
        <v>6.23</v>
      </c>
      <c r="I1209" s="5">
        <v>7</v>
      </c>
      <c r="J1209" s="5">
        <v>7</v>
      </c>
    </row>
    <row r="1210" spans="1:10" x14ac:dyDescent="0.3">
      <c r="A1210" s="5" t="s">
        <v>2463</v>
      </c>
      <c r="B1210" s="5" t="s">
        <v>27</v>
      </c>
      <c r="C1210" s="5" t="s">
        <v>74</v>
      </c>
      <c r="D1210" s="5" t="s">
        <v>6594</v>
      </c>
      <c r="E1210" s="5">
        <v>19</v>
      </c>
      <c r="F1210" s="5">
        <v>18</v>
      </c>
      <c r="G1210" s="5">
        <v>4</v>
      </c>
      <c r="H1210" s="5">
        <v>6.45</v>
      </c>
      <c r="I1210" s="5">
        <v>9</v>
      </c>
      <c r="J1210" s="5">
        <v>10</v>
      </c>
    </row>
    <row r="1211" spans="1:10" x14ac:dyDescent="0.3">
      <c r="A1211" s="5" t="s">
        <v>2463</v>
      </c>
      <c r="B1211" s="5" t="s">
        <v>27</v>
      </c>
      <c r="C1211" s="5" t="s">
        <v>74</v>
      </c>
      <c r="D1211" s="5" t="s">
        <v>6594</v>
      </c>
      <c r="E1211" s="5">
        <v>6</v>
      </c>
      <c r="F1211" s="5">
        <v>3</v>
      </c>
      <c r="G1211" s="5">
        <v>1</v>
      </c>
      <c r="H1211" s="5">
        <v>6.88</v>
      </c>
      <c r="I1211" s="5">
        <v>3</v>
      </c>
      <c r="J1211" s="5">
        <v>3</v>
      </c>
    </row>
    <row r="1212" spans="1:10" x14ac:dyDescent="0.3">
      <c r="A1212" s="5" t="s">
        <v>2463</v>
      </c>
      <c r="B1212" s="5" t="s">
        <v>27</v>
      </c>
      <c r="C1212" s="5" t="s">
        <v>74</v>
      </c>
      <c r="D1212" s="5" t="s">
        <v>6594</v>
      </c>
      <c r="E1212" s="5">
        <v>23</v>
      </c>
      <c r="F1212" s="5">
        <v>21</v>
      </c>
      <c r="G1212" s="5">
        <v>3</v>
      </c>
      <c r="H1212" s="5">
        <v>4.45</v>
      </c>
      <c r="I1212" s="5">
        <v>13</v>
      </c>
      <c r="J1212" s="5">
        <v>10</v>
      </c>
    </row>
    <row r="1213" spans="1:10" x14ac:dyDescent="0.3">
      <c r="A1213" s="5" t="s">
        <v>2431</v>
      </c>
      <c r="B1213" s="5" t="s">
        <v>16</v>
      </c>
      <c r="C1213" s="5" t="s">
        <v>67</v>
      </c>
      <c r="D1213" s="5" t="s">
        <v>6594</v>
      </c>
      <c r="E1213" s="5">
        <v>16</v>
      </c>
      <c r="F1213" s="5">
        <v>14</v>
      </c>
      <c r="G1213" s="5">
        <v>2</v>
      </c>
      <c r="H1213" s="5">
        <v>1.52</v>
      </c>
      <c r="I1213" s="5">
        <v>13</v>
      </c>
      <c r="J1213" s="5">
        <v>3</v>
      </c>
    </row>
    <row r="1214" spans="1:10" x14ac:dyDescent="0.3">
      <c r="A1214" s="5" t="s">
        <v>2431</v>
      </c>
      <c r="B1214" s="5" t="s">
        <v>16</v>
      </c>
      <c r="C1214" s="5" t="s">
        <v>67</v>
      </c>
      <c r="D1214" s="5" t="s">
        <v>6594</v>
      </c>
      <c r="E1214" s="5">
        <v>12</v>
      </c>
      <c r="F1214" s="5">
        <v>10</v>
      </c>
      <c r="G1214" s="5">
        <v>4</v>
      </c>
      <c r="H1214" s="5">
        <v>3.06</v>
      </c>
      <c r="I1214" s="5">
        <v>9</v>
      </c>
      <c r="J1214" s="5">
        <v>3</v>
      </c>
    </row>
    <row r="1215" spans="1:10" x14ac:dyDescent="0.3">
      <c r="A1215" s="5" t="s">
        <v>2431</v>
      </c>
      <c r="B1215" s="5" t="s">
        <v>16</v>
      </c>
      <c r="C1215" s="5" t="s">
        <v>67</v>
      </c>
      <c r="D1215" s="5" t="s">
        <v>6594</v>
      </c>
      <c r="E1215" s="5">
        <v>9</v>
      </c>
      <c r="F1215" s="5">
        <v>6</v>
      </c>
      <c r="G1215" s="5">
        <v>2</v>
      </c>
      <c r="H1215" s="5">
        <v>10.45</v>
      </c>
      <c r="I1215" s="5">
        <v>7</v>
      </c>
      <c r="J1215" s="5">
        <v>2</v>
      </c>
    </row>
    <row r="1216" spans="1:10" x14ac:dyDescent="0.3">
      <c r="A1216" s="5" t="s">
        <v>2518</v>
      </c>
      <c r="B1216" s="5" t="s">
        <v>16</v>
      </c>
      <c r="C1216" s="5" t="s">
        <v>164</v>
      </c>
      <c r="D1216" s="5" t="s">
        <v>6594</v>
      </c>
      <c r="E1216" s="5">
        <v>6</v>
      </c>
      <c r="F1216" s="5">
        <v>6</v>
      </c>
      <c r="G1216" s="5">
        <v>1</v>
      </c>
      <c r="H1216" s="5">
        <v>6.7</v>
      </c>
      <c r="I1216" s="5">
        <v>3</v>
      </c>
      <c r="J1216" s="5">
        <v>3</v>
      </c>
    </row>
    <row r="1217" spans="1:10" x14ac:dyDescent="0.3">
      <c r="A1217" s="5" t="s">
        <v>2518</v>
      </c>
      <c r="B1217" s="5" t="s">
        <v>16</v>
      </c>
      <c r="C1217" s="5" t="s">
        <v>164</v>
      </c>
      <c r="D1217" s="5" t="s">
        <v>6594</v>
      </c>
      <c r="E1217" s="5">
        <v>12</v>
      </c>
      <c r="F1217" s="5">
        <v>12</v>
      </c>
      <c r="G1217" s="5">
        <v>1</v>
      </c>
      <c r="H1217" s="5">
        <v>8.67</v>
      </c>
      <c r="I1217" s="5">
        <v>6</v>
      </c>
      <c r="J1217" s="5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D226-50B8-4DC8-8A29-CED5D2E18CAA}">
  <dimension ref="A1:M1218"/>
  <sheetViews>
    <sheetView workbookViewId="0">
      <selection sqref="A1:M1218"/>
    </sheetView>
  </sheetViews>
  <sheetFormatPr defaultRowHeight="14.4" x14ac:dyDescent="0.3"/>
  <cols>
    <col min="10" max="10" width="24.44140625" customWidth="1"/>
  </cols>
  <sheetData>
    <row r="1" spans="1:13" x14ac:dyDescent="0.3">
      <c r="A1" s="45" t="s">
        <v>6633</v>
      </c>
      <c r="B1" s="45" t="s">
        <v>6625</v>
      </c>
      <c r="C1" s="45" t="s">
        <v>6634</v>
      </c>
      <c r="D1" s="45" t="s">
        <v>6630</v>
      </c>
      <c r="E1" s="45" t="s">
        <v>6635</v>
      </c>
      <c r="F1" s="45" t="s">
        <v>6631</v>
      </c>
      <c r="G1" s="45" t="s">
        <v>6636</v>
      </c>
      <c r="H1" s="45" t="s">
        <v>6637</v>
      </c>
      <c r="I1" s="45" t="s">
        <v>6638</v>
      </c>
      <c r="J1" s="45" t="s">
        <v>6639</v>
      </c>
      <c r="K1" s="45" t="s">
        <v>6640</v>
      </c>
      <c r="L1" s="45" t="s">
        <v>6641</v>
      </c>
      <c r="M1" s="45" t="s">
        <v>6642</v>
      </c>
    </row>
    <row r="2" spans="1:13" x14ac:dyDescent="0.3">
      <c r="A2" s="46" t="s">
        <v>13</v>
      </c>
      <c r="B2" s="46" t="s">
        <v>6628</v>
      </c>
      <c r="C2" s="46" t="s">
        <v>16</v>
      </c>
      <c r="D2" s="46" t="s">
        <v>17</v>
      </c>
      <c r="E2" s="46" t="s">
        <v>18</v>
      </c>
      <c r="F2" s="46" t="s">
        <v>30</v>
      </c>
      <c r="G2" s="46">
        <v>75</v>
      </c>
      <c r="H2" s="46" t="s">
        <v>6643</v>
      </c>
      <c r="I2" s="46" t="s">
        <v>20</v>
      </c>
      <c r="J2" s="47">
        <v>45392</v>
      </c>
      <c r="K2" s="46" t="s">
        <v>87</v>
      </c>
      <c r="L2" s="48">
        <v>19627</v>
      </c>
      <c r="M2" s="49">
        <v>0</v>
      </c>
    </row>
    <row r="3" spans="1:13" x14ac:dyDescent="0.3">
      <c r="A3" s="46" t="s">
        <v>24</v>
      </c>
      <c r="B3" s="46" t="s">
        <v>6629</v>
      </c>
      <c r="C3" s="46" t="s">
        <v>27</v>
      </c>
      <c r="D3" s="46" t="s">
        <v>28</v>
      </c>
      <c r="E3" s="46" t="s">
        <v>29</v>
      </c>
      <c r="F3" s="46" t="s">
        <v>30</v>
      </c>
      <c r="G3" s="46">
        <v>6</v>
      </c>
      <c r="H3" s="46" t="s">
        <v>6644</v>
      </c>
      <c r="I3" s="46" t="s">
        <v>20</v>
      </c>
      <c r="J3" s="47">
        <v>45366</v>
      </c>
      <c r="K3" s="46" t="s">
        <v>72</v>
      </c>
      <c r="L3" s="48">
        <v>6627</v>
      </c>
      <c r="M3" s="49">
        <v>10</v>
      </c>
    </row>
    <row r="4" spans="1:13" x14ac:dyDescent="0.3">
      <c r="A4" s="46" t="s">
        <v>35</v>
      </c>
      <c r="B4" s="46" t="s">
        <v>6629</v>
      </c>
      <c r="C4" s="46" t="s">
        <v>36</v>
      </c>
      <c r="D4" s="46" t="s">
        <v>37</v>
      </c>
      <c r="E4" s="46" t="s">
        <v>38</v>
      </c>
      <c r="F4" s="46" t="s">
        <v>30</v>
      </c>
      <c r="G4" s="46">
        <v>80</v>
      </c>
      <c r="H4" s="46" t="s">
        <v>6643</v>
      </c>
      <c r="I4" s="46" t="s">
        <v>40</v>
      </c>
      <c r="J4" s="47">
        <v>45181</v>
      </c>
      <c r="K4" s="46" t="s">
        <v>104</v>
      </c>
      <c r="L4" s="48">
        <v>13949</v>
      </c>
      <c r="M4" s="49">
        <v>18</v>
      </c>
    </row>
    <row r="5" spans="1:13" x14ac:dyDescent="0.3">
      <c r="A5" s="46" t="s">
        <v>44</v>
      </c>
      <c r="B5" s="46" t="s">
        <v>6627</v>
      </c>
      <c r="C5" s="46" t="s">
        <v>27</v>
      </c>
      <c r="D5" s="46" t="s">
        <v>47</v>
      </c>
      <c r="E5" s="46" t="s">
        <v>48</v>
      </c>
      <c r="F5" s="46" t="s">
        <v>30</v>
      </c>
      <c r="G5" s="46">
        <v>37</v>
      </c>
      <c r="H5" s="46" t="s">
        <v>6645</v>
      </c>
      <c r="I5" s="46" t="s">
        <v>20</v>
      </c>
      <c r="J5" s="47">
        <v>44964</v>
      </c>
      <c r="K5" s="46" t="s">
        <v>87</v>
      </c>
      <c r="L5" s="48">
        <v>6868</v>
      </c>
      <c r="M5" s="49">
        <v>0</v>
      </c>
    </row>
    <row r="6" spans="1:13" x14ac:dyDescent="0.3">
      <c r="A6" s="46" t="s">
        <v>53</v>
      </c>
      <c r="B6" s="46" t="s">
        <v>6629</v>
      </c>
      <c r="C6" s="46" t="s">
        <v>55</v>
      </c>
      <c r="D6" s="46" t="s">
        <v>37</v>
      </c>
      <c r="E6" s="46" t="s">
        <v>56</v>
      </c>
      <c r="F6" s="46" t="s">
        <v>30</v>
      </c>
      <c r="G6" s="46">
        <v>9</v>
      </c>
      <c r="H6" s="46" t="s">
        <v>6644</v>
      </c>
      <c r="I6" s="46" t="s">
        <v>20</v>
      </c>
      <c r="J6" s="47">
        <v>45065</v>
      </c>
      <c r="K6" s="46" t="s">
        <v>97</v>
      </c>
      <c r="L6" s="48">
        <v>16682</v>
      </c>
      <c r="M6" s="49">
        <v>10</v>
      </c>
    </row>
    <row r="7" spans="1:13" x14ac:dyDescent="0.3">
      <c r="A7" s="46" t="s">
        <v>59</v>
      </c>
      <c r="B7" s="46" t="s">
        <v>6628</v>
      </c>
      <c r="C7" s="46" t="s">
        <v>61</v>
      </c>
      <c r="D7" s="46" t="s">
        <v>37</v>
      </c>
      <c r="E7" s="46" t="s">
        <v>38</v>
      </c>
      <c r="F7" s="46" t="s">
        <v>69</v>
      </c>
      <c r="G7" s="46">
        <v>15</v>
      </c>
      <c r="H7" s="46" t="s">
        <v>6646</v>
      </c>
      <c r="I7" s="46" t="s">
        <v>40</v>
      </c>
      <c r="J7" s="47">
        <v>44957</v>
      </c>
      <c r="K7" s="46" t="s">
        <v>72</v>
      </c>
      <c r="L7" s="48">
        <v>47142</v>
      </c>
      <c r="M7" s="49">
        <v>3</v>
      </c>
    </row>
    <row r="8" spans="1:13" x14ac:dyDescent="0.3">
      <c r="A8" s="46" t="s">
        <v>65</v>
      </c>
      <c r="B8" s="46" t="s">
        <v>6629</v>
      </c>
      <c r="C8" s="46" t="s">
        <v>66</v>
      </c>
      <c r="D8" s="46" t="s">
        <v>67</v>
      </c>
      <c r="E8" s="46" t="s">
        <v>68</v>
      </c>
      <c r="F8" s="46" t="s">
        <v>69</v>
      </c>
      <c r="G8" s="46">
        <v>46</v>
      </c>
      <c r="H8" s="46" t="s">
        <v>6645</v>
      </c>
      <c r="I8" s="46" t="s">
        <v>40</v>
      </c>
      <c r="J8" s="47">
        <v>45379</v>
      </c>
      <c r="K8" s="46" t="s">
        <v>72</v>
      </c>
      <c r="L8" s="48">
        <v>69865</v>
      </c>
      <c r="M8" s="49">
        <v>0</v>
      </c>
    </row>
    <row r="9" spans="1:13" x14ac:dyDescent="0.3">
      <c r="A9" s="46" t="s">
        <v>73</v>
      </c>
      <c r="B9" s="46" t="s">
        <v>6627</v>
      </c>
      <c r="C9" s="46" t="s">
        <v>66</v>
      </c>
      <c r="D9" s="46" t="s">
        <v>74</v>
      </c>
      <c r="E9" s="46" t="s">
        <v>75</v>
      </c>
      <c r="F9" s="46" t="s">
        <v>30</v>
      </c>
      <c r="G9" s="46">
        <v>17</v>
      </c>
      <c r="H9" s="46" t="s">
        <v>6646</v>
      </c>
      <c r="I9" s="46" t="s">
        <v>40</v>
      </c>
      <c r="J9" s="47">
        <v>45366</v>
      </c>
      <c r="K9" s="46" t="s">
        <v>97</v>
      </c>
      <c r="L9" s="48">
        <v>17902</v>
      </c>
      <c r="M9" s="49">
        <v>10</v>
      </c>
    </row>
    <row r="10" spans="1:13" x14ac:dyDescent="0.3">
      <c r="A10" s="46" t="s">
        <v>77</v>
      </c>
      <c r="B10" s="46" t="s">
        <v>79</v>
      </c>
      <c r="C10" s="46" t="s">
        <v>80</v>
      </c>
      <c r="D10" s="46" t="s">
        <v>17</v>
      </c>
      <c r="E10" s="46" t="s">
        <v>18</v>
      </c>
      <c r="F10" s="46" t="s">
        <v>30</v>
      </c>
      <c r="G10" s="46">
        <v>21</v>
      </c>
      <c r="H10" s="46" t="s">
        <v>6645</v>
      </c>
      <c r="I10" s="46" t="s">
        <v>20</v>
      </c>
      <c r="J10" s="47">
        <v>45101</v>
      </c>
      <c r="K10" s="46" t="s">
        <v>91</v>
      </c>
      <c r="L10" s="48">
        <v>4722</v>
      </c>
      <c r="M10" s="49">
        <v>0</v>
      </c>
    </row>
    <row r="11" spans="1:13" x14ac:dyDescent="0.3">
      <c r="A11" s="46" t="s">
        <v>84</v>
      </c>
      <c r="B11" s="46" t="s">
        <v>6629</v>
      </c>
      <c r="C11" s="46" t="s">
        <v>61</v>
      </c>
      <c r="D11" s="46" t="s">
        <v>67</v>
      </c>
      <c r="E11" s="46" t="s">
        <v>85</v>
      </c>
      <c r="F11" s="46" t="s">
        <v>69</v>
      </c>
      <c r="G11" s="46">
        <v>16</v>
      </c>
      <c r="H11" s="46" t="s">
        <v>6646</v>
      </c>
      <c r="I11" s="46" t="s">
        <v>20</v>
      </c>
      <c r="J11" s="47">
        <v>45361</v>
      </c>
      <c r="K11" s="46" t="s">
        <v>87</v>
      </c>
      <c r="L11" s="48">
        <v>81453</v>
      </c>
      <c r="M11" s="49">
        <v>3</v>
      </c>
    </row>
    <row r="12" spans="1:13" x14ac:dyDescent="0.3">
      <c r="A12" s="46" t="s">
        <v>88</v>
      </c>
      <c r="B12" s="46" t="s">
        <v>6628</v>
      </c>
      <c r="C12" s="46" t="s">
        <v>80</v>
      </c>
      <c r="D12" s="46" t="s">
        <v>67</v>
      </c>
      <c r="E12" s="46" t="s">
        <v>89</v>
      </c>
      <c r="F12" s="46" t="s">
        <v>30</v>
      </c>
      <c r="G12" s="46">
        <v>19</v>
      </c>
      <c r="H12" s="46" t="s">
        <v>6646</v>
      </c>
      <c r="I12" s="46" t="s">
        <v>40</v>
      </c>
      <c r="J12" s="47">
        <v>45205</v>
      </c>
      <c r="K12" s="46" t="s">
        <v>91</v>
      </c>
      <c r="L12" s="48">
        <v>3886</v>
      </c>
      <c r="M12" s="49">
        <v>0</v>
      </c>
    </row>
    <row r="13" spans="1:13" x14ac:dyDescent="0.3">
      <c r="A13" s="46" t="s">
        <v>92</v>
      </c>
      <c r="B13" s="46" t="s">
        <v>6628</v>
      </c>
      <c r="C13" s="46" t="s">
        <v>36</v>
      </c>
      <c r="D13" s="46" t="s">
        <v>93</v>
      </c>
      <c r="E13" s="46" t="s">
        <v>94</v>
      </c>
      <c r="F13" s="46" t="s">
        <v>30</v>
      </c>
      <c r="G13" s="46">
        <v>31</v>
      </c>
      <c r="H13" s="46" t="s">
        <v>6645</v>
      </c>
      <c r="I13" s="46" t="s">
        <v>40</v>
      </c>
      <c r="J13" s="47">
        <v>45305</v>
      </c>
      <c r="K13" s="46" t="s">
        <v>97</v>
      </c>
      <c r="L13" s="48">
        <v>10429</v>
      </c>
      <c r="M13" s="49">
        <v>0</v>
      </c>
    </row>
    <row r="14" spans="1:13" x14ac:dyDescent="0.3">
      <c r="A14" s="46" t="s">
        <v>98</v>
      </c>
      <c r="B14" s="46" t="s">
        <v>6629</v>
      </c>
      <c r="C14" s="46" t="s">
        <v>55</v>
      </c>
      <c r="D14" s="46" t="s">
        <v>99</v>
      </c>
      <c r="E14" s="46" t="s">
        <v>100</v>
      </c>
      <c r="F14" s="46" t="s">
        <v>69</v>
      </c>
      <c r="G14" s="46">
        <v>14</v>
      </c>
      <c r="H14" s="46" t="s">
        <v>6646</v>
      </c>
      <c r="I14" s="46" t="s">
        <v>40</v>
      </c>
      <c r="J14" s="47">
        <v>45167</v>
      </c>
      <c r="K14" s="46" t="s">
        <v>104</v>
      </c>
      <c r="L14" s="48">
        <v>32047</v>
      </c>
      <c r="M14" s="49">
        <v>30</v>
      </c>
    </row>
    <row r="15" spans="1:13" x14ac:dyDescent="0.3">
      <c r="A15" s="46" t="s">
        <v>105</v>
      </c>
      <c r="B15" s="46" t="s">
        <v>6626</v>
      </c>
      <c r="C15" s="46" t="s">
        <v>27</v>
      </c>
      <c r="D15" s="46" t="s">
        <v>108</v>
      </c>
      <c r="E15" s="46" t="s">
        <v>109</v>
      </c>
      <c r="F15" s="46" t="s">
        <v>69</v>
      </c>
      <c r="G15" s="46">
        <v>23</v>
      </c>
      <c r="H15" s="46" t="s">
        <v>6645</v>
      </c>
      <c r="I15" s="46" t="s">
        <v>40</v>
      </c>
      <c r="J15" s="47">
        <v>45331</v>
      </c>
      <c r="K15" s="46" t="s">
        <v>97</v>
      </c>
      <c r="L15" s="48">
        <v>60404</v>
      </c>
      <c r="M15" s="49">
        <v>5</v>
      </c>
    </row>
    <row r="16" spans="1:13" x14ac:dyDescent="0.3">
      <c r="A16" s="46" t="s">
        <v>112</v>
      </c>
      <c r="B16" s="46" t="s">
        <v>6627</v>
      </c>
      <c r="C16" s="46" t="s">
        <v>16</v>
      </c>
      <c r="D16" s="46" t="s">
        <v>67</v>
      </c>
      <c r="E16" s="46" t="s">
        <v>89</v>
      </c>
      <c r="F16" s="46" t="s">
        <v>30</v>
      </c>
      <c r="G16" s="46">
        <v>79</v>
      </c>
      <c r="H16" s="46" t="s">
        <v>6643</v>
      </c>
      <c r="I16" s="46" t="s">
        <v>20</v>
      </c>
      <c r="J16" s="47">
        <v>45169</v>
      </c>
      <c r="K16" s="46" t="s">
        <v>72</v>
      </c>
      <c r="L16" s="48">
        <v>14482</v>
      </c>
      <c r="M16" s="49">
        <v>0</v>
      </c>
    </row>
    <row r="17" spans="1:13" x14ac:dyDescent="0.3">
      <c r="A17" s="46" t="s">
        <v>116</v>
      </c>
      <c r="B17" s="46" t="s">
        <v>118</v>
      </c>
      <c r="C17" s="46" t="s">
        <v>36</v>
      </c>
      <c r="D17" s="46" t="s">
        <v>28</v>
      </c>
      <c r="E17" s="46" t="s">
        <v>29</v>
      </c>
      <c r="F17" s="46" t="s">
        <v>30</v>
      </c>
      <c r="G17" s="46">
        <v>76</v>
      </c>
      <c r="H17" s="46" t="s">
        <v>6643</v>
      </c>
      <c r="I17" s="46" t="s">
        <v>20</v>
      </c>
      <c r="J17" s="47">
        <v>45059</v>
      </c>
      <c r="K17" s="46" t="s">
        <v>97</v>
      </c>
      <c r="L17" s="48">
        <v>15057</v>
      </c>
      <c r="M17" s="49">
        <v>10</v>
      </c>
    </row>
    <row r="18" spans="1:13" x14ac:dyDescent="0.3">
      <c r="A18" s="46" t="s">
        <v>120</v>
      </c>
      <c r="B18" s="46" t="s">
        <v>6629</v>
      </c>
      <c r="C18" s="46" t="s">
        <v>16</v>
      </c>
      <c r="D18" s="46" t="s">
        <v>93</v>
      </c>
      <c r="E18" s="46" t="s">
        <v>121</v>
      </c>
      <c r="F18" s="46" t="s">
        <v>6632</v>
      </c>
      <c r="G18" s="46">
        <v>57</v>
      </c>
      <c r="H18" s="46" t="s">
        <v>6645</v>
      </c>
      <c r="I18" s="46" t="s">
        <v>40</v>
      </c>
      <c r="J18" s="47">
        <v>45238</v>
      </c>
      <c r="K18" s="46" t="s">
        <v>72</v>
      </c>
      <c r="L18" s="48">
        <v>3128</v>
      </c>
      <c r="M18" s="49">
        <v>0</v>
      </c>
    </row>
    <row r="19" spans="1:13" x14ac:dyDescent="0.3">
      <c r="A19" s="46" t="s">
        <v>123</v>
      </c>
      <c r="B19" s="46" t="s">
        <v>6629</v>
      </c>
      <c r="C19" s="46" t="s">
        <v>80</v>
      </c>
      <c r="D19" s="46" t="s">
        <v>108</v>
      </c>
      <c r="E19" s="46" t="s">
        <v>124</v>
      </c>
      <c r="F19" s="46" t="s">
        <v>30</v>
      </c>
      <c r="G19" s="46">
        <v>65</v>
      </c>
      <c r="H19" s="46" t="s">
        <v>6643</v>
      </c>
      <c r="I19" s="46" t="s">
        <v>40</v>
      </c>
      <c r="J19" s="47">
        <v>45214</v>
      </c>
      <c r="K19" s="46" t="s">
        <v>87</v>
      </c>
      <c r="L19" s="48">
        <v>3913</v>
      </c>
      <c r="M19" s="49">
        <v>0</v>
      </c>
    </row>
    <row r="20" spans="1:13" x14ac:dyDescent="0.3">
      <c r="A20" s="46" t="s">
        <v>126</v>
      </c>
      <c r="B20" s="46" t="s">
        <v>118</v>
      </c>
      <c r="C20" s="46" t="s">
        <v>36</v>
      </c>
      <c r="D20" s="46" t="s">
        <v>93</v>
      </c>
      <c r="E20" s="46" t="s">
        <v>94</v>
      </c>
      <c r="F20" s="46" t="s">
        <v>69</v>
      </c>
      <c r="G20" s="46">
        <v>58</v>
      </c>
      <c r="H20" s="46" t="s">
        <v>6645</v>
      </c>
      <c r="I20" s="46" t="s">
        <v>40</v>
      </c>
      <c r="J20" s="47">
        <v>45140</v>
      </c>
      <c r="K20" s="46" t="s">
        <v>97</v>
      </c>
      <c r="L20" s="48">
        <v>35941</v>
      </c>
      <c r="M20" s="49">
        <v>0</v>
      </c>
    </row>
    <row r="21" spans="1:13" x14ac:dyDescent="0.3">
      <c r="A21" s="46" t="s">
        <v>131</v>
      </c>
      <c r="B21" s="46" t="s">
        <v>79</v>
      </c>
      <c r="C21" s="46" t="s">
        <v>16</v>
      </c>
      <c r="D21" s="46" t="s">
        <v>37</v>
      </c>
      <c r="E21" s="46" t="s">
        <v>132</v>
      </c>
      <c r="F21" s="46" t="s">
        <v>30</v>
      </c>
      <c r="G21" s="46">
        <v>29</v>
      </c>
      <c r="H21" s="46" t="s">
        <v>6645</v>
      </c>
      <c r="I21" s="46" t="s">
        <v>40</v>
      </c>
      <c r="J21" s="47">
        <v>44975</v>
      </c>
      <c r="K21" s="46" t="s">
        <v>91</v>
      </c>
      <c r="L21" s="48">
        <v>16050</v>
      </c>
      <c r="M21" s="49">
        <v>0</v>
      </c>
    </row>
    <row r="22" spans="1:13" x14ac:dyDescent="0.3">
      <c r="A22" s="46" t="s">
        <v>134</v>
      </c>
      <c r="B22" s="46" t="s">
        <v>118</v>
      </c>
      <c r="C22" s="46" t="s">
        <v>55</v>
      </c>
      <c r="D22" s="46" t="s">
        <v>17</v>
      </c>
      <c r="E22" s="46" t="s">
        <v>135</v>
      </c>
      <c r="F22" s="46" t="s">
        <v>30</v>
      </c>
      <c r="G22" s="46">
        <v>3</v>
      </c>
      <c r="H22" s="46" t="s">
        <v>6644</v>
      </c>
      <c r="I22" s="46" t="s">
        <v>20</v>
      </c>
      <c r="J22" s="47">
        <v>45210</v>
      </c>
      <c r="K22" s="46" t="s">
        <v>6632</v>
      </c>
      <c r="L22" s="48">
        <v>16226</v>
      </c>
      <c r="M22" s="49">
        <v>10</v>
      </c>
    </row>
    <row r="23" spans="1:13" x14ac:dyDescent="0.3">
      <c r="A23" s="46" t="s">
        <v>138</v>
      </c>
      <c r="B23" s="46" t="s">
        <v>79</v>
      </c>
      <c r="C23" s="46" t="s">
        <v>36</v>
      </c>
      <c r="D23" s="46" t="s">
        <v>108</v>
      </c>
      <c r="E23" s="46" t="s">
        <v>124</v>
      </c>
      <c r="F23" s="46" t="s">
        <v>6632</v>
      </c>
      <c r="G23" s="46">
        <v>24</v>
      </c>
      <c r="H23" s="46" t="s">
        <v>6645</v>
      </c>
      <c r="I23" s="46" t="s">
        <v>20</v>
      </c>
      <c r="J23" s="47">
        <v>45313</v>
      </c>
      <c r="K23" s="46" t="s">
        <v>97</v>
      </c>
      <c r="L23" s="48">
        <v>7028</v>
      </c>
      <c r="M23" s="49">
        <v>3</v>
      </c>
    </row>
    <row r="24" spans="1:13" x14ac:dyDescent="0.3">
      <c r="A24" s="46" t="s">
        <v>141</v>
      </c>
      <c r="B24" s="46" t="s">
        <v>6629</v>
      </c>
      <c r="C24" s="46" t="s">
        <v>80</v>
      </c>
      <c r="D24" s="46" t="s">
        <v>37</v>
      </c>
      <c r="E24" s="46" t="s">
        <v>38</v>
      </c>
      <c r="F24" s="46" t="s">
        <v>30</v>
      </c>
      <c r="G24" s="46">
        <v>55</v>
      </c>
      <c r="H24" s="46" t="s">
        <v>6645</v>
      </c>
      <c r="I24" s="46" t="s">
        <v>20</v>
      </c>
      <c r="J24" s="47">
        <v>45064</v>
      </c>
      <c r="K24" s="46" t="s">
        <v>72</v>
      </c>
      <c r="L24" s="48">
        <v>3551</v>
      </c>
      <c r="M24" s="49">
        <v>0</v>
      </c>
    </row>
    <row r="25" spans="1:13" x14ac:dyDescent="0.3">
      <c r="A25" s="46" t="s">
        <v>143</v>
      </c>
      <c r="B25" s="46" t="s">
        <v>79</v>
      </c>
      <c r="C25" s="46" t="s">
        <v>55</v>
      </c>
      <c r="D25" s="46" t="s">
        <v>93</v>
      </c>
      <c r="E25" s="46" t="s">
        <v>144</v>
      </c>
      <c r="F25" s="46" t="s">
        <v>69</v>
      </c>
      <c r="G25" s="46">
        <v>6</v>
      </c>
      <c r="H25" s="46" t="s">
        <v>6644</v>
      </c>
      <c r="I25" s="46" t="s">
        <v>20</v>
      </c>
      <c r="J25" s="47">
        <v>45290</v>
      </c>
      <c r="K25" s="46" t="s">
        <v>72</v>
      </c>
      <c r="L25" s="48">
        <v>51252</v>
      </c>
      <c r="M25" s="49">
        <v>0</v>
      </c>
    </row>
    <row r="26" spans="1:13" x14ac:dyDescent="0.3">
      <c r="A26" s="46" t="s">
        <v>146</v>
      </c>
      <c r="B26" s="46" t="s">
        <v>6629</v>
      </c>
      <c r="C26" s="46" t="s">
        <v>36</v>
      </c>
      <c r="D26" s="46" t="s">
        <v>74</v>
      </c>
      <c r="E26" s="46" t="s">
        <v>147</v>
      </c>
      <c r="F26" s="46" t="s">
        <v>30</v>
      </c>
      <c r="G26" s="46">
        <v>3</v>
      </c>
      <c r="H26" s="46" t="s">
        <v>6644</v>
      </c>
      <c r="I26" s="46" t="s">
        <v>20</v>
      </c>
      <c r="J26" s="47">
        <v>44945</v>
      </c>
      <c r="K26" s="46" t="s">
        <v>104</v>
      </c>
      <c r="L26" s="48">
        <v>12324</v>
      </c>
      <c r="M26" s="49">
        <v>15</v>
      </c>
    </row>
    <row r="27" spans="1:13" x14ac:dyDescent="0.3">
      <c r="A27" s="46" t="s">
        <v>150</v>
      </c>
      <c r="B27" s="46" t="s">
        <v>6626</v>
      </c>
      <c r="C27" s="46" t="s">
        <v>61</v>
      </c>
      <c r="D27" s="46" t="s">
        <v>99</v>
      </c>
      <c r="E27" s="46" t="s">
        <v>151</v>
      </c>
      <c r="F27" s="46" t="s">
        <v>69</v>
      </c>
      <c r="G27" s="46">
        <v>30</v>
      </c>
      <c r="H27" s="46" t="s">
        <v>6645</v>
      </c>
      <c r="I27" s="46" t="s">
        <v>20</v>
      </c>
      <c r="J27" s="47">
        <v>45028</v>
      </c>
      <c r="K27" s="46" t="s">
        <v>72</v>
      </c>
      <c r="L27" s="48">
        <v>38313</v>
      </c>
      <c r="M27" s="49">
        <v>0</v>
      </c>
    </row>
    <row r="28" spans="1:13" x14ac:dyDescent="0.3">
      <c r="A28" s="46" t="s">
        <v>154</v>
      </c>
      <c r="B28" s="46" t="s">
        <v>6628</v>
      </c>
      <c r="C28" s="46" t="s">
        <v>61</v>
      </c>
      <c r="D28" s="46" t="s">
        <v>67</v>
      </c>
      <c r="E28" s="46" t="s">
        <v>89</v>
      </c>
      <c r="F28" s="46" t="s">
        <v>30</v>
      </c>
      <c r="G28" s="46">
        <v>77</v>
      </c>
      <c r="H28" s="46" t="s">
        <v>6643</v>
      </c>
      <c r="I28" s="46" t="s">
        <v>40</v>
      </c>
      <c r="J28" s="47">
        <v>45281</v>
      </c>
      <c r="K28" s="46" t="s">
        <v>72</v>
      </c>
      <c r="L28" s="48">
        <v>12602</v>
      </c>
      <c r="M28" s="49">
        <v>0</v>
      </c>
    </row>
    <row r="29" spans="1:13" x14ac:dyDescent="0.3">
      <c r="A29" s="46" t="s">
        <v>157</v>
      </c>
      <c r="B29" s="46" t="s">
        <v>6629</v>
      </c>
      <c r="C29" s="46" t="s">
        <v>55</v>
      </c>
      <c r="D29" s="46" t="s">
        <v>28</v>
      </c>
      <c r="E29" s="46" t="s">
        <v>29</v>
      </c>
      <c r="F29" s="46" t="s">
        <v>69</v>
      </c>
      <c r="G29" s="46">
        <v>24</v>
      </c>
      <c r="H29" s="46" t="s">
        <v>6645</v>
      </c>
      <c r="I29" s="46" t="s">
        <v>20</v>
      </c>
      <c r="J29" s="47">
        <v>45098</v>
      </c>
      <c r="K29" s="46" t="s">
        <v>91</v>
      </c>
      <c r="L29" s="48">
        <v>63018</v>
      </c>
      <c r="M29" s="49">
        <v>10</v>
      </c>
    </row>
    <row r="30" spans="1:13" x14ac:dyDescent="0.3">
      <c r="A30" s="46" t="s">
        <v>160</v>
      </c>
      <c r="B30" s="46" t="s">
        <v>79</v>
      </c>
      <c r="C30" s="46" t="s">
        <v>16</v>
      </c>
      <c r="D30" s="46" t="s">
        <v>17</v>
      </c>
      <c r="E30" s="46" t="s">
        <v>18</v>
      </c>
      <c r="F30" s="46" t="s">
        <v>30</v>
      </c>
      <c r="G30" s="46">
        <v>11</v>
      </c>
      <c r="H30" s="46" t="s">
        <v>6644</v>
      </c>
      <c r="I30" s="46" t="s">
        <v>20</v>
      </c>
      <c r="J30" s="47">
        <v>45197</v>
      </c>
      <c r="K30" s="46" t="s">
        <v>104</v>
      </c>
      <c r="L30" s="48">
        <v>6470</v>
      </c>
      <c r="M30" s="49">
        <v>20</v>
      </c>
    </row>
    <row r="31" spans="1:13" x14ac:dyDescent="0.3">
      <c r="A31" s="46" t="s">
        <v>163</v>
      </c>
      <c r="B31" s="46" t="s">
        <v>6628</v>
      </c>
      <c r="C31" s="46" t="s">
        <v>16</v>
      </c>
      <c r="D31" s="46" t="s">
        <v>164</v>
      </c>
      <c r="E31" s="46" t="s">
        <v>165</v>
      </c>
      <c r="F31" s="46" t="s">
        <v>30</v>
      </c>
      <c r="G31" s="46">
        <v>68</v>
      </c>
      <c r="H31" s="46" t="s">
        <v>6643</v>
      </c>
      <c r="I31" s="46" t="s">
        <v>20</v>
      </c>
      <c r="J31" s="47">
        <v>45218</v>
      </c>
      <c r="K31" s="46" t="s">
        <v>104</v>
      </c>
      <c r="L31" s="48">
        <v>3526</v>
      </c>
      <c r="M31" s="49">
        <v>0</v>
      </c>
    </row>
    <row r="32" spans="1:13" x14ac:dyDescent="0.3">
      <c r="A32" s="46" t="s">
        <v>168</v>
      </c>
      <c r="B32" s="46" t="s">
        <v>6628</v>
      </c>
      <c r="C32" s="46" t="s">
        <v>27</v>
      </c>
      <c r="D32" s="46" t="s">
        <v>17</v>
      </c>
      <c r="E32" s="46" t="s">
        <v>169</v>
      </c>
      <c r="F32" s="46" t="s">
        <v>30</v>
      </c>
      <c r="G32" s="46">
        <v>63</v>
      </c>
      <c r="H32" s="46" t="s">
        <v>6643</v>
      </c>
      <c r="I32" s="46" t="s">
        <v>20</v>
      </c>
      <c r="J32" s="47">
        <v>44928</v>
      </c>
      <c r="K32" s="46" t="s">
        <v>87</v>
      </c>
      <c r="L32" s="48">
        <v>17973</v>
      </c>
      <c r="M32" s="49">
        <v>0</v>
      </c>
    </row>
    <row r="33" spans="1:13" x14ac:dyDescent="0.3">
      <c r="A33" s="46" t="s">
        <v>171</v>
      </c>
      <c r="B33" s="46" t="s">
        <v>6628</v>
      </c>
      <c r="C33" s="46" t="s">
        <v>27</v>
      </c>
      <c r="D33" s="46" t="s">
        <v>74</v>
      </c>
      <c r="E33" s="46" t="s">
        <v>172</v>
      </c>
      <c r="F33" s="46" t="s">
        <v>30</v>
      </c>
      <c r="G33" s="46">
        <v>64</v>
      </c>
      <c r="H33" s="46" t="s">
        <v>6643</v>
      </c>
      <c r="I33" s="46" t="s">
        <v>40</v>
      </c>
      <c r="J33" s="47">
        <v>44966</v>
      </c>
      <c r="K33" s="46" t="s">
        <v>72</v>
      </c>
      <c r="L33" s="48">
        <v>18696</v>
      </c>
      <c r="M33" s="49">
        <v>0</v>
      </c>
    </row>
    <row r="34" spans="1:13" x14ac:dyDescent="0.3">
      <c r="A34" s="46" t="s">
        <v>174</v>
      </c>
      <c r="B34" s="46" t="s">
        <v>6628</v>
      </c>
      <c r="C34" s="46" t="s">
        <v>66</v>
      </c>
      <c r="D34" s="46" t="s">
        <v>47</v>
      </c>
      <c r="E34" s="46" t="s">
        <v>175</v>
      </c>
      <c r="F34" s="46" t="s">
        <v>30</v>
      </c>
      <c r="G34" s="46">
        <v>87</v>
      </c>
      <c r="H34" s="46" t="s">
        <v>6643</v>
      </c>
      <c r="I34" s="46" t="s">
        <v>20</v>
      </c>
      <c r="J34" s="47">
        <v>45281</v>
      </c>
      <c r="K34" s="46" t="s">
        <v>87</v>
      </c>
      <c r="L34" s="48">
        <v>9626</v>
      </c>
      <c r="M34" s="49">
        <v>5</v>
      </c>
    </row>
    <row r="35" spans="1:13" x14ac:dyDescent="0.3">
      <c r="A35" s="46" t="s">
        <v>176</v>
      </c>
      <c r="B35" s="46" t="s">
        <v>6629</v>
      </c>
      <c r="C35" s="46" t="s">
        <v>36</v>
      </c>
      <c r="D35" s="46" t="s">
        <v>74</v>
      </c>
      <c r="E35" s="46" t="s">
        <v>75</v>
      </c>
      <c r="F35" s="46" t="s">
        <v>6632</v>
      </c>
      <c r="G35" s="46">
        <v>59</v>
      </c>
      <c r="H35" s="46" t="s">
        <v>6645</v>
      </c>
      <c r="I35" s="46" t="s">
        <v>20</v>
      </c>
      <c r="J35" s="47">
        <v>45346</v>
      </c>
      <c r="K35" s="46" t="s">
        <v>72</v>
      </c>
      <c r="L35" s="48">
        <v>86403</v>
      </c>
      <c r="M35" s="49">
        <v>0</v>
      </c>
    </row>
    <row r="36" spans="1:13" x14ac:dyDescent="0.3">
      <c r="A36" s="46" t="s">
        <v>178</v>
      </c>
      <c r="B36" s="46" t="s">
        <v>6626</v>
      </c>
      <c r="C36" s="46" t="s">
        <v>66</v>
      </c>
      <c r="D36" s="46" t="s">
        <v>37</v>
      </c>
      <c r="E36" s="46" t="s">
        <v>132</v>
      </c>
      <c r="F36" s="46" t="s">
        <v>30</v>
      </c>
      <c r="G36" s="46">
        <v>15</v>
      </c>
      <c r="H36" s="46" t="s">
        <v>6646</v>
      </c>
      <c r="I36" s="46" t="s">
        <v>40</v>
      </c>
      <c r="J36" s="47">
        <v>45113</v>
      </c>
      <c r="K36" s="46" t="s">
        <v>87</v>
      </c>
      <c r="L36" s="48">
        <v>10581</v>
      </c>
      <c r="M36" s="49">
        <v>0</v>
      </c>
    </row>
    <row r="37" spans="1:13" x14ac:dyDescent="0.3">
      <c r="A37" s="46" t="s">
        <v>181</v>
      </c>
      <c r="B37" s="46" t="s">
        <v>118</v>
      </c>
      <c r="C37" s="46" t="s">
        <v>66</v>
      </c>
      <c r="D37" s="46" t="s">
        <v>67</v>
      </c>
      <c r="E37" s="46" t="s">
        <v>68</v>
      </c>
      <c r="F37" s="46" t="s">
        <v>30</v>
      </c>
      <c r="G37" s="46">
        <v>1</v>
      </c>
      <c r="H37" s="46" t="s">
        <v>6644</v>
      </c>
      <c r="I37" s="46" t="s">
        <v>20</v>
      </c>
      <c r="J37" s="47">
        <v>45311</v>
      </c>
      <c r="K37" s="46" t="s">
        <v>104</v>
      </c>
      <c r="L37" s="48">
        <v>11549</v>
      </c>
      <c r="M37" s="49">
        <v>18</v>
      </c>
    </row>
    <row r="38" spans="1:13" x14ac:dyDescent="0.3">
      <c r="A38" s="46" t="s">
        <v>184</v>
      </c>
      <c r="B38" s="46" t="s">
        <v>118</v>
      </c>
      <c r="C38" s="46" t="s">
        <v>27</v>
      </c>
      <c r="D38" s="46" t="s">
        <v>37</v>
      </c>
      <c r="E38" s="46" t="s">
        <v>185</v>
      </c>
      <c r="F38" s="46" t="s">
        <v>69</v>
      </c>
      <c r="G38" s="46">
        <v>14</v>
      </c>
      <c r="H38" s="46" t="s">
        <v>6646</v>
      </c>
      <c r="I38" s="46" t="s">
        <v>20</v>
      </c>
      <c r="J38" s="47">
        <v>45354</v>
      </c>
      <c r="K38" s="46" t="s">
        <v>104</v>
      </c>
      <c r="L38" s="48">
        <v>37334</v>
      </c>
      <c r="M38" s="49">
        <v>35</v>
      </c>
    </row>
    <row r="39" spans="1:13" x14ac:dyDescent="0.3">
      <c r="A39" s="46" t="s">
        <v>188</v>
      </c>
      <c r="B39" s="46" t="s">
        <v>118</v>
      </c>
      <c r="C39" s="46" t="s">
        <v>189</v>
      </c>
      <c r="D39" s="46" t="s">
        <v>17</v>
      </c>
      <c r="E39" s="46" t="s">
        <v>135</v>
      </c>
      <c r="F39" s="46" t="s">
        <v>30</v>
      </c>
      <c r="G39" s="46">
        <v>58</v>
      </c>
      <c r="H39" s="46" t="s">
        <v>6645</v>
      </c>
      <c r="I39" s="46" t="s">
        <v>20</v>
      </c>
      <c r="J39" s="47">
        <v>45312</v>
      </c>
      <c r="K39" s="46" t="s">
        <v>72</v>
      </c>
      <c r="L39" s="48">
        <v>7314</v>
      </c>
      <c r="M39" s="49">
        <v>3</v>
      </c>
    </row>
    <row r="40" spans="1:13" x14ac:dyDescent="0.3">
      <c r="A40" s="46" t="s">
        <v>191</v>
      </c>
      <c r="B40" s="46" t="s">
        <v>6628</v>
      </c>
      <c r="C40" s="46" t="s">
        <v>66</v>
      </c>
      <c r="D40" s="46" t="s">
        <v>74</v>
      </c>
      <c r="E40" s="46" t="s">
        <v>192</v>
      </c>
      <c r="F40" s="46" t="s">
        <v>30</v>
      </c>
      <c r="G40" s="46">
        <v>72</v>
      </c>
      <c r="H40" s="46" t="s">
        <v>6643</v>
      </c>
      <c r="I40" s="46" t="s">
        <v>40</v>
      </c>
      <c r="J40" s="47">
        <v>45128</v>
      </c>
      <c r="K40" s="46" t="s">
        <v>72</v>
      </c>
      <c r="L40" s="48">
        <v>6231</v>
      </c>
      <c r="M40" s="49">
        <v>10</v>
      </c>
    </row>
    <row r="41" spans="1:13" x14ac:dyDescent="0.3">
      <c r="A41" s="46" t="s">
        <v>195</v>
      </c>
      <c r="B41" s="46" t="s">
        <v>118</v>
      </c>
      <c r="C41" s="46" t="s">
        <v>61</v>
      </c>
      <c r="D41" s="46" t="s">
        <v>67</v>
      </c>
      <c r="E41" s="46" t="s">
        <v>196</v>
      </c>
      <c r="F41" s="46" t="s">
        <v>30</v>
      </c>
      <c r="G41" s="46">
        <v>41</v>
      </c>
      <c r="H41" s="46" t="s">
        <v>6645</v>
      </c>
      <c r="I41" s="46" t="s">
        <v>40</v>
      </c>
      <c r="J41" s="47">
        <v>45115</v>
      </c>
      <c r="K41" s="46" t="s">
        <v>72</v>
      </c>
      <c r="L41" s="48">
        <v>10892</v>
      </c>
      <c r="M41" s="49">
        <v>5</v>
      </c>
    </row>
    <row r="42" spans="1:13" x14ac:dyDescent="0.3">
      <c r="A42" s="46" t="s">
        <v>199</v>
      </c>
      <c r="B42" s="46" t="s">
        <v>118</v>
      </c>
      <c r="C42" s="46" t="s">
        <v>66</v>
      </c>
      <c r="D42" s="46" t="s">
        <v>37</v>
      </c>
      <c r="E42" s="46" t="s">
        <v>38</v>
      </c>
      <c r="F42" s="46" t="s">
        <v>30</v>
      </c>
      <c r="G42" s="46">
        <v>17</v>
      </c>
      <c r="H42" s="46" t="s">
        <v>6646</v>
      </c>
      <c r="I42" s="46" t="s">
        <v>40</v>
      </c>
      <c r="J42" s="47">
        <v>45184</v>
      </c>
      <c r="K42" s="46" t="s">
        <v>87</v>
      </c>
      <c r="L42" s="48">
        <v>9572</v>
      </c>
      <c r="M42" s="49">
        <v>5</v>
      </c>
    </row>
    <row r="43" spans="1:13" x14ac:dyDescent="0.3">
      <c r="A43" s="46" t="s">
        <v>202</v>
      </c>
      <c r="B43" s="46" t="s">
        <v>79</v>
      </c>
      <c r="C43" s="46" t="s">
        <v>16</v>
      </c>
      <c r="D43" s="46" t="s">
        <v>164</v>
      </c>
      <c r="E43" s="46" t="s">
        <v>165</v>
      </c>
      <c r="F43" s="46" t="s">
        <v>30</v>
      </c>
      <c r="G43" s="46">
        <v>76</v>
      </c>
      <c r="H43" s="46" t="s">
        <v>6643</v>
      </c>
      <c r="I43" s="46" t="s">
        <v>40</v>
      </c>
      <c r="J43" s="47">
        <v>44927</v>
      </c>
      <c r="K43" s="46" t="s">
        <v>97</v>
      </c>
      <c r="L43" s="48">
        <v>5126</v>
      </c>
      <c r="M43" s="49">
        <v>5</v>
      </c>
    </row>
    <row r="44" spans="1:13" x14ac:dyDescent="0.3">
      <c r="A44" s="46" t="s">
        <v>206</v>
      </c>
      <c r="B44" s="46" t="s">
        <v>6627</v>
      </c>
      <c r="C44" s="46" t="s">
        <v>16</v>
      </c>
      <c r="D44" s="46" t="s">
        <v>93</v>
      </c>
      <c r="E44" s="46" t="s">
        <v>207</v>
      </c>
      <c r="F44" s="46" t="s">
        <v>69</v>
      </c>
      <c r="G44" s="46">
        <v>59</v>
      </c>
      <c r="H44" s="46" t="s">
        <v>6645</v>
      </c>
      <c r="I44" s="46" t="s">
        <v>20</v>
      </c>
      <c r="J44" s="47">
        <v>45209</v>
      </c>
      <c r="K44" s="46" t="s">
        <v>91</v>
      </c>
      <c r="L44" s="48">
        <v>12783</v>
      </c>
      <c r="M44" s="49">
        <v>0</v>
      </c>
    </row>
    <row r="45" spans="1:13" x14ac:dyDescent="0.3">
      <c r="A45" s="46" t="s">
        <v>209</v>
      </c>
      <c r="B45" s="46" t="s">
        <v>6629</v>
      </c>
      <c r="C45" s="46" t="s">
        <v>61</v>
      </c>
      <c r="D45" s="46" t="s">
        <v>108</v>
      </c>
      <c r="E45" s="46" t="s">
        <v>124</v>
      </c>
      <c r="F45" s="46" t="s">
        <v>30</v>
      </c>
      <c r="G45" s="46">
        <v>50</v>
      </c>
      <c r="H45" s="46" t="s">
        <v>6645</v>
      </c>
      <c r="I45" s="46" t="s">
        <v>20</v>
      </c>
      <c r="J45" s="47">
        <v>45041</v>
      </c>
      <c r="K45" s="46" t="s">
        <v>87</v>
      </c>
      <c r="L45" s="48">
        <v>13871</v>
      </c>
      <c r="M45" s="49">
        <v>0</v>
      </c>
    </row>
    <row r="46" spans="1:13" x14ac:dyDescent="0.3">
      <c r="A46" s="46" t="s">
        <v>212</v>
      </c>
      <c r="B46" s="46" t="s">
        <v>6627</v>
      </c>
      <c r="C46" s="46" t="s">
        <v>189</v>
      </c>
      <c r="D46" s="46" t="s">
        <v>17</v>
      </c>
      <c r="E46" s="46" t="s">
        <v>213</v>
      </c>
      <c r="F46" s="46" t="s">
        <v>30</v>
      </c>
      <c r="G46" s="46">
        <v>11</v>
      </c>
      <c r="H46" s="46" t="s">
        <v>6644</v>
      </c>
      <c r="I46" s="46" t="s">
        <v>20</v>
      </c>
      <c r="J46" s="47">
        <v>45043</v>
      </c>
      <c r="K46" s="46" t="s">
        <v>72</v>
      </c>
      <c r="L46" s="48">
        <v>16059</v>
      </c>
      <c r="M46" s="49">
        <v>5</v>
      </c>
    </row>
    <row r="47" spans="1:13" x14ac:dyDescent="0.3">
      <c r="A47" s="46" t="s">
        <v>215</v>
      </c>
      <c r="B47" s="46" t="s">
        <v>79</v>
      </c>
      <c r="C47" s="46" t="s">
        <v>66</v>
      </c>
      <c r="D47" s="46" t="s">
        <v>93</v>
      </c>
      <c r="E47" s="46" t="s">
        <v>207</v>
      </c>
      <c r="F47" s="46" t="s">
        <v>30</v>
      </c>
      <c r="G47" s="46">
        <v>25</v>
      </c>
      <c r="H47" s="46" t="s">
        <v>6645</v>
      </c>
      <c r="I47" s="46" t="s">
        <v>40</v>
      </c>
      <c r="J47" s="47">
        <v>45165</v>
      </c>
      <c r="K47" s="46" t="s">
        <v>72</v>
      </c>
      <c r="L47" s="48">
        <v>9743</v>
      </c>
      <c r="M47" s="49">
        <v>5</v>
      </c>
    </row>
    <row r="48" spans="1:13" x14ac:dyDescent="0.3">
      <c r="A48" s="46" t="s">
        <v>218</v>
      </c>
      <c r="B48" s="46" t="s">
        <v>118</v>
      </c>
      <c r="C48" s="46" t="s">
        <v>61</v>
      </c>
      <c r="D48" s="46" t="s">
        <v>164</v>
      </c>
      <c r="E48" s="46" t="s">
        <v>219</v>
      </c>
      <c r="F48" s="46" t="s">
        <v>69</v>
      </c>
      <c r="G48" s="46">
        <v>77</v>
      </c>
      <c r="H48" s="46" t="s">
        <v>6643</v>
      </c>
      <c r="I48" s="46" t="s">
        <v>40</v>
      </c>
      <c r="J48" s="47">
        <v>45139</v>
      </c>
      <c r="K48" s="46" t="s">
        <v>87</v>
      </c>
      <c r="L48" s="48">
        <v>26794</v>
      </c>
      <c r="M48" s="49">
        <v>0</v>
      </c>
    </row>
    <row r="49" spans="1:13" x14ac:dyDescent="0.3">
      <c r="A49" s="46" t="s">
        <v>221</v>
      </c>
      <c r="B49" s="46" t="s">
        <v>6628</v>
      </c>
      <c r="C49" s="46" t="s">
        <v>36</v>
      </c>
      <c r="D49" s="46" t="s">
        <v>67</v>
      </c>
      <c r="E49" s="46" t="s">
        <v>68</v>
      </c>
      <c r="F49" s="46" t="s">
        <v>30</v>
      </c>
      <c r="G49" s="46">
        <v>48</v>
      </c>
      <c r="H49" s="46" t="s">
        <v>6645</v>
      </c>
      <c r="I49" s="46" t="s">
        <v>20</v>
      </c>
      <c r="J49" s="47">
        <v>45153</v>
      </c>
      <c r="K49" s="46" t="s">
        <v>72</v>
      </c>
      <c r="L49" s="48">
        <v>8546</v>
      </c>
      <c r="M49" s="49">
        <v>0</v>
      </c>
    </row>
    <row r="50" spans="1:13" x14ac:dyDescent="0.3">
      <c r="A50" s="46" t="s">
        <v>224</v>
      </c>
      <c r="B50" s="46" t="s">
        <v>118</v>
      </c>
      <c r="C50" s="46" t="s">
        <v>55</v>
      </c>
      <c r="D50" s="46" t="s">
        <v>74</v>
      </c>
      <c r="E50" s="46" t="s">
        <v>147</v>
      </c>
      <c r="F50" s="46" t="s">
        <v>30</v>
      </c>
      <c r="G50" s="46">
        <v>48</v>
      </c>
      <c r="H50" s="46" t="s">
        <v>6645</v>
      </c>
      <c r="I50" s="46" t="s">
        <v>20</v>
      </c>
      <c r="J50" s="47">
        <v>45397</v>
      </c>
      <c r="K50" s="46" t="s">
        <v>104</v>
      </c>
      <c r="L50" s="48">
        <v>13219</v>
      </c>
      <c r="M50" s="49">
        <v>25</v>
      </c>
    </row>
    <row r="51" spans="1:13" x14ac:dyDescent="0.3">
      <c r="A51" s="46" t="s">
        <v>228</v>
      </c>
      <c r="B51" s="46" t="s">
        <v>118</v>
      </c>
      <c r="C51" s="46" t="s">
        <v>189</v>
      </c>
      <c r="D51" s="46" t="s">
        <v>17</v>
      </c>
      <c r="E51" s="46" t="s">
        <v>18</v>
      </c>
      <c r="F51" s="46" t="s">
        <v>30</v>
      </c>
      <c r="G51" s="46">
        <v>33</v>
      </c>
      <c r="H51" s="46" t="s">
        <v>6645</v>
      </c>
      <c r="I51" s="46" t="s">
        <v>40</v>
      </c>
      <c r="J51" s="47">
        <v>45309</v>
      </c>
      <c r="K51" s="46" t="s">
        <v>72</v>
      </c>
      <c r="L51" s="48">
        <v>5059</v>
      </c>
      <c r="M51" s="49">
        <v>0</v>
      </c>
    </row>
    <row r="52" spans="1:13" x14ac:dyDescent="0.3">
      <c r="A52" s="46" t="s">
        <v>230</v>
      </c>
      <c r="B52" s="46" t="s">
        <v>6628</v>
      </c>
      <c r="C52" s="46" t="s">
        <v>66</v>
      </c>
      <c r="D52" s="46" t="s">
        <v>74</v>
      </c>
      <c r="E52" s="46" t="s">
        <v>75</v>
      </c>
      <c r="F52" s="46" t="s">
        <v>30</v>
      </c>
      <c r="G52" s="46">
        <v>4</v>
      </c>
      <c r="H52" s="46" t="s">
        <v>6644</v>
      </c>
      <c r="I52" s="46" t="s">
        <v>40</v>
      </c>
      <c r="J52" s="47">
        <v>44981</v>
      </c>
      <c r="K52" s="46" t="s">
        <v>97</v>
      </c>
      <c r="L52" s="48">
        <v>17642</v>
      </c>
      <c r="M52" s="49">
        <v>5</v>
      </c>
    </row>
    <row r="53" spans="1:13" x14ac:dyDescent="0.3">
      <c r="A53" s="46" t="s">
        <v>232</v>
      </c>
      <c r="B53" s="46" t="s">
        <v>118</v>
      </c>
      <c r="C53" s="46" t="s">
        <v>16</v>
      </c>
      <c r="D53" s="46" t="s">
        <v>164</v>
      </c>
      <c r="E53" s="46" t="s">
        <v>233</v>
      </c>
      <c r="F53" s="46" t="s">
        <v>69</v>
      </c>
      <c r="G53" s="46">
        <v>31</v>
      </c>
      <c r="H53" s="46" t="s">
        <v>6645</v>
      </c>
      <c r="I53" s="46" t="s">
        <v>20</v>
      </c>
      <c r="J53" s="47">
        <v>45367</v>
      </c>
      <c r="K53" s="46" t="s">
        <v>91</v>
      </c>
      <c r="L53" s="48">
        <v>61883</v>
      </c>
      <c r="M53" s="49">
        <v>0</v>
      </c>
    </row>
    <row r="54" spans="1:13" x14ac:dyDescent="0.3">
      <c r="A54" s="46" t="s">
        <v>237</v>
      </c>
      <c r="B54" s="46" t="s">
        <v>118</v>
      </c>
      <c r="C54" s="46" t="s">
        <v>27</v>
      </c>
      <c r="D54" s="46" t="s">
        <v>164</v>
      </c>
      <c r="E54" s="46" t="s">
        <v>165</v>
      </c>
      <c r="F54" s="46" t="s">
        <v>30</v>
      </c>
      <c r="G54" s="46">
        <v>14</v>
      </c>
      <c r="H54" s="46" t="s">
        <v>6646</v>
      </c>
      <c r="I54" s="46" t="s">
        <v>20</v>
      </c>
      <c r="J54" s="47">
        <v>45062</v>
      </c>
      <c r="K54" s="46" t="s">
        <v>104</v>
      </c>
      <c r="L54" s="48">
        <v>5064</v>
      </c>
      <c r="M54" s="49">
        <v>12</v>
      </c>
    </row>
    <row r="55" spans="1:13" x14ac:dyDescent="0.3">
      <c r="A55" s="46" t="s">
        <v>241</v>
      </c>
      <c r="B55" s="46" t="s">
        <v>6629</v>
      </c>
      <c r="C55" s="46" t="s">
        <v>36</v>
      </c>
      <c r="D55" s="46" t="s">
        <v>93</v>
      </c>
      <c r="E55" s="46" t="s">
        <v>207</v>
      </c>
      <c r="F55" s="46" t="s">
        <v>69</v>
      </c>
      <c r="G55" s="46">
        <v>73</v>
      </c>
      <c r="H55" s="46" t="s">
        <v>6643</v>
      </c>
      <c r="I55" s="46" t="s">
        <v>20</v>
      </c>
      <c r="J55" s="47">
        <v>45117</v>
      </c>
      <c r="K55" s="46" t="s">
        <v>72</v>
      </c>
      <c r="L55" s="48">
        <v>51700</v>
      </c>
      <c r="M55" s="49">
        <v>3</v>
      </c>
    </row>
    <row r="56" spans="1:13" x14ac:dyDescent="0.3">
      <c r="A56" s="46" t="s">
        <v>243</v>
      </c>
      <c r="B56" s="46" t="s">
        <v>6629</v>
      </c>
      <c r="C56" s="46" t="s">
        <v>36</v>
      </c>
      <c r="D56" s="46" t="s">
        <v>37</v>
      </c>
      <c r="E56" s="46" t="s">
        <v>38</v>
      </c>
      <c r="F56" s="46" t="s">
        <v>30</v>
      </c>
      <c r="G56" s="46">
        <v>84</v>
      </c>
      <c r="H56" s="46" t="s">
        <v>6643</v>
      </c>
      <c r="I56" s="46" t="s">
        <v>20</v>
      </c>
      <c r="J56" s="47">
        <v>45261</v>
      </c>
      <c r="K56" s="46" t="s">
        <v>87</v>
      </c>
      <c r="L56" s="48">
        <v>17291</v>
      </c>
      <c r="M56" s="49">
        <v>5</v>
      </c>
    </row>
    <row r="57" spans="1:13" x14ac:dyDescent="0.3">
      <c r="A57" s="46" t="s">
        <v>245</v>
      </c>
      <c r="B57" s="46" t="s">
        <v>6628</v>
      </c>
      <c r="C57" s="46" t="s">
        <v>36</v>
      </c>
      <c r="D57" s="46" t="s">
        <v>108</v>
      </c>
      <c r="E57" s="46" t="s">
        <v>124</v>
      </c>
      <c r="F57" s="46" t="s">
        <v>30</v>
      </c>
      <c r="G57" s="46">
        <v>10</v>
      </c>
      <c r="H57" s="46" t="s">
        <v>6644</v>
      </c>
      <c r="I57" s="46" t="s">
        <v>20</v>
      </c>
      <c r="J57" s="47">
        <v>45189</v>
      </c>
      <c r="K57" s="46" t="s">
        <v>97</v>
      </c>
      <c r="L57" s="48">
        <v>8824</v>
      </c>
      <c r="M57" s="49">
        <v>0</v>
      </c>
    </row>
    <row r="58" spans="1:13" x14ac:dyDescent="0.3">
      <c r="A58" s="46" t="s">
        <v>248</v>
      </c>
      <c r="B58" s="46" t="s">
        <v>6628</v>
      </c>
      <c r="C58" s="46" t="s">
        <v>36</v>
      </c>
      <c r="D58" s="46" t="s">
        <v>164</v>
      </c>
      <c r="E58" s="46" t="s">
        <v>233</v>
      </c>
      <c r="F58" s="46" t="s">
        <v>30</v>
      </c>
      <c r="G58" s="46">
        <v>5</v>
      </c>
      <c r="H58" s="46" t="s">
        <v>6644</v>
      </c>
      <c r="I58" s="46" t="s">
        <v>20</v>
      </c>
      <c r="J58" s="47">
        <v>45301</v>
      </c>
      <c r="K58" s="46" t="s">
        <v>87</v>
      </c>
      <c r="L58" s="48">
        <v>9666</v>
      </c>
      <c r="M58" s="49">
        <v>0</v>
      </c>
    </row>
    <row r="59" spans="1:13" x14ac:dyDescent="0.3">
      <c r="A59" s="46" t="s">
        <v>250</v>
      </c>
      <c r="B59" s="46" t="s">
        <v>79</v>
      </c>
      <c r="C59" s="46" t="s">
        <v>80</v>
      </c>
      <c r="D59" s="46" t="s">
        <v>93</v>
      </c>
      <c r="E59" s="46" t="s">
        <v>144</v>
      </c>
      <c r="F59" s="46" t="s">
        <v>30</v>
      </c>
      <c r="G59" s="46">
        <v>85</v>
      </c>
      <c r="H59" s="46" t="s">
        <v>6643</v>
      </c>
      <c r="I59" s="46" t="s">
        <v>20</v>
      </c>
      <c r="J59" s="47">
        <v>45006</v>
      </c>
      <c r="K59" s="46" t="s">
        <v>72</v>
      </c>
      <c r="L59" s="48">
        <v>5986</v>
      </c>
      <c r="M59" s="49">
        <v>0</v>
      </c>
    </row>
    <row r="60" spans="1:13" x14ac:dyDescent="0.3">
      <c r="A60" s="46" t="s">
        <v>252</v>
      </c>
      <c r="B60" s="46" t="s">
        <v>6626</v>
      </c>
      <c r="C60" s="46" t="s">
        <v>55</v>
      </c>
      <c r="D60" s="46" t="s">
        <v>17</v>
      </c>
      <c r="E60" s="46" t="s">
        <v>169</v>
      </c>
      <c r="F60" s="46" t="s">
        <v>30</v>
      </c>
      <c r="G60" s="46">
        <v>83</v>
      </c>
      <c r="H60" s="46" t="s">
        <v>6643</v>
      </c>
      <c r="I60" s="46" t="s">
        <v>40</v>
      </c>
      <c r="J60" s="47">
        <v>45127</v>
      </c>
      <c r="K60" s="46" t="s">
        <v>6632</v>
      </c>
      <c r="L60" s="48">
        <v>15619</v>
      </c>
      <c r="M60" s="49">
        <v>4</v>
      </c>
    </row>
    <row r="61" spans="1:13" x14ac:dyDescent="0.3">
      <c r="A61" s="46" t="s">
        <v>255</v>
      </c>
      <c r="B61" s="46" t="s">
        <v>6629</v>
      </c>
      <c r="C61" s="46" t="s">
        <v>55</v>
      </c>
      <c r="D61" s="46" t="s">
        <v>99</v>
      </c>
      <c r="E61" s="46" t="s">
        <v>256</v>
      </c>
      <c r="F61" s="46" t="s">
        <v>30</v>
      </c>
      <c r="G61" s="46">
        <v>83</v>
      </c>
      <c r="H61" s="46" t="s">
        <v>6643</v>
      </c>
      <c r="I61" s="46" t="s">
        <v>40</v>
      </c>
      <c r="J61" s="47">
        <v>44972</v>
      </c>
      <c r="K61" s="46" t="s">
        <v>87</v>
      </c>
      <c r="L61" s="48">
        <v>14696</v>
      </c>
      <c r="M61" s="49">
        <v>3</v>
      </c>
    </row>
    <row r="62" spans="1:13" x14ac:dyDescent="0.3">
      <c r="A62" s="46" t="s">
        <v>258</v>
      </c>
      <c r="B62" s="46" t="s">
        <v>118</v>
      </c>
      <c r="C62" s="46" t="s">
        <v>80</v>
      </c>
      <c r="D62" s="46" t="s">
        <v>28</v>
      </c>
      <c r="E62" s="46" t="s">
        <v>259</v>
      </c>
      <c r="F62" s="46" t="s">
        <v>30</v>
      </c>
      <c r="G62" s="46">
        <v>41</v>
      </c>
      <c r="H62" s="46" t="s">
        <v>6645</v>
      </c>
      <c r="I62" s="46" t="s">
        <v>20</v>
      </c>
      <c r="J62" s="47">
        <v>45238</v>
      </c>
      <c r="K62" s="46" t="s">
        <v>97</v>
      </c>
      <c r="L62" s="48">
        <v>15710</v>
      </c>
      <c r="M62" s="49">
        <v>0</v>
      </c>
    </row>
    <row r="63" spans="1:13" x14ac:dyDescent="0.3">
      <c r="A63" s="46" t="s">
        <v>261</v>
      </c>
      <c r="B63" s="46" t="s">
        <v>6627</v>
      </c>
      <c r="C63" s="46" t="s">
        <v>80</v>
      </c>
      <c r="D63" s="46" t="s">
        <v>67</v>
      </c>
      <c r="E63" s="46" t="s">
        <v>196</v>
      </c>
      <c r="F63" s="46" t="s">
        <v>30</v>
      </c>
      <c r="G63" s="46">
        <v>50</v>
      </c>
      <c r="H63" s="46" t="s">
        <v>6645</v>
      </c>
      <c r="I63" s="46" t="s">
        <v>20</v>
      </c>
      <c r="J63" s="47">
        <v>44990</v>
      </c>
      <c r="K63" s="46" t="s">
        <v>104</v>
      </c>
      <c r="L63" s="48">
        <v>5133</v>
      </c>
      <c r="M63" s="49">
        <v>35</v>
      </c>
    </row>
    <row r="64" spans="1:13" x14ac:dyDescent="0.3">
      <c r="A64" s="46" t="s">
        <v>264</v>
      </c>
      <c r="B64" s="46" t="s">
        <v>6626</v>
      </c>
      <c r="C64" s="46" t="s">
        <v>55</v>
      </c>
      <c r="D64" s="46" t="s">
        <v>108</v>
      </c>
      <c r="E64" s="46" t="s">
        <v>109</v>
      </c>
      <c r="F64" s="46" t="s">
        <v>30</v>
      </c>
      <c r="G64" s="46">
        <v>84</v>
      </c>
      <c r="H64" s="46" t="s">
        <v>6643</v>
      </c>
      <c r="I64" s="46" t="s">
        <v>40</v>
      </c>
      <c r="J64" s="47">
        <v>45084</v>
      </c>
      <c r="K64" s="46" t="s">
        <v>87</v>
      </c>
      <c r="L64" s="48">
        <v>11167</v>
      </c>
      <c r="M64" s="49">
        <v>0</v>
      </c>
    </row>
    <row r="65" spans="1:13" x14ac:dyDescent="0.3">
      <c r="A65" s="46" t="s">
        <v>267</v>
      </c>
      <c r="B65" s="46" t="s">
        <v>118</v>
      </c>
      <c r="C65" s="46" t="s">
        <v>80</v>
      </c>
      <c r="D65" s="46" t="s">
        <v>28</v>
      </c>
      <c r="E65" s="46" t="s">
        <v>268</v>
      </c>
      <c r="F65" s="46" t="s">
        <v>69</v>
      </c>
      <c r="G65" s="46">
        <v>23</v>
      </c>
      <c r="H65" s="46" t="s">
        <v>6645</v>
      </c>
      <c r="I65" s="46" t="s">
        <v>40</v>
      </c>
      <c r="J65" s="47">
        <v>45131</v>
      </c>
      <c r="K65" s="46" t="s">
        <v>87</v>
      </c>
      <c r="L65" s="48">
        <v>30631</v>
      </c>
      <c r="M65" s="49">
        <v>10</v>
      </c>
    </row>
    <row r="66" spans="1:13" x14ac:dyDescent="0.3">
      <c r="A66" s="46" t="s">
        <v>271</v>
      </c>
      <c r="B66" s="46" t="s">
        <v>6626</v>
      </c>
      <c r="C66" s="46" t="s">
        <v>16</v>
      </c>
      <c r="D66" s="46" t="s">
        <v>108</v>
      </c>
      <c r="E66" s="46" t="s">
        <v>272</v>
      </c>
      <c r="F66" s="46" t="s">
        <v>69</v>
      </c>
      <c r="G66" s="46">
        <v>65</v>
      </c>
      <c r="H66" s="46" t="s">
        <v>6643</v>
      </c>
      <c r="I66" s="46" t="s">
        <v>40</v>
      </c>
      <c r="J66" s="47">
        <v>45261</v>
      </c>
      <c r="K66" s="46" t="s">
        <v>91</v>
      </c>
      <c r="L66" s="48">
        <v>13455</v>
      </c>
      <c r="M66" s="49">
        <v>3</v>
      </c>
    </row>
    <row r="67" spans="1:13" x14ac:dyDescent="0.3">
      <c r="A67" s="46" t="s">
        <v>273</v>
      </c>
      <c r="B67" s="46" t="s">
        <v>118</v>
      </c>
      <c r="C67" s="46" t="s">
        <v>66</v>
      </c>
      <c r="D67" s="46" t="s">
        <v>67</v>
      </c>
      <c r="E67" s="46" t="s">
        <v>196</v>
      </c>
      <c r="F67" s="46" t="s">
        <v>30</v>
      </c>
      <c r="G67" s="46">
        <v>21</v>
      </c>
      <c r="H67" s="46" t="s">
        <v>6645</v>
      </c>
      <c r="I67" s="46" t="s">
        <v>20</v>
      </c>
      <c r="J67" s="47">
        <v>45386</v>
      </c>
      <c r="K67" s="46" t="s">
        <v>72</v>
      </c>
      <c r="L67" s="48">
        <v>12010</v>
      </c>
      <c r="M67" s="49">
        <v>0</v>
      </c>
    </row>
    <row r="68" spans="1:13" x14ac:dyDescent="0.3">
      <c r="A68" s="46" t="s">
        <v>275</v>
      </c>
      <c r="B68" s="46" t="s">
        <v>6627</v>
      </c>
      <c r="C68" s="46" t="s">
        <v>55</v>
      </c>
      <c r="D68" s="46" t="s">
        <v>37</v>
      </c>
      <c r="E68" s="46" t="s">
        <v>38</v>
      </c>
      <c r="F68" s="46" t="s">
        <v>30</v>
      </c>
      <c r="G68" s="46">
        <v>87</v>
      </c>
      <c r="H68" s="46" t="s">
        <v>6643</v>
      </c>
      <c r="I68" s="46" t="s">
        <v>20</v>
      </c>
      <c r="J68" s="47">
        <v>45385</v>
      </c>
      <c r="K68" s="46" t="s">
        <v>72</v>
      </c>
      <c r="L68" s="48">
        <v>15348</v>
      </c>
      <c r="M68" s="49">
        <v>0</v>
      </c>
    </row>
    <row r="69" spans="1:13" x14ac:dyDescent="0.3">
      <c r="A69" s="46" t="s">
        <v>278</v>
      </c>
      <c r="B69" s="46" t="s">
        <v>118</v>
      </c>
      <c r="C69" s="46" t="s">
        <v>27</v>
      </c>
      <c r="D69" s="46" t="s">
        <v>74</v>
      </c>
      <c r="E69" s="46" t="s">
        <v>147</v>
      </c>
      <c r="F69" s="46" t="s">
        <v>30</v>
      </c>
      <c r="G69" s="46">
        <v>48</v>
      </c>
      <c r="H69" s="46" t="s">
        <v>6645</v>
      </c>
      <c r="I69" s="46" t="s">
        <v>20</v>
      </c>
      <c r="J69" s="47">
        <v>45001</v>
      </c>
      <c r="K69" s="46" t="s">
        <v>72</v>
      </c>
      <c r="L69" s="48">
        <v>14804</v>
      </c>
      <c r="M69" s="49">
        <v>0</v>
      </c>
    </row>
    <row r="70" spans="1:13" x14ac:dyDescent="0.3">
      <c r="A70" s="46" t="s">
        <v>281</v>
      </c>
      <c r="B70" s="46" t="s">
        <v>6628</v>
      </c>
      <c r="C70" s="46" t="s">
        <v>55</v>
      </c>
      <c r="D70" s="46" t="s">
        <v>164</v>
      </c>
      <c r="E70" s="46" t="s">
        <v>282</v>
      </c>
      <c r="F70" s="46" t="s">
        <v>30</v>
      </c>
      <c r="G70" s="46">
        <v>54</v>
      </c>
      <c r="H70" s="46" t="s">
        <v>6645</v>
      </c>
      <c r="I70" s="46" t="s">
        <v>20</v>
      </c>
      <c r="J70" s="47">
        <v>45113</v>
      </c>
      <c r="K70" s="46" t="s">
        <v>91</v>
      </c>
      <c r="L70" s="48">
        <v>4565</v>
      </c>
      <c r="M70" s="49">
        <v>0</v>
      </c>
    </row>
    <row r="71" spans="1:13" x14ac:dyDescent="0.3">
      <c r="A71" s="46" t="s">
        <v>284</v>
      </c>
      <c r="B71" s="46" t="s">
        <v>79</v>
      </c>
      <c r="C71" s="46" t="s">
        <v>55</v>
      </c>
      <c r="D71" s="46" t="s">
        <v>93</v>
      </c>
      <c r="E71" s="46" t="s">
        <v>121</v>
      </c>
      <c r="F71" s="46" t="s">
        <v>30</v>
      </c>
      <c r="G71" s="46">
        <v>27</v>
      </c>
      <c r="H71" s="46" t="s">
        <v>6645</v>
      </c>
      <c r="I71" s="46" t="s">
        <v>20</v>
      </c>
      <c r="J71" s="47">
        <v>45246</v>
      </c>
      <c r="K71" s="46" t="s">
        <v>6632</v>
      </c>
      <c r="L71" s="48">
        <v>18561</v>
      </c>
      <c r="M71" s="49">
        <v>0</v>
      </c>
    </row>
    <row r="72" spans="1:13" x14ac:dyDescent="0.3">
      <c r="A72" s="46" t="s">
        <v>287</v>
      </c>
      <c r="B72" s="46" t="s">
        <v>6627</v>
      </c>
      <c r="C72" s="46" t="s">
        <v>66</v>
      </c>
      <c r="D72" s="46" t="s">
        <v>17</v>
      </c>
      <c r="E72" s="46" t="s">
        <v>213</v>
      </c>
      <c r="F72" s="46" t="s">
        <v>69</v>
      </c>
      <c r="G72" s="46">
        <v>45</v>
      </c>
      <c r="H72" s="46" t="s">
        <v>6645</v>
      </c>
      <c r="I72" s="46" t="s">
        <v>20</v>
      </c>
      <c r="J72" s="47">
        <v>45257</v>
      </c>
      <c r="K72" s="46" t="s">
        <v>87</v>
      </c>
      <c r="L72" s="48">
        <v>78163</v>
      </c>
      <c r="M72" s="49">
        <v>0</v>
      </c>
    </row>
    <row r="73" spans="1:13" x14ac:dyDescent="0.3">
      <c r="A73" s="46" t="s">
        <v>289</v>
      </c>
      <c r="B73" s="46" t="s">
        <v>118</v>
      </c>
      <c r="C73" s="46" t="s">
        <v>16</v>
      </c>
      <c r="D73" s="46" t="s">
        <v>28</v>
      </c>
      <c r="E73" s="46" t="s">
        <v>290</v>
      </c>
      <c r="F73" s="46" t="s">
        <v>30</v>
      </c>
      <c r="G73" s="46">
        <v>79</v>
      </c>
      <c r="H73" s="46" t="s">
        <v>6643</v>
      </c>
      <c r="I73" s="46" t="s">
        <v>20</v>
      </c>
      <c r="J73" s="47">
        <v>45263</v>
      </c>
      <c r="K73" s="46" t="s">
        <v>91</v>
      </c>
      <c r="L73" s="48">
        <v>8990</v>
      </c>
      <c r="M73" s="49">
        <v>5</v>
      </c>
    </row>
    <row r="74" spans="1:13" x14ac:dyDescent="0.3">
      <c r="A74" s="46" t="s">
        <v>293</v>
      </c>
      <c r="B74" s="46" t="s">
        <v>6628</v>
      </c>
      <c r="C74" s="46" t="s">
        <v>27</v>
      </c>
      <c r="D74" s="46" t="s">
        <v>74</v>
      </c>
      <c r="E74" s="46" t="s">
        <v>75</v>
      </c>
      <c r="F74" s="46" t="s">
        <v>69</v>
      </c>
      <c r="G74" s="46">
        <v>92</v>
      </c>
      <c r="H74" s="46" t="s">
        <v>6643</v>
      </c>
      <c r="I74" s="46" t="s">
        <v>20</v>
      </c>
      <c r="J74" s="47">
        <v>44930</v>
      </c>
      <c r="K74" s="46" t="s">
        <v>87</v>
      </c>
      <c r="L74" s="48">
        <v>69172</v>
      </c>
      <c r="M74" s="49">
        <v>0</v>
      </c>
    </row>
    <row r="75" spans="1:13" x14ac:dyDescent="0.3">
      <c r="A75" s="46" t="s">
        <v>295</v>
      </c>
      <c r="B75" s="46" t="s">
        <v>6627</v>
      </c>
      <c r="C75" s="46" t="s">
        <v>189</v>
      </c>
      <c r="D75" s="46" t="s">
        <v>108</v>
      </c>
      <c r="E75" s="46" t="s">
        <v>272</v>
      </c>
      <c r="F75" s="46" t="s">
        <v>69</v>
      </c>
      <c r="G75" s="46">
        <v>92</v>
      </c>
      <c r="H75" s="46" t="s">
        <v>6643</v>
      </c>
      <c r="I75" s="46" t="s">
        <v>20</v>
      </c>
      <c r="J75" s="47">
        <v>45063</v>
      </c>
      <c r="K75" s="46" t="s">
        <v>104</v>
      </c>
      <c r="L75" s="48">
        <v>62495</v>
      </c>
      <c r="M75" s="49">
        <v>19</v>
      </c>
    </row>
    <row r="76" spans="1:13" x14ac:dyDescent="0.3">
      <c r="A76" s="46" t="s">
        <v>297</v>
      </c>
      <c r="B76" s="46" t="s">
        <v>6627</v>
      </c>
      <c r="C76" s="46" t="s">
        <v>66</v>
      </c>
      <c r="D76" s="46" t="s">
        <v>28</v>
      </c>
      <c r="E76" s="46" t="s">
        <v>290</v>
      </c>
      <c r="F76" s="46" t="s">
        <v>69</v>
      </c>
      <c r="G76" s="46">
        <v>25</v>
      </c>
      <c r="H76" s="46" t="s">
        <v>6645</v>
      </c>
      <c r="I76" s="46" t="s">
        <v>40</v>
      </c>
      <c r="J76" s="47">
        <v>45095</v>
      </c>
      <c r="K76" s="46" t="s">
        <v>104</v>
      </c>
      <c r="L76" s="48">
        <v>35944</v>
      </c>
      <c r="M76" s="49">
        <v>30</v>
      </c>
    </row>
    <row r="77" spans="1:13" x14ac:dyDescent="0.3">
      <c r="A77" s="46" t="s">
        <v>300</v>
      </c>
      <c r="B77" s="46" t="s">
        <v>79</v>
      </c>
      <c r="C77" s="46" t="s">
        <v>61</v>
      </c>
      <c r="D77" s="46" t="s">
        <v>28</v>
      </c>
      <c r="E77" s="46" t="s">
        <v>259</v>
      </c>
      <c r="F77" s="46" t="s">
        <v>69</v>
      </c>
      <c r="G77" s="46">
        <v>10</v>
      </c>
      <c r="H77" s="46" t="s">
        <v>6644</v>
      </c>
      <c r="I77" s="46" t="s">
        <v>20</v>
      </c>
      <c r="J77" s="47">
        <v>45393</v>
      </c>
      <c r="K77" s="46" t="s">
        <v>6632</v>
      </c>
      <c r="L77" s="48">
        <v>42484</v>
      </c>
      <c r="M77" s="49">
        <v>0</v>
      </c>
    </row>
    <row r="78" spans="1:13" x14ac:dyDescent="0.3">
      <c r="A78" s="46" t="s">
        <v>303</v>
      </c>
      <c r="B78" s="46" t="s">
        <v>79</v>
      </c>
      <c r="C78" s="46" t="s">
        <v>189</v>
      </c>
      <c r="D78" s="46" t="s">
        <v>164</v>
      </c>
      <c r="E78" s="46" t="s">
        <v>219</v>
      </c>
      <c r="F78" s="46" t="s">
        <v>30</v>
      </c>
      <c r="G78" s="46">
        <v>6</v>
      </c>
      <c r="H78" s="46" t="s">
        <v>6644</v>
      </c>
      <c r="I78" s="46" t="s">
        <v>20</v>
      </c>
      <c r="J78" s="47">
        <v>45365</v>
      </c>
      <c r="K78" s="46" t="s">
        <v>91</v>
      </c>
      <c r="L78" s="48">
        <v>14908</v>
      </c>
      <c r="M78" s="49">
        <v>0</v>
      </c>
    </row>
    <row r="79" spans="1:13" x14ac:dyDescent="0.3">
      <c r="A79" s="46" t="s">
        <v>306</v>
      </c>
      <c r="B79" s="46" t="s">
        <v>6626</v>
      </c>
      <c r="C79" s="46" t="s">
        <v>61</v>
      </c>
      <c r="D79" s="46" t="s">
        <v>108</v>
      </c>
      <c r="E79" s="46" t="s">
        <v>308</v>
      </c>
      <c r="F79" s="46" t="s">
        <v>30</v>
      </c>
      <c r="G79" s="46">
        <v>82</v>
      </c>
      <c r="H79" s="46" t="s">
        <v>6643</v>
      </c>
      <c r="I79" s="46" t="s">
        <v>20</v>
      </c>
      <c r="J79" s="47">
        <v>45349</v>
      </c>
      <c r="K79" s="46" t="s">
        <v>97</v>
      </c>
      <c r="L79" s="48">
        <v>12416</v>
      </c>
      <c r="M79" s="49">
        <v>0</v>
      </c>
    </row>
    <row r="80" spans="1:13" x14ac:dyDescent="0.3">
      <c r="A80" s="46" t="s">
        <v>312</v>
      </c>
      <c r="B80" s="46" t="s">
        <v>6628</v>
      </c>
      <c r="C80" s="46" t="s">
        <v>189</v>
      </c>
      <c r="D80" s="46" t="s">
        <v>37</v>
      </c>
      <c r="E80" s="46" t="s">
        <v>56</v>
      </c>
      <c r="F80" s="46" t="s">
        <v>69</v>
      </c>
      <c r="G80" s="46">
        <v>42</v>
      </c>
      <c r="H80" s="46" t="s">
        <v>6645</v>
      </c>
      <c r="I80" s="46" t="s">
        <v>20</v>
      </c>
      <c r="J80" s="47">
        <v>45184</v>
      </c>
      <c r="K80" s="46" t="s">
        <v>72</v>
      </c>
      <c r="L80" s="48">
        <v>82401</v>
      </c>
      <c r="M80" s="49">
        <v>0</v>
      </c>
    </row>
    <row r="81" spans="1:13" x14ac:dyDescent="0.3">
      <c r="A81" s="46" t="s">
        <v>313</v>
      </c>
      <c r="B81" s="46" t="s">
        <v>6628</v>
      </c>
      <c r="C81" s="46" t="s">
        <v>80</v>
      </c>
      <c r="D81" s="46" t="s">
        <v>164</v>
      </c>
      <c r="E81" s="46" t="s">
        <v>219</v>
      </c>
      <c r="F81" s="46" t="s">
        <v>30</v>
      </c>
      <c r="G81" s="46">
        <v>22</v>
      </c>
      <c r="H81" s="46" t="s">
        <v>6645</v>
      </c>
      <c r="I81" s="46" t="s">
        <v>40</v>
      </c>
      <c r="J81" s="47">
        <v>44927</v>
      </c>
      <c r="K81" s="46" t="s">
        <v>72</v>
      </c>
      <c r="L81" s="48">
        <v>9331</v>
      </c>
      <c r="M81" s="49">
        <v>3</v>
      </c>
    </row>
    <row r="82" spans="1:13" x14ac:dyDescent="0.3">
      <c r="A82" s="46" t="s">
        <v>315</v>
      </c>
      <c r="B82" s="46" t="s">
        <v>6627</v>
      </c>
      <c r="C82" s="46" t="s">
        <v>80</v>
      </c>
      <c r="D82" s="46" t="s">
        <v>47</v>
      </c>
      <c r="E82" s="46" t="s">
        <v>48</v>
      </c>
      <c r="F82" s="46" t="s">
        <v>69</v>
      </c>
      <c r="G82" s="46">
        <v>21</v>
      </c>
      <c r="H82" s="46" t="s">
        <v>6645</v>
      </c>
      <c r="I82" s="46" t="s">
        <v>20</v>
      </c>
      <c r="J82" s="47">
        <v>45344</v>
      </c>
      <c r="K82" s="46" t="s">
        <v>72</v>
      </c>
      <c r="L82" s="48">
        <v>48143</v>
      </c>
      <c r="M82" s="49">
        <v>0</v>
      </c>
    </row>
    <row r="83" spans="1:13" x14ac:dyDescent="0.3">
      <c r="A83" s="46" t="s">
        <v>317</v>
      </c>
      <c r="B83" s="46" t="s">
        <v>6629</v>
      </c>
      <c r="C83" s="46" t="s">
        <v>27</v>
      </c>
      <c r="D83" s="46" t="s">
        <v>37</v>
      </c>
      <c r="E83" s="46" t="s">
        <v>56</v>
      </c>
      <c r="F83" s="46" t="s">
        <v>30</v>
      </c>
      <c r="G83" s="46">
        <v>55</v>
      </c>
      <c r="H83" s="46" t="s">
        <v>6645</v>
      </c>
      <c r="I83" s="46" t="s">
        <v>40</v>
      </c>
      <c r="J83" s="47">
        <v>44939</v>
      </c>
      <c r="K83" s="46" t="s">
        <v>104</v>
      </c>
      <c r="L83" s="48">
        <v>11391</v>
      </c>
      <c r="M83" s="49">
        <v>25</v>
      </c>
    </row>
    <row r="84" spans="1:13" x14ac:dyDescent="0.3">
      <c r="A84" s="46" t="s">
        <v>320</v>
      </c>
      <c r="B84" s="46" t="s">
        <v>118</v>
      </c>
      <c r="C84" s="46" t="s">
        <v>16</v>
      </c>
      <c r="D84" s="46" t="s">
        <v>93</v>
      </c>
      <c r="E84" s="46" t="s">
        <v>207</v>
      </c>
      <c r="F84" s="46" t="s">
        <v>30</v>
      </c>
      <c r="G84" s="46">
        <v>58</v>
      </c>
      <c r="H84" s="46" t="s">
        <v>6645</v>
      </c>
      <c r="I84" s="46" t="s">
        <v>40</v>
      </c>
      <c r="J84" s="47">
        <v>45210</v>
      </c>
      <c r="K84" s="46" t="s">
        <v>97</v>
      </c>
      <c r="L84" s="48">
        <v>13187</v>
      </c>
      <c r="M84" s="49">
        <v>3</v>
      </c>
    </row>
    <row r="85" spans="1:13" x14ac:dyDescent="0.3">
      <c r="A85" s="46" t="s">
        <v>322</v>
      </c>
      <c r="B85" s="46" t="s">
        <v>6626</v>
      </c>
      <c r="C85" s="46" t="s">
        <v>36</v>
      </c>
      <c r="D85" s="46" t="s">
        <v>93</v>
      </c>
      <c r="E85" s="46" t="s">
        <v>121</v>
      </c>
      <c r="F85" s="46" t="s">
        <v>30</v>
      </c>
      <c r="G85" s="46">
        <v>20</v>
      </c>
      <c r="H85" s="46" t="s">
        <v>6645</v>
      </c>
      <c r="I85" s="46" t="s">
        <v>40</v>
      </c>
      <c r="J85" s="47">
        <v>45297</v>
      </c>
      <c r="K85" s="46" t="s">
        <v>72</v>
      </c>
      <c r="L85" s="48">
        <v>13700</v>
      </c>
      <c r="M85" s="49">
        <v>0</v>
      </c>
    </row>
    <row r="86" spans="1:13" x14ac:dyDescent="0.3">
      <c r="A86" s="46" t="s">
        <v>324</v>
      </c>
      <c r="B86" s="46" t="s">
        <v>79</v>
      </c>
      <c r="C86" s="46" t="s">
        <v>16</v>
      </c>
      <c r="D86" s="46" t="s">
        <v>108</v>
      </c>
      <c r="E86" s="46" t="s">
        <v>308</v>
      </c>
      <c r="F86" s="46" t="s">
        <v>30</v>
      </c>
      <c r="G86" s="46">
        <v>39</v>
      </c>
      <c r="H86" s="46" t="s">
        <v>6645</v>
      </c>
      <c r="I86" s="46" t="s">
        <v>40</v>
      </c>
      <c r="J86" s="47">
        <v>45067</v>
      </c>
      <c r="K86" s="46" t="s">
        <v>72</v>
      </c>
      <c r="L86" s="48">
        <v>9428</v>
      </c>
      <c r="M86" s="49">
        <v>0</v>
      </c>
    </row>
    <row r="87" spans="1:13" x14ac:dyDescent="0.3">
      <c r="A87" s="46" t="s">
        <v>327</v>
      </c>
      <c r="B87" s="46" t="s">
        <v>118</v>
      </c>
      <c r="C87" s="46" t="s">
        <v>36</v>
      </c>
      <c r="D87" s="46" t="s">
        <v>93</v>
      </c>
      <c r="E87" s="46" t="s">
        <v>94</v>
      </c>
      <c r="F87" s="46" t="s">
        <v>30</v>
      </c>
      <c r="G87" s="46">
        <v>1</v>
      </c>
      <c r="H87" s="46" t="s">
        <v>6644</v>
      </c>
      <c r="I87" s="46" t="s">
        <v>40</v>
      </c>
      <c r="J87" s="47">
        <v>45051</v>
      </c>
      <c r="K87" s="46" t="s">
        <v>91</v>
      </c>
      <c r="L87" s="48">
        <v>15382</v>
      </c>
      <c r="M87" s="49">
        <v>10</v>
      </c>
    </row>
    <row r="88" spans="1:13" x14ac:dyDescent="0.3">
      <c r="A88" s="46" t="s">
        <v>329</v>
      </c>
      <c r="B88" s="46" t="s">
        <v>6626</v>
      </c>
      <c r="C88" s="46" t="s">
        <v>27</v>
      </c>
      <c r="D88" s="46" t="s">
        <v>99</v>
      </c>
      <c r="E88" s="46" t="s">
        <v>151</v>
      </c>
      <c r="F88" s="46" t="s">
        <v>30</v>
      </c>
      <c r="G88" s="46">
        <v>54</v>
      </c>
      <c r="H88" s="46" t="s">
        <v>6645</v>
      </c>
      <c r="I88" s="46" t="s">
        <v>40</v>
      </c>
      <c r="J88" s="47">
        <v>45327</v>
      </c>
      <c r="K88" s="46" t="s">
        <v>72</v>
      </c>
      <c r="L88" s="48">
        <v>15305</v>
      </c>
      <c r="M88" s="49">
        <v>5</v>
      </c>
    </row>
    <row r="89" spans="1:13" x14ac:dyDescent="0.3">
      <c r="A89" s="46" t="s">
        <v>331</v>
      </c>
      <c r="B89" s="46" t="s">
        <v>118</v>
      </c>
      <c r="C89" s="46" t="s">
        <v>16</v>
      </c>
      <c r="D89" s="46" t="s">
        <v>37</v>
      </c>
      <c r="E89" s="46" t="s">
        <v>38</v>
      </c>
      <c r="F89" s="46" t="s">
        <v>30</v>
      </c>
      <c r="G89" s="46">
        <v>5</v>
      </c>
      <c r="H89" s="46" t="s">
        <v>6644</v>
      </c>
      <c r="I89" s="46" t="s">
        <v>20</v>
      </c>
      <c r="J89" s="47">
        <v>45205</v>
      </c>
      <c r="K89" s="46" t="s">
        <v>104</v>
      </c>
      <c r="L89" s="48">
        <v>9125</v>
      </c>
      <c r="M89" s="49">
        <v>10</v>
      </c>
    </row>
    <row r="90" spans="1:13" x14ac:dyDescent="0.3">
      <c r="A90" s="46" t="s">
        <v>333</v>
      </c>
      <c r="B90" s="46" t="s">
        <v>6627</v>
      </c>
      <c r="C90" s="46" t="s">
        <v>80</v>
      </c>
      <c r="D90" s="46" t="s">
        <v>93</v>
      </c>
      <c r="E90" s="46" t="s">
        <v>207</v>
      </c>
      <c r="F90" s="46" t="s">
        <v>30</v>
      </c>
      <c r="G90" s="46">
        <v>53</v>
      </c>
      <c r="H90" s="46" t="s">
        <v>6645</v>
      </c>
      <c r="I90" s="46" t="s">
        <v>40</v>
      </c>
      <c r="J90" s="47">
        <v>45160</v>
      </c>
      <c r="K90" s="46" t="s">
        <v>87</v>
      </c>
      <c r="L90" s="48">
        <v>8896</v>
      </c>
      <c r="M90" s="49">
        <v>10</v>
      </c>
    </row>
    <row r="91" spans="1:13" x14ac:dyDescent="0.3">
      <c r="A91" s="46" t="s">
        <v>336</v>
      </c>
      <c r="B91" s="46" t="s">
        <v>6628</v>
      </c>
      <c r="C91" s="46" t="s">
        <v>61</v>
      </c>
      <c r="D91" s="46" t="s">
        <v>17</v>
      </c>
      <c r="E91" s="46" t="s">
        <v>18</v>
      </c>
      <c r="F91" s="46" t="s">
        <v>30</v>
      </c>
      <c r="G91" s="46">
        <v>81</v>
      </c>
      <c r="H91" s="46" t="s">
        <v>6643</v>
      </c>
      <c r="I91" s="46" t="s">
        <v>40</v>
      </c>
      <c r="J91" s="47">
        <v>45272</v>
      </c>
      <c r="K91" s="46" t="s">
        <v>87</v>
      </c>
      <c r="L91" s="48">
        <v>13084</v>
      </c>
      <c r="M91" s="49">
        <v>10</v>
      </c>
    </row>
    <row r="92" spans="1:13" x14ac:dyDescent="0.3">
      <c r="A92" s="46" t="s">
        <v>338</v>
      </c>
      <c r="B92" s="46" t="s">
        <v>118</v>
      </c>
      <c r="C92" s="46" t="s">
        <v>80</v>
      </c>
      <c r="D92" s="46" t="s">
        <v>28</v>
      </c>
      <c r="E92" s="46" t="s">
        <v>290</v>
      </c>
      <c r="F92" s="46" t="s">
        <v>30</v>
      </c>
      <c r="G92" s="46">
        <v>61</v>
      </c>
      <c r="H92" s="46" t="s">
        <v>6643</v>
      </c>
      <c r="I92" s="46" t="s">
        <v>40</v>
      </c>
      <c r="J92" s="47">
        <v>45214</v>
      </c>
      <c r="K92" s="46" t="s">
        <v>91</v>
      </c>
      <c r="L92" s="48">
        <v>9885</v>
      </c>
      <c r="M92" s="49">
        <v>5</v>
      </c>
    </row>
    <row r="93" spans="1:13" x14ac:dyDescent="0.3">
      <c r="A93" s="46" t="s">
        <v>339</v>
      </c>
      <c r="B93" s="46" t="s">
        <v>6626</v>
      </c>
      <c r="C93" s="46" t="s">
        <v>16</v>
      </c>
      <c r="D93" s="46" t="s">
        <v>99</v>
      </c>
      <c r="E93" s="46" t="s">
        <v>100</v>
      </c>
      <c r="F93" s="46" t="s">
        <v>69</v>
      </c>
      <c r="G93" s="46">
        <v>49</v>
      </c>
      <c r="H93" s="46" t="s">
        <v>6645</v>
      </c>
      <c r="I93" s="46" t="s">
        <v>40</v>
      </c>
      <c r="J93" s="47">
        <v>45056</v>
      </c>
      <c r="K93" s="46" t="s">
        <v>97</v>
      </c>
      <c r="L93" s="48">
        <v>75850</v>
      </c>
      <c r="M93" s="49">
        <v>0</v>
      </c>
    </row>
    <row r="94" spans="1:13" x14ac:dyDescent="0.3">
      <c r="A94" s="46" t="s">
        <v>341</v>
      </c>
      <c r="B94" s="46" t="s">
        <v>118</v>
      </c>
      <c r="C94" s="46" t="s">
        <v>80</v>
      </c>
      <c r="D94" s="46" t="s">
        <v>17</v>
      </c>
      <c r="E94" s="46" t="s">
        <v>18</v>
      </c>
      <c r="F94" s="46" t="s">
        <v>30</v>
      </c>
      <c r="G94" s="46">
        <v>50</v>
      </c>
      <c r="H94" s="46" t="s">
        <v>6645</v>
      </c>
      <c r="I94" s="46" t="s">
        <v>20</v>
      </c>
      <c r="J94" s="47">
        <v>44970</v>
      </c>
      <c r="K94" s="46" t="s">
        <v>97</v>
      </c>
      <c r="L94" s="48">
        <v>13639</v>
      </c>
      <c r="M94" s="49">
        <v>0</v>
      </c>
    </row>
    <row r="95" spans="1:13" x14ac:dyDescent="0.3">
      <c r="A95" s="46" t="s">
        <v>343</v>
      </c>
      <c r="B95" s="46" t="s">
        <v>79</v>
      </c>
      <c r="C95" s="46" t="s">
        <v>66</v>
      </c>
      <c r="D95" s="46" t="s">
        <v>74</v>
      </c>
      <c r="E95" s="46" t="s">
        <v>75</v>
      </c>
      <c r="F95" s="46" t="s">
        <v>30</v>
      </c>
      <c r="G95" s="46">
        <v>58</v>
      </c>
      <c r="H95" s="46" t="s">
        <v>6645</v>
      </c>
      <c r="I95" s="46" t="s">
        <v>20</v>
      </c>
      <c r="J95" s="47">
        <v>45328</v>
      </c>
      <c r="K95" s="46" t="s">
        <v>91</v>
      </c>
      <c r="L95" s="48">
        <v>7202</v>
      </c>
      <c r="M95" s="49">
        <v>10</v>
      </c>
    </row>
    <row r="96" spans="1:13" x14ac:dyDescent="0.3">
      <c r="A96" s="46" t="s">
        <v>346</v>
      </c>
      <c r="B96" s="46" t="s">
        <v>6629</v>
      </c>
      <c r="C96" s="46" t="s">
        <v>66</v>
      </c>
      <c r="D96" s="46" t="s">
        <v>28</v>
      </c>
      <c r="E96" s="46" t="s">
        <v>268</v>
      </c>
      <c r="F96" s="46" t="s">
        <v>30</v>
      </c>
      <c r="G96" s="46">
        <v>86</v>
      </c>
      <c r="H96" s="46" t="s">
        <v>6643</v>
      </c>
      <c r="I96" s="46" t="s">
        <v>20</v>
      </c>
      <c r="J96" s="47">
        <v>45211</v>
      </c>
      <c r="K96" s="46" t="s">
        <v>72</v>
      </c>
      <c r="L96" s="48">
        <v>6880</v>
      </c>
      <c r="M96" s="49">
        <v>0</v>
      </c>
    </row>
    <row r="97" spans="1:13" x14ac:dyDescent="0.3">
      <c r="A97" s="46" t="s">
        <v>349</v>
      </c>
      <c r="B97" s="46" t="s">
        <v>6627</v>
      </c>
      <c r="C97" s="46" t="s">
        <v>80</v>
      </c>
      <c r="D97" s="46" t="s">
        <v>28</v>
      </c>
      <c r="E97" s="46" t="s">
        <v>268</v>
      </c>
      <c r="F97" s="46" t="s">
        <v>30</v>
      </c>
      <c r="G97" s="46">
        <v>21</v>
      </c>
      <c r="H97" s="46" t="s">
        <v>6645</v>
      </c>
      <c r="I97" s="46" t="s">
        <v>20</v>
      </c>
      <c r="J97" s="47">
        <v>45166</v>
      </c>
      <c r="K97" s="46" t="s">
        <v>87</v>
      </c>
      <c r="L97" s="48">
        <v>18726</v>
      </c>
      <c r="M97" s="49">
        <v>3</v>
      </c>
    </row>
    <row r="98" spans="1:13" x14ac:dyDescent="0.3">
      <c r="A98" s="46" t="s">
        <v>351</v>
      </c>
      <c r="B98" s="46" t="s">
        <v>6626</v>
      </c>
      <c r="C98" s="46" t="s">
        <v>189</v>
      </c>
      <c r="D98" s="46" t="s">
        <v>164</v>
      </c>
      <c r="E98" s="46" t="s">
        <v>282</v>
      </c>
      <c r="F98" s="46" t="s">
        <v>30</v>
      </c>
      <c r="G98" s="46">
        <v>13</v>
      </c>
      <c r="H98" s="46" t="s">
        <v>6646</v>
      </c>
      <c r="I98" s="46" t="s">
        <v>20</v>
      </c>
      <c r="J98" s="47">
        <v>45174</v>
      </c>
      <c r="K98" s="46" t="s">
        <v>72</v>
      </c>
      <c r="L98" s="48">
        <v>18881</v>
      </c>
      <c r="M98" s="49">
        <v>0</v>
      </c>
    </row>
    <row r="99" spans="1:13" x14ac:dyDescent="0.3">
      <c r="A99" s="46" t="s">
        <v>353</v>
      </c>
      <c r="B99" s="46" t="s">
        <v>6628</v>
      </c>
      <c r="C99" s="46" t="s">
        <v>55</v>
      </c>
      <c r="D99" s="46" t="s">
        <v>99</v>
      </c>
      <c r="E99" s="46" t="s">
        <v>256</v>
      </c>
      <c r="F99" s="46" t="s">
        <v>30</v>
      </c>
      <c r="G99" s="46">
        <v>71</v>
      </c>
      <c r="H99" s="46" t="s">
        <v>6643</v>
      </c>
      <c r="I99" s="46" t="s">
        <v>20</v>
      </c>
      <c r="J99" s="47">
        <v>45350</v>
      </c>
      <c r="K99" s="46" t="s">
        <v>87</v>
      </c>
      <c r="L99" s="48">
        <v>11227</v>
      </c>
      <c r="M99" s="49">
        <v>10</v>
      </c>
    </row>
    <row r="100" spans="1:13" x14ac:dyDescent="0.3">
      <c r="A100" s="46" t="s">
        <v>356</v>
      </c>
      <c r="B100" s="46" t="s">
        <v>118</v>
      </c>
      <c r="C100" s="46" t="s">
        <v>27</v>
      </c>
      <c r="D100" s="46" t="s">
        <v>37</v>
      </c>
      <c r="E100" s="46" t="s">
        <v>132</v>
      </c>
      <c r="F100" s="46" t="s">
        <v>30</v>
      </c>
      <c r="G100" s="46">
        <v>6</v>
      </c>
      <c r="H100" s="46" t="s">
        <v>6644</v>
      </c>
      <c r="I100" s="46" t="s">
        <v>40</v>
      </c>
      <c r="J100" s="47">
        <v>45297</v>
      </c>
      <c r="K100" s="46" t="s">
        <v>87</v>
      </c>
      <c r="L100" s="48">
        <v>15815</v>
      </c>
      <c r="M100" s="49">
        <v>3</v>
      </c>
    </row>
    <row r="101" spans="1:13" x14ac:dyDescent="0.3">
      <c r="A101" s="46" t="s">
        <v>358</v>
      </c>
      <c r="B101" s="46" t="s">
        <v>6629</v>
      </c>
      <c r="C101" s="46" t="s">
        <v>189</v>
      </c>
      <c r="D101" s="46" t="s">
        <v>93</v>
      </c>
      <c r="E101" s="46" t="s">
        <v>144</v>
      </c>
      <c r="F101" s="46" t="s">
        <v>30</v>
      </c>
      <c r="G101" s="46">
        <v>28</v>
      </c>
      <c r="H101" s="46" t="s">
        <v>6645</v>
      </c>
      <c r="I101" s="46" t="s">
        <v>20</v>
      </c>
      <c r="J101" s="47">
        <v>45268</v>
      </c>
      <c r="K101" s="46" t="s">
        <v>91</v>
      </c>
      <c r="L101" s="48">
        <v>17103</v>
      </c>
      <c r="M101" s="49">
        <v>5</v>
      </c>
    </row>
    <row r="102" spans="1:13" x14ac:dyDescent="0.3">
      <c r="A102" s="46" t="s">
        <v>360</v>
      </c>
      <c r="B102" s="46" t="s">
        <v>6626</v>
      </c>
      <c r="C102" s="46" t="s">
        <v>189</v>
      </c>
      <c r="D102" s="46" t="s">
        <v>37</v>
      </c>
      <c r="E102" s="46" t="s">
        <v>132</v>
      </c>
      <c r="F102" s="46" t="s">
        <v>69</v>
      </c>
      <c r="G102" s="46">
        <v>39</v>
      </c>
      <c r="H102" s="46" t="s">
        <v>6645</v>
      </c>
      <c r="I102" s="46" t="s">
        <v>40</v>
      </c>
      <c r="J102" s="47">
        <v>45142</v>
      </c>
      <c r="K102" s="46" t="s">
        <v>91</v>
      </c>
      <c r="L102" s="48">
        <v>23264</v>
      </c>
      <c r="M102" s="49">
        <v>5</v>
      </c>
    </row>
    <row r="103" spans="1:13" x14ac:dyDescent="0.3">
      <c r="A103" s="46" t="s">
        <v>363</v>
      </c>
      <c r="B103" s="46" t="s">
        <v>79</v>
      </c>
      <c r="C103" s="46" t="s">
        <v>61</v>
      </c>
      <c r="D103" s="46" t="s">
        <v>47</v>
      </c>
      <c r="E103" s="46" t="s">
        <v>364</v>
      </c>
      <c r="F103" s="46" t="s">
        <v>6632</v>
      </c>
      <c r="G103" s="46">
        <v>50</v>
      </c>
      <c r="H103" s="46" t="s">
        <v>6645</v>
      </c>
      <c r="I103" s="46" t="s">
        <v>20</v>
      </c>
      <c r="J103" s="47">
        <v>45230</v>
      </c>
      <c r="K103" s="46" t="s">
        <v>72</v>
      </c>
      <c r="L103" s="48">
        <v>7684</v>
      </c>
      <c r="M103" s="49">
        <v>5</v>
      </c>
    </row>
    <row r="104" spans="1:13" x14ac:dyDescent="0.3">
      <c r="A104" s="46" t="s">
        <v>367</v>
      </c>
      <c r="B104" s="46" t="s">
        <v>79</v>
      </c>
      <c r="C104" s="46" t="s">
        <v>61</v>
      </c>
      <c r="D104" s="46" t="s">
        <v>164</v>
      </c>
      <c r="E104" s="46" t="s">
        <v>282</v>
      </c>
      <c r="F104" s="46" t="s">
        <v>30</v>
      </c>
      <c r="G104" s="46">
        <v>28</v>
      </c>
      <c r="H104" s="46" t="s">
        <v>6645</v>
      </c>
      <c r="I104" s="46" t="s">
        <v>20</v>
      </c>
      <c r="J104" s="47">
        <v>44993</v>
      </c>
      <c r="K104" s="46" t="s">
        <v>72</v>
      </c>
      <c r="L104" s="48">
        <v>13785</v>
      </c>
      <c r="M104" s="49">
        <v>0</v>
      </c>
    </row>
    <row r="105" spans="1:13" x14ac:dyDescent="0.3">
      <c r="A105" s="46" t="s">
        <v>369</v>
      </c>
      <c r="B105" s="46" t="s">
        <v>6626</v>
      </c>
      <c r="C105" s="46" t="s">
        <v>16</v>
      </c>
      <c r="D105" s="46" t="s">
        <v>108</v>
      </c>
      <c r="E105" s="46" t="s">
        <v>272</v>
      </c>
      <c r="F105" s="46" t="s">
        <v>30</v>
      </c>
      <c r="G105" s="46">
        <v>86</v>
      </c>
      <c r="H105" s="46" t="s">
        <v>6643</v>
      </c>
      <c r="I105" s="46" t="s">
        <v>20</v>
      </c>
      <c r="J105" s="47">
        <v>45394</v>
      </c>
      <c r="K105" s="46" t="s">
        <v>6632</v>
      </c>
      <c r="L105" s="48">
        <v>4725</v>
      </c>
      <c r="M105" s="49">
        <v>0</v>
      </c>
    </row>
    <row r="106" spans="1:13" x14ac:dyDescent="0.3">
      <c r="A106" s="46" t="s">
        <v>371</v>
      </c>
      <c r="B106" s="46" t="s">
        <v>6626</v>
      </c>
      <c r="C106" s="46" t="s">
        <v>16</v>
      </c>
      <c r="D106" s="46" t="s">
        <v>99</v>
      </c>
      <c r="E106" s="46" t="s">
        <v>372</v>
      </c>
      <c r="F106" s="46" t="s">
        <v>30</v>
      </c>
      <c r="G106" s="46">
        <v>61</v>
      </c>
      <c r="H106" s="46" t="s">
        <v>6643</v>
      </c>
      <c r="I106" s="46" t="s">
        <v>40</v>
      </c>
      <c r="J106" s="47">
        <v>45012</v>
      </c>
      <c r="K106" s="46" t="s">
        <v>104</v>
      </c>
      <c r="L106" s="48">
        <v>5811</v>
      </c>
      <c r="M106" s="49">
        <v>25</v>
      </c>
    </row>
    <row r="107" spans="1:13" x14ac:dyDescent="0.3">
      <c r="A107" s="46" t="s">
        <v>374</v>
      </c>
      <c r="B107" s="46" t="s">
        <v>118</v>
      </c>
      <c r="C107" s="46" t="s">
        <v>66</v>
      </c>
      <c r="D107" s="46" t="s">
        <v>47</v>
      </c>
      <c r="E107" s="46" t="s">
        <v>48</v>
      </c>
      <c r="F107" s="46" t="s">
        <v>30</v>
      </c>
      <c r="G107" s="46">
        <v>78</v>
      </c>
      <c r="H107" s="46" t="s">
        <v>6643</v>
      </c>
      <c r="I107" s="46" t="s">
        <v>40</v>
      </c>
      <c r="J107" s="47">
        <v>44934</v>
      </c>
      <c r="K107" s="46" t="s">
        <v>87</v>
      </c>
      <c r="L107" s="48">
        <v>7553</v>
      </c>
      <c r="M107" s="49">
        <v>5</v>
      </c>
    </row>
    <row r="108" spans="1:13" x14ac:dyDescent="0.3">
      <c r="A108" s="46" t="s">
        <v>376</v>
      </c>
      <c r="B108" s="46" t="s">
        <v>6627</v>
      </c>
      <c r="C108" s="46" t="s">
        <v>80</v>
      </c>
      <c r="D108" s="46" t="s">
        <v>74</v>
      </c>
      <c r="E108" s="46" t="s">
        <v>75</v>
      </c>
      <c r="F108" s="46" t="s">
        <v>30</v>
      </c>
      <c r="G108" s="46">
        <v>76</v>
      </c>
      <c r="H108" s="46" t="s">
        <v>6643</v>
      </c>
      <c r="I108" s="46" t="s">
        <v>20</v>
      </c>
      <c r="J108" s="47">
        <v>45074</v>
      </c>
      <c r="K108" s="46" t="s">
        <v>91</v>
      </c>
      <c r="L108" s="48">
        <v>6848</v>
      </c>
      <c r="M108" s="49">
        <v>10</v>
      </c>
    </row>
    <row r="109" spans="1:13" x14ac:dyDescent="0.3">
      <c r="A109" s="46" t="s">
        <v>378</v>
      </c>
      <c r="B109" s="46" t="s">
        <v>6628</v>
      </c>
      <c r="C109" s="46" t="s">
        <v>27</v>
      </c>
      <c r="D109" s="46" t="s">
        <v>93</v>
      </c>
      <c r="E109" s="46" t="s">
        <v>144</v>
      </c>
      <c r="F109" s="46" t="s">
        <v>69</v>
      </c>
      <c r="G109" s="46">
        <v>30</v>
      </c>
      <c r="H109" s="46" t="s">
        <v>6645</v>
      </c>
      <c r="I109" s="46" t="s">
        <v>20</v>
      </c>
      <c r="J109" s="47">
        <v>45237</v>
      </c>
      <c r="K109" s="46" t="s">
        <v>72</v>
      </c>
      <c r="L109" s="48">
        <v>24790</v>
      </c>
      <c r="M109" s="49">
        <v>10</v>
      </c>
    </row>
    <row r="110" spans="1:13" x14ac:dyDescent="0.3">
      <c r="A110" s="46" t="s">
        <v>380</v>
      </c>
      <c r="B110" s="46" t="s">
        <v>118</v>
      </c>
      <c r="C110" s="46" t="s">
        <v>27</v>
      </c>
      <c r="D110" s="46" t="s">
        <v>93</v>
      </c>
      <c r="E110" s="46" t="s">
        <v>94</v>
      </c>
      <c r="F110" s="46" t="s">
        <v>69</v>
      </c>
      <c r="G110" s="46">
        <v>67</v>
      </c>
      <c r="H110" s="46" t="s">
        <v>6643</v>
      </c>
      <c r="I110" s="46" t="s">
        <v>20</v>
      </c>
      <c r="J110" s="47">
        <v>45380</v>
      </c>
      <c r="K110" s="46" t="s">
        <v>72</v>
      </c>
      <c r="L110" s="48">
        <v>85749</v>
      </c>
      <c r="M110" s="49">
        <v>3</v>
      </c>
    </row>
    <row r="111" spans="1:13" x14ac:dyDescent="0.3">
      <c r="A111" s="46" t="s">
        <v>383</v>
      </c>
      <c r="B111" s="46" t="s">
        <v>6628</v>
      </c>
      <c r="C111" s="46" t="s">
        <v>55</v>
      </c>
      <c r="D111" s="46" t="s">
        <v>47</v>
      </c>
      <c r="E111" s="46" t="s">
        <v>48</v>
      </c>
      <c r="F111" s="46" t="s">
        <v>30</v>
      </c>
      <c r="G111" s="46">
        <v>32</v>
      </c>
      <c r="H111" s="46" t="s">
        <v>6645</v>
      </c>
      <c r="I111" s="46" t="s">
        <v>20</v>
      </c>
      <c r="J111" s="47">
        <v>45399</v>
      </c>
      <c r="K111" s="46" t="s">
        <v>91</v>
      </c>
      <c r="L111" s="48">
        <v>19163</v>
      </c>
      <c r="M111" s="49">
        <v>0</v>
      </c>
    </row>
    <row r="112" spans="1:13" x14ac:dyDescent="0.3">
      <c r="A112" s="46" t="s">
        <v>386</v>
      </c>
      <c r="B112" s="46" t="s">
        <v>6628</v>
      </c>
      <c r="C112" s="46" t="s">
        <v>189</v>
      </c>
      <c r="D112" s="46" t="s">
        <v>108</v>
      </c>
      <c r="E112" s="46" t="s">
        <v>124</v>
      </c>
      <c r="F112" s="46" t="s">
        <v>30</v>
      </c>
      <c r="G112" s="46">
        <v>76</v>
      </c>
      <c r="H112" s="46" t="s">
        <v>6643</v>
      </c>
      <c r="I112" s="46" t="s">
        <v>20</v>
      </c>
      <c r="J112" s="47">
        <v>45036</v>
      </c>
      <c r="K112" s="46" t="s">
        <v>72</v>
      </c>
      <c r="L112" s="48">
        <v>10415</v>
      </c>
      <c r="M112" s="49">
        <v>10</v>
      </c>
    </row>
    <row r="113" spans="1:13" x14ac:dyDescent="0.3">
      <c r="A113" s="46" t="s">
        <v>388</v>
      </c>
      <c r="B113" s="46" t="s">
        <v>6628</v>
      </c>
      <c r="C113" s="46" t="s">
        <v>189</v>
      </c>
      <c r="D113" s="46" t="s">
        <v>37</v>
      </c>
      <c r="E113" s="46" t="s">
        <v>132</v>
      </c>
      <c r="F113" s="46" t="s">
        <v>69</v>
      </c>
      <c r="G113" s="46">
        <v>7</v>
      </c>
      <c r="H113" s="46" t="s">
        <v>6644</v>
      </c>
      <c r="I113" s="46" t="s">
        <v>20</v>
      </c>
      <c r="J113" s="47">
        <v>45212</v>
      </c>
      <c r="K113" s="46" t="s">
        <v>104</v>
      </c>
      <c r="L113" s="48">
        <v>41069</v>
      </c>
      <c r="M113" s="49">
        <v>40</v>
      </c>
    </row>
    <row r="114" spans="1:13" x14ac:dyDescent="0.3">
      <c r="A114" s="46" t="s">
        <v>390</v>
      </c>
      <c r="B114" s="46" t="s">
        <v>6626</v>
      </c>
      <c r="C114" s="46" t="s">
        <v>27</v>
      </c>
      <c r="D114" s="46" t="s">
        <v>74</v>
      </c>
      <c r="E114" s="46" t="s">
        <v>192</v>
      </c>
      <c r="F114" s="46" t="s">
        <v>30</v>
      </c>
      <c r="G114" s="46">
        <v>24</v>
      </c>
      <c r="H114" s="46" t="s">
        <v>6645</v>
      </c>
      <c r="I114" s="46" t="s">
        <v>40</v>
      </c>
      <c r="J114" s="47">
        <v>45362</v>
      </c>
      <c r="K114" s="46" t="s">
        <v>97</v>
      </c>
      <c r="L114" s="48">
        <v>8233</v>
      </c>
      <c r="M114" s="49">
        <v>0</v>
      </c>
    </row>
    <row r="115" spans="1:13" x14ac:dyDescent="0.3">
      <c r="A115" s="46" t="s">
        <v>393</v>
      </c>
      <c r="B115" s="46" t="s">
        <v>79</v>
      </c>
      <c r="C115" s="46" t="s">
        <v>189</v>
      </c>
      <c r="D115" s="46" t="s">
        <v>164</v>
      </c>
      <c r="E115" s="46" t="s">
        <v>233</v>
      </c>
      <c r="F115" s="46" t="s">
        <v>69</v>
      </c>
      <c r="G115" s="46">
        <v>62</v>
      </c>
      <c r="H115" s="46" t="s">
        <v>6643</v>
      </c>
      <c r="I115" s="46" t="s">
        <v>20</v>
      </c>
      <c r="J115" s="47">
        <v>44978</v>
      </c>
      <c r="K115" s="46" t="s">
        <v>6632</v>
      </c>
      <c r="L115" s="48">
        <v>38978</v>
      </c>
      <c r="M115" s="49">
        <v>0</v>
      </c>
    </row>
    <row r="116" spans="1:13" x14ac:dyDescent="0.3">
      <c r="A116" s="46" t="s">
        <v>396</v>
      </c>
      <c r="B116" s="46" t="s">
        <v>6626</v>
      </c>
      <c r="C116" s="46" t="s">
        <v>27</v>
      </c>
      <c r="D116" s="46" t="s">
        <v>99</v>
      </c>
      <c r="E116" s="46" t="s">
        <v>100</v>
      </c>
      <c r="F116" s="46" t="s">
        <v>30</v>
      </c>
      <c r="G116" s="46">
        <v>62</v>
      </c>
      <c r="H116" s="46" t="s">
        <v>6643</v>
      </c>
      <c r="I116" s="46" t="s">
        <v>40</v>
      </c>
      <c r="J116" s="47">
        <v>45013</v>
      </c>
      <c r="K116" s="46" t="s">
        <v>97</v>
      </c>
      <c r="L116" s="48">
        <v>16590</v>
      </c>
      <c r="M116" s="49">
        <v>5</v>
      </c>
    </row>
    <row r="117" spans="1:13" x14ac:dyDescent="0.3">
      <c r="A117" s="46" t="s">
        <v>399</v>
      </c>
      <c r="B117" s="46" t="s">
        <v>79</v>
      </c>
      <c r="C117" s="46" t="s">
        <v>16</v>
      </c>
      <c r="D117" s="46" t="s">
        <v>28</v>
      </c>
      <c r="E117" s="46" t="s">
        <v>29</v>
      </c>
      <c r="F117" s="46" t="s">
        <v>69</v>
      </c>
      <c r="G117" s="46">
        <v>18</v>
      </c>
      <c r="H117" s="46" t="s">
        <v>6646</v>
      </c>
      <c r="I117" s="46" t="s">
        <v>40</v>
      </c>
      <c r="J117" s="47">
        <v>44976</v>
      </c>
      <c r="K117" s="46" t="s">
        <v>87</v>
      </c>
      <c r="L117" s="48">
        <v>70473</v>
      </c>
      <c r="M117" s="49">
        <v>0</v>
      </c>
    </row>
    <row r="118" spans="1:13" x14ac:dyDescent="0.3">
      <c r="A118" s="46" t="s">
        <v>401</v>
      </c>
      <c r="B118" s="46" t="s">
        <v>6626</v>
      </c>
      <c r="C118" s="46" t="s">
        <v>55</v>
      </c>
      <c r="D118" s="46" t="s">
        <v>67</v>
      </c>
      <c r="E118" s="46" t="s">
        <v>85</v>
      </c>
      <c r="F118" s="46" t="s">
        <v>30</v>
      </c>
      <c r="G118" s="46">
        <v>71</v>
      </c>
      <c r="H118" s="46" t="s">
        <v>6643</v>
      </c>
      <c r="I118" s="46" t="s">
        <v>40</v>
      </c>
      <c r="J118" s="47">
        <v>45151</v>
      </c>
      <c r="K118" s="46" t="s">
        <v>72</v>
      </c>
      <c r="L118" s="48">
        <v>7106</v>
      </c>
      <c r="M118" s="49">
        <v>10</v>
      </c>
    </row>
    <row r="119" spans="1:13" x14ac:dyDescent="0.3">
      <c r="A119" s="46" t="s">
        <v>404</v>
      </c>
      <c r="B119" s="46" t="s">
        <v>6627</v>
      </c>
      <c r="C119" s="46" t="s">
        <v>66</v>
      </c>
      <c r="D119" s="46" t="s">
        <v>99</v>
      </c>
      <c r="E119" s="46" t="s">
        <v>372</v>
      </c>
      <c r="F119" s="46" t="s">
        <v>30</v>
      </c>
      <c r="G119" s="46">
        <v>20</v>
      </c>
      <c r="H119" s="46" t="s">
        <v>6645</v>
      </c>
      <c r="I119" s="46" t="s">
        <v>20</v>
      </c>
      <c r="J119" s="47">
        <v>44956</v>
      </c>
      <c r="K119" s="46" t="s">
        <v>72</v>
      </c>
      <c r="L119" s="48">
        <v>9919</v>
      </c>
      <c r="M119" s="49">
        <v>0</v>
      </c>
    </row>
    <row r="120" spans="1:13" x14ac:dyDescent="0.3">
      <c r="A120" s="46" t="s">
        <v>406</v>
      </c>
      <c r="B120" s="46" t="s">
        <v>6627</v>
      </c>
      <c r="C120" s="46" t="s">
        <v>36</v>
      </c>
      <c r="D120" s="46" t="s">
        <v>108</v>
      </c>
      <c r="E120" s="46" t="s">
        <v>109</v>
      </c>
      <c r="F120" s="46" t="s">
        <v>30</v>
      </c>
      <c r="G120" s="46">
        <v>38</v>
      </c>
      <c r="H120" s="46" t="s">
        <v>6645</v>
      </c>
      <c r="I120" s="46" t="s">
        <v>40</v>
      </c>
      <c r="J120" s="47">
        <v>45254</v>
      </c>
      <c r="K120" s="46" t="s">
        <v>87</v>
      </c>
      <c r="L120" s="48">
        <v>3525</v>
      </c>
      <c r="M120" s="49">
        <v>0</v>
      </c>
    </row>
    <row r="121" spans="1:13" x14ac:dyDescent="0.3">
      <c r="A121" s="46" t="s">
        <v>409</v>
      </c>
      <c r="B121" s="46" t="s">
        <v>6628</v>
      </c>
      <c r="C121" s="46" t="s">
        <v>16</v>
      </c>
      <c r="D121" s="46" t="s">
        <v>37</v>
      </c>
      <c r="E121" s="46" t="s">
        <v>185</v>
      </c>
      <c r="F121" s="46" t="s">
        <v>30</v>
      </c>
      <c r="G121" s="46">
        <v>74</v>
      </c>
      <c r="H121" s="46" t="s">
        <v>6643</v>
      </c>
      <c r="I121" s="46" t="s">
        <v>40</v>
      </c>
      <c r="J121" s="47">
        <v>44997</v>
      </c>
      <c r="K121" s="46" t="s">
        <v>72</v>
      </c>
      <c r="L121" s="48">
        <v>8902</v>
      </c>
      <c r="M121" s="49">
        <v>0</v>
      </c>
    </row>
    <row r="122" spans="1:13" x14ac:dyDescent="0.3">
      <c r="A122" s="46" t="s">
        <v>412</v>
      </c>
      <c r="B122" s="46" t="s">
        <v>6626</v>
      </c>
      <c r="C122" s="46" t="s">
        <v>80</v>
      </c>
      <c r="D122" s="46" t="s">
        <v>74</v>
      </c>
      <c r="E122" s="46" t="s">
        <v>172</v>
      </c>
      <c r="F122" s="46" t="s">
        <v>30</v>
      </c>
      <c r="G122" s="46">
        <v>75</v>
      </c>
      <c r="H122" s="46" t="s">
        <v>6643</v>
      </c>
      <c r="I122" s="46" t="s">
        <v>20</v>
      </c>
      <c r="J122" s="47">
        <v>45030</v>
      </c>
      <c r="K122" s="46" t="s">
        <v>87</v>
      </c>
      <c r="L122" s="48">
        <v>2995</v>
      </c>
      <c r="M122" s="49">
        <v>10</v>
      </c>
    </row>
    <row r="123" spans="1:13" x14ac:dyDescent="0.3">
      <c r="A123" s="46" t="s">
        <v>415</v>
      </c>
      <c r="B123" s="46" t="s">
        <v>6626</v>
      </c>
      <c r="C123" s="46" t="s">
        <v>80</v>
      </c>
      <c r="D123" s="46" t="s">
        <v>108</v>
      </c>
      <c r="E123" s="46" t="s">
        <v>124</v>
      </c>
      <c r="F123" s="46" t="s">
        <v>30</v>
      </c>
      <c r="G123" s="46">
        <v>86</v>
      </c>
      <c r="H123" s="46" t="s">
        <v>6643</v>
      </c>
      <c r="I123" s="46" t="s">
        <v>20</v>
      </c>
      <c r="J123" s="47">
        <v>45054</v>
      </c>
      <c r="K123" s="46" t="s">
        <v>72</v>
      </c>
      <c r="L123" s="48">
        <v>9096</v>
      </c>
      <c r="M123" s="49">
        <v>0</v>
      </c>
    </row>
    <row r="124" spans="1:13" x14ac:dyDescent="0.3">
      <c r="A124" s="46" t="s">
        <v>417</v>
      </c>
      <c r="B124" s="46" t="s">
        <v>6628</v>
      </c>
      <c r="C124" s="46" t="s">
        <v>80</v>
      </c>
      <c r="D124" s="46" t="s">
        <v>93</v>
      </c>
      <c r="E124" s="46" t="s">
        <v>207</v>
      </c>
      <c r="F124" s="46" t="s">
        <v>30</v>
      </c>
      <c r="G124" s="46">
        <v>92</v>
      </c>
      <c r="H124" s="46" t="s">
        <v>6643</v>
      </c>
      <c r="I124" s="46" t="s">
        <v>40</v>
      </c>
      <c r="J124" s="47">
        <v>45222</v>
      </c>
      <c r="K124" s="46" t="s">
        <v>97</v>
      </c>
      <c r="L124" s="48">
        <v>5005</v>
      </c>
      <c r="M124" s="49">
        <v>0</v>
      </c>
    </row>
    <row r="125" spans="1:13" x14ac:dyDescent="0.3">
      <c r="A125" s="46" t="s">
        <v>420</v>
      </c>
      <c r="B125" s="46" t="s">
        <v>6627</v>
      </c>
      <c r="C125" s="46" t="s">
        <v>189</v>
      </c>
      <c r="D125" s="46" t="s">
        <v>28</v>
      </c>
      <c r="E125" s="46" t="s">
        <v>29</v>
      </c>
      <c r="F125" s="46" t="s">
        <v>30</v>
      </c>
      <c r="G125" s="46">
        <v>40</v>
      </c>
      <c r="H125" s="46" t="s">
        <v>6645</v>
      </c>
      <c r="I125" s="46" t="s">
        <v>20</v>
      </c>
      <c r="J125" s="47">
        <v>45211</v>
      </c>
      <c r="K125" s="46" t="s">
        <v>97</v>
      </c>
      <c r="L125" s="48">
        <v>14747</v>
      </c>
      <c r="M125" s="49">
        <v>0</v>
      </c>
    </row>
    <row r="126" spans="1:13" x14ac:dyDescent="0.3">
      <c r="A126" s="46" t="s">
        <v>421</v>
      </c>
      <c r="B126" s="46" t="s">
        <v>118</v>
      </c>
      <c r="C126" s="46" t="s">
        <v>36</v>
      </c>
      <c r="D126" s="46" t="s">
        <v>99</v>
      </c>
      <c r="E126" s="46" t="s">
        <v>372</v>
      </c>
      <c r="F126" s="46" t="s">
        <v>30</v>
      </c>
      <c r="G126" s="46">
        <v>6</v>
      </c>
      <c r="H126" s="46" t="s">
        <v>6644</v>
      </c>
      <c r="I126" s="46" t="s">
        <v>20</v>
      </c>
      <c r="J126" s="47">
        <v>44990</v>
      </c>
      <c r="K126" s="46" t="s">
        <v>72</v>
      </c>
      <c r="L126" s="48">
        <v>18232</v>
      </c>
      <c r="M126" s="49">
        <v>0</v>
      </c>
    </row>
    <row r="127" spans="1:13" x14ac:dyDescent="0.3">
      <c r="A127" s="46" t="s">
        <v>423</v>
      </c>
      <c r="B127" s="46" t="s">
        <v>6629</v>
      </c>
      <c r="C127" s="46" t="s">
        <v>36</v>
      </c>
      <c r="D127" s="46" t="s">
        <v>28</v>
      </c>
      <c r="E127" s="46" t="s">
        <v>290</v>
      </c>
      <c r="F127" s="46" t="s">
        <v>30</v>
      </c>
      <c r="G127" s="46">
        <v>22</v>
      </c>
      <c r="H127" s="46" t="s">
        <v>6645</v>
      </c>
      <c r="I127" s="46" t="s">
        <v>20</v>
      </c>
      <c r="J127" s="47">
        <v>45407</v>
      </c>
      <c r="K127" s="46" t="s">
        <v>91</v>
      </c>
      <c r="L127" s="48">
        <v>14951</v>
      </c>
      <c r="M127" s="49">
        <v>5</v>
      </c>
    </row>
    <row r="128" spans="1:13" x14ac:dyDescent="0.3">
      <c r="A128" s="46" t="s">
        <v>425</v>
      </c>
      <c r="B128" s="46" t="s">
        <v>6628</v>
      </c>
      <c r="C128" s="46" t="s">
        <v>55</v>
      </c>
      <c r="D128" s="46" t="s">
        <v>17</v>
      </c>
      <c r="E128" s="46" t="s">
        <v>135</v>
      </c>
      <c r="F128" s="46" t="s">
        <v>69</v>
      </c>
      <c r="G128" s="46">
        <v>42</v>
      </c>
      <c r="H128" s="46" t="s">
        <v>6645</v>
      </c>
      <c r="I128" s="46" t="s">
        <v>40</v>
      </c>
      <c r="J128" s="47">
        <v>45360</v>
      </c>
      <c r="K128" s="46" t="s">
        <v>97</v>
      </c>
      <c r="L128" s="48">
        <v>27019</v>
      </c>
      <c r="M128" s="49">
        <v>0</v>
      </c>
    </row>
    <row r="129" spans="1:13" x14ac:dyDescent="0.3">
      <c r="A129" s="46" t="s">
        <v>428</v>
      </c>
      <c r="B129" s="46" t="s">
        <v>79</v>
      </c>
      <c r="C129" s="46" t="s">
        <v>55</v>
      </c>
      <c r="D129" s="46" t="s">
        <v>108</v>
      </c>
      <c r="E129" s="46" t="s">
        <v>308</v>
      </c>
      <c r="F129" s="46" t="s">
        <v>30</v>
      </c>
      <c r="G129" s="46">
        <v>29</v>
      </c>
      <c r="H129" s="46" t="s">
        <v>6645</v>
      </c>
      <c r="I129" s="46" t="s">
        <v>40</v>
      </c>
      <c r="J129" s="47">
        <v>45142</v>
      </c>
      <c r="K129" s="46" t="s">
        <v>91</v>
      </c>
      <c r="L129" s="48">
        <v>16010</v>
      </c>
      <c r="M129" s="49">
        <v>0</v>
      </c>
    </row>
    <row r="130" spans="1:13" x14ac:dyDescent="0.3">
      <c r="A130" s="46" t="s">
        <v>429</v>
      </c>
      <c r="B130" s="46" t="s">
        <v>6626</v>
      </c>
      <c r="C130" s="46" t="s">
        <v>66</v>
      </c>
      <c r="D130" s="46" t="s">
        <v>93</v>
      </c>
      <c r="E130" s="46" t="s">
        <v>207</v>
      </c>
      <c r="F130" s="46" t="s">
        <v>30</v>
      </c>
      <c r="G130" s="46">
        <v>56</v>
      </c>
      <c r="H130" s="46" t="s">
        <v>6645</v>
      </c>
      <c r="I130" s="46" t="s">
        <v>40</v>
      </c>
      <c r="J130" s="47">
        <v>44947</v>
      </c>
      <c r="K130" s="46" t="s">
        <v>72</v>
      </c>
      <c r="L130" s="48">
        <v>11179</v>
      </c>
      <c r="M130" s="49">
        <v>10</v>
      </c>
    </row>
    <row r="131" spans="1:13" x14ac:dyDescent="0.3">
      <c r="A131" s="46" t="s">
        <v>432</v>
      </c>
      <c r="B131" s="46" t="s">
        <v>6628</v>
      </c>
      <c r="C131" s="46" t="s">
        <v>27</v>
      </c>
      <c r="D131" s="46" t="s">
        <v>99</v>
      </c>
      <c r="E131" s="46" t="s">
        <v>256</v>
      </c>
      <c r="F131" s="46" t="s">
        <v>30</v>
      </c>
      <c r="G131" s="46">
        <v>53</v>
      </c>
      <c r="H131" s="46" t="s">
        <v>6645</v>
      </c>
      <c r="I131" s="46" t="s">
        <v>20</v>
      </c>
      <c r="J131" s="47">
        <v>45074</v>
      </c>
      <c r="K131" s="46" t="s">
        <v>91</v>
      </c>
      <c r="L131" s="48">
        <v>10784</v>
      </c>
      <c r="M131" s="49">
        <v>10</v>
      </c>
    </row>
    <row r="132" spans="1:13" x14ac:dyDescent="0.3">
      <c r="A132" s="46" t="s">
        <v>434</v>
      </c>
      <c r="B132" s="46" t="s">
        <v>118</v>
      </c>
      <c r="C132" s="46" t="s">
        <v>36</v>
      </c>
      <c r="D132" s="46" t="s">
        <v>93</v>
      </c>
      <c r="E132" s="46" t="s">
        <v>94</v>
      </c>
      <c r="F132" s="46" t="s">
        <v>30</v>
      </c>
      <c r="G132" s="46">
        <v>61</v>
      </c>
      <c r="H132" s="46" t="s">
        <v>6643</v>
      </c>
      <c r="I132" s="46" t="s">
        <v>20</v>
      </c>
      <c r="J132" s="47">
        <v>44942</v>
      </c>
      <c r="K132" s="46" t="s">
        <v>91</v>
      </c>
      <c r="L132" s="48">
        <v>10938</v>
      </c>
      <c r="M132" s="49">
        <v>0</v>
      </c>
    </row>
    <row r="133" spans="1:13" x14ac:dyDescent="0.3">
      <c r="A133" s="46" t="s">
        <v>437</v>
      </c>
      <c r="B133" s="46" t="s">
        <v>6627</v>
      </c>
      <c r="C133" s="46" t="s">
        <v>55</v>
      </c>
      <c r="D133" s="46" t="s">
        <v>93</v>
      </c>
      <c r="E133" s="46" t="s">
        <v>94</v>
      </c>
      <c r="F133" s="46" t="s">
        <v>30</v>
      </c>
      <c r="G133" s="46">
        <v>38</v>
      </c>
      <c r="H133" s="46" t="s">
        <v>6645</v>
      </c>
      <c r="I133" s="46" t="s">
        <v>20</v>
      </c>
      <c r="J133" s="47">
        <v>45322</v>
      </c>
      <c r="K133" s="46" t="s">
        <v>104</v>
      </c>
      <c r="L133" s="48">
        <v>3527</v>
      </c>
      <c r="M133" s="49">
        <v>5</v>
      </c>
    </row>
    <row r="134" spans="1:13" x14ac:dyDescent="0.3">
      <c r="A134" s="46" t="s">
        <v>440</v>
      </c>
      <c r="B134" s="46" t="s">
        <v>6628</v>
      </c>
      <c r="C134" s="46" t="s">
        <v>27</v>
      </c>
      <c r="D134" s="46" t="s">
        <v>93</v>
      </c>
      <c r="E134" s="46" t="s">
        <v>121</v>
      </c>
      <c r="F134" s="46" t="s">
        <v>69</v>
      </c>
      <c r="G134" s="46">
        <v>54</v>
      </c>
      <c r="H134" s="46" t="s">
        <v>6645</v>
      </c>
      <c r="I134" s="46" t="s">
        <v>20</v>
      </c>
      <c r="J134" s="47">
        <v>45269</v>
      </c>
      <c r="K134" s="46" t="s">
        <v>91</v>
      </c>
      <c r="L134" s="48">
        <v>64210</v>
      </c>
      <c r="M134" s="49">
        <v>3</v>
      </c>
    </row>
    <row r="135" spans="1:13" x14ac:dyDescent="0.3">
      <c r="A135" s="46" t="s">
        <v>443</v>
      </c>
      <c r="B135" s="46" t="s">
        <v>118</v>
      </c>
      <c r="C135" s="46" t="s">
        <v>66</v>
      </c>
      <c r="D135" s="46" t="s">
        <v>67</v>
      </c>
      <c r="E135" s="46" t="s">
        <v>68</v>
      </c>
      <c r="F135" s="46" t="s">
        <v>6632</v>
      </c>
      <c r="G135" s="46">
        <v>71</v>
      </c>
      <c r="H135" s="46" t="s">
        <v>6643</v>
      </c>
      <c r="I135" s="46" t="s">
        <v>20</v>
      </c>
      <c r="J135" s="47">
        <v>44987</v>
      </c>
      <c r="K135" s="46" t="s">
        <v>72</v>
      </c>
      <c r="L135" s="48">
        <v>76732</v>
      </c>
      <c r="M135" s="49">
        <v>10</v>
      </c>
    </row>
    <row r="136" spans="1:13" x14ac:dyDescent="0.3">
      <c r="A136" s="46" t="s">
        <v>446</v>
      </c>
      <c r="B136" s="46" t="s">
        <v>118</v>
      </c>
      <c r="C136" s="46" t="s">
        <v>80</v>
      </c>
      <c r="D136" s="46" t="s">
        <v>74</v>
      </c>
      <c r="E136" s="46" t="s">
        <v>192</v>
      </c>
      <c r="F136" s="46" t="s">
        <v>30</v>
      </c>
      <c r="G136" s="46">
        <v>83</v>
      </c>
      <c r="H136" s="46" t="s">
        <v>6643</v>
      </c>
      <c r="I136" s="46" t="s">
        <v>20</v>
      </c>
      <c r="J136" s="47">
        <v>44930</v>
      </c>
      <c r="K136" s="46" t="s">
        <v>91</v>
      </c>
      <c r="L136" s="48">
        <v>18401</v>
      </c>
      <c r="M136" s="49">
        <v>5</v>
      </c>
    </row>
    <row r="137" spans="1:13" x14ac:dyDescent="0.3">
      <c r="A137" s="46" t="s">
        <v>448</v>
      </c>
      <c r="B137" s="46" t="s">
        <v>79</v>
      </c>
      <c r="C137" s="46" t="s">
        <v>55</v>
      </c>
      <c r="D137" s="46" t="s">
        <v>37</v>
      </c>
      <c r="E137" s="46" t="s">
        <v>132</v>
      </c>
      <c r="F137" s="46" t="s">
        <v>69</v>
      </c>
      <c r="G137" s="46">
        <v>2</v>
      </c>
      <c r="H137" s="46" t="s">
        <v>6644</v>
      </c>
      <c r="I137" s="46" t="s">
        <v>20</v>
      </c>
      <c r="J137" s="47">
        <v>44951</v>
      </c>
      <c r="K137" s="46" t="s">
        <v>104</v>
      </c>
      <c r="L137" s="48">
        <v>34857</v>
      </c>
      <c r="M137" s="49">
        <v>35</v>
      </c>
    </row>
    <row r="138" spans="1:13" x14ac:dyDescent="0.3">
      <c r="A138" s="46" t="s">
        <v>450</v>
      </c>
      <c r="B138" s="46" t="s">
        <v>6629</v>
      </c>
      <c r="C138" s="46" t="s">
        <v>61</v>
      </c>
      <c r="D138" s="46" t="s">
        <v>17</v>
      </c>
      <c r="E138" s="46" t="s">
        <v>169</v>
      </c>
      <c r="F138" s="46" t="s">
        <v>30</v>
      </c>
      <c r="G138" s="46">
        <v>58</v>
      </c>
      <c r="H138" s="46" t="s">
        <v>6645</v>
      </c>
      <c r="I138" s="46" t="s">
        <v>20</v>
      </c>
      <c r="J138" s="47">
        <v>45273</v>
      </c>
      <c r="K138" s="46" t="s">
        <v>87</v>
      </c>
      <c r="L138" s="48">
        <v>4713</v>
      </c>
      <c r="M138" s="49">
        <v>10</v>
      </c>
    </row>
    <row r="139" spans="1:13" x14ac:dyDescent="0.3">
      <c r="A139" s="46" t="s">
        <v>453</v>
      </c>
      <c r="B139" s="46" t="s">
        <v>6627</v>
      </c>
      <c r="C139" s="46" t="s">
        <v>61</v>
      </c>
      <c r="D139" s="46" t="s">
        <v>99</v>
      </c>
      <c r="E139" s="46" t="s">
        <v>151</v>
      </c>
      <c r="F139" s="46" t="s">
        <v>30</v>
      </c>
      <c r="G139" s="46">
        <v>89</v>
      </c>
      <c r="H139" s="46" t="s">
        <v>6643</v>
      </c>
      <c r="I139" s="46" t="s">
        <v>20</v>
      </c>
      <c r="J139" s="47">
        <v>45309</v>
      </c>
      <c r="K139" s="46" t="s">
        <v>104</v>
      </c>
      <c r="L139" s="48">
        <v>4878</v>
      </c>
      <c r="M139" s="49">
        <v>19</v>
      </c>
    </row>
    <row r="140" spans="1:13" x14ac:dyDescent="0.3">
      <c r="A140" s="46" t="s">
        <v>455</v>
      </c>
      <c r="B140" s="46" t="s">
        <v>6628</v>
      </c>
      <c r="C140" s="46" t="s">
        <v>55</v>
      </c>
      <c r="D140" s="46" t="s">
        <v>93</v>
      </c>
      <c r="E140" s="46" t="s">
        <v>144</v>
      </c>
      <c r="F140" s="46" t="s">
        <v>30</v>
      </c>
      <c r="G140" s="46">
        <v>65</v>
      </c>
      <c r="H140" s="46" t="s">
        <v>6643</v>
      </c>
      <c r="I140" s="46" t="s">
        <v>40</v>
      </c>
      <c r="J140" s="47">
        <v>45138</v>
      </c>
      <c r="K140" s="46" t="s">
        <v>72</v>
      </c>
      <c r="L140" s="48">
        <v>8977</v>
      </c>
      <c r="M140" s="49">
        <v>0</v>
      </c>
    </row>
    <row r="141" spans="1:13" x14ac:dyDescent="0.3">
      <c r="A141" s="46" t="s">
        <v>458</v>
      </c>
      <c r="B141" s="46" t="s">
        <v>79</v>
      </c>
      <c r="C141" s="46" t="s">
        <v>66</v>
      </c>
      <c r="D141" s="46" t="s">
        <v>93</v>
      </c>
      <c r="E141" s="46" t="s">
        <v>207</v>
      </c>
      <c r="F141" s="46" t="s">
        <v>69</v>
      </c>
      <c r="G141" s="46">
        <v>76</v>
      </c>
      <c r="H141" s="46" t="s">
        <v>6643</v>
      </c>
      <c r="I141" s="46" t="s">
        <v>20</v>
      </c>
      <c r="J141" s="47">
        <v>45269</v>
      </c>
      <c r="K141" s="46" t="s">
        <v>91</v>
      </c>
      <c r="L141" s="48">
        <v>21483</v>
      </c>
      <c r="M141" s="49">
        <v>10</v>
      </c>
    </row>
    <row r="142" spans="1:13" x14ac:dyDescent="0.3">
      <c r="A142" s="46" t="s">
        <v>460</v>
      </c>
      <c r="B142" s="46" t="s">
        <v>6627</v>
      </c>
      <c r="C142" s="46" t="s">
        <v>61</v>
      </c>
      <c r="D142" s="46" t="s">
        <v>47</v>
      </c>
      <c r="E142" s="46" t="s">
        <v>461</v>
      </c>
      <c r="F142" s="46" t="s">
        <v>30</v>
      </c>
      <c r="G142" s="46">
        <v>4</v>
      </c>
      <c r="H142" s="46" t="s">
        <v>6644</v>
      </c>
      <c r="I142" s="46" t="s">
        <v>20</v>
      </c>
      <c r="J142" s="47">
        <v>44965</v>
      </c>
      <c r="K142" s="46" t="s">
        <v>87</v>
      </c>
      <c r="L142" s="48">
        <v>8588</v>
      </c>
      <c r="M142" s="49">
        <v>0</v>
      </c>
    </row>
    <row r="143" spans="1:13" x14ac:dyDescent="0.3">
      <c r="A143" s="46" t="s">
        <v>463</v>
      </c>
      <c r="B143" s="46" t="s">
        <v>6629</v>
      </c>
      <c r="C143" s="46" t="s">
        <v>55</v>
      </c>
      <c r="D143" s="46" t="s">
        <v>67</v>
      </c>
      <c r="E143" s="46" t="s">
        <v>196</v>
      </c>
      <c r="F143" s="46" t="s">
        <v>30</v>
      </c>
      <c r="G143" s="46">
        <v>81</v>
      </c>
      <c r="H143" s="46" t="s">
        <v>6643</v>
      </c>
      <c r="I143" s="46" t="s">
        <v>20</v>
      </c>
      <c r="J143" s="47">
        <v>45366</v>
      </c>
      <c r="K143" s="46" t="s">
        <v>87</v>
      </c>
      <c r="L143" s="48">
        <v>5065</v>
      </c>
      <c r="M143" s="49">
        <v>0</v>
      </c>
    </row>
    <row r="144" spans="1:13" x14ac:dyDescent="0.3">
      <c r="A144" s="46" t="s">
        <v>465</v>
      </c>
      <c r="B144" s="46" t="s">
        <v>79</v>
      </c>
      <c r="C144" s="46" t="s">
        <v>80</v>
      </c>
      <c r="D144" s="46" t="s">
        <v>164</v>
      </c>
      <c r="E144" s="46" t="s">
        <v>219</v>
      </c>
      <c r="F144" s="46" t="s">
        <v>30</v>
      </c>
      <c r="G144" s="46">
        <v>41</v>
      </c>
      <c r="H144" s="46" t="s">
        <v>6645</v>
      </c>
      <c r="I144" s="46" t="s">
        <v>20</v>
      </c>
      <c r="J144" s="47">
        <v>45387</v>
      </c>
      <c r="K144" s="46" t="s">
        <v>104</v>
      </c>
      <c r="L144" s="48">
        <v>16131</v>
      </c>
      <c r="M144" s="49">
        <v>10</v>
      </c>
    </row>
    <row r="145" spans="1:13" x14ac:dyDescent="0.3">
      <c r="A145" s="46" t="s">
        <v>468</v>
      </c>
      <c r="B145" s="46" t="s">
        <v>6626</v>
      </c>
      <c r="C145" s="46" t="s">
        <v>36</v>
      </c>
      <c r="D145" s="46" t="s">
        <v>17</v>
      </c>
      <c r="E145" s="46" t="s">
        <v>213</v>
      </c>
      <c r="F145" s="46" t="s">
        <v>30</v>
      </c>
      <c r="G145" s="46">
        <v>32</v>
      </c>
      <c r="H145" s="46" t="s">
        <v>6645</v>
      </c>
      <c r="I145" s="46" t="s">
        <v>20</v>
      </c>
      <c r="J145" s="47">
        <v>45015</v>
      </c>
      <c r="K145" s="46" t="s">
        <v>104</v>
      </c>
      <c r="L145" s="48">
        <v>6426</v>
      </c>
      <c r="M145" s="49">
        <v>25</v>
      </c>
    </row>
    <row r="146" spans="1:13" x14ac:dyDescent="0.3">
      <c r="A146" s="46" t="s">
        <v>471</v>
      </c>
      <c r="B146" s="46" t="s">
        <v>6629</v>
      </c>
      <c r="C146" s="46" t="s">
        <v>61</v>
      </c>
      <c r="D146" s="46" t="s">
        <v>37</v>
      </c>
      <c r="E146" s="46" t="s">
        <v>185</v>
      </c>
      <c r="F146" s="46" t="s">
        <v>30</v>
      </c>
      <c r="G146" s="46">
        <v>45</v>
      </c>
      <c r="H146" s="46" t="s">
        <v>6645</v>
      </c>
      <c r="I146" s="46" t="s">
        <v>20</v>
      </c>
      <c r="J146" s="47">
        <v>45052</v>
      </c>
      <c r="K146" s="46" t="s">
        <v>72</v>
      </c>
      <c r="L146" s="48">
        <v>15693</v>
      </c>
      <c r="M146" s="49">
        <v>0</v>
      </c>
    </row>
    <row r="147" spans="1:13" x14ac:dyDescent="0.3">
      <c r="A147" s="46" t="s">
        <v>474</v>
      </c>
      <c r="B147" s="46" t="s">
        <v>6627</v>
      </c>
      <c r="C147" s="46" t="s">
        <v>36</v>
      </c>
      <c r="D147" s="46" t="s">
        <v>67</v>
      </c>
      <c r="E147" s="46" t="s">
        <v>89</v>
      </c>
      <c r="F147" s="46" t="s">
        <v>30</v>
      </c>
      <c r="G147" s="46">
        <v>72</v>
      </c>
      <c r="H147" s="46" t="s">
        <v>6643</v>
      </c>
      <c r="I147" s="46" t="s">
        <v>40</v>
      </c>
      <c r="J147" s="47">
        <v>45166</v>
      </c>
      <c r="K147" s="46" t="s">
        <v>97</v>
      </c>
      <c r="L147" s="48">
        <v>9783</v>
      </c>
      <c r="M147" s="49">
        <v>10</v>
      </c>
    </row>
    <row r="148" spans="1:13" x14ac:dyDescent="0.3">
      <c r="A148" s="46" t="s">
        <v>476</v>
      </c>
      <c r="B148" s="46" t="s">
        <v>6629</v>
      </c>
      <c r="C148" s="46" t="s">
        <v>36</v>
      </c>
      <c r="D148" s="46" t="s">
        <v>28</v>
      </c>
      <c r="E148" s="46" t="s">
        <v>268</v>
      </c>
      <c r="F148" s="46" t="s">
        <v>30</v>
      </c>
      <c r="G148" s="46">
        <v>77</v>
      </c>
      <c r="H148" s="46" t="s">
        <v>6643</v>
      </c>
      <c r="I148" s="46" t="s">
        <v>40</v>
      </c>
      <c r="J148" s="47">
        <v>45227</v>
      </c>
      <c r="K148" s="46" t="s">
        <v>87</v>
      </c>
      <c r="L148" s="48">
        <v>15058</v>
      </c>
      <c r="M148" s="49">
        <v>0</v>
      </c>
    </row>
    <row r="149" spans="1:13" x14ac:dyDescent="0.3">
      <c r="A149" s="46" t="s">
        <v>479</v>
      </c>
      <c r="B149" s="46" t="s">
        <v>6628</v>
      </c>
      <c r="C149" s="46" t="s">
        <v>61</v>
      </c>
      <c r="D149" s="46" t="s">
        <v>164</v>
      </c>
      <c r="E149" s="46" t="s">
        <v>219</v>
      </c>
      <c r="F149" s="46" t="s">
        <v>30</v>
      </c>
      <c r="G149" s="46">
        <v>89</v>
      </c>
      <c r="H149" s="46" t="s">
        <v>6643</v>
      </c>
      <c r="I149" s="46" t="s">
        <v>40</v>
      </c>
      <c r="J149" s="47">
        <v>45324</v>
      </c>
      <c r="K149" s="46" t="s">
        <v>72</v>
      </c>
      <c r="L149" s="48">
        <v>10587</v>
      </c>
      <c r="M149" s="49">
        <v>0</v>
      </c>
    </row>
    <row r="150" spans="1:13" x14ac:dyDescent="0.3">
      <c r="A150" s="46" t="s">
        <v>482</v>
      </c>
      <c r="B150" s="46" t="s">
        <v>6627</v>
      </c>
      <c r="C150" s="46" t="s">
        <v>27</v>
      </c>
      <c r="D150" s="46" t="s">
        <v>74</v>
      </c>
      <c r="E150" s="46" t="s">
        <v>75</v>
      </c>
      <c r="F150" s="46" t="s">
        <v>30</v>
      </c>
      <c r="G150" s="46">
        <v>37</v>
      </c>
      <c r="H150" s="46" t="s">
        <v>6645</v>
      </c>
      <c r="I150" s="46" t="s">
        <v>20</v>
      </c>
      <c r="J150" s="47">
        <v>45133</v>
      </c>
      <c r="K150" s="46" t="s">
        <v>104</v>
      </c>
      <c r="L150" s="48">
        <v>14757</v>
      </c>
      <c r="M150" s="49">
        <v>19</v>
      </c>
    </row>
    <row r="151" spans="1:13" x14ac:dyDescent="0.3">
      <c r="A151" s="46" t="s">
        <v>484</v>
      </c>
      <c r="B151" s="46" t="s">
        <v>6626</v>
      </c>
      <c r="C151" s="46" t="s">
        <v>55</v>
      </c>
      <c r="D151" s="46" t="s">
        <v>17</v>
      </c>
      <c r="E151" s="46" t="s">
        <v>18</v>
      </c>
      <c r="F151" s="46" t="s">
        <v>30</v>
      </c>
      <c r="G151" s="46">
        <v>52</v>
      </c>
      <c r="H151" s="46" t="s">
        <v>6645</v>
      </c>
      <c r="I151" s="46" t="s">
        <v>20</v>
      </c>
      <c r="J151" s="47">
        <v>45390</v>
      </c>
      <c r="K151" s="46" t="s">
        <v>104</v>
      </c>
      <c r="L151" s="48">
        <v>5891</v>
      </c>
      <c r="M151" s="49">
        <v>5</v>
      </c>
    </row>
    <row r="152" spans="1:13" x14ac:dyDescent="0.3">
      <c r="A152" s="46" t="s">
        <v>487</v>
      </c>
      <c r="B152" s="46" t="s">
        <v>118</v>
      </c>
      <c r="C152" s="46" t="s">
        <v>36</v>
      </c>
      <c r="D152" s="46" t="s">
        <v>74</v>
      </c>
      <c r="E152" s="46" t="s">
        <v>172</v>
      </c>
      <c r="F152" s="46" t="s">
        <v>6632</v>
      </c>
      <c r="G152" s="46">
        <v>40</v>
      </c>
      <c r="H152" s="46" t="s">
        <v>6645</v>
      </c>
      <c r="I152" s="46" t="s">
        <v>40</v>
      </c>
      <c r="J152" s="47">
        <v>45253</v>
      </c>
      <c r="K152" s="46" t="s">
        <v>87</v>
      </c>
      <c r="L152" s="48">
        <v>8443</v>
      </c>
      <c r="M152" s="49">
        <v>5</v>
      </c>
    </row>
    <row r="153" spans="1:13" x14ac:dyDescent="0.3">
      <c r="A153" s="46" t="s">
        <v>489</v>
      </c>
      <c r="B153" s="46" t="s">
        <v>79</v>
      </c>
      <c r="C153" s="46" t="s">
        <v>27</v>
      </c>
      <c r="D153" s="46" t="s">
        <v>74</v>
      </c>
      <c r="E153" s="46" t="s">
        <v>75</v>
      </c>
      <c r="F153" s="46" t="s">
        <v>69</v>
      </c>
      <c r="G153" s="46">
        <v>7</v>
      </c>
      <c r="H153" s="46" t="s">
        <v>6644</v>
      </c>
      <c r="I153" s="46" t="s">
        <v>40</v>
      </c>
      <c r="J153" s="47">
        <v>45275</v>
      </c>
      <c r="K153" s="46" t="s">
        <v>97</v>
      </c>
      <c r="L153" s="48">
        <v>34573</v>
      </c>
      <c r="M153" s="49">
        <v>0</v>
      </c>
    </row>
    <row r="154" spans="1:13" x14ac:dyDescent="0.3">
      <c r="A154" s="46" t="s">
        <v>492</v>
      </c>
      <c r="B154" s="46" t="s">
        <v>6626</v>
      </c>
      <c r="C154" s="46" t="s">
        <v>36</v>
      </c>
      <c r="D154" s="46" t="s">
        <v>74</v>
      </c>
      <c r="E154" s="46" t="s">
        <v>75</v>
      </c>
      <c r="F154" s="46" t="s">
        <v>30</v>
      </c>
      <c r="G154" s="46">
        <v>44</v>
      </c>
      <c r="H154" s="46" t="s">
        <v>6645</v>
      </c>
      <c r="I154" s="46" t="s">
        <v>40</v>
      </c>
      <c r="J154" s="47">
        <v>45184</v>
      </c>
      <c r="K154" s="46" t="s">
        <v>72</v>
      </c>
      <c r="L154" s="48">
        <v>16052</v>
      </c>
      <c r="M154" s="49">
        <v>10</v>
      </c>
    </row>
    <row r="155" spans="1:13" x14ac:dyDescent="0.3">
      <c r="A155" s="46" t="s">
        <v>494</v>
      </c>
      <c r="B155" s="46" t="s">
        <v>118</v>
      </c>
      <c r="C155" s="46" t="s">
        <v>36</v>
      </c>
      <c r="D155" s="46" t="s">
        <v>164</v>
      </c>
      <c r="E155" s="46" t="s">
        <v>233</v>
      </c>
      <c r="F155" s="46" t="s">
        <v>30</v>
      </c>
      <c r="G155" s="46">
        <v>70</v>
      </c>
      <c r="H155" s="46" t="s">
        <v>6643</v>
      </c>
      <c r="I155" s="46" t="s">
        <v>20</v>
      </c>
      <c r="J155" s="47">
        <v>45054</v>
      </c>
      <c r="K155" s="46" t="s">
        <v>72</v>
      </c>
      <c r="L155" s="48">
        <v>4797</v>
      </c>
      <c r="M155" s="49">
        <v>3</v>
      </c>
    </row>
    <row r="156" spans="1:13" x14ac:dyDescent="0.3">
      <c r="A156" s="46" t="s">
        <v>496</v>
      </c>
      <c r="B156" s="46" t="s">
        <v>118</v>
      </c>
      <c r="C156" s="46" t="s">
        <v>80</v>
      </c>
      <c r="D156" s="46" t="s">
        <v>28</v>
      </c>
      <c r="E156" s="46" t="s">
        <v>290</v>
      </c>
      <c r="F156" s="46" t="s">
        <v>30</v>
      </c>
      <c r="G156" s="46">
        <v>83</v>
      </c>
      <c r="H156" s="46" t="s">
        <v>6643</v>
      </c>
      <c r="I156" s="46" t="s">
        <v>20</v>
      </c>
      <c r="J156" s="47">
        <v>45284</v>
      </c>
      <c r="K156" s="46" t="s">
        <v>91</v>
      </c>
      <c r="L156" s="48">
        <v>12809</v>
      </c>
      <c r="M156" s="49">
        <v>0</v>
      </c>
    </row>
    <row r="157" spans="1:13" x14ac:dyDescent="0.3">
      <c r="A157" s="46" t="s">
        <v>499</v>
      </c>
      <c r="B157" s="46" t="s">
        <v>118</v>
      </c>
      <c r="C157" s="46" t="s">
        <v>16</v>
      </c>
      <c r="D157" s="46" t="s">
        <v>67</v>
      </c>
      <c r="E157" s="46" t="s">
        <v>68</v>
      </c>
      <c r="F157" s="46" t="s">
        <v>69</v>
      </c>
      <c r="G157" s="46">
        <v>15</v>
      </c>
      <c r="H157" s="46" t="s">
        <v>6646</v>
      </c>
      <c r="I157" s="46" t="s">
        <v>40</v>
      </c>
      <c r="J157" s="47">
        <v>45075</v>
      </c>
      <c r="K157" s="46" t="s">
        <v>72</v>
      </c>
      <c r="L157" s="48">
        <v>20972</v>
      </c>
      <c r="M157" s="49">
        <v>3</v>
      </c>
    </row>
    <row r="158" spans="1:13" x14ac:dyDescent="0.3">
      <c r="A158" s="46" t="s">
        <v>502</v>
      </c>
      <c r="B158" s="46" t="s">
        <v>118</v>
      </c>
      <c r="C158" s="46" t="s">
        <v>27</v>
      </c>
      <c r="D158" s="46" t="s">
        <v>67</v>
      </c>
      <c r="E158" s="46" t="s">
        <v>85</v>
      </c>
      <c r="F158" s="46" t="s">
        <v>30</v>
      </c>
      <c r="G158" s="46">
        <v>22</v>
      </c>
      <c r="H158" s="46" t="s">
        <v>6645</v>
      </c>
      <c r="I158" s="46" t="s">
        <v>20</v>
      </c>
      <c r="J158" s="47">
        <v>44963</v>
      </c>
      <c r="K158" s="46" t="s">
        <v>97</v>
      </c>
      <c r="L158" s="48">
        <v>13353</v>
      </c>
      <c r="M158" s="49">
        <v>0</v>
      </c>
    </row>
    <row r="159" spans="1:13" x14ac:dyDescent="0.3">
      <c r="A159" s="46" t="s">
        <v>504</v>
      </c>
      <c r="B159" s="46" t="s">
        <v>79</v>
      </c>
      <c r="C159" s="46" t="s">
        <v>80</v>
      </c>
      <c r="D159" s="46" t="s">
        <v>17</v>
      </c>
      <c r="E159" s="46" t="s">
        <v>169</v>
      </c>
      <c r="F159" s="46" t="s">
        <v>30</v>
      </c>
      <c r="G159" s="46">
        <v>46</v>
      </c>
      <c r="H159" s="46" t="s">
        <v>6645</v>
      </c>
      <c r="I159" s="46" t="s">
        <v>20</v>
      </c>
      <c r="J159" s="47">
        <v>45256</v>
      </c>
      <c r="K159" s="46" t="s">
        <v>91</v>
      </c>
      <c r="L159" s="48">
        <v>12370</v>
      </c>
      <c r="M159" s="49">
        <v>0</v>
      </c>
    </row>
    <row r="160" spans="1:13" x14ac:dyDescent="0.3">
      <c r="A160" s="46" t="s">
        <v>506</v>
      </c>
      <c r="B160" s="46" t="s">
        <v>79</v>
      </c>
      <c r="C160" s="46" t="s">
        <v>61</v>
      </c>
      <c r="D160" s="46" t="s">
        <v>67</v>
      </c>
      <c r="E160" s="46" t="s">
        <v>85</v>
      </c>
      <c r="F160" s="46" t="s">
        <v>30</v>
      </c>
      <c r="G160" s="46">
        <v>14</v>
      </c>
      <c r="H160" s="46" t="s">
        <v>6646</v>
      </c>
      <c r="I160" s="46" t="s">
        <v>40</v>
      </c>
      <c r="J160" s="47">
        <v>45352</v>
      </c>
      <c r="K160" s="46" t="s">
        <v>72</v>
      </c>
      <c r="L160" s="48">
        <v>13169</v>
      </c>
      <c r="M160" s="49">
        <v>0</v>
      </c>
    </row>
    <row r="161" spans="1:13" x14ac:dyDescent="0.3">
      <c r="A161" s="46" t="s">
        <v>508</v>
      </c>
      <c r="B161" s="46" t="s">
        <v>6628</v>
      </c>
      <c r="C161" s="46" t="s">
        <v>66</v>
      </c>
      <c r="D161" s="46" t="s">
        <v>28</v>
      </c>
      <c r="E161" s="46" t="s">
        <v>29</v>
      </c>
      <c r="F161" s="46" t="s">
        <v>30</v>
      </c>
      <c r="G161" s="46">
        <v>7</v>
      </c>
      <c r="H161" s="46" t="s">
        <v>6644</v>
      </c>
      <c r="I161" s="46" t="s">
        <v>40</v>
      </c>
      <c r="J161" s="47">
        <v>45180</v>
      </c>
      <c r="K161" s="46" t="s">
        <v>72</v>
      </c>
      <c r="L161" s="48">
        <v>16354</v>
      </c>
      <c r="M161" s="49">
        <v>3</v>
      </c>
    </row>
    <row r="162" spans="1:13" x14ac:dyDescent="0.3">
      <c r="A162" s="46" t="s">
        <v>511</v>
      </c>
      <c r="B162" s="46" t="s">
        <v>6627</v>
      </c>
      <c r="C162" s="46" t="s">
        <v>80</v>
      </c>
      <c r="D162" s="46" t="s">
        <v>17</v>
      </c>
      <c r="E162" s="46" t="s">
        <v>18</v>
      </c>
      <c r="F162" s="46" t="s">
        <v>69</v>
      </c>
      <c r="G162" s="46">
        <v>25</v>
      </c>
      <c r="H162" s="46" t="s">
        <v>6645</v>
      </c>
      <c r="I162" s="46" t="s">
        <v>40</v>
      </c>
      <c r="J162" s="47">
        <v>45297</v>
      </c>
      <c r="K162" s="46" t="s">
        <v>104</v>
      </c>
      <c r="L162" s="48">
        <v>14514</v>
      </c>
      <c r="M162" s="49">
        <v>12</v>
      </c>
    </row>
    <row r="163" spans="1:13" x14ac:dyDescent="0.3">
      <c r="A163" s="46" t="s">
        <v>512</v>
      </c>
      <c r="B163" s="46" t="s">
        <v>6629</v>
      </c>
      <c r="C163" s="46" t="s">
        <v>61</v>
      </c>
      <c r="D163" s="46" t="s">
        <v>37</v>
      </c>
      <c r="E163" s="46" t="s">
        <v>38</v>
      </c>
      <c r="F163" s="46" t="s">
        <v>30</v>
      </c>
      <c r="G163" s="46">
        <v>22</v>
      </c>
      <c r="H163" s="46" t="s">
        <v>6645</v>
      </c>
      <c r="I163" s="46" t="s">
        <v>40</v>
      </c>
      <c r="J163" s="47">
        <v>45078</v>
      </c>
      <c r="K163" s="46" t="s">
        <v>87</v>
      </c>
      <c r="L163" s="48">
        <v>3043</v>
      </c>
      <c r="M163" s="49">
        <v>3</v>
      </c>
    </row>
    <row r="164" spans="1:13" x14ac:dyDescent="0.3">
      <c r="A164" s="46" t="s">
        <v>515</v>
      </c>
      <c r="B164" s="46" t="s">
        <v>118</v>
      </c>
      <c r="C164" s="46" t="s">
        <v>61</v>
      </c>
      <c r="D164" s="46" t="s">
        <v>93</v>
      </c>
      <c r="E164" s="46" t="s">
        <v>121</v>
      </c>
      <c r="F164" s="46" t="s">
        <v>69</v>
      </c>
      <c r="G164" s="46">
        <v>11</v>
      </c>
      <c r="H164" s="46" t="s">
        <v>6644</v>
      </c>
      <c r="I164" s="46" t="s">
        <v>20</v>
      </c>
      <c r="J164" s="47">
        <v>45297</v>
      </c>
      <c r="K164" s="46" t="s">
        <v>91</v>
      </c>
      <c r="L164" s="48">
        <v>60282</v>
      </c>
      <c r="M164" s="49">
        <v>5</v>
      </c>
    </row>
    <row r="165" spans="1:13" x14ac:dyDescent="0.3">
      <c r="A165" s="46" t="s">
        <v>516</v>
      </c>
      <c r="B165" s="46" t="s">
        <v>6628</v>
      </c>
      <c r="C165" s="46" t="s">
        <v>189</v>
      </c>
      <c r="D165" s="46" t="s">
        <v>28</v>
      </c>
      <c r="E165" s="46" t="s">
        <v>290</v>
      </c>
      <c r="F165" s="46" t="s">
        <v>30</v>
      </c>
      <c r="G165" s="46">
        <v>19</v>
      </c>
      <c r="H165" s="46" t="s">
        <v>6646</v>
      </c>
      <c r="I165" s="46" t="s">
        <v>40</v>
      </c>
      <c r="J165" s="47">
        <v>45223</v>
      </c>
      <c r="K165" s="46" t="s">
        <v>87</v>
      </c>
      <c r="L165" s="48">
        <v>13671</v>
      </c>
      <c r="M165" s="49">
        <v>10</v>
      </c>
    </row>
    <row r="166" spans="1:13" x14ac:dyDescent="0.3">
      <c r="A166" s="46" t="s">
        <v>518</v>
      </c>
      <c r="B166" s="46" t="s">
        <v>6627</v>
      </c>
      <c r="C166" s="46" t="s">
        <v>16</v>
      </c>
      <c r="D166" s="46" t="s">
        <v>28</v>
      </c>
      <c r="E166" s="46" t="s">
        <v>29</v>
      </c>
      <c r="F166" s="46" t="s">
        <v>30</v>
      </c>
      <c r="G166" s="46">
        <v>25</v>
      </c>
      <c r="H166" s="46" t="s">
        <v>6645</v>
      </c>
      <c r="I166" s="46" t="s">
        <v>20</v>
      </c>
      <c r="J166" s="47">
        <v>45270</v>
      </c>
      <c r="K166" s="46" t="s">
        <v>87</v>
      </c>
      <c r="L166" s="48">
        <v>10118</v>
      </c>
      <c r="M166" s="49">
        <v>10</v>
      </c>
    </row>
    <row r="167" spans="1:13" x14ac:dyDescent="0.3">
      <c r="A167" s="46" t="s">
        <v>520</v>
      </c>
      <c r="B167" s="46" t="s">
        <v>118</v>
      </c>
      <c r="C167" s="46" t="s">
        <v>27</v>
      </c>
      <c r="D167" s="46" t="s">
        <v>99</v>
      </c>
      <c r="E167" s="46" t="s">
        <v>256</v>
      </c>
      <c r="F167" s="46" t="s">
        <v>69</v>
      </c>
      <c r="G167" s="46">
        <v>15</v>
      </c>
      <c r="H167" s="46" t="s">
        <v>6646</v>
      </c>
      <c r="I167" s="46" t="s">
        <v>40</v>
      </c>
      <c r="J167" s="47">
        <v>45296</v>
      </c>
      <c r="K167" s="46" t="s">
        <v>87</v>
      </c>
      <c r="L167" s="48">
        <v>87522</v>
      </c>
      <c r="M167" s="49">
        <v>0</v>
      </c>
    </row>
    <row r="168" spans="1:13" x14ac:dyDescent="0.3">
      <c r="A168" s="46" t="s">
        <v>523</v>
      </c>
      <c r="B168" s="46" t="s">
        <v>6627</v>
      </c>
      <c r="C168" s="46" t="s">
        <v>55</v>
      </c>
      <c r="D168" s="46" t="s">
        <v>47</v>
      </c>
      <c r="E168" s="46" t="s">
        <v>461</v>
      </c>
      <c r="F168" s="46" t="s">
        <v>30</v>
      </c>
      <c r="G168" s="46">
        <v>2</v>
      </c>
      <c r="H168" s="46" t="s">
        <v>6644</v>
      </c>
      <c r="I168" s="46" t="s">
        <v>40</v>
      </c>
      <c r="J168" s="47">
        <v>45231</v>
      </c>
      <c r="K168" s="46" t="s">
        <v>72</v>
      </c>
      <c r="L168" s="48">
        <v>8985</v>
      </c>
      <c r="M168" s="49">
        <v>10</v>
      </c>
    </row>
    <row r="169" spans="1:13" x14ac:dyDescent="0.3">
      <c r="A169" s="46" t="s">
        <v>526</v>
      </c>
      <c r="B169" s="46" t="s">
        <v>79</v>
      </c>
      <c r="C169" s="46" t="s">
        <v>55</v>
      </c>
      <c r="D169" s="46" t="s">
        <v>67</v>
      </c>
      <c r="E169" s="46" t="s">
        <v>85</v>
      </c>
      <c r="F169" s="46" t="s">
        <v>30</v>
      </c>
      <c r="G169" s="46">
        <v>33</v>
      </c>
      <c r="H169" s="46" t="s">
        <v>6645</v>
      </c>
      <c r="I169" s="46" t="s">
        <v>20</v>
      </c>
      <c r="J169" s="47">
        <v>45049</v>
      </c>
      <c r="K169" s="46" t="s">
        <v>87</v>
      </c>
      <c r="L169" s="48">
        <v>15222</v>
      </c>
      <c r="M169" s="49">
        <v>0</v>
      </c>
    </row>
    <row r="170" spans="1:13" x14ac:dyDescent="0.3">
      <c r="A170" s="46" t="s">
        <v>529</v>
      </c>
      <c r="B170" s="46" t="s">
        <v>6628</v>
      </c>
      <c r="C170" s="46" t="s">
        <v>55</v>
      </c>
      <c r="D170" s="46" t="s">
        <v>47</v>
      </c>
      <c r="E170" s="46" t="s">
        <v>461</v>
      </c>
      <c r="F170" s="46" t="s">
        <v>30</v>
      </c>
      <c r="G170" s="46">
        <v>33</v>
      </c>
      <c r="H170" s="46" t="s">
        <v>6645</v>
      </c>
      <c r="I170" s="46" t="s">
        <v>20</v>
      </c>
      <c r="J170" s="47">
        <v>45025</v>
      </c>
      <c r="K170" s="46" t="s">
        <v>87</v>
      </c>
      <c r="L170" s="48">
        <v>12913</v>
      </c>
      <c r="M170" s="49">
        <v>3</v>
      </c>
    </row>
    <row r="171" spans="1:13" x14ac:dyDescent="0.3">
      <c r="A171" s="46" t="s">
        <v>531</v>
      </c>
      <c r="B171" s="46" t="s">
        <v>6627</v>
      </c>
      <c r="C171" s="46" t="s">
        <v>16</v>
      </c>
      <c r="D171" s="46" t="s">
        <v>93</v>
      </c>
      <c r="E171" s="46" t="s">
        <v>94</v>
      </c>
      <c r="F171" s="46" t="s">
        <v>69</v>
      </c>
      <c r="G171" s="46">
        <v>76</v>
      </c>
      <c r="H171" s="46" t="s">
        <v>6643</v>
      </c>
      <c r="I171" s="46" t="s">
        <v>20</v>
      </c>
      <c r="J171" s="47">
        <v>45202</v>
      </c>
      <c r="K171" s="46" t="s">
        <v>6632</v>
      </c>
      <c r="L171" s="48">
        <v>55220</v>
      </c>
      <c r="M171" s="49">
        <v>0</v>
      </c>
    </row>
    <row r="172" spans="1:13" x14ac:dyDescent="0.3">
      <c r="A172" s="46" t="s">
        <v>533</v>
      </c>
      <c r="B172" s="46" t="s">
        <v>79</v>
      </c>
      <c r="C172" s="46" t="s">
        <v>189</v>
      </c>
      <c r="D172" s="46" t="s">
        <v>108</v>
      </c>
      <c r="E172" s="46" t="s">
        <v>308</v>
      </c>
      <c r="F172" s="46" t="s">
        <v>30</v>
      </c>
      <c r="G172" s="46">
        <v>61</v>
      </c>
      <c r="H172" s="46" t="s">
        <v>6643</v>
      </c>
      <c r="I172" s="46" t="s">
        <v>40</v>
      </c>
      <c r="J172" s="47">
        <v>45281</v>
      </c>
      <c r="K172" s="46" t="s">
        <v>91</v>
      </c>
      <c r="L172" s="48">
        <v>17699</v>
      </c>
      <c r="M172" s="49">
        <v>0</v>
      </c>
    </row>
    <row r="173" spans="1:13" x14ac:dyDescent="0.3">
      <c r="A173" s="46" t="s">
        <v>535</v>
      </c>
      <c r="B173" s="46" t="s">
        <v>6627</v>
      </c>
      <c r="C173" s="46" t="s">
        <v>189</v>
      </c>
      <c r="D173" s="46" t="s">
        <v>28</v>
      </c>
      <c r="E173" s="46" t="s">
        <v>290</v>
      </c>
      <c r="F173" s="46" t="s">
        <v>69</v>
      </c>
      <c r="G173" s="46">
        <v>74</v>
      </c>
      <c r="H173" s="46" t="s">
        <v>6643</v>
      </c>
      <c r="I173" s="46" t="s">
        <v>40</v>
      </c>
      <c r="J173" s="47">
        <v>45125</v>
      </c>
      <c r="K173" s="46" t="s">
        <v>87</v>
      </c>
      <c r="L173" s="48">
        <v>66357</v>
      </c>
      <c r="M173" s="49">
        <v>0</v>
      </c>
    </row>
    <row r="174" spans="1:13" x14ac:dyDescent="0.3">
      <c r="A174" s="46" t="s">
        <v>538</v>
      </c>
      <c r="B174" s="46" t="s">
        <v>6629</v>
      </c>
      <c r="C174" s="46" t="s">
        <v>189</v>
      </c>
      <c r="D174" s="46" t="s">
        <v>67</v>
      </c>
      <c r="E174" s="46" t="s">
        <v>196</v>
      </c>
      <c r="F174" s="46" t="s">
        <v>30</v>
      </c>
      <c r="G174" s="46">
        <v>46</v>
      </c>
      <c r="H174" s="46" t="s">
        <v>6645</v>
      </c>
      <c r="I174" s="46" t="s">
        <v>20</v>
      </c>
      <c r="J174" s="47">
        <v>45220</v>
      </c>
      <c r="K174" s="46" t="s">
        <v>91</v>
      </c>
      <c r="L174" s="48">
        <v>7557</v>
      </c>
      <c r="M174" s="49">
        <v>0</v>
      </c>
    </row>
    <row r="175" spans="1:13" x14ac:dyDescent="0.3">
      <c r="A175" s="46" t="s">
        <v>540</v>
      </c>
      <c r="B175" s="46" t="s">
        <v>6626</v>
      </c>
      <c r="C175" s="46" t="s">
        <v>27</v>
      </c>
      <c r="D175" s="46" t="s">
        <v>37</v>
      </c>
      <c r="E175" s="46" t="s">
        <v>56</v>
      </c>
      <c r="F175" s="46" t="s">
        <v>69</v>
      </c>
      <c r="G175" s="46">
        <v>88</v>
      </c>
      <c r="H175" s="46" t="s">
        <v>6643</v>
      </c>
      <c r="I175" s="46" t="s">
        <v>20</v>
      </c>
      <c r="J175" s="47">
        <v>45082</v>
      </c>
      <c r="K175" s="46" t="s">
        <v>91</v>
      </c>
      <c r="L175" s="48">
        <v>58285</v>
      </c>
      <c r="M175" s="49">
        <v>10</v>
      </c>
    </row>
    <row r="176" spans="1:13" x14ac:dyDescent="0.3">
      <c r="A176" s="46" t="s">
        <v>542</v>
      </c>
      <c r="B176" s="46" t="s">
        <v>6626</v>
      </c>
      <c r="C176" s="46" t="s">
        <v>55</v>
      </c>
      <c r="D176" s="46" t="s">
        <v>37</v>
      </c>
      <c r="E176" s="46" t="s">
        <v>185</v>
      </c>
      <c r="F176" s="46" t="s">
        <v>30</v>
      </c>
      <c r="G176" s="46">
        <v>45</v>
      </c>
      <c r="H176" s="46" t="s">
        <v>6645</v>
      </c>
      <c r="I176" s="46" t="s">
        <v>40</v>
      </c>
      <c r="J176" s="47">
        <v>44996</v>
      </c>
      <c r="K176" s="46" t="s">
        <v>87</v>
      </c>
      <c r="L176" s="48">
        <v>15248</v>
      </c>
      <c r="M176" s="49">
        <v>5</v>
      </c>
    </row>
    <row r="177" spans="1:13" x14ac:dyDescent="0.3">
      <c r="A177" s="46" t="s">
        <v>544</v>
      </c>
      <c r="B177" s="46" t="s">
        <v>6627</v>
      </c>
      <c r="C177" s="46" t="s">
        <v>27</v>
      </c>
      <c r="D177" s="46" t="s">
        <v>67</v>
      </c>
      <c r="E177" s="46" t="s">
        <v>85</v>
      </c>
      <c r="F177" s="46" t="s">
        <v>30</v>
      </c>
      <c r="G177" s="46">
        <v>10</v>
      </c>
      <c r="H177" s="46" t="s">
        <v>6644</v>
      </c>
      <c r="I177" s="46" t="s">
        <v>40</v>
      </c>
      <c r="J177" s="47">
        <v>45225</v>
      </c>
      <c r="K177" s="46" t="s">
        <v>87</v>
      </c>
      <c r="L177" s="48">
        <v>5622</v>
      </c>
      <c r="M177" s="49">
        <v>0</v>
      </c>
    </row>
    <row r="178" spans="1:13" x14ac:dyDescent="0.3">
      <c r="A178" s="46" t="s">
        <v>546</v>
      </c>
      <c r="B178" s="46" t="s">
        <v>6626</v>
      </c>
      <c r="C178" s="46" t="s">
        <v>27</v>
      </c>
      <c r="D178" s="46" t="s">
        <v>99</v>
      </c>
      <c r="E178" s="46" t="s">
        <v>100</v>
      </c>
      <c r="F178" s="46" t="s">
        <v>69</v>
      </c>
      <c r="G178" s="46">
        <v>70</v>
      </c>
      <c r="H178" s="46" t="s">
        <v>6643</v>
      </c>
      <c r="I178" s="46" t="s">
        <v>20</v>
      </c>
      <c r="J178" s="47">
        <v>45315</v>
      </c>
      <c r="K178" s="46" t="s">
        <v>72</v>
      </c>
      <c r="L178" s="48">
        <v>39491</v>
      </c>
      <c r="M178" s="49">
        <v>5</v>
      </c>
    </row>
    <row r="179" spans="1:13" x14ac:dyDescent="0.3">
      <c r="A179" s="46" t="s">
        <v>548</v>
      </c>
      <c r="B179" s="46" t="s">
        <v>6628</v>
      </c>
      <c r="C179" s="46" t="s">
        <v>27</v>
      </c>
      <c r="D179" s="46" t="s">
        <v>28</v>
      </c>
      <c r="E179" s="46" t="s">
        <v>290</v>
      </c>
      <c r="F179" s="46" t="s">
        <v>30</v>
      </c>
      <c r="G179" s="46">
        <v>11</v>
      </c>
      <c r="H179" s="46" t="s">
        <v>6644</v>
      </c>
      <c r="I179" s="46" t="s">
        <v>20</v>
      </c>
      <c r="J179" s="47">
        <v>45341</v>
      </c>
      <c r="K179" s="46" t="s">
        <v>6632</v>
      </c>
      <c r="L179" s="48">
        <v>14179</v>
      </c>
      <c r="M179" s="49">
        <v>0</v>
      </c>
    </row>
    <row r="180" spans="1:13" x14ac:dyDescent="0.3">
      <c r="A180" s="46" t="s">
        <v>550</v>
      </c>
      <c r="B180" s="46" t="s">
        <v>6627</v>
      </c>
      <c r="C180" s="46" t="s">
        <v>55</v>
      </c>
      <c r="D180" s="46" t="s">
        <v>37</v>
      </c>
      <c r="E180" s="46" t="s">
        <v>38</v>
      </c>
      <c r="F180" s="46" t="s">
        <v>30</v>
      </c>
      <c r="G180" s="46">
        <v>23</v>
      </c>
      <c r="H180" s="46" t="s">
        <v>6645</v>
      </c>
      <c r="I180" s="46" t="s">
        <v>20</v>
      </c>
      <c r="J180" s="47">
        <v>45369</v>
      </c>
      <c r="K180" s="46" t="s">
        <v>91</v>
      </c>
      <c r="L180" s="48">
        <v>14917</v>
      </c>
      <c r="M180" s="49">
        <v>10</v>
      </c>
    </row>
    <row r="181" spans="1:13" x14ac:dyDescent="0.3">
      <c r="A181" s="46" t="s">
        <v>552</v>
      </c>
      <c r="B181" s="46" t="s">
        <v>79</v>
      </c>
      <c r="C181" s="46" t="s">
        <v>189</v>
      </c>
      <c r="D181" s="46" t="s">
        <v>37</v>
      </c>
      <c r="E181" s="46" t="s">
        <v>56</v>
      </c>
      <c r="F181" s="46" t="s">
        <v>30</v>
      </c>
      <c r="G181" s="46">
        <v>21</v>
      </c>
      <c r="H181" s="46" t="s">
        <v>6645</v>
      </c>
      <c r="I181" s="46" t="s">
        <v>20</v>
      </c>
      <c r="J181" s="47">
        <v>44936</v>
      </c>
      <c r="K181" s="46" t="s">
        <v>97</v>
      </c>
      <c r="L181" s="48">
        <v>8118</v>
      </c>
      <c r="M181" s="49">
        <v>0</v>
      </c>
    </row>
    <row r="182" spans="1:13" x14ac:dyDescent="0.3">
      <c r="A182" s="46" t="s">
        <v>555</v>
      </c>
      <c r="B182" s="46" t="s">
        <v>6629</v>
      </c>
      <c r="C182" s="46" t="s">
        <v>16</v>
      </c>
      <c r="D182" s="46" t="s">
        <v>47</v>
      </c>
      <c r="E182" s="46" t="s">
        <v>48</v>
      </c>
      <c r="F182" s="46" t="s">
        <v>30</v>
      </c>
      <c r="G182" s="46">
        <v>5</v>
      </c>
      <c r="H182" s="46" t="s">
        <v>6644</v>
      </c>
      <c r="I182" s="46" t="s">
        <v>40</v>
      </c>
      <c r="J182" s="47">
        <v>45085</v>
      </c>
      <c r="K182" s="46" t="s">
        <v>91</v>
      </c>
      <c r="L182" s="48">
        <v>17849</v>
      </c>
      <c r="M182" s="49">
        <v>0</v>
      </c>
    </row>
    <row r="183" spans="1:13" x14ac:dyDescent="0.3">
      <c r="A183" s="46" t="s">
        <v>557</v>
      </c>
      <c r="B183" s="46" t="s">
        <v>79</v>
      </c>
      <c r="C183" s="46" t="s">
        <v>55</v>
      </c>
      <c r="D183" s="46" t="s">
        <v>67</v>
      </c>
      <c r="E183" s="46" t="s">
        <v>196</v>
      </c>
      <c r="F183" s="46" t="s">
        <v>30</v>
      </c>
      <c r="G183" s="46">
        <v>80</v>
      </c>
      <c r="H183" s="46" t="s">
        <v>6643</v>
      </c>
      <c r="I183" s="46" t="s">
        <v>40</v>
      </c>
      <c r="J183" s="47">
        <v>44989</v>
      </c>
      <c r="K183" s="46" t="s">
        <v>97</v>
      </c>
      <c r="L183" s="48">
        <v>4474</v>
      </c>
      <c r="M183" s="49">
        <v>10</v>
      </c>
    </row>
    <row r="184" spans="1:13" x14ac:dyDescent="0.3">
      <c r="A184" s="46" t="s">
        <v>560</v>
      </c>
      <c r="B184" s="46" t="s">
        <v>6627</v>
      </c>
      <c r="C184" s="46" t="s">
        <v>16</v>
      </c>
      <c r="D184" s="46" t="s">
        <v>93</v>
      </c>
      <c r="E184" s="46" t="s">
        <v>207</v>
      </c>
      <c r="F184" s="46" t="s">
        <v>30</v>
      </c>
      <c r="G184" s="46">
        <v>64</v>
      </c>
      <c r="H184" s="46" t="s">
        <v>6643</v>
      </c>
      <c r="I184" s="46" t="s">
        <v>40</v>
      </c>
      <c r="J184" s="47">
        <v>45252</v>
      </c>
      <c r="K184" s="46" t="s">
        <v>72</v>
      </c>
      <c r="L184" s="48">
        <v>14279</v>
      </c>
      <c r="M184" s="49">
        <v>0</v>
      </c>
    </row>
    <row r="185" spans="1:13" x14ac:dyDescent="0.3">
      <c r="A185" s="46" t="s">
        <v>562</v>
      </c>
      <c r="B185" s="46" t="s">
        <v>6626</v>
      </c>
      <c r="C185" s="46" t="s">
        <v>61</v>
      </c>
      <c r="D185" s="46" t="s">
        <v>37</v>
      </c>
      <c r="E185" s="46" t="s">
        <v>38</v>
      </c>
      <c r="F185" s="46" t="s">
        <v>30</v>
      </c>
      <c r="G185" s="46">
        <v>85</v>
      </c>
      <c r="H185" s="46" t="s">
        <v>6643</v>
      </c>
      <c r="I185" s="46" t="s">
        <v>40</v>
      </c>
      <c r="J185" s="47">
        <v>45367</v>
      </c>
      <c r="K185" s="46" t="s">
        <v>6632</v>
      </c>
      <c r="L185" s="48">
        <v>16050</v>
      </c>
      <c r="M185" s="49">
        <v>0</v>
      </c>
    </row>
    <row r="186" spans="1:13" x14ac:dyDescent="0.3">
      <c r="A186" s="46" t="s">
        <v>563</v>
      </c>
      <c r="B186" s="46" t="s">
        <v>118</v>
      </c>
      <c r="C186" s="46" t="s">
        <v>66</v>
      </c>
      <c r="D186" s="46" t="s">
        <v>74</v>
      </c>
      <c r="E186" s="46" t="s">
        <v>147</v>
      </c>
      <c r="F186" s="46" t="s">
        <v>30</v>
      </c>
      <c r="G186" s="46">
        <v>62</v>
      </c>
      <c r="H186" s="46" t="s">
        <v>6643</v>
      </c>
      <c r="I186" s="46" t="s">
        <v>20</v>
      </c>
      <c r="J186" s="47">
        <v>45311</v>
      </c>
      <c r="K186" s="46" t="s">
        <v>87</v>
      </c>
      <c r="L186" s="48">
        <v>7249</v>
      </c>
      <c r="M186" s="49">
        <v>3</v>
      </c>
    </row>
    <row r="187" spans="1:13" x14ac:dyDescent="0.3">
      <c r="A187" s="46" t="s">
        <v>564</v>
      </c>
      <c r="B187" s="46" t="s">
        <v>6629</v>
      </c>
      <c r="C187" s="46" t="s">
        <v>80</v>
      </c>
      <c r="D187" s="46" t="s">
        <v>28</v>
      </c>
      <c r="E187" s="46" t="s">
        <v>29</v>
      </c>
      <c r="F187" s="46" t="s">
        <v>69</v>
      </c>
      <c r="G187" s="46">
        <v>47</v>
      </c>
      <c r="H187" s="46" t="s">
        <v>6645</v>
      </c>
      <c r="I187" s="46" t="s">
        <v>20</v>
      </c>
      <c r="J187" s="47">
        <v>45326</v>
      </c>
      <c r="K187" s="46" t="s">
        <v>104</v>
      </c>
      <c r="L187" s="48">
        <v>73673</v>
      </c>
      <c r="M187" s="49">
        <v>5</v>
      </c>
    </row>
    <row r="188" spans="1:13" x14ac:dyDescent="0.3">
      <c r="A188" s="46" t="s">
        <v>567</v>
      </c>
      <c r="B188" s="46" t="s">
        <v>79</v>
      </c>
      <c r="C188" s="46" t="s">
        <v>16</v>
      </c>
      <c r="D188" s="46" t="s">
        <v>74</v>
      </c>
      <c r="E188" s="46" t="s">
        <v>172</v>
      </c>
      <c r="F188" s="46" t="s">
        <v>30</v>
      </c>
      <c r="G188" s="46">
        <v>60</v>
      </c>
      <c r="H188" s="46" t="s">
        <v>6643</v>
      </c>
      <c r="I188" s="46" t="s">
        <v>40</v>
      </c>
      <c r="J188" s="47">
        <v>45130</v>
      </c>
      <c r="K188" s="46" t="s">
        <v>91</v>
      </c>
      <c r="L188" s="48">
        <v>5956</v>
      </c>
      <c r="M188" s="49">
        <v>0</v>
      </c>
    </row>
    <row r="189" spans="1:13" x14ac:dyDescent="0.3">
      <c r="A189" s="46" t="s">
        <v>570</v>
      </c>
      <c r="B189" s="46" t="s">
        <v>6627</v>
      </c>
      <c r="C189" s="46" t="s">
        <v>36</v>
      </c>
      <c r="D189" s="46" t="s">
        <v>164</v>
      </c>
      <c r="E189" s="46" t="s">
        <v>282</v>
      </c>
      <c r="F189" s="46" t="s">
        <v>30</v>
      </c>
      <c r="G189" s="46">
        <v>90</v>
      </c>
      <c r="H189" s="46" t="s">
        <v>6643</v>
      </c>
      <c r="I189" s="46" t="s">
        <v>20</v>
      </c>
      <c r="J189" s="47">
        <v>45299</v>
      </c>
      <c r="K189" s="46" t="s">
        <v>72</v>
      </c>
      <c r="L189" s="48">
        <v>3653</v>
      </c>
      <c r="M189" s="49">
        <v>0</v>
      </c>
    </row>
    <row r="190" spans="1:13" x14ac:dyDescent="0.3">
      <c r="A190" s="46" t="s">
        <v>573</v>
      </c>
      <c r="B190" s="46" t="s">
        <v>6629</v>
      </c>
      <c r="C190" s="46" t="s">
        <v>61</v>
      </c>
      <c r="D190" s="46" t="s">
        <v>164</v>
      </c>
      <c r="E190" s="46" t="s">
        <v>219</v>
      </c>
      <c r="F190" s="46" t="s">
        <v>30</v>
      </c>
      <c r="G190" s="46">
        <v>68</v>
      </c>
      <c r="H190" s="46" t="s">
        <v>6643</v>
      </c>
      <c r="I190" s="46" t="s">
        <v>20</v>
      </c>
      <c r="J190" s="47">
        <v>45356</v>
      </c>
      <c r="K190" s="46" t="s">
        <v>104</v>
      </c>
      <c r="L190" s="48">
        <v>17335</v>
      </c>
      <c r="M190" s="49">
        <v>10</v>
      </c>
    </row>
    <row r="191" spans="1:13" x14ac:dyDescent="0.3">
      <c r="A191" s="46" t="s">
        <v>575</v>
      </c>
      <c r="B191" s="46" t="s">
        <v>6628</v>
      </c>
      <c r="C191" s="46" t="s">
        <v>66</v>
      </c>
      <c r="D191" s="46" t="s">
        <v>108</v>
      </c>
      <c r="E191" s="46" t="s">
        <v>124</v>
      </c>
      <c r="F191" s="46" t="s">
        <v>30</v>
      </c>
      <c r="G191" s="46">
        <v>35</v>
      </c>
      <c r="H191" s="46" t="s">
        <v>6645</v>
      </c>
      <c r="I191" s="46" t="s">
        <v>20</v>
      </c>
      <c r="J191" s="47">
        <v>45093</v>
      </c>
      <c r="K191" s="46" t="s">
        <v>91</v>
      </c>
      <c r="L191" s="48">
        <v>4138</v>
      </c>
      <c r="M191" s="49">
        <v>5</v>
      </c>
    </row>
    <row r="192" spans="1:13" x14ac:dyDescent="0.3">
      <c r="A192" s="46" t="s">
        <v>577</v>
      </c>
      <c r="B192" s="46" t="s">
        <v>6626</v>
      </c>
      <c r="C192" s="46" t="s">
        <v>66</v>
      </c>
      <c r="D192" s="46" t="s">
        <v>17</v>
      </c>
      <c r="E192" s="46" t="s">
        <v>169</v>
      </c>
      <c r="F192" s="46" t="s">
        <v>30</v>
      </c>
      <c r="G192" s="46">
        <v>50</v>
      </c>
      <c r="H192" s="46" t="s">
        <v>6645</v>
      </c>
      <c r="I192" s="46" t="s">
        <v>40</v>
      </c>
      <c r="J192" s="47">
        <v>45378</v>
      </c>
      <c r="K192" s="46" t="s">
        <v>91</v>
      </c>
      <c r="L192" s="48">
        <v>14790</v>
      </c>
      <c r="M192" s="49">
        <v>10</v>
      </c>
    </row>
    <row r="193" spans="1:13" x14ac:dyDescent="0.3">
      <c r="A193" s="46" t="s">
        <v>579</v>
      </c>
      <c r="B193" s="46" t="s">
        <v>6626</v>
      </c>
      <c r="C193" s="46" t="s">
        <v>61</v>
      </c>
      <c r="D193" s="46" t="s">
        <v>28</v>
      </c>
      <c r="E193" s="46" t="s">
        <v>290</v>
      </c>
      <c r="F193" s="46" t="s">
        <v>30</v>
      </c>
      <c r="G193" s="46">
        <v>92</v>
      </c>
      <c r="H193" s="46" t="s">
        <v>6643</v>
      </c>
      <c r="I193" s="46" t="s">
        <v>20</v>
      </c>
      <c r="J193" s="47">
        <v>45134</v>
      </c>
      <c r="K193" s="46" t="s">
        <v>91</v>
      </c>
      <c r="L193" s="48">
        <v>13629</v>
      </c>
      <c r="M193" s="49">
        <v>0</v>
      </c>
    </row>
    <row r="194" spans="1:13" x14ac:dyDescent="0.3">
      <c r="A194" s="46" t="s">
        <v>581</v>
      </c>
      <c r="B194" s="46" t="s">
        <v>118</v>
      </c>
      <c r="C194" s="46" t="s">
        <v>55</v>
      </c>
      <c r="D194" s="46" t="s">
        <v>47</v>
      </c>
      <c r="E194" s="46" t="s">
        <v>364</v>
      </c>
      <c r="F194" s="46" t="s">
        <v>30</v>
      </c>
      <c r="G194" s="46">
        <v>46</v>
      </c>
      <c r="H194" s="46" t="s">
        <v>6645</v>
      </c>
      <c r="I194" s="46" t="s">
        <v>40</v>
      </c>
      <c r="J194" s="47">
        <v>44959</v>
      </c>
      <c r="K194" s="46" t="s">
        <v>91</v>
      </c>
      <c r="L194" s="48">
        <v>15894</v>
      </c>
      <c r="M194" s="49">
        <v>0</v>
      </c>
    </row>
    <row r="195" spans="1:13" x14ac:dyDescent="0.3">
      <c r="A195" s="46" t="s">
        <v>583</v>
      </c>
      <c r="B195" s="46" t="s">
        <v>6627</v>
      </c>
      <c r="C195" s="46" t="s">
        <v>66</v>
      </c>
      <c r="D195" s="46" t="s">
        <v>74</v>
      </c>
      <c r="E195" s="46" t="s">
        <v>147</v>
      </c>
      <c r="F195" s="46" t="s">
        <v>69</v>
      </c>
      <c r="G195" s="46">
        <v>62</v>
      </c>
      <c r="H195" s="46" t="s">
        <v>6643</v>
      </c>
      <c r="I195" s="46" t="s">
        <v>20</v>
      </c>
      <c r="J195" s="47">
        <v>45040</v>
      </c>
      <c r="K195" s="46" t="s">
        <v>87</v>
      </c>
      <c r="L195" s="48">
        <v>37464</v>
      </c>
      <c r="M195" s="49">
        <v>3</v>
      </c>
    </row>
    <row r="196" spans="1:13" x14ac:dyDescent="0.3">
      <c r="A196" s="46" t="s">
        <v>586</v>
      </c>
      <c r="B196" s="46" t="s">
        <v>6626</v>
      </c>
      <c r="C196" s="46" t="s">
        <v>16</v>
      </c>
      <c r="D196" s="46" t="s">
        <v>67</v>
      </c>
      <c r="E196" s="46" t="s">
        <v>68</v>
      </c>
      <c r="F196" s="46" t="s">
        <v>30</v>
      </c>
      <c r="G196" s="46">
        <v>42</v>
      </c>
      <c r="H196" s="46" t="s">
        <v>6645</v>
      </c>
      <c r="I196" s="46" t="s">
        <v>40</v>
      </c>
      <c r="J196" s="47">
        <v>45112</v>
      </c>
      <c r="K196" s="46" t="s">
        <v>72</v>
      </c>
      <c r="L196" s="48">
        <v>17026</v>
      </c>
      <c r="M196" s="49">
        <v>0</v>
      </c>
    </row>
    <row r="197" spans="1:13" x14ac:dyDescent="0.3">
      <c r="A197" s="46" t="s">
        <v>589</v>
      </c>
      <c r="B197" s="46" t="s">
        <v>6629</v>
      </c>
      <c r="C197" s="46" t="s">
        <v>66</v>
      </c>
      <c r="D197" s="46" t="s">
        <v>99</v>
      </c>
      <c r="E197" s="46" t="s">
        <v>372</v>
      </c>
      <c r="F197" s="46" t="s">
        <v>30</v>
      </c>
      <c r="G197" s="46">
        <v>89</v>
      </c>
      <c r="H197" s="46" t="s">
        <v>6643</v>
      </c>
      <c r="I197" s="46" t="s">
        <v>20</v>
      </c>
      <c r="J197" s="47">
        <v>45157</v>
      </c>
      <c r="K197" s="46" t="s">
        <v>87</v>
      </c>
      <c r="L197" s="48">
        <v>18674</v>
      </c>
      <c r="M197" s="49">
        <v>0</v>
      </c>
    </row>
    <row r="198" spans="1:13" x14ac:dyDescent="0.3">
      <c r="A198" s="46" t="s">
        <v>591</v>
      </c>
      <c r="B198" s="46" t="s">
        <v>6627</v>
      </c>
      <c r="C198" s="46" t="s">
        <v>55</v>
      </c>
      <c r="D198" s="46" t="s">
        <v>93</v>
      </c>
      <c r="E198" s="46" t="s">
        <v>94</v>
      </c>
      <c r="F198" s="46" t="s">
        <v>69</v>
      </c>
      <c r="G198" s="46">
        <v>26</v>
      </c>
      <c r="H198" s="46" t="s">
        <v>6645</v>
      </c>
      <c r="I198" s="46" t="s">
        <v>20</v>
      </c>
      <c r="J198" s="47">
        <v>45219</v>
      </c>
      <c r="K198" s="46" t="s">
        <v>97</v>
      </c>
      <c r="L198" s="48">
        <v>54035</v>
      </c>
      <c r="M198" s="49">
        <v>0</v>
      </c>
    </row>
    <row r="199" spans="1:13" x14ac:dyDescent="0.3">
      <c r="A199" s="46" t="s">
        <v>594</v>
      </c>
      <c r="B199" s="46" t="s">
        <v>118</v>
      </c>
      <c r="C199" s="46" t="s">
        <v>27</v>
      </c>
      <c r="D199" s="46" t="s">
        <v>93</v>
      </c>
      <c r="E199" s="46" t="s">
        <v>144</v>
      </c>
      <c r="F199" s="46" t="s">
        <v>69</v>
      </c>
      <c r="G199" s="46">
        <v>38</v>
      </c>
      <c r="H199" s="46" t="s">
        <v>6645</v>
      </c>
      <c r="I199" s="46" t="s">
        <v>20</v>
      </c>
      <c r="J199" s="47">
        <v>45326</v>
      </c>
      <c r="K199" s="46" t="s">
        <v>87</v>
      </c>
      <c r="L199" s="48">
        <v>68708</v>
      </c>
      <c r="M199" s="49">
        <v>0</v>
      </c>
    </row>
    <row r="200" spans="1:13" x14ac:dyDescent="0.3">
      <c r="A200" s="46" t="s">
        <v>595</v>
      </c>
      <c r="B200" s="46" t="s">
        <v>6629</v>
      </c>
      <c r="C200" s="46" t="s">
        <v>66</v>
      </c>
      <c r="D200" s="46" t="s">
        <v>37</v>
      </c>
      <c r="E200" s="46" t="s">
        <v>132</v>
      </c>
      <c r="F200" s="46" t="s">
        <v>30</v>
      </c>
      <c r="G200" s="46">
        <v>92</v>
      </c>
      <c r="H200" s="46" t="s">
        <v>6643</v>
      </c>
      <c r="I200" s="46" t="s">
        <v>20</v>
      </c>
      <c r="J200" s="47">
        <v>45117</v>
      </c>
      <c r="K200" s="46" t="s">
        <v>72</v>
      </c>
      <c r="L200" s="48">
        <v>4822</v>
      </c>
      <c r="M200" s="49">
        <v>5</v>
      </c>
    </row>
    <row r="201" spans="1:13" x14ac:dyDescent="0.3">
      <c r="A201" s="46" t="s">
        <v>596</v>
      </c>
      <c r="B201" s="46" t="s">
        <v>6626</v>
      </c>
      <c r="C201" s="46" t="s">
        <v>189</v>
      </c>
      <c r="D201" s="46" t="s">
        <v>108</v>
      </c>
      <c r="E201" s="46" t="s">
        <v>109</v>
      </c>
      <c r="F201" s="46" t="s">
        <v>69</v>
      </c>
      <c r="G201" s="46">
        <v>54</v>
      </c>
      <c r="H201" s="46" t="s">
        <v>6645</v>
      </c>
      <c r="I201" s="46" t="s">
        <v>40</v>
      </c>
      <c r="J201" s="47">
        <v>45017</v>
      </c>
      <c r="K201" s="46" t="s">
        <v>87</v>
      </c>
      <c r="L201" s="48">
        <v>28532</v>
      </c>
      <c r="M201" s="49">
        <v>0</v>
      </c>
    </row>
    <row r="202" spans="1:13" x14ac:dyDescent="0.3">
      <c r="A202" s="46" t="s">
        <v>599</v>
      </c>
      <c r="B202" s="46" t="s">
        <v>79</v>
      </c>
      <c r="C202" s="46" t="s">
        <v>66</v>
      </c>
      <c r="D202" s="46" t="s">
        <v>93</v>
      </c>
      <c r="E202" s="46" t="s">
        <v>94</v>
      </c>
      <c r="F202" s="46" t="s">
        <v>69</v>
      </c>
      <c r="G202" s="46">
        <v>12</v>
      </c>
      <c r="H202" s="46" t="s">
        <v>6644</v>
      </c>
      <c r="I202" s="46" t="s">
        <v>40</v>
      </c>
      <c r="J202" s="47">
        <v>45361</v>
      </c>
      <c r="K202" s="46" t="s">
        <v>6632</v>
      </c>
      <c r="L202" s="48">
        <v>30110</v>
      </c>
      <c r="M202" s="49">
        <v>0</v>
      </c>
    </row>
    <row r="203" spans="1:13" x14ac:dyDescent="0.3">
      <c r="A203" s="46" t="s">
        <v>600</v>
      </c>
      <c r="B203" s="46" t="s">
        <v>6626</v>
      </c>
      <c r="C203" s="46" t="s">
        <v>36</v>
      </c>
      <c r="D203" s="46" t="s">
        <v>37</v>
      </c>
      <c r="E203" s="46" t="s">
        <v>185</v>
      </c>
      <c r="F203" s="46" t="s">
        <v>69</v>
      </c>
      <c r="G203" s="46">
        <v>54</v>
      </c>
      <c r="H203" s="46" t="s">
        <v>6645</v>
      </c>
      <c r="I203" s="46" t="s">
        <v>20</v>
      </c>
      <c r="J203" s="47">
        <v>44998</v>
      </c>
      <c r="K203" s="46" t="s">
        <v>72</v>
      </c>
      <c r="L203" s="48">
        <v>73339</v>
      </c>
      <c r="M203" s="49">
        <v>0</v>
      </c>
    </row>
    <row r="204" spans="1:13" x14ac:dyDescent="0.3">
      <c r="A204" s="46" t="s">
        <v>602</v>
      </c>
      <c r="B204" s="46" t="s">
        <v>6629</v>
      </c>
      <c r="C204" s="46" t="s">
        <v>66</v>
      </c>
      <c r="D204" s="46" t="s">
        <v>93</v>
      </c>
      <c r="E204" s="46" t="s">
        <v>94</v>
      </c>
      <c r="F204" s="46" t="s">
        <v>30</v>
      </c>
      <c r="G204" s="46">
        <v>72</v>
      </c>
      <c r="H204" s="46" t="s">
        <v>6643</v>
      </c>
      <c r="I204" s="46" t="s">
        <v>40</v>
      </c>
      <c r="J204" s="47">
        <v>45188</v>
      </c>
      <c r="K204" s="46" t="s">
        <v>72</v>
      </c>
      <c r="L204" s="48">
        <v>15931</v>
      </c>
      <c r="M204" s="49">
        <v>5</v>
      </c>
    </row>
    <row r="205" spans="1:13" x14ac:dyDescent="0.3">
      <c r="A205" s="46" t="s">
        <v>604</v>
      </c>
      <c r="B205" s="46" t="s">
        <v>6627</v>
      </c>
      <c r="C205" s="46" t="s">
        <v>16</v>
      </c>
      <c r="D205" s="46" t="s">
        <v>164</v>
      </c>
      <c r="E205" s="46" t="s">
        <v>219</v>
      </c>
      <c r="F205" s="46" t="s">
        <v>30</v>
      </c>
      <c r="G205" s="46">
        <v>85</v>
      </c>
      <c r="H205" s="46" t="s">
        <v>6643</v>
      </c>
      <c r="I205" s="46" t="s">
        <v>40</v>
      </c>
      <c r="J205" s="47">
        <v>45290</v>
      </c>
      <c r="K205" s="46" t="s">
        <v>72</v>
      </c>
      <c r="L205" s="48">
        <v>6866</v>
      </c>
      <c r="M205" s="49">
        <v>10</v>
      </c>
    </row>
    <row r="206" spans="1:13" x14ac:dyDescent="0.3">
      <c r="A206" s="46" t="s">
        <v>606</v>
      </c>
      <c r="B206" s="46" t="s">
        <v>79</v>
      </c>
      <c r="C206" s="46" t="s">
        <v>27</v>
      </c>
      <c r="D206" s="46" t="s">
        <v>17</v>
      </c>
      <c r="E206" s="46" t="s">
        <v>213</v>
      </c>
      <c r="F206" s="46" t="s">
        <v>30</v>
      </c>
      <c r="G206" s="46">
        <v>38</v>
      </c>
      <c r="H206" s="46" t="s">
        <v>6645</v>
      </c>
      <c r="I206" s="46" t="s">
        <v>40</v>
      </c>
      <c r="J206" s="47">
        <v>45290</v>
      </c>
      <c r="K206" s="46" t="s">
        <v>87</v>
      </c>
      <c r="L206" s="48">
        <v>9860</v>
      </c>
      <c r="M206" s="49">
        <v>0</v>
      </c>
    </row>
    <row r="207" spans="1:13" x14ac:dyDescent="0.3">
      <c r="A207" s="46" t="s">
        <v>607</v>
      </c>
      <c r="B207" s="46" t="s">
        <v>118</v>
      </c>
      <c r="C207" s="46" t="s">
        <v>27</v>
      </c>
      <c r="D207" s="46" t="s">
        <v>164</v>
      </c>
      <c r="E207" s="46" t="s">
        <v>219</v>
      </c>
      <c r="F207" s="46" t="s">
        <v>69</v>
      </c>
      <c r="G207" s="46">
        <v>64</v>
      </c>
      <c r="H207" s="46" t="s">
        <v>6643</v>
      </c>
      <c r="I207" s="46" t="s">
        <v>40</v>
      </c>
      <c r="J207" s="47">
        <v>44934</v>
      </c>
      <c r="K207" s="46" t="s">
        <v>97</v>
      </c>
      <c r="L207" s="48">
        <v>41512</v>
      </c>
      <c r="M207" s="49">
        <v>0</v>
      </c>
    </row>
    <row r="208" spans="1:13" x14ac:dyDescent="0.3">
      <c r="A208" s="46" t="s">
        <v>609</v>
      </c>
      <c r="B208" s="46" t="s">
        <v>6626</v>
      </c>
      <c r="C208" s="46" t="s">
        <v>36</v>
      </c>
      <c r="D208" s="46" t="s">
        <v>93</v>
      </c>
      <c r="E208" s="46" t="s">
        <v>207</v>
      </c>
      <c r="F208" s="46" t="s">
        <v>30</v>
      </c>
      <c r="G208" s="46">
        <v>7</v>
      </c>
      <c r="H208" s="46" t="s">
        <v>6644</v>
      </c>
      <c r="I208" s="46" t="s">
        <v>40</v>
      </c>
      <c r="J208" s="47">
        <v>45041</v>
      </c>
      <c r="K208" s="46" t="s">
        <v>87</v>
      </c>
      <c r="L208" s="48">
        <v>11440</v>
      </c>
      <c r="M208" s="49">
        <v>0</v>
      </c>
    </row>
    <row r="209" spans="1:13" x14ac:dyDescent="0.3">
      <c r="A209" s="46" t="s">
        <v>610</v>
      </c>
      <c r="B209" s="46" t="s">
        <v>6628</v>
      </c>
      <c r="C209" s="46" t="s">
        <v>36</v>
      </c>
      <c r="D209" s="46" t="s">
        <v>47</v>
      </c>
      <c r="E209" s="46" t="s">
        <v>48</v>
      </c>
      <c r="F209" s="46" t="s">
        <v>30</v>
      </c>
      <c r="G209" s="46">
        <v>34</v>
      </c>
      <c r="H209" s="46" t="s">
        <v>6645</v>
      </c>
      <c r="I209" s="46" t="s">
        <v>20</v>
      </c>
      <c r="J209" s="47">
        <v>45207</v>
      </c>
      <c r="K209" s="46" t="s">
        <v>104</v>
      </c>
      <c r="L209" s="48">
        <v>9529</v>
      </c>
      <c r="M209" s="49">
        <v>5</v>
      </c>
    </row>
    <row r="210" spans="1:13" x14ac:dyDescent="0.3">
      <c r="A210" s="46" t="s">
        <v>613</v>
      </c>
      <c r="B210" s="46" t="s">
        <v>6628</v>
      </c>
      <c r="C210" s="46" t="s">
        <v>36</v>
      </c>
      <c r="D210" s="46" t="s">
        <v>93</v>
      </c>
      <c r="E210" s="46" t="s">
        <v>207</v>
      </c>
      <c r="F210" s="46" t="s">
        <v>30</v>
      </c>
      <c r="G210" s="46">
        <v>56</v>
      </c>
      <c r="H210" s="46" t="s">
        <v>6645</v>
      </c>
      <c r="I210" s="46" t="s">
        <v>20</v>
      </c>
      <c r="J210" s="47">
        <v>45274</v>
      </c>
      <c r="K210" s="46" t="s">
        <v>72</v>
      </c>
      <c r="L210" s="48">
        <v>14537</v>
      </c>
      <c r="M210" s="49">
        <v>10</v>
      </c>
    </row>
    <row r="211" spans="1:13" x14ac:dyDescent="0.3">
      <c r="A211" s="46" t="s">
        <v>616</v>
      </c>
      <c r="B211" s="46" t="s">
        <v>6628</v>
      </c>
      <c r="C211" s="46" t="s">
        <v>189</v>
      </c>
      <c r="D211" s="46" t="s">
        <v>99</v>
      </c>
      <c r="E211" s="46" t="s">
        <v>372</v>
      </c>
      <c r="F211" s="46" t="s">
        <v>30</v>
      </c>
      <c r="G211" s="46">
        <v>77</v>
      </c>
      <c r="H211" s="46" t="s">
        <v>6643</v>
      </c>
      <c r="I211" s="46" t="s">
        <v>20</v>
      </c>
      <c r="J211" s="47">
        <v>45203</v>
      </c>
      <c r="K211" s="46" t="s">
        <v>97</v>
      </c>
      <c r="L211" s="48">
        <v>5307</v>
      </c>
      <c r="M211" s="49">
        <v>10</v>
      </c>
    </row>
    <row r="212" spans="1:13" x14ac:dyDescent="0.3">
      <c r="A212" s="46" t="s">
        <v>619</v>
      </c>
      <c r="B212" s="46" t="s">
        <v>6629</v>
      </c>
      <c r="C212" s="46" t="s">
        <v>27</v>
      </c>
      <c r="D212" s="46" t="s">
        <v>164</v>
      </c>
      <c r="E212" s="46" t="s">
        <v>233</v>
      </c>
      <c r="F212" s="46" t="s">
        <v>30</v>
      </c>
      <c r="G212" s="46">
        <v>7</v>
      </c>
      <c r="H212" s="46" t="s">
        <v>6644</v>
      </c>
      <c r="I212" s="46" t="s">
        <v>40</v>
      </c>
      <c r="J212" s="47">
        <v>45097</v>
      </c>
      <c r="K212" s="46" t="s">
        <v>97</v>
      </c>
      <c r="L212" s="48">
        <v>14476</v>
      </c>
      <c r="M212" s="49">
        <v>0</v>
      </c>
    </row>
    <row r="213" spans="1:13" x14ac:dyDescent="0.3">
      <c r="A213" s="46" t="s">
        <v>622</v>
      </c>
      <c r="B213" s="46" t="s">
        <v>79</v>
      </c>
      <c r="C213" s="46" t="s">
        <v>80</v>
      </c>
      <c r="D213" s="46" t="s">
        <v>108</v>
      </c>
      <c r="E213" s="46" t="s">
        <v>124</v>
      </c>
      <c r="F213" s="46" t="s">
        <v>69</v>
      </c>
      <c r="G213" s="46">
        <v>5</v>
      </c>
      <c r="H213" s="46" t="s">
        <v>6644</v>
      </c>
      <c r="I213" s="46" t="s">
        <v>20</v>
      </c>
      <c r="J213" s="47">
        <v>44947</v>
      </c>
      <c r="K213" s="46" t="s">
        <v>97</v>
      </c>
      <c r="L213" s="48">
        <v>78558</v>
      </c>
      <c r="M213" s="49">
        <v>10</v>
      </c>
    </row>
    <row r="214" spans="1:13" x14ac:dyDescent="0.3">
      <c r="A214" s="46" t="s">
        <v>623</v>
      </c>
      <c r="B214" s="46" t="s">
        <v>6626</v>
      </c>
      <c r="C214" s="46" t="s">
        <v>16</v>
      </c>
      <c r="D214" s="46" t="s">
        <v>37</v>
      </c>
      <c r="E214" s="46" t="s">
        <v>132</v>
      </c>
      <c r="F214" s="46" t="s">
        <v>30</v>
      </c>
      <c r="G214" s="46">
        <v>83</v>
      </c>
      <c r="H214" s="46" t="s">
        <v>6643</v>
      </c>
      <c r="I214" s="46" t="s">
        <v>40</v>
      </c>
      <c r="J214" s="47">
        <v>45082</v>
      </c>
      <c r="K214" s="46" t="s">
        <v>72</v>
      </c>
      <c r="L214" s="48">
        <v>7489</v>
      </c>
      <c r="M214" s="49">
        <v>5</v>
      </c>
    </row>
    <row r="215" spans="1:13" x14ac:dyDescent="0.3">
      <c r="A215" s="46" t="s">
        <v>625</v>
      </c>
      <c r="B215" s="46" t="s">
        <v>6628</v>
      </c>
      <c r="C215" s="46" t="s">
        <v>80</v>
      </c>
      <c r="D215" s="46" t="s">
        <v>28</v>
      </c>
      <c r="E215" s="46" t="s">
        <v>290</v>
      </c>
      <c r="F215" s="46" t="s">
        <v>30</v>
      </c>
      <c r="G215" s="46">
        <v>47</v>
      </c>
      <c r="H215" s="46" t="s">
        <v>6645</v>
      </c>
      <c r="I215" s="46" t="s">
        <v>40</v>
      </c>
      <c r="J215" s="47">
        <v>45072</v>
      </c>
      <c r="K215" s="46" t="s">
        <v>104</v>
      </c>
      <c r="L215" s="48">
        <v>16229</v>
      </c>
      <c r="M215" s="49">
        <v>0</v>
      </c>
    </row>
    <row r="216" spans="1:13" x14ac:dyDescent="0.3">
      <c r="A216" s="46" t="s">
        <v>627</v>
      </c>
      <c r="B216" s="46" t="s">
        <v>118</v>
      </c>
      <c r="C216" s="46" t="s">
        <v>36</v>
      </c>
      <c r="D216" s="46" t="s">
        <v>28</v>
      </c>
      <c r="E216" s="46" t="s">
        <v>29</v>
      </c>
      <c r="F216" s="46" t="s">
        <v>69</v>
      </c>
      <c r="G216" s="46">
        <v>4</v>
      </c>
      <c r="H216" s="46" t="s">
        <v>6644</v>
      </c>
      <c r="I216" s="46" t="s">
        <v>40</v>
      </c>
      <c r="J216" s="47">
        <v>45128</v>
      </c>
      <c r="K216" s="46" t="s">
        <v>72</v>
      </c>
      <c r="L216" s="48">
        <v>79119</v>
      </c>
      <c r="M216" s="49">
        <v>10</v>
      </c>
    </row>
    <row r="217" spans="1:13" x14ac:dyDescent="0.3">
      <c r="A217" s="46" t="s">
        <v>629</v>
      </c>
      <c r="B217" s="46" t="s">
        <v>6629</v>
      </c>
      <c r="C217" s="46" t="s">
        <v>189</v>
      </c>
      <c r="D217" s="46" t="s">
        <v>28</v>
      </c>
      <c r="E217" s="46" t="s">
        <v>29</v>
      </c>
      <c r="F217" s="46" t="s">
        <v>30</v>
      </c>
      <c r="G217" s="46">
        <v>28</v>
      </c>
      <c r="H217" s="46" t="s">
        <v>6645</v>
      </c>
      <c r="I217" s="46" t="s">
        <v>20</v>
      </c>
      <c r="J217" s="47">
        <v>45322</v>
      </c>
      <c r="K217" s="46" t="s">
        <v>97</v>
      </c>
      <c r="L217" s="48">
        <v>7852</v>
      </c>
      <c r="M217" s="49">
        <v>10</v>
      </c>
    </row>
    <row r="218" spans="1:13" x14ac:dyDescent="0.3">
      <c r="A218" s="46" t="s">
        <v>630</v>
      </c>
      <c r="B218" s="46" t="s">
        <v>118</v>
      </c>
      <c r="C218" s="46" t="s">
        <v>61</v>
      </c>
      <c r="D218" s="46" t="s">
        <v>164</v>
      </c>
      <c r="E218" s="46" t="s">
        <v>282</v>
      </c>
      <c r="F218" s="46" t="s">
        <v>69</v>
      </c>
      <c r="G218" s="46">
        <v>87</v>
      </c>
      <c r="H218" s="46" t="s">
        <v>6643</v>
      </c>
      <c r="I218" s="46" t="s">
        <v>40</v>
      </c>
      <c r="J218" s="47">
        <v>45004</v>
      </c>
      <c r="K218" s="46" t="s">
        <v>104</v>
      </c>
      <c r="L218" s="48">
        <v>58617</v>
      </c>
      <c r="M218" s="49">
        <v>10</v>
      </c>
    </row>
    <row r="219" spans="1:13" x14ac:dyDescent="0.3">
      <c r="A219" s="46" t="s">
        <v>632</v>
      </c>
      <c r="B219" s="46" t="s">
        <v>118</v>
      </c>
      <c r="C219" s="46" t="s">
        <v>189</v>
      </c>
      <c r="D219" s="46" t="s">
        <v>99</v>
      </c>
      <c r="E219" s="46" t="s">
        <v>100</v>
      </c>
      <c r="F219" s="46" t="s">
        <v>69</v>
      </c>
      <c r="G219" s="46">
        <v>9</v>
      </c>
      <c r="H219" s="46" t="s">
        <v>6644</v>
      </c>
      <c r="I219" s="46" t="s">
        <v>40</v>
      </c>
      <c r="J219" s="47">
        <v>45370</v>
      </c>
      <c r="K219" s="46" t="s">
        <v>72</v>
      </c>
      <c r="L219" s="48">
        <v>26596</v>
      </c>
      <c r="M219" s="49">
        <v>0</v>
      </c>
    </row>
    <row r="220" spans="1:13" x14ac:dyDescent="0.3">
      <c r="A220" s="46" t="s">
        <v>634</v>
      </c>
      <c r="B220" s="46" t="s">
        <v>118</v>
      </c>
      <c r="C220" s="46" t="s">
        <v>80</v>
      </c>
      <c r="D220" s="46" t="s">
        <v>67</v>
      </c>
      <c r="E220" s="46" t="s">
        <v>85</v>
      </c>
      <c r="F220" s="46" t="s">
        <v>69</v>
      </c>
      <c r="G220" s="46">
        <v>60</v>
      </c>
      <c r="H220" s="46" t="s">
        <v>6643</v>
      </c>
      <c r="I220" s="46" t="s">
        <v>40</v>
      </c>
      <c r="J220" s="47">
        <v>45229</v>
      </c>
      <c r="K220" s="46" t="s">
        <v>97</v>
      </c>
      <c r="L220" s="48">
        <v>41590</v>
      </c>
      <c r="M220" s="49">
        <v>0</v>
      </c>
    </row>
    <row r="221" spans="1:13" x14ac:dyDescent="0.3">
      <c r="A221" s="46" t="s">
        <v>637</v>
      </c>
      <c r="B221" s="46" t="s">
        <v>6626</v>
      </c>
      <c r="C221" s="46" t="s">
        <v>27</v>
      </c>
      <c r="D221" s="46" t="s">
        <v>108</v>
      </c>
      <c r="E221" s="46" t="s">
        <v>272</v>
      </c>
      <c r="F221" s="46" t="s">
        <v>69</v>
      </c>
      <c r="G221" s="46">
        <v>26</v>
      </c>
      <c r="H221" s="46" t="s">
        <v>6645</v>
      </c>
      <c r="I221" s="46" t="s">
        <v>20</v>
      </c>
      <c r="J221" s="47">
        <v>45161</v>
      </c>
      <c r="K221" s="46" t="s">
        <v>104</v>
      </c>
      <c r="L221" s="48">
        <v>38263</v>
      </c>
      <c r="M221" s="49">
        <v>25</v>
      </c>
    </row>
    <row r="222" spans="1:13" x14ac:dyDescent="0.3">
      <c r="A222" s="46" t="s">
        <v>639</v>
      </c>
      <c r="B222" s="46" t="s">
        <v>6626</v>
      </c>
      <c r="C222" s="46" t="s">
        <v>55</v>
      </c>
      <c r="D222" s="46" t="s">
        <v>17</v>
      </c>
      <c r="E222" s="46" t="s">
        <v>169</v>
      </c>
      <c r="F222" s="46" t="s">
        <v>69</v>
      </c>
      <c r="G222" s="46">
        <v>44</v>
      </c>
      <c r="H222" s="46" t="s">
        <v>6645</v>
      </c>
      <c r="I222" s="46" t="s">
        <v>40</v>
      </c>
      <c r="J222" s="47">
        <v>45231</v>
      </c>
      <c r="K222" s="46" t="s">
        <v>6632</v>
      </c>
      <c r="L222" s="48">
        <v>75914</v>
      </c>
      <c r="M222" s="49">
        <v>0</v>
      </c>
    </row>
    <row r="223" spans="1:13" x14ac:dyDescent="0.3">
      <c r="A223" s="46" t="s">
        <v>640</v>
      </c>
      <c r="B223" s="46" t="s">
        <v>118</v>
      </c>
      <c r="C223" s="46" t="s">
        <v>61</v>
      </c>
      <c r="D223" s="46" t="s">
        <v>17</v>
      </c>
      <c r="E223" s="46" t="s">
        <v>213</v>
      </c>
      <c r="F223" s="46" t="s">
        <v>30</v>
      </c>
      <c r="G223" s="46">
        <v>11</v>
      </c>
      <c r="H223" s="46" t="s">
        <v>6644</v>
      </c>
      <c r="I223" s="46" t="s">
        <v>20</v>
      </c>
      <c r="J223" s="47">
        <v>45128</v>
      </c>
      <c r="K223" s="46" t="s">
        <v>72</v>
      </c>
      <c r="L223" s="48">
        <v>18267</v>
      </c>
      <c r="M223" s="49">
        <v>0</v>
      </c>
    </row>
    <row r="224" spans="1:13" x14ac:dyDescent="0.3">
      <c r="A224" s="46" t="s">
        <v>641</v>
      </c>
      <c r="B224" s="46" t="s">
        <v>6626</v>
      </c>
      <c r="C224" s="46" t="s">
        <v>36</v>
      </c>
      <c r="D224" s="46" t="s">
        <v>108</v>
      </c>
      <c r="E224" s="46" t="s">
        <v>308</v>
      </c>
      <c r="F224" s="46" t="s">
        <v>30</v>
      </c>
      <c r="G224" s="46">
        <v>50</v>
      </c>
      <c r="H224" s="46" t="s">
        <v>6645</v>
      </c>
      <c r="I224" s="46" t="s">
        <v>20</v>
      </c>
      <c r="J224" s="47">
        <v>45097</v>
      </c>
      <c r="K224" s="46" t="s">
        <v>104</v>
      </c>
      <c r="L224" s="48">
        <v>6514</v>
      </c>
      <c r="M224" s="49">
        <v>18</v>
      </c>
    </row>
    <row r="225" spans="1:13" x14ac:dyDescent="0.3">
      <c r="A225" s="46" t="s">
        <v>643</v>
      </c>
      <c r="B225" s="46" t="s">
        <v>6629</v>
      </c>
      <c r="C225" s="46" t="s">
        <v>36</v>
      </c>
      <c r="D225" s="46" t="s">
        <v>67</v>
      </c>
      <c r="E225" s="46" t="s">
        <v>68</v>
      </c>
      <c r="F225" s="46" t="s">
        <v>6632</v>
      </c>
      <c r="G225" s="46">
        <v>23</v>
      </c>
      <c r="H225" s="46" t="s">
        <v>6645</v>
      </c>
      <c r="I225" s="46" t="s">
        <v>20</v>
      </c>
      <c r="J225" s="47">
        <v>45052</v>
      </c>
      <c r="K225" s="46" t="s">
        <v>97</v>
      </c>
      <c r="L225" s="48">
        <v>17895</v>
      </c>
      <c r="M225" s="49">
        <v>0</v>
      </c>
    </row>
    <row r="226" spans="1:13" x14ac:dyDescent="0.3">
      <c r="A226" s="46" t="s">
        <v>644</v>
      </c>
      <c r="B226" s="46" t="s">
        <v>6629</v>
      </c>
      <c r="C226" s="46" t="s">
        <v>61</v>
      </c>
      <c r="D226" s="46" t="s">
        <v>67</v>
      </c>
      <c r="E226" s="46" t="s">
        <v>85</v>
      </c>
      <c r="F226" s="46" t="s">
        <v>30</v>
      </c>
      <c r="G226" s="46">
        <v>57</v>
      </c>
      <c r="H226" s="46" t="s">
        <v>6645</v>
      </c>
      <c r="I226" s="46" t="s">
        <v>20</v>
      </c>
      <c r="J226" s="47">
        <v>45078</v>
      </c>
      <c r="K226" s="46" t="s">
        <v>97</v>
      </c>
      <c r="L226" s="48">
        <v>14856</v>
      </c>
      <c r="M226" s="49">
        <v>0</v>
      </c>
    </row>
    <row r="227" spans="1:13" x14ac:dyDescent="0.3">
      <c r="A227" s="46" t="s">
        <v>646</v>
      </c>
      <c r="B227" s="46" t="s">
        <v>6628</v>
      </c>
      <c r="C227" s="46" t="s">
        <v>189</v>
      </c>
      <c r="D227" s="46" t="s">
        <v>164</v>
      </c>
      <c r="E227" s="46" t="s">
        <v>282</v>
      </c>
      <c r="F227" s="46" t="s">
        <v>30</v>
      </c>
      <c r="G227" s="46">
        <v>78</v>
      </c>
      <c r="H227" s="46" t="s">
        <v>6643</v>
      </c>
      <c r="I227" s="46" t="s">
        <v>40</v>
      </c>
      <c r="J227" s="47">
        <v>45161</v>
      </c>
      <c r="K227" s="46" t="s">
        <v>72</v>
      </c>
      <c r="L227" s="48">
        <v>4026</v>
      </c>
      <c r="M227" s="49">
        <v>3</v>
      </c>
    </row>
    <row r="228" spans="1:13" x14ac:dyDescent="0.3">
      <c r="A228" s="46" t="s">
        <v>647</v>
      </c>
      <c r="B228" s="46" t="s">
        <v>6629</v>
      </c>
      <c r="C228" s="46" t="s">
        <v>189</v>
      </c>
      <c r="D228" s="46" t="s">
        <v>17</v>
      </c>
      <c r="E228" s="46" t="s">
        <v>135</v>
      </c>
      <c r="F228" s="46" t="s">
        <v>30</v>
      </c>
      <c r="G228" s="46">
        <v>81</v>
      </c>
      <c r="H228" s="46" t="s">
        <v>6643</v>
      </c>
      <c r="I228" s="46" t="s">
        <v>40</v>
      </c>
      <c r="J228" s="47">
        <v>45076</v>
      </c>
      <c r="K228" s="46" t="s">
        <v>91</v>
      </c>
      <c r="L228" s="48">
        <v>3653</v>
      </c>
      <c r="M228" s="49">
        <v>5</v>
      </c>
    </row>
    <row r="229" spans="1:13" x14ac:dyDescent="0.3">
      <c r="A229" s="46" t="s">
        <v>650</v>
      </c>
      <c r="B229" s="46" t="s">
        <v>6628</v>
      </c>
      <c r="C229" s="46" t="s">
        <v>66</v>
      </c>
      <c r="D229" s="46" t="s">
        <v>37</v>
      </c>
      <c r="E229" s="46" t="s">
        <v>132</v>
      </c>
      <c r="F229" s="46" t="s">
        <v>69</v>
      </c>
      <c r="G229" s="46">
        <v>69</v>
      </c>
      <c r="H229" s="46" t="s">
        <v>6643</v>
      </c>
      <c r="I229" s="46" t="s">
        <v>20</v>
      </c>
      <c r="J229" s="47">
        <v>45384</v>
      </c>
      <c r="K229" s="46" t="s">
        <v>72</v>
      </c>
      <c r="L229" s="48">
        <v>37184</v>
      </c>
      <c r="M229" s="49">
        <v>3</v>
      </c>
    </row>
    <row r="230" spans="1:13" x14ac:dyDescent="0.3">
      <c r="A230" s="46" t="s">
        <v>653</v>
      </c>
      <c r="B230" s="46" t="s">
        <v>79</v>
      </c>
      <c r="C230" s="46" t="s">
        <v>66</v>
      </c>
      <c r="D230" s="46" t="s">
        <v>17</v>
      </c>
      <c r="E230" s="46" t="s">
        <v>213</v>
      </c>
      <c r="F230" s="46" t="s">
        <v>69</v>
      </c>
      <c r="G230" s="46">
        <v>61</v>
      </c>
      <c r="H230" s="46" t="s">
        <v>6643</v>
      </c>
      <c r="I230" s="46" t="s">
        <v>40</v>
      </c>
      <c r="J230" s="47">
        <v>45244</v>
      </c>
      <c r="K230" s="46" t="s">
        <v>97</v>
      </c>
      <c r="L230" s="48">
        <v>58957</v>
      </c>
      <c r="M230" s="49">
        <v>5</v>
      </c>
    </row>
    <row r="231" spans="1:13" x14ac:dyDescent="0.3">
      <c r="A231" s="46" t="s">
        <v>655</v>
      </c>
      <c r="B231" s="46" t="s">
        <v>118</v>
      </c>
      <c r="C231" s="46" t="s">
        <v>66</v>
      </c>
      <c r="D231" s="46" t="s">
        <v>108</v>
      </c>
      <c r="E231" s="46" t="s">
        <v>308</v>
      </c>
      <c r="F231" s="46" t="s">
        <v>69</v>
      </c>
      <c r="G231" s="46">
        <v>53</v>
      </c>
      <c r="H231" s="46" t="s">
        <v>6645</v>
      </c>
      <c r="I231" s="46" t="s">
        <v>40</v>
      </c>
      <c r="J231" s="47">
        <v>45008</v>
      </c>
      <c r="K231" s="46" t="s">
        <v>91</v>
      </c>
      <c r="L231" s="48">
        <v>55130</v>
      </c>
      <c r="M231" s="49">
        <v>10</v>
      </c>
    </row>
    <row r="232" spans="1:13" x14ac:dyDescent="0.3">
      <c r="A232" s="46" t="s">
        <v>658</v>
      </c>
      <c r="B232" s="46" t="s">
        <v>79</v>
      </c>
      <c r="C232" s="46" t="s">
        <v>66</v>
      </c>
      <c r="D232" s="46" t="s">
        <v>17</v>
      </c>
      <c r="E232" s="46" t="s">
        <v>213</v>
      </c>
      <c r="F232" s="46" t="s">
        <v>30</v>
      </c>
      <c r="G232" s="46">
        <v>81</v>
      </c>
      <c r="H232" s="46" t="s">
        <v>6643</v>
      </c>
      <c r="I232" s="46" t="s">
        <v>20</v>
      </c>
      <c r="J232" s="47">
        <v>45059</v>
      </c>
      <c r="K232" s="46" t="s">
        <v>97</v>
      </c>
      <c r="L232" s="48">
        <v>17734</v>
      </c>
      <c r="M232" s="49">
        <v>0</v>
      </c>
    </row>
    <row r="233" spans="1:13" x14ac:dyDescent="0.3">
      <c r="A233" s="46" t="s">
        <v>659</v>
      </c>
      <c r="B233" s="46" t="s">
        <v>6628</v>
      </c>
      <c r="C233" s="46" t="s">
        <v>36</v>
      </c>
      <c r="D233" s="46" t="s">
        <v>108</v>
      </c>
      <c r="E233" s="46" t="s">
        <v>124</v>
      </c>
      <c r="F233" s="46" t="s">
        <v>69</v>
      </c>
      <c r="G233" s="46">
        <v>92</v>
      </c>
      <c r="H233" s="46" t="s">
        <v>6643</v>
      </c>
      <c r="I233" s="46" t="s">
        <v>20</v>
      </c>
      <c r="J233" s="47">
        <v>45403</v>
      </c>
      <c r="K233" s="46" t="s">
        <v>97</v>
      </c>
      <c r="L233" s="48">
        <v>60232</v>
      </c>
      <c r="M233" s="49">
        <v>0</v>
      </c>
    </row>
    <row r="234" spans="1:13" x14ac:dyDescent="0.3">
      <c r="A234" s="46" t="s">
        <v>662</v>
      </c>
      <c r="B234" s="46" t="s">
        <v>6626</v>
      </c>
      <c r="C234" s="46" t="s">
        <v>55</v>
      </c>
      <c r="D234" s="46" t="s">
        <v>17</v>
      </c>
      <c r="E234" s="46" t="s">
        <v>169</v>
      </c>
      <c r="F234" s="46" t="s">
        <v>30</v>
      </c>
      <c r="G234" s="46">
        <v>92</v>
      </c>
      <c r="H234" s="46" t="s">
        <v>6643</v>
      </c>
      <c r="I234" s="46" t="s">
        <v>40</v>
      </c>
      <c r="J234" s="47">
        <v>45199</v>
      </c>
      <c r="K234" s="46" t="s">
        <v>72</v>
      </c>
      <c r="L234" s="48">
        <v>16554</v>
      </c>
      <c r="M234" s="49">
        <v>0</v>
      </c>
    </row>
    <row r="235" spans="1:13" x14ac:dyDescent="0.3">
      <c r="A235" s="46" t="s">
        <v>664</v>
      </c>
      <c r="B235" s="46" t="s">
        <v>79</v>
      </c>
      <c r="C235" s="46" t="s">
        <v>36</v>
      </c>
      <c r="D235" s="46" t="s">
        <v>47</v>
      </c>
      <c r="E235" s="46" t="s">
        <v>364</v>
      </c>
      <c r="F235" s="46" t="s">
        <v>30</v>
      </c>
      <c r="G235" s="46">
        <v>87</v>
      </c>
      <c r="H235" s="46" t="s">
        <v>6643</v>
      </c>
      <c r="I235" s="46" t="s">
        <v>40</v>
      </c>
      <c r="J235" s="47">
        <v>45004</v>
      </c>
      <c r="K235" s="46" t="s">
        <v>87</v>
      </c>
      <c r="L235" s="48">
        <v>10280</v>
      </c>
      <c r="M235" s="49">
        <v>0</v>
      </c>
    </row>
    <row r="236" spans="1:13" x14ac:dyDescent="0.3">
      <c r="A236" s="46" t="s">
        <v>665</v>
      </c>
      <c r="B236" s="46" t="s">
        <v>6626</v>
      </c>
      <c r="C236" s="46" t="s">
        <v>61</v>
      </c>
      <c r="D236" s="46" t="s">
        <v>74</v>
      </c>
      <c r="E236" s="46" t="s">
        <v>172</v>
      </c>
      <c r="F236" s="46" t="s">
        <v>30</v>
      </c>
      <c r="G236" s="46">
        <v>79</v>
      </c>
      <c r="H236" s="46" t="s">
        <v>6643</v>
      </c>
      <c r="I236" s="46" t="s">
        <v>20</v>
      </c>
      <c r="J236" s="47">
        <v>45291</v>
      </c>
      <c r="K236" s="46" t="s">
        <v>87</v>
      </c>
      <c r="L236" s="48">
        <v>5205</v>
      </c>
      <c r="M236" s="49">
        <v>0</v>
      </c>
    </row>
    <row r="237" spans="1:13" x14ac:dyDescent="0.3">
      <c r="A237" s="46" t="s">
        <v>667</v>
      </c>
      <c r="B237" s="46" t="s">
        <v>6629</v>
      </c>
      <c r="C237" s="46" t="s">
        <v>27</v>
      </c>
      <c r="D237" s="46" t="s">
        <v>37</v>
      </c>
      <c r="E237" s="46" t="s">
        <v>38</v>
      </c>
      <c r="F237" s="46" t="s">
        <v>30</v>
      </c>
      <c r="G237" s="46">
        <v>28</v>
      </c>
      <c r="H237" s="46" t="s">
        <v>6645</v>
      </c>
      <c r="I237" s="46" t="s">
        <v>20</v>
      </c>
      <c r="J237" s="47">
        <v>45161</v>
      </c>
      <c r="K237" s="46" t="s">
        <v>104</v>
      </c>
      <c r="L237" s="48">
        <v>7169</v>
      </c>
      <c r="M237" s="49">
        <v>5</v>
      </c>
    </row>
    <row r="238" spans="1:13" x14ac:dyDescent="0.3">
      <c r="A238" s="46" t="s">
        <v>669</v>
      </c>
      <c r="B238" s="46" t="s">
        <v>118</v>
      </c>
      <c r="C238" s="46" t="s">
        <v>36</v>
      </c>
      <c r="D238" s="46" t="s">
        <v>74</v>
      </c>
      <c r="E238" s="46" t="s">
        <v>192</v>
      </c>
      <c r="F238" s="46" t="s">
        <v>69</v>
      </c>
      <c r="G238" s="46">
        <v>28</v>
      </c>
      <c r="H238" s="46" t="s">
        <v>6645</v>
      </c>
      <c r="I238" s="46" t="s">
        <v>20</v>
      </c>
      <c r="J238" s="47">
        <v>45333</v>
      </c>
      <c r="K238" s="46" t="s">
        <v>91</v>
      </c>
      <c r="L238" s="48">
        <v>47391</v>
      </c>
      <c r="M238" s="49">
        <v>0</v>
      </c>
    </row>
    <row r="239" spans="1:13" x14ac:dyDescent="0.3">
      <c r="A239" s="46" t="s">
        <v>672</v>
      </c>
      <c r="B239" s="46" t="s">
        <v>6629</v>
      </c>
      <c r="C239" s="46" t="s">
        <v>66</v>
      </c>
      <c r="D239" s="46" t="s">
        <v>17</v>
      </c>
      <c r="E239" s="46" t="s">
        <v>213</v>
      </c>
      <c r="F239" s="46" t="s">
        <v>30</v>
      </c>
      <c r="G239" s="46">
        <v>75</v>
      </c>
      <c r="H239" s="46" t="s">
        <v>6643</v>
      </c>
      <c r="I239" s="46" t="s">
        <v>20</v>
      </c>
      <c r="J239" s="47">
        <v>45131</v>
      </c>
      <c r="K239" s="46" t="s">
        <v>72</v>
      </c>
      <c r="L239" s="48">
        <v>15789</v>
      </c>
      <c r="M239" s="49">
        <v>0</v>
      </c>
    </row>
    <row r="240" spans="1:13" x14ac:dyDescent="0.3">
      <c r="A240" s="46" t="s">
        <v>674</v>
      </c>
      <c r="B240" s="46" t="s">
        <v>6628</v>
      </c>
      <c r="C240" s="46" t="s">
        <v>27</v>
      </c>
      <c r="D240" s="46" t="s">
        <v>99</v>
      </c>
      <c r="E240" s="46" t="s">
        <v>256</v>
      </c>
      <c r="F240" s="46" t="s">
        <v>30</v>
      </c>
      <c r="G240" s="46">
        <v>25</v>
      </c>
      <c r="H240" s="46" t="s">
        <v>6645</v>
      </c>
      <c r="I240" s="46" t="s">
        <v>20</v>
      </c>
      <c r="J240" s="47">
        <v>45242</v>
      </c>
      <c r="K240" s="46" t="s">
        <v>97</v>
      </c>
      <c r="L240" s="48">
        <v>9223</v>
      </c>
      <c r="M240" s="49">
        <v>0</v>
      </c>
    </row>
    <row r="241" spans="1:13" x14ac:dyDescent="0.3">
      <c r="A241" s="46" t="s">
        <v>677</v>
      </c>
      <c r="B241" s="46" t="s">
        <v>6626</v>
      </c>
      <c r="C241" s="46" t="s">
        <v>36</v>
      </c>
      <c r="D241" s="46" t="s">
        <v>74</v>
      </c>
      <c r="E241" s="46" t="s">
        <v>172</v>
      </c>
      <c r="F241" s="46" t="s">
        <v>30</v>
      </c>
      <c r="G241" s="46">
        <v>3</v>
      </c>
      <c r="H241" s="46" t="s">
        <v>6644</v>
      </c>
      <c r="I241" s="46" t="s">
        <v>40</v>
      </c>
      <c r="J241" s="47">
        <v>45296</v>
      </c>
      <c r="K241" s="46" t="s">
        <v>72</v>
      </c>
      <c r="L241" s="48">
        <v>3164</v>
      </c>
      <c r="M241" s="49">
        <v>10</v>
      </c>
    </row>
    <row r="242" spans="1:13" x14ac:dyDescent="0.3">
      <c r="A242" s="46" t="s">
        <v>679</v>
      </c>
      <c r="B242" s="46" t="s">
        <v>6627</v>
      </c>
      <c r="C242" s="46" t="s">
        <v>55</v>
      </c>
      <c r="D242" s="46" t="s">
        <v>37</v>
      </c>
      <c r="E242" s="46" t="s">
        <v>56</v>
      </c>
      <c r="F242" s="46" t="s">
        <v>30</v>
      </c>
      <c r="G242" s="46">
        <v>54</v>
      </c>
      <c r="H242" s="46" t="s">
        <v>6645</v>
      </c>
      <c r="I242" s="46" t="s">
        <v>20</v>
      </c>
      <c r="J242" s="47">
        <v>45338</v>
      </c>
      <c r="K242" s="46" t="s">
        <v>104</v>
      </c>
      <c r="L242" s="48">
        <v>12538</v>
      </c>
      <c r="M242" s="49">
        <v>30</v>
      </c>
    </row>
    <row r="243" spans="1:13" x14ac:dyDescent="0.3">
      <c r="A243" s="46" t="s">
        <v>681</v>
      </c>
      <c r="B243" s="46" t="s">
        <v>6628</v>
      </c>
      <c r="C243" s="46" t="s">
        <v>55</v>
      </c>
      <c r="D243" s="46" t="s">
        <v>99</v>
      </c>
      <c r="E243" s="46" t="s">
        <v>256</v>
      </c>
      <c r="F243" s="46" t="s">
        <v>69</v>
      </c>
      <c r="G243" s="46">
        <v>66</v>
      </c>
      <c r="H243" s="46" t="s">
        <v>6643</v>
      </c>
      <c r="I243" s="46" t="s">
        <v>40</v>
      </c>
      <c r="J243" s="47">
        <v>45034</v>
      </c>
      <c r="K243" s="46" t="s">
        <v>6632</v>
      </c>
      <c r="L243" s="48">
        <v>54428</v>
      </c>
      <c r="M243" s="49">
        <v>18</v>
      </c>
    </row>
    <row r="244" spans="1:13" x14ac:dyDescent="0.3">
      <c r="A244" s="46" t="s">
        <v>684</v>
      </c>
      <c r="B244" s="46" t="s">
        <v>118</v>
      </c>
      <c r="C244" s="46" t="s">
        <v>61</v>
      </c>
      <c r="D244" s="46" t="s">
        <v>67</v>
      </c>
      <c r="E244" s="46" t="s">
        <v>68</v>
      </c>
      <c r="F244" s="46" t="s">
        <v>6632</v>
      </c>
      <c r="G244" s="46">
        <v>28</v>
      </c>
      <c r="H244" s="46" t="s">
        <v>6645</v>
      </c>
      <c r="I244" s="46" t="s">
        <v>40</v>
      </c>
      <c r="J244" s="47">
        <v>45226</v>
      </c>
      <c r="K244" s="46" t="s">
        <v>104</v>
      </c>
      <c r="L244" s="48">
        <v>9347</v>
      </c>
      <c r="M244" s="49">
        <v>30</v>
      </c>
    </row>
    <row r="245" spans="1:13" x14ac:dyDescent="0.3">
      <c r="A245" s="46" t="s">
        <v>686</v>
      </c>
      <c r="B245" s="46" t="s">
        <v>6629</v>
      </c>
      <c r="C245" s="46" t="s">
        <v>27</v>
      </c>
      <c r="D245" s="46" t="s">
        <v>37</v>
      </c>
      <c r="E245" s="46" t="s">
        <v>56</v>
      </c>
      <c r="F245" s="46" t="s">
        <v>30</v>
      </c>
      <c r="G245" s="46">
        <v>82</v>
      </c>
      <c r="H245" s="46" t="s">
        <v>6643</v>
      </c>
      <c r="I245" s="46" t="s">
        <v>40</v>
      </c>
      <c r="J245" s="47">
        <v>44930</v>
      </c>
      <c r="K245" s="46" t="s">
        <v>104</v>
      </c>
      <c r="L245" s="48">
        <v>6586</v>
      </c>
      <c r="M245" s="49">
        <v>40</v>
      </c>
    </row>
    <row r="246" spans="1:13" x14ac:dyDescent="0.3">
      <c r="A246" s="46" t="s">
        <v>688</v>
      </c>
      <c r="B246" s="46" t="s">
        <v>118</v>
      </c>
      <c r="C246" s="46" t="s">
        <v>80</v>
      </c>
      <c r="D246" s="46" t="s">
        <v>47</v>
      </c>
      <c r="E246" s="46" t="s">
        <v>364</v>
      </c>
      <c r="F246" s="46" t="s">
        <v>69</v>
      </c>
      <c r="G246" s="46">
        <v>7</v>
      </c>
      <c r="H246" s="46" t="s">
        <v>6644</v>
      </c>
      <c r="I246" s="46" t="s">
        <v>40</v>
      </c>
      <c r="J246" s="47">
        <v>45013</v>
      </c>
      <c r="K246" s="46" t="s">
        <v>104</v>
      </c>
      <c r="L246" s="48">
        <v>50720</v>
      </c>
      <c r="M246" s="49">
        <v>30</v>
      </c>
    </row>
    <row r="247" spans="1:13" x14ac:dyDescent="0.3">
      <c r="A247" s="46" t="s">
        <v>689</v>
      </c>
      <c r="B247" s="46" t="s">
        <v>118</v>
      </c>
      <c r="C247" s="46" t="s">
        <v>61</v>
      </c>
      <c r="D247" s="46" t="s">
        <v>108</v>
      </c>
      <c r="E247" s="46" t="s">
        <v>308</v>
      </c>
      <c r="F247" s="46" t="s">
        <v>69</v>
      </c>
      <c r="G247" s="46">
        <v>51</v>
      </c>
      <c r="H247" s="46" t="s">
        <v>6645</v>
      </c>
      <c r="I247" s="46" t="s">
        <v>20</v>
      </c>
      <c r="J247" s="47">
        <v>45330</v>
      </c>
      <c r="K247" s="46" t="s">
        <v>72</v>
      </c>
      <c r="L247" s="48">
        <v>49383</v>
      </c>
      <c r="M247" s="49">
        <v>0</v>
      </c>
    </row>
    <row r="248" spans="1:13" x14ac:dyDescent="0.3">
      <c r="A248" s="46" t="s">
        <v>691</v>
      </c>
      <c r="B248" s="46" t="s">
        <v>79</v>
      </c>
      <c r="C248" s="46" t="s">
        <v>61</v>
      </c>
      <c r="D248" s="46" t="s">
        <v>28</v>
      </c>
      <c r="E248" s="46" t="s">
        <v>290</v>
      </c>
      <c r="F248" s="46" t="s">
        <v>69</v>
      </c>
      <c r="G248" s="46">
        <v>82</v>
      </c>
      <c r="H248" s="46" t="s">
        <v>6643</v>
      </c>
      <c r="I248" s="46" t="s">
        <v>20</v>
      </c>
      <c r="J248" s="47">
        <v>45397</v>
      </c>
      <c r="K248" s="46" t="s">
        <v>72</v>
      </c>
      <c r="L248" s="48">
        <v>72002</v>
      </c>
      <c r="M248" s="49">
        <v>3</v>
      </c>
    </row>
    <row r="249" spans="1:13" x14ac:dyDescent="0.3">
      <c r="A249" s="46" t="s">
        <v>693</v>
      </c>
      <c r="B249" s="46" t="s">
        <v>6627</v>
      </c>
      <c r="C249" s="46" t="s">
        <v>55</v>
      </c>
      <c r="D249" s="46" t="s">
        <v>108</v>
      </c>
      <c r="E249" s="46" t="s">
        <v>109</v>
      </c>
      <c r="F249" s="46" t="s">
        <v>6632</v>
      </c>
      <c r="G249" s="46">
        <v>4</v>
      </c>
      <c r="H249" s="46" t="s">
        <v>6644</v>
      </c>
      <c r="I249" s="46" t="s">
        <v>20</v>
      </c>
      <c r="J249" s="47">
        <v>45258</v>
      </c>
      <c r="K249" s="46" t="s">
        <v>91</v>
      </c>
      <c r="L249" s="48">
        <v>31222</v>
      </c>
      <c r="M249" s="49">
        <v>0</v>
      </c>
    </row>
    <row r="250" spans="1:13" x14ac:dyDescent="0.3">
      <c r="A250" s="46" t="s">
        <v>696</v>
      </c>
      <c r="B250" s="46" t="s">
        <v>6629</v>
      </c>
      <c r="C250" s="46" t="s">
        <v>66</v>
      </c>
      <c r="D250" s="46" t="s">
        <v>99</v>
      </c>
      <c r="E250" s="46" t="s">
        <v>151</v>
      </c>
      <c r="F250" s="46" t="s">
        <v>30</v>
      </c>
      <c r="G250" s="46">
        <v>4</v>
      </c>
      <c r="H250" s="46" t="s">
        <v>6644</v>
      </c>
      <c r="I250" s="46" t="s">
        <v>40</v>
      </c>
      <c r="J250" s="47">
        <v>45351</v>
      </c>
      <c r="K250" s="46" t="s">
        <v>72</v>
      </c>
      <c r="L250" s="48">
        <v>19613</v>
      </c>
      <c r="M250" s="49">
        <v>0</v>
      </c>
    </row>
    <row r="251" spans="1:13" x14ac:dyDescent="0.3">
      <c r="A251" s="46" t="s">
        <v>698</v>
      </c>
      <c r="B251" s="46" t="s">
        <v>6629</v>
      </c>
      <c r="C251" s="46" t="s">
        <v>27</v>
      </c>
      <c r="D251" s="46" t="s">
        <v>93</v>
      </c>
      <c r="E251" s="46" t="s">
        <v>94</v>
      </c>
      <c r="F251" s="46" t="s">
        <v>30</v>
      </c>
      <c r="G251" s="46">
        <v>13</v>
      </c>
      <c r="H251" s="46" t="s">
        <v>6646</v>
      </c>
      <c r="I251" s="46" t="s">
        <v>20</v>
      </c>
      <c r="J251" s="47">
        <v>45115</v>
      </c>
      <c r="K251" s="46" t="s">
        <v>72</v>
      </c>
      <c r="L251" s="48">
        <v>10780</v>
      </c>
      <c r="M251" s="49">
        <v>10</v>
      </c>
    </row>
    <row r="252" spans="1:13" x14ac:dyDescent="0.3">
      <c r="A252" s="46" t="s">
        <v>700</v>
      </c>
      <c r="B252" s="46" t="s">
        <v>79</v>
      </c>
      <c r="C252" s="46" t="s">
        <v>27</v>
      </c>
      <c r="D252" s="46" t="s">
        <v>108</v>
      </c>
      <c r="E252" s="46" t="s">
        <v>124</v>
      </c>
      <c r="F252" s="46" t="s">
        <v>30</v>
      </c>
      <c r="G252" s="46">
        <v>67</v>
      </c>
      <c r="H252" s="46" t="s">
        <v>6643</v>
      </c>
      <c r="I252" s="46" t="s">
        <v>40</v>
      </c>
      <c r="J252" s="47">
        <v>45160</v>
      </c>
      <c r="K252" s="46" t="s">
        <v>72</v>
      </c>
      <c r="L252" s="48">
        <v>16349</v>
      </c>
      <c r="M252" s="49">
        <v>0</v>
      </c>
    </row>
    <row r="253" spans="1:13" x14ac:dyDescent="0.3">
      <c r="A253" s="46" t="s">
        <v>701</v>
      </c>
      <c r="B253" s="46" t="s">
        <v>6626</v>
      </c>
      <c r="C253" s="46" t="s">
        <v>189</v>
      </c>
      <c r="D253" s="46" t="s">
        <v>67</v>
      </c>
      <c r="E253" s="46" t="s">
        <v>68</v>
      </c>
      <c r="F253" s="46" t="s">
        <v>69</v>
      </c>
      <c r="G253" s="46">
        <v>38</v>
      </c>
      <c r="H253" s="46" t="s">
        <v>6645</v>
      </c>
      <c r="I253" s="46" t="s">
        <v>40</v>
      </c>
      <c r="J253" s="47">
        <v>45057</v>
      </c>
      <c r="K253" s="46" t="s">
        <v>87</v>
      </c>
      <c r="L253" s="48">
        <v>36454</v>
      </c>
      <c r="M253" s="49">
        <v>3</v>
      </c>
    </row>
    <row r="254" spans="1:13" x14ac:dyDescent="0.3">
      <c r="A254" s="46" t="s">
        <v>704</v>
      </c>
      <c r="B254" s="46" t="s">
        <v>6626</v>
      </c>
      <c r="C254" s="46" t="s">
        <v>80</v>
      </c>
      <c r="D254" s="46" t="s">
        <v>47</v>
      </c>
      <c r="E254" s="46" t="s">
        <v>48</v>
      </c>
      <c r="F254" s="46" t="s">
        <v>30</v>
      </c>
      <c r="G254" s="46">
        <v>69</v>
      </c>
      <c r="H254" s="46" t="s">
        <v>6643</v>
      </c>
      <c r="I254" s="46" t="s">
        <v>20</v>
      </c>
      <c r="J254" s="47">
        <v>45101</v>
      </c>
      <c r="K254" s="46" t="s">
        <v>97</v>
      </c>
      <c r="L254" s="48">
        <v>10562</v>
      </c>
      <c r="M254" s="49">
        <v>0</v>
      </c>
    </row>
    <row r="255" spans="1:13" x14ac:dyDescent="0.3">
      <c r="A255" s="46" t="s">
        <v>706</v>
      </c>
      <c r="B255" s="46" t="s">
        <v>6629</v>
      </c>
      <c r="C255" s="46" t="s">
        <v>16</v>
      </c>
      <c r="D255" s="46" t="s">
        <v>108</v>
      </c>
      <c r="E255" s="46" t="s">
        <v>124</v>
      </c>
      <c r="F255" s="46" t="s">
        <v>69</v>
      </c>
      <c r="G255" s="46">
        <v>44</v>
      </c>
      <c r="H255" s="46" t="s">
        <v>6645</v>
      </c>
      <c r="I255" s="46" t="s">
        <v>20</v>
      </c>
      <c r="J255" s="47">
        <v>44959</v>
      </c>
      <c r="K255" s="46" t="s">
        <v>91</v>
      </c>
      <c r="L255" s="48">
        <v>32375</v>
      </c>
      <c r="M255" s="49">
        <v>10</v>
      </c>
    </row>
    <row r="256" spans="1:13" x14ac:dyDescent="0.3">
      <c r="A256" s="46" t="s">
        <v>707</v>
      </c>
      <c r="B256" s="46" t="s">
        <v>6629</v>
      </c>
      <c r="C256" s="46" t="s">
        <v>27</v>
      </c>
      <c r="D256" s="46" t="s">
        <v>28</v>
      </c>
      <c r="E256" s="46" t="s">
        <v>290</v>
      </c>
      <c r="F256" s="46" t="s">
        <v>30</v>
      </c>
      <c r="G256" s="46">
        <v>92</v>
      </c>
      <c r="H256" s="46" t="s">
        <v>6643</v>
      </c>
      <c r="I256" s="46" t="s">
        <v>20</v>
      </c>
      <c r="J256" s="47">
        <v>45147</v>
      </c>
      <c r="K256" s="46" t="s">
        <v>87</v>
      </c>
      <c r="L256" s="48">
        <v>6877</v>
      </c>
      <c r="M256" s="49">
        <v>0</v>
      </c>
    </row>
    <row r="257" spans="1:13" x14ac:dyDescent="0.3">
      <c r="A257" s="46" t="s">
        <v>709</v>
      </c>
      <c r="B257" s="46" t="s">
        <v>6628</v>
      </c>
      <c r="C257" s="46" t="s">
        <v>189</v>
      </c>
      <c r="D257" s="46" t="s">
        <v>108</v>
      </c>
      <c r="E257" s="46" t="s">
        <v>308</v>
      </c>
      <c r="F257" s="46" t="s">
        <v>30</v>
      </c>
      <c r="G257" s="46">
        <v>84</v>
      </c>
      <c r="H257" s="46" t="s">
        <v>6643</v>
      </c>
      <c r="I257" s="46" t="s">
        <v>20</v>
      </c>
      <c r="J257" s="47">
        <v>45233</v>
      </c>
      <c r="K257" s="46" t="s">
        <v>72</v>
      </c>
      <c r="L257" s="48">
        <v>5225</v>
      </c>
      <c r="M257" s="49">
        <v>0</v>
      </c>
    </row>
    <row r="258" spans="1:13" x14ac:dyDescent="0.3">
      <c r="A258" s="46" t="s">
        <v>711</v>
      </c>
      <c r="B258" s="46" t="s">
        <v>6627</v>
      </c>
      <c r="C258" s="46" t="s">
        <v>27</v>
      </c>
      <c r="D258" s="46" t="s">
        <v>99</v>
      </c>
      <c r="E258" s="46" t="s">
        <v>100</v>
      </c>
      <c r="F258" s="46" t="s">
        <v>69</v>
      </c>
      <c r="G258" s="46">
        <v>33</v>
      </c>
      <c r="H258" s="46" t="s">
        <v>6645</v>
      </c>
      <c r="I258" s="46" t="s">
        <v>20</v>
      </c>
      <c r="J258" s="47">
        <v>45129</v>
      </c>
      <c r="K258" s="46" t="s">
        <v>104</v>
      </c>
      <c r="L258" s="48">
        <v>51520</v>
      </c>
      <c r="M258" s="49">
        <v>30</v>
      </c>
    </row>
    <row r="259" spans="1:13" x14ac:dyDescent="0.3">
      <c r="A259" s="46" t="s">
        <v>714</v>
      </c>
      <c r="B259" s="46" t="s">
        <v>79</v>
      </c>
      <c r="C259" s="46" t="s">
        <v>61</v>
      </c>
      <c r="D259" s="46" t="s">
        <v>28</v>
      </c>
      <c r="E259" s="46" t="s">
        <v>29</v>
      </c>
      <c r="F259" s="46" t="s">
        <v>69</v>
      </c>
      <c r="G259" s="46">
        <v>43</v>
      </c>
      <c r="H259" s="46" t="s">
        <v>6645</v>
      </c>
      <c r="I259" s="46" t="s">
        <v>20</v>
      </c>
      <c r="J259" s="47">
        <v>45246</v>
      </c>
      <c r="K259" s="46" t="s">
        <v>72</v>
      </c>
      <c r="L259" s="48">
        <v>19157</v>
      </c>
      <c r="M259" s="49">
        <v>10</v>
      </c>
    </row>
    <row r="260" spans="1:13" x14ac:dyDescent="0.3">
      <c r="A260" s="46" t="s">
        <v>715</v>
      </c>
      <c r="B260" s="46" t="s">
        <v>79</v>
      </c>
      <c r="C260" s="46" t="s">
        <v>16</v>
      </c>
      <c r="D260" s="46" t="s">
        <v>99</v>
      </c>
      <c r="E260" s="46" t="s">
        <v>372</v>
      </c>
      <c r="F260" s="46" t="s">
        <v>69</v>
      </c>
      <c r="G260" s="46">
        <v>84</v>
      </c>
      <c r="H260" s="46" t="s">
        <v>6643</v>
      </c>
      <c r="I260" s="46" t="s">
        <v>20</v>
      </c>
      <c r="J260" s="47">
        <v>45218</v>
      </c>
      <c r="K260" s="46" t="s">
        <v>72</v>
      </c>
      <c r="L260" s="48">
        <v>49262</v>
      </c>
      <c r="M260" s="49">
        <v>0</v>
      </c>
    </row>
    <row r="261" spans="1:13" x14ac:dyDescent="0.3">
      <c r="A261" s="46" t="s">
        <v>717</v>
      </c>
      <c r="B261" s="46" t="s">
        <v>6627</v>
      </c>
      <c r="C261" s="46" t="s">
        <v>55</v>
      </c>
      <c r="D261" s="46" t="s">
        <v>74</v>
      </c>
      <c r="E261" s="46" t="s">
        <v>192</v>
      </c>
      <c r="F261" s="46" t="s">
        <v>30</v>
      </c>
      <c r="G261" s="46">
        <v>32</v>
      </c>
      <c r="H261" s="46" t="s">
        <v>6645</v>
      </c>
      <c r="I261" s="46" t="s">
        <v>40</v>
      </c>
      <c r="J261" s="47">
        <v>45073</v>
      </c>
      <c r="K261" s="46" t="s">
        <v>91</v>
      </c>
      <c r="L261" s="48">
        <v>14703</v>
      </c>
      <c r="M261" s="49">
        <v>5</v>
      </c>
    </row>
    <row r="262" spans="1:13" x14ac:dyDescent="0.3">
      <c r="A262" s="46" t="s">
        <v>719</v>
      </c>
      <c r="B262" s="46" t="s">
        <v>118</v>
      </c>
      <c r="C262" s="46" t="s">
        <v>66</v>
      </c>
      <c r="D262" s="46" t="s">
        <v>164</v>
      </c>
      <c r="E262" s="46" t="s">
        <v>282</v>
      </c>
      <c r="F262" s="46" t="s">
        <v>30</v>
      </c>
      <c r="G262" s="46">
        <v>31</v>
      </c>
      <c r="H262" s="46" t="s">
        <v>6645</v>
      </c>
      <c r="I262" s="46" t="s">
        <v>20</v>
      </c>
      <c r="J262" s="47">
        <v>44942</v>
      </c>
      <c r="K262" s="46" t="s">
        <v>87</v>
      </c>
      <c r="L262" s="48">
        <v>18485</v>
      </c>
      <c r="M262" s="49">
        <v>0</v>
      </c>
    </row>
    <row r="263" spans="1:13" x14ac:dyDescent="0.3">
      <c r="A263" s="46" t="s">
        <v>721</v>
      </c>
      <c r="B263" s="46" t="s">
        <v>6627</v>
      </c>
      <c r="C263" s="46" t="s">
        <v>36</v>
      </c>
      <c r="D263" s="46" t="s">
        <v>17</v>
      </c>
      <c r="E263" s="46" t="s">
        <v>169</v>
      </c>
      <c r="F263" s="46" t="s">
        <v>30</v>
      </c>
      <c r="G263" s="46">
        <v>47</v>
      </c>
      <c r="H263" s="46" t="s">
        <v>6645</v>
      </c>
      <c r="I263" s="46" t="s">
        <v>40</v>
      </c>
      <c r="J263" s="47">
        <v>45167</v>
      </c>
      <c r="K263" s="46" t="s">
        <v>72</v>
      </c>
      <c r="L263" s="48">
        <v>10292</v>
      </c>
      <c r="M263" s="49">
        <v>5</v>
      </c>
    </row>
    <row r="264" spans="1:13" x14ac:dyDescent="0.3">
      <c r="A264" s="46" t="s">
        <v>722</v>
      </c>
      <c r="B264" s="46" t="s">
        <v>118</v>
      </c>
      <c r="C264" s="46" t="s">
        <v>27</v>
      </c>
      <c r="D264" s="46" t="s">
        <v>164</v>
      </c>
      <c r="E264" s="46" t="s">
        <v>165</v>
      </c>
      <c r="F264" s="46" t="s">
        <v>30</v>
      </c>
      <c r="G264" s="46">
        <v>66</v>
      </c>
      <c r="H264" s="46" t="s">
        <v>6643</v>
      </c>
      <c r="I264" s="46" t="s">
        <v>20</v>
      </c>
      <c r="J264" s="47">
        <v>45035</v>
      </c>
      <c r="K264" s="46" t="s">
        <v>104</v>
      </c>
      <c r="L264" s="48">
        <v>6325</v>
      </c>
      <c r="M264" s="49">
        <v>0</v>
      </c>
    </row>
    <row r="265" spans="1:13" x14ac:dyDescent="0.3">
      <c r="A265" s="46" t="s">
        <v>725</v>
      </c>
      <c r="B265" s="46" t="s">
        <v>6628</v>
      </c>
      <c r="C265" s="46" t="s">
        <v>27</v>
      </c>
      <c r="D265" s="46" t="s">
        <v>28</v>
      </c>
      <c r="E265" s="46" t="s">
        <v>259</v>
      </c>
      <c r="F265" s="46" t="s">
        <v>30</v>
      </c>
      <c r="G265" s="46">
        <v>91</v>
      </c>
      <c r="H265" s="46" t="s">
        <v>6643</v>
      </c>
      <c r="I265" s="46" t="s">
        <v>40</v>
      </c>
      <c r="J265" s="47">
        <v>45173</v>
      </c>
      <c r="K265" s="46" t="s">
        <v>6632</v>
      </c>
      <c r="L265" s="48">
        <v>10288</v>
      </c>
      <c r="M265" s="49">
        <v>10</v>
      </c>
    </row>
    <row r="266" spans="1:13" x14ac:dyDescent="0.3">
      <c r="A266" s="46" t="s">
        <v>728</v>
      </c>
      <c r="B266" s="46" t="s">
        <v>6626</v>
      </c>
      <c r="C266" s="46" t="s">
        <v>189</v>
      </c>
      <c r="D266" s="46" t="s">
        <v>93</v>
      </c>
      <c r="E266" s="46" t="s">
        <v>121</v>
      </c>
      <c r="F266" s="46" t="s">
        <v>69</v>
      </c>
      <c r="G266" s="46">
        <v>84</v>
      </c>
      <c r="H266" s="46" t="s">
        <v>6643</v>
      </c>
      <c r="I266" s="46" t="s">
        <v>20</v>
      </c>
      <c r="J266" s="47">
        <v>45001</v>
      </c>
      <c r="K266" s="46" t="s">
        <v>97</v>
      </c>
      <c r="L266" s="48">
        <v>70771</v>
      </c>
      <c r="M266" s="49">
        <v>0</v>
      </c>
    </row>
    <row r="267" spans="1:13" x14ac:dyDescent="0.3">
      <c r="A267" s="46" t="s">
        <v>729</v>
      </c>
      <c r="B267" s="46" t="s">
        <v>118</v>
      </c>
      <c r="C267" s="46" t="s">
        <v>27</v>
      </c>
      <c r="D267" s="46" t="s">
        <v>99</v>
      </c>
      <c r="E267" s="46" t="s">
        <v>256</v>
      </c>
      <c r="F267" s="46" t="s">
        <v>69</v>
      </c>
      <c r="G267" s="46">
        <v>25</v>
      </c>
      <c r="H267" s="46" t="s">
        <v>6645</v>
      </c>
      <c r="I267" s="46" t="s">
        <v>20</v>
      </c>
      <c r="J267" s="47">
        <v>45310</v>
      </c>
      <c r="K267" s="46" t="s">
        <v>87</v>
      </c>
      <c r="L267" s="48">
        <v>61159</v>
      </c>
      <c r="M267" s="49">
        <v>0</v>
      </c>
    </row>
    <row r="268" spans="1:13" x14ac:dyDescent="0.3">
      <c r="A268" s="46" t="s">
        <v>731</v>
      </c>
      <c r="B268" s="46" t="s">
        <v>79</v>
      </c>
      <c r="C268" s="46" t="s">
        <v>80</v>
      </c>
      <c r="D268" s="46" t="s">
        <v>37</v>
      </c>
      <c r="E268" s="46" t="s">
        <v>185</v>
      </c>
      <c r="F268" s="46" t="s">
        <v>30</v>
      </c>
      <c r="G268" s="46">
        <v>25</v>
      </c>
      <c r="H268" s="46" t="s">
        <v>6645</v>
      </c>
      <c r="I268" s="46" t="s">
        <v>40</v>
      </c>
      <c r="J268" s="47">
        <v>45030</v>
      </c>
      <c r="K268" s="46" t="s">
        <v>72</v>
      </c>
      <c r="L268" s="48">
        <v>13154</v>
      </c>
      <c r="M268" s="49">
        <v>0</v>
      </c>
    </row>
    <row r="269" spans="1:13" x14ac:dyDescent="0.3">
      <c r="A269" s="46" t="s">
        <v>732</v>
      </c>
      <c r="B269" s="46" t="s">
        <v>6626</v>
      </c>
      <c r="C269" s="46" t="s">
        <v>189</v>
      </c>
      <c r="D269" s="46" t="s">
        <v>47</v>
      </c>
      <c r="E269" s="46" t="s">
        <v>48</v>
      </c>
      <c r="F269" s="46" t="s">
        <v>69</v>
      </c>
      <c r="G269" s="46">
        <v>20</v>
      </c>
      <c r="H269" s="46" t="s">
        <v>6645</v>
      </c>
      <c r="I269" s="46" t="s">
        <v>20</v>
      </c>
      <c r="J269" s="47">
        <v>45342</v>
      </c>
      <c r="K269" s="46" t="s">
        <v>91</v>
      </c>
      <c r="L269" s="48">
        <v>53796</v>
      </c>
      <c r="M269" s="49">
        <v>0</v>
      </c>
    </row>
    <row r="270" spans="1:13" x14ac:dyDescent="0.3">
      <c r="A270" s="46" t="s">
        <v>734</v>
      </c>
      <c r="B270" s="46" t="s">
        <v>6628</v>
      </c>
      <c r="C270" s="46" t="s">
        <v>61</v>
      </c>
      <c r="D270" s="46" t="s">
        <v>67</v>
      </c>
      <c r="E270" s="46" t="s">
        <v>196</v>
      </c>
      <c r="F270" s="46" t="s">
        <v>69</v>
      </c>
      <c r="G270" s="46">
        <v>8</v>
      </c>
      <c r="H270" s="46" t="s">
        <v>6644</v>
      </c>
      <c r="I270" s="46" t="s">
        <v>40</v>
      </c>
      <c r="J270" s="47">
        <v>45046</v>
      </c>
      <c r="K270" s="46" t="s">
        <v>87</v>
      </c>
      <c r="L270" s="48">
        <v>75423</v>
      </c>
      <c r="M270" s="49">
        <v>0</v>
      </c>
    </row>
    <row r="271" spans="1:13" x14ac:dyDescent="0.3">
      <c r="A271" s="46" t="s">
        <v>737</v>
      </c>
      <c r="B271" s="46" t="s">
        <v>6627</v>
      </c>
      <c r="C271" s="46" t="s">
        <v>66</v>
      </c>
      <c r="D271" s="46" t="s">
        <v>17</v>
      </c>
      <c r="E271" s="46" t="s">
        <v>18</v>
      </c>
      <c r="F271" s="46" t="s">
        <v>30</v>
      </c>
      <c r="G271" s="46">
        <v>3</v>
      </c>
      <c r="H271" s="46" t="s">
        <v>6644</v>
      </c>
      <c r="I271" s="46" t="s">
        <v>20</v>
      </c>
      <c r="J271" s="47">
        <v>44963</v>
      </c>
      <c r="K271" s="46" t="s">
        <v>72</v>
      </c>
      <c r="L271" s="48">
        <v>11221</v>
      </c>
      <c r="M271" s="49">
        <v>10</v>
      </c>
    </row>
    <row r="272" spans="1:13" x14ac:dyDescent="0.3">
      <c r="A272" s="46" t="s">
        <v>738</v>
      </c>
      <c r="B272" s="46" t="s">
        <v>6626</v>
      </c>
      <c r="C272" s="46" t="s">
        <v>27</v>
      </c>
      <c r="D272" s="46" t="s">
        <v>99</v>
      </c>
      <c r="E272" s="46" t="s">
        <v>256</v>
      </c>
      <c r="F272" s="46" t="s">
        <v>30</v>
      </c>
      <c r="G272" s="46">
        <v>67</v>
      </c>
      <c r="H272" s="46" t="s">
        <v>6643</v>
      </c>
      <c r="I272" s="46" t="s">
        <v>20</v>
      </c>
      <c r="J272" s="47">
        <v>45025</v>
      </c>
      <c r="K272" s="46" t="s">
        <v>91</v>
      </c>
      <c r="L272" s="48">
        <v>17286</v>
      </c>
      <c r="M272" s="49">
        <v>0</v>
      </c>
    </row>
    <row r="273" spans="1:13" x14ac:dyDescent="0.3">
      <c r="A273" s="46" t="s">
        <v>740</v>
      </c>
      <c r="B273" s="46" t="s">
        <v>6629</v>
      </c>
      <c r="C273" s="46" t="s">
        <v>66</v>
      </c>
      <c r="D273" s="46" t="s">
        <v>108</v>
      </c>
      <c r="E273" s="46" t="s">
        <v>124</v>
      </c>
      <c r="F273" s="46" t="s">
        <v>30</v>
      </c>
      <c r="G273" s="46">
        <v>2</v>
      </c>
      <c r="H273" s="46" t="s">
        <v>6644</v>
      </c>
      <c r="I273" s="46" t="s">
        <v>40</v>
      </c>
      <c r="J273" s="47">
        <v>45170</v>
      </c>
      <c r="K273" s="46" t="s">
        <v>91</v>
      </c>
      <c r="L273" s="48">
        <v>13435</v>
      </c>
      <c r="M273" s="49">
        <v>5</v>
      </c>
    </row>
    <row r="274" spans="1:13" x14ac:dyDescent="0.3">
      <c r="A274" s="46" t="s">
        <v>742</v>
      </c>
      <c r="B274" s="46" t="s">
        <v>6627</v>
      </c>
      <c r="C274" s="46" t="s">
        <v>61</v>
      </c>
      <c r="D274" s="46" t="s">
        <v>108</v>
      </c>
      <c r="E274" s="46" t="s">
        <v>308</v>
      </c>
      <c r="F274" s="46" t="s">
        <v>30</v>
      </c>
      <c r="G274" s="46">
        <v>30</v>
      </c>
      <c r="H274" s="46" t="s">
        <v>6645</v>
      </c>
      <c r="I274" s="46" t="s">
        <v>20</v>
      </c>
      <c r="J274" s="47">
        <v>45303</v>
      </c>
      <c r="K274" s="46" t="s">
        <v>87</v>
      </c>
      <c r="L274" s="48">
        <v>14785</v>
      </c>
      <c r="M274" s="49">
        <v>0</v>
      </c>
    </row>
    <row r="275" spans="1:13" x14ac:dyDescent="0.3">
      <c r="A275" s="46" t="s">
        <v>745</v>
      </c>
      <c r="B275" s="46" t="s">
        <v>6629</v>
      </c>
      <c r="C275" s="46" t="s">
        <v>16</v>
      </c>
      <c r="D275" s="46" t="s">
        <v>17</v>
      </c>
      <c r="E275" s="46" t="s">
        <v>169</v>
      </c>
      <c r="F275" s="46" t="s">
        <v>30</v>
      </c>
      <c r="G275" s="46">
        <v>43</v>
      </c>
      <c r="H275" s="46" t="s">
        <v>6645</v>
      </c>
      <c r="I275" s="46" t="s">
        <v>20</v>
      </c>
      <c r="J275" s="47">
        <v>45204</v>
      </c>
      <c r="K275" s="46" t="s">
        <v>87</v>
      </c>
      <c r="L275" s="48">
        <v>14654</v>
      </c>
      <c r="M275" s="49">
        <v>0</v>
      </c>
    </row>
    <row r="276" spans="1:13" x14ac:dyDescent="0.3">
      <c r="A276" s="46" t="s">
        <v>748</v>
      </c>
      <c r="B276" s="46" t="s">
        <v>118</v>
      </c>
      <c r="C276" s="46" t="s">
        <v>55</v>
      </c>
      <c r="D276" s="46" t="s">
        <v>108</v>
      </c>
      <c r="E276" s="46" t="s">
        <v>272</v>
      </c>
      <c r="F276" s="46" t="s">
        <v>69</v>
      </c>
      <c r="G276" s="46">
        <v>32</v>
      </c>
      <c r="H276" s="46" t="s">
        <v>6645</v>
      </c>
      <c r="I276" s="46" t="s">
        <v>40</v>
      </c>
      <c r="J276" s="47">
        <v>45230</v>
      </c>
      <c r="K276" s="46" t="s">
        <v>91</v>
      </c>
      <c r="L276" s="48">
        <v>45729</v>
      </c>
      <c r="M276" s="49">
        <v>0</v>
      </c>
    </row>
    <row r="277" spans="1:13" x14ac:dyDescent="0.3">
      <c r="A277" s="46" t="s">
        <v>750</v>
      </c>
      <c r="B277" s="46" t="s">
        <v>6629</v>
      </c>
      <c r="C277" s="46" t="s">
        <v>189</v>
      </c>
      <c r="D277" s="46" t="s">
        <v>28</v>
      </c>
      <c r="E277" s="46" t="s">
        <v>29</v>
      </c>
      <c r="F277" s="46" t="s">
        <v>30</v>
      </c>
      <c r="G277" s="46">
        <v>4</v>
      </c>
      <c r="H277" s="46" t="s">
        <v>6644</v>
      </c>
      <c r="I277" s="46" t="s">
        <v>20</v>
      </c>
      <c r="J277" s="47">
        <v>45335</v>
      </c>
      <c r="K277" s="46" t="s">
        <v>72</v>
      </c>
      <c r="L277" s="48">
        <v>3060</v>
      </c>
      <c r="M277" s="49">
        <v>3</v>
      </c>
    </row>
    <row r="278" spans="1:13" x14ac:dyDescent="0.3">
      <c r="A278" s="46" t="s">
        <v>752</v>
      </c>
      <c r="B278" s="46" t="s">
        <v>6627</v>
      </c>
      <c r="C278" s="46" t="s">
        <v>189</v>
      </c>
      <c r="D278" s="46" t="s">
        <v>164</v>
      </c>
      <c r="E278" s="46" t="s">
        <v>282</v>
      </c>
      <c r="F278" s="46" t="s">
        <v>30</v>
      </c>
      <c r="G278" s="46">
        <v>20</v>
      </c>
      <c r="H278" s="46" t="s">
        <v>6645</v>
      </c>
      <c r="I278" s="46" t="s">
        <v>40</v>
      </c>
      <c r="J278" s="47">
        <v>45098</v>
      </c>
      <c r="K278" s="46" t="s">
        <v>87</v>
      </c>
      <c r="L278" s="48">
        <v>5403</v>
      </c>
      <c r="M278" s="49">
        <v>0</v>
      </c>
    </row>
    <row r="279" spans="1:13" x14ac:dyDescent="0.3">
      <c r="A279" s="46" t="s">
        <v>754</v>
      </c>
      <c r="B279" s="46" t="s">
        <v>6628</v>
      </c>
      <c r="C279" s="46" t="s">
        <v>16</v>
      </c>
      <c r="D279" s="46" t="s">
        <v>74</v>
      </c>
      <c r="E279" s="46" t="s">
        <v>75</v>
      </c>
      <c r="F279" s="46" t="s">
        <v>30</v>
      </c>
      <c r="G279" s="46">
        <v>17</v>
      </c>
      <c r="H279" s="46" t="s">
        <v>6646</v>
      </c>
      <c r="I279" s="46" t="s">
        <v>40</v>
      </c>
      <c r="J279" s="47">
        <v>45095</v>
      </c>
      <c r="K279" s="46" t="s">
        <v>91</v>
      </c>
      <c r="L279" s="48">
        <v>14196</v>
      </c>
      <c r="M279" s="49">
        <v>0</v>
      </c>
    </row>
    <row r="280" spans="1:13" x14ac:dyDescent="0.3">
      <c r="A280" s="46" t="s">
        <v>756</v>
      </c>
      <c r="B280" s="46" t="s">
        <v>118</v>
      </c>
      <c r="C280" s="46" t="s">
        <v>61</v>
      </c>
      <c r="D280" s="46" t="s">
        <v>74</v>
      </c>
      <c r="E280" s="46" t="s">
        <v>75</v>
      </c>
      <c r="F280" s="46" t="s">
        <v>30</v>
      </c>
      <c r="G280" s="46">
        <v>13</v>
      </c>
      <c r="H280" s="46" t="s">
        <v>6646</v>
      </c>
      <c r="I280" s="46" t="s">
        <v>20</v>
      </c>
      <c r="J280" s="47">
        <v>45227</v>
      </c>
      <c r="K280" s="46" t="s">
        <v>97</v>
      </c>
      <c r="L280" s="48">
        <v>7748</v>
      </c>
      <c r="M280" s="49">
        <v>3</v>
      </c>
    </row>
    <row r="281" spans="1:13" x14ac:dyDescent="0.3">
      <c r="A281" s="46" t="s">
        <v>758</v>
      </c>
      <c r="B281" s="46" t="s">
        <v>6629</v>
      </c>
      <c r="C281" s="46" t="s">
        <v>61</v>
      </c>
      <c r="D281" s="46" t="s">
        <v>67</v>
      </c>
      <c r="E281" s="46" t="s">
        <v>89</v>
      </c>
      <c r="F281" s="46" t="s">
        <v>30</v>
      </c>
      <c r="G281" s="46">
        <v>82</v>
      </c>
      <c r="H281" s="46" t="s">
        <v>6643</v>
      </c>
      <c r="I281" s="46" t="s">
        <v>40</v>
      </c>
      <c r="J281" s="47">
        <v>45050</v>
      </c>
      <c r="K281" s="46" t="s">
        <v>87</v>
      </c>
      <c r="L281" s="48">
        <v>11471</v>
      </c>
      <c r="M281" s="49">
        <v>0</v>
      </c>
    </row>
    <row r="282" spans="1:13" x14ac:dyDescent="0.3">
      <c r="A282" s="46" t="s">
        <v>761</v>
      </c>
      <c r="B282" s="46" t="s">
        <v>6629</v>
      </c>
      <c r="C282" s="46" t="s">
        <v>66</v>
      </c>
      <c r="D282" s="46" t="s">
        <v>28</v>
      </c>
      <c r="E282" s="46" t="s">
        <v>268</v>
      </c>
      <c r="F282" s="46" t="s">
        <v>30</v>
      </c>
      <c r="G282" s="46">
        <v>40</v>
      </c>
      <c r="H282" s="46" t="s">
        <v>6645</v>
      </c>
      <c r="I282" s="46" t="s">
        <v>40</v>
      </c>
      <c r="J282" s="47">
        <v>45387</v>
      </c>
      <c r="K282" s="46" t="s">
        <v>87</v>
      </c>
      <c r="L282" s="48">
        <v>11545</v>
      </c>
      <c r="M282" s="49">
        <v>0</v>
      </c>
    </row>
    <row r="283" spans="1:13" x14ac:dyDescent="0.3">
      <c r="A283" s="46" t="s">
        <v>763</v>
      </c>
      <c r="B283" s="46" t="s">
        <v>6628</v>
      </c>
      <c r="C283" s="46" t="s">
        <v>189</v>
      </c>
      <c r="D283" s="46" t="s">
        <v>47</v>
      </c>
      <c r="E283" s="46" t="s">
        <v>48</v>
      </c>
      <c r="F283" s="46" t="s">
        <v>30</v>
      </c>
      <c r="G283" s="46">
        <v>20</v>
      </c>
      <c r="H283" s="46" t="s">
        <v>6645</v>
      </c>
      <c r="I283" s="46" t="s">
        <v>40</v>
      </c>
      <c r="J283" s="47">
        <v>45404</v>
      </c>
      <c r="K283" s="46" t="s">
        <v>72</v>
      </c>
      <c r="L283" s="48">
        <v>9930</v>
      </c>
      <c r="M283" s="49">
        <v>10</v>
      </c>
    </row>
    <row r="284" spans="1:13" x14ac:dyDescent="0.3">
      <c r="A284" s="46" t="s">
        <v>766</v>
      </c>
      <c r="B284" s="46" t="s">
        <v>118</v>
      </c>
      <c r="C284" s="46" t="s">
        <v>66</v>
      </c>
      <c r="D284" s="46" t="s">
        <v>108</v>
      </c>
      <c r="E284" s="46" t="s">
        <v>124</v>
      </c>
      <c r="F284" s="46" t="s">
        <v>30</v>
      </c>
      <c r="G284" s="46">
        <v>62</v>
      </c>
      <c r="H284" s="46" t="s">
        <v>6643</v>
      </c>
      <c r="I284" s="46" t="s">
        <v>20</v>
      </c>
      <c r="J284" s="47">
        <v>45056</v>
      </c>
      <c r="K284" s="46" t="s">
        <v>87</v>
      </c>
      <c r="L284" s="48">
        <v>19828</v>
      </c>
      <c r="M284" s="49">
        <v>0</v>
      </c>
    </row>
    <row r="285" spans="1:13" x14ac:dyDescent="0.3">
      <c r="A285" s="46" t="s">
        <v>768</v>
      </c>
      <c r="B285" s="46" t="s">
        <v>6626</v>
      </c>
      <c r="C285" s="46" t="s">
        <v>55</v>
      </c>
      <c r="D285" s="46" t="s">
        <v>47</v>
      </c>
      <c r="E285" s="46" t="s">
        <v>461</v>
      </c>
      <c r="F285" s="46" t="s">
        <v>30</v>
      </c>
      <c r="G285" s="46">
        <v>18</v>
      </c>
      <c r="H285" s="46" t="s">
        <v>6646</v>
      </c>
      <c r="I285" s="46" t="s">
        <v>20</v>
      </c>
      <c r="J285" s="47">
        <v>45366</v>
      </c>
      <c r="K285" s="46" t="s">
        <v>72</v>
      </c>
      <c r="L285" s="48">
        <v>7225</v>
      </c>
      <c r="M285" s="49">
        <v>0</v>
      </c>
    </row>
    <row r="286" spans="1:13" x14ac:dyDescent="0.3">
      <c r="A286" s="46" t="s">
        <v>770</v>
      </c>
      <c r="B286" s="46" t="s">
        <v>6628</v>
      </c>
      <c r="C286" s="46" t="s">
        <v>61</v>
      </c>
      <c r="D286" s="46" t="s">
        <v>93</v>
      </c>
      <c r="E286" s="46" t="s">
        <v>207</v>
      </c>
      <c r="F286" s="46" t="s">
        <v>30</v>
      </c>
      <c r="G286" s="46">
        <v>5</v>
      </c>
      <c r="H286" s="46" t="s">
        <v>6644</v>
      </c>
      <c r="I286" s="46" t="s">
        <v>20</v>
      </c>
      <c r="J286" s="47">
        <v>45392</v>
      </c>
      <c r="K286" s="46" t="s">
        <v>87</v>
      </c>
      <c r="L286" s="48">
        <v>7425</v>
      </c>
      <c r="M286" s="49">
        <v>0</v>
      </c>
    </row>
    <row r="287" spans="1:13" x14ac:dyDescent="0.3">
      <c r="A287" s="46" t="s">
        <v>772</v>
      </c>
      <c r="B287" s="46" t="s">
        <v>118</v>
      </c>
      <c r="C287" s="46" t="s">
        <v>55</v>
      </c>
      <c r="D287" s="46" t="s">
        <v>37</v>
      </c>
      <c r="E287" s="46" t="s">
        <v>38</v>
      </c>
      <c r="F287" s="46" t="s">
        <v>69</v>
      </c>
      <c r="G287" s="46">
        <v>15</v>
      </c>
      <c r="H287" s="46" t="s">
        <v>6646</v>
      </c>
      <c r="I287" s="46" t="s">
        <v>20</v>
      </c>
      <c r="J287" s="47">
        <v>45059</v>
      </c>
      <c r="K287" s="46" t="s">
        <v>91</v>
      </c>
      <c r="L287" s="48">
        <v>67153</v>
      </c>
      <c r="M287" s="49">
        <v>5</v>
      </c>
    </row>
    <row r="288" spans="1:13" x14ac:dyDescent="0.3">
      <c r="A288" s="46" t="s">
        <v>774</v>
      </c>
      <c r="B288" s="46" t="s">
        <v>6627</v>
      </c>
      <c r="C288" s="46" t="s">
        <v>36</v>
      </c>
      <c r="D288" s="46" t="s">
        <v>99</v>
      </c>
      <c r="E288" s="46" t="s">
        <v>372</v>
      </c>
      <c r="F288" s="46" t="s">
        <v>69</v>
      </c>
      <c r="G288" s="46">
        <v>4</v>
      </c>
      <c r="H288" s="46" t="s">
        <v>6644</v>
      </c>
      <c r="I288" s="46" t="s">
        <v>20</v>
      </c>
      <c r="J288" s="47">
        <v>45189</v>
      </c>
      <c r="K288" s="46" t="s">
        <v>104</v>
      </c>
      <c r="L288" s="48">
        <v>66015</v>
      </c>
      <c r="M288" s="49">
        <v>19</v>
      </c>
    </row>
    <row r="289" spans="1:13" x14ac:dyDescent="0.3">
      <c r="A289" s="46" t="s">
        <v>775</v>
      </c>
      <c r="B289" s="46" t="s">
        <v>6628</v>
      </c>
      <c r="C289" s="46" t="s">
        <v>36</v>
      </c>
      <c r="D289" s="46" t="s">
        <v>17</v>
      </c>
      <c r="E289" s="46" t="s">
        <v>18</v>
      </c>
      <c r="F289" s="46" t="s">
        <v>69</v>
      </c>
      <c r="G289" s="46">
        <v>45</v>
      </c>
      <c r="H289" s="46" t="s">
        <v>6645</v>
      </c>
      <c r="I289" s="46" t="s">
        <v>20</v>
      </c>
      <c r="J289" s="47">
        <v>45330</v>
      </c>
      <c r="K289" s="46" t="s">
        <v>104</v>
      </c>
      <c r="L289" s="48">
        <v>45335</v>
      </c>
      <c r="M289" s="49">
        <v>15</v>
      </c>
    </row>
    <row r="290" spans="1:13" x14ac:dyDescent="0.3">
      <c r="A290" s="46" t="s">
        <v>776</v>
      </c>
      <c r="B290" s="46" t="s">
        <v>6628</v>
      </c>
      <c r="C290" s="46" t="s">
        <v>55</v>
      </c>
      <c r="D290" s="46" t="s">
        <v>74</v>
      </c>
      <c r="E290" s="46" t="s">
        <v>192</v>
      </c>
      <c r="F290" s="46" t="s">
        <v>30</v>
      </c>
      <c r="G290" s="46">
        <v>15</v>
      </c>
      <c r="H290" s="46" t="s">
        <v>6646</v>
      </c>
      <c r="I290" s="46" t="s">
        <v>40</v>
      </c>
      <c r="J290" s="47">
        <v>44933</v>
      </c>
      <c r="K290" s="46" t="s">
        <v>91</v>
      </c>
      <c r="L290" s="48">
        <v>16453</v>
      </c>
      <c r="M290" s="49">
        <v>0</v>
      </c>
    </row>
    <row r="291" spans="1:13" x14ac:dyDescent="0.3">
      <c r="A291" s="46" t="s">
        <v>778</v>
      </c>
      <c r="B291" s="46" t="s">
        <v>6627</v>
      </c>
      <c r="C291" s="46" t="s">
        <v>66</v>
      </c>
      <c r="D291" s="46" t="s">
        <v>74</v>
      </c>
      <c r="E291" s="46" t="s">
        <v>192</v>
      </c>
      <c r="F291" s="46" t="s">
        <v>30</v>
      </c>
      <c r="G291" s="46">
        <v>31</v>
      </c>
      <c r="H291" s="46" t="s">
        <v>6645</v>
      </c>
      <c r="I291" s="46" t="s">
        <v>20</v>
      </c>
      <c r="J291" s="47">
        <v>45292</v>
      </c>
      <c r="K291" s="46" t="s">
        <v>104</v>
      </c>
      <c r="L291" s="48">
        <v>11218</v>
      </c>
      <c r="M291" s="49">
        <v>20</v>
      </c>
    </row>
    <row r="292" spans="1:13" x14ac:dyDescent="0.3">
      <c r="A292" s="46" t="s">
        <v>780</v>
      </c>
      <c r="B292" s="46" t="s">
        <v>6626</v>
      </c>
      <c r="C292" s="46" t="s">
        <v>189</v>
      </c>
      <c r="D292" s="46" t="s">
        <v>93</v>
      </c>
      <c r="E292" s="46" t="s">
        <v>144</v>
      </c>
      <c r="F292" s="46" t="s">
        <v>69</v>
      </c>
      <c r="G292" s="46">
        <v>28</v>
      </c>
      <c r="H292" s="46" t="s">
        <v>6645</v>
      </c>
      <c r="I292" s="46" t="s">
        <v>40</v>
      </c>
      <c r="J292" s="47">
        <v>45101</v>
      </c>
      <c r="K292" s="46" t="s">
        <v>87</v>
      </c>
      <c r="L292" s="48">
        <v>67304</v>
      </c>
      <c r="M292" s="49">
        <v>0</v>
      </c>
    </row>
    <row r="293" spans="1:13" x14ac:dyDescent="0.3">
      <c r="A293" s="46" t="s">
        <v>782</v>
      </c>
      <c r="B293" s="46" t="s">
        <v>79</v>
      </c>
      <c r="C293" s="46" t="s">
        <v>80</v>
      </c>
      <c r="D293" s="46" t="s">
        <v>164</v>
      </c>
      <c r="E293" s="46" t="s">
        <v>219</v>
      </c>
      <c r="F293" s="46" t="s">
        <v>69</v>
      </c>
      <c r="G293" s="46">
        <v>62</v>
      </c>
      <c r="H293" s="46" t="s">
        <v>6643</v>
      </c>
      <c r="I293" s="46" t="s">
        <v>40</v>
      </c>
      <c r="J293" s="47">
        <v>45085</v>
      </c>
      <c r="K293" s="46" t="s">
        <v>97</v>
      </c>
      <c r="L293" s="48">
        <v>81665</v>
      </c>
      <c r="M293" s="49">
        <v>0</v>
      </c>
    </row>
    <row r="294" spans="1:13" x14ac:dyDescent="0.3">
      <c r="A294" s="46" t="s">
        <v>784</v>
      </c>
      <c r="B294" s="46" t="s">
        <v>6629</v>
      </c>
      <c r="C294" s="46" t="s">
        <v>27</v>
      </c>
      <c r="D294" s="46" t="s">
        <v>99</v>
      </c>
      <c r="E294" s="46" t="s">
        <v>151</v>
      </c>
      <c r="F294" s="46" t="s">
        <v>30</v>
      </c>
      <c r="G294" s="46">
        <v>27</v>
      </c>
      <c r="H294" s="46" t="s">
        <v>6645</v>
      </c>
      <c r="I294" s="46" t="s">
        <v>40</v>
      </c>
      <c r="J294" s="47">
        <v>45112</v>
      </c>
      <c r="K294" s="46" t="s">
        <v>104</v>
      </c>
      <c r="L294" s="48">
        <v>10432</v>
      </c>
      <c r="M294" s="49">
        <v>30</v>
      </c>
    </row>
    <row r="295" spans="1:13" x14ac:dyDescent="0.3">
      <c r="A295" s="46" t="s">
        <v>785</v>
      </c>
      <c r="B295" s="46" t="s">
        <v>6626</v>
      </c>
      <c r="C295" s="46" t="s">
        <v>16</v>
      </c>
      <c r="D295" s="46" t="s">
        <v>17</v>
      </c>
      <c r="E295" s="46" t="s">
        <v>18</v>
      </c>
      <c r="F295" s="46" t="s">
        <v>30</v>
      </c>
      <c r="G295" s="46">
        <v>13</v>
      </c>
      <c r="H295" s="46" t="s">
        <v>6646</v>
      </c>
      <c r="I295" s="46" t="s">
        <v>40</v>
      </c>
      <c r="J295" s="47">
        <v>45333</v>
      </c>
      <c r="K295" s="46" t="s">
        <v>104</v>
      </c>
      <c r="L295" s="48">
        <v>4306</v>
      </c>
      <c r="M295" s="49">
        <v>12</v>
      </c>
    </row>
    <row r="296" spans="1:13" x14ac:dyDescent="0.3">
      <c r="A296" s="46" t="s">
        <v>787</v>
      </c>
      <c r="B296" s="46" t="s">
        <v>118</v>
      </c>
      <c r="C296" s="46" t="s">
        <v>36</v>
      </c>
      <c r="D296" s="46" t="s">
        <v>37</v>
      </c>
      <c r="E296" s="46" t="s">
        <v>56</v>
      </c>
      <c r="F296" s="46" t="s">
        <v>69</v>
      </c>
      <c r="G296" s="46">
        <v>63</v>
      </c>
      <c r="H296" s="46" t="s">
        <v>6643</v>
      </c>
      <c r="I296" s="46" t="s">
        <v>20</v>
      </c>
      <c r="J296" s="47">
        <v>45312</v>
      </c>
      <c r="K296" s="46" t="s">
        <v>91</v>
      </c>
      <c r="L296" s="48">
        <v>14445</v>
      </c>
      <c r="M296" s="49">
        <v>10</v>
      </c>
    </row>
    <row r="297" spans="1:13" x14ac:dyDescent="0.3">
      <c r="A297" s="46" t="s">
        <v>788</v>
      </c>
      <c r="B297" s="46" t="s">
        <v>79</v>
      </c>
      <c r="C297" s="46" t="s">
        <v>27</v>
      </c>
      <c r="D297" s="46" t="s">
        <v>47</v>
      </c>
      <c r="E297" s="46" t="s">
        <v>48</v>
      </c>
      <c r="F297" s="46" t="s">
        <v>30</v>
      </c>
      <c r="G297" s="46">
        <v>65</v>
      </c>
      <c r="H297" s="46" t="s">
        <v>6643</v>
      </c>
      <c r="I297" s="46" t="s">
        <v>40</v>
      </c>
      <c r="J297" s="47">
        <v>45388</v>
      </c>
      <c r="K297" s="46" t="s">
        <v>91</v>
      </c>
      <c r="L297" s="48">
        <v>10048</v>
      </c>
      <c r="M297" s="49">
        <v>0</v>
      </c>
    </row>
    <row r="298" spans="1:13" x14ac:dyDescent="0.3">
      <c r="A298" s="46" t="s">
        <v>791</v>
      </c>
      <c r="B298" s="46" t="s">
        <v>118</v>
      </c>
      <c r="C298" s="46" t="s">
        <v>16</v>
      </c>
      <c r="D298" s="46" t="s">
        <v>47</v>
      </c>
      <c r="E298" s="46" t="s">
        <v>48</v>
      </c>
      <c r="F298" s="46" t="s">
        <v>30</v>
      </c>
      <c r="G298" s="46">
        <v>66</v>
      </c>
      <c r="H298" s="46" t="s">
        <v>6643</v>
      </c>
      <c r="I298" s="46" t="s">
        <v>40</v>
      </c>
      <c r="J298" s="47">
        <v>45166</v>
      </c>
      <c r="K298" s="46" t="s">
        <v>6632</v>
      </c>
      <c r="L298" s="48">
        <v>4774</v>
      </c>
      <c r="M298" s="49">
        <v>0</v>
      </c>
    </row>
    <row r="299" spans="1:13" x14ac:dyDescent="0.3">
      <c r="A299" s="46" t="s">
        <v>793</v>
      </c>
      <c r="B299" s="46" t="s">
        <v>6628</v>
      </c>
      <c r="C299" s="46" t="s">
        <v>36</v>
      </c>
      <c r="D299" s="46" t="s">
        <v>93</v>
      </c>
      <c r="E299" s="46" t="s">
        <v>121</v>
      </c>
      <c r="F299" s="46" t="s">
        <v>30</v>
      </c>
      <c r="G299" s="46">
        <v>75</v>
      </c>
      <c r="H299" s="46" t="s">
        <v>6643</v>
      </c>
      <c r="I299" s="46" t="s">
        <v>40</v>
      </c>
      <c r="J299" s="47">
        <v>45296</v>
      </c>
      <c r="K299" s="46" t="s">
        <v>97</v>
      </c>
      <c r="L299" s="48">
        <v>6268</v>
      </c>
      <c r="M299" s="49">
        <v>5</v>
      </c>
    </row>
    <row r="300" spans="1:13" x14ac:dyDescent="0.3">
      <c r="A300" s="46" t="s">
        <v>794</v>
      </c>
      <c r="B300" s="46" t="s">
        <v>79</v>
      </c>
      <c r="C300" s="46" t="s">
        <v>80</v>
      </c>
      <c r="D300" s="46" t="s">
        <v>108</v>
      </c>
      <c r="E300" s="46" t="s">
        <v>124</v>
      </c>
      <c r="F300" s="46" t="s">
        <v>69</v>
      </c>
      <c r="G300" s="46">
        <v>19</v>
      </c>
      <c r="H300" s="46" t="s">
        <v>6646</v>
      </c>
      <c r="I300" s="46" t="s">
        <v>20</v>
      </c>
      <c r="J300" s="47">
        <v>45162</v>
      </c>
      <c r="K300" s="46" t="s">
        <v>87</v>
      </c>
      <c r="L300" s="48">
        <v>42491</v>
      </c>
      <c r="M300" s="49">
        <v>0</v>
      </c>
    </row>
    <row r="301" spans="1:13" x14ac:dyDescent="0.3">
      <c r="A301" s="46" t="s">
        <v>796</v>
      </c>
      <c r="B301" s="46" t="s">
        <v>6628</v>
      </c>
      <c r="C301" s="46" t="s">
        <v>61</v>
      </c>
      <c r="D301" s="46" t="s">
        <v>74</v>
      </c>
      <c r="E301" s="46" t="s">
        <v>192</v>
      </c>
      <c r="F301" s="46" t="s">
        <v>30</v>
      </c>
      <c r="G301" s="46">
        <v>19</v>
      </c>
      <c r="H301" s="46" t="s">
        <v>6646</v>
      </c>
      <c r="I301" s="46" t="s">
        <v>40</v>
      </c>
      <c r="J301" s="47">
        <v>45228</v>
      </c>
      <c r="K301" s="46" t="s">
        <v>87</v>
      </c>
      <c r="L301" s="48">
        <v>12012</v>
      </c>
      <c r="M301" s="49">
        <v>10</v>
      </c>
    </row>
    <row r="302" spans="1:13" x14ac:dyDescent="0.3">
      <c r="A302" s="46" t="s">
        <v>799</v>
      </c>
      <c r="B302" s="46" t="s">
        <v>118</v>
      </c>
      <c r="C302" s="46" t="s">
        <v>36</v>
      </c>
      <c r="D302" s="46" t="s">
        <v>99</v>
      </c>
      <c r="E302" s="46" t="s">
        <v>256</v>
      </c>
      <c r="F302" s="46" t="s">
        <v>30</v>
      </c>
      <c r="G302" s="46">
        <v>90</v>
      </c>
      <c r="H302" s="46" t="s">
        <v>6643</v>
      </c>
      <c r="I302" s="46" t="s">
        <v>40</v>
      </c>
      <c r="J302" s="47">
        <v>44962</v>
      </c>
      <c r="K302" s="46" t="s">
        <v>87</v>
      </c>
      <c r="L302" s="48">
        <v>16218</v>
      </c>
      <c r="M302" s="49">
        <v>0</v>
      </c>
    </row>
    <row r="303" spans="1:13" x14ac:dyDescent="0.3">
      <c r="A303" s="46" t="s">
        <v>802</v>
      </c>
      <c r="B303" s="46" t="s">
        <v>6629</v>
      </c>
      <c r="C303" s="46" t="s">
        <v>189</v>
      </c>
      <c r="D303" s="46" t="s">
        <v>164</v>
      </c>
      <c r="E303" s="46" t="s">
        <v>165</v>
      </c>
      <c r="F303" s="46" t="s">
        <v>30</v>
      </c>
      <c r="G303" s="46">
        <v>56</v>
      </c>
      <c r="H303" s="46" t="s">
        <v>6645</v>
      </c>
      <c r="I303" s="46" t="s">
        <v>20</v>
      </c>
      <c r="J303" s="47">
        <v>45079</v>
      </c>
      <c r="K303" s="46" t="s">
        <v>97</v>
      </c>
      <c r="L303" s="48">
        <v>8127</v>
      </c>
      <c r="M303" s="49">
        <v>0</v>
      </c>
    </row>
    <row r="304" spans="1:13" x14ac:dyDescent="0.3">
      <c r="A304" s="46" t="s">
        <v>804</v>
      </c>
      <c r="B304" s="46" t="s">
        <v>118</v>
      </c>
      <c r="C304" s="46" t="s">
        <v>55</v>
      </c>
      <c r="D304" s="46" t="s">
        <v>47</v>
      </c>
      <c r="E304" s="46" t="s">
        <v>175</v>
      </c>
      <c r="F304" s="46" t="s">
        <v>30</v>
      </c>
      <c r="G304" s="46">
        <v>84</v>
      </c>
      <c r="H304" s="46" t="s">
        <v>6643</v>
      </c>
      <c r="I304" s="46" t="s">
        <v>40</v>
      </c>
      <c r="J304" s="47">
        <v>45073</v>
      </c>
      <c r="K304" s="46" t="s">
        <v>104</v>
      </c>
      <c r="L304" s="48">
        <v>4747</v>
      </c>
      <c r="M304" s="49">
        <v>30</v>
      </c>
    </row>
    <row r="305" spans="1:13" x14ac:dyDescent="0.3">
      <c r="A305" s="46" t="s">
        <v>806</v>
      </c>
      <c r="B305" s="46" t="s">
        <v>6629</v>
      </c>
      <c r="C305" s="46" t="s">
        <v>189</v>
      </c>
      <c r="D305" s="46" t="s">
        <v>37</v>
      </c>
      <c r="E305" s="46" t="s">
        <v>56</v>
      </c>
      <c r="F305" s="46" t="s">
        <v>30</v>
      </c>
      <c r="G305" s="46">
        <v>33</v>
      </c>
      <c r="H305" s="46" t="s">
        <v>6645</v>
      </c>
      <c r="I305" s="46" t="s">
        <v>40</v>
      </c>
      <c r="J305" s="47">
        <v>45239</v>
      </c>
      <c r="K305" s="46" t="s">
        <v>72</v>
      </c>
      <c r="L305" s="48">
        <v>16050</v>
      </c>
      <c r="M305" s="49">
        <v>0</v>
      </c>
    </row>
    <row r="306" spans="1:13" x14ac:dyDescent="0.3">
      <c r="A306" s="46" t="s">
        <v>808</v>
      </c>
      <c r="B306" s="46" t="s">
        <v>6628</v>
      </c>
      <c r="C306" s="46" t="s">
        <v>80</v>
      </c>
      <c r="D306" s="46" t="s">
        <v>67</v>
      </c>
      <c r="E306" s="46" t="s">
        <v>68</v>
      </c>
      <c r="F306" s="46" t="s">
        <v>30</v>
      </c>
      <c r="G306" s="46">
        <v>18</v>
      </c>
      <c r="H306" s="46" t="s">
        <v>6646</v>
      </c>
      <c r="I306" s="46" t="s">
        <v>40</v>
      </c>
      <c r="J306" s="47">
        <v>45086</v>
      </c>
      <c r="K306" s="46" t="s">
        <v>72</v>
      </c>
      <c r="L306" s="48">
        <v>10470</v>
      </c>
      <c r="M306" s="49">
        <v>0</v>
      </c>
    </row>
    <row r="307" spans="1:13" x14ac:dyDescent="0.3">
      <c r="A307" s="46" t="s">
        <v>811</v>
      </c>
      <c r="B307" s="46" t="s">
        <v>79</v>
      </c>
      <c r="C307" s="46" t="s">
        <v>16</v>
      </c>
      <c r="D307" s="46" t="s">
        <v>17</v>
      </c>
      <c r="E307" s="46" t="s">
        <v>135</v>
      </c>
      <c r="F307" s="46" t="s">
        <v>30</v>
      </c>
      <c r="G307" s="46">
        <v>55</v>
      </c>
      <c r="H307" s="46" t="s">
        <v>6645</v>
      </c>
      <c r="I307" s="46" t="s">
        <v>20</v>
      </c>
      <c r="J307" s="47">
        <v>45249</v>
      </c>
      <c r="K307" s="46" t="s">
        <v>72</v>
      </c>
      <c r="L307" s="48">
        <v>8615</v>
      </c>
      <c r="M307" s="49">
        <v>3</v>
      </c>
    </row>
    <row r="308" spans="1:13" x14ac:dyDescent="0.3">
      <c r="A308" s="46" t="s">
        <v>813</v>
      </c>
      <c r="B308" s="46" t="s">
        <v>6626</v>
      </c>
      <c r="C308" s="46" t="s">
        <v>16</v>
      </c>
      <c r="D308" s="46" t="s">
        <v>108</v>
      </c>
      <c r="E308" s="46" t="s">
        <v>109</v>
      </c>
      <c r="F308" s="46" t="s">
        <v>30</v>
      </c>
      <c r="G308" s="46">
        <v>87</v>
      </c>
      <c r="H308" s="46" t="s">
        <v>6643</v>
      </c>
      <c r="I308" s="46" t="s">
        <v>40</v>
      </c>
      <c r="J308" s="47">
        <v>45111</v>
      </c>
      <c r="K308" s="46" t="s">
        <v>87</v>
      </c>
      <c r="L308" s="48">
        <v>6613</v>
      </c>
      <c r="M308" s="49">
        <v>5</v>
      </c>
    </row>
    <row r="309" spans="1:13" x14ac:dyDescent="0.3">
      <c r="A309" s="46" t="s">
        <v>815</v>
      </c>
      <c r="B309" s="46" t="s">
        <v>6626</v>
      </c>
      <c r="C309" s="46" t="s">
        <v>16</v>
      </c>
      <c r="D309" s="46" t="s">
        <v>67</v>
      </c>
      <c r="E309" s="46" t="s">
        <v>196</v>
      </c>
      <c r="F309" s="46" t="s">
        <v>69</v>
      </c>
      <c r="G309" s="46">
        <v>84</v>
      </c>
      <c r="H309" s="46" t="s">
        <v>6643</v>
      </c>
      <c r="I309" s="46" t="s">
        <v>20</v>
      </c>
      <c r="J309" s="47">
        <v>45155</v>
      </c>
      <c r="K309" s="46" t="s">
        <v>97</v>
      </c>
      <c r="L309" s="48">
        <v>89496</v>
      </c>
      <c r="M309" s="49">
        <v>0</v>
      </c>
    </row>
    <row r="310" spans="1:13" x14ac:dyDescent="0.3">
      <c r="A310" s="46" t="s">
        <v>817</v>
      </c>
      <c r="B310" s="46" t="s">
        <v>79</v>
      </c>
      <c r="C310" s="46" t="s">
        <v>55</v>
      </c>
      <c r="D310" s="46" t="s">
        <v>17</v>
      </c>
      <c r="E310" s="46" t="s">
        <v>135</v>
      </c>
      <c r="F310" s="46" t="s">
        <v>69</v>
      </c>
      <c r="G310" s="46">
        <v>67</v>
      </c>
      <c r="H310" s="46" t="s">
        <v>6643</v>
      </c>
      <c r="I310" s="46" t="s">
        <v>40</v>
      </c>
      <c r="J310" s="47">
        <v>45181</v>
      </c>
      <c r="K310" s="46" t="s">
        <v>91</v>
      </c>
      <c r="L310" s="48">
        <v>38649</v>
      </c>
      <c r="M310" s="49">
        <v>10</v>
      </c>
    </row>
    <row r="311" spans="1:13" x14ac:dyDescent="0.3">
      <c r="A311" s="46" t="s">
        <v>818</v>
      </c>
      <c r="B311" s="46" t="s">
        <v>6628</v>
      </c>
      <c r="C311" s="46" t="s">
        <v>61</v>
      </c>
      <c r="D311" s="46" t="s">
        <v>28</v>
      </c>
      <c r="E311" s="46" t="s">
        <v>268</v>
      </c>
      <c r="F311" s="46" t="s">
        <v>30</v>
      </c>
      <c r="G311" s="46">
        <v>75</v>
      </c>
      <c r="H311" s="46" t="s">
        <v>6643</v>
      </c>
      <c r="I311" s="46" t="s">
        <v>20</v>
      </c>
      <c r="J311" s="47">
        <v>45009</v>
      </c>
      <c r="K311" s="46" t="s">
        <v>104</v>
      </c>
      <c r="L311" s="48">
        <v>8020</v>
      </c>
      <c r="M311" s="49">
        <v>40</v>
      </c>
    </row>
    <row r="312" spans="1:13" x14ac:dyDescent="0.3">
      <c r="A312" s="46" t="s">
        <v>820</v>
      </c>
      <c r="B312" s="46" t="s">
        <v>6626</v>
      </c>
      <c r="C312" s="46" t="s">
        <v>55</v>
      </c>
      <c r="D312" s="46" t="s">
        <v>37</v>
      </c>
      <c r="E312" s="46" t="s">
        <v>56</v>
      </c>
      <c r="F312" s="46" t="s">
        <v>69</v>
      </c>
      <c r="G312" s="46">
        <v>70</v>
      </c>
      <c r="H312" s="46" t="s">
        <v>6643</v>
      </c>
      <c r="I312" s="46" t="s">
        <v>40</v>
      </c>
      <c r="J312" s="47">
        <v>45067</v>
      </c>
      <c r="K312" s="46" t="s">
        <v>72</v>
      </c>
      <c r="L312" s="48">
        <v>30875</v>
      </c>
      <c r="M312" s="49">
        <v>0</v>
      </c>
    </row>
    <row r="313" spans="1:13" x14ac:dyDescent="0.3">
      <c r="A313" s="46" t="s">
        <v>822</v>
      </c>
      <c r="B313" s="46" t="s">
        <v>6629</v>
      </c>
      <c r="C313" s="46" t="s">
        <v>61</v>
      </c>
      <c r="D313" s="46" t="s">
        <v>164</v>
      </c>
      <c r="E313" s="46" t="s">
        <v>282</v>
      </c>
      <c r="F313" s="46" t="s">
        <v>30</v>
      </c>
      <c r="G313" s="46">
        <v>36</v>
      </c>
      <c r="H313" s="46" t="s">
        <v>6645</v>
      </c>
      <c r="I313" s="46" t="s">
        <v>20</v>
      </c>
      <c r="J313" s="47">
        <v>45237</v>
      </c>
      <c r="K313" s="46" t="s">
        <v>72</v>
      </c>
      <c r="L313" s="48">
        <v>16403</v>
      </c>
      <c r="M313" s="49">
        <v>5</v>
      </c>
    </row>
    <row r="314" spans="1:13" x14ac:dyDescent="0.3">
      <c r="A314" s="46" t="s">
        <v>824</v>
      </c>
      <c r="B314" s="46" t="s">
        <v>118</v>
      </c>
      <c r="C314" s="46" t="s">
        <v>66</v>
      </c>
      <c r="D314" s="46" t="s">
        <v>28</v>
      </c>
      <c r="E314" s="46" t="s">
        <v>29</v>
      </c>
      <c r="F314" s="46" t="s">
        <v>30</v>
      </c>
      <c r="G314" s="46">
        <v>27</v>
      </c>
      <c r="H314" s="46" t="s">
        <v>6645</v>
      </c>
      <c r="I314" s="46" t="s">
        <v>20</v>
      </c>
      <c r="J314" s="47">
        <v>45183</v>
      </c>
      <c r="K314" s="46" t="s">
        <v>91</v>
      </c>
      <c r="L314" s="48">
        <v>16134</v>
      </c>
      <c r="M314" s="49">
        <v>5</v>
      </c>
    </row>
    <row r="315" spans="1:13" x14ac:dyDescent="0.3">
      <c r="A315" s="46" t="s">
        <v>826</v>
      </c>
      <c r="B315" s="46" t="s">
        <v>6626</v>
      </c>
      <c r="C315" s="46" t="s">
        <v>80</v>
      </c>
      <c r="D315" s="46" t="s">
        <v>108</v>
      </c>
      <c r="E315" s="46" t="s">
        <v>124</v>
      </c>
      <c r="F315" s="46" t="s">
        <v>30</v>
      </c>
      <c r="G315" s="46">
        <v>7</v>
      </c>
      <c r="H315" s="46" t="s">
        <v>6644</v>
      </c>
      <c r="I315" s="46" t="s">
        <v>20</v>
      </c>
      <c r="J315" s="47">
        <v>45369</v>
      </c>
      <c r="K315" s="46" t="s">
        <v>104</v>
      </c>
      <c r="L315" s="48">
        <v>7297</v>
      </c>
      <c r="M315" s="49">
        <v>0</v>
      </c>
    </row>
    <row r="316" spans="1:13" x14ac:dyDescent="0.3">
      <c r="A316" s="46" t="s">
        <v>828</v>
      </c>
      <c r="B316" s="46" t="s">
        <v>79</v>
      </c>
      <c r="C316" s="46" t="s">
        <v>27</v>
      </c>
      <c r="D316" s="46" t="s">
        <v>164</v>
      </c>
      <c r="E316" s="46" t="s">
        <v>219</v>
      </c>
      <c r="F316" s="46" t="s">
        <v>30</v>
      </c>
      <c r="G316" s="46">
        <v>38</v>
      </c>
      <c r="H316" s="46" t="s">
        <v>6645</v>
      </c>
      <c r="I316" s="46" t="s">
        <v>20</v>
      </c>
      <c r="J316" s="47">
        <v>45357</v>
      </c>
      <c r="K316" s="46" t="s">
        <v>97</v>
      </c>
      <c r="L316" s="48">
        <v>9072</v>
      </c>
      <c r="M316" s="49">
        <v>0</v>
      </c>
    </row>
    <row r="317" spans="1:13" x14ac:dyDescent="0.3">
      <c r="A317" s="46" t="s">
        <v>830</v>
      </c>
      <c r="B317" s="46" t="s">
        <v>6627</v>
      </c>
      <c r="C317" s="46" t="s">
        <v>16</v>
      </c>
      <c r="D317" s="46" t="s">
        <v>28</v>
      </c>
      <c r="E317" s="46" t="s">
        <v>268</v>
      </c>
      <c r="F317" s="46" t="s">
        <v>69</v>
      </c>
      <c r="G317" s="46">
        <v>8</v>
      </c>
      <c r="H317" s="46" t="s">
        <v>6644</v>
      </c>
      <c r="I317" s="46" t="s">
        <v>40</v>
      </c>
      <c r="J317" s="47">
        <v>45009</v>
      </c>
      <c r="K317" s="46" t="s">
        <v>91</v>
      </c>
      <c r="L317" s="48">
        <v>53618</v>
      </c>
      <c r="M317" s="49">
        <v>10</v>
      </c>
    </row>
    <row r="318" spans="1:13" x14ac:dyDescent="0.3">
      <c r="A318" s="46" t="s">
        <v>831</v>
      </c>
      <c r="B318" s="46" t="s">
        <v>79</v>
      </c>
      <c r="C318" s="46" t="s">
        <v>61</v>
      </c>
      <c r="D318" s="46" t="s">
        <v>99</v>
      </c>
      <c r="E318" s="46" t="s">
        <v>100</v>
      </c>
      <c r="F318" s="46" t="s">
        <v>30</v>
      </c>
      <c r="G318" s="46">
        <v>84</v>
      </c>
      <c r="H318" s="46" t="s">
        <v>6643</v>
      </c>
      <c r="I318" s="46" t="s">
        <v>40</v>
      </c>
      <c r="J318" s="47">
        <v>45173</v>
      </c>
      <c r="K318" s="46" t="s">
        <v>97</v>
      </c>
      <c r="L318" s="48">
        <v>9420</v>
      </c>
      <c r="M318" s="49">
        <v>0</v>
      </c>
    </row>
    <row r="319" spans="1:13" x14ac:dyDescent="0.3">
      <c r="A319" s="46" t="s">
        <v>832</v>
      </c>
      <c r="B319" s="46" t="s">
        <v>6627</v>
      </c>
      <c r="C319" s="46" t="s">
        <v>80</v>
      </c>
      <c r="D319" s="46" t="s">
        <v>99</v>
      </c>
      <c r="E319" s="46" t="s">
        <v>151</v>
      </c>
      <c r="F319" s="46" t="s">
        <v>69</v>
      </c>
      <c r="G319" s="46">
        <v>71</v>
      </c>
      <c r="H319" s="46" t="s">
        <v>6643</v>
      </c>
      <c r="I319" s="46" t="s">
        <v>40</v>
      </c>
      <c r="J319" s="47">
        <v>45317</v>
      </c>
      <c r="K319" s="46" t="s">
        <v>87</v>
      </c>
      <c r="L319" s="48">
        <v>63056</v>
      </c>
      <c r="M319" s="49">
        <v>0</v>
      </c>
    </row>
    <row r="320" spans="1:13" x14ac:dyDescent="0.3">
      <c r="A320" s="46" t="s">
        <v>835</v>
      </c>
      <c r="B320" s="46" t="s">
        <v>6628</v>
      </c>
      <c r="C320" s="46" t="s">
        <v>61</v>
      </c>
      <c r="D320" s="46" t="s">
        <v>47</v>
      </c>
      <c r="E320" s="46" t="s">
        <v>175</v>
      </c>
      <c r="F320" s="46" t="s">
        <v>6632</v>
      </c>
      <c r="G320" s="46">
        <v>27</v>
      </c>
      <c r="H320" s="46" t="s">
        <v>6645</v>
      </c>
      <c r="I320" s="46" t="s">
        <v>40</v>
      </c>
      <c r="J320" s="47">
        <v>44990</v>
      </c>
      <c r="K320" s="46" t="s">
        <v>97</v>
      </c>
      <c r="L320" s="48">
        <v>12313</v>
      </c>
      <c r="M320" s="49">
        <v>0</v>
      </c>
    </row>
    <row r="321" spans="1:13" x14ac:dyDescent="0.3">
      <c r="A321" s="46" t="s">
        <v>837</v>
      </c>
      <c r="B321" s="46" t="s">
        <v>6627</v>
      </c>
      <c r="C321" s="46" t="s">
        <v>16</v>
      </c>
      <c r="D321" s="46" t="s">
        <v>37</v>
      </c>
      <c r="E321" s="46" t="s">
        <v>132</v>
      </c>
      <c r="F321" s="46" t="s">
        <v>30</v>
      </c>
      <c r="G321" s="46">
        <v>91</v>
      </c>
      <c r="H321" s="46" t="s">
        <v>6643</v>
      </c>
      <c r="I321" s="46" t="s">
        <v>20</v>
      </c>
      <c r="J321" s="47">
        <v>44959</v>
      </c>
      <c r="K321" s="46" t="s">
        <v>72</v>
      </c>
      <c r="L321" s="48">
        <v>16050</v>
      </c>
      <c r="M321" s="49">
        <v>0</v>
      </c>
    </row>
    <row r="322" spans="1:13" x14ac:dyDescent="0.3">
      <c r="A322" s="46" t="s">
        <v>838</v>
      </c>
      <c r="B322" s="46" t="s">
        <v>79</v>
      </c>
      <c r="C322" s="46" t="s">
        <v>66</v>
      </c>
      <c r="D322" s="46" t="s">
        <v>108</v>
      </c>
      <c r="E322" s="46" t="s">
        <v>308</v>
      </c>
      <c r="F322" s="46" t="s">
        <v>30</v>
      </c>
      <c r="G322" s="46">
        <v>35</v>
      </c>
      <c r="H322" s="46" t="s">
        <v>6645</v>
      </c>
      <c r="I322" s="46" t="s">
        <v>20</v>
      </c>
      <c r="J322" s="47">
        <v>45145</v>
      </c>
      <c r="K322" s="46" t="s">
        <v>91</v>
      </c>
      <c r="L322" s="48">
        <v>5281</v>
      </c>
      <c r="M322" s="49">
        <v>10</v>
      </c>
    </row>
    <row r="323" spans="1:13" x14ac:dyDescent="0.3">
      <c r="A323" s="46" t="s">
        <v>840</v>
      </c>
      <c r="B323" s="46" t="s">
        <v>6629</v>
      </c>
      <c r="C323" s="46" t="s">
        <v>16</v>
      </c>
      <c r="D323" s="46" t="s">
        <v>164</v>
      </c>
      <c r="E323" s="46" t="s">
        <v>219</v>
      </c>
      <c r="F323" s="46" t="s">
        <v>69</v>
      </c>
      <c r="G323" s="46">
        <v>14</v>
      </c>
      <c r="H323" s="46" t="s">
        <v>6646</v>
      </c>
      <c r="I323" s="46" t="s">
        <v>40</v>
      </c>
      <c r="J323" s="47">
        <v>45404</v>
      </c>
      <c r="K323" s="46" t="s">
        <v>87</v>
      </c>
      <c r="L323" s="48">
        <v>34144</v>
      </c>
      <c r="M323" s="49">
        <v>5</v>
      </c>
    </row>
    <row r="324" spans="1:13" x14ac:dyDescent="0.3">
      <c r="A324" s="46" t="s">
        <v>842</v>
      </c>
      <c r="B324" s="46" t="s">
        <v>79</v>
      </c>
      <c r="C324" s="46" t="s">
        <v>61</v>
      </c>
      <c r="D324" s="46" t="s">
        <v>108</v>
      </c>
      <c r="E324" s="46" t="s">
        <v>272</v>
      </c>
      <c r="F324" s="46" t="s">
        <v>30</v>
      </c>
      <c r="G324" s="46">
        <v>4</v>
      </c>
      <c r="H324" s="46" t="s">
        <v>6644</v>
      </c>
      <c r="I324" s="46" t="s">
        <v>20</v>
      </c>
      <c r="J324" s="47">
        <v>45145</v>
      </c>
      <c r="K324" s="46" t="s">
        <v>91</v>
      </c>
      <c r="L324" s="48">
        <v>15622</v>
      </c>
      <c r="M324" s="49">
        <v>0</v>
      </c>
    </row>
    <row r="325" spans="1:13" x14ac:dyDescent="0.3">
      <c r="A325" s="46" t="s">
        <v>844</v>
      </c>
      <c r="B325" s="46" t="s">
        <v>6627</v>
      </c>
      <c r="C325" s="46" t="s">
        <v>16</v>
      </c>
      <c r="D325" s="46" t="s">
        <v>67</v>
      </c>
      <c r="E325" s="46" t="s">
        <v>89</v>
      </c>
      <c r="F325" s="46" t="s">
        <v>30</v>
      </c>
      <c r="G325" s="46">
        <v>40</v>
      </c>
      <c r="H325" s="46" t="s">
        <v>6645</v>
      </c>
      <c r="I325" s="46" t="s">
        <v>20</v>
      </c>
      <c r="J325" s="47">
        <v>45217</v>
      </c>
      <c r="K325" s="46" t="s">
        <v>91</v>
      </c>
      <c r="L325" s="48">
        <v>6147</v>
      </c>
      <c r="M325" s="49">
        <v>0</v>
      </c>
    </row>
    <row r="326" spans="1:13" x14ac:dyDescent="0.3">
      <c r="A326" s="46" t="s">
        <v>846</v>
      </c>
      <c r="B326" s="46" t="s">
        <v>79</v>
      </c>
      <c r="C326" s="46" t="s">
        <v>36</v>
      </c>
      <c r="D326" s="46" t="s">
        <v>37</v>
      </c>
      <c r="E326" s="46" t="s">
        <v>132</v>
      </c>
      <c r="F326" s="46" t="s">
        <v>69</v>
      </c>
      <c r="G326" s="46">
        <v>50</v>
      </c>
      <c r="H326" s="46" t="s">
        <v>6645</v>
      </c>
      <c r="I326" s="46" t="s">
        <v>40</v>
      </c>
      <c r="J326" s="47">
        <v>45098</v>
      </c>
      <c r="K326" s="46" t="s">
        <v>97</v>
      </c>
      <c r="L326" s="48">
        <v>78316</v>
      </c>
      <c r="M326" s="49">
        <v>5</v>
      </c>
    </row>
    <row r="327" spans="1:13" x14ac:dyDescent="0.3">
      <c r="A327" s="46" t="s">
        <v>847</v>
      </c>
      <c r="B327" s="46" t="s">
        <v>79</v>
      </c>
      <c r="C327" s="46" t="s">
        <v>16</v>
      </c>
      <c r="D327" s="46" t="s">
        <v>28</v>
      </c>
      <c r="E327" s="46" t="s">
        <v>29</v>
      </c>
      <c r="F327" s="46" t="s">
        <v>30</v>
      </c>
      <c r="G327" s="46">
        <v>44</v>
      </c>
      <c r="H327" s="46" t="s">
        <v>6645</v>
      </c>
      <c r="I327" s="46" t="s">
        <v>40</v>
      </c>
      <c r="J327" s="47">
        <v>44967</v>
      </c>
      <c r="K327" s="46" t="s">
        <v>97</v>
      </c>
      <c r="L327" s="48">
        <v>16880</v>
      </c>
      <c r="M327" s="49">
        <v>0</v>
      </c>
    </row>
    <row r="328" spans="1:13" x14ac:dyDescent="0.3">
      <c r="A328" s="46" t="s">
        <v>849</v>
      </c>
      <c r="B328" s="46" t="s">
        <v>118</v>
      </c>
      <c r="C328" s="46" t="s">
        <v>55</v>
      </c>
      <c r="D328" s="46" t="s">
        <v>108</v>
      </c>
      <c r="E328" s="46" t="s">
        <v>109</v>
      </c>
      <c r="F328" s="46" t="s">
        <v>69</v>
      </c>
      <c r="G328" s="46">
        <v>16</v>
      </c>
      <c r="H328" s="46" t="s">
        <v>6646</v>
      </c>
      <c r="I328" s="46" t="s">
        <v>40</v>
      </c>
      <c r="J328" s="47">
        <v>45258</v>
      </c>
      <c r="K328" s="46" t="s">
        <v>72</v>
      </c>
      <c r="L328" s="48">
        <v>40523</v>
      </c>
      <c r="M328" s="49">
        <v>0</v>
      </c>
    </row>
    <row r="329" spans="1:13" x14ac:dyDescent="0.3">
      <c r="A329" s="46" t="s">
        <v>850</v>
      </c>
      <c r="B329" s="46" t="s">
        <v>6626</v>
      </c>
      <c r="C329" s="46" t="s">
        <v>36</v>
      </c>
      <c r="D329" s="46" t="s">
        <v>93</v>
      </c>
      <c r="E329" s="46" t="s">
        <v>144</v>
      </c>
      <c r="F329" s="46" t="s">
        <v>30</v>
      </c>
      <c r="G329" s="46">
        <v>34</v>
      </c>
      <c r="H329" s="46" t="s">
        <v>6645</v>
      </c>
      <c r="I329" s="46" t="s">
        <v>40</v>
      </c>
      <c r="J329" s="47">
        <v>45159</v>
      </c>
      <c r="K329" s="46" t="s">
        <v>97</v>
      </c>
      <c r="L329" s="48">
        <v>5816</v>
      </c>
      <c r="M329" s="49">
        <v>3</v>
      </c>
    </row>
    <row r="330" spans="1:13" x14ac:dyDescent="0.3">
      <c r="A330" s="46" t="s">
        <v>853</v>
      </c>
      <c r="B330" s="46" t="s">
        <v>6629</v>
      </c>
      <c r="C330" s="46" t="s">
        <v>66</v>
      </c>
      <c r="D330" s="46" t="s">
        <v>37</v>
      </c>
      <c r="E330" s="46" t="s">
        <v>56</v>
      </c>
      <c r="F330" s="46" t="s">
        <v>30</v>
      </c>
      <c r="G330" s="46">
        <v>29</v>
      </c>
      <c r="H330" s="46" t="s">
        <v>6645</v>
      </c>
      <c r="I330" s="46" t="s">
        <v>20</v>
      </c>
      <c r="J330" s="47">
        <v>45132</v>
      </c>
      <c r="K330" s="46" t="s">
        <v>72</v>
      </c>
      <c r="L330" s="48">
        <v>16650</v>
      </c>
      <c r="M330" s="49">
        <v>0</v>
      </c>
    </row>
    <row r="331" spans="1:13" x14ac:dyDescent="0.3">
      <c r="A331" s="46" t="s">
        <v>855</v>
      </c>
      <c r="B331" s="46" t="s">
        <v>6626</v>
      </c>
      <c r="C331" s="46" t="s">
        <v>27</v>
      </c>
      <c r="D331" s="46" t="s">
        <v>17</v>
      </c>
      <c r="E331" s="46" t="s">
        <v>169</v>
      </c>
      <c r="F331" s="46" t="s">
        <v>30</v>
      </c>
      <c r="G331" s="46">
        <v>73</v>
      </c>
      <c r="H331" s="46" t="s">
        <v>6643</v>
      </c>
      <c r="I331" s="46" t="s">
        <v>40</v>
      </c>
      <c r="J331" s="47">
        <v>45076</v>
      </c>
      <c r="K331" s="46" t="s">
        <v>87</v>
      </c>
      <c r="L331" s="48">
        <v>5079</v>
      </c>
      <c r="M331" s="49">
        <v>0</v>
      </c>
    </row>
    <row r="332" spans="1:13" x14ac:dyDescent="0.3">
      <c r="A332" s="46" t="s">
        <v>856</v>
      </c>
      <c r="B332" s="46" t="s">
        <v>6626</v>
      </c>
      <c r="C332" s="46" t="s">
        <v>189</v>
      </c>
      <c r="D332" s="46" t="s">
        <v>67</v>
      </c>
      <c r="E332" s="46" t="s">
        <v>89</v>
      </c>
      <c r="F332" s="46" t="s">
        <v>69</v>
      </c>
      <c r="G332" s="46">
        <v>15</v>
      </c>
      <c r="H332" s="46" t="s">
        <v>6646</v>
      </c>
      <c r="I332" s="46" t="s">
        <v>20</v>
      </c>
      <c r="J332" s="47">
        <v>45049</v>
      </c>
      <c r="K332" s="46" t="s">
        <v>72</v>
      </c>
      <c r="L332" s="48">
        <v>27046</v>
      </c>
      <c r="M332" s="49">
        <v>0</v>
      </c>
    </row>
    <row r="333" spans="1:13" x14ac:dyDescent="0.3">
      <c r="A333" s="46" t="s">
        <v>858</v>
      </c>
      <c r="B333" s="46" t="s">
        <v>6627</v>
      </c>
      <c r="C333" s="46" t="s">
        <v>80</v>
      </c>
      <c r="D333" s="46" t="s">
        <v>99</v>
      </c>
      <c r="E333" s="46" t="s">
        <v>256</v>
      </c>
      <c r="F333" s="46" t="s">
        <v>30</v>
      </c>
      <c r="G333" s="46">
        <v>31</v>
      </c>
      <c r="H333" s="46" t="s">
        <v>6645</v>
      </c>
      <c r="I333" s="46" t="s">
        <v>40</v>
      </c>
      <c r="J333" s="47">
        <v>45391</v>
      </c>
      <c r="K333" s="46" t="s">
        <v>72</v>
      </c>
      <c r="L333" s="48">
        <v>8091</v>
      </c>
      <c r="M333" s="49">
        <v>0</v>
      </c>
    </row>
    <row r="334" spans="1:13" x14ac:dyDescent="0.3">
      <c r="A334" s="46" t="s">
        <v>860</v>
      </c>
      <c r="B334" s="46" t="s">
        <v>79</v>
      </c>
      <c r="C334" s="46" t="s">
        <v>55</v>
      </c>
      <c r="D334" s="46" t="s">
        <v>108</v>
      </c>
      <c r="E334" s="46" t="s">
        <v>272</v>
      </c>
      <c r="F334" s="46" t="s">
        <v>69</v>
      </c>
      <c r="G334" s="46">
        <v>72</v>
      </c>
      <c r="H334" s="46" t="s">
        <v>6643</v>
      </c>
      <c r="I334" s="46" t="s">
        <v>20</v>
      </c>
      <c r="J334" s="47">
        <v>45153</v>
      </c>
      <c r="K334" s="46" t="s">
        <v>87</v>
      </c>
      <c r="L334" s="48">
        <v>89885</v>
      </c>
      <c r="M334" s="49">
        <v>0</v>
      </c>
    </row>
    <row r="335" spans="1:13" x14ac:dyDescent="0.3">
      <c r="A335" s="46" t="s">
        <v>862</v>
      </c>
      <c r="B335" s="46" t="s">
        <v>6629</v>
      </c>
      <c r="C335" s="46" t="s">
        <v>36</v>
      </c>
      <c r="D335" s="46" t="s">
        <v>47</v>
      </c>
      <c r="E335" s="46" t="s">
        <v>48</v>
      </c>
      <c r="F335" s="46" t="s">
        <v>30</v>
      </c>
      <c r="G335" s="46">
        <v>54</v>
      </c>
      <c r="H335" s="46" t="s">
        <v>6645</v>
      </c>
      <c r="I335" s="46" t="s">
        <v>40</v>
      </c>
      <c r="J335" s="47">
        <v>45267</v>
      </c>
      <c r="K335" s="46" t="s">
        <v>72</v>
      </c>
      <c r="L335" s="48">
        <v>8622</v>
      </c>
      <c r="M335" s="49">
        <v>5</v>
      </c>
    </row>
    <row r="336" spans="1:13" x14ac:dyDescent="0.3">
      <c r="A336" s="46" t="s">
        <v>865</v>
      </c>
      <c r="B336" s="46" t="s">
        <v>6627</v>
      </c>
      <c r="C336" s="46" t="s">
        <v>61</v>
      </c>
      <c r="D336" s="46" t="s">
        <v>93</v>
      </c>
      <c r="E336" s="46" t="s">
        <v>94</v>
      </c>
      <c r="F336" s="46" t="s">
        <v>30</v>
      </c>
      <c r="G336" s="46">
        <v>33</v>
      </c>
      <c r="H336" s="46" t="s">
        <v>6645</v>
      </c>
      <c r="I336" s="46" t="s">
        <v>40</v>
      </c>
      <c r="J336" s="47">
        <v>45091</v>
      </c>
      <c r="K336" s="46" t="s">
        <v>97</v>
      </c>
      <c r="L336" s="48">
        <v>9677</v>
      </c>
      <c r="M336" s="49">
        <v>3</v>
      </c>
    </row>
    <row r="337" spans="1:13" x14ac:dyDescent="0.3">
      <c r="A337" s="46" t="s">
        <v>867</v>
      </c>
      <c r="B337" s="46" t="s">
        <v>6626</v>
      </c>
      <c r="C337" s="46" t="s">
        <v>36</v>
      </c>
      <c r="D337" s="46" t="s">
        <v>28</v>
      </c>
      <c r="E337" s="46" t="s">
        <v>268</v>
      </c>
      <c r="F337" s="46" t="s">
        <v>30</v>
      </c>
      <c r="G337" s="46">
        <v>89</v>
      </c>
      <c r="H337" s="46" t="s">
        <v>6643</v>
      </c>
      <c r="I337" s="46" t="s">
        <v>20</v>
      </c>
      <c r="J337" s="47">
        <v>45066</v>
      </c>
      <c r="K337" s="46" t="s">
        <v>87</v>
      </c>
      <c r="L337" s="48">
        <v>4994</v>
      </c>
      <c r="M337" s="49">
        <v>0</v>
      </c>
    </row>
    <row r="338" spans="1:13" x14ac:dyDescent="0.3">
      <c r="A338" s="46" t="s">
        <v>870</v>
      </c>
      <c r="B338" s="46" t="s">
        <v>6626</v>
      </c>
      <c r="C338" s="46" t="s">
        <v>16</v>
      </c>
      <c r="D338" s="46" t="s">
        <v>99</v>
      </c>
      <c r="E338" s="46" t="s">
        <v>372</v>
      </c>
      <c r="F338" s="46" t="s">
        <v>30</v>
      </c>
      <c r="G338" s="46">
        <v>6</v>
      </c>
      <c r="H338" s="46" t="s">
        <v>6644</v>
      </c>
      <c r="I338" s="46" t="s">
        <v>40</v>
      </c>
      <c r="J338" s="47">
        <v>44994</v>
      </c>
      <c r="K338" s="46" t="s">
        <v>87</v>
      </c>
      <c r="L338" s="48">
        <v>14104</v>
      </c>
      <c r="M338" s="49">
        <v>0</v>
      </c>
    </row>
    <row r="339" spans="1:13" x14ac:dyDescent="0.3">
      <c r="A339" s="46" t="s">
        <v>872</v>
      </c>
      <c r="B339" s="46" t="s">
        <v>6627</v>
      </c>
      <c r="C339" s="46" t="s">
        <v>16</v>
      </c>
      <c r="D339" s="46" t="s">
        <v>37</v>
      </c>
      <c r="E339" s="46" t="s">
        <v>56</v>
      </c>
      <c r="F339" s="46" t="s">
        <v>30</v>
      </c>
      <c r="G339" s="46">
        <v>43</v>
      </c>
      <c r="H339" s="46" t="s">
        <v>6645</v>
      </c>
      <c r="I339" s="46" t="s">
        <v>20</v>
      </c>
      <c r="J339" s="47">
        <v>45363</v>
      </c>
      <c r="K339" s="46" t="s">
        <v>72</v>
      </c>
      <c r="L339" s="48">
        <v>8410</v>
      </c>
      <c r="M339" s="49">
        <v>3</v>
      </c>
    </row>
    <row r="340" spans="1:13" x14ac:dyDescent="0.3">
      <c r="A340" s="46" t="s">
        <v>874</v>
      </c>
      <c r="B340" s="46" t="s">
        <v>118</v>
      </c>
      <c r="C340" s="46" t="s">
        <v>61</v>
      </c>
      <c r="D340" s="46" t="s">
        <v>47</v>
      </c>
      <c r="E340" s="46" t="s">
        <v>48</v>
      </c>
      <c r="F340" s="46" t="s">
        <v>69</v>
      </c>
      <c r="G340" s="46">
        <v>49</v>
      </c>
      <c r="H340" s="46" t="s">
        <v>6645</v>
      </c>
      <c r="I340" s="46" t="s">
        <v>20</v>
      </c>
      <c r="J340" s="47">
        <v>45303</v>
      </c>
      <c r="K340" s="46" t="s">
        <v>72</v>
      </c>
      <c r="L340" s="48">
        <v>61855</v>
      </c>
      <c r="M340" s="49">
        <v>10</v>
      </c>
    </row>
    <row r="341" spans="1:13" x14ac:dyDescent="0.3">
      <c r="A341" s="46" t="s">
        <v>876</v>
      </c>
      <c r="B341" s="46" t="s">
        <v>6629</v>
      </c>
      <c r="C341" s="46" t="s">
        <v>36</v>
      </c>
      <c r="D341" s="46" t="s">
        <v>74</v>
      </c>
      <c r="E341" s="46" t="s">
        <v>75</v>
      </c>
      <c r="F341" s="46" t="s">
        <v>30</v>
      </c>
      <c r="G341" s="46">
        <v>30</v>
      </c>
      <c r="H341" s="46" t="s">
        <v>6645</v>
      </c>
      <c r="I341" s="46" t="s">
        <v>40</v>
      </c>
      <c r="J341" s="47">
        <v>45227</v>
      </c>
      <c r="K341" s="46" t="s">
        <v>87</v>
      </c>
      <c r="L341" s="48">
        <v>12196</v>
      </c>
      <c r="M341" s="49">
        <v>10</v>
      </c>
    </row>
    <row r="342" spans="1:13" x14ac:dyDescent="0.3">
      <c r="A342" s="46" t="s">
        <v>878</v>
      </c>
      <c r="B342" s="46" t="s">
        <v>118</v>
      </c>
      <c r="C342" s="46" t="s">
        <v>66</v>
      </c>
      <c r="D342" s="46" t="s">
        <v>17</v>
      </c>
      <c r="E342" s="46" t="s">
        <v>213</v>
      </c>
      <c r="F342" s="46" t="s">
        <v>30</v>
      </c>
      <c r="G342" s="46">
        <v>52</v>
      </c>
      <c r="H342" s="46" t="s">
        <v>6645</v>
      </c>
      <c r="I342" s="46" t="s">
        <v>40</v>
      </c>
      <c r="J342" s="47">
        <v>45261</v>
      </c>
      <c r="K342" s="46" t="s">
        <v>87</v>
      </c>
      <c r="L342" s="48">
        <v>15156</v>
      </c>
      <c r="M342" s="49">
        <v>10</v>
      </c>
    </row>
    <row r="343" spans="1:13" x14ac:dyDescent="0.3">
      <c r="A343" s="46" t="s">
        <v>880</v>
      </c>
      <c r="B343" s="46" t="s">
        <v>6628</v>
      </c>
      <c r="C343" s="46" t="s">
        <v>80</v>
      </c>
      <c r="D343" s="46" t="s">
        <v>99</v>
      </c>
      <c r="E343" s="46" t="s">
        <v>151</v>
      </c>
      <c r="F343" s="46" t="s">
        <v>69</v>
      </c>
      <c r="G343" s="46">
        <v>60</v>
      </c>
      <c r="H343" s="46" t="s">
        <v>6643</v>
      </c>
      <c r="I343" s="46" t="s">
        <v>40</v>
      </c>
      <c r="J343" s="47">
        <v>45233</v>
      </c>
      <c r="K343" s="46" t="s">
        <v>91</v>
      </c>
      <c r="L343" s="48">
        <v>42962</v>
      </c>
      <c r="M343" s="49">
        <v>0</v>
      </c>
    </row>
    <row r="344" spans="1:13" x14ac:dyDescent="0.3">
      <c r="A344" s="46" t="s">
        <v>881</v>
      </c>
      <c r="B344" s="46" t="s">
        <v>6628</v>
      </c>
      <c r="C344" s="46" t="s">
        <v>80</v>
      </c>
      <c r="D344" s="46" t="s">
        <v>108</v>
      </c>
      <c r="E344" s="46" t="s">
        <v>272</v>
      </c>
      <c r="F344" s="46" t="s">
        <v>30</v>
      </c>
      <c r="G344" s="46">
        <v>9</v>
      </c>
      <c r="H344" s="46" t="s">
        <v>6644</v>
      </c>
      <c r="I344" s="46" t="s">
        <v>20</v>
      </c>
      <c r="J344" s="47">
        <v>45390</v>
      </c>
      <c r="K344" s="46" t="s">
        <v>6632</v>
      </c>
      <c r="L344" s="48">
        <v>5682</v>
      </c>
      <c r="M344" s="49">
        <v>5</v>
      </c>
    </row>
    <row r="345" spans="1:13" x14ac:dyDescent="0.3">
      <c r="A345" s="46" t="s">
        <v>883</v>
      </c>
      <c r="B345" s="46" t="s">
        <v>6629</v>
      </c>
      <c r="C345" s="46" t="s">
        <v>55</v>
      </c>
      <c r="D345" s="46" t="s">
        <v>67</v>
      </c>
      <c r="E345" s="46" t="s">
        <v>89</v>
      </c>
      <c r="F345" s="46" t="s">
        <v>30</v>
      </c>
      <c r="G345" s="46">
        <v>38</v>
      </c>
      <c r="H345" s="46" t="s">
        <v>6645</v>
      </c>
      <c r="I345" s="46" t="s">
        <v>20</v>
      </c>
      <c r="J345" s="47">
        <v>45034</v>
      </c>
      <c r="K345" s="46" t="s">
        <v>87</v>
      </c>
      <c r="L345" s="48">
        <v>10224</v>
      </c>
      <c r="M345" s="49">
        <v>0</v>
      </c>
    </row>
    <row r="346" spans="1:13" x14ac:dyDescent="0.3">
      <c r="A346" s="46" t="s">
        <v>884</v>
      </c>
      <c r="B346" s="46" t="s">
        <v>6626</v>
      </c>
      <c r="C346" s="46" t="s">
        <v>55</v>
      </c>
      <c r="D346" s="46" t="s">
        <v>108</v>
      </c>
      <c r="E346" s="46" t="s">
        <v>272</v>
      </c>
      <c r="F346" s="46" t="s">
        <v>30</v>
      </c>
      <c r="G346" s="46">
        <v>18</v>
      </c>
      <c r="H346" s="46" t="s">
        <v>6646</v>
      </c>
      <c r="I346" s="46" t="s">
        <v>20</v>
      </c>
      <c r="J346" s="47">
        <v>45272</v>
      </c>
      <c r="K346" s="46" t="s">
        <v>104</v>
      </c>
      <c r="L346" s="48">
        <v>5723</v>
      </c>
      <c r="M346" s="49">
        <v>15</v>
      </c>
    </row>
    <row r="347" spans="1:13" x14ac:dyDescent="0.3">
      <c r="A347" s="46" t="s">
        <v>887</v>
      </c>
      <c r="B347" s="46" t="s">
        <v>6626</v>
      </c>
      <c r="C347" s="46" t="s">
        <v>36</v>
      </c>
      <c r="D347" s="46" t="s">
        <v>93</v>
      </c>
      <c r="E347" s="46" t="s">
        <v>144</v>
      </c>
      <c r="F347" s="46" t="s">
        <v>30</v>
      </c>
      <c r="G347" s="46">
        <v>91</v>
      </c>
      <c r="H347" s="46" t="s">
        <v>6643</v>
      </c>
      <c r="I347" s="46" t="s">
        <v>40</v>
      </c>
      <c r="J347" s="47">
        <v>45011</v>
      </c>
      <c r="K347" s="46" t="s">
        <v>87</v>
      </c>
      <c r="L347" s="48">
        <v>14522</v>
      </c>
      <c r="M347" s="49">
        <v>5</v>
      </c>
    </row>
    <row r="348" spans="1:13" x14ac:dyDescent="0.3">
      <c r="A348" s="46" t="s">
        <v>889</v>
      </c>
      <c r="B348" s="46" t="s">
        <v>118</v>
      </c>
      <c r="C348" s="46" t="s">
        <v>36</v>
      </c>
      <c r="D348" s="46" t="s">
        <v>93</v>
      </c>
      <c r="E348" s="46" t="s">
        <v>121</v>
      </c>
      <c r="F348" s="46" t="s">
        <v>30</v>
      </c>
      <c r="G348" s="46">
        <v>34</v>
      </c>
      <c r="H348" s="46" t="s">
        <v>6645</v>
      </c>
      <c r="I348" s="46" t="s">
        <v>40</v>
      </c>
      <c r="J348" s="47">
        <v>45183</v>
      </c>
      <c r="K348" s="46" t="s">
        <v>91</v>
      </c>
      <c r="L348" s="48">
        <v>7461</v>
      </c>
      <c r="M348" s="49">
        <v>0</v>
      </c>
    </row>
    <row r="349" spans="1:13" x14ac:dyDescent="0.3">
      <c r="A349" s="46" t="s">
        <v>890</v>
      </c>
      <c r="B349" s="46" t="s">
        <v>118</v>
      </c>
      <c r="C349" s="46" t="s">
        <v>27</v>
      </c>
      <c r="D349" s="46" t="s">
        <v>67</v>
      </c>
      <c r="E349" s="46" t="s">
        <v>85</v>
      </c>
      <c r="F349" s="46" t="s">
        <v>30</v>
      </c>
      <c r="G349" s="46">
        <v>86</v>
      </c>
      <c r="H349" s="46" t="s">
        <v>6643</v>
      </c>
      <c r="I349" s="46" t="s">
        <v>40</v>
      </c>
      <c r="J349" s="47">
        <v>45307</v>
      </c>
      <c r="K349" s="46" t="s">
        <v>87</v>
      </c>
      <c r="L349" s="48">
        <v>12129</v>
      </c>
      <c r="M349" s="49">
        <v>10</v>
      </c>
    </row>
    <row r="350" spans="1:13" x14ac:dyDescent="0.3">
      <c r="A350" s="46" t="s">
        <v>892</v>
      </c>
      <c r="B350" s="46" t="s">
        <v>6626</v>
      </c>
      <c r="C350" s="46" t="s">
        <v>27</v>
      </c>
      <c r="D350" s="46" t="s">
        <v>108</v>
      </c>
      <c r="E350" s="46" t="s">
        <v>124</v>
      </c>
      <c r="F350" s="46" t="s">
        <v>30</v>
      </c>
      <c r="G350" s="46">
        <v>35</v>
      </c>
      <c r="H350" s="46" t="s">
        <v>6645</v>
      </c>
      <c r="I350" s="46" t="s">
        <v>20</v>
      </c>
      <c r="J350" s="47">
        <v>45017</v>
      </c>
      <c r="K350" s="46" t="s">
        <v>87</v>
      </c>
      <c r="L350" s="48">
        <v>12484</v>
      </c>
      <c r="M350" s="49">
        <v>10</v>
      </c>
    </row>
    <row r="351" spans="1:13" x14ac:dyDescent="0.3">
      <c r="A351" s="46" t="s">
        <v>893</v>
      </c>
      <c r="B351" s="46" t="s">
        <v>6628</v>
      </c>
      <c r="C351" s="46" t="s">
        <v>55</v>
      </c>
      <c r="D351" s="46" t="s">
        <v>47</v>
      </c>
      <c r="E351" s="46" t="s">
        <v>461</v>
      </c>
      <c r="F351" s="46" t="s">
        <v>30</v>
      </c>
      <c r="G351" s="46">
        <v>3</v>
      </c>
      <c r="H351" s="46" t="s">
        <v>6644</v>
      </c>
      <c r="I351" s="46" t="s">
        <v>20</v>
      </c>
      <c r="J351" s="47">
        <v>45295</v>
      </c>
      <c r="K351" s="46" t="s">
        <v>97</v>
      </c>
      <c r="L351" s="48">
        <v>6958</v>
      </c>
      <c r="M351" s="49">
        <v>0</v>
      </c>
    </row>
    <row r="352" spans="1:13" x14ac:dyDescent="0.3">
      <c r="A352" s="46" t="s">
        <v>896</v>
      </c>
      <c r="B352" s="46" t="s">
        <v>118</v>
      </c>
      <c r="C352" s="46" t="s">
        <v>66</v>
      </c>
      <c r="D352" s="46" t="s">
        <v>93</v>
      </c>
      <c r="E352" s="46" t="s">
        <v>207</v>
      </c>
      <c r="F352" s="46" t="s">
        <v>69</v>
      </c>
      <c r="G352" s="46">
        <v>40</v>
      </c>
      <c r="H352" s="46" t="s">
        <v>6645</v>
      </c>
      <c r="I352" s="46" t="s">
        <v>20</v>
      </c>
      <c r="J352" s="47">
        <v>45400</v>
      </c>
      <c r="K352" s="46" t="s">
        <v>72</v>
      </c>
      <c r="L352" s="48">
        <v>75096</v>
      </c>
      <c r="M352" s="49">
        <v>10</v>
      </c>
    </row>
    <row r="353" spans="1:13" x14ac:dyDescent="0.3">
      <c r="A353" s="46" t="s">
        <v>898</v>
      </c>
      <c r="B353" s="46" t="s">
        <v>118</v>
      </c>
      <c r="C353" s="46" t="s">
        <v>36</v>
      </c>
      <c r="D353" s="46" t="s">
        <v>28</v>
      </c>
      <c r="E353" s="46" t="s">
        <v>259</v>
      </c>
      <c r="F353" s="46" t="s">
        <v>30</v>
      </c>
      <c r="G353" s="46">
        <v>18</v>
      </c>
      <c r="H353" s="46" t="s">
        <v>6646</v>
      </c>
      <c r="I353" s="46" t="s">
        <v>40</v>
      </c>
      <c r="J353" s="47">
        <v>45083</v>
      </c>
      <c r="K353" s="46" t="s">
        <v>87</v>
      </c>
      <c r="L353" s="48">
        <v>15180</v>
      </c>
      <c r="M353" s="49">
        <v>5</v>
      </c>
    </row>
    <row r="354" spans="1:13" x14ac:dyDescent="0.3">
      <c r="A354" s="46" t="s">
        <v>901</v>
      </c>
      <c r="B354" s="46" t="s">
        <v>79</v>
      </c>
      <c r="C354" s="46" t="s">
        <v>55</v>
      </c>
      <c r="D354" s="46" t="s">
        <v>17</v>
      </c>
      <c r="E354" s="46" t="s">
        <v>135</v>
      </c>
      <c r="F354" s="46" t="s">
        <v>30</v>
      </c>
      <c r="G354" s="46">
        <v>21</v>
      </c>
      <c r="H354" s="46" t="s">
        <v>6645</v>
      </c>
      <c r="I354" s="46" t="s">
        <v>20</v>
      </c>
      <c r="J354" s="47">
        <v>45318</v>
      </c>
      <c r="K354" s="46" t="s">
        <v>104</v>
      </c>
      <c r="L354" s="48">
        <v>6842</v>
      </c>
      <c r="M354" s="49">
        <v>15</v>
      </c>
    </row>
    <row r="355" spans="1:13" x14ac:dyDescent="0.3">
      <c r="A355" s="46" t="s">
        <v>904</v>
      </c>
      <c r="B355" s="46" t="s">
        <v>6629</v>
      </c>
      <c r="C355" s="46" t="s">
        <v>27</v>
      </c>
      <c r="D355" s="46" t="s">
        <v>74</v>
      </c>
      <c r="E355" s="46" t="s">
        <v>192</v>
      </c>
      <c r="F355" s="46" t="s">
        <v>30</v>
      </c>
      <c r="G355" s="46">
        <v>49</v>
      </c>
      <c r="H355" s="46" t="s">
        <v>6645</v>
      </c>
      <c r="I355" s="46" t="s">
        <v>20</v>
      </c>
      <c r="J355" s="47">
        <v>45223</v>
      </c>
      <c r="K355" s="46" t="s">
        <v>104</v>
      </c>
      <c r="L355" s="48">
        <v>8311</v>
      </c>
      <c r="M355" s="49">
        <v>18</v>
      </c>
    </row>
    <row r="356" spans="1:13" x14ac:dyDescent="0.3">
      <c r="A356" s="46" t="s">
        <v>906</v>
      </c>
      <c r="B356" s="46" t="s">
        <v>6629</v>
      </c>
      <c r="C356" s="46" t="s">
        <v>16</v>
      </c>
      <c r="D356" s="46" t="s">
        <v>67</v>
      </c>
      <c r="E356" s="46" t="s">
        <v>85</v>
      </c>
      <c r="F356" s="46" t="s">
        <v>30</v>
      </c>
      <c r="G356" s="46">
        <v>60</v>
      </c>
      <c r="H356" s="46" t="s">
        <v>6643</v>
      </c>
      <c r="I356" s="46" t="s">
        <v>40</v>
      </c>
      <c r="J356" s="47">
        <v>45354</v>
      </c>
      <c r="K356" s="46" t="s">
        <v>87</v>
      </c>
      <c r="L356" s="48">
        <v>17312</v>
      </c>
      <c r="M356" s="49">
        <v>0</v>
      </c>
    </row>
    <row r="357" spans="1:13" x14ac:dyDescent="0.3">
      <c r="A357" s="46" t="s">
        <v>908</v>
      </c>
      <c r="B357" s="46" t="s">
        <v>118</v>
      </c>
      <c r="C357" s="46" t="s">
        <v>66</v>
      </c>
      <c r="D357" s="46" t="s">
        <v>67</v>
      </c>
      <c r="E357" s="46" t="s">
        <v>89</v>
      </c>
      <c r="F357" s="46" t="s">
        <v>30</v>
      </c>
      <c r="G357" s="46">
        <v>21</v>
      </c>
      <c r="H357" s="46" t="s">
        <v>6645</v>
      </c>
      <c r="I357" s="46" t="s">
        <v>40</v>
      </c>
      <c r="J357" s="47">
        <v>45227</v>
      </c>
      <c r="K357" s="46" t="s">
        <v>97</v>
      </c>
      <c r="L357" s="48">
        <v>9328</v>
      </c>
      <c r="M357" s="49">
        <v>0</v>
      </c>
    </row>
    <row r="358" spans="1:13" x14ac:dyDescent="0.3">
      <c r="A358" s="46" t="s">
        <v>910</v>
      </c>
      <c r="B358" s="46" t="s">
        <v>6626</v>
      </c>
      <c r="C358" s="46" t="s">
        <v>27</v>
      </c>
      <c r="D358" s="46" t="s">
        <v>93</v>
      </c>
      <c r="E358" s="46" t="s">
        <v>144</v>
      </c>
      <c r="F358" s="46" t="s">
        <v>30</v>
      </c>
      <c r="G358" s="46">
        <v>81</v>
      </c>
      <c r="H358" s="46" t="s">
        <v>6643</v>
      </c>
      <c r="I358" s="46" t="s">
        <v>40</v>
      </c>
      <c r="J358" s="47">
        <v>45231</v>
      </c>
      <c r="K358" s="46" t="s">
        <v>87</v>
      </c>
      <c r="L358" s="48">
        <v>9955</v>
      </c>
      <c r="M358" s="49">
        <v>5</v>
      </c>
    </row>
    <row r="359" spans="1:13" x14ac:dyDescent="0.3">
      <c r="A359" s="46" t="s">
        <v>911</v>
      </c>
      <c r="B359" s="46" t="s">
        <v>6627</v>
      </c>
      <c r="C359" s="46" t="s">
        <v>66</v>
      </c>
      <c r="D359" s="46" t="s">
        <v>67</v>
      </c>
      <c r="E359" s="46" t="s">
        <v>85</v>
      </c>
      <c r="F359" s="46" t="s">
        <v>30</v>
      </c>
      <c r="G359" s="46">
        <v>8</v>
      </c>
      <c r="H359" s="46" t="s">
        <v>6644</v>
      </c>
      <c r="I359" s="46" t="s">
        <v>20</v>
      </c>
      <c r="J359" s="47">
        <v>45372</v>
      </c>
      <c r="K359" s="46" t="s">
        <v>72</v>
      </c>
      <c r="L359" s="48">
        <v>4654</v>
      </c>
      <c r="M359" s="49">
        <v>0</v>
      </c>
    </row>
    <row r="360" spans="1:13" x14ac:dyDescent="0.3">
      <c r="A360" s="46" t="s">
        <v>914</v>
      </c>
      <c r="B360" s="46" t="s">
        <v>6628</v>
      </c>
      <c r="C360" s="46" t="s">
        <v>80</v>
      </c>
      <c r="D360" s="46" t="s">
        <v>28</v>
      </c>
      <c r="E360" s="46" t="s">
        <v>259</v>
      </c>
      <c r="F360" s="46" t="s">
        <v>30</v>
      </c>
      <c r="G360" s="46">
        <v>15</v>
      </c>
      <c r="H360" s="46" t="s">
        <v>6646</v>
      </c>
      <c r="I360" s="46" t="s">
        <v>40</v>
      </c>
      <c r="J360" s="47">
        <v>45369</v>
      </c>
      <c r="K360" s="46" t="s">
        <v>87</v>
      </c>
      <c r="L360" s="48">
        <v>3270</v>
      </c>
      <c r="M360" s="49">
        <v>0</v>
      </c>
    </row>
    <row r="361" spans="1:13" x14ac:dyDescent="0.3">
      <c r="A361" s="46" t="s">
        <v>916</v>
      </c>
      <c r="B361" s="46" t="s">
        <v>79</v>
      </c>
      <c r="C361" s="46" t="s">
        <v>55</v>
      </c>
      <c r="D361" s="46" t="s">
        <v>17</v>
      </c>
      <c r="E361" s="46" t="s">
        <v>169</v>
      </c>
      <c r="F361" s="46" t="s">
        <v>30</v>
      </c>
      <c r="G361" s="46">
        <v>40</v>
      </c>
      <c r="H361" s="46" t="s">
        <v>6645</v>
      </c>
      <c r="I361" s="46" t="s">
        <v>40</v>
      </c>
      <c r="J361" s="47">
        <v>44964</v>
      </c>
      <c r="K361" s="46" t="s">
        <v>91</v>
      </c>
      <c r="L361" s="48">
        <v>18792</v>
      </c>
      <c r="M361" s="49">
        <v>5</v>
      </c>
    </row>
    <row r="362" spans="1:13" x14ac:dyDescent="0.3">
      <c r="A362" s="46" t="s">
        <v>917</v>
      </c>
      <c r="B362" s="46" t="s">
        <v>118</v>
      </c>
      <c r="C362" s="46" t="s">
        <v>36</v>
      </c>
      <c r="D362" s="46" t="s">
        <v>164</v>
      </c>
      <c r="E362" s="46" t="s">
        <v>219</v>
      </c>
      <c r="F362" s="46" t="s">
        <v>30</v>
      </c>
      <c r="G362" s="46">
        <v>72</v>
      </c>
      <c r="H362" s="46" t="s">
        <v>6643</v>
      </c>
      <c r="I362" s="46" t="s">
        <v>20</v>
      </c>
      <c r="J362" s="47">
        <v>45369</v>
      </c>
      <c r="K362" s="46" t="s">
        <v>104</v>
      </c>
      <c r="L362" s="48">
        <v>6535</v>
      </c>
      <c r="M362" s="49">
        <v>5</v>
      </c>
    </row>
    <row r="363" spans="1:13" x14ac:dyDescent="0.3">
      <c r="A363" s="46" t="s">
        <v>919</v>
      </c>
      <c r="B363" s="46" t="s">
        <v>6627</v>
      </c>
      <c r="C363" s="46" t="s">
        <v>36</v>
      </c>
      <c r="D363" s="46" t="s">
        <v>99</v>
      </c>
      <c r="E363" s="46" t="s">
        <v>256</v>
      </c>
      <c r="F363" s="46" t="s">
        <v>69</v>
      </c>
      <c r="G363" s="46">
        <v>27</v>
      </c>
      <c r="H363" s="46" t="s">
        <v>6645</v>
      </c>
      <c r="I363" s="46" t="s">
        <v>40</v>
      </c>
      <c r="J363" s="47">
        <v>45256</v>
      </c>
      <c r="K363" s="46" t="s">
        <v>72</v>
      </c>
      <c r="L363" s="48">
        <v>71522</v>
      </c>
      <c r="M363" s="49">
        <v>0</v>
      </c>
    </row>
    <row r="364" spans="1:13" x14ac:dyDescent="0.3">
      <c r="A364" s="46" t="s">
        <v>920</v>
      </c>
      <c r="B364" s="46" t="s">
        <v>79</v>
      </c>
      <c r="C364" s="46" t="s">
        <v>16</v>
      </c>
      <c r="D364" s="46" t="s">
        <v>164</v>
      </c>
      <c r="E364" s="46" t="s">
        <v>282</v>
      </c>
      <c r="F364" s="46" t="s">
        <v>30</v>
      </c>
      <c r="G364" s="46">
        <v>70</v>
      </c>
      <c r="H364" s="46" t="s">
        <v>6643</v>
      </c>
      <c r="I364" s="46" t="s">
        <v>40</v>
      </c>
      <c r="J364" s="47">
        <v>45340</v>
      </c>
      <c r="K364" s="46" t="s">
        <v>72</v>
      </c>
      <c r="L364" s="48">
        <v>8320</v>
      </c>
      <c r="M364" s="49">
        <v>0</v>
      </c>
    </row>
    <row r="365" spans="1:13" x14ac:dyDescent="0.3">
      <c r="A365" s="46" t="s">
        <v>923</v>
      </c>
      <c r="B365" s="46" t="s">
        <v>6626</v>
      </c>
      <c r="C365" s="46" t="s">
        <v>16</v>
      </c>
      <c r="D365" s="46" t="s">
        <v>47</v>
      </c>
      <c r="E365" s="46" t="s">
        <v>364</v>
      </c>
      <c r="F365" s="46" t="s">
        <v>30</v>
      </c>
      <c r="G365" s="46">
        <v>16</v>
      </c>
      <c r="H365" s="46" t="s">
        <v>6646</v>
      </c>
      <c r="I365" s="46" t="s">
        <v>20</v>
      </c>
      <c r="J365" s="47">
        <v>45164</v>
      </c>
      <c r="K365" s="46" t="s">
        <v>72</v>
      </c>
      <c r="L365" s="48">
        <v>12191</v>
      </c>
      <c r="M365" s="49">
        <v>5</v>
      </c>
    </row>
    <row r="366" spans="1:13" x14ac:dyDescent="0.3">
      <c r="A366" s="46" t="s">
        <v>926</v>
      </c>
      <c r="B366" s="46" t="s">
        <v>6626</v>
      </c>
      <c r="C366" s="46" t="s">
        <v>61</v>
      </c>
      <c r="D366" s="46" t="s">
        <v>17</v>
      </c>
      <c r="E366" s="46" t="s">
        <v>213</v>
      </c>
      <c r="F366" s="46" t="s">
        <v>69</v>
      </c>
      <c r="G366" s="46">
        <v>58</v>
      </c>
      <c r="H366" s="46" t="s">
        <v>6645</v>
      </c>
      <c r="I366" s="46" t="s">
        <v>20</v>
      </c>
      <c r="J366" s="47">
        <v>45374</v>
      </c>
      <c r="K366" s="46" t="s">
        <v>91</v>
      </c>
      <c r="L366" s="48">
        <v>46611</v>
      </c>
      <c r="M366" s="49">
        <v>0</v>
      </c>
    </row>
    <row r="367" spans="1:13" x14ac:dyDescent="0.3">
      <c r="A367" s="46" t="s">
        <v>929</v>
      </c>
      <c r="B367" s="46" t="s">
        <v>6627</v>
      </c>
      <c r="C367" s="46" t="s">
        <v>66</v>
      </c>
      <c r="D367" s="46" t="s">
        <v>28</v>
      </c>
      <c r="E367" s="46" t="s">
        <v>29</v>
      </c>
      <c r="F367" s="46" t="s">
        <v>30</v>
      </c>
      <c r="G367" s="46">
        <v>79</v>
      </c>
      <c r="H367" s="46" t="s">
        <v>6643</v>
      </c>
      <c r="I367" s="46" t="s">
        <v>40</v>
      </c>
      <c r="J367" s="47">
        <v>45266</v>
      </c>
      <c r="K367" s="46" t="s">
        <v>97</v>
      </c>
      <c r="L367" s="48">
        <v>12921</v>
      </c>
      <c r="M367" s="49">
        <v>0</v>
      </c>
    </row>
    <row r="368" spans="1:13" x14ac:dyDescent="0.3">
      <c r="A368" s="46" t="s">
        <v>931</v>
      </c>
      <c r="B368" s="46" t="s">
        <v>79</v>
      </c>
      <c r="C368" s="46" t="s">
        <v>61</v>
      </c>
      <c r="D368" s="46" t="s">
        <v>37</v>
      </c>
      <c r="E368" s="46" t="s">
        <v>132</v>
      </c>
      <c r="F368" s="46" t="s">
        <v>69</v>
      </c>
      <c r="G368" s="46">
        <v>20</v>
      </c>
      <c r="H368" s="46" t="s">
        <v>6645</v>
      </c>
      <c r="I368" s="46" t="s">
        <v>20</v>
      </c>
      <c r="J368" s="47">
        <v>45040</v>
      </c>
      <c r="K368" s="46" t="s">
        <v>91</v>
      </c>
      <c r="L368" s="48">
        <v>30681</v>
      </c>
      <c r="M368" s="49">
        <v>0</v>
      </c>
    </row>
    <row r="369" spans="1:13" x14ac:dyDescent="0.3">
      <c r="A369" s="46" t="s">
        <v>932</v>
      </c>
      <c r="B369" s="46" t="s">
        <v>118</v>
      </c>
      <c r="C369" s="46" t="s">
        <v>66</v>
      </c>
      <c r="D369" s="46" t="s">
        <v>47</v>
      </c>
      <c r="E369" s="46" t="s">
        <v>175</v>
      </c>
      <c r="F369" s="46" t="s">
        <v>30</v>
      </c>
      <c r="G369" s="46">
        <v>70</v>
      </c>
      <c r="H369" s="46" t="s">
        <v>6643</v>
      </c>
      <c r="I369" s="46" t="s">
        <v>40</v>
      </c>
      <c r="J369" s="47">
        <v>45136</v>
      </c>
      <c r="K369" s="46" t="s">
        <v>72</v>
      </c>
      <c r="L369" s="48">
        <v>11704</v>
      </c>
      <c r="M369" s="49">
        <v>10</v>
      </c>
    </row>
    <row r="370" spans="1:13" x14ac:dyDescent="0.3">
      <c r="A370" s="46" t="s">
        <v>934</v>
      </c>
      <c r="B370" s="46" t="s">
        <v>6626</v>
      </c>
      <c r="C370" s="46" t="s">
        <v>66</v>
      </c>
      <c r="D370" s="46" t="s">
        <v>99</v>
      </c>
      <c r="E370" s="46" t="s">
        <v>100</v>
      </c>
      <c r="F370" s="46" t="s">
        <v>30</v>
      </c>
      <c r="G370" s="46">
        <v>59</v>
      </c>
      <c r="H370" s="46" t="s">
        <v>6645</v>
      </c>
      <c r="I370" s="46" t="s">
        <v>20</v>
      </c>
      <c r="J370" s="47">
        <v>45093</v>
      </c>
      <c r="K370" s="46" t="s">
        <v>87</v>
      </c>
      <c r="L370" s="48">
        <v>11520</v>
      </c>
      <c r="M370" s="49">
        <v>10</v>
      </c>
    </row>
    <row r="371" spans="1:13" x14ac:dyDescent="0.3">
      <c r="A371" s="46" t="s">
        <v>935</v>
      </c>
      <c r="B371" s="46" t="s">
        <v>79</v>
      </c>
      <c r="C371" s="46" t="s">
        <v>55</v>
      </c>
      <c r="D371" s="46" t="s">
        <v>93</v>
      </c>
      <c r="E371" s="46" t="s">
        <v>94</v>
      </c>
      <c r="F371" s="46" t="s">
        <v>30</v>
      </c>
      <c r="G371" s="46">
        <v>66</v>
      </c>
      <c r="H371" s="46" t="s">
        <v>6643</v>
      </c>
      <c r="I371" s="46" t="s">
        <v>20</v>
      </c>
      <c r="J371" s="47">
        <v>45231</v>
      </c>
      <c r="K371" s="46" t="s">
        <v>72</v>
      </c>
      <c r="L371" s="48">
        <v>10571</v>
      </c>
      <c r="M371" s="49">
        <v>3</v>
      </c>
    </row>
    <row r="372" spans="1:13" x14ac:dyDescent="0.3">
      <c r="A372" s="46" t="s">
        <v>936</v>
      </c>
      <c r="B372" s="46" t="s">
        <v>6627</v>
      </c>
      <c r="C372" s="46" t="s">
        <v>189</v>
      </c>
      <c r="D372" s="46" t="s">
        <v>108</v>
      </c>
      <c r="E372" s="46" t="s">
        <v>272</v>
      </c>
      <c r="F372" s="46" t="s">
        <v>69</v>
      </c>
      <c r="G372" s="46">
        <v>89</v>
      </c>
      <c r="H372" s="46" t="s">
        <v>6643</v>
      </c>
      <c r="I372" s="46" t="s">
        <v>20</v>
      </c>
      <c r="J372" s="47">
        <v>45402</v>
      </c>
      <c r="K372" s="46" t="s">
        <v>91</v>
      </c>
      <c r="L372" s="48">
        <v>44062</v>
      </c>
      <c r="M372" s="49">
        <v>3</v>
      </c>
    </row>
    <row r="373" spans="1:13" x14ac:dyDescent="0.3">
      <c r="A373" s="46" t="s">
        <v>939</v>
      </c>
      <c r="B373" s="46" t="s">
        <v>6629</v>
      </c>
      <c r="C373" s="46" t="s">
        <v>61</v>
      </c>
      <c r="D373" s="46" t="s">
        <v>164</v>
      </c>
      <c r="E373" s="46" t="s">
        <v>219</v>
      </c>
      <c r="F373" s="46" t="s">
        <v>69</v>
      </c>
      <c r="G373" s="46">
        <v>55</v>
      </c>
      <c r="H373" s="46" t="s">
        <v>6645</v>
      </c>
      <c r="I373" s="46" t="s">
        <v>40</v>
      </c>
      <c r="J373" s="47">
        <v>45118</v>
      </c>
      <c r="K373" s="46" t="s">
        <v>87</v>
      </c>
      <c r="L373" s="48">
        <v>54583</v>
      </c>
      <c r="M373" s="49">
        <v>5</v>
      </c>
    </row>
    <row r="374" spans="1:13" x14ac:dyDescent="0.3">
      <c r="A374" s="46" t="s">
        <v>942</v>
      </c>
      <c r="B374" s="46" t="s">
        <v>6628</v>
      </c>
      <c r="C374" s="46" t="s">
        <v>80</v>
      </c>
      <c r="D374" s="46" t="s">
        <v>164</v>
      </c>
      <c r="E374" s="46" t="s">
        <v>282</v>
      </c>
      <c r="F374" s="46" t="s">
        <v>30</v>
      </c>
      <c r="G374" s="46">
        <v>47</v>
      </c>
      <c r="H374" s="46" t="s">
        <v>6645</v>
      </c>
      <c r="I374" s="46" t="s">
        <v>20</v>
      </c>
      <c r="J374" s="47">
        <v>45383</v>
      </c>
      <c r="K374" s="46" t="s">
        <v>87</v>
      </c>
      <c r="L374" s="48">
        <v>16242</v>
      </c>
      <c r="M374" s="49">
        <v>10</v>
      </c>
    </row>
    <row r="375" spans="1:13" x14ac:dyDescent="0.3">
      <c r="A375" s="46" t="s">
        <v>945</v>
      </c>
      <c r="B375" s="46" t="s">
        <v>6627</v>
      </c>
      <c r="C375" s="46" t="s">
        <v>36</v>
      </c>
      <c r="D375" s="46" t="s">
        <v>99</v>
      </c>
      <c r="E375" s="46" t="s">
        <v>100</v>
      </c>
      <c r="F375" s="46" t="s">
        <v>69</v>
      </c>
      <c r="G375" s="46">
        <v>92</v>
      </c>
      <c r="H375" s="46" t="s">
        <v>6643</v>
      </c>
      <c r="I375" s="46" t="s">
        <v>20</v>
      </c>
      <c r="J375" s="47">
        <v>45041</v>
      </c>
      <c r="K375" s="46" t="s">
        <v>72</v>
      </c>
      <c r="L375" s="48">
        <v>59977</v>
      </c>
      <c r="M375" s="49">
        <v>5</v>
      </c>
    </row>
    <row r="376" spans="1:13" x14ac:dyDescent="0.3">
      <c r="A376" s="46" t="s">
        <v>946</v>
      </c>
      <c r="B376" s="46" t="s">
        <v>6627</v>
      </c>
      <c r="C376" s="46" t="s">
        <v>61</v>
      </c>
      <c r="D376" s="46" t="s">
        <v>99</v>
      </c>
      <c r="E376" s="46" t="s">
        <v>372</v>
      </c>
      <c r="F376" s="46" t="s">
        <v>30</v>
      </c>
      <c r="G376" s="46">
        <v>13</v>
      </c>
      <c r="H376" s="46" t="s">
        <v>6646</v>
      </c>
      <c r="I376" s="46" t="s">
        <v>40</v>
      </c>
      <c r="J376" s="47">
        <v>45133</v>
      </c>
      <c r="K376" s="46" t="s">
        <v>87</v>
      </c>
      <c r="L376" s="48">
        <v>10160</v>
      </c>
      <c r="M376" s="49">
        <v>10</v>
      </c>
    </row>
    <row r="377" spans="1:13" x14ac:dyDescent="0.3">
      <c r="A377" s="46" t="s">
        <v>948</v>
      </c>
      <c r="B377" s="46" t="s">
        <v>118</v>
      </c>
      <c r="C377" s="46" t="s">
        <v>66</v>
      </c>
      <c r="D377" s="46" t="s">
        <v>28</v>
      </c>
      <c r="E377" s="46" t="s">
        <v>29</v>
      </c>
      <c r="F377" s="46" t="s">
        <v>30</v>
      </c>
      <c r="G377" s="46">
        <v>76</v>
      </c>
      <c r="H377" s="46" t="s">
        <v>6643</v>
      </c>
      <c r="I377" s="46" t="s">
        <v>20</v>
      </c>
      <c r="J377" s="47">
        <v>45248</v>
      </c>
      <c r="K377" s="46" t="s">
        <v>72</v>
      </c>
      <c r="L377" s="48">
        <v>17952</v>
      </c>
      <c r="M377" s="49">
        <v>5</v>
      </c>
    </row>
    <row r="378" spans="1:13" x14ac:dyDescent="0.3">
      <c r="A378" s="46" t="s">
        <v>951</v>
      </c>
      <c r="B378" s="46" t="s">
        <v>6627</v>
      </c>
      <c r="C378" s="46" t="s">
        <v>27</v>
      </c>
      <c r="D378" s="46" t="s">
        <v>47</v>
      </c>
      <c r="E378" s="46" t="s">
        <v>48</v>
      </c>
      <c r="F378" s="46" t="s">
        <v>30</v>
      </c>
      <c r="G378" s="46">
        <v>73</v>
      </c>
      <c r="H378" s="46" t="s">
        <v>6643</v>
      </c>
      <c r="I378" s="46" t="s">
        <v>40</v>
      </c>
      <c r="J378" s="47">
        <v>45093</v>
      </c>
      <c r="K378" s="46" t="s">
        <v>72</v>
      </c>
      <c r="L378" s="48">
        <v>4553</v>
      </c>
      <c r="M378" s="49">
        <v>0</v>
      </c>
    </row>
    <row r="379" spans="1:13" x14ac:dyDescent="0.3">
      <c r="A379" s="46" t="s">
        <v>952</v>
      </c>
      <c r="B379" s="46" t="s">
        <v>6626</v>
      </c>
      <c r="C379" s="46" t="s">
        <v>66</v>
      </c>
      <c r="D379" s="46" t="s">
        <v>74</v>
      </c>
      <c r="E379" s="46" t="s">
        <v>147</v>
      </c>
      <c r="F379" s="46" t="s">
        <v>69</v>
      </c>
      <c r="G379" s="46">
        <v>60</v>
      </c>
      <c r="H379" s="46" t="s">
        <v>6643</v>
      </c>
      <c r="I379" s="46" t="s">
        <v>20</v>
      </c>
      <c r="J379" s="47">
        <v>45089</v>
      </c>
      <c r="K379" s="46" t="s">
        <v>72</v>
      </c>
      <c r="L379" s="48">
        <v>34391</v>
      </c>
      <c r="M379" s="49">
        <v>0</v>
      </c>
    </row>
    <row r="380" spans="1:13" x14ac:dyDescent="0.3">
      <c r="A380" s="46" t="s">
        <v>954</v>
      </c>
      <c r="B380" s="46" t="s">
        <v>6626</v>
      </c>
      <c r="C380" s="46" t="s">
        <v>55</v>
      </c>
      <c r="D380" s="46" t="s">
        <v>28</v>
      </c>
      <c r="E380" s="46" t="s">
        <v>259</v>
      </c>
      <c r="F380" s="46" t="s">
        <v>69</v>
      </c>
      <c r="G380" s="46">
        <v>81</v>
      </c>
      <c r="H380" s="46" t="s">
        <v>6643</v>
      </c>
      <c r="I380" s="46" t="s">
        <v>40</v>
      </c>
      <c r="J380" s="47">
        <v>45343</v>
      </c>
      <c r="K380" s="46" t="s">
        <v>87</v>
      </c>
      <c r="L380" s="48">
        <v>26205</v>
      </c>
      <c r="M380" s="49">
        <v>5</v>
      </c>
    </row>
    <row r="381" spans="1:13" x14ac:dyDescent="0.3">
      <c r="A381" s="46" t="s">
        <v>957</v>
      </c>
      <c r="B381" s="46" t="s">
        <v>79</v>
      </c>
      <c r="C381" s="46" t="s">
        <v>61</v>
      </c>
      <c r="D381" s="46" t="s">
        <v>28</v>
      </c>
      <c r="E381" s="46" t="s">
        <v>290</v>
      </c>
      <c r="F381" s="46" t="s">
        <v>69</v>
      </c>
      <c r="G381" s="46">
        <v>44</v>
      </c>
      <c r="H381" s="46" t="s">
        <v>6645</v>
      </c>
      <c r="I381" s="46" t="s">
        <v>20</v>
      </c>
      <c r="J381" s="47">
        <v>45249</v>
      </c>
      <c r="K381" s="46" t="s">
        <v>104</v>
      </c>
      <c r="L381" s="48">
        <v>84419</v>
      </c>
      <c r="M381" s="49">
        <v>0</v>
      </c>
    </row>
    <row r="382" spans="1:13" x14ac:dyDescent="0.3">
      <c r="A382" s="46" t="s">
        <v>959</v>
      </c>
      <c r="B382" s="46" t="s">
        <v>118</v>
      </c>
      <c r="C382" s="46" t="s">
        <v>36</v>
      </c>
      <c r="D382" s="46" t="s">
        <v>28</v>
      </c>
      <c r="E382" s="46" t="s">
        <v>259</v>
      </c>
      <c r="F382" s="46" t="s">
        <v>6632</v>
      </c>
      <c r="G382" s="46">
        <v>8</v>
      </c>
      <c r="H382" s="46" t="s">
        <v>6644</v>
      </c>
      <c r="I382" s="46" t="s">
        <v>40</v>
      </c>
      <c r="J382" s="47">
        <v>45366</v>
      </c>
      <c r="K382" s="46" t="s">
        <v>97</v>
      </c>
      <c r="L382" s="48">
        <v>79999</v>
      </c>
      <c r="M382" s="49">
        <v>5</v>
      </c>
    </row>
    <row r="383" spans="1:13" x14ac:dyDescent="0.3">
      <c r="A383" s="46" t="s">
        <v>960</v>
      </c>
      <c r="B383" s="46" t="s">
        <v>118</v>
      </c>
      <c r="C383" s="46" t="s">
        <v>66</v>
      </c>
      <c r="D383" s="46" t="s">
        <v>17</v>
      </c>
      <c r="E383" s="46" t="s">
        <v>18</v>
      </c>
      <c r="F383" s="46" t="s">
        <v>30</v>
      </c>
      <c r="G383" s="46">
        <v>63</v>
      </c>
      <c r="H383" s="46" t="s">
        <v>6643</v>
      </c>
      <c r="I383" s="46" t="s">
        <v>20</v>
      </c>
      <c r="J383" s="47">
        <v>45134</v>
      </c>
      <c r="K383" s="46" t="s">
        <v>87</v>
      </c>
      <c r="L383" s="48">
        <v>6348</v>
      </c>
      <c r="M383" s="49">
        <v>0</v>
      </c>
    </row>
    <row r="384" spans="1:13" x14ac:dyDescent="0.3">
      <c r="A384" s="46" t="s">
        <v>962</v>
      </c>
      <c r="B384" s="46" t="s">
        <v>6628</v>
      </c>
      <c r="C384" s="46" t="s">
        <v>189</v>
      </c>
      <c r="D384" s="46" t="s">
        <v>47</v>
      </c>
      <c r="E384" s="46" t="s">
        <v>364</v>
      </c>
      <c r="F384" s="46" t="s">
        <v>30</v>
      </c>
      <c r="G384" s="46">
        <v>61</v>
      </c>
      <c r="H384" s="46" t="s">
        <v>6643</v>
      </c>
      <c r="I384" s="46" t="s">
        <v>40</v>
      </c>
      <c r="J384" s="47">
        <v>45106</v>
      </c>
      <c r="K384" s="46" t="s">
        <v>97</v>
      </c>
      <c r="L384" s="48">
        <v>18352</v>
      </c>
      <c r="M384" s="49">
        <v>0</v>
      </c>
    </row>
    <row r="385" spans="1:13" x14ac:dyDescent="0.3">
      <c r="A385" s="46" t="s">
        <v>965</v>
      </c>
      <c r="B385" s="46" t="s">
        <v>6629</v>
      </c>
      <c r="C385" s="46" t="s">
        <v>61</v>
      </c>
      <c r="D385" s="46" t="s">
        <v>47</v>
      </c>
      <c r="E385" s="46" t="s">
        <v>461</v>
      </c>
      <c r="F385" s="46" t="s">
        <v>30</v>
      </c>
      <c r="G385" s="46">
        <v>80</v>
      </c>
      <c r="H385" s="46" t="s">
        <v>6643</v>
      </c>
      <c r="I385" s="46" t="s">
        <v>40</v>
      </c>
      <c r="J385" s="47">
        <v>45171</v>
      </c>
      <c r="K385" s="46" t="s">
        <v>97</v>
      </c>
      <c r="L385" s="48">
        <v>12570</v>
      </c>
      <c r="M385" s="49">
        <v>3</v>
      </c>
    </row>
    <row r="386" spans="1:13" x14ac:dyDescent="0.3">
      <c r="A386" s="46" t="s">
        <v>967</v>
      </c>
      <c r="B386" s="46" t="s">
        <v>6626</v>
      </c>
      <c r="C386" s="46" t="s">
        <v>189</v>
      </c>
      <c r="D386" s="46" t="s">
        <v>28</v>
      </c>
      <c r="E386" s="46" t="s">
        <v>29</v>
      </c>
      <c r="F386" s="46" t="s">
        <v>69</v>
      </c>
      <c r="G386" s="46">
        <v>31</v>
      </c>
      <c r="H386" s="46" t="s">
        <v>6645</v>
      </c>
      <c r="I386" s="46" t="s">
        <v>40</v>
      </c>
      <c r="J386" s="47">
        <v>45122</v>
      </c>
      <c r="K386" s="46" t="s">
        <v>104</v>
      </c>
      <c r="L386" s="48">
        <v>29806</v>
      </c>
      <c r="M386" s="49">
        <v>40</v>
      </c>
    </row>
    <row r="387" spans="1:13" x14ac:dyDescent="0.3">
      <c r="A387" s="46" t="s">
        <v>969</v>
      </c>
      <c r="B387" s="46" t="s">
        <v>79</v>
      </c>
      <c r="C387" s="46" t="s">
        <v>36</v>
      </c>
      <c r="D387" s="46" t="s">
        <v>99</v>
      </c>
      <c r="E387" s="46" t="s">
        <v>151</v>
      </c>
      <c r="F387" s="46" t="s">
        <v>69</v>
      </c>
      <c r="G387" s="46">
        <v>23</v>
      </c>
      <c r="H387" s="46" t="s">
        <v>6645</v>
      </c>
      <c r="I387" s="46" t="s">
        <v>20</v>
      </c>
      <c r="J387" s="47">
        <v>45323</v>
      </c>
      <c r="K387" s="46" t="s">
        <v>6632</v>
      </c>
      <c r="L387" s="48">
        <v>57866</v>
      </c>
      <c r="M387" s="49">
        <v>0</v>
      </c>
    </row>
    <row r="388" spans="1:13" x14ac:dyDescent="0.3">
      <c r="A388" s="46" t="s">
        <v>971</v>
      </c>
      <c r="B388" s="46" t="s">
        <v>79</v>
      </c>
      <c r="C388" s="46" t="s">
        <v>61</v>
      </c>
      <c r="D388" s="46" t="s">
        <v>93</v>
      </c>
      <c r="E388" s="46" t="s">
        <v>207</v>
      </c>
      <c r="F388" s="46" t="s">
        <v>30</v>
      </c>
      <c r="G388" s="46">
        <v>18</v>
      </c>
      <c r="H388" s="46" t="s">
        <v>6646</v>
      </c>
      <c r="I388" s="46" t="s">
        <v>20</v>
      </c>
      <c r="J388" s="47">
        <v>45204</v>
      </c>
      <c r="K388" s="46" t="s">
        <v>97</v>
      </c>
      <c r="L388" s="48">
        <v>4324</v>
      </c>
      <c r="M388" s="49">
        <v>0</v>
      </c>
    </row>
    <row r="389" spans="1:13" x14ac:dyDescent="0.3">
      <c r="A389" s="46" t="s">
        <v>972</v>
      </c>
      <c r="B389" s="46" t="s">
        <v>79</v>
      </c>
      <c r="C389" s="46" t="s">
        <v>36</v>
      </c>
      <c r="D389" s="46" t="s">
        <v>67</v>
      </c>
      <c r="E389" s="46" t="s">
        <v>85</v>
      </c>
      <c r="F389" s="46" t="s">
        <v>6632</v>
      </c>
      <c r="G389" s="46">
        <v>34</v>
      </c>
      <c r="H389" s="46" t="s">
        <v>6645</v>
      </c>
      <c r="I389" s="46" t="s">
        <v>20</v>
      </c>
      <c r="J389" s="47">
        <v>45386</v>
      </c>
      <c r="K389" s="46" t="s">
        <v>97</v>
      </c>
      <c r="L389" s="48">
        <v>8961</v>
      </c>
      <c r="M389" s="49">
        <v>0</v>
      </c>
    </row>
    <row r="390" spans="1:13" x14ac:dyDescent="0.3">
      <c r="A390" s="46" t="s">
        <v>973</v>
      </c>
      <c r="B390" s="46" t="s">
        <v>6626</v>
      </c>
      <c r="C390" s="46" t="s">
        <v>61</v>
      </c>
      <c r="D390" s="46" t="s">
        <v>67</v>
      </c>
      <c r="E390" s="46" t="s">
        <v>68</v>
      </c>
      <c r="F390" s="46" t="s">
        <v>30</v>
      </c>
      <c r="G390" s="46">
        <v>18</v>
      </c>
      <c r="H390" s="46" t="s">
        <v>6646</v>
      </c>
      <c r="I390" s="46" t="s">
        <v>20</v>
      </c>
      <c r="J390" s="47">
        <v>45367</v>
      </c>
      <c r="K390" s="46" t="s">
        <v>97</v>
      </c>
      <c r="L390" s="48">
        <v>15189</v>
      </c>
      <c r="M390" s="49">
        <v>0</v>
      </c>
    </row>
    <row r="391" spans="1:13" x14ac:dyDescent="0.3">
      <c r="A391" s="46" t="s">
        <v>974</v>
      </c>
      <c r="B391" s="46" t="s">
        <v>79</v>
      </c>
      <c r="C391" s="46" t="s">
        <v>66</v>
      </c>
      <c r="D391" s="46" t="s">
        <v>37</v>
      </c>
      <c r="E391" s="46" t="s">
        <v>38</v>
      </c>
      <c r="F391" s="46" t="s">
        <v>30</v>
      </c>
      <c r="G391" s="46">
        <v>70</v>
      </c>
      <c r="H391" s="46" t="s">
        <v>6643</v>
      </c>
      <c r="I391" s="46" t="s">
        <v>40</v>
      </c>
      <c r="J391" s="47">
        <v>45153</v>
      </c>
      <c r="K391" s="46" t="s">
        <v>72</v>
      </c>
      <c r="L391" s="48">
        <v>6490</v>
      </c>
      <c r="M391" s="49">
        <v>0</v>
      </c>
    </row>
    <row r="392" spans="1:13" x14ac:dyDescent="0.3">
      <c r="A392" s="46" t="s">
        <v>976</v>
      </c>
      <c r="B392" s="46" t="s">
        <v>6626</v>
      </c>
      <c r="C392" s="46" t="s">
        <v>61</v>
      </c>
      <c r="D392" s="46" t="s">
        <v>108</v>
      </c>
      <c r="E392" s="46" t="s">
        <v>308</v>
      </c>
      <c r="F392" s="46" t="s">
        <v>30</v>
      </c>
      <c r="G392" s="46">
        <v>81</v>
      </c>
      <c r="H392" s="46" t="s">
        <v>6643</v>
      </c>
      <c r="I392" s="46" t="s">
        <v>40</v>
      </c>
      <c r="J392" s="47">
        <v>44986</v>
      </c>
      <c r="K392" s="46" t="s">
        <v>91</v>
      </c>
      <c r="L392" s="48">
        <v>4018</v>
      </c>
      <c r="M392" s="49">
        <v>0</v>
      </c>
    </row>
    <row r="393" spans="1:13" x14ac:dyDescent="0.3">
      <c r="A393" s="46" t="s">
        <v>979</v>
      </c>
      <c r="B393" s="46" t="s">
        <v>6626</v>
      </c>
      <c r="C393" s="46" t="s">
        <v>16</v>
      </c>
      <c r="D393" s="46" t="s">
        <v>17</v>
      </c>
      <c r="E393" s="46" t="s">
        <v>18</v>
      </c>
      <c r="F393" s="46" t="s">
        <v>30</v>
      </c>
      <c r="G393" s="46">
        <v>28</v>
      </c>
      <c r="H393" s="46" t="s">
        <v>6645</v>
      </c>
      <c r="I393" s="46" t="s">
        <v>40</v>
      </c>
      <c r="J393" s="47">
        <v>45093</v>
      </c>
      <c r="K393" s="46" t="s">
        <v>91</v>
      </c>
      <c r="L393" s="48">
        <v>17560</v>
      </c>
      <c r="M393" s="49">
        <v>0</v>
      </c>
    </row>
    <row r="394" spans="1:13" x14ac:dyDescent="0.3">
      <c r="A394" s="46" t="s">
        <v>981</v>
      </c>
      <c r="B394" s="46" t="s">
        <v>79</v>
      </c>
      <c r="C394" s="46" t="s">
        <v>80</v>
      </c>
      <c r="D394" s="46" t="s">
        <v>108</v>
      </c>
      <c r="E394" s="46" t="s">
        <v>109</v>
      </c>
      <c r="F394" s="46" t="s">
        <v>69</v>
      </c>
      <c r="G394" s="46">
        <v>51</v>
      </c>
      <c r="H394" s="46" t="s">
        <v>6645</v>
      </c>
      <c r="I394" s="46" t="s">
        <v>20</v>
      </c>
      <c r="J394" s="47">
        <v>45045</v>
      </c>
      <c r="K394" s="46" t="s">
        <v>87</v>
      </c>
      <c r="L394" s="48">
        <v>85795</v>
      </c>
      <c r="M394" s="49">
        <v>0</v>
      </c>
    </row>
    <row r="395" spans="1:13" x14ac:dyDescent="0.3">
      <c r="A395" s="46" t="s">
        <v>983</v>
      </c>
      <c r="B395" s="46" t="s">
        <v>6628</v>
      </c>
      <c r="C395" s="46" t="s">
        <v>61</v>
      </c>
      <c r="D395" s="46" t="s">
        <v>108</v>
      </c>
      <c r="E395" s="46" t="s">
        <v>124</v>
      </c>
      <c r="F395" s="46" t="s">
        <v>69</v>
      </c>
      <c r="G395" s="46">
        <v>53</v>
      </c>
      <c r="H395" s="46" t="s">
        <v>6645</v>
      </c>
      <c r="I395" s="46" t="s">
        <v>20</v>
      </c>
      <c r="J395" s="47">
        <v>44992</v>
      </c>
      <c r="K395" s="46" t="s">
        <v>72</v>
      </c>
      <c r="L395" s="48">
        <v>54832</v>
      </c>
      <c r="M395" s="49">
        <v>5</v>
      </c>
    </row>
    <row r="396" spans="1:13" x14ac:dyDescent="0.3">
      <c r="A396" s="46" t="s">
        <v>986</v>
      </c>
      <c r="B396" s="46" t="s">
        <v>6627</v>
      </c>
      <c r="C396" s="46" t="s">
        <v>66</v>
      </c>
      <c r="D396" s="46" t="s">
        <v>93</v>
      </c>
      <c r="E396" s="46" t="s">
        <v>207</v>
      </c>
      <c r="F396" s="46" t="s">
        <v>30</v>
      </c>
      <c r="G396" s="46">
        <v>36</v>
      </c>
      <c r="H396" s="46" t="s">
        <v>6645</v>
      </c>
      <c r="I396" s="46" t="s">
        <v>20</v>
      </c>
      <c r="J396" s="47">
        <v>45346</v>
      </c>
      <c r="K396" s="46" t="s">
        <v>72</v>
      </c>
      <c r="L396" s="48">
        <v>18321</v>
      </c>
      <c r="M396" s="49">
        <v>5</v>
      </c>
    </row>
    <row r="397" spans="1:13" x14ac:dyDescent="0.3">
      <c r="A397" s="46" t="s">
        <v>988</v>
      </c>
      <c r="B397" s="46" t="s">
        <v>6626</v>
      </c>
      <c r="C397" s="46" t="s">
        <v>27</v>
      </c>
      <c r="D397" s="46" t="s">
        <v>108</v>
      </c>
      <c r="E397" s="46" t="s">
        <v>308</v>
      </c>
      <c r="F397" s="46" t="s">
        <v>30</v>
      </c>
      <c r="G397" s="46">
        <v>74</v>
      </c>
      <c r="H397" s="46" t="s">
        <v>6643</v>
      </c>
      <c r="I397" s="46" t="s">
        <v>40</v>
      </c>
      <c r="J397" s="47">
        <v>45382</v>
      </c>
      <c r="K397" s="46" t="s">
        <v>72</v>
      </c>
      <c r="L397" s="48">
        <v>17889</v>
      </c>
      <c r="M397" s="49">
        <v>0</v>
      </c>
    </row>
    <row r="398" spans="1:13" x14ac:dyDescent="0.3">
      <c r="A398" s="46" t="s">
        <v>990</v>
      </c>
      <c r="B398" s="46" t="s">
        <v>118</v>
      </c>
      <c r="C398" s="46" t="s">
        <v>61</v>
      </c>
      <c r="D398" s="46" t="s">
        <v>37</v>
      </c>
      <c r="E398" s="46" t="s">
        <v>185</v>
      </c>
      <c r="F398" s="46" t="s">
        <v>30</v>
      </c>
      <c r="G398" s="46">
        <v>43</v>
      </c>
      <c r="H398" s="46" t="s">
        <v>6645</v>
      </c>
      <c r="I398" s="46" t="s">
        <v>20</v>
      </c>
      <c r="J398" s="47">
        <v>45124</v>
      </c>
      <c r="K398" s="46" t="s">
        <v>72</v>
      </c>
      <c r="L398" s="48">
        <v>12002</v>
      </c>
      <c r="M398" s="49">
        <v>10</v>
      </c>
    </row>
    <row r="399" spans="1:13" x14ac:dyDescent="0.3">
      <c r="A399" s="46" t="s">
        <v>992</v>
      </c>
      <c r="B399" s="46" t="s">
        <v>6627</v>
      </c>
      <c r="C399" s="46" t="s">
        <v>189</v>
      </c>
      <c r="D399" s="46" t="s">
        <v>37</v>
      </c>
      <c r="E399" s="46" t="s">
        <v>56</v>
      </c>
      <c r="F399" s="46" t="s">
        <v>69</v>
      </c>
      <c r="G399" s="46">
        <v>64</v>
      </c>
      <c r="H399" s="46" t="s">
        <v>6643</v>
      </c>
      <c r="I399" s="46" t="s">
        <v>20</v>
      </c>
      <c r="J399" s="47">
        <v>45153</v>
      </c>
      <c r="K399" s="46" t="s">
        <v>72</v>
      </c>
      <c r="L399" s="48">
        <v>73652</v>
      </c>
      <c r="M399" s="49">
        <v>0</v>
      </c>
    </row>
    <row r="400" spans="1:13" x14ac:dyDescent="0.3">
      <c r="A400" s="46" t="s">
        <v>994</v>
      </c>
      <c r="B400" s="46" t="s">
        <v>6629</v>
      </c>
      <c r="C400" s="46" t="s">
        <v>66</v>
      </c>
      <c r="D400" s="46" t="s">
        <v>37</v>
      </c>
      <c r="E400" s="46" t="s">
        <v>38</v>
      </c>
      <c r="F400" s="46" t="s">
        <v>30</v>
      </c>
      <c r="G400" s="46">
        <v>29</v>
      </c>
      <c r="H400" s="46" t="s">
        <v>6645</v>
      </c>
      <c r="I400" s="46" t="s">
        <v>20</v>
      </c>
      <c r="J400" s="47">
        <v>44949</v>
      </c>
      <c r="K400" s="46" t="s">
        <v>97</v>
      </c>
      <c r="L400" s="48">
        <v>5582</v>
      </c>
      <c r="M400" s="49">
        <v>0</v>
      </c>
    </row>
    <row r="401" spans="1:13" x14ac:dyDescent="0.3">
      <c r="A401" s="46" t="s">
        <v>997</v>
      </c>
      <c r="B401" s="46" t="s">
        <v>6628</v>
      </c>
      <c r="C401" s="46" t="s">
        <v>16</v>
      </c>
      <c r="D401" s="46" t="s">
        <v>99</v>
      </c>
      <c r="E401" s="46" t="s">
        <v>256</v>
      </c>
      <c r="F401" s="46" t="s">
        <v>30</v>
      </c>
      <c r="G401" s="46">
        <v>18</v>
      </c>
      <c r="H401" s="46" t="s">
        <v>6646</v>
      </c>
      <c r="I401" s="46" t="s">
        <v>20</v>
      </c>
      <c r="J401" s="47">
        <v>45292</v>
      </c>
      <c r="K401" s="46" t="s">
        <v>87</v>
      </c>
      <c r="L401" s="48">
        <v>15868</v>
      </c>
      <c r="M401" s="49">
        <v>0</v>
      </c>
    </row>
    <row r="402" spans="1:13" x14ac:dyDescent="0.3">
      <c r="A402" s="46" t="s">
        <v>998</v>
      </c>
      <c r="B402" s="46" t="s">
        <v>79</v>
      </c>
      <c r="C402" s="46" t="s">
        <v>55</v>
      </c>
      <c r="D402" s="46" t="s">
        <v>17</v>
      </c>
      <c r="E402" s="46" t="s">
        <v>135</v>
      </c>
      <c r="F402" s="46" t="s">
        <v>30</v>
      </c>
      <c r="G402" s="46">
        <v>57</v>
      </c>
      <c r="H402" s="46" t="s">
        <v>6645</v>
      </c>
      <c r="I402" s="46" t="s">
        <v>40</v>
      </c>
      <c r="J402" s="47">
        <v>45371</v>
      </c>
      <c r="K402" s="46" t="s">
        <v>87</v>
      </c>
      <c r="L402" s="48">
        <v>15410</v>
      </c>
      <c r="M402" s="49">
        <v>10</v>
      </c>
    </row>
    <row r="403" spans="1:13" x14ac:dyDescent="0.3">
      <c r="A403" s="46" t="s">
        <v>1000</v>
      </c>
      <c r="B403" s="46" t="s">
        <v>6626</v>
      </c>
      <c r="C403" s="46" t="s">
        <v>55</v>
      </c>
      <c r="D403" s="46" t="s">
        <v>93</v>
      </c>
      <c r="E403" s="46" t="s">
        <v>144</v>
      </c>
      <c r="F403" s="46" t="s">
        <v>30</v>
      </c>
      <c r="G403" s="46">
        <v>11</v>
      </c>
      <c r="H403" s="46" t="s">
        <v>6644</v>
      </c>
      <c r="I403" s="46" t="s">
        <v>20</v>
      </c>
      <c r="J403" s="47">
        <v>45221</v>
      </c>
      <c r="K403" s="46" t="s">
        <v>91</v>
      </c>
      <c r="L403" s="48">
        <v>3975</v>
      </c>
      <c r="M403" s="49">
        <v>0</v>
      </c>
    </row>
    <row r="404" spans="1:13" x14ac:dyDescent="0.3">
      <c r="A404" s="46" t="s">
        <v>1002</v>
      </c>
      <c r="B404" s="46" t="s">
        <v>6626</v>
      </c>
      <c r="C404" s="46" t="s">
        <v>36</v>
      </c>
      <c r="D404" s="46" t="s">
        <v>99</v>
      </c>
      <c r="E404" s="46" t="s">
        <v>372</v>
      </c>
      <c r="F404" s="46" t="s">
        <v>30</v>
      </c>
      <c r="G404" s="46">
        <v>61</v>
      </c>
      <c r="H404" s="46" t="s">
        <v>6643</v>
      </c>
      <c r="I404" s="46" t="s">
        <v>20</v>
      </c>
      <c r="J404" s="47">
        <v>45282</v>
      </c>
      <c r="K404" s="46" t="s">
        <v>72</v>
      </c>
      <c r="L404" s="48">
        <v>10337</v>
      </c>
      <c r="M404" s="49">
        <v>10</v>
      </c>
    </row>
    <row r="405" spans="1:13" x14ac:dyDescent="0.3">
      <c r="A405" s="46" t="s">
        <v>1005</v>
      </c>
      <c r="B405" s="46" t="s">
        <v>6629</v>
      </c>
      <c r="C405" s="46" t="s">
        <v>80</v>
      </c>
      <c r="D405" s="46" t="s">
        <v>47</v>
      </c>
      <c r="E405" s="46" t="s">
        <v>175</v>
      </c>
      <c r="F405" s="46" t="s">
        <v>30</v>
      </c>
      <c r="G405" s="46">
        <v>51</v>
      </c>
      <c r="H405" s="46" t="s">
        <v>6645</v>
      </c>
      <c r="I405" s="46" t="s">
        <v>20</v>
      </c>
      <c r="J405" s="47">
        <v>44938</v>
      </c>
      <c r="K405" s="46" t="s">
        <v>72</v>
      </c>
      <c r="L405" s="48">
        <v>6143</v>
      </c>
      <c r="M405" s="49">
        <v>0</v>
      </c>
    </row>
    <row r="406" spans="1:13" x14ac:dyDescent="0.3">
      <c r="A406" s="46" t="s">
        <v>1008</v>
      </c>
      <c r="B406" s="46" t="s">
        <v>6628</v>
      </c>
      <c r="C406" s="46" t="s">
        <v>16</v>
      </c>
      <c r="D406" s="46" t="s">
        <v>108</v>
      </c>
      <c r="E406" s="46" t="s">
        <v>272</v>
      </c>
      <c r="F406" s="46" t="s">
        <v>30</v>
      </c>
      <c r="G406" s="46">
        <v>83</v>
      </c>
      <c r="H406" s="46" t="s">
        <v>6643</v>
      </c>
      <c r="I406" s="46" t="s">
        <v>40</v>
      </c>
      <c r="J406" s="47">
        <v>45407</v>
      </c>
      <c r="K406" s="46" t="s">
        <v>104</v>
      </c>
      <c r="L406" s="48">
        <v>10074</v>
      </c>
      <c r="M406" s="49">
        <v>18</v>
      </c>
    </row>
    <row r="407" spans="1:13" x14ac:dyDescent="0.3">
      <c r="A407" s="46" t="s">
        <v>1009</v>
      </c>
      <c r="B407" s="46" t="s">
        <v>6626</v>
      </c>
      <c r="C407" s="46" t="s">
        <v>189</v>
      </c>
      <c r="D407" s="46" t="s">
        <v>28</v>
      </c>
      <c r="E407" s="46" t="s">
        <v>259</v>
      </c>
      <c r="F407" s="46" t="s">
        <v>30</v>
      </c>
      <c r="G407" s="46">
        <v>34</v>
      </c>
      <c r="H407" s="46" t="s">
        <v>6645</v>
      </c>
      <c r="I407" s="46" t="s">
        <v>20</v>
      </c>
      <c r="J407" s="47">
        <v>44939</v>
      </c>
      <c r="K407" s="46" t="s">
        <v>104</v>
      </c>
      <c r="L407" s="48">
        <v>11155</v>
      </c>
      <c r="M407" s="49">
        <v>15</v>
      </c>
    </row>
    <row r="408" spans="1:13" x14ac:dyDescent="0.3">
      <c r="A408" s="46" t="s">
        <v>1011</v>
      </c>
      <c r="B408" s="46" t="s">
        <v>6628</v>
      </c>
      <c r="C408" s="46" t="s">
        <v>27</v>
      </c>
      <c r="D408" s="46" t="s">
        <v>93</v>
      </c>
      <c r="E408" s="46" t="s">
        <v>121</v>
      </c>
      <c r="F408" s="46" t="s">
        <v>30</v>
      </c>
      <c r="G408" s="46">
        <v>64</v>
      </c>
      <c r="H408" s="46" t="s">
        <v>6643</v>
      </c>
      <c r="I408" s="46" t="s">
        <v>20</v>
      </c>
      <c r="J408" s="47">
        <v>45114</v>
      </c>
      <c r="K408" s="46" t="s">
        <v>87</v>
      </c>
      <c r="L408" s="48">
        <v>19352</v>
      </c>
      <c r="M408" s="49">
        <v>3</v>
      </c>
    </row>
    <row r="409" spans="1:13" x14ac:dyDescent="0.3">
      <c r="A409" s="46" t="s">
        <v>1013</v>
      </c>
      <c r="B409" s="46" t="s">
        <v>6627</v>
      </c>
      <c r="C409" s="46" t="s">
        <v>36</v>
      </c>
      <c r="D409" s="46" t="s">
        <v>74</v>
      </c>
      <c r="E409" s="46" t="s">
        <v>75</v>
      </c>
      <c r="F409" s="46" t="s">
        <v>30</v>
      </c>
      <c r="G409" s="46">
        <v>5</v>
      </c>
      <c r="H409" s="46" t="s">
        <v>6644</v>
      </c>
      <c r="I409" s="46" t="s">
        <v>40</v>
      </c>
      <c r="J409" s="47">
        <v>45285</v>
      </c>
      <c r="K409" s="46" t="s">
        <v>87</v>
      </c>
      <c r="L409" s="48">
        <v>10805</v>
      </c>
      <c r="M409" s="49">
        <v>0</v>
      </c>
    </row>
    <row r="410" spans="1:13" x14ac:dyDescent="0.3">
      <c r="A410" s="46" t="s">
        <v>1016</v>
      </c>
      <c r="B410" s="46" t="s">
        <v>6626</v>
      </c>
      <c r="C410" s="46" t="s">
        <v>36</v>
      </c>
      <c r="D410" s="46" t="s">
        <v>17</v>
      </c>
      <c r="E410" s="46" t="s">
        <v>169</v>
      </c>
      <c r="F410" s="46" t="s">
        <v>30</v>
      </c>
      <c r="G410" s="46">
        <v>11</v>
      </c>
      <c r="H410" s="46" t="s">
        <v>6644</v>
      </c>
      <c r="I410" s="46" t="s">
        <v>20</v>
      </c>
      <c r="J410" s="47">
        <v>45105</v>
      </c>
      <c r="K410" s="46" t="s">
        <v>104</v>
      </c>
      <c r="L410" s="48">
        <v>4457</v>
      </c>
      <c r="M410" s="49">
        <v>35</v>
      </c>
    </row>
    <row r="411" spans="1:13" x14ac:dyDescent="0.3">
      <c r="A411" s="46" t="s">
        <v>1019</v>
      </c>
      <c r="B411" s="46" t="s">
        <v>6627</v>
      </c>
      <c r="C411" s="46" t="s">
        <v>66</v>
      </c>
      <c r="D411" s="46" t="s">
        <v>28</v>
      </c>
      <c r="E411" s="46" t="s">
        <v>259</v>
      </c>
      <c r="F411" s="46" t="s">
        <v>30</v>
      </c>
      <c r="G411" s="46">
        <v>51</v>
      </c>
      <c r="H411" s="46" t="s">
        <v>6645</v>
      </c>
      <c r="I411" s="46" t="s">
        <v>40</v>
      </c>
      <c r="J411" s="47">
        <v>45322</v>
      </c>
      <c r="K411" s="46" t="s">
        <v>87</v>
      </c>
      <c r="L411" s="48">
        <v>13272</v>
      </c>
      <c r="M411" s="49">
        <v>10</v>
      </c>
    </row>
    <row r="412" spans="1:13" x14ac:dyDescent="0.3">
      <c r="A412" s="46" t="s">
        <v>1020</v>
      </c>
      <c r="B412" s="46" t="s">
        <v>6626</v>
      </c>
      <c r="C412" s="46" t="s">
        <v>80</v>
      </c>
      <c r="D412" s="46" t="s">
        <v>28</v>
      </c>
      <c r="E412" s="46" t="s">
        <v>29</v>
      </c>
      <c r="F412" s="46" t="s">
        <v>30</v>
      </c>
      <c r="G412" s="46">
        <v>72</v>
      </c>
      <c r="H412" s="46" t="s">
        <v>6643</v>
      </c>
      <c r="I412" s="46" t="s">
        <v>40</v>
      </c>
      <c r="J412" s="47">
        <v>45255</v>
      </c>
      <c r="K412" s="46" t="s">
        <v>72</v>
      </c>
      <c r="L412" s="48">
        <v>13400</v>
      </c>
      <c r="M412" s="49">
        <v>0</v>
      </c>
    </row>
    <row r="413" spans="1:13" x14ac:dyDescent="0.3">
      <c r="A413" s="46" t="s">
        <v>1023</v>
      </c>
      <c r="B413" s="46" t="s">
        <v>118</v>
      </c>
      <c r="C413" s="46" t="s">
        <v>80</v>
      </c>
      <c r="D413" s="46" t="s">
        <v>74</v>
      </c>
      <c r="E413" s="46" t="s">
        <v>192</v>
      </c>
      <c r="F413" s="46" t="s">
        <v>30</v>
      </c>
      <c r="G413" s="46">
        <v>25</v>
      </c>
      <c r="H413" s="46" t="s">
        <v>6645</v>
      </c>
      <c r="I413" s="46" t="s">
        <v>40</v>
      </c>
      <c r="J413" s="47">
        <v>45017</v>
      </c>
      <c r="K413" s="46" t="s">
        <v>91</v>
      </c>
      <c r="L413" s="48">
        <v>5594</v>
      </c>
      <c r="M413" s="49">
        <v>0</v>
      </c>
    </row>
    <row r="414" spans="1:13" x14ac:dyDescent="0.3">
      <c r="A414" s="46" t="s">
        <v>1025</v>
      </c>
      <c r="B414" s="46" t="s">
        <v>6626</v>
      </c>
      <c r="C414" s="46" t="s">
        <v>189</v>
      </c>
      <c r="D414" s="46" t="s">
        <v>47</v>
      </c>
      <c r="E414" s="46" t="s">
        <v>175</v>
      </c>
      <c r="F414" s="46" t="s">
        <v>30</v>
      </c>
      <c r="G414" s="46">
        <v>77</v>
      </c>
      <c r="H414" s="46" t="s">
        <v>6643</v>
      </c>
      <c r="I414" s="46" t="s">
        <v>40</v>
      </c>
      <c r="J414" s="47">
        <v>45344</v>
      </c>
      <c r="K414" s="46" t="s">
        <v>6632</v>
      </c>
      <c r="L414" s="48">
        <v>9261</v>
      </c>
      <c r="M414" s="49">
        <v>18</v>
      </c>
    </row>
    <row r="415" spans="1:13" x14ac:dyDescent="0.3">
      <c r="A415" s="46" t="s">
        <v>1027</v>
      </c>
      <c r="B415" s="46" t="s">
        <v>118</v>
      </c>
      <c r="C415" s="46" t="s">
        <v>36</v>
      </c>
      <c r="D415" s="46" t="s">
        <v>28</v>
      </c>
      <c r="E415" s="46" t="s">
        <v>290</v>
      </c>
      <c r="F415" s="46" t="s">
        <v>30</v>
      </c>
      <c r="G415" s="46">
        <v>17</v>
      </c>
      <c r="H415" s="46" t="s">
        <v>6646</v>
      </c>
      <c r="I415" s="46" t="s">
        <v>40</v>
      </c>
      <c r="J415" s="47">
        <v>45138</v>
      </c>
      <c r="K415" s="46" t="s">
        <v>6632</v>
      </c>
      <c r="L415" s="48">
        <v>14857</v>
      </c>
      <c r="M415" s="49">
        <v>0</v>
      </c>
    </row>
    <row r="416" spans="1:13" x14ac:dyDescent="0.3">
      <c r="A416" s="46" t="s">
        <v>1028</v>
      </c>
      <c r="B416" s="46" t="s">
        <v>118</v>
      </c>
      <c r="C416" s="46" t="s">
        <v>189</v>
      </c>
      <c r="D416" s="46" t="s">
        <v>17</v>
      </c>
      <c r="E416" s="46" t="s">
        <v>135</v>
      </c>
      <c r="F416" s="46" t="s">
        <v>30</v>
      </c>
      <c r="G416" s="46">
        <v>66</v>
      </c>
      <c r="H416" s="46" t="s">
        <v>6643</v>
      </c>
      <c r="I416" s="46" t="s">
        <v>40</v>
      </c>
      <c r="J416" s="47">
        <v>45337</v>
      </c>
      <c r="K416" s="46" t="s">
        <v>72</v>
      </c>
      <c r="L416" s="48">
        <v>7088</v>
      </c>
      <c r="M416" s="49">
        <v>3</v>
      </c>
    </row>
    <row r="417" spans="1:13" x14ac:dyDescent="0.3">
      <c r="A417" s="46" t="s">
        <v>1031</v>
      </c>
      <c r="B417" s="46" t="s">
        <v>6628</v>
      </c>
      <c r="C417" s="46" t="s">
        <v>27</v>
      </c>
      <c r="D417" s="46" t="s">
        <v>93</v>
      </c>
      <c r="E417" s="46" t="s">
        <v>121</v>
      </c>
      <c r="F417" s="46" t="s">
        <v>69</v>
      </c>
      <c r="G417" s="46">
        <v>12</v>
      </c>
      <c r="H417" s="46" t="s">
        <v>6644</v>
      </c>
      <c r="I417" s="46" t="s">
        <v>20</v>
      </c>
      <c r="J417" s="47">
        <v>45045</v>
      </c>
      <c r="K417" s="46" t="s">
        <v>72</v>
      </c>
      <c r="L417" s="48">
        <v>57996</v>
      </c>
      <c r="M417" s="49">
        <v>5</v>
      </c>
    </row>
    <row r="418" spans="1:13" x14ac:dyDescent="0.3">
      <c r="A418" s="46" t="s">
        <v>1033</v>
      </c>
      <c r="B418" s="46" t="s">
        <v>6626</v>
      </c>
      <c r="C418" s="46" t="s">
        <v>36</v>
      </c>
      <c r="D418" s="46" t="s">
        <v>17</v>
      </c>
      <c r="E418" s="46" t="s">
        <v>213</v>
      </c>
      <c r="F418" s="46" t="s">
        <v>69</v>
      </c>
      <c r="G418" s="46">
        <v>72</v>
      </c>
      <c r="H418" s="46" t="s">
        <v>6643</v>
      </c>
      <c r="I418" s="46" t="s">
        <v>40</v>
      </c>
      <c r="J418" s="47">
        <v>45231</v>
      </c>
      <c r="K418" s="46" t="s">
        <v>87</v>
      </c>
      <c r="L418" s="48">
        <v>80786</v>
      </c>
      <c r="M418" s="49">
        <v>0</v>
      </c>
    </row>
    <row r="419" spans="1:13" x14ac:dyDescent="0.3">
      <c r="A419" s="46" t="s">
        <v>1034</v>
      </c>
      <c r="B419" s="46" t="s">
        <v>6627</v>
      </c>
      <c r="C419" s="46" t="s">
        <v>80</v>
      </c>
      <c r="D419" s="46" t="s">
        <v>108</v>
      </c>
      <c r="E419" s="46" t="s">
        <v>124</v>
      </c>
      <c r="F419" s="46" t="s">
        <v>30</v>
      </c>
      <c r="G419" s="46">
        <v>88</v>
      </c>
      <c r="H419" s="46" t="s">
        <v>6643</v>
      </c>
      <c r="I419" s="46" t="s">
        <v>40</v>
      </c>
      <c r="J419" s="47">
        <v>44951</v>
      </c>
      <c r="K419" s="46" t="s">
        <v>97</v>
      </c>
      <c r="L419" s="48">
        <v>11458</v>
      </c>
      <c r="M419" s="49">
        <v>3</v>
      </c>
    </row>
    <row r="420" spans="1:13" x14ac:dyDescent="0.3">
      <c r="A420" s="46" t="s">
        <v>1035</v>
      </c>
      <c r="B420" s="46" t="s">
        <v>118</v>
      </c>
      <c r="C420" s="46" t="s">
        <v>27</v>
      </c>
      <c r="D420" s="46" t="s">
        <v>17</v>
      </c>
      <c r="E420" s="46" t="s">
        <v>135</v>
      </c>
      <c r="F420" s="46" t="s">
        <v>30</v>
      </c>
      <c r="G420" s="46">
        <v>19</v>
      </c>
      <c r="H420" s="46" t="s">
        <v>6646</v>
      </c>
      <c r="I420" s="46" t="s">
        <v>40</v>
      </c>
      <c r="J420" s="47">
        <v>45060</v>
      </c>
      <c r="K420" s="46" t="s">
        <v>87</v>
      </c>
      <c r="L420" s="48">
        <v>15171</v>
      </c>
      <c r="M420" s="49">
        <v>0</v>
      </c>
    </row>
    <row r="421" spans="1:13" x14ac:dyDescent="0.3">
      <c r="A421" s="46" t="s">
        <v>1038</v>
      </c>
      <c r="B421" s="46" t="s">
        <v>6629</v>
      </c>
      <c r="C421" s="46" t="s">
        <v>27</v>
      </c>
      <c r="D421" s="46" t="s">
        <v>37</v>
      </c>
      <c r="E421" s="46" t="s">
        <v>38</v>
      </c>
      <c r="F421" s="46" t="s">
        <v>6632</v>
      </c>
      <c r="G421" s="46">
        <v>7</v>
      </c>
      <c r="H421" s="46" t="s">
        <v>6644</v>
      </c>
      <c r="I421" s="46" t="s">
        <v>40</v>
      </c>
      <c r="J421" s="47">
        <v>45073</v>
      </c>
      <c r="K421" s="46" t="s">
        <v>104</v>
      </c>
      <c r="L421" s="48">
        <v>15507</v>
      </c>
      <c r="M421" s="49">
        <v>15</v>
      </c>
    </row>
    <row r="422" spans="1:13" x14ac:dyDescent="0.3">
      <c r="A422" s="46" t="s">
        <v>1039</v>
      </c>
      <c r="B422" s="46" t="s">
        <v>118</v>
      </c>
      <c r="C422" s="46" t="s">
        <v>80</v>
      </c>
      <c r="D422" s="46" t="s">
        <v>17</v>
      </c>
      <c r="E422" s="46" t="s">
        <v>18</v>
      </c>
      <c r="F422" s="46" t="s">
        <v>30</v>
      </c>
      <c r="G422" s="46">
        <v>15</v>
      </c>
      <c r="H422" s="46" t="s">
        <v>6646</v>
      </c>
      <c r="I422" s="46" t="s">
        <v>20</v>
      </c>
      <c r="J422" s="47">
        <v>45230</v>
      </c>
      <c r="K422" s="46" t="s">
        <v>87</v>
      </c>
      <c r="L422" s="48">
        <v>18048</v>
      </c>
      <c r="M422" s="49">
        <v>0</v>
      </c>
    </row>
    <row r="423" spans="1:13" x14ac:dyDescent="0.3">
      <c r="A423" s="46" t="s">
        <v>1040</v>
      </c>
      <c r="B423" s="46" t="s">
        <v>6629</v>
      </c>
      <c r="C423" s="46" t="s">
        <v>80</v>
      </c>
      <c r="D423" s="46" t="s">
        <v>47</v>
      </c>
      <c r="E423" s="46" t="s">
        <v>175</v>
      </c>
      <c r="F423" s="46" t="s">
        <v>30</v>
      </c>
      <c r="G423" s="46">
        <v>53</v>
      </c>
      <c r="H423" s="46" t="s">
        <v>6645</v>
      </c>
      <c r="I423" s="46" t="s">
        <v>40</v>
      </c>
      <c r="J423" s="47">
        <v>45184</v>
      </c>
      <c r="K423" s="46" t="s">
        <v>72</v>
      </c>
      <c r="L423" s="48">
        <v>6989</v>
      </c>
      <c r="M423" s="49">
        <v>0</v>
      </c>
    </row>
    <row r="424" spans="1:13" x14ac:dyDescent="0.3">
      <c r="A424" s="46" t="s">
        <v>1041</v>
      </c>
      <c r="B424" s="46" t="s">
        <v>6627</v>
      </c>
      <c r="C424" s="46" t="s">
        <v>55</v>
      </c>
      <c r="D424" s="46" t="s">
        <v>108</v>
      </c>
      <c r="E424" s="46" t="s">
        <v>272</v>
      </c>
      <c r="F424" s="46" t="s">
        <v>6632</v>
      </c>
      <c r="G424" s="46">
        <v>33</v>
      </c>
      <c r="H424" s="46" t="s">
        <v>6645</v>
      </c>
      <c r="I424" s="46" t="s">
        <v>40</v>
      </c>
      <c r="J424" s="47">
        <v>45406</v>
      </c>
      <c r="K424" s="46" t="s">
        <v>72</v>
      </c>
      <c r="L424" s="48">
        <v>42962</v>
      </c>
      <c r="M424" s="49">
        <v>0</v>
      </c>
    </row>
    <row r="425" spans="1:13" x14ac:dyDescent="0.3">
      <c r="A425" s="46" t="s">
        <v>1043</v>
      </c>
      <c r="B425" s="46" t="s">
        <v>6628</v>
      </c>
      <c r="C425" s="46" t="s">
        <v>16</v>
      </c>
      <c r="D425" s="46" t="s">
        <v>93</v>
      </c>
      <c r="E425" s="46" t="s">
        <v>94</v>
      </c>
      <c r="F425" s="46" t="s">
        <v>30</v>
      </c>
      <c r="G425" s="46">
        <v>58</v>
      </c>
      <c r="H425" s="46" t="s">
        <v>6645</v>
      </c>
      <c r="I425" s="46" t="s">
        <v>40</v>
      </c>
      <c r="J425" s="47">
        <v>45006</v>
      </c>
      <c r="K425" s="46" t="s">
        <v>104</v>
      </c>
      <c r="L425" s="48">
        <v>10211</v>
      </c>
      <c r="M425" s="49">
        <v>19</v>
      </c>
    </row>
    <row r="426" spans="1:13" x14ac:dyDescent="0.3">
      <c r="A426" s="46" t="s">
        <v>1045</v>
      </c>
      <c r="B426" s="46" t="s">
        <v>6627</v>
      </c>
      <c r="C426" s="46" t="s">
        <v>55</v>
      </c>
      <c r="D426" s="46" t="s">
        <v>67</v>
      </c>
      <c r="E426" s="46" t="s">
        <v>68</v>
      </c>
      <c r="F426" s="46" t="s">
        <v>69</v>
      </c>
      <c r="G426" s="46">
        <v>51</v>
      </c>
      <c r="H426" s="46" t="s">
        <v>6645</v>
      </c>
      <c r="I426" s="46" t="s">
        <v>40</v>
      </c>
      <c r="J426" s="47">
        <v>45323</v>
      </c>
      <c r="K426" s="46" t="s">
        <v>104</v>
      </c>
      <c r="L426" s="48">
        <v>59712</v>
      </c>
      <c r="M426" s="49">
        <v>12</v>
      </c>
    </row>
    <row r="427" spans="1:13" x14ac:dyDescent="0.3">
      <c r="A427" s="46" t="s">
        <v>1046</v>
      </c>
      <c r="B427" s="46" t="s">
        <v>6626</v>
      </c>
      <c r="C427" s="46" t="s">
        <v>36</v>
      </c>
      <c r="D427" s="46" t="s">
        <v>17</v>
      </c>
      <c r="E427" s="46" t="s">
        <v>213</v>
      </c>
      <c r="F427" s="46" t="s">
        <v>69</v>
      </c>
      <c r="G427" s="46">
        <v>90</v>
      </c>
      <c r="H427" s="46" t="s">
        <v>6643</v>
      </c>
      <c r="I427" s="46" t="s">
        <v>40</v>
      </c>
      <c r="J427" s="47">
        <v>45189</v>
      </c>
      <c r="K427" s="46" t="s">
        <v>91</v>
      </c>
      <c r="L427" s="48">
        <v>80127</v>
      </c>
      <c r="M427" s="49">
        <v>10</v>
      </c>
    </row>
    <row r="428" spans="1:13" x14ac:dyDescent="0.3">
      <c r="A428" s="46" t="s">
        <v>1047</v>
      </c>
      <c r="B428" s="46" t="s">
        <v>6626</v>
      </c>
      <c r="C428" s="46" t="s">
        <v>61</v>
      </c>
      <c r="D428" s="46" t="s">
        <v>67</v>
      </c>
      <c r="E428" s="46" t="s">
        <v>89</v>
      </c>
      <c r="F428" s="46" t="s">
        <v>69</v>
      </c>
      <c r="G428" s="46">
        <v>38</v>
      </c>
      <c r="H428" s="46" t="s">
        <v>6645</v>
      </c>
      <c r="I428" s="46" t="s">
        <v>20</v>
      </c>
      <c r="J428" s="47">
        <v>45182</v>
      </c>
      <c r="K428" s="46" t="s">
        <v>97</v>
      </c>
      <c r="L428" s="48">
        <v>62834</v>
      </c>
      <c r="M428" s="49">
        <v>0</v>
      </c>
    </row>
    <row r="429" spans="1:13" x14ac:dyDescent="0.3">
      <c r="A429" s="46" t="s">
        <v>1049</v>
      </c>
      <c r="B429" s="46" t="s">
        <v>6626</v>
      </c>
      <c r="C429" s="46" t="s">
        <v>27</v>
      </c>
      <c r="D429" s="46" t="s">
        <v>47</v>
      </c>
      <c r="E429" s="46" t="s">
        <v>461</v>
      </c>
      <c r="F429" s="46" t="s">
        <v>30</v>
      </c>
      <c r="G429" s="46">
        <v>81</v>
      </c>
      <c r="H429" s="46" t="s">
        <v>6643</v>
      </c>
      <c r="I429" s="46" t="s">
        <v>20</v>
      </c>
      <c r="J429" s="47">
        <v>45370</v>
      </c>
      <c r="K429" s="46" t="s">
        <v>91</v>
      </c>
      <c r="L429" s="48">
        <v>17080</v>
      </c>
      <c r="M429" s="49">
        <v>0</v>
      </c>
    </row>
    <row r="430" spans="1:13" x14ac:dyDescent="0.3">
      <c r="A430" s="46" t="s">
        <v>1051</v>
      </c>
      <c r="B430" s="46" t="s">
        <v>6628</v>
      </c>
      <c r="C430" s="46" t="s">
        <v>27</v>
      </c>
      <c r="D430" s="46" t="s">
        <v>17</v>
      </c>
      <c r="E430" s="46" t="s">
        <v>213</v>
      </c>
      <c r="F430" s="46" t="s">
        <v>69</v>
      </c>
      <c r="G430" s="46">
        <v>13</v>
      </c>
      <c r="H430" s="46" t="s">
        <v>6646</v>
      </c>
      <c r="I430" s="46" t="s">
        <v>40</v>
      </c>
      <c r="J430" s="47">
        <v>45028</v>
      </c>
      <c r="K430" s="46" t="s">
        <v>72</v>
      </c>
      <c r="L430" s="48">
        <v>62461</v>
      </c>
      <c r="M430" s="49">
        <v>0</v>
      </c>
    </row>
    <row r="431" spans="1:13" x14ac:dyDescent="0.3">
      <c r="A431" s="46" t="s">
        <v>1053</v>
      </c>
      <c r="B431" s="46" t="s">
        <v>6627</v>
      </c>
      <c r="C431" s="46" t="s">
        <v>61</v>
      </c>
      <c r="D431" s="46" t="s">
        <v>37</v>
      </c>
      <c r="E431" s="46" t="s">
        <v>56</v>
      </c>
      <c r="F431" s="46" t="s">
        <v>30</v>
      </c>
      <c r="G431" s="46">
        <v>23</v>
      </c>
      <c r="H431" s="46" t="s">
        <v>6645</v>
      </c>
      <c r="I431" s="46" t="s">
        <v>20</v>
      </c>
      <c r="J431" s="47">
        <v>45374</v>
      </c>
      <c r="K431" s="46" t="s">
        <v>87</v>
      </c>
      <c r="L431" s="48">
        <v>6632</v>
      </c>
      <c r="M431" s="49">
        <v>0</v>
      </c>
    </row>
    <row r="432" spans="1:13" x14ac:dyDescent="0.3">
      <c r="A432" s="46" t="s">
        <v>1054</v>
      </c>
      <c r="B432" s="46" t="s">
        <v>6629</v>
      </c>
      <c r="C432" s="46" t="s">
        <v>80</v>
      </c>
      <c r="D432" s="46" t="s">
        <v>67</v>
      </c>
      <c r="E432" s="46" t="s">
        <v>89</v>
      </c>
      <c r="F432" s="46" t="s">
        <v>30</v>
      </c>
      <c r="G432" s="46">
        <v>19</v>
      </c>
      <c r="H432" s="46" t="s">
        <v>6646</v>
      </c>
      <c r="I432" s="46" t="s">
        <v>20</v>
      </c>
      <c r="J432" s="47">
        <v>45235</v>
      </c>
      <c r="K432" s="46" t="s">
        <v>72</v>
      </c>
      <c r="L432" s="48">
        <v>4966</v>
      </c>
      <c r="M432" s="49">
        <v>0</v>
      </c>
    </row>
    <row r="433" spans="1:13" x14ac:dyDescent="0.3">
      <c r="A433" s="46" t="s">
        <v>1056</v>
      </c>
      <c r="B433" s="46" t="s">
        <v>118</v>
      </c>
      <c r="C433" s="46" t="s">
        <v>16</v>
      </c>
      <c r="D433" s="46" t="s">
        <v>93</v>
      </c>
      <c r="E433" s="46" t="s">
        <v>94</v>
      </c>
      <c r="F433" s="46" t="s">
        <v>30</v>
      </c>
      <c r="G433" s="46">
        <v>58</v>
      </c>
      <c r="H433" s="46" t="s">
        <v>6645</v>
      </c>
      <c r="I433" s="46" t="s">
        <v>40</v>
      </c>
      <c r="J433" s="47">
        <v>45019</v>
      </c>
      <c r="K433" s="46" t="s">
        <v>87</v>
      </c>
      <c r="L433" s="48">
        <v>6800</v>
      </c>
      <c r="M433" s="49">
        <v>5</v>
      </c>
    </row>
    <row r="434" spans="1:13" x14ac:dyDescent="0.3">
      <c r="A434" s="46" t="s">
        <v>1059</v>
      </c>
      <c r="B434" s="46" t="s">
        <v>6629</v>
      </c>
      <c r="C434" s="46" t="s">
        <v>55</v>
      </c>
      <c r="D434" s="46" t="s">
        <v>47</v>
      </c>
      <c r="E434" s="46" t="s">
        <v>364</v>
      </c>
      <c r="F434" s="46" t="s">
        <v>69</v>
      </c>
      <c r="G434" s="46">
        <v>71</v>
      </c>
      <c r="H434" s="46" t="s">
        <v>6643</v>
      </c>
      <c r="I434" s="46" t="s">
        <v>40</v>
      </c>
      <c r="J434" s="47">
        <v>45220</v>
      </c>
      <c r="K434" s="46" t="s">
        <v>72</v>
      </c>
      <c r="L434" s="48">
        <v>35408</v>
      </c>
      <c r="M434" s="49">
        <v>0</v>
      </c>
    </row>
    <row r="435" spans="1:13" x14ac:dyDescent="0.3">
      <c r="A435" s="46" t="s">
        <v>1060</v>
      </c>
      <c r="B435" s="46" t="s">
        <v>79</v>
      </c>
      <c r="C435" s="46" t="s">
        <v>27</v>
      </c>
      <c r="D435" s="46" t="s">
        <v>67</v>
      </c>
      <c r="E435" s="46" t="s">
        <v>68</v>
      </c>
      <c r="F435" s="46" t="s">
        <v>69</v>
      </c>
      <c r="G435" s="46">
        <v>8</v>
      </c>
      <c r="H435" s="46" t="s">
        <v>6644</v>
      </c>
      <c r="I435" s="46" t="s">
        <v>40</v>
      </c>
      <c r="J435" s="47">
        <v>45310</v>
      </c>
      <c r="K435" s="46" t="s">
        <v>87</v>
      </c>
      <c r="L435" s="48">
        <v>53048</v>
      </c>
      <c r="M435" s="49">
        <v>5</v>
      </c>
    </row>
    <row r="436" spans="1:13" x14ac:dyDescent="0.3">
      <c r="A436" s="46" t="s">
        <v>1061</v>
      </c>
      <c r="B436" s="46" t="s">
        <v>6628</v>
      </c>
      <c r="C436" s="46" t="s">
        <v>66</v>
      </c>
      <c r="D436" s="46" t="s">
        <v>37</v>
      </c>
      <c r="E436" s="46" t="s">
        <v>38</v>
      </c>
      <c r="F436" s="46" t="s">
        <v>30</v>
      </c>
      <c r="G436" s="46">
        <v>92</v>
      </c>
      <c r="H436" s="46" t="s">
        <v>6643</v>
      </c>
      <c r="I436" s="46" t="s">
        <v>40</v>
      </c>
      <c r="J436" s="47">
        <v>45198</v>
      </c>
      <c r="K436" s="46" t="s">
        <v>91</v>
      </c>
      <c r="L436" s="48">
        <v>16228</v>
      </c>
      <c r="M436" s="49">
        <v>0</v>
      </c>
    </row>
    <row r="437" spans="1:13" x14ac:dyDescent="0.3">
      <c r="A437" s="46" t="s">
        <v>1063</v>
      </c>
      <c r="B437" s="46" t="s">
        <v>79</v>
      </c>
      <c r="C437" s="46" t="s">
        <v>66</v>
      </c>
      <c r="D437" s="46" t="s">
        <v>108</v>
      </c>
      <c r="E437" s="46" t="s">
        <v>308</v>
      </c>
      <c r="F437" s="46" t="s">
        <v>30</v>
      </c>
      <c r="G437" s="46">
        <v>68</v>
      </c>
      <c r="H437" s="46" t="s">
        <v>6643</v>
      </c>
      <c r="I437" s="46" t="s">
        <v>20</v>
      </c>
      <c r="J437" s="47">
        <v>45210</v>
      </c>
      <c r="K437" s="46" t="s">
        <v>72</v>
      </c>
      <c r="L437" s="48">
        <v>8917</v>
      </c>
      <c r="M437" s="49">
        <v>0</v>
      </c>
    </row>
    <row r="438" spans="1:13" x14ac:dyDescent="0.3">
      <c r="A438" s="46" t="s">
        <v>1065</v>
      </c>
      <c r="B438" s="46" t="s">
        <v>118</v>
      </c>
      <c r="C438" s="46" t="s">
        <v>189</v>
      </c>
      <c r="D438" s="46" t="s">
        <v>28</v>
      </c>
      <c r="E438" s="46" t="s">
        <v>29</v>
      </c>
      <c r="F438" s="46" t="s">
        <v>30</v>
      </c>
      <c r="G438" s="46">
        <v>49</v>
      </c>
      <c r="H438" s="46" t="s">
        <v>6645</v>
      </c>
      <c r="I438" s="46" t="s">
        <v>20</v>
      </c>
      <c r="J438" s="47">
        <v>45377</v>
      </c>
      <c r="K438" s="46" t="s">
        <v>104</v>
      </c>
      <c r="L438" s="48">
        <v>5522</v>
      </c>
      <c r="M438" s="49">
        <v>30</v>
      </c>
    </row>
    <row r="439" spans="1:13" x14ac:dyDescent="0.3">
      <c r="A439" s="46" t="s">
        <v>1068</v>
      </c>
      <c r="B439" s="46" t="s">
        <v>6627</v>
      </c>
      <c r="C439" s="46" t="s">
        <v>55</v>
      </c>
      <c r="D439" s="46" t="s">
        <v>74</v>
      </c>
      <c r="E439" s="46" t="s">
        <v>147</v>
      </c>
      <c r="F439" s="46" t="s">
        <v>6632</v>
      </c>
      <c r="G439" s="46">
        <v>56</v>
      </c>
      <c r="H439" s="46" t="s">
        <v>6645</v>
      </c>
      <c r="I439" s="46" t="s">
        <v>40</v>
      </c>
      <c r="J439" s="47">
        <v>45277</v>
      </c>
      <c r="K439" s="46" t="s">
        <v>91</v>
      </c>
      <c r="L439" s="48">
        <v>79066</v>
      </c>
      <c r="M439" s="49">
        <v>0</v>
      </c>
    </row>
    <row r="440" spans="1:13" x14ac:dyDescent="0.3">
      <c r="A440" s="46" t="s">
        <v>1071</v>
      </c>
      <c r="B440" s="46" t="s">
        <v>6626</v>
      </c>
      <c r="C440" s="46" t="s">
        <v>80</v>
      </c>
      <c r="D440" s="46" t="s">
        <v>93</v>
      </c>
      <c r="E440" s="46" t="s">
        <v>121</v>
      </c>
      <c r="F440" s="46" t="s">
        <v>30</v>
      </c>
      <c r="G440" s="46">
        <v>48</v>
      </c>
      <c r="H440" s="46" t="s">
        <v>6645</v>
      </c>
      <c r="I440" s="46" t="s">
        <v>20</v>
      </c>
      <c r="J440" s="47">
        <v>44941</v>
      </c>
      <c r="K440" s="46" t="s">
        <v>72</v>
      </c>
      <c r="L440" s="48">
        <v>18210</v>
      </c>
      <c r="M440" s="49">
        <v>5</v>
      </c>
    </row>
    <row r="441" spans="1:13" x14ac:dyDescent="0.3">
      <c r="A441" s="46" t="s">
        <v>1074</v>
      </c>
      <c r="B441" s="46" t="s">
        <v>118</v>
      </c>
      <c r="C441" s="46" t="s">
        <v>27</v>
      </c>
      <c r="D441" s="46" t="s">
        <v>99</v>
      </c>
      <c r="E441" s="46" t="s">
        <v>151</v>
      </c>
      <c r="F441" s="46" t="s">
        <v>30</v>
      </c>
      <c r="G441" s="46">
        <v>63</v>
      </c>
      <c r="H441" s="46" t="s">
        <v>6643</v>
      </c>
      <c r="I441" s="46" t="s">
        <v>40</v>
      </c>
      <c r="J441" s="47">
        <v>45038</v>
      </c>
      <c r="K441" s="46" t="s">
        <v>87</v>
      </c>
      <c r="L441" s="48">
        <v>15406</v>
      </c>
      <c r="M441" s="49">
        <v>10</v>
      </c>
    </row>
    <row r="442" spans="1:13" x14ac:dyDescent="0.3">
      <c r="A442" s="46" t="s">
        <v>1077</v>
      </c>
      <c r="B442" s="46" t="s">
        <v>6627</v>
      </c>
      <c r="C442" s="46" t="s">
        <v>36</v>
      </c>
      <c r="D442" s="46" t="s">
        <v>28</v>
      </c>
      <c r="E442" s="46" t="s">
        <v>290</v>
      </c>
      <c r="F442" s="46" t="s">
        <v>6632</v>
      </c>
      <c r="G442" s="46">
        <v>36</v>
      </c>
      <c r="H442" s="46" t="s">
        <v>6645</v>
      </c>
      <c r="I442" s="46" t="s">
        <v>20</v>
      </c>
      <c r="J442" s="47">
        <v>44955</v>
      </c>
      <c r="K442" s="46" t="s">
        <v>97</v>
      </c>
      <c r="L442" s="48">
        <v>3322</v>
      </c>
      <c r="M442" s="49">
        <v>5</v>
      </c>
    </row>
    <row r="443" spans="1:13" x14ac:dyDescent="0.3">
      <c r="A443" s="46" t="s">
        <v>1080</v>
      </c>
      <c r="B443" s="46" t="s">
        <v>6626</v>
      </c>
      <c r="C443" s="46" t="s">
        <v>16</v>
      </c>
      <c r="D443" s="46" t="s">
        <v>99</v>
      </c>
      <c r="E443" s="46" t="s">
        <v>151</v>
      </c>
      <c r="F443" s="46" t="s">
        <v>30</v>
      </c>
      <c r="G443" s="46">
        <v>13</v>
      </c>
      <c r="H443" s="46" t="s">
        <v>6646</v>
      </c>
      <c r="I443" s="46" t="s">
        <v>40</v>
      </c>
      <c r="J443" s="47">
        <v>45242</v>
      </c>
      <c r="K443" s="46" t="s">
        <v>104</v>
      </c>
      <c r="L443" s="48">
        <v>11945</v>
      </c>
      <c r="M443" s="49">
        <v>12</v>
      </c>
    </row>
    <row r="444" spans="1:13" x14ac:dyDescent="0.3">
      <c r="A444" s="46" t="s">
        <v>1082</v>
      </c>
      <c r="B444" s="46" t="s">
        <v>6629</v>
      </c>
      <c r="C444" s="46" t="s">
        <v>27</v>
      </c>
      <c r="D444" s="46" t="s">
        <v>37</v>
      </c>
      <c r="E444" s="46" t="s">
        <v>38</v>
      </c>
      <c r="F444" s="46" t="s">
        <v>30</v>
      </c>
      <c r="G444" s="46">
        <v>77</v>
      </c>
      <c r="H444" s="46" t="s">
        <v>6643</v>
      </c>
      <c r="I444" s="46" t="s">
        <v>20</v>
      </c>
      <c r="J444" s="47">
        <v>45359</v>
      </c>
      <c r="K444" s="46" t="s">
        <v>97</v>
      </c>
      <c r="L444" s="48">
        <v>14077</v>
      </c>
      <c r="M444" s="49">
        <v>0</v>
      </c>
    </row>
    <row r="445" spans="1:13" x14ac:dyDescent="0.3">
      <c r="A445" s="46" t="s">
        <v>1085</v>
      </c>
      <c r="B445" s="46" t="s">
        <v>79</v>
      </c>
      <c r="C445" s="46" t="s">
        <v>80</v>
      </c>
      <c r="D445" s="46" t="s">
        <v>93</v>
      </c>
      <c r="E445" s="46" t="s">
        <v>94</v>
      </c>
      <c r="F445" s="46" t="s">
        <v>69</v>
      </c>
      <c r="G445" s="46">
        <v>1</v>
      </c>
      <c r="H445" s="46" t="s">
        <v>6644</v>
      </c>
      <c r="I445" s="46" t="s">
        <v>20</v>
      </c>
      <c r="J445" s="47">
        <v>45037</v>
      </c>
      <c r="K445" s="46" t="s">
        <v>72</v>
      </c>
      <c r="L445" s="48">
        <v>73623</v>
      </c>
      <c r="M445" s="49">
        <v>0</v>
      </c>
    </row>
    <row r="446" spans="1:13" x14ac:dyDescent="0.3">
      <c r="A446" s="46" t="s">
        <v>1088</v>
      </c>
      <c r="B446" s="46" t="s">
        <v>6629</v>
      </c>
      <c r="C446" s="46" t="s">
        <v>55</v>
      </c>
      <c r="D446" s="46" t="s">
        <v>108</v>
      </c>
      <c r="E446" s="46" t="s">
        <v>109</v>
      </c>
      <c r="F446" s="46" t="s">
        <v>69</v>
      </c>
      <c r="G446" s="46">
        <v>45</v>
      </c>
      <c r="H446" s="46" t="s">
        <v>6645</v>
      </c>
      <c r="I446" s="46" t="s">
        <v>40</v>
      </c>
      <c r="J446" s="47">
        <v>44939</v>
      </c>
      <c r="K446" s="46" t="s">
        <v>91</v>
      </c>
      <c r="L446" s="48">
        <v>52835</v>
      </c>
      <c r="M446" s="49">
        <v>10</v>
      </c>
    </row>
    <row r="447" spans="1:13" x14ac:dyDescent="0.3">
      <c r="A447" s="46" t="s">
        <v>1090</v>
      </c>
      <c r="B447" s="46" t="s">
        <v>79</v>
      </c>
      <c r="C447" s="46" t="s">
        <v>55</v>
      </c>
      <c r="D447" s="46" t="s">
        <v>108</v>
      </c>
      <c r="E447" s="46" t="s">
        <v>272</v>
      </c>
      <c r="F447" s="46" t="s">
        <v>30</v>
      </c>
      <c r="G447" s="46">
        <v>59</v>
      </c>
      <c r="H447" s="46" t="s">
        <v>6645</v>
      </c>
      <c r="I447" s="46" t="s">
        <v>40</v>
      </c>
      <c r="J447" s="47">
        <v>45333</v>
      </c>
      <c r="K447" s="46" t="s">
        <v>91</v>
      </c>
      <c r="L447" s="48">
        <v>9662</v>
      </c>
      <c r="M447" s="49">
        <v>10</v>
      </c>
    </row>
    <row r="448" spans="1:13" x14ac:dyDescent="0.3">
      <c r="A448" s="46" t="s">
        <v>1091</v>
      </c>
      <c r="B448" s="46" t="s">
        <v>118</v>
      </c>
      <c r="C448" s="46" t="s">
        <v>66</v>
      </c>
      <c r="D448" s="46" t="s">
        <v>17</v>
      </c>
      <c r="E448" s="46" t="s">
        <v>135</v>
      </c>
      <c r="F448" s="46" t="s">
        <v>30</v>
      </c>
      <c r="G448" s="46">
        <v>19</v>
      </c>
      <c r="H448" s="46" t="s">
        <v>6646</v>
      </c>
      <c r="I448" s="46" t="s">
        <v>40</v>
      </c>
      <c r="J448" s="47">
        <v>45102</v>
      </c>
      <c r="K448" s="46" t="s">
        <v>72</v>
      </c>
      <c r="L448" s="48">
        <v>9064</v>
      </c>
      <c r="M448" s="49">
        <v>0</v>
      </c>
    </row>
    <row r="449" spans="1:13" x14ac:dyDescent="0.3">
      <c r="A449" s="46" t="s">
        <v>1094</v>
      </c>
      <c r="B449" s="46" t="s">
        <v>6629</v>
      </c>
      <c r="C449" s="46" t="s">
        <v>16</v>
      </c>
      <c r="D449" s="46" t="s">
        <v>67</v>
      </c>
      <c r="E449" s="46" t="s">
        <v>85</v>
      </c>
      <c r="F449" s="46" t="s">
        <v>30</v>
      </c>
      <c r="G449" s="46">
        <v>92</v>
      </c>
      <c r="H449" s="46" t="s">
        <v>6643</v>
      </c>
      <c r="I449" s="46" t="s">
        <v>20</v>
      </c>
      <c r="J449" s="47">
        <v>45313</v>
      </c>
      <c r="K449" s="46" t="s">
        <v>72</v>
      </c>
      <c r="L449" s="48">
        <v>3894</v>
      </c>
      <c r="M449" s="49">
        <v>0</v>
      </c>
    </row>
    <row r="450" spans="1:13" x14ac:dyDescent="0.3">
      <c r="A450" s="46" t="s">
        <v>1095</v>
      </c>
      <c r="B450" s="46" t="s">
        <v>118</v>
      </c>
      <c r="C450" s="46" t="s">
        <v>36</v>
      </c>
      <c r="D450" s="46" t="s">
        <v>108</v>
      </c>
      <c r="E450" s="46" t="s">
        <v>308</v>
      </c>
      <c r="F450" s="46" t="s">
        <v>30</v>
      </c>
      <c r="G450" s="46">
        <v>75</v>
      </c>
      <c r="H450" s="46" t="s">
        <v>6643</v>
      </c>
      <c r="I450" s="46" t="s">
        <v>20</v>
      </c>
      <c r="J450" s="47">
        <v>45093</v>
      </c>
      <c r="K450" s="46" t="s">
        <v>72</v>
      </c>
      <c r="L450" s="48">
        <v>16387</v>
      </c>
      <c r="M450" s="49">
        <v>5</v>
      </c>
    </row>
    <row r="451" spans="1:13" x14ac:dyDescent="0.3">
      <c r="A451" s="46" t="s">
        <v>1097</v>
      </c>
      <c r="B451" s="46" t="s">
        <v>118</v>
      </c>
      <c r="C451" s="46" t="s">
        <v>16</v>
      </c>
      <c r="D451" s="46" t="s">
        <v>93</v>
      </c>
      <c r="E451" s="46" t="s">
        <v>207</v>
      </c>
      <c r="F451" s="46" t="s">
        <v>30</v>
      </c>
      <c r="G451" s="46">
        <v>14</v>
      </c>
      <c r="H451" s="46" t="s">
        <v>6646</v>
      </c>
      <c r="I451" s="46" t="s">
        <v>20</v>
      </c>
      <c r="J451" s="47">
        <v>45309</v>
      </c>
      <c r="K451" s="46" t="s">
        <v>72</v>
      </c>
      <c r="L451" s="48">
        <v>10334</v>
      </c>
      <c r="M451" s="49">
        <v>5</v>
      </c>
    </row>
    <row r="452" spans="1:13" x14ac:dyDescent="0.3">
      <c r="A452" s="46" t="s">
        <v>1098</v>
      </c>
      <c r="B452" s="46" t="s">
        <v>6626</v>
      </c>
      <c r="C452" s="46" t="s">
        <v>16</v>
      </c>
      <c r="D452" s="46" t="s">
        <v>47</v>
      </c>
      <c r="E452" s="46" t="s">
        <v>364</v>
      </c>
      <c r="F452" s="46" t="s">
        <v>30</v>
      </c>
      <c r="G452" s="46">
        <v>71</v>
      </c>
      <c r="H452" s="46" t="s">
        <v>6643</v>
      </c>
      <c r="I452" s="46" t="s">
        <v>20</v>
      </c>
      <c r="J452" s="47">
        <v>45385</v>
      </c>
      <c r="K452" s="46" t="s">
        <v>91</v>
      </c>
      <c r="L452" s="48">
        <v>8235</v>
      </c>
      <c r="M452" s="49">
        <v>0</v>
      </c>
    </row>
    <row r="453" spans="1:13" x14ac:dyDescent="0.3">
      <c r="A453" s="46" t="s">
        <v>1100</v>
      </c>
      <c r="B453" s="46" t="s">
        <v>118</v>
      </c>
      <c r="C453" s="46" t="s">
        <v>80</v>
      </c>
      <c r="D453" s="46" t="s">
        <v>17</v>
      </c>
      <c r="E453" s="46" t="s">
        <v>135</v>
      </c>
      <c r="F453" s="46" t="s">
        <v>30</v>
      </c>
      <c r="G453" s="46">
        <v>9</v>
      </c>
      <c r="H453" s="46" t="s">
        <v>6644</v>
      </c>
      <c r="I453" s="46" t="s">
        <v>20</v>
      </c>
      <c r="J453" s="47">
        <v>45083</v>
      </c>
      <c r="K453" s="46" t="s">
        <v>91</v>
      </c>
      <c r="L453" s="48">
        <v>6861</v>
      </c>
      <c r="M453" s="49">
        <v>0</v>
      </c>
    </row>
    <row r="454" spans="1:13" x14ac:dyDescent="0.3">
      <c r="A454" s="46" t="s">
        <v>1102</v>
      </c>
      <c r="B454" s="46" t="s">
        <v>79</v>
      </c>
      <c r="C454" s="46" t="s">
        <v>61</v>
      </c>
      <c r="D454" s="46" t="s">
        <v>28</v>
      </c>
      <c r="E454" s="46" t="s">
        <v>29</v>
      </c>
      <c r="F454" s="46" t="s">
        <v>69</v>
      </c>
      <c r="G454" s="46">
        <v>26</v>
      </c>
      <c r="H454" s="46" t="s">
        <v>6645</v>
      </c>
      <c r="I454" s="46" t="s">
        <v>20</v>
      </c>
      <c r="J454" s="47">
        <v>45138</v>
      </c>
      <c r="K454" s="46" t="s">
        <v>91</v>
      </c>
      <c r="L454" s="48">
        <v>62643</v>
      </c>
      <c r="M454" s="49">
        <v>0</v>
      </c>
    </row>
    <row r="455" spans="1:13" x14ac:dyDescent="0.3">
      <c r="A455" s="46" t="s">
        <v>1103</v>
      </c>
      <c r="B455" s="46" t="s">
        <v>6627</v>
      </c>
      <c r="C455" s="46" t="s">
        <v>55</v>
      </c>
      <c r="D455" s="46" t="s">
        <v>93</v>
      </c>
      <c r="E455" s="46" t="s">
        <v>207</v>
      </c>
      <c r="F455" s="46" t="s">
        <v>30</v>
      </c>
      <c r="G455" s="46">
        <v>4</v>
      </c>
      <c r="H455" s="46" t="s">
        <v>6644</v>
      </c>
      <c r="I455" s="46" t="s">
        <v>40</v>
      </c>
      <c r="J455" s="47">
        <v>45195</v>
      </c>
      <c r="K455" s="46" t="s">
        <v>97</v>
      </c>
      <c r="L455" s="48">
        <v>15119</v>
      </c>
      <c r="M455" s="49">
        <v>10</v>
      </c>
    </row>
    <row r="456" spans="1:13" x14ac:dyDescent="0.3">
      <c r="A456" s="46" t="s">
        <v>1105</v>
      </c>
      <c r="B456" s="46" t="s">
        <v>79</v>
      </c>
      <c r="C456" s="46" t="s">
        <v>16</v>
      </c>
      <c r="D456" s="46" t="s">
        <v>99</v>
      </c>
      <c r="E456" s="46" t="s">
        <v>100</v>
      </c>
      <c r="F456" s="46" t="s">
        <v>30</v>
      </c>
      <c r="G456" s="46">
        <v>3</v>
      </c>
      <c r="H456" s="46" t="s">
        <v>6644</v>
      </c>
      <c r="I456" s="46" t="s">
        <v>20</v>
      </c>
      <c r="J456" s="47">
        <v>45101</v>
      </c>
      <c r="K456" s="46" t="s">
        <v>72</v>
      </c>
      <c r="L456" s="48">
        <v>17550</v>
      </c>
      <c r="M456" s="49">
        <v>0</v>
      </c>
    </row>
    <row r="457" spans="1:13" x14ac:dyDescent="0.3">
      <c r="A457" s="46" t="s">
        <v>1106</v>
      </c>
      <c r="B457" s="46" t="s">
        <v>6626</v>
      </c>
      <c r="C457" s="46" t="s">
        <v>80</v>
      </c>
      <c r="D457" s="46" t="s">
        <v>108</v>
      </c>
      <c r="E457" s="46" t="s">
        <v>124</v>
      </c>
      <c r="F457" s="46" t="s">
        <v>30</v>
      </c>
      <c r="G457" s="46">
        <v>51</v>
      </c>
      <c r="H457" s="46" t="s">
        <v>6645</v>
      </c>
      <c r="I457" s="46" t="s">
        <v>40</v>
      </c>
      <c r="J457" s="47">
        <v>44988</v>
      </c>
      <c r="K457" s="46" t="s">
        <v>87</v>
      </c>
      <c r="L457" s="48">
        <v>12282</v>
      </c>
      <c r="M457" s="49">
        <v>10</v>
      </c>
    </row>
    <row r="458" spans="1:13" x14ac:dyDescent="0.3">
      <c r="A458" s="46" t="s">
        <v>1108</v>
      </c>
      <c r="B458" s="46" t="s">
        <v>79</v>
      </c>
      <c r="C458" s="46" t="s">
        <v>27</v>
      </c>
      <c r="D458" s="46" t="s">
        <v>67</v>
      </c>
      <c r="E458" s="46" t="s">
        <v>196</v>
      </c>
      <c r="F458" s="46" t="s">
        <v>30</v>
      </c>
      <c r="G458" s="46">
        <v>51</v>
      </c>
      <c r="H458" s="46" t="s">
        <v>6645</v>
      </c>
      <c r="I458" s="46" t="s">
        <v>20</v>
      </c>
      <c r="J458" s="47">
        <v>45104</v>
      </c>
      <c r="K458" s="46" t="s">
        <v>97</v>
      </c>
      <c r="L458" s="48">
        <v>17250</v>
      </c>
      <c r="M458" s="49">
        <v>0</v>
      </c>
    </row>
    <row r="459" spans="1:13" x14ac:dyDescent="0.3">
      <c r="A459" s="46" t="s">
        <v>1110</v>
      </c>
      <c r="B459" s="46" t="s">
        <v>6628</v>
      </c>
      <c r="C459" s="46" t="s">
        <v>61</v>
      </c>
      <c r="D459" s="46" t="s">
        <v>28</v>
      </c>
      <c r="E459" s="46" t="s">
        <v>268</v>
      </c>
      <c r="F459" s="46" t="s">
        <v>30</v>
      </c>
      <c r="G459" s="46">
        <v>6</v>
      </c>
      <c r="H459" s="46" t="s">
        <v>6644</v>
      </c>
      <c r="I459" s="46" t="s">
        <v>20</v>
      </c>
      <c r="J459" s="47">
        <v>45304</v>
      </c>
      <c r="K459" s="46" t="s">
        <v>91</v>
      </c>
      <c r="L459" s="48">
        <v>15236</v>
      </c>
      <c r="M459" s="49">
        <v>3</v>
      </c>
    </row>
    <row r="460" spans="1:13" x14ac:dyDescent="0.3">
      <c r="A460" s="46" t="s">
        <v>1112</v>
      </c>
      <c r="B460" s="46" t="s">
        <v>79</v>
      </c>
      <c r="C460" s="46" t="s">
        <v>80</v>
      </c>
      <c r="D460" s="46" t="s">
        <v>164</v>
      </c>
      <c r="E460" s="46" t="s">
        <v>282</v>
      </c>
      <c r="F460" s="46" t="s">
        <v>30</v>
      </c>
      <c r="G460" s="46">
        <v>5</v>
      </c>
      <c r="H460" s="46" t="s">
        <v>6644</v>
      </c>
      <c r="I460" s="46" t="s">
        <v>40</v>
      </c>
      <c r="J460" s="47">
        <v>44991</v>
      </c>
      <c r="K460" s="46" t="s">
        <v>72</v>
      </c>
      <c r="L460" s="48">
        <v>10452</v>
      </c>
      <c r="M460" s="49">
        <v>0</v>
      </c>
    </row>
    <row r="461" spans="1:13" x14ac:dyDescent="0.3">
      <c r="A461" s="46" t="s">
        <v>1114</v>
      </c>
      <c r="B461" s="46" t="s">
        <v>118</v>
      </c>
      <c r="C461" s="46" t="s">
        <v>16</v>
      </c>
      <c r="D461" s="46" t="s">
        <v>99</v>
      </c>
      <c r="E461" s="46" t="s">
        <v>100</v>
      </c>
      <c r="F461" s="46" t="s">
        <v>69</v>
      </c>
      <c r="G461" s="46">
        <v>28</v>
      </c>
      <c r="H461" s="46" t="s">
        <v>6645</v>
      </c>
      <c r="I461" s="46" t="s">
        <v>20</v>
      </c>
      <c r="J461" s="47">
        <v>45043</v>
      </c>
      <c r="K461" s="46" t="s">
        <v>91</v>
      </c>
      <c r="L461" s="48">
        <v>74833</v>
      </c>
      <c r="M461" s="49">
        <v>10</v>
      </c>
    </row>
    <row r="462" spans="1:13" x14ac:dyDescent="0.3">
      <c r="A462" s="46" t="s">
        <v>1116</v>
      </c>
      <c r="B462" s="46" t="s">
        <v>6626</v>
      </c>
      <c r="C462" s="46" t="s">
        <v>189</v>
      </c>
      <c r="D462" s="46" t="s">
        <v>93</v>
      </c>
      <c r="E462" s="46" t="s">
        <v>121</v>
      </c>
      <c r="F462" s="46" t="s">
        <v>30</v>
      </c>
      <c r="G462" s="46">
        <v>3</v>
      </c>
      <c r="H462" s="46" t="s">
        <v>6644</v>
      </c>
      <c r="I462" s="46" t="s">
        <v>40</v>
      </c>
      <c r="J462" s="47">
        <v>45180</v>
      </c>
      <c r="K462" s="46" t="s">
        <v>87</v>
      </c>
      <c r="L462" s="48">
        <v>12783</v>
      </c>
      <c r="M462" s="49">
        <v>0</v>
      </c>
    </row>
    <row r="463" spans="1:13" x14ac:dyDescent="0.3">
      <c r="A463" s="46" t="s">
        <v>1117</v>
      </c>
      <c r="B463" s="46" t="s">
        <v>6627</v>
      </c>
      <c r="C463" s="46" t="s">
        <v>55</v>
      </c>
      <c r="D463" s="46" t="s">
        <v>67</v>
      </c>
      <c r="E463" s="46" t="s">
        <v>68</v>
      </c>
      <c r="F463" s="46" t="s">
        <v>30</v>
      </c>
      <c r="G463" s="46">
        <v>3</v>
      </c>
      <c r="H463" s="46" t="s">
        <v>6644</v>
      </c>
      <c r="I463" s="46" t="s">
        <v>20</v>
      </c>
      <c r="J463" s="47">
        <v>45355</v>
      </c>
      <c r="K463" s="46" t="s">
        <v>72</v>
      </c>
      <c r="L463" s="48">
        <v>13113</v>
      </c>
      <c r="M463" s="49">
        <v>0</v>
      </c>
    </row>
    <row r="464" spans="1:13" x14ac:dyDescent="0.3">
      <c r="A464" s="46" t="s">
        <v>1119</v>
      </c>
      <c r="B464" s="46" t="s">
        <v>6627</v>
      </c>
      <c r="C464" s="46" t="s">
        <v>80</v>
      </c>
      <c r="D464" s="46" t="s">
        <v>67</v>
      </c>
      <c r="E464" s="46" t="s">
        <v>89</v>
      </c>
      <c r="F464" s="46" t="s">
        <v>69</v>
      </c>
      <c r="G464" s="46">
        <v>1</v>
      </c>
      <c r="H464" s="46" t="s">
        <v>6644</v>
      </c>
      <c r="I464" s="46" t="s">
        <v>20</v>
      </c>
      <c r="J464" s="47">
        <v>45021</v>
      </c>
      <c r="K464" s="46" t="s">
        <v>87</v>
      </c>
      <c r="L464" s="48">
        <v>43524</v>
      </c>
      <c r="M464" s="49">
        <v>3</v>
      </c>
    </row>
    <row r="465" spans="1:13" x14ac:dyDescent="0.3">
      <c r="A465" s="46" t="s">
        <v>1121</v>
      </c>
      <c r="B465" s="46" t="s">
        <v>6628</v>
      </c>
      <c r="C465" s="46" t="s">
        <v>27</v>
      </c>
      <c r="D465" s="46" t="s">
        <v>108</v>
      </c>
      <c r="E465" s="46" t="s">
        <v>308</v>
      </c>
      <c r="F465" s="46" t="s">
        <v>30</v>
      </c>
      <c r="G465" s="46">
        <v>36</v>
      </c>
      <c r="H465" s="46" t="s">
        <v>6645</v>
      </c>
      <c r="I465" s="46" t="s">
        <v>40</v>
      </c>
      <c r="J465" s="47">
        <v>45060</v>
      </c>
      <c r="K465" s="46" t="s">
        <v>72</v>
      </c>
      <c r="L465" s="48">
        <v>15787</v>
      </c>
      <c r="M465" s="49">
        <v>3</v>
      </c>
    </row>
    <row r="466" spans="1:13" x14ac:dyDescent="0.3">
      <c r="A466" s="46" t="s">
        <v>1122</v>
      </c>
      <c r="B466" s="46" t="s">
        <v>6627</v>
      </c>
      <c r="C466" s="46" t="s">
        <v>16</v>
      </c>
      <c r="D466" s="46" t="s">
        <v>67</v>
      </c>
      <c r="E466" s="46" t="s">
        <v>85</v>
      </c>
      <c r="F466" s="46" t="s">
        <v>30</v>
      </c>
      <c r="G466" s="46">
        <v>68</v>
      </c>
      <c r="H466" s="46" t="s">
        <v>6643</v>
      </c>
      <c r="I466" s="46" t="s">
        <v>40</v>
      </c>
      <c r="J466" s="47">
        <v>45312</v>
      </c>
      <c r="K466" s="46" t="s">
        <v>72</v>
      </c>
      <c r="L466" s="48">
        <v>9873</v>
      </c>
      <c r="M466" s="49">
        <v>0</v>
      </c>
    </row>
    <row r="467" spans="1:13" x14ac:dyDescent="0.3">
      <c r="A467" s="46" t="s">
        <v>1124</v>
      </c>
      <c r="B467" s="46" t="s">
        <v>6626</v>
      </c>
      <c r="C467" s="46" t="s">
        <v>55</v>
      </c>
      <c r="D467" s="46" t="s">
        <v>108</v>
      </c>
      <c r="E467" s="46" t="s">
        <v>308</v>
      </c>
      <c r="F467" s="46" t="s">
        <v>30</v>
      </c>
      <c r="G467" s="46">
        <v>4</v>
      </c>
      <c r="H467" s="46" t="s">
        <v>6644</v>
      </c>
      <c r="I467" s="46" t="s">
        <v>40</v>
      </c>
      <c r="J467" s="47">
        <v>44975</v>
      </c>
      <c r="K467" s="46" t="s">
        <v>104</v>
      </c>
      <c r="L467" s="48">
        <v>3661</v>
      </c>
      <c r="M467" s="49">
        <v>35</v>
      </c>
    </row>
    <row r="468" spans="1:13" x14ac:dyDescent="0.3">
      <c r="A468" s="46" t="s">
        <v>1126</v>
      </c>
      <c r="B468" s="46" t="s">
        <v>6626</v>
      </c>
      <c r="C468" s="46" t="s">
        <v>61</v>
      </c>
      <c r="D468" s="46" t="s">
        <v>47</v>
      </c>
      <c r="E468" s="46" t="s">
        <v>364</v>
      </c>
      <c r="F468" s="46" t="s">
        <v>30</v>
      </c>
      <c r="G468" s="46">
        <v>88</v>
      </c>
      <c r="H468" s="46" t="s">
        <v>6643</v>
      </c>
      <c r="I468" s="46" t="s">
        <v>20</v>
      </c>
      <c r="J468" s="47">
        <v>45392</v>
      </c>
      <c r="K468" s="46" t="s">
        <v>72</v>
      </c>
      <c r="L468" s="48">
        <v>4246</v>
      </c>
      <c r="M468" s="49">
        <v>5</v>
      </c>
    </row>
    <row r="469" spans="1:13" x14ac:dyDescent="0.3">
      <c r="A469" s="46" t="s">
        <v>1127</v>
      </c>
      <c r="B469" s="46" t="s">
        <v>118</v>
      </c>
      <c r="C469" s="46" t="s">
        <v>36</v>
      </c>
      <c r="D469" s="46" t="s">
        <v>108</v>
      </c>
      <c r="E469" s="46" t="s">
        <v>109</v>
      </c>
      <c r="F469" s="46" t="s">
        <v>69</v>
      </c>
      <c r="G469" s="46">
        <v>39</v>
      </c>
      <c r="H469" s="46" t="s">
        <v>6645</v>
      </c>
      <c r="I469" s="46" t="s">
        <v>40</v>
      </c>
      <c r="J469" s="47">
        <v>45336</v>
      </c>
      <c r="K469" s="46" t="s">
        <v>97</v>
      </c>
      <c r="L469" s="48">
        <v>51858</v>
      </c>
      <c r="M469" s="49">
        <v>5</v>
      </c>
    </row>
    <row r="470" spans="1:13" x14ac:dyDescent="0.3">
      <c r="A470" s="46" t="s">
        <v>1129</v>
      </c>
      <c r="B470" s="46" t="s">
        <v>6626</v>
      </c>
      <c r="C470" s="46" t="s">
        <v>80</v>
      </c>
      <c r="D470" s="46" t="s">
        <v>67</v>
      </c>
      <c r="E470" s="46" t="s">
        <v>85</v>
      </c>
      <c r="F470" s="46" t="s">
        <v>30</v>
      </c>
      <c r="G470" s="46">
        <v>10</v>
      </c>
      <c r="H470" s="46" t="s">
        <v>6644</v>
      </c>
      <c r="I470" s="46" t="s">
        <v>40</v>
      </c>
      <c r="J470" s="47">
        <v>45151</v>
      </c>
      <c r="K470" s="46" t="s">
        <v>72</v>
      </c>
      <c r="L470" s="48">
        <v>16671</v>
      </c>
      <c r="M470" s="49">
        <v>5</v>
      </c>
    </row>
    <row r="471" spans="1:13" x14ac:dyDescent="0.3">
      <c r="A471" s="46" t="s">
        <v>1130</v>
      </c>
      <c r="B471" s="46" t="s">
        <v>6626</v>
      </c>
      <c r="C471" s="46" t="s">
        <v>27</v>
      </c>
      <c r="D471" s="46" t="s">
        <v>37</v>
      </c>
      <c r="E471" s="46" t="s">
        <v>56</v>
      </c>
      <c r="F471" s="46" t="s">
        <v>30</v>
      </c>
      <c r="G471" s="46">
        <v>53</v>
      </c>
      <c r="H471" s="46" t="s">
        <v>6645</v>
      </c>
      <c r="I471" s="46" t="s">
        <v>40</v>
      </c>
      <c r="J471" s="47">
        <v>45236</v>
      </c>
      <c r="K471" s="46" t="s">
        <v>104</v>
      </c>
      <c r="L471" s="48">
        <v>2378</v>
      </c>
      <c r="M471" s="49">
        <v>25</v>
      </c>
    </row>
    <row r="472" spans="1:13" x14ac:dyDescent="0.3">
      <c r="A472" s="46" t="s">
        <v>1133</v>
      </c>
      <c r="B472" s="46" t="s">
        <v>6629</v>
      </c>
      <c r="C472" s="46" t="s">
        <v>80</v>
      </c>
      <c r="D472" s="46" t="s">
        <v>47</v>
      </c>
      <c r="E472" s="46" t="s">
        <v>461</v>
      </c>
      <c r="F472" s="46" t="s">
        <v>30</v>
      </c>
      <c r="G472" s="46">
        <v>43</v>
      </c>
      <c r="H472" s="46" t="s">
        <v>6645</v>
      </c>
      <c r="I472" s="46" t="s">
        <v>40</v>
      </c>
      <c r="J472" s="47">
        <v>44945</v>
      </c>
      <c r="K472" s="46" t="s">
        <v>72</v>
      </c>
      <c r="L472" s="48">
        <v>7681</v>
      </c>
      <c r="M472" s="49">
        <v>0</v>
      </c>
    </row>
    <row r="473" spans="1:13" x14ac:dyDescent="0.3">
      <c r="A473" s="46" t="s">
        <v>1135</v>
      </c>
      <c r="B473" s="46" t="s">
        <v>6628</v>
      </c>
      <c r="C473" s="46" t="s">
        <v>61</v>
      </c>
      <c r="D473" s="46" t="s">
        <v>93</v>
      </c>
      <c r="E473" s="46" t="s">
        <v>94</v>
      </c>
      <c r="F473" s="46" t="s">
        <v>30</v>
      </c>
      <c r="G473" s="46">
        <v>29</v>
      </c>
      <c r="H473" s="46" t="s">
        <v>6645</v>
      </c>
      <c r="I473" s="46" t="s">
        <v>40</v>
      </c>
      <c r="J473" s="47">
        <v>45065</v>
      </c>
      <c r="K473" s="46" t="s">
        <v>72</v>
      </c>
      <c r="L473" s="48">
        <v>8396</v>
      </c>
      <c r="M473" s="49">
        <v>5</v>
      </c>
    </row>
    <row r="474" spans="1:13" x14ac:dyDescent="0.3">
      <c r="A474" s="46" t="s">
        <v>1137</v>
      </c>
      <c r="B474" s="46" t="s">
        <v>118</v>
      </c>
      <c r="C474" s="46" t="s">
        <v>66</v>
      </c>
      <c r="D474" s="46" t="s">
        <v>108</v>
      </c>
      <c r="E474" s="46" t="s">
        <v>124</v>
      </c>
      <c r="F474" s="46" t="s">
        <v>69</v>
      </c>
      <c r="G474" s="46">
        <v>29</v>
      </c>
      <c r="H474" s="46" t="s">
        <v>6645</v>
      </c>
      <c r="I474" s="46" t="s">
        <v>40</v>
      </c>
      <c r="J474" s="47">
        <v>44967</v>
      </c>
      <c r="K474" s="46" t="s">
        <v>104</v>
      </c>
      <c r="L474" s="48">
        <v>78514</v>
      </c>
      <c r="M474" s="49">
        <v>5</v>
      </c>
    </row>
    <row r="475" spans="1:13" x14ac:dyDescent="0.3">
      <c r="A475" s="46" t="s">
        <v>1139</v>
      </c>
      <c r="B475" s="46" t="s">
        <v>6627</v>
      </c>
      <c r="C475" s="46" t="s">
        <v>80</v>
      </c>
      <c r="D475" s="46" t="s">
        <v>47</v>
      </c>
      <c r="E475" s="46" t="s">
        <v>175</v>
      </c>
      <c r="F475" s="46" t="s">
        <v>30</v>
      </c>
      <c r="G475" s="46">
        <v>14</v>
      </c>
      <c r="H475" s="46" t="s">
        <v>6646</v>
      </c>
      <c r="I475" s="46" t="s">
        <v>40</v>
      </c>
      <c r="J475" s="47">
        <v>45061</v>
      </c>
      <c r="K475" s="46" t="s">
        <v>104</v>
      </c>
      <c r="L475" s="48">
        <v>6410</v>
      </c>
      <c r="M475" s="49">
        <v>40</v>
      </c>
    </row>
    <row r="476" spans="1:13" x14ac:dyDescent="0.3">
      <c r="A476" s="46" t="s">
        <v>1142</v>
      </c>
      <c r="B476" s="46" t="s">
        <v>6626</v>
      </c>
      <c r="C476" s="46" t="s">
        <v>16</v>
      </c>
      <c r="D476" s="46" t="s">
        <v>28</v>
      </c>
      <c r="E476" s="46" t="s">
        <v>290</v>
      </c>
      <c r="F476" s="46" t="s">
        <v>30</v>
      </c>
      <c r="G476" s="46">
        <v>18</v>
      </c>
      <c r="H476" s="46" t="s">
        <v>6646</v>
      </c>
      <c r="I476" s="46" t="s">
        <v>40</v>
      </c>
      <c r="J476" s="47">
        <v>44931</v>
      </c>
      <c r="K476" s="46" t="s">
        <v>87</v>
      </c>
      <c r="L476" s="48">
        <v>7616</v>
      </c>
      <c r="M476" s="49">
        <v>0</v>
      </c>
    </row>
    <row r="477" spans="1:13" x14ac:dyDescent="0.3">
      <c r="A477" s="46" t="s">
        <v>1145</v>
      </c>
      <c r="B477" s="46" t="s">
        <v>79</v>
      </c>
      <c r="C477" s="46" t="s">
        <v>36</v>
      </c>
      <c r="D477" s="46" t="s">
        <v>17</v>
      </c>
      <c r="E477" s="46" t="s">
        <v>213</v>
      </c>
      <c r="F477" s="46" t="s">
        <v>30</v>
      </c>
      <c r="G477" s="46">
        <v>18</v>
      </c>
      <c r="H477" s="46" t="s">
        <v>6646</v>
      </c>
      <c r="I477" s="46" t="s">
        <v>40</v>
      </c>
      <c r="J477" s="47">
        <v>45186</v>
      </c>
      <c r="K477" s="46" t="s">
        <v>72</v>
      </c>
      <c r="L477" s="48">
        <v>10096</v>
      </c>
      <c r="M477" s="49">
        <v>0</v>
      </c>
    </row>
    <row r="478" spans="1:13" x14ac:dyDescent="0.3">
      <c r="A478" s="46" t="s">
        <v>1147</v>
      </c>
      <c r="B478" s="46" t="s">
        <v>6627</v>
      </c>
      <c r="C478" s="46" t="s">
        <v>16</v>
      </c>
      <c r="D478" s="46" t="s">
        <v>74</v>
      </c>
      <c r="E478" s="46" t="s">
        <v>147</v>
      </c>
      <c r="F478" s="46" t="s">
        <v>30</v>
      </c>
      <c r="G478" s="46">
        <v>9</v>
      </c>
      <c r="H478" s="46" t="s">
        <v>6644</v>
      </c>
      <c r="I478" s="46" t="s">
        <v>20</v>
      </c>
      <c r="J478" s="47">
        <v>45143</v>
      </c>
      <c r="K478" s="46" t="s">
        <v>72</v>
      </c>
      <c r="L478" s="48">
        <v>8003</v>
      </c>
      <c r="M478" s="49">
        <v>3</v>
      </c>
    </row>
    <row r="479" spans="1:13" x14ac:dyDescent="0.3">
      <c r="A479" s="46" t="s">
        <v>1150</v>
      </c>
      <c r="B479" s="46" t="s">
        <v>118</v>
      </c>
      <c r="C479" s="46" t="s">
        <v>55</v>
      </c>
      <c r="D479" s="46" t="s">
        <v>108</v>
      </c>
      <c r="E479" s="46" t="s">
        <v>124</v>
      </c>
      <c r="F479" s="46" t="s">
        <v>69</v>
      </c>
      <c r="G479" s="46">
        <v>13</v>
      </c>
      <c r="H479" s="46" t="s">
        <v>6646</v>
      </c>
      <c r="I479" s="46" t="s">
        <v>40</v>
      </c>
      <c r="J479" s="47">
        <v>45223</v>
      </c>
      <c r="K479" s="46" t="s">
        <v>87</v>
      </c>
      <c r="L479" s="48">
        <v>78466</v>
      </c>
      <c r="M479" s="49">
        <v>0</v>
      </c>
    </row>
    <row r="480" spans="1:13" x14ac:dyDescent="0.3">
      <c r="A480" s="46" t="s">
        <v>1151</v>
      </c>
      <c r="B480" s="46" t="s">
        <v>6627</v>
      </c>
      <c r="C480" s="46" t="s">
        <v>66</v>
      </c>
      <c r="D480" s="46" t="s">
        <v>47</v>
      </c>
      <c r="E480" s="46" t="s">
        <v>461</v>
      </c>
      <c r="F480" s="46" t="s">
        <v>69</v>
      </c>
      <c r="G480" s="46">
        <v>81</v>
      </c>
      <c r="H480" s="46" t="s">
        <v>6643</v>
      </c>
      <c r="I480" s="46" t="s">
        <v>40</v>
      </c>
      <c r="J480" s="47">
        <v>45051</v>
      </c>
      <c r="K480" s="46" t="s">
        <v>72</v>
      </c>
      <c r="L480" s="48">
        <v>84090</v>
      </c>
      <c r="M480" s="49">
        <v>0</v>
      </c>
    </row>
    <row r="481" spans="1:13" x14ac:dyDescent="0.3">
      <c r="A481" s="46" t="s">
        <v>1153</v>
      </c>
      <c r="B481" s="46" t="s">
        <v>79</v>
      </c>
      <c r="C481" s="46" t="s">
        <v>189</v>
      </c>
      <c r="D481" s="46" t="s">
        <v>108</v>
      </c>
      <c r="E481" s="46" t="s">
        <v>308</v>
      </c>
      <c r="F481" s="46" t="s">
        <v>30</v>
      </c>
      <c r="G481" s="46">
        <v>13</v>
      </c>
      <c r="H481" s="46" t="s">
        <v>6646</v>
      </c>
      <c r="I481" s="46" t="s">
        <v>20</v>
      </c>
      <c r="J481" s="47">
        <v>45386</v>
      </c>
      <c r="K481" s="46" t="s">
        <v>72</v>
      </c>
      <c r="L481" s="48">
        <v>10832</v>
      </c>
      <c r="M481" s="49">
        <v>0</v>
      </c>
    </row>
    <row r="482" spans="1:13" x14ac:dyDescent="0.3">
      <c r="A482" s="46" t="s">
        <v>1154</v>
      </c>
      <c r="B482" s="46" t="s">
        <v>6629</v>
      </c>
      <c r="C482" s="46" t="s">
        <v>189</v>
      </c>
      <c r="D482" s="46" t="s">
        <v>108</v>
      </c>
      <c r="E482" s="46" t="s">
        <v>124</v>
      </c>
      <c r="F482" s="46" t="s">
        <v>30</v>
      </c>
      <c r="G482" s="46">
        <v>14</v>
      </c>
      <c r="H482" s="46" t="s">
        <v>6646</v>
      </c>
      <c r="I482" s="46" t="s">
        <v>20</v>
      </c>
      <c r="J482" s="47">
        <v>45055</v>
      </c>
      <c r="K482" s="46" t="s">
        <v>104</v>
      </c>
      <c r="L482" s="48">
        <v>13868</v>
      </c>
      <c r="M482" s="49">
        <v>10</v>
      </c>
    </row>
    <row r="483" spans="1:13" x14ac:dyDescent="0.3">
      <c r="A483" s="46" t="s">
        <v>1157</v>
      </c>
      <c r="B483" s="46" t="s">
        <v>6628</v>
      </c>
      <c r="C483" s="46" t="s">
        <v>61</v>
      </c>
      <c r="D483" s="46" t="s">
        <v>99</v>
      </c>
      <c r="E483" s="46" t="s">
        <v>151</v>
      </c>
      <c r="F483" s="46" t="s">
        <v>69</v>
      </c>
      <c r="G483" s="46">
        <v>7</v>
      </c>
      <c r="H483" s="46" t="s">
        <v>6644</v>
      </c>
      <c r="I483" s="46" t="s">
        <v>20</v>
      </c>
      <c r="J483" s="47">
        <v>45357</v>
      </c>
      <c r="K483" s="46" t="s">
        <v>6632</v>
      </c>
      <c r="L483" s="48">
        <v>55904</v>
      </c>
      <c r="M483" s="49">
        <v>10</v>
      </c>
    </row>
    <row r="484" spans="1:13" x14ac:dyDescent="0.3">
      <c r="A484" s="46" t="s">
        <v>1158</v>
      </c>
      <c r="B484" s="46" t="s">
        <v>118</v>
      </c>
      <c r="C484" s="46" t="s">
        <v>80</v>
      </c>
      <c r="D484" s="46" t="s">
        <v>108</v>
      </c>
      <c r="E484" s="46" t="s">
        <v>272</v>
      </c>
      <c r="F484" s="46" t="s">
        <v>30</v>
      </c>
      <c r="G484" s="46">
        <v>69</v>
      </c>
      <c r="H484" s="46" t="s">
        <v>6643</v>
      </c>
      <c r="I484" s="46" t="s">
        <v>40</v>
      </c>
      <c r="J484" s="47">
        <v>45124</v>
      </c>
      <c r="K484" s="46" t="s">
        <v>72</v>
      </c>
      <c r="L484" s="48">
        <v>19369</v>
      </c>
      <c r="M484" s="49">
        <v>0</v>
      </c>
    </row>
    <row r="485" spans="1:13" x14ac:dyDescent="0.3">
      <c r="A485" s="46" t="s">
        <v>1160</v>
      </c>
      <c r="B485" s="46" t="s">
        <v>6626</v>
      </c>
      <c r="C485" s="46" t="s">
        <v>189</v>
      </c>
      <c r="D485" s="46" t="s">
        <v>164</v>
      </c>
      <c r="E485" s="46" t="s">
        <v>233</v>
      </c>
      <c r="F485" s="46" t="s">
        <v>30</v>
      </c>
      <c r="G485" s="46">
        <v>21</v>
      </c>
      <c r="H485" s="46" t="s">
        <v>6645</v>
      </c>
      <c r="I485" s="46" t="s">
        <v>40</v>
      </c>
      <c r="J485" s="47">
        <v>45113</v>
      </c>
      <c r="K485" s="46" t="s">
        <v>91</v>
      </c>
      <c r="L485" s="48">
        <v>10523</v>
      </c>
      <c r="M485" s="49">
        <v>0</v>
      </c>
    </row>
    <row r="486" spans="1:13" x14ac:dyDescent="0.3">
      <c r="A486" s="46" t="s">
        <v>1161</v>
      </c>
      <c r="B486" s="46" t="s">
        <v>79</v>
      </c>
      <c r="C486" s="46" t="s">
        <v>66</v>
      </c>
      <c r="D486" s="46" t="s">
        <v>47</v>
      </c>
      <c r="E486" s="46" t="s">
        <v>364</v>
      </c>
      <c r="F486" s="46" t="s">
        <v>69</v>
      </c>
      <c r="G486" s="46">
        <v>61</v>
      </c>
      <c r="H486" s="46" t="s">
        <v>6643</v>
      </c>
      <c r="I486" s="46" t="s">
        <v>20</v>
      </c>
      <c r="J486" s="47">
        <v>45191</v>
      </c>
      <c r="K486" s="46" t="s">
        <v>104</v>
      </c>
      <c r="L486" s="48">
        <v>66111</v>
      </c>
      <c r="M486" s="49">
        <v>0</v>
      </c>
    </row>
    <row r="487" spans="1:13" x14ac:dyDescent="0.3">
      <c r="A487" s="46" t="s">
        <v>1164</v>
      </c>
      <c r="B487" s="46" t="s">
        <v>6627</v>
      </c>
      <c r="C487" s="46" t="s">
        <v>27</v>
      </c>
      <c r="D487" s="46" t="s">
        <v>47</v>
      </c>
      <c r="E487" s="46" t="s">
        <v>461</v>
      </c>
      <c r="F487" s="46" t="s">
        <v>30</v>
      </c>
      <c r="G487" s="46">
        <v>21</v>
      </c>
      <c r="H487" s="46" t="s">
        <v>6645</v>
      </c>
      <c r="I487" s="46" t="s">
        <v>20</v>
      </c>
      <c r="J487" s="47">
        <v>45127</v>
      </c>
      <c r="K487" s="46" t="s">
        <v>72</v>
      </c>
      <c r="L487" s="48">
        <v>4004</v>
      </c>
      <c r="M487" s="49">
        <v>0</v>
      </c>
    </row>
    <row r="488" spans="1:13" x14ac:dyDescent="0.3">
      <c r="A488" s="46" t="s">
        <v>1166</v>
      </c>
      <c r="B488" s="46" t="s">
        <v>6629</v>
      </c>
      <c r="C488" s="46" t="s">
        <v>189</v>
      </c>
      <c r="D488" s="46" t="s">
        <v>47</v>
      </c>
      <c r="E488" s="46" t="s">
        <v>175</v>
      </c>
      <c r="F488" s="46" t="s">
        <v>30</v>
      </c>
      <c r="G488" s="46">
        <v>70</v>
      </c>
      <c r="H488" s="46" t="s">
        <v>6643</v>
      </c>
      <c r="I488" s="46" t="s">
        <v>40</v>
      </c>
      <c r="J488" s="47">
        <v>45025</v>
      </c>
      <c r="K488" s="46" t="s">
        <v>87</v>
      </c>
      <c r="L488" s="48">
        <v>5869</v>
      </c>
      <c r="M488" s="49">
        <v>0</v>
      </c>
    </row>
    <row r="489" spans="1:13" x14ac:dyDescent="0.3">
      <c r="A489" s="46" t="s">
        <v>1168</v>
      </c>
      <c r="B489" s="46" t="s">
        <v>79</v>
      </c>
      <c r="C489" s="46" t="s">
        <v>27</v>
      </c>
      <c r="D489" s="46" t="s">
        <v>108</v>
      </c>
      <c r="E489" s="46" t="s">
        <v>109</v>
      </c>
      <c r="F489" s="46" t="s">
        <v>69</v>
      </c>
      <c r="G489" s="46">
        <v>42</v>
      </c>
      <c r="H489" s="46" t="s">
        <v>6645</v>
      </c>
      <c r="I489" s="46" t="s">
        <v>40</v>
      </c>
      <c r="J489" s="47">
        <v>45312</v>
      </c>
      <c r="K489" s="46" t="s">
        <v>97</v>
      </c>
      <c r="L489" s="48">
        <v>63508</v>
      </c>
      <c r="M489" s="49">
        <v>0</v>
      </c>
    </row>
    <row r="490" spans="1:13" x14ac:dyDescent="0.3">
      <c r="A490" s="46" t="s">
        <v>1169</v>
      </c>
      <c r="B490" s="46" t="s">
        <v>79</v>
      </c>
      <c r="C490" s="46" t="s">
        <v>61</v>
      </c>
      <c r="D490" s="46" t="s">
        <v>37</v>
      </c>
      <c r="E490" s="46" t="s">
        <v>185</v>
      </c>
      <c r="F490" s="46" t="s">
        <v>69</v>
      </c>
      <c r="G490" s="46">
        <v>70</v>
      </c>
      <c r="H490" s="46" t="s">
        <v>6643</v>
      </c>
      <c r="I490" s="46" t="s">
        <v>40</v>
      </c>
      <c r="J490" s="47">
        <v>45388</v>
      </c>
      <c r="K490" s="46" t="s">
        <v>91</v>
      </c>
      <c r="L490" s="48">
        <v>38753</v>
      </c>
      <c r="M490" s="49">
        <v>0</v>
      </c>
    </row>
    <row r="491" spans="1:13" x14ac:dyDescent="0.3">
      <c r="A491" s="46" t="s">
        <v>1171</v>
      </c>
      <c r="B491" s="46" t="s">
        <v>118</v>
      </c>
      <c r="C491" s="46" t="s">
        <v>66</v>
      </c>
      <c r="D491" s="46" t="s">
        <v>93</v>
      </c>
      <c r="E491" s="46" t="s">
        <v>121</v>
      </c>
      <c r="F491" s="46" t="s">
        <v>30</v>
      </c>
      <c r="G491" s="46">
        <v>85</v>
      </c>
      <c r="H491" s="46" t="s">
        <v>6643</v>
      </c>
      <c r="I491" s="46" t="s">
        <v>40</v>
      </c>
      <c r="J491" s="47">
        <v>44961</v>
      </c>
      <c r="K491" s="46" t="s">
        <v>104</v>
      </c>
      <c r="L491" s="48">
        <v>9635</v>
      </c>
      <c r="M491" s="49">
        <v>19</v>
      </c>
    </row>
    <row r="492" spans="1:13" x14ac:dyDescent="0.3">
      <c r="A492" s="46" t="s">
        <v>1174</v>
      </c>
      <c r="B492" s="46" t="s">
        <v>6628</v>
      </c>
      <c r="C492" s="46" t="s">
        <v>189</v>
      </c>
      <c r="D492" s="46" t="s">
        <v>47</v>
      </c>
      <c r="E492" s="46" t="s">
        <v>364</v>
      </c>
      <c r="F492" s="46" t="s">
        <v>30</v>
      </c>
      <c r="G492" s="46">
        <v>10</v>
      </c>
      <c r="H492" s="46" t="s">
        <v>6644</v>
      </c>
      <c r="I492" s="46" t="s">
        <v>40</v>
      </c>
      <c r="J492" s="47">
        <v>45168</v>
      </c>
      <c r="K492" s="46" t="s">
        <v>72</v>
      </c>
      <c r="L492" s="48">
        <v>6862</v>
      </c>
      <c r="M492" s="49">
        <v>5</v>
      </c>
    </row>
    <row r="493" spans="1:13" x14ac:dyDescent="0.3">
      <c r="A493" s="46" t="s">
        <v>1176</v>
      </c>
      <c r="B493" s="46" t="s">
        <v>6629</v>
      </c>
      <c r="C493" s="46" t="s">
        <v>189</v>
      </c>
      <c r="D493" s="46" t="s">
        <v>37</v>
      </c>
      <c r="E493" s="46" t="s">
        <v>185</v>
      </c>
      <c r="F493" s="46" t="s">
        <v>30</v>
      </c>
      <c r="G493" s="46">
        <v>84</v>
      </c>
      <c r="H493" s="46" t="s">
        <v>6643</v>
      </c>
      <c r="I493" s="46" t="s">
        <v>20</v>
      </c>
      <c r="J493" s="47">
        <v>45008</v>
      </c>
      <c r="K493" s="46" t="s">
        <v>97</v>
      </c>
      <c r="L493" s="48">
        <v>19022</v>
      </c>
      <c r="M493" s="49">
        <v>0</v>
      </c>
    </row>
    <row r="494" spans="1:13" x14ac:dyDescent="0.3">
      <c r="A494" s="46" t="s">
        <v>1177</v>
      </c>
      <c r="B494" s="46" t="s">
        <v>6628</v>
      </c>
      <c r="C494" s="46" t="s">
        <v>66</v>
      </c>
      <c r="D494" s="46" t="s">
        <v>93</v>
      </c>
      <c r="E494" s="46" t="s">
        <v>121</v>
      </c>
      <c r="F494" s="46" t="s">
        <v>30</v>
      </c>
      <c r="G494" s="46">
        <v>72</v>
      </c>
      <c r="H494" s="46" t="s">
        <v>6643</v>
      </c>
      <c r="I494" s="46" t="s">
        <v>20</v>
      </c>
      <c r="J494" s="47">
        <v>45318</v>
      </c>
      <c r="K494" s="46" t="s">
        <v>104</v>
      </c>
      <c r="L494" s="48">
        <v>11146</v>
      </c>
      <c r="M494" s="49">
        <v>5</v>
      </c>
    </row>
    <row r="495" spans="1:13" x14ac:dyDescent="0.3">
      <c r="A495" s="46" t="s">
        <v>1179</v>
      </c>
      <c r="B495" s="46" t="s">
        <v>6629</v>
      </c>
      <c r="C495" s="46" t="s">
        <v>189</v>
      </c>
      <c r="D495" s="46" t="s">
        <v>99</v>
      </c>
      <c r="E495" s="46" t="s">
        <v>100</v>
      </c>
      <c r="F495" s="46" t="s">
        <v>69</v>
      </c>
      <c r="G495" s="46">
        <v>44</v>
      </c>
      <c r="H495" s="46" t="s">
        <v>6645</v>
      </c>
      <c r="I495" s="46" t="s">
        <v>20</v>
      </c>
      <c r="J495" s="47">
        <v>45406</v>
      </c>
      <c r="K495" s="46" t="s">
        <v>72</v>
      </c>
      <c r="L495" s="48">
        <v>64528</v>
      </c>
      <c r="M495" s="49">
        <v>0</v>
      </c>
    </row>
    <row r="496" spans="1:13" x14ac:dyDescent="0.3">
      <c r="A496" s="46" t="s">
        <v>1181</v>
      </c>
      <c r="B496" s="46" t="s">
        <v>118</v>
      </c>
      <c r="C496" s="46" t="s">
        <v>36</v>
      </c>
      <c r="D496" s="46" t="s">
        <v>37</v>
      </c>
      <c r="E496" s="46" t="s">
        <v>56</v>
      </c>
      <c r="F496" s="46" t="s">
        <v>69</v>
      </c>
      <c r="G496" s="46">
        <v>77</v>
      </c>
      <c r="H496" s="46" t="s">
        <v>6643</v>
      </c>
      <c r="I496" s="46" t="s">
        <v>40</v>
      </c>
      <c r="J496" s="47">
        <v>44962</v>
      </c>
      <c r="K496" s="46" t="s">
        <v>91</v>
      </c>
      <c r="L496" s="48">
        <v>47971</v>
      </c>
      <c r="M496" s="49">
        <v>0</v>
      </c>
    </row>
    <row r="497" spans="1:13" x14ac:dyDescent="0.3">
      <c r="A497" s="46" t="s">
        <v>1183</v>
      </c>
      <c r="B497" s="46" t="s">
        <v>79</v>
      </c>
      <c r="C497" s="46" t="s">
        <v>27</v>
      </c>
      <c r="D497" s="46" t="s">
        <v>99</v>
      </c>
      <c r="E497" s="46" t="s">
        <v>372</v>
      </c>
      <c r="F497" s="46" t="s">
        <v>30</v>
      </c>
      <c r="G497" s="46">
        <v>2</v>
      </c>
      <c r="H497" s="46" t="s">
        <v>6644</v>
      </c>
      <c r="I497" s="46" t="s">
        <v>40</v>
      </c>
      <c r="J497" s="47">
        <v>45222</v>
      </c>
      <c r="K497" s="46" t="s">
        <v>97</v>
      </c>
      <c r="L497" s="48">
        <v>9803</v>
      </c>
      <c r="M497" s="49">
        <v>0</v>
      </c>
    </row>
    <row r="498" spans="1:13" x14ac:dyDescent="0.3">
      <c r="A498" s="46" t="s">
        <v>1185</v>
      </c>
      <c r="B498" s="46" t="s">
        <v>6627</v>
      </c>
      <c r="C498" s="46" t="s">
        <v>55</v>
      </c>
      <c r="D498" s="46" t="s">
        <v>28</v>
      </c>
      <c r="E498" s="46" t="s">
        <v>268</v>
      </c>
      <c r="F498" s="46" t="s">
        <v>69</v>
      </c>
      <c r="G498" s="46">
        <v>86</v>
      </c>
      <c r="H498" s="46" t="s">
        <v>6643</v>
      </c>
      <c r="I498" s="46" t="s">
        <v>20</v>
      </c>
      <c r="J498" s="47">
        <v>45018</v>
      </c>
      <c r="K498" s="46" t="s">
        <v>97</v>
      </c>
      <c r="L498" s="48">
        <v>64350</v>
      </c>
      <c r="M498" s="49">
        <v>0</v>
      </c>
    </row>
    <row r="499" spans="1:13" x14ac:dyDescent="0.3">
      <c r="A499" s="46" t="s">
        <v>1188</v>
      </c>
      <c r="B499" s="46" t="s">
        <v>79</v>
      </c>
      <c r="C499" s="46" t="s">
        <v>189</v>
      </c>
      <c r="D499" s="46" t="s">
        <v>99</v>
      </c>
      <c r="E499" s="46" t="s">
        <v>100</v>
      </c>
      <c r="F499" s="46" t="s">
        <v>30</v>
      </c>
      <c r="G499" s="46">
        <v>46</v>
      </c>
      <c r="H499" s="46" t="s">
        <v>6645</v>
      </c>
      <c r="I499" s="46" t="s">
        <v>40</v>
      </c>
      <c r="J499" s="47">
        <v>45114</v>
      </c>
      <c r="K499" s="46" t="s">
        <v>87</v>
      </c>
      <c r="L499" s="48">
        <v>4739</v>
      </c>
      <c r="M499" s="49">
        <v>10</v>
      </c>
    </row>
    <row r="500" spans="1:13" x14ac:dyDescent="0.3">
      <c r="A500" s="46" t="s">
        <v>1190</v>
      </c>
      <c r="B500" s="46" t="s">
        <v>118</v>
      </c>
      <c r="C500" s="46" t="s">
        <v>16</v>
      </c>
      <c r="D500" s="46" t="s">
        <v>28</v>
      </c>
      <c r="E500" s="46" t="s">
        <v>290</v>
      </c>
      <c r="F500" s="46" t="s">
        <v>30</v>
      </c>
      <c r="G500" s="46">
        <v>56</v>
      </c>
      <c r="H500" s="46" t="s">
        <v>6645</v>
      </c>
      <c r="I500" s="46" t="s">
        <v>20</v>
      </c>
      <c r="J500" s="47">
        <v>44957</v>
      </c>
      <c r="K500" s="46" t="s">
        <v>104</v>
      </c>
      <c r="L500" s="48">
        <v>13256</v>
      </c>
      <c r="M500" s="49">
        <v>19</v>
      </c>
    </row>
    <row r="501" spans="1:13" x14ac:dyDescent="0.3">
      <c r="A501" s="46" t="s">
        <v>1191</v>
      </c>
      <c r="B501" s="46" t="s">
        <v>118</v>
      </c>
      <c r="C501" s="46" t="s">
        <v>27</v>
      </c>
      <c r="D501" s="46" t="s">
        <v>99</v>
      </c>
      <c r="E501" s="46" t="s">
        <v>151</v>
      </c>
      <c r="F501" s="46" t="s">
        <v>30</v>
      </c>
      <c r="G501" s="46">
        <v>8</v>
      </c>
      <c r="H501" s="46" t="s">
        <v>6644</v>
      </c>
      <c r="I501" s="46" t="s">
        <v>20</v>
      </c>
      <c r="J501" s="47">
        <v>45024</v>
      </c>
      <c r="K501" s="46" t="s">
        <v>72</v>
      </c>
      <c r="L501" s="48">
        <v>7343</v>
      </c>
      <c r="M501" s="49">
        <v>0</v>
      </c>
    </row>
    <row r="502" spans="1:13" x14ac:dyDescent="0.3">
      <c r="A502" s="46" t="s">
        <v>1193</v>
      </c>
      <c r="B502" s="46" t="s">
        <v>6627</v>
      </c>
      <c r="C502" s="46" t="s">
        <v>66</v>
      </c>
      <c r="D502" s="46" t="s">
        <v>17</v>
      </c>
      <c r="E502" s="46" t="s">
        <v>135</v>
      </c>
      <c r="F502" s="46" t="s">
        <v>30</v>
      </c>
      <c r="G502" s="46">
        <v>86</v>
      </c>
      <c r="H502" s="46" t="s">
        <v>6643</v>
      </c>
      <c r="I502" s="46" t="s">
        <v>40</v>
      </c>
      <c r="J502" s="47">
        <v>45137</v>
      </c>
      <c r="K502" s="46" t="s">
        <v>91</v>
      </c>
      <c r="L502" s="48">
        <v>12439</v>
      </c>
      <c r="M502" s="49">
        <v>10</v>
      </c>
    </row>
    <row r="503" spans="1:13" x14ac:dyDescent="0.3">
      <c r="A503" s="46" t="s">
        <v>1196</v>
      </c>
      <c r="B503" s="46" t="s">
        <v>79</v>
      </c>
      <c r="C503" s="46" t="s">
        <v>66</v>
      </c>
      <c r="D503" s="46" t="s">
        <v>108</v>
      </c>
      <c r="E503" s="46" t="s">
        <v>109</v>
      </c>
      <c r="F503" s="46" t="s">
        <v>30</v>
      </c>
      <c r="G503" s="46">
        <v>85</v>
      </c>
      <c r="H503" s="46" t="s">
        <v>6643</v>
      </c>
      <c r="I503" s="46" t="s">
        <v>20</v>
      </c>
      <c r="J503" s="47">
        <v>45046</v>
      </c>
      <c r="K503" s="46" t="s">
        <v>87</v>
      </c>
      <c r="L503" s="48">
        <v>10666</v>
      </c>
      <c r="M503" s="49">
        <v>0</v>
      </c>
    </row>
    <row r="504" spans="1:13" x14ac:dyDescent="0.3">
      <c r="A504" s="46" t="s">
        <v>1197</v>
      </c>
      <c r="B504" s="46" t="s">
        <v>118</v>
      </c>
      <c r="C504" s="46" t="s">
        <v>80</v>
      </c>
      <c r="D504" s="46" t="s">
        <v>108</v>
      </c>
      <c r="E504" s="46" t="s">
        <v>272</v>
      </c>
      <c r="F504" s="46" t="s">
        <v>30</v>
      </c>
      <c r="G504" s="46">
        <v>82</v>
      </c>
      <c r="H504" s="46" t="s">
        <v>6643</v>
      </c>
      <c r="I504" s="46" t="s">
        <v>20</v>
      </c>
      <c r="J504" s="47">
        <v>44972</v>
      </c>
      <c r="K504" s="46" t="s">
        <v>87</v>
      </c>
      <c r="L504" s="48">
        <v>14485</v>
      </c>
      <c r="M504" s="49">
        <v>10</v>
      </c>
    </row>
    <row r="505" spans="1:13" x14ac:dyDescent="0.3">
      <c r="A505" s="46" t="s">
        <v>1198</v>
      </c>
      <c r="B505" s="46" t="s">
        <v>6627</v>
      </c>
      <c r="C505" s="46" t="s">
        <v>27</v>
      </c>
      <c r="D505" s="46" t="s">
        <v>93</v>
      </c>
      <c r="E505" s="46" t="s">
        <v>121</v>
      </c>
      <c r="F505" s="46" t="s">
        <v>69</v>
      </c>
      <c r="G505" s="46">
        <v>22</v>
      </c>
      <c r="H505" s="46" t="s">
        <v>6645</v>
      </c>
      <c r="I505" s="46" t="s">
        <v>40</v>
      </c>
      <c r="J505" s="47">
        <v>44939</v>
      </c>
      <c r="K505" s="46" t="s">
        <v>72</v>
      </c>
      <c r="L505" s="48">
        <v>33289</v>
      </c>
      <c r="M505" s="49">
        <v>10</v>
      </c>
    </row>
    <row r="506" spans="1:13" x14ac:dyDescent="0.3">
      <c r="A506" s="46" t="s">
        <v>1200</v>
      </c>
      <c r="B506" s="46" t="s">
        <v>6629</v>
      </c>
      <c r="C506" s="46" t="s">
        <v>16</v>
      </c>
      <c r="D506" s="46" t="s">
        <v>93</v>
      </c>
      <c r="E506" s="46" t="s">
        <v>144</v>
      </c>
      <c r="F506" s="46" t="s">
        <v>30</v>
      </c>
      <c r="G506" s="46">
        <v>74</v>
      </c>
      <c r="H506" s="46" t="s">
        <v>6643</v>
      </c>
      <c r="I506" s="46" t="s">
        <v>20</v>
      </c>
      <c r="J506" s="47">
        <v>45375</v>
      </c>
      <c r="K506" s="46" t="s">
        <v>72</v>
      </c>
      <c r="L506" s="48">
        <v>12632</v>
      </c>
      <c r="M506" s="49">
        <v>0</v>
      </c>
    </row>
    <row r="507" spans="1:13" x14ac:dyDescent="0.3">
      <c r="A507" s="46" t="s">
        <v>1202</v>
      </c>
      <c r="B507" s="46" t="s">
        <v>6628</v>
      </c>
      <c r="C507" s="46" t="s">
        <v>189</v>
      </c>
      <c r="D507" s="46" t="s">
        <v>108</v>
      </c>
      <c r="E507" s="46" t="s">
        <v>308</v>
      </c>
      <c r="F507" s="46" t="s">
        <v>30</v>
      </c>
      <c r="G507" s="46">
        <v>49</v>
      </c>
      <c r="H507" s="46" t="s">
        <v>6645</v>
      </c>
      <c r="I507" s="46" t="s">
        <v>40</v>
      </c>
      <c r="J507" s="47">
        <v>45189</v>
      </c>
      <c r="K507" s="46" t="s">
        <v>72</v>
      </c>
      <c r="L507" s="48">
        <v>13010</v>
      </c>
      <c r="M507" s="49">
        <v>0</v>
      </c>
    </row>
    <row r="508" spans="1:13" x14ac:dyDescent="0.3">
      <c r="A508" s="46" t="s">
        <v>1204</v>
      </c>
      <c r="B508" s="46" t="s">
        <v>6629</v>
      </c>
      <c r="C508" s="46" t="s">
        <v>80</v>
      </c>
      <c r="D508" s="46" t="s">
        <v>37</v>
      </c>
      <c r="E508" s="46" t="s">
        <v>38</v>
      </c>
      <c r="F508" s="46" t="s">
        <v>30</v>
      </c>
      <c r="G508" s="46">
        <v>91</v>
      </c>
      <c r="H508" s="46" t="s">
        <v>6643</v>
      </c>
      <c r="I508" s="46" t="s">
        <v>20</v>
      </c>
      <c r="J508" s="47">
        <v>44946</v>
      </c>
      <c r="K508" s="46" t="s">
        <v>87</v>
      </c>
      <c r="L508" s="48">
        <v>16773</v>
      </c>
      <c r="M508" s="49">
        <v>0</v>
      </c>
    </row>
    <row r="509" spans="1:13" x14ac:dyDescent="0.3">
      <c r="A509" s="46" t="s">
        <v>1206</v>
      </c>
      <c r="B509" s="46" t="s">
        <v>6626</v>
      </c>
      <c r="C509" s="46" t="s">
        <v>61</v>
      </c>
      <c r="D509" s="46" t="s">
        <v>47</v>
      </c>
      <c r="E509" s="46" t="s">
        <v>461</v>
      </c>
      <c r="F509" s="46" t="s">
        <v>30</v>
      </c>
      <c r="G509" s="46">
        <v>18</v>
      </c>
      <c r="H509" s="46" t="s">
        <v>6646</v>
      </c>
      <c r="I509" s="46" t="s">
        <v>40</v>
      </c>
      <c r="J509" s="47">
        <v>45365</v>
      </c>
      <c r="K509" s="46" t="s">
        <v>87</v>
      </c>
      <c r="L509" s="48">
        <v>8331</v>
      </c>
      <c r="M509" s="49">
        <v>0</v>
      </c>
    </row>
    <row r="510" spans="1:13" x14ac:dyDescent="0.3">
      <c r="A510" s="46" t="s">
        <v>1207</v>
      </c>
      <c r="B510" s="46" t="s">
        <v>6629</v>
      </c>
      <c r="C510" s="46" t="s">
        <v>61</v>
      </c>
      <c r="D510" s="46" t="s">
        <v>93</v>
      </c>
      <c r="E510" s="46" t="s">
        <v>121</v>
      </c>
      <c r="F510" s="46" t="s">
        <v>30</v>
      </c>
      <c r="G510" s="46">
        <v>6</v>
      </c>
      <c r="H510" s="46" t="s">
        <v>6644</v>
      </c>
      <c r="I510" s="46" t="s">
        <v>40</v>
      </c>
      <c r="J510" s="47">
        <v>45354</v>
      </c>
      <c r="K510" s="46" t="s">
        <v>97</v>
      </c>
      <c r="L510" s="48">
        <v>16736</v>
      </c>
      <c r="M510" s="49">
        <v>10</v>
      </c>
    </row>
    <row r="511" spans="1:13" x14ac:dyDescent="0.3">
      <c r="A511" s="46" t="s">
        <v>1209</v>
      </c>
      <c r="B511" s="46" t="s">
        <v>118</v>
      </c>
      <c r="C511" s="46" t="s">
        <v>16</v>
      </c>
      <c r="D511" s="46" t="s">
        <v>17</v>
      </c>
      <c r="E511" s="46" t="s">
        <v>169</v>
      </c>
      <c r="F511" s="46" t="s">
        <v>30</v>
      </c>
      <c r="G511" s="46">
        <v>60</v>
      </c>
      <c r="H511" s="46" t="s">
        <v>6643</v>
      </c>
      <c r="I511" s="46" t="s">
        <v>40</v>
      </c>
      <c r="J511" s="47">
        <v>44949</v>
      </c>
      <c r="K511" s="46" t="s">
        <v>91</v>
      </c>
      <c r="L511" s="48">
        <v>14415</v>
      </c>
      <c r="M511" s="49">
        <v>10</v>
      </c>
    </row>
    <row r="512" spans="1:13" x14ac:dyDescent="0.3">
      <c r="A512" s="46" t="s">
        <v>1211</v>
      </c>
      <c r="B512" s="46" t="s">
        <v>79</v>
      </c>
      <c r="C512" s="46" t="s">
        <v>27</v>
      </c>
      <c r="D512" s="46" t="s">
        <v>67</v>
      </c>
      <c r="E512" s="46" t="s">
        <v>85</v>
      </c>
      <c r="F512" s="46" t="s">
        <v>6632</v>
      </c>
      <c r="G512" s="46">
        <v>63</v>
      </c>
      <c r="H512" s="46" t="s">
        <v>6643</v>
      </c>
      <c r="I512" s="46" t="s">
        <v>20</v>
      </c>
      <c r="J512" s="47">
        <v>45337</v>
      </c>
      <c r="K512" s="46" t="s">
        <v>87</v>
      </c>
      <c r="L512" s="48">
        <v>17893</v>
      </c>
      <c r="M512" s="49">
        <v>0</v>
      </c>
    </row>
    <row r="513" spans="1:13" x14ac:dyDescent="0.3">
      <c r="A513" s="46" t="s">
        <v>1212</v>
      </c>
      <c r="B513" s="46" t="s">
        <v>6629</v>
      </c>
      <c r="C513" s="46" t="s">
        <v>27</v>
      </c>
      <c r="D513" s="46" t="s">
        <v>93</v>
      </c>
      <c r="E513" s="46" t="s">
        <v>121</v>
      </c>
      <c r="F513" s="46" t="s">
        <v>30</v>
      </c>
      <c r="G513" s="46">
        <v>12</v>
      </c>
      <c r="H513" s="46" t="s">
        <v>6644</v>
      </c>
      <c r="I513" s="46" t="s">
        <v>40</v>
      </c>
      <c r="J513" s="47">
        <v>45118</v>
      </c>
      <c r="K513" s="46" t="s">
        <v>6632</v>
      </c>
      <c r="L513" s="48">
        <v>15789</v>
      </c>
      <c r="M513" s="49">
        <v>4</v>
      </c>
    </row>
    <row r="514" spans="1:13" x14ac:dyDescent="0.3">
      <c r="A514" s="46" t="s">
        <v>1213</v>
      </c>
      <c r="B514" s="46" t="s">
        <v>6627</v>
      </c>
      <c r="C514" s="46" t="s">
        <v>61</v>
      </c>
      <c r="D514" s="46" t="s">
        <v>67</v>
      </c>
      <c r="E514" s="46" t="s">
        <v>89</v>
      </c>
      <c r="F514" s="46" t="s">
        <v>69</v>
      </c>
      <c r="G514" s="46">
        <v>12</v>
      </c>
      <c r="H514" s="46" t="s">
        <v>6644</v>
      </c>
      <c r="I514" s="46" t="s">
        <v>20</v>
      </c>
      <c r="J514" s="47">
        <v>45174</v>
      </c>
      <c r="K514" s="46" t="s">
        <v>91</v>
      </c>
      <c r="L514" s="48">
        <v>64336</v>
      </c>
      <c r="M514" s="49">
        <v>3</v>
      </c>
    </row>
    <row r="515" spans="1:13" x14ac:dyDescent="0.3">
      <c r="A515" s="46" t="s">
        <v>1215</v>
      </c>
      <c r="B515" s="46" t="s">
        <v>6627</v>
      </c>
      <c r="C515" s="46" t="s">
        <v>80</v>
      </c>
      <c r="D515" s="46" t="s">
        <v>67</v>
      </c>
      <c r="E515" s="46" t="s">
        <v>68</v>
      </c>
      <c r="F515" s="46" t="s">
        <v>30</v>
      </c>
      <c r="G515" s="46">
        <v>58</v>
      </c>
      <c r="H515" s="46" t="s">
        <v>6645</v>
      </c>
      <c r="I515" s="46" t="s">
        <v>40</v>
      </c>
      <c r="J515" s="47">
        <v>45081</v>
      </c>
      <c r="K515" s="46" t="s">
        <v>72</v>
      </c>
      <c r="L515" s="48">
        <v>18345</v>
      </c>
      <c r="M515" s="49">
        <v>5</v>
      </c>
    </row>
    <row r="516" spans="1:13" x14ac:dyDescent="0.3">
      <c r="A516" s="46" t="s">
        <v>1218</v>
      </c>
      <c r="B516" s="46" t="s">
        <v>6626</v>
      </c>
      <c r="C516" s="46" t="s">
        <v>80</v>
      </c>
      <c r="D516" s="46" t="s">
        <v>164</v>
      </c>
      <c r="E516" s="46" t="s">
        <v>219</v>
      </c>
      <c r="F516" s="46" t="s">
        <v>69</v>
      </c>
      <c r="G516" s="46">
        <v>37</v>
      </c>
      <c r="H516" s="46" t="s">
        <v>6645</v>
      </c>
      <c r="I516" s="46" t="s">
        <v>40</v>
      </c>
      <c r="J516" s="47">
        <v>45032</v>
      </c>
      <c r="K516" s="46" t="s">
        <v>104</v>
      </c>
      <c r="L516" s="48">
        <v>22988</v>
      </c>
      <c r="M516" s="49">
        <v>19</v>
      </c>
    </row>
    <row r="517" spans="1:13" x14ac:dyDescent="0.3">
      <c r="A517" s="46" t="s">
        <v>1221</v>
      </c>
      <c r="B517" s="46" t="s">
        <v>6629</v>
      </c>
      <c r="C517" s="46" t="s">
        <v>55</v>
      </c>
      <c r="D517" s="46" t="s">
        <v>67</v>
      </c>
      <c r="E517" s="46" t="s">
        <v>85</v>
      </c>
      <c r="F517" s="46" t="s">
        <v>30</v>
      </c>
      <c r="G517" s="46">
        <v>77</v>
      </c>
      <c r="H517" s="46" t="s">
        <v>6643</v>
      </c>
      <c r="I517" s="46" t="s">
        <v>20</v>
      </c>
      <c r="J517" s="47">
        <v>44984</v>
      </c>
      <c r="K517" s="46" t="s">
        <v>91</v>
      </c>
      <c r="L517" s="48">
        <v>3001</v>
      </c>
      <c r="M517" s="49">
        <v>10</v>
      </c>
    </row>
    <row r="518" spans="1:13" x14ac:dyDescent="0.3">
      <c r="A518" s="46" t="s">
        <v>1223</v>
      </c>
      <c r="B518" s="46" t="s">
        <v>6629</v>
      </c>
      <c r="C518" s="46" t="s">
        <v>16</v>
      </c>
      <c r="D518" s="46" t="s">
        <v>17</v>
      </c>
      <c r="E518" s="46" t="s">
        <v>135</v>
      </c>
      <c r="F518" s="46" t="s">
        <v>30</v>
      </c>
      <c r="G518" s="46">
        <v>9</v>
      </c>
      <c r="H518" s="46" t="s">
        <v>6644</v>
      </c>
      <c r="I518" s="46" t="s">
        <v>20</v>
      </c>
      <c r="J518" s="47">
        <v>45140</v>
      </c>
      <c r="K518" s="46" t="s">
        <v>104</v>
      </c>
      <c r="L518" s="48">
        <v>2757</v>
      </c>
      <c r="M518" s="49">
        <v>35</v>
      </c>
    </row>
    <row r="519" spans="1:13" x14ac:dyDescent="0.3">
      <c r="A519" s="46" t="s">
        <v>1225</v>
      </c>
      <c r="B519" s="46" t="s">
        <v>118</v>
      </c>
      <c r="C519" s="46" t="s">
        <v>66</v>
      </c>
      <c r="D519" s="46" t="s">
        <v>99</v>
      </c>
      <c r="E519" s="46" t="s">
        <v>372</v>
      </c>
      <c r="F519" s="46" t="s">
        <v>30</v>
      </c>
      <c r="G519" s="46">
        <v>62</v>
      </c>
      <c r="H519" s="46" t="s">
        <v>6643</v>
      </c>
      <c r="I519" s="46" t="s">
        <v>40</v>
      </c>
      <c r="J519" s="47">
        <v>44932</v>
      </c>
      <c r="K519" s="46" t="s">
        <v>91</v>
      </c>
      <c r="L519" s="48">
        <v>13258</v>
      </c>
      <c r="M519" s="49">
        <v>0</v>
      </c>
    </row>
    <row r="520" spans="1:13" x14ac:dyDescent="0.3">
      <c r="A520" s="46" t="s">
        <v>1227</v>
      </c>
      <c r="B520" s="46" t="s">
        <v>79</v>
      </c>
      <c r="C520" s="46" t="s">
        <v>189</v>
      </c>
      <c r="D520" s="46" t="s">
        <v>164</v>
      </c>
      <c r="E520" s="46" t="s">
        <v>219</v>
      </c>
      <c r="F520" s="46" t="s">
        <v>30</v>
      </c>
      <c r="G520" s="46">
        <v>28</v>
      </c>
      <c r="H520" s="46" t="s">
        <v>6645</v>
      </c>
      <c r="I520" s="46" t="s">
        <v>20</v>
      </c>
      <c r="J520" s="47">
        <v>45087</v>
      </c>
      <c r="K520" s="46" t="s">
        <v>87</v>
      </c>
      <c r="L520" s="48">
        <v>5478</v>
      </c>
      <c r="M520" s="49">
        <v>5</v>
      </c>
    </row>
    <row r="521" spans="1:13" x14ac:dyDescent="0.3">
      <c r="A521" s="46" t="s">
        <v>1230</v>
      </c>
      <c r="B521" s="46" t="s">
        <v>79</v>
      </c>
      <c r="C521" s="46" t="s">
        <v>16</v>
      </c>
      <c r="D521" s="46" t="s">
        <v>99</v>
      </c>
      <c r="E521" s="46" t="s">
        <v>372</v>
      </c>
      <c r="F521" s="46" t="s">
        <v>69</v>
      </c>
      <c r="G521" s="46">
        <v>21</v>
      </c>
      <c r="H521" s="46" t="s">
        <v>6645</v>
      </c>
      <c r="I521" s="46" t="s">
        <v>40</v>
      </c>
      <c r="J521" s="47">
        <v>45038</v>
      </c>
      <c r="K521" s="46" t="s">
        <v>87</v>
      </c>
      <c r="L521" s="48">
        <v>62070</v>
      </c>
      <c r="M521" s="49">
        <v>0</v>
      </c>
    </row>
    <row r="522" spans="1:13" x14ac:dyDescent="0.3">
      <c r="A522" s="46" t="s">
        <v>1232</v>
      </c>
      <c r="B522" s="46" t="s">
        <v>6628</v>
      </c>
      <c r="C522" s="46" t="s">
        <v>27</v>
      </c>
      <c r="D522" s="46" t="s">
        <v>37</v>
      </c>
      <c r="E522" s="46" t="s">
        <v>56</v>
      </c>
      <c r="F522" s="46" t="s">
        <v>30</v>
      </c>
      <c r="G522" s="46">
        <v>90</v>
      </c>
      <c r="H522" s="46" t="s">
        <v>6643</v>
      </c>
      <c r="I522" s="46" t="s">
        <v>40</v>
      </c>
      <c r="J522" s="47">
        <v>45230</v>
      </c>
      <c r="K522" s="46" t="s">
        <v>97</v>
      </c>
      <c r="L522" s="48">
        <v>11583</v>
      </c>
      <c r="M522" s="49">
        <v>0</v>
      </c>
    </row>
    <row r="523" spans="1:13" x14ac:dyDescent="0.3">
      <c r="A523" s="46" t="s">
        <v>1234</v>
      </c>
      <c r="B523" s="46" t="s">
        <v>6626</v>
      </c>
      <c r="C523" s="46" t="s">
        <v>27</v>
      </c>
      <c r="D523" s="46" t="s">
        <v>37</v>
      </c>
      <c r="E523" s="46" t="s">
        <v>38</v>
      </c>
      <c r="F523" s="46" t="s">
        <v>30</v>
      </c>
      <c r="G523" s="46">
        <v>66</v>
      </c>
      <c r="H523" s="46" t="s">
        <v>6643</v>
      </c>
      <c r="I523" s="46" t="s">
        <v>40</v>
      </c>
      <c r="J523" s="47">
        <v>45059</v>
      </c>
      <c r="K523" s="46" t="s">
        <v>87</v>
      </c>
      <c r="L523" s="48">
        <v>11501</v>
      </c>
      <c r="M523" s="49">
        <v>0</v>
      </c>
    </row>
    <row r="524" spans="1:13" x14ac:dyDescent="0.3">
      <c r="A524" s="46" t="s">
        <v>1236</v>
      </c>
      <c r="B524" s="46" t="s">
        <v>6629</v>
      </c>
      <c r="C524" s="46" t="s">
        <v>189</v>
      </c>
      <c r="D524" s="46" t="s">
        <v>108</v>
      </c>
      <c r="E524" s="46" t="s">
        <v>109</v>
      </c>
      <c r="F524" s="46" t="s">
        <v>30</v>
      </c>
      <c r="G524" s="46">
        <v>10</v>
      </c>
      <c r="H524" s="46" t="s">
        <v>6644</v>
      </c>
      <c r="I524" s="46" t="s">
        <v>40</v>
      </c>
      <c r="J524" s="47">
        <v>45346</v>
      </c>
      <c r="K524" s="46" t="s">
        <v>97</v>
      </c>
      <c r="L524" s="48">
        <v>19309</v>
      </c>
      <c r="M524" s="49">
        <v>0</v>
      </c>
    </row>
    <row r="525" spans="1:13" x14ac:dyDescent="0.3">
      <c r="A525" s="46" t="s">
        <v>1237</v>
      </c>
      <c r="B525" s="46" t="s">
        <v>6627</v>
      </c>
      <c r="C525" s="46" t="s">
        <v>189</v>
      </c>
      <c r="D525" s="46" t="s">
        <v>93</v>
      </c>
      <c r="E525" s="46" t="s">
        <v>121</v>
      </c>
      <c r="F525" s="46" t="s">
        <v>30</v>
      </c>
      <c r="G525" s="46">
        <v>74</v>
      </c>
      <c r="H525" s="46" t="s">
        <v>6643</v>
      </c>
      <c r="I525" s="46" t="s">
        <v>40</v>
      </c>
      <c r="J525" s="47">
        <v>45303</v>
      </c>
      <c r="K525" s="46" t="s">
        <v>91</v>
      </c>
      <c r="L525" s="48">
        <v>15308</v>
      </c>
      <c r="M525" s="49">
        <v>5</v>
      </c>
    </row>
    <row r="526" spans="1:13" x14ac:dyDescent="0.3">
      <c r="A526" s="46" t="s">
        <v>1238</v>
      </c>
      <c r="B526" s="46" t="s">
        <v>6626</v>
      </c>
      <c r="C526" s="46" t="s">
        <v>66</v>
      </c>
      <c r="D526" s="46" t="s">
        <v>108</v>
      </c>
      <c r="E526" s="46" t="s">
        <v>308</v>
      </c>
      <c r="F526" s="46" t="s">
        <v>6632</v>
      </c>
      <c r="G526" s="46">
        <v>57</v>
      </c>
      <c r="H526" s="46" t="s">
        <v>6645</v>
      </c>
      <c r="I526" s="46" t="s">
        <v>20</v>
      </c>
      <c r="J526" s="47">
        <v>45150</v>
      </c>
      <c r="K526" s="46" t="s">
        <v>72</v>
      </c>
      <c r="L526" s="48">
        <v>9740</v>
      </c>
      <c r="M526" s="49">
        <v>0</v>
      </c>
    </row>
    <row r="527" spans="1:13" x14ac:dyDescent="0.3">
      <c r="A527" s="46" t="s">
        <v>1241</v>
      </c>
      <c r="B527" s="46" t="s">
        <v>118</v>
      </c>
      <c r="C527" s="46" t="s">
        <v>16</v>
      </c>
      <c r="D527" s="46" t="s">
        <v>74</v>
      </c>
      <c r="E527" s="46" t="s">
        <v>147</v>
      </c>
      <c r="F527" s="46" t="s">
        <v>30</v>
      </c>
      <c r="G527" s="46">
        <v>88</v>
      </c>
      <c r="H527" s="46" t="s">
        <v>6643</v>
      </c>
      <c r="I527" s="46" t="s">
        <v>20</v>
      </c>
      <c r="J527" s="47">
        <v>44983</v>
      </c>
      <c r="K527" s="46" t="s">
        <v>72</v>
      </c>
      <c r="L527" s="48">
        <v>13049</v>
      </c>
      <c r="M527" s="49">
        <v>10</v>
      </c>
    </row>
    <row r="528" spans="1:13" x14ac:dyDescent="0.3">
      <c r="A528" s="46" t="s">
        <v>1243</v>
      </c>
      <c r="B528" s="46" t="s">
        <v>6627</v>
      </c>
      <c r="C528" s="46" t="s">
        <v>55</v>
      </c>
      <c r="D528" s="46" t="s">
        <v>93</v>
      </c>
      <c r="E528" s="46" t="s">
        <v>207</v>
      </c>
      <c r="F528" s="46" t="s">
        <v>30</v>
      </c>
      <c r="G528" s="46">
        <v>75</v>
      </c>
      <c r="H528" s="46" t="s">
        <v>6643</v>
      </c>
      <c r="I528" s="46" t="s">
        <v>40</v>
      </c>
      <c r="J528" s="47">
        <v>45280</v>
      </c>
      <c r="K528" s="46" t="s">
        <v>97</v>
      </c>
      <c r="L528" s="48">
        <v>13713</v>
      </c>
      <c r="M528" s="49">
        <v>3</v>
      </c>
    </row>
    <row r="529" spans="1:13" x14ac:dyDescent="0.3">
      <c r="A529" s="46" t="s">
        <v>1246</v>
      </c>
      <c r="B529" s="46" t="s">
        <v>118</v>
      </c>
      <c r="C529" s="46" t="s">
        <v>27</v>
      </c>
      <c r="D529" s="46" t="s">
        <v>164</v>
      </c>
      <c r="E529" s="46" t="s">
        <v>282</v>
      </c>
      <c r="F529" s="46" t="s">
        <v>30</v>
      </c>
      <c r="G529" s="46">
        <v>17</v>
      </c>
      <c r="H529" s="46" t="s">
        <v>6646</v>
      </c>
      <c r="I529" s="46" t="s">
        <v>20</v>
      </c>
      <c r="J529" s="47">
        <v>45310</v>
      </c>
      <c r="K529" s="46" t="s">
        <v>72</v>
      </c>
      <c r="L529" s="48">
        <v>12669</v>
      </c>
      <c r="M529" s="49">
        <v>5</v>
      </c>
    </row>
    <row r="530" spans="1:13" x14ac:dyDescent="0.3">
      <c r="A530" s="46" t="s">
        <v>1247</v>
      </c>
      <c r="B530" s="46" t="s">
        <v>6628</v>
      </c>
      <c r="C530" s="46" t="s">
        <v>66</v>
      </c>
      <c r="D530" s="46" t="s">
        <v>17</v>
      </c>
      <c r="E530" s="46" t="s">
        <v>213</v>
      </c>
      <c r="F530" s="46" t="s">
        <v>69</v>
      </c>
      <c r="G530" s="46">
        <v>16</v>
      </c>
      <c r="H530" s="46" t="s">
        <v>6646</v>
      </c>
      <c r="I530" s="46" t="s">
        <v>40</v>
      </c>
      <c r="J530" s="47">
        <v>45278</v>
      </c>
      <c r="K530" s="46" t="s">
        <v>72</v>
      </c>
      <c r="L530" s="48">
        <v>86355</v>
      </c>
      <c r="M530" s="49">
        <v>0</v>
      </c>
    </row>
    <row r="531" spans="1:13" x14ac:dyDescent="0.3">
      <c r="A531" s="46" t="s">
        <v>1249</v>
      </c>
      <c r="B531" s="46" t="s">
        <v>118</v>
      </c>
      <c r="C531" s="46" t="s">
        <v>66</v>
      </c>
      <c r="D531" s="46" t="s">
        <v>47</v>
      </c>
      <c r="E531" s="46" t="s">
        <v>364</v>
      </c>
      <c r="F531" s="46" t="s">
        <v>30</v>
      </c>
      <c r="G531" s="46">
        <v>37</v>
      </c>
      <c r="H531" s="46" t="s">
        <v>6645</v>
      </c>
      <c r="I531" s="46" t="s">
        <v>20</v>
      </c>
      <c r="J531" s="47">
        <v>45067</v>
      </c>
      <c r="K531" s="46" t="s">
        <v>72</v>
      </c>
      <c r="L531" s="48">
        <v>9043</v>
      </c>
      <c r="M531" s="49">
        <v>0</v>
      </c>
    </row>
    <row r="532" spans="1:13" x14ac:dyDescent="0.3">
      <c r="A532" s="46" t="s">
        <v>1250</v>
      </c>
      <c r="B532" s="46" t="s">
        <v>6629</v>
      </c>
      <c r="C532" s="46" t="s">
        <v>55</v>
      </c>
      <c r="D532" s="46" t="s">
        <v>74</v>
      </c>
      <c r="E532" s="46" t="s">
        <v>192</v>
      </c>
      <c r="F532" s="46" t="s">
        <v>30</v>
      </c>
      <c r="G532" s="46">
        <v>65</v>
      </c>
      <c r="H532" s="46" t="s">
        <v>6643</v>
      </c>
      <c r="I532" s="46" t="s">
        <v>20</v>
      </c>
      <c r="J532" s="47">
        <v>45234</v>
      </c>
      <c r="K532" s="46" t="s">
        <v>97</v>
      </c>
      <c r="L532" s="48">
        <v>10179</v>
      </c>
      <c r="M532" s="49">
        <v>10</v>
      </c>
    </row>
    <row r="533" spans="1:13" x14ac:dyDescent="0.3">
      <c r="A533" s="46" t="s">
        <v>1252</v>
      </c>
      <c r="B533" s="46" t="s">
        <v>79</v>
      </c>
      <c r="C533" s="46" t="s">
        <v>27</v>
      </c>
      <c r="D533" s="46" t="s">
        <v>47</v>
      </c>
      <c r="E533" s="46" t="s">
        <v>461</v>
      </c>
      <c r="F533" s="46" t="s">
        <v>30</v>
      </c>
      <c r="G533" s="46">
        <v>84</v>
      </c>
      <c r="H533" s="46" t="s">
        <v>6643</v>
      </c>
      <c r="I533" s="46" t="s">
        <v>20</v>
      </c>
      <c r="J533" s="47">
        <v>45080</v>
      </c>
      <c r="K533" s="46" t="s">
        <v>72</v>
      </c>
      <c r="L533" s="48">
        <v>6416</v>
      </c>
      <c r="M533" s="49">
        <v>3</v>
      </c>
    </row>
    <row r="534" spans="1:13" x14ac:dyDescent="0.3">
      <c r="A534" s="46" t="s">
        <v>1254</v>
      </c>
      <c r="B534" s="46" t="s">
        <v>6626</v>
      </c>
      <c r="C534" s="46" t="s">
        <v>189</v>
      </c>
      <c r="D534" s="46" t="s">
        <v>47</v>
      </c>
      <c r="E534" s="46" t="s">
        <v>461</v>
      </c>
      <c r="F534" s="46" t="s">
        <v>30</v>
      </c>
      <c r="G534" s="46">
        <v>87</v>
      </c>
      <c r="H534" s="46" t="s">
        <v>6643</v>
      </c>
      <c r="I534" s="46" t="s">
        <v>40</v>
      </c>
      <c r="J534" s="47">
        <v>45045</v>
      </c>
      <c r="K534" s="46" t="s">
        <v>104</v>
      </c>
      <c r="L534" s="48">
        <v>15296</v>
      </c>
      <c r="M534" s="49">
        <v>5</v>
      </c>
    </row>
    <row r="535" spans="1:13" x14ac:dyDescent="0.3">
      <c r="A535" s="46" t="s">
        <v>1256</v>
      </c>
      <c r="B535" s="46" t="s">
        <v>6629</v>
      </c>
      <c r="C535" s="46" t="s">
        <v>36</v>
      </c>
      <c r="D535" s="46" t="s">
        <v>47</v>
      </c>
      <c r="E535" s="46" t="s">
        <v>364</v>
      </c>
      <c r="F535" s="46" t="s">
        <v>30</v>
      </c>
      <c r="G535" s="46">
        <v>36</v>
      </c>
      <c r="H535" s="46" t="s">
        <v>6645</v>
      </c>
      <c r="I535" s="46" t="s">
        <v>40</v>
      </c>
      <c r="J535" s="47">
        <v>45191</v>
      </c>
      <c r="K535" s="46" t="s">
        <v>91</v>
      </c>
      <c r="L535" s="48">
        <v>10001</v>
      </c>
      <c r="M535" s="49">
        <v>0</v>
      </c>
    </row>
    <row r="536" spans="1:13" x14ac:dyDescent="0.3">
      <c r="A536" s="46" t="s">
        <v>1258</v>
      </c>
      <c r="B536" s="46" t="s">
        <v>6629</v>
      </c>
      <c r="C536" s="46" t="s">
        <v>189</v>
      </c>
      <c r="D536" s="46" t="s">
        <v>99</v>
      </c>
      <c r="E536" s="46" t="s">
        <v>151</v>
      </c>
      <c r="F536" s="46" t="s">
        <v>69</v>
      </c>
      <c r="G536" s="46">
        <v>88</v>
      </c>
      <c r="H536" s="46" t="s">
        <v>6643</v>
      </c>
      <c r="I536" s="46" t="s">
        <v>40</v>
      </c>
      <c r="J536" s="47">
        <v>44988</v>
      </c>
      <c r="K536" s="46" t="s">
        <v>72</v>
      </c>
      <c r="L536" s="48">
        <v>51258</v>
      </c>
      <c r="M536" s="49">
        <v>5</v>
      </c>
    </row>
    <row r="537" spans="1:13" x14ac:dyDescent="0.3">
      <c r="A537" s="46" t="s">
        <v>1260</v>
      </c>
      <c r="B537" s="46" t="s">
        <v>6628</v>
      </c>
      <c r="C537" s="46" t="s">
        <v>55</v>
      </c>
      <c r="D537" s="46" t="s">
        <v>67</v>
      </c>
      <c r="E537" s="46" t="s">
        <v>85</v>
      </c>
      <c r="F537" s="46" t="s">
        <v>69</v>
      </c>
      <c r="G537" s="46">
        <v>41</v>
      </c>
      <c r="H537" s="46" t="s">
        <v>6645</v>
      </c>
      <c r="I537" s="46" t="s">
        <v>40</v>
      </c>
      <c r="J537" s="47">
        <v>45000</v>
      </c>
      <c r="K537" s="46" t="s">
        <v>87</v>
      </c>
      <c r="L537" s="48">
        <v>77988</v>
      </c>
      <c r="M537" s="49">
        <v>5</v>
      </c>
    </row>
    <row r="538" spans="1:13" x14ac:dyDescent="0.3">
      <c r="A538" s="46" t="s">
        <v>1262</v>
      </c>
      <c r="B538" s="46" t="s">
        <v>6628</v>
      </c>
      <c r="C538" s="46" t="s">
        <v>16</v>
      </c>
      <c r="D538" s="46" t="s">
        <v>37</v>
      </c>
      <c r="E538" s="46" t="s">
        <v>132</v>
      </c>
      <c r="F538" s="46" t="s">
        <v>30</v>
      </c>
      <c r="G538" s="46">
        <v>23</v>
      </c>
      <c r="H538" s="46" t="s">
        <v>6645</v>
      </c>
      <c r="I538" s="46" t="s">
        <v>40</v>
      </c>
      <c r="J538" s="47">
        <v>45170</v>
      </c>
      <c r="K538" s="46" t="s">
        <v>87</v>
      </c>
      <c r="L538" s="48">
        <v>19154</v>
      </c>
      <c r="M538" s="49">
        <v>0</v>
      </c>
    </row>
    <row r="539" spans="1:13" x14ac:dyDescent="0.3">
      <c r="A539" s="46" t="s">
        <v>1264</v>
      </c>
      <c r="B539" s="46" t="s">
        <v>79</v>
      </c>
      <c r="C539" s="46" t="s">
        <v>36</v>
      </c>
      <c r="D539" s="46" t="s">
        <v>74</v>
      </c>
      <c r="E539" s="46" t="s">
        <v>192</v>
      </c>
      <c r="F539" s="46" t="s">
        <v>30</v>
      </c>
      <c r="G539" s="46">
        <v>84</v>
      </c>
      <c r="H539" s="46" t="s">
        <v>6643</v>
      </c>
      <c r="I539" s="46" t="s">
        <v>20</v>
      </c>
      <c r="J539" s="47">
        <v>45207</v>
      </c>
      <c r="K539" s="46" t="s">
        <v>87</v>
      </c>
      <c r="L539" s="48">
        <v>9473</v>
      </c>
      <c r="M539" s="49">
        <v>10</v>
      </c>
    </row>
    <row r="540" spans="1:13" x14ac:dyDescent="0.3">
      <c r="A540" s="46" t="s">
        <v>1266</v>
      </c>
      <c r="B540" s="46" t="s">
        <v>6627</v>
      </c>
      <c r="C540" s="46" t="s">
        <v>16</v>
      </c>
      <c r="D540" s="46" t="s">
        <v>67</v>
      </c>
      <c r="E540" s="46" t="s">
        <v>196</v>
      </c>
      <c r="F540" s="46" t="s">
        <v>6632</v>
      </c>
      <c r="G540" s="46">
        <v>71</v>
      </c>
      <c r="H540" s="46" t="s">
        <v>6643</v>
      </c>
      <c r="I540" s="46" t="s">
        <v>40</v>
      </c>
      <c r="J540" s="47">
        <v>44968</v>
      </c>
      <c r="K540" s="46" t="s">
        <v>104</v>
      </c>
      <c r="L540" s="48">
        <v>8063</v>
      </c>
      <c r="M540" s="49">
        <v>19</v>
      </c>
    </row>
    <row r="541" spans="1:13" x14ac:dyDescent="0.3">
      <c r="A541" s="46" t="s">
        <v>1269</v>
      </c>
      <c r="B541" s="46" t="s">
        <v>6626</v>
      </c>
      <c r="C541" s="46" t="s">
        <v>16</v>
      </c>
      <c r="D541" s="46" t="s">
        <v>108</v>
      </c>
      <c r="E541" s="46" t="s">
        <v>109</v>
      </c>
      <c r="F541" s="46" t="s">
        <v>30</v>
      </c>
      <c r="G541" s="46">
        <v>70</v>
      </c>
      <c r="H541" s="46" t="s">
        <v>6643</v>
      </c>
      <c r="I541" s="46" t="s">
        <v>20</v>
      </c>
      <c r="J541" s="47">
        <v>45335</v>
      </c>
      <c r="K541" s="46" t="s">
        <v>91</v>
      </c>
      <c r="L541" s="48">
        <v>12624</v>
      </c>
      <c r="M541" s="49">
        <v>10</v>
      </c>
    </row>
    <row r="542" spans="1:13" x14ac:dyDescent="0.3">
      <c r="A542" s="46" t="s">
        <v>1270</v>
      </c>
      <c r="B542" s="46" t="s">
        <v>118</v>
      </c>
      <c r="C542" s="46" t="s">
        <v>66</v>
      </c>
      <c r="D542" s="46" t="s">
        <v>28</v>
      </c>
      <c r="E542" s="46" t="s">
        <v>29</v>
      </c>
      <c r="F542" s="46" t="s">
        <v>30</v>
      </c>
      <c r="G542" s="46">
        <v>76</v>
      </c>
      <c r="H542" s="46" t="s">
        <v>6643</v>
      </c>
      <c r="I542" s="46" t="s">
        <v>40</v>
      </c>
      <c r="J542" s="47">
        <v>45300</v>
      </c>
      <c r="K542" s="46" t="s">
        <v>104</v>
      </c>
      <c r="L542" s="48">
        <v>9712</v>
      </c>
      <c r="M542" s="49">
        <v>15</v>
      </c>
    </row>
    <row r="543" spans="1:13" x14ac:dyDescent="0.3">
      <c r="A543" s="46" t="s">
        <v>1273</v>
      </c>
      <c r="B543" s="46" t="s">
        <v>6628</v>
      </c>
      <c r="C543" s="46" t="s">
        <v>80</v>
      </c>
      <c r="D543" s="46" t="s">
        <v>164</v>
      </c>
      <c r="E543" s="46" t="s">
        <v>219</v>
      </c>
      <c r="F543" s="46" t="s">
        <v>69</v>
      </c>
      <c r="G543" s="46">
        <v>67</v>
      </c>
      <c r="H543" s="46" t="s">
        <v>6643</v>
      </c>
      <c r="I543" s="46" t="s">
        <v>40</v>
      </c>
      <c r="J543" s="47">
        <v>45260</v>
      </c>
      <c r="K543" s="46" t="s">
        <v>87</v>
      </c>
      <c r="L543" s="48">
        <v>72442</v>
      </c>
      <c r="M543" s="49">
        <v>3</v>
      </c>
    </row>
    <row r="544" spans="1:13" x14ac:dyDescent="0.3">
      <c r="A544" s="46" t="s">
        <v>1275</v>
      </c>
      <c r="B544" s="46" t="s">
        <v>6627</v>
      </c>
      <c r="C544" s="46" t="s">
        <v>55</v>
      </c>
      <c r="D544" s="46" t="s">
        <v>17</v>
      </c>
      <c r="E544" s="46" t="s">
        <v>18</v>
      </c>
      <c r="F544" s="46" t="s">
        <v>30</v>
      </c>
      <c r="G544" s="46">
        <v>87</v>
      </c>
      <c r="H544" s="46" t="s">
        <v>6643</v>
      </c>
      <c r="I544" s="46" t="s">
        <v>40</v>
      </c>
      <c r="J544" s="47">
        <v>45041</v>
      </c>
      <c r="K544" s="46" t="s">
        <v>97</v>
      </c>
      <c r="L544" s="48">
        <v>19240</v>
      </c>
      <c r="M544" s="49">
        <v>3</v>
      </c>
    </row>
    <row r="545" spans="1:13" x14ac:dyDescent="0.3">
      <c r="A545" s="46" t="s">
        <v>1277</v>
      </c>
      <c r="B545" s="46" t="s">
        <v>6629</v>
      </c>
      <c r="C545" s="46" t="s">
        <v>80</v>
      </c>
      <c r="D545" s="46" t="s">
        <v>108</v>
      </c>
      <c r="E545" s="46" t="s">
        <v>272</v>
      </c>
      <c r="F545" s="46" t="s">
        <v>6632</v>
      </c>
      <c r="G545" s="46">
        <v>24</v>
      </c>
      <c r="H545" s="46" t="s">
        <v>6645</v>
      </c>
      <c r="I545" s="46" t="s">
        <v>40</v>
      </c>
      <c r="J545" s="47">
        <v>45360</v>
      </c>
      <c r="K545" s="46" t="s">
        <v>91</v>
      </c>
      <c r="L545" s="48">
        <v>59863</v>
      </c>
      <c r="M545" s="49">
        <v>0</v>
      </c>
    </row>
    <row r="546" spans="1:13" x14ac:dyDescent="0.3">
      <c r="A546" s="46" t="s">
        <v>1278</v>
      </c>
      <c r="B546" s="46" t="s">
        <v>6629</v>
      </c>
      <c r="C546" s="46" t="s">
        <v>16</v>
      </c>
      <c r="D546" s="46" t="s">
        <v>28</v>
      </c>
      <c r="E546" s="46" t="s">
        <v>29</v>
      </c>
      <c r="F546" s="46" t="s">
        <v>30</v>
      </c>
      <c r="G546" s="46">
        <v>63</v>
      </c>
      <c r="H546" s="46" t="s">
        <v>6643</v>
      </c>
      <c r="I546" s="46" t="s">
        <v>20</v>
      </c>
      <c r="J546" s="47">
        <v>45254</v>
      </c>
      <c r="K546" s="46" t="s">
        <v>97</v>
      </c>
      <c r="L546" s="48">
        <v>16130</v>
      </c>
      <c r="M546" s="49">
        <v>0</v>
      </c>
    </row>
    <row r="547" spans="1:13" x14ac:dyDescent="0.3">
      <c r="A547" s="46" t="s">
        <v>1279</v>
      </c>
      <c r="B547" s="46" t="s">
        <v>118</v>
      </c>
      <c r="C547" s="46" t="s">
        <v>27</v>
      </c>
      <c r="D547" s="46" t="s">
        <v>108</v>
      </c>
      <c r="E547" s="46" t="s">
        <v>124</v>
      </c>
      <c r="F547" s="46" t="s">
        <v>30</v>
      </c>
      <c r="G547" s="46">
        <v>68</v>
      </c>
      <c r="H547" s="46" t="s">
        <v>6643</v>
      </c>
      <c r="I547" s="46" t="s">
        <v>40</v>
      </c>
      <c r="J547" s="47">
        <v>45339</v>
      </c>
      <c r="K547" s="46" t="s">
        <v>72</v>
      </c>
      <c r="L547" s="48">
        <v>7532</v>
      </c>
      <c r="M547" s="49">
        <v>3</v>
      </c>
    </row>
    <row r="548" spans="1:13" x14ac:dyDescent="0.3">
      <c r="A548" s="46" t="s">
        <v>1282</v>
      </c>
      <c r="B548" s="46" t="s">
        <v>6626</v>
      </c>
      <c r="C548" s="46" t="s">
        <v>189</v>
      </c>
      <c r="D548" s="46" t="s">
        <v>108</v>
      </c>
      <c r="E548" s="46" t="s">
        <v>109</v>
      </c>
      <c r="F548" s="46" t="s">
        <v>30</v>
      </c>
      <c r="G548" s="46">
        <v>15</v>
      </c>
      <c r="H548" s="46" t="s">
        <v>6646</v>
      </c>
      <c r="I548" s="46" t="s">
        <v>20</v>
      </c>
      <c r="J548" s="47">
        <v>45221</v>
      </c>
      <c r="K548" s="46" t="s">
        <v>72</v>
      </c>
      <c r="L548" s="48">
        <v>13609</v>
      </c>
      <c r="M548" s="49">
        <v>0</v>
      </c>
    </row>
    <row r="549" spans="1:13" x14ac:dyDescent="0.3">
      <c r="A549" s="46" t="s">
        <v>1284</v>
      </c>
      <c r="B549" s="46" t="s">
        <v>118</v>
      </c>
      <c r="C549" s="46" t="s">
        <v>55</v>
      </c>
      <c r="D549" s="46" t="s">
        <v>164</v>
      </c>
      <c r="E549" s="46" t="s">
        <v>219</v>
      </c>
      <c r="F549" s="46" t="s">
        <v>30</v>
      </c>
      <c r="G549" s="46">
        <v>51</v>
      </c>
      <c r="H549" s="46" t="s">
        <v>6645</v>
      </c>
      <c r="I549" s="46" t="s">
        <v>20</v>
      </c>
      <c r="J549" s="47">
        <v>45050</v>
      </c>
      <c r="K549" s="46" t="s">
        <v>97</v>
      </c>
      <c r="L549" s="48">
        <v>18897</v>
      </c>
      <c r="M549" s="49">
        <v>5</v>
      </c>
    </row>
    <row r="550" spans="1:13" x14ac:dyDescent="0.3">
      <c r="A550" s="46" t="s">
        <v>1286</v>
      </c>
      <c r="B550" s="46" t="s">
        <v>6629</v>
      </c>
      <c r="C550" s="46" t="s">
        <v>61</v>
      </c>
      <c r="D550" s="46" t="s">
        <v>164</v>
      </c>
      <c r="E550" s="46" t="s">
        <v>165</v>
      </c>
      <c r="F550" s="46" t="s">
        <v>30</v>
      </c>
      <c r="G550" s="46">
        <v>52</v>
      </c>
      <c r="H550" s="46" t="s">
        <v>6645</v>
      </c>
      <c r="I550" s="46" t="s">
        <v>20</v>
      </c>
      <c r="J550" s="47">
        <v>45221</v>
      </c>
      <c r="K550" s="46" t="s">
        <v>87</v>
      </c>
      <c r="L550" s="48">
        <v>12169</v>
      </c>
      <c r="M550" s="49">
        <v>0</v>
      </c>
    </row>
    <row r="551" spans="1:13" x14ac:dyDescent="0.3">
      <c r="A551" s="46" t="s">
        <v>1287</v>
      </c>
      <c r="B551" s="46" t="s">
        <v>6627</v>
      </c>
      <c r="C551" s="46" t="s">
        <v>16</v>
      </c>
      <c r="D551" s="46" t="s">
        <v>74</v>
      </c>
      <c r="E551" s="46" t="s">
        <v>192</v>
      </c>
      <c r="F551" s="46" t="s">
        <v>69</v>
      </c>
      <c r="G551" s="46">
        <v>13</v>
      </c>
      <c r="H551" s="46" t="s">
        <v>6646</v>
      </c>
      <c r="I551" s="46" t="s">
        <v>20</v>
      </c>
      <c r="J551" s="47">
        <v>45241</v>
      </c>
      <c r="K551" s="46" t="s">
        <v>104</v>
      </c>
      <c r="L551" s="48">
        <v>24495</v>
      </c>
      <c r="M551" s="49">
        <v>15</v>
      </c>
    </row>
    <row r="552" spans="1:13" x14ac:dyDescent="0.3">
      <c r="A552" s="46" t="s">
        <v>1289</v>
      </c>
      <c r="B552" s="46" t="s">
        <v>6628</v>
      </c>
      <c r="C552" s="46" t="s">
        <v>16</v>
      </c>
      <c r="D552" s="46" t="s">
        <v>164</v>
      </c>
      <c r="E552" s="46" t="s">
        <v>282</v>
      </c>
      <c r="F552" s="46" t="s">
        <v>30</v>
      </c>
      <c r="G552" s="46">
        <v>23</v>
      </c>
      <c r="H552" s="46" t="s">
        <v>6645</v>
      </c>
      <c r="I552" s="46" t="s">
        <v>20</v>
      </c>
      <c r="J552" s="47">
        <v>45105</v>
      </c>
      <c r="K552" s="46" t="s">
        <v>104</v>
      </c>
      <c r="L552" s="48">
        <v>7566</v>
      </c>
      <c r="M552" s="49">
        <v>25</v>
      </c>
    </row>
    <row r="553" spans="1:13" x14ac:dyDescent="0.3">
      <c r="A553" s="46" t="s">
        <v>1291</v>
      </c>
      <c r="B553" s="46" t="s">
        <v>6627</v>
      </c>
      <c r="C553" s="46" t="s">
        <v>27</v>
      </c>
      <c r="D553" s="46" t="s">
        <v>47</v>
      </c>
      <c r="E553" s="46" t="s">
        <v>48</v>
      </c>
      <c r="F553" s="46" t="s">
        <v>69</v>
      </c>
      <c r="G553" s="46">
        <v>47</v>
      </c>
      <c r="H553" s="46" t="s">
        <v>6645</v>
      </c>
      <c r="I553" s="46" t="s">
        <v>20</v>
      </c>
      <c r="J553" s="47">
        <v>45375</v>
      </c>
      <c r="K553" s="46" t="s">
        <v>104</v>
      </c>
      <c r="L553" s="48">
        <v>58392</v>
      </c>
      <c r="M553" s="49">
        <v>30</v>
      </c>
    </row>
    <row r="554" spans="1:13" x14ac:dyDescent="0.3">
      <c r="A554" s="46" t="s">
        <v>1292</v>
      </c>
      <c r="B554" s="46" t="s">
        <v>6628</v>
      </c>
      <c r="C554" s="46" t="s">
        <v>36</v>
      </c>
      <c r="D554" s="46" t="s">
        <v>164</v>
      </c>
      <c r="E554" s="46" t="s">
        <v>165</v>
      </c>
      <c r="F554" s="46" t="s">
        <v>30</v>
      </c>
      <c r="G554" s="46">
        <v>70</v>
      </c>
      <c r="H554" s="46" t="s">
        <v>6643</v>
      </c>
      <c r="I554" s="46" t="s">
        <v>40</v>
      </c>
      <c r="J554" s="47">
        <v>45373</v>
      </c>
      <c r="K554" s="46" t="s">
        <v>72</v>
      </c>
      <c r="L554" s="48">
        <v>14264</v>
      </c>
      <c r="M554" s="49">
        <v>3</v>
      </c>
    </row>
    <row r="555" spans="1:13" x14ac:dyDescent="0.3">
      <c r="A555" s="46" t="s">
        <v>1295</v>
      </c>
      <c r="B555" s="46" t="s">
        <v>118</v>
      </c>
      <c r="C555" s="46" t="s">
        <v>55</v>
      </c>
      <c r="D555" s="46" t="s">
        <v>17</v>
      </c>
      <c r="E555" s="46" t="s">
        <v>213</v>
      </c>
      <c r="F555" s="46" t="s">
        <v>30</v>
      </c>
      <c r="G555" s="46">
        <v>76</v>
      </c>
      <c r="H555" s="46" t="s">
        <v>6643</v>
      </c>
      <c r="I555" s="46" t="s">
        <v>40</v>
      </c>
      <c r="J555" s="47">
        <v>45267</v>
      </c>
      <c r="K555" s="46" t="s">
        <v>104</v>
      </c>
      <c r="L555" s="48">
        <v>3785</v>
      </c>
      <c r="M555" s="49">
        <v>25</v>
      </c>
    </row>
    <row r="556" spans="1:13" x14ac:dyDescent="0.3">
      <c r="A556" s="46" t="s">
        <v>1297</v>
      </c>
      <c r="B556" s="46" t="s">
        <v>6628</v>
      </c>
      <c r="C556" s="46" t="s">
        <v>36</v>
      </c>
      <c r="D556" s="46" t="s">
        <v>47</v>
      </c>
      <c r="E556" s="46" t="s">
        <v>175</v>
      </c>
      <c r="F556" s="46" t="s">
        <v>30</v>
      </c>
      <c r="G556" s="46">
        <v>70</v>
      </c>
      <c r="H556" s="46" t="s">
        <v>6643</v>
      </c>
      <c r="I556" s="46" t="s">
        <v>40</v>
      </c>
      <c r="J556" s="47">
        <v>45336</v>
      </c>
      <c r="K556" s="46" t="s">
        <v>72</v>
      </c>
      <c r="L556" s="48">
        <v>6113</v>
      </c>
      <c r="M556" s="49">
        <v>5</v>
      </c>
    </row>
    <row r="557" spans="1:13" x14ac:dyDescent="0.3">
      <c r="A557" s="46" t="s">
        <v>1299</v>
      </c>
      <c r="B557" s="46" t="s">
        <v>6628</v>
      </c>
      <c r="C557" s="46" t="s">
        <v>16</v>
      </c>
      <c r="D557" s="46" t="s">
        <v>28</v>
      </c>
      <c r="E557" s="46" t="s">
        <v>259</v>
      </c>
      <c r="F557" s="46" t="s">
        <v>30</v>
      </c>
      <c r="G557" s="46">
        <v>54</v>
      </c>
      <c r="H557" s="46" t="s">
        <v>6645</v>
      </c>
      <c r="I557" s="46" t="s">
        <v>40</v>
      </c>
      <c r="J557" s="47">
        <v>45347</v>
      </c>
      <c r="K557" s="46" t="s">
        <v>91</v>
      </c>
      <c r="L557" s="48">
        <v>3253</v>
      </c>
      <c r="M557" s="49">
        <v>5</v>
      </c>
    </row>
    <row r="558" spans="1:13" x14ac:dyDescent="0.3">
      <c r="A558" s="46" t="s">
        <v>1301</v>
      </c>
      <c r="B558" s="46" t="s">
        <v>6626</v>
      </c>
      <c r="C558" s="46" t="s">
        <v>55</v>
      </c>
      <c r="D558" s="46" t="s">
        <v>93</v>
      </c>
      <c r="E558" s="46" t="s">
        <v>121</v>
      </c>
      <c r="F558" s="46" t="s">
        <v>30</v>
      </c>
      <c r="G558" s="46">
        <v>25</v>
      </c>
      <c r="H558" s="46" t="s">
        <v>6645</v>
      </c>
      <c r="I558" s="46" t="s">
        <v>20</v>
      </c>
      <c r="J558" s="47">
        <v>45171</v>
      </c>
      <c r="K558" s="46" t="s">
        <v>72</v>
      </c>
      <c r="L558" s="48">
        <v>15031</v>
      </c>
      <c r="M558" s="49">
        <v>0</v>
      </c>
    </row>
    <row r="559" spans="1:13" x14ac:dyDescent="0.3">
      <c r="A559" s="46" t="s">
        <v>1302</v>
      </c>
      <c r="B559" s="46" t="s">
        <v>6627</v>
      </c>
      <c r="C559" s="46" t="s">
        <v>27</v>
      </c>
      <c r="D559" s="46" t="s">
        <v>74</v>
      </c>
      <c r="E559" s="46" t="s">
        <v>192</v>
      </c>
      <c r="F559" s="46" t="s">
        <v>30</v>
      </c>
      <c r="G559" s="46">
        <v>7</v>
      </c>
      <c r="H559" s="46" t="s">
        <v>6644</v>
      </c>
      <c r="I559" s="46" t="s">
        <v>40</v>
      </c>
      <c r="J559" s="47">
        <v>45142</v>
      </c>
      <c r="K559" s="46" t="s">
        <v>87</v>
      </c>
      <c r="L559" s="48">
        <v>10150</v>
      </c>
      <c r="M559" s="49">
        <v>0</v>
      </c>
    </row>
    <row r="560" spans="1:13" x14ac:dyDescent="0.3">
      <c r="A560" s="46" t="s">
        <v>1304</v>
      </c>
      <c r="B560" s="46" t="s">
        <v>118</v>
      </c>
      <c r="C560" s="46" t="s">
        <v>189</v>
      </c>
      <c r="D560" s="46" t="s">
        <v>67</v>
      </c>
      <c r="E560" s="46" t="s">
        <v>68</v>
      </c>
      <c r="F560" s="46" t="s">
        <v>30</v>
      </c>
      <c r="G560" s="46">
        <v>39</v>
      </c>
      <c r="H560" s="46" t="s">
        <v>6645</v>
      </c>
      <c r="I560" s="46" t="s">
        <v>40</v>
      </c>
      <c r="J560" s="47">
        <v>45165</v>
      </c>
      <c r="K560" s="46" t="s">
        <v>72</v>
      </c>
      <c r="L560" s="48">
        <v>19985</v>
      </c>
      <c r="M560" s="49">
        <v>0</v>
      </c>
    </row>
    <row r="561" spans="1:13" x14ac:dyDescent="0.3">
      <c r="A561" s="46" t="s">
        <v>1305</v>
      </c>
      <c r="B561" s="46" t="s">
        <v>6627</v>
      </c>
      <c r="C561" s="46" t="s">
        <v>16</v>
      </c>
      <c r="D561" s="46" t="s">
        <v>17</v>
      </c>
      <c r="E561" s="46" t="s">
        <v>18</v>
      </c>
      <c r="F561" s="46" t="s">
        <v>69</v>
      </c>
      <c r="G561" s="46">
        <v>75</v>
      </c>
      <c r="H561" s="46" t="s">
        <v>6643</v>
      </c>
      <c r="I561" s="46" t="s">
        <v>20</v>
      </c>
      <c r="J561" s="47">
        <v>45179</v>
      </c>
      <c r="K561" s="46" t="s">
        <v>87</v>
      </c>
      <c r="L561" s="48">
        <v>57859</v>
      </c>
      <c r="M561" s="49">
        <v>10</v>
      </c>
    </row>
    <row r="562" spans="1:13" x14ac:dyDescent="0.3">
      <c r="A562" s="46" t="s">
        <v>1308</v>
      </c>
      <c r="B562" s="46" t="s">
        <v>6629</v>
      </c>
      <c r="C562" s="46" t="s">
        <v>55</v>
      </c>
      <c r="D562" s="46" t="s">
        <v>28</v>
      </c>
      <c r="E562" s="46" t="s">
        <v>290</v>
      </c>
      <c r="F562" s="46" t="s">
        <v>30</v>
      </c>
      <c r="G562" s="46">
        <v>61</v>
      </c>
      <c r="H562" s="46" t="s">
        <v>6643</v>
      </c>
      <c r="I562" s="46" t="s">
        <v>20</v>
      </c>
      <c r="J562" s="47">
        <v>44931</v>
      </c>
      <c r="K562" s="46" t="s">
        <v>104</v>
      </c>
      <c r="L562" s="48">
        <v>5481</v>
      </c>
      <c r="M562" s="49">
        <v>18</v>
      </c>
    </row>
    <row r="563" spans="1:13" x14ac:dyDescent="0.3">
      <c r="A563" s="46" t="s">
        <v>1310</v>
      </c>
      <c r="B563" s="46" t="s">
        <v>6628</v>
      </c>
      <c r="C563" s="46" t="s">
        <v>55</v>
      </c>
      <c r="D563" s="46" t="s">
        <v>164</v>
      </c>
      <c r="E563" s="46" t="s">
        <v>165</v>
      </c>
      <c r="F563" s="46" t="s">
        <v>30</v>
      </c>
      <c r="G563" s="46">
        <v>26</v>
      </c>
      <c r="H563" s="46" t="s">
        <v>6645</v>
      </c>
      <c r="I563" s="46" t="s">
        <v>20</v>
      </c>
      <c r="J563" s="47">
        <v>45016</v>
      </c>
      <c r="K563" s="46" t="s">
        <v>104</v>
      </c>
      <c r="L563" s="48">
        <v>10584</v>
      </c>
      <c r="M563" s="49">
        <v>12</v>
      </c>
    </row>
    <row r="564" spans="1:13" x14ac:dyDescent="0.3">
      <c r="A564" s="46" t="s">
        <v>1312</v>
      </c>
      <c r="B564" s="46" t="s">
        <v>6628</v>
      </c>
      <c r="C564" s="46" t="s">
        <v>61</v>
      </c>
      <c r="D564" s="46" t="s">
        <v>93</v>
      </c>
      <c r="E564" s="46" t="s">
        <v>121</v>
      </c>
      <c r="F564" s="46" t="s">
        <v>30</v>
      </c>
      <c r="G564" s="46">
        <v>81</v>
      </c>
      <c r="H564" s="46" t="s">
        <v>6643</v>
      </c>
      <c r="I564" s="46" t="s">
        <v>20</v>
      </c>
      <c r="J564" s="47">
        <v>45294</v>
      </c>
      <c r="K564" s="46" t="s">
        <v>72</v>
      </c>
      <c r="L564" s="48">
        <v>6046</v>
      </c>
      <c r="M564" s="49">
        <v>0</v>
      </c>
    </row>
    <row r="565" spans="1:13" x14ac:dyDescent="0.3">
      <c r="A565" s="46" t="s">
        <v>1315</v>
      </c>
      <c r="B565" s="46" t="s">
        <v>6627</v>
      </c>
      <c r="C565" s="46" t="s">
        <v>36</v>
      </c>
      <c r="D565" s="46" t="s">
        <v>93</v>
      </c>
      <c r="E565" s="46" t="s">
        <v>144</v>
      </c>
      <c r="F565" s="46" t="s">
        <v>6632</v>
      </c>
      <c r="G565" s="46">
        <v>78</v>
      </c>
      <c r="H565" s="46" t="s">
        <v>6643</v>
      </c>
      <c r="I565" s="46" t="s">
        <v>20</v>
      </c>
      <c r="J565" s="47">
        <v>45131</v>
      </c>
      <c r="K565" s="46" t="s">
        <v>97</v>
      </c>
      <c r="L565" s="48">
        <v>19062</v>
      </c>
      <c r="M565" s="49">
        <v>3</v>
      </c>
    </row>
    <row r="566" spans="1:13" x14ac:dyDescent="0.3">
      <c r="A566" s="46" t="s">
        <v>1317</v>
      </c>
      <c r="B566" s="46" t="s">
        <v>6628</v>
      </c>
      <c r="C566" s="46" t="s">
        <v>66</v>
      </c>
      <c r="D566" s="46" t="s">
        <v>17</v>
      </c>
      <c r="E566" s="46" t="s">
        <v>169</v>
      </c>
      <c r="F566" s="46" t="s">
        <v>30</v>
      </c>
      <c r="G566" s="46">
        <v>42</v>
      </c>
      <c r="H566" s="46" t="s">
        <v>6645</v>
      </c>
      <c r="I566" s="46" t="s">
        <v>20</v>
      </c>
      <c r="J566" s="47">
        <v>45299</v>
      </c>
      <c r="K566" s="46" t="s">
        <v>91</v>
      </c>
      <c r="L566" s="48">
        <v>4081</v>
      </c>
      <c r="M566" s="49">
        <v>0</v>
      </c>
    </row>
    <row r="567" spans="1:13" x14ac:dyDescent="0.3">
      <c r="A567" s="46" t="s">
        <v>1318</v>
      </c>
      <c r="B567" s="46" t="s">
        <v>79</v>
      </c>
      <c r="C567" s="46" t="s">
        <v>55</v>
      </c>
      <c r="D567" s="46" t="s">
        <v>67</v>
      </c>
      <c r="E567" s="46" t="s">
        <v>68</v>
      </c>
      <c r="F567" s="46" t="s">
        <v>30</v>
      </c>
      <c r="G567" s="46">
        <v>51</v>
      </c>
      <c r="H567" s="46" t="s">
        <v>6645</v>
      </c>
      <c r="I567" s="46" t="s">
        <v>40</v>
      </c>
      <c r="J567" s="47">
        <v>45242</v>
      </c>
      <c r="K567" s="46" t="s">
        <v>87</v>
      </c>
      <c r="L567" s="48">
        <v>17516</v>
      </c>
      <c r="M567" s="49">
        <v>5</v>
      </c>
    </row>
    <row r="568" spans="1:13" x14ac:dyDescent="0.3">
      <c r="A568" s="46" t="s">
        <v>1320</v>
      </c>
      <c r="B568" s="46" t="s">
        <v>6626</v>
      </c>
      <c r="C568" s="46" t="s">
        <v>27</v>
      </c>
      <c r="D568" s="46" t="s">
        <v>74</v>
      </c>
      <c r="E568" s="46" t="s">
        <v>172</v>
      </c>
      <c r="F568" s="46" t="s">
        <v>30</v>
      </c>
      <c r="G568" s="46">
        <v>9</v>
      </c>
      <c r="H568" s="46" t="s">
        <v>6644</v>
      </c>
      <c r="I568" s="46" t="s">
        <v>40</v>
      </c>
      <c r="J568" s="47">
        <v>45279</v>
      </c>
      <c r="K568" s="46" t="s">
        <v>72</v>
      </c>
      <c r="L568" s="48">
        <v>14051</v>
      </c>
      <c r="M568" s="49">
        <v>0</v>
      </c>
    </row>
    <row r="569" spans="1:13" x14ac:dyDescent="0.3">
      <c r="A569" s="46" t="s">
        <v>1322</v>
      </c>
      <c r="B569" s="46" t="s">
        <v>6628</v>
      </c>
      <c r="C569" s="46" t="s">
        <v>16</v>
      </c>
      <c r="D569" s="46" t="s">
        <v>74</v>
      </c>
      <c r="E569" s="46" t="s">
        <v>75</v>
      </c>
      <c r="F569" s="46" t="s">
        <v>30</v>
      </c>
      <c r="G569" s="46">
        <v>50</v>
      </c>
      <c r="H569" s="46" t="s">
        <v>6645</v>
      </c>
      <c r="I569" s="46" t="s">
        <v>20</v>
      </c>
      <c r="J569" s="47">
        <v>45256</v>
      </c>
      <c r="K569" s="46" t="s">
        <v>72</v>
      </c>
      <c r="L569" s="48">
        <v>3502</v>
      </c>
      <c r="M569" s="49">
        <v>5</v>
      </c>
    </row>
    <row r="570" spans="1:13" x14ac:dyDescent="0.3">
      <c r="A570" s="46" t="s">
        <v>1324</v>
      </c>
      <c r="B570" s="46" t="s">
        <v>6628</v>
      </c>
      <c r="C570" s="46" t="s">
        <v>27</v>
      </c>
      <c r="D570" s="46" t="s">
        <v>28</v>
      </c>
      <c r="E570" s="46" t="s">
        <v>268</v>
      </c>
      <c r="F570" s="46" t="s">
        <v>30</v>
      </c>
      <c r="G570" s="46">
        <v>38</v>
      </c>
      <c r="H570" s="46" t="s">
        <v>6645</v>
      </c>
      <c r="I570" s="46" t="s">
        <v>20</v>
      </c>
      <c r="J570" s="47">
        <v>45127</v>
      </c>
      <c r="K570" s="46" t="s">
        <v>72</v>
      </c>
      <c r="L570" s="48">
        <v>12269</v>
      </c>
      <c r="M570" s="49">
        <v>0</v>
      </c>
    </row>
    <row r="571" spans="1:13" x14ac:dyDescent="0.3">
      <c r="A571" s="46" t="s">
        <v>1326</v>
      </c>
      <c r="B571" s="46" t="s">
        <v>6627</v>
      </c>
      <c r="C571" s="46" t="s">
        <v>61</v>
      </c>
      <c r="D571" s="46" t="s">
        <v>67</v>
      </c>
      <c r="E571" s="46" t="s">
        <v>68</v>
      </c>
      <c r="F571" s="46" t="s">
        <v>69</v>
      </c>
      <c r="G571" s="46">
        <v>10</v>
      </c>
      <c r="H571" s="46" t="s">
        <v>6644</v>
      </c>
      <c r="I571" s="46" t="s">
        <v>40</v>
      </c>
      <c r="J571" s="47">
        <v>44940</v>
      </c>
      <c r="K571" s="46" t="s">
        <v>72</v>
      </c>
      <c r="L571" s="48">
        <v>22502</v>
      </c>
      <c r="M571" s="49">
        <v>0</v>
      </c>
    </row>
    <row r="572" spans="1:13" x14ac:dyDescent="0.3">
      <c r="A572" s="46" t="s">
        <v>1329</v>
      </c>
      <c r="B572" s="46" t="s">
        <v>6626</v>
      </c>
      <c r="C572" s="46" t="s">
        <v>27</v>
      </c>
      <c r="D572" s="46" t="s">
        <v>17</v>
      </c>
      <c r="E572" s="46" t="s">
        <v>135</v>
      </c>
      <c r="F572" s="46" t="s">
        <v>30</v>
      </c>
      <c r="G572" s="46">
        <v>37</v>
      </c>
      <c r="H572" s="46" t="s">
        <v>6645</v>
      </c>
      <c r="I572" s="46" t="s">
        <v>40</v>
      </c>
      <c r="J572" s="47">
        <v>45396</v>
      </c>
      <c r="K572" s="46" t="s">
        <v>72</v>
      </c>
      <c r="L572" s="48">
        <v>7597</v>
      </c>
      <c r="M572" s="49">
        <v>10</v>
      </c>
    </row>
    <row r="573" spans="1:13" x14ac:dyDescent="0.3">
      <c r="A573" s="46" t="s">
        <v>1332</v>
      </c>
      <c r="B573" s="46" t="s">
        <v>6628</v>
      </c>
      <c r="C573" s="46" t="s">
        <v>55</v>
      </c>
      <c r="D573" s="46" t="s">
        <v>37</v>
      </c>
      <c r="E573" s="46" t="s">
        <v>38</v>
      </c>
      <c r="F573" s="46" t="s">
        <v>30</v>
      </c>
      <c r="G573" s="46">
        <v>47</v>
      </c>
      <c r="H573" s="46" t="s">
        <v>6645</v>
      </c>
      <c r="I573" s="46" t="s">
        <v>20</v>
      </c>
      <c r="J573" s="47">
        <v>45095</v>
      </c>
      <c r="K573" s="46" t="s">
        <v>87</v>
      </c>
      <c r="L573" s="48">
        <v>10288</v>
      </c>
      <c r="M573" s="49">
        <v>0</v>
      </c>
    </row>
    <row r="574" spans="1:13" x14ac:dyDescent="0.3">
      <c r="A574" s="46" t="s">
        <v>1333</v>
      </c>
      <c r="B574" s="46" t="s">
        <v>118</v>
      </c>
      <c r="C574" s="46" t="s">
        <v>80</v>
      </c>
      <c r="D574" s="46" t="s">
        <v>74</v>
      </c>
      <c r="E574" s="46" t="s">
        <v>172</v>
      </c>
      <c r="F574" s="46" t="s">
        <v>69</v>
      </c>
      <c r="G574" s="46">
        <v>52</v>
      </c>
      <c r="H574" s="46" t="s">
        <v>6645</v>
      </c>
      <c r="I574" s="46" t="s">
        <v>20</v>
      </c>
      <c r="J574" s="47">
        <v>45143</v>
      </c>
      <c r="K574" s="46" t="s">
        <v>97</v>
      </c>
      <c r="L574" s="48">
        <v>60469</v>
      </c>
      <c r="M574" s="49">
        <v>10</v>
      </c>
    </row>
    <row r="575" spans="1:13" x14ac:dyDescent="0.3">
      <c r="A575" s="46" t="s">
        <v>1334</v>
      </c>
      <c r="B575" s="46" t="s">
        <v>6628</v>
      </c>
      <c r="C575" s="46" t="s">
        <v>66</v>
      </c>
      <c r="D575" s="46" t="s">
        <v>37</v>
      </c>
      <c r="E575" s="46" t="s">
        <v>38</v>
      </c>
      <c r="F575" s="46" t="s">
        <v>6632</v>
      </c>
      <c r="G575" s="46">
        <v>59</v>
      </c>
      <c r="H575" s="46" t="s">
        <v>6645</v>
      </c>
      <c r="I575" s="46" t="s">
        <v>20</v>
      </c>
      <c r="J575" s="47">
        <v>44935</v>
      </c>
      <c r="K575" s="46" t="s">
        <v>6632</v>
      </c>
      <c r="L575" s="48">
        <v>14790</v>
      </c>
      <c r="M575" s="49">
        <v>0</v>
      </c>
    </row>
    <row r="576" spans="1:13" x14ac:dyDescent="0.3">
      <c r="A576" s="46" t="s">
        <v>1336</v>
      </c>
      <c r="B576" s="46" t="s">
        <v>6629</v>
      </c>
      <c r="C576" s="46" t="s">
        <v>80</v>
      </c>
      <c r="D576" s="46" t="s">
        <v>93</v>
      </c>
      <c r="E576" s="46" t="s">
        <v>121</v>
      </c>
      <c r="F576" s="46" t="s">
        <v>69</v>
      </c>
      <c r="G576" s="46">
        <v>73</v>
      </c>
      <c r="H576" s="46" t="s">
        <v>6643</v>
      </c>
      <c r="I576" s="46" t="s">
        <v>40</v>
      </c>
      <c r="J576" s="47">
        <v>45274</v>
      </c>
      <c r="K576" s="46" t="s">
        <v>87</v>
      </c>
      <c r="L576" s="48">
        <v>82723</v>
      </c>
      <c r="M576" s="49">
        <v>0</v>
      </c>
    </row>
    <row r="577" spans="1:13" x14ac:dyDescent="0.3">
      <c r="A577" s="46" t="s">
        <v>1338</v>
      </c>
      <c r="B577" s="46" t="s">
        <v>79</v>
      </c>
      <c r="C577" s="46" t="s">
        <v>61</v>
      </c>
      <c r="D577" s="46" t="s">
        <v>37</v>
      </c>
      <c r="E577" s="46" t="s">
        <v>185</v>
      </c>
      <c r="F577" s="46" t="s">
        <v>69</v>
      </c>
      <c r="G577" s="46">
        <v>37</v>
      </c>
      <c r="H577" s="46" t="s">
        <v>6645</v>
      </c>
      <c r="I577" s="46" t="s">
        <v>20</v>
      </c>
      <c r="J577" s="47">
        <v>44959</v>
      </c>
      <c r="K577" s="46" t="s">
        <v>97</v>
      </c>
      <c r="L577" s="48">
        <v>45661</v>
      </c>
      <c r="M577" s="49">
        <v>5</v>
      </c>
    </row>
    <row r="578" spans="1:13" x14ac:dyDescent="0.3">
      <c r="A578" s="46" t="s">
        <v>1339</v>
      </c>
      <c r="B578" s="46" t="s">
        <v>6629</v>
      </c>
      <c r="C578" s="46" t="s">
        <v>16</v>
      </c>
      <c r="D578" s="46" t="s">
        <v>28</v>
      </c>
      <c r="E578" s="46" t="s">
        <v>268</v>
      </c>
      <c r="F578" s="46" t="s">
        <v>30</v>
      </c>
      <c r="G578" s="46">
        <v>59</v>
      </c>
      <c r="H578" s="46" t="s">
        <v>6645</v>
      </c>
      <c r="I578" s="46" t="s">
        <v>40</v>
      </c>
      <c r="J578" s="47">
        <v>45176</v>
      </c>
      <c r="K578" s="46" t="s">
        <v>72</v>
      </c>
      <c r="L578" s="48">
        <v>10250</v>
      </c>
      <c r="M578" s="49">
        <v>5</v>
      </c>
    </row>
    <row r="579" spans="1:13" x14ac:dyDescent="0.3">
      <c r="A579" s="46" t="s">
        <v>1341</v>
      </c>
      <c r="B579" s="46" t="s">
        <v>6626</v>
      </c>
      <c r="C579" s="46" t="s">
        <v>55</v>
      </c>
      <c r="D579" s="46" t="s">
        <v>74</v>
      </c>
      <c r="E579" s="46" t="s">
        <v>172</v>
      </c>
      <c r="F579" s="46" t="s">
        <v>30</v>
      </c>
      <c r="G579" s="46">
        <v>75</v>
      </c>
      <c r="H579" s="46" t="s">
        <v>6643</v>
      </c>
      <c r="I579" s="46" t="s">
        <v>40</v>
      </c>
      <c r="J579" s="47">
        <v>45307</v>
      </c>
      <c r="K579" s="46" t="s">
        <v>6632</v>
      </c>
      <c r="L579" s="48">
        <v>6439</v>
      </c>
      <c r="M579" s="49">
        <v>0</v>
      </c>
    </row>
    <row r="580" spans="1:13" x14ac:dyDescent="0.3">
      <c r="A580" s="46" t="s">
        <v>1343</v>
      </c>
      <c r="B580" s="46" t="s">
        <v>6626</v>
      </c>
      <c r="C580" s="46" t="s">
        <v>61</v>
      </c>
      <c r="D580" s="46" t="s">
        <v>99</v>
      </c>
      <c r="E580" s="46" t="s">
        <v>151</v>
      </c>
      <c r="F580" s="46" t="s">
        <v>30</v>
      </c>
      <c r="G580" s="46">
        <v>47</v>
      </c>
      <c r="H580" s="46" t="s">
        <v>6645</v>
      </c>
      <c r="I580" s="46" t="s">
        <v>40</v>
      </c>
      <c r="J580" s="47">
        <v>45074</v>
      </c>
      <c r="K580" s="46" t="s">
        <v>72</v>
      </c>
      <c r="L580" s="48">
        <v>14559</v>
      </c>
      <c r="M580" s="49">
        <v>3</v>
      </c>
    </row>
    <row r="581" spans="1:13" x14ac:dyDescent="0.3">
      <c r="A581" s="46" t="s">
        <v>1344</v>
      </c>
      <c r="B581" s="46" t="s">
        <v>6629</v>
      </c>
      <c r="C581" s="46" t="s">
        <v>66</v>
      </c>
      <c r="D581" s="46" t="s">
        <v>67</v>
      </c>
      <c r="E581" s="46" t="s">
        <v>68</v>
      </c>
      <c r="F581" s="46" t="s">
        <v>69</v>
      </c>
      <c r="G581" s="46">
        <v>16</v>
      </c>
      <c r="H581" s="46" t="s">
        <v>6646</v>
      </c>
      <c r="I581" s="46" t="s">
        <v>20</v>
      </c>
      <c r="J581" s="47">
        <v>45255</v>
      </c>
      <c r="K581" s="46" t="s">
        <v>72</v>
      </c>
      <c r="L581" s="48">
        <v>85619</v>
      </c>
      <c r="M581" s="49">
        <v>0</v>
      </c>
    </row>
    <row r="582" spans="1:13" x14ac:dyDescent="0.3">
      <c r="A582" s="46" t="s">
        <v>1346</v>
      </c>
      <c r="B582" s="46" t="s">
        <v>79</v>
      </c>
      <c r="C582" s="46" t="s">
        <v>189</v>
      </c>
      <c r="D582" s="46" t="s">
        <v>37</v>
      </c>
      <c r="E582" s="46" t="s">
        <v>56</v>
      </c>
      <c r="F582" s="46" t="s">
        <v>30</v>
      </c>
      <c r="G582" s="46">
        <v>83</v>
      </c>
      <c r="H582" s="46" t="s">
        <v>6643</v>
      </c>
      <c r="I582" s="46" t="s">
        <v>40</v>
      </c>
      <c r="J582" s="47">
        <v>45027</v>
      </c>
      <c r="K582" s="46" t="s">
        <v>97</v>
      </c>
      <c r="L582" s="48">
        <v>3633</v>
      </c>
      <c r="M582" s="49">
        <v>10</v>
      </c>
    </row>
    <row r="583" spans="1:13" x14ac:dyDescent="0.3">
      <c r="A583" s="46" t="s">
        <v>1348</v>
      </c>
      <c r="B583" s="46" t="s">
        <v>6629</v>
      </c>
      <c r="C583" s="46" t="s">
        <v>61</v>
      </c>
      <c r="D583" s="46" t="s">
        <v>47</v>
      </c>
      <c r="E583" s="46" t="s">
        <v>364</v>
      </c>
      <c r="F583" s="46" t="s">
        <v>30</v>
      </c>
      <c r="G583" s="46">
        <v>77</v>
      </c>
      <c r="H583" s="46" t="s">
        <v>6643</v>
      </c>
      <c r="I583" s="46" t="s">
        <v>40</v>
      </c>
      <c r="J583" s="47">
        <v>44931</v>
      </c>
      <c r="K583" s="46" t="s">
        <v>97</v>
      </c>
      <c r="L583" s="48">
        <v>7808</v>
      </c>
      <c r="M583" s="49">
        <v>5</v>
      </c>
    </row>
    <row r="584" spans="1:13" x14ac:dyDescent="0.3">
      <c r="A584" s="46" t="s">
        <v>1350</v>
      </c>
      <c r="B584" s="46" t="s">
        <v>6628</v>
      </c>
      <c r="C584" s="46" t="s">
        <v>27</v>
      </c>
      <c r="D584" s="46" t="s">
        <v>164</v>
      </c>
      <c r="E584" s="46" t="s">
        <v>282</v>
      </c>
      <c r="F584" s="46" t="s">
        <v>30</v>
      </c>
      <c r="G584" s="46">
        <v>58</v>
      </c>
      <c r="H584" s="46" t="s">
        <v>6645</v>
      </c>
      <c r="I584" s="46" t="s">
        <v>20</v>
      </c>
      <c r="J584" s="47">
        <v>44959</v>
      </c>
      <c r="K584" s="46" t="s">
        <v>97</v>
      </c>
      <c r="L584" s="48">
        <v>15223</v>
      </c>
      <c r="M584" s="49">
        <v>0</v>
      </c>
    </row>
    <row r="585" spans="1:13" x14ac:dyDescent="0.3">
      <c r="A585" s="46" t="s">
        <v>1352</v>
      </c>
      <c r="B585" s="46" t="s">
        <v>118</v>
      </c>
      <c r="C585" s="46" t="s">
        <v>27</v>
      </c>
      <c r="D585" s="46" t="s">
        <v>67</v>
      </c>
      <c r="E585" s="46" t="s">
        <v>89</v>
      </c>
      <c r="F585" s="46" t="s">
        <v>30</v>
      </c>
      <c r="G585" s="46">
        <v>20</v>
      </c>
      <c r="H585" s="46" t="s">
        <v>6645</v>
      </c>
      <c r="I585" s="46" t="s">
        <v>40</v>
      </c>
      <c r="J585" s="47">
        <v>44977</v>
      </c>
      <c r="K585" s="46" t="s">
        <v>104</v>
      </c>
      <c r="L585" s="48">
        <v>7844</v>
      </c>
      <c r="M585" s="49">
        <v>5</v>
      </c>
    </row>
    <row r="586" spans="1:13" x14ac:dyDescent="0.3">
      <c r="A586" s="46" t="s">
        <v>1355</v>
      </c>
      <c r="B586" s="46" t="s">
        <v>6626</v>
      </c>
      <c r="C586" s="46" t="s">
        <v>80</v>
      </c>
      <c r="D586" s="46" t="s">
        <v>47</v>
      </c>
      <c r="E586" s="46" t="s">
        <v>48</v>
      </c>
      <c r="F586" s="46" t="s">
        <v>30</v>
      </c>
      <c r="G586" s="46">
        <v>51</v>
      </c>
      <c r="H586" s="46" t="s">
        <v>6645</v>
      </c>
      <c r="I586" s="46" t="s">
        <v>20</v>
      </c>
      <c r="J586" s="47">
        <v>45383</v>
      </c>
      <c r="K586" s="46" t="s">
        <v>87</v>
      </c>
      <c r="L586" s="48">
        <v>15481</v>
      </c>
      <c r="M586" s="49">
        <v>5</v>
      </c>
    </row>
    <row r="587" spans="1:13" x14ac:dyDescent="0.3">
      <c r="A587" s="46" t="s">
        <v>1356</v>
      </c>
      <c r="B587" s="46" t="s">
        <v>79</v>
      </c>
      <c r="C587" s="46" t="s">
        <v>55</v>
      </c>
      <c r="D587" s="46" t="s">
        <v>28</v>
      </c>
      <c r="E587" s="46" t="s">
        <v>268</v>
      </c>
      <c r="F587" s="46" t="s">
        <v>30</v>
      </c>
      <c r="G587" s="46">
        <v>15</v>
      </c>
      <c r="H587" s="46" t="s">
        <v>6646</v>
      </c>
      <c r="I587" s="46" t="s">
        <v>20</v>
      </c>
      <c r="J587" s="47">
        <v>45176</v>
      </c>
      <c r="K587" s="46" t="s">
        <v>97</v>
      </c>
      <c r="L587" s="48">
        <v>9144</v>
      </c>
      <c r="M587" s="49">
        <v>0</v>
      </c>
    </row>
    <row r="588" spans="1:13" x14ac:dyDescent="0.3">
      <c r="A588" s="46" t="s">
        <v>1358</v>
      </c>
      <c r="B588" s="46" t="s">
        <v>6628</v>
      </c>
      <c r="C588" s="46" t="s">
        <v>61</v>
      </c>
      <c r="D588" s="46" t="s">
        <v>99</v>
      </c>
      <c r="E588" s="46" t="s">
        <v>256</v>
      </c>
      <c r="F588" s="46" t="s">
        <v>30</v>
      </c>
      <c r="G588" s="46">
        <v>12</v>
      </c>
      <c r="H588" s="46" t="s">
        <v>6644</v>
      </c>
      <c r="I588" s="46" t="s">
        <v>40</v>
      </c>
      <c r="J588" s="47">
        <v>45197</v>
      </c>
      <c r="K588" s="46" t="s">
        <v>91</v>
      </c>
      <c r="L588" s="48">
        <v>9120</v>
      </c>
      <c r="M588" s="49">
        <v>3</v>
      </c>
    </row>
    <row r="589" spans="1:13" x14ac:dyDescent="0.3">
      <c r="A589" s="46" t="s">
        <v>1359</v>
      </c>
      <c r="B589" s="46" t="s">
        <v>118</v>
      </c>
      <c r="C589" s="46" t="s">
        <v>80</v>
      </c>
      <c r="D589" s="46" t="s">
        <v>74</v>
      </c>
      <c r="E589" s="46" t="s">
        <v>147</v>
      </c>
      <c r="F589" s="46" t="s">
        <v>30</v>
      </c>
      <c r="G589" s="46">
        <v>32</v>
      </c>
      <c r="H589" s="46" t="s">
        <v>6645</v>
      </c>
      <c r="I589" s="46" t="s">
        <v>40</v>
      </c>
      <c r="J589" s="47">
        <v>45372</v>
      </c>
      <c r="K589" s="46" t="s">
        <v>104</v>
      </c>
      <c r="L589" s="48">
        <v>13356</v>
      </c>
      <c r="M589" s="49">
        <v>10</v>
      </c>
    </row>
    <row r="590" spans="1:13" x14ac:dyDescent="0.3">
      <c r="A590" s="46" t="s">
        <v>1360</v>
      </c>
      <c r="B590" s="46" t="s">
        <v>118</v>
      </c>
      <c r="C590" s="46" t="s">
        <v>80</v>
      </c>
      <c r="D590" s="46" t="s">
        <v>17</v>
      </c>
      <c r="E590" s="46" t="s">
        <v>18</v>
      </c>
      <c r="F590" s="46" t="s">
        <v>69</v>
      </c>
      <c r="G590" s="46">
        <v>76</v>
      </c>
      <c r="H590" s="46" t="s">
        <v>6643</v>
      </c>
      <c r="I590" s="46" t="s">
        <v>20</v>
      </c>
      <c r="J590" s="47">
        <v>45157</v>
      </c>
      <c r="K590" s="46" t="s">
        <v>87</v>
      </c>
      <c r="L590" s="48">
        <v>33320</v>
      </c>
      <c r="M590" s="49">
        <v>0</v>
      </c>
    </row>
    <row r="591" spans="1:13" x14ac:dyDescent="0.3">
      <c r="A591" s="46" t="s">
        <v>1361</v>
      </c>
      <c r="B591" s="46" t="s">
        <v>6627</v>
      </c>
      <c r="C591" s="46" t="s">
        <v>27</v>
      </c>
      <c r="D591" s="46" t="s">
        <v>108</v>
      </c>
      <c r="E591" s="46" t="s">
        <v>124</v>
      </c>
      <c r="F591" s="46" t="s">
        <v>30</v>
      </c>
      <c r="G591" s="46">
        <v>10</v>
      </c>
      <c r="H591" s="46" t="s">
        <v>6644</v>
      </c>
      <c r="I591" s="46" t="s">
        <v>20</v>
      </c>
      <c r="J591" s="47">
        <v>45397</v>
      </c>
      <c r="K591" s="46" t="s">
        <v>97</v>
      </c>
      <c r="L591" s="48">
        <v>8366</v>
      </c>
      <c r="M591" s="49">
        <v>0</v>
      </c>
    </row>
    <row r="592" spans="1:13" x14ac:dyDescent="0.3">
      <c r="A592" s="46" t="s">
        <v>1362</v>
      </c>
      <c r="B592" s="46" t="s">
        <v>6628</v>
      </c>
      <c r="C592" s="46" t="s">
        <v>80</v>
      </c>
      <c r="D592" s="46" t="s">
        <v>37</v>
      </c>
      <c r="E592" s="46" t="s">
        <v>185</v>
      </c>
      <c r="F592" s="46" t="s">
        <v>30</v>
      </c>
      <c r="G592" s="46">
        <v>47</v>
      </c>
      <c r="H592" s="46" t="s">
        <v>6645</v>
      </c>
      <c r="I592" s="46" t="s">
        <v>20</v>
      </c>
      <c r="J592" s="47">
        <v>45347</v>
      </c>
      <c r="K592" s="46" t="s">
        <v>104</v>
      </c>
      <c r="L592" s="48">
        <v>13001</v>
      </c>
      <c r="M592" s="49">
        <v>19</v>
      </c>
    </row>
    <row r="593" spans="1:13" x14ac:dyDescent="0.3">
      <c r="A593" s="46" t="s">
        <v>1363</v>
      </c>
      <c r="B593" s="46" t="s">
        <v>6628</v>
      </c>
      <c r="C593" s="46" t="s">
        <v>27</v>
      </c>
      <c r="D593" s="46" t="s">
        <v>108</v>
      </c>
      <c r="E593" s="46" t="s">
        <v>308</v>
      </c>
      <c r="F593" s="46" t="s">
        <v>30</v>
      </c>
      <c r="G593" s="46">
        <v>19</v>
      </c>
      <c r="H593" s="46" t="s">
        <v>6646</v>
      </c>
      <c r="I593" s="46" t="s">
        <v>20</v>
      </c>
      <c r="J593" s="47">
        <v>45295</v>
      </c>
      <c r="K593" s="46" t="s">
        <v>87</v>
      </c>
      <c r="L593" s="48">
        <v>6801</v>
      </c>
      <c r="M593" s="49">
        <v>0</v>
      </c>
    </row>
    <row r="594" spans="1:13" x14ac:dyDescent="0.3">
      <c r="A594" s="46" t="s">
        <v>1364</v>
      </c>
      <c r="B594" s="46" t="s">
        <v>79</v>
      </c>
      <c r="C594" s="46" t="s">
        <v>66</v>
      </c>
      <c r="D594" s="46" t="s">
        <v>28</v>
      </c>
      <c r="E594" s="46" t="s">
        <v>290</v>
      </c>
      <c r="F594" s="46" t="s">
        <v>69</v>
      </c>
      <c r="G594" s="46">
        <v>46</v>
      </c>
      <c r="H594" s="46" t="s">
        <v>6645</v>
      </c>
      <c r="I594" s="46" t="s">
        <v>40</v>
      </c>
      <c r="J594" s="47">
        <v>45044</v>
      </c>
      <c r="K594" s="46" t="s">
        <v>87</v>
      </c>
      <c r="L594" s="48">
        <v>31043</v>
      </c>
      <c r="M594" s="49">
        <v>0</v>
      </c>
    </row>
    <row r="595" spans="1:13" x14ac:dyDescent="0.3">
      <c r="A595" s="46" t="s">
        <v>1367</v>
      </c>
      <c r="B595" s="46" t="s">
        <v>6628</v>
      </c>
      <c r="C595" s="46" t="s">
        <v>189</v>
      </c>
      <c r="D595" s="46" t="s">
        <v>74</v>
      </c>
      <c r="E595" s="46" t="s">
        <v>75</v>
      </c>
      <c r="F595" s="46" t="s">
        <v>30</v>
      </c>
      <c r="G595" s="46">
        <v>37</v>
      </c>
      <c r="H595" s="46" t="s">
        <v>6645</v>
      </c>
      <c r="I595" s="46" t="s">
        <v>20</v>
      </c>
      <c r="J595" s="47">
        <v>45354</v>
      </c>
      <c r="K595" s="46" t="s">
        <v>72</v>
      </c>
      <c r="L595" s="48">
        <v>16209</v>
      </c>
      <c r="M595" s="49">
        <v>5</v>
      </c>
    </row>
    <row r="596" spans="1:13" x14ac:dyDescent="0.3">
      <c r="A596" s="46" t="s">
        <v>1369</v>
      </c>
      <c r="B596" s="46" t="s">
        <v>118</v>
      </c>
      <c r="C596" s="46" t="s">
        <v>189</v>
      </c>
      <c r="D596" s="46" t="s">
        <v>17</v>
      </c>
      <c r="E596" s="46" t="s">
        <v>135</v>
      </c>
      <c r="F596" s="46" t="s">
        <v>30</v>
      </c>
      <c r="G596" s="46">
        <v>40</v>
      </c>
      <c r="H596" s="46" t="s">
        <v>6645</v>
      </c>
      <c r="I596" s="46" t="s">
        <v>20</v>
      </c>
      <c r="J596" s="47">
        <v>45357</v>
      </c>
      <c r="K596" s="46" t="s">
        <v>72</v>
      </c>
      <c r="L596" s="48">
        <v>6479</v>
      </c>
      <c r="M596" s="49">
        <v>0</v>
      </c>
    </row>
    <row r="597" spans="1:13" x14ac:dyDescent="0.3">
      <c r="A597" s="46" t="s">
        <v>1371</v>
      </c>
      <c r="B597" s="46" t="s">
        <v>6629</v>
      </c>
      <c r="C597" s="46" t="s">
        <v>55</v>
      </c>
      <c r="D597" s="46" t="s">
        <v>47</v>
      </c>
      <c r="E597" s="46" t="s">
        <v>48</v>
      </c>
      <c r="F597" s="46" t="s">
        <v>30</v>
      </c>
      <c r="G597" s="46">
        <v>88</v>
      </c>
      <c r="H597" s="46" t="s">
        <v>6643</v>
      </c>
      <c r="I597" s="46" t="s">
        <v>20</v>
      </c>
      <c r="J597" s="47">
        <v>45258</v>
      </c>
      <c r="K597" s="46" t="s">
        <v>72</v>
      </c>
      <c r="L597" s="48">
        <v>8067</v>
      </c>
      <c r="M597" s="49">
        <v>0</v>
      </c>
    </row>
    <row r="598" spans="1:13" x14ac:dyDescent="0.3">
      <c r="A598" s="46" t="s">
        <v>1372</v>
      </c>
      <c r="B598" s="46" t="s">
        <v>79</v>
      </c>
      <c r="C598" s="46" t="s">
        <v>66</v>
      </c>
      <c r="D598" s="46" t="s">
        <v>47</v>
      </c>
      <c r="E598" s="46" t="s">
        <v>48</v>
      </c>
      <c r="F598" s="46" t="s">
        <v>30</v>
      </c>
      <c r="G598" s="46">
        <v>7</v>
      </c>
      <c r="H598" s="46" t="s">
        <v>6644</v>
      </c>
      <c r="I598" s="46" t="s">
        <v>20</v>
      </c>
      <c r="J598" s="47">
        <v>45335</v>
      </c>
      <c r="K598" s="46" t="s">
        <v>104</v>
      </c>
      <c r="L598" s="48">
        <v>18665</v>
      </c>
      <c r="M598" s="49">
        <v>0</v>
      </c>
    </row>
    <row r="599" spans="1:13" x14ac:dyDescent="0.3">
      <c r="A599" s="46" t="s">
        <v>1373</v>
      </c>
      <c r="B599" s="46" t="s">
        <v>6627</v>
      </c>
      <c r="C599" s="46" t="s">
        <v>55</v>
      </c>
      <c r="D599" s="46" t="s">
        <v>67</v>
      </c>
      <c r="E599" s="46" t="s">
        <v>68</v>
      </c>
      <c r="F599" s="46" t="s">
        <v>30</v>
      </c>
      <c r="G599" s="46">
        <v>58</v>
      </c>
      <c r="H599" s="46" t="s">
        <v>6645</v>
      </c>
      <c r="I599" s="46" t="s">
        <v>20</v>
      </c>
      <c r="J599" s="47">
        <v>45201</v>
      </c>
      <c r="K599" s="46" t="s">
        <v>91</v>
      </c>
      <c r="L599" s="48">
        <v>6112</v>
      </c>
      <c r="M599" s="49">
        <v>10</v>
      </c>
    </row>
    <row r="600" spans="1:13" x14ac:dyDescent="0.3">
      <c r="A600" s="46" t="s">
        <v>1375</v>
      </c>
      <c r="B600" s="46" t="s">
        <v>79</v>
      </c>
      <c r="C600" s="46" t="s">
        <v>55</v>
      </c>
      <c r="D600" s="46" t="s">
        <v>28</v>
      </c>
      <c r="E600" s="46" t="s">
        <v>268</v>
      </c>
      <c r="F600" s="46" t="s">
        <v>30</v>
      </c>
      <c r="G600" s="46">
        <v>61</v>
      </c>
      <c r="H600" s="46" t="s">
        <v>6643</v>
      </c>
      <c r="I600" s="46" t="s">
        <v>40</v>
      </c>
      <c r="J600" s="47">
        <v>45349</v>
      </c>
      <c r="K600" s="46" t="s">
        <v>87</v>
      </c>
      <c r="L600" s="48">
        <v>16947</v>
      </c>
      <c r="M600" s="49">
        <v>0</v>
      </c>
    </row>
    <row r="601" spans="1:13" x14ac:dyDescent="0.3">
      <c r="A601" s="46" t="s">
        <v>1376</v>
      </c>
      <c r="B601" s="46" t="s">
        <v>6627</v>
      </c>
      <c r="C601" s="46" t="s">
        <v>80</v>
      </c>
      <c r="D601" s="46" t="s">
        <v>93</v>
      </c>
      <c r="E601" s="46" t="s">
        <v>207</v>
      </c>
      <c r="F601" s="46" t="s">
        <v>6632</v>
      </c>
      <c r="G601" s="46">
        <v>56</v>
      </c>
      <c r="H601" s="46" t="s">
        <v>6645</v>
      </c>
      <c r="I601" s="46" t="s">
        <v>40</v>
      </c>
      <c r="J601" s="47">
        <v>44981</v>
      </c>
      <c r="K601" s="46" t="s">
        <v>72</v>
      </c>
      <c r="L601" s="48">
        <v>7058</v>
      </c>
      <c r="M601" s="49">
        <v>10</v>
      </c>
    </row>
    <row r="602" spans="1:13" x14ac:dyDescent="0.3">
      <c r="A602" s="46" t="s">
        <v>1377</v>
      </c>
      <c r="B602" s="46" t="s">
        <v>6627</v>
      </c>
      <c r="C602" s="46" t="s">
        <v>80</v>
      </c>
      <c r="D602" s="46" t="s">
        <v>17</v>
      </c>
      <c r="E602" s="46" t="s">
        <v>135</v>
      </c>
      <c r="F602" s="46" t="s">
        <v>69</v>
      </c>
      <c r="G602" s="46">
        <v>76</v>
      </c>
      <c r="H602" s="46" t="s">
        <v>6643</v>
      </c>
      <c r="I602" s="46" t="s">
        <v>40</v>
      </c>
      <c r="J602" s="47">
        <v>45195</v>
      </c>
      <c r="K602" s="46" t="s">
        <v>104</v>
      </c>
      <c r="L602" s="48">
        <v>71568</v>
      </c>
      <c r="M602" s="49">
        <v>18</v>
      </c>
    </row>
    <row r="603" spans="1:13" x14ac:dyDescent="0.3">
      <c r="A603" s="46" t="s">
        <v>1378</v>
      </c>
      <c r="B603" s="46" t="s">
        <v>118</v>
      </c>
      <c r="C603" s="46" t="s">
        <v>27</v>
      </c>
      <c r="D603" s="46" t="s">
        <v>17</v>
      </c>
      <c r="E603" s="46" t="s">
        <v>213</v>
      </c>
      <c r="F603" s="46" t="s">
        <v>30</v>
      </c>
      <c r="G603" s="46">
        <v>34</v>
      </c>
      <c r="H603" s="46" t="s">
        <v>6645</v>
      </c>
      <c r="I603" s="46" t="s">
        <v>20</v>
      </c>
      <c r="J603" s="47">
        <v>45104</v>
      </c>
      <c r="K603" s="46" t="s">
        <v>97</v>
      </c>
      <c r="L603" s="48">
        <v>18990</v>
      </c>
      <c r="M603" s="49">
        <v>3</v>
      </c>
    </row>
    <row r="604" spans="1:13" x14ac:dyDescent="0.3">
      <c r="A604" s="46" t="s">
        <v>1380</v>
      </c>
      <c r="B604" s="46" t="s">
        <v>6627</v>
      </c>
      <c r="C604" s="46" t="s">
        <v>61</v>
      </c>
      <c r="D604" s="46" t="s">
        <v>164</v>
      </c>
      <c r="E604" s="46" t="s">
        <v>282</v>
      </c>
      <c r="F604" s="46" t="s">
        <v>69</v>
      </c>
      <c r="G604" s="46">
        <v>72</v>
      </c>
      <c r="H604" s="46" t="s">
        <v>6643</v>
      </c>
      <c r="I604" s="46" t="s">
        <v>20</v>
      </c>
      <c r="J604" s="47">
        <v>45232</v>
      </c>
      <c r="K604" s="46" t="s">
        <v>87</v>
      </c>
      <c r="L604" s="48">
        <v>59786</v>
      </c>
      <c r="M604" s="49">
        <v>0</v>
      </c>
    </row>
    <row r="605" spans="1:13" x14ac:dyDescent="0.3">
      <c r="A605" s="46" t="s">
        <v>1383</v>
      </c>
      <c r="B605" s="46" t="s">
        <v>118</v>
      </c>
      <c r="C605" s="46" t="s">
        <v>66</v>
      </c>
      <c r="D605" s="46" t="s">
        <v>67</v>
      </c>
      <c r="E605" s="46" t="s">
        <v>196</v>
      </c>
      <c r="F605" s="46" t="s">
        <v>30</v>
      </c>
      <c r="G605" s="46">
        <v>48</v>
      </c>
      <c r="H605" s="46" t="s">
        <v>6645</v>
      </c>
      <c r="I605" s="46" t="s">
        <v>40</v>
      </c>
      <c r="J605" s="47">
        <v>45227</v>
      </c>
      <c r="K605" s="46" t="s">
        <v>104</v>
      </c>
      <c r="L605" s="48">
        <v>14493</v>
      </c>
      <c r="M605" s="49">
        <v>20</v>
      </c>
    </row>
    <row r="606" spans="1:13" x14ac:dyDescent="0.3">
      <c r="A606" s="46" t="s">
        <v>1386</v>
      </c>
      <c r="B606" s="46" t="s">
        <v>118</v>
      </c>
      <c r="C606" s="46" t="s">
        <v>61</v>
      </c>
      <c r="D606" s="46" t="s">
        <v>67</v>
      </c>
      <c r="E606" s="46" t="s">
        <v>196</v>
      </c>
      <c r="F606" s="46" t="s">
        <v>30</v>
      </c>
      <c r="G606" s="46">
        <v>89</v>
      </c>
      <c r="H606" s="46" t="s">
        <v>6643</v>
      </c>
      <c r="I606" s="46" t="s">
        <v>40</v>
      </c>
      <c r="J606" s="47">
        <v>45340</v>
      </c>
      <c r="K606" s="46" t="s">
        <v>97</v>
      </c>
      <c r="L606" s="48">
        <v>11712</v>
      </c>
      <c r="M606" s="49">
        <v>0</v>
      </c>
    </row>
    <row r="607" spans="1:13" x14ac:dyDescent="0.3">
      <c r="A607" s="46" t="s">
        <v>1387</v>
      </c>
      <c r="B607" s="46" t="s">
        <v>6626</v>
      </c>
      <c r="C607" s="46" t="s">
        <v>55</v>
      </c>
      <c r="D607" s="46" t="s">
        <v>74</v>
      </c>
      <c r="E607" s="46" t="s">
        <v>147</v>
      </c>
      <c r="F607" s="46" t="s">
        <v>30</v>
      </c>
      <c r="G607" s="46">
        <v>17</v>
      </c>
      <c r="H607" s="46" t="s">
        <v>6646</v>
      </c>
      <c r="I607" s="46" t="s">
        <v>40</v>
      </c>
      <c r="J607" s="47">
        <v>45037</v>
      </c>
      <c r="K607" s="46" t="s">
        <v>72</v>
      </c>
      <c r="L607" s="48">
        <v>16844</v>
      </c>
      <c r="M607" s="49">
        <v>0</v>
      </c>
    </row>
    <row r="608" spans="1:13" x14ac:dyDescent="0.3">
      <c r="A608" s="46" t="s">
        <v>1389</v>
      </c>
      <c r="B608" s="46" t="s">
        <v>6629</v>
      </c>
      <c r="C608" s="46" t="s">
        <v>80</v>
      </c>
      <c r="D608" s="46" t="s">
        <v>17</v>
      </c>
      <c r="E608" s="46" t="s">
        <v>18</v>
      </c>
      <c r="F608" s="46" t="s">
        <v>30</v>
      </c>
      <c r="G608" s="46">
        <v>71</v>
      </c>
      <c r="H608" s="46" t="s">
        <v>6643</v>
      </c>
      <c r="I608" s="46" t="s">
        <v>20</v>
      </c>
      <c r="J608" s="47">
        <v>44996</v>
      </c>
      <c r="K608" s="46" t="s">
        <v>97</v>
      </c>
      <c r="L608" s="48">
        <v>5883</v>
      </c>
      <c r="M608" s="49">
        <v>10</v>
      </c>
    </row>
    <row r="609" spans="1:13" x14ac:dyDescent="0.3">
      <c r="A609" s="46" t="s">
        <v>1390</v>
      </c>
      <c r="B609" s="46" t="s">
        <v>118</v>
      </c>
      <c r="C609" s="46" t="s">
        <v>61</v>
      </c>
      <c r="D609" s="46" t="s">
        <v>74</v>
      </c>
      <c r="E609" s="46" t="s">
        <v>192</v>
      </c>
      <c r="F609" s="46" t="s">
        <v>69</v>
      </c>
      <c r="G609" s="46">
        <v>13</v>
      </c>
      <c r="H609" s="46" t="s">
        <v>6646</v>
      </c>
      <c r="I609" s="46" t="s">
        <v>20</v>
      </c>
      <c r="J609" s="47">
        <v>45383</v>
      </c>
      <c r="K609" s="46" t="s">
        <v>87</v>
      </c>
      <c r="L609" s="48">
        <v>32515</v>
      </c>
      <c r="M609" s="49">
        <v>5</v>
      </c>
    </row>
    <row r="610" spans="1:13" x14ac:dyDescent="0.3">
      <c r="A610" s="46" t="s">
        <v>1391</v>
      </c>
      <c r="B610" s="46" t="s">
        <v>6629</v>
      </c>
      <c r="C610" s="46" t="s">
        <v>27</v>
      </c>
      <c r="D610" s="46" t="s">
        <v>164</v>
      </c>
      <c r="E610" s="46" t="s">
        <v>233</v>
      </c>
      <c r="F610" s="46" t="s">
        <v>69</v>
      </c>
      <c r="G610" s="46">
        <v>52</v>
      </c>
      <c r="H610" s="46" t="s">
        <v>6645</v>
      </c>
      <c r="I610" s="46" t="s">
        <v>20</v>
      </c>
      <c r="J610" s="47">
        <v>45042</v>
      </c>
      <c r="K610" s="46" t="s">
        <v>104</v>
      </c>
      <c r="L610" s="48">
        <v>20526</v>
      </c>
      <c r="M610" s="49">
        <v>5</v>
      </c>
    </row>
    <row r="611" spans="1:13" x14ac:dyDescent="0.3">
      <c r="A611" s="46" t="s">
        <v>1394</v>
      </c>
      <c r="B611" s="46" t="s">
        <v>6628</v>
      </c>
      <c r="C611" s="46" t="s">
        <v>80</v>
      </c>
      <c r="D611" s="46" t="s">
        <v>17</v>
      </c>
      <c r="E611" s="46" t="s">
        <v>135</v>
      </c>
      <c r="F611" s="46" t="s">
        <v>30</v>
      </c>
      <c r="G611" s="46">
        <v>84</v>
      </c>
      <c r="H611" s="46" t="s">
        <v>6643</v>
      </c>
      <c r="I611" s="46" t="s">
        <v>20</v>
      </c>
      <c r="J611" s="47">
        <v>45151</v>
      </c>
      <c r="K611" s="46" t="s">
        <v>72</v>
      </c>
      <c r="L611" s="48">
        <v>18921</v>
      </c>
      <c r="M611" s="49">
        <v>3</v>
      </c>
    </row>
    <row r="612" spans="1:13" x14ac:dyDescent="0.3">
      <c r="A612" s="46" t="s">
        <v>1395</v>
      </c>
      <c r="B612" s="46" t="s">
        <v>6629</v>
      </c>
      <c r="C612" s="46" t="s">
        <v>189</v>
      </c>
      <c r="D612" s="46" t="s">
        <v>28</v>
      </c>
      <c r="E612" s="46" t="s">
        <v>268</v>
      </c>
      <c r="F612" s="46" t="s">
        <v>6632</v>
      </c>
      <c r="G612" s="46">
        <v>16</v>
      </c>
      <c r="H612" s="46" t="s">
        <v>6646</v>
      </c>
      <c r="I612" s="46" t="s">
        <v>40</v>
      </c>
      <c r="J612" s="47">
        <v>45287</v>
      </c>
      <c r="K612" s="46" t="s">
        <v>72</v>
      </c>
      <c r="L612" s="48">
        <v>7864</v>
      </c>
      <c r="M612" s="49">
        <v>3</v>
      </c>
    </row>
    <row r="613" spans="1:13" x14ac:dyDescent="0.3">
      <c r="A613" s="46" t="s">
        <v>1398</v>
      </c>
      <c r="B613" s="46" t="s">
        <v>6627</v>
      </c>
      <c r="C613" s="46" t="s">
        <v>55</v>
      </c>
      <c r="D613" s="46" t="s">
        <v>164</v>
      </c>
      <c r="E613" s="46" t="s">
        <v>233</v>
      </c>
      <c r="F613" s="46" t="s">
        <v>30</v>
      </c>
      <c r="G613" s="46">
        <v>50</v>
      </c>
      <c r="H613" s="46" t="s">
        <v>6645</v>
      </c>
      <c r="I613" s="46" t="s">
        <v>40</v>
      </c>
      <c r="J613" s="47">
        <v>45092</v>
      </c>
      <c r="K613" s="46" t="s">
        <v>87</v>
      </c>
      <c r="L613" s="48">
        <v>9727</v>
      </c>
      <c r="M613" s="49">
        <v>10</v>
      </c>
    </row>
    <row r="614" spans="1:13" x14ac:dyDescent="0.3">
      <c r="A614" s="46" t="s">
        <v>1400</v>
      </c>
      <c r="B614" s="46" t="s">
        <v>6626</v>
      </c>
      <c r="C614" s="46" t="s">
        <v>55</v>
      </c>
      <c r="D614" s="46" t="s">
        <v>99</v>
      </c>
      <c r="E614" s="46" t="s">
        <v>372</v>
      </c>
      <c r="F614" s="46" t="s">
        <v>30</v>
      </c>
      <c r="G614" s="46">
        <v>68</v>
      </c>
      <c r="H614" s="46" t="s">
        <v>6643</v>
      </c>
      <c r="I614" s="46" t="s">
        <v>40</v>
      </c>
      <c r="J614" s="47">
        <v>45131</v>
      </c>
      <c r="K614" s="46" t="s">
        <v>72</v>
      </c>
      <c r="L614" s="48">
        <v>18718</v>
      </c>
      <c r="M614" s="49">
        <v>0</v>
      </c>
    </row>
    <row r="615" spans="1:13" x14ac:dyDescent="0.3">
      <c r="A615" s="46" t="s">
        <v>1401</v>
      </c>
      <c r="B615" s="46" t="s">
        <v>118</v>
      </c>
      <c r="C615" s="46" t="s">
        <v>80</v>
      </c>
      <c r="D615" s="46" t="s">
        <v>164</v>
      </c>
      <c r="E615" s="46" t="s">
        <v>219</v>
      </c>
      <c r="F615" s="46" t="s">
        <v>30</v>
      </c>
      <c r="G615" s="46">
        <v>69</v>
      </c>
      <c r="H615" s="46" t="s">
        <v>6643</v>
      </c>
      <c r="I615" s="46" t="s">
        <v>20</v>
      </c>
      <c r="J615" s="47">
        <v>45213</v>
      </c>
      <c r="K615" s="46" t="s">
        <v>87</v>
      </c>
      <c r="L615" s="48">
        <v>2989</v>
      </c>
      <c r="M615" s="49">
        <v>3</v>
      </c>
    </row>
    <row r="616" spans="1:13" x14ac:dyDescent="0.3">
      <c r="A616" s="46" t="s">
        <v>1404</v>
      </c>
      <c r="B616" s="46" t="s">
        <v>6628</v>
      </c>
      <c r="C616" s="46" t="s">
        <v>61</v>
      </c>
      <c r="D616" s="46" t="s">
        <v>99</v>
      </c>
      <c r="E616" s="46" t="s">
        <v>100</v>
      </c>
      <c r="F616" s="46" t="s">
        <v>30</v>
      </c>
      <c r="G616" s="46">
        <v>2</v>
      </c>
      <c r="H616" s="46" t="s">
        <v>6644</v>
      </c>
      <c r="I616" s="46" t="s">
        <v>40</v>
      </c>
      <c r="J616" s="47">
        <v>44981</v>
      </c>
      <c r="K616" s="46" t="s">
        <v>6632</v>
      </c>
      <c r="L616" s="48">
        <v>16848</v>
      </c>
      <c r="M616" s="49">
        <v>4</v>
      </c>
    </row>
    <row r="617" spans="1:13" x14ac:dyDescent="0.3">
      <c r="A617" s="46" t="s">
        <v>1405</v>
      </c>
      <c r="B617" s="46" t="s">
        <v>6629</v>
      </c>
      <c r="C617" s="46" t="s">
        <v>66</v>
      </c>
      <c r="D617" s="46" t="s">
        <v>93</v>
      </c>
      <c r="E617" s="46" t="s">
        <v>94</v>
      </c>
      <c r="F617" s="46" t="s">
        <v>30</v>
      </c>
      <c r="G617" s="46">
        <v>62</v>
      </c>
      <c r="H617" s="46" t="s">
        <v>6643</v>
      </c>
      <c r="I617" s="46" t="s">
        <v>20</v>
      </c>
      <c r="J617" s="47">
        <v>44962</v>
      </c>
      <c r="K617" s="46" t="s">
        <v>87</v>
      </c>
      <c r="L617" s="48">
        <v>9857</v>
      </c>
      <c r="M617" s="49">
        <v>0</v>
      </c>
    </row>
    <row r="618" spans="1:13" x14ac:dyDescent="0.3">
      <c r="A618" s="46" t="s">
        <v>1407</v>
      </c>
      <c r="B618" s="46" t="s">
        <v>6626</v>
      </c>
      <c r="C618" s="46" t="s">
        <v>27</v>
      </c>
      <c r="D618" s="46" t="s">
        <v>28</v>
      </c>
      <c r="E618" s="46" t="s">
        <v>268</v>
      </c>
      <c r="F618" s="46" t="s">
        <v>30</v>
      </c>
      <c r="G618" s="46">
        <v>68</v>
      </c>
      <c r="H618" s="46" t="s">
        <v>6643</v>
      </c>
      <c r="I618" s="46" t="s">
        <v>20</v>
      </c>
      <c r="J618" s="47">
        <v>45104</v>
      </c>
      <c r="K618" s="46" t="s">
        <v>104</v>
      </c>
      <c r="L618" s="48">
        <v>13309</v>
      </c>
      <c r="M618" s="49">
        <v>19</v>
      </c>
    </row>
    <row r="619" spans="1:13" x14ac:dyDescent="0.3">
      <c r="A619" s="46" t="s">
        <v>1409</v>
      </c>
      <c r="B619" s="46" t="s">
        <v>6629</v>
      </c>
      <c r="C619" s="46" t="s">
        <v>55</v>
      </c>
      <c r="D619" s="46" t="s">
        <v>67</v>
      </c>
      <c r="E619" s="46" t="s">
        <v>68</v>
      </c>
      <c r="F619" s="46" t="s">
        <v>30</v>
      </c>
      <c r="G619" s="46">
        <v>66</v>
      </c>
      <c r="H619" s="46" t="s">
        <v>6643</v>
      </c>
      <c r="I619" s="46" t="s">
        <v>40</v>
      </c>
      <c r="J619" s="47">
        <v>45217</v>
      </c>
      <c r="K619" s="46" t="s">
        <v>104</v>
      </c>
      <c r="L619" s="48">
        <v>13067</v>
      </c>
      <c r="M619" s="49">
        <v>15</v>
      </c>
    </row>
    <row r="620" spans="1:13" x14ac:dyDescent="0.3">
      <c r="A620" s="46" t="s">
        <v>1411</v>
      </c>
      <c r="B620" s="46" t="s">
        <v>6627</v>
      </c>
      <c r="C620" s="46" t="s">
        <v>27</v>
      </c>
      <c r="D620" s="46" t="s">
        <v>164</v>
      </c>
      <c r="E620" s="46" t="s">
        <v>233</v>
      </c>
      <c r="F620" s="46" t="s">
        <v>30</v>
      </c>
      <c r="G620" s="46">
        <v>48</v>
      </c>
      <c r="H620" s="46" t="s">
        <v>6645</v>
      </c>
      <c r="I620" s="46" t="s">
        <v>20</v>
      </c>
      <c r="J620" s="47">
        <v>45322</v>
      </c>
      <c r="K620" s="46" t="s">
        <v>87</v>
      </c>
      <c r="L620" s="48">
        <v>6642</v>
      </c>
      <c r="M620" s="49">
        <v>5</v>
      </c>
    </row>
    <row r="621" spans="1:13" x14ac:dyDescent="0.3">
      <c r="A621" s="46" t="s">
        <v>1412</v>
      </c>
      <c r="B621" s="46" t="s">
        <v>6629</v>
      </c>
      <c r="C621" s="46" t="s">
        <v>66</v>
      </c>
      <c r="D621" s="46" t="s">
        <v>164</v>
      </c>
      <c r="E621" s="46" t="s">
        <v>233</v>
      </c>
      <c r="F621" s="46" t="s">
        <v>69</v>
      </c>
      <c r="G621" s="46">
        <v>81</v>
      </c>
      <c r="H621" s="46" t="s">
        <v>6643</v>
      </c>
      <c r="I621" s="46" t="s">
        <v>40</v>
      </c>
      <c r="J621" s="47">
        <v>45143</v>
      </c>
      <c r="K621" s="46" t="s">
        <v>72</v>
      </c>
      <c r="L621" s="48">
        <v>12407</v>
      </c>
      <c r="M621" s="49">
        <v>10</v>
      </c>
    </row>
    <row r="622" spans="1:13" x14ac:dyDescent="0.3">
      <c r="A622" s="46" t="s">
        <v>1413</v>
      </c>
      <c r="B622" s="46" t="s">
        <v>118</v>
      </c>
      <c r="C622" s="46" t="s">
        <v>61</v>
      </c>
      <c r="D622" s="46" t="s">
        <v>164</v>
      </c>
      <c r="E622" s="46" t="s">
        <v>282</v>
      </c>
      <c r="F622" s="46" t="s">
        <v>30</v>
      </c>
      <c r="G622" s="46">
        <v>60</v>
      </c>
      <c r="H622" s="46" t="s">
        <v>6643</v>
      </c>
      <c r="I622" s="46" t="s">
        <v>40</v>
      </c>
      <c r="J622" s="47">
        <v>45153</v>
      </c>
      <c r="K622" s="46" t="s">
        <v>72</v>
      </c>
      <c r="L622" s="48">
        <v>13096</v>
      </c>
      <c r="M622" s="49">
        <v>5</v>
      </c>
    </row>
    <row r="623" spans="1:13" x14ac:dyDescent="0.3">
      <c r="A623" s="46" t="s">
        <v>1414</v>
      </c>
      <c r="B623" s="46" t="s">
        <v>6629</v>
      </c>
      <c r="C623" s="46" t="s">
        <v>36</v>
      </c>
      <c r="D623" s="46" t="s">
        <v>74</v>
      </c>
      <c r="E623" s="46" t="s">
        <v>172</v>
      </c>
      <c r="F623" s="46" t="s">
        <v>69</v>
      </c>
      <c r="G623" s="46">
        <v>14</v>
      </c>
      <c r="H623" s="46" t="s">
        <v>6646</v>
      </c>
      <c r="I623" s="46" t="s">
        <v>40</v>
      </c>
      <c r="J623" s="47">
        <v>45075</v>
      </c>
      <c r="K623" s="46" t="s">
        <v>97</v>
      </c>
      <c r="L623" s="48">
        <v>47978</v>
      </c>
      <c r="M623" s="49">
        <v>5</v>
      </c>
    </row>
    <row r="624" spans="1:13" x14ac:dyDescent="0.3">
      <c r="A624" s="46" t="s">
        <v>1416</v>
      </c>
      <c r="B624" s="46" t="s">
        <v>79</v>
      </c>
      <c r="C624" s="46" t="s">
        <v>189</v>
      </c>
      <c r="D624" s="46" t="s">
        <v>99</v>
      </c>
      <c r="E624" s="46" t="s">
        <v>151</v>
      </c>
      <c r="F624" s="46" t="s">
        <v>30</v>
      </c>
      <c r="G624" s="46">
        <v>46</v>
      </c>
      <c r="H624" s="46" t="s">
        <v>6645</v>
      </c>
      <c r="I624" s="46" t="s">
        <v>20</v>
      </c>
      <c r="J624" s="47">
        <v>45180</v>
      </c>
      <c r="K624" s="46" t="s">
        <v>72</v>
      </c>
      <c r="L624" s="48">
        <v>18447</v>
      </c>
      <c r="M624" s="49">
        <v>0</v>
      </c>
    </row>
    <row r="625" spans="1:13" x14ac:dyDescent="0.3">
      <c r="A625" s="46" t="s">
        <v>1417</v>
      </c>
      <c r="B625" s="46" t="s">
        <v>118</v>
      </c>
      <c r="C625" s="46" t="s">
        <v>16</v>
      </c>
      <c r="D625" s="46" t="s">
        <v>93</v>
      </c>
      <c r="E625" s="46" t="s">
        <v>144</v>
      </c>
      <c r="F625" s="46" t="s">
        <v>30</v>
      </c>
      <c r="G625" s="46">
        <v>20</v>
      </c>
      <c r="H625" s="46" t="s">
        <v>6645</v>
      </c>
      <c r="I625" s="46" t="s">
        <v>20</v>
      </c>
      <c r="J625" s="47">
        <v>45361</v>
      </c>
      <c r="K625" s="46" t="s">
        <v>91</v>
      </c>
      <c r="L625" s="48">
        <v>8935</v>
      </c>
      <c r="M625" s="49">
        <v>0</v>
      </c>
    </row>
    <row r="626" spans="1:13" x14ac:dyDescent="0.3">
      <c r="A626" s="46" t="s">
        <v>1419</v>
      </c>
      <c r="B626" s="46" t="s">
        <v>6628</v>
      </c>
      <c r="C626" s="46" t="s">
        <v>16</v>
      </c>
      <c r="D626" s="46" t="s">
        <v>93</v>
      </c>
      <c r="E626" s="46" t="s">
        <v>144</v>
      </c>
      <c r="F626" s="46" t="s">
        <v>30</v>
      </c>
      <c r="G626" s="46">
        <v>53</v>
      </c>
      <c r="H626" s="46" t="s">
        <v>6645</v>
      </c>
      <c r="I626" s="46" t="s">
        <v>40</v>
      </c>
      <c r="J626" s="47">
        <v>44986</v>
      </c>
      <c r="K626" s="46" t="s">
        <v>97</v>
      </c>
      <c r="L626" s="48">
        <v>18301</v>
      </c>
      <c r="M626" s="49">
        <v>0</v>
      </c>
    </row>
    <row r="627" spans="1:13" x14ac:dyDescent="0.3">
      <c r="A627" s="46" t="s">
        <v>1421</v>
      </c>
      <c r="B627" s="46" t="s">
        <v>6628</v>
      </c>
      <c r="C627" s="46" t="s">
        <v>27</v>
      </c>
      <c r="D627" s="46" t="s">
        <v>47</v>
      </c>
      <c r="E627" s="46" t="s">
        <v>364</v>
      </c>
      <c r="F627" s="46" t="s">
        <v>30</v>
      </c>
      <c r="G627" s="46">
        <v>90</v>
      </c>
      <c r="H627" s="46" t="s">
        <v>6643</v>
      </c>
      <c r="I627" s="46" t="s">
        <v>40</v>
      </c>
      <c r="J627" s="47">
        <v>45282</v>
      </c>
      <c r="K627" s="46" t="s">
        <v>91</v>
      </c>
      <c r="L627" s="48">
        <v>5221</v>
      </c>
      <c r="M627" s="49">
        <v>0</v>
      </c>
    </row>
    <row r="628" spans="1:13" x14ac:dyDescent="0.3">
      <c r="A628" s="46" t="s">
        <v>1423</v>
      </c>
      <c r="B628" s="46" t="s">
        <v>79</v>
      </c>
      <c r="C628" s="46" t="s">
        <v>61</v>
      </c>
      <c r="D628" s="46" t="s">
        <v>93</v>
      </c>
      <c r="E628" s="46" t="s">
        <v>121</v>
      </c>
      <c r="F628" s="46" t="s">
        <v>30</v>
      </c>
      <c r="G628" s="46">
        <v>59</v>
      </c>
      <c r="H628" s="46" t="s">
        <v>6645</v>
      </c>
      <c r="I628" s="46" t="s">
        <v>20</v>
      </c>
      <c r="J628" s="47">
        <v>45397</v>
      </c>
      <c r="K628" s="46" t="s">
        <v>104</v>
      </c>
      <c r="L628" s="48">
        <v>9966</v>
      </c>
      <c r="M628" s="49">
        <v>35</v>
      </c>
    </row>
    <row r="629" spans="1:13" x14ac:dyDescent="0.3">
      <c r="A629" s="46" t="s">
        <v>1425</v>
      </c>
      <c r="B629" s="46" t="s">
        <v>118</v>
      </c>
      <c r="C629" s="46" t="s">
        <v>16</v>
      </c>
      <c r="D629" s="46" t="s">
        <v>99</v>
      </c>
      <c r="E629" s="46" t="s">
        <v>151</v>
      </c>
      <c r="F629" s="46" t="s">
        <v>69</v>
      </c>
      <c r="G629" s="46">
        <v>28</v>
      </c>
      <c r="H629" s="46" t="s">
        <v>6645</v>
      </c>
      <c r="I629" s="46" t="s">
        <v>40</v>
      </c>
      <c r="J629" s="47">
        <v>45072</v>
      </c>
      <c r="K629" s="46" t="s">
        <v>97</v>
      </c>
      <c r="L629" s="48">
        <v>67553</v>
      </c>
      <c r="M629" s="49">
        <v>10</v>
      </c>
    </row>
    <row r="630" spans="1:13" x14ac:dyDescent="0.3">
      <c r="A630" s="46" t="s">
        <v>1426</v>
      </c>
      <c r="B630" s="46" t="s">
        <v>6627</v>
      </c>
      <c r="C630" s="46" t="s">
        <v>55</v>
      </c>
      <c r="D630" s="46" t="s">
        <v>37</v>
      </c>
      <c r="E630" s="46" t="s">
        <v>56</v>
      </c>
      <c r="F630" s="46" t="s">
        <v>6632</v>
      </c>
      <c r="G630" s="46">
        <v>57</v>
      </c>
      <c r="H630" s="46" t="s">
        <v>6645</v>
      </c>
      <c r="I630" s="46" t="s">
        <v>20</v>
      </c>
      <c r="J630" s="47">
        <v>45306</v>
      </c>
      <c r="K630" s="46" t="s">
        <v>87</v>
      </c>
      <c r="L630" s="48">
        <v>10494</v>
      </c>
      <c r="M630" s="49">
        <v>5</v>
      </c>
    </row>
    <row r="631" spans="1:13" x14ac:dyDescent="0.3">
      <c r="A631" s="46" t="s">
        <v>1428</v>
      </c>
      <c r="B631" s="46" t="s">
        <v>6627</v>
      </c>
      <c r="C631" s="46" t="s">
        <v>80</v>
      </c>
      <c r="D631" s="46" t="s">
        <v>108</v>
      </c>
      <c r="E631" s="46" t="s">
        <v>109</v>
      </c>
      <c r="F631" s="46" t="s">
        <v>30</v>
      </c>
      <c r="G631" s="46">
        <v>67</v>
      </c>
      <c r="H631" s="46" t="s">
        <v>6643</v>
      </c>
      <c r="I631" s="46" t="s">
        <v>40</v>
      </c>
      <c r="J631" s="47">
        <v>45316</v>
      </c>
      <c r="K631" s="46" t="s">
        <v>104</v>
      </c>
      <c r="L631" s="48">
        <v>4741</v>
      </c>
      <c r="M631" s="49">
        <v>35</v>
      </c>
    </row>
    <row r="632" spans="1:13" x14ac:dyDescent="0.3">
      <c r="A632" s="46" t="s">
        <v>1431</v>
      </c>
      <c r="B632" s="46" t="s">
        <v>6628</v>
      </c>
      <c r="C632" s="46" t="s">
        <v>16</v>
      </c>
      <c r="D632" s="46" t="s">
        <v>37</v>
      </c>
      <c r="E632" s="46" t="s">
        <v>185</v>
      </c>
      <c r="F632" s="46" t="s">
        <v>30</v>
      </c>
      <c r="G632" s="46">
        <v>74</v>
      </c>
      <c r="H632" s="46" t="s">
        <v>6643</v>
      </c>
      <c r="I632" s="46" t="s">
        <v>20</v>
      </c>
      <c r="J632" s="47">
        <v>45283</v>
      </c>
      <c r="K632" s="46" t="s">
        <v>87</v>
      </c>
      <c r="L632" s="48">
        <v>14990</v>
      </c>
      <c r="M632" s="49">
        <v>5</v>
      </c>
    </row>
    <row r="633" spans="1:13" x14ac:dyDescent="0.3">
      <c r="A633" s="46" t="s">
        <v>1434</v>
      </c>
      <c r="B633" s="46" t="s">
        <v>118</v>
      </c>
      <c r="C633" s="46" t="s">
        <v>36</v>
      </c>
      <c r="D633" s="46" t="s">
        <v>164</v>
      </c>
      <c r="E633" s="46" t="s">
        <v>282</v>
      </c>
      <c r="F633" s="46" t="s">
        <v>30</v>
      </c>
      <c r="G633" s="46">
        <v>58</v>
      </c>
      <c r="H633" s="46" t="s">
        <v>6645</v>
      </c>
      <c r="I633" s="46" t="s">
        <v>20</v>
      </c>
      <c r="J633" s="47">
        <v>45146</v>
      </c>
      <c r="K633" s="46" t="s">
        <v>87</v>
      </c>
      <c r="L633" s="48">
        <v>13373</v>
      </c>
      <c r="M633" s="49">
        <v>0</v>
      </c>
    </row>
    <row r="634" spans="1:13" x14ac:dyDescent="0.3">
      <c r="A634" s="46" t="s">
        <v>1436</v>
      </c>
      <c r="B634" s="46" t="s">
        <v>6626</v>
      </c>
      <c r="C634" s="46" t="s">
        <v>189</v>
      </c>
      <c r="D634" s="46" t="s">
        <v>37</v>
      </c>
      <c r="E634" s="46" t="s">
        <v>56</v>
      </c>
      <c r="F634" s="46" t="s">
        <v>30</v>
      </c>
      <c r="G634" s="46">
        <v>54</v>
      </c>
      <c r="H634" s="46" t="s">
        <v>6645</v>
      </c>
      <c r="I634" s="46" t="s">
        <v>40</v>
      </c>
      <c r="J634" s="47">
        <v>45405</v>
      </c>
      <c r="K634" s="46" t="s">
        <v>104</v>
      </c>
      <c r="L634" s="48">
        <v>5231</v>
      </c>
      <c r="M634" s="49">
        <v>18</v>
      </c>
    </row>
    <row r="635" spans="1:13" x14ac:dyDescent="0.3">
      <c r="A635" s="46" t="s">
        <v>1438</v>
      </c>
      <c r="B635" s="46" t="s">
        <v>6628</v>
      </c>
      <c r="C635" s="46" t="s">
        <v>189</v>
      </c>
      <c r="D635" s="46" t="s">
        <v>164</v>
      </c>
      <c r="E635" s="46" t="s">
        <v>219</v>
      </c>
      <c r="F635" s="46" t="s">
        <v>30</v>
      </c>
      <c r="G635" s="46">
        <v>71</v>
      </c>
      <c r="H635" s="46" t="s">
        <v>6643</v>
      </c>
      <c r="I635" s="46" t="s">
        <v>40</v>
      </c>
      <c r="J635" s="47">
        <v>45306</v>
      </c>
      <c r="K635" s="46" t="s">
        <v>72</v>
      </c>
      <c r="L635" s="48">
        <v>19597</v>
      </c>
      <c r="M635" s="49">
        <v>0</v>
      </c>
    </row>
    <row r="636" spans="1:13" x14ac:dyDescent="0.3">
      <c r="A636" s="46" t="s">
        <v>1440</v>
      </c>
      <c r="B636" s="46" t="s">
        <v>6626</v>
      </c>
      <c r="C636" s="46" t="s">
        <v>55</v>
      </c>
      <c r="D636" s="46" t="s">
        <v>47</v>
      </c>
      <c r="E636" s="46" t="s">
        <v>175</v>
      </c>
      <c r="F636" s="46" t="s">
        <v>30</v>
      </c>
      <c r="G636" s="46">
        <v>31</v>
      </c>
      <c r="H636" s="46" t="s">
        <v>6645</v>
      </c>
      <c r="I636" s="46" t="s">
        <v>40</v>
      </c>
      <c r="J636" s="47">
        <v>45049</v>
      </c>
      <c r="K636" s="46" t="s">
        <v>72</v>
      </c>
      <c r="L636" s="48">
        <v>12646</v>
      </c>
      <c r="M636" s="49">
        <v>5</v>
      </c>
    </row>
    <row r="637" spans="1:13" x14ac:dyDescent="0.3">
      <c r="A637" s="46" t="s">
        <v>1441</v>
      </c>
      <c r="B637" s="46" t="s">
        <v>6629</v>
      </c>
      <c r="C637" s="46" t="s">
        <v>61</v>
      </c>
      <c r="D637" s="46" t="s">
        <v>108</v>
      </c>
      <c r="E637" s="46" t="s">
        <v>308</v>
      </c>
      <c r="F637" s="46" t="s">
        <v>30</v>
      </c>
      <c r="G637" s="46">
        <v>56</v>
      </c>
      <c r="H637" s="46" t="s">
        <v>6645</v>
      </c>
      <c r="I637" s="46" t="s">
        <v>20</v>
      </c>
      <c r="J637" s="47">
        <v>45401</v>
      </c>
      <c r="K637" s="46" t="s">
        <v>72</v>
      </c>
      <c r="L637" s="48">
        <v>10538</v>
      </c>
      <c r="M637" s="49">
        <v>0</v>
      </c>
    </row>
    <row r="638" spans="1:13" x14ac:dyDescent="0.3">
      <c r="A638" s="46" t="s">
        <v>1443</v>
      </c>
      <c r="B638" s="46" t="s">
        <v>6627</v>
      </c>
      <c r="C638" s="46" t="s">
        <v>189</v>
      </c>
      <c r="D638" s="46" t="s">
        <v>164</v>
      </c>
      <c r="E638" s="46" t="s">
        <v>165</v>
      </c>
      <c r="F638" s="46" t="s">
        <v>30</v>
      </c>
      <c r="G638" s="46">
        <v>34</v>
      </c>
      <c r="H638" s="46" t="s">
        <v>6645</v>
      </c>
      <c r="I638" s="46" t="s">
        <v>40</v>
      </c>
      <c r="J638" s="47">
        <v>45171</v>
      </c>
      <c r="K638" s="46" t="s">
        <v>6632</v>
      </c>
      <c r="L638" s="48">
        <v>15053</v>
      </c>
      <c r="M638" s="49">
        <v>20</v>
      </c>
    </row>
    <row r="639" spans="1:13" x14ac:dyDescent="0.3">
      <c r="A639" s="46" t="s">
        <v>1445</v>
      </c>
      <c r="B639" s="46" t="s">
        <v>118</v>
      </c>
      <c r="C639" s="46" t="s">
        <v>55</v>
      </c>
      <c r="D639" s="46" t="s">
        <v>17</v>
      </c>
      <c r="E639" s="46" t="s">
        <v>135</v>
      </c>
      <c r="F639" s="46" t="s">
        <v>30</v>
      </c>
      <c r="G639" s="46">
        <v>54</v>
      </c>
      <c r="H639" s="46" t="s">
        <v>6645</v>
      </c>
      <c r="I639" s="46" t="s">
        <v>40</v>
      </c>
      <c r="J639" s="47">
        <v>45025</v>
      </c>
      <c r="K639" s="46" t="s">
        <v>97</v>
      </c>
      <c r="L639" s="48">
        <v>4719</v>
      </c>
      <c r="M639" s="49">
        <v>0</v>
      </c>
    </row>
    <row r="640" spans="1:13" x14ac:dyDescent="0.3">
      <c r="A640" s="46" t="s">
        <v>1447</v>
      </c>
      <c r="B640" s="46" t="s">
        <v>6629</v>
      </c>
      <c r="C640" s="46" t="s">
        <v>80</v>
      </c>
      <c r="D640" s="46" t="s">
        <v>17</v>
      </c>
      <c r="E640" s="46" t="s">
        <v>18</v>
      </c>
      <c r="F640" s="46" t="s">
        <v>30</v>
      </c>
      <c r="G640" s="46">
        <v>85</v>
      </c>
      <c r="H640" s="46" t="s">
        <v>6643</v>
      </c>
      <c r="I640" s="46" t="s">
        <v>40</v>
      </c>
      <c r="J640" s="47">
        <v>45316</v>
      </c>
      <c r="K640" s="46" t="s">
        <v>91</v>
      </c>
      <c r="L640" s="48">
        <v>16451</v>
      </c>
      <c r="M640" s="49">
        <v>5</v>
      </c>
    </row>
    <row r="641" spans="1:13" x14ac:dyDescent="0.3">
      <c r="A641" s="46" t="s">
        <v>1448</v>
      </c>
      <c r="B641" s="46" t="s">
        <v>6628</v>
      </c>
      <c r="C641" s="46" t="s">
        <v>66</v>
      </c>
      <c r="D641" s="46" t="s">
        <v>17</v>
      </c>
      <c r="E641" s="46" t="s">
        <v>135</v>
      </c>
      <c r="F641" s="46" t="s">
        <v>30</v>
      </c>
      <c r="G641" s="46">
        <v>4</v>
      </c>
      <c r="H641" s="46" t="s">
        <v>6644</v>
      </c>
      <c r="I641" s="46" t="s">
        <v>40</v>
      </c>
      <c r="J641" s="47">
        <v>45104</v>
      </c>
      <c r="K641" s="46" t="s">
        <v>87</v>
      </c>
      <c r="L641" s="48">
        <v>10195</v>
      </c>
      <c r="M641" s="49">
        <v>3</v>
      </c>
    </row>
    <row r="642" spans="1:13" x14ac:dyDescent="0.3">
      <c r="A642" s="46" t="s">
        <v>1450</v>
      </c>
      <c r="B642" s="46" t="s">
        <v>6629</v>
      </c>
      <c r="C642" s="46" t="s">
        <v>61</v>
      </c>
      <c r="D642" s="46" t="s">
        <v>17</v>
      </c>
      <c r="E642" s="46" t="s">
        <v>169</v>
      </c>
      <c r="F642" s="46" t="s">
        <v>30</v>
      </c>
      <c r="G642" s="46">
        <v>37</v>
      </c>
      <c r="H642" s="46" t="s">
        <v>6645</v>
      </c>
      <c r="I642" s="46" t="s">
        <v>20</v>
      </c>
      <c r="J642" s="47">
        <v>45388</v>
      </c>
      <c r="K642" s="46" t="s">
        <v>72</v>
      </c>
      <c r="L642" s="48">
        <v>4964</v>
      </c>
      <c r="M642" s="49">
        <v>0</v>
      </c>
    </row>
    <row r="643" spans="1:13" x14ac:dyDescent="0.3">
      <c r="A643" s="46" t="s">
        <v>1451</v>
      </c>
      <c r="B643" s="46" t="s">
        <v>6627</v>
      </c>
      <c r="C643" s="46" t="s">
        <v>189</v>
      </c>
      <c r="D643" s="46" t="s">
        <v>93</v>
      </c>
      <c r="E643" s="46" t="s">
        <v>207</v>
      </c>
      <c r="F643" s="46" t="s">
        <v>30</v>
      </c>
      <c r="G643" s="46">
        <v>23</v>
      </c>
      <c r="H643" s="46" t="s">
        <v>6645</v>
      </c>
      <c r="I643" s="46" t="s">
        <v>20</v>
      </c>
      <c r="J643" s="47">
        <v>45329</v>
      </c>
      <c r="K643" s="46" t="s">
        <v>72</v>
      </c>
      <c r="L643" s="48">
        <v>18395</v>
      </c>
      <c r="M643" s="49">
        <v>0</v>
      </c>
    </row>
    <row r="644" spans="1:13" x14ac:dyDescent="0.3">
      <c r="A644" s="46" t="s">
        <v>1453</v>
      </c>
      <c r="B644" s="46" t="s">
        <v>6626</v>
      </c>
      <c r="C644" s="46" t="s">
        <v>61</v>
      </c>
      <c r="D644" s="46" t="s">
        <v>74</v>
      </c>
      <c r="E644" s="46" t="s">
        <v>147</v>
      </c>
      <c r="F644" s="46" t="s">
        <v>30</v>
      </c>
      <c r="G644" s="46">
        <v>46</v>
      </c>
      <c r="H644" s="46" t="s">
        <v>6645</v>
      </c>
      <c r="I644" s="46" t="s">
        <v>20</v>
      </c>
      <c r="J644" s="47">
        <v>45226</v>
      </c>
      <c r="K644" s="46" t="s">
        <v>72</v>
      </c>
      <c r="L644" s="48">
        <v>9925</v>
      </c>
      <c r="M644" s="49">
        <v>3</v>
      </c>
    </row>
    <row r="645" spans="1:13" x14ac:dyDescent="0.3">
      <c r="A645" s="46" t="s">
        <v>1454</v>
      </c>
      <c r="B645" s="46" t="s">
        <v>79</v>
      </c>
      <c r="C645" s="46" t="s">
        <v>61</v>
      </c>
      <c r="D645" s="46" t="s">
        <v>17</v>
      </c>
      <c r="E645" s="46" t="s">
        <v>135</v>
      </c>
      <c r="F645" s="46" t="s">
        <v>30</v>
      </c>
      <c r="G645" s="46">
        <v>42</v>
      </c>
      <c r="H645" s="46" t="s">
        <v>6645</v>
      </c>
      <c r="I645" s="46" t="s">
        <v>20</v>
      </c>
      <c r="J645" s="47">
        <v>45334</v>
      </c>
      <c r="K645" s="46" t="s">
        <v>104</v>
      </c>
      <c r="L645" s="48">
        <v>13472</v>
      </c>
      <c r="M645" s="49">
        <v>18</v>
      </c>
    </row>
    <row r="646" spans="1:13" x14ac:dyDescent="0.3">
      <c r="A646" s="46" t="s">
        <v>1457</v>
      </c>
      <c r="B646" s="46" t="s">
        <v>6627</v>
      </c>
      <c r="C646" s="46" t="s">
        <v>80</v>
      </c>
      <c r="D646" s="46" t="s">
        <v>108</v>
      </c>
      <c r="E646" s="46" t="s">
        <v>109</v>
      </c>
      <c r="F646" s="46" t="s">
        <v>69</v>
      </c>
      <c r="G646" s="46">
        <v>48</v>
      </c>
      <c r="H646" s="46" t="s">
        <v>6645</v>
      </c>
      <c r="I646" s="46" t="s">
        <v>40</v>
      </c>
      <c r="J646" s="47">
        <v>44936</v>
      </c>
      <c r="K646" s="46" t="s">
        <v>97</v>
      </c>
      <c r="L646" s="48">
        <v>75859</v>
      </c>
      <c r="M646" s="49">
        <v>0</v>
      </c>
    </row>
    <row r="647" spans="1:13" x14ac:dyDescent="0.3">
      <c r="A647" s="46" t="s">
        <v>1458</v>
      </c>
      <c r="B647" s="46" t="s">
        <v>6626</v>
      </c>
      <c r="C647" s="46" t="s">
        <v>16</v>
      </c>
      <c r="D647" s="46" t="s">
        <v>47</v>
      </c>
      <c r="E647" s="46" t="s">
        <v>48</v>
      </c>
      <c r="F647" s="46" t="s">
        <v>30</v>
      </c>
      <c r="G647" s="46">
        <v>53</v>
      </c>
      <c r="H647" s="46" t="s">
        <v>6645</v>
      </c>
      <c r="I647" s="46" t="s">
        <v>20</v>
      </c>
      <c r="J647" s="47">
        <v>45141</v>
      </c>
      <c r="K647" s="46" t="s">
        <v>87</v>
      </c>
      <c r="L647" s="48">
        <v>7866</v>
      </c>
      <c r="M647" s="49">
        <v>0</v>
      </c>
    </row>
    <row r="648" spans="1:13" x14ac:dyDescent="0.3">
      <c r="A648" s="46" t="s">
        <v>1461</v>
      </c>
      <c r="B648" s="46" t="s">
        <v>6628</v>
      </c>
      <c r="C648" s="46" t="s">
        <v>61</v>
      </c>
      <c r="D648" s="46" t="s">
        <v>47</v>
      </c>
      <c r="E648" s="46" t="s">
        <v>364</v>
      </c>
      <c r="F648" s="46" t="s">
        <v>69</v>
      </c>
      <c r="G648" s="46">
        <v>89</v>
      </c>
      <c r="H648" s="46" t="s">
        <v>6643</v>
      </c>
      <c r="I648" s="46" t="s">
        <v>20</v>
      </c>
      <c r="J648" s="47">
        <v>45217</v>
      </c>
      <c r="K648" s="46" t="s">
        <v>72</v>
      </c>
      <c r="L648" s="48">
        <v>65103</v>
      </c>
      <c r="M648" s="49">
        <v>3</v>
      </c>
    </row>
    <row r="649" spans="1:13" x14ac:dyDescent="0.3">
      <c r="A649" s="46" t="s">
        <v>1463</v>
      </c>
      <c r="B649" s="46" t="s">
        <v>6626</v>
      </c>
      <c r="C649" s="46" t="s">
        <v>189</v>
      </c>
      <c r="D649" s="46" t="s">
        <v>37</v>
      </c>
      <c r="E649" s="46" t="s">
        <v>38</v>
      </c>
      <c r="F649" s="46" t="s">
        <v>30</v>
      </c>
      <c r="G649" s="46">
        <v>84</v>
      </c>
      <c r="H649" s="46" t="s">
        <v>6643</v>
      </c>
      <c r="I649" s="46" t="s">
        <v>40</v>
      </c>
      <c r="J649" s="47">
        <v>44927</v>
      </c>
      <c r="K649" s="46" t="s">
        <v>104</v>
      </c>
      <c r="L649" s="48">
        <v>5697</v>
      </c>
      <c r="M649" s="49">
        <v>15</v>
      </c>
    </row>
    <row r="650" spans="1:13" x14ac:dyDescent="0.3">
      <c r="A650" s="46" t="s">
        <v>1465</v>
      </c>
      <c r="B650" s="46" t="s">
        <v>79</v>
      </c>
      <c r="C650" s="46" t="s">
        <v>66</v>
      </c>
      <c r="D650" s="46" t="s">
        <v>99</v>
      </c>
      <c r="E650" s="46" t="s">
        <v>372</v>
      </c>
      <c r="F650" s="46" t="s">
        <v>6632</v>
      </c>
      <c r="G650" s="46">
        <v>78</v>
      </c>
      <c r="H650" s="46" t="s">
        <v>6643</v>
      </c>
      <c r="I650" s="46" t="s">
        <v>40</v>
      </c>
      <c r="J650" s="47">
        <v>45156</v>
      </c>
      <c r="K650" s="46" t="s">
        <v>104</v>
      </c>
      <c r="L650" s="48">
        <v>71992</v>
      </c>
      <c r="M650" s="49">
        <v>19</v>
      </c>
    </row>
    <row r="651" spans="1:13" x14ac:dyDescent="0.3">
      <c r="A651" s="46" t="s">
        <v>1467</v>
      </c>
      <c r="B651" s="46" t="s">
        <v>6627</v>
      </c>
      <c r="C651" s="46" t="s">
        <v>61</v>
      </c>
      <c r="D651" s="46" t="s">
        <v>99</v>
      </c>
      <c r="E651" s="46" t="s">
        <v>100</v>
      </c>
      <c r="F651" s="46" t="s">
        <v>69</v>
      </c>
      <c r="G651" s="46">
        <v>35</v>
      </c>
      <c r="H651" s="46" t="s">
        <v>6645</v>
      </c>
      <c r="I651" s="46" t="s">
        <v>40</v>
      </c>
      <c r="J651" s="47">
        <v>45117</v>
      </c>
      <c r="K651" s="46" t="s">
        <v>72</v>
      </c>
      <c r="L651" s="48">
        <v>50369</v>
      </c>
      <c r="M651" s="49">
        <v>10</v>
      </c>
    </row>
    <row r="652" spans="1:13" x14ac:dyDescent="0.3">
      <c r="A652" s="46" t="s">
        <v>1468</v>
      </c>
      <c r="B652" s="46" t="s">
        <v>6629</v>
      </c>
      <c r="C652" s="46" t="s">
        <v>27</v>
      </c>
      <c r="D652" s="46" t="s">
        <v>47</v>
      </c>
      <c r="E652" s="46" t="s">
        <v>364</v>
      </c>
      <c r="F652" s="46" t="s">
        <v>69</v>
      </c>
      <c r="G652" s="46">
        <v>75</v>
      </c>
      <c r="H652" s="46" t="s">
        <v>6643</v>
      </c>
      <c r="I652" s="46" t="s">
        <v>40</v>
      </c>
      <c r="J652" s="47">
        <v>45193</v>
      </c>
      <c r="K652" s="46" t="s">
        <v>97</v>
      </c>
      <c r="L652" s="48">
        <v>68211</v>
      </c>
      <c r="M652" s="49">
        <v>0</v>
      </c>
    </row>
    <row r="653" spans="1:13" x14ac:dyDescent="0.3">
      <c r="A653" s="46" t="s">
        <v>1470</v>
      </c>
      <c r="B653" s="46" t="s">
        <v>79</v>
      </c>
      <c r="C653" s="46" t="s">
        <v>66</v>
      </c>
      <c r="D653" s="46" t="s">
        <v>28</v>
      </c>
      <c r="E653" s="46" t="s">
        <v>268</v>
      </c>
      <c r="F653" s="46" t="s">
        <v>30</v>
      </c>
      <c r="G653" s="46">
        <v>70</v>
      </c>
      <c r="H653" s="46" t="s">
        <v>6643</v>
      </c>
      <c r="I653" s="46" t="s">
        <v>20</v>
      </c>
      <c r="J653" s="47">
        <v>45338</v>
      </c>
      <c r="K653" s="46" t="s">
        <v>72</v>
      </c>
      <c r="L653" s="48">
        <v>3209</v>
      </c>
      <c r="M653" s="49">
        <v>3</v>
      </c>
    </row>
    <row r="654" spans="1:13" x14ac:dyDescent="0.3">
      <c r="A654" s="46" t="s">
        <v>1471</v>
      </c>
      <c r="B654" s="46" t="s">
        <v>79</v>
      </c>
      <c r="C654" s="46" t="s">
        <v>80</v>
      </c>
      <c r="D654" s="46" t="s">
        <v>28</v>
      </c>
      <c r="E654" s="46" t="s">
        <v>268</v>
      </c>
      <c r="F654" s="46" t="s">
        <v>69</v>
      </c>
      <c r="G654" s="46">
        <v>61</v>
      </c>
      <c r="H654" s="46" t="s">
        <v>6643</v>
      </c>
      <c r="I654" s="46" t="s">
        <v>20</v>
      </c>
      <c r="J654" s="47">
        <v>44969</v>
      </c>
      <c r="K654" s="46" t="s">
        <v>72</v>
      </c>
      <c r="L654" s="48">
        <v>49056</v>
      </c>
      <c r="M654" s="49">
        <v>0</v>
      </c>
    </row>
    <row r="655" spans="1:13" x14ac:dyDescent="0.3">
      <c r="A655" s="46" t="s">
        <v>1474</v>
      </c>
      <c r="B655" s="46" t="s">
        <v>6628</v>
      </c>
      <c r="C655" s="46" t="s">
        <v>55</v>
      </c>
      <c r="D655" s="46" t="s">
        <v>164</v>
      </c>
      <c r="E655" s="46" t="s">
        <v>165</v>
      </c>
      <c r="F655" s="46" t="s">
        <v>69</v>
      </c>
      <c r="G655" s="46">
        <v>28</v>
      </c>
      <c r="H655" s="46" t="s">
        <v>6645</v>
      </c>
      <c r="I655" s="46" t="s">
        <v>20</v>
      </c>
      <c r="J655" s="47">
        <v>45404</v>
      </c>
      <c r="K655" s="46" t="s">
        <v>104</v>
      </c>
      <c r="L655" s="48">
        <v>44027</v>
      </c>
      <c r="M655" s="49">
        <v>20</v>
      </c>
    </row>
    <row r="656" spans="1:13" x14ac:dyDescent="0.3">
      <c r="A656" s="46" t="s">
        <v>1476</v>
      </c>
      <c r="B656" s="46" t="s">
        <v>6628</v>
      </c>
      <c r="C656" s="46" t="s">
        <v>61</v>
      </c>
      <c r="D656" s="46" t="s">
        <v>28</v>
      </c>
      <c r="E656" s="46" t="s">
        <v>268</v>
      </c>
      <c r="F656" s="46" t="s">
        <v>30</v>
      </c>
      <c r="G656" s="46">
        <v>30</v>
      </c>
      <c r="H656" s="46" t="s">
        <v>6645</v>
      </c>
      <c r="I656" s="46" t="s">
        <v>20</v>
      </c>
      <c r="J656" s="47">
        <v>44978</v>
      </c>
      <c r="K656" s="46" t="s">
        <v>72</v>
      </c>
      <c r="L656" s="48">
        <v>5349</v>
      </c>
      <c r="M656" s="49">
        <v>0</v>
      </c>
    </row>
    <row r="657" spans="1:13" x14ac:dyDescent="0.3">
      <c r="A657" s="46" t="s">
        <v>1477</v>
      </c>
      <c r="B657" s="46" t="s">
        <v>118</v>
      </c>
      <c r="C657" s="46" t="s">
        <v>61</v>
      </c>
      <c r="D657" s="46" t="s">
        <v>164</v>
      </c>
      <c r="E657" s="46" t="s">
        <v>165</v>
      </c>
      <c r="F657" s="46" t="s">
        <v>69</v>
      </c>
      <c r="G657" s="46">
        <v>78</v>
      </c>
      <c r="H657" s="46" t="s">
        <v>6643</v>
      </c>
      <c r="I657" s="46" t="s">
        <v>20</v>
      </c>
      <c r="J657" s="47">
        <v>44975</v>
      </c>
      <c r="K657" s="46" t="s">
        <v>72</v>
      </c>
      <c r="L657" s="48">
        <v>44279</v>
      </c>
      <c r="M657" s="49">
        <v>0</v>
      </c>
    </row>
    <row r="658" spans="1:13" x14ac:dyDescent="0.3">
      <c r="A658" s="46" t="s">
        <v>1478</v>
      </c>
      <c r="B658" s="46" t="s">
        <v>79</v>
      </c>
      <c r="C658" s="46" t="s">
        <v>36</v>
      </c>
      <c r="D658" s="46" t="s">
        <v>93</v>
      </c>
      <c r="E658" s="46" t="s">
        <v>144</v>
      </c>
      <c r="F658" s="46" t="s">
        <v>6632</v>
      </c>
      <c r="G658" s="46">
        <v>40</v>
      </c>
      <c r="H658" s="46" t="s">
        <v>6645</v>
      </c>
      <c r="I658" s="46" t="s">
        <v>40</v>
      </c>
      <c r="J658" s="47">
        <v>45245</v>
      </c>
      <c r="K658" s="46" t="s">
        <v>72</v>
      </c>
      <c r="L658" s="48">
        <v>6960</v>
      </c>
      <c r="M658" s="49">
        <v>0</v>
      </c>
    </row>
    <row r="659" spans="1:13" x14ac:dyDescent="0.3">
      <c r="A659" s="46" t="s">
        <v>1480</v>
      </c>
      <c r="B659" s="46" t="s">
        <v>6626</v>
      </c>
      <c r="C659" s="46" t="s">
        <v>80</v>
      </c>
      <c r="D659" s="46" t="s">
        <v>108</v>
      </c>
      <c r="E659" s="46" t="s">
        <v>272</v>
      </c>
      <c r="F659" s="46" t="s">
        <v>30</v>
      </c>
      <c r="G659" s="46">
        <v>39</v>
      </c>
      <c r="H659" s="46" t="s">
        <v>6645</v>
      </c>
      <c r="I659" s="46" t="s">
        <v>40</v>
      </c>
      <c r="J659" s="47">
        <v>45089</v>
      </c>
      <c r="K659" s="46" t="s">
        <v>72</v>
      </c>
      <c r="L659" s="48">
        <v>11177</v>
      </c>
      <c r="M659" s="49">
        <v>0</v>
      </c>
    </row>
    <row r="660" spans="1:13" x14ac:dyDescent="0.3">
      <c r="A660" s="46" t="s">
        <v>1481</v>
      </c>
      <c r="B660" s="46" t="s">
        <v>6629</v>
      </c>
      <c r="C660" s="46" t="s">
        <v>16</v>
      </c>
      <c r="D660" s="46" t="s">
        <v>67</v>
      </c>
      <c r="E660" s="46" t="s">
        <v>89</v>
      </c>
      <c r="F660" s="46" t="s">
        <v>30</v>
      </c>
      <c r="G660" s="46">
        <v>52</v>
      </c>
      <c r="H660" s="46" t="s">
        <v>6645</v>
      </c>
      <c r="I660" s="46" t="s">
        <v>20</v>
      </c>
      <c r="J660" s="47">
        <v>44963</v>
      </c>
      <c r="K660" s="46" t="s">
        <v>91</v>
      </c>
      <c r="L660" s="48">
        <v>7574</v>
      </c>
      <c r="M660" s="49">
        <v>10</v>
      </c>
    </row>
    <row r="661" spans="1:13" x14ac:dyDescent="0.3">
      <c r="A661" s="46" t="s">
        <v>1483</v>
      </c>
      <c r="B661" s="46" t="s">
        <v>6628</v>
      </c>
      <c r="C661" s="46" t="s">
        <v>66</v>
      </c>
      <c r="D661" s="46" t="s">
        <v>164</v>
      </c>
      <c r="E661" s="46" t="s">
        <v>165</v>
      </c>
      <c r="F661" s="46" t="s">
        <v>30</v>
      </c>
      <c r="G661" s="46">
        <v>56</v>
      </c>
      <c r="H661" s="46" t="s">
        <v>6645</v>
      </c>
      <c r="I661" s="46" t="s">
        <v>40</v>
      </c>
      <c r="J661" s="47">
        <v>45100</v>
      </c>
      <c r="K661" s="46" t="s">
        <v>104</v>
      </c>
      <c r="L661" s="48">
        <v>3587</v>
      </c>
      <c r="M661" s="49">
        <v>40</v>
      </c>
    </row>
    <row r="662" spans="1:13" x14ac:dyDescent="0.3">
      <c r="A662" s="46" t="s">
        <v>1485</v>
      </c>
      <c r="B662" s="46" t="s">
        <v>118</v>
      </c>
      <c r="C662" s="46" t="s">
        <v>36</v>
      </c>
      <c r="D662" s="46" t="s">
        <v>74</v>
      </c>
      <c r="E662" s="46" t="s">
        <v>192</v>
      </c>
      <c r="F662" s="46" t="s">
        <v>30</v>
      </c>
      <c r="G662" s="46">
        <v>71</v>
      </c>
      <c r="H662" s="46" t="s">
        <v>6643</v>
      </c>
      <c r="I662" s="46" t="s">
        <v>20</v>
      </c>
      <c r="J662" s="47">
        <v>45078</v>
      </c>
      <c r="K662" s="46" t="s">
        <v>72</v>
      </c>
      <c r="L662" s="48">
        <v>8851</v>
      </c>
      <c r="M662" s="49">
        <v>0</v>
      </c>
    </row>
    <row r="663" spans="1:13" x14ac:dyDescent="0.3">
      <c r="A663" s="46" t="s">
        <v>1486</v>
      </c>
      <c r="B663" s="46" t="s">
        <v>79</v>
      </c>
      <c r="C663" s="46" t="s">
        <v>27</v>
      </c>
      <c r="D663" s="46" t="s">
        <v>28</v>
      </c>
      <c r="E663" s="46" t="s">
        <v>290</v>
      </c>
      <c r="F663" s="46" t="s">
        <v>30</v>
      </c>
      <c r="G663" s="46">
        <v>87</v>
      </c>
      <c r="H663" s="46" t="s">
        <v>6643</v>
      </c>
      <c r="I663" s="46" t="s">
        <v>20</v>
      </c>
      <c r="J663" s="47">
        <v>45137</v>
      </c>
      <c r="K663" s="46" t="s">
        <v>72</v>
      </c>
      <c r="L663" s="48">
        <v>3331</v>
      </c>
      <c r="M663" s="49">
        <v>10</v>
      </c>
    </row>
    <row r="664" spans="1:13" x14ac:dyDescent="0.3">
      <c r="A664" s="46" t="s">
        <v>1487</v>
      </c>
      <c r="B664" s="46" t="s">
        <v>6629</v>
      </c>
      <c r="C664" s="46" t="s">
        <v>80</v>
      </c>
      <c r="D664" s="46" t="s">
        <v>74</v>
      </c>
      <c r="E664" s="46" t="s">
        <v>192</v>
      </c>
      <c r="F664" s="46" t="s">
        <v>30</v>
      </c>
      <c r="G664" s="46">
        <v>43</v>
      </c>
      <c r="H664" s="46" t="s">
        <v>6645</v>
      </c>
      <c r="I664" s="46" t="s">
        <v>20</v>
      </c>
      <c r="J664" s="47">
        <v>45096</v>
      </c>
      <c r="K664" s="46" t="s">
        <v>72</v>
      </c>
      <c r="L664" s="48">
        <v>12079</v>
      </c>
      <c r="M664" s="49">
        <v>0</v>
      </c>
    </row>
    <row r="665" spans="1:13" x14ac:dyDescent="0.3">
      <c r="A665" s="46" t="s">
        <v>1490</v>
      </c>
      <c r="B665" s="46" t="s">
        <v>6627</v>
      </c>
      <c r="C665" s="46" t="s">
        <v>61</v>
      </c>
      <c r="D665" s="46" t="s">
        <v>93</v>
      </c>
      <c r="E665" s="46" t="s">
        <v>121</v>
      </c>
      <c r="F665" s="46" t="s">
        <v>30</v>
      </c>
      <c r="G665" s="46">
        <v>62</v>
      </c>
      <c r="H665" s="46" t="s">
        <v>6643</v>
      </c>
      <c r="I665" s="46" t="s">
        <v>20</v>
      </c>
      <c r="J665" s="47">
        <v>44939</v>
      </c>
      <c r="K665" s="46" t="s">
        <v>72</v>
      </c>
      <c r="L665" s="48">
        <v>4403</v>
      </c>
      <c r="M665" s="49">
        <v>0</v>
      </c>
    </row>
    <row r="666" spans="1:13" x14ac:dyDescent="0.3">
      <c r="A666" s="46" t="s">
        <v>1491</v>
      </c>
      <c r="B666" s="46" t="s">
        <v>6626</v>
      </c>
      <c r="C666" s="46" t="s">
        <v>189</v>
      </c>
      <c r="D666" s="46" t="s">
        <v>67</v>
      </c>
      <c r="E666" s="46" t="s">
        <v>85</v>
      </c>
      <c r="F666" s="46" t="s">
        <v>30</v>
      </c>
      <c r="G666" s="46">
        <v>46</v>
      </c>
      <c r="H666" s="46" t="s">
        <v>6645</v>
      </c>
      <c r="I666" s="46" t="s">
        <v>20</v>
      </c>
      <c r="J666" s="47">
        <v>45008</v>
      </c>
      <c r="K666" s="46" t="s">
        <v>87</v>
      </c>
      <c r="L666" s="48">
        <v>13956</v>
      </c>
      <c r="M666" s="49">
        <v>0</v>
      </c>
    </row>
    <row r="667" spans="1:13" x14ac:dyDescent="0.3">
      <c r="A667" s="46" t="s">
        <v>1492</v>
      </c>
      <c r="B667" s="46" t="s">
        <v>79</v>
      </c>
      <c r="C667" s="46" t="s">
        <v>66</v>
      </c>
      <c r="D667" s="46" t="s">
        <v>17</v>
      </c>
      <c r="E667" s="46" t="s">
        <v>135</v>
      </c>
      <c r="F667" s="46" t="s">
        <v>30</v>
      </c>
      <c r="G667" s="46">
        <v>66</v>
      </c>
      <c r="H667" s="46" t="s">
        <v>6643</v>
      </c>
      <c r="I667" s="46" t="s">
        <v>20</v>
      </c>
      <c r="J667" s="47">
        <v>45177</v>
      </c>
      <c r="K667" s="46" t="s">
        <v>87</v>
      </c>
      <c r="L667" s="48">
        <v>19595</v>
      </c>
      <c r="M667" s="49">
        <v>0</v>
      </c>
    </row>
    <row r="668" spans="1:13" x14ac:dyDescent="0.3">
      <c r="A668" s="46" t="s">
        <v>1494</v>
      </c>
      <c r="B668" s="46" t="s">
        <v>6627</v>
      </c>
      <c r="C668" s="46" t="s">
        <v>36</v>
      </c>
      <c r="D668" s="46" t="s">
        <v>74</v>
      </c>
      <c r="E668" s="46" t="s">
        <v>172</v>
      </c>
      <c r="F668" s="46" t="s">
        <v>30</v>
      </c>
      <c r="G668" s="46">
        <v>66</v>
      </c>
      <c r="H668" s="46" t="s">
        <v>6643</v>
      </c>
      <c r="I668" s="46" t="s">
        <v>20</v>
      </c>
      <c r="J668" s="47">
        <v>45185</v>
      </c>
      <c r="K668" s="46" t="s">
        <v>87</v>
      </c>
      <c r="L668" s="48">
        <v>8616</v>
      </c>
      <c r="M668" s="49">
        <v>0</v>
      </c>
    </row>
    <row r="669" spans="1:13" x14ac:dyDescent="0.3">
      <c r="A669" s="46" t="s">
        <v>1496</v>
      </c>
      <c r="B669" s="46" t="s">
        <v>6628</v>
      </c>
      <c r="C669" s="46" t="s">
        <v>66</v>
      </c>
      <c r="D669" s="46" t="s">
        <v>28</v>
      </c>
      <c r="E669" s="46" t="s">
        <v>290</v>
      </c>
      <c r="F669" s="46" t="s">
        <v>30</v>
      </c>
      <c r="G669" s="46">
        <v>24</v>
      </c>
      <c r="H669" s="46" t="s">
        <v>6645</v>
      </c>
      <c r="I669" s="46" t="s">
        <v>20</v>
      </c>
      <c r="J669" s="47">
        <v>45026</v>
      </c>
      <c r="K669" s="46" t="s">
        <v>97</v>
      </c>
      <c r="L669" s="48">
        <v>9620</v>
      </c>
      <c r="M669" s="49">
        <v>5</v>
      </c>
    </row>
    <row r="670" spans="1:13" x14ac:dyDescent="0.3">
      <c r="A670" s="46" t="s">
        <v>1499</v>
      </c>
      <c r="B670" s="46" t="s">
        <v>6629</v>
      </c>
      <c r="C670" s="46" t="s">
        <v>36</v>
      </c>
      <c r="D670" s="46" t="s">
        <v>17</v>
      </c>
      <c r="E670" s="46" t="s">
        <v>169</v>
      </c>
      <c r="F670" s="46" t="s">
        <v>30</v>
      </c>
      <c r="G670" s="46">
        <v>29</v>
      </c>
      <c r="H670" s="46" t="s">
        <v>6645</v>
      </c>
      <c r="I670" s="46" t="s">
        <v>20</v>
      </c>
      <c r="J670" s="47">
        <v>44946</v>
      </c>
      <c r="K670" s="46" t="s">
        <v>97</v>
      </c>
      <c r="L670" s="48">
        <v>16744</v>
      </c>
      <c r="M670" s="49">
        <v>0</v>
      </c>
    </row>
    <row r="671" spans="1:13" x14ac:dyDescent="0.3">
      <c r="A671" s="46" t="s">
        <v>1500</v>
      </c>
      <c r="B671" s="46" t="s">
        <v>79</v>
      </c>
      <c r="C671" s="46" t="s">
        <v>36</v>
      </c>
      <c r="D671" s="46" t="s">
        <v>99</v>
      </c>
      <c r="E671" s="46" t="s">
        <v>372</v>
      </c>
      <c r="F671" s="46" t="s">
        <v>69</v>
      </c>
      <c r="G671" s="46">
        <v>43</v>
      </c>
      <c r="H671" s="46" t="s">
        <v>6645</v>
      </c>
      <c r="I671" s="46" t="s">
        <v>20</v>
      </c>
      <c r="J671" s="47">
        <v>45050</v>
      </c>
      <c r="K671" s="46" t="s">
        <v>97</v>
      </c>
      <c r="L671" s="48">
        <v>69346</v>
      </c>
      <c r="M671" s="49">
        <v>0</v>
      </c>
    </row>
    <row r="672" spans="1:13" x14ac:dyDescent="0.3">
      <c r="A672" s="46" t="s">
        <v>1502</v>
      </c>
      <c r="B672" s="46" t="s">
        <v>6629</v>
      </c>
      <c r="C672" s="46" t="s">
        <v>27</v>
      </c>
      <c r="D672" s="46" t="s">
        <v>74</v>
      </c>
      <c r="E672" s="46" t="s">
        <v>192</v>
      </c>
      <c r="F672" s="46" t="s">
        <v>69</v>
      </c>
      <c r="G672" s="46">
        <v>57</v>
      </c>
      <c r="H672" s="46" t="s">
        <v>6645</v>
      </c>
      <c r="I672" s="46" t="s">
        <v>20</v>
      </c>
      <c r="J672" s="47">
        <v>45217</v>
      </c>
      <c r="K672" s="46" t="s">
        <v>87</v>
      </c>
      <c r="L672" s="48">
        <v>57407</v>
      </c>
      <c r="M672" s="49">
        <v>0</v>
      </c>
    </row>
    <row r="673" spans="1:13" x14ac:dyDescent="0.3">
      <c r="A673" s="46" t="s">
        <v>1504</v>
      </c>
      <c r="B673" s="46" t="s">
        <v>118</v>
      </c>
      <c r="C673" s="46" t="s">
        <v>36</v>
      </c>
      <c r="D673" s="46" t="s">
        <v>164</v>
      </c>
      <c r="E673" s="46" t="s">
        <v>233</v>
      </c>
      <c r="F673" s="46" t="s">
        <v>30</v>
      </c>
      <c r="G673" s="46">
        <v>43</v>
      </c>
      <c r="H673" s="46" t="s">
        <v>6645</v>
      </c>
      <c r="I673" s="46" t="s">
        <v>40</v>
      </c>
      <c r="J673" s="47">
        <v>44939</v>
      </c>
      <c r="K673" s="46" t="s">
        <v>104</v>
      </c>
      <c r="L673" s="48">
        <v>12896</v>
      </c>
      <c r="M673" s="49">
        <v>19</v>
      </c>
    </row>
    <row r="674" spans="1:13" x14ac:dyDescent="0.3">
      <c r="A674" s="46" t="s">
        <v>1506</v>
      </c>
      <c r="B674" s="46" t="s">
        <v>6626</v>
      </c>
      <c r="C674" s="46" t="s">
        <v>61</v>
      </c>
      <c r="D674" s="46" t="s">
        <v>47</v>
      </c>
      <c r="E674" s="46" t="s">
        <v>175</v>
      </c>
      <c r="F674" s="46" t="s">
        <v>30</v>
      </c>
      <c r="G674" s="46">
        <v>46</v>
      </c>
      <c r="H674" s="46" t="s">
        <v>6645</v>
      </c>
      <c r="I674" s="46" t="s">
        <v>40</v>
      </c>
      <c r="J674" s="47">
        <v>45390</v>
      </c>
      <c r="K674" s="46" t="s">
        <v>91</v>
      </c>
      <c r="L674" s="48">
        <v>6505</v>
      </c>
      <c r="M674" s="49">
        <v>3</v>
      </c>
    </row>
    <row r="675" spans="1:13" x14ac:dyDescent="0.3">
      <c r="A675" s="46" t="s">
        <v>1507</v>
      </c>
      <c r="B675" s="46" t="s">
        <v>118</v>
      </c>
      <c r="C675" s="46" t="s">
        <v>36</v>
      </c>
      <c r="D675" s="46" t="s">
        <v>99</v>
      </c>
      <c r="E675" s="46" t="s">
        <v>256</v>
      </c>
      <c r="F675" s="46" t="s">
        <v>69</v>
      </c>
      <c r="G675" s="46">
        <v>84</v>
      </c>
      <c r="H675" s="46" t="s">
        <v>6643</v>
      </c>
      <c r="I675" s="46" t="s">
        <v>40</v>
      </c>
      <c r="J675" s="47">
        <v>45225</v>
      </c>
      <c r="K675" s="46" t="s">
        <v>72</v>
      </c>
      <c r="L675" s="48">
        <v>47687</v>
      </c>
      <c r="M675" s="49">
        <v>0</v>
      </c>
    </row>
    <row r="676" spans="1:13" x14ac:dyDescent="0.3">
      <c r="A676" s="46" t="s">
        <v>1509</v>
      </c>
      <c r="B676" s="46" t="s">
        <v>6628</v>
      </c>
      <c r="C676" s="46" t="s">
        <v>61</v>
      </c>
      <c r="D676" s="46" t="s">
        <v>17</v>
      </c>
      <c r="E676" s="46" t="s">
        <v>169</v>
      </c>
      <c r="F676" s="46" t="s">
        <v>30</v>
      </c>
      <c r="G676" s="46">
        <v>59</v>
      </c>
      <c r="H676" s="46" t="s">
        <v>6645</v>
      </c>
      <c r="I676" s="46" t="s">
        <v>40</v>
      </c>
      <c r="J676" s="47">
        <v>45040</v>
      </c>
      <c r="K676" s="46" t="s">
        <v>72</v>
      </c>
      <c r="L676" s="48">
        <v>10382</v>
      </c>
      <c r="M676" s="49">
        <v>0</v>
      </c>
    </row>
    <row r="677" spans="1:13" x14ac:dyDescent="0.3">
      <c r="A677" s="46" t="s">
        <v>1510</v>
      </c>
      <c r="B677" s="46" t="s">
        <v>6629</v>
      </c>
      <c r="C677" s="46" t="s">
        <v>55</v>
      </c>
      <c r="D677" s="46" t="s">
        <v>74</v>
      </c>
      <c r="E677" s="46" t="s">
        <v>75</v>
      </c>
      <c r="F677" s="46" t="s">
        <v>69</v>
      </c>
      <c r="G677" s="46">
        <v>79</v>
      </c>
      <c r="H677" s="46" t="s">
        <v>6643</v>
      </c>
      <c r="I677" s="46" t="s">
        <v>20</v>
      </c>
      <c r="J677" s="47">
        <v>45156</v>
      </c>
      <c r="K677" s="46" t="s">
        <v>91</v>
      </c>
      <c r="L677" s="48">
        <v>45370</v>
      </c>
      <c r="M677" s="49">
        <v>5</v>
      </c>
    </row>
    <row r="678" spans="1:13" x14ac:dyDescent="0.3">
      <c r="A678" s="46" t="s">
        <v>1511</v>
      </c>
      <c r="B678" s="46" t="s">
        <v>6629</v>
      </c>
      <c r="C678" s="46" t="s">
        <v>55</v>
      </c>
      <c r="D678" s="46" t="s">
        <v>37</v>
      </c>
      <c r="E678" s="46" t="s">
        <v>185</v>
      </c>
      <c r="F678" s="46" t="s">
        <v>30</v>
      </c>
      <c r="G678" s="46">
        <v>15</v>
      </c>
      <c r="H678" s="46" t="s">
        <v>6646</v>
      </c>
      <c r="I678" s="46" t="s">
        <v>20</v>
      </c>
      <c r="J678" s="47">
        <v>45167</v>
      </c>
      <c r="K678" s="46" t="s">
        <v>91</v>
      </c>
      <c r="L678" s="48">
        <v>14378</v>
      </c>
      <c r="M678" s="49">
        <v>10</v>
      </c>
    </row>
    <row r="679" spans="1:13" x14ac:dyDescent="0.3">
      <c r="A679" s="46" t="s">
        <v>1513</v>
      </c>
      <c r="B679" s="46" t="s">
        <v>6626</v>
      </c>
      <c r="C679" s="46" t="s">
        <v>61</v>
      </c>
      <c r="D679" s="46" t="s">
        <v>28</v>
      </c>
      <c r="E679" s="46" t="s">
        <v>290</v>
      </c>
      <c r="F679" s="46" t="s">
        <v>30</v>
      </c>
      <c r="G679" s="46">
        <v>47</v>
      </c>
      <c r="H679" s="46" t="s">
        <v>6645</v>
      </c>
      <c r="I679" s="46" t="s">
        <v>40</v>
      </c>
      <c r="J679" s="47">
        <v>45165</v>
      </c>
      <c r="K679" s="46" t="s">
        <v>87</v>
      </c>
      <c r="L679" s="48">
        <v>14234</v>
      </c>
      <c r="M679" s="49">
        <v>0</v>
      </c>
    </row>
    <row r="680" spans="1:13" x14ac:dyDescent="0.3">
      <c r="A680" s="46" t="s">
        <v>1515</v>
      </c>
      <c r="B680" s="46" t="s">
        <v>79</v>
      </c>
      <c r="C680" s="46" t="s">
        <v>16</v>
      </c>
      <c r="D680" s="46" t="s">
        <v>93</v>
      </c>
      <c r="E680" s="46" t="s">
        <v>94</v>
      </c>
      <c r="F680" s="46" t="s">
        <v>69</v>
      </c>
      <c r="G680" s="46">
        <v>45</v>
      </c>
      <c r="H680" s="46" t="s">
        <v>6645</v>
      </c>
      <c r="I680" s="46" t="s">
        <v>20</v>
      </c>
      <c r="J680" s="47">
        <v>45093</v>
      </c>
      <c r="K680" s="46" t="s">
        <v>72</v>
      </c>
      <c r="L680" s="48">
        <v>31402</v>
      </c>
      <c r="M680" s="49">
        <v>0</v>
      </c>
    </row>
    <row r="681" spans="1:13" x14ac:dyDescent="0.3">
      <c r="A681" s="46" t="s">
        <v>1517</v>
      </c>
      <c r="B681" s="46" t="s">
        <v>6628</v>
      </c>
      <c r="C681" s="46" t="s">
        <v>36</v>
      </c>
      <c r="D681" s="46" t="s">
        <v>99</v>
      </c>
      <c r="E681" s="46" t="s">
        <v>256</v>
      </c>
      <c r="F681" s="46" t="s">
        <v>30</v>
      </c>
      <c r="G681" s="46">
        <v>60</v>
      </c>
      <c r="H681" s="46" t="s">
        <v>6643</v>
      </c>
      <c r="I681" s="46" t="s">
        <v>20</v>
      </c>
      <c r="J681" s="47">
        <v>45087</v>
      </c>
      <c r="K681" s="46" t="s">
        <v>104</v>
      </c>
      <c r="L681" s="48">
        <v>8561</v>
      </c>
      <c r="M681" s="49">
        <v>18</v>
      </c>
    </row>
    <row r="682" spans="1:13" x14ac:dyDescent="0.3">
      <c r="A682" s="46" t="s">
        <v>1519</v>
      </c>
      <c r="B682" s="46" t="s">
        <v>6626</v>
      </c>
      <c r="C682" s="46" t="s">
        <v>16</v>
      </c>
      <c r="D682" s="46" t="s">
        <v>93</v>
      </c>
      <c r="E682" s="46" t="s">
        <v>144</v>
      </c>
      <c r="F682" s="46" t="s">
        <v>30</v>
      </c>
      <c r="G682" s="46">
        <v>1</v>
      </c>
      <c r="H682" s="46" t="s">
        <v>6644</v>
      </c>
      <c r="I682" s="46" t="s">
        <v>40</v>
      </c>
      <c r="J682" s="47">
        <v>45254</v>
      </c>
      <c r="K682" s="46" t="s">
        <v>97</v>
      </c>
      <c r="L682" s="48">
        <v>7726</v>
      </c>
      <c r="M682" s="49">
        <v>0</v>
      </c>
    </row>
    <row r="683" spans="1:13" x14ac:dyDescent="0.3">
      <c r="A683" s="46" t="s">
        <v>1521</v>
      </c>
      <c r="B683" s="46" t="s">
        <v>79</v>
      </c>
      <c r="C683" s="46" t="s">
        <v>16</v>
      </c>
      <c r="D683" s="46" t="s">
        <v>108</v>
      </c>
      <c r="E683" s="46" t="s">
        <v>124</v>
      </c>
      <c r="F683" s="46" t="s">
        <v>30</v>
      </c>
      <c r="G683" s="46">
        <v>82</v>
      </c>
      <c r="H683" s="46" t="s">
        <v>6643</v>
      </c>
      <c r="I683" s="46" t="s">
        <v>40</v>
      </c>
      <c r="J683" s="47">
        <v>45330</v>
      </c>
      <c r="K683" s="46" t="s">
        <v>97</v>
      </c>
      <c r="L683" s="48">
        <v>17123</v>
      </c>
      <c r="M683" s="49">
        <v>0</v>
      </c>
    </row>
    <row r="684" spans="1:13" x14ac:dyDescent="0.3">
      <c r="A684" s="46" t="s">
        <v>1523</v>
      </c>
      <c r="B684" s="46" t="s">
        <v>6628</v>
      </c>
      <c r="C684" s="46" t="s">
        <v>16</v>
      </c>
      <c r="D684" s="46" t="s">
        <v>74</v>
      </c>
      <c r="E684" s="46" t="s">
        <v>192</v>
      </c>
      <c r="F684" s="46" t="s">
        <v>30</v>
      </c>
      <c r="G684" s="46">
        <v>50</v>
      </c>
      <c r="H684" s="46" t="s">
        <v>6645</v>
      </c>
      <c r="I684" s="46" t="s">
        <v>20</v>
      </c>
      <c r="J684" s="47">
        <v>45268</v>
      </c>
      <c r="K684" s="46" t="s">
        <v>97</v>
      </c>
      <c r="L684" s="48">
        <v>3906</v>
      </c>
      <c r="M684" s="49">
        <v>0</v>
      </c>
    </row>
    <row r="685" spans="1:13" x14ac:dyDescent="0.3">
      <c r="A685" s="46" t="s">
        <v>1524</v>
      </c>
      <c r="B685" s="46" t="s">
        <v>6626</v>
      </c>
      <c r="C685" s="46" t="s">
        <v>16</v>
      </c>
      <c r="D685" s="46" t="s">
        <v>74</v>
      </c>
      <c r="E685" s="46" t="s">
        <v>75</v>
      </c>
      <c r="F685" s="46" t="s">
        <v>30</v>
      </c>
      <c r="G685" s="46">
        <v>73</v>
      </c>
      <c r="H685" s="46" t="s">
        <v>6643</v>
      </c>
      <c r="I685" s="46" t="s">
        <v>20</v>
      </c>
      <c r="J685" s="47">
        <v>45066</v>
      </c>
      <c r="K685" s="46" t="s">
        <v>87</v>
      </c>
      <c r="L685" s="48">
        <v>12520</v>
      </c>
      <c r="M685" s="49">
        <v>0</v>
      </c>
    </row>
    <row r="686" spans="1:13" x14ac:dyDescent="0.3">
      <c r="A686" s="46" t="s">
        <v>1526</v>
      </c>
      <c r="B686" s="46" t="s">
        <v>6627</v>
      </c>
      <c r="C686" s="46" t="s">
        <v>61</v>
      </c>
      <c r="D686" s="46" t="s">
        <v>93</v>
      </c>
      <c r="E686" s="46" t="s">
        <v>94</v>
      </c>
      <c r="F686" s="46" t="s">
        <v>30</v>
      </c>
      <c r="G686" s="46">
        <v>83</v>
      </c>
      <c r="H686" s="46" t="s">
        <v>6643</v>
      </c>
      <c r="I686" s="46" t="s">
        <v>40</v>
      </c>
      <c r="J686" s="47">
        <v>45325</v>
      </c>
      <c r="K686" s="46" t="s">
        <v>87</v>
      </c>
      <c r="L686" s="48">
        <v>7047</v>
      </c>
      <c r="M686" s="49">
        <v>0</v>
      </c>
    </row>
    <row r="687" spans="1:13" x14ac:dyDescent="0.3">
      <c r="A687" s="46" t="s">
        <v>1528</v>
      </c>
      <c r="B687" s="46" t="s">
        <v>118</v>
      </c>
      <c r="C687" s="46" t="s">
        <v>189</v>
      </c>
      <c r="D687" s="46" t="s">
        <v>93</v>
      </c>
      <c r="E687" s="46" t="s">
        <v>144</v>
      </c>
      <c r="F687" s="46" t="s">
        <v>30</v>
      </c>
      <c r="G687" s="46">
        <v>92</v>
      </c>
      <c r="H687" s="46" t="s">
        <v>6643</v>
      </c>
      <c r="I687" s="46" t="s">
        <v>40</v>
      </c>
      <c r="J687" s="47">
        <v>44967</v>
      </c>
      <c r="K687" s="46" t="s">
        <v>91</v>
      </c>
      <c r="L687" s="48">
        <v>19258</v>
      </c>
      <c r="M687" s="49">
        <v>0</v>
      </c>
    </row>
    <row r="688" spans="1:13" x14ac:dyDescent="0.3">
      <c r="A688" s="46" t="s">
        <v>1529</v>
      </c>
      <c r="B688" s="46" t="s">
        <v>118</v>
      </c>
      <c r="C688" s="46" t="s">
        <v>189</v>
      </c>
      <c r="D688" s="46" t="s">
        <v>164</v>
      </c>
      <c r="E688" s="46" t="s">
        <v>219</v>
      </c>
      <c r="F688" s="46" t="s">
        <v>30</v>
      </c>
      <c r="G688" s="46">
        <v>78</v>
      </c>
      <c r="H688" s="46" t="s">
        <v>6643</v>
      </c>
      <c r="I688" s="46" t="s">
        <v>40</v>
      </c>
      <c r="J688" s="47">
        <v>44972</v>
      </c>
      <c r="K688" s="46" t="s">
        <v>97</v>
      </c>
      <c r="L688" s="48">
        <v>18998</v>
      </c>
      <c r="M688" s="49">
        <v>3</v>
      </c>
    </row>
    <row r="689" spans="1:13" x14ac:dyDescent="0.3">
      <c r="A689" s="46" t="s">
        <v>1530</v>
      </c>
      <c r="B689" s="46" t="s">
        <v>79</v>
      </c>
      <c r="C689" s="46" t="s">
        <v>189</v>
      </c>
      <c r="D689" s="46" t="s">
        <v>108</v>
      </c>
      <c r="E689" s="46" t="s">
        <v>124</v>
      </c>
      <c r="F689" s="46" t="s">
        <v>69</v>
      </c>
      <c r="G689" s="46">
        <v>21</v>
      </c>
      <c r="H689" s="46" t="s">
        <v>6645</v>
      </c>
      <c r="I689" s="46" t="s">
        <v>40</v>
      </c>
      <c r="J689" s="47">
        <v>44990</v>
      </c>
      <c r="K689" s="46" t="s">
        <v>87</v>
      </c>
      <c r="L689" s="48">
        <v>53070</v>
      </c>
      <c r="M689" s="49">
        <v>5</v>
      </c>
    </row>
    <row r="690" spans="1:13" x14ac:dyDescent="0.3">
      <c r="A690" s="46" t="s">
        <v>1531</v>
      </c>
      <c r="B690" s="46" t="s">
        <v>6626</v>
      </c>
      <c r="C690" s="46" t="s">
        <v>36</v>
      </c>
      <c r="D690" s="46" t="s">
        <v>74</v>
      </c>
      <c r="E690" s="46" t="s">
        <v>172</v>
      </c>
      <c r="F690" s="46" t="s">
        <v>69</v>
      </c>
      <c r="G690" s="46">
        <v>48</v>
      </c>
      <c r="H690" s="46" t="s">
        <v>6645</v>
      </c>
      <c r="I690" s="46" t="s">
        <v>20</v>
      </c>
      <c r="J690" s="47">
        <v>45302</v>
      </c>
      <c r="K690" s="46" t="s">
        <v>72</v>
      </c>
      <c r="L690" s="48">
        <v>38298</v>
      </c>
      <c r="M690" s="49">
        <v>3</v>
      </c>
    </row>
    <row r="691" spans="1:13" x14ac:dyDescent="0.3">
      <c r="A691" s="46" t="s">
        <v>1534</v>
      </c>
      <c r="B691" s="46" t="s">
        <v>6628</v>
      </c>
      <c r="C691" s="46" t="s">
        <v>189</v>
      </c>
      <c r="D691" s="46" t="s">
        <v>67</v>
      </c>
      <c r="E691" s="46" t="s">
        <v>196</v>
      </c>
      <c r="F691" s="46" t="s">
        <v>30</v>
      </c>
      <c r="G691" s="46">
        <v>38</v>
      </c>
      <c r="H691" s="46" t="s">
        <v>6645</v>
      </c>
      <c r="I691" s="46" t="s">
        <v>40</v>
      </c>
      <c r="J691" s="47">
        <v>45337</v>
      </c>
      <c r="K691" s="46" t="s">
        <v>97</v>
      </c>
      <c r="L691" s="48">
        <v>16696</v>
      </c>
      <c r="M691" s="49">
        <v>3</v>
      </c>
    </row>
    <row r="692" spans="1:13" x14ac:dyDescent="0.3">
      <c r="A692" s="46" t="s">
        <v>1535</v>
      </c>
      <c r="B692" s="46" t="s">
        <v>6626</v>
      </c>
      <c r="C692" s="46" t="s">
        <v>36</v>
      </c>
      <c r="D692" s="46" t="s">
        <v>28</v>
      </c>
      <c r="E692" s="46" t="s">
        <v>268</v>
      </c>
      <c r="F692" s="46" t="s">
        <v>30</v>
      </c>
      <c r="G692" s="46">
        <v>33</v>
      </c>
      <c r="H692" s="46" t="s">
        <v>6645</v>
      </c>
      <c r="I692" s="46" t="s">
        <v>20</v>
      </c>
      <c r="J692" s="47">
        <v>45196</v>
      </c>
      <c r="K692" s="46" t="s">
        <v>87</v>
      </c>
      <c r="L692" s="48">
        <v>10633</v>
      </c>
      <c r="M692" s="49">
        <v>0</v>
      </c>
    </row>
    <row r="693" spans="1:13" x14ac:dyDescent="0.3">
      <c r="A693" s="46" t="s">
        <v>1538</v>
      </c>
      <c r="B693" s="46" t="s">
        <v>6627</v>
      </c>
      <c r="C693" s="46" t="s">
        <v>16</v>
      </c>
      <c r="D693" s="46" t="s">
        <v>47</v>
      </c>
      <c r="E693" s="46" t="s">
        <v>364</v>
      </c>
      <c r="F693" s="46" t="s">
        <v>30</v>
      </c>
      <c r="G693" s="46">
        <v>48</v>
      </c>
      <c r="H693" s="46" t="s">
        <v>6645</v>
      </c>
      <c r="I693" s="46" t="s">
        <v>20</v>
      </c>
      <c r="J693" s="47">
        <v>45386</v>
      </c>
      <c r="K693" s="46" t="s">
        <v>97</v>
      </c>
      <c r="L693" s="48">
        <v>4891</v>
      </c>
      <c r="M693" s="49">
        <v>10</v>
      </c>
    </row>
    <row r="694" spans="1:13" x14ac:dyDescent="0.3">
      <c r="A694" s="46" t="s">
        <v>1539</v>
      </c>
      <c r="B694" s="46" t="s">
        <v>6628</v>
      </c>
      <c r="C694" s="46" t="s">
        <v>80</v>
      </c>
      <c r="D694" s="46" t="s">
        <v>93</v>
      </c>
      <c r="E694" s="46" t="s">
        <v>144</v>
      </c>
      <c r="F694" s="46" t="s">
        <v>30</v>
      </c>
      <c r="G694" s="46">
        <v>26</v>
      </c>
      <c r="H694" s="46" t="s">
        <v>6645</v>
      </c>
      <c r="I694" s="46" t="s">
        <v>40</v>
      </c>
      <c r="J694" s="47">
        <v>45165</v>
      </c>
      <c r="K694" s="46" t="s">
        <v>97</v>
      </c>
      <c r="L694" s="48">
        <v>6932</v>
      </c>
      <c r="M694" s="49">
        <v>0</v>
      </c>
    </row>
    <row r="695" spans="1:13" x14ac:dyDescent="0.3">
      <c r="A695" s="46" t="s">
        <v>1541</v>
      </c>
      <c r="B695" s="46" t="s">
        <v>6627</v>
      </c>
      <c r="C695" s="46" t="s">
        <v>80</v>
      </c>
      <c r="D695" s="46" t="s">
        <v>164</v>
      </c>
      <c r="E695" s="46" t="s">
        <v>282</v>
      </c>
      <c r="F695" s="46" t="s">
        <v>69</v>
      </c>
      <c r="G695" s="46">
        <v>51</v>
      </c>
      <c r="H695" s="46" t="s">
        <v>6645</v>
      </c>
      <c r="I695" s="46" t="s">
        <v>40</v>
      </c>
      <c r="J695" s="47">
        <v>45039</v>
      </c>
      <c r="K695" s="46" t="s">
        <v>87</v>
      </c>
      <c r="L695" s="48">
        <v>13096</v>
      </c>
      <c r="M695" s="49">
        <v>5</v>
      </c>
    </row>
    <row r="696" spans="1:13" x14ac:dyDescent="0.3">
      <c r="A696" s="46" t="s">
        <v>1543</v>
      </c>
      <c r="B696" s="46" t="s">
        <v>6628</v>
      </c>
      <c r="C696" s="46" t="s">
        <v>16</v>
      </c>
      <c r="D696" s="46" t="s">
        <v>37</v>
      </c>
      <c r="E696" s="46" t="s">
        <v>132</v>
      </c>
      <c r="F696" s="46" t="s">
        <v>30</v>
      </c>
      <c r="G696" s="46">
        <v>9</v>
      </c>
      <c r="H696" s="46" t="s">
        <v>6644</v>
      </c>
      <c r="I696" s="46" t="s">
        <v>20</v>
      </c>
      <c r="J696" s="47">
        <v>45370</v>
      </c>
      <c r="K696" s="46" t="s">
        <v>72</v>
      </c>
      <c r="L696" s="48">
        <v>10121</v>
      </c>
      <c r="M696" s="49">
        <v>0</v>
      </c>
    </row>
    <row r="697" spans="1:13" x14ac:dyDescent="0.3">
      <c r="A697" s="46" t="s">
        <v>1545</v>
      </c>
      <c r="B697" s="46" t="s">
        <v>79</v>
      </c>
      <c r="C697" s="46" t="s">
        <v>55</v>
      </c>
      <c r="D697" s="46" t="s">
        <v>37</v>
      </c>
      <c r="E697" s="46" t="s">
        <v>132</v>
      </c>
      <c r="F697" s="46" t="s">
        <v>30</v>
      </c>
      <c r="G697" s="46">
        <v>76</v>
      </c>
      <c r="H697" s="46" t="s">
        <v>6643</v>
      </c>
      <c r="I697" s="46" t="s">
        <v>40</v>
      </c>
      <c r="J697" s="47">
        <v>44993</v>
      </c>
      <c r="K697" s="46" t="s">
        <v>72</v>
      </c>
      <c r="L697" s="48">
        <v>18699</v>
      </c>
      <c r="M697" s="49">
        <v>3</v>
      </c>
    </row>
    <row r="698" spans="1:13" x14ac:dyDescent="0.3">
      <c r="A698" s="46" t="s">
        <v>1547</v>
      </c>
      <c r="B698" s="46" t="s">
        <v>79</v>
      </c>
      <c r="C698" s="46" t="s">
        <v>36</v>
      </c>
      <c r="D698" s="46" t="s">
        <v>67</v>
      </c>
      <c r="E698" s="46" t="s">
        <v>196</v>
      </c>
      <c r="F698" s="46" t="s">
        <v>30</v>
      </c>
      <c r="G698" s="46">
        <v>32</v>
      </c>
      <c r="H698" s="46" t="s">
        <v>6645</v>
      </c>
      <c r="I698" s="46" t="s">
        <v>20</v>
      </c>
      <c r="J698" s="47">
        <v>44960</v>
      </c>
      <c r="K698" s="46" t="s">
        <v>97</v>
      </c>
      <c r="L698" s="48">
        <v>13919</v>
      </c>
      <c r="M698" s="49">
        <v>0</v>
      </c>
    </row>
    <row r="699" spans="1:13" x14ac:dyDescent="0.3">
      <c r="A699" s="46" t="s">
        <v>1550</v>
      </c>
      <c r="B699" s="46" t="s">
        <v>6626</v>
      </c>
      <c r="C699" s="46" t="s">
        <v>80</v>
      </c>
      <c r="D699" s="46" t="s">
        <v>93</v>
      </c>
      <c r="E699" s="46" t="s">
        <v>94</v>
      </c>
      <c r="F699" s="46" t="s">
        <v>30</v>
      </c>
      <c r="G699" s="46">
        <v>71</v>
      </c>
      <c r="H699" s="46" t="s">
        <v>6643</v>
      </c>
      <c r="I699" s="46" t="s">
        <v>20</v>
      </c>
      <c r="J699" s="47">
        <v>45127</v>
      </c>
      <c r="K699" s="46" t="s">
        <v>104</v>
      </c>
      <c r="L699" s="48">
        <v>6500</v>
      </c>
      <c r="M699" s="49">
        <v>19</v>
      </c>
    </row>
    <row r="700" spans="1:13" x14ac:dyDescent="0.3">
      <c r="A700" s="46" t="s">
        <v>1551</v>
      </c>
      <c r="B700" s="46" t="s">
        <v>6629</v>
      </c>
      <c r="C700" s="46" t="s">
        <v>55</v>
      </c>
      <c r="D700" s="46" t="s">
        <v>67</v>
      </c>
      <c r="E700" s="46" t="s">
        <v>89</v>
      </c>
      <c r="F700" s="46" t="s">
        <v>30</v>
      </c>
      <c r="G700" s="46">
        <v>65</v>
      </c>
      <c r="H700" s="46" t="s">
        <v>6643</v>
      </c>
      <c r="I700" s="46" t="s">
        <v>20</v>
      </c>
      <c r="J700" s="47">
        <v>45316</v>
      </c>
      <c r="K700" s="46" t="s">
        <v>72</v>
      </c>
      <c r="L700" s="48">
        <v>16145</v>
      </c>
      <c r="M700" s="49">
        <v>0</v>
      </c>
    </row>
    <row r="701" spans="1:13" x14ac:dyDescent="0.3">
      <c r="A701" s="46" t="s">
        <v>1552</v>
      </c>
      <c r="B701" s="46" t="s">
        <v>79</v>
      </c>
      <c r="C701" s="46" t="s">
        <v>66</v>
      </c>
      <c r="D701" s="46" t="s">
        <v>47</v>
      </c>
      <c r="E701" s="46" t="s">
        <v>461</v>
      </c>
      <c r="F701" s="46" t="s">
        <v>30</v>
      </c>
      <c r="G701" s="46">
        <v>4</v>
      </c>
      <c r="H701" s="46" t="s">
        <v>6644</v>
      </c>
      <c r="I701" s="46" t="s">
        <v>20</v>
      </c>
      <c r="J701" s="47">
        <v>45294</v>
      </c>
      <c r="K701" s="46" t="s">
        <v>72</v>
      </c>
      <c r="L701" s="48">
        <v>15195</v>
      </c>
      <c r="M701" s="49">
        <v>3</v>
      </c>
    </row>
    <row r="702" spans="1:13" x14ac:dyDescent="0.3">
      <c r="A702" s="46" t="s">
        <v>1554</v>
      </c>
      <c r="B702" s="46" t="s">
        <v>6627</v>
      </c>
      <c r="C702" s="46" t="s">
        <v>80</v>
      </c>
      <c r="D702" s="46" t="s">
        <v>99</v>
      </c>
      <c r="E702" s="46" t="s">
        <v>100</v>
      </c>
      <c r="F702" s="46" t="s">
        <v>69</v>
      </c>
      <c r="G702" s="46">
        <v>25</v>
      </c>
      <c r="H702" s="46" t="s">
        <v>6645</v>
      </c>
      <c r="I702" s="46" t="s">
        <v>20</v>
      </c>
      <c r="J702" s="47">
        <v>45139</v>
      </c>
      <c r="K702" s="46" t="s">
        <v>72</v>
      </c>
      <c r="L702" s="48">
        <v>76503</v>
      </c>
      <c r="M702" s="49">
        <v>0</v>
      </c>
    </row>
    <row r="703" spans="1:13" x14ac:dyDescent="0.3">
      <c r="A703" s="46" t="s">
        <v>1556</v>
      </c>
      <c r="B703" s="46" t="s">
        <v>6627</v>
      </c>
      <c r="C703" s="46" t="s">
        <v>66</v>
      </c>
      <c r="D703" s="46" t="s">
        <v>17</v>
      </c>
      <c r="E703" s="46" t="s">
        <v>18</v>
      </c>
      <c r="F703" s="46" t="s">
        <v>69</v>
      </c>
      <c r="G703" s="46">
        <v>20</v>
      </c>
      <c r="H703" s="46" t="s">
        <v>6645</v>
      </c>
      <c r="I703" s="46" t="s">
        <v>20</v>
      </c>
      <c r="J703" s="47">
        <v>45308</v>
      </c>
      <c r="K703" s="46" t="s">
        <v>6632</v>
      </c>
      <c r="L703" s="48">
        <v>83563</v>
      </c>
      <c r="M703" s="49">
        <v>4</v>
      </c>
    </row>
    <row r="704" spans="1:13" x14ac:dyDescent="0.3">
      <c r="A704" s="46" t="s">
        <v>1558</v>
      </c>
      <c r="B704" s="46" t="s">
        <v>118</v>
      </c>
      <c r="C704" s="46" t="s">
        <v>36</v>
      </c>
      <c r="D704" s="46" t="s">
        <v>74</v>
      </c>
      <c r="E704" s="46" t="s">
        <v>147</v>
      </c>
      <c r="F704" s="46" t="s">
        <v>30</v>
      </c>
      <c r="G704" s="46">
        <v>21</v>
      </c>
      <c r="H704" s="46" t="s">
        <v>6645</v>
      </c>
      <c r="I704" s="46" t="s">
        <v>40</v>
      </c>
      <c r="J704" s="47">
        <v>45263</v>
      </c>
      <c r="K704" s="46" t="s">
        <v>104</v>
      </c>
      <c r="L704" s="48">
        <v>7305</v>
      </c>
      <c r="M704" s="49">
        <v>5</v>
      </c>
    </row>
    <row r="705" spans="1:13" x14ac:dyDescent="0.3">
      <c r="A705" s="46" t="s">
        <v>1560</v>
      </c>
      <c r="B705" s="46" t="s">
        <v>6629</v>
      </c>
      <c r="C705" s="46" t="s">
        <v>36</v>
      </c>
      <c r="D705" s="46" t="s">
        <v>93</v>
      </c>
      <c r="E705" s="46" t="s">
        <v>94</v>
      </c>
      <c r="F705" s="46" t="s">
        <v>69</v>
      </c>
      <c r="G705" s="46">
        <v>47</v>
      </c>
      <c r="H705" s="46" t="s">
        <v>6645</v>
      </c>
      <c r="I705" s="46" t="s">
        <v>20</v>
      </c>
      <c r="J705" s="47">
        <v>44958</v>
      </c>
      <c r="K705" s="46" t="s">
        <v>87</v>
      </c>
      <c r="L705" s="48">
        <v>51385</v>
      </c>
      <c r="M705" s="49">
        <v>0</v>
      </c>
    </row>
    <row r="706" spans="1:13" x14ac:dyDescent="0.3">
      <c r="A706" s="46" t="s">
        <v>1562</v>
      </c>
      <c r="B706" s="46" t="s">
        <v>6628</v>
      </c>
      <c r="C706" s="46" t="s">
        <v>16</v>
      </c>
      <c r="D706" s="46" t="s">
        <v>47</v>
      </c>
      <c r="E706" s="46" t="s">
        <v>48</v>
      </c>
      <c r="F706" s="46" t="s">
        <v>30</v>
      </c>
      <c r="G706" s="46">
        <v>87</v>
      </c>
      <c r="H706" s="46" t="s">
        <v>6643</v>
      </c>
      <c r="I706" s="46" t="s">
        <v>20</v>
      </c>
      <c r="J706" s="47">
        <v>45406</v>
      </c>
      <c r="K706" s="46" t="s">
        <v>72</v>
      </c>
      <c r="L706" s="48">
        <v>13778</v>
      </c>
      <c r="M706" s="49">
        <v>0</v>
      </c>
    </row>
    <row r="707" spans="1:13" x14ac:dyDescent="0.3">
      <c r="A707" s="46" t="s">
        <v>1563</v>
      </c>
      <c r="B707" s="46" t="s">
        <v>79</v>
      </c>
      <c r="C707" s="46" t="s">
        <v>80</v>
      </c>
      <c r="D707" s="46" t="s">
        <v>17</v>
      </c>
      <c r="E707" s="46" t="s">
        <v>135</v>
      </c>
      <c r="F707" s="46" t="s">
        <v>30</v>
      </c>
      <c r="G707" s="46">
        <v>45</v>
      </c>
      <c r="H707" s="46" t="s">
        <v>6645</v>
      </c>
      <c r="I707" s="46" t="s">
        <v>40</v>
      </c>
      <c r="J707" s="47">
        <v>44963</v>
      </c>
      <c r="K707" s="46" t="s">
        <v>72</v>
      </c>
      <c r="L707" s="48">
        <v>16626</v>
      </c>
      <c r="M707" s="49">
        <v>0</v>
      </c>
    </row>
    <row r="708" spans="1:13" x14ac:dyDescent="0.3">
      <c r="A708" s="46" t="s">
        <v>1565</v>
      </c>
      <c r="B708" s="46" t="s">
        <v>6628</v>
      </c>
      <c r="C708" s="46" t="s">
        <v>66</v>
      </c>
      <c r="D708" s="46" t="s">
        <v>37</v>
      </c>
      <c r="E708" s="46" t="s">
        <v>132</v>
      </c>
      <c r="F708" s="46" t="s">
        <v>30</v>
      </c>
      <c r="G708" s="46">
        <v>69</v>
      </c>
      <c r="H708" s="46" t="s">
        <v>6643</v>
      </c>
      <c r="I708" s="46" t="s">
        <v>20</v>
      </c>
      <c r="J708" s="47">
        <v>45198</v>
      </c>
      <c r="K708" s="46" t="s">
        <v>97</v>
      </c>
      <c r="L708" s="48">
        <v>9134</v>
      </c>
      <c r="M708" s="49">
        <v>0</v>
      </c>
    </row>
    <row r="709" spans="1:13" x14ac:dyDescent="0.3">
      <c r="A709" s="46" t="s">
        <v>1567</v>
      </c>
      <c r="B709" s="46" t="s">
        <v>79</v>
      </c>
      <c r="C709" s="46" t="s">
        <v>55</v>
      </c>
      <c r="D709" s="46" t="s">
        <v>74</v>
      </c>
      <c r="E709" s="46" t="s">
        <v>147</v>
      </c>
      <c r="F709" s="46" t="s">
        <v>30</v>
      </c>
      <c r="G709" s="46">
        <v>27</v>
      </c>
      <c r="H709" s="46" t="s">
        <v>6645</v>
      </c>
      <c r="I709" s="46" t="s">
        <v>40</v>
      </c>
      <c r="J709" s="47">
        <v>44978</v>
      </c>
      <c r="K709" s="46" t="s">
        <v>91</v>
      </c>
      <c r="L709" s="48">
        <v>3637</v>
      </c>
      <c r="M709" s="49">
        <v>10</v>
      </c>
    </row>
    <row r="710" spans="1:13" x14ac:dyDescent="0.3">
      <c r="A710" s="46" t="s">
        <v>1569</v>
      </c>
      <c r="B710" s="46" t="s">
        <v>6626</v>
      </c>
      <c r="C710" s="46" t="s">
        <v>36</v>
      </c>
      <c r="D710" s="46" t="s">
        <v>17</v>
      </c>
      <c r="E710" s="46" t="s">
        <v>169</v>
      </c>
      <c r="F710" s="46" t="s">
        <v>30</v>
      </c>
      <c r="G710" s="46">
        <v>17</v>
      </c>
      <c r="H710" s="46" t="s">
        <v>6646</v>
      </c>
      <c r="I710" s="46" t="s">
        <v>20</v>
      </c>
      <c r="J710" s="47">
        <v>45363</v>
      </c>
      <c r="K710" s="46" t="s">
        <v>72</v>
      </c>
      <c r="L710" s="48">
        <v>7290</v>
      </c>
      <c r="M710" s="49">
        <v>3</v>
      </c>
    </row>
    <row r="711" spans="1:13" x14ac:dyDescent="0.3">
      <c r="A711" s="46" t="s">
        <v>1571</v>
      </c>
      <c r="B711" s="46" t="s">
        <v>6627</v>
      </c>
      <c r="C711" s="46" t="s">
        <v>55</v>
      </c>
      <c r="D711" s="46" t="s">
        <v>108</v>
      </c>
      <c r="E711" s="46" t="s">
        <v>272</v>
      </c>
      <c r="F711" s="46" t="s">
        <v>30</v>
      </c>
      <c r="G711" s="46">
        <v>18</v>
      </c>
      <c r="H711" s="46" t="s">
        <v>6646</v>
      </c>
      <c r="I711" s="46" t="s">
        <v>20</v>
      </c>
      <c r="J711" s="47">
        <v>45327</v>
      </c>
      <c r="K711" s="46" t="s">
        <v>104</v>
      </c>
      <c r="L711" s="48">
        <v>14306</v>
      </c>
      <c r="M711" s="49">
        <v>15</v>
      </c>
    </row>
    <row r="712" spans="1:13" x14ac:dyDescent="0.3">
      <c r="A712" s="46" t="s">
        <v>1572</v>
      </c>
      <c r="B712" s="46" t="s">
        <v>6629</v>
      </c>
      <c r="C712" s="46" t="s">
        <v>27</v>
      </c>
      <c r="D712" s="46" t="s">
        <v>28</v>
      </c>
      <c r="E712" s="46" t="s">
        <v>268</v>
      </c>
      <c r="F712" s="46" t="s">
        <v>30</v>
      </c>
      <c r="G712" s="46">
        <v>87</v>
      </c>
      <c r="H712" s="46" t="s">
        <v>6643</v>
      </c>
      <c r="I712" s="46" t="s">
        <v>20</v>
      </c>
      <c r="J712" s="47">
        <v>45035</v>
      </c>
      <c r="K712" s="46" t="s">
        <v>72</v>
      </c>
      <c r="L712" s="48">
        <v>15660</v>
      </c>
      <c r="M712" s="49">
        <v>10</v>
      </c>
    </row>
    <row r="713" spans="1:13" x14ac:dyDescent="0.3">
      <c r="A713" s="46" t="s">
        <v>1574</v>
      </c>
      <c r="B713" s="46" t="s">
        <v>79</v>
      </c>
      <c r="C713" s="46" t="s">
        <v>16</v>
      </c>
      <c r="D713" s="46" t="s">
        <v>108</v>
      </c>
      <c r="E713" s="46" t="s">
        <v>124</v>
      </c>
      <c r="F713" s="46" t="s">
        <v>30</v>
      </c>
      <c r="G713" s="46">
        <v>76</v>
      </c>
      <c r="H713" s="46" t="s">
        <v>6643</v>
      </c>
      <c r="I713" s="46" t="s">
        <v>20</v>
      </c>
      <c r="J713" s="47">
        <v>45362</v>
      </c>
      <c r="K713" s="46" t="s">
        <v>91</v>
      </c>
      <c r="L713" s="48">
        <v>7876</v>
      </c>
      <c r="M713" s="49">
        <v>5</v>
      </c>
    </row>
    <row r="714" spans="1:13" x14ac:dyDescent="0.3">
      <c r="A714" s="46" t="s">
        <v>1576</v>
      </c>
      <c r="B714" s="46" t="s">
        <v>118</v>
      </c>
      <c r="C714" s="46" t="s">
        <v>66</v>
      </c>
      <c r="D714" s="46" t="s">
        <v>74</v>
      </c>
      <c r="E714" s="46" t="s">
        <v>192</v>
      </c>
      <c r="F714" s="46" t="s">
        <v>30</v>
      </c>
      <c r="G714" s="46">
        <v>60</v>
      </c>
      <c r="H714" s="46" t="s">
        <v>6643</v>
      </c>
      <c r="I714" s="46" t="s">
        <v>20</v>
      </c>
      <c r="J714" s="47">
        <v>45068</v>
      </c>
      <c r="K714" s="46" t="s">
        <v>87</v>
      </c>
      <c r="L714" s="48">
        <v>10218</v>
      </c>
      <c r="M714" s="49">
        <v>0</v>
      </c>
    </row>
    <row r="715" spans="1:13" x14ac:dyDescent="0.3">
      <c r="A715" s="46" t="s">
        <v>1578</v>
      </c>
      <c r="B715" s="46" t="s">
        <v>6627</v>
      </c>
      <c r="C715" s="46" t="s">
        <v>55</v>
      </c>
      <c r="D715" s="46" t="s">
        <v>37</v>
      </c>
      <c r="E715" s="46" t="s">
        <v>38</v>
      </c>
      <c r="F715" s="46" t="s">
        <v>30</v>
      </c>
      <c r="G715" s="46">
        <v>5</v>
      </c>
      <c r="H715" s="46" t="s">
        <v>6644</v>
      </c>
      <c r="I715" s="46" t="s">
        <v>40</v>
      </c>
      <c r="J715" s="47">
        <v>45085</v>
      </c>
      <c r="K715" s="46" t="s">
        <v>104</v>
      </c>
      <c r="L715" s="48">
        <v>5749</v>
      </c>
      <c r="M715" s="49">
        <v>15</v>
      </c>
    </row>
    <row r="716" spans="1:13" x14ac:dyDescent="0.3">
      <c r="A716" s="46" t="s">
        <v>1579</v>
      </c>
      <c r="B716" s="46" t="s">
        <v>79</v>
      </c>
      <c r="C716" s="46" t="s">
        <v>80</v>
      </c>
      <c r="D716" s="46" t="s">
        <v>37</v>
      </c>
      <c r="E716" s="46" t="s">
        <v>185</v>
      </c>
      <c r="F716" s="46" t="s">
        <v>30</v>
      </c>
      <c r="G716" s="46">
        <v>24</v>
      </c>
      <c r="H716" s="46" t="s">
        <v>6645</v>
      </c>
      <c r="I716" s="46" t="s">
        <v>40</v>
      </c>
      <c r="J716" s="47">
        <v>45207</v>
      </c>
      <c r="K716" s="46" t="s">
        <v>87</v>
      </c>
      <c r="L716" s="48">
        <v>14366</v>
      </c>
      <c r="M716" s="49">
        <v>0</v>
      </c>
    </row>
    <row r="717" spans="1:13" x14ac:dyDescent="0.3">
      <c r="A717" s="46" t="s">
        <v>1581</v>
      </c>
      <c r="B717" s="46" t="s">
        <v>6629</v>
      </c>
      <c r="C717" s="46" t="s">
        <v>55</v>
      </c>
      <c r="D717" s="46" t="s">
        <v>47</v>
      </c>
      <c r="E717" s="46" t="s">
        <v>175</v>
      </c>
      <c r="F717" s="46" t="s">
        <v>69</v>
      </c>
      <c r="G717" s="46">
        <v>57</v>
      </c>
      <c r="H717" s="46" t="s">
        <v>6645</v>
      </c>
      <c r="I717" s="46" t="s">
        <v>40</v>
      </c>
      <c r="J717" s="47">
        <v>45407</v>
      </c>
      <c r="K717" s="46" t="s">
        <v>87</v>
      </c>
      <c r="L717" s="48">
        <v>49353</v>
      </c>
      <c r="M717" s="49">
        <v>5</v>
      </c>
    </row>
    <row r="718" spans="1:13" x14ac:dyDescent="0.3">
      <c r="A718" s="46" t="s">
        <v>1582</v>
      </c>
      <c r="B718" s="46" t="s">
        <v>6627</v>
      </c>
      <c r="C718" s="46" t="s">
        <v>27</v>
      </c>
      <c r="D718" s="46" t="s">
        <v>17</v>
      </c>
      <c r="E718" s="46" t="s">
        <v>169</v>
      </c>
      <c r="F718" s="46" t="s">
        <v>30</v>
      </c>
      <c r="G718" s="46">
        <v>62</v>
      </c>
      <c r="H718" s="46" t="s">
        <v>6643</v>
      </c>
      <c r="I718" s="46" t="s">
        <v>40</v>
      </c>
      <c r="J718" s="47">
        <v>45221</v>
      </c>
      <c r="K718" s="46" t="s">
        <v>72</v>
      </c>
      <c r="L718" s="48">
        <v>16924</v>
      </c>
      <c r="M718" s="49">
        <v>0</v>
      </c>
    </row>
    <row r="719" spans="1:13" x14ac:dyDescent="0.3">
      <c r="A719" s="46" t="s">
        <v>1583</v>
      </c>
      <c r="B719" s="46" t="s">
        <v>6626</v>
      </c>
      <c r="C719" s="46" t="s">
        <v>66</v>
      </c>
      <c r="D719" s="46" t="s">
        <v>108</v>
      </c>
      <c r="E719" s="46" t="s">
        <v>124</v>
      </c>
      <c r="F719" s="46" t="s">
        <v>69</v>
      </c>
      <c r="G719" s="46">
        <v>91</v>
      </c>
      <c r="H719" s="46" t="s">
        <v>6643</v>
      </c>
      <c r="I719" s="46" t="s">
        <v>20</v>
      </c>
      <c r="J719" s="47">
        <v>45239</v>
      </c>
      <c r="K719" s="46" t="s">
        <v>6632</v>
      </c>
      <c r="L719" s="48">
        <v>38559</v>
      </c>
      <c r="M719" s="49">
        <v>10</v>
      </c>
    </row>
    <row r="720" spans="1:13" x14ac:dyDescent="0.3">
      <c r="A720" s="46" t="s">
        <v>1585</v>
      </c>
      <c r="B720" s="46" t="s">
        <v>118</v>
      </c>
      <c r="C720" s="46" t="s">
        <v>189</v>
      </c>
      <c r="D720" s="46" t="s">
        <v>67</v>
      </c>
      <c r="E720" s="46" t="s">
        <v>89</v>
      </c>
      <c r="F720" s="46" t="s">
        <v>30</v>
      </c>
      <c r="G720" s="46">
        <v>32</v>
      </c>
      <c r="H720" s="46" t="s">
        <v>6645</v>
      </c>
      <c r="I720" s="46" t="s">
        <v>20</v>
      </c>
      <c r="J720" s="47">
        <v>45066</v>
      </c>
      <c r="K720" s="46" t="s">
        <v>87</v>
      </c>
      <c r="L720" s="48">
        <v>13674</v>
      </c>
      <c r="M720" s="49">
        <v>0</v>
      </c>
    </row>
    <row r="721" spans="1:13" x14ac:dyDescent="0.3">
      <c r="A721" s="46" t="s">
        <v>1587</v>
      </c>
      <c r="B721" s="46" t="s">
        <v>118</v>
      </c>
      <c r="C721" s="46" t="s">
        <v>16</v>
      </c>
      <c r="D721" s="46" t="s">
        <v>164</v>
      </c>
      <c r="E721" s="46" t="s">
        <v>233</v>
      </c>
      <c r="F721" s="46" t="s">
        <v>69</v>
      </c>
      <c r="G721" s="46">
        <v>92</v>
      </c>
      <c r="H721" s="46" t="s">
        <v>6643</v>
      </c>
      <c r="I721" s="46" t="s">
        <v>20</v>
      </c>
      <c r="J721" s="47">
        <v>45066</v>
      </c>
      <c r="K721" s="46" t="s">
        <v>91</v>
      </c>
      <c r="L721" s="48">
        <v>37969</v>
      </c>
      <c r="M721" s="49">
        <v>0</v>
      </c>
    </row>
    <row r="722" spans="1:13" x14ac:dyDescent="0.3">
      <c r="A722" s="46" t="s">
        <v>1589</v>
      </c>
      <c r="B722" s="46" t="s">
        <v>118</v>
      </c>
      <c r="C722" s="46" t="s">
        <v>80</v>
      </c>
      <c r="D722" s="46" t="s">
        <v>37</v>
      </c>
      <c r="E722" s="46" t="s">
        <v>132</v>
      </c>
      <c r="F722" s="46" t="s">
        <v>30</v>
      </c>
      <c r="G722" s="46">
        <v>82</v>
      </c>
      <c r="H722" s="46" t="s">
        <v>6643</v>
      </c>
      <c r="I722" s="46" t="s">
        <v>40</v>
      </c>
      <c r="J722" s="47">
        <v>45262</v>
      </c>
      <c r="K722" s="46" t="s">
        <v>104</v>
      </c>
      <c r="L722" s="48">
        <v>14864</v>
      </c>
      <c r="M722" s="49">
        <v>25</v>
      </c>
    </row>
    <row r="723" spans="1:13" x14ac:dyDescent="0.3">
      <c r="A723" s="46" t="s">
        <v>1592</v>
      </c>
      <c r="B723" s="46" t="s">
        <v>6629</v>
      </c>
      <c r="C723" s="46" t="s">
        <v>61</v>
      </c>
      <c r="D723" s="46" t="s">
        <v>99</v>
      </c>
      <c r="E723" s="46" t="s">
        <v>372</v>
      </c>
      <c r="F723" s="46" t="s">
        <v>30</v>
      </c>
      <c r="G723" s="46">
        <v>2</v>
      </c>
      <c r="H723" s="46" t="s">
        <v>6644</v>
      </c>
      <c r="I723" s="46" t="s">
        <v>40</v>
      </c>
      <c r="J723" s="47">
        <v>45165</v>
      </c>
      <c r="K723" s="46" t="s">
        <v>87</v>
      </c>
      <c r="L723" s="48">
        <v>17550</v>
      </c>
      <c r="M723" s="49">
        <v>0</v>
      </c>
    </row>
    <row r="724" spans="1:13" x14ac:dyDescent="0.3">
      <c r="A724" s="46" t="s">
        <v>1593</v>
      </c>
      <c r="B724" s="46" t="s">
        <v>6629</v>
      </c>
      <c r="C724" s="46" t="s">
        <v>61</v>
      </c>
      <c r="D724" s="46" t="s">
        <v>74</v>
      </c>
      <c r="E724" s="46" t="s">
        <v>172</v>
      </c>
      <c r="F724" s="46" t="s">
        <v>69</v>
      </c>
      <c r="G724" s="46">
        <v>67</v>
      </c>
      <c r="H724" s="46" t="s">
        <v>6643</v>
      </c>
      <c r="I724" s="46" t="s">
        <v>20</v>
      </c>
      <c r="J724" s="47">
        <v>45290</v>
      </c>
      <c r="K724" s="46" t="s">
        <v>104</v>
      </c>
      <c r="L724" s="48">
        <v>59259</v>
      </c>
      <c r="M724" s="49">
        <v>18</v>
      </c>
    </row>
    <row r="725" spans="1:13" x14ac:dyDescent="0.3">
      <c r="A725" s="46" t="s">
        <v>1594</v>
      </c>
      <c r="B725" s="46" t="s">
        <v>79</v>
      </c>
      <c r="C725" s="46" t="s">
        <v>61</v>
      </c>
      <c r="D725" s="46" t="s">
        <v>28</v>
      </c>
      <c r="E725" s="46" t="s">
        <v>268</v>
      </c>
      <c r="F725" s="46" t="s">
        <v>69</v>
      </c>
      <c r="G725" s="46">
        <v>22</v>
      </c>
      <c r="H725" s="46" t="s">
        <v>6645</v>
      </c>
      <c r="I725" s="46" t="s">
        <v>40</v>
      </c>
      <c r="J725" s="47">
        <v>45015</v>
      </c>
      <c r="K725" s="46" t="s">
        <v>87</v>
      </c>
      <c r="L725" s="48">
        <v>53546</v>
      </c>
      <c r="M725" s="49">
        <v>0</v>
      </c>
    </row>
    <row r="726" spans="1:13" x14ac:dyDescent="0.3">
      <c r="A726" s="46" t="s">
        <v>1596</v>
      </c>
      <c r="B726" s="46" t="s">
        <v>79</v>
      </c>
      <c r="C726" s="46" t="s">
        <v>189</v>
      </c>
      <c r="D726" s="46" t="s">
        <v>99</v>
      </c>
      <c r="E726" s="46" t="s">
        <v>151</v>
      </c>
      <c r="F726" s="46" t="s">
        <v>30</v>
      </c>
      <c r="G726" s="46">
        <v>64</v>
      </c>
      <c r="H726" s="46" t="s">
        <v>6643</v>
      </c>
      <c r="I726" s="46" t="s">
        <v>20</v>
      </c>
      <c r="J726" s="47">
        <v>44937</v>
      </c>
      <c r="K726" s="46" t="s">
        <v>97</v>
      </c>
      <c r="L726" s="48">
        <v>4951</v>
      </c>
      <c r="M726" s="49">
        <v>0</v>
      </c>
    </row>
    <row r="727" spans="1:13" x14ac:dyDescent="0.3">
      <c r="A727" s="46" t="s">
        <v>1598</v>
      </c>
      <c r="B727" s="46" t="s">
        <v>6628</v>
      </c>
      <c r="C727" s="46" t="s">
        <v>80</v>
      </c>
      <c r="D727" s="46" t="s">
        <v>67</v>
      </c>
      <c r="E727" s="46" t="s">
        <v>196</v>
      </c>
      <c r="F727" s="46" t="s">
        <v>30</v>
      </c>
      <c r="G727" s="46">
        <v>63</v>
      </c>
      <c r="H727" s="46" t="s">
        <v>6643</v>
      </c>
      <c r="I727" s="46" t="s">
        <v>20</v>
      </c>
      <c r="J727" s="47">
        <v>45360</v>
      </c>
      <c r="K727" s="46" t="s">
        <v>72</v>
      </c>
      <c r="L727" s="48">
        <v>16617</v>
      </c>
      <c r="M727" s="49">
        <v>0</v>
      </c>
    </row>
    <row r="728" spans="1:13" x14ac:dyDescent="0.3">
      <c r="A728" s="46" t="s">
        <v>1599</v>
      </c>
      <c r="B728" s="46" t="s">
        <v>6627</v>
      </c>
      <c r="C728" s="46" t="s">
        <v>189</v>
      </c>
      <c r="D728" s="46" t="s">
        <v>93</v>
      </c>
      <c r="E728" s="46" t="s">
        <v>207</v>
      </c>
      <c r="F728" s="46" t="s">
        <v>30</v>
      </c>
      <c r="G728" s="46">
        <v>18</v>
      </c>
      <c r="H728" s="46" t="s">
        <v>6646</v>
      </c>
      <c r="I728" s="46" t="s">
        <v>20</v>
      </c>
      <c r="J728" s="47">
        <v>45091</v>
      </c>
      <c r="K728" s="46" t="s">
        <v>87</v>
      </c>
      <c r="L728" s="48">
        <v>3773</v>
      </c>
      <c r="M728" s="49">
        <v>3</v>
      </c>
    </row>
    <row r="729" spans="1:13" x14ac:dyDescent="0.3">
      <c r="A729" s="46" t="s">
        <v>1600</v>
      </c>
      <c r="B729" s="46" t="s">
        <v>6626</v>
      </c>
      <c r="C729" s="46" t="s">
        <v>66</v>
      </c>
      <c r="D729" s="46" t="s">
        <v>28</v>
      </c>
      <c r="E729" s="46" t="s">
        <v>290</v>
      </c>
      <c r="F729" s="46" t="s">
        <v>30</v>
      </c>
      <c r="G729" s="46">
        <v>32</v>
      </c>
      <c r="H729" s="46" t="s">
        <v>6645</v>
      </c>
      <c r="I729" s="46" t="s">
        <v>20</v>
      </c>
      <c r="J729" s="47">
        <v>45035</v>
      </c>
      <c r="K729" s="46" t="s">
        <v>91</v>
      </c>
      <c r="L729" s="48">
        <v>9818</v>
      </c>
      <c r="M729" s="49">
        <v>0</v>
      </c>
    </row>
    <row r="730" spans="1:13" x14ac:dyDescent="0.3">
      <c r="A730" s="46" t="s">
        <v>1601</v>
      </c>
      <c r="B730" s="46" t="s">
        <v>6627</v>
      </c>
      <c r="C730" s="46" t="s">
        <v>36</v>
      </c>
      <c r="D730" s="46" t="s">
        <v>17</v>
      </c>
      <c r="E730" s="46" t="s">
        <v>18</v>
      </c>
      <c r="F730" s="46" t="s">
        <v>30</v>
      </c>
      <c r="G730" s="46">
        <v>62</v>
      </c>
      <c r="H730" s="46" t="s">
        <v>6643</v>
      </c>
      <c r="I730" s="46" t="s">
        <v>20</v>
      </c>
      <c r="J730" s="47">
        <v>45147</v>
      </c>
      <c r="K730" s="46" t="s">
        <v>87</v>
      </c>
      <c r="L730" s="48">
        <v>16721</v>
      </c>
      <c r="M730" s="49">
        <v>0</v>
      </c>
    </row>
    <row r="731" spans="1:13" x14ac:dyDescent="0.3">
      <c r="A731" s="46" t="s">
        <v>1603</v>
      </c>
      <c r="B731" s="46" t="s">
        <v>6628</v>
      </c>
      <c r="C731" s="46" t="s">
        <v>80</v>
      </c>
      <c r="D731" s="46" t="s">
        <v>28</v>
      </c>
      <c r="E731" s="46" t="s">
        <v>259</v>
      </c>
      <c r="F731" s="46" t="s">
        <v>69</v>
      </c>
      <c r="G731" s="46">
        <v>42</v>
      </c>
      <c r="H731" s="46" t="s">
        <v>6645</v>
      </c>
      <c r="I731" s="46" t="s">
        <v>20</v>
      </c>
      <c r="J731" s="47">
        <v>44954</v>
      </c>
      <c r="K731" s="46" t="s">
        <v>72</v>
      </c>
      <c r="L731" s="48">
        <v>63485</v>
      </c>
      <c r="M731" s="49">
        <v>3</v>
      </c>
    </row>
    <row r="732" spans="1:13" x14ac:dyDescent="0.3">
      <c r="A732" s="46" t="s">
        <v>1606</v>
      </c>
      <c r="B732" s="46" t="s">
        <v>6627</v>
      </c>
      <c r="C732" s="46" t="s">
        <v>27</v>
      </c>
      <c r="D732" s="46" t="s">
        <v>93</v>
      </c>
      <c r="E732" s="46" t="s">
        <v>144</v>
      </c>
      <c r="F732" s="46" t="s">
        <v>30</v>
      </c>
      <c r="G732" s="46">
        <v>58</v>
      </c>
      <c r="H732" s="46" t="s">
        <v>6645</v>
      </c>
      <c r="I732" s="46" t="s">
        <v>20</v>
      </c>
      <c r="J732" s="47">
        <v>45035</v>
      </c>
      <c r="K732" s="46" t="s">
        <v>87</v>
      </c>
      <c r="L732" s="48">
        <v>11496</v>
      </c>
      <c r="M732" s="49">
        <v>3</v>
      </c>
    </row>
    <row r="733" spans="1:13" x14ac:dyDescent="0.3">
      <c r="A733" s="46" t="s">
        <v>1608</v>
      </c>
      <c r="B733" s="46" t="s">
        <v>6628</v>
      </c>
      <c r="C733" s="46" t="s">
        <v>80</v>
      </c>
      <c r="D733" s="46" t="s">
        <v>28</v>
      </c>
      <c r="E733" s="46" t="s">
        <v>29</v>
      </c>
      <c r="F733" s="46" t="s">
        <v>69</v>
      </c>
      <c r="G733" s="46">
        <v>22</v>
      </c>
      <c r="H733" s="46" t="s">
        <v>6645</v>
      </c>
      <c r="I733" s="46" t="s">
        <v>40</v>
      </c>
      <c r="J733" s="47">
        <v>44944</v>
      </c>
      <c r="K733" s="46" t="s">
        <v>87</v>
      </c>
      <c r="L733" s="48">
        <v>81046</v>
      </c>
      <c r="M733" s="49">
        <v>0</v>
      </c>
    </row>
    <row r="734" spans="1:13" x14ac:dyDescent="0.3">
      <c r="A734" s="46" t="s">
        <v>1611</v>
      </c>
      <c r="B734" s="46" t="s">
        <v>6627</v>
      </c>
      <c r="C734" s="46" t="s">
        <v>16</v>
      </c>
      <c r="D734" s="46" t="s">
        <v>28</v>
      </c>
      <c r="E734" s="46" t="s">
        <v>268</v>
      </c>
      <c r="F734" s="46" t="s">
        <v>30</v>
      </c>
      <c r="G734" s="46">
        <v>32</v>
      </c>
      <c r="H734" s="46" t="s">
        <v>6645</v>
      </c>
      <c r="I734" s="46" t="s">
        <v>40</v>
      </c>
      <c r="J734" s="47">
        <v>45107</v>
      </c>
      <c r="K734" s="46" t="s">
        <v>87</v>
      </c>
      <c r="L734" s="48">
        <v>18794</v>
      </c>
      <c r="M734" s="49">
        <v>0</v>
      </c>
    </row>
    <row r="735" spans="1:13" x14ac:dyDescent="0.3">
      <c r="A735" s="46" t="s">
        <v>1614</v>
      </c>
      <c r="B735" s="46" t="s">
        <v>6627</v>
      </c>
      <c r="C735" s="46" t="s">
        <v>80</v>
      </c>
      <c r="D735" s="46" t="s">
        <v>28</v>
      </c>
      <c r="E735" s="46" t="s">
        <v>290</v>
      </c>
      <c r="F735" s="46" t="s">
        <v>69</v>
      </c>
      <c r="G735" s="46">
        <v>39</v>
      </c>
      <c r="H735" s="46" t="s">
        <v>6645</v>
      </c>
      <c r="I735" s="46" t="s">
        <v>40</v>
      </c>
      <c r="J735" s="47">
        <v>45294</v>
      </c>
      <c r="K735" s="46" t="s">
        <v>91</v>
      </c>
      <c r="L735" s="48">
        <v>66553</v>
      </c>
      <c r="M735" s="49">
        <v>5</v>
      </c>
    </row>
    <row r="736" spans="1:13" x14ac:dyDescent="0.3">
      <c r="A736" s="46" t="s">
        <v>1615</v>
      </c>
      <c r="B736" s="46" t="s">
        <v>6626</v>
      </c>
      <c r="C736" s="46" t="s">
        <v>36</v>
      </c>
      <c r="D736" s="46" t="s">
        <v>17</v>
      </c>
      <c r="E736" s="46" t="s">
        <v>169</v>
      </c>
      <c r="F736" s="46" t="s">
        <v>30</v>
      </c>
      <c r="G736" s="46">
        <v>91</v>
      </c>
      <c r="H736" s="46" t="s">
        <v>6643</v>
      </c>
      <c r="I736" s="46" t="s">
        <v>20</v>
      </c>
      <c r="J736" s="47">
        <v>44930</v>
      </c>
      <c r="K736" s="46" t="s">
        <v>91</v>
      </c>
      <c r="L736" s="48">
        <v>11534</v>
      </c>
      <c r="M736" s="49">
        <v>0</v>
      </c>
    </row>
    <row r="737" spans="1:13" x14ac:dyDescent="0.3">
      <c r="A737" s="46" t="s">
        <v>1617</v>
      </c>
      <c r="B737" s="46" t="s">
        <v>6629</v>
      </c>
      <c r="C737" s="46" t="s">
        <v>27</v>
      </c>
      <c r="D737" s="46" t="s">
        <v>17</v>
      </c>
      <c r="E737" s="46" t="s">
        <v>169</v>
      </c>
      <c r="F737" s="46" t="s">
        <v>30</v>
      </c>
      <c r="G737" s="46">
        <v>88</v>
      </c>
      <c r="H737" s="46" t="s">
        <v>6643</v>
      </c>
      <c r="I737" s="46" t="s">
        <v>40</v>
      </c>
      <c r="J737" s="47">
        <v>45131</v>
      </c>
      <c r="K737" s="46" t="s">
        <v>72</v>
      </c>
      <c r="L737" s="48">
        <v>10196</v>
      </c>
      <c r="M737" s="49">
        <v>3</v>
      </c>
    </row>
    <row r="738" spans="1:13" x14ac:dyDescent="0.3">
      <c r="A738" s="46" t="s">
        <v>1619</v>
      </c>
      <c r="B738" s="46" t="s">
        <v>79</v>
      </c>
      <c r="C738" s="46" t="s">
        <v>16</v>
      </c>
      <c r="D738" s="46" t="s">
        <v>28</v>
      </c>
      <c r="E738" s="46" t="s">
        <v>29</v>
      </c>
      <c r="F738" s="46" t="s">
        <v>30</v>
      </c>
      <c r="G738" s="46">
        <v>76</v>
      </c>
      <c r="H738" s="46" t="s">
        <v>6643</v>
      </c>
      <c r="I738" s="46" t="s">
        <v>20</v>
      </c>
      <c r="J738" s="47">
        <v>45001</v>
      </c>
      <c r="K738" s="46" t="s">
        <v>72</v>
      </c>
      <c r="L738" s="48">
        <v>15334</v>
      </c>
      <c r="M738" s="49">
        <v>0</v>
      </c>
    </row>
    <row r="739" spans="1:13" x14ac:dyDescent="0.3">
      <c r="A739" s="46" t="s">
        <v>1620</v>
      </c>
      <c r="B739" s="46" t="s">
        <v>6626</v>
      </c>
      <c r="C739" s="46" t="s">
        <v>61</v>
      </c>
      <c r="D739" s="46" t="s">
        <v>37</v>
      </c>
      <c r="E739" s="46" t="s">
        <v>56</v>
      </c>
      <c r="F739" s="46" t="s">
        <v>30</v>
      </c>
      <c r="G739" s="46">
        <v>84</v>
      </c>
      <c r="H739" s="46" t="s">
        <v>6643</v>
      </c>
      <c r="I739" s="46" t="s">
        <v>20</v>
      </c>
      <c r="J739" s="47">
        <v>45375</v>
      </c>
      <c r="K739" s="46" t="s">
        <v>97</v>
      </c>
      <c r="L739" s="48">
        <v>9762</v>
      </c>
      <c r="M739" s="49">
        <v>5</v>
      </c>
    </row>
    <row r="740" spans="1:13" x14ac:dyDescent="0.3">
      <c r="A740" s="46" t="s">
        <v>1622</v>
      </c>
      <c r="B740" s="46" t="s">
        <v>6628</v>
      </c>
      <c r="C740" s="46" t="s">
        <v>66</v>
      </c>
      <c r="D740" s="46" t="s">
        <v>17</v>
      </c>
      <c r="E740" s="46" t="s">
        <v>169</v>
      </c>
      <c r="F740" s="46" t="s">
        <v>30</v>
      </c>
      <c r="G740" s="46">
        <v>80</v>
      </c>
      <c r="H740" s="46" t="s">
        <v>6643</v>
      </c>
      <c r="I740" s="46" t="s">
        <v>20</v>
      </c>
      <c r="J740" s="47">
        <v>45051</v>
      </c>
      <c r="K740" s="46" t="s">
        <v>87</v>
      </c>
      <c r="L740" s="48">
        <v>6853</v>
      </c>
      <c r="M740" s="49">
        <v>0</v>
      </c>
    </row>
    <row r="741" spans="1:13" x14ac:dyDescent="0.3">
      <c r="A741" s="46" t="s">
        <v>1624</v>
      </c>
      <c r="B741" s="46" t="s">
        <v>6627</v>
      </c>
      <c r="C741" s="46" t="s">
        <v>27</v>
      </c>
      <c r="D741" s="46" t="s">
        <v>47</v>
      </c>
      <c r="E741" s="46" t="s">
        <v>48</v>
      </c>
      <c r="F741" s="46" t="s">
        <v>30</v>
      </c>
      <c r="G741" s="46">
        <v>40</v>
      </c>
      <c r="H741" s="46" t="s">
        <v>6645</v>
      </c>
      <c r="I741" s="46" t="s">
        <v>20</v>
      </c>
      <c r="J741" s="47">
        <v>45318</v>
      </c>
      <c r="K741" s="46" t="s">
        <v>104</v>
      </c>
      <c r="L741" s="48">
        <v>8381</v>
      </c>
      <c r="M741" s="49">
        <v>40</v>
      </c>
    </row>
    <row r="742" spans="1:13" x14ac:dyDescent="0.3">
      <c r="A742" s="46" t="s">
        <v>1627</v>
      </c>
      <c r="B742" s="46" t="s">
        <v>79</v>
      </c>
      <c r="C742" s="46" t="s">
        <v>27</v>
      </c>
      <c r="D742" s="46" t="s">
        <v>99</v>
      </c>
      <c r="E742" s="46" t="s">
        <v>372</v>
      </c>
      <c r="F742" s="46" t="s">
        <v>69</v>
      </c>
      <c r="G742" s="46">
        <v>13</v>
      </c>
      <c r="H742" s="46" t="s">
        <v>6646</v>
      </c>
      <c r="I742" s="46" t="s">
        <v>40</v>
      </c>
      <c r="J742" s="47">
        <v>45026</v>
      </c>
      <c r="K742" s="46" t="s">
        <v>104</v>
      </c>
      <c r="L742" s="48">
        <v>26125</v>
      </c>
      <c r="M742" s="49">
        <v>35</v>
      </c>
    </row>
    <row r="743" spans="1:13" x14ac:dyDescent="0.3">
      <c r="A743" s="46" t="s">
        <v>1629</v>
      </c>
      <c r="B743" s="46" t="s">
        <v>6626</v>
      </c>
      <c r="C743" s="46" t="s">
        <v>36</v>
      </c>
      <c r="D743" s="46" t="s">
        <v>67</v>
      </c>
      <c r="E743" s="46" t="s">
        <v>196</v>
      </c>
      <c r="F743" s="46" t="s">
        <v>30</v>
      </c>
      <c r="G743" s="46">
        <v>9</v>
      </c>
      <c r="H743" s="46" t="s">
        <v>6644</v>
      </c>
      <c r="I743" s="46" t="s">
        <v>20</v>
      </c>
      <c r="J743" s="47">
        <v>45022</v>
      </c>
      <c r="K743" s="46" t="s">
        <v>72</v>
      </c>
      <c r="L743" s="48">
        <v>18607</v>
      </c>
      <c r="M743" s="49">
        <v>0</v>
      </c>
    </row>
    <row r="744" spans="1:13" x14ac:dyDescent="0.3">
      <c r="A744" s="46" t="s">
        <v>1632</v>
      </c>
      <c r="B744" s="46" t="s">
        <v>6629</v>
      </c>
      <c r="C744" s="46" t="s">
        <v>189</v>
      </c>
      <c r="D744" s="46" t="s">
        <v>74</v>
      </c>
      <c r="E744" s="46" t="s">
        <v>192</v>
      </c>
      <c r="F744" s="46" t="s">
        <v>69</v>
      </c>
      <c r="G744" s="46">
        <v>22</v>
      </c>
      <c r="H744" s="46" t="s">
        <v>6645</v>
      </c>
      <c r="I744" s="46" t="s">
        <v>40</v>
      </c>
      <c r="J744" s="47">
        <v>45096</v>
      </c>
      <c r="K744" s="46" t="s">
        <v>91</v>
      </c>
      <c r="L744" s="48">
        <v>70869</v>
      </c>
      <c r="M744" s="49">
        <v>10</v>
      </c>
    </row>
    <row r="745" spans="1:13" x14ac:dyDescent="0.3">
      <c r="A745" s="46" t="s">
        <v>1633</v>
      </c>
      <c r="B745" s="46" t="s">
        <v>79</v>
      </c>
      <c r="C745" s="46" t="s">
        <v>27</v>
      </c>
      <c r="D745" s="46" t="s">
        <v>37</v>
      </c>
      <c r="E745" s="46" t="s">
        <v>132</v>
      </c>
      <c r="F745" s="46" t="s">
        <v>30</v>
      </c>
      <c r="G745" s="46">
        <v>67</v>
      </c>
      <c r="H745" s="46" t="s">
        <v>6643</v>
      </c>
      <c r="I745" s="46" t="s">
        <v>40</v>
      </c>
      <c r="J745" s="47">
        <v>44982</v>
      </c>
      <c r="K745" s="46" t="s">
        <v>72</v>
      </c>
      <c r="L745" s="48">
        <v>19411</v>
      </c>
      <c r="M745" s="49">
        <v>0</v>
      </c>
    </row>
    <row r="746" spans="1:13" x14ac:dyDescent="0.3">
      <c r="A746" s="46" t="s">
        <v>1635</v>
      </c>
      <c r="B746" s="46" t="s">
        <v>6628</v>
      </c>
      <c r="C746" s="46" t="s">
        <v>16</v>
      </c>
      <c r="D746" s="46" t="s">
        <v>108</v>
      </c>
      <c r="E746" s="46" t="s">
        <v>109</v>
      </c>
      <c r="F746" s="46" t="s">
        <v>30</v>
      </c>
      <c r="G746" s="46">
        <v>25</v>
      </c>
      <c r="H746" s="46" t="s">
        <v>6645</v>
      </c>
      <c r="I746" s="46" t="s">
        <v>40</v>
      </c>
      <c r="J746" s="47">
        <v>45183</v>
      </c>
      <c r="K746" s="46" t="s">
        <v>97</v>
      </c>
      <c r="L746" s="48">
        <v>7807</v>
      </c>
      <c r="M746" s="49">
        <v>0</v>
      </c>
    </row>
    <row r="747" spans="1:13" x14ac:dyDescent="0.3">
      <c r="A747" s="46" t="s">
        <v>1637</v>
      </c>
      <c r="B747" s="46" t="s">
        <v>118</v>
      </c>
      <c r="C747" s="46" t="s">
        <v>36</v>
      </c>
      <c r="D747" s="46" t="s">
        <v>17</v>
      </c>
      <c r="E747" s="46" t="s">
        <v>135</v>
      </c>
      <c r="F747" s="46" t="s">
        <v>30</v>
      </c>
      <c r="G747" s="46">
        <v>34</v>
      </c>
      <c r="H747" s="46" t="s">
        <v>6645</v>
      </c>
      <c r="I747" s="46" t="s">
        <v>40</v>
      </c>
      <c r="J747" s="47">
        <v>44929</v>
      </c>
      <c r="K747" s="46" t="s">
        <v>97</v>
      </c>
      <c r="L747" s="48">
        <v>15674</v>
      </c>
      <c r="M747" s="49">
        <v>0</v>
      </c>
    </row>
    <row r="748" spans="1:13" x14ac:dyDescent="0.3">
      <c r="A748" s="46" t="s">
        <v>1640</v>
      </c>
      <c r="B748" s="46" t="s">
        <v>6627</v>
      </c>
      <c r="C748" s="46" t="s">
        <v>36</v>
      </c>
      <c r="D748" s="46" t="s">
        <v>93</v>
      </c>
      <c r="E748" s="46" t="s">
        <v>144</v>
      </c>
      <c r="F748" s="46" t="s">
        <v>30</v>
      </c>
      <c r="G748" s="46">
        <v>38</v>
      </c>
      <c r="H748" s="46" t="s">
        <v>6645</v>
      </c>
      <c r="I748" s="46" t="s">
        <v>40</v>
      </c>
      <c r="J748" s="47">
        <v>44948</v>
      </c>
      <c r="K748" s="46" t="s">
        <v>87</v>
      </c>
      <c r="L748" s="48">
        <v>17101</v>
      </c>
      <c r="M748" s="49">
        <v>0</v>
      </c>
    </row>
    <row r="749" spans="1:13" x14ac:dyDescent="0.3">
      <c r="A749" s="46" t="s">
        <v>1642</v>
      </c>
      <c r="B749" s="46" t="s">
        <v>6627</v>
      </c>
      <c r="C749" s="46" t="s">
        <v>80</v>
      </c>
      <c r="D749" s="46" t="s">
        <v>99</v>
      </c>
      <c r="E749" s="46" t="s">
        <v>372</v>
      </c>
      <c r="F749" s="46" t="s">
        <v>30</v>
      </c>
      <c r="G749" s="46">
        <v>28</v>
      </c>
      <c r="H749" s="46" t="s">
        <v>6645</v>
      </c>
      <c r="I749" s="46" t="s">
        <v>40</v>
      </c>
      <c r="J749" s="47">
        <v>45009</v>
      </c>
      <c r="K749" s="46" t="s">
        <v>72</v>
      </c>
      <c r="L749" s="48">
        <v>19379</v>
      </c>
      <c r="M749" s="49">
        <v>0</v>
      </c>
    </row>
    <row r="750" spans="1:13" x14ac:dyDescent="0.3">
      <c r="A750" s="46" t="s">
        <v>1643</v>
      </c>
      <c r="B750" s="46" t="s">
        <v>6629</v>
      </c>
      <c r="C750" s="46" t="s">
        <v>16</v>
      </c>
      <c r="D750" s="46" t="s">
        <v>28</v>
      </c>
      <c r="E750" s="46" t="s">
        <v>290</v>
      </c>
      <c r="F750" s="46" t="s">
        <v>30</v>
      </c>
      <c r="G750" s="46">
        <v>64</v>
      </c>
      <c r="H750" s="46" t="s">
        <v>6643</v>
      </c>
      <c r="I750" s="46" t="s">
        <v>20</v>
      </c>
      <c r="J750" s="47">
        <v>45253</v>
      </c>
      <c r="K750" s="46" t="s">
        <v>91</v>
      </c>
      <c r="L750" s="48">
        <v>14528</v>
      </c>
      <c r="M750" s="49">
        <v>10</v>
      </c>
    </row>
    <row r="751" spans="1:13" x14ac:dyDescent="0.3">
      <c r="A751" s="46" t="s">
        <v>1644</v>
      </c>
      <c r="B751" s="46" t="s">
        <v>118</v>
      </c>
      <c r="C751" s="46" t="s">
        <v>189</v>
      </c>
      <c r="D751" s="46" t="s">
        <v>28</v>
      </c>
      <c r="E751" s="46" t="s">
        <v>259</v>
      </c>
      <c r="F751" s="46" t="s">
        <v>30</v>
      </c>
      <c r="G751" s="46">
        <v>64</v>
      </c>
      <c r="H751" s="46" t="s">
        <v>6643</v>
      </c>
      <c r="I751" s="46" t="s">
        <v>20</v>
      </c>
      <c r="J751" s="47">
        <v>44934</v>
      </c>
      <c r="K751" s="46" t="s">
        <v>87</v>
      </c>
      <c r="L751" s="48">
        <v>3769</v>
      </c>
      <c r="M751" s="49">
        <v>10</v>
      </c>
    </row>
    <row r="752" spans="1:13" x14ac:dyDescent="0.3">
      <c r="A752" s="46" t="s">
        <v>1646</v>
      </c>
      <c r="B752" s="46" t="s">
        <v>118</v>
      </c>
      <c r="C752" s="46" t="s">
        <v>80</v>
      </c>
      <c r="D752" s="46" t="s">
        <v>108</v>
      </c>
      <c r="E752" s="46" t="s">
        <v>308</v>
      </c>
      <c r="F752" s="46" t="s">
        <v>69</v>
      </c>
      <c r="G752" s="46">
        <v>74</v>
      </c>
      <c r="H752" s="46" t="s">
        <v>6643</v>
      </c>
      <c r="I752" s="46" t="s">
        <v>20</v>
      </c>
      <c r="J752" s="47">
        <v>45272</v>
      </c>
      <c r="K752" s="46" t="s">
        <v>91</v>
      </c>
      <c r="L752" s="48">
        <v>57613</v>
      </c>
      <c r="M752" s="49">
        <v>5</v>
      </c>
    </row>
    <row r="753" spans="1:13" x14ac:dyDescent="0.3">
      <c r="A753" s="46" t="s">
        <v>1648</v>
      </c>
      <c r="B753" s="46" t="s">
        <v>6627</v>
      </c>
      <c r="C753" s="46" t="s">
        <v>55</v>
      </c>
      <c r="D753" s="46" t="s">
        <v>47</v>
      </c>
      <c r="E753" s="46" t="s">
        <v>364</v>
      </c>
      <c r="F753" s="46" t="s">
        <v>69</v>
      </c>
      <c r="G753" s="46">
        <v>80</v>
      </c>
      <c r="H753" s="46" t="s">
        <v>6643</v>
      </c>
      <c r="I753" s="46" t="s">
        <v>20</v>
      </c>
      <c r="J753" s="47">
        <v>45377</v>
      </c>
      <c r="K753" s="46" t="s">
        <v>104</v>
      </c>
      <c r="L753" s="48">
        <v>68147</v>
      </c>
      <c r="M753" s="49">
        <v>20</v>
      </c>
    </row>
    <row r="754" spans="1:13" x14ac:dyDescent="0.3">
      <c r="A754" s="46" t="s">
        <v>1649</v>
      </c>
      <c r="B754" s="46" t="s">
        <v>6626</v>
      </c>
      <c r="C754" s="46" t="s">
        <v>66</v>
      </c>
      <c r="D754" s="46" t="s">
        <v>17</v>
      </c>
      <c r="E754" s="46" t="s">
        <v>18</v>
      </c>
      <c r="F754" s="46" t="s">
        <v>30</v>
      </c>
      <c r="G754" s="46">
        <v>47</v>
      </c>
      <c r="H754" s="46" t="s">
        <v>6645</v>
      </c>
      <c r="I754" s="46" t="s">
        <v>40</v>
      </c>
      <c r="J754" s="47">
        <v>45110</v>
      </c>
      <c r="K754" s="46" t="s">
        <v>87</v>
      </c>
      <c r="L754" s="48">
        <v>14844</v>
      </c>
      <c r="M754" s="49">
        <v>10</v>
      </c>
    </row>
    <row r="755" spans="1:13" x14ac:dyDescent="0.3">
      <c r="A755" s="46" t="s">
        <v>1651</v>
      </c>
      <c r="B755" s="46" t="s">
        <v>6628</v>
      </c>
      <c r="C755" s="46" t="s">
        <v>61</v>
      </c>
      <c r="D755" s="46" t="s">
        <v>47</v>
      </c>
      <c r="E755" s="46" t="s">
        <v>461</v>
      </c>
      <c r="F755" s="46" t="s">
        <v>30</v>
      </c>
      <c r="G755" s="46">
        <v>41</v>
      </c>
      <c r="H755" s="46" t="s">
        <v>6645</v>
      </c>
      <c r="I755" s="46" t="s">
        <v>20</v>
      </c>
      <c r="J755" s="47">
        <v>44972</v>
      </c>
      <c r="K755" s="46" t="s">
        <v>104</v>
      </c>
      <c r="L755" s="48">
        <v>9595</v>
      </c>
      <c r="M755" s="49">
        <v>0</v>
      </c>
    </row>
    <row r="756" spans="1:13" x14ac:dyDescent="0.3">
      <c r="A756" s="46" t="s">
        <v>1653</v>
      </c>
      <c r="B756" s="46" t="s">
        <v>6626</v>
      </c>
      <c r="C756" s="46" t="s">
        <v>55</v>
      </c>
      <c r="D756" s="46" t="s">
        <v>74</v>
      </c>
      <c r="E756" s="46" t="s">
        <v>172</v>
      </c>
      <c r="F756" s="46" t="s">
        <v>30</v>
      </c>
      <c r="G756" s="46">
        <v>51</v>
      </c>
      <c r="H756" s="46" t="s">
        <v>6645</v>
      </c>
      <c r="I756" s="46" t="s">
        <v>40</v>
      </c>
      <c r="J756" s="47">
        <v>45049</v>
      </c>
      <c r="K756" s="46" t="s">
        <v>87</v>
      </c>
      <c r="L756" s="48">
        <v>14158</v>
      </c>
      <c r="M756" s="49">
        <v>0</v>
      </c>
    </row>
    <row r="757" spans="1:13" x14ac:dyDescent="0.3">
      <c r="A757" s="46" t="s">
        <v>1654</v>
      </c>
      <c r="B757" s="46" t="s">
        <v>6629</v>
      </c>
      <c r="C757" s="46" t="s">
        <v>36</v>
      </c>
      <c r="D757" s="46" t="s">
        <v>47</v>
      </c>
      <c r="E757" s="46" t="s">
        <v>364</v>
      </c>
      <c r="F757" s="46" t="s">
        <v>69</v>
      </c>
      <c r="G757" s="46">
        <v>30</v>
      </c>
      <c r="H757" s="46" t="s">
        <v>6645</v>
      </c>
      <c r="I757" s="46" t="s">
        <v>40</v>
      </c>
      <c r="J757" s="47">
        <v>45406</v>
      </c>
      <c r="K757" s="46" t="s">
        <v>87</v>
      </c>
      <c r="L757" s="48">
        <v>44093</v>
      </c>
      <c r="M757" s="49">
        <v>0</v>
      </c>
    </row>
    <row r="758" spans="1:13" x14ac:dyDescent="0.3">
      <c r="A758" s="46" t="s">
        <v>1655</v>
      </c>
      <c r="B758" s="46" t="s">
        <v>79</v>
      </c>
      <c r="C758" s="46" t="s">
        <v>189</v>
      </c>
      <c r="D758" s="46" t="s">
        <v>99</v>
      </c>
      <c r="E758" s="46" t="s">
        <v>256</v>
      </c>
      <c r="F758" s="46" t="s">
        <v>30</v>
      </c>
      <c r="G758" s="46">
        <v>66</v>
      </c>
      <c r="H758" s="46" t="s">
        <v>6643</v>
      </c>
      <c r="I758" s="46" t="s">
        <v>20</v>
      </c>
      <c r="J758" s="47">
        <v>45141</v>
      </c>
      <c r="K758" s="46" t="s">
        <v>72</v>
      </c>
      <c r="L758" s="48">
        <v>18704</v>
      </c>
      <c r="M758" s="49">
        <v>5</v>
      </c>
    </row>
    <row r="759" spans="1:13" x14ac:dyDescent="0.3">
      <c r="A759" s="46" t="s">
        <v>1657</v>
      </c>
      <c r="B759" s="46" t="s">
        <v>79</v>
      </c>
      <c r="C759" s="46" t="s">
        <v>61</v>
      </c>
      <c r="D759" s="46" t="s">
        <v>108</v>
      </c>
      <c r="E759" s="46" t="s">
        <v>308</v>
      </c>
      <c r="F759" s="46" t="s">
        <v>30</v>
      </c>
      <c r="G759" s="46">
        <v>25</v>
      </c>
      <c r="H759" s="46" t="s">
        <v>6645</v>
      </c>
      <c r="I759" s="46" t="s">
        <v>40</v>
      </c>
      <c r="J759" s="47">
        <v>45214</v>
      </c>
      <c r="K759" s="46" t="s">
        <v>97</v>
      </c>
      <c r="L759" s="48">
        <v>14345</v>
      </c>
      <c r="M759" s="49">
        <v>0</v>
      </c>
    </row>
    <row r="760" spans="1:13" x14ac:dyDescent="0.3">
      <c r="A760" s="46" t="s">
        <v>1658</v>
      </c>
      <c r="B760" s="46" t="s">
        <v>6628</v>
      </c>
      <c r="C760" s="46" t="s">
        <v>27</v>
      </c>
      <c r="D760" s="46" t="s">
        <v>164</v>
      </c>
      <c r="E760" s="46" t="s">
        <v>165</v>
      </c>
      <c r="F760" s="46" t="s">
        <v>30</v>
      </c>
      <c r="G760" s="46">
        <v>68</v>
      </c>
      <c r="H760" s="46" t="s">
        <v>6643</v>
      </c>
      <c r="I760" s="46" t="s">
        <v>20</v>
      </c>
      <c r="J760" s="47">
        <v>45015</v>
      </c>
      <c r="K760" s="46" t="s">
        <v>91</v>
      </c>
      <c r="L760" s="48">
        <v>15204</v>
      </c>
      <c r="M760" s="49">
        <v>5</v>
      </c>
    </row>
    <row r="761" spans="1:13" x14ac:dyDescent="0.3">
      <c r="A761" s="46" t="s">
        <v>1660</v>
      </c>
      <c r="B761" s="46" t="s">
        <v>79</v>
      </c>
      <c r="C761" s="46" t="s">
        <v>36</v>
      </c>
      <c r="D761" s="46" t="s">
        <v>47</v>
      </c>
      <c r="E761" s="46" t="s">
        <v>48</v>
      </c>
      <c r="F761" s="46" t="s">
        <v>30</v>
      </c>
      <c r="G761" s="46">
        <v>54</v>
      </c>
      <c r="H761" s="46" t="s">
        <v>6645</v>
      </c>
      <c r="I761" s="46" t="s">
        <v>40</v>
      </c>
      <c r="J761" s="47">
        <v>45092</v>
      </c>
      <c r="K761" s="46" t="s">
        <v>97</v>
      </c>
      <c r="L761" s="48">
        <v>15103</v>
      </c>
      <c r="M761" s="49">
        <v>3</v>
      </c>
    </row>
    <row r="762" spans="1:13" x14ac:dyDescent="0.3">
      <c r="A762" s="46" t="s">
        <v>1662</v>
      </c>
      <c r="B762" s="46" t="s">
        <v>6628</v>
      </c>
      <c r="C762" s="46" t="s">
        <v>16</v>
      </c>
      <c r="D762" s="46" t="s">
        <v>17</v>
      </c>
      <c r="E762" s="46" t="s">
        <v>18</v>
      </c>
      <c r="F762" s="46" t="s">
        <v>30</v>
      </c>
      <c r="G762" s="46">
        <v>2</v>
      </c>
      <c r="H762" s="46" t="s">
        <v>6644</v>
      </c>
      <c r="I762" s="46" t="s">
        <v>20</v>
      </c>
      <c r="J762" s="47">
        <v>45157</v>
      </c>
      <c r="K762" s="46" t="s">
        <v>97</v>
      </c>
      <c r="L762" s="48">
        <v>7090</v>
      </c>
      <c r="M762" s="49">
        <v>10</v>
      </c>
    </row>
    <row r="763" spans="1:13" x14ac:dyDescent="0.3">
      <c r="A763" s="46" t="s">
        <v>1663</v>
      </c>
      <c r="B763" s="46" t="s">
        <v>6626</v>
      </c>
      <c r="C763" s="46" t="s">
        <v>66</v>
      </c>
      <c r="D763" s="46" t="s">
        <v>108</v>
      </c>
      <c r="E763" s="46" t="s">
        <v>109</v>
      </c>
      <c r="F763" s="46" t="s">
        <v>30</v>
      </c>
      <c r="G763" s="46">
        <v>57</v>
      </c>
      <c r="H763" s="46" t="s">
        <v>6645</v>
      </c>
      <c r="I763" s="46" t="s">
        <v>20</v>
      </c>
      <c r="J763" s="47">
        <v>45080</v>
      </c>
      <c r="K763" s="46" t="s">
        <v>72</v>
      </c>
      <c r="L763" s="48">
        <v>8354</v>
      </c>
      <c r="M763" s="49">
        <v>10</v>
      </c>
    </row>
    <row r="764" spans="1:13" x14ac:dyDescent="0.3">
      <c r="A764" s="46" t="s">
        <v>1664</v>
      </c>
      <c r="B764" s="46" t="s">
        <v>79</v>
      </c>
      <c r="C764" s="46" t="s">
        <v>27</v>
      </c>
      <c r="D764" s="46" t="s">
        <v>93</v>
      </c>
      <c r="E764" s="46" t="s">
        <v>144</v>
      </c>
      <c r="F764" s="46" t="s">
        <v>30</v>
      </c>
      <c r="G764" s="46">
        <v>87</v>
      </c>
      <c r="H764" s="46" t="s">
        <v>6643</v>
      </c>
      <c r="I764" s="46" t="s">
        <v>40</v>
      </c>
      <c r="J764" s="47">
        <v>44962</v>
      </c>
      <c r="K764" s="46" t="s">
        <v>91</v>
      </c>
      <c r="L764" s="48">
        <v>11476</v>
      </c>
      <c r="M764" s="49">
        <v>0</v>
      </c>
    </row>
    <row r="765" spans="1:13" x14ac:dyDescent="0.3">
      <c r="A765" s="46" t="s">
        <v>1666</v>
      </c>
      <c r="B765" s="46" t="s">
        <v>6627</v>
      </c>
      <c r="C765" s="46" t="s">
        <v>27</v>
      </c>
      <c r="D765" s="46" t="s">
        <v>28</v>
      </c>
      <c r="E765" s="46" t="s">
        <v>268</v>
      </c>
      <c r="F765" s="46" t="s">
        <v>30</v>
      </c>
      <c r="G765" s="46">
        <v>48</v>
      </c>
      <c r="H765" s="46" t="s">
        <v>6645</v>
      </c>
      <c r="I765" s="46" t="s">
        <v>40</v>
      </c>
      <c r="J765" s="47">
        <v>45299</v>
      </c>
      <c r="K765" s="46" t="s">
        <v>87</v>
      </c>
      <c r="L765" s="48">
        <v>12205</v>
      </c>
      <c r="M765" s="49">
        <v>0</v>
      </c>
    </row>
    <row r="766" spans="1:13" x14ac:dyDescent="0.3">
      <c r="A766" s="46" t="s">
        <v>1668</v>
      </c>
      <c r="B766" s="46" t="s">
        <v>6628</v>
      </c>
      <c r="C766" s="46" t="s">
        <v>55</v>
      </c>
      <c r="D766" s="46" t="s">
        <v>164</v>
      </c>
      <c r="E766" s="46" t="s">
        <v>219</v>
      </c>
      <c r="F766" s="46" t="s">
        <v>30</v>
      </c>
      <c r="G766" s="46">
        <v>5</v>
      </c>
      <c r="H766" s="46" t="s">
        <v>6644</v>
      </c>
      <c r="I766" s="46" t="s">
        <v>40</v>
      </c>
      <c r="J766" s="47">
        <v>44992</v>
      </c>
      <c r="K766" s="46" t="s">
        <v>72</v>
      </c>
      <c r="L766" s="48">
        <v>9617</v>
      </c>
      <c r="M766" s="49">
        <v>0</v>
      </c>
    </row>
    <row r="767" spans="1:13" x14ac:dyDescent="0.3">
      <c r="A767" s="46" t="s">
        <v>1670</v>
      </c>
      <c r="B767" s="46" t="s">
        <v>79</v>
      </c>
      <c r="C767" s="46" t="s">
        <v>55</v>
      </c>
      <c r="D767" s="46" t="s">
        <v>99</v>
      </c>
      <c r="E767" s="46" t="s">
        <v>151</v>
      </c>
      <c r="F767" s="46" t="s">
        <v>30</v>
      </c>
      <c r="G767" s="46">
        <v>89</v>
      </c>
      <c r="H767" s="46" t="s">
        <v>6643</v>
      </c>
      <c r="I767" s="46" t="s">
        <v>20</v>
      </c>
      <c r="J767" s="47">
        <v>45350</v>
      </c>
      <c r="K767" s="46" t="s">
        <v>97</v>
      </c>
      <c r="L767" s="48">
        <v>14181</v>
      </c>
      <c r="M767" s="49">
        <v>10</v>
      </c>
    </row>
    <row r="768" spans="1:13" x14ac:dyDescent="0.3">
      <c r="A768" s="46" t="s">
        <v>1672</v>
      </c>
      <c r="B768" s="46" t="s">
        <v>6626</v>
      </c>
      <c r="C768" s="46" t="s">
        <v>36</v>
      </c>
      <c r="D768" s="46" t="s">
        <v>93</v>
      </c>
      <c r="E768" s="46" t="s">
        <v>144</v>
      </c>
      <c r="F768" s="46" t="s">
        <v>30</v>
      </c>
      <c r="G768" s="46">
        <v>35</v>
      </c>
      <c r="H768" s="46" t="s">
        <v>6645</v>
      </c>
      <c r="I768" s="46" t="s">
        <v>40</v>
      </c>
      <c r="J768" s="47">
        <v>45196</v>
      </c>
      <c r="K768" s="46" t="s">
        <v>6632</v>
      </c>
      <c r="L768" s="48">
        <v>5392</v>
      </c>
      <c r="M768" s="49">
        <v>10</v>
      </c>
    </row>
    <row r="769" spans="1:13" x14ac:dyDescent="0.3">
      <c r="A769" s="46" t="s">
        <v>1673</v>
      </c>
      <c r="B769" s="46" t="s">
        <v>6627</v>
      </c>
      <c r="C769" s="46" t="s">
        <v>16</v>
      </c>
      <c r="D769" s="46" t="s">
        <v>17</v>
      </c>
      <c r="E769" s="46" t="s">
        <v>135</v>
      </c>
      <c r="F769" s="46" t="s">
        <v>69</v>
      </c>
      <c r="G769" s="46">
        <v>68</v>
      </c>
      <c r="H769" s="46" t="s">
        <v>6643</v>
      </c>
      <c r="I769" s="46" t="s">
        <v>20</v>
      </c>
      <c r="J769" s="47">
        <v>44933</v>
      </c>
      <c r="K769" s="46" t="s">
        <v>87</v>
      </c>
      <c r="L769" s="48">
        <v>67299</v>
      </c>
      <c r="M769" s="49">
        <v>10</v>
      </c>
    </row>
    <row r="770" spans="1:13" x14ac:dyDescent="0.3">
      <c r="A770" s="46" t="s">
        <v>1674</v>
      </c>
      <c r="B770" s="46" t="s">
        <v>118</v>
      </c>
      <c r="C770" s="46" t="s">
        <v>80</v>
      </c>
      <c r="D770" s="46" t="s">
        <v>164</v>
      </c>
      <c r="E770" s="46" t="s">
        <v>219</v>
      </c>
      <c r="F770" s="46" t="s">
        <v>30</v>
      </c>
      <c r="G770" s="46">
        <v>85</v>
      </c>
      <c r="H770" s="46" t="s">
        <v>6643</v>
      </c>
      <c r="I770" s="46" t="s">
        <v>40</v>
      </c>
      <c r="J770" s="47">
        <v>45068</v>
      </c>
      <c r="K770" s="46" t="s">
        <v>72</v>
      </c>
      <c r="L770" s="48">
        <v>6799</v>
      </c>
      <c r="M770" s="49">
        <v>0</v>
      </c>
    </row>
    <row r="771" spans="1:13" x14ac:dyDescent="0.3">
      <c r="A771" s="46" t="s">
        <v>1676</v>
      </c>
      <c r="B771" s="46" t="s">
        <v>6626</v>
      </c>
      <c r="C771" s="46" t="s">
        <v>189</v>
      </c>
      <c r="D771" s="46" t="s">
        <v>37</v>
      </c>
      <c r="E771" s="46" t="s">
        <v>56</v>
      </c>
      <c r="F771" s="46" t="s">
        <v>69</v>
      </c>
      <c r="G771" s="46">
        <v>38</v>
      </c>
      <c r="H771" s="46" t="s">
        <v>6645</v>
      </c>
      <c r="I771" s="46" t="s">
        <v>20</v>
      </c>
      <c r="J771" s="47">
        <v>45354</v>
      </c>
      <c r="K771" s="46" t="s">
        <v>91</v>
      </c>
      <c r="L771" s="48">
        <v>75877</v>
      </c>
      <c r="M771" s="49">
        <v>0</v>
      </c>
    </row>
    <row r="772" spans="1:13" x14ac:dyDescent="0.3">
      <c r="A772" s="46" t="s">
        <v>1677</v>
      </c>
      <c r="B772" s="46" t="s">
        <v>6626</v>
      </c>
      <c r="C772" s="46" t="s">
        <v>80</v>
      </c>
      <c r="D772" s="46" t="s">
        <v>108</v>
      </c>
      <c r="E772" s="46" t="s">
        <v>272</v>
      </c>
      <c r="F772" s="46" t="s">
        <v>30</v>
      </c>
      <c r="G772" s="46">
        <v>45</v>
      </c>
      <c r="H772" s="46" t="s">
        <v>6645</v>
      </c>
      <c r="I772" s="46" t="s">
        <v>40</v>
      </c>
      <c r="J772" s="47">
        <v>45262</v>
      </c>
      <c r="K772" s="46" t="s">
        <v>87</v>
      </c>
      <c r="L772" s="48">
        <v>4674</v>
      </c>
      <c r="M772" s="49">
        <v>0</v>
      </c>
    </row>
    <row r="773" spans="1:13" x14ac:dyDescent="0.3">
      <c r="A773" s="46" t="s">
        <v>1679</v>
      </c>
      <c r="B773" s="46" t="s">
        <v>6626</v>
      </c>
      <c r="C773" s="46" t="s">
        <v>55</v>
      </c>
      <c r="D773" s="46" t="s">
        <v>93</v>
      </c>
      <c r="E773" s="46" t="s">
        <v>94</v>
      </c>
      <c r="F773" s="46" t="s">
        <v>30</v>
      </c>
      <c r="G773" s="46">
        <v>88</v>
      </c>
      <c r="H773" s="46" t="s">
        <v>6643</v>
      </c>
      <c r="I773" s="46" t="s">
        <v>20</v>
      </c>
      <c r="J773" s="47">
        <v>45265</v>
      </c>
      <c r="K773" s="46" t="s">
        <v>72</v>
      </c>
      <c r="L773" s="48">
        <v>14905</v>
      </c>
      <c r="M773" s="49">
        <v>0</v>
      </c>
    </row>
    <row r="774" spans="1:13" x14ac:dyDescent="0.3">
      <c r="A774" s="46" t="s">
        <v>1681</v>
      </c>
      <c r="B774" s="46" t="s">
        <v>6629</v>
      </c>
      <c r="C774" s="46" t="s">
        <v>16</v>
      </c>
      <c r="D774" s="46" t="s">
        <v>93</v>
      </c>
      <c r="E774" s="46" t="s">
        <v>94</v>
      </c>
      <c r="F774" s="46" t="s">
        <v>30</v>
      </c>
      <c r="G774" s="46">
        <v>70</v>
      </c>
      <c r="H774" s="46" t="s">
        <v>6643</v>
      </c>
      <c r="I774" s="46" t="s">
        <v>20</v>
      </c>
      <c r="J774" s="47">
        <v>45392</v>
      </c>
      <c r="K774" s="46" t="s">
        <v>87</v>
      </c>
      <c r="L774" s="48">
        <v>6950</v>
      </c>
      <c r="M774" s="49">
        <v>0</v>
      </c>
    </row>
    <row r="775" spans="1:13" x14ac:dyDescent="0.3">
      <c r="A775" s="46" t="s">
        <v>1682</v>
      </c>
      <c r="B775" s="46" t="s">
        <v>6627</v>
      </c>
      <c r="C775" s="46" t="s">
        <v>66</v>
      </c>
      <c r="D775" s="46" t="s">
        <v>99</v>
      </c>
      <c r="E775" s="46" t="s">
        <v>100</v>
      </c>
      <c r="F775" s="46" t="s">
        <v>69</v>
      </c>
      <c r="G775" s="46">
        <v>18</v>
      </c>
      <c r="H775" s="46" t="s">
        <v>6646</v>
      </c>
      <c r="I775" s="46" t="s">
        <v>40</v>
      </c>
      <c r="J775" s="47">
        <v>45013</v>
      </c>
      <c r="K775" s="46" t="s">
        <v>72</v>
      </c>
      <c r="L775" s="48">
        <v>67136</v>
      </c>
      <c r="M775" s="49">
        <v>0</v>
      </c>
    </row>
    <row r="776" spans="1:13" x14ac:dyDescent="0.3">
      <c r="A776" s="46" t="s">
        <v>1684</v>
      </c>
      <c r="B776" s="46" t="s">
        <v>6627</v>
      </c>
      <c r="C776" s="46" t="s">
        <v>66</v>
      </c>
      <c r="D776" s="46" t="s">
        <v>99</v>
      </c>
      <c r="E776" s="46" t="s">
        <v>151</v>
      </c>
      <c r="F776" s="46" t="s">
        <v>30</v>
      </c>
      <c r="G776" s="46">
        <v>70</v>
      </c>
      <c r="H776" s="46" t="s">
        <v>6643</v>
      </c>
      <c r="I776" s="46" t="s">
        <v>40</v>
      </c>
      <c r="J776" s="47">
        <v>45048</v>
      </c>
      <c r="K776" s="46" t="s">
        <v>97</v>
      </c>
      <c r="L776" s="48">
        <v>13512</v>
      </c>
      <c r="M776" s="49">
        <v>3</v>
      </c>
    </row>
    <row r="777" spans="1:13" x14ac:dyDescent="0.3">
      <c r="A777" s="46" t="s">
        <v>1687</v>
      </c>
      <c r="B777" s="46" t="s">
        <v>6626</v>
      </c>
      <c r="C777" s="46" t="s">
        <v>36</v>
      </c>
      <c r="D777" s="46" t="s">
        <v>108</v>
      </c>
      <c r="E777" s="46" t="s">
        <v>124</v>
      </c>
      <c r="F777" s="46" t="s">
        <v>30</v>
      </c>
      <c r="G777" s="46">
        <v>31</v>
      </c>
      <c r="H777" s="46" t="s">
        <v>6645</v>
      </c>
      <c r="I777" s="46" t="s">
        <v>20</v>
      </c>
      <c r="J777" s="47">
        <v>45326</v>
      </c>
      <c r="K777" s="46" t="s">
        <v>91</v>
      </c>
      <c r="L777" s="48">
        <v>19044</v>
      </c>
      <c r="M777" s="49">
        <v>3</v>
      </c>
    </row>
    <row r="778" spans="1:13" x14ac:dyDescent="0.3">
      <c r="A778" s="46" t="s">
        <v>1688</v>
      </c>
      <c r="B778" s="46" t="s">
        <v>6628</v>
      </c>
      <c r="C778" s="46" t="s">
        <v>27</v>
      </c>
      <c r="D778" s="46" t="s">
        <v>67</v>
      </c>
      <c r="E778" s="46" t="s">
        <v>196</v>
      </c>
      <c r="F778" s="46" t="s">
        <v>69</v>
      </c>
      <c r="G778" s="46">
        <v>41</v>
      </c>
      <c r="H778" s="46" t="s">
        <v>6645</v>
      </c>
      <c r="I778" s="46" t="s">
        <v>20</v>
      </c>
      <c r="J778" s="47">
        <v>45118</v>
      </c>
      <c r="K778" s="46" t="s">
        <v>87</v>
      </c>
      <c r="L778" s="48">
        <v>71613</v>
      </c>
      <c r="M778" s="49">
        <v>0</v>
      </c>
    </row>
    <row r="779" spans="1:13" x14ac:dyDescent="0.3">
      <c r="A779" s="46" t="s">
        <v>1690</v>
      </c>
      <c r="B779" s="46" t="s">
        <v>6626</v>
      </c>
      <c r="C779" s="46" t="s">
        <v>80</v>
      </c>
      <c r="D779" s="46" t="s">
        <v>17</v>
      </c>
      <c r="E779" s="46" t="s">
        <v>169</v>
      </c>
      <c r="F779" s="46" t="s">
        <v>30</v>
      </c>
      <c r="G779" s="46">
        <v>76</v>
      </c>
      <c r="H779" s="46" t="s">
        <v>6643</v>
      </c>
      <c r="I779" s="46" t="s">
        <v>20</v>
      </c>
      <c r="J779" s="47">
        <v>45085</v>
      </c>
      <c r="K779" s="46" t="s">
        <v>72</v>
      </c>
      <c r="L779" s="48">
        <v>13407</v>
      </c>
      <c r="M779" s="49">
        <v>5</v>
      </c>
    </row>
    <row r="780" spans="1:13" x14ac:dyDescent="0.3">
      <c r="A780" s="46" t="s">
        <v>1691</v>
      </c>
      <c r="B780" s="46" t="s">
        <v>6629</v>
      </c>
      <c r="C780" s="46" t="s">
        <v>36</v>
      </c>
      <c r="D780" s="46" t="s">
        <v>28</v>
      </c>
      <c r="E780" s="46" t="s">
        <v>259</v>
      </c>
      <c r="F780" s="46" t="s">
        <v>69</v>
      </c>
      <c r="G780" s="46">
        <v>59</v>
      </c>
      <c r="H780" s="46" t="s">
        <v>6645</v>
      </c>
      <c r="I780" s="46" t="s">
        <v>20</v>
      </c>
      <c r="J780" s="47">
        <v>45029</v>
      </c>
      <c r="K780" s="46" t="s">
        <v>72</v>
      </c>
      <c r="L780" s="48">
        <v>30095</v>
      </c>
      <c r="M780" s="49">
        <v>0</v>
      </c>
    </row>
    <row r="781" spans="1:13" x14ac:dyDescent="0.3">
      <c r="A781" s="46" t="s">
        <v>1694</v>
      </c>
      <c r="B781" s="46" t="s">
        <v>6626</v>
      </c>
      <c r="C781" s="46" t="s">
        <v>189</v>
      </c>
      <c r="D781" s="46" t="s">
        <v>93</v>
      </c>
      <c r="E781" s="46" t="s">
        <v>94</v>
      </c>
      <c r="F781" s="46" t="s">
        <v>30</v>
      </c>
      <c r="G781" s="46">
        <v>81</v>
      </c>
      <c r="H781" s="46" t="s">
        <v>6643</v>
      </c>
      <c r="I781" s="46" t="s">
        <v>20</v>
      </c>
      <c r="J781" s="47">
        <v>45046</v>
      </c>
      <c r="K781" s="46" t="s">
        <v>104</v>
      </c>
      <c r="L781" s="48">
        <v>8328</v>
      </c>
      <c r="M781" s="49">
        <v>35</v>
      </c>
    </row>
    <row r="782" spans="1:13" x14ac:dyDescent="0.3">
      <c r="A782" s="46" t="s">
        <v>1696</v>
      </c>
      <c r="B782" s="46" t="s">
        <v>6629</v>
      </c>
      <c r="C782" s="46" t="s">
        <v>80</v>
      </c>
      <c r="D782" s="46" t="s">
        <v>108</v>
      </c>
      <c r="E782" s="46" t="s">
        <v>109</v>
      </c>
      <c r="F782" s="46" t="s">
        <v>69</v>
      </c>
      <c r="G782" s="46">
        <v>40</v>
      </c>
      <c r="H782" s="46" t="s">
        <v>6645</v>
      </c>
      <c r="I782" s="46" t="s">
        <v>40</v>
      </c>
      <c r="J782" s="47">
        <v>44965</v>
      </c>
      <c r="K782" s="46" t="s">
        <v>97</v>
      </c>
      <c r="L782" s="48">
        <v>61223</v>
      </c>
      <c r="M782" s="49">
        <v>10</v>
      </c>
    </row>
    <row r="783" spans="1:13" x14ac:dyDescent="0.3">
      <c r="A783" s="46" t="s">
        <v>1698</v>
      </c>
      <c r="B783" s="46" t="s">
        <v>6628</v>
      </c>
      <c r="C783" s="46" t="s">
        <v>189</v>
      </c>
      <c r="D783" s="46" t="s">
        <v>99</v>
      </c>
      <c r="E783" s="46" t="s">
        <v>151</v>
      </c>
      <c r="F783" s="46" t="s">
        <v>30</v>
      </c>
      <c r="G783" s="46">
        <v>69</v>
      </c>
      <c r="H783" s="46" t="s">
        <v>6643</v>
      </c>
      <c r="I783" s="46" t="s">
        <v>20</v>
      </c>
      <c r="J783" s="47">
        <v>45323</v>
      </c>
      <c r="K783" s="46" t="s">
        <v>97</v>
      </c>
      <c r="L783" s="48">
        <v>13402</v>
      </c>
      <c r="M783" s="49">
        <v>0</v>
      </c>
    </row>
    <row r="784" spans="1:13" x14ac:dyDescent="0.3">
      <c r="A784" s="46" t="s">
        <v>1700</v>
      </c>
      <c r="B784" s="46" t="s">
        <v>6629</v>
      </c>
      <c r="C784" s="46" t="s">
        <v>55</v>
      </c>
      <c r="D784" s="46" t="s">
        <v>28</v>
      </c>
      <c r="E784" s="46" t="s">
        <v>290</v>
      </c>
      <c r="F784" s="46" t="s">
        <v>30</v>
      </c>
      <c r="G784" s="46">
        <v>1</v>
      </c>
      <c r="H784" s="46" t="s">
        <v>6644</v>
      </c>
      <c r="I784" s="46" t="s">
        <v>40</v>
      </c>
      <c r="J784" s="47">
        <v>45041</v>
      </c>
      <c r="K784" s="46" t="s">
        <v>72</v>
      </c>
      <c r="L784" s="48">
        <v>9357</v>
      </c>
      <c r="M784" s="49">
        <v>0</v>
      </c>
    </row>
    <row r="785" spans="1:13" x14ac:dyDescent="0.3">
      <c r="A785" s="46" t="s">
        <v>1701</v>
      </c>
      <c r="B785" s="46" t="s">
        <v>6628</v>
      </c>
      <c r="C785" s="46" t="s">
        <v>80</v>
      </c>
      <c r="D785" s="46" t="s">
        <v>99</v>
      </c>
      <c r="E785" s="46" t="s">
        <v>372</v>
      </c>
      <c r="F785" s="46" t="s">
        <v>69</v>
      </c>
      <c r="G785" s="46">
        <v>56</v>
      </c>
      <c r="H785" s="46" t="s">
        <v>6645</v>
      </c>
      <c r="I785" s="46" t="s">
        <v>20</v>
      </c>
      <c r="J785" s="47">
        <v>44935</v>
      </c>
      <c r="K785" s="46" t="s">
        <v>104</v>
      </c>
      <c r="L785" s="48">
        <v>22213</v>
      </c>
      <c r="M785" s="49">
        <v>15</v>
      </c>
    </row>
    <row r="786" spans="1:13" x14ac:dyDescent="0.3">
      <c r="A786" s="46" t="s">
        <v>1702</v>
      </c>
      <c r="B786" s="46" t="s">
        <v>6626</v>
      </c>
      <c r="C786" s="46" t="s">
        <v>16</v>
      </c>
      <c r="D786" s="46" t="s">
        <v>47</v>
      </c>
      <c r="E786" s="46" t="s">
        <v>364</v>
      </c>
      <c r="F786" s="46" t="s">
        <v>30</v>
      </c>
      <c r="G786" s="46">
        <v>42</v>
      </c>
      <c r="H786" s="46" t="s">
        <v>6645</v>
      </c>
      <c r="I786" s="46" t="s">
        <v>20</v>
      </c>
      <c r="J786" s="47">
        <v>45361</v>
      </c>
      <c r="K786" s="46" t="s">
        <v>97</v>
      </c>
      <c r="L786" s="48">
        <v>16090</v>
      </c>
      <c r="M786" s="49">
        <v>0</v>
      </c>
    </row>
    <row r="787" spans="1:13" x14ac:dyDescent="0.3">
      <c r="A787" s="46" t="s">
        <v>1703</v>
      </c>
      <c r="B787" s="46" t="s">
        <v>6626</v>
      </c>
      <c r="C787" s="46" t="s">
        <v>55</v>
      </c>
      <c r="D787" s="46" t="s">
        <v>164</v>
      </c>
      <c r="E787" s="46" t="s">
        <v>233</v>
      </c>
      <c r="F787" s="46" t="s">
        <v>69</v>
      </c>
      <c r="G787" s="46">
        <v>25</v>
      </c>
      <c r="H787" s="46" t="s">
        <v>6645</v>
      </c>
      <c r="I787" s="46" t="s">
        <v>40</v>
      </c>
      <c r="J787" s="47">
        <v>45197</v>
      </c>
      <c r="K787" s="46" t="s">
        <v>104</v>
      </c>
      <c r="L787" s="48">
        <v>81800</v>
      </c>
      <c r="M787" s="49">
        <v>5</v>
      </c>
    </row>
    <row r="788" spans="1:13" x14ac:dyDescent="0.3">
      <c r="A788" s="46" t="s">
        <v>1704</v>
      </c>
      <c r="B788" s="46" t="s">
        <v>118</v>
      </c>
      <c r="C788" s="46" t="s">
        <v>189</v>
      </c>
      <c r="D788" s="46" t="s">
        <v>67</v>
      </c>
      <c r="E788" s="46" t="s">
        <v>89</v>
      </c>
      <c r="F788" s="46" t="s">
        <v>30</v>
      </c>
      <c r="G788" s="46">
        <v>54</v>
      </c>
      <c r="H788" s="46" t="s">
        <v>6645</v>
      </c>
      <c r="I788" s="46" t="s">
        <v>40</v>
      </c>
      <c r="J788" s="47">
        <v>45249</v>
      </c>
      <c r="K788" s="46" t="s">
        <v>72</v>
      </c>
      <c r="L788" s="48">
        <v>6353</v>
      </c>
      <c r="M788" s="49">
        <v>3</v>
      </c>
    </row>
    <row r="789" spans="1:13" x14ac:dyDescent="0.3">
      <c r="A789" s="46" t="s">
        <v>1705</v>
      </c>
      <c r="B789" s="46" t="s">
        <v>118</v>
      </c>
      <c r="C789" s="46" t="s">
        <v>80</v>
      </c>
      <c r="D789" s="46" t="s">
        <v>67</v>
      </c>
      <c r="E789" s="46" t="s">
        <v>89</v>
      </c>
      <c r="F789" s="46" t="s">
        <v>69</v>
      </c>
      <c r="G789" s="46">
        <v>69</v>
      </c>
      <c r="H789" s="46" t="s">
        <v>6643</v>
      </c>
      <c r="I789" s="46" t="s">
        <v>20</v>
      </c>
      <c r="J789" s="47">
        <v>45305</v>
      </c>
      <c r="K789" s="46" t="s">
        <v>72</v>
      </c>
      <c r="L789" s="48">
        <v>49726</v>
      </c>
      <c r="M789" s="49">
        <v>0</v>
      </c>
    </row>
    <row r="790" spans="1:13" x14ac:dyDescent="0.3">
      <c r="A790" s="46" t="s">
        <v>1707</v>
      </c>
      <c r="B790" s="46" t="s">
        <v>6626</v>
      </c>
      <c r="C790" s="46" t="s">
        <v>80</v>
      </c>
      <c r="D790" s="46" t="s">
        <v>28</v>
      </c>
      <c r="E790" s="46" t="s">
        <v>259</v>
      </c>
      <c r="F790" s="46" t="s">
        <v>69</v>
      </c>
      <c r="G790" s="46">
        <v>23</v>
      </c>
      <c r="H790" s="46" t="s">
        <v>6645</v>
      </c>
      <c r="I790" s="46" t="s">
        <v>40</v>
      </c>
      <c r="J790" s="47">
        <v>44987</v>
      </c>
      <c r="K790" s="46" t="s">
        <v>104</v>
      </c>
      <c r="L790" s="48">
        <v>34024</v>
      </c>
      <c r="M790" s="49">
        <v>19</v>
      </c>
    </row>
    <row r="791" spans="1:13" x14ac:dyDescent="0.3">
      <c r="A791" s="46" t="s">
        <v>1709</v>
      </c>
      <c r="B791" s="46" t="s">
        <v>6626</v>
      </c>
      <c r="C791" s="46" t="s">
        <v>55</v>
      </c>
      <c r="D791" s="46" t="s">
        <v>17</v>
      </c>
      <c r="E791" s="46" t="s">
        <v>213</v>
      </c>
      <c r="F791" s="46" t="s">
        <v>30</v>
      </c>
      <c r="G791" s="46">
        <v>30</v>
      </c>
      <c r="H791" s="46" t="s">
        <v>6645</v>
      </c>
      <c r="I791" s="46" t="s">
        <v>40</v>
      </c>
      <c r="J791" s="47">
        <v>45152</v>
      </c>
      <c r="K791" s="46" t="s">
        <v>87</v>
      </c>
      <c r="L791" s="48">
        <v>10386</v>
      </c>
      <c r="M791" s="49">
        <v>10</v>
      </c>
    </row>
    <row r="792" spans="1:13" x14ac:dyDescent="0.3">
      <c r="A792" s="46" t="s">
        <v>1711</v>
      </c>
      <c r="B792" s="46" t="s">
        <v>6629</v>
      </c>
      <c r="C792" s="46" t="s">
        <v>16</v>
      </c>
      <c r="D792" s="46" t="s">
        <v>67</v>
      </c>
      <c r="E792" s="46" t="s">
        <v>85</v>
      </c>
      <c r="F792" s="46" t="s">
        <v>69</v>
      </c>
      <c r="G792" s="46">
        <v>30</v>
      </c>
      <c r="H792" s="46" t="s">
        <v>6645</v>
      </c>
      <c r="I792" s="46" t="s">
        <v>40</v>
      </c>
      <c r="J792" s="47">
        <v>45128</v>
      </c>
      <c r="K792" s="46" t="s">
        <v>72</v>
      </c>
      <c r="L792" s="48">
        <v>87406</v>
      </c>
      <c r="M792" s="49">
        <v>0</v>
      </c>
    </row>
    <row r="793" spans="1:13" x14ac:dyDescent="0.3">
      <c r="A793" s="46" t="s">
        <v>1712</v>
      </c>
      <c r="B793" s="46" t="s">
        <v>6627</v>
      </c>
      <c r="C793" s="46" t="s">
        <v>55</v>
      </c>
      <c r="D793" s="46" t="s">
        <v>67</v>
      </c>
      <c r="E793" s="46" t="s">
        <v>85</v>
      </c>
      <c r="F793" s="46" t="s">
        <v>6632</v>
      </c>
      <c r="G793" s="46">
        <v>66</v>
      </c>
      <c r="H793" s="46" t="s">
        <v>6643</v>
      </c>
      <c r="I793" s="46" t="s">
        <v>20</v>
      </c>
      <c r="J793" s="47">
        <v>45370</v>
      </c>
      <c r="K793" s="46" t="s">
        <v>91</v>
      </c>
      <c r="L793" s="48">
        <v>11602</v>
      </c>
      <c r="M793" s="49">
        <v>10</v>
      </c>
    </row>
    <row r="794" spans="1:13" x14ac:dyDescent="0.3">
      <c r="A794" s="46" t="s">
        <v>1713</v>
      </c>
      <c r="B794" s="46" t="s">
        <v>6628</v>
      </c>
      <c r="C794" s="46" t="s">
        <v>80</v>
      </c>
      <c r="D794" s="46" t="s">
        <v>74</v>
      </c>
      <c r="E794" s="46" t="s">
        <v>147</v>
      </c>
      <c r="F794" s="46" t="s">
        <v>30</v>
      </c>
      <c r="G794" s="46">
        <v>65</v>
      </c>
      <c r="H794" s="46" t="s">
        <v>6643</v>
      </c>
      <c r="I794" s="46" t="s">
        <v>20</v>
      </c>
      <c r="J794" s="47">
        <v>45149</v>
      </c>
      <c r="K794" s="46" t="s">
        <v>97</v>
      </c>
      <c r="L794" s="48">
        <v>3633</v>
      </c>
      <c r="M794" s="49">
        <v>0</v>
      </c>
    </row>
    <row r="795" spans="1:13" x14ac:dyDescent="0.3">
      <c r="A795" s="46" t="s">
        <v>1715</v>
      </c>
      <c r="B795" s="46" t="s">
        <v>6626</v>
      </c>
      <c r="C795" s="46" t="s">
        <v>16</v>
      </c>
      <c r="D795" s="46" t="s">
        <v>93</v>
      </c>
      <c r="E795" s="46" t="s">
        <v>121</v>
      </c>
      <c r="F795" s="46" t="s">
        <v>30</v>
      </c>
      <c r="G795" s="46">
        <v>56</v>
      </c>
      <c r="H795" s="46" t="s">
        <v>6645</v>
      </c>
      <c r="I795" s="46" t="s">
        <v>20</v>
      </c>
      <c r="J795" s="47">
        <v>45030</v>
      </c>
      <c r="K795" s="46" t="s">
        <v>97</v>
      </c>
      <c r="L795" s="48">
        <v>5070</v>
      </c>
      <c r="M795" s="49">
        <v>10</v>
      </c>
    </row>
    <row r="796" spans="1:13" x14ac:dyDescent="0.3">
      <c r="A796" s="46" t="s">
        <v>1717</v>
      </c>
      <c r="B796" s="46" t="s">
        <v>6628</v>
      </c>
      <c r="C796" s="46" t="s">
        <v>16</v>
      </c>
      <c r="D796" s="46" t="s">
        <v>93</v>
      </c>
      <c r="E796" s="46" t="s">
        <v>94</v>
      </c>
      <c r="F796" s="46" t="s">
        <v>69</v>
      </c>
      <c r="G796" s="46">
        <v>25</v>
      </c>
      <c r="H796" s="46" t="s">
        <v>6645</v>
      </c>
      <c r="I796" s="46" t="s">
        <v>40</v>
      </c>
      <c r="J796" s="47">
        <v>45132</v>
      </c>
      <c r="K796" s="46" t="s">
        <v>87</v>
      </c>
      <c r="L796" s="48">
        <v>79806</v>
      </c>
      <c r="M796" s="49">
        <v>5</v>
      </c>
    </row>
    <row r="797" spans="1:13" x14ac:dyDescent="0.3">
      <c r="A797" s="46" t="s">
        <v>1719</v>
      </c>
      <c r="B797" s="46" t="s">
        <v>6626</v>
      </c>
      <c r="C797" s="46" t="s">
        <v>16</v>
      </c>
      <c r="D797" s="46" t="s">
        <v>164</v>
      </c>
      <c r="E797" s="46" t="s">
        <v>233</v>
      </c>
      <c r="F797" s="46" t="s">
        <v>30</v>
      </c>
      <c r="G797" s="46">
        <v>21</v>
      </c>
      <c r="H797" s="46" t="s">
        <v>6645</v>
      </c>
      <c r="I797" s="46" t="s">
        <v>20</v>
      </c>
      <c r="J797" s="47">
        <v>44990</v>
      </c>
      <c r="K797" s="46" t="s">
        <v>97</v>
      </c>
      <c r="L797" s="48">
        <v>17861</v>
      </c>
      <c r="M797" s="49">
        <v>0</v>
      </c>
    </row>
    <row r="798" spans="1:13" x14ac:dyDescent="0.3">
      <c r="A798" s="46" t="s">
        <v>1720</v>
      </c>
      <c r="B798" s="46" t="s">
        <v>6627</v>
      </c>
      <c r="C798" s="46" t="s">
        <v>80</v>
      </c>
      <c r="D798" s="46" t="s">
        <v>108</v>
      </c>
      <c r="E798" s="46" t="s">
        <v>124</v>
      </c>
      <c r="F798" s="46" t="s">
        <v>30</v>
      </c>
      <c r="G798" s="46">
        <v>35</v>
      </c>
      <c r="H798" s="46" t="s">
        <v>6645</v>
      </c>
      <c r="I798" s="46" t="s">
        <v>40</v>
      </c>
      <c r="J798" s="47">
        <v>45174</v>
      </c>
      <c r="K798" s="46" t="s">
        <v>72</v>
      </c>
      <c r="L798" s="48">
        <v>13871</v>
      </c>
      <c r="M798" s="49">
        <v>0</v>
      </c>
    </row>
    <row r="799" spans="1:13" x14ac:dyDescent="0.3">
      <c r="A799" s="46" t="s">
        <v>1721</v>
      </c>
      <c r="B799" s="46" t="s">
        <v>6626</v>
      </c>
      <c r="C799" s="46" t="s">
        <v>16</v>
      </c>
      <c r="D799" s="46" t="s">
        <v>28</v>
      </c>
      <c r="E799" s="46" t="s">
        <v>268</v>
      </c>
      <c r="F799" s="46" t="s">
        <v>69</v>
      </c>
      <c r="G799" s="46">
        <v>67</v>
      </c>
      <c r="H799" s="46" t="s">
        <v>6643</v>
      </c>
      <c r="I799" s="46" t="s">
        <v>40</v>
      </c>
      <c r="J799" s="47">
        <v>45348</v>
      </c>
      <c r="K799" s="46" t="s">
        <v>104</v>
      </c>
      <c r="L799" s="48">
        <v>16556</v>
      </c>
      <c r="M799" s="49">
        <v>35</v>
      </c>
    </row>
    <row r="800" spans="1:13" x14ac:dyDescent="0.3">
      <c r="A800" s="46" t="s">
        <v>1723</v>
      </c>
      <c r="B800" s="46" t="s">
        <v>6627</v>
      </c>
      <c r="C800" s="46" t="s">
        <v>27</v>
      </c>
      <c r="D800" s="46" t="s">
        <v>93</v>
      </c>
      <c r="E800" s="46" t="s">
        <v>144</v>
      </c>
      <c r="F800" s="46" t="s">
        <v>30</v>
      </c>
      <c r="G800" s="46">
        <v>21</v>
      </c>
      <c r="H800" s="46" t="s">
        <v>6645</v>
      </c>
      <c r="I800" s="46" t="s">
        <v>40</v>
      </c>
      <c r="J800" s="47">
        <v>45074</v>
      </c>
      <c r="K800" s="46" t="s">
        <v>72</v>
      </c>
      <c r="L800" s="48">
        <v>4093</v>
      </c>
      <c r="M800" s="49">
        <v>0</v>
      </c>
    </row>
    <row r="801" spans="1:13" x14ac:dyDescent="0.3">
      <c r="A801" s="46" t="s">
        <v>1724</v>
      </c>
      <c r="B801" s="46" t="s">
        <v>6626</v>
      </c>
      <c r="C801" s="46" t="s">
        <v>27</v>
      </c>
      <c r="D801" s="46" t="s">
        <v>164</v>
      </c>
      <c r="E801" s="46" t="s">
        <v>219</v>
      </c>
      <c r="F801" s="46" t="s">
        <v>30</v>
      </c>
      <c r="G801" s="46">
        <v>14</v>
      </c>
      <c r="H801" s="46" t="s">
        <v>6646</v>
      </c>
      <c r="I801" s="46" t="s">
        <v>40</v>
      </c>
      <c r="J801" s="47">
        <v>45257</v>
      </c>
      <c r="K801" s="46" t="s">
        <v>91</v>
      </c>
      <c r="L801" s="48">
        <v>4920</v>
      </c>
      <c r="M801" s="49">
        <v>0</v>
      </c>
    </row>
    <row r="802" spans="1:13" x14ac:dyDescent="0.3">
      <c r="A802" s="46" t="s">
        <v>1725</v>
      </c>
      <c r="B802" s="46" t="s">
        <v>79</v>
      </c>
      <c r="C802" s="46" t="s">
        <v>61</v>
      </c>
      <c r="D802" s="46" t="s">
        <v>164</v>
      </c>
      <c r="E802" s="46" t="s">
        <v>233</v>
      </c>
      <c r="F802" s="46" t="s">
        <v>69</v>
      </c>
      <c r="G802" s="46">
        <v>14</v>
      </c>
      <c r="H802" s="46" t="s">
        <v>6646</v>
      </c>
      <c r="I802" s="46" t="s">
        <v>20</v>
      </c>
      <c r="J802" s="47">
        <v>45250</v>
      </c>
      <c r="K802" s="46" t="s">
        <v>72</v>
      </c>
      <c r="L802" s="48">
        <v>60819</v>
      </c>
      <c r="M802" s="49">
        <v>10</v>
      </c>
    </row>
    <row r="803" spans="1:13" x14ac:dyDescent="0.3">
      <c r="A803" s="46" t="s">
        <v>1728</v>
      </c>
      <c r="B803" s="46" t="s">
        <v>6626</v>
      </c>
      <c r="C803" s="46" t="s">
        <v>189</v>
      </c>
      <c r="D803" s="46" t="s">
        <v>93</v>
      </c>
      <c r="E803" s="46" t="s">
        <v>207</v>
      </c>
      <c r="F803" s="46" t="s">
        <v>69</v>
      </c>
      <c r="G803" s="46">
        <v>75</v>
      </c>
      <c r="H803" s="46" t="s">
        <v>6643</v>
      </c>
      <c r="I803" s="46" t="s">
        <v>40</v>
      </c>
      <c r="J803" s="47">
        <v>45131</v>
      </c>
      <c r="K803" s="46" t="s">
        <v>87</v>
      </c>
      <c r="L803" s="48">
        <v>28285</v>
      </c>
      <c r="M803" s="49">
        <v>0</v>
      </c>
    </row>
    <row r="804" spans="1:13" x14ac:dyDescent="0.3">
      <c r="A804" s="46" t="s">
        <v>1730</v>
      </c>
      <c r="B804" s="46" t="s">
        <v>118</v>
      </c>
      <c r="C804" s="46" t="s">
        <v>16</v>
      </c>
      <c r="D804" s="46" t="s">
        <v>108</v>
      </c>
      <c r="E804" s="46" t="s">
        <v>109</v>
      </c>
      <c r="F804" s="46" t="s">
        <v>30</v>
      </c>
      <c r="G804" s="46">
        <v>91</v>
      </c>
      <c r="H804" s="46" t="s">
        <v>6643</v>
      </c>
      <c r="I804" s="46" t="s">
        <v>20</v>
      </c>
      <c r="J804" s="47">
        <v>45276</v>
      </c>
      <c r="K804" s="46" t="s">
        <v>104</v>
      </c>
      <c r="L804" s="48">
        <v>4446</v>
      </c>
      <c r="M804" s="49">
        <v>10</v>
      </c>
    </row>
    <row r="805" spans="1:13" x14ac:dyDescent="0.3">
      <c r="A805" s="46" t="s">
        <v>1733</v>
      </c>
      <c r="B805" s="46" t="s">
        <v>6627</v>
      </c>
      <c r="C805" s="46" t="s">
        <v>36</v>
      </c>
      <c r="D805" s="46" t="s">
        <v>67</v>
      </c>
      <c r="E805" s="46" t="s">
        <v>68</v>
      </c>
      <c r="F805" s="46" t="s">
        <v>30</v>
      </c>
      <c r="G805" s="46">
        <v>31</v>
      </c>
      <c r="H805" s="46" t="s">
        <v>6645</v>
      </c>
      <c r="I805" s="46" t="s">
        <v>40</v>
      </c>
      <c r="J805" s="47">
        <v>45225</v>
      </c>
      <c r="K805" s="46" t="s">
        <v>87</v>
      </c>
      <c r="L805" s="48">
        <v>5864</v>
      </c>
      <c r="M805" s="49">
        <v>10</v>
      </c>
    </row>
    <row r="806" spans="1:13" x14ac:dyDescent="0.3">
      <c r="A806" s="46" t="s">
        <v>1735</v>
      </c>
      <c r="B806" s="46" t="s">
        <v>79</v>
      </c>
      <c r="C806" s="46" t="s">
        <v>61</v>
      </c>
      <c r="D806" s="46" t="s">
        <v>99</v>
      </c>
      <c r="E806" s="46" t="s">
        <v>151</v>
      </c>
      <c r="F806" s="46" t="s">
        <v>30</v>
      </c>
      <c r="G806" s="46">
        <v>63</v>
      </c>
      <c r="H806" s="46" t="s">
        <v>6643</v>
      </c>
      <c r="I806" s="46" t="s">
        <v>20</v>
      </c>
      <c r="J806" s="47">
        <v>45030</v>
      </c>
      <c r="K806" s="46" t="s">
        <v>87</v>
      </c>
      <c r="L806" s="48">
        <v>9503</v>
      </c>
      <c r="M806" s="49">
        <v>0</v>
      </c>
    </row>
    <row r="807" spans="1:13" x14ac:dyDescent="0.3">
      <c r="A807" s="46" t="s">
        <v>1737</v>
      </c>
      <c r="B807" s="46" t="s">
        <v>6628</v>
      </c>
      <c r="C807" s="46" t="s">
        <v>55</v>
      </c>
      <c r="D807" s="46" t="s">
        <v>93</v>
      </c>
      <c r="E807" s="46" t="s">
        <v>207</v>
      </c>
      <c r="F807" s="46" t="s">
        <v>69</v>
      </c>
      <c r="G807" s="46">
        <v>55</v>
      </c>
      <c r="H807" s="46" t="s">
        <v>6645</v>
      </c>
      <c r="I807" s="46" t="s">
        <v>20</v>
      </c>
      <c r="J807" s="47">
        <v>45157</v>
      </c>
      <c r="K807" s="46" t="s">
        <v>91</v>
      </c>
      <c r="L807" s="48">
        <v>38268</v>
      </c>
      <c r="M807" s="49">
        <v>0</v>
      </c>
    </row>
    <row r="808" spans="1:13" x14ac:dyDescent="0.3">
      <c r="A808" s="46" t="s">
        <v>1738</v>
      </c>
      <c r="B808" s="46" t="s">
        <v>6626</v>
      </c>
      <c r="C808" s="46" t="s">
        <v>80</v>
      </c>
      <c r="D808" s="46" t="s">
        <v>37</v>
      </c>
      <c r="E808" s="46" t="s">
        <v>185</v>
      </c>
      <c r="F808" s="46" t="s">
        <v>30</v>
      </c>
      <c r="G808" s="46">
        <v>43</v>
      </c>
      <c r="H808" s="46" t="s">
        <v>6645</v>
      </c>
      <c r="I808" s="46" t="s">
        <v>40</v>
      </c>
      <c r="J808" s="47">
        <v>45221</v>
      </c>
      <c r="K808" s="46" t="s">
        <v>104</v>
      </c>
      <c r="L808" s="48">
        <v>12022</v>
      </c>
      <c r="M808" s="49">
        <v>30</v>
      </c>
    </row>
    <row r="809" spans="1:13" x14ac:dyDescent="0.3">
      <c r="A809" s="46" t="s">
        <v>1740</v>
      </c>
      <c r="B809" s="46" t="s">
        <v>6627</v>
      </c>
      <c r="C809" s="46" t="s">
        <v>36</v>
      </c>
      <c r="D809" s="46" t="s">
        <v>67</v>
      </c>
      <c r="E809" s="46" t="s">
        <v>85</v>
      </c>
      <c r="F809" s="46" t="s">
        <v>30</v>
      </c>
      <c r="G809" s="46">
        <v>68</v>
      </c>
      <c r="H809" s="46" t="s">
        <v>6643</v>
      </c>
      <c r="I809" s="46" t="s">
        <v>40</v>
      </c>
      <c r="J809" s="47">
        <v>45175</v>
      </c>
      <c r="K809" s="46" t="s">
        <v>87</v>
      </c>
      <c r="L809" s="48">
        <v>14062</v>
      </c>
      <c r="M809" s="49">
        <v>5</v>
      </c>
    </row>
    <row r="810" spans="1:13" x14ac:dyDescent="0.3">
      <c r="A810" s="46" t="s">
        <v>1742</v>
      </c>
      <c r="B810" s="46" t="s">
        <v>118</v>
      </c>
      <c r="C810" s="46" t="s">
        <v>66</v>
      </c>
      <c r="D810" s="46" t="s">
        <v>99</v>
      </c>
      <c r="E810" s="46" t="s">
        <v>151</v>
      </c>
      <c r="F810" s="46" t="s">
        <v>30</v>
      </c>
      <c r="G810" s="46">
        <v>68</v>
      </c>
      <c r="H810" s="46" t="s">
        <v>6643</v>
      </c>
      <c r="I810" s="46" t="s">
        <v>20</v>
      </c>
      <c r="J810" s="47">
        <v>45300</v>
      </c>
      <c r="K810" s="46" t="s">
        <v>72</v>
      </c>
      <c r="L810" s="48">
        <v>4678</v>
      </c>
      <c r="M810" s="49">
        <v>0</v>
      </c>
    </row>
    <row r="811" spans="1:13" x14ac:dyDescent="0.3">
      <c r="A811" s="46" t="s">
        <v>1743</v>
      </c>
      <c r="B811" s="46" t="s">
        <v>6626</v>
      </c>
      <c r="C811" s="46" t="s">
        <v>36</v>
      </c>
      <c r="D811" s="46" t="s">
        <v>47</v>
      </c>
      <c r="E811" s="46" t="s">
        <v>175</v>
      </c>
      <c r="F811" s="46" t="s">
        <v>69</v>
      </c>
      <c r="G811" s="46">
        <v>15</v>
      </c>
      <c r="H811" s="46" t="s">
        <v>6646</v>
      </c>
      <c r="I811" s="46" t="s">
        <v>40</v>
      </c>
      <c r="J811" s="47">
        <v>45048</v>
      </c>
      <c r="K811" s="46" t="s">
        <v>87</v>
      </c>
      <c r="L811" s="48">
        <v>85981</v>
      </c>
      <c r="M811" s="49">
        <v>0</v>
      </c>
    </row>
    <row r="812" spans="1:13" x14ac:dyDescent="0.3">
      <c r="A812" s="46" t="s">
        <v>1744</v>
      </c>
      <c r="B812" s="46" t="s">
        <v>6627</v>
      </c>
      <c r="C812" s="46" t="s">
        <v>27</v>
      </c>
      <c r="D812" s="46" t="s">
        <v>74</v>
      </c>
      <c r="E812" s="46" t="s">
        <v>147</v>
      </c>
      <c r="F812" s="46" t="s">
        <v>30</v>
      </c>
      <c r="G812" s="46">
        <v>77</v>
      </c>
      <c r="H812" s="46" t="s">
        <v>6643</v>
      </c>
      <c r="I812" s="46" t="s">
        <v>20</v>
      </c>
      <c r="J812" s="47">
        <v>45123</v>
      </c>
      <c r="K812" s="46" t="s">
        <v>104</v>
      </c>
      <c r="L812" s="48">
        <v>10701</v>
      </c>
      <c r="M812" s="49">
        <v>18</v>
      </c>
    </row>
    <row r="813" spans="1:13" x14ac:dyDescent="0.3">
      <c r="A813" s="46" t="s">
        <v>1747</v>
      </c>
      <c r="B813" s="46" t="s">
        <v>6626</v>
      </c>
      <c r="C813" s="46" t="s">
        <v>189</v>
      </c>
      <c r="D813" s="46" t="s">
        <v>47</v>
      </c>
      <c r="E813" s="46" t="s">
        <v>175</v>
      </c>
      <c r="F813" s="46" t="s">
        <v>6632</v>
      </c>
      <c r="G813" s="46">
        <v>33</v>
      </c>
      <c r="H813" s="46" t="s">
        <v>6645</v>
      </c>
      <c r="I813" s="46" t="s">
        <v>40</v>
      </c>
      <c r="J813" s="47">
        <v>45241</v>
      </c>
      <c r="K813" s="46" t="s">
        <v>97</v>
      </c>
      <c r="L813" s="48">
        <v>21011</v>
      </c>
      <c r="M813" s="49">
        <v>0</v>
      </c>
    </row>
    <row r="814" spans="1:13" x14ac:dyDescent="0.3">
      <c r="A814" s="46" t="s">
        <v>1749</v>
      </c>
      <c r="B814" s="46" t="s">
        <v>79</v>
      </c>
      <c r="C814" s="46" t="s">
        <v>16</v>
      </c>
      <c r="D814" s="46" t="s">
        <v>99</v>
      </c>
      <c r="E814" s="46" t="s">
        <v>372</v>
      </c>
      <c r="F814" s="46" t="s">
        <v>30</v>
      </c>
      <c r="G814" s="46">
        <v>26</v>
      </c>
      <c r="H814" s="46" t="s">
        <v>6645</v>
      </c>
      <c r="I814" s="46" t="s">
        <v>40</v>
      </c>
      <c r="J814" s="47">
        <v>45224</v>
      </c>
      <c r="K814" s="46" t="s">
        <v>72</v>
      </c>
      <c r="L814" s="48">
        <v>14574</v>
      </c>
      <c r="M814" s="49">
        <v>0</v>
      </c>
    </row>
    <row r="815" spans="1:13" x14ac:dyDescent="0.3">
      <c r="A815" s="46" t="s">
        <v>1751</v>
      </c>
      <c r="B815" s="46" t="s">
        <v>6627</v>
      </c>
      <c r="C815" s="46" t="s">
        <v>36</v>
      </c>
      <c r="D815" s="46" t="s">
        <v>108</v>
      </c>
      <c r="E815" s="46" t="s">
        <v>109</v>
      </c>
      <c r="F815" s="46" t="s">
        <v>30</v>
      </c>
      <c r="G815" s="46">
        <v>13</v>
      </c>
      <c r="H815" s="46" t="s">
        <v>6646</v>
      </c>
      <c r="I815" s="46" t="s">
        <v>20</v>
      </c>
      <c r="J815" s="47">
        <v>45091</v>
      </c>
      <c r="K815" s="46" t="s">
        <v>104</v>
      </c>
      <c r="L815" s="48">
        <v>2715</v>
      </c>
      <c r="M815" s="49">
        <v>30</v>
      </c>
    </row>
    <row r="816" spans="1:13" x14ac:dyDescent="0.3">
      <c r="A816" s="46" t="s">
        <v>1752</v>
      </c>
      <c r="B816" s="46" t="s">
        <v>6628</v>
      </c>
      <c r="C816" s="46" t="s">
        <v>27</v>
      </c>
      <c r="D816" s="46" t="s">
        <v>164</v>
      </c>
      <c r="E816" s="46" t="s">
        <v>219</v>
      </c>
      <c r="F816" s="46" t="s">
        <v>30</v>
      </c>
      <c r="G816" s="46">
        <v>39</v>
      </c>
      <c r="H816" s="46" t="s">
        <v>6645</v>
      </c>
      <c r="I816" s="46" t="s">
        <v>40</v>
      </c>
      <c r="J816" s="47">
        <v>44951</v>
      </c>
      <c r="K816" s="46" t="s">
        <v>104</v>
      </c>
      <c r="L816" s="48">
        <v>8555</v>
      </c>
      <c r="M816" s="49">
        <v>25</v>
      </c>
    </row>
    <row r="817" spans="1:13" x14ac:dyDescent="0.3">
      <c r="A817" s="46" t="s">
        <v>1753</v>
      </c>
      <c r="B817" s="46" t="s">
        <v>6628</v>
      </c>
      <c r="C817" s="46" t="s">
        <v>16</v>
      </c>
      <c r="D817" s="46" t="s">
        <v>99</v>
      </c>
      <c r="E817" s="46" t="s">
        <v>151</v>
      </c>
      <c r="F817" s="46" t="s">
        <v>6632</v>
      </c>
      <c r="G817" s="46">
        <v>79</v>
      </c>
      <c r="H817" s="46" t="s">
        <v>6643</v>
      </c>
      <c r="I817" s="46" t="s">
        <v>20</v>
      </c>
      <c r="J817" s="47">
        <v>45336</v>
      </c>
      <c r="K817" s="46" t="s">
        <v>87</v>
      </c>
      <c r="L817" s="48">
        <v>49467</v>
      </c>
      <c r="M817" s="49">
        <v>0</v>
      </c>
    </row>
    <row r="818" spans="1:13" x14ac:dyDescent="0.3">
      <c r="A818" s="46" t="s">
        <v>1754</v>
      </c>
      <c r="B818" s="46" t="s">
        <v>6627</v>
      </c>
      <c r="C818" s="46" t="s">
        <v>61</v>
      </c>
      <c r="D818" s="46" t="s">
        <v>74</v>
      </c>
      <c r="E818" s="46" t="s">
        <v>192</v>
      </c>
      <c r="F818" s="46" t="s">
        <v>30</v>
      </c>
      <c r="G818" s="46">
        <v>52</v>
      </c>
      <c r="H818" s="46" t="s">
        <v>6645</v>
      </c>
      <c r="I818" s="46" t="s">
        <v>40</v>
      </c>
      <c r="J818" s="47">
        <v>45372</v>
      </c>
      <c r="K818" s="46" t="s">
        <v>87</v>
      </c>
      <c r="L818" s="48">
        <v>5938</v>
      </c>
      <c r="M818" s="49">
        <v>10</v>
      </c>
    </row>
    <row r="819" spans="1:13" x14ac:dyDescent="0.3">
      <c r="A819" s="46" t="s">
        <v>1756</v>
      </c>
      <c r="B819" s="46" t="s">
        <v>79</v>
      </c>
      <c r="C819" s="46" t="s">
        <v>61</v>
      </c>
      <c r="D819" s="46" t="s">
        <v>37</v>
      </c>
      <c r="E819" s="46" t="s">
        <v>185</v>
      </c>
      <c r="F819" s="46" t="s">
        <v>69</v>
      </c>
      <c r="G819" s="46">
        <v>57</v>
      </c>
      <c r="H819" s="46" t="s">
        <v>6645</v>
      </c>
      <c r="I819" s="46" t="s">
        <v>40</v>
      </c>
      <c r="J819" s="47">
        <v>45151</v>
      </c>
      <c r="K819" s="46" t="s">
        <v>91</v>
      </c>
      <c r="L819" s="48">
        <v>83383</v>
      </c>
      <c r="M819" s="49">
        <v>0</v>
      </c>
    </row>
    <row r="820" spans="1:13" x14ac:dyDescent="0.3">
      <c r="A820" s="46" t="s">
        <v>1758</v>
      </c>
      <c r="B820" s="46" t="s">
        <v>118</v>
      </c>
      <c r="C820" s="46" t="s">
        <v>27</v>
      </c>
      <c r="D820" s="46" t="s">
        <v>93</v>
      </c>
      <c r="E820" s="46" t="s">
        <v>144</v>
      </c>
      <c r="F820" s="46" t="s">
        <v>30</v>
      </c>
      <c r="G820" s="46">
        <v>77</v>
      </c>
      <c r="H820" s="46" t="s">
        <v>6643</v>
      </c>
      <c r="I820" s="46" t="s">
        <v>40</v>
      </c>
      <c r="J820" s="47">
        <v>45345</v>
      </c>
      <c r="K820" s="46" t="s">
        <v>72</v>
      </c>
      <c r="L820" s="48">
        <v>7608</v>
      </c>
      <c r="M820" s="49">
        <v>10</v>
      </c>
    </row>
    <row r="821" spans="1:13" x14ac:dyDescent="0.3">
      <c r="A821" s="46" t="s">
        <v>1760</v>
      </c>
      <c r="B821" s="46" t="s">
        <v>6628</v>
      </c>
      <c r="C821" s="46" t="s">
        <v>36</v>
      </c>
      <c r="D821" s="46" t="s">
        <v>93</v>
      </c>
      <c r="E821" s="46" t="s">
        <v>144</v>
      </c>
      <c r="F821" s="46" t="s">
        <v>6632</v>
      </c>
      <c r="G821" s="46">
        <v>42</v>
      </c>
      <c r="H821" s="46" t="s">
        <v>6645</v>
      </c>
      <c r="I821" s="46" t="s">
        <v>40</v>
      </c>
      <c r="J821" s="47">
        <v>45374</v>
      </c>
      <c r="K821" s="46" t="s">
        <v>104</v>
      </c>
      <c r="L821" s="48">
        <v>38408</v>
      </c>
      <c r="M821" s="49">
        <v>30</v>
      </c>
    </row>
    <row r="822" spans="1:13" x14ac:dyDescent="0.3">
      <c r="A822" s="46" t="s">
        <v>1761</v>
      </c>
      <c r="B822" s="46" t="s">
        <v>118</v>
      </c>
      <c r="C822" s="46" t="s">
        <v>27</v>
      </c>
      <c r="D822" s="46" t="s">
        <v>99</v>
      </c>
      <c r="E822" s="46" t="s">
        <v>372</v>
      </c>
      <c r="F822" s="46" t="s">
        <v>30</v>
      </c>
      <c r="G822" s="46">
        <v>15</v>
      </c>
      <c r="H822" s="46" t="s">
        <v>6646</v>
      </c>
      <c r="I822" s="46" t="s">
        <v>40</v>
      </c>
      <c r="J822" s="47">
        <v>44995</v>
      </c>
      <c r="K822" s="46" t="s">
        <v>72</v>
      </c>
      <c r="L822" s="48">
        <v>8615</v>
      </c>
      <c r="M822" s="49">
        <v>0</v>
      </c>
    </row>
    <row r="823" spans="1:13" x14ac:dyDescent="0.3">
      <c r="A823" s="46" t="s">
        <v>1764</v>
      </c>
      <c r="B823" s="46" t="s">
        <v>6626</v>
      </c>
      <c r="C823" s="46" t="s">
        <v>189</v>
      </c>
      <c r="D823" s="46" t="s">
        <v>47</v>
      </c>
      <c r="E823" s="46" t="s">
        <v>48</v>
      </c>
      <c r="F823" s="46" t="s">
        <v>30</v>
      </c>
      <c r="G823" s="46">
        <v>13</v>
      </c>
      <c r="H823" s="46" t="s">
        <v>6646</v>
      </c>
      <c r="I823" s="46" t="s">
        <v>40</v>
      </c>
      <c r="J823" s="47">
        <v>45258</v>
      </c>
      <c r="K823" s="46" t="s">
        <v>72</v>
      </c>
      <c r="L823" s="48">
        <v>18313</v>
      </c>
      <c r="M823" s="49">
        <v>0</v>
      </c>
    </row>
    <row r="824" spans="1:13" x14ac:dyDescent="0.3">
      <c r="A824" s="46" t="s">
        <v>1765</v>
      </c>
      <c r="B824" s="46" t="s">
        <v>6626</v>
      </c>
      <c r="C824" s="46" t="s">
        <v>66</v>
      </c>
      <c r="D824" s="46" t="s">
        <v>164</v>
      </c>
      <c r="E824" s="46" t="s">
        <v>233</v>
      </c>
      <c r="F824" s="46" t="s">
        <v>30</v>
      </c>
      <c r="G824" s="46">
        <v>80</v>
      </c>
      <c r="H824" s="46" t="s">
        <v>6643</v>
      </c>
      <c r="I824" s="46" t="s">
        <v>40</v>
      </c>
      <c r="J824" s="47">
        <v>45367</v>
      </c>
      <c r="K824" s="46" t="s">
        <v>91</v>
      </c>
      <c r="L824" s="48">
        <v>5136</v>
      </c>
      <c r="M824" s="49">
        <v>0</v>
      </c>
    </row>
    <row r="825" spans="1:13" x14ac:dyDescent="0.3">
      <c r="A825" s="46" t="s">
        <v>1766</v>
      </c>
      <c r="B825" s="46" t="s">
        <v>118</v>
      </c>
      <c r="C825" s="46" t="s">
        <v>27</v>
      </c>
      <c r="D825" s="46" t="s">
        <v>164</v>
      </c>
      <c r="E825" s="46" t="s">
        <v>282</v>
      </c>
      <c r="F825" s="46" t="s">
        <v>30</v>
      </c>
      <c r="G825" s="46">
        <v>4</v>
      </c>
      <c r="H825" s="46" t="s">
        <v>6644</v>
      </c>
      <c r="I825" s="46" t="s">
        <v>40</v>
      </c>
      <c r="J825" s="47">
        <v>45095</v>
      </c>
      <c r="K825" s="46" t="s">
        <v>72</v>
      </c>
      <c r="L825" s="48">
        <v>19852</v>
      </c>
      <c r="M825" s="49">
        <v>0</v>
      </c>
    </row>
    <row r="826" spans="1:13" x14ac:dyDescent="0.3">
      <c r="A826" s="46" t="s">
        <v>1767</v>
      </c>
      <c r="B826" s="46" t="s">
        <v>6629</v>
      </c>
      <c r="C826" s="46" t="s">
        <v>36</v>
      </c>
      <c r="D826" s="46" t="s">
        <v>28</v>
      </c>
      <c r="E826" s="46" t="s">
        <v>29</v>
      </c>
      <c r="F826" s="46" t="s">
        <v>69</v>
      </c>
      <c r="G826" s="46">
        <v>61</v>
      </c>
      <c r="H826" s="46" t="s">
        <v>6643</v>
      </c>
      <c r="I826" s="46" t="s">
        <v>40</v>
      </c>
      <c r="J826" s="47">
        <v>45344</v>
      </c>
      <c r="K826" s="46" t="s">
        <v>87</v>
      </c>
      <c r="L826" s="48">
        <v>38698</v>
      </c>
      <c r="M826" s="49">
        <v>10</v>
      </c>
    </row>
    <row r="827" spans="1:13" x14ac:dyDescent="0.3">
      <c r="A827" s="46" t="s">
        <v>1769</v>
      </c>
      <c r="B827" s="46" t="s">
        <v>6629</v>
      </c>
      <c r="C827" s="46" t="s">
        <v>55</v>
      </c>
      <c r="D827" s="46" t="s">
        <v>28</v>
      </c>
      <c r="E827" s="46" t="s">
        <v>29</v>
      </c>
      <c r="F827" s="46" t="s">
        <v>30</v>
      </c>
      <c r="G827" s="46">
        <v>87</v>
      </c>
      <c r="H827" s="46" t="s">
        <v>6643</v>
      </c>
      <c r="I827" s="46" t="s">
        <v>20</v>
      </c>
      <c r="J827" s="47">
        <v>45285</v>
      </c>
      <c r="K827" s="46" t="s">
        <v>91</v>
      </c>
      <c r="L827" s="48">
        <v>8785</v>
      </c>
      <c r="M827" s="49">
        <v>0</v>
      </c>
    </row>
    <row r="828" spans="1:13" x14ac:dyDescent="0.3">
      <c r="A828" s="46" t="s">
        <v>1770</v>
      </c>
      <c r="B828" s="46" t="s">
        <v>118</v>
      </c>
      <c r="C828" s="46" t="s">
        <v>189</v>
      </c>
      <c r="D828" s="46" t="s">
        <v>67</v>
      </c>
      <c r="E828" s="46" t="s">
        <v>89</v>
      </c>
      <c r="F828" s="46" t="s">
        <v>30</v>
      </c>
      <c r="G828" s="46">
        <v>46</v>
      </c>
      <c r="H828" s="46" t="s">
        <v>6645</v>
      </c>
      <c r="I828" s="46" t="s">
        <v>40</v>
      </c>
      <c r="J828" s="47">
        <v>45191</v>
      </c>
      <c r="K828" s="46" t="s">
        <v>6632</v>
      </c>
      <c r="L828" s="48">
        <v>5707</v>
      </c>
      <c r="M828" s="49">
        <v>4</v>
      </c>
    </row>
    <row r="829" spans="1:13" x14ac:dyDescent="0.3">
      <c r="A829" s="46" t="s">
        <v>1772</v>
      </c>
      <c r="B829" s="46" t="s">
        <v>6629</v>
      </c>
      <c r="C829" s="46" t="s">
        <v>66</v>
      </c>
      <c r="D829" s="46" t="s">
        <v>93</v>
      </c>
      <c r="E829" s="46" t="s">
        <v>144</v>
      </c>
      <c r="F829" s="46" t="s">
        <v>30</v>
      </c>
      <c r="G829" s="46">
        <v>44</v>
      </c>
      <c r="H829" s="46" t="s">
        <v>6645</v>
      </c>
      <c r="I829" s="46" t="s">
        <v>40</v>
      </c>
      <c r="J829" s="47">
        <v>44933</v>
      </c>
      <c r="K829" s="46" t="s">
        <v>72</v>
      </c>
      <c r="L829" s="48">
        <v>15315</v>
      </c>
      <c r="M829" s="49">
        <v>10</v>
      </c>
    </row>
    <row r="830" spans="1:13" x14ac:dyDescent="0.3">
      <c r="A830" s="46" t="s">
        <v>1773</v>
      </c>
      <c r="B830" s="46" t="s">
        <v>6628</v>
      </c>
      <c r="C830" s="46" t="s">
        <v>55</v>
      </c>
      <c r="D830" s="46" t="s">
        <v>108</v>
      </c>
      <c r="E830" s="46" t="s">
        <v>109</v>
      </c>
      <c r="F830" s="46" t="s">
        <v>30</v>
      </c>
      <c r="G830" s="46">
        <v>2</v>
      </c>
      <c r="H830" s="46" t="s">
        <v>6644</v>
      </c>
      <c r="I830" s="46" t="s">
        <v>20</v>
      </c>
      <c r="J830" s="47">
        <v>45201</v>
      </c>
      <c r="K830" s="46" t="s">
        <v>72</v>
      </c>
      <c r="L830" s="48">
        <v>4949</v>
      </c>
      <c r="M830" s="49">
        <v>0</v>
      </c>
    </row>
    <row r="831" spans="1:13" x14ac:dyDescent="0.3">
      <c r="A831" s="46" t="s">
        <v>1775</v>
      </c>
      <c r="B831" s="46" t="s">
        <v>6627</v>
      </c>
      <c r="C831" s="46" t="s">
        <v>66</v>
      </c>
      <c r="D831" s="46" t="s">
        <v>28</v>
      </c>
      <c r="E831" s="46" t="s">
        <v>268</v>
      </c>
      <c r="F831" s="46" t="s">
        <v>30</v>
      </c>
      <c r="G831" s="46">
        <v>58</v>
      </c>
      <c r="H831" s="46" t="s">
        <v>6645</v>
      </c>
      <c r="I831" s="46" t="s">
        <v>20</v>
      </c>
      <c r="J831" s="47">
        <v>45035</v>
      </c>
      <c r="K831" s="46" t="s">
        <v>72</v>
      </c>
      <c r="L831" s="48">
        <v>14747</v>
      </c>
      <c r="M831" s="49">
        <v>0</v>
      </c>
    </row>
    <row r="832" spans="1:13" x14ac:dyDescent="0.3">
      <c r="A832" s="46" t="s">
        <v>1776</v>
      </c>
      <c r="B832" s="46" t="s">
        <v>79</v>
      </c>
      <c r="C832" s="46" t="s">
        <v>36</v>
      </c>
      <c r="D832" s="46" t="s">
        <v>93</v>
      </c>
      <c r="E832" s="46" t="s">
        <v>121</v>
      </c>
      <c r="F832" s="46" t="s">
        <v>30</v>
      </c>
      <c r="G832" s="46">
        <v>16</v>
      </c>
      <c r="H832" s="46" t="s">
        <v>6646</v>
      </c>
      <c r="I832" s="46" t="s">
        <v>20</v>
      </c>
      <c r="J832" s="47">
        <v>45042</v>
      </c>
      <c r="K832" s="46" t="s">
        <v>72</v>
      </c>
      <c r="L832" s="48">
        <v>8436</v>
      </c>
      <c r="M832" s="49">
        <v>10</v>
      </c>
    </row>
    <row r="833" spans="1:13" x14ac:dyDescent="0.3">
      <c r="A833" s="46" t="s">
        <v>1777</v>
      </c>
      <c r="B833" s="46" t="s">
        <v>79</v>
      </c>
      <c r="C833" s="46" t="s">
        <v>80</v>
      </c>
      <c r="D833" s="46" t="s">
        <v>67</v>
      </c>
      <c r="E833" s="46" t="s">
        <v>85</v>
      </c>
      <c r="F833" s="46" t="s">
        <v>30</v>
      </c>
      <c r="G833" s="46">
        <v>21</v>
      </c>
      <c r="H833" s="46" t="s">
        <v>6645</v>
      </c>
      <c r="I833" s="46" t="s">
        <v>20</v>
      </c>
      <c r="J833" s="47">
        <v>45270</v>
      </c>
      <c r="K833" s="46" t="s">
        <v>91</v>
      </c>
      <c r="L833" s="48">
        <v>3598</v>
      </c>
      <c r="M833" s="49">
        <v>0</v>
      </c>
    </row>
    <row r="834" spans="1:13" x14ac:dyDescent="0.3">
      <c r="A834" s="46" t="s">
        <v>1778</v>
      </c>
      <c r="B834" s="46" t="s">
        <v>6627</v>
      </c>
      <c r="C834" s="46" t="s">
        <v>16</v>
      </c>
      <c r="D834" s="46" t="s">
        <v>37</v>
      </c>
      <c r="E834" s="46" t="s">
        <v>185</v>
      </c>
      <c r="F834" s="46" t="s">
        <v>30</v>
      </c>
      <c r="G834" s="46">
        <v>31</v>
      </c>
      <c r="H834" s="46" t="s">
        <v>6645</v>
      </c>
      <c r="I834" s="46" t="s">
        <v>20</v>
      </c>
      <c r="J834" s="47">
        <v>45311</v>
      </c>
      <c r="K834" s="46" t="s">
        <v>87</v>
      </c>
      <c r="L834" s="48">
        <v>13615</v>
      </c>
      <c r="M834" s="49">
        <v>0</v>
      </c>
    </row>
    <row r="835" spans="1:13" x14ac:dyDescent="0.3">
      <c r="A835" s="46" t="s">
        <v>1779</v>
      </c>
      <c r="B835" s="46" t="s">
        <v>6626</v>
      </c>
      <c r="C835" s="46" t="s">
        <v>189</v>
      </c>
      <c r="D835" s="46" t="s">
        <v>37</v>
      </c>
      <c r="E835" s="46" t="s">
        <v>38</v>
      </c>
      <c r="F835" s="46" t="s">
        <v>30</v>
      </c>
      <c r="G835" s="46">
        <v>92</v>
      </c>
      <c r="H835" s="46" t="s">
        <v>6643</v>
      </c>
      <c r="I835" s="46" t="s">
        <v>40</v>
      </c>
      <c r="J835" s="47">
        <v>45130</v>
      </c>
      <c r="K835" s="46" t="s">
        <v>91</v>
      </c>
      <c r="L835" s="48">
        <v>5630</v>
      </c>
      <c r="M835" s="49">
        <v>3</v>
      </c>
    </row>
    <row r="836" spans="1:13" x14ac:dyDescent="0.3">
      <c r="A836" s="46" t="s">
        <v>1781</v>
      </c>
      <c r="B836" s="46" t="s">
        <v>6627</v>
      </c>
      <c r="C836" s="46" t="s">
        <v>80</v>
      </c>
      <c r="D836" s="46" t="s">
        <v>164</v>
      </c>
      <c r="E836" s="46" t="s">
        <v>233</v>
      </c>
      <c r="F836" s="46" t="s">
        <v>30</v>
      </c>
      <c r="G836" s="46">
        <v>25</v>
      </c>
      <c r="H836" s="46" t="s">
        <v>6645</v>
      </c>
      <c r="I836" s="46" t="s">
        <v>20</v>
      </c>
      <c r="J836" s="47">
        <v>45146</v>
      </c>
      <c r="K836" s="46" t="s">
        <v>104</v>
      </c>
      <c r="L836" s="48">
        <v>9461</v>
      </c>
      <c r="M836" s="49">
        <v>20</v>
      </c>
    </row>
    <row r="837" spans="1:13" x14ac:dyDescent="0.3">
      <c r="A837" s="46" t="s">
        <v>1783</v>
      </c>
      <c r="B837" s="46" t="s">
        <v>79</v>
      </c>
      <c r="C837" s="46" t="s">
        <v>55</v>
      </c>
      <c r="D837" s="46" t="s">
        <v>74</v>
      </c>
      <c r="E837" s="46" t="s">
        <v>147</v>
      </c>
      <c r="F837" s="46" t="s">
        <v>6632</v>
      </c>
      <c r="G837" s="46">
        <v>60</v>
      </c>
      <c r="H837" s="46" t="s">
        <v>6643</v>
      </c>
      <c r="I837" s="46" t="s">
        <v>20</v>
      </c>
      <c r="J837" s="47">
        <v>45085</v>
      </c>
      <c r="K837" s="46" t="s">
        <v>72</v>
      </c>
      <c r="L837" s="48">
        <v>76276</v>
      </c>
      <c r="M837" s="49">
        <v>0</v>
      </c>
    </row>
    <row r="838" spans="1:13" x14ac:dyDescent="0.3">
      <c r="A838" s="46" t="s">
        <v>1784</v>
      </c>
      <c r="B838" s="46" t="s">
        <v>6626</v>
      </c>
      <c r="C838" s="46" t="s">
        <v>80</v>
      </c>
      <c r="D838" s="46" t="s">
        <v>17</v>
      </c>
      <c r="E838" s="46" t="s">
        <v>169</v>
      </c>
      <c r="F838" s="46" t="s">
        <v>30</v>
      </c>
      <c r="G838" s="46">
        <v>39</v>
      </c>
      <c r="H838" s="46" t="s">
        <v>6645</v>
      </c>
      <c r="I838" s="46" t="s">
        <v>20</v>
      </c>
      <c r="J838" s="47">
        <v>45236</v>
      </c>
      <c r="K838" s="46" t="s">
        <v>72</v>
      </c>
      <c r="L838" s="48">
        <v>7550</v>
      </c>
      <c r="M838" s="49">
        <v>5</v>
      </c>
    </row>
    <row r="839" spans="1:13" x14ac:dyDescent="0.3">
      <c r="A839" s="46" t="s">
        <v>1785</v>
      </c>
      <c r="B839" s="46" t="s">
        <v>79</v>
      </c>
      <c r="C839" s="46" t="s">
        <v>55</v>
      </c>
      <c r="D839" s="46" t="s">
        <v>28</v>
      </c>
      <c r="E839" s="46" t="s">
        <v>290</v>
      </c>
      <c r="F839" s="46" t="s">
        <v>30</v>
      </c>
      <c r="G839" s="46">
        <v>32</v>
      </c>
      <c r="H839" s="46" t="s">
        <v>6645</v>
      </c>
      <c r="I839" s="46" t="s">
        <v>40</v>
      </c>
      <c r="J839" s="47">
        <v>44945</v>
      </c>
      <c r="K839" s="46" t="s">
        <v>6632</v>
      </c>
      <c r="L839" s="48">
        <v>3191</v>
      </c>
      <c r="M839" s="49">
        <v>0</v>
      </c>
    </row>
    <row r="840" spans="1:13" x14ac:dyDescent="0.3">
      <c r="A840" s="46" t="s">
        <v>1786</v>
      </c>
      <c r="B840" s="46" t="s">
        <v>6627</v>
      </c>
      <c r="C840" s="46" t="s">
        <v>36</v>
      </c>
      <c r="D840" s="46" t="s">
        <v>17</v>
      </c>
      <c r="E840" s="46" t="s">
        <v>169</v>
      </c>
      <c r="F840" s="46" t="s">
        <v>30</v>
      </c>
      <c r="G840" s="46">
        <v>77</v>
      </c>
      <c r="H840" s="46" t="s">
        <v>6643</v>
      </c>
      <c r="I840" s="46" t="s">
        <v>20</v>
      </c>
      <c r="J840" s="47">
        <v>44984</v>
      </c>
      <c r="K840" s="46" t="s">
        <v>72</v>
      </c>
      <c r="L840" s="48">
        <v>5106</v>
      </c>
      <c r="M840" s="49">
        <v>0</v>
      </c>
    </row>
    <row r="841" spans="1:13" x14ac:dyDescent="0.3">
      <c r="A841" s="46" t="s">
        <v>1787</v>
      </c>
      <c r="B841" s="46" t="s">
        <v>118</v>
      </c>
      <c r="C841" s="46" t="s">
        <v>66</v>
      </c>
      <c r="D841" s="46" t="s">
        <v>74</v>
      </c>
      <c r="E841" s="46" t="s">
        <v>192</v>
      </c>
      <c r="F841" s="46" t="s">
        <v>30</v>
      </c>
      <c r="G841" s="46">
        <v>61</v>
      </c>
      <c r="H841" s="46" t="s">
        <v>6643</v>
      </c>
      <c r="I841" s="46" t="s">
        <v>20</v>
      </c>
      <c r="J841" s="47">
        <v>45087</v>
      </c>
      <c r="K841" s="46" t="s">
        <v>87</v>
      </c>
      <c r="L841" s="48">
        <v>13451</v>
      </c>
      <c r="M841" s="49">
        <v>0</v>
      </c>
    </row>
    <row r="842" spans="1:13" x14ac:dyDescent="0.3">
      <c r="A842" s="46" t="s">
        <v>1789</v>
      </c>
      <c r="B842" s="46" t="s">
        <v>118</v>
      </c>
      <c r="C842" s="46" t="s">
        <v>27</v>
      </c>
      <c r="D842" s="46" t="s">
        <v>164</v>
      </c>
      <c r="E842" s="46" t="s">
        <v>219</v>
      </c>
      <c r="F842" s="46" t="s">
        <v>30</v>
      </c>
      <c r="G842" s="46">
        <v>21</v>
      </c>
      <c r="H842" s="46" t="s">
        <v>6645</v>
      </c>
      <c r="I842" s="46" t="s">
        <v>40</v>
      </c>
      <c r="J842" s="47">
        <v>45082</v>
      </c>
      <c r="K842" s="46" t="s">
        <v>97</v>
      </c>
      <c r="L842" s="48">
        <v>4367</v>
      </c>
      <c r="M842" s="49">
        <v>3</v>
      </c>
    </row>
    <row r="843" spans="1:13" x14ac:dyDescent="0.3">
      <c r="A843" s="46" t="s">
        <v>1791</v>
      </c>
      <c r="B843" s="46" t="s">
        <v>79</v>
      </c>
      <c r="C843" s="46" t="s">
        <v>55</v>
      </c>
      <c r="D843" s="46" t="s">
        <v>28</v>
      </c>
      <c r="E843" s="46" t="s">
        <v>259</v>
      </c>
      <c r="F843" s="46" t="s">
        <v>30</v>
      </c>
      <c r="G843" s="46">
        <v>89</v>
      </c>
      <c r="H843" s="46" t="s">
        <v>6643</v>
      </c>
      <c r="I843" s="46" t="s">
        <v>40</v>
      </c>
      <c r="J843" s="47">
        <v>45315</v>
      </c>
      <c r="K843" s="46" t="s">
        <v>72</v>
      </c>
      <c r="L843" s="48">
        <v>9186</v>
      </c>
      <c r="M843" s="49">
        <v>3</v>
      </c>
    </row>
    <row r="844" spans="1:13" x14ac:dyDescent="0.3">
      <c r="A844" s="46" t="s">
        <v>1793</v>
      </c>
      <c r="B844" s="46" t="s">
        <v>6626</v>
      </c>
      <c r="C844" s="46" t="s">
        <v>61</v>
      </c>
      <c r="D844" s="46" t="s">
        <v>17</v>
      </c>
      <c r="E844" s="46" t="s">
        <v>135</v>
      </c>
      <c r="F844" s="46" t="s">
        <v>30</v>
      </c>
      <c r="G844" s="46">
        <v>70</v>
      </c>
      <c r="H844" s="46" t="s">
        <v>6643</v>
      </c>
      <c r="I844" s="46" t="s">
        <v>40</v>
      </c>
      <c r="J844" s="47">
        <v>45198</v>
      </c>
      <c r="K844" s="46" t="s">
        <v>97</v>
      </c>
      <c r="L844" s="48">
        <v>9048</v>
      </c>
      <c r="M844" s="49">
        <v>0</v>
      </c>
    </row>
    <row r="845" spans="1:13" x14ac:dyDescent="0.3">
      <c r="A845" s="46" t="s">
        <v>1794</v>
      </c>
      <c r="B845" s="46" t="s">
        <v>6628</v>
      </c>
      <c r="C845" s="46" t="s">
        <v>16</v>
      </c>
      <c r="D845" s="46" t="s">
        <v>74</v>
      </c>
      <c r="E845" s="46" t="s">
        <v>172</v>
      </c>
      <c r="F845" s="46" t="s">
        <v>30</v>
      </c>
      <c r="G845" s="46">
        <v>33</v>
      </c>
      <c r="H845" s="46" t="s">
        <v>6645</v>
      </c>
      <c r="I845" s="46" t="s">
        <v>40</v>
      </c>
      <c r="J845" s="47">
        <v>45108</v>
      </c>
      <c r="K845" s="46" t="s">
        <v>97</v>
      </c>
      <c r="L845" s="48">
        <v>14647</v>
      </c>
      <c r="M845" s="49">
        <v>3</v>
      </c>
    </row>
    <row r="846" spans="1:13" x14ac:dyDescent="0.3">
      <c r="A846" s="46" t="s">
        <v>1796</v>
      </c>
      <c r="B846" s="46" t="s">
        <v>6629</v>
      </c>
      <c r="C846" s="46" t="s">
        <v>66</v>
      </c>
      <c r="D846" s="46" t="s">
        <v>28</v>
      </c>
      <c r="E846" s="46" t="s">
        <v>290</v>
      </c>
      <c r="F846" s="46" t="s">
        <v>69</v>
      </c>
      <c r="G846" s="46">
        <v>72</v>
      </c>
      <c r="H846" s="46" t="s">
        <v>6643</v>
      </c>
      <c r="I846" s="46" t="s">
        <v>40</v>
      </c>
      <c r="J846" s="47">
        <v>45242</v>
      </c>
      <c r="K846" s="46" t="s">
        <v>91</v>
      </c>
      <c r="L846" s="48">
        <v>78948</v>
      </c>
      <c r="M846" s="49">
        <v>0</v>
      </c>
    </row>
    <row r="847" spans="1:13" x14ac:dyDescent="0.3">
      <c r="A847" s="46" t="s">
        <v>1797</v>
      </c>
      <c r="B847" s="46" t="s">
        <v>79</v>
      </c>
      <c r="C847" s="46" t="s">
        <v>16</v>
      </c>
      <c r="D847" s="46" t="s">
        <v>99</v>
      </c>
      <c r="E847" s="46" t="s">
        <v>151</v>
      </c>
      <c r="F847" s="46" t="s">
        <v>30</v>
      </c>
      <c r="G847" s="46">
        <v>4</v>
      </c>
      <c r="H847" s="46" t="s">
        <v>6644</v>
      </c>
      <c r="I847" s="46" t="s">
        <v>40</v>
      </c>
      <c r="J847" s="47">
        <v>45157</v>
      </c>
      <c r="K847" s="46" t="s">
        <v>87</v>
      </c>
      <c r="L847" s="48">
        <v>12903</v>
      </c>
      <c r="M847" s="49">
        <v>0</v>
      </c>
    </row>
    <row r="848" spans="1:13" x14ac:dyDescent="0.3">
      <c r="A848" s="46" t="s">
        <v>1798</v>
      </c>
      <c r="B848" s="46" t="s">
        <v>79</v>
      </c>
      <c r="C848" s="46" t="s">
        <v>66</v>
      </c>
      <c r="D848" s="46" t="s">
        <v>37</v>
      </c>
      <c r="E848" s="46" t="s">
        <v>132</v>
      </c>
      <c r="F848" s="46" t="s">
        <v>30</v>
      </c>
      <c r="G848" s="46">
        <v>50</v>
      </c>
      <c r="H848" s="46" t="s">
        <v>6645</v>
      </c>
      <c r="I848" s="46" t="s">
        <v>20</v>
      </c>
      <c r="J848" s="47">
        <v>45236</v>
      </c>
      <c r="K848" s="46" t="s">
        <v>91</v>
      </c>
      <c r="L848" s="48">
        <v>4620</v>
      </c>
      <c r="M848" s="49">
        <v>5</v>
      </c>
    </row>
    <row r="849" spans="1:13" x14ac:dyDescent="0.3">
      <c r="A849" s="46" t="s">
        <v>1800</v>
      </c>
      <c r="B849" s="46" t="s">
        <v>79</v>
      </c>
      <c r="C849" s="46" t="s">
        <v>66</v>
      </c>
      <c r="D849" s="46" t="s">
        <v>28</v>
      </c>
      <c r="E849" s="46" t="s">
        <v>268</v>
      </c>
      <c r="F849" s="46" t="s">
        <v>30</v>
      </c>
      <c r="G849" s="46">
        <v>53</v>
      </c>
      <c r="H849" s="46" t="s">
        <v>6645</v>
      </c>
      <c r="I849" s="46" t="s">
        <v>40</v>
      </c>
      <c r="J849" s="47">
        <v>44937</v>
      </c>
      <c r="K849" s="46" t="s">
        <v>72</v>
      </c>
      <c r="L849" s="48">
        <v>12432</v>
      </c>
      <c r="M849" s="49">
        <v>0</v>
      </c>
    </row>
    <row r="850" spans="1:13" x14ac:dyDescent="0.3">
      <c r="A850" s="46" t="s">
        <v>1802</v>
      </c>
      <c r="B850" s="46" t="s">
        <v>118</v>
      </c>
      <c r="C850" s="46" t="s">
        <v>66</v>
      </c>
      <c r="D850" s="46" t="s">
        <v>17</v>
      </c>
      <c r="E850" s="46" t="s">
        <v>169</v>
      </c>
      <c r="F850" s="46" t="s">
        <v>30</v>
      </c>
      <c r="G850" s="46">
        <v>12</v>
      </c>
      <c r="H850" s="46" t="s">
        <v>6644</v>
      </c>
      <c r="I850" s="46" t="s">
        <v>20</v>
      </c>
      <c r="J850" s="47">
        <v>44977</v>
      </c>
      <c r="K850" s="46" t="s">
        <v>72</v>
      </c>
      <c r="L850" s="48">
        <v>4200</v>
      </c>
      <c r="M850" s="49">
        <v>0</v>
      </c>
    </row>
    <row r="851" spans="1:13" x14ac:dyDescent="0.3">
      <c r="A851" s="46" t="s">
        <v>1804</v>
      </c>
      <c r="B851" s="46" t="s">
        <v>6628</v>
      </c>
      <c r="C851" s="46" t="s">
        <v>189</v>
      </c>
      <c r="D851" s="46" t="s">
        <v>28</v>
      </c>
      <c r="E851" s="46" t="s">
        <v>268</v>
      </c>
      <c r="F851" s="46" t="s">
        <v>30</v>
      </c>
      <c r="G851" s="46">
        <v>77</v>
      </c>
      <c r="H851" s="46" t="s">
        <v>6643</v>
      </c>
      <c r="I851" s="46" t="s">
        <v>40</v>
      </c>
      <c r="J851" s="47">
        <v>45035</v>
      </c>
      <c r="K851" s="46" t="s">
        <v>87</v>
      </c>
      <c r="L851" s="48">
        <v>10134</v>
      </c>
      <c r="M851" s="49">
        <v>0</v>
      </c>
    </row>
    <row r="852" spans="1:13" x14ac:dyDescent="0.3">
      <c r="A852" s="46" t="s">
        <v>1806</v>
      </c>
      <c r="B852" s="46" t="s">
        <v>6628</v>
      </c>
      <c r="C852" s="46" t="s">
        <v>61</v>
      </c>
      <c r="D852" s="46" t="s">
        <v>37</v>
      </c>
      <c r="E852" s="46" t="s">
        <v>132</v>
      </c>
      <c r="F852" s="46" t="s">
        <v>69</v>
      </c>
      <c r="G852" s="46">
        <v>55</v>
      </c>
      <c r="H852" s="46" t="s">
        <v>6645</v>
      </c>
      <c r="I852" s="46" t="s">
        <v>40</v>
      </c>
      <c r="J852" s="47">
        <v>44986</v>
      </c>
      <c r="K852" s="46" t="s">
        <v>72</v>
      </c>
      <c r="L852" s="48">
        <v>65635</v>
      </c>
      <c r="M852" s="49">
        <v>5</v>
      </c>
    </row>
    <row r="853" spans="1:13" x14ac:dyDescent="0.3">
      <c r="A853" s="46" t="s">
        <v>1807</v>
      </c>
      <c r="B853" s="46" t="s">
        <v>6626</v>
      </c>
      <c r="C853" s="46" t="s">
        <v>66</v>
      </c>
      <c r="D853" s="46" t="s">
        <v>74</v>
      </c>
      <c r="E853" s="46" t="s">
        <v>172</v>
      </c>
      <c r="F853" s="46" t="s">
        <v>30</v>
      </c>
      <c r="G853" s="46">
        <v>77</v>
      </c>
      <c r="H853" s="46" t="s">
        <v>6643</v>
      </c>
      <c r="I853" s="46" t="s">
        <v>40</v>
      </c>
      <c r="J853" s="47">
        <v>45229</v>
      </c>
      <c r="K853" s="46" t="s">
        <v>87</v>
      </c>
      <c r="L853" s="48">
        <v>18167</v>
      </c>
      <c r="M853" s="49">
        <v>3</v>
      </c>
    </row>
    <row r="854" spans="1:13" x14ac:dyDescent="0.3">
      <c r="A854" s="46" t="s">
        <v>1809</v>
      </c>
      <c r="B854" s="46" t="s">
        <v>6629</v>
      </c>
      <c r="C854" s="46" t="s">
        <v>61</v>
      </c>
      <c r="D854" s="46" t="s">
        <v>67</v>
      </c>
      <c r="E854" s="46" t="s">
        <v>68</v>
      </c>
      <c r="F854" s="46" t="s">
        <v>6632</v>
      </c>
      <c r="G854" s="46">
        <v>11</v>
      </c>
      <c r="H854" s="46" t="s">
        <v>6644</v>
      </c>
      <c r="I854" s="46" t="s">
        <v>40</v>
      </c>
      <c r="J854" s="47">
        <v>45092</v>
      </c>
      <c r="K854" s="46" t="s">
        <v>97</v>
      </c>
      <c r="L854" s="48">
        <v>4079</v>
      </c>
      <c r="M854" s="49">
        <v>0</v>
      </c>
    </row>
    <row r="855" spans="1:13" x14ac:dyDescent="0.3">
      <c r="A855" s="46" t="s">
        <v>1811</v>
      </c>
      <c r="B855" s="46" t="s">
        <v>6628</v>
      </c>
      <c r="C855" s="46" t="s">
        <v>27</v>
      </c>
      <c r="D855" s="46" t="s">
        <v>67</v>
      </c>
      <c r="E855" s="46" t="s">
        <v>85</v>
      </c>
      <c r="F855" s="46" t="s">
        <v>69</v>
      </c>
      <c r="G855" s="46">
        <v>70</v>
      </c>
      <c r="H855" s="46" t="s">
        <v>6643</v>
      </c>
      <c r="I855" s="46" t="s">
        <v>20</v>
      </c>
      <c r="J855" s="47">
        <v>45286</v>
      </c>
      <c r="K855" s="46" t="s">
        <v>104</v>
      </c>
      <c r="L855" s="48">
        <v>29362</v>
      </c>
      <c r="M855" s="49">
        <v>19</v>
      </c>
    </row>
    <row r="856" spans="1:13" x14ac:dyDescent="0.3">
      <c r="A856" s="46" t="s">
        <v>1814</v>
      </c>
      <c r="B856" s="46" t="s">
        <v>6627</v>
      </c>
      <c r="C856" s="46" t="s">
        <v>189</v>
      </c>
      <c r="D856" s="46" t="s">
        <v>93</v>
      </c>
      <c r="E856" s="46" t="s">
        <v>207</v>
      </c>
      <c r="F856" s="46" t="s">
        <v>30</v>
      </c>
      <c r="G856" s="46">
        <v>5</v>
      </c>
      <c r="H856" s="46" t="s">
        <v>6644</v>
      </c>
      <c r="I856" s="46" t="s">
        <v>40</v>
      </c>
      <c r="J856" s="47">
        <v>45090</v>
      </c>
      <c r="K856" s="46" t="s">
        <v>104</v>
      </c>
      <c r="L856" s="48">
        <v>8047</v>
      </c>
      <c r="M856" s="49">
        <v>18</v>
      </c>
    </row>
    <row r="857" spans="1:13" x14ac:dyDescent="0.3">
      <c r="A857" s="46" t="s">
        <v>1817</v>
      </c>
      <c r="B857" s="46" t="s">
        <v>6628</v>
      </c>
      <c r="C857" s="46" t="s">
        <v>55</v>
      </c>
      <c r="D857" s="46" t="s">
        <v>164</v>
      </c>
      <c r="E857" s="46" t="s">
        <v>233</v>
      </c>
      <c r="F857" s="46" t="s">
        <v>30</v>
      </c>
      <c r="G857" s="46">
        <v>20</v>
      </c>
      <c r="H857" s="46" t="s">
        <v>6645</v>
      </c>
      <c r="I857" s="46" t="s">
        <v>40</v>
      </c>
      <c r="J857" s="47">
        <v>45194</v>
      </c>
      <c r="K857" s="46" t="s">
        <v>91</v>
      </c>
      <c r="L857" s="48">
        <v>6621</v>
      </c>
      <c r="M857" s="49">
        <v>5</v>
      </c>
    </row>
    <row r="858" spans="1:13" x14ac:dyDescent="0.3">
      <c r="A858" s="46" t="s">
        <v>1820</v>
      </c>
      <c r="B858" s="46" t="s">
        <v>118</v>
      </c>
      <c r="C858" s="46" t="s">
        <v>189</v>
      </c>
      <c r="D858" s="46" t="s">
        <v>47</v>
      </c>
      <c r="E858" s="46" t="s">
        <v>461</v>
      </c>
      <c r="F858" s="46" t="s">
        <v>69</v>
      </c>
      <c r="G858" s="46">
        <v>20</v>
      </c>
      <c r="H858" s="46" t="s">
        <v>6645</v>
      </c>
      <c r="I858" s="46" t="s">
        <v>40</v>
      </c>
      <c r="J858" s="47">
        <v>45096</v>
      </c>
      <c r="K858" s="46" t="s">
        <v>87</v>
      </c>
      <c r="L858" s="48">
        <v>69828</v>
      </c>
      <c r="M858" s="49">
        <v>0</v>
      </c>
    </row>
    <row r="859" spans="1:13" x14ac:dyDescent="0.3">
      <c r="A859" s="46" t="s">
        <v>1822</v>
      </c>
      <c r="B859" s="46" t="s">
        <v>6626</v>
      </c>
      <c r="C859" s="46" t="s">
        <v>80</v>
      </c>
      <c r="D859" s="46" t="s">
        <v>108</v>
      </c>
      <c r="E859" s="46" t="s">
        <v>308</v>
      </c>
      <c r="F859" s="46" t="s">
        <v>69</v>
      </c>
      <c r="G859" s="46">
        <v>11</v>
      </c>
      <c r="H859" s="46" t="s">
        <v>6644</v>
      </c>
      <c r="I859" s="46" t="s">
        <v>40</v>
      </c>
      <c r="J859" s="47">
        <v>45142</v>
      </c>
      <c r="K859" s="46" t="s">
        <v>72</v>
      </c>
      <c r="L859" s="48">
        <v>37885</v>
      </c>
      <c r="M859" s="49">
        <v>3</v>
      </c>
    </row>
    <row r="860" spans="1:13" x14ac:dyDescent="0.3">
      <c r="A860" s="46" t="s">
        <v>1823</v>
      </c>
      <c r="B860" s="46" t="s">
        <v>6628</v>
      </c>
      <c r="C860" s="46" t="s">
        <v>61</v>
      </c>
      <c r="D860" s="46" t="s">
        <v>99</v>
      </c>
      <c r="E860" s="46" t="s">
        <v>151</v>
      </c>
      <c r="F860" s="46" t="s">
        <v>30</v>
      </c>
      <c r="G860" s="46">
        <v>54</v>
      </c>
      <c r="H860" s="46" t="s">
        <v>6645</v>
      </c>
      <c r="I860" s="46" t="s">
        <v>20</v>
      </c>
      <c r="J860" s="47">
        <v>45014</v>
      </c>
      <c r="K860" s="46" t="s">
        <v>72</v>
      </c>
      <c r="L860" s="48">
        <v>16756</v>
      </c>
      <c r="M860" s="49">
        <v>10</v>
      </c>
    </row>
    <row r="861" spans="1:13" x14ac:dyDescent="0.3">
      <c r="A861" s="46" t="s">
        <v>1826</v>
      </c>
      <c r="B861" s="46" t="s">
        <v>6629</v>
      </c>
      <c r="C861" s="46" t="s">
        <v>16</v>
      </c>
      <c r="D861" s="46" t="s">
        <v>37</v>
      </c>
      <c r="E861" s="46" t="s">
        <v>38</v>
      </c>
      <c r="F861" s="46" t="s">
        <v>30</v>
      </c>
      <c r="G861" s="46">
        <v>50</v>
      </c>
      <c r="H861" s="46" t="s">
        <v>6645</v>
      </c>
      <c r="I861" s="46" t="s">
        <v>20</v>
      </c>
      <c r="J861" s="47">
        <v>44990</v>
      </c>
      <c r="K861" s="46" t="s">
        <v>97</v>
      </c>
      <c r="L861" s="48">
        <v>9340</v>
      </c>
      <c r="M861" s="49">
        <v>3</v>
      </c>
    </row>
    <row r="862" spans="1:13" x14ac:dyDescent="0.3">
      <c r="A862" s="46" t="s">
        <v>1827</v>
      </c>
      <c r="B862" s="46" t="s">
        <v>79</v>
      </c>
      <c r="C862" s="46" t="s">
        <v>27</v>
      </c>
      <c r="D862" s="46" t="s">
        <v>47</v>
      </c>
      <c r="E862" s="46" t="s">
        <v>461</v>
      </c>
      <c r="F862" s="46" t="s">
        <v>30</v>
      </c>
      <c r="G862" s="46">
        <v>5</v>
      </c>
      <c r="H862" s="46" t="s">
        <v>6644</v>
      </c>
      <c r="I862" s="46" t="s">
        <v>20</v>
      </c>
      <c r="J862" s="47">
        <v>45113</v>
      </c>
      <c r="K862" s="46" t="s">
        <v>87</v>
      </c>
      <c r="L862" s="48">
        <v>16913</v>
      </c>
      <c r="M862" s="49">
        <v>5</v>
      </c>
    </row>
    <row r="863" spans="1:13" x14ac:dyDescent="0.3">
      <c r="A863" s="46" t="s">
        <v>1828</v>
      </c>
      <c r="B863" s="46" t="s">
        <v>6628</v>
      </c>
      <c r="C863" s="46" t="s">
        <v>189</v>
      </c>
      <c r="D863" s="46" t="s">
        <v>164</v>
      </c>
      <c r="E863" s="46" t="s">
        <v>233</v>
      </c>
      <c r="F863" s="46" t="s">
        <v>30</v>
      </c>
      <c r="G863" s="46">
        <v>53</v>
      </c>
      <c r="H863" s="46" t="s">
        <v>6645</v>
      </c>
      <c r="I863" s="46" t="s">
        <v>20</v>
      </c>
      <c r="J863" s="47">
        <v>45121</v>
      </c>
      <c r="K863" s="46" t="s">
        <v>6632</v>
      </c>
      <c r="L863" s="48">
        <v>4169</v>
      </c>
      <c r="M863" s="49">
        <v>0</v>
      </c>
    </row>
    <row r="864" spans="1:13" x14ac:dyDescent="0.3">
      <c r="A864" s="46" t="s">
        <v>1830</v>
      </c>
      <c r="B864" s="46" t="s">
        <v>6628</v>
      </c>
      <c r="C864" s="46" t="s">
        <v>16</v>
      </c>
      <c r="D864" s="46" t="s">
        <v>108</v>
      </c>
      <c r="E864" s="46" t="s">
        <v>124</v>
      </c>
      <c r="F864" s="46" t="s">
        <v>69</v>
      </c>
      <c r="G864" s="46">
        <v>26</v>
      </c>
      <c r="H864" s="46" t="s">
        <v>6645</v>
      </c>
      <c r="I864" s="46" t="s">
        <v>40</v>
      </c>
      <c r="J864" s="47">
        <v>45123</v>
      </c>
      <c r="K864" s="46" t="s">
        <v>104</v>
      </c>
      <c r="L864" s="48">
        <v>66801</v>
      </c>
      <c r="M864" s="49">
        <v>18</v>
      </c>
    </row>
    <row r="865" spans="1:13" x14ac:dyDescent="0.3">
      <c r="A865" s="46" t="s">
        <v>1832</v>
      </c>
      <c r="B865" s="46" t="s">
        <v>118</v>
      </c>
      <c r="C865" s="46" t="s">
        <v>61</v>
      </c>
      <c r="D865" s="46" t="s">
        <v>108</v>
      </c>
      <c r="E865" s="46" t="s">
        <v>124</v>
      </c>
      <c r="F865" s="46" t="s">
        <v>69</v>
      </c>
      <c r="G865" s="46">
        <v>46</v>
      </c>
      <c r="H865" s="46" t="s">
        <v>6645</v>
      </c>
      <c r="I865" s="46" t="s">
        <v>40</v>
      </c>
      <c r="J865" s="47">
        <v>45384</v>
      </c>
      <c r="K865" s="46" t="s">
        <v>87</v>
      </c>
      <c r="L865" s="48">
        <v>66304</v>
      </c>
      <c r="M865" s="49">
        <v>5</v>
      </c>
    </row>
    <row r="866" spans="1:13" x14ac:dyDescent="0.3">
      <c r="A866" s="46" t="s">
        <v>1833</v>
      </c>
      <c r="B866" s="46" t="s">
        <v>118</v>
      </c>
      <c r="C866" s="46" t="s">
        <v>66</v>
      </c>
      <c r="D866" s="46" t="s">
        <v>67</v>
      </c>
      <c r="E866" s="46" t="s">
        <v>68</v>
      </c>
      <c r="F866" s="46" t="s">
        <v>30</v>
      </c>
      <c r="G866" s="46">
        <v>73</v>
      </c>
      <c r="H866" s="46" t="s">
        <v>6643</v>
      </c>
      <c r="I866" s="46" t="s">
        <v>20</v>
      </c>
      <c r="J866" s="47">
        <v>45364</v>
      </c>
      <c r="K866" s="46" t="s">
        <v>87</v>
      </c>
      <c r="L866" s="48">
        <v>7901</v>
      </c>
      <c r="M866" s="49">
        <v>10</v>
      </c>
    </row>
    <row r="867" spans="1:13" x14ac:dyDescent="0.3">
      <c r="A867" s="46" t="s">
        <v>1836</v>
      </c>
      <c r="B867" s="46" t="s">
        <v>6628</v>
      </c>
      <c r="C867" s="46" t="s">
        <v>80</v>
      </c>
      <c r="D867" s="46" t="s">
        <v>99</v>
      </c>
      <c r="E867" s="46" t="s">
        <v>100</v>
      </c>
      <c r="F867" s="46" t="s">
        <v>30</v>
      </c>
      <c r="G867" s="46">
        <v>13</v>
      </c>
      <c r="H867" s="46" t="s">
        <v>6646</v>
      </c>
      <c r="I867" s="46" t="s">
        <v>20</v>
      </c>
      <c r="J867" s="47">
        <v>45019</v>
      </c>
      <c r="K867" s="46" t="s">
        <v>97</v>
      </c>
      <c r="L867" s="48">
        <v>19276</v>
      </c>
      <c r="M867" s="49">
        <v>0</v>
      </c>
    </row>
    <row r="868" spans="1:13" x14ac:dyDescent="0.3">
      <c r="A868" s="46" t="s">
        <v>1838</v>
      </c>
      <c r="B868" s="46" t="s">
        <v>6627</v>
      </c>
      <c r="C868" s="46" t="s">
        <v>16</v>
      </c>
      <c r="D868" s="46" t="s">
        <v>67</v>
      </c>
      <c r="E868" s="46" t="s">
        <v>89</v>
      </c>
      <c r="F868" s="46" t="s">
        <v>30</v>
      </c>
      <c r="G868" s="46">
        <v>32</v>
      </c>
      <c r="H868" s="46" t="s">
        <v>6645</v>
      </c>
      <c r="I868" s="46" t="s">
        <v>20</v>
      </c>
      <c r="J868" s="47">
        <v>45389</v>
      </c>
      <c r="K868" s="46" t="s">
        <v>104</v>
      </c>
      <c r="L868" s="48">
        <v>14063</v>
      </c>
      <c r="M868" s="49">
        <v>15</v>
      </c>
    </row>
    <row r="869" spans="1:13" x14ac:dyDescent="0.3">
      <c r="A869" s="46" t="s">
        <v>1841</v>
      </c>
      <c r="B869" s="46" t="s">
        <v>6628</v>
      </c>
      <c r="C869" s="46" t="s">
        <v>61</v>
      </c>
      <c r="D869" s="46" t="s">
        <v>28</v>
      </c>
      <c r="E869" s="46" t="s">
        <v>290</v>
      </c>
      <c r="F869" s="46" t="s">
        <v>30</v>
      </c>
      <c r="G869" s="46">
        <v>61</v>
      </c>
      <c r="H869" s="46" t="s">
        <v>6643</v>
      </c>
      <c r="I869" s="46" t="s">
        <v>20</v>
      </c>
      <c r="J869" s="47">
        <v>45373</v>
      </c>
      <c r="K869" s="46" t="s">
        <v>72</v>
      </c>
      <c r="L869" s="48">
        <v>10627</v>
      </c>
      <c r="M869" s="49">
        <v>0</v>
      </c>
    </row>
    <row r="870" spans="1:13" x14ac:dyDescent="0.3">
      <c r="A870" s="46" t="s">
        <v>1842</v>
      </c>
      <c r="B870" s="46" t="s">
        <v>79</v>
      </c>
      <c r="C870" s="46" t="s">
        <v>27</v>
      </c>
      <c r="D870" s="46" t="s">
        <v>74</v>
      </c>
      <c r="E870" s="46" t="s">
        <v>172</v>
      </c>
      <c r="F870" s="46" t="s">
        <v>69</v>
      </c>
      <c r="G870" s="46">
        <v>73</v>
      </c>
      <c r="H870" s="46" t="s">
        <v>6643</v>
      </c>
      <c r="I870" s="46" t="s">
        <v>40</v>
      </c>
      <c r="J870" s="47">
        <v>45185</v>
      </c>
      <c r="K870" s="46" t="s">
        <v>72</v>
      </c>
      <c r="L870" s="48">
        <v>64990</v>
      </c>
      <c r="M870" s="49">
        <v>10</v>
      </c>
    </row>
    <row r="871" spans="1:13" x14ac:dyDescent="0.3">
      <c r="A871" s="46" t="s">
        <v>1843</v>
      </c>
      <c r="B871" s="46" t="s">
        <v>6629</v>
      </c>
      <c r="C871" s="46" t="s">
        <v>36</v>
      </c>
      <c r="D871" s="46" t="s">
        <v>108</v>
      </c>
      <c r="E871" s="46" t="s">
        <v>272</v>
      </c>
      <c r="F871" s="46" t="s">
        <v>30</v>
      </c>
      <c r="G871" s="46">
        <v>60</v>
      </c>
      <c r="H871" s="46" t="s">
        <v>6643</v>
      </c>
      <c r="I871" s="46" t="s">
        <v>20</v>
      </c>
      <c r="J871" s="47">
        <v>45165</v>
      </c>
      <c r="K871" s="46" t="s">
        <v>87</v>
      </c>
      <c r="L871" s="48">
        <v>13715</v>
      </c>
      <c r="M871" s="49">
        <v>0</v>
      </c>
    </row>
    <row r="872" spans="1:13" x14ac:dyDescent="0.3">
      <c r="A872" s="46" t="s">
        <v>1844</v>
      </c>
      <c r="B872" s="46" t="s">
        <v>118</v>
      </c>
      <c r="C872" s="46" t="s">
        <v>61</v>
      </c>
      <c r="D872" s="46" t="s">
        <v>108</v>
      </c>
      <c r="E872" s="46" t="s">
        <v>308</v>
      </c>
      <c r="F872" s="46" t="s">
        <v>30</v>
      </c>
      <c r="G872" s="46">
        <v>11</v>
      </c>
      <c r="H872" s="46" t="s">
        <v>6644</v>
      </c>
      <c r="I872" s="46" t="s">
        <v>20</v>
      </c>
      <c r="J872" s="47">
        <v>45257</v>
      </c>
      <c r="K872" s="46" t="s">
        <v>87</v>
      </c>
      <c r="L872" s="48">
        <v>17344</v>
      </c>
      <c r="M872" s="49">
        <v>0</v>
      </c>
    </row>
    <row r="873" spans="1:13" x14ac:dyDescent="0.3">
      <c r="A873" s="46" t="s">
        <v>1846</v>
      </c>
      <c r="B873" s="46" t="s">
        <v>6626</v>
      </c>
      <c r="C873" s="46" t="s">
        <v>36</v>
      </c>
      <c r="D873" s="46" t="s">
        <v>37</v>
      </c>
      <c r="E873" s="46" t="s">
        <v>38</v>
      </c>
      <c r="F873" s="46" t="s">
        <v>30</v>
      </c>
      <c r="G873" s="46">
        <v>69</v>
      </c>
      <c r="H873" s="46" t="s">
        <v>6643</v>
      </c>
      <c r="I873" s="46" t="s">
        <v>20</v>
      </c>
      <c r="J873" s="47">
        <v>45160</v>
      </c>
      <c r="K873" s="46" t="s">
        <v>72</v>
      </c>
      <c r="L873" s="48">
        <v>19350</v>
      </c>
      <c r="M873" s="49">
        <v>0</v>
      </c>
    </row>
    <row r="874" spans="1:13" x14ac:dyDescent="0.3">
      <c r="A874" s="46" t="s">
        <v>1848</v>
      </c>
      <c r="B874" s="46" t="s">
        <v>6628</v>
      </c>
      <c r="C874" s="46" t="s">
        <v>61</v>
      </c>
      <c r="D874" s="46" t="s">
        <v>17</v>
      </c>
      <c r="E874" s="46" t="s">
        <v>213</v>
      </c>
      <c r="F874" s="46" t="s">
        <v>30</v>
      </c>
      <c r="G874" s="46">
        <v>55</v>
      </c>
      <c r="H874" s="46" t="s">
        <v>6645</v>
      </c>
      <c r="I874" s="46" t="s">
        <v>40</v>
      </c>
      <c r="J874" s="47">
        <v>45251</v>
      </c>
      <c r="K874" s="46" t="s">
        <v>72</v>
      </c>
      <c r="L874" s="48">
        <v>9030</v>
      </c>
      <c r="M874" s="49">
        <v>0</v>
      </c>
    </row>
    <row r="875" spans="1:13" x14ac:dyDescent="0.3">
      <c r="A875" s="46" t="s">
        <v>1851</v>
      </c>
      <c r="B875" s="46" t="s">
        <v>6629</v>
      </c>
      <c r="C875" s="46" t="s">
        <v>16</v>
      </c>
      <c r="D875" s="46" t="s">
        <v>28</v>
      </c>
      <c r="E875" s="46" t="s">
        <v>268</v>
      </c>
      <c r="F875" s="46" t="s">
        <v>69</v>
      </c>
      <c r="G875" s="46">
        <v>58</v>
      </c>
      <c r="H875" s="46" t="s">
        <v>6645</v>
      </c>
      <c r="I875" s="46" t="s">
        <v>20</v>
      </c>
      <c r="J875" s="47">
        <v>45402</v>
      </c>
      <c r="K875" s="46" t="s">
        <v>97</v>
      </c>
      <c r="L875" s="48">
        <v>85189</v>
      </c>
      <c r="M875" s="49">
        <v>5</v>
      </c>
    </row>
    <row r="876" spans="1:13" x14ac:dyDescent="0.3">
      <c r="A876" s="46" t="s">
        <v>1853</v>
      </c>
      <c r="B876" s="46" t="s">
        <v>6627</v>
      </c>
      <c r="C876" s="46" t="s">
        <v>66</v>
      </c>
      <c r="D876" s="46" t="s">
        <v>99</v>
      </c>
      <c r="E876" s="46" t="s">
        <v>256</v>
      </c>
      <c r="F876" s="46" t="s">
        <v>30</v>
      </c>
      <c r="G876" s="46">
        <v>66</v>
      </c>
      <c r="H876" s="46" t="s">
        <v>6643</v>
      </c>
      <c r="I876" s="46" t="s">
        <v>20</v>
      </c>
      <c r="J876" s="47">
        <v>45243</v>
      </c>
      <c r="K876" s="46" t="s">
        <v>72</v>
      </c>
      <c r="L876" s="48">
        <v>14343</v>
      </c>
      <c r="M876" s="49">
        <v>0</v>
      </c>
    </row>
    <row r="877" spans="1:13" x14ac:dyDescent="0.3">
      <c r="A877" s="46" t="s">
        <v>1855</v>
      </c>
      <c r="B877" s="46" t="s">
        <v>118</v>
      </c>
      <c r="C877" s="46" t="s">
        <v>189</v>
      </c>
      <c r="D877" s="46" t="s">
        <v>74</v>
      </c>
      <c r="E877" s="46" t="s">
        <v>192</v>
      </c>
      <c r="F877" s="46" t="s">
        <v>30</v>
      </c>
      <c r="G877" s="46">
        <v>38</v>
      </c>
      <c r="H877" s="46" t="s">
        <v>6645</v>
      </c>
      <c r="I877" s="46" t="s">
        <v>20</v>
      </c>
      <c r="J877" s="47">
        <v>44973</v>
      </c>
      <c r="K877" s="46" t="s">
        <v>87</v>
      </c>
      <c r="L877" s="48">
        <v>9276</v>
      </c>
      <c r="M877" s="49">
        <v>3</v>
      </c>
    </row>
    <row r="878" spans="1:13" x14ac:dyDescent="0.3">
      <c r="A878" s="46" t="s">
        <v>1858</v>
      </c>
      <c r="B878" s="46" t="s">
        <v>79</v>
      </c>
      <c r="C878" s="46" t="s">
        <v>27</v>
      </c>
      <c r="D878" s="46" t="s">
        <v>17</v>
      </c>
      <c r="E878" s="46" t="s">
        <v>135</v>
      </c>
      <c r="F878" s="46" t="s">
        <v>30</v>
      </c>
      <c r="G878" s="46">
        <v>87</v>
      </c>
      <c r="H878" s="46" t="s">
        <v>6643</v>
      </c>
      <c r="I878" s="46" t="s">
        <v>40</v>
      </c>
      <c r="J878" s="47">
        <v>45188</v>
      </c>
      <c r="K878" s="46" t="s">
        <v>87</v>
      </c>
      <c r="L878" s="48">
        <v>8503</v>
      </c>
      <c r="M878" s="49">
        <v>10</v>
      </c>
    </row>
    <row r="879" spans="1:13" x14ac:dyDescent="0.3">
      <c r="A879" s="46" t="s">
        <v>1859</v>
      </c>
      <c r="B879" s="46" t="s">
        <v>6628</v>
      </c>
      <c r="C879" s="46" t="s">
        <v>80</v>
      </c>
      <c r="D879" s="46" t="s">
        <v>28</v>
      </c>
      <c r="E879" s="46" t="s">
        <v>290</v>
      </c>
      <c r="F879" s="46" t="s">
        <v>30</v>
      </c>
      <c r="G879" s="46">
        <v>28</v>
      </c>
      <c r="H879" s="46" t="s">
        <v>6645</v>
      </c>
      <c r="I879" s="46" t="s">
        <v>20</v>
      </c>
      <c r="J879" s="47">
        <v>44993</v>
      </c>
      <c r="K879" s="46" t="s">
        <v>87</v>
      </c>
      <c r="L879" s="48">
        <v>4950</v>
      </c>
      <c r="M879" s="49">
        <v>0</v>
      </c>
    </row>
    <row r="880" spans="1:13" x14ac:dyDescent="0.3">
      <c r="A880" s="46" t="s">
        <v>1860</v>
      </c>
      <c r="B880" s="46" t="s">
        <v>118</v>
      </c>
      <c r="C880" s="46" t="s">
        <v>66</v>
      </c>
      <c r="D880" s="46" t="s">
        <v>37</v>
      </c>
      <c r="E880" s="46" t="s">
        <v>56</v>
      </c>
      <c r="F880" s="46" t="s">
        <v>69</v>
      </c>
      <c r="G880" s="46">
        <v>60</v>
      </c>
      <c r="H880" s="46" t="s">
        <v>6643</v>
      </c>
      <c r="I880" s="46" t="s">
        <v>20</v>
      </c>
      <c r="J880" s="47">
        <v>44990</v>
      </c>
      <c r="K880" s="46" t="s">
        <v>104</v>
      </c>
      <c r="L880" s="48">
        <v>47990</v>
      </c>
      <c r="M880" s="49">
        <v>25</v>
      </c>
    </row>
    <row r="881" spans="1:13" x14ac:dyDescent="0.3">
      <c r="A881" s="46" t="s">
        <v>1862</v>
      </c>
      <c r="B881" s="46" t="s">
        <v>6627</v>
      </c>
      <c r="C881" s="46" t="s">
        <v>27</v>
      </c>
      <c r="D881" s="46" t="s">
        <v>47</v>
      </c>
      <c r="E881" s="46" t="s">
        <v>364</v>
      </c>
      <c r="F881" s="46" t="s">
        <v>30</v>
      </c>
      <c r="G881" s="46">
        <v>83</v>
      </c>
      <c r="H881" s="46" t="s">
        <v>6643</v>
      </c>
      <c r="I881" s="46" t="s">
        <v>40</v>
      </c>
      <c r="J881" s="47">
        <v>44985</v>
      </c>
      <c r="K881" s="46" t="s">
        <v>87</v>
      </c>
      <c r="L881" s="48">
        <v>17638</v>
      </c>
      <c r="M881" s="49">
        <v>0</v>
      </c>
    </row>
    <row r="882" spans="1:13" x14ac:dyDescent="0.3">
      <c r="A882" s="46" t="s">
        <v>1865</v>
      </c>
      <c r="B882" s="46" t="s">
        <v>6628</v>
      </c>
      <c r="C882" s="46" t="s">
        <v>36</v>
      </c>
      <c r="D882" s="46" t="s">
        <v>37</v>
      </c>
      <c r="E882" s="46" t="s">
        <v>56</v>
      </c>
      <c r="F882" s="46" t="s">
        <v>30</v>
      </c>
      <c r="G882" s="46">
        <v>85</v>
      </c>
      <c r="H882" s="46" t="s">
        <v>6643</v>
      </c>
      <c r="I882" s="46" t="s">
        <v>20</v>
      </c>
      <c r="J882" s="47">
        <v>45171</v>
      </c>
      <c r="K882" s="46" t="s">
        <v>72</v>
      </c>
      <c r="L882" s="48">
        <v>4473</v>
      </c>
      <c r="M882" s="49">
        <v>0</v>
      </c>
    </row>
    <row r="883" spans="1:13" x14ac:dyDescent="0.3">
      <c r="A883" s="46" t="s">
        <v>1867</v>
      </c>
      <c r="B883" s="46" t="s">
        <v>79</v>
      </c>
      <c r="C883" s="46" t="s">
        <v>16</v>
      </c>
      <c r="D883" s="46" t="s">
        <v>17</v>
      </c>
      <c r="E883" s="46" t="s">
        <v>213</v>
      </c>
      <c r="F883" s="46" t="s">
        <v>30</v>
      </c>
      <c r="G883" s="46">
        <v>88</v>
      </c>
      <c r="H883" s="46" t="s">
        <v>6643</v>
      </c>
      <c r="I883" s="46" t="s">
        <v>40</v>
      </c>
      <c r="J883" s="47">
        <v>45241</v>
      </c>
      <c r="K883" s="46" t="s">
        <v>91</v>
      </c>
      <c r="L883" s="48">
        <v>17502</v>
      </c>
      <c r="M883" s="49">
        <v>5</v>
      </c>
    </row>
    <row r="884" spans="1:13" x14ac:dyDescent="0.3">
      <c r="A884" s="46" t="s">
        <v>1868</v>
      </c>
      <c r="B884" s="46" t="s">
        <v>118</v>
      </c>
      <c r="C884" s="46" t="s">
        <v>66</v>
      </c>
      <c r="D884" s="46" t="s">
        <v>37</v>
      </c>
      <c r="E884" s="46" t="s">
        <v>132</v>
      </c>
      <c r="F884" s="46" t="s">
        <v>69</v>
      </c>
      <c r="G884" s="46">
        <v>54</v>
      </c>
      <c r="H884" s="46" t="s">
        <v>6645</v>
      </c>
      <c r="I884" s="46" t="s">
        <v>40</v>
      </c>
      <c r="J884" s="47">
        <v>44973</v>
      </c>
      <c r="K884" s="46" t="s">
        <v>87</v>
      </c>
      <c r="L884" s="48">
        <v>64063</v>
      </c>
      <c r="M884" s="49">
        <v>5</v>
      </c>
    </row>
    <row r="885" spans="1:13" x14ac:dyDescent="0.3">
      <c r="A885" s="46" t="s">
        <v>1869</v>
      </c>
      <c r="B885" s="46" t="s">
        <v>6626</v>
      </c>
      <c r="C885" s="46" t="s">
        <v>80</v>
      </c>
      <c r="D885" s="46" t="s">
        <v>74</v>
      </c>
      <c r="E885" s="46" t="s">
        <v>75</v>
      </c>
      <c r="F885" s="46" t="s">
        <v>69</v>
      </c>
      <c r="G885" s="46">
        <v>83</v>
      </c>
      <c r="H885" s="46" t="s">
        <v>6643</v>
      </c>
      <c r="I885" s="46" t="s">
        <v>20</v>
      </c>
      <c r="J885" s="47">
        <v>45280</v>
      </c>
      <c r="K885" s="46" t="s">
        <v>87</v>
      </c>
      <c r="L885" s="48">
        <v>55397</v>
      </c>
      <c r="M885" s="49">
        <v>3</v>
      </c>
    </row>
    <row r="886" spans="1:13" x14ac:dyDescent="0.3">
      <c r="A886" s="46" t="s">
        <v>1871</v>
      </c>
      <c r="B886" s="46" t="s">
        <v>118</v>
      </c>
      <c r="C886" s="46" t="s">
        <v>27</v>
      </c>
      <c r="D886" s="46" t="s">
        <v>164</v>
      </c>
      <c r="E886" s="46" t="s">
        <v>165</v>
      </c>
      <c r="F886" s="46" t="s">
        <v>30</v>
      </c>
      <c r="G886" s="46">
        <v>41</v>
      </c>
      <c r="H886" s="46" t="s">
        <v>6645</v>
      </c>
      <c r="I886" s="46" t="s">
        <v>20</v>
      </c>
      <c r="J886" s="47">
        <v>44984</v>
      </c>
      <c r="K886" s="46" t="s">
        <v>87</v>
      </c>
      <c r="L886" s="48">
        <v>17094</v>
      </c>
      <c r="M886" s="49">
        <v>0</v>
      </c>
    </row>
    <row r="887" spans="1:13" x14ac:dyDescent="0.3">
      <c r="A887" s="46" t="s">
        <v>1873</v>
      </c>
      <c r="B887" s="46" t="s">
        <v>79</v>
      </c>
      <c r="C887" s="46" t="s">
        <v>189</v>
      </c>
      <c r="D887" s="46" t="s">
        <v>67</v>
      </c>
      <c r="E887" s="46" t="s">
        <v>85</v>
      </c>
      <c r="F887" s="46" t="s">
        <v>30</v>
      </c>
      <c r="G887" s="46">
        <v>62</v>
      </c>
      <c r="H887" s="46" t="s">
        <v>6643</v>
      </c>
      <c r="I887" s="46" t="s">
        <v>20</v>
      </c>
      <c r="J887" s="47">
        <v>45315</v>
      </c>
      <c r="K887" s="46" t="s">
        <v>87</v>
      </c>
      <c r="L887" s="48">
        <v>15642</v>
      </c>
      <c r="M887" s="49">
        <v>10</v>
      </c>
    </row>
    <row r="888" spans="1:13" x14ac:dyDescent="0.3">
      <c r="A888" s="46" t="s">
        <v>1874</v>
      </c>
      <c r="B888" s="46" t="s">
        <v>6629</v>
      </c>
      <c r="C888" s="46" t="s">
        <v>55</v>
      </c>
      <c r="D888" s="46" t="s">
        <v>164</v>
      </c>
      <c r="E888" s="46" t="s">
        <v>282</v>
      </c>
      <c r="F888" s="46" t="s">
        <v>30</v>
      </c>
      <c r="G888" s="46">
        <v>59</v>
      </c>
      <c r="H888" s="46" t="s">
        <v>6645</v>
      </c>
      <c r="I888" s="46" t="s">
        <v>40</v>
      </c>
      <c r="J888" s="47">
        <v>45146</v>
      </c>
      <c r="K888" s="46" t="s">
        <v>72</v>
      </c>
      <c r="L888" s="48">
        <v>16532</v>
      </c>
      <c r="M888" s="49">
        <v>10</v>
      </c>
    </row>
    <row r="889" spans="1:13" x14ac:dyDescent="0.3">
      <c r="A889" s="46" t="s">
        <v>1876</v>
      </c>
      <c r="B889" s="46" t="s">
        <v>6629</v>
      </c>
      <c r="C889" s="46" t="s">
        <v>66</v>
      </c>
      <c r="D889" s="46" t="s">
        <v>17</v>
      </c>
      <c r="E889" s="46" t="s">
        <v>18</v>
      </c>
      <c r="F889" s="46" t="s">
        <v>30</v>
      </c>
      <c r="G889" s="46">
        <v>68</v>
      </c>
      <c r="H889" s="46" t="s">
        <v>6643</v>
      </c>
      <c r="I889" s="46" t="s">
        <v>20</v>
      </c>
      <c r="J889" s="47">
        <v>45294</v>
      </c>
      <c r="K889" s="46" t="s">
        <v>97</v>
      </c>
      <c r="L889" s="48">
        <v>17738</v>
      </c>
      <c r="M889" s="49">
        <v>10</v>
      </c>
    </row>
    <row r="890" spans="1:13" x14ac:dyDescent="0.3">
      <c r="A890" s="46" t="s">
        <v>1877</v>
      </c>
      <c r="B890" s="46" t="s">
        <v>118</v>
      </c>
      <c r="C890" s="46" t="s">
        <v>27</v>
      </c>
      <c r="D890" s="46" t="s">
        <v>37</v>
      </c>
      <c r="E890" s="46" t="s">
        <v>56</v>
      </c>
      <c r="F890" s="46" t="s">
        <v>30</v>
      </c>
      <c r="G890" s="46">
        <v>4</v>
      </c>
      <c r="H890" s="46" t="s">
        <v>6644</v>
      </c>
      <c r="I890" s="46" t="s">
        <v>20</v>
      </c>
      <c r="J890" s="47">
        <v>45365</v>
      </c>
      <c r="K890" s="46" t="s">
        <v>72</v>
      </c>
      <c r="L890" s="48">
        <v>4364</v>
      </c>
      <c r="M890" s="49">
        <v>0</v>
      </c>
    </row>
    <row r="891" spans="1:13" x14ac:dyDescent="0.3">
      <c r="A891" s="46" t="s">
        <v>1878</v>
      </c>
      <c r="B891" s="46" t="s">
        <v>6626</v>
      </c>
      <c r="C891" s="46" t="s">
        <v>55</v>
      </c>
      <c r="D891" s="46" t="s">
        <v>37</v>
      </c>
      <c r="E891" s="46" t="s">
        <v>38</v>
      </c>
      <c r="F891" s="46" t="s">
        <v>30</v>
      </c>
      <c r="G891" s="46">
        <v>70</v>
      </c>
      <c r="H891" s="46" t="s">
        <v>6643</v>
      </c>
      <c r="I891" s="46" t="s">
        <v>40</v>
      </c>
      <c r="J891" s="47">
        <v>45134</v>
      </c>
      <c r="K891" s="46" t="s">
        <v>87</v>
      </c>
      <c r="L891" s="48">
        <v>11068</v>
      </c>
      <c r="M891" s="49">
        <v>10</v>
      </c>
    </row>
    <row r="892" spans="1:13" x14ac:dyDescent="0.3">
      <c r="A892" s="46" t="s">
        <v>1879</v>
      </c>
      <c r="B892" s="46" t="s">
        <v>118</v>
      </c>
      <c r="C892" s="46" t="s">
        <v>16</v>
      </c>
      <c r="D892" s="46" t="s">
        <v>37</v>
      </c>
      <c r="E892" s="46" t="s">
        <v>38</v>
      </c>
      <c r="F892" s="46" t="s">
        <v>30</v>
      </c>
      <c r="G892" s="46">
        <v>65</v>
      </c>
      <c r="H892" s="46" t="s">
        <v>6643</v>
      </c>
      <c r="I892" s="46" t="s">
        <v>40</v>
      </c>
      <c r="J892" s="47">
        <v>44946</v>
      </c>
      <c r="K892" s="46" t="s">
        <v>72</v>
      </c>
      <c r="L892" s="48">
        <v>8140</v>
      </c>
      <c r="M892" s="49">
        <v>0</v>
      </c>
    </row>
    <row r="893" spans="1:13" x14ac:dyDescent="0.3">
      <c r="A893" s="46" t="s">
        <v>1881</v>
      </c>
      <c r="B893" s="46" t="s">
        <v>6629</v>
      </c>
      <c r="C893" s="46" t="s">
        <v>16</v>
      </c>
      <c r="D893" s="46" t="s">
        <v>74</v>
      </c>
      <c r="E893" s="46" t="s">
        <v>172</v>
      </c>
      <c r="F893" s="46" t="s">
        <v>30</v>
      </c>
      <c r="G893" s="46">
        <v>67</v>
      </c>
      <c r="H893" s="46" t="s">
        <v>6643</v>
      </c>
      <c r="I893" s="46" t="s">
        <v>20</v>
      </c>
      <c r="J893" s="47">
        <v>45272</v>
      </c>
      <c r="K893" s="46" t="s">
        <v>91</v>
      </c>
      <c r="L893" s="48">
        <v>16182</v>
      </c>
      <c r="M893" s="49">
        <v>0</v>
      </c>
    </row>
    <row r="894" spans="1:13" x14ac:dyDescent="0.3">
      <c r="A894" s="46" t="s">
        <v>1883</v>
      </c>
      <c r="B894" s="46" t="s">
        <v>79</v>
      </c>
      <c r="C894" s="46" t="s">
        <v>66</v>
      </c>
      <c r="D894" s="46" t="s">
        <v>17</v>
      </c>
      <c r="E894" s="46" t="s">
        <v>213</v>
      </c>
      <c r="F894" s="46" t="s">
        <v>30</v>
      </c>
      <c r="G894" s="46">
        <v>50</v>
      </c>
      <c r="H894" s="46" t="s">
        <v>6645</v>
      </c>
      <c r="I894" s="46" t="s">
        <v>40</v>
      </c>
      <c r="J894" s="47">
        <v>45276</v>
      </c>
      <c r="K894" s="46" t="s">
        <v>91</v>
      </c>
      <c r="L894" s="48">
        <v>16243</v>
      </c>
      <c r="M894" s="49">
        <v>0</v>
      </c>
    </row>
    <row r="895" spans="1:13" x14ac:dyDescent="0.3">
      <c r="A895" s="46" t="s">
        <v>1885</v>
      </c>
      <c r="B895" s="46" t="s">
        <v>118</v>
      </c>
      <c r="C895" s="46" t="s">
        <v>189</v>
      </c>
      <c r="D895" s="46" t="s">
        <v>164</v>
      </c>
      <c r="E895" s="46" t="s">
        <v>219</v>
      </c>
      <c r="F895" s="46" t="s">
        <v>30</v>
      </c>
      <c r="G895" s="46">
        <v>1</v>
      </c>
      <c r="H895" s="46" t="s">
        <v>6644</v>
      </c>
      <c r="I895" s="46" t="s">
        <v>20</v>
      </c>
      <c r="J895" s="47">
        <v>45180</v>
      </c>
      <c r="K895" s="46" t="s">
        <v>91</v>
      </c>
      <c r="L895" s="48">
        <v>6736</v>
      </c>
      <c r="M895" s="49">
        <v>0</v>
      </c>
    </row>
    <row r="896" spans="1:13" x14ac:dyDescent="0.3">
      <c r="A896" s="46" t="s">
        <v>1886</v>
      </c>
      <c r="B896" s="46" t="s">
        <v>79</v>
      </c>
      <c r="C896" s="46" t="s">
        <v>16</v>
      </c>
      <c r="D896" s="46" t="s">
        <v>28</v>
      </c>
      <c r="E896" s="46" t="s">
        <v>268</v>
      </c>
      <c r="F896" s="46" t="s">
        <v>30</v>
      </c>
      <c r="G896" s="46">
        <v>27</v>
      </c>
      <c r="H896" s="46" t="s">
        <v>6645</v>
      </c>
      <c r="I896" s="46" t="s">
        <v>40</v>
      </c>
      <c r="J896" s="47">
        <v>45154</v>
      </c>
      <c r="K896" s="46" t="s">
        <v>72</v>
      </c>
      <c r="L896" s="48">
        <v>5209</v>
      </c>
      <c r="M896" s="49">
        <v>0</v>
      </c>
    </row>
    <row r="897" spans="1:13" x14ac:dyDescent="0.3">
      <c r="A897" s="46" t="s">
        <v>1888</v>
      </c>
      <c r="B897" s="46" t="s">
        <v>6626</v>
      </c>
      <c r="C897" s="46" t="s">
        <v>189</v>
      </c>
      <c r="D897" s="46" t="s">
        <v>37</v>
      </c>
      <c r="E897" s="46" t="s">
        <v>56</v>
      </c>
      <c r="F897" s="46" t="s">
        <v>30</v>
      </c>
      <c r="G897" s="46">
        <v>54</v>
      </c>
      <c r="H897" s="46" t="s">
        <v>6645</v>
      </c>
      <c r="I897" s="46" t="s">
        <v>40</v>
      </c>
      <c r="J897" s="47">
        <v>45199</v>
      </c>
      <c r="K897" s="46" t="s">
        <v>87</v>
      </c>
      <c r="L897" s="48">
        <v>15079</v>
      </c>
      <c r="M897" s="49">
        <v>3</v>
      </c>
    </row>
    <row r="898" spans="1:13" x14ac:dyDescent="0.3">
      <c r="A898" s="46" t="s">
        <v>1889</v>
      </c>
      <c r="B898" s="46" t="s">
        <v>79</v>
      </c>
      <c r="C898" s="46" t="s">
        <v>61</v>
      </c>
      <c r="D898" s="46" t="s">
        <v>164</v>
      </c>
      <c r="E898" s="46" t="s">
        <v>219</v>
      </c>
      <c r="F898" s="46" t="s">
        <v>30</v>
      </c>
      <c r="G898" s="46">
        <v>68</v>
      </c>
      <c r="H898" s="46" t="s">
        <v>6643</v>
      </c>
      <c r="I898" s="46" t="s">
        <v>40</v>
      </c>
      <c r="J898" s="47">
        <v>45375</v>
      </c>
      <c r="K898" s="46" t="s">
        <v>72</v>
      </c>
      <c r="L898" s="48">
        <v>3035</v>
      </c>
      <c r="M898" s="49">
        <v>0</v>
      </c>
    </row>
    <row r="899" spans="1:13" x14ac:dyDescent="0.3">
      <c r="A899" s="46" t="s">
        <v>1891</v>
      </c>
      <c r="B899" s="46" t="s">
        <v>6628</v>
      </c>
      <c r="C899" s="46" t="s">
        <v>16</v>
      </c>
      <c r="D899" s="46" t="s">
        <v>47</v>
      </c>
      <c r="E899" s="46" t="s">
        <v>364</v>
      </c>
      <c r="F899" s="46" t="s">
        <v>30</v>
      </c>
      <c r="G899" s="46">
        <v>86</v>
      </c>
      <c r="H899" s="46" t="s">
        <v>6643</v>
      </c>
      <c r="I899" s="46" t="s">
        <v>20</v>
      </c>
      <c r="J899" s="47">
        <v>45184</v>
      </c>
      <c r="K899" s="46" t="s">
        <v>6632</v>
      </c>
      <c r="L899" s="48">
        <v>17590</v>
      </c>
      <c r="M899" s="49">
        <v>0</v>
      </c>
    </row>
    <row r="900" spans="1:13" x14ac:dyDescent="0.3">
      <c r="A900" s="46" t="s">
        <v>1892</v>
      </c>
      <c r="B900" s="46" t="s">
        <v>6628</v>
      </c>
      <c r="C900" s="46" t="s">
        <v>66</v>
      </c>
      <c r="D900" s="46" t="s">
        <v>47</v>
      </c>
      <c r="E900" s="46" t="s">
        <v>175</v>
      </c>
      <c r="F900" s="46" t="s">
        <v>30</v>
      </c>
      <c r="G900" s="46">
        <v>83</v>
      </c>
      <c r="H900" s="46" t="s">
        <v>6643</v>
      </c>
      <c r="I900" s="46" t="s">
        <v>20</v>
      </c>
      <c r="J900" s="47">
        <v>44970</v>
      </c>
      <c r="K900" s="46" t="s">
        <v>91</v>
      </c>
      <c r="L900" s="48">
        <v>7824</v>
      </c>
      <c r="M900" s="49">
        <v>0</v>
      </c>
    </row>
    <row r="901" spans="1:13" x14ac:dyDescent="0.3">
      <c r="A901" s="46" t="s">
        <v>1893</v>
      </c>
      <c r="B901" s="46" t="s">
        <v>6627</v>
      </c>
      <c r="C901" s="46" t="s">
        <v>36</v>
      </c>
      <c r="D901" s="46" t="s">
        <v>28</v>
      </c>
      <c r="E901" s="46" t="s">
        <v>29</v>
      </c>
      <c r="F901" s="46" t="s">
        <v>30</v>
      </c>
      <c r="G901" s="46">
        <v>47</v>
      </c>
      <c r="H901" s="46" t="s">
        <v>6645</v>
      </c>
      <c r="I901" s="46" t="s">
        <v>40</v>
      </c>
      <c r="J901" s="47">
        <v>45406</v>
      </c>
      <c r="K901" s="46" t="s">
        <v>72</v>
      </c>
      <c r="L901" s="48">
        <v>19766</v>
      </c>
      <c r="M901" s="49">
        <v>0</v>
      </c>
    </row>
    <row r="902" spans="1:13" x14ac:dyDescent="0.3">
      <c r="A902" s="46" t="s">
        <v>1895</v>
      </c>
      <c r="B902" s="46" t="s">
        <v>6628</v>
      </c>
      <c r="C902" s="46" t="s">
        <v>66</v>
      </c>
      <c r="D902" s="46" t="s">
        <v>28</v>
      </c>
      <c r="E902" s="46" t="s">
        <v>259</v>
      </c>
      <c r="F902" s="46" t="s">
        <v>30</v>
      </c>
      <c r="G902" s="46">
        <v>36</v>
      </c>
      <c r="H902" s="46" t="s">
        <v>6645</v>
      </c>
      <c r="I902" s="46" t="s">
        <v>20</v>
      </c>
      <c r="J902" s="47">
        <v>44940</v>
      </c>
      <c r="K902" s="46" t="s">
        <v>104</v>
      </c>
      <c r="L902" s="48">
        <v>8613</v>
      </c>
      <c r="M902" s="49">
        <v>35</v>
      </c>
    </row>
    <row r="903" spans="1:13" x14ac:dyDescent="0.3">
      <c r="A903" s="46" t="s">
        <v>1897</v>
      </c>
      <c r="B903" s="46" t="s">
        <v>118</v>
      </c>
      <c r="C903" s="46" t="s">
        <v>189</v>
      </c>
      <c r="D903" s="46" t="s">
        <v>164</v>
      </c>
      <c r="E903" s="46" t="s">
        <v>282</v>
      </c>
      <c r="F903" s="46" t="s">
        <v>69</v>
      </c>
      <c r="G903" s="46">
        <v>49</v>
      </c>
      <c r="H903" s="46" t="s">
        <v>6645</v>
      </c>
      <c r="I903" s="46" t="s">
        <v>40</v>
      </c>
      <c r="J903" s="47">
        <v>45352</v>
      </c>
      <c r="K903" s="46" t="s">
        <v>72</v>
      </c>
      <c r="L903" s="48">
        <v>30879</v>
      </c>
      <c r="M903" s="49">
        <v>0</v>
      </c>
    </row>
    <row r="904" spans="1:13" x14ac:dyDescent="0.3">
      <c r="A904" s="46" t="s">
        <v>1899</v>
      </c>
      <c r="B904" s="46" t="s">
        <v>6629</v>
      </c>
      <c r="C904" s="46" t="s">
        <v>61</v>
      </c>
      <c r="D904" s="46" t="s">
        <v>108</v>
      </c>
      <c r="E904" s="46" t="s">
        <v>272</v>
      </c>
      <c r="F904" s="46" t="s">
        <v>30</v>
      </c>
      <c r="G904" s="46">
        <v>12</v>
      </c>
      <c r="H904" s="46" t="s">
        <v>6644</v>
      </c>
      <c r="I904" s="46" t="s">
        <v>20</v>
      </c>
      <c r="J904" s="47">
        <v>45369</v>
      </c>
      <c r="K904" s="46" t="s">
        <v>104</v>
      </c>
      <c r="L904" s="48">
        <v>11512</v>
      </c>
      <c r="M904" s="49">
        <v>12</v>
      </c>
    </row>
    <row r="905" spans="1:13" x14ac:dyDescent="0.3">
      <c r="A905" s="46" t="s">
        <v>1900</v>
      </c>
      <c r="B905" s="46" t="s">
        <v>6628</v>
      </c>
      <c r="C905" s="46" t="s">
        <v>55</v>
      </c>
      <c r="D905" s="46" t="s">
        <v>28</v>
      </c>
      <c r="E905" s="46" t="s">
        <v>259</v>
      </c>
      <c r="F905" s="46" t="s">
        <v>30</v>
      </c>
      <c r="G905" s="46">
        <v>14</v>
      </c>
      <c r="H905" s="46" t="s">
        <v>6646</v>
      </c>
      <c r="I905" s="46" t="s">
        <v>20</v>
      </c>
      <c r="J905" s="47">
        <v>45368</v>
      </c>
      <c r="K905" s="46" t="s">
        <v>97</v>
      </c>
      <c r="L905" s="48">
        <v>10000</v>
      </c>
      <c r="M905" s="49">
        <v>3</v>
      </c>
    </row>
    <row r="906" spans="1:13" x14ac:dyDescent="0.3">
      <c r="A906" s="46" t="s">
        <v>1903</v>
      </c>
      <c r="B906" s="46" t="s">
        <v>79</v>
      </c>
      <c r="C906" s="46" t="s">
        <v>16</v>
      </c>
      <c r="D906" s="46" t="s">
        <v>93</v>
      </c>
      <c r="E906" s="46" t="s">
        <v>121</v>
      </c>
      <c r="F906" s="46" t="s">
        <v>30</v>
      </c>
      <c r="G906" s="46">
        <v>34</v>
      </c>
      <c r="H906" s="46" t="s">
        <v>6645</v>
      </c>
      <c r="I906" s="46" t="s">
        <v>40</v>
      </c>
      <c r="J906" s="47">
        <v>45322</v>
      </c>
      <c r="K906" s="46" t="s">
        <v>72</v>
      </c>
      <c r="L906" s="48">
        <v>8990</v>
      </c>
      <c r="M906" s="49">
        <v>10</v>
      </c>
    </row>
    <row r="907" spans="1:13" x14ac:dyDescent="0.3">
      <c r="A907" s="46" t="s">
        <v>1904</v>
      </c>
      <c r="B907" s="46" t="s">
        <v>6627</v>
      </c>
      <c r="C907" s="46" t="s">
        <v>80</v>
      </c>
      <c r="D907" s="46" t="s">
        <v>164</v>
      </c>
      <c r="E907" s="46" t="s">
        <v>219</v>
      </c>
      <c r="F907" s="46" t="s">
        <v>30</v>
      </c>
      <c r="G907" s="46">
        <v>61</v>
      </c>
      <c r="H907" s="46" t="s">
        <v>6643</v>
      </c>
      <c r="I907" s="46" t="s">
        <v>20</v>
      </c>
      <c r="J907" s="47">
        <v>45191</v>
      </c>
      <c r="K907" s="46" t="s">
        <v>104</v>
      </c>
      <c r="L907" s="48">
        <v>14197</v>
      </c>
      <c r="M907" s="49">
        <v>0</v>
      </c>
    </row>
    <row r="908" spans="1:13" x14ac:dyDescent="0.3">
      <c r="A908" s="46" t="s">
        <v>1905</v>
      </c>
      <c r="B908" s="46" t="s">
        <v>6628</v>
      </c>
      <c r="C908" s="46" t="s">
        <v>36</v>
      </c>
      <c r="D908" s="46" t="s">
        <v>108</v>
      </c>
      <c r="E908" s="46" t="s">
        <v>308</v>
      </c>
      <c r="F908" s="46" t="s">
        <v>69</v>
      </c>
      <c r="G908" s="46">
        <v>27</v>
      </c>
      <c r="H908" s="46" t="s">
        <v>6645</v>
      </c>
      <c r="I908" s="46" t="s">
        <v>40</v>
      </c>
      <c r="J908" s="47">
        <v>44953</v>
      </c>
      <c r="K908" s="46" t="s">
        <v>72</v>
      </c>
      <c r="L908" s="48">
        <v>76463</v>
      </c>
      <c r="M908" s="49">
        <v>3</v>
      </c>
    </row>
    <row r="909" spans="1:13" x14ac:dyDescent="0.3">
      <c r="A909" s="46" t="s">
        <v>1907</v>
      </c>
      <c r="B909" s="46" t="s">
        <v>6626</v>
      </c>
      <c r="C909" s="46" t="s">
        <v>66</v>
      </c>
      <c r="D909" s="46" t="s">
        <v>108</v>
      </c>
      <c r="E909" s="46" t="s">
        <v>109</v>
      </c>
      <c r="F909" s="46" t="s">
        <v>30</v>
      </c>
      <c r="G909" s="46">
        <v>78</v>
      </c>
      <c r="H909" s="46" t="s">
        <v>6643</v>
      </c>
      <c r="I909" s="46" t="s">
        <v>20</v>
      </c>
      <c r="J909" s="47">
        <v>45221</v>
      </c>
      <c r="K909" s="46" t="s">
        <v>91</v>
      </c>
      <c r="L909" s="48">
        <v>15947</v>
      </c>
      <c r="M909" s="49">
        <v>3</v>
      </c>
    </row>
    <row r="910" spans="1:13" x14ac:dyDescent="0.3">
      <c r="A910" s="46" t="s">
        <v>1909</v>
      </c>
      <c r="B910" s="46" t="s">
        <v>118</v>
      </c>
      <c r="C910" s="46" t="s">
        <v>36</v>
      </c>
      <c r="D910" s="46" t="s">
        <v>37</v>
      </c>
      <c r="E910" s="46" t="s">
        <v>132</v>
      </c>
      <c r="F910" s="46" t="s">
        <v>69</v>
      </c>
      <c r="G910" s="46">
        <v>51</v>
      </c>
      <c r="H910" s="46" t="s">
        <v>6645</v>
      </c>
      <c r="I910" s="46" t="s">
        <v>20</v>
      </c>
      <c r="J910" s="47">
        <v>45096</v>
      </c>
      <c r="K910" s="46" t="s">
        <v>104</v>
      </c>
      <c r="L910" s="48">
        <v>41451</v>
      </c>
      <c r="M910" s="49">
        <v>10</v>
      </c>
    </row>
    <row r="911" spans="1:13" x14ac:dyDescent="0.3">
      <c r="A911" s="46" t="s">
        <v>1910</v>
      </c>
      <c r="B911" s="46" t="s">
        <v>79</v>
      </c>
      <c r="C911" s="46" t="s">
        <v>27</v>
      </c>
      <c r="D911" s="46" t="s">
        <v>164</v>
      </c>
      <c r="E911" s="46" t="s">
        <v>282</v>
      </c>
      <c r="F911" s="46" t="s">
        <v>30</v>
      </c>
      <c r="G911" s="46">
        <v>33</v>
      </c>
      <c r="H911" s="46" t="s">
        <v>6645</v>
      </c>
      <c r="I911" s="46" t="s">
        <v>20</v>
      </c>
      <c r="J911" s="47">
        <v>45029</v>
      </c>
      <c r="K911" s="46" t="s">
        <v>6632</v>
      </c>
      <c r="L911" s="48">
        <v>7633</v>
      </c>
      <c r="M911" s="49">
        <v>0</v>
      </c>
    </row>
    <row r="912" spans="1:13" x14ac:dyDescent="0.3">
      <c r="A912" s="46" t="s">
        <v>1911</v>
      </c>
      <c r="B912" s="46" t="s">
        <v>6627</v>
      </c>
      <c r="C912" s="46" t="s">
        <v>55</v>
      </c>
      <c r="D912" s="46" t="s">
        <v>93</v>
      </c>
      <c r="E912" s="46" t="s">
        <v>94</v>
      </c>
      <c r="F912" s="46" t="s">
        <v>30</v>
      </c>
      <c r="G912" s="46">
        <v>26</v>
      </c>
      <c r="H912" s="46" t="s">
        <v>6645</v>
      </c>
      <c r="I912" s="46" t="s">
        <v>20</v>
      </c>
      <c r="J912" s="47">
        <v>45405</v>
      </c>
      <c r="K912" s="46" t="s">
        <v>72</v>
      </c>
      <c r="L912" s="48">
        <v>7500</v>
      </c>
      <c r="M912" s="49">
        <v>0</v>
      </c>
    </row>
    <row r="913" spans="1:13" x14ac:dyDescent="0.3">
      <c r="A913" s="46" t="s">
        <v>1913</v>
      </c>
      <c r="B913" s="46" t="s">
        <v>6627</v>
      </c>
      <c r="C913" s="46" t="s">
        <v>27</v>
      </c>
      <c r="D913" s="46" t="s">
        <v>74</v>
      </c>
      <c r="E913" s="46" t="s">
        <v>147</v>
      </c>
      <c r="F913" s="46" t="s">
        <v>30</v>
      </c>
      <c r="G913" s="46">
        <v>76</v>
      </c>
      <c r="H913" s="46" t="s">
        <v>6643</v>
      </c>
      <c r="I913" s="46" t="s">
        <v>40</v>
      </c>
      <c r="J913" s="47">
        <v>45174</v>
      </c>
      <c r="K913" s="46" t="s">
        <v>72</v>
      </c>
      <c r="L913" s="48">
        <v>18096</v>
      </c>
      <c r="M913" s="49">
        <v>0</v>
      </c>
    </row>
    <row r="914" spans="1:13" x14ac:dyDescent="0.3">
      <c r="A914" s="46" t="s">
        <v>1914</v>
      </c>
      <c r="B914" s="46" t="s">
        <v>6627</v>
      </c>
      <c r="C914" s="46" t="s">
        <v>189</v>
      </c>
      <c r="D914" s="46" t="s">
        <v>164</v>
      </c>
      <c r="E914" s="46" t="s">
        <v>165</v>
      </c>
      <c r="F914" s="46" t="s">
        <v>30</v>
      </c>
      <c r="G914" s="46">
        <v>40</v>
      </c>
      <c r="H914" s="46" t="s">
        <v>6645</v>
      </c>
      <c r="I914" s="46" t="s">
        <v>20</v>
      </c>
      <c r="J914" s="47">
        <v>45117</v>
      </c>
      <c r="K914" s="46" t="s">
        <v>87</v>
      </c>
      <c r="L914" s="48">
        <v>19360</v>
      </c>
      <c r="M914" s="49">
        <v>3</v>
      </c>
    </row>
    <row r="915" spans="1:13" x14ac:dyDescent="0.3">
      <c r="A915" s="46" t="s">
        <v>1915</v>
      </c>
      <c r="B915" s="46" t="s">
        <v>79</v>
      </c>
      <c r="C915" s="46" t="s">
        <v>66</v>
      </c>
      <c r="D915" s="46" t="s">
        <v>47</v>
      </c>
      <c r="E915" s="46" t="s">
        <v>364</v>
      </c>
      <c r="F915" s="46" t="s">
        <v>30</v>
      </c>
      <c r="G915" s="46">
        <v>20</v>
      </c>
      <c r="H915" s="46" t="s">
        <v>6645</v>
      </c>
      <c r="I915" s="46" t="s">
        <v>40</v>
      </c>
      <c r="J915" s="47">
        <v>44929</v>
      </c>
      <c r="K915" s="46" t="s">
        <v>104</v>
      </c>
      <c r="L915" s="48">
        <v>12258</v>
      </c>
      <c r="M915" s="49">
        <v>10</v>
      </c>
    </row>
    <row r="916" spans="1:13" x14ac:dyDescent="0.3">
      <c r="A916" s="46" t="s">
        <v>1916</v>
      </c>
      <c r="B916" s="46" t="s">
        <v>6626</v>
      </c>
      <c r="C916" s="46" t="s">
        <v>36</v>
      </c>
      <c r="D916" s="46" t="s">
        <v>164</v>
      </c>
      <c r="E916" s="46" t="s">
        <v>233</v>
      </c>
      <c r="F916" s="46" t="s">
        <v>30</v>
      </c>
      <c r="G916" s="46">
        <v>74</v>
      </c>
      <c r="H916" s="46" t="s">
        <v>6643</v>
      </c>
      <c r="I916" s="46" t="s">
        <v>20</v>
      </c>
      <c r="J916" s="47">
        <v>45022</v>
      </c>
      <c r="K916" s="46" t="s">
        <v>97</v>
      </c>
      <c r="L916" s="48">
        <v>9958</v>
      </c>
      <c r="M916" s="49">
        <v>3</v>
      </c>
    </row>
    <row r="917" spans="1:13" x14ac:dyDescent="0.3">
      <c r="A917" s="46" t="s">
        <v>1918</v>
      </c>
      <c r="B917" s="46" t="s">
        <v>6626</v>
      </c>
      <c r="C917" s="46" t="s">
        <v>36</v>
      </c>
      <c r="D917" s="46" t="s">
        <v>17</v>
      </c>
      <c r="E917" s="46" t="s">
        <v>135</v>
      </c>
      <c r="F917" s="46" t="s">
        <v>30</v>
      </c>
      <c r="G917" s="46">
        <v>25</v>
      </c>
      <c r="H917" s="46" t="s">
        <v>6645</v>
      </c>
      <c r="I917" s="46" t="s">
        <v>40</v>
      </c>
      <c r="J917" s="47">
        <v>45037</v>
      </c>
      <c r="K917" s="46" t="s">
        <v>91</v>
      </c>
      <c r="L917" s="48">
        <v>14474</v>
      </c>
      <c r="M917" s="49">
        <v>0</v>
      </c>
    </row>
    <row r="918" spans="1:13" x14ac:dyDescent="0.3">
      <c r="A918" s="46" t="s">
        <v>1920</v>
      </c>
      <c r="B918" s="46" t="s">
        <v>118</v>
      </c>
      <c r="C918" s="46" t="s">
        <v>36</v>
      </c>
      <c r="D918" s="46" t="s">
        <v>67</v>
      </c>
      <c r="E918" s="46" t="s">
        <v>68</v>
      </c>
      <c r="F918" s="46" t="s">
        <v>30</v>
      </c>
      <c r="G918" s="46">
        <v>40</v>
      </c>
      <c r="H918" s="46" t="s">
        <v>6645</v>
      </c>
      <c r="I918" s="46" t="s">
        <v>40</v>
      </c>
      <c r="J918" s="47">
        <v>45002</v>
      </c>
      <c r="K918" s="46" t="s">
        <v>87</v>
      </c>
      <c r="L918" s="48">
        <v>9585</v>
      </c>
      <c r="M918" s="49">
        <v>0</v>
      </c>
    </row>
    <row r="919" spans="1:13" x14ac:dyDescent="0.3">
      <c r="A919" s="46" t="s">
        <v>1922</v>
      </c>
      <c r="B919" s="46" t="s">
        <v>6629</v>
      </c>
      <c r="C919" s="46" t="s">
        <v>55</v>
      </c>
      <c r="D919" s="46" t="s">
        <v>74</v>
      </c>
      <c r="E919" s="46" t="s">
        <v>172</v>
      </c>
      <c r="F919" s="46" t="s">
        <v>30</v>
      </c>
      <c r="G919" s="46">
        <v>30</v>
      </c>
      <c r="H919" s="46" t="s">
        <v>6645</v>
      </c>
      <c r="I919" s="46" t="s">
        <v>40</v>
      </c>
      <c r="J919" s="47">
        <v>45022</v>
      </c>
      <c r="K919" s="46" t="s">
        <v>72</v>
      </c>
      <c r="L919" s="48">
        <v>4289</v>
      </c>
      <c r="M919" s="49">
        <v>0</v>
      </c>
    </row>
    <row r="920" spans="1:13" x14ac:dyDescent="0.3">
      <c r="A920" s="46" t="s">
        <v>1923</v>
      </c>
      <c r="B920" s="46" t="s">
        <v>6629</v>
      </c>
      <c r="C920" s="46" t="s">
        <v>189</v>
      </c>
      <c r="D920" s="46" t="s">
        <v>74</v>
      </c>
      <c r="E920" s="46" t="s">
        <v>192</v>
      </c>
      <c r="F920" s="46" t="s">
        <v>30</v>
      </c>
      <c r="G920" s="46">
        <v>66</v>
      </c>
      <c r="H920" s="46" t="s">
        <v>6643</v>
      </c>
      <c r="I920" s="46" t="s">
        <v>20</v>
      </c>
      <c r="J920" s="47">
        <v>44985</v>
      </c>
      <c r="K920" s="46" t="s">
        <v>72</v>
      </c>
      <c r="L920" s="48">
        <v>6394</v>
      </c>
      <c r="M920" s="49">
        <v>10</v>
      </c>
    </row>
    <row r="921" spans="1:13" x14ac:dyDescent="0.3">
      <c r="A921" s="46" t="s">
        <v>1925</v>
      </c>
      <c r="B921" s="46" t="s">
        <v>6627</v>
      </c>
      <c r="C921" s="46" t="s">
        <v>61</v>
      </c>
      <c r="D921" s="46" t="s">
        <v>99</v>
      </c>
      <c r="E921" s="46" t="s">
        <v>151</v>
      </c>
      <c r="F921" s="46" t="s">
        <v>30</v>
      </c>
      <c r="G921" s="46">
        <v>6</v>
      </c>
      <c r="H921" s="46" t="s">
        <v>6644</v>
      </c>
      <c r="I921" s="46" t="s">
        <v>20</v>
      </c>
      <c r="J921" s="47">
        <v>45146</v>
      </c>
      <c r="K921" s="46" t="s">
        <v>104</v>
      </c>
      <c r="L921" s="48">
        <v>5924</v>
      </c>
      <c r="M921" s="49">
        <v>20</v>
      </c>
    </row>
    <row r="922" spans="1:13" x14ac:dyDescent="0.3">
      <c r="A922" s="46" t="s">
        <v>1926</v>
      </c>
      <c r="B922" s="46" t="s">
        <v>6628</v>
      </c>
      <c r="C922" s="46" t="s">
        <v>61</v>
      </c>
      <c r="D922" s="46" t="s">
        <v>164</v>
      </c>
      <c r="E922" s="46" t="s">
        <v>282</v>
      </c>
      <c r="F922" s="46" t="s">
        <v>30</v>
      </c>
      <c r="G922" s="46">
        <v>45</v>
      </c>
      <c r="H922" s="46" t="s">
        <v>6645</v>
      </c>
      <c r="I922" s="46" t="s">
        <v>40</v>
      </c>
      <c r="J922" s="47">
        <v>44961</v>
      </c>
      <c r="K922" s="46" t="s">
        <v>91</v>
      </c>
      <c r="L922" s="48">
        <v>14612</v>
      </c>
      <c r="M922" s="49">
        <v>0</v>
      </c>
    </row>
    <row r="923" spans="1:13" x14ac:dyDescent="0.3">
      <c r="A923" s="46" t="s">
        <v>1927</v>
      </c>
      <c r="B923" s="46" t="s">
        <v>6628</v>
      </c>
      <c r="C923" s="46" t="s">
        <v>55</v>
      </c>
      <c r="D923" s="46" t="s">
        <v>74</v>
      </c>
      <c r="E923" s="46" t="s">
        <v>75</v>
      </c>
      <c r="F923" s="46" t="s">
        <v>30</v>
      </c>
      <c r="G923" s="46">
        <v>64</v>
      </c>
      <c r="H923" s="46" t="s">
        <v>6643</v>
      </c>
      <c r="I923" s="46" t="s">
        <v>40</v>
      </c>
      <c r="J923" s="47">
        <v>45093</v>
      </c>
      <c r="K923" s="46" t="s">
        <v>104</v>
      </c>
      <c r="L923" s="48">
        <v>6624</v>
      </c>
      <c r="M923" s="49">
        <v>25</v>
      </c>
    </row>
    <row r="924" spans="1:13" x14ac:dyDescent="0.3">
      <c r="A924" s="46" t="s">
        <v>1928</v>
      </c>
      <c r="B924" s="46" t="s">
        <v>6627</v>
      </c>
      <c r="C924" s="46" t="s">
        <v>16</v>
      </c>
      <c r="D924" s="46" t="s">
        <v>108</v>
      </c>
      <c r="E924" s="46" t="s">
        <v>308</v>
      </c>
      <c r="F924" s="46" t="s">
        <v>69</v>
      </c>
      <c r="G924" s="46">
        <v>56</v>
      </c>
      <c r="H924" s="46" t="s">
        <v>6645</v>
      </c>
      <c r="I924" s="46" t="s">
        <v>40</v>
      </c>
      <c r="J924" s="47">
        <v>45183</v>
      </c>
      <c r="K924" s="46" t="s">
        <v>72</v>
      </c>
      <c r="L924" s="48">
        <v>46075</v>
      </c>
      <c r="M924" s="49">
        <v>0</v>
      </c>
    </row>
    <row r="925" spans="1:13" x14ac:dyDescent="0.3">
      <c r="A925" s="46" t="s">
        <v>1930</v>
      </c>
      <c r="B925" s="46" t="s">
        <v>6628</v>
      </c>
      <c r="C925" s="46" t="s">
        <v>189</v>
      </c>
      <c r="D925" s="46" t="s">
        <v>37</v>
      </c>
      <c r="E925" s="46" t="s">
        <v>185</v>
      </c>
      <c r="F925" s="46" t="s">
        <v>30</v>
      </c>
      <c r="G925" s="46">
        <v>2</v>
      </c>
      <c r="H925" s="46" t="s">
        <v>6644</v>
      </c>
      <c r="I925" s="46" t="s">
        <v>20</v>
      </c>
      <c r="J925" s="47">
        <v>45234</v>
      </c>
      <c r="K925" s="46" t="s">
        <v>72</v>
      </c>
      <c r="L925" s="48">
        <v>17854</v>
      </c>
      <c r="M925" s="49">
        <v>10</v>
      </c>
    </row>
    <row r="926" spans="1:13" x14ac:dyDescent="0.3">
      <c r="A926" s="46" t="s">
        <v>1931</v>
      </c>
      <c r="B926" s="46" t="s">
        <v>6629</v>
      </c>
      <c r="C926" s="46" t="s">
        <v>16</v>
      </c>
      <c r="D926" s="46" t="s">
        <v>108</v>
      </c>
      <c r="E926" s="46" t="s">
        <v>109</v>
      </c>
      <c r="F926" s="46" t="s">
        <v>30</v>
      </c>
      <c r="G926" s="46">
        <v>86</v>
      </c>
      <c r="H926" s="46" t="s">
        <v>6643</v>
      </c>
      <c r="I926" s="46" t="s">
        <v>20</v>
      </c>
      <c r="J926" s="47">
        <v>44996</v>
      </c>
      <c r="K926" s="46" t="s">
        <v>91</v>
      </c>
      <c r="L926" s="48">
        <v>15513</v>
      </c>
      <c r="M926" s="49">
        <v>0</v>
      </c>
    </row>
    <row r="927" spans="1:13" x14ac:dyDescent="0.3">
      <c r="A927" s="46" t="s">
        <v>1933</v>
      </c>
      <c r="B927" s="46" t="s">
        <v>79</v>
      </c>
      <c r="C927" s="46" t="s">
        <v>80</v>
      </c>
      <c r="D927" s="46" t="s">
        <v>37</v>
      </c>
      <c r="E927" s="46" t="s">
        <v>56</v>
      </c>
      <c r="F927" s="46" t="s">
        <v>69</v>
      </c>
      <c r="G927" s="46">
        <v>27</v>
      </c>
      <c r="H927" s="46" t="s">
        <v>6645</v>
      </c>
      <c r="I927" s="46" t="s">
        <v>20</v>
      </c>
      <c r="J927" s="47">
        <v>45393</v>
      </c>
      <c r="K927" s="46" t="s">
        <v>72</v>
      </c>
      <c r="L927" s="48">
        <v>41779</v>
      </c>
      <c r="M927" s="49">
        <v>5</v>
      </c>
    </row>
    <row r="928" spans="1:13" x14ac:dyDescent="0.3">
      <c r="A928" s="46" t="s">
        <v>1934</v>
      </c>
      <c r="B928" s="46" t="s">
        <v>79</v>
      </c>
      <c r="C928" s="46" t="s">
        <v>36</v>
      </c>
      <c r="D928" s="46" t="s">
        <v>108</v>
      </c>
      <c r="E928" s="46" t="s">
        <v>272</v>
      </c>
      <c r="F928" s="46" t="s">
        <v>30</v>
      </c>
      <c r="G928" s="46">
        <v>51</v>
      </c>
      <c r="H928" s="46" t="s">
        <v>6645</v>
      </c>
      <c r="I928" s="46" t="s">
        <v>40</v>
      </c>
      <c r="J928" s="47">
        <v>44929</v>
      </c>
      <c r="K928" s="46" t="s">
        <v>72</v>
      </c>
      <c r="L928" s="48">
        <v>13608</v>
      </c>
      <c r="M928" s="49">
        <v>0</v>
      </c>
    </row>
    <row r="929" spans="1:13" x14ac:dyDescent="0.3">
      <c r="A929" s="46" t="s">
        <v>1935</v>
      </c>
      <c r="B929" s="46" t="s">
        <v>6626</v>
      </c>
      <c r="C929" s="46" t="s">
        <v>189</v>
      </c>
      <c r="D929" s="46" t="s">
        <v>37</v>
      </c>
      <c r="E929" s="46" t="s">
        <v>132</v>
      </c>
      <c r="F929" s="46" t="s">
        <v>30</v>
      </c>
      <c r="G929" s="46">
        <v>31</v>
      </c>
      <c r="H929" s="46" t="s">
        <v>6645</v>
      </c>
      <c r="I929" s="46" t="s">
        <v>20</v>
      </c>
      <c r="J929" s="47">
        <v>45115</v>
      </c>
      <c r="K929" s="46" t="s">
        <v>72</v>
      </c>
      <c r="L929" s="48">
        <v>9134</v>
      </c>
      <c r="M929" s="49">
        <v>0</v>
      </c>
    </row>
    <row r="930" spans="1:13" x14ac:dyDescent="0.3">
      <c r="A930" s="46" t="s">
        <v>1937</v>
      </c>
      <c r="B930" s="46" t="s">
        <v>6627</v>
      </c>
      <c r="C930" s="46" t="s">
        <v>189</v>
      </c>
      <c r="D930" s="46" t="s">
        <v>37</v>
      </c>
      <c r="E930" s="46" t="s">
        <v>56</v>
      </c>
      <c r="F930" s="46" t="s">
        <v>69</v>
      </c>
      <c r="G930" s="46">
        <v>42</v>
      </c>
      <c r="H930" s="46" t="s">
        <v>6645</v>
      </c>
      <c r="I930" s="46" t="s">
        <v>40</v>
      </c>
      <c r="J930" s="47">
        <v>45398</v>
      </c>
      <c r="K930" s="46" t="s">
        <v>91</v>
      </c>
      <c r="L930" s="48">
        <v>30408</v>
      </c>
      <c r="M930" s="49">
        <v>5</v>
      </c>
    </row>
    <row r="931" spans="1:13" x14ac:dyDescent="0.3">
      <c r="A931" s="46" t="s">
        <v>1939</v>
      </c>
      <c r="B931" s="46" t="s">
        <v>6627</v>
      </c>
      <c r="C931" s="46" t="s">
        <v>80</v>
      </c>
      <c r="D931" s="46" t="s">
        <v>17</v>
      </c>
      <c r="E931" s="46" t="s">
        <v>213</v>
      </c>
      <c r="F931" s="46" t="s">
        <v>6632</v>
      </c>
      <c r="G931" s="46">
        <v>40</v>
      </c>
      <c r="H931" s="46" t="s">
        <v>6645</v>
      </c>
      <c r="I931" s="46" t="s">
        <v>20</v>
      </c>
      <c r="J931" s="47">
        <v>45084</v>
      </c>
      <c r="K931" s="46" t="s">
        <v>91</v>
      </c>
      <c r="L931" s="48">
        <v>9243</v>
      </c>
      <c r="M931" s="49">
        <v>3</v>
      </c>
    </row>
    <row r="932" spans="1:13" x14ac:dyDescent="0.3">
      <c r="A932" s="46" t="s">
        <v>1941</v>
      </c>
      <c r="B932" s="46" t="s">
        <v>6628</v>
      </c>
      <c r="C932" s="46" t="s">
        <v>189</v>
      </c>
      <c r="D932" s="46" t="s">
        <v>17</v>
      </c>
      <c r="E932" s="46" t="s">
        <v>169</v>
      </c>
      <c r="F932" s="46" t="s">
        <v>30</v>
      </c>
      <c r="G932" s="46">
        <v>55</v>
      </c>
      <c r="H932" s="46" t="s">
        <v>6645</v>
      </c>
      <c r="I932" s="46" t="s">
        <v>40</v>
      </c>
      <c r="J932" s="47">
        <v>45104</v>
      </c>
      <c r="K932" s="46" t="s">
        <v>72</v>
      </c>
      <c r="L932" s="48">
        <v>13804</v>
      </c>
      <c r="M932" s="49">
        <v>0</v>
      </c>
    </row>
    <row r="933" spans="1:13" x14ac:dyDescent="0.3">
      <c r="A933" s="46" t="s">
        <v>1943</v>
      </c>
      <c r="B933" s="46" t="s">
        <v>6626</v>
      </c>
      <c r="C933" s="46" t="s">
        <v>61</v>
      </c>
      <c r="D933" s="46" t="s">
        <v>93</v>
      </c>
      <c r="E933" s="46" t="s">
        <v>144</v>
      </c>
      <c r="F933" s="46" t="s">
        <v>30</v>
      </c>
      <c r="G933" s="46">
        <v>66</v>
      </c>
      <c r="H933" s="46" t="s">
        <v>6643</v>
      </c>
      <c r="I933" s="46" t="s">
        <v>40</v>
      </c>
      <c r="J933" s="47">
        <v>45286</v>
      </c>
      <c r="K933" s="46" t="s">
        <v>97</v>
      </c>
      <c r="L933" s="48">
        <v>9592</v>
      </c>
      <c r="M933" s="49">
        <v>10</v>
      </c>
    </row>
    <row r="934" spans="1:13" x14ac:dyDescent="0.3">
      <c r="A934" s="46" t="s">
        <v>1944</v>
      </c>
      <c r="B934" s="46" t="s">
        <v>6629</v>
      </c>
      <c r="C934" s="46" t="s">
        <v>55</v>
      </c>
      <c r="D934" s="46" t="s">
        <v>74</v>
      </c>
      <c r="E934" s="46" t="s">
        <v>192</v>
      </c>
      <c r="F934" s="46" t="s">
        <v>69</v>
      </c>
      <c r="G934" s="46">
        <v>71</v>
      </c>
      <c r="H934" s="46" t="s">
        <v>6643</v>
      </c>
      <c r="I934" s="46" t="s">
        <v>20</v>
      </c>
      <c r="J934" s="47">
        <v>45269</v>
      </c>
      <c r="K934" s="46" t="s">
        <v>72</v>
      </c>
      <c r="L934" s="48">
        <v>61505</v>
      </c>
      <c r="M934" s="49">
        <v>0</v>
      </c>
    </row>
    <row r="935" spans="1:13" x14ac:dyDescent="0.3">
      <c r="A935" s="46" t="s">
        <v>1946</v>
      </c>
      <c r="B935" s="46" t="s">
        <v>118</v>
      </c>
      <c r="C935" s="46" t="s">
        <v>80</v>
      </c>
      <c r="D935" s="46" t="s">
        <v>37</v>
      </c>
      <c r="E935" s="46" t="s">
        <v>185</v>
      </c>
      <c r="F935" s="46" t="s">
        <v>30</v>
      </c>
      <c r="G935" s="46">
        <v>62</v>
      </c>
      <c r="H935" s="46" t="s">
        <v>6643</v>
      </c>
      <c r="I935" s="46" t="s">
        <v>20</v>
      </c>
      <c r="J935" s="47">
        <v>45191</v>
      </c>
      <c r="K935" s="46" t="s">
        <v>91</v>
      </c>
      <c r="L935" s="48">
        <v>16626</v>
      </c>
      <c r="M935" s="49">
        <v>0</v>
      </c>
    </row>
    <row r="936" spans="1:13" x14ac:dyDescent="0.3">
      <c r="A936" s="46" t="s">
        <v>1948</v>
      </c>
      <c r="B936" s="46" t="s">
        <v>79</v>
      </c>
      <c r="C936" s="46" t="s">
        <v>27</v>
      </c>
      <c r="D936" s="46" t="s">
        <v>93</v>
      </c>
      <c r="E936" s="46" t="s">
        <v>94</v>
      </c>
      <c r="F936" s="46" t="s">
        <v>30</v>
      </c>
      <c r="G936" s="46">
        <v>87</v>
      </c>
      <c r="H936" s="46" t="s">
        <v>6643</v>
      </c>
      <c r="I936" s="46" t="s">
        <v>40</v>
      </c>
      <c r="J936" s="47">
        <v>45060</v>
      </c>
      <c r="K936" s="46" t="s">
        <v>104</v>
      </c>
      <c r="L936" s="48">
        <v>12467</v>
      </c>
      <c r="M936" s="49">
        <v>10</v>
      </c>
    </row>
    <row r="937" spans="1:13" x14ac:dyDescent="0.3">
      <c r="A937" s="46" t="s">
        <v>1950</v>
      </c>
      <c r="B937" s="46" t="s">
        <v>6626</v>
      </c>
      <c r="C937" s="46" t="s">
        <v>55</v>
      </c>
      <c r="D937" s="46" t="s">
        <v>67</v>
      </c>
      <c r="E937" s="46" t="s">
        <v>196</v>
      </c>
      <c r="F937" s="46" t="s">
        <v>30</v>
      </c>
      <c r="G937" s="46">
        <v>87</v>
      </c>
      <c r="H937" s="46" t="s">
        <v>6643</v>
      </c>
      <c r="I937" s="46" t="s">
        <v>20</v>
      </c>
      <c r="J937" s="47">
        <v>45115</v>
      </c>
      <c r="K937" s="46" t="s">
        <v>97</v>
      </c>
      <c r="L937" s="48">
        <v>7950</v>
      </c>
      <c r="M937" s="49">
        <v>0</v>
      </c>
    </row>
    <row r="938" spans="1:13" x14ac:dyDescent="0.3">
      <c r="A938" s="46" t="s">
        <v>1952</v>
      </c>
      <c r="B938" s="46" t="s">
        <v>6628</v>
      </c>
      <c r="C938" s="46" t="s">
        <v>80</v>
      </c>
      <c r="D938" s="46" t="s">
        <v>93</v>
      </c>
      <c r="E938" s="46" t="s">
        <v>94</v>
      </c>
      <c r="F938" s="46" t="s">
        <v>30</v>
      </c>
      <c r="G938" s="46">
        <v>35</v>
      </c>
      <c r="H938" s="46" t="s">
        <v>6645</v>
      </c>
      <c r="I938" s="46" t="s">
        <v>40</v>
      </c>
      <c r="J938" s="47">
        <v>44957</v>
      </c>
      <c r="K938" s="46" t="s">
        <v>87</v>
      </c>
      <c r="L938" s="48">
        <v>8420</v>
      </c>
      <c r="M938" s="49">
        <v>3</v>
      </c>
    </row>
    <row r="939" spans="1:13" x14ac:dyDescent="0.3">
      <c r="A939" s="46" t="s">
        <v>1954</v>
      </c>
      <c r="B939" s="46" t="s">
        <v>6627</v>
      </c>
      <c r="C939" s="46" t="s">
        <v>55</v>
      </c>
      <c r="D939" s="46" t="s">
        <v>93</v>
      </c>
      <c r="E939" s="46" t="s">
        <v>94</v>
      </c>
      <c r="F939" s="46" t="s">
        <v>69</v>
      </c>
      <c r="G939" s="46">
        <v>57</v>
      </c>
      <c r="H939" s="46" t="s">
        <v>6645</v>
      </c>
      <c r="I939" s="46" t="s">
        <v>20</v>
      </c>
      <c r="J939" s="47">
        <v>45284</v>
      </c>
      <c r="K939" s="46" t="s">
        <v>91</v>
      </c>
      <c r="L939" s="48">
        <v>76616</v>
      </c>
      <c r="M939" s="49">
        <v>0</v>
      </c>
    </row>
    <row r="940" spans="1:13" x14ac:dyDescent="0.3">
      <c r="A940" s="46" t="s">
        <v>1955</v>
      </c>
      <c r="B940" s="46" t="s">
        <v>6626</v>
      </c>
      <c r="C940" s="46" t="s">
        <v>36</v>
      </c>
      <c r="D940" s="46" t="s">
        <v>99</v>
      </c>
      <c r="E940" s="46" t="s">
        <v>151</v>
      </c>
      <c r="F940" s="46" t="s">
        <v>30</v>
      </c>
      <c r="G940" s="46">
        <v>36</v>
      </c>
      <c r="H940" s="46" t="s">
        <v>6645</v>
      </c>
      <c r="I940" s="46" t="s">
        <v>40</v>
      </c>
      <c r="J940" s="47">
        <v>45159</v>
      </c>
      <c r="K940" s="46" t="s">
        <v>97</v>
      </c>
      <c r="L940" s="48">
        <v>18974</v>
      </c>
      <c r="M940" s="49">
        <v>0</v>
      </c>
    </row>
    <row r="941" spans="1:13" x14ac:dyDescent="0.3">
      <c r="A941" s="46" t="s">
        <v>1956</v>
      </c>
      <c r="B941" s="46" t="s">
        <v>79</v>
      </c>
      <c r="C941" s="46" t="s">
        <v>189</v>
      </c>
      <c r="D941" s="46" t="s">
        <v>67</v>
      </c>
      <c r="E941" s="46" t="s">
        <v>196</v>
      </c>
      <c r="F941" s="46" t="s">
        <v>69</v>
      </c>
      <c r="G941" s="46">
        <v>57</v>
      </c>
      <c r="H941" s="46" t="s">
        <v>6645</v>
      </c>
      <c r="I941" s="46" t="s">
        <v>40</v>
      </c>
      <c r="J941" s="47">
        <v>45255</v>
      </c>
      <c r="K941" s="46" t="s">
        <v>87</v>
      </c>
      <c r="L941" s="48">
        <v>51305</v>
      </c>
      <c r="M941" s="49">
        <v>5</v>
      </c>
    </row>
    <row r="942" spans="1:13" x14ac:dyDescent="0.3">
      <c r="A942" s="46" t="s">
        <v>1957</v>
      </c>
      <c r="B942" s="46" t="s">
        <v>6626</v>
      </c>
      <c r="C942" s="46" t="s">
        <v>27</v>
      </c>
      <c r="D942" s="46" t="s">
        <v>17</v>
      </c>
      <c r="E942" s="46" t="s">
        <v>18</v>
      </c>
      <c r="F942" s="46" t="s">
        <v>30</v>
      </c>
      <c r="G942" s="46">
        <v>10</v>
      </c>
      <c r="H942" s="46" t="s">
        <v>6644</v>
      </c>
      <c r="I942" s="46" t="s">
        <v>40</v>
      </c>
      <c r="J942" s="47">
        <v>45195</v>
      </c>
      <c r="K942" s="46" t="s">
        <v>97</v>
      </c>
      <c r="L942" s="48">
        <v>13582</v>
      </c>
      <c r="M942" s="49">
        <v>0</v>
      </c>
    </row>
    <row r="943" spans="1:13" x14ac:dyDescent="0.3">
      <c r="A943" s="46" t="s">
        <v>1958</v>
      </c>
      <c r="B943" s="46" t="s">
        <v>6629</v>
      </c>
      <c r="C943" s="46" t="s">
        <v>189</v>
      </c>
      <c r="D943" s="46" t="s">
        <v>28</v>
      </c>
      <c r="E943" s="46" t="s">
        <v>29</v>
      </c>
      <c r="F943" s="46" t="s">
        <v>30</v>
      </c>
      <c r="G943" s="46">
        <v>91</v>
      </c>
      <c r="H943" s="46" t="s">
        <v>6643</v>
      </c>
      <c r="I943" s="46" t="s">
        <v>40</v>
      </c>
      <c r="J943" s="47">
        <v>45046</v>
      </c>
      <c r="K943" s="46" t="s">
        <v>72</v>
      </c>
      <c r="L943" s="48">
        <v>11150</v>
      </c>
      <c r="M943" s="49">
        <v>3</v>
      </c>
    </row>
    <row r="944" spans="1:13" x14ac:dyDescent="0.3">
      <c r="A944" s="46" t="s">
        <v>1960</v>
      </c>
      <c r="B944" s="46" t="s">
        <v>118</v>
      </c>
      <c r="C944" s="46" t="s">
        <v>27</v>
      </c>
      <c r="D944" s="46" t="s">
        <v>28</v>
      </c>
      <c r="E944" s="46" t="s">
        <v>259</v>
      </c>
      <c r="F944" s="46" t="s">
        <v>69</v>
      </c>
      <c r="G944" s="46">
        <v>55</v>
      </c>
      <c r="H944" s="46" t="s">
        <v>6645</v>
      </c>
      <c r="I944" s="46" t="s">
        <v>40</v>
      </c>
      <c r="J944" s="47">
        <v>45184</v>
      </c>
      <c r="K944" s="46" t="s">
        <v>104</v>
      </c>
      <c r="L944" s="48">
        <v>65084</v>
      </c>
      <c r="M944" s="49">
        <v>10</v>
      </c>
    </row>
    <row r="945" spans="1:13" x14ac:dyDescent="0.3">
      <c r="A945" s="46" t="s">
        <v>1961</v>
      </c>
      <c r="B945" s="46" t="s">
        <v>6629</v>
      </c>
      <c r="C945" s="46" t="s">
        <v>80</v>
      </c>
      <c r="D945" s="46" t="s">
        <v>37</v>
      </c>
      <c r="E945" s="46" t="s">
        <v>38</v>
      </c>
      <c r="F945" s="46" t="s">
        <v>30</v>
      </c>
      <c r="G945" s="46">
        <v>1</v>
      </c>
      <c r="H945" s="46" t="s">
        <v>6644</v>
      </c>
      <c r="I945" s="46" t="s">
        <v>20</v>
      </c>
      <c r="J945" s="47">
        <v>45354</v>
      </c>
      <c r="K945" s="46" t="s">
        <v>87</v>
      </c>
      <c r="L945" s="48">
        <v>3724</v>
      </c>
      <c r="M945" s="49">
        <v>0</v>
      </c>
    </row>
    <row r="946" spans="1:13" x14ac:dyDescent="0.3">
      <c r="A946" s="46" t="s">
        <v>1962</v>
      </c>
      <c r="B946" s="46" t="s">
        <v>6629</v>
      </c>
      <c r="C946" s="46" t="s">
        <v>55</v>
      </c>
      <c r="D946" s="46" t="s">
        <v>164</v>
      </c>
      <c r="E946" s="46" t="s">
        <v>219</v>
      </c>
      <c r="F946" s="46" t="s">
        <v>69</v>
      </c>
      <c r="G946" s="46">
        <v>49</v>
      </c>
      <c r="H946" s="46" t="s">
        <v>6645</v>
      </c>
      <c r="I946" s="46" t="s">
        <v>20</v>
      </c>
      <c r="J946" s="47">
        <v>45294</v>
      </c>
      <c r="K946" s="46" t="s">
        <v>91</v>
      </c>
      <c r="L946" s="48">
        <v>13371</v>
      </c>
      <c r="M946" s="49">
        <v>3</v>
      </c>
    </row>
    <row r="947" spans="1:13" x14ac:dyDescent="0.3">
      <c r="A947" s="46" t="s">
        <v>1963</v>
      </c>
      <c r="B947" s="46" t="s">
        <v>6628</v>
      </c>
      <c r="C947" s="46" t="s">
        <v>189</v>
      </c>
      <c r="D947" s="46" t="s">
        <v>28</v>
      </c>
      <c r="E947" s="46" t="s">
        <v>268</v>
      </c>
      <c r="F947" s="46" t="s">
        <v>30</v>
      </c>
      <c r="G947" s="46">
        <v>32</v>
      </c>
      <c r="H947" s="46" t="s">
        <v>6645</v>
      </c>
      <c r="I947" s="46" t="s">
        <v>20</v>
      </c>
      <c r="J947" s="47">
        <v>45006</v>
      </c>
      <c r="K947" s="46" t="s">
        <v>87</v>
      </c>
      <c r="L947" s="48">
        <v>6547</v>
      </c>
      <c r="M947" s="49">
        <v>0</v>
      </c>
    </row>
    <row r="948" spans="1:13" x14ac:dyDescent="0.3">
      <c r="A948" s="46" t="s">
        <v>1964</v>
      </c>
      <c r="B948" s="46" t="s">
        <v>118</v>
      </c>
      <c r="C948" s="46" t="s">
        <v>16</v>
      </c>
      <c r="D948" s="46" t="s">
        <v>74</v>
      </c>
      <c r="E948" s="46" t="s">
        <v>192</v>
      </c>
      <c r="F948" s="46" t="s">
        <v>30</v>
      </c>
      <c r="G948" s="46">
        <v>39</v>
      </c>
      <c r="H948" s="46" t="s">
        <v>6645</v>
      </c>
      <c r="I948" s="46" t="s">
        <v>20</v>
      </c>
      <c r="J948" s="47">
        <v>45166</v>
      </c>
      <c r="K948" s="46" t="s">
        <v>87</v>
      </c>
      <c r="L948" s="48">
        <v>12012</v>
      </c>
      <c r="M948" s="49">
        <v>0</v>
      </c>
    </row>
    <row r="949" spans="1:13" x14ac:dyDescent="0.3">
      <c r="A949" s="46" t="s">
        <v>1965</v>
      </c>
      <c r="B949" s="46" t="s">
        <v>6629</v>
      </c>
      <c r="C949" s="46" t="s">
        <v>66</v>
      </c>
      <c r="D949" s="46" t="s">
        <v>74</v>
      </c>
      <c r="E949" s="46" t="s">
        <v>172</v>
      </c>
      <c r="F949" s="46" t="s">
        <v>30</v>
      </c>
      <c r="G949" s="46">
        <v>76</v>
      </c>
      <c r="H949" s="46" t="s">
        <v>6643</v>
      </c>
      <c r="I949" s="46" t="s">
        <v>20</v>
      </c>
      <c r="J949" s="47">
        <v>45374</v>
      </c>
      <c r="K949" s="46" t="s">
        <v>97</v>
      </c>
      <c r="L949" s="48">
        <v>7912</v>
      </c>
      <c r="M949" s="49">
        <v>0</v>
      </c>
    </row>
    <row r="950" spans="1:13" x14ac:dyDescent="0.3">
      <c r="A950" s="46" t="s">
        <v>1966</v>
      </c>
      <c r="B950" s="46" t="s">
        <v>118</v>
      </c>
      <c r="C950" s="46" t="s">
        <v>36</v>
      </c>
      <c r="D950" s="46" t="s">
        <v>67</v>
      </c>
      <c r="E950" s="46" t="s">
        <v>196</v>
      </c>
      <c r="F950" s="46" t="s">
        <v>30</v>
      </c>
      <c r="G950" s="46">
        <v>71</v>
      </c>
      <c r="H950" s="46" t="s">
        <v>6643</v>
      </c>
      <c r="I950" s="46" t="s">
        <v>20</v>
      </c>
      <c r="J950" s="47">
        <v>44930</v>
      </c>
      <c r="K950" s="46" t="s">
        <v>97</v>
      </c>
      <c r="L950" s="48">
        <v>5729</v>
      </c>
      <c r="M950" s="49">
        <v>5</v>
      </c>
    </row>
    <row r="951" spans="1:13" x14ac:dyDescent="0.3">
      <c r="A951" s="46" t="s">
        <v>1967</v>
      </c>
      <c r="B951" s="46" t="s">
        <v>6627</v>
      </c>
      <c r="C951" s="46" t="s">
        <v>80</v>
      </c>
      <c r="D951" s="46" t="s">
        <v>37</v>
      </c>
      <c r="E951" s="46" t="s">
        <v>185</v>
      </c>
      <c r="F951" s="46" t="s">
        <v>30</v>
      </c>
      <c r="G951" s="46">
        <v>76</v>
      </c>
      <c r="H951" s="46" t="s">
        <v>6643</v>
      </c>
      <c r="I951" s="46" t="s">
        <v>40</v>
      </c>
      <c r="J951" s="47">
        <v>45102</v>
      </c>
      <c r="K951" s="46" t="s">
        <v>87</v>
      </c>
      <c r="L951" s="48">
        <v>10324</v>
      </c>
      <c r="M951" s="49">
        <v>3</v>
      </c>
    </row>
    <row r="952" spans="1:13" x14ac:dyDescent="0.3">
      <c r="A952" s="46" t="s">
        <v>1968</v>
      </c>
      <c r="B952" s="46" t="s">
        <v>118</v>
      </c>
      <c r="C952" s="46" t="s">
        <v>27</v>
      </c>
      <c r="D952" s="46" t="s">
        <v>93</v>
      </c>
      <c r="E952" s="46" t="s">
        <v>207</v>
      </c>
      <c r="F952" s="46" t="s">
        <v>69</v>
      </c>
      <c r="G952" s="46">
        <v>16</v>
      </c>
      <c r="H952" s="46" t="s">
        <v>6646</v>
      </c>
      <c r="I952" s="46" t="s">
        <v>40</v>
      </c>
      <c r="J952" s="47">
        <v>45100</v>
      </c>
      <c r="K952" s="46" t="s">
        <v>72</v>
      </c>
      <c r="L952" s="48">
        <v>63448</v>
      </c>
      <c r="M952" s="49">
        <v>5</v>
      </c>
    </row>
    <row r="953" spans="1:13" x14ac:dyDescent="0.3">
      <c r="A953" s="46" t="s">
        <v>1970</v>
      </c>
      <c r="B953" s="46" t="s">
        <v>6627</v>
      </c>
      <c r="C953" s="46" t="s">
        <v>80</v>
      </c>
      <c r="D953" s="46" t="s">
        <v>99</v>
      </c>
      <c r="E953" s="46" t="s">
        <v>100</v>
      </c>
      <c r="F953" s="46" t="s">
        <v>30</v>
      </c>
      <c r="G953" s="46">
        <v>34</v>
      </c>
      <c r="H953" s="46" t="s">
        <v>6645</v>
      </c>
      <c r="I953" s="46" t="s">
        <v>40</v>
      </c>
      <c r="J953" s="47">
        <v>45256</v>
      </c>
      <c r="K953" s="46" t="s">
        <v>87</v>
      </c>
      <c r="L953" s="48">
        <v>19333</v>
      </c>
      <c r="M953" s="49">
        <v>0</v>
      </c>
    </row>
    <row r="954" spans="1:13" x14ac:dyDescent="0.3">
      <c r="A954" s="46" t="s">
        <v>1971</v>
      </c>
      <c r="B954" s="46" t="s">
        <v>79</v>
      </c>
      <c r="C954" s="46" t="s">
        <v>189</v>
      </c>
      <c r="D954" s="46" t="s">
        <v>108</v>
      </c>
      <c r="E954" s="46" t="s">
        <v>109</v>
      </c>
      <c r="F954" s="46" t="s">
        <v>30</v>
      </c>
      <c r="G954" s="46">
        <v>43</v>
      </c>
      <c r="H954" s="46" t="s">
        <v>6645</v>
      </c>
      <c r="I954" s="46" t="s">
        <v>40</v>
      </c>
      <c r="J954" s="47">
        <v>45093</v>
      </c>
      <c r="K954" s="46" t="s">
        <v>72</v>
      </c>
      <c r="L954" s="48">
        <v>16111</v>
      </c>
      <c r="M954" s="49">
        <v>5</v>
      </c>
    </row>
    <row r="955" spans="1:13" x14ac:dyDescent="0.3">
      <c r="A955" s="46" t="s">
        <v>1973</v>
      </c>
      <c r="B955" s="46" t="s">
        <v>118</v>
      </c>
      <c r="C955" s="46" t="s">
        <v>16</v>
      </c>
      <c r="D955" s="46" t="s">
        <v>93</v>
      </c>
      <c r="E955" s="46" t="s">
        <v>94</v>
      </c>
      <c r="F955" s="46" t="s">
        <v>30</v>
      </c>
      <c r="G955" s="46">
        <v>28</v>
      </c>
      <c r="H955" s="46" t="s">
        <v>6645</v>
      </c>
      <c r="I955" s="46" t="s">
        <v>40</v>
      </c>
      <c r="J955" s="47">
        <v>45086</v>
      </c>
      <c r="K955" s="46" t="s">
        <v>91</v>
      </c>
      <c r="L955" s="48">
        <v>8813</v>
      </c>
      <c r="M955" s="49">
        <v>0</v>
      </c>
    </row>
    <row r="956" spans="1:13" x14ac:dyDescent="0.3">
      <c r="A956" s="46" t="s">
        <v>1974</v>
      </c>
      <c r="B956" s="46" t="s">
        <v>79</v>
      </c>
      <c r="C956" s="46" t="s">
        <v>189</v>
      </c>
      <c r="D956" s="46" t="s">
        <v>93</v>
      </c>
      <c r="E956" s="46" t="s">
        <v>94</v>
      </c>
      <c r="F956" s="46" t="s">
        <v>69</v>
      </c>
      <c r="G956" s="46">
        <v>20</v>
      </c>
      <c r="H956" s="46" t="s">
        <v>6645</v>
      </c>
      <c r="I956" s="46" t="s">
        <v>40</v>
      </c>
      <c r="J956" s="47">
        <v>45080</v>
      </c>
      <c r="K956" s="46" t="s">
        <v>104</v>
      </c>
      <c r="L956" s="48">
        <v>70143</v>
      </c>
      <c r="M956" s="49">
        <v>18</v>
      </c>
    </row>
    <row r="957" spans="1:13" x14ac:dyDescent="0.3">
      <c r="A957" s="46" t="s">
        <v>1975</v>
      </c>
      <c r="B957" s="46" t="s">
        <v>79</v>
      </c>
      <c r="C957" s="46" t="s">
        <v>66</v>
      </c>
      <c r="D957" s="46" t="s">
        <v>28</v>
      </c>
      <c r="E957" s="46" t="s">
        <v>259</v>
      </c>
      <c r="F957" s="46" t="s">
        <v>30</v>
      </c>
      <c r="G957" s="46">
        <v>70</v>
      </c>
      <c r="H957" s="46" t="s">
        <v>6643</v>
      </c>
      <c r="I957" s="46" t="s">
        <v>20</v>
      </c>
      <c r="J957" s="47">
        <v>45199</v>
      </c>
      <c r="K957" s="46" t="s">
        <v>104</v>
      </c>
      <c r="L957" s="48">
        <v>8077</v>
      </c>
      <c r="M957" s="49">
        <v>40</v>
      </c>
    </row>
    <row r="958" spans="1:13" x14ac:dyDescent="0.3">
      <c r="A958" s="46" t="s">
        <v>1977</v>
      </c>
      <c r="B958" s="46" t="s">
        <v>6627</v>
      </c>
      <c r="C958" s="46" t="s">
        <v>189</v>
      </c>
      <c r="D958" s="46" t="s">
        <v>108</v>
      </c>
      <c r="E958" s="46" t="s">
        <v>124</v>
      </c>
      <c r="F958" s="46" t="s">
        <v>30</v>
      </c>
      <c r="G958" s="46">
        <v>6</v>
      </c>
      <c r="H958" s="46" t="s">
        <v>6644</v>
      </c>
      <c r="I958" s="46" t="s">
        <v>20</v>
      </c>
      <c r="J958" s="47">
        <v>44988</v>
      </c>
      <c r="K958" s="46" t="s">
        <v>97</v>
      </c>
      <c r="L958" s="48">
        <v>8525</v>
      </c>
      <c r="M958" s="49">
        <v>10</v>
      </c>
    </row>
    <row r="959" spans="1:13" x14ac:dyDescent="0.3">
      <c r="A959" s="46" t="s">
        <v>1979</v>
      </c>
      <c r="B959" s="46" t="s">
        <v>6628</v>
      </c>
      <c r="C959" s="46" t="s">
        <v>189</v>
      </c>
      <c r="D959" s="46" t="s">
        <v>17</v>
      </c>
      <c r="E959" s="46" t="s">
        <v>169</v>
      </c>
      <c r="F959" s="46" t="s">
        <v>30</v>
      </c>
      <c r="G959" s="46">
        <v>6</v>
      </c>
      <c r="H959" s="46" t="s">
        <v>6644</v>
      </c>
      <c r="I959" s="46" t="s">
        <v>20</v>
      </c>
      <c r="J959" s="47">
        <v>44977</v>
      </c>
      <c r="K959" s="46" t="s">
        <v>72</v>
      </c>
      <c r="L959" s="48">
        <v>17448</v>
      </c>
      <c r="M959" s="49">
        <v>0</v>
      </c>
    </row>
    <row r="960" spans="1:13" x14ac:dyDescent="0.3">
      <c r="A960" s="46" t="s">
        <v>1981</v>
      </c>
      <c r="B960" s="46" t="s">
        <v>118</v>
      </c>
      <c r="C960" s="46" t="s">
        <v>55</v>
      </c>
      <c r="D960" s="46" t="s">
        <v>74</v>
      </c>
      <c r="E960" s="46" t="s">
        <v>147</v>
      </c>
      <c r="F960" s="46" t="s">
        <v>30</v>
      </c>
      <c r="G960" s="46">
        <v>67</v>
      </c>
      <c r="H960" s="46" t="s">
        <v>6643</v>
      </c>
      <c r="I960" s="46" t="s">
        <v>40</v>
      </c>
      <c r="J960" s="47">
        <v>45206</v>
      </c>
      <c r="K960" s="46" t="s">
        <v>97</v>
      </c>
      <c r="L960" s="48">
        <v>8112</v>
      </c>
      <c r="M960" s="49">
        <v>10</v>
      </c>
    </row>
    <row r="961" spans="1:13" x14ac:dyDescent="0.3">
      <c r="A961" s="46" t="s">
        <v>1983</v>
      </c>
      <c r="B961" s="46" t="s">
        <v>6626</v>
      </c>
      <c r="C961" s="46" t="s">
        <v>61</v>
      </c>
      <c r="D961" s="46" t="s">
        <v>93</v>
      </c>
      <c r="E961" s="46" t="s">
        <v>94</v>
      </c>
      <c r="F961" s="46" t="s">
        <v>6632</v>
      </c>
      <c r="G961" s="46">
        <v>21</v>
      </c>
      <c r="H961" s="46" t="s">
        <v>6645</v>
      </c>
      <c r="I961" s="46" t="s">
        <v>40</v>
      </c>
      <c r="J961" s="47">
        <v>45392</v>
      </c>
      <c r="K961" s="46" t="s">
        <v>87</v>
      </c>
      <c r="L961" s="48">
        <v>4361</v>
      </c>
      <c r="M961" s="49">
        <v>5</v>
      </c>
    </row>
    <row r="962" spans="1:13" x14ac:dyDescent="0.3">
      <c r="A962" s="46" t="s">
        <v>1984</v>
      </c>
      <c r="B962" s="46" t="s">
        <v>118</v>
      </c>
      <c r="C962" s="46" t="s">
        <v>66</v>
      </c>
      <c r="D962" s="46" t="s">
        <v>28</v>
      </c>
      <c r="E962" s="46" t="s">
        <v>268</v>
      </c>
      <c r="F962" s="46" t="s">
        <v>30</v>
      </c>
      <c r="G962" s="46">
        <v>10</v>
      </c>
      <c r="H962" s="46" t="s">
        <v>6644</v>
      </c>
      <c r="I962" s="46" t="s">
        <v>40</v>
      </c>
      <c r="J962" s="47">
        <v>45292</v>
      </c>
      <c r="K962" s="46" t="s">
        <v>104</v>
      </c>
      <c r="L962" s="48">
        <v>9586</v>
      </c>
      <c r="M962" s="49">
        <v>35</v>
      </c>
    </row>
    <row r="963" spans="1:13" x14ac:dyDescent="0.3">
      <c r="A963" s="46" t="s">
        <v>1985</v>
      </c>
      <c r="B963" s="46" t="s">
        <v>79</v>
      </c>
      <c r="C963" s="46" t="s">
        <v>189</v>
      </c>
      <c r="D963" s="46" t="s">
        <v>108</v>
      </c>
      <c r="E963" s="46" t="s">
        <v>308</v>
      </c>
      <c r="F963" s="46" t="s">
        <v>30</v>
      </c>
      <c r="G963" s="46">
        <v>81</v>
      </c>
      <c r="H963" s="46" t="s">
        <v>6643</v>
      </c>
      <c r="I963" s="46" t="s">
        <v>40</v>
      </c>
      <c r="J963" s="47">
        <v>45256</v>
      </c>
      <c r="K963" s="46" t="s">
        <v>104</v>
      </c>
      <c r="L963" s="48">
        <v>10403</v>
      </c>
      <c r="M963" s="49">
        <v>25</v>
      </c>
    </row>
    <row r="964" spans="1:13" x14ac:dyDescent="0.3">
      <c r="A964" s="46" t="s">
        <v>1986</v>
      </c>
      <c r="B964" s="46" t="s">
        <v>6627</v>
      </c>
      <c r="C964" s="46" t="s">
        <v>61</v>
      </c>
      <c r="D964" s="46" t="s">
        <v>164</v>
      </c>
      <c r="E964" s="46" t="s">
        <v>233</v>
      </c>
      <c r="F964" s="46" t="s">
        <v>69</v>
      </c>
      <c r="G964" s="46">
        <v>52</v>
      </c>
      <c r="H964" s="46" t="s">
        <v>6645</v>
      </c>
      <c r="I964" s="46" t="s">
        <v>20</v>
      </c>
      <c r="J964" s="47">
        <v>45230</v>
      </c>
      <c r="K964" s="46" t="s">
        <v>6632</v>
      </c>
      <c r="L964" s="48">
        <v>74248</v>
      </c>
      <c r="M964" s="49">
        <v>0</v>
      </c>
    </row>
    <row r="965" spans="1:13" x14ac:dyDescent="0.3">
      <c r="A965" s="46" t="s">
        <v>1988</v>
      </c>
      <c r="B965" s="46" t="s">
        <v>6627</v>
      </c>
      <c r="C965" s="46" t="s">
        <v>66</v>
      </c>
      <c r="D965" s="46" t="s">
        <v>67</v>
      </c>
      <c r="E965" s="46" t="s">
        <v>89</v>
      </c>
      <c r="F965" s="46" t="s">
        <v>30</v>
      </c>
      <c r="G965" s="46">
        <v>28</v>
      </c>
      <c r="H965" s="46" t="s">
        <v>6645</v>
      </c>
      <c r="I965" s="46" t="s">
        <v>40</v>
      </c>
      <c r="J965" s="47">
        <v>44993</v>
      </c>
      <c r="K965" s="46" t="s">
        <v>104</v>
      </c>
      <c r="L965" s="48">
        <v>4480</v>
      </c>
      <c r="M965" s="49">
        <v>15</v>
      </c>
    </row>
    <row r="966" spans="1:13" x14ac:dyDescent="0.3">
      <c r="A966" s="46" t="s">
        <v>1989</v>
      </c>
      <c r="B966" s="46" t="s">
        <v>6628</v>
      </c>
      <c r="C966" s="46" t="s">
        <v>61</v>
      </c>
      <c r="D966" s="46" t="s">
        <v>93</v>
      </c>
      <c r="E966" s="46" t="s">
        <v>207</v>
      </c>
      <c r="F966" s="46" t="s">
        <v>30</v>
      </c>
      <c r="G966" s="46">
        <v>24</v>
      </c>
      <c r="H966" s="46" t="s">
        <v>6645</v>
      </c>
      <c r="I966" s="46" t="s">
        <v>40</v>
      </c>
      <c r="J966" s="47">
        <v>45317</v>
      </c>
      <c r="K966" s="46" t="s">
        <v>87</v>
      </c>
      <c r="L966" s="48">
        <v>12783</v>
      </c>
      <c r="M966" s="49">
        <v>0</v>
      </c>
    </row>
    <row r="967" spans="1:13" x14ac:dyDescent="0.3">
      <c r="A967" s="46" t="s">
        <v>1990</v>
      </c>
      <c r="B967" s="46" t="s">
        <v>6628</v>
      </c>
      <c r="C967" s="46" t="s">
        <v>27</v>
      </c>
      <c r="D967" s="46" t="s">
        <v>28</v>
      </c>
      <c r="E967" s="46" t="s">
        <v>29</v>
      </c>
      <c r="F967" s="46" t="s">
        <v>30</v>
      </c>
      <c r="G967" s="46">
        <v>17</v>
      </c>
      <c r="H967" s="46" t="s">
        <v>6646</v>
      </c>
      <c r="I967" s="46" t="s">
        <v>20</v>
      </c>
      <c r="J967" s="47">
        <v>45264</v>
      </c>
      <c r="K967" s="46" t="s">
        <v>87</v>
      </c>
      <c r="L967" s="48">
        <v>5748</v>
      </c>
      <c r="M967" s="49">
        <v>3</v>
      </c>
    </row>
    <row r="968" spans="1:13" x14ac:dyDescent="0.3">
      <c r="A968" s="46" t="s">
        <v>1993</v>
      </c>
      <c r="B968" s="46" t="s">
        <v>6629</v>
      </c>
      <c r="C968" s="46" t="s">
        <v>80</v>
      </c>
      <c r="D968" s="46" t="s">
        <v>164</v>
      </c>
      <c r="E968" s="46" t="s">
        <v>219</v>
      </c>
      <c r="F968" s="46" t="s">
        <v>69</v>
      </c>
      <c r="G968" s="46">
        <v>85</v>
      </c>
      <c r="H968" s="46" t="s">
        <v>6643</v>
      </c>
      <c r="I968" s="46" t="s">
        <v>20</v>
      </c>
      <c r="J968" s="47">
        <v>45048</v>
      </c>
      <c r="K968" s="46" t="s">
        <v>91</v>
      </c>
      <c r="L968" s="48">
        <v>70824</v>
      </c>
      <c r="M968" s="49">
        <v>0</v>
      </c>
    </row>
    <row r="969" spans="1:13" x14ac:dyDescent="0.3">
      <c r="A969" s="46" t="s">
        <v>1994</v>
      </c>
      <c r="B969" s="46" t="s">
        <v>6626</v>
      </c>
      <c r="C969" s="46" t="s">
        <v>36</v>
      </c>
      <c r="D969" s="46" t="s">
        <v>164</v>
      </c>
      <c r="E969" s="46" t="s">
        <v>233</v>
      </c>
      <c r="F969" s="46" t="s">
        <v>30</v>
      </c>
      <c r="G969" s="46">
        <v>11</v>
      </c>
      <c r="H969" s="46" t="s">
        <v>6644</v>
      </c>
      <c r="I969" s="46" t="s">
        <v>40</v>
      </c>
      <c r="J969" s="47">
        <v>44972</v>
      </c>
      <c r="K969" s="46" t="s">
        <v>87</v>
      </c>
      <c r="L969" s="48">
        <v>19298</v>
      </c>
      <c r="M969" s="49">
        <v>0</v>
      </c>
    </row>
    <row r="970" spans="1:13" x14ac:dyDescent="0.3">
      <c r="A970" s="46" t="s">
        <v>1996</v>
      </c>
      <c r="B970" s="46" t="s">
        <v>6627</v>
      </c>
      <c r="C970" s="46" t="s">
        <v>36</v>
      </c>
      <c r="D970" s="46" t="s">
        <v>74</v>
      </c>
      <c r="E970" s="46" t="s">
        <v>147</v>
      </c>
      <c r="F970" s="46" t="s">
        <v>30</v>
      </c>
      <c r="G970" s="46">
        <v>23</v>
      </c>
      <c r="H970" s="46" t="s">
        <v>6645</v>
      </c>
      <c r="I970" s="46" t="s">
        <v>20</v>
      </c>
      <c r="J970" s="47">
        <v>45339</v>
      </c>
      <c r="K970" s="46" t="s">
        <v>87</v>
      </c>
      <c r="L970" s="48">
        <v>12129</v>
      </c>
      <c r="M970" s="49">
        <v>5</v>
      </c>
    </row>
    <row r="971" spans="1:13" x14ac:dyDescent="0.3">
      <c r="A971" s="46" t="s">
        <v>1997</v>
      </c>
      <c r="B971" s="46" t="s">
        <v>6629</v>
      </c>
      <c r="C971" s="46" t="s">
        <v>189</v>
      </c>
      <c r="D971" s="46" t="s">
        <v>74</v>
      </c>
      <c r="E971" s="46" t="s">
        <v>75</v>
      </c>
      <c r="F971" s="46" t="s">
        <v>69</v>
      </c>
      <c r="G971" s="46">
        <v>57</v>
      </c>
      <c r="H971" s="46" t="s">
        <v>6645</v>
      </c>
      <c r="I971" s="46" t="s">
        <v>20</v>
      </c>
      <c r="J971" s="47">
        <v>44972</v>
      </c>
      <c r="K971" s="46" t="s">
        <v>97</v>
      </c>
      <c r="L971" s="48">
        <v>22584</v>
      </c>
      <c r="M971" s="49">
        <v>3</v>
      </c>
    </row>
    <row r="972" spans="1:13" x14ac:dyDescent="0.3">
      <c r="A972" s="46" t="s">
        <v>1998</v>
      </c>
      <c r="B972" s="46" t="s">
        <v>6629</v>
      </c>
      <c r="C972" s="46" t="s">
        <v>61</v>
      </c>
      <c r="D972" s="46" t="s">
        <v>93</v>
      </c>
      <c r="E972" s="46" t="s">
        <v>121</v>
      </c>
      <c r="F972" s="46" t="s">
        <v>30</v>
      </c>
      <c r="G972" s="46">
        <v>11</v>
      </c>
      <c r="H972" s="46" t="s">
        <v>6644</v>
      </c>
      <c r="I972" s="46" t="s">
        <v>40</v>
      </c>
      <c r="J972" s="47">
        <v>44957</v>
      </c>
      <c r="K972" s="46" t="s">
        <v>72</v>
      </c>
      <c r="L972" s="48">
        <v>4961</v>
      </c>
      <c r="M972" s="49">
        <v>5</v>
      </c>
    </row>
    <row r="973" spans="1:13" x14ac:dyDescent="0.3">
      <c r="A973" s="46" t="s">
        <v>2000</v>
      </c>
      <c r="B973" s="46" t="s">
        <v>6629</v>
      </c>
      <c r="C973" s="46" t="s">
        <v>80</v>
      </c>
      <c r="D973" s="46" t="s">
        <v>74</v>
      </c>
      <c r="E973" s="46" t="s">
        <v>147</v>
      </c>
      <c r="F973" s="46" t="s">
        <v>30</v>
      </c>
      <c r="G973" s="46">
        <v>77</v>
      </c>
      <c r="H973" s="46" t="s">
        <v>6643</v>
      </c>
      <c r="I973" s="46" t="s">
        <v>20</v>
      </c>
      <c r="J973" s="47">
        <v>45190</v>
      </c>
      <c r="K973" s="46" t="s">
        <v>72</v>
      </c>
      <c r="L973" s="48">
        <v>17503</v>
      </c>
      <c r="M973" s="49">
        <v>5</v>
      </c>
    </row>
    <row r="974" spans="1:13" x14ac:dyDescent="0.3">
      <c r="A974" s="46" t="s">
        <v>2003</v>
      </c>
      <c r="B974" s="46" t="s">
        <v>6627</v>
      </c>
      <c r="C974" s="46" t="s">
        <v>36</v>
      </c>
      <c r="D974" s="46" t="s">
        <v>67</v>
      </c>
      <c r="E974" s="46" t="s">
        <v>85</v>
      </c>
      <c r="F974" s="46" t="s">
        <v>30</v>
      </c>
      <c r="G974" s="46">
        <v>37</v>
      </c>
      <c r="H974" s="46" t="s">
        <v>6645</v>
      </c>
      <c r="I974" s="46" t="s">
        <v>40</v>
      </c>
      <c r="J974" s="47">
        <v>45094</v>
      </c>
      <c r="K974" s="46" t="s">
        <v>97</v>
      </c>
      <c r="L974" s="48">
        <v>5486</v>
      </c>
      <c r="M974" s="49">
        <v>0</v>
      </c>
    </row>
    <row r="975" spans="1:13" x14ac:dyDescent="0.3">
      <c r="A975" s="46" t="s">
        <v>2006</v>
      </c>
      <c r="B975" s="46" t="s">
        <v>6626</v>
      </c>
      <c r="C975" s="46" t="s">
        <v>61</v>
      </c>
      <c r="D975" s="46" t="s">
        <v>47</v>
      </c>
      <c r="E975" s="46" t="s">
        <v>364</v>
      </c>
      <c r="F975" s="46" t="s">
        <v>69</v>
      </c>
      <c r="G975" s="46">
        <v>78</v>
      </c>
      <c r="H975" s="46" t="s">
        <v>6643</v>
      </c>
      <c r="I975" s="46" t="s">
        <v>20</v>
      </c>
      <c r="J975" s="47">
        <v>45360</v>
      </c>
      <c r="K975" s="46" t="s">
        <v>87</v>
      </c>
      <c r="L975" s="48">
        <v>61839</v>
      </c>
      <c r="M975" s="49">
        <v>10</v>
      </c>
    </row>
    <row r="976" spans="1:13" x14ac:dyDescent="0.3">
      <c r="A976" s="46" t="s">
        <v>2008</v>
      </c>
      <c r="B976" s="46" t="s">
        <v>6629</v>
      </c>
      <c r="C976" s="46" t="s">
        <v>189</v>
      </c>
      <c r="D976" s="46" t="s">
        <v>67</v>
      </c>
      <c r="E976" s="46" t="s">
        <v>68</v>
      </c>
      <c r="F976" s="46" t="s">
        <v>30</v>
      </c>
      <c r="G976" s="46">
        <v>83</v>
      </c>
      <c r="H976" s="46" t="s">
        <v>6643</v>
      </c>
      <c r="I976" s="46" t="s">
        <v>20</v>
      </c>
      <c r="J976" s="47">
        <v>45111</v>
      </c>
      <c r="K976" s="46" t="s">
        <v>72</v>
      </c>
      <c r="L976" s="48">
        <v>3004</v>
      </c>
      <c r="M976" s="49">
        <v>5</v>
      </c>
    </row>
    <row r="977" spans="1:13" x14ac:dyDescent="0.3">
      <c r="A977" s="46" t="s">
        <v>2009</v>
      </c>
      <c r="B977" s="46" t="s">
        <v>6629</v>
      </c>
      <c r="C977" s="46" t="s">
        <v>66</v>
      </c>
      <c r="D977" s="46" t="s">
        <v>164</v>
      </c>
      <c r="E977" s="46" t="s">
        <v>219</v>
      </c>
      <c r="F977" s="46" t="s">
        <v>69</v>
      </c>
      <c r="G977" s="46">
        <v>72</v>
      </c>
      <c r="H977" s="46" t="s">
        <v>6643</v>
      </c>
      <c r="I977" s="46" t="s">
        <v>20</v>
      </c>
      <c r="J977" s="47">
        <v>44973</v>
      </c>
      <c r="K977" s="46" t="s">
        <v>87</v>
      </c>
      <c r="L977" s="48">
        <v>64848</v>
      </c>
      <c r="M977" s="49">
        <v>10</v>
      </c>
    </row>
    <row r="978" spans="1:13" x14ac:dyDescent="0.3">
      <c r="A978" s="46" t="s">
        <v>2010</v>
      </c>
      <c r="B978" s="46" t="s">
        <v>6628</v>
      </c>
      <c r="C978" s="46" t="s">
        <v>27</v>
      </c>
      <c r="D978" s="46" t="s">
        <v>74</v>
      </c>
      <c r="E978" s="46" t="s">
        <v>147</v>
      </c>
      <c r="F978" s="46" t="s">
        <v>69</v>
      </c>
      <c r="G978" s="46">
        <v>25</v>
      </c>
      <c r="H978" s="46" t="s">
        <v>6645</v>
      </c>
      <c r="I978" s="46" t="s">
        <v>40</v>
      </c>
      <c r="J978" s="47">
        <v>45085</v>
      </c>
      <c r="K978" s="46" t="s">
        <v>91</v>
      </c>
      <c r="L978" s="48">
        <v>60155</v>
      </c>
      <c r="M978" s="49">
        <v>0</v>
      </c>
    </row>
    <row r="979" spans="1:13" x14ac:dyDescent="0.3">
      <c r="A979" s="46" t="s">
        <v>2012</v>
      </c>
      <c r="B979" s="46" t="s">
        <v>6626</v>
      </c>
      <c r="C979" s="46" t="s">
        <v>66</v>
      </c>
      <c r="D979" s="46" t="s">
        <v>93</v>
      </c>
      <c r="E979" s="46" t="s">
        <v>94</v>
      </c>
      <c r="F979" s="46" t="s">
        <v>30</v>
      </c>
      <c r="G979" s="46">
        <v>76</v>
      </c>
      <c r="H979" s="46" t="s">
        <v>6643</v>
      </c>
      <c r="I979" s="46" t="s">
        <v>40</v>
      </c>
      <c r="J979" s="47">
        <v>45229</v>
      </c>
      <c r="K979" s="46" t="s">
        <v>72</v>
      </c>
      <c r="L979" s="48">
        <v>8841</v>
      </c>
      <c r="M979" s="49">
        <v>10</v>
      </c>
    </row>
    <row r="980" spans="1:13" x14ac:dyDescent="0.3">
      <c r="A980" s="46" t="s">
        <v>2013</v>
      </c>
      <c r="B980" s="46" t="s">
        <v>6628</v>
      </c>
      <c r="C980" s="46" t="s">
        <v>36</v>
      </c>
      <c r="D980" s="46" t="s">
        <v>74</v>
      </c>
      <c r="E980" s="46" t="s">
        <v>75</v>
      </c>
      <c r="F980" s="46" t="s">
        <v>30</v>
      </c>
      <c r="G980" s="46">
        <v>17</v>
      </c>
      <c r="H980" s="46" t="s">
        <v>6646</v>
      </c>
      <c r="I980" s="46" t="s">
        <v>40</v>
      </c>
      <c r="J980" s="47">
        <v>44944</v>
      </c>
      <c r="K980" s="46" t="s">
        <v>72</v>
      </c>
      <c r="L980" s="48">
        <v>17093</v>
      </c>
      <c r="M980" s="49">
        <v>10</v>
      </c>
    </row>
    <row r="981" spans="1:13" x14ac:dyDescent="0.3">
      <c r="A981" s="46" t="s">
        <v>2014</v>
      </c>
      <c r="B981" s="46" t="s">
        <v>6626</v>
      </c>
      <c r="C981" s="46" t="s">
        <v>36</v>
      </c>
      <c r="D981" s="46" t="s">
        <v>67</v>
      </c>
      <c r="E981" s="46" t="s">
        <v>68</v>
      </c>
      <c r="F981" s="46" t="s">
        <v>30</v>
      </c>
      <c r="G981" s="46">
        <v>91</v>
      </c>
      <c r="H981" s="46" t="s">
        <v>6643</v>
      </c>
      <c r="I981" s="46" t="s">
        <v>20</v>
      </c>
      <c r="J981" s="47">
        <v>44979</v>
      </c>
      <c r="K981" s="46" t="s">
        <v>104</v>
      </c>
      <c r="L981" s="48">
        <v>8392</v>
      </c>
      <c r="M981" s="49">
        <v>15</v>
      </c>
    </row>
    <row r="982" spans="1:13" x14ac:dyDescent="0.3">
      <c r="A982" s="46" t="s">
        <v>2016</v>
      </c>
      <c r="B982" s="46" t="s">
        <v>6627</v>
      </c>
      <c r="C982" s="46" t="s">
        <v>36</v>
      </c>
      <c r="D982" s="46" t="s">
        <v>67</v>
      </c>
      <c r="E982" s="46" t="s">
        <v>89</v>
      </c>
      <c r="F982" s="46" t="s">
        <v>30</v>
      </c>
      <c r="G982" s="46">
        <v>74</v>
      </c>
      <c r="H982" s="46" t="s">
        <v>6643</v>
      </c>
      <c r="I982" s="46" t="s">
        <v>20</v>
      </c>
      <c r="J982" s="47">
        <v>45105</v>
      </c>
      <c r="K982" s="46" t="s">
        <v>87</v>
      </c>
      <c r="L982" s="48">
        <v>18905</v>
      </c>
      <c r="M982" s="49">
        <v>0</v>
      </c>
    </row>
    <row r="983" spans="1:13" x14ac:dyDescent="0.3">
      <c r="A983" s="46" t="s">
        <v>2017</v>
      </c>
      <c r="B983" s="46" t="s">
        <v>6629</v>
      </c>
      <c r="C983" s="46" t="s">
        <v>80</v>
      </c>
      <c r="D983" s="46" t="s">
        <v>164</v>
      </c>
      <c r="E983" s="46" t="s">
        <v>233</v>
      </c>
      <c r="F983" s="46" t="s">
        <v>30</v>
      </c>
      <c r="G983" s="46">
        <v>72</v>
      </c>
      <c r="H983" s="46" t="s">
        <v>6643</v>
      </c>
      <c r="I983" s="46" t="s">
        <v>40</v>
      </c>
      <c r="J983" s="47">
        <v>45156</v>
      </c>
      <c r="K983" s="46" t="s">
        <v>97</v>
      </c>
      <c r="L983" s="48">
        <v>6519</v>
      </c>
      <c r="M983" s="49">
        <v>5</v>
      </c>
    </row>
    <row r="984" spans="1:13" x14ac:dyDescent="0.3">
      <c r="A984" s="46" t="s">
        <v>2019</v>
      </c>
      <c r="B984" s="46" t="s">
        <v>6628</v>
      </c>
      <c r="C984" s="46" t="s">
        <v>189</v>
      </c>
      <c r="D984" s="46" t="s">
        <v>164</v>
      </c>
      <c r="E984" s="46" t="s">
        <v>165</v>
      </c>
      <c r="F984" s="46" t="s">
        <v>6632</v>
      </c>
      <c r="G984" s="46">
        <v>2</v>
      </c>
      <c r="H984" s="46" t="s">
        <v>6644</v>
      </c>
      <c r="I984" s="46" t="s">
        <v>40</v>
      </c>
      <c r="J984" s="47">
        <v>45323</v>
      </c>
      <c r="K984" s="46" t="s">
        <v>72</v>
      </c>
      <c r="L984" s="48">
        <v>2997</v>
      </c>
      <c r="M984" s="49">
        <v>3</v>
      </c>
    </row>
    <row r="985" spans="1:13" x14ac:dyDescent="0.3">
      <c r="A985" s="46" t="s">
        <v>2021</v>
      </c>
      <c r="B985" s="46" t="s">
        <v>118</v>
      </c>
      <c r="C985" s="46" t="s">
        <v>61</v>
      </c>
      <c r="D985" s="46" t="s">
        <v>28</v>
      </c>
      <c r="E985" s="46" t="s">
        <v>29</v>
      </c>
      <c r="F985" s="46" t="s">
        <v>69</v>
      </c>
      <c r="G985" s="46">
        <v>12</v>
      </c>
      <c r="H985" s="46" t="s">
        <v>6644</v>
      </c>
      <c r="I985" s="46" t="s">
        <v>40</v>
      </c>
      <c r="J985" s="47">
        <v>44939</v>
      </c>
      <c r="K985" s="46" t="s">
        <v>72</v>
      </c>
      <c r="L985" s="48">
        <v>67263</v>
      </c>
      <c r="M985" s="49">
        <v>0</v>
      </c>
    </row>
    <row r="986" spans="1:13" x14ac:dyDescent="0.3">
      <c r="A986" s="46" t="s">
        <v>2023</v>
      </c>
      <c r="B986" s="46" t="s">
        <v>79</v>
      </c>
      <c r="C986" s="46" t="s">
        <v>36</v>
      </c>
      <c r="D986" s="46" t="s">
        <v>164</v>
      </c>
      <c r="E986" s="46" t="s">
        <v>233</v>
      </c>
      <c r="F986" s="46" t="s">
        <v>30</v>
      </c>
      <c r="G986" s="46">
        <v>70</v>
      </c>
      <c r="H986" s="46" t="s">
        <v>6643</v>
      </c>
      <c r="I986" s="46" t="s">
        <v>40</v>
      </c>
      <c r="J986" s="47">
        <v>45345</v>
      </c>
      <c r="K986" s="46" t="s">
        <v>104</v>
      </c>
      <c r="L986" s="48">
        <v>10220</v>
      </c>
      <c r="M986" s="49">
        <v>0</v>
      </c>
    </row>
    <row r="987" spans="1:13" x14ac:dyDescent="0.3">
      <c r="A987" s="46" t="s">
        <v>2024</v>
      </c>
      <c r="B987" s="46" t="s">
        <v>118</v>
      </c>
      <c r="C987" s="46" t="s">
        <v>36</v>
      </c>
      <c r="D987" s="46" t="s">
        <v>67</v>
      </c>
      <c r="E987" s="46" t="s">
        <v>89</v>
      </c>
      <c r="F987" s="46" t="s">
        <v>30</v>
      </c>
      <c r="G987" s="46">
        <v>39</v>
      </c>
      <c r="H987" s="46" t="s">
        <v>6645</v>
      </c>
      <c r="I987" s="46" t="s">
        <v>40</v>
      </c>
      <c r="J987" s="47">
        <v>45347</v>
      </c>
      <c r="K987" s="46" t="s">
        <v>97</v>
      </c>
      <c r="L987" s="48">
        <v>17300</v>
      </c>
      <c r="M987" s="49">
        <v>0</v>
      </c>
    </row>
    <row r="988" spans="1:13" x14ac:dyDescent="0.3">
      <c r="A988" s="46" t="s">
        <v>2026</v>
      </c>
      <c r="B988" s="46" t="s">
        <v>6629</v>
      </c>
      <c r="C988" s="46" t="s">
        <v>55</v>
      </c>
      <c r="D988" s="46" t="s">
        <v>164</v>
      </c>
      <c r="E988" s="46" t="s">
        <v>219</v>
      </c>
      <c r="F988" s="46" t="s">
        <v>30</v>
      </c>
      <c r="G988" s="46">
        <v>40</v>
      </c>
      <c r="H988" s="46" t="s">
        <v>6645</v>
      </c>
      <c r="I988" s="46" t="s">
        <v>20</v>
      </c>
      <c r="J988" s="47">
        <v>44956</v>
      </c>
      <c r="K988" s="46" t="s">
        <v>97</v>
      </c>
      <c r="L988" s="48">
        <v>17317</v>
      </c>
      <c r="M988" s="49">
        <v>0</v>
      </c>
    </row>
    <row r="989" spans="1:13" x14ac:dyDescent="0.3">
      <c r="A989" s="46" t="s">
        <v>2028</v>
      </c>
      <c r="B989" s="46" t="s">
        <v>6628</v>
      </c>
      <c r="C989" s="46" t="s">
        <v>80</v>
      </c>
      <c r="D989" s="46" t="s">
        <v>108</v>
      </c>
      <c r="E989" s="46" t="s">
        <v>109</v>
      </c>
      <c r="F989" s="46" t="s">
        <v>30</v>
      </c>
      <c r="G989" s="46">
        <v>51</v>
      </c>
      <c r="H989" s="46" t="s">
        <v>6645</v>
      </c>
      <c r="I989" s="46" t="s">
        <v>40</v>
      </c>
      <c r="J989" s="47">
        <v>45078</v>
      </c>
      <c r="K989" s="46" t="s">
        <v>104</v>
      </c>
      <c r="L989" s="48">
        <v>14137</v>
      </c>
      <c r="M989" s="49">
        <v>15</v>
      </c>
    </row>
    <row r="990" spans="1:13" x14ac:dyDescent="0.3">
      <c r="A990" s="46" t="s">
        <v>2030</v>
      </c>
      <c r="B990" s="46" t="s">
        <v>6628</v>
      </c>
      <c r="C990" s="46" t="s">
        <v>66</v>
      </c>
      <c r="D990" s="46" t="s">
        <v>99</v>
      </c>
      <c r="E990" s="46" t="s">
        <v>151</v>
      </c>
      <c r="F990" s="46" t="s">
        <v>30</v>
      </c>
      <c r="G990" s="46">
        <v>14</v>
      </c>
      <c r="H990" s="46" t="s">
        <v>6646</v>
      </c>
      <c r="I990" s="46" t="s">
        <v>20</v>
      </c>
      <c r="J990" s="47">
        <v>44949</v>
      </c>
      <c r="K990" s="46" t="s">
        <v>104</v>
      </c>
      <c r="L990" s="48">
        <v>7309</v>
      </c>
      <c r="M990" s="49">
        <v>35</v>
      </c>
    </row>
    <row r="991" spans="1:13" x14ac:dyDescent="0.3">
      <c r="A991" s="46" t="s">
        <v>2032</v>
      </c>
      <c r="B991" s="46" t="s">
        <v>6628</v>
      </c>
      <c r="C991" s="46" t="s">
        <v>36</v>
      </c>
      <c r="D991" s="46" t="s">
        <v>67</v>
      </c>
      <c r="E991" s="46" t="s">
        <v>196</v>
      </c>
      <c r="F991" s="46" t="s">
        <v>30</v>
      </c>
      <c r="G991" s="46">
        <v>77</v>
      </c>
      <c r="H991" s="46" t="s">
        <v>6643</v>
      </c>
      <c r="I991" s="46" t="s">
        <v>20</v>
      </c>
      <c r="J991" s="47">
        <v>45302</v>
      </c>
      <c r="K991" s="46" t="s">
        <v>91</v>
      </c>
      <c r="L991" s="48">
        <v>12685</v>
      </c>
      <c r="M991" s="49">
        <v>5</v>
      </c>
    </row>
    <row r="992" spans="1:13" x14ac:dyDescent="0.3">
      <c r="A992" s="46" t="s">
        <v>2033</v>
      </c>
      <c r="B992" s="46" t="s">
        <v>79</v>
      </c>
      <c r="C992" s="46" t="s">
        <v>36</v>
      </c>
      <c r="D992" s="46" t="s">
        <v>108</v>
      </c>
      <c r="E992" s="46" t="s">
        <v>109</v>
      </c>
      <c r="F992" s="46" t="s">
        <v>30</v>
      </c>
      <c r="G992" s="46">
        <v>21</v>
      </c>
      <c r="H992" s="46" t="s">
        <v>6645</v>
      </c>
      <c r="I992" s="46" t="s">
        <v>20</v>
      </c>
      <c r="J992" s="47">
        <v>45380</v>
      </c>
      <c r="K992" s="46" t="s">
        <v>72</v>
      </c>
      <c r="L992" s="48">
        <v>13871</v>
      </c>
      <c r="M992" s="49">
        <v>0</v>
      </c>
    </row>
    <row r="993" spans="1:13" x14ac:dyDescent="0.3">
      <c r="A993" s="46" t="s">
        <v>2034</v>
      </c>
      <c r="B993" s="46" t="s">
        <v>6626</v>
      </c>
      <c r="C993" s="46" t="s">
        <v>55</v>
      </c>
      <c r="D993" s="46" t="s">
        <v>93</v>
      </c>
      <c r="E993" s="46" t="s">
        <v>121</v>
      </c>
      <c r="F993" s="46" t="s">
        <v>30</v>
      </c>
      <c r="G993" s="46">
        <v>38</v>
      </c>
      <c r="H993" s="46" t="s">
        <v>6645</v>
      </c>
      <c r="I993" s="46" t="s">
        <v>20</v>
      </c>
      <c r="J993" s="47">
        <v>44969</v>
      </c>
      <c r="K993" s="46" t="s">
        <v>97</v>
      </c>
      <c r="L993" s="48">
        <v>14430</v>
      </c>
      <c r="M993" s="49">
        <v>0</v>
      </c>
    </row>
    <row r="994" spans="1:13" x14ac:dyDescent="0.3">
      <c r="A994" s="46" t="s">
        <v>2036</v>
      </c>
      <c r="B994" s="46" t="s">
        <v>6627</v>
      </c>
      <c r="C994" s="46" t="s">
        <v>55</v>
      </c>
      <c r="D994" s="46" t="s">
        <v>47</v>
      </c>
      <c r="E994" s="46" t="s">
        <v>48</v>
      </c>
      <c r="F994" s="46" t="s">
        <v>69</v>
      </c>
      <c r="G994" s="46">
        <v>9</v>
      </c>
      <c r="H994" s="46" t="s">
        <v>6644</v>
      </c>
      <c r="I994" s="46" t="s">
        <v>20</v>
      </c>
      <c r="J994" s="47">
        <v>45390</v>
      </c>
      <c r="K994" s="46" t="s">
        <v>91</v>
      </c>
      <c r="L994" s="48">
        <v>86653</v>
      </c>
      <c r="M994" s="49">
        <v>3</v>
      </c>
    </row>
    <row r="995" spans="1:13" x14ac:dyDescent="0.3">
      <c r="A995" s="46" t="s">
        <v>2037</v>
      </c>
      <c r="B995" s="46" t="s">
        <v>6628</v>
      </c>
      <c r="C995" s="46" t="s">
        <v>27</v>
      </c>
      <c r="D995" s="46" t="s">
        <v>37</v>
      </c>
      <c r="E995" s="46" t="s">
        <v>185</v>
      </c>
      <c r="F995" s="46" t="s">
        <v>30</v>
      </c>
      <c r="G995" s="46">
        <v>63</v>
      </c>
      <c r="H995" s="46" t="s">
        <v>6643</v>
      </c>
      <c r="I995" s="46" t="s">
        <v>20</v>
      </c>
      <c r="J995" s="47">
        <v>45240</v>
      </c>
      <c r="K995" s="46" t="s">
        <v>97</v>
      </c>
      <c r="L995" s="48">
        <v>4360</v>
      </c>
      <c r="M995" s="49">
        <v>0</v>
      </c>
    </row>
    <row r="996" spans="1:13" x14ac:dyDescent="0.3">
      <c r="A996" s="46" t="s">
        <v>2040</v>
      </c>
      <c r="B996" s="46" t="s">
        <v>118</v>
      </c>
      <c r="C996" s="46" t="s">
        <v>66</v>
      </c>
      <c r="D996" s="46" t="s">
        <v>47</v>
      </c>
      <c r="E996" s="46" t="s">
        <v>461</v>
      </c>
      <c r="F996" s="46" t="s">
        <v>30</v>
      </c>
      <c r="G996" s="46">
        <v>2</v>
      </c>
      <c r="H996" s="46" t="s">
        <v>6644</v>
      </c>
      <c r="I996" s="46" t="s">
        <v>40</v>
      </c>
      <c r="J996" s="47">
        <v>45316</v>
      </c>
      <c r="K996" s="46" t="s">
        <v>87</v>
      </c>
      <c r="L996" s="48">
        <v>7331</v>
      </c>
      <c r="M996" s="49">
        <v>5</v>
      </c>
    </row>
    <row r="997" spans="1:13" x14ac:dyDescent="0.3">
      <c r="A997" s="46" t="s">
        <v>2042</v>
      </c>
      <c r="B997" s="46" t="s">
        <v>6627</v>
      </c>
      <c r="C997" s="46" t="s">
        <v>189</v>
      </c>
      <c r="D997" s="46" t="s">
        <v>28</v>
      </c>
      <c r="E997" s="46" t="s">
        <v>290</v>
      </c>
      <c r="F997" s="46" t="s">
        <v>30</v>
      </c>
      <c r="G997" s="46">
        <v>50</v>
      </c>
      <c r="H997" s="46" t="s">
        <v>6645</v>
      </c>
      <c r="I997" s="46" t="s">
        <v>40</v>
      </c>
      <c r="J997" s="47">
        <v>45136</v>
      </c>
      <c r="K997" s="46" t="s">
        <v>72</v>
      </c>
      <c r="L997" s="48">
        <v>6818</v>
      </c>
      <c r="M997" s="49">
        <v>3</v>
      </c>
    </row>
    <row r="998" spans="1:13" x14ac:dyDescent="0.3">
      <c r="A998" s="46" t="s">
        <v>2043</v>
      </c>
      <c r="B998" s="46" t="s">
        <v>6628</v>
      </c>
      <c r="C998" s="46" t="s">
        <v>55</v>
      </c>
      <c r="D998" s="46" t="s">
        <v>17</v>
      </c>
      <c r="E998" s="46" t="s">
        <v>135</v>
      </c>
      <c r="F998" s="46" t="s">
        <v>69</v>
      </c>
      <c r="G998" s="46">
        <v>18</v>
      </c>
      <c r="H998" s="46" t="s">
        <v>6646</v>
      </c>
      <c r="I998" s="46" t="s">
        <v>40</v>
      </c>
      <c r="J998" s="47">
        <v>45117</v>
      </c>
      <c r="K998" s="46" t="s">
        <v>104</v>
      </c>
      <c r="L998" s="48">
        <v>58522</v>
      </c>
      <c r="M998" s="49">
        <v>5</v>
      </c>
    </row>
    <row r="999" spans="1:13" x14ac:dyDescent="0.3">
      <c r="A999" s="46" t="s">
        <v>2045</v>
      </c>
      <c r="B999" s="46" t="s">
        <v>6628</v>
      </c>
      <c r="C999" s="46" t="s">
        <v>55</v>
      </c>
      <c r="D999" s="46" t="s">
        <v>93</v>
      </c>
      <c r="E999" s="46" t="s">
        <v>94</v>
      </c>
      <c r="F999" s="46" t="s">
        <v>6632</v>
      </c>
      <c r="G999" s="46">
        <v>26</v>
      </c>
      <c r="H999" s="46" t="s">
        <v>6645</v>
      </c>
      <c r="I999" s="46" t="s">
        <v>40</v>
      </c>
      <c r="J999" s="47">
        <v>45332</v>
      </c>
      <c r="K999" s="46" t="s">
        <v>72</v>
      </c>
      <c r="L999" s="48">
        <v>46387</v>
      </c>
      <c r="M999" s="49">
        <v>10</v>
      </c>
    </row>
    <row r="1000" spans="1:13" x14ac:dyDescent="0.3">
      <c r="A1000" s="46" t="s">
        <v>2047</v>
      </c>
      <c r="B1000" s="46" t="s">
        <v>6629</v>
      </c>
      <c r="C1000" s="46" t="s">
        <v>66</v>
      </c>
      <c r="D1000" s="46" t="s">
        <v>93</v>
      </c>
      <c r="E1000" s="46" t="s">
        <v>121</v>
      </c>
      <c r="F1000" s="46" t="s">
        <v>30</v>
      </c>
      <c r="G1000" s="46">
        <v>18</v>
      </c>
      <c r="H1000" s="46" t="s">
        <v>6646</v>
      </c>
      <c r="I1000" s="46" t="s">
        <v>40</v>
      </c>
      <c r="J1000" s="47">
        <v>45267</v>
      </c>
      <c r="K1000" s="46" t="s">
        <v>97</v>
      </c>
      <c r="L1000" s="48">
        <v>12783</v>
      </c>
      <c r="M1000" s="49">
        <v>0</v>
      </c>
    </row>
    <row r="1001" spans="1:13" x14ac:dyDescent="0.3">
      <c r="A1001" s="46" t="s">
        <v>2048</v>
      </c>
      <c r="B1001" s="46" t="s">
        <v>118</v>
      </c>
      <c r="C1001" s="46" t="s">
        <v>16</v>
      </c>
      <c r="D1001" s="46" t="s">
        <v>164</v>
      </c>
      <c r="E1001" s="46" t="s">
        <v>165</v>
      </c>
      <c r="F1001" s="46" t="s">
        <v>30</v>
      </c>
      <c r="G1001" s="46">
        <v>26</v>
      </c>
      <c r="H1001" s="46" t="s">
        <v>6645</v>
      </c>
      <c r="I1001" s="46" t="s">
        <v>40</v>
      </c>
      <c r="J1001" s="47">
        <v>45011</v>
      </c>
      <c r="K1001" s="46" t="s">
        <v>97</v>
      </c>
      <c r="L1001" s="48">
        <v>8414</v>
      </c>
      <c r="M1001" s="49">
        <v>3</v>
      </c>
    </row>
    <row r="1002" spans="1:13" x14ac:dyDescent="0.3">
      <c r="A1002" s="46" t="s">
        <v>2050</v>
      </c>
      <c r="B1002" s="46" t="s">
        <v>6627</v>
      </c>
      <c r="C1002" s="46" t="s">
        <v>189</v>
      </c>
      <c r="D1002" s="46" t="s">
        <v>93</v>
      </c>
      <c r="E1002" s="46" t="s">
        <v>94</v>
      </c>
      <c r="F1002" s="46" t="s">
        <v>30</v>
      </c>
      <c r="G1002" s="46">
        <v>5</v>
      </c>
      <c r="H1002" s="46" t="s">
        <v>6644</v>
      </c>
      <c r="I1002" s="46" t="s">
        <v>20</v>
      </c>
      <c r="J1002" s="47">
        <v>45013</v>
      </c>
      <c r="K1002" s="46" t="s">
        <v>87</v>
      </c>
      <c r="L1002" s="48">
        <v>14436</v>
      </c>
      <c r="M1002" s="49">
        <v>5</v>
      </c>
    </row>
    <row r="1003" spans="1:13" x14ac:dyDescent="0.3">
      <c r="A1003" s="46" t="s">
        <v>2051</v>
      </c>
      <c r="B1003" s="46" t="s">
        <v>118</v>
      </c>
      <c r="C1003" s="46" t="s">
        <v>189</v>
      </c>
      <c r="D1003" s="46" t="s">
        <v>99</v>
      </c>
      <c r="E1003" s="46" t="s">
        <v>151</v>
      </c>
      <c r="F1003" s="46" t="s">
        <v>30</v>
      </c>
      <c r="G1003" s="46">
        <v>74</v>
      </c>
      <c r="H1003" s="46" t="s">
        <v>6643</v>
      </c>
      <c r="I1003" s="46" t="s">
        <v>20</v>
      </c>
      <c r="J1003" s="47">
        <v>45072</v>
      </c>
      <c r="K1003" s="46" t="s">
        <v>97</v>
      </c>
      <c r="L1003" s="48">
        <v>13777</v>
      </c>
      <c r="M1003" s="49">
        <v>0</v>
      </c>
    </row>
    <row r="1004" spans="1:13" x14ac:dyDescent="0.3">
      <c r="A1004" s="46" t="s">
        <v>2053</v>
      </c>
      <c r="B1004" s="46" t="s">
        <v>6628</v>
      </c>
      <c r="C1004" s="46" t="s">
        <v>80</v>
      </c>
      <c r="D1004" s="46" t="s">
        <v>93</v>
      </c>
      <c r="E1004" s="46" t="s">
        <v>121</v>
      </c>
      <c r="F1004" s="46" t="s">
        <v>30</v>
      </c>
      <c r="G1004" s="46">
        <v>36</v>
      </c>
      <c r="H1004" s="46" t="s">
        <v>6645</v>
      </c>
      <c r="I1004" s="46" t="s">
        <v>20</v>
      </c>
      <c r="J1004" s="47">
        <v>45395</v>
      </c>
      <c r="K1004" s="46" t="s">
        <v>91</v>
      </c>
      <c r="L1004" s="48">
        <v>3272</v>
      </c>
      <c r="M1004" s="49">
        <v>10</v>
      </c>
    </row>
    <row r="1005" spans="1:13" x14ac:dyDescent="0.3">
      <c r="A1005" s="46" t="s">
        <v>2055</v>
      </c>
      <c r="B1005" s="46" t="s">
        <v>6629</v>
      </c>
      <c r="C1005" s="46" t="s">
        <v>189</v>
      </c>
      <c r="D1005" s="46" t="s">
        <v>47</v>
      </c>
      <c r="E1005" s="46" t="s">
        <v>48</v>
      </c>
      <c r="F1005" s="46" t="s">
        <v>30</v>
      </c>
      <c r="G1005" s="46">
        <v>2</v>
      </c>
      <c r="H1005" s="46" t="s">
        <v>6644</v>
      </c>
      <c r="I1005" s="46" t="s">
        <v>40</v>
      </c>
      <c r="J1005" s="47">
        <v>45147</v>
      </c>
      <c r="K1005" s="46" t="s">
        <v>97</v>
      </c>
      <c r="L1005" s="48">
        <v>9197</v>
      </c>
      <c r="M1005" s="49">
        <v>5</v>
      </c>
    </row>
    <row r="1006" spans="1:13" x14ac:dyDescent="0.3">
      <c r="A1006" s="46" t="s">
        <v>2057</v>
      </c>
      <c r="B1006" s="46" t="s">
        <v>118</v>
      </c>
      <c r="C1006" s="46" t="s">
        <v>36</v>
      </c>
      <c r="D1006" s="46" t="s">
        <v>164</v>
      </c>
      <c r="E1006" s="46" t="s">
        <v>282</v>
      </c>
      <c r="F1006" s="46" t="s">
        <v>6632</v>
      </c>
      <c r="G1006" s="46">
        <v>9</v>
      </c>
      <c r="H1006" s="46" t="s">
        <v>6644</v>
      </c>
      <c r="I1006" s="46" t="s">
        <v>20</v>
      </c>
      <c r="J1006" s="47">
        <v>45059</v>
      </c>
      <c r="K1006" s="46" t="s">
        <v>6632</v>
      </c>
      <c r="L1006" s="48">
        <v>17480</v>
      </c>
      <c r="M1006" s="49">
        <v>0</v>
      </c>
    </row>
    <row r="1007" spans="1:13" x14ac:dyDescent="0.3">
      <c r="A1007" s="46" t="s">
        <v>2058</v>
      </c>
      <c r="B1007" s="46" t="s">
        <v>118</v>
      </c>
      <c r="C1007" s="46" t="s">
        <v>80</v>
      </c>
      <c r="D1007" s="46" t="s">
        <v>67</v>
      </c>
      <c r="E1007" s="46" t="s">
        <v>196</v>
      </c>
      <c r="F1007" s="46" t="s">
        <v>69</v>
      </c>
      <c r="G1007" s="46">
        <v>19</v>
      </c>
      <c r="H1007" s="46" t="s">
        <v>6646</v>
      </c>
      <c r="I1007" s="46" t="s">
        <v>20</v>
      </c>
      <c r="J1007" s="47">
        <v>45103</v>
      </c>
      <c r="K1007" s="46" t="s">
        <v>72</v>
      </c>
      <c r="L1007" s="48">
        <v>13353</v>
      </c>
      <c r="M1007" s="49">
        <v>0</v>
      </c>
    </row>
    <row r="1008" spans="1:13" x14ac:dyDescent="0.3">
      <c r="A1008" s="46" t="s">
        <v>2060</v>
      </c>
      <c r="B1008" s="46" t="s">
        <v>6626</v>
      </c>
      <c r="C1008" s="46" t="s">
        <v>80</v>
      </c>
      <c r="D1008" s="46" t="s">
        <v>108</v>
      </c>
      <c r="E1008" s="46" t="s">
        <v>124</v>
      </c>
      <c r="F1008" s="46" t="s">
        <v>69</v>
      </c>
      <c r="G1008" s="46">
        <v>66</v>
      </c>
      <c r="H1008" s="46" t="s">
        <v>6643</v>
      </c>
      <c r="I1008" s="46" t="s">
        <v>40</v>
      </c>
      <c r="J1008" s="47">
        <v>45179</v>
      </c>
      <c r="K1008" s="46" t="s">
        <v>72</v>
      </c>
      <c r="L1008" s="48">
        <v>85191</v>
      </c>
      <c r="M1008" s="49">
        <v>3</v>
      </c>
    </row>
    <row r="1009" spans="1:13" x14ac:dyDescent="0.3">
      <c r="A1009" s="46" t="s">
        <v>2061</v>
      </c>
      <c r="B1009" s="46" t="s">
        <v>6629</v>
      </c>
      <c r="C1009" s="46" t="s">
        <v>189</v>
      </c>
      <c r="D1009" s="46" t="s">
        <v>37</v>
      </c>
      <c r="E1009" s="46" t="s">
        <v>185</v>
      </c>
      <c r="F1009" s="46" t="s">
        <v>30</v>
      </c>
      <c r="G1009" s="46">
        <v>40</v>
      </c>
      <c r="H1009" s="46" t="s">
        <v>6645</v>
      </c>
      <c r="I1009" s="46" t="s">
        <v>40</v>
      </c>
      <c r="J1009" s="47">
        <v>45319</v>
      </c>
      <c r="K1009" s="46" t="s">
        <v>72</v>
      </c>
      <c r="L1009" s="48">
        <v>10058</v>
      </c>
      <c r="M1009" s="49">
        <v>0</v>
      </c>
    </row>
    <row r="1010" spans="1:13" x14ac:dyDescent="0.3">
      <c r="A1010" s="46" t="s">
        <v>2063</v>
      </c>
      <c r="B1010" s="46" t="s">
        <v>6628</v>
      </c>
      <c r="C1010" s="46" t="s">
        <v>16</v>
      </c>
      <c r="D1010" s="46" t="s">
        <v>74</v>
      </c>
      <c r="E1010" s="46" t="s">
        <v>192</v>
      </c>
      <c r="F1010" s="46" t="s">
        <v>30</v>
      </c>
      <c r="G1010" s="46">
        <v>54</v>
      </c>
      <c r="H1010" s="46" t="s">
        <v>6645</v>
      </c>
      <c r="I1010" s="46" t="s">
        <v>40</v>
      </c>
      <c r="J1010" s="47">
        <v>44949</v>
      </c>
      <c r="K1010" s="46" t="s">
        <v>104</v>
      </c>
      <c r="L1010" s="48">
        <v>12545</v>
      </c>
      <c r="M1010" s="49">
        <v>20</v>
      </c>
    </row>
    <row r="1011" spans="1:13" x14ac:dyDescent="0.3">
      <c r="A1011" s="46" t="s">
        <v>2064</v>
      </c>
      <c r="B1011" s="46" t="s">
        <v>6627</v>
      </c>
      <c r="C1011" s="46" t="s">
        <v>189</v>
      </c>
      <c r="D1011" s="46" t="s">
        <v>17</v>
      </c>
      <c r="E1011" s="46" t="s">
        <v>18</v>
      </c>
      <c r="F1011" s="46" t="s">
        <v>69</v>
      </c>
      <c r="G1011" s="46">
        <v>41</v>
      </c>
      <c r="H1011" s="46" t="s">
        <v>6645</v>
      </c>
      <c r="I1011" s="46" t="s">
        <v>20</v>
      </c>
      <c r="J1011" s="47">
        <v>45020</v>
      </c>
      <c r="K1011" s="46" t="s">
        <v>91</v>
      </c>
      <c r="L1011" s="48">
        <v>77304</v>
      </c>
      <c r="M1011" s="49">
        <v>10</v>
      </c>
    </row>
    <row r="1012" spans="1:13" x14ac:dyDescent="0.3">
      <c r="A1012" s="46" t="s">
        <v>2066</v>
      </c>
      <c r="B1012" s="46" t="s">
        <v>79</v>
      </c>
      <c r="C1012" s="46" t="s">
        <v>66</v>
      </c>
      <c r="D1012" s="46" t="s">
        <v>37</v>
      </c>
      <c r="E1012" s="46" t="s">
        <v>185</v>
      </c>
      <c r="F1012" s="46" t="s">
        <v>6632</v>
      </c>
      <c r="G1012" s="46">
        <v>88</v>
      </c>
      <c r="H1012" s="46" t="s">
        <v>6643</v>
      </c>
      <c r="I1012" s="46" t="s">
        <v>20</v>
      </c>
      <c r="J1012" s="47">
        <v>44938</v>
      </c>
      <c r="K1012" s="46" t="s">
        <v>104</v>
      </c>
      <c r="L1012" s="48">
        <v>12319</v>
      </c>
      <c r="M1012" s="49">
        <v>25</v>
      </c>
    </row>
    <row r="1013" spans="1:13" x14ac:dyDescent="0.3">
      <c r="A1013" s="46" t="s">
        <v>2067</v>
      </c>
      <c r="B1013" s="46" t="s">
        <v>6626</v>
      </c>
      <c r="C1013" s="46" t="s">
        <v>80</v>
      </c>
      <c r="D1013" s="46" t="s">
        <v>37</v>
      </c>
      <c r="E1013" s="46" t="s">
        <v>56</v>
      </c>
      <c r="F1013" s="46" t="s">
        <v>30</v>
      </c>
      <c r="G1013" s="46">
        <v>34</v>
      </c>
      <c r="H1013" s="46" t="s">
        <v>6645</v>
      </c>
      <c r="I1013" s="46" t="s">
        <v>40</v>
      </c>
      <c r="J1013" s="47">
        <v>45149</v>
      </c>
      <c r="K1013" s="46" t="s">
        <v>91</v>
      </c>
      <c r="L1013" s="48">
        <v>9751</v>
      </c>
      <c r="M1013" s="49">
        <v>3</v>
      </c>
    </row>
    <row r="1014" spans="1:13" x14ac:dyDescent="0.3">
      <c r="A1014" s="46" t="s">
        <v>2068</v>
      </c>
      <c r="B1014" s="46" t="s">
        <v>6629</v>
      </c>
      <c r="C1014" s="46" t="s">
        <v>189</v>
      </c>
      <c r="D1014" s="46" t="s">
        <v>74</v>
      </c>
      <c r="E1014" s="46" t="s">
        <v>75</v>
      </c>
      <c r="F1014" s="46" t="s">
        <v>69</v>
      </c>
      <c r="G1014" s="46">
        <v>36</v>
      </c>
      <c r="H1014" s="46" t="s">
        <v>6645</v>
      </c>
      <c r="I1014" s="46" t="s">
        <v>40</v>
      </c>
      <c r="J1014" s="47">
        <v>45060</v>
      </c>
      <c r="K1014" s="46" t="s">
        <v>72</v>
      </c>
      <c r="L1014" s="48">
        <v>31314</v>
      </c>
      <c r="M1014" s="49">
        <v>0</v>
      </c>
    </row>
    <row r="1015" spans="1:13" x14ac:dyDescent="0.3">
      <c r="A1015" s="46" t="s">
        <v>2070</v>
      </c>
      <c r="B1015" s="46" t="s">
        <v>6629</v>
      </c>
      <c r="C1015" s="46" t="s">
        <v>61</v>
      </c>
      <c r="D1015" s="46" t="s">
        <v>37</v>
      </c>
      <c r="E1015" s="46" t="s">
        <v>132</v>
      </c>
      <c r="F1015" s="46" t="s">
        <v>69</v>
      </c>
      <c r="G1015" s="46">
        <v>10</v>
      </c>
      <c r="H1015" s="46" t="s">
        <v>6644</v>
      </c>
      <c r="I1015" s="46" t="s">
        <v>20</v>
      </c>
      <c r="J1015" s="47">
        <v>45043</v>
      </c>
      <c r="K1015" s="46" t="s">
        <v>72</v>
      </c>
      <c r="L1015" s="48">
        <v>56123</v>
      </c>
      <c r="M1015" s="49">
        <v>5</v>
      </c>
    </row>
    <row r="1016" spans="1:13" x14ac:dyDescent="0.3">
      <c r="A1016" s="46" t="s">
        <v>2072</v>
      </c>
      <c r="B1016" s="46" t="s">
        <v>6629</v>
      </c>
      <c r="C1016" s="46" t="s">
        <v>36</v>
      </c>
      <c r="D1016" s="46" t="s">
        <v>28</v>
      </c>
      <c r="E1016" s="46" t="s">
        <v>29</v>
      </c>
      <c r="F1016" s="46" t="s">
        <v>30</v>
      </c>
      <c r="G1016" s="46">
        <v>67</v>
      </c>
      <c r="H1016" s="46" t="s">
        <v>6643</v>
      </c>
      <c r="I1016" s="46" t="s">
        <v>20</v>
      </c>
      <c r="J1016" s="47">
        <v>45007</v>
      </c>
      <c r="K1016" s="46" t="s">
        <v>87</v>
      </c>
      <c r="L1016" s="48">
        <v>11073</v>
      </c>
      <c r="M1016" s="49">
        <v>0</v>
      </c>
    </row>
    <row r="1017" spans="1:13" x14ac:dyDescent="0.3">
      <c r="A1017" s="46" t="s">
        <v>2075</v>
      </c>
      <c r="B1017" s="46" t="s">
        <v>6628</v>
      </c>
      <c r="C1017" s="46" t="s">
        <v>66</v>
      </c>
      <c r="D1017" s="46" t="s">
        <v>28</v>
      </c>
      <c r="E1017" s="46" t="s">
        <v>268</v>
      </c>
      <c r="F1017" s="46" t="s">
        <v>30</v>
      </c>
      <c r="G1017" s="46">
        <v>14</v>
      </c>
      <c r="H1017" s="46" t="s">
        <v>6646</v>
      </c>
      <c r="I1017" s="46" t="s">
        <v>20</v>
      </c>
      <c r="J1017" s="47">
        <v>45035</v>
      </c>
      <c r="K1017" s="46" t="s">
        <v>104</v>
      </c>
      <c r="L1017" s="48">
        <v>11625</v>
      </c>
      <c r="M1017" s="49">
        <v>35</v>
      </c>
    </row>
    <row r="1018" spans="1:13" x14ac:dyDescent="0.3">
      <c r="A1018" s="46" t="s">
        <v>2077</v>
      </c>
      <c r="B1018" s="46" t="s">
        <v>6628</v>
      </c>
      <c r="C1018" s="46" t="s">
        <v>16</v>
      </c>
      <c r="D1018" s="46" t="s">
        <v>28</v>
      </c>
      <c r="E1018" s="46" t="s">
        <v>29</v>
      </c>
      <c r="F1018" s="46" t="s">
        <v>69</v>
      </c>
      <c r="G1018" s="46">
        <v>39</v>
      </c>
      <c r="H1018" s="46" t="s">
        <v>6645</v>
      </c>
      <c r="I1018" s="46" t="s">
        <v>40</v>
      </c>
      <c r="J1018" s="47">
        <v>45361</v>
      </c>
      <c r="K1018" s="46" t="s">
        <v>72</v>
      </c>
      <c r="L1018" s="48">
        <v>50217</v>
      </c>
      <c r="M1018" s="49">
        <v>0</v>
      </c>
    </row>
    <row r="1019" spans="1:13" x14ac:dyDescent="0.3">
      <c r="A1019" s="46" t="s">
        <v>2079</v>
      </c>
      <c r="B1019" s="46" t="s">
        <v>6626</v>
      </c>
      <c r="C1019" s="46" t="s">
        <v>66</v>
      </c>
      <c r="D1019" s="46" t="s">
        <v>37</v>
      </c>
      <c r="E1019" s="46" t="s">
        <v>56</v>
      </c>
      <c r="F1019" s="46" t="s">
        <v>30</v>
      </c>
      <c r="G1019" s="46">
        <v>8</v>
      </c>
      <c r="H1019" s="46" t="s">
        <v>6644</v>
      </c>
      <c r="I1019" s="46" t="s">
        <v>40</v>
      </c>
      <c r="J1019" s="47">
        <v>45112</v>
      </c>
      <c r="K1019" s="46" t="s">
        <v>97</v>
      </c>
      <c r="L1019" s="48">
        <v>14143</v>
      </c>
      <c r="M1019" s="49">
        <v>3</v>
      </c>
    </row>
    <row r="1020" spans="1:13" x14ac:dyDescent="0.3">
      <c r="A1020" s="46" t="s">
        <v>2081</v>
      </c>
      <c r="B1020" s="46" t="s">
        <v>118</v>
      </c>
      <c r="C1020" s="46" t="s">
        <v>16</v>
      </c>
      <c r="D1020" s="46" t="s">
        <v>28</v>
      </c>
      <c r="E1020" s="46" t="s">
        <v>29</v>
      </c>
      <c r="F1020" s="46" t="s">
        <v>30</v>
      </c>
      <c r="G1020" s="46">
        <v>59</v>
      </c>
      <c r="H1020" s="46" t="s">
        <v>6645</v>
      </c>
      <c r="I1020" s="46" t="s">
        <v>40</v>
      </c>
      <c r="J1020" s="47">
        <v>45398</v>
      </c>
      <c r="K1020" s="46" t="s">
        <v>91</v>
      </c>
      <c r="L1020" s="48">
        <v>7737</v>
      </c>
      <c r="M1020" s="49">
        <v>0</v>
      </c>
    </row>
    <row r="1021" spans="1:13" x14ac:dyDescent="0.3">
      <c r="A1021" s="46" t="s">
        <v>2083</v>
      </c>
      <c r="B1021" s="46" t="s">
        <v>6628</v>
      </c>
      <c r="C1021" s="46" t="s">
        <v>55</v>
      </c>
      <c r="D1021" s="46" t="s">
        <v>164</v>
      </c>
      <c r="E1021" s="46" t="s">
        <v>282</v>
      </c>
      <c r="F1021" s="46" t="s">
        <v>30</v>
      </c>
      <c r="G1021" s="46">
        <v>15</v>
      </c>
      <c r="H1021" s="46" t="s">
        <v>6646</v>
      </c>
      <c r="I1021" s="46" t="s">
        <v>20</v>
      </c>
      <c r="J1021" s="47">
        <v>45079</v>
      </c>
      <c r="K1021" s="46" t="s">
        <v>72</v>
      </c>
      <c r="L1021" s="48">
        <v>17291</v>
      </c>
      <c r="M1021" s="49">
        <v>10</v>
      </c>
    </row>
    <row r="1022" spans="1:13" x14ac:dyDescent="0.3">
      <c r="A1022" s="46" t="s">
        <v>2084</v>
      </c>
      <c r="B1022" s="46" t="s">
        <v>118</v>
      </c>
      <c r="C1022" s="46" t="s">
        <v>55</v>
      </c>
      <c r="D1022" s="46" t="s">
        <v>28</v>
      </c>
      <c r="E1022" s="46" t="s">
        <v>290</v>
      </c>
      <c r="F1022" s="46" t="s">
        <v>69</v>
      </c>
      <c r="G1022" s="46">
        <v>50</v>
      </c>
      <c r="H1022" s="46" t="s">
        <v>6645</v>
      </c>
      <c r="I1022" s="46" t="s">
        <v>40</v>
      </c>
      <c r="J1022" s="47">
        <v>45184</v>
      </c>
      <c r="K1022" s="46" t="s">
        <v>72</v>
      </c>
      <c r="L1022" s="48">
        <v>88285</v>
      </c>
      <c r="M1022" s="49">
        <v>0</v>
      </c>
    </row>
    <row r="1023" spans="1:13" x14ac:dyDescent="0.3">
      <c r="A1023" s="46" t="s">
        <v>2085</v>
      </c>
      <c r="B1023" s="46" t="s">
        <v>118</v>
      </c>
      <c r="C1023" s="46" t="s">
        <v>61</v>
      </c>
      <c r="D1023" s="46" t="s">
        <v>74</v>
      </c>
      <c r="E1023" s="46" t="s">
        <v>172</v>
      </c>
      <c r="F1023" s="46" t="s">
        <v>30</v>
      </c>
      <c r="G1023" s="46">
        <v>37</v>
      </c>
      <c r="H1023" s="46" t="s">
        <v>6645</v>
      </c>
      <c r="I1023" s="46" t="s">
        <v>40</v>
      </c>
      <c r="J1023" s="47">
        <v>44959</v>
      </c>
      <c r="K1023" s="46" t="s">
        <v>87</v>
      </c>
      <c r="L1023" s="48">
        <v>8918</v>
      </c>
      <c r="M1023" s="49">
        <v>3</v>
      </c>
    </row>
    <row r="1024" spans="1:13" x14ac:dyDescent="0.3">
      <c r="A1024" s="46" t="s">
        <v>2086</v>
      </c>
      <c r="B1024" s="46" t="s">
        <v>6627</v>
      </c>
      <c r="C1024" s="46" t="s">
        <v>36</v>
      </c>
      <c r="D1024" s="46" t="s">
        <v>37</v>
      </c>
      <c r="E1024" s="46" t="s">
        <v>56</v>
      </c>
      <c r="F1024" s="46" t="s">
        <v>30</v>
      </c>
      <c r="G1024" s="46">
        <v>5</v>
      </c>
      <c r="H1024" s="46" t="s">
        <v>6644</v>
      </c>
      <c r="I1024" s="46" t="s">
        <v>40</v>
      </c>
      <c r="J1024" s="47">
        <v>45041</v>
      </c>
      <c r="K1024" s="46" t="s">
        <v>97</v>
      </c>
      <c r="L1024" s="48">
        <v>3957</v>
      </c>
      <c r="M1024" s="49">
        <v>10</v>
      </c>
    </row>
    <row r="1025" spans="1:13" x14ac:dyDescent="0.3">
      <c r="A1025" s="46" t="s">
        <v>2087</v>
      </c>
      <c r="B1025" s="46" t="s">
        <v>6627</v>
      </c>
      <c r="C1025" s="46" t="s">
        <v>16</v>
      </c>
      <c r="D1025" s="46" t="s">
        <v>164</v>
      </c>
      <c r="E1025" s="46" t="s">
        <v>219</v>
      </c>
      <c r="F1025" s="46" t="s">
        <v>30</v>
      </c>
      <c r="G1025" s="46">
        <v>59</v>
      </c>
      <c r="H1025" s="46" t="s">
        <v>6645</v>
      </c>
      <c r="I1025" s="46" t="s">
        <v>40</v>
      </c>
      <c r="J1025" s="47">
        <v>45051</v>
      </c>
      <c r="K1025" s="46" t="s">
        <v>104</v>
      </c>
      <c r="L1025" s="48">
        <v>5941</v>
      </c>
      <c r="M1025" s="49">
        <v>20</v>
      </c>
    </row>
    <row r="1026" spans="1:13" x14ac:dyDescent="0.3">
      <c r="A1026" s="46" t="s">
        <v>2089</v>
      </c>
      <c r="B1026" s="46" t="s">
        <v>6629</v>
      </c>
      <c r="C1026" s="46" t="s">
        <v>66</v>
      </c>
      <c r="D1026" s="46" t="s">
        <v>28</v>
      </c>
      <c r="E1026" s="46" t="s">
        <v>268</v>
      </c>
      <c r="F1026" s="46" t="s">
        <v>30</v>
      </c>
      <c r="G1026" s="46">
        <v>78</v>
      </c>
      <c r="H1026" s="46" t="s">
        <v>6643</v>
      </c>
      <c r="I1026" s="46" t="s">
        <v>40</v>
      </c>
      <c r="J1026" s="47">
        <v>45341</v>
      </c>
      <c r="K1026" s="46" t="s">
        <v>87</v>
      </c>
      <c r="L1026" s="48">
        <v>3669</v>
      </c>
      <c r="M1026" s="49">
        <v>0</v>
      </c>
    </row>
    <row r="1027" spans="1:13" x14ac:dyDescent="0.3">
      <c r="A1027" s="46" t="s">
        <v>2091</v>
      </c>
      <c r="B1027" s="46" t="s">
        <v>6627</v>
      </c>
      <c r="C1027" s="46" t="s">
        <v>189</v>
      </c>
      <c r="D1027" s="46" t="s">
        <v>28</v>
      </c>
      <c r="E1027" s="46" t="s">
        <v>290</v>
      </c>
      <c r="F1027" s="46" t="s">
        <v>69</v>
      </c>
      <c r="G1027" s="46">
        <v>79</v>
      </c>
      <c r="H1027" s="46" t="s">
        <v>6643</v>
      </c>
      <c r="I1027" s="46" t="s">
        <v>20</v>
      </c>
      <c r="J1027" s="47">
        <v>45360</v>
      </c>
      <c r="K1027" s="46" t="s">
        <v>87</v>
      </c>
      <c r="L1027" s="48">
        <v>62420</v>
      </c>
      <c r="M1027" s="49">
        <v>3</v>
      </c>
    </row>
    <row r="1028" spans="1:13" x14ac:dyDescent="0.3">
      <c r="A1028" s="46" t="s">
        <v>2093</v>
      </c>
      <c r="B1028" s="46" t="s">
        <v>79</v>
      </c>
      <c r="C1028" s="46" t="s">
        <v>36</v>
      </c>
      <c r="D1028" s="46" t="s">
        <v>37</v>
      </c>
      <c r="E1028" s="46" t="s">
        <v>132</v>
      </c>
      <c r="F1028" s="46" t="s">
        <v>30</v>
      </c>
      <c r="G1028" s="46">
        <v>64</v>
      </c>
      <c r="H1028" s="46" t="s">
        <v>6643</v>
      </c>
      <c r="I1028" s="46" t="s">
        <v>20</v>
      </c>
      <c r="J1028" s="47">
        <v>45299</v>
      </c>
      <c r="K1028" s="46" t="s">
        <v>87</v>
      </c>
      <c r="L1028" s="48">
        <v>18575</v>
      </c>
      <c r="M1028" s="49">
        <v>5</v>
      </c>
    </row>
    <row r="1029" spans="1:13" x14ac:dyDescent="0.3">
      <c r="A1029" s="46" t="s">
        <v>2095</v>
      </c>
      <c r="B1029" s="46" t="s">
        <v>6629</v>
      </c>
      <c r="C1029" s="46" t="s">
        <v>27</v>
      </c>
      <c r="D1029" s="46" t="s">
        <v>108</v>
      </c>
      <c r="E1029" s="46" t="s">
        <v>124</v>
      </c>
      <c r="F1029" s="46" t="s">
        <v>30</v>
      </c>
      <c r="G1029" s="46">
        <v>47</v>
      </c>
      <c r="H1029" s="46" t="s">
        <v>6645</v>
      </c>
      <c r="I1029" s="46" t="s">
        <v>20</v>
      </c>
      <c r="J1029" s="47">
        <v>45256</v>
      </c>
      <c r="K1029" s="46" t="s">
        <v>97</v>
      </c>
      <c r="L1029" s="48">
        <v>11875</v>
      </c>
      <c r="M1029" s="49">
        <v>5</v>
      </c>
    </row>
    <row r="1030" spans="1:13" x14ac:dyDescent="0.3">
      <c r="A1030" s="46" t="s">
        <v>2097</v>
      </c>
      <c r="B1030" s="46" t="s">
        <v>79</v>
      </c>
      <c r="C1030" s="46" t="s">
        <v>61</v>
      </c>
      <c r="D1030" s="46" t="s">
        <v>37</v>
      </c>
      <c r="E1030" s="46" t="s">
        <v>56</v>
      </c>
      <c r="F1030" s="46" t="s">
        <v>30</v>
      </c>
      <c r="G1030" s="46">
        <v>7</v>
      </c>
      <c r="H1030" s="46" t="s">
        <v>6644</v>
      </c>
      <c r="I1030" s="46" t="s">
        <v>20</v>
      </c>
      <c r="J1030" s="47">
        <v>45132</v>
      </c>
      <c r="K1030" s="46" t="s">
        <v>87</v>
      </c>
      <c r="L1030" s="48">
        <v>15296</v>
      </c>
      <c r="M1030" s="49">
        <v>5</v>
      </c>
    </row>
    <row r="1031" spans="1:13" x14ac:dyDescent="0.3">
      <c r="A1031" s="46" t="s">
        <v>2099</v>
      </c>
      <c r="B1031" s="46" t="s">
        <v>79</v>
      </c>
      <c r="C1031" s="46" t="s">
        <v>16</v>
      </c>
      <c r="D1031" s="46" t="s">
        <v>37</v>
      </c>
      <c r="E1031" s="46" t="s">
        <v>56</v>
      </c>
      <c r="F1031" s="46" t="s">
        <v>69</v>
      </c>
      <c r="G1031" s="46">
        <v>72</v>
      </c>
      <c r="H1031" s="46" t="s">
        <v>6643</v>
      </c>
      <c r="I1031" s="46" t="s">
        <v>40</v>
      </c>
      <c r="J1031" s="47">
        <v>44971</v>
      </c>
      <c r="K1031" s="46" t="s">
        <v>72</v>
      </c>
      <c r="L1031" s="48">
        <v>67240</v>
      </c>
      <c r="M1031" s="49">
        <v>3</v>
      </c>
    </row>
    <row r="1032" spans="1:13" x14ac:dyDescent="0.3">
      <c r="A1032" s="46" t="s">
        <v>2102</v>
      </c>
      <c r="B1032" s="46" t="s">
        <v>6626</v>
      </c>
      <c r="C1032" s="46" t="s">
        <v>80</v>
      </c>
      <c r="D1032" s="46" t="s">
        <v>164</v>
      </c>
      <c r="E1032" s="46" t="s">
        <v>219</v>
      </c>
      <c r="F1032" s="46" t="s">
        <v>6632</v>
      </c>
      <c r="G1032" s="46">
        <v>25</v>
      </c>
      <c r="H1032" s="46" t="s">
        <v>6645</v>
      </c>
      <c r="I1032" s="46" t="s">
        <v>40</v>
      </c>
      <c r="J1032" s="47">
        <v>45106</v>
      </c>
      <c r="K1032" s="46" t="s">
        <v>72</v>
      </c>
      <c r="L1032" s="48">
        <v>68712</v>
      </c>
      <c r="M1032" s="49">
        <v>3</v>
      </c>
    </row>
    <row r="1033" spans="1:13" x14ac:dyDescent="0.3">
      <c r="A1033" s="46" t="s">
        <v>2103</v>
      </c>
      <c r="B1033" s="46" t="s">
        <v>118</v>
      </c>
      <c r="C1033" s="46" t="s">
        <v>27</v>
      </c>
      <c r="D1033" s="46" t="s">
        <v>164</v>
      </c>
      <c r="E1033" s="46" t="s">
        <v>233</v>
      </c>
      <c r="F1033" s="46" t="s">
        <v>69</v>
      </c>
      <c r="G1033" s="46">
        <v>40</v>
      </c>
      <c r="H1033" s="46" t="s">
        <v>6645</v>
      </c>
      <c r="I1033" s="46" t="s">
        <v>40</v>
      </c>
      <c r="J1033" s="47">
        <v>45055</v>
      </c>
      <c r="K1033" s="46" t="s">
        <v>72</v>
      </c>
      <c r="L1033" s="48">
        <v>48976</v>
      </c>
      <c r="M1033" s="49">
        <v>10</v>
      </c>
    </row>
    <row r="1034" spans="1:13" x14ac:dyDescent="0.3">
      <c r="A1034" s="46" t="s">
        <v>2105</v>
      </c>
      <c r="B1034" s="46" t="s">
        <v>118</v>
      </c>
      <c r="C1034" s="46" t="s">
        <v>36</v>
      </c>
      <c r="D1034" s="46" t="s">
        <v>164</v>
      </c>
      <c r="E1034" s="46" t="s">
        <v>165</v>
      </c>
      <c r="F1034" s="46" t="s">
        <v>30</v>
      </c>
      <c r="G1034" s="46">
        <v>67</v>
      </c>
      <c r="H1034" s="46" t="s">
        <v>6643</v>
      </c>
      <c r="I1034" s="46" t="s">
        <v>20</v>
      </c>
      <c r="J1034" s="47">
        <v>44954</v>
      </c>
      <c r="K1034" s="46" t="s">
        <v>91</v>
      </c>
      <c r="L1034" s="48">
        <v>11448</v>
      </c>
      <c r="M1034" s="49">
        <v>0</v>
      </c>
    </row>
    <row r="1035" spans="1:13" x14ac:dyDescent="0.3">
      <c r="A1035" s="46" t="s">
        <v>2107</v>
      </c>
      <c r="B1035" s="46" t="s">
        <v>6628</v>
      </c>
      <c r="C1035" s="46" t="s">
        <v>27</v>
      </c>
      <c r="D1035" s="46" t="s">
        <v>93</v>
      </c>
      <c r="E1035" s="46" t="s">
        <v>121</v>
      </c>
      <c r="F1035" s="46" t="s">
        <v>69</v>
      </c>
      <c r="G1035" s="46">
        <v>11</v>
      </c>
      <c r="H1035" s="46" t="s">
        <v>6644</v>
      </c>
      <c r="I1035" s="46" t="s">
        <v>20</v>
      </c>
      <c r="J1035" s="47">
        <v>45191</v>
      </c>
      <c r="K1035" s="46" t="s">
        <v>72</v>
      </c>
      <c r="L1035" s="48">
        <v>81644</v>
      </c>
      <c r="M1035" s="49">
        <v>0</v>
      </c>
    </row>
    <row r="1036" spans="1:13" x14ac:dyDescent="0.3">
      <c r="A1036" s="46" t="s">
        <v>2109</v>
      </c>
      <c r="B1036" s="46" t="s">
        <v>6626</v>
      </c>
      <c r="C1036" s="46" t="s">
        <v>80</v>
      </c>
      <c r="D1036" s="46" t="s">
        <v>93</v>
      </c>
      <c r="E1036" s="46" t="s">
        <v>144</v>
      </c>
      <c r="F1036" s="46" t="s">
        <v>30</v>
      </c>
      <c r="G1036" s="46">
        <v>14</v>
      </c>
      <c r="H1036" s="46" t="s">
        <v>6646</v>
      </c>
      <c r="I1036" s="46" t="s">
        <v>20</v>
      </c>
      <c r="J1036" s="47">
        <v>45153</v>
      </c>
      <c r="K1036" s="46" t="s">
        <v>91</v>
      </c>
      <c r="L1036" s="48">
        <v>3662</v>
      </c>
      <c r="M1036" s="49">
        <v>3</v>
      </c>
    </row>
    <row r="1037" spans="1:13" x14ac:dyDescent="0.3">
      <c r="A1037" s="46" t="s">
        <v>2110</v>
      </c>
      <c r="B1037" s="46" t="s">
        <v>6629</v>
      </c>
      <c r="C1037" s="46" t="s">
        <v>16</v>
      </c>
      <c r="D1037" s="46" t="s">
        <v>17</v>
      </c>
      <c r="E1037" s="46" t="s">
        <v>135</v>
      </c>
      <c r="F1037" s="46" t="s">
        <v>30</v>
      </c>
      <c r="G1037" s="46">
        <v>16</v>
      </c>
      <c r="H1037" s="46" t="s">
        <v>6646</v>
      </c>
      <c r="I1037" s="46" t="s">
        <v>20</v>
      </c>
      <c r="J1037" s="47">
        <v>45078</v>
      </c>
      <c r="K1037" s="46" t="s">
        <v>72</v>
      </c>
      <c r="L1037" s="48">
        <v>4638</v>
      </c>
      <c r="M1037" s="49">
        <v>0</v>
      </c>
    </row>
    <row r="1038" spans="1:13" x14ac:dyDescent="0.3">
      <c r="A1038" s="46" t="s">
        <v>2111</v>
      </c>
      <c r="B1038" s="46" t="s">
        <v>6627</v>
      </c>
      <c r="C1038" s="46" t="s">
        <v>55</v>
      </c>
      <c r="D1038" s="46" t="s">
        <v>28</v>
      </c>
      <c r="E1038" s="46" t="s">
        <v>268</v>
      </c>
      <c r="F1038" s="46" t="s">
        <v>30</v>
      </c>
      <c r="G1038" s="46">
        <v>25</v>
      </c>
      <c r="H1038" s="46" t="s">
        <v>6645</v>
      </c>
      <c r="I1038" s="46" t="s">
        <v>40</v>
      </c>
      <c r="J1038" s="47">
        <v>45047</v>
      </c>
      <c r="K1038" s="46" t="s">
        <v>72</v>
      </c>
      <c r="L1038" s="48">
        <v>8704</v>
      </c>
      <c r="M1038" s="49">
        <v>3</v>
      </c>
    </row>
    <row r="1039" spans="1:13" x14ac:dyDescent="0.3">
      <c r="A1039" s="46" t="s">
        <v>2113</v>
      </c>
      <c r="B1039" s="46" t="s">
        <v>6626</v>
      </c>
      <c r="C1039" s="46" t="s">
        <v>55</v>
      </c>
      <c r="D1039" s="46" t="s">
        <v>47</v>
      </c>
      <c r="E1039" s="46" t="s">
        <v>175</v>
      </c>
      <c r="F1039" s="46" t="s">
        <v>30</v>
      </c>
      <c r="G1039" s="46">
        <v>26</v>
      </c>
      <c r="H1039" s="46" t="s">
        <v>6645</v>
      </c>
      <c r="I1039" s="46" t="s">
        <v>40</v>
      </c>
      <c r="J1039" s="47">
        <v>45308</v>
      </c>
      <c r="K1039" s="46" t="s">
        <v>72</v>
      </c>
      <c r="L1039" s="48">
        <v>11931</v>
      </c>
      <c r="M1039" s="49">
        <v>5</v>
      </c>
    </row>
    <row r="1040" spans="1:13" x14ac:dyDescent="0.3">
      <c r="A1040" s="46" t="s">
        <v>2115</v>
      </c>
      <c r="B1040" s="46" t="s">
        <v>6626</v>
      </c>
      <c r="C1040" s="46" t="s">
        <v>36</v>
      </c>
      <c r="D1040" s="46" t="s">
        <v>28</v>
      </c>
      <c r="E1040" s="46" t="s">
        <v>268</v>
      </c>
      <c r="F1040" s="46" t="s">
        <v>30</v>
      </c>
      <c r="G1040" s="46">
        <v>27</v>
      </c>
      <c r="H1040" s="46" t="s">
        <v>6645</v>
      </c>
      <c r="I1040" s="46" t="s">
        <v>40</v>
      </c>
      <c r="J1040" s="47">
        <v>44932</v>
      </c>
      <c r="K1040" s="46" t="s">
        <v>87</v>
      </c>
      <c r="L1040" s="48">
        <v>9447</v>
      </c>
      <c r="M1040" s="49">
        <v>5</v>
      </c>
    </row>
    <row r="1041" spans="1:13" x14ac:dyDescent="0.3">
      <c r="A1041" s="46" t="s">
        <v>2117</v>
      </c>
      <c r="B1041" s="46" t="s">
        <v>6628</v>
      </c>
      <c r="C1041" s="46" t="s">
        <v>55</v>
      </c>
      <c r="D1041" s="46" t="s">
        <v>93</v>
      </c>
      <c r="E1041" s="46" t="s">
        <v>94</v>
      </c>
      <c r="F1041" s="46" t="s">
        <v>30</v>
      </c>
      <c r="G1041" s="46">
        <v>48</v>
      </c>
      <c r="H1041" s="46" t="s">
        <v>6645</v>
      </c>
      <c r="I1041" s="46" t="s">
        <v>20</v>
      </c>
      <c r="J1041" s="47">
        <v>45048</v>
      </c>
      <c r="K1041" s="46" t="s">
        <v>72</v>
      </c>
      <c r="L1041" s="48">
        <v>14307</v>
      </c>
      <c r="M1041" s="49">
        <v>0</v>
      </c>
    </row>
    <row r="1042" spans="1:13" x14ac:dyDescent="0.3">
      <c r="A1042" s="46" t="s">
        <v>2119</v>
      </c>
      <c r="B1042" s="46" t="s">
        <v>118</v>
      </c>
      <c r="C1042" s="46" t="s">
        <v>27</v>
      </c>
      <c r="D1042" s="46" t="s">
        <v>108</v>
      </c>
      <c r="E1042" s="46" t="s">
        <v>109</v>
      </c>
      <c r="F1042" s="46" t="s">
        <v>30</v>
      </c>
      <c r="G1042" s="46">
        <v>54</v>
      </c>
      <c r="H1042" s="46" t="s">
        <v>6645</v>
      </c>
      <c r="I1042" s="46" t="s">
        <v>20</v>
      </c>
      <c r="J1042" s="47">
        <v>45381</v>
      </c>
      <c r="K1042" s="46" t="s">
        <v>87</v>
      </c>
      <c r="L1042" s="48">
        <v>13311</v>
      </c>
      <c r="M1042" s="49">
        <v>0</v>
      </c>
    </row>
    <row r="1043" spans="1:13" x14ac:dyDescent="0.3">
      <c r="A1043" s="46" t="s">
        <v>2121</v>
      </c>
      <c r="B1043" s="46" t="s">
        <v>6629</v>
      </c>
      <c r="C1043" s="46" t="s">
        <v>66</v>
      </c>
      <c r="D1043" s="46" t="s">
        <v>93</v>
      </c>
      <c r="E1043" s="46" t="s">
        <v>94</v>
      </c>
      <c r="F1043" s="46" t="s">
        <v>30</v>
      </c>
      <c r="G1043" s="46">
        <v>36</v>
      </c>
      <c r="H1043" s="46" t="s">
        <v>6645</v>
      </c>
      <c r="I1043" s="46" t="s">
        <v>20</v>
      </c>
      <c r="J1043" s="47">
        <v>45268</v>
      </c>
      <c r="K1043" s="46" t="s">
        <v>104</v>
      </c>
      <c r="L1043" s="48">
        <v>10439</v>
      </c>
      <c r="M1043" s="49">
        <v>18</v>
      </c>
    </row>
    <row r="1044" spans="1:13" x14ac:dyDescent="0.3">
      <c r="A1044" s="46" t="s">
        <v>2123</v>
      </c>
      <c r="B1044" s="46" t="s">
        <v>6627</v>
      </c>
      <c r="C1044" s="46" t="s">
        <v>36</v>
      </c>
      <c r="D1044" s="46" t="s">
        <v>164</v>
      </c>
      <c r="E1044" s="46" t="s">
        <v>219</v>
      </c>
      <c r="F1044" s="46" t="s">
        <v>69</v>
      </c>
      <c r="G1044" s="46">
        <v>60</v>
      </c>
      <c r="H1044" s="46" t="s">
        <v>6643</v>
      </c>
      <c r="I1044" s="46" t="s">
        <v>20</v>
      </c>
      <c r="J1044" s="47">
        <v>45076</v>
      </c>
      <c r="K1044" s="46" t="s">
        <v>6632</v>
      </c>
      <c r="L1044" s="48">
        <v>31262</v>
      </c>
      <c r="M1044" s="49">
        <v>0</v>
      </c>
    </row>
    <row r="1045" spans="1:13" x14ac:dyDescent="0.3">
      <c r="A1045" s="46" t="s">
        <v>2124</v>
      </c>
      <c r="B1045" s="46" t="s">
        <v>6627</v>
      </c>
      <c r="C1045" s="46" t="s">
        <v>27</v>
      </c>
      <c r="D1045" s="46" t="s">
        <v>74</v>
      </c>
      <c r="E1045" s="46" t="s">
        <v>172</v>
      </c>
      <c r="F1045" s="46" t="s">
        <v>30</v>
      </c>
      <c r="G1045" s="46">
        <v>45</v>
      </c>
      <c r="H1045" s="46" t="s">
        <v>6645</v>
      </c>
      <c r="I1045" s="46" t="s">
        <v>40</v>
      </c>
      <c r="J1045" s="47">
        <v>45178</v>
      </c>
      <c r="K1045" s="46" t="s">
        <v>97</v>
      </c>
      <c r="L1045" s="48">
        <v>7889</v>
      </c>
      <c r="M1045" s="49">
        <v>10</v>
      </c>
    </row>
    <row r="1046" spans="1:13" x14ac:dyDescent="0.3">
      <c r="A1046" s="46" t="s">
        <v>2126</v>
      </c>
      <c r="B1046" s="46" t="s">
        <v>6627</v>
      </c>
      <c r="C1046" s="46" t="s">
        <v>189</v>
      </c>
      <c r="D1046" s="46" t="s">
        <v>17</v>
      </c>
      <c r="E1046" s="46" t="s">
        <v>169</v>
      </c>
      <c r="F1046" s="46" t="s">
        <v>30</v>
      </c>
      <c r="G1046" s="46">
        <v>45</v>
      </c>
      <c r="H1046" s="46" t="s">
        <v>6645</v>
      </c>
      <c r="I1046" s="46" t="s">
        <v>20</v>
      </c>
      <c r="J1046" s="47">
        <v>44990</v>
      </c>
      <c r="K1046" s="46" t="s">
        <v>87</v>
      </c>
      <c r="L1046" s="48">
        <v>19768</v>
      </c>
      <c r="M1046" s="49">
        <v>0</v>
      </c>
    </row>
    <row r="1047" spans="1:13" x14ac:dyDescent="0.3">
      <c r="A1047" s="46" t="s">
        <v>2127</v>
      </c>
      <c r="B1047" s="46" t="s">
        <v>118</v>
      </c>
      <c r="C1047" s="46" t="s">
        <v>27</v>
      </c>
      <c r="D1047" s="46" t="s">
        <v>28</v>
      </c>
      <c r="E1047" s="46" t="s">
        <v>29</v>
      </c>
      <c r="F1047" s="46" t="s">
        <v>69</v>
      </c>
      <c r="G1047" s="46">
        <v>55</v>
      </c>
      <c r="H1047" s="46" t="s">
        <v>6645</v>
      </c>
      <c r="I1047" s="46" t="s">
        <v>40</v>
      </c>
      <c r="J1047" s="47">
        <v>45204</v>
      </c>
      <c r="K1047" s="46" t="s">
        <v>91</v>
      </c>
      <c r="L1047" s="48">
        <v>62197</v>
      </c>
      <c r="M1047" s="49">
        <v>5</v>
      </c>
    </row>
    <row r="1048" spans="1:13" x14ac:dyDescent="0.3">
      <c r="A1048" s="46" t="s">
        <v>2129</v>
      </c>
      <c r="B1048" s="46" t="s">
        <v>6629</v>
      </c>
      <c r="C1048" s="46" t="s">
        <v>189</v>
      </c>
      <c r="D1048" s="46" t="s">
        <v>164</v>
      </c>
      <c r="E1048" s="46" t="s">
        <v>219</v>
      </c>
      <c r="F1048" s="46" t="s">
        <v>30</v>
      </c>
      <c r="G1048" s="46">
        <v>34</v>
      </c>
      <c r="H1048" s="46" t="s">
        <v>6645</v>
      </c>
      <c r="I1048" s="46" t="s">
        <v>40</v>
      </c>
      <c r="J1048" s="47">
        <v>45298</v>
      </c>
      <c r="K1048" s="46" t="s">
        <v>91</v>
      </c>
      <c r="L1048" s="48">
        <v>12407</v>
      </c>
      <c r="M1048" s="49">
        <v>10</v>
      </c>
    </row>
    <row r="1049" spans="1:13" x14ac:dyDescent="0.3">
      <c r="A1049" s="46" t="s">
        <v>2131</v>
      </c>
      <c r="B1049" s="46" t="s">
        <v>118</v>
      </c>
      <c r="C1049" s="46" t="s">
        <v>55</v>
      </c>
      <c r="D1049" s="46" t="s">
        <v>99</v>
      </c>
      <c r="E1049" s="46" t="s">
        <v>100</v>
      </c>
      <c r="F1049" s="46" t="s">
        <v>30</v>
      </c>
      <c r="G1049" s="46">
        <v>92</v>
      </c>
      <c r="H1049" s="46" t="s">
        <v>6643</v>
      </c>
      <c r="I1049" s="46" t="s">
        <v>40</v>
      </c>
      <c r="J1049" s="47">
        <v>45001</v>
      </c>
      <c r="K1049" s="46" t="s">
        <v>97</v>
      </c>
      <c r="L1049" s="48">
        <v>16364</v>
      </c>
      <c r="M1049" s="49">
        <v>0</v>
      </c>
    </row>
    <row r="1050" spans="1:13" x14ac:dyDescent="0.3">
      <c r="A1050" s="46" t="s">
        <v>2132</v>
      </c>
      <c r="B1050" s="46" t="s">
        <v>6627</v>
      </c>
      <c r="C1050" s="46" t="s">
        <v>66</v>
      </c>
      <c r="D1050" s="46" t="s">
        <v>108</v>
      </c>
      <c r="E1050" s="46" t="s">
        <v>308</v>
      </c>
      <c r="F1050" s="46" t="s">
        <v>69</v>
      </c>
      <c r="G1050" s="46">
        <v>68</v>
      </c>
      <c r="H1050" s="46" t="s">
        <v>6643</v>
      </c>
      <c r="I1050" s="46" t="s">
        <v>20</v>
      </c>
      <c r="J1050" s="47">
        <v>45297</v>
      </c>
      <c r="K1050" s="46" t="s">
        <v>91</v>
      </c>
      <c r="L1050" s="48">
        <v>21384</v>
      </c>
      <c r="M1050" s="49">
        <v>0</v>
      </c>
    </row>
    <row r="1051" spans="1:13" x14ac:dyDescent="0.3">
      <c r="A1051" s="46" t="s">
        <v>2133</v>
      </c>
      <c r="B1051" s="46" t="s">
        <v>6626</v>
      </c>
      <c r="C1051" s="46" t="s">
        <v>80</v>
      </c>
      <c r="D1051" s="46" t="s">
        <v>17</v>
      </c>
      <c r="E1051" s="46" t="s">
        <v>213</v>
      </c>
      <c r="F1051" s="46" t="s">
        <v>69</v>
      </c>
      <c r="G1051" s="46">
        <v>85</v>
      </c>
      <c r="H1051" s="46" t="s">
        <v>6643</v>
      </c>
      <c r="I1051" s="46" t="s">
        <v>20</v>
      </c>
      <c r="J1051" s="47">
        <v>45165</v>
      </c>
      <c r="K1051" s="46" t="s">
        <v>72</v>
      </c>
      <c r="L1051" s="48">
        <v>77386</v>
      </c>
      <c r="M1051" s="49">
        <v>0</v>
      </c>
    </row>
    <row r="1052" spans="1:13" x14ac:dyDescent="0.3">
      <c r="A1052" s="46" t="s">
        <v>2135</v>
      </c>
      <c r="B1052" s="46" t="s">
        <v>118</v>
      </c>
      <c r="C1052" s="46" t="s">
        <v>189</v>
      </c>
      <c r="D1052" s="46" t="s">
        <v>99</v>
      </c>
      <c r="E1052" s="46" t="s">
        <v>100</v>
      </c>
      <c r="F1052" s="46" t="s">
        <v>30</v>
      </c>
      <c r="G1052" s="46">
        <v>55</v>
      </c>
      <c r="H1052" s="46" t="s">
        <v>6645</v>
      </c>
      <c r="I1052" s="46" t="s">
        <v>40</v>
      </c>
      <c r="J1052" s="47">
        <v>45206</v>
      </c>
      <c r="K1052" s="46" t="s">
        <v>91</v>
      </c>
      <c r="L1052" s="48">
        <v>5065</v>
      </c>
      <c r="M1052" s="49">
        <v>0</v>
      </c>
    </row>
    <row r="1053" spans="1:13" x14ac:dyDescent="0.3">
      <c r="A1053" s="46" t="s">
        <v>2137</v>
      </c>
      <c r="B1053" s="46" t="s">
        <v>6629</v>
      </c>
      <c r="C1053" s="46" t="s">
        <v>61</v>
      </c>
      <c r="D1053" s="46" t="s">
        <v>74</v>
      </c>
      <c r="E1053" s="46" t="s">
        <v>75</v>
      </c>
      <c r="F1053" s="46" t="s">
        <v>6632</v>
      </c>
      <c r="G1053" s="46">
        <v>91</v>
      </c>
      <c r="H1053" s="46" t="s">
        <v>6643</v>
      </c>
      <c r="I1053" s="46" t="s">
        <v>20</v>
      </c>
      <c r="J1053" s="47">
        <v>45322</v>
      </c>
      <c r="K1053" s="46" t="s">
        <v>97</v>
      </c>
      <c r="L1053" s="48">
        <v>17159</v>
      </c>
      <c r="M1053" s="49">
        <v>0</v>
      </c>
    </row>
    <row r="1054" spans="1:13" x14ac:dyDescent="0.3">
      <c r="A1054" s="46" t="s">
        <v>2138</v>
      </c>
      <c r="B1054" s="46" t="s">
        <v>6629</v>
      </c>
      <c r="C1054" s="46" t="s">
        <v>16</v>
      </c>
      <c r="D1054" s="46" t="s">
        <v>164</v>
      </c>
      <c r="E1054" s="46" t="s">
        <v>165</v>
      </c>
      <c r="F1054" s="46" t="s">
        <v>69</v>
      </c>
      <c r="G1054" s="46">
        <v>72</v>
      </c>
      <c r="H1054" s="46" t="s">
        <v>6643</v>
      </c>
      <c r="I1054" s="46" t="s">
        <v>20</v>
      </c>
      <c r="J1054" s="47">
        <v>45104</v>
      </c>
      <c r="K1054" s="46" t="s">
        <v>87</v>
      </c>
      <c r="L1054" s="48">
        <v>72300</v>
      </c>
      <c r="M1054" s="49">
        <v>0</v>
      </c>
    </row>
    <row r="1055" spans="1:13" x14ac:dyDescent="0.3">
      <c r="A1055" s="46" t="s">
        <v>2140</v>
      </c>
      <c r="B1055" s="46" t="s">
        <v>6627</v>
      </c>
      <c r="C1055" s="46" t="s">
        <v>61</v>
      </c>
      <c r="D1055" s="46" t="s">
        <v>108</v>
      </c>
      <c r="E1055" s="46" t="s">
        <v>272</v>
      </c>
      <c r="F1055" s="46" t="s">
        <v>30</v>
      </c>
      <c r="G1055" s="46">
        <v>22</v>
      </c>
      <c r="H1055" s="46" t="s">
        <v>6645</v>
      </c>
      <c r="I1055" s="46" t="s">
        <v>40</v>
      </c>
      <c r="J1055" s="47">
        <v>45149</v>
      </c>
      <c r="K1055" s="46" t="s">
        <v>72</v>
      </c>
      <c r="L1055" s="48">
        <v>10537</v>
      </c>
      <c r="M1055" s="49">
        <v>10</v>
      </c>
    </row>
    <row r="1056" spans="1:13" x14ac:dyDescent="0.3">
      <c r="A1056" s="46" t="s">
        <v>2141</v>
      </c>
      <c r="B1056" s="46" t="s">
        <v>6628</v>
      </c>
      <c r="C1056" s="46" t="s">
        <v>80</v>
      </c>
      <c r="D1056" s="46" t="s">
        <v>99</v>
      </c>
      <c r="E1056" s="46" t="s">
        <v>151</v>
      </c>
      <c r="F1056" s="46" t="s">
        <v>69</v>
      </c>
      <c r="G1056" s="46">
        <v>45</v>
      </c>
      <c r="H1056" s="46" t="s">
        <v>6645</v>
      </c>
      <c r="I1056" s="46" t="s">
        <v>20</v>
      </c>
      <c r="J1056" s="47">
        <v>45247</v>
      </c>
      <c r="K1056" s="46" t="s">
        <v>87</v>
      </c>
      <c r="L1056" s="48">
        <v>80232</v>
      </c>
      <c r="M1056" s="49">
        <v>0</v>
      </c>
    </row>
    <row r="1057" spans="1:13" x14ac:dyDescent="0.3">
      <c r="A1057" s="46" t="s">
        <v>2144</v>
      </c>
      <c r="B1057" s="46" t="s">
        <v>6628</v>
      </c>
      <c r="C1057" s="46" t="s">
        <v>66</v>
      </c>
      <c r="D1057" s="46" t="s">
        <v>37</v>
      </c>
      <c r="E1057" s="46" t="s">
        <v>132</v>
      </c>
      <c r="F1057" s="46" t="s">
        <v>30</v>
      </c>
      <c r="G1057" s="46">
        <v>30</v>
      </c>
      <c r="H1057" s="46" t="s">
        <v>6645</v>
      </c>
      <c r="I1057" s="46" t="s">
        <v>40</v>
      </c>
      <c r="J1057" s="47">
        <v>45115</v>
      </c>
      <c r="K1057" s="46" t="s">
        <v>87</v>
      </c>
      <c r="L1057" s="48">
        <v>5003</v>
      </c>
      <c r="M1057" s="49">
        <v>10</v>
      </c>
    </row>
    <row r="1058" spans="1:13" x14ac:dyDescent="0.3">
      <c r="A1058" s="46" t="s">
        <v>2145</v>
      </c>
      <c r="B1058" s="46" t="s">
        <v>118</v>
      </c>
      <c r="C1058" s="46" t="s">
        <v>36</v>
      </c>
      <c r="D1058" s="46" t="s">
        <v>67</v>
      </c>
      <c r="E1058" s="46" t="s">
        <v>196</v>
      </c>
      <c r="F1058" s="46" t="s">
        <v>30</v>
      </c>
      <c r="G1058" s="46">
        <v>10</v>
      </c>
      <c r="H1058" s="46" t="s">
        <v>6644</v>
      </c>
      <c r="I1058" s="46" t="s">
        <v>20</v>
      </c>
      <c r="J1058" s="47">
        <v>45091</v>
      </c>
      <c r="K1058" s="46" t="s">
        <v>104</v>
      </c>
      <c r="L1058" s="48">
        <v>10949</v>
      </c>
      <c r="M1058" s="49">
        <v>18</v>
      </c>
    </row>
    <row r="1059" spans="1:13" x14ac:dyDescent="0.3">
      <c r="A1059" s="46" t="s">
        <v>2146</v>
      </c>
      <c r="B1059" s="46" t="s">
        <v>79</v>
      </c>
      <c r="C1059" s="46" t="s">
        <v>36</v>
      </c>
      <c r="D1059" s="46" t="s">
        <v>108</v>
      </c>
      <c r="E1059" s="46" t="s">
        <v>124</v>
      </c>
      <c r="F1059" s="46" t="s">
        <v>30</v>
      </c>
      <c r="G1059" s="46">
        <v>36</v>
      </c>
      <c r="H1059" s="46" t="s">
        <v>6645</v>
      </c>
      <c r="I1059" s="46" t="s">
        <v>20</v>
      </c>
      <c r="J1059" s="47">
        <v>45365</v>
      </c>
      <c r="K1059" s="46" t="s">
        <v>87</v>
      </c>
      <c r="L1059" s="48">
        <v>8631</v>
      </c>
      <c r="M1059" s="49">
        <v>3</v>
      </c>
    </row>
    <row r="1060" spans="1:13" x14ac:dyDescent="0.3">
      <c r="A1060" s="46" t="s">
        <v>2148</v>
      </c>
      <c r="B1060" s="46" t="s">
        <v>6627</v>
      </c>
      <c r="C1060" s="46" t="s">
        <v>80</v>
      </c>
      <c r="D1060" s="46" t="s">
        <v>37</v>
      </c>
      <c r="E1060" s="46" t="s">
        <v>132</v>
      </c>
      <c r="F1060" s="46" t="s">
        <v>69</v>
      </c>
      <c r="G1060" s="46">
        <v>92</v>
      </c>
      <c r="H1060" s="46" t="s">
        <v>6643</v>
      </c>
      <c r="I1060" s="46" t="s">
        <v>20</v>
      </c>
      <c r="J1060" s="47">
        <v>45090</v>
      </c>
      <c r="K1060" s="46" t="s">
        <v>91</v>
      </c>
      <c r="L1060" s="48">
        <v>46540</v>
      </c>
      <c r="M1060" s="49">
        <v>5</v>
      </c>
    </row>
    <row r="1061" spans="1:13" x14ac:dyDescent="0.3">
      <c r="A1061" s="46" t="s">
        <v>2150</v>
      </c>
      <c r="B1061" s="46" t="s">
        <v>6628</v>
      </c>
      <c r="C1061" s="46" t="s">
        <v>16</v>
      </c>
      <c r="D1061" s="46" t="s">
        <v>67</v>
      </c>
      <c r="E1061" s="46" t="s">
        <v>85</v>
      </c>
      <c r="F1061" s="46" t="s">
        <v>30</v>
      </c>
      <c r="G1061" s="46">
        <v>34</v>
      </c>
      <c r="H1061" s="46" t="s">
        <v>6645</v>
      </c>
      <c r="I1061" s="46" t="s">
        <v>40</v>
      </c>
      <c r="J1061" s="47">
        <v>45338</v>
      </c>
      <c r="K1061" s="46" t="s">
        <v>72</v>
      </c>
      <c r="L1061" s="48">
        <v>4896</v>
      </c>
      <c r="M1061" s="49">
        <v>0</v>
      </c>
    </row>
    <row r="1062" spans="1:13" x14ac:dyDescent="0.3">
      <c r="A1062" s="46" t="s">
        <v>2152</v>
      </c>
      <c r="B1062" s="46" t="s">
        <v>6626</v>
      </c>
      <c r="C1062" s="46" t="s">
        <v>16</v>
      </c>
      <c r="D1062" s="46" t="s">
        <v>17</v>
      </c>
      <c r="E1062" s="46" t="s">
        <v>213</v>
      </c>
      <c r="F1062" s="46" t="s">
        <v>30</v>
      </c>
      <c r="G1062" s="46">
        <v>52</v>
      </c>
      <c r="H1062" s="46" t="s">
        <v>6645</v>
      </c>
      <c r="I1062" s="46" t="s">
        <v>20</v>
      </c>
      <c r="J1062" s="47">
        <v>45025</v>
      </c>
      <c r="K1062" s="46" t="s">
        <v>87</v>
      </c>
      <c r="L1062" s="48">
        <v>7279</v>
      </c>
      <c r="M1062" s="49">
        <v>0</v>
      </c>
    </row>
    <row r="1063" spans="1:13" x14ac:dyDescent="0.3">
      <c r="A1063" s="46" t="s">
        <v>2153</v>
      </c>
      <c r="B1063" s="46" t="s">
        <v>118</v>
      </c>
      <c r="C1063" s="46" t="s">
        <v>16</v>
      </c>
      <c r="D1063" s="46" t="s">
        <v>74</v>
      </c>
      <c r="E1063" s="46" t="s">
        <v>192</v>
      </c>
      <c r="F1063" s="46" t="s">
        <v>69</v>
      </c>
      <c r="G1063" s="46">
        <v>16</v>
      </c>
      <c r="H1063" s="46" t="s">
        <v>6646</v>
      </c>
      <c r="I1063" s="46" t="s">
        <v>20</v>
      </c>
      <c r="J1063" s="47">
        <v>45238</v>
      </c>
      <c r="K1063" s="46" t="s">
        <v>87</v>
      </c>
      <c r="L1063" s="48">
        <v>35218</v>
      </c>
      <c r="M1063" s="49">
        <v>0</v>
      </c>
    </row>
    <row r="1064" spans="1:13" x14ac:dyDescent="0.3">
      <c r="A1064" s="46" t="s">
        <v>2154</v>
      </c>
      <c r="B1064" s="46" t="s">
        <v>6626</v>
      </c>
      <c r="C1064" s="46" t="s">
        <v>16</v>
      </c>
      <c r="D1064" s="46" t="s">
        <v>108</v>
      </c>
      <c r="E1064" s="46" t="s">
        <v>308</v>
      </c>
      <c r="F1064" s="46" t="s">
        <v>30</v>
      </c>
      <c r="G1064" s="46">
        <v>62</v>
      </c>
      <c r="H1064" s="46" t="s">
        <v>6643</v>
      </c>
      <c r="I1064" s="46" t="s">
        <v>40</v>
      </c>
      <c r="J1064" s="47">
        <v>45048</v>
      </c>
      <c r="K1064" s="46" t="s">
        <v>91</v>
      </c>
      <c r="L1064" s="48">
        <v>17411</v>
      </c>
      <c r="M1064" s="49">
        <v>10</v>
      </c>
    </row>
    <row r="1065" spans="1:13" x14ac:dyDescent="0.3">
      <c r="A1065" s="46" t="s">
        <v>2155</v>
      </c>
      <c r="B1065" s="46" t="s">
        <v>6629</v>
      </c>
      <c r="C1065" s="46" t="s">
        <v>36</v>
      </c>
      <c r="D1065" s="46" t="s">
        <v>67</v>
      </c>
      <c r="E1065" s="46" t="s">
        <v>85</v>
      </c>
      <c r="F1065" s="46" t="s">
        <v>30</v>
      </c>
      <c r="G1065" s="46">
        <v>37</v>
      </c>
      <c r="H1065" s="46" t="s">
        <v>6645</v>
      </c>
      <c r="I1065" s="46" t="s">
        <v>20</v>
      </c>
      <c r="J1065" s="47">
        <v>44955</v>
      </c>
      <c r="K1065" s="46" t="s">
        <v>91</v>
      </c>
      <c r="L1065" s="48">
        <v>3934</v>
      </c>
      <c r="M1065" s="49">
        <v>0</v>
      </c>
    </row>
    <row r="1066" spans="1:13" x14ac:dyDescent="0.3">
      <c r="A1066" s="46" t="s">
        <v>2156</v>
      </c>
      <c r="B1066" s="46" t="s">
        <v>118</v>
      </c>
      <c r="C1066" s="46" t="s">
        <v>80</v>
      </c>
      <c r="D1066" s="46" t="s">
        <v>37</v>
      </c>
      <c r="E1066" s="46" t="s">
        <v>132</v>
      </c>
      <c r="F1066" s="46" t="s">
        <v>30</v>
      </c>
      <c r="G1066" s="46">
        <v>27</v>
      </c>
      <c r="H1066" s="46" t="s">
        <v>6645</v>
      </c>
      <c r="I1066" s="46" t="s">
        <v>20</v>
      </c>
      <c r="J1066" s="47">
        <v>45019</v>
      </c>
      <c r="K1066" s="46" t="s">
        <v>104</v>
      </c>
      <c r="L1066" s="48">
        <v>8456</v>
      </c>
      <c r="M1066" s="49">
        <v>0</v>
      </c>
    </row>
    <row r="1067" spans="1:13" x14ac:dyDescent="0.3">
      <c r="A1067" s="46" t="s">
        <v>2158</v>
      </c>
      <c r="B1067" s="46" t="s">
        <v>6628</v>
      </c>
      <c r="C1067" s="46" t="s">
        <v>66</v>
      </c>
      <c r="D1067" s="46" t="s">
        <v>74</v>
      </c>
      <c r="E1067" s="46" t="s">
        <v>147</v>
      </c>
      <c r="F1067" s="46" t="s">
        <v>30</v>
      </c>
      <c r="G1067" s="46">
        <v>5</v>
      </c>
      <c r="H1067" s="46" t="s">
        <v>6644</v>
      </c>
      <c r="I1067" s="46" t="s">
        <v>20</v>
      </c>
      <c r="J1067" s="47">
        <v>44947</v>
      </c>
      <c r="K1067" s="46" t="s">
        <v>87</v>
      </c>
      <c r="L1067" s="48">
        <v>15576</v>
      </c>
      <c r="M1067" s="49">
        <v>3</v>
      </c>
    </row>
    <row r="1068" spans="1:13" x14ac:dyDescent="0.3">
      <c r="A1068" s="46" t="s">
        <v>2159</v>
      </c>
      <c r="B1068" s="46" t="s">
        <v>118</v>
      </c>
      <c r="C1068" s="46" t="s">
        <v>61</v>
      </c>
      <c r="D1068" s="46" t="s">
        <v>37</v>
      </c>
      <c r="E1068" s="46" t="s">
        <v>56</v>
      </c>
      <c r="F1068" s="46" t="s">
        <v>30</v>
      </c>
      <c r="G1068" s="46">
        <v>28</v>
      </c>
      <c r="H1068" s="46" t="s">
        <v>6645</v>
      </c>
      <c r="I1068" s="46" t="s">
        <v>20</v>
      </c>
      <c r="J1068" s="47">
        <v>45144</v>
      </c>
      <c r="K1068" s="46" t="s">
        <v>97</v>
      </c>
      <c r="L1068" s="48">
        <v>11765</v>
      </c>
      <c r="M1068" s="49">
        <v>3</v>
      </c>
    </row>
    <row r="1069" spans="1:13" x14ac:dyDescent="0.3">
      <c r="A1069" s="46" t="s">
        <v>2161</v>
      </c>
      <c r="B1069" s="46" t="s">
        <v>6629</v>
      </c>
      <c r="C1069" s="46" t="s">
        <v>36</v>
      </c>
      <c r="D1069" s="46" t="s">
        <v>108</v>
      </c>
      <c r="E1069" s="46" t="s">
        <v>308</v>
      </c>
      <c r="F1069" s="46" t="s">
        <v>30</v>
      </c>
      <c r="G1069" s="46">
        <v>75</v>
      </c>
      <c r="H1069" s="46" t="s">
        <v>6643</v>
      </c>
      <c r="I1069" s="46" t="s">
        <v>20</v>
      </c>
      <c r="J1069" s="47">
        <v>45283</v>
      </c>
      <c r="K1069" s="46" t="s">
        <v>91</v>
      </c>
      <c r="L1069" s="48">
        <v>11620</v>
      </c>
      <c r="M1069" s="49">
        <v>0</v>
      </c>
    </row>
    <row r="1070" spans="1:13" x14ac:dyDescent="0.3">
      <c r="A1070" s="46" t="s">
        <v>2162</v>
      </c>
      <c r="B1070" s="46" t="s">
        <v>118</v>
      </c>
      <c r="C1070" s="46" t="s">
        <v>66</v>
      </c>
      <c r="D1070" s="46" t="s">
        <v>108</v>
      </c>
      <c r="E1070" s="46" t="s">
        <v>109</v>
      </c>
      <c r="F1070" s="46" t="s">
        <v>30</v>
      </c>
      <c r="G1070" s="46">
        <v>6</v>
      </c>
      <c r="H1070" s="46" t="s">
        <v>6644</v>
      </c>
      <c r="I1070" s="46" t="s">
        <v>40</v>
      </c>
      <c r="J1070" s="47">
        <v>45251</v>
      </c>
      <c r="K1070" s="46" t="s">
        <v>91</v>
      </c>
      <c r="L1070" s="48">
        <v>18796</v>
      </c>
      <c r="M1070" s="49">
        <v>0</v>
      </c>
    </row>
    <row r="1071" spans="1:13" x14ac:dyDescent="0.3">
      <c r="A1071" s="46" t="s">
        <v>2164</v>
      </c>
      <c r="B1071" s="46" t="s">
        <v>6629</v>
      </c>
      <c r="C1071" s="46" t="s">
        <v>27</v>
      </c>
      <c r="D1071" s="46" t="s">
        <v>17</v>
      </c>
      <c r="E1071" s="46" t="s">
        <v>135</v>
      </c>
      <c r="F1071" s="46" t="s">
        <v>69</v>
      </c>
      <c r="G1071" s="46">
        <v>87</v>
      </c>
      <c r="H1071" s="46" t="s">
        <v>6643</v>
      </c>
      <c r="I1071" s="46" t="s">
        <v>20</v>
      </c>
      <c r="J1071" s="47">
        <v>45195</v>
      </c>
      <c r="K1071" s="46" t="s">
        <v>104</v>
      </c>
      <c r="L1071" s="48">
        <v>29916</v>
      </c>
      <c r="M1071" s="49">
        <v>5</v>
      </c>
    </row>
    <row r="1072" spans="1:13" x14ac:dyDescent="0.3">
      <c r="A1072" s="46" t="s">
        <v>2165</v>
      </c>
      <c r="B1072" s="46" t="s">
        <v>6628</v>
      </c>
      <c r="C1072" s="46" t="s">
        <v>66</v>
      </c>
      <c r="D1072" s="46" t="s">
        <v>108</v>
      </c>
      <c r="E1072" s="46" t="s">
        <v>109</v>
      </c>
      <c r="F1072" s="46" t="s">
        <v>30</v>
      </c>
      <c r="G1072" s="46">
        <v>2</v>
      </c>
      <c r="H1072" s="46" t="s">
        <v>6644</v>
      </c>
      <c r="I1072" s="46" t="s">
        <v>40</v>
      </c>
      <c r="J1072" s="47">
        <v>45404</v>
      </c>
      <c r="K1072" s="46" t="s">
        <v>91</v>
      </c>
      <c r="L1072" s="48">
        <v>17560</v>
      </c>
      <c r="M1072" s="49">
        <v>0</v>
      </c>
    </row>
    <row r="1073" spans="1:13" x14ac:dyDescent="0.3">
      <c r="A1073" s="46" t="s">
        <v>2167</v>
      </c>
      <c r="B1073" s="46" t="s">
        <v>79</v>
      </c>
      <c r="C1073" s="46" t="s">
        <v>66</v>
      </c>
      <c r="D1073" s="46" t="s">
        <v>74</v>
      </c>
      <c r="E1073" s="46" t="s">
        <v>147</v>
      </c>
      <c r="F1073" s="46" t="s">
        <v>30</v>
      </c>
      <c r="G1073" s="46">
        <v>88</v>
      </c>
      <c r="H1073" s="46" t="s">
        <v>6643</v>
      </c>
      <c r="I1073" s="46" t="s">
        <v>20</v>
      </c>
      <c r="J1073" s="47">
        <v>45149</v>
      </c>
      <c r="K1073" s="46" t="s">
        <v>91</v>
      </c>
      <c r="L1073" s="48">
        <v>9941</v>
      </c>
      <c r="M1073" s="49">
        <v>0</v>
      </c>
    </row>
    <row r="1074" spans="1:13" x14ac:dyDescent="0.3">
      <c r="A1074" s="46" t="s">
        <v>2168</v>
      </c>
      <c r="B1074" s="46" t="s">
        <v>6626</v>
      </c>
      <c r="C1074" s="46" t="s">
        <v>36</v>
      </c>
      <c r="D1074" s="46" t="s">
        <v>37</v>
      </c>
      <c r="E1074" s="46" t="s">
        <v>56</v>
      </c>
      <c r="F1074" s="46" t="s">
        <v>30</v>
      </c>
      <c r="G1074" s="46">
        <v>74</v>
      </c>
      <c r="H1074" s="46" t="s">
        <v>6643</v>
      </c>
      <c r="I1074" s="46" t="s">
        <v>20</v>
      </c>
      <c r="J1074" s="47">
        <v>45067</v>
      </c>
      <c r="K1074" s="46" t="s">
        <v>72</v>
      </c>
      <c r="L1074" s="48">
        <v>4530</v>
      </c>
      <c r="M1074" s="49">
        <v>0</v>
      </c>
    </row>
    <row r="1075" spans="1:13" x14ac:dyDescent="0.3">
      <c r="A1075" s="46" t="s">
        <v>2170</v>
      </c>
      <c r="B1075" s="46" t="s">
        <v>118</v>
      </c>
      <c r="C1075" s="46" t="s">
        <v>66</v>
      </c>
      <c r="D1075" s="46" t="s">
        <v>47</v>
      </c>
      <c r="E1075" s="46" t="s">
        <v>175</v>
      </c>
      <c r="F1075" s="46" t="s">
        <v>30</v>
      </c>
      <c r="G1075" s="46">
        <v>37</v>
      </c>
      <c r="H1075" s="46" t="s">
        <v>6645</v>
      </c>
      <c r="I1075" s="46" t="s">
        <v>20</v>
      </c>
      <c r="J1075" s="47">
        <v>45000</v>
      </c>
      <c r="K1075" s="46" t="s">
        <v>72</v>
      </c>
      <c r="L1075" s="48">
        <v>8726</v>
      </c>
      <c r="M1075" s="49">
        <v>0</v>
      </c>
    </row>
    <row r="1076" spans="1:13" x14ac:dyDescent="0.3">
      <c r="A1076" s="46" t="s">
        <v>2172</v>
      </c>
      <c r="B1076" s="46" t="s">
        <v>118</v>
      </c>
      <c r="C1076" s="46" t="s">
        <v>36</v>
      </c>
      <c r="D1076" s="46" t="s">
        <v>17</v>
      </c>
      <c r="E1076" s="46" t="s">
        <v>169</v>
      </c>
      <c r="F1076" s="46" t="s">
        <v>30</v>
      </c>
      <c r="G1076" s="46">
        <v>84</v>
      </c>
      <c r="H1076" s="46" t="s">
        <v>6643</v>
      </c>
      <c r="I1076" s="46" t="s">
        <v>40</v>
      </c>
      <c r="J1076" s="47">
        <v>44951</v>
      </c>
      <c r="K1076" s="46" t="s">
        <v>97</v>
      </c>
      <c r="L1076" s="48">
        <v>14008</v>
      </c>
      <c r="M1076" s="49">
        <v>0</v>
      </c>
    </row>
    <row r="1077" spans="1:13" x14ac:dyDescent="0.3">
      <c r="A1077" s="46" t="s">
        <v>2173</v>
      </c>
      <c r="B1077" s="46" t="s">
        <v>6626</v>
      </c>
      <c r="C1077" s="46" t="s">
        <v>36</v>
      </c>
      <c r="D1077" s="46" t="s">
        <v>17</v>
      </c>
      <c r="E1077" s="46" t="s">
        <v>169</v>
      </c>
      <c r="F1077" s="46" t="s">
        <v>30</v>
      </c>
      <c r="G1077" s="46">
        <v>91</v>
      </c>
      <c r="H1077" s="46" t="s">
        <v>6643</v>
      </c>
      <c r="I1077" s="46" t="s">
        <v>20</v>
      </c>
      <c r="J1077" s="47">
        <v>45396</v>
      </c>
      <c r="K1077" s="46" t="s">
        <v>87</v>
      </c>
      <c r="L1077" s="48">
        <v>9381</v>
      </c>
      <c r="M1077" s="49">
        <v>0</v>
      </c>
    </row>
    <row r="1078" spans="1:13" x14ac:dyDescent="0.3">
      <c r="A1078" s="46" t="s">
        <v>2175</v>
      </c>
      <c r="B1078" s="46" t="s">
        <v>118</v>
      </c>
      <c r="C1078" s="46" t="s">
        <v>36</v>
      </c>
      <c r="D1078" s="46" t="s">
        <v>17</v>
      </c>
      <c r="E1078" s="46" t="s">
        <v>213</v>
      </c>
      <c r="F1078" s="46" t="s">
        <v>30</v>
      </c>
      <c r="G1078" s="46">
        <v>90</v>
      </c>
      <c r="H1078" s="46" t="s">
        <v>6643</v>
      </c>
      <c r="I1078" s="46" t="s">
        <v>40</v>
      </c>
      <c r="J1078" s="47">
        <v>45183</v>
      </c>
      <c r="K1078" s="46" t="s">
        <v>97</v>
      </c>
      <c r="L1078" s="48">
        <v>5495</v>
      </c>
      <c r="M1078" s="49">
        <v>0</v>
      </c>
    </row>
    <row r="1079" spans="1:13" x14ac:dyDescent="0.3">
      <c r="A1079" s="46" t="s">
        <v>2176</v>
      </c>
      <c r="B1079" s="46" t="s">
        <v>6626</v>
      </c>
      <c r="C1079" s="46" t="s">
        <v>36</v>
      </c>
      <c r="D1079" s="46" t="s">
        <v>67</v>
      </c>
      <c r="E1079" s="46" t="s">
        <v>68</v>
      </c>
      <c r="F1079" s="46" t="s">
        <v>69</v>
      </c>
      <c r="G1079" s="46">
        <v>28</v>
      </c>
      <c r="H1079" s="46" t="s">
        <v>6645</v>
      </c>
      <c r="I1079" s="46" t="s">
        <v>40</v>
      </c>
      <c r="J1079" s="47">
        <v>45400</v>
      </c>
      <c r="K1079" s="46" t="s">
        <v>97</v>
      </c>
      <c r="L1079" s="48">
        <v>26536</v>
      </c>
      <c r="M1079" s="49">
        <v>0</v>
      </c>
    </row>
    <row r="1080" spans="1:13" x14ac:dyDescent="0.3">
      <c r="A1080" s="46" t="s">
        <v>2178</v>
      </c>
      <c r="B1080" s="46" t="s">
        <v>6626</v>
      </c>
      <c r="C1080" s="46" t="s">
        <v>16</v>
      </c>
      <c r="D1080" s="46" t="s">
        <v>28</v>
      </c>
      <c r="E1080" s="46" t="s">
        <v>268</v>
      </c>
      <c r="F1080" s="46" t="s">
        <v>30</v>
      </c>
      <c r="G1080" s="46">
        <v>68</v>
      </c>
      <c r="H1080" s="46" t="s">
        <v>6643</v>
      </c>
      <c r="I1080" s="46" t="s">
        <v>20</v>
      </c>
      <c r="J1080" s="47">
        <v>45095</v>
      </c>
      <c r="K1080" s="46" t="s">
        <v>87</v>
      </c>
      <c r="L1080" s="48">
        <v>18019</v>
      </c>
      <c r="M1080" s="49">
        <v>5</v>
      </c>
    </row>
    <row r="1081" spans="1:13" x14ac:dyDescent="0.3">
      <c r="A1081" s="46" t="s">
        <v>2180</v>
      </c>
      <c r="B1081" s="46" t="s">
        <v>118</v>
      </c>
      <c r="C1081" s="46" t="s">
        <v>16</v>
      </c>
      <c r="D1081" s="46" t="s">
        <v>17</v>
      </c>
      <c r="E1081" s="46" t="s">
        <v>18</v>
      </c>
      <c r="F1081" s="46" t="s">
        <v>30</v>
      </c>
      <c r="G1081" s="46">
        <v>46</v>
      </c>
      <c r="H1081" s="46" t="s">
        <v>6645</v>
      </c>
      <c r="I1081" s="46" t="s">
        <v>40</v>
      </c>
      <c r="J1081" s="47">
        <v>45356</v>
      </c>
      <c r="K1081" s="46" t="s">
        <v>87</v>
      </c>
      <c r="L1081" s="48">
        <v>14305</v>
      </c>
      <c r="M1081" s="49">
        <v>5</v>
      </c>
    </row>
    <row r="1082" spans="1:13" x14ac:dyDescent="0.3">
      <c r="A1082" s="46" t="s">
        <v>2181</v>
      </c>
      <c r="B1082" s="46" t="s">
        <v>118</v>
      </c>
      <c r="C1082" s="46" t="s">
        <v>27</v>
      </c>
      <c r="D1082" s="46" t="s">
        <v>47</v>
      </c>
      <c r="E1082" s="46" t="s">
        <v>175</v>
      </c>
      <c r="F1082" s="46" t="s">
        <v>30</v>
      </c>
      <c r="G1082" s="46">
        <v>86</v>
      </c>
      <c r="H1082" s="46" t="s">
        <v>6643</v>
      </c>
      <c r="I1082" s="46" t="s">
        <v>20</v>
      </c>
      <c r="J1082" s="47">
        <v>45354</v>
      </c>
      <c r="K1082" s="46" t="s">
        <v>72</v>
      </c>
      <c r="L1082" s="48">
        <v>15033</v>
      </c>
      <c r="M1082" s="49">
        <v>3</v>
      </c>
    </row>
    <row r="1083" spans="1:13" x14ac:dyDescent="0.3">
      <c r="A1083" s="46" t="s">
        <v>2183</v>
      </c>
      <c r="B1083" s="46" t="s">
        <v>118</v>
      </c>
      <c r="C1083" s="46" t="s">
        <v>80</v>
      </c>
      <c r="D1083" s="46" t="s">
        <v>99</v>
      </c>
      <c r="E1083" s="46" t="s">
        <v>100</v>
      </c>
      <c r="F1083" s="46" t="s">
        <v>30</v>
      </c>
      <c r="G1083" s="46">
        <v>18</v>
      </c>
      <c r="H1083" s="46" t="s">
        <v>6646</v>
      </c>
      <c r="I1083" s="46" t="s">
        <v>20</v>
      </c>
      <c r="J1083" s="47">
        <v>45052</v>
      </c>
      <c r="K1083" s="46" t="s">
        <v>72</v>
      </c>
      <c r="L1083" s="48">
        <v>9788</v>
      </c>
      <c r="M1083" s="49">
        <v>10</v>
      </c>
    </row>
    <row r="1084" spans="1:13" x14ac:dyDescent="0.3">
      <c r="A1084" s="46" t="s">
        <v>2185</v>
      </c>
      <c r="B1084" s="46" t="s">
        <v>79</v>
      </c>
      <c r="C1084" s="46" t="s">
        <v>61</v>
      </c>
      <c r="D1084" s="46" t="s">
        <v>67</v>
      </c>
      <c r="E1084" s="46" t="s">
        <v>68</v>
      </c>
      <c r="F1084" s="46" t="s">
        <v>30</v>
      </c>
      <c r="G1084" s="46">
        <v>76</v>
      </c>
      <c r="H1084" s="46" t="s">
        <v>6643</v>
      </c>
      <c r="I1084" s="46" t="s">
        <v>40</v>
      </c>
      <c r="J1084" s="47">
        <v>45225</v>
      </c>
      <c r="K1084" s="46" t="s">
        <v>87</v>
      </c>
      <c r="L1084" s="48">
        <v>4782</v>
      </c>
      <c r="M1084" s="49">
        <v>0</v>
      </c>
    </row>
    <row r="1085" spans="1:13" x14ac:dyDescent="0.3">
      <c r="A1085" s="46" t="s">
        <v>2186</v>
      </c>
      <c r="B1085" s="46" t="s">
        <v>6628</v>
      </c>
      <c r="C1085" s="46" t="s">
        <v>61</v>
      </c>
      <c r="D1085" s="46" t="s">
        <v>164</v>
      </c>
      <c r="E1085" s="46" t="s">
        <v>233</v>
      </c>
      <c r="F1085" s="46" t="s">
        <v>69</v>
      </c>
      <c r="G1085" s="46">
        <v>84</v>
      </c>
      <c r="H1085" s="46" t="s">
        <v>6643</v>
      </c>
      <c r="I1085" s="46" t="s">
        <v>20</v>
      </c>
      <c r="J1085" s="47">
        <v>45174</v>
      </c>
      <c r="K1085" s="46" t="s">
        <v>104</v>
      </c>
      <c r="L1085" s="48">
        <v>30526</v>
      </c>
      <c r="M1085" s="49">
        <v>15</v>
      </c>
    </row>
    <row r="1086" spans="1:13" x14ac:dyDescent="0.3">
      <c r="A1086" s="46" t="s">
        <v>2187</v>
      </c>
      <c r="B1086" s="46" t="s">
        <v>6629</v>
      </c>
      <c r="C1086" s="46" t="s">
        <v>36</v>
      </c>
      <c r="D1086" s="46" t="s">
        <v>28</v>
      </c>
      <c r="E1086" s="46" t="s">
        <v>259</v>
      </c>
      <c r="F1086" s="46" t="s">
        <v>30</v>
      </c>
      <c r="G1086" s="46">
        <v>78</v>
      </c>
      <c r="H1086" s="46" t="s">
        <v>6643</v>
      </c>
      <c r="I1086" s="46" t="s">
        <v>40</v>
      </c>
      <c r="J1086" s="47">
        <v>45079</v>
      </c>
      <c r="K1086" s="46" t="s">
        <v>87</v>
      </c>
      <c r="L1086" s="48">
        <v>6692</v>
      </c>
      <c r="M1086" s="49">
        <v>3</v>
      </c>
    </row>
    <row r="1087" spans="1:13" x14ac:dyDescent="0.3">
      <c r="A1087" s="46" t="s">
        <v>2189</v>
      </c>
      <c r="B1087" s="46" t="s">
        <v>79</v>
      </c>
      <c r="C1087" s="46" t="s">
        <v>55</v>
      </c>
      <c r="D1087" s="46" t="s">
        <v>164</v>
      </c>
      <c r="E1087" s="46" t="s">
        <v>165</v>
      </c>
      <c r="F1087" s="46" t="s">
        <v>6632</v>
      </c>
      <c r="G1087" s="46">
        <v>92</v>
      </c>
      <c r="H1087" s="46" t="s">
        <v>6643</v>
      </c>
      <c r="I1087" s="46" t="s">
        <v>20</v>
      </c>
      <c r="J1087" s="47">
        <v>45201</v>
      </c>
      <c r="K1087" s="46" t="s">
        <v>87</v>
      </c>
      <c r="L1087" s="48">
        <v>10077</v>
      </c>
      <c r="M1087" s="49">
        <v>0</v>
      </c>
    </row>
    <row r="1088" spans="1:13" x14ac:dyDescent="0.3">
      <c r="A1088" s="46" t="s">
        <v>2190</v>
      </c>
      <c r="B1088" s="46" t="s">
        <v>6628</v>
      </c>
      <c r="C1088" s="46" t="s">
        <v>189</v>
      </c>
      <c r="D1088" s="46" t="s">
        <v>74</v>
      </c>
      <c r="E1088" s="46" t="s">
        <v>75</v>
      </c>
      <c r="F1088" s="46" t="s">
        <v>6632</v>
      </c>
      <c r="G1088" s="46">
        <v>70</v>
      </c>
      <c r="H1088" s="46" t="s">
        <v>6643</v>
      </c>
      <c r="I1088" s="46" t="s">
        <v>20</v>
      </c>
      <c r="J1088" s="47">
        <v>45351</v>
      </c>
      <c r="K1088" s="46" t="s">
        <v>91</v>
      </c>
      <c r="L1088" s="48">
        <v>12033</v>
      </c>
      <c r="M1088" s="49">
        <v>3</v>
      </c>
    </row>
    <row r="1089" spans="1:13" x14ac:dyDescent="0.3">
      <c r="A1089" s="46" t="s">
        <v>2192</v>
      </c>
      <c r="B1089" s="46" t="s">
        <v>79</v>
      </c>
      <c r="C1089" s="46" t="s">
        <v>16</v>
      </c>
      <c r="D1089" s="46" t="s">
        <v>164</v>
      </c>
      <c r="E1089" s="46" t="s">
        <v>165</v>
      </c>
      <c r="F1089" s="46" t="s">
        <v>30</v>
      </c>
      <c r="G1089" s="46">
        <v>29</v>
      </c>
      <c r="H1089" s="46" t="s">
        <v>6645</v>
      </c>
      <c r="I1089" s="46" t="s">
        <v>20</v>
      </c>
      <c r="J1089" s="47">
        <v>45039</v>
      </c>
      <c r="K1089" s="46" t="s">
        <v>72</v>
      </c>
      <c r="L1089" s="48">
        <v>17474</v>
      </c>
      <c r="M1089" s="49">
        <v>5</v>
      </c>
    </row>
    <row r="1090" spans="1:13" x14ac:dyDescent="0.3">
      <c r="A1090" s="46" t="s">
        <v>2193</v>
      </c>
      <c r="B1090" s="46" t="s">
        <v>6626</v>
      </c>
      <c r="C1090" s="46" t="s">
        <v>27</v>
      </c>
      <c r="D1090" s="46" t="s">
        <v>108</v>
      </c>
      <c r="E1090" s="46" t="s">
        <v>272</v>
      </c>
      <c r="F1090" s="46" t="s">
        <v>30</v>
      </c>
      <c r="G1090" s="46">
        <v>11</v>
      </c>
      <c r="H1090" s="46" t="s">
        <v>6644</v>
      </c>
      <c r="I1090" s="46" t="s">
        <v>20</v>
      </c>
      <c r="J1090" s="47">
        <v>45173</v>
      </c>
      <c r="K1090" s="46" t="s">
        <v>91</v>
      </c>
      <c r="L1090" s="48">
        <v>10751</v>
      </c>
      <c r="M1090" s="49">
        <v>0</v>
      </c>
    </row>
    <row r="1091" spans="1:13" x14ac:dyDescent="0.3">
      <c r="A1091" s="46" t="s">
        <v>2194</v>
      </c>
      <c r="B1091" s="46" t="s">
        <v>6628</v>
      </c>
      <c r="C1091" s="46" t="s">
        <v>36</v>
      </c>
      <c r="D1091" s="46" t="s">
        <v>164</v>
      </c>
      <c r="E1091" s="46" t="s">
        <v>165</v>
      </c>
      <c r="F1091" s="46" t="s">
        <v>30</v>
      </c>
      <c r="G1091" s="46">
        <v>47</v>
      </c>
      <c r="H1091" s="46" t="s">
        <v>6645</v>
      </c>
      <c r="I1091" s="46" t="s">
        <v>20</v>
      </c>
      <c r="J1091" s="47">
        <v>45057</v>
      </c>
      <c r="K1091" s="46" t="s">
        <v>72</v>
      </c>
      <c r="L1091" s="48">
        <v>19061</v>
      </c>
      <c r="M1091" s="49">
        <v>3</v>
      </c>
    </row>
    <row r="1092" spans="1:13" x14ac:dyDescent="0.3">
      <c r="A1092" s="46" t="s">
        <v>2195</v>
      </c>
      <c r="B1092" s="46" t="s">
        <v>6629</v>
      </c>
      <c r="C1092" s="46" t="s">
        <v>36</v>
      </c>
      <c r="D1092" s="46" t="s">
        <v>67</v>
      </c>
      <c r="E1092" s="46" t="s">
        <v>68</v>
      </c>
      <c r="F1092" s="46" t="s">
        <v>30</v>
      </c>
      <c r="G1092" s="46">
        <v>44</v>
      </c>
      <c r="H1092" s="46" t="s">
        <v>6645</v>
      </c>
      <c r="I1092" s="46" t="s">
        <v>20</v>
      </c>
      <c r="J1092" s="47">
        <v>45407</v>
      </c>
      <c r="K1092" s="46" t="s">
        <v>97</v>
      </c>
      <c r="L1092" s="48">
        <v>14622</v>
      </c>
      <c r="M1092" s="49">
        <v>5</v>
      </c>
    </row>
    <row r="1093" spans="1:13" x14ac:dyDescent="0.3">
      <c r="A1093" s="46" t="s">
        <v>2196</v>
      </c>
      <c r="B1093" s="46" t="s">
        <v>6626</v>
      </c>
      <c r="C1093" s="46" t="s">
        <v>61</v>
      </c>
      <c r="D1093" s="46" t="s">
        <v>67</v>
      </c>
      <c r="E1093" s="46" t="s">
        <v>85</v>
      </c>
      <c r="F1093" s="46" t="s">
        <v>30</v>
      </c>
      <c r="G1093" s="46">
        <v>52</v>
      </c>
      <c r="H1093" s="46" t="s">
        <v>6645</v>
      </c>
      <c r="I1093" s="46" t="s">
        <v>20</v>
      </c>
      <c r="J1093" s="47">
        <v>45277</v>
      </c>
      <c r="K1093" s="46" t="s">
        <v>72</v>
      </c>
      <c r="L1093" s="48">
        <v>13734</v>
      </c>
      <c r="M1093" s="49">
        <v>0</v>
      </c>
    </row>
    <row r="1094" spans="1:13" x14ac:dyDescent="0.3">
      <c r="A1094" s="46" t="s">
        <v>2197</v>
      </c>
      <c r="B1094" s="46" t="s">
        <v>6629</v>
      </c>
      <c r="C1094" s="46" t="s">
        <v>27</v>
      </c>
      <c r="D1094" s="46" t="s">
        <v>67</v>
      </c>
      <c r="E1094" s="46" t="s">
        <v>85</v>
      </c>
      <c r="F1094" s="46" t="s">
        <v>30</v>
      </c>
      <c r="G1094" s="46">
        <v>21</v>
      </c>
      <c r="H1094" s="46" t="s">
        <v>6645</v>
      </c>
      <c r="I1094" s="46" t="s">
        <v>20</v>
      </c>
      <c r="J1094" s="47">
        <v>45331</v>
      </c>
      <c r="K1094" s="46" t="s">
        <v>72</v>
      </c>
      <c r="L1094" s="48">
        <v>10683</v>
      </c>
      <c r="M1094" s="49">
        <v>5</v>
      </c>
    </row>
    <row r="1095" spans="1:13" x14ac:dyDescent="0.3">
      <c r="A1095" s="46" t="s">
        <v>2199</v>
      </c>
      <c r="B1095" s="46" t="s">
        <v>6629</v>
      </c>
      <c r="C1095" s="46" t="s">
        <v>27</v>
      </c>
      <c r="D1095" s="46" t="s">
        <v>17</v>
      </c>
      <c r="E1095" s="46" t="s">
        <v>135</v>
      </c>
      <c r="F1095" s="46" t="s">
        <v>30</v>
      </c>
      <c r="G1095" s="46">
        <v>30</v>
      </c>
      <c r="H1095" s="46" t="s">
        <v>6645</v>
      </c>
      <c r="I1095" s="46" t="s">
        <v>20</v>
      </c>
      <c r="J1095" s="47">
        <v>45147</v>
      </c>
      <c r="K1095" s="46" t="s">
        <v>87</v>
      </c>
      <c r="L1095" s="48">
        <v>14501</v>
      </c>
      <c r="M1095" s="49">
        <v>0</v>
      </c>
    </row>
    <row r="1096" spans="1:13" x14ac:dyDescent="0.3">
      <c r="A1096" s="46" t="s">
        <v>2201</v>
      </c>
      <c r="B1096" s="46" t="s">
        <v>118</v>
      </c>
      <c r="C1096" s="46" t="s">
        <v>61</v>
      </c>
      <c r="D1096" s="46" t="s">
        <v>47</v>
      </c>
      <c r="E1096" s="46" t="s">
        <v>48</v>
      </c>
      <c r="F1096" s="46" t="s">
        <v>69</v>
      </c>
      <c r="G1096" s="46">
        <v>75</v>
      </c>
      <c r="H1096" s="46" t="s">
        <v>6643</v>
      </c>
      <c r="I1096" s="46" t="s">
        <v>20</v>
      </c>
      <c r="J1096" s="47">
        <v>45248</v>
      </c>
      <c r="K1096" s="46" t="s">
        <v>91</v>
      </c>
      <c r="L1096" s="48">
        <v>61599</v>
      </c>
      <c r="M1096" s="49">
        <v>0</v>
      </c>
    </row>
    <row r="1097" spans="1:13" x14ac:dyDescent="0.3">
      <c r="A1097" s="46" t="s">
        <v>2203</v>
      </c>
      <c r="B1097" s="46" t="s">
        <v>6626</v>
      </c>
      <c r="C1097" s="46" t="s">
        <v>61</v>
      </c>
      <c r="D1097" s="46" t="s">
        <v>67</v>
      </c>
      <c r="E1097" s="46" t="s">
        <v>196</v>
      </c>
      <c r="F1097" s="46" t="s">
        <v>30</v>
      </c>
      <c r="G1097" s="46">
        <v>8</v>
      </c>
      <c r="H1097" s="46" t="s">
        <v>6644</v>
      </c>
      <c r="I1097" s="46" t="s">
        <v>20</v>
      </c>
      <c r="J1097" s="47">
        <v>45287</v>
      </c>
      <c r="K1097" s="46" t="s">
        <v>72</v>
      </c>
      <c r="L1097" s="48">
        <v>18588</v>
      </c>
      <c r="M1097" s="49">
        <v>3</v>
      </c>
    </row>
    <row r="1098" spans="1:13" x14ac:dyDescent="0.3">
      <c r="A1098" s="46" t="s">
        <v>2204</v>
      </c>
      <c r="B1098" s="46" t="s">
        <v>79</v>
      </c>
      <c r="C1098" s="46" t="s">
        <v>16</v>
      </c>
      <c r="D1098" s="46" t="s">
        <v>17</v>
      </c>
      <c r="E1098" s="46" t="s">
        <v>18</v>
      </c>
      <c r="F1098" s="46" t="s">
        <v>30</v>
      </c>
      <c r="G1098" s="46">
        <v>92</v>
      </c>
      <c r="H1098" s="46" t="s">
        <v>6643</v>
      </c>
      <c r="I1098" s="46" t="s">
        <v>20</v>
      </c>
      <c r="J1098" s="47">
        <v>45335</v>
      </c>
      <c r="K1098" s="46" t="s">
        <v>97</v>
      </c>
      <c r="L1098" s="48">
        <v>15836</v>
      </c>
      <c r="M1098" s="49">
        <v>10</v>
      </c>
    </row>
    <row r="1099" spans="1:13" x14ac:dyDescent="0.3">
      <c r="A1099" s="46" t="s">
        <v>2206</v>
      </c>
      <c r="B1099" s="46" t="s">
        <v>118</v>
      </c>
      <c r="C1099" s="46" t="s">
        <v>80</v>
      </c>
      <c r="D1099" s="46" t="s">
        <v>17</v>
      </c>
      <c r="E1099" s="46" t="s">
        <v>18</v>
      </c>
      <c r="F1099" s="46" t="s">
        <v>69</v>
      </c>
      <c r="G1099" s="46">
        <v>48</v>
      </c>
      <c r="H1099" s="46" t="s">
        <v>6645</v>
      </c>
      <c r="I1099" s="46" t="s">
        <v>40</v>
      </c>
      <c r="J1099" s="47">
        <v>44965</v>
      </c>
      <c r="K1099" s="46" t="s">
        <v>87</v>
      </c>
      <c r="L1099" s="48">
        <v>65090</v>
      </c>
      <c r="M1099" s="49">
        <v>0</v>
      </c>
    </row>
    <row r="1100" spans="1:13" x14ac:dyDescent="0.3">
      <c r="A1100" s="46" t="s">
        <v>2207</v>
      </c>
      <c r="B1100" s="46" t="s">
        <v>6629</v>
      </c>
      <c r="C1100" s="46" t="s">
        <v>16</v>
      </c>
      <c r="D1100" s="46" t="s">
        <v>93</v>
      </c>
      <c r="E1100" s="46" t="s">
        <v>94</v>
      </c>
      <c r="F1100" s="46" t="s">
        <v>30</v>
      </c>
      <c r="G1100" s="46">
        <v>19</v>
      </c>
      <c r="H1100" s="46" t="s">
        <v>6646</v>
      </c>
      <c r="I1100" s="46" t="s">
        <v>20</v>
      </c>
      <c r="J1100" s="47">
        <v>45252</v>
      </c>
      <c r="K1100" s="46" t="s">
        <v>91</v>
      </c>
      <c r="L1100" s="48">
        <v>16994</v>
      </c>
      <c r="M1100" s="49">
        <v>10</v>
      </c>
    </row>
    <row r="1101" spans="1:13" x14ac:dyDescent="0.3">
      <c r="A1101" s="46" t="s">
        <v>2208</v>
      </c>
      <c r="B1101" s="46" t="s">
        <v>6629</v>
      </c>
      <c r="C1101" s="46" t="s">
        <v>189</v>
      </c>
      <c r="D1101" s="46" t="s">
        <v>74</v>
      </c>
      <c r="E1101" s="46" t="s">
        <v>147</v>
      </c>
      <c r="F1101" s="46" t="s">
        <v>30</v>
      </c>
      <c r="G1101" s="46">
        <v>66</v>
      </c>
      <c r="H1101" s="46" t="s">
        <v>6643</v>
      </c>
      <c r="I1101" s="46" t="s">
        <v>20</v>
      </c>
      <c r="J1101" s="47">
        <v>44970</v>
      </c>
      <c r="K1101" s="46" t="s">
        <v>6632</v>
      </c>
      <c r="L1101" s="48">
        <v>11120</v>
      </c>
      <c r="M1101" s="49">
        <v>15</v>
      </c>
    </row>
    <row r="1102" spans="1:13" x14ac:dyDescent="0.3">
      <c r="A1102" s="46" t="s">
        <v>2210</v>
      </c>
      <c r="B1102" s="46" t="s">
        <v>6626</v>
      </c>
      <c r="C1102" s="46" t="s">
        <v>80</v>
      </c>
      <c r="D1102" s="46" t="s">
        <v>93</v>
      </c>
      <c r="E1102" s="46" t="s">
        <v>121</v>
      </c>
      <c r="F1102" s="46" t="s">
        <v>69</v>
      </c>
      <c r="G1102" s="46">
        <v>40</v>
      </c>
      <c r="H1102" s="46" t="s">
        <v>6645</v>
      </c>
      <c r="I1102" s="46" t="s">
        <v>20</v>
      </c>
      <c r="J1102" s="47">
        <v>45252</v>
      </c>
      <c r="K1102" s="46" t="s">
        <v>104</v>
      </c>
      <c r="L1102" s="48">
        <v>56396</v>
      </c>
      <c r="M1102" s="49">
        <v>10</v>
      </c>
    </row>
    <row r="1103" spans="1:13" x14ac:dyDescent="0.3">
      <c r="A1103" s="46" t="s">
        <v>2212</v>
      </c>
      <c r="B1103" s="46" t="s">
        <v>118</v>
      </c>
      <c r="C1103" s="46" t="s">
        <v>80</v>
      </c>
      <c r="D1103" s="46" t="s">
        <v>108</v>
      </c>
      <c r="E1103" s="46" t="s">
        <v>308</v>
      </c>
      <c r="F1103" s="46" t="s">
        <v>30</v>
      </c>
      <c r="G1103" s="46">
        <v>73</v>
      </c>
      <c r="H1103" s="46" t="s">
        <v>6643</v>
      </c>
      <c r="I1103" s="46" t="s">
        <v>40</v>
      </c>
      <c r="J1103" s="47">
        <v>45198</v>
      </c>
      <c r="K1103" s="46" t="s">
        <v>104</v>
      </c>
      <c r="L1103" s="48">
        <v>3131</v>
      </c>
      <c r="M1103" s="49">
        <v>40</v>
      </c>
    </row>
    <row r="1104" spans="1:13" x14ac:dyDescent="0.3">
      <c r="A1104" s="46" t="s">
        <v>2214</v>
      </c>
      <c r="B1104" s="46" t="s">
        <v>6626</v>
      </c>
      <c r="C1104" s="46" t="s">
        <v>36</v>
      </c>
      <c r="D1104" s="46" t="s">
        <v>67</v>
      </c>
      <c r="E1104" s="46" t="s">
        <v>85</v>
      </c>
      <c r="F1104" s="46" t="s">
        <v>30</v>
      </c>
      <c r="G1104" s="46">
        <v>7</v>
      </c>
      <c r="H1104" s="46" t="s">
        <v>6644</v>
      </c>
      <c r="I1104" s="46" t="s">
        <v>20</v>
      </c>
      <c r="J1104" s="47">
        <v>44956</v>
      </c>
      <c r="K1104" s="46" t="s">
        <v>104</v>
      </c>
      <c r="L1104" s="48">
        <v>7396</v>
      </c>
      <c r="M1104" s="49">
        <v>12</v>
      </c>
    </row>
    <row r="1105" spans="1:13" x14ac:dyDescent="0.3">
      <c r="A1105" s="46" t="s">
        <v>2215</v>
      </c>
      <c r="B1105" s="46" t="s">
        <v>79</v>
      </c>
      <c r="C1105" s="46" t="s">
        <v>80</v>
      </c>
      <c r="D1105" s="46" t="s">
        <v>47</v>
      </c>
      <c r="E1105" s="46" t="s">
        <v>364</v>
      </c>
      <c r="F1105" s="46" t="s">
        <v>30</v>
      </c>
      <c r="G1105" s="46">
        <v>15</v>
      </c>
      <c r="H1105" s="46" t="s">
        <v>6646</v>
      </c>
      <c r="I1105" s="46" t="s">
        <v>40</v>
      </c>
      <c r="J1105" s="47">
        <v>44962</v>
      </c>
      <c r="K1105" s="46" t="s">
        <v>91</v>
      </c>
      <c r="L1105" s="48">
        <v>14779</v>
      </c>
      <c r="M1105" s="49">
        <v>10</v>
      </c>
    </row>
    <row r="1106" spans="1:13" x14ac:dyDescent="0.3">
      <c r="A1106" s="46" t="s">
        <v>2217</v>
      </c>
      <c r="B1106" s="46" t="s">
        <v>79</v>
      </c>
      <c r="C1106" s="46" t="s">
        <v>55</v>
      </c>
      <c r="D1106" s="46" t="s">
        <v>17</v>
      </c>
      <c r="E1106" s="46" t="s">
        <v>18</v>
      </c>
      <c r="F1106" s="46" t="s">
        <v>69</v>
      </c>
      <c r="G1106" s="46">
        <v>19</v>
      </c>
      <c r="H1106" s="46" t="s">
        <v>6646</v>
      </c>
      <c r="I1106" s="46" t="s">
        <v>40</v>
      </c>
      <c r="J1106" s="47">
        <v>45085</v>
      </c>
      <c r="K1106" s="46" t="s">
        <v>72</v>
      </c>
      <c r="L1106" s="48">
        <v>38560</v>
      </c>
      <c r="M1106" s="49">
        <v>5</v>
      </c>
    </row>
    <row r="1107" spans="1:13" x14ac:dyDescent="0.3">
      <c r="A1107" s="46" t="s">
        <v>2219</v>
      </c>
      <c r="B1107" s="46" t="s">
        <v>6629</v>
      </c>
      <c r="C1107" s="46" t="s">
        <v>80</v>
      </c>
      <c r="D1107" s="46" t="s">
        <v>164</v>
      </c>
      <c r="E1107" s="46" t="s">
        <v>233</v>
      </c>
      <c r="F1107" s="46" t="s">
        <v>69</v>
      </c>
      <c r="G1107" s="46">
        <v>53</v>
      </c>
      <c r="H1107" s="46" t="s">
        <v>6645</v>
      </c>
      <c r="I1107" s="46" t="s">
        <v>20</v>
      </c>
      <c r="J1107" s="47">
        <v>45096</v>
      </c>
      <c r="K1107" s="46" t="s">
        <v>6632</v>
      </c>
      <c r="L1107" s="48">
        <v>38641</v>
      </c>
      <c r="M1107" s="49">
        <v>4</v>
      </c>
    </row>
    <row r="1108" spans="1:13" x14ac:dyDescent="0.3">
      <c r="A1108" s="46" t="s">
        <v>2221</v>
      </c>
      <c r="B1108" s="46" t="s">
        <v>79</v>
      </c>
      <c r="C1108" s="46" t="s">
        <v>27</v>
      </c>
      <c r="D1108" s="46" t="s">
        <v>164</v>
      </c>
      <c r="E1108" s="46" t="s">
        <v>233</v>
      </c>
      <c r="F1108" s="46" t="s">
        <v>30</v>
      </c>
      <c r="G1108" s="46">
        <v>47</v>
      </c>
      <c r="H1108" s="46" t="s">
        <v>6645</v>
      </c>
      <c r="I1108" s="46" t="s">
        <v>40</v>
      </c>
      <c r="J1108" s="47">
        <v>45259</v>
      </c>
      <c r="K1108" s="46" t="s">
        <v>91</v>
      </c>
      <c r="L1108" s="48">
        <v>7285</v>
      </c>
      <c r="M1108" s="49">
        <v>0</v>
      </c>
    </row>
    <row r="1109" spans="1:13" x14ac:dyDescent="0.3">
      <c r="A1109" s="46" t="s">
        <v>2224</v>
      </c>
      <c r="B1109" s="46" t="s">
        <v>6628</v>
      </c>
      <c r="C1109" s="46" t="s">
        <v>66</v>
      </c>
      <c r="D1109" s="46" t="s">
        <v>17</v>
      </c>
      <c r="E1109" s="46" t="s">
        <v>169</v>
      </c>
      <c r="F1109" s="46" t="s">
        <v>69</v>
      </c>
      <c r="G1109" s="46">
        <v>45</v>
      </c>
      <c r="H1109" s="46" t="s">
        <v>6645</v>
      </c>
      <c r="I1109" s="46" t="s">
        <v>40</v>
      </c>
      <c r="J1109" s="47">
        <v>45220</v>
      </c>
      <c r="K1109" s="46" t="s">
        <v>72</v>
      </c>
      <c r="L1109" s="48">
        <v>28435</v>
      </c>
      <c r="M1109" s="49">
        <v>0</v>
      </c>
    </row>
    <row r="1110" spans="1:13" x14ac:dyDescent="0.3">
      <c r="A1110" s="46" t="s">
        <v>2225</v>
      </c>
      <c r="B1110" s="46" t="s">
        <v>6626</v>
      </c>
      <c r="C1110" s="46" t="s">
        <v>66</v>
      </c>
      <c r="D1110" s="46" t="s">
        <v>37</v>
      </c>
      <c r="E1110" s="46" t="s">
        <v>56</v>
      </c>
      <c r="F1110" s="46" t="s">
        <v>30</v>
      </c>
      <c r="G1110" s="46">
        <v>40</v>
      </c>
      <c r="H1110" s="46" t="s">
        <v>6645</v>
      </c>
      <c r="I1110" s="46" t="s">
        <v>20</v>
      </c>
      <c r="J1110" s="47">
        <v>44947</v>
      </c>
      <c r="K1110" s="46" t="s">
        <v>87</v>
      </c>
      <c r="L1110" s="48">
        <v>5225</v>
      </c>
      <c r="M1110" s="49">
        <v>0</v>
      </c>
    </row>
    <row r="1111" spans="1:13" x14ac:dyDescent="0.3">
      <c r="A1111" s="46" t="s">
        <v>2226</v>
      </c>
      <c r="B1111" s="46" t="s">
        <v>6629</v>
      </c>
      <c r="C1111" s="46" t="s">
        <v>80</v>
      </c>
      <c r="D1111" s="46" t="s">
        <v>74</v>
      </c>
      <c r="E1111" s="46" t="s">
        <v>147</v>
      </c>
      <c r="F1111" s="46" t="s">
        <v>30</v>
      </c>
      <c r="G1111" s="46">
        <v>78</v>
      </c>
      <c r="H1111" s="46" t="s">
        <v>6643</v>
      </c>
      <c r="I1111" s="46" t="s">
        <v>40</v>
      </c>
      <c r="J1111" s="47">
        <v>44942</v>
      </c>
      <c r="K1111" s="46" t="s">
        <v>72</v>
      </c>
      <c r="L1111" s="48">
        <v>12952</v>
      </c>
      <c r="M1111" s="49">
        <v>0</v>
      </c>
    </row>
    <row r="1112" spans="1:13" x14ac:dyDescent="0.3">
      <c r="A1112" s="46" t="s">
        <v>2227</v>
      </c>
      <c r="B1112" s="46" t="s">
        <v>118</v>
      </c>
      <c r="C1112" s="46" t="s">
        <v>55</v>
      </c>
      <c r="D1112" s="46" t="s">
        <v>93</v>
      </c>
      <c r="E1112" s="46" t="s">
        <v>144</v>
      </c>
      <c r="F1112" s="46" t="s">
        <v>69</v>
      </c>
      <c r="G1112" s="46">
        <v>56</v>
      </c>
      <c r="H1112" s="46" t="s">
        <v>6645</v>
      </c>
      <c r="I1112" s="46" t="s">
        <v>20</v>
      </c>
      <c r="J1112" s="47">
        <v>45030</v>
      </c>
      <c r="K1112" s="46" t="s">
        <v>104</v>
      </c>
      <c r="L1112" s="48">
        <v>48401</v>
      </c>
      <c r="M1112" s="49">
        <v>0</v>
      </c>
    </row>
    <row r="1113" spans="1:13" x14ac:dyDescent="0.3">
      <c r="A1113" s="46" t="s">
        <v>2229</v>
      </c>
      <c r="B1113" s="46" t="s">
        <v>79</v>
      </c>
      <c r="C1113" s="46" t="s">
        <v>61</v>
      </c>
      <c r="D1113" s="46" t="s">
        <v>99</v>
      </c>
      <c r="E1113" s="46" t="s">
        <v>372</v>
      </c>
      <c r="F1113" s="46" t="s">
        <v>30</v>
      </c>
      <c r="G1113" s="46">
        <v>22</v>
      </c>
      <c r="H1113" s="46" t="s">
        <v>6645</v>
      </c>
      <c r="I1113" s="46" t="s">
        <v>40</v>
      </c>
      <c r="J1113" s="47">
        <v>45178</v>
      </c>
      <c r="K1113" s="46" t="s">
        <v>72</v>
      </c>
      <c r="L1113" s="48">
        <v>17479</v>
      </c>
      <c r="M1113" s="49">
        <v>5</v>
      </c>
    </row>
    <row r="1114" spans="1:13" x14ac:dyDescent="0.3">
      <c r="A1114" s="46" t="s">
        <v>2231</v>
      </c>
      <c r="B1114" s="46" t="s">
        <v>6629</v>
      </c>
      <c r="C1114" s="46" t="s">
        <v>80</v>
      </c>
      <c r="D1114" s="46" t="s">
        <v>17</v>
      </c>
      <c r="E1114" s="46" t="s">
        <v>135</v>
      </c>
      <c r="F1114" s="46" t="s">
        <v>30</v>
      </c>
      <c r="G1114" s="46">
        <v>16</v>
      </c>
      <c r="H1114" s="46" t="s">
        <v>6646</v>
      </c>
      <c r="I1114" s="46" t="s">
        <v>40</v>
      </c>
      <c r="J1114" s="47">
        <v>45398</v>
      </c>
      <c r="K1114" s="46" t="s">
        <v>97</v>
      </c>
      <c r="L1114" s="48">
        <v>7439</v>
      </c>
      <c r="M1114" s="49">
        <v>0</v>
      </c>
    </row>
    <row r="1115" spans="1:13" x14ac:dyDescent="0.3">
      <c r="A1115" s="46" t="s">
        <v>2232</v>
      </c>
      <c r="B1115" s="46" t="s">
        <v>118</v>
      </c>
      <c r="C1115" s="46" t="s">
        <v>66</v>
      </c>
      <c r="D1115" s="46" t="s">
        <v>74</v>
      </c>
      <c r="E1115" s="46" t="s">
        <v>172</v>
      </c>
      <c r="F1115" s="46" t="s">
        <v>30</v>
      </c>
      <c r="G1115" s="46">
        <v>83</v>
      </c>
      <c r="H1115" s="46" t="s">
        <v>6643</v>
      </c>
      <c r="I1115" s="46" t="s">
        <v>40</v>
      </c>
      <c r="J1115" s="47">
        <v>45085</v>
      </c>
      <c r="K1115" s="46" t="s">
        <v>87</v>
      </c>
      <c r="L1115" s="48">
        <v>12518</v>
      </c>
      <c r="M1115" s="49">
        <v>3</v>
      </c>
    </row>
    <row r="1116" spans="1:13" x14ac:dyDescent="0.3">
      <c r="A1116" s="46" t="s">
        <v>2233</v>
      </c>
      <c r="B1116" s="46" t="s">
        <v>6626</v>
      </c>
      <c r="C1116" s="46" t="s">
        <v>16</v>
      </c>
      <c r="D1116" s="46" t="s">
        <v>47</v>
      </c>
      <c r="E1116" s="46" t="s">
        <v>175</v>
      </c>
      <c r="F1116" s="46" t="s">
        <v>30</v>
      </c>
      <c r="G1116" s="46">
        <v>77</v>
      </c>
      <c r="H1116" s="46" t="s">
        <v>6643</v>
      </c>
      <c r="I1116" s="46" t="s">
        <v>20</v>
      </c>
      <c r="J1116" s="47">
        <v>45009</v>
      </c>
      <c r="K1116" s="46" t="s">
        <v>72</v>
      </c>
      <c r="L1116" s="48">
        <v>3593</v>
      </c>
      <c r="M1116" s="49">
        <v>0</v>
      </c>
    </row>
    <row r="1117" spans="1:13" x14ac:dyDescent="0.3">
      <c r="A1117" s="46" t="s">
        <v>2234</v>
      </c>
      <c r="B1117" s="46" t="s">
        <v>6628</v>
      </c>
      <c r="C1117" s="46" t="s">
        <v>61</v>
      </c>
      <c r="D1117" s="46" t="s">
        <v>17</v>
      </c>
      <c r="E1117" s="46" t="s">
        <v>135</v>
      </c>
      <c r="F1117" s="46" t="s">
        <v>30</v>
      </c>
      <c r="G1117" s="46">
        <v>33</v>
      </c>
      <c r="H1117" s="46" t="s">
        <v>6645</v>
      </c>
      <c r="I1117" s="46" t="s">
        <v>40</v>
      </c>
      <c r="J1117" s="47">
        <v>45088</v>
      </c>
      <c r="K1117" s="46" t="s">
        <v>72</v>
      </c>
      <c r="L1117" s="48">
        <v>17877</v>
      </c>
      <c r="M1117" s="49">
        <v>0</v>
      </c>
    </row>
    <row r="1118" spans="1:13" x14ac:dyDescent="0.3">
      <c r="A1118" s="46" t="s">
        <v>2237</v>
      </c>
      <c r="B1118" s="46" t="s">
        <v>6629</v>
      </c>
      <c r="C1118" s="46" t="s">
        <v>80</v>
      </c>
      <c r="D1118" s="46" t="s">
        <v>28</v>
      </c>
      <c r="E1118" s="46" t="s">
        <v>29</v>
      </c>
      <c r="F1118" s="46" t="s">
        <v>30</v>
      </c>
      <c r="G1118" s="46">
        <v>24</v>
      </c>
      <c r="H1118" s="46" t="s">
        <v>6645</v>
      </c>
      <c r="I1118" s="46" t="s">
        <v>40</v>
      </c>
      <c r="J1118" s="47">
        <v>45093</v>
      </c>
      <c r="K1118" s="46" t="s">
        <v>72</v>
      </c>
      <c r="L1118" s="48">
        <v>16560</v>
      </c>
      <c r="M1118" s="49">
        <v>3</v>
      </c>
    </row>
    <row r="1119" spans="1:13" x14ac:dyDescent="0.3">
      <c r="A1119" s="46" t="s">
        <v>2239</v>
      </c>
      <c r="B1119" s="46" t="s">
        <v>6628</v>
      </c>
      <c r="C1119" s="46" t="s">
        <v>61</v>
      </c>
      <c r="D1119" s="46" t="s">
        <v>17</v>
      </c>
      <c r="E1119" s="46" t="s">
        <v>213</v>
      </c>
      <c r="F1119" s="46" t="s">
        <v>30</v>
      </c>
      <c r="G1119" s="46">
        <v>58</v>
      </c>
      <c r="H1119" s="46" t="s">
        <v>6645</v>
      </c>
      <c r="I1119" s="46" t="s">
        <v>20</v>
      </c>
      <c r="J1119" s="47">
        <v>45379</v>
      </c>
      <c r="K1119" s="46" t="s">
        <v>72</v>
      </c>
      <c r="L1119" s="48">
        <v>12314</v>
      </c>
      <c r="M1119" s="49">
        <v>0</v>
      </c>
    </row>
    <row r="1120" spans="1:13" x14ac:dyDescent="0.3">
      <c r="A1120" s="46" t="s">
        <v>2241</v>
      </c>
      <c r="B1120" s="46" t="s">
        <v>6627</v>
      </c>
      <c r="C1120" s="46" t="s">
        <v>27</v>
      </c>
      <c r="D1120" s="46" t="s">
        <v>74</v>
      </c>
      <c r="E1120" s="46" t="s">
        <v>147</v>
      </c>
      <c r="F1120" s="46" t="s">
        <v>30</v>
      </c>
      <c r="G1120" s="46">
        <v>27</v>
      </c>
      <c r="H1120" s="46" t="s">
        <v>6645</v>
      </c>
      <c r="I1120" s="46" t="s">
        <v>20</v>
      </c>
      <c r="J1120" s="47">
        <v>45222</v>
      </c>
      <c r="K1120" s="46" t="s">
        <v>91</v>
      </c>
      <c r="L1120" s="48">
        <v>4905</v>
      </c>
      <c r="M1120" s="49">
        <v>3</v>
      </c>
    </row>
    <row r="1121" spans="1:13" x14ac:dyDescent="0.3">
      <c r="A1121" s="46" t="s">
        <v>2242</v>
      </c>
      <c r="B1121" s="46" t="s">
        <v>118</v>
      </c>
      <c r="C1121" s="46" t="s">
        <v>55</v>
      </c>
      <c r="D1121" s="46" t="s">
        <v>74</v>
      </c>
      <c r="E1121" s="46" t="s">
        <v>147</v>
      </c>
      <c r="F1121" s="46" t="s">
        <v>30</v>
      </c>
      <c r="G1121" s="46">
        <v>60</v>
      </c>
      <c r="H1121" s="46" t="s">
        <v>6643</v>
      </c>
      <c r="I1121" s="46" t="s">
        <v>40</v>
      </c>
      <c r="J1121" s="47">
        <v>45058</v>
      </c>
      <c r="K1121" s="46" t="s">
        <v>104</v>
      </c>
      <c r="L1121" s="48">
        <v>13212</v>
      </c>
      <c r="M1121" s="49">
        <v>18</v>
      </c>
    </row>
    <row r="1122" spans="1:13" x14ac:dyDescent="0.3">
      <c r="A1122" s="46" t="s">
        <v>2245</v>
      </c>
      <c r="B1122" s="46" t="s">
        <v>6628</v>
      </c>
      <c r="C1122" s="46" t="s">
        <v>189</v>
      </c>
      <c r="D1122" s="46" t="s">
        <v>99</v>
      </c>
      <c r="E1122" s="46" t="s">
        <v>151</v>
      </c>
      <c r="F1122" s="46" t="s">
        <v>69</v>
      </c>
      <c r="G1122" s="46">
        <v>9</v>
      </c>
      <c r="H1122" s="46" t="s">
        <v>6644</v>
      </c>
      <c r="I1122" s="46" t="s">
        <v>20</v>
      </c>
      <c r="J1122" s="47">
        <v>45316</v>
      </c>
      <c r="K1122" s="46" t="s">
        <v>104</v>
      </c>
      <c r="L1122" s="48">
        <v>23103</v>
      </c>
      <c r="M1122" s="49">
        <v>19</v>
      </c>
    </row>
    <row r="1123" spans="1:13" x14ac:dyDescent="0.3">
      <c r="A1123" s="46" t="s">
        <v>2246</v>
      </c>
      <c r="B1123" s="46" t="s">
        <v>79</v>
      </c>
      <c r="C1123" s="46" t="s">
        <v>16</v>
      </c>
      <c r="D1123" s="46" t="s">
        <v>108</v>
      </c>
      <c r="E1123" s="46" t="s">
        <v>308</v>
      </c>
      <c r="F1123" s="46" t="s">
        <v>30</v>
      </c>
      <c r="G1123" s="46">
        <v>74</v>
      </c>
      <c r="H1123" s="46" t="s">
        <v>6643</v>
      </c>
      <c r="I1123" s="46" t="s">
        <v>20</v>
      </c>
      <c r="J1123" s="47">
        <v>45398</v>
      </c>
      <c r="K1123" s="46" t="s">
        <v>87</v>
      </c>
      <c r="L1123" s="48">
        <v>11458</v>
      </c>
      <c r="M1123" s="49">
        <v>3</v>
      </c>
    </row>
    <row r="1124" spans="1:13" x14ac:dyDescent="0.3">
      <c r="A1124" s="46" t="s">
        <v>2247</v>
      </c>
      <c r="B1124" s="46" t="s">
        <v>79</v>
      </c>
      <c r="C1124" s="46" t="s">
        <v>55</v>
      </c>
      <c r="D1124" s="46" t="s">
        <v>74</v>
      </c>
      <c r="E1124" s="46" t="s">
        <v>75</v>
      </c>
      <c r="F1124" s="46" t="s">
        <v>69</v>
      </c>
      <c r="G1124" s="46">
        <v>38</v>
      </c>
      <c r="H1124" s="46" t="s">
        <v>6645</v>
      </c>
      <c r="I1124" s="46" t="s">
        <v>20</v>
      </c>
      <c r="J1124" s="47">
        <v>45222</v>
      </c>
      <c r="K1124" s="46" t="s">
        <v>72</v>
      </c>
      <c r="L1124" s="48">
        <v>70675</v>
      </c>
      <c r="M1124" s="49">
        <v>3</v>
      </c>
    </row>
    <row r="1125" spans="1:13" x14ac:dyDescent="0.3">
      <c r="A1125" s="46" t="s">
        <v>2249</v>
      </c>
      <c r="B1125" s="46" t="s">
        <v>79</v>
      </c>
      <c r="C1125" s="46" t="s">
        <v>16</v>
      </c>
      <c r="D1125" s="46" t="s">
        <v>99</v>
      </c>
      <c r="E1125" s="46" t="s">
        <v>100</v>
      </c>
      <c r="F1125" s="46" t="s">
        <v>6632</v>
      </c>
      <c r="G1125" s="46">
        <v>39</v>
      </c>
      <c r="H1125" s="46" t="s">
        <v>6645</v>
      </c>
      <c r="I1125" s="46" t="s">
        <v>20</v>
      </c>
      <c r="J1125" s="47">
        <v>45096</v>
      </c>
      <c r="K1125" s="46" t="s">
        <v>91</v>
      </c>
      <c r="L1125" s="48">
        <v>19403</v>
      </c>
      <c r="M1125" s="49">
        <v>0</v>
      </c>
    </row>
    <row r="1126" spans="1:13" x14ac:dyDescent="0.3">
      <c r="A1126" s="46" t="s">
        <v>2250</v>
      </c>
      <c r="B1126" s="46" t="s">
        <v>79</v>
      </c>
      <c r="C1126" s="46" t="s">
        <v>66</v>
      </c>
      <c r="D1126" s="46" t="s">
        <v>47</v>
      </c>
      <c r="E1126" s="46" t="s">
        <v>364</v>
      </c>
      <c r="F1126" s="46" t="s">
        <v>69</v>
      </c>
      <c r="G1126" s="46">
        <v>62</v>
      </c>
      <c r="H1126" s="46" t="s">
        <v>6643</v>
      </c>
      <c r="I1126" s="46" t="s">
        <v>20</v>
      </c>
      <c r="J1126" s="47">
        <v>45002</v>
      </c>
      <c r="K1126" s="46" t="s">
        <v>104</v>
      </c>
      <c r="L1126" s="48">
        <v>29017</v>
      </c>
      <c r="M1126" s="49">
        <v>18</v>
      </c>
    </row>
    <row r="1127" spans="1:13" x14ac:dyDescent="0.3">
      <c r="A1127" s="46" t="s">
        <v>2251</v>
      </c>
      <c r="B1127" s="46" t="s">
        <v>6627</v>
      </c>
      <c r="C1127" s="46" t="s">
        <v>16</v>
      </c>
      <c r="D1127" s="46" t="s">
        <v>93</v>
      </c>
      <c r="E1127" s="46" t="s">
        <v>144</v>
      </c>
      <c r="F1127" s="46" t="s">
        <v>30</v>
      </c>
      <c r="G1127" s="46">
        <v>17</v>
      </c>
      <c r="H1127" s="46" t="s">
        <v>6646</v>
      </c>
      <c r="I1127" s="46" t="s">
        <v>40</v>
      </c>
      <c r="J1127" s="47">
        <v>45262</v>
      </c>
      <c r="K1127" s="46" t="s">
        <v>97</v>
      </c>
      <c r="L1127" s="48">
        <v>17563</v>
      </c>
      <c r="M1127" s="49">
        <v>5</v>
      </c>
    </row>
    <row r="1128" spans="1:13" x14ac:dyDescent="0.3">
      <c r="A1128" s="46" t="s">
        <v>2253</v>
      </c>
      <c r="B1128" s="46" t="s">
        <v>6628</v>
      </c>
      <c r="C1128" s="46" t="s">
        <v>55</v>
      </c>
      <c r="D1128" s="46" t="s">
        <v>108</v>
      </c>
      <c r="E1128" s="46" t="s">
        <v>124</v>
      </c>
      <c r="F1128" s="46" t="s">
        <v>30</v>
      </c>
      <c r="G1128" s="46">
        <v>5</v>
      </c>
      <c r="H1128" s="46" t="s">
        <v>6644</v>
      </c>
      <c r="I1128" s="46" t="s">
        <v>40</v>
      </c>
      <c r="J1128" s="47">
        <v>45310</v>
      </c>
      <c r="K1128" s="46" t="s">
        <v>6632</v>
      </c>
      <c r="L1128" s="48">
        <v>9840</v>
      </c>
      <c r="M1128" s="49">
        <v>0</v>
      </c>
    </row>
    <row r="1129" spans="1:13" x14ac:dyDescent="0.3">
      <c r="A1129" s="46" t="s">
        <v>2254</v>
      </c>
      <c r="B1129" s="46" t="s">
        <v>79</v>
      </c>
      <c r="C1129" s="46" t="s">
        <v>27</v>
      </c>
      <c r="D1129" s="46" t="s">
        <v>164</v>
      </c>
      <c r="E1129" s="46" t="s">
        <v>165</v>
      </c>
      <c r="F1129" s="46" t="s">
        <v>69</v>
      </c>
      <c r="G1129" s="46">
        <v>44</v>
      </c>
      <c r="H1129" s="46" t="s">
        <v>6645</v>
      </c>
      <c r="I1129" s="46" t="s">
        <v>20</v>
      </c>
      <c r="J1129" s="47">
        <v>45287</v>
      </c>
      <c r="K1129" s="46" t="s">
        <v>87</v>
      </c>
      <c r="L1129" s="48">
        <v>25905</v>
      </c>
      <c r="M1129" s="49">
        <v>0</v>
      </c>
    </row>
    <row r="1130" spans="1:13" x14ac:dyDescent="0.3">
      <c r="A1130" s="46" t="s">
        <v>2255</v>
      </c>
      <c r="B1130" s="46" t="s">
        <v>6629</v>
      </c>
      <c r="C1130" s="46" t="s">
        <v>36</v>
      </c>
      <c r="D1130" s="46" t="s">
        <v>47</v>
      </c>
      <c r="E1130" s="46" t="s">
        <v>364</v>
      </c>
      <c r="F1130" s="46" t="s">
        <v>69</v>
      </c>
      <c r="G1130" s="46">
        <v>15</v>
      </c>
      <c r="H1130" s="46" t="s">
        <v>6646</v>
      </c>
      <c r="I1130" s="46" t="s">
        <v>40</v>
      </c>
      <c r="J1130" s="47">
        <v>45077</v>
      </c>
      <c r="K1130" s="46" t="s">
        <v>97</v>
      </c>
      <c r="L1130" s="48">
        <v>87544</v>
      </c>
      <c r="M1130" s="49">
        <v>0</v>
      </c>
    </row>
    <row r="1131" spans="1:13" x14ac:dyDescent="0.3">
      <c r="A1131" s="46" t="s">
        <v>2257</v>
      </c>
      <c r="B1131" s="46" t="s">
        <v>118</v>
      </c>
      <c r="C1131" s="46" t="s">
        <v>36</v>
      </c>
      <c r="D1131" s="46" t="s">
        <v>108</v>
      </c>
      <c r="E1131" s="46" t="s">
        <v>109</v>
      </c>
      <c r="F1131" s="46" t="s">
        <v>30</v>
      </c>
      <c r="G1131" s="46">
        <v>59</v>
      </c>
      <c r="H1131" s="46" t="s">
        <v>6645</v>
      </c>
      <c r="I1131" s="46" t="s">
        <v>20</v>
      </c>
      <c r="J1131" s="47">
        <v>44960</v>
      </c>
      <c r="K1131" s="46" t="s">
        <v>91</v>
      </c>
      <c r="L1131" s="48">
        <v>15317</v>
      </c>
      <c r="M1131" s="49">
        <v>5</v>
      </c>
    </row>
    <row r="1132" spans="1:13" x14ac:dyDescent="0.3">
      <c r="A1132" s="46" t="s">
        <v>2259</v>
      </c>
      <c r="B1132" s="46" t="s">
        <v>79</v>
      </c>
      <c r="C1132" s="46" t="s">
        <v>55</v>
      </c>
      <c r="D1132" s="46" t="s">
        <v>99</v>
      </c>
      <c r="E1132" s="46" t="s">
        <v>151</v>
      </c>
      <c r="F1132" s="46" t="s">
        <v>30</v>
      </c>
      <c r="G1132" s="46">
        <v>74</v>
      </c>
      <c r="H1132" s="46" t="s">
        <v>6643</v>
      </c>
      <c r="I1132" s="46" t="s">
        <v>40</v>
      </c>
      <c r="J1132" s="47">
        <v>45385</v>
      </c>
      <c r="K1132" s="46" t="s">
        <v>87</v>
      </c>
      <c r="L1132" s="48">
        <v>4989</v>
      </c>
      <c r="M1132" s="49">
        <v>0</v>
      </c>
    </row>
    <row r="1133" spans="1:13" x14ac:dyDescent="0.3">
      <c r="A1133" s="46" t="s">
        <v>2261</v>
      </c>
      <c r="B1133" s="46" t="s">
        <v>6629</v>
      </c>
      <c r="C1133" s="46" t="s">
        <v>16</v>
      </c>
      <c r="D1133" s="46" t="s">
        <v>74</v>
      </c>
      <c r="E1133" s="46" t="s">
        <v>147</v>
      </c>
      <c r="F1133" s="46" t="s">
        <v>69</v>
      </c>
      <c r="G1133" s="46">
        <v>59</v>
      </c>
      <c r="H1133" s="46" t="s">
        <v>6645</v>
      </c>
      <c r="I1133" s="46" t="s">
        <v>20</v>
      </c>
      <c r="J1133" s="47">
        <v>45102</v>
      </c>
      <c r="K1133" s="46" t="s">
        <v>97</v>
      </c>
      <c r="L1133" s="48">
        <v>26636</v>
      </c>
      <c r="M1133" s="49">
        <v>0</v>
      </c>
    </row>
    <row r="1134" spans="1:13" x14ac:dyDescent="0.3">
      <c r="A1134" s="46" t="s">
        <v>2263</v>
      </c>
      <c r="B1134" s="46" t="s">
        <v>6629</v>
      </c>
      <c r="C1134" s="46" t="s">
        <v>16</v>
      </c>
      <c r="D1134" s="46" t="s">
        <v>37</v>
      </c>
      <c r="E1134" s="46" t="s">
        <v>56</v>
      </c>
      <c r="F1134" s="46" t="s">
        <v>69</v>
      </c>
      <c r="G1134" s="46">
        <v>66</v>
      </c>
      <c r="H1134" s="46" t="s">
        <v>6643</v>
      </c>
      <c r="I1134" s="46" t="s">
        <v>40</v>
      </c>
      <c r="J1134" s="47">
        <v>45129</v>
      </c>
      <c r="K1134" s="46" t="s">
        <v>97</v>
      </c>
      <c r="L1134" s="48">
        <v>42968</v>
      </c>
      <c r="M1134" s="49">
        <v>10</v>
      </c>
    </row>
    <row r="1135" spans="1:13" x14ac:dyDescent="0.3">
      <c r="A1135" s="46" t="s">
        <v>2264</v>
      </c>
      <c r="B1135" s="46" t="s">
        <v>6626</v>
      </c>
      <c r="C1135" s="46" t="s">
        <v>61</v>
      </c>
      <c r="D1135" s="46" t="s">
        <v>164</v>
      </c>
      <c r="E1135" s="46" t="s">
        <v>219</v>
      </c>
      <c r="F1135" s="46" t="s">
        <v>30</v>
      </c>
      <c r="G1135" s="46">
        <v>92</v>
      </c>
      <c r="H1135" s="46" t="s">
        <v>6643</v>
      </c>
      <c r="I1135" s="46" t="s">
        <v>20</v>
      </c>
      <c r="J1135" s="47">
        <v>45036</v>
      </c>
      <c r="K1135" s="46" t="s">
        <v>87</v>
      </c>
      <c r="L1135" s="48">
        <v>9124</v>
      </c>
      <c r="M1135" s="49">
        <v>10</v>
      </c>
    </row>
    <row r="1136" spans="1:13" x14ac:dyDescent="0.3">
      <c r="A1136" s="46" t="s">
        <v>2266</v>
      </c>
      <c r="B1136" s="46" t="s">
        <v>6627</v>
      </c>
      <c r="C1136" s="46" t="s">
        <v>61</v>
      </c>
      <c r="D1136" s="46" t="s">
        <v>99</v>
      </c>
      <c r="E1136" s="46" t="s">
        <v>100</v>
      </c>
      <c r="F1136" s="46" t="s">
        <v>30</v>
      </c>
      <c r="G1136" s="46">
        <v>92</v>
      </c>
      <c r="H1136" s="46" t="s">
        <v>6643</v>
      </c>
      <c r="I1136" s="46" t="s">
        <v>40</v>
      </c>
      <c r="J1136" s="47">
        <v>45109</v>
      </c>
      <c r="K1136" s="46" t="s">
        <v>97</v>
      </c>
      <c r="L1136" s="48">
        <v>16152</v>
      </c>
      <c r="M1136" s="49">
        <v>3</v>
      </c>
    </row>
    <row r="1137" spans="1:13" x14ac:dyDescent="0.3">
      <c r="A1137" s="46" t="s">
        <v>2268</v>
      </c>
      <c r="B1137" s="46" t="s">
        <v>6627</v>
      </c>
      <c r="C1137" s="46" t="s">
        <v>189</v>
      </c>
      <c r="D1137" s="46" t="s">
        <v>37</v>
      </c>
      <c r="E1137" s="46" t="s">
        <v>132</v>
      </c>
      <c r="F1137" s="46" t="s">
        <v>30</v>
      </c>
      <c r="G1137" s="46">
        <v>9</v>
      </c>
      <c r="H1137" s="46" t="s">
        <v>6644</v>
      </c>
      <c r="I1137" s="46" t="s">
        <v>40</v>
      </c>
      <c r="J1137" s="47">
        <v>44946</v>
      </c>
      <c r="K1137" s="46" t="s">
        <v>6632</v>
      </c>
      <c r="L1137" s="48">
        <v>16050</v>
      </c>
      <c r="M1137" s="49">
        <v>0</v>
      </c>
    </row>
    <row r="1138" spans="1:13" x14ac:dyDescent="0.3">
      <c r="A1138" s="46" t="s">
        <v>2269</v>
      </c>
      <c r="B1138" s="46" t="s">
        <v>6626</v>
      </c>
      <c r="C1138" s="46" t="s">
        <v>36</v>
      </c>
      <c r="D1138" s="46" t="s">
        <v>37</v>
      </c>
      <c r="E1138" s="46" t="s">
        <v>56</v>
      </c>
      <c r="F1138" s="46" t="s">
        <v>30</v>
      </c>
      <c r="G1138" s="46">
        <v>61</v>
      </c>
      <c r="H1138" s="46" t="s">
        <v>6643</v>
      </c>
      <c r="I1138" s="46" t="s">
        <v>40</v>
      </c>
      <c r="J1138" s="47">
        <v>45075</v>
      </c>
      <c r="K1138" s="46" t="s">
        <v>97</v>
      </c>
      <c r="L1138" s="48">
        <v>4574</v>
      </c>
      <c r="M1138" s="49">
        <v>10</v>
      </c>
    </row>
    <row r="1139" spans="1:13" x14ac:dyDescent="0.3">
      <c r="A1139" s="46" t="s">
        <v>2271</v>
      </c>
      <c r="B1139" s="46" t="s">
        <v>6626</v>
      </c>
      <c r="C1139" s="46" t="s">
        <v>189</v>
      </c>
      <c r="D1139" s="46" t="s">
        <v>93</v>
      </c>
      <c r="E1139" s="46" t="s">
        <v>207</v>
      </c>
      <c r="F1139" s="46" t="s">
        <v>30</v>
      </c>
      <c r="G1139" s="46">
        <v>79</v>
      </c>
      <c r="H1139" s="46" t="s">
        <v>6643</v>
      </c>
      <c r="I1139" s="46" t="s">
        <v>20</v>
      </c>
      <c r="J1139" s="47">
        <v>45251</v>
      </c>
      <c r="K1139" s="46" t="s">
        <v>91</v>
      </c>
      <c r="L1139" s="48">
        <v>14076</v>
      </c>
      <c r="M1139" s="49">
        <v>0</v>
      </c>
    </row>
    <row r="1140" spans="1:13" x14ac:dyDescent="0.3">
      <c r="A1140" s="46" t="s">
        <v>2273</v>
      </c>
      <c r="B1140" s="46" t="s">
        <v>6627</v>
      </c>
      <c r="C1140" s="46" t="s">
        <v>36</v>
      </c>
      <c r="D1140" s="46" t="s">
        <v>37</v>
      </c>
      <c r="E1140" s="46" t="s">
        <v>38</v>
      </c>
      <c r="F1140" s="46" t="s">
        <v>69</v>
      </c>
      <c r="G1140" s="46">
        <v>56</v>
      </c>
      <c r="H1140" s="46" t="s">
        <v>6645</v>
      </c>
      <c r="I1140" s="46" t="s">
        <v>20</v>
      </c>
      <c r="J1140" s="47">
        <v>45243</v>
      </c>
      <c r="K1140" s="46" t="s">
        <v>97</v>
      </c>
      <c r="L1140" s="48">
        <v>36087</v>
      </c>
      <c r="M1140" s="49">
        <v>0</v>
      </c>
    </row>
    <row r="1141" spans="1:13" x14ac:dyDescent="0.3">
      <c r="A1141" s="46" t="s">
        <v>2274</v>
      </c>
      <c r="B1141" s="46" t="s">
        <v>6628</v>
      </c>
      <c r="C1141" s="46" t="s">
        <v>27</v>
      </c>
      <c r="D1141" s="46" t="s">
        <v>108</v>
      </c>
      <c r="E1141" s="46" t="s">
        <v>272</v>
      </c>
      <c r="F1141" s="46" t="s">
        <v>30</v>
      </c>
      <c r="G1141" s="46">
        <v>17</v>
      </c>
      <c r="H1141" s="46" t="s">
        <v>6646</v>
      </c>
      <c r="I1141" s="46" t="s">
        <v>40</v>
      </c>
      <c r="J1141" s="47">
        <v>45071</v>
      </c>
      <c r="K1141" s="46" t="s">
        <v>91</v>
      </c>
      <c r="L1141" s="48">
        <v>6141</v>
      </c>
      <c r="M1141" s="49">
        <v>10</v>
      </c>
    </row>
    <row r="1142" spans="1:13" x14ac:dyDescent="0.3">
      <c r="A1142" s="46" t="s">
        <v>2276</v>
      </c>
      <c r="B1142" s="46" t="s">
        <v>6629</v>
      </c>
      <c r="C1142" s="46" t="s">
        <v>27</v>
      </c>
      <c r="D1142" s="46" t="s">
        <v>17</v>
      </c>
      <c r="E1142" s="46" t="s">
        <v>169</v>
      </c>
      <c r="F1142" s="46" t="s">
        <v>30</v>
      </c>
      <c r="G1142" s="46">
        <v>91</v>
      </c>
      <c r="H1142" s="46" t="s">
        <v>6643</v>
      </c>
      <c r="I1142" s="46" t="s">
        <v>20</v>
      </c>
      <c r="J1142" s="47">
        <v>44964</v>
      </c>
      <c r="K1142" s="46" t="s">
        <v>72</v>
      </c>
      <c r="L1142" s="48">
        <v>17570</v>
      </c>
      <c r="M1142" s="49">
        <v>5</v>
      </c>
    </row>
    <row r="1143" spans="1:13" x14ac:dyDescent="0.3">
      <c r="A1143" s="46" t="s">
        <v>2278</v>
      </c>
      <c r="B1143" s="46" t="s">
        <v>118</v>
      </c>
      <c r="C1143" s="46" t="s">
        <v>27</v>
      </c>
      <c r="D1143" s="46" t="s">
        <v>74</v>
      </c>
      <c r="E1143" s="46" t="s">
        <v>192</v>
      </c>
      <c r="F1143" s="46" t="s">
        <v>30</v>
      </c>
      <c r="G1143" s="46">
        <v>6</v>
      </c>
      <c r="H1143" s="46" t="s">
        <v>6644</v>
      </c>
      <c r="I1143" s="46" t="s">
        <v>40</v>
      </c>
      <c r="J1143" s="47">
        <v>45162</v>
      </c>
      <c r="K1143" s="46" t="s">
        <v>91</v>
      </c>
      <c r="L1143" s="48">
        <v>4727</v>
      </c>
      <c r="M1143" s="49">
        <v>0</v>
      </c>
    </row>
    <row r="1144" spans="1:13" x14ac:dyDescent="0.3">
      <c r="A1144" s="46" t="s">
        <v>2279</v>
      </c>
      <c r="B1144" s="46" t="s">
        <v>6626</v>
      </c>
      <c r="C1144" s="46" t="s">
        <v>27</v>
      </c>
      <c r="D1144" s="46" t="s">
        <v>93</v>
      </c>
      <c r="E1144" s="46" t="s">
        <v>94</v>
      </c>
      <c r="F1144" s="46" t="s">
        <v>69</v>
      </c>
      <c r="G1144" s="46">
        <v>1</v>
      </c>
      <c r="H1144" s="46" t="s">
        <v>6644</v>
      </c>
      <c r="I1144" s="46" t="s">
        <v>20</v>
      </c>
      <c r="J1144" s="47">
        <v>45395</v>
      </c>
      <c r="K1144" s="46" t="s">
        <v>97</v>
      </c>
      <c r="L1144" s="48">
        <v>25708</v>
      </c>
      <c r="M1144" s="49">
        <v>5</v>
      </c>
    </row>
    <row r="1145" spans="1:13" x14ac:dyDescent="0.3">
      <c r="A1145" s="46" t="s">
        <v>2281</v>
      </c>
      <c r="B1145" s="46" t="s">
        <v>6629</v>
      </c>
      <c r="C1145" s="46" t="s">
        <v>16</v>
      </c>
      <c r="D1145" s="46" t="s">
        <v>17</v>
      </c>
      <c r="E1145" s="46" t="s">
        <v>18</v>
      </c>
      <c r="F1145" s="46" t="s">
        <v>6632</v>
      </c>
      <c r="G1145" s="46">
        <v>51</v>
      </c>
      <c r="H1145" s="46" t="s">
        <v>6645</v>
      </c>
      <c r="I1145" s="46" t="s">
        <v>40</v>
      </c>
      <c r="J1145" s="47">
        <v>45148</v>
      </c>
      <c r="K1145" s="46" t="s">
        <v>72</v>
      </c>
      <c r="L1145" s="48">
        <v>5788</v>
      </c>
      <c r="M1145" s="49">
        <v>0</v>
      </c>
    </row>
    <row r="1146" spans="1:13" x14ac:dyDescent="0.3">
      <c r="A1146" s="46" t="s">
        <v>2283</v>
      </c>
      <c r="B1146" s="46" t="s">
        <v>118</v>
      </c>
      <c r="C1146" s="46" t="s">
        <v>27</v>
      </c>
      <c r="D1146" s="46" t="s">
        <v>67</v>
      </c>
      <c r="E1146" s="46" t="s">
        <v>68</v>
      </c>
      <c r="F1146" s="46" t="s">
        <v>30</v>
      </c>
      <c r="G1146" s="46">
        <v>20</v>
      </c>
      <c r="H1146" s="46" t="s">
        <v>6645</v>
      </c>
      <c r="I1146" s="46" t="s">
        <v>20</v>
      </c>
      <c r="J1146" s="47">
        <v>45080</v>
      </c>
      <c r="K1146" s="46" t="s">
        <v>6632</v>
      </c>
      <c r="L1146" s="48">
        <v>8160</v>
      </c>
      <c r="M1146" s="49">
        <v>10</v>
      </c>
    </row>
    <row r="1147" spans="1:13" x14ac:dyDescent="0.3">
      <c r="A1147" s="46" t="s">
        <v>2284</v>
      </c>
      <c r="B1147" s="46" t="s">
        <v>6626</v>
      </c>
      <c r="C1147" s="46" t="s">
        <v>27</v>
      </c>
      <c r="D1147" s="46" t="s">
        <v>67</v>
      </c>
      <c r="E1147" s="46" t="s">
        <v>68</v>
      </c>
      <c r="F1147" s="46" t="s">
        <v>30</v>
      </c>
      <c r="G1147" s="46">
        <v>72</v>
      </c>
      <c r="H1147" s="46" t="s">
        <v>6643</v>
      </c>
      <c r="I1147" s="46" t="s">
        <v>20</v>
      </c>
      <c r="J1147" s="47">
        <v>45253</v>
      </c>
      <c r="K1147" s="46" t="s">
        <v>72</v>
      </c>
      <c r="L1147" s="48">
        <v>14222</v>
      </c>
      <c r="M1147" s="49">
        <v>0</v>
      </c>
    </row>
    <row r="1148" spans="1:13" x14ac:dyDescent="0.3">
      <c r="A1148" s="46" t="s">
        <v>2286</v>
      </c>
      <c r="B1148" s="46" t="s">
        <v>6627</v>
      </c>
      <c r="C1148" s="46" t="s">
        <v>61</v>
      </c>
      <c r="D1148" s="46" t="s">
        <v>164</v>
      </c>
      <c r="E1148" s="46" t="s">
        <v>233</v>
      </c>
      <c r="F1148" s="46" t="s">
        <v>69</v>
      </c>
      <c r="G1148" s="46">
        <v>43</v>
      </c>
      <c r="H1148" s="46" t="s">
        <v>6645</v>
      </c>
      <c r="I1148" s="46" t="s">
        <v>40</v>
      </c>
      <c r="J1148" s="47">
        <v>45360</v>
      </c>
      <c r="K1148" s="46" t="s">
        <v>104</v>
      </c>
      <c r="L1148" s="48">
        <v>79387</v>
      </c>
      <c r="M1148" s="49">
        <v>5</v>
      </c>
    </row>
    <row r="1149" spans="1:13" x14ac:dyDescent="0.3">
      <c r="A1149" s="46" t="s">
        <v>2288</v>
      </c>
      <c r="B1149" s="46" t="s">
        <v>6627</v>
      </c>
      <c r="C1149" s="46" t="s">
        <v>16</v>
      </c>
      <c r="D1149" s="46" t="s">
        <v>28</v>
      </c>
      <c r="E1149" s="46" t="s">
        <v>29</v>
      </c>
      <c r="F1149" s="46" t="s">
        <v>69</v>
      </c>
      <c r="G1149" s="46">
        <v>21</v>
      </c>
      <c r="H1149" s="46" t="s">
        <v>6645</v>
      </c>
      <c r="I1149" s="46" t="s">
        <v>20</v>
      </c>
      <c r="J1149" s="47">
        <v>45255</v>
      </c>
      <c r="K1149" s="46" t="s">
        <v>104</v>
      </c>
      <c r="L1149" s="48">
        <v>70664</v>
      </c>
      <c r="M1149" s="49">
        <v>19</v>
      </c>
    </row>
    <row r="1150" spans="1:13" x14ac:dyDescent="0.3">
      <c r="A1150" s="46" t="s">
        <v>2289</v>
      </c>
      <c r="B1150" s="46" t="s">
        <v>6628</v>
      </c>
      <c r="C1150" s="46" t="s">
        <v>55</v>
      </c>
      <c r="D1150" s="46" t="s">
        <v>37</v>
      </c>
      <c r="E1150" s="46" t="s">
        <v>56</v>
      </c>
      <c r="F1150" s="46" t="s">
        <v>69</v>
      </c>
      <c r="G1150" s="46">
        <v>64</v>
      </c>
      <c r="H1150" s="46" t="s">
        <v>6643</v>
      </c>
      <c r="I1150" s="46" t="s">
        <v>20</v>
      </c>
      <c r="J1150" s="47">
        <v>44999</v>
      </c>
      <c r="K1150" s="46" t="s">
        <v>87</v>
      </c>
      <c r="L1150" s="48">
        <v>80266</v>
      </c>
      <c r="M1150" s="49">
        <v>0</v>
      </c>
    </row>
    <row r="1151" spans="1:13" x14ac:dyDescent="0.3">
      <c r="A1151" s="46" t="s">
        <v>2292</v>
      </c>
      <c r="B1151" s="46" t="s">
        <v>79</v>
      </c>
      <c r="C1151" s="46" t="s">
        <v>61</v>
      </c>
      <c r="D1151" s="46" t="s">
        <v>74</v>
      </c>
      <c r="E1151" s="46" t="s">
        <v>147</v>
      </c>
      <c r="F1151" s="46" t="s">
        <v>69</v>
      </c>
      <c r="G1151" s="46">
        <v>82</v>
      </c>
      <c r="H1151" s="46" t="s">
        <v>6643</v>
      </c>
      <c r="I1151" s="46" t="s">
        <v>40</v>
      </c>
      <c r="J1151" s="47">
        <v>45121</v>
      </c>
      <c r="K1151" s="46" t="s">
        <v>97</v>
      </c>
      <c r="L1151" s="48">
        <v>20067</v>
      </c>
      <c r="M1151" s="49">
        <v>10</v>
      </c>
    </row>
    <row r="1152" spans="1:13" x14ac:dyDescent="0.3">
      <c r="A1152" s="46" t="s">
        <v>2293</v>
      </c>
      <c r="B1152" s="46" t="s">
        <v>118</v>
      </c>
      <c r="C1152" s="46" t="s">
        <v>189</v>
      </c>
      <c r="D1152" s="46" t="s">
        <v>108</v>
      </c>
      <c r="E1152" s="46" t="s">
        <v>308</v>
      </c>
      <c r="F1152" s="46" t="s">
        <v>30</v>
      </c>
      <c r="G1152" s="46">
        <v>33</v>
      </c>
      <c r="H1152" s="46" t="s">
        <v>6645</v>
      </c>
      <c r="I1152" s="46" t="s">
        <v>20</v>
      </c>
      <c r="J1152" s="47">
        <v>44942</v>
      </c>
      <c r="K1152" s="46" t="s">
        <v>104</v>
      </c>
      <c r="L1152" s="48">
        <v>15277</v>
      </c>
      <c r="M1152" s="49">
        <v>10</v>
      </c>
    </row>
    <row r="1153" spans="1:13" x14ac:dyDescent="0.3">
      <c r="A1153" s="46" t="s">
        <v>2295</v>
      </c>
      <c r="B1153" s="46" t="s">
        <v>79</v>
      </c>
      <c r="C1153" s="46" t="s">
        <v>27</v>
      </c>
      <c r="D1153" s="46" t="s">
        <v>74</v>
      </c>
      <c r="E1153" s="46" t="s">
        <v>172</v>
      </c>
      <c r="F1153" s="46" t="s">
        <v>30</v>
      </c>
      <c r="G1153" s="46">
        <v>17</v>
      </c>
      <c r="H1153" s="46" t="s">
        <v>6646</v>
      </c>
      <c r="I1153" s="46" t="s">
        <v>40</v>
      </c>
      <c r="J1153" s="47">
        <v>44946</v>
      </c>
      <c r="K1153" s="46" t="s">
        <v>97</v>
      </c>
      <c r="L1153" s="48">
        <v>18581</v>
      </c>
      <c r="M1153" s="49">
        <v>3</v>
      </c>
    </row>
    <row r="1154" spans="1:13" x14ac:dyDescent="0.3">
      <c r="A1154" s="46" t="s">
        <v>2296</v>
      </c>
      <c r="B1154" s="46" t="s">
        <v>79</v>
      </c>
      <c r="C1154" s="46" t="s">
        <v>80</v>
      </c>
      <c r="D1154" s="46" t="s">
        <v>47</v>
      </c>
      <c r="E1154" s="46" t="s">
        <v>364</v>
      </c>
      <c r="F1154" s="46" t="s">
        <v>30</v>
      </c>
      <c r="G1154" s="46">
        <v>72</v>
      </c>
      <c r="H1154" s="46" t="s">
        <v>6643</v>
      </c>
      <c r="I1154" s="46" t="s">
        <v>40</v>
      </c>
      <c r="J1154" s="47">
        <v>45158</v>
      </c>
      <c r="K1154" s="46" t="s">
        <v>91</v>
      </c>
      <c r="L1154" s="48">
        <v>12401</v>
      </c>
      <c r="M1154" s="49">
        <v>0</v>
      </c>
    </row>
    <row r="1155" spans="1:13" x14ac:dyDescent="0.3">
      <c r="A1155" s="46" t="s">
        <v>2298</v>
      </c>
      <c r="B1155" s="46" t="s">
        <v>6626</v>
      </c>
      <c r="C1155" s="46" t="s">
        <v>189</v>
      </c>
      <c r="D1155" s="46" t="s">
        <v>28</v>
      </c>
      <c r="E1155" s="46" t="s">
        <v>268</v>
      </c>
      <c r="F1155" s="46" t="s">
        <v>30</v>
      </c>
      <c r="G1155" s="46">
        <v>35</v>
      </c>
      <c r="H1155" s="46" t="s">
        <v>6645</v>
      </c>
      <c r="I1155" s="46" t="s">
        <v>40</v>
      </c>
      <c r="J1155" s="47">
        <v>44968</v>
      </c>
      <c r="K1155" s="46" t="s">
        <v>72</v>
      </c>
      <c r="L1155" s="48">
        <v>14747</v>
      </c>
      <c r="M1155" s="49">
        <v>0</v>
      </c>
    </row>
    <row r="1156" spans="1:13" x14ac:dyDescent="0.3">
      <c r="A1156" s="46" t="s">
        <v>2299</v>
      </c>
      <c r="B1156" s="46" t="s">
        <v>6628</v>
      </c>
      <c r="C1156" s="46" t="s">
        <v>27</v>
      </c>
      <c r="D1156" s="46" t="s">
        <v>47</v>
      </c>
      <c r="E1156" s="46" t="s">
        <v>175</v>
      </c>
      <c r="F1156" s="46" t="s">
        <v>30</v>
      </c>
      <c r="G1156" s="46">
        <v>26</v>
      </c>
      <c r="H1156" s="46" t="s">
        <v>6645</v>
      </c>
      <c r="I1156" s="46" t="s">
        <v>20</v>
      </c>
      <c r="J1156" s="47">
        <v>45320</v>
      </c>
      <c r="K1156" s="46" t="s">
        <v>87</v>
      </c>
      <c r="L1156" s="48">
        <v>11338</v>
      </c>
      <c r="M1156" s="49">
        <v>3</v>
      </c>
    </row>
    <row r="1157" spans="1:13" x14ac:dyDescent="0.3">
      <c r="A1157" s="46" t="s">
        <v>2301</v>
      </c>
      <c r="B1157" s="46" t="s">
        <v>6626</v>
      </c>
      <c r="C1157" s="46" t="s">
        <v>55</v>
      </c>
      <c r="D1157" s="46" t="s">
        <v>37</v>
      </c>
      <c r="E1157" s="46" t="s">
        <v>38</v>
      </c>
      <c r="F1157" s="46" t="s">
        <v>30</v>
      </c>
      <c r="G1157" s="46">
        <v>79</v>
      </c>
      <c r="H1157" s="46" t="s">
        <v>6643</v>
      </c>
      <c r="I1157" s="46" t="s">
        <v>20</v>
      </c>
      <c r="J1157" s="47">
        <v>45075</v>
      </c>
      <c r="K1157" s="46" t="s">
        <v>97</v>
      </c>
      <c r="L1157" s="48">
        <v>13213</v>
      </c>
      <c r="M1157" s="49">
        <v>0</v>
      </c>
    </row>
    <row r="1158" spans="1:13" x14ac:dyDescent="0.3">
      <c r="A1158" s="46" t="s">
        <v>2302</v>
      </c>
      <c r="B1158" s="46" t="s">
        <v>79</v>
      </c>
      <c r="C1158" s="46" t="s">
        <v>55</v>
      </c>
      <c r="D1158" s="46" t="s">
        <v>93</v>
      </c>
      <c r="E1158" s="46" t="s">
        <v>207</v>
      </c>
      <c r="F1158" s="46" t="s">
        <v>30</v>
      </c>
      <c r="G1158" s="46">
        <v>3</v>
      </c>
      <c r="H1158" s="46" t="s">
        <v>6644</v>
      </c>
      <c r="I1158" s="46" t="s">
        <v>20</v>
      </c>
      <c r="J1158" s="47">
        <v>44986</v>
      </c>
      <c r="K1158" s="46" t="s">
        <v>91</v>
      </c>
      <c r="L1158" s="48">
        <v>15566</v>
      </c>
      <c r="M1158" s="49">
        <v>5</v>
      </c>
    </row>
    <row r="1159" spans="1:13" x14ac:dyDescent="0.3">
      <c r="A1159" s="46" t="s">
        <v>2303</v>
      </c>
      <c r="B1159" s="46" t="s">
        <v>6626</v>
      </c>
      <c r="C1159" s="46" t="s">
        <v>16</v>
      </c>
      <c r="D1159" s="46" t="s">
        <v>37</v>
      </c>
      <c r="E1159" s="46" t="s">
        <v>185</v>
      </c>
      <c r="F1159" s="46" t="s">
        <v>69</v>
      </c>
      <c r="G1159" s="46">
        <v>70</v>
      </c>
      <c r="H1159" s="46" t="s">
        <v>6643</v>
      </c>
      <c r="I1159" s="46" t="s">
        <v>40</v>
      </c>
      <c r="J1159" s="47">
        <v>45124</v>
      </c>
      <c r="K1159" s="46" t="s">
        <v>104</v>
      </c>
      <c r="L1159" s="48">
        <v>17966</v>
      </c>
      <c r="M1159" s="49">
        <v>19</v>
      </c>
    </row>
    <row r="1160" spans="1:13" x14ac:dyDescent="0.3">
      <c r="A1160" s="46" t="s">
        <v>2304</v>
      </c>
      <c r="B1160" s="46" t="s">
        <v>79</v>
      </c>
      <c r="C1160" s="46" t="s">
        <v>189</v>
      </c>
      <c r="D1160" s="46" t="s">
        <v>37</v>
      </c>
      <c r="E1160" s="46" t="s">
        <v>56</v>
      </c>
      <c r="F1160" s="46" t="s">
        <v>69</v>
      </c>
      <c r="G1160" s="46">
        <v>27</v>
      </c>
      <c r="H1160" s="46" t="s">
        <v>6645</v>
      </c>
      <c r="I1160" s="46" t="s">
        <v>20</v>
      </c>
      <c r="J1160" s="47">
        <v>45391</v>
      </c>
      <c r="K1160" s="46" t="s">
        <v>72</v>
      </c>
      <c r="L1160" s="48">
        <v>26006</v>
      </c>
      <c r="M1160" s="49">
        <v>10</v>
      </c>
    </row>
    <row r="1161" spans="1:13" x14ac:dyDescent="0.3">
      <c r="A1161" s="46" t="s">
        <v>2305</v>
      </c>
      <c r="B1161" s="46" t="s">
        <v>6626</v>
      </c>
      <c r="C1161" s="46" t="s">
        <v>16</v>
      </c>
      <c r="D1161" s="46" t="s">
        <v>164</v>
      </c>
      <c r="E1161" s="46" t="s">
        <v>282</v>
      </c>
      <c r="F1161" s="46" t="s">
        <v>30</v>
      </c>
      <c r="G1161" s="46">
        <v>84</v>
      </c>
      <c r="H1161" s="46" t="s">
        <v>6643</v>
      </c>
      <c r="I1161" s="46" t="s">
        <v>40</v>
      </c>
      <c r="J1161" s="47">
        <v>44939</v>
      </c>
      <c r="K1161" s="46" t="s">
        <v>72</v>
      </c>
      <c r="L1161" s="48">
        <v>6493</v>
      </c>
      <c r="M1161" s="49">
        <v>10</v>
      </c>
    </row>
    <row r="1162" spans="1:13" x14ac:dyDescent="0.3">
      <c r="A1162" s="46" t="s">
        <v>2307</v>
      </c>
      <c r="B1162" s="46" t="s">
        <v>6629</v>
      </c>
      <c r="C1162" s="46" t="s">
        <v>189</v>
      </c>
      <c r="D1162" s="46" t="s">
        <v>108</v>
      </c>
      <c r="E1162" s="46" t="s">
        <v>272</v>
      </c>
      <c r="F1162" s="46" t="s">
        <v>30</v>
      </c>
      <c r="G1162" s="46">
        <v>53</v>
      </c>
      <c r="H1162" s="46" t="s">
        <v>6645</v>
      </c>
      <c r="I1162" s="46" t="s">
        <v>20</v>
      </c>
      <c r="J1162" s="47">
        <v>45103</v>
      </c>
      <c r="K1162" s="46" t="s">
        <v>87</v>
      </c>
      <c r="L1162" s="48">
        <v>4461</v>
      </c>
      <c r="M1162" s="49">
        <v>5</v>
      </c>
    </row>
    <row r="1163" spans="1:13" x14ac:dyDescent="0.3">
      <c r="A1163" s="46" t="s">
        <v>2309</v>
      </c>
      <c r="B1163" s="46" t="s">
        <v>79</v>
      </c>
      <c r="C1163" s="46" t="s">
        <v>80</v>
      </c>
      <c r="D1163" s="46" t="s">
        <v>108</v>
      </c>
      <c r="E1163" s="46" t="s">
        <v>109</v>
      </c>
      <c r="F1163" s="46" t="s">
        <v>30</v>
      </c>
      <c r="G1163" s="46">
        <v>21</v>
      </c>
      <c r="H1163" s="46" t="s">
        <v>6645</v>
      </c>
      <c r="I1163" s="46" t="s">
        <v>40</v>
      </c>
      <c r="J1163" s="47">
        <v>44946</v>
      </c>
      <c r="K1163" s="46" t="s">
        <v>97</v>
      </c>
      <c r="L1163" s="48">
        <v>3785</v>
      </c>
      <c r="M1163" s="49">
        <v>5</v>
      </c>
    </row>
    <row r="1164" spans="1:13" x14ac:dyDescent="0.3">
      <c r="A1164" s="46" t="s">
        <v>2311</v>
      </c>
      <c r="B1164" s="46" t="s">
        <v>6629</v>
      </c>
      <c r="C1164" s="46" t="s">
        <v>55</v>
      </c>
      <c r="D1164" s="46" t="s">
        <v>28</v>
      </c>
      <c r="E1164" s="46" t="s">
        <v>259</v>
      </c>
      <c r="F1164" s="46" t="s">
        <v>30</v>
      </c>
      <c r="G1164" s="46">
        <v>61</v>
      </c>
      <c r="H1164" s="46" t="s">
        <v>6643</v>
      </c>
      <c r="I1164" s="46" t="s">
        <v>40</v>
      </c>
      <c r="J1164" s="47">
        <v>45025</v>
      </c>
      <c r="K1164" s="46" t="s">
        <v>87</v>
      </c>
      <c r="L1164" s="48">
        <v>12448</v>
      </c>
      <c r="M1164" s="49">
        <v>0</v>
      </c>
    </row>
    <row r="1165" spans="1:13" x14ac:dyDescent="0.3">
      <c r="A1165" s="46" t="s">
        <v>2313</v>
      </c>
      <c r="B1165" s="46" t="s">
        <v>6627</v>
      </c>
      <c r="C1165" s="46" t="s">
        <v>61</v>
      </c>
      <c r="D1165" s="46" t="s">
        <v>164</v>
      </c>
      <c r="E1165" s="46" t="s">
        <v>233</v>
      </c>
      <c r="F1165" s="46" t="s">
        <v>69</v>
      </c>
      <c r="G1165" s="46">
        <v>22</v>
      </c>
      <c r="H1165" s="46" t="s">
        <v>6645</v>
      </c>
      <c r="I1165" s="46" t="s">
        <v>40</v>
      </c>
      <c r="J1165" s="47">
        <v>45055</v>
      </c>
      <c r="K1165" s="46" t="s">
        <v>6632</v>
      </c>
      <c r="L1165" s="48">
        <v>20381</v>
      </c>
      <c r="M1165" s="49">
        <v>4</v>
      </c>
    </row>
    <row r="1166" spans="1:13" x14ac:dyDescent="0.3">
      <c r="A1166" s="46" t="s">
        <v>2314</v>
      </c>
      <c r="B1166" s="46" t="s">
        <v>6628</v>
      </c>
      <c r="C1166" s="46" t="s">
        <v>61</v>
      </c>
      <c r="D1166" s="46" t="s">
        <v>99</v>
      </c>
      <c r="E1166" s="46" t="s">
        <v>372</v>
      </c>
      <c r="F1166" s="46" t="s">
        <v>30</v>
      </c>
      <c r="G1166" s="46">
        <v>37</v>
      </c>
      <c r="H1166" s="46" t="s">
        <v>6645</v>
      </c>
      <c r="I1166" s="46" t="s">
        <v>20</v>
      </c>
      <c r="J1166" s="47">
        <v>45249</v>
      </c>
      <c r="K1166" s="46" t="s">
        <v>72</v>
      </c>
      <c r="L1166" s="48">
        <v>12398</v>
      </c>
      <c r="M1166" s="49">
        <v>0</v>
      </c>
    </row>
    <row r="1167" spans="1:13" x14ac:dyDescent="0.3">
      <c r="A1167" s="46" t="s">
        <v>2316</v>
      </c>
      <c r="B1167" s="46" t="s">
        <v>6627</v>
      </c>
      <c r="C1167" s="46" t="s">
        <v>80</v>
      </c>
      <c r="D1167" s="46" t="s">
        <v>99</v>
      </c>
      <c r="E1167" s="46" t="s">
        <v>256</v>
      </c>
      <c r="F1167" s="46" t="s">
        <v>69</v>
      </c>
      <c r="G1167" s="46">
        <v>28</v>
      </c>
      <c r="H1167" s="46" t="s">
        <v>6645</v>
      </c>
      <c r="I1167" s="46" t="s">
        <v>40</v>
      </c>
      <c r="J1167" s="47">
        <v>45084</v>
      </c>
      <c r="K1167" s="46" t="s">
        <v>104</v>
      </c>
      <c r="L1167" s="48">
        <v>20183</v>
      </c>
      <c r="M1167" s="49">
        <v>35</v>
      </c>
    </row>
    <row r="1168" spans="1:13" x14ac:dyDescent="0.3">
      <c r="A1168" s="46" t="s">
        <v>2318</v>
      </c>
      <c r="B1168" s="46" t="s">
        <v>6628</v>
      </c>
      <c r="C1168" s="46" t="s">
        <v>27</v>
      </c>
      <c r="D1168" s="46" t="s">
        <v>37</v>
      </c>
      <c r="E1168" s="46" t="s">
        <v>38</v>
      </c>
      <c r="F1168" s="46" t="s">
        <v>30</v>
      </c>
      <c r="G1168" s="46">
        <v>65</v>
      </c>
      <c r="H1168" s="46" t="s">
        <v>6643</v>
      </c>
      <c r="I1168" s="46" t="s">
        <v>40</v>
      </c>
      <c r="J1168" s="47">
        <v>45204</v>
      </c>
      <c r="K1168" s="46" t="s">
        <v>72</v>
      </c>
      <c r="L1168" s="48">
        <v>15132</v>
      </c>
      <c r="M1168" s="49">
        <v>5</v>
      </c>
    </row>
    <row r="1169" spans="1:13" x14ac:dyDescent="0.3">
      <c r="A1169" s="46" t="s">
        <v>2319</v>
      </c>
      <c r="B1169" s="46" t="s">
        <v>6627</v>
      </c>
      <c r="C1169" s="46" t="s">
        <v>80</v>
      </c>
      <c r="D1169" s="46" t="s">
        <v>67</v>
      </c>
      <c r="E1169" s="46" t="s">
        <v>85</v>
      </c>
      <c r="F1169" s="46" t="s">
        <v>30</v>
      </c>
      <c r="G1169" s="46">
        <v>67</v>
      </c>
      <c r="H1169" s="46" t="s">
        <v>6643</v>
      </c>
      <c r="I1169" s="46" t="s">
        <v>40</v>
      </c>
      <c r="J1169" s="47">
        <v>44931</v>
      </c>
      <c r="K1169" s="46" t="s">
        <v>91</v>
      </c>
      <c r="L1169" s="48">
        <v>14921</v>
      </c>
      <c r="M1169" s="49">
        <v>5</v>
      </c>
    </row>
    <row r="1170" spans="1:13" x14ac:dyDescent="0.3">
      <c r="A1170" s="46" t="s">
        <v>2321</v>
      </c>
      <c r="B1170" s="46" t="s">
        <v>6628</v>
      </c>
      <c r="C1170" s="46" t="s">
        <v>36</v>
      </c>
      <c r="D1170" s="46" t="s">
        <v>164</v>
      </c>
      <c r="E1170" s="46" t="s">
        <v>219</v>
      </c>
      <c r="F1170" s="46" t="s">
        <v>30</v>
      </c>
      <c r="G1170" s="46">
        <v>54</v>
      </c>
      <c r="H1170" s="46" t="s">
        <v>6645</v>
      </c>
      <c r="I1170" s="46" t="s">
        <v>20</v>
      </c>
      <c r="J1170" s="47">
        <v>45363</v>
      </c>
      <c r="K1170" s="46" t="s">
        <v>97</v>
      </c>
      <c r="L1170" s="48">
        <v>18507</v>
      </c>
      <c r="M1170" s="49">
        <v>0</v>
      </c>
    </row>
    <row r="1171" spans="1:13" x14ac:dyDescent="0.3">
      <c r="A1171" s="46" t="s">
        <v>2322</v>
      </c>
      <c r="B1171" s="46" t="s">
        <v>79</v>
      </c>
      <c r="C1171" s="46" t="s">
        <v>27</v>
      </c>
      <c r="D1171" s="46" t="s">
        <v>28</v>
      </c>
      <c r="E1171" s="46" t="s">
        <v>259</v>
      </c>
      <c r="F1171" s="46" t="s">
        <v>69</v>
      </c>
      <c r="G1171" s="46">
        <v>26</v>
      </c>
      <c r="H1171" s="46" t="s">
        <v>6645</v>
      </c>
      <c r="I1171" s="46" t="s">
        <v>40</v>
      </c>
      <c r="J1171" s="47">
        <v>45366</v>
      </c>
      <c r="K1171" s="46" t="s">
        <v>87</v>
      </c>
      <c r="L1171" s="48">
        <v>53754</v>
      </c>
      <c r="M1171" s="49">
        <v>3</v>
      </c>
    </row>
    <row r="1172" spans="1:13" x14ac:dyDescent="0.3">
      <c r="A1172" s="46" t="s">
        <v>2324</v>
      </c>
      <c r="B1172" s="46" t="s">
        <v>6627</v>
      </c>
      <c r="C1172" s="46" t="s">
        <v>27</v>
      </c>
      <c r="D1172" s="46" t="s">
        <v>28</v>
      </c>
      <c r="E1172" s="46" t="s">
        <v>29</v>
      </c>
      <c r="F1172" s="46" t="s">
        <v>30</v>
      </c>
      <c r="G1172" s="46">
        <v>41</v>
      </c>
      <c r="H1172" s="46" t="s">
        <v>6645</v>
      </c>
      <c r="I1172" s="46" t="s">
        <v>40</v>
      </c>
      <c r="J1172" s="47">
        <v>45124</v>
      </c>
      <c r="K1172" s="46" t="s">
        <v>97</v>
      </c>
      <c r="L1172" s="48">
        <v>16790</v>
      </c>
      <c r="M1172" s="49">
        <v>10</v>
      </c>
    </row>
    <row r="1173" spans="1:13" x14ac:dyDescent="0.3">
      <c r="A1173" s="46" t="s">
        <v>2325</v>
      </c>
      <c r="B1173" s="46" t="s">
        <v>6629</v>
      </c>
      <c r="C1173" s="46" t="s">
        <v>55</v>
      </c>
      <c r="D1173" s="46" t="s">
        <v>99</v>
      </c>
      <c r="E1173" s="46" t="s">
        <v>151</v>
      </c>
      <c r="F1173" s="46" t="s">
        <v>30</v>
      </c>
      <c r="G1173" s="46">
        <v>87</v>
      </c>
      <c r="H1173" s="46" t="s">
        <v>6643</v>
      </c>
      <c r="I1173" s="46" t="s">
        <v>20</v>
      </c>
      <c r="J1173" s="47">
        <v>44986</v>
      </c>
      <c r="K1173" s="46" t="s">
        <v>87</v>
      </c>
      <c r="L1173" s="48">
        <v>13644</v>
      </c>
      <c r="M1173" s="49">
        <v>0</v>
      </c>
    </row>
    <row r="1174" spans="1:13" x14ac:dyDescent="0.3">
      <c r="A1174" s="46" t="s">
        <v>2326</v>
      </c>
      <c r="B1174" s="46" t="s">
        <v>6626</v>
      </c>
      <c r="C1174" s="46" t="s">
        <v>16</v>
      </c>
      <c r="D1174" s="46" t="s">
        <v>37</v>
      </c>
      <c r="E1174" s="46" t="s">
        <v>38</v>
      </c>
      <c r="F1174" s="46" t="s">
        <v>30</v>
      </c>
      <c r="G1174" s="46">
        <v>24</v>
      </c>
      <c r="H1174" s="46" t="s">
        <v>6645</v>
      </c>
      <c r="I1174" s="46" t="s">
        <v>40</v>
      </c>
      <c r="J1174" s="47">
        <v>45210</v>
      </c>
      <c r="K1174" s="46" t="s">
        <v>97</v>
      </c>
      <c r="L1174" s="48">
        <v>3411</v>
      </c>
      <c r="M1174" s="49">
        <v>3</v>
      </c>
    </row>
    <row r="1175" spans="1:13" x14ac:dyDescent="0.3">
      <c r="A1175" s="46" t="s">
        <v>2327</v>
      </c>
      <c r="B1175" s="46" t="s">
        <v>6627</v>
      </c>
      <c r="C1175" s="46" t="s">
        <v>55</v>
      </c>
      <c r="D1175" s="46" t="s">
        <v>47</v>
      </c>
      <c r="E1175" s="46" t="s">
        <v>175</v>
      </c>
      <c r="F1175" s="46" t="s">
        <v>6632</v>
      </c>
      <c r="G1175" s="46">
        <v>13</v>
      </c>
      <c r="H1175" s="46" t="s">
        <v>6646</v>
      </c>
      <c r="I1175" s="46" t="s">
        <v>20</v>
      </c>
      <c r="J1175" s="47">
        <v>44983</v>
      </c>
      <c r="K1175" s="46" t="s">
        <v>87</v>
      </c>
      <c r="L1175" s="48">
        <v>12750</v>
      </c>
      <c r="M1175" s="49">
        <v>10</v>
      </c>
    </row>
    <row r="1176" spans="1:13" x14ac:dyDescent="0.3">
      <c r="A1176" s="46" t="s">
        <v>2329</v>
      </c>
      <c r="B1176" s="46" t="s">
        <v>6627</v>
      </c>
      <c r="C1176" s="46" t="s">
        <v>16</v>
      </c>
      <c r="D1176" s="46" t="s">
        <v>74</v>
      </c>
      <c r="E1176" s="46" t="s">
        <v>75</v>
      </c>
      <c r="F1176" s="46" t="s">
        <v>30</v>
      </c>
      <c r="G1176" s="46">
        <v>81</v>
      </c>
      <c r="H1176" s="46" t="s">
        <v>6643</v>
      </c>
      <c r="I1176" s="46" t="s">
        <v>20</v>
      </c>
      <c r="J1176" s="47">
        <v>45394</v>
      </c>
      <c r="K1176" s="46" t="s">
        <v>87</v>
      </c>
      <c r="L1176" s="48">
        <v>16839</v>
      </c>
      <c r="M1176" s="49">
        <v>5</v>
      </c>
    </row>
    <row r="1177" spans="1:13" x14ac:dyDescent="0.3">
      <c r="A1177" s="46" t="s">
        <v>2330</v>
      </c>
      <c r="B1177" s="46" t="s">
        <v>6628</v>
      </c>
      <c r="C1177" s="46" t="s">
        <v>27</v>
      </c>
      <c r="D1177" s="46" t="s">
        <v>74</v>
      </c>
      <c r="E1177" s="46" t="s">
        <v>172</v>
      </c>
      <c r="F1177" s="46" t="s">
        <v>30</v>
      </c>
      <c r="G1177" s="46">
        <v>78</v>
      </c>
      <c r="H1177" s="46" t="s">
        <v>6643</v>
      </c>
      <c r="I1177" s="46" t="s">
        <v>20</v>
      </c>
      <c r="J1177" s="47">
        <v>45091</v>
      </c>
      <c r="K1177" s="46" t="s">
        <v>72</v>
      </c>
      <c r="L1177" s="48">
        <v>13768</v>
      </c>
      <c r="M1177" s="49">
        <v>0</v>
      </c>
    </row>
    <row r="1178" spans="1:13" x14ac:dyDescent="0.3">
      <c r="A1178" s="46" t="s">
        <v>2331</v>
      </c>
      <c r="B1178" s="46" t="s">
        <v>6628</v>
      </c>
      <c r="C1178" s="46" t="s">
        <v>27</v>
      </c>
      <c r="D1178" s="46" t="s">
        <v>108</v>
      </c>
      <c r="E1178" s="46" t="s">
        <v>272</v>
      </c>
      <c r="F1178" s="46" t="s">
        <v>69</v>
      </c>
      <c r="G1178" s="46">
        <v>19</v>
      </c>
      <c r="H1178" s="46" t="s">
        <v>6646</v>
      </c>
      <c r="I1178" s="46" t="s">
        <v>20</v>
      </c>
      <c r="J1178" s="47">
        <v>45152</v>
      </c>
      <c r="K1178" s="46" t="s">
        <v>87</v>
      </c>
      <c r="L1178" s="48">
        <v>53992</v>
      </c>
      <c r="M1178" s="49">
        <v>0</v>
      </c>
    </row>
    <row r="1179" spans="1:13" x14ac:dyDescent="0.3">
      <c r="A1179" s="46" t="s">
        <v>2333</v>
      </c>
      <c r="B1179" s="46" t="s">
        <v>6628</v>
      </c>
      <c r="C1179" s="46" t="s">
        <v>27</v>
      </c>
      <c r="D1179" s="46" t="s">
        <v>99</v>
      </c>
      <c r="E1179" s="46" t="s">
        <v>372</v>
      </c>
      <c r="F1179" s="46" t="s">
        <v>69</v>
      </c>
      <c r="G1179" s="46">
        <v>89</v>
      </c>
      <c r="H1179" s="46" t="s">
        <v>6643</v>
      </c>
      <c r="I1179" s="46" t="s">
        <v>20</v>
      </c>
      <c r="J1179" s="47">
        <v>45336</v>
      </c>
      <c r="K1179" s="46" t="s">
        <v>104</v>
      </c>
      <c r="L1179" s="48">
        <v>57898</v>
      </c>
      <c r="M1179" s="49">
        <v>18</v>
      </c>
    </row>
    <row r="1180" spans="1:13" x14ac:dyDescent="0.3">
      <c r="A1180" s="46" t="s">
        <v>2335</v>
      </c>
      <c r="B1180" s="46" t="s">
        <v>6628</v>
      </c>
      <c r="C1180" s="46" t="s">
        <v>66</v>
      </c>
      <c r="D1180" s="46" t="s">
        <v>17</v>
      </c>
      <c r="E1180" s="46" t="s">
        <v>18</v>
      </c>
      <c r="F1180" s="46" t="s">
        <v>30</v>
      </c>
      <c r="G1180" s="46">
        <v>39</v>
      </c>
      <c r="H1180" s="46" t="s">
        <v>6645</v>
      </c>
      <c r="I1180" s="46" t="s">
        <v>20</v>
      </c>
      <c r="J1180" s="47">
        <v>45320</v>
      </c>
      <c r="K1180" s="46" t="s">
        <v>87</v>
      </c>
      <c r="L1180" s="48">
        <v>18445</v>
      </c>
      <c r="M1180" s="49">
        <v>0</v>
      </c>
    </row>
    <row r="1181" spans="1:13" x14ac:dyDescent="0.3">
      <c r="A1181" s="46" t="s">
        <v>2336</v>
      </c>
      <c r="B1181" s="46" t="s">
        <v>6626</v>
      </c>
      <c r="C1181" s="46" t="s">
        <v>36</v>
      </c>
      <c r="D1181" s="46" t="s">
        <v>37</v>
      </c>
      <c r="E1181" s="46" t="s">
        <v>38</v>
      </c>
      <c r="F1181" s="46" t="s">
        <v>30</v>
      </c>
      <c r="G1181" s="46">
        <v>88</v>
      </c>
      <c r="H1181" s="46" t="s">
        <v>6643</v>
      </c>
      <c r="I1181" s="46" t="s">
        <v>40</v>
      </c>
      <c r="J1181" s="47">
        <v>45185</v>
      </c>
      <c r="K1181" s="46" t="s">
        <v>91</v>
      </c>
      <c r="L1181" s="48">
        <v>3082</v>
      </c>
      <c r="M1181" s="49">
        <v>0</v>
      </c>
    </row>
    <row r="1182" spans="1:13" x14ac:dyDescent="0.3">
      <c r="A1182" s="46" t="s">
        <v>2338</v>
      </c>
      <c r="B1182" s="46" t="s">
        <v>6626</v>
      </c>
      <c r="C1182" s="46" t="s">
        <v>66</v>
      </c>
      <c r="D1182" s="46" t="s">
        <v>108</v>
      </c>
      <c r="E1182" s="46" t="s">
        <v>272</v>
      </c>
      <c r="F1182" s="46" t="s">
        <v>30</v>
      </c>
      <c r="G1182" s="46">
        <v>75</v>
      </c>
      <c r="H1182" s="46" t="s">
        <v>6643</v>
      </c>
      <c r="I1182" s="46" t="s">
        <v>40</v>
      </c>
      <c r="J1182" s="47">
        <v>44933</v>
      </c>
      <c r="K1182" s="46" t="s">
        <v>87</v>
      </c>
      <c r="L1182" s="48">
        <v>13020</v>
      </c>
      <c r="M1182" s="49">
        <v>5</v>
      </c>
    </row>
    <row r="1183" spans="1:13" x14ac:dyDescent="0.3">
      <c r="A1183" s="46" t="s">
        <v>2340</v>
      </c>
      <c r="B1183" s="46" t="s">
        <v>118</v>
      </c>
      <c r="C1183" s="46" t="s">
        <v>16</v>
      </c>
      <c r="D1183" s="46" t="s">
        <v>17</v>
      </c>
      <c r="E1183" s="46" t="s">
        <v>169</v>
      </c>
      <c r="F1183" s="46" t="s">
        <v>30</v>
      </c>
      <c r="G1183" s="46">
        <v>7</v>
      </c>
      <c r="H1183" s="46" t="s">
        <v>6644</v>
      </c>
      <c r="I1183" s="46" t="s">
        <v>20</v>
      </c>
      <c r="J1183" s="47">
        <v>45381</v>
      </c>
      <c r="K1183" s="46" t="s">
        <v>104</v>
      </c>
      <c r="L1183" s="48">
        <v>12929</v>
      </c>
      <c r="M1183" s="49">
        <v>35</v>
      </c>
    </row>
    <row r="1184" spans="1:13" x14ac:dyDescent="0.3">
      <c r="A1184" s="46" t="s">
        <v>2341</v>
      </c>
      <c r="B1184" s="46" t="s">
        <v>79</v>
      </c>
      <c r="C1184" s="46" t="s">
        <v>80</v>
      </c>
      <c r="D1184" s="46" t="s">
        <v>93</v>
      </c>
      <c r="E1184" s="46" t="s">
        <v>144</v>
      </c>
      <c r="F1184" s="46" t="s">
        <v>30</v>
      </c>
      <c r="G1184" s="46">
        <v>68</v>
      </c>
      <c r="H1184" s="46" t="s">
        <v>6643</v>
      </c>
      <c r="I1184" s="46" t="s">
        <v>40</v>
      </c>
      <c r="J1184" s="47">
        <v>45375</v>
      </c>
      <c r="K1184" s="46" t="s">
        <v>91</v>
      </c>
      <c r="L1184" s="48">
        <v>7190</v>
      </c>
      <c r="M1184" s="49">
        <v>3</v>
      </c>
    </row>
    <row r="1185" spans="1:13" x14ac:dyDescent="0.3">
      <c r="A1185" s="46" t="s">
        <v>2343</v>
      </c>
      <c r="B1185" s="46" t="s">
        <v>6628</v>
      </c>
      <c r="C1185" s="46" t="s">
        <v>66</v>
      </c>
      <c r="D1185" s="46" t="s">
        <v>47</v>
      </c>
      <c r="E1185" s="46" t="s">
        <v>364</v>
      </c>
      <c r="F1185" s="46" t="s">
        <v>30</v>
      </c>
      <c r="G1185" s="46">
        <v>9</v>
      </c>
      <c r="H1185" s="46" t="s">
        <v>6644</v>
      </c>
      <c r="I1185" s="46" t="s">
        <v>20</v>
      </c>
      <c r="J1185" s="47">
        <v>44995</v>
      </c>
      <c r="K1185" s="46" t="s">
        <v>91</v>
      </c>
      <c r="L1185" s="48">
        <v>3055</v>
      </c>
      <c r="M1185" s="49">
        <v>0</v>
      </c>
    </row>
    <row r="1186" spans="1:13" x14ac:dyDescent="0.3">
      <c r="A1186" s="46" t="s">
        <v>2344</v>
      </c>
      <c r="B1186" s="46" t="s">
        <v>6628</v>
      </c>
      <c r="C1186" s="46" t="s">
        <v>61</v>
      </c>
      <c r="D1186" s="46" t="s">
        <v>108</v>
      </c>
      <c r="E1186" s="46" t="s">
        <v>272</v>
      </c>
      <c r="F1186" s="46" t="s">
        <v>30</v>
      </c>
      <c r="G1186" s="46">
        <v>70</v>
      </c>
      <c r="H1186" s="46" t="s">
        <v>6643</v>
      </c>
      <c r="I1186" s="46" t="s">
        <v>40</v>
      </c>
      <c r="J1186" s="47">
        <v>45318</v>
      </c>
      <c r="K1186" s="46" t="s">
        <v>91</v>
      </c>
      <c r="L1186" s="48">
        <v>14212</v>
      </c>
      <c r="M1186" s="49">
        <v>0</v>
      </c>
    </row>
    <row r="1187" spans="1:13" x14ac:dyDescent="0.3">
      <c r="A1187" s="46" t="s">
        <v>2346</v>
      </c>
      <c r="B1187" s="46" t="s">
        <v>118</v>
      </c>
      <c r="C1187" s="46" t="s">
        <v>27</v>
      </c>
      <c r="D1187" s="46" t="s">
        <v>17</v>
      </c>
      <c r="E1187" s="46" t="s">
        <v>18</v>
      </c>
      <c r="F1187" s="46" t="s">
        <v>30</v>
      </c>
      <c r="G1187" s="46">
        <v>2</v>
      </c>
      <c r="H1187" s="46" t="s">
        <v>6644</v>
      </c>
      <c r="I1187" s="46" t="s">
        <v>40</v>
      </c>
      <c r="J1187" s="47">
        <v>45010</v>
      </c>
      <c r="K1187" s="46" t="s">
        <v>91</v>
      </c>
      <c r="L1187" s="48">
        <v>12429</v>
      </c>
      <c r="M1187" s="49">
        <v>0</v>
      </c>
    </row>
    <row r="1188" spans="1:13" x14ac:dyDescent="0.3">
      <c r="A1188" s="46" t="s">
        <v>2348</v>
      </c>
      <c r="B1188" s="46" t="s">
        <v>79</v>
      </c>
      <c r="C1188" s="46" t="s">
        <v>80</v>
      </c>
      <c r="D1188" s="46" t="s">
        <v>17</v>
      </c>
      <c r="E1188" s="46" t="s">
        <v>213</v>
      </c>
      <c r="F1188" s="46" t="s">
        <v>30</v>
      </c>
      <c r="G1188" s="46">
        <v>60</v>
      </c>
      <c r="H1188" s="46" t="s">
        <v>6643</v>
      </c>
      <c r="I1188" s="46" t="s">
        <v>40</v>
      </c>
      <c r="J1188" s="47">
        <v>44946</v>
      </c>
      <c r="K1188" s="46" t="s">
        <v>97</v>
      </c>
      <c r="L1188" s="48">
        <v>16709</v>
      </c>
      <c r="M1188" s="49">
        <v>0</v>
      </c>
    </row>
    <row r="1189" spans="1:13" x14ac:dyDescent="0.3">
      <c r="A1189" s="46" t="s">
        <v>2349</v>
      </c>
      <c r="B1189" s="46" t="s">
        <v>79</v>
      </c>
      <c r="C1189" s="46" t="s">
        <v>16</v>
      </c>
      <c r="D1189" s="46" t="s">
        <v>74</v>
      </c>
      <c r="E1189" s="46" t="s">
        <v>172</v>
      </c>
      <c r="F1189" s="46" t="s">
        <v>69</v>
      </c>
      <c r="G1189" s="46">
        <v>29</v>
      </c>
      <c r="H1189" s="46" t="s">
        <v>6645</v>
      </c>
      <c r="I1189" s="46" t="s">
        <v>20</v>
      </c>
      <c r="J1189" s="47">
        <v>45223</v>
      </c>
      <c r="K1189" s="46" t="s">
        <v>87</v>
      </c>
      <c r="L1189" s="48">
        <v>23040</v>
      </c>
      <c r="M1189" s="49">
        <v>0</v>
      </c>
    </row>
    <row r="1190" spans="1:13" x14ac:dyDescent="0.3">
      <c r="A1190" s="46" t="s">
        <v>2350</v>
      </c>
      <c r="B1190" s="46" t="s">
        <v>6629</v>
      </c>
      <c r="C1190" s="46" t="s">
        <v>27</v>
      </c>
      <c r="D1190" s="46" t="s">
        <v>74</v>
      </c>
      <c r="E1190" s="46" t="s">
        <v>192</v>
      </c>
      <c r="F1190" s="46" t="s">
        <v>30</v>
      </c>
      <c r="G1190" s="46">
        <v>74</v>
      </c>
      <c r="H1190" s="46" t="s">
        <v>6643</v>
      </c>
      <c r="I1190" s="46" t="s">
        <v>20</v>
      </c>
      <c r="J1190" s="47">
        <v>44984</v>
      </c>
      <c r="K1190" s="46" t="s">
        <v>72</v>
      </c>
      <c r="L1190" s="48">
        <v>6498</v>
      </c>
      <c r="M1190" s="49">
        <v>0</v>
      </c>
    </row>
    <row r="1191" spans="1:13" x14ac:dyDescent="0.3">
      <c r="A1191" s="46" t="s">
        <v>2352</v>
      </c>
      <c r="B1191" s="46" t="s">
        <v>6627</v>
      </c>
      <c r="C1191" s="46" t="s">
        <v>36</v>
      </c>
      <c r="D1191" s="46" t="s">
        <v>37</v>
      </c>
      <c r="E1191" s="46" t="s">
        <v>132</v>
      </c>
      <c r="F1191" s="46" t="s">
        <v>30</v>
      </c>
      <c r="G1191" s="46">
        <v>92</v>
      </c>
      <c r="H1191" s="46" t="s">
        <v>6643</v>
      </c>
      <c r="I1191" s="46" t="s">
        <v>40</v>
      </c>
      <c r="J1191" s="47">
        <v>45281</v>
      </c>
      <c r="K1191" s="46" t="s">
        <v>72</v>
      </c>
      <c r="L1191" s="48">
        <v>4688</v>
      </c>
      <c r="M1191" s="49">
        <v>0</v>
      </c>
    </row>
    <row r="1192" spans="1:13" x14ac:dyDescent="0.3">
      <c r="A1192" s="46" t="s">
        <v>2354</v>
      </c>
      <c r="B1192" s="46" t="s">
        <v>6628</v>
      </c>
      <c r="C1192" s="46" t="s">
        <v>189</v>
      </c>
      <c r="D1192" s="46" t="s">
        <v>17</v>
      </c>
      <c r="E1192" s="46" t="s">
        <v>169</v>
      </c>
      <c r="F1192" s="46" t="s">
        <v>69</v>
      </c>
      <c r="G1192" s="46">
        <v>8</v>
      </c>
      <c r="H1192" s="46" t="s">
        <v>6644</v>
      </c>
      <c r="I1192" s="46" t="s">
        <v>20</v>
      </c>
      <c r="J1192" s="47">
        <v>45098</v>
      </c>
      <c r="K1192" s="46" t="s">
        <v>72</v>
      </c>
      <c r="L1192" s="48">
        <v>39561</v>
      </c>
      <c r="M1192" s="49">
        <v>3</v>
      </c>
    </row>
    <row r="1193" spans="1:13" x14ac:dyDescent="0.3">
      <c r="A1193" s="46" t="s">
        <v>2355</v>
      </c>
      <c r="B1193" s="46" t="s">
        <v>118</v>
      </c>
      <c r="C1193" s="46" t="s">
        <v>61</v>
      </c>
      <c r="D1193" s="46" t="s">
        <v>37</v>
      </c>
      <c r="E1193" s="46" t="s">
        <v>185</v>
      </c>
      <c r="F1193" s="46" t="s">
        <v>69</v>
      </c>
      <c r="G1193" s="46">
        <v>67</v>
      </c>
      <c r="H1193" s="46" t="s">
        <v>6643</v>
      </c>
      <c r="I1193" s="46" t="s">
        <v>20</v>
      </c>
      <c r="J1193" s="47">
        <v>45032</v>
      </c>
      <c r="K1193" s="46" t="s">
        <v>72</v>
      </c>
      <c r="L1193" s="48">
        <v>73673</v>
      </c>
      <c r="M1193" s="49">
        <v>5</v>
      </c>
    </row>
    <row r="1194" spans="1:13" x14ac:dyDescent="0.3">
      <c r="A1194" s="46" t="s">
        <v>2356</v>
      </c>
      <c r="B1194" s="46" t="s">
        <v>6628</v>
      </c>
      <c r="C1194" s="46" t="s">
        <v>27</v>
      </c>
      <c r="D1194" s="46" t="s">
        <v>17</v>
      </c>
      <c r="E1194" s="46" t="s">
        <v>213</v>
      </c>
      <c r="F1194" s="46" t="s">
        <v>30</v>
      </c>
      <c r="G1194" s="46">
        <v>66</v>
      </c>
      <c r="H1194" s="46" t="s">
        <v>6643</v>
      </c>
      <c r="I1194" s="46" t="s">
        <v>20</v>
      </c>
      <c r="J1194" s="47">
        <v>45404</v>
      </c>
      <c r="K1194" s="46" t="s">
        <v>72</v>
      </c>
      <c r="L1194" s="48">
        <v>5010</v>
      </c>
      <c r="M1194" s="49">
        <v>3</v>
      </c>
    </row>
    <row r="1195" spans="1:13" x14ac:dyDescent="0.3">
      <c r="A1195" s="46" t="s">
        <v>2358</v>
      </c>
      <c r="B1195" s="46" t="s">
        <v>6626</v>
      </c>
      <c r="C1195" s="46" t="s">
        <v>16</v>
      </c>
      <c r="D1195" s="46" t="s">
        <v>108</v>
      </c>
      <c r="E1195" s="46" t="s">
        <v>109</v>
      </c>
      <c r="F1195" s="46" t="s">
        <v>6632</v>
      </c>
      <c r="G1195" s="46">
        <v>13</v>
      </c>
      <c r="H1195" s="46" t="s">
        <v>6646</v>
      </c>
      <c r="I1195" s="46" t="s">
        <v>40</v>
      </c>
      <c r="J1195" s="47">
        <v>45378</v>
      </c>
      <c r="K1195" s="46" t="s">
        <v>97</v>
      </c>
      <c r="L1195" s="48">
        <v>14507</v>
      </c>
      <c r="M1195" s="49">
        <v>10</v>
      </c>
    </row>
    <row r="1196" spans="1:13" x14ac:dyDescent="0.3">
      <c r="A1196" s="46" t="s">
        <v>2360</v>
      </c>
      <c r="B1196" s="46" t="s">
        <v>79</v>
      </c>
      <c r="C1196" s="46" t="s">
        <v>61</v>
      </c>
      <c r="D1196" s="46" t="s">
        <v>37</v>
      </c>
      <c r="E1196" s="46" t="s">
        <v>38</v>
      </c>
      <c r="F1196" s="46" t="s">
        <v>30</v>
      </c>
      <c r="G1196" s="46">
        <v>5</v>
      </c>
      <c r="H1196" s="46" t="s">
        <v>6644</v>
      </c>
      <c r="I1196" s="46" t="s">
        <v>40</v>
      </c>
      <c r="J1196" s="47">
        <v>45227</v>
      </c>
      <c r="K1196" s="46" t="s">
        <v>87</v>
      </c>
      <c r="L1196" s="48">
        <v>17742</v>
      </c>
      <c r="M1196" s="49">
        <v>0</v>
      </c>
    </row>
    <row r="1197" spans="1:13" x14ac:dyDescent="0.3">
      <c r="A1197" s="46" t="s">
        <v>2362</v>
      </c>
      <c r="B1197" s="46" t="s">
        <v>118</v>
      </c>
      <c r="C1197" s="46" t="s">
        <v>80</v>
      </c>
      <c r="D1197" s="46" t="s">
        <v>28</v>
      </c>
      <c r="E1197" s="46" t="s">
        <v>29</v>
      </c>
      <c r="F1197" s="46" t="s">
        <v>30</v>
      </c>
      <c r="G1197" s="46">
        <v>26</v>
      </c>
      <c r="H1197" s="46" t="s">
        <v>6645</v>
      </c>
      <c r="I1197" s="46" t="s">
        <v>40</v>
      </c>
      <c r="J1197" s="47">
        <v>45018</v>
      </c>
      <c r="K1197" s="46" t="s">
        <v>87</v>
      </c>
      <c r="L1197" s="48">
        <v>9623</v>
      </c>
      <c r="M1197" s="49">
        <v>0</v>
      </c>
    </row>
    <row r="1198" spans="1:13" x14ac:dyDescent="0.3">
      <c r="A1198" s="46" t="s">
        <v>2364</v>
      </c>
      <c r="B1198" s="46" t="s">
        <v>6629</v>
      </c>
      <c r="C1198" s="46" t="s">
        <v>61</v>
      </c>
      <c r="D1198" s="46" t="s">
        <v>37</v>
      </c>
      <c r="E1198" s="46" t="s">
        <v>185</v>
      </c>
      <c r="F1198" s="46" t="s">
        <v>30</v>
      </c>
      <c r="G1198" s="46">
        <v>1</v>
      </c>
      <c r="H1198" s="46" t="s">
        <v>6644</v>
      </c>
      <c r="I1198" s="46" t="s">
        <v>20</v>
      </c>
      <c r="J1198" s="47">
        <v>45144</v>
      </c>
      <c r="K1198" s="46" t="s">
        <v>97</v>
      </c>
      <c r="L1198" s="48">
        <v>9258</v>
      </c>
      <c r="M1198" s="49">
        <v>10</v>
      </c>
    </row>
    <row r="1199" spans="1:13" x14ac:dyDescent="0.3">
      <c r="A1199" s="46" t="s">
        <v>2366</v>
      </c>
      <c r="B1199" s="46" t="s">
        <v>6627</v>
      </c>
      <c r="C1199" s="46" t="s">
        <v>80</v>
      </c>
      <c r="D1199" s="46" t="s">
        <v>17</v>
      </c>
      <c r="E1199" s="46" t="s">
        <v>18</v>
      </c>
      <c r="F1199" s="46" t="s">
        <v>30</v>
      </c>
      <c r="G1199" s="46">
        <v>38</v>
      </c>
      <c r="H1199" s="46" t="s">
        <v>6645</v>
      </c>
      <c r="I1199" s="46" t="s">
        <v>40</v>
      </c>
      <c r="J1199" s="47">
        <v>45019</v>
      </c>
      <c r="K1199" s="46" t="s">
        <v>97</v>
      </c>
      <c r="L1199" s="48">
        <v>9722</v>
      </c>
      <c r="M1199" s="49">
        <v>5</v>
      </c>
    </row>
    <row r="1200" spans="1:13" x14ac:dyDescent="0.3">
      <c r="A1200" s="46" t="s">
        <v>2367</v>
      </c>
      <c r="B1200" s="46" t="s">
        <v>118</v>
      </c>
      <c r="C1200" s="46" t="s">
        <v>61</v>
      </c>
      <c r="D1200" s="46" t="s">
        <v>99</v>
      </c>
      <c r="E1200" s="46" t="s">
        <v>100</v>
      </c>
      <c r="F1200" s="46" t="s">
        <v>30</v>
      </c>
      <c r="G1200" s="46">
        <v>42</v>
      </c>
      <c r="H1200" s="46" t="s">
        <v>6645</v>
      </c>
      <c r="I1200" s="46" t="s">
        <v>40</v>
      </c>
      <c r="J1200" s="47">
        <v>45135</v>
      </c>
      <c r="K1200" s="46" t="s">
        <v>72</v>
      </c>
      <c r="L1200" s="48">
        <v>9084</v>
      </c>
      <c r="M1200" s="49">
        <v>0</v>
      </c>
    </row>
    <row r="1201" spans="1:13" x14ac:dyDescent="0.3">
      <c r="A1201" s="46" t="s">
        <v>2370</v>
      </c>
      <c r="B1201" s="46" t="s">
        <v>6629</v>
      </c>
      <c r="C1201" s="46" t="s">
        <v>80</v>
      </c>
      <c r="D1201" s="46" t="s">
        <v>99</v>
      </c>
      <c r="E1201" s="46" t="s">
        <v>151</v>
      </c>
      <c r="F1201" s="46" t="s">
        <v>30</v>
      </c>
      <c r="G1201" s="46">
        <v>11</v>
      </c>
      <c r="H1201" s="46" t="s">
        <v>6644</v>
      </c>
      <c r="I1201" s="46" t="s">
        <v>20</v>
      </c>
      <c r="J1201" s="47">
        <v>45260</v>
      </c>
      <c r="K1201" s="46" t="s">
        <v>72</v>
      </c>
      <c r="L1201" s="48">
        <v>16423</v>
      </c>
      <c r="M1201" s="49">
        <v>3</v>
      </c>
    </row>
    <row r="1202" spans="1:13" x14ac:dyDescent="0.3">
      <c r="A1202" s="46" t="s">
        <v>2372</v>
      </c>
      <c r="B1202" s="46" t="s">
        <v>118</v>
      </c>
      <c r="C1202" s="46" t="s">
        <v>80</v>
      </c>
      <c r="D1202" s="46" t="s">
        <v>67</v>
      </c>
      <c r="E1202" s="46" t="s">
        <v>89</v>
      </c>
      <c r="F1202" s="46" t="s">
        <v>30</v>
      </c>
      <c r="G1202" s="46">
        <v>40</v>
      </c>
      <c r="H1202" s="46" t="s">
        <v>6645</v>
      </c>
      <c r="I1202" s="46" t="s">
        <v>40</v>
      </c>
      <c r="J1202" s="47">
        <v>45071</v>
      </c>
      <c r="K1202" s="46" t="s">
        <v>87</v>
      </c>
      <c r="L1202" s="48">
        <v>18412</v>
      </c>
      <c r="M1202" s="49">
        <v>0</v>
      </c>
    </row>
    <row r="1203" spans="1:13" x14ac:dyDescent="0.3">
      <c r="A1203" s="46" t="s">
        <v>2373</v>
      </c>
      <c r="B1203" s="46" t="s">
        <v>79</v>
      </c>
      <c r="C1203" s="46" t="s">
        <v>36</v>
      </c>
      <c r="D1203" s="46" t="s">
        <v>17</v>
      </c>
      <c r="E1203" s="46" t="s">
        <v>213</v>
      </c>
      <c r="F1203" s="46" t="s">
        <v>30</v>
      </c>
      <c r="G1203" s="46">
        <v>48</v>
      </c>
      <c r="H1203" s="46" t="s">
        <v>6645</v>
      </c>
      <c r="I1203" s="46" t="s">
        <v>40</v>
      </c>
      <c r="J1203" s="47">
        <v>45172</v>
      </c>
      <c r="K1203" s="46" t="s">
        <v>72</v>
      </c>
      <c r="L1203" s="48">
        <v>4981</v>
      </c>
      <c r="M1203" s="49">
        <v>0</v>
      </c>
    </row>
    <row r="1204" spans="1:13" x14ac:dyDescent="0.3">
      <c r="A1204" s="46" t="s">
        <v>2375</v>
      </c>
      <c r="B1204" s="46" t="s">
        <v>118</v>
      </c>
      <c r="C1204" s="46" t="s">
        <v>16</v>
      </c>
      <c r="D1204" s="46" t="s">
        <v>17</v>
      </c>
      <c r="E1204" s="46" t="s">
        <v>169</v>
      </c>
      <c r="F1204" s="46" t="s">
        <v>30</v>
      </c>
      <c r="G1204" s="46">
        <v>88</v>
      </c>
      <c r="H1204" s="46" t="s">
        <v>6643</v>
      </c>
      <c r="I1204" s="46" t="s">
        <v>40</v>
      </c>
      <c r="J1204" s="47">
        <v>44949</v>
      </c>
      <c r="K1204" s="46" t="s">
        <v>72</v>
      </c>
      <c r="L1204" s="48">
        <v>6498</v>
      </c>
      <c r="M1204" s="49">
        <v>5</v>
      </c>
    </row>
    <row r="1205" spans="1:13" x14ac:dyDescent="0.3">
      <c r="A1205" s="46" t="s">
        <v>2376</v>
      </c>
      <c r="B1205" s="46" t="s">
        <v>6626</v>
      </c>
      <c r="C1205" s="46" t="s">
        <v>80</v>
      </c>
      <c r="D1205" s="46" t="s">
        <v>28</v>
      </c>
      <c r="E1205" s="46" t="s">
        <v>29</v>
      </c>
      <c r="F1205" s="46" t="s">
        <v>30</v>
      </c>
      <c r="G1205" s="46">
        <v>88</v>
      </c>
      <c r="H1205" s="46" t="s">
        <v>6643</v>
      </c>
      <c r="I1205" s="46" t="s">
        <v>40</v>
      </c>
      <c r="J1205" s="47">
        <v>45109</v>
      </c>
      <c r="K1205" s="46" t="s">
        <v>104</v>
      </c>
      <c r="L1205" s="48">
        <v>6754</v>
      </c>
      <c r="M1205" s="49">
        <v>12</v>
      </c>
    </row>
    <row r="1206" spans="1:13" x14ac:dyDescent="0.3">
      <c r="A1206" s="46" t="s">
        <v>2378</v>
      </c>
      <c r="B1206" s="46" t="s">
        <v>6628</v>
      </c>
      <c r="C1206" s="46" t="s">
        <v>189</v>
      </c>
      <c r="D1206" s="46" t="s">
        <v>67</v>
      </c>
      <c r="E1206" s="46" t="s">
        <v>89</v>
      </c>
      <c r="F1206" s="46" t="s">
        <v>69</v>
      </c>
      <c r="G1206" s="46">
        <v>54</v>
      </c>
      <c r="H1206" s="46" t="s">
        <v>6645</v>
      </c>
      <c r="I1206" s="46" t="s">
        <v>20</v>
      </c>
      <c r="J1206" s="47">
        <v>45218</v>
      </c>
      <c r="K1206" s="46" t="s">
        <v>72</v>
      </c>
      <c r="L1206" s="48">
        <v>20008</v>
      </c>
      <c r="M1206" s="49">
        <v>0</v>
      </c>
    </row>
    <row r="1207" spans="1:13" x14ac:dyDescent="0.3">
      <c r="A1207" s="46" t="s">
        <v>2379</v>
      </c>
      <c r="B1207" s="46" t="s">
        <v>6629</v>
      </c>
      <c r="C1207" s="46" t="s">
        <v>27</v>
      </c>
      <c r="D1207" s="46" t="s">
        <v>28</v>
      </c>
      <c r="E1207" s="46" t="s">
        <v>259</v>
      </c>
      <c r="F1207" s="46" t="s">
        <v>30</v>
      </c>
      <c r="G1207" s="46">
        <v>30</v>
      </c>
      <c r="H1207" s="46" t="s">
        <v>6645</v>
      </c>
      <c r="I1207" s="46" t="s">
        <v>20</v>
      </c>
      <c r="J1207" s="47">
        <v>45053</v>
      </c>
      <c r="K1207" s="46" t="s">
        <v>87</v>
      </c>
      <c r="L1207" s="48">
        <v>14292</v>
      </c>
      <c r="M1207" s="49">
        <v>0</v>
      </c>
    </row>
    <row r="1208" spans="1:13" x14ac:dyDescent="0.3">
      <c r="A1208" s="46" t="s">
        <v>2382</v>
      </c>
      <c r="B1208" s="46" t="s">
        <v>6628</v>
      </c>
      <c r="C1208" s="46" t="s">
        <v>80</v>
      </c>
      <c r="D1208" s="46" t="s">
        <v>74</v>
      </c>
      <c r="E1208" s="46" t="s">
        <v>192</v>
      </c>
      <c r="F1208" s="46" t="s">
        <v>30</v>
      </c>
      <c r="G1208" s="46">
        <v>54</v>
      </c>
      <c r="H1208" s="46" t="s">
        <v>6645</v>
      </c>
      <c r="I1208" s="46" t="s">
        <v>20</v>
      </c>
      <c r="J1208" s="47">
        <v>45369</v>
      </c>
      <c r="K1208" s="46" t="s">
        <v>87</v>
      </c>
      <c r="L1208" s="48">
        <v>17730</v>
      </c>
      <c r="M1208" s="49">
        <v>10</v>
      </c>
    </row>
    <row r="1209" spans="1:13" x14ac:dyDescent="0.3">
      <c r="A1209" s="46" t="s">
        <v>2384</v>
      </c>
      <c r="B1209" s="46" t="s">
        <v>79</v>
      </c>
      <c r="C1209" s="46" t="s">
        <v>80</v>
      </c>
      <c r="D1209" s="46" t="s">
        <v>47</v>
      </c>
      <c r="E1209" s="46" t="s">
        <v>48</v>
      </c>
      <c r="F1209" s="46" t="s">
        <v>69</v>
      </c>
      <c r="G1209" s="46">
        <v>19</v>
      </c>
      <c r="H1209" s="46" t="s">
        <v>6646</v>
      </c>
      <c r="I1209" s="46" t="s">
        <v>20</v>
      </c>
      <c r="J1209" s="47">
        <v>45094</v>
      </c>
      <c r="K1209" s="46" t="s">
        <v>97</v>
      </c>
      <c r="L1209" s="48">
        <v>49363</v>
      </c>
      <c r="M1209" s="49">
        <v>10</v>
      </c>
    </row>
    <row r="1210" spans="1:13" x14ac:dyDescent="0.3">
      <c r="A1210" s="46" t="s">
        <v>2386</v>
      </c>
      <c r="B1210" s="46" t="s">
        <v>79</v>
      </c>
      <c r="C1210" s="46" t="s">
        <v>66</v>
      </c>
      <c r="D1210" s="46" t="s">
        <v>17</v>
      </c>
      <c r="E1210" s="46" t="s">
        <v>135</v>
      </c>
      <c r="F1210" s="46" t="s">
        <v>69</v>
      </c>
      <c r="G1210" s="46">
        <v>80</v>
      </c>
      <c r="H1210" s="46" t="s">
        <v>6643</v>
      </c>
      <c r="I1210" s="46" t="s">
        <v>20</v>
      </c>
      <c r="J1210" s="47">
        <v>45136</v>
      </c>
      <c r="K1210" s="46" t="s">
        <v>72</v>
      </c>
      <c r="L1210" s="48">
        <v>14844</v>
      </c>
      <c r="M1210" s="49">
        <v>10</v>
      </c>
    </row>
    <row r="1211" spans="1:13" x14ac:dyDescent="0.3">
      <c r="A1211" s="46" t="s">
        <v>2387</v>
      </c>
      <c r="B1211" s="46" t="s">
        <v>118</v>
      </c>
      <c r="C1211" s="46" t="s">
        <v>27</v>
      </c>
      <c r="D1211" s="46" t="s">
        <v>67</v>
      </c>
      <c r="E1211" s="46" t="s">
        <v>68</v>
      </c>
      <c r="F1211" s="46" t="s">
        <v>30</v>
      </c>
      <c r="G1211" s="46">
        <v>7</v>
      </c>
      <c r="H1211" s="46" t="s">
        <v>6644</v>
      </c>
      <c r="I1211" s="46" t="s">
        <v>40</v>
      </c>
      <c r="J1211" s="47">
        <v>45005</v>
      </c>
      <c r="K1211" s="46" t="s">
        <v>72</v>
      </c>
      <c r="L1211" s="48">
        <v>16465</v>
      </c>
      <c r="M1211" s="49">
        <v>10</v>
      </c>
    </row>
    <row r="1212" spans="1:13" x14ac:dyDescent="0.3">
      <c r="A1212" s="46" t="s">
        <v>2390</v>
      </c>
      <c r="B1212" s="46" t="s">
        <v>118</v>
      </c>
      <c r="C1212" s="46" t="s">
        <v>80</v>
      </c>
      <c r="D1212" s="46" t="s">
        <v>164</v>
      </c>
      <c r="E1212" s="46" t="s">
        <v>165</v>
      </c>
      <c r="F1212" s="46" t="s">
        <v>30</v>
      </c>
      <c r="G1212" s="46">
        <v>12</v>
      </c>
      <c r="H1212" s="46" t="s">
        <v>6644</v>
      </c>
      <c r="I1212" s="46" t="s">
        <v>20</v>
      </c>
      <c r="J1212" s="47">
        <v>45032</v>
      </c>
      <c r="K1212" s="46" t="s">
        <v>72</v>
      </c>
      <c r="L1212" s="48">
        <v>16968</v>
      </c>
      <c r="M1212" s="49">
        <v>10</v>
      </c>
    </row>
    <row r="1213" spans="1:13" x14ac:dyDescent="0.3">
      <c r="A1213" s="46" t="s">
        <v>2391</v>
      </c>
      <c r="B1213" s="46" t="s">
        <v>6629</v>
      </c>
      <c r="C1213" s="46" t="s">
        <v>27</v>
      </c>
      <c r="D1213" s="46" t="s">
        <v>47</v>
      </c>
      <c r="E1213" s="46" t="s">
        <v>48</v>
      </c>
      <c r="F1213" s="46" t="s">
        <v>30</v>
      </c>
      <c r="G1213" s="46">
        <v>85</v>
      </c>
      <c r="H1213" s="46" t="s">
        <v>6643</v>
      </c>
      <c r="I1213" s="46" t="s">
        <v>40</v>
      </c>
      <c r="J1213" s="47">
        <v>44934</v>
      </c>
      <c r="K1213" s="46" t="s">
        <v>87</v>
      </c>
      <c r="L1213" s="48">
        <v>11251</v>
      </c>
      <c r="M1213" s="49">
        <v>0</v>
      </c>
    </row>
    <row r="1214" spans="1:13" x14ac:dyDescent="0.3">
      <c r="A1214" s="46" t="s">
        <v>2392</v>
      </c>
      <c r="B1214" s="46" t="s">
        <v>118</v>
      </c>
      <c r="C1214" s="46" t="s">
        <v>16</v>
      </c>
      <c r="D1214" s="46" t="s">
        <v>67</v>
      </c>
      <c r="E1214" s="46" t="s">
        <v>196</v>
      </c>
      <c r="F1214" s="46" t="s">
        <v>30</v>
      </c>
      <c r="G1214" s="46">
        <v>89</v>
      </c>
      <c r="H1214" s="46" t="s">
        <v>6643</v>
      </c>
      <c r="I1214" s="46" t="s">
        <v>20</v>
      </c>
      <c r="J1214" s="47">
        <v>45008</v>
      </c>
      <c r="K1214" s="46" t="s">
        <v>91</v>
      </c>
      <c r="L1214" s="48">
        <v>9642</v>
      </c>
      <c r="M1214" s="49">
        <v>3</v>
      </c>
    </row>
    <row r="1215" spans="1:13" x14ac:dyDescent="0.3">
      <c r="A1215" s="46" t="s">
        <v>2394</v>
      </c>
      <c r="B1215" s="46" t="s">
        <v>6628</v>
      </c>
      <c r="C1215" s="46" t="s">
        <v>16</v>
      </c>
      <c r="D1215" s="46" t="s">
        <v>37</v>
      </c>
      <c r="E1215" s="46" t="s">
        <v>185</v>
      </c>
      <c r="F1215" s="46" t="s">
        <v>69</v>
      </c>
      <c r="G1215" s="46">
        <v>38</v>
      </c>
      <c r="H1215" s="46" t="s">
        <v>6645</v>
      </c>
      <c r="I1215" s="46" t="s">
        <v>40</v>
      </c>
      <c r="J1215" s="47">
        <v>44940</v>
      </c>
      <c r="K1215" s="46" t="s">
        <v>72</v>
      </c>
      <c r="L1215" s="48">
        <v>86836</v>
      </c>
      <c r="M1215" s="49">
        <v>0</v>
      </c>
    </row>
    <row r="1216" spans="1:13" x14ac:dyDescent="0.3">
      <c r="A1216" s="46" t="s">
        <v>2396</v>
      </c>
      <c r="B1216" s="46" t="s">
        <v>6629</v>
      </c>
      <c r="C1216" s="46" t="s">
        <v>80</v>
      </c>
      <c r="D1216" s="46" t="s">
        <v>108</v>
      </c>
      <c r="E1216" s="46" t="s">
        <v>272</v>
      </c>
      <c r="F1216" s="46" t="s">
        <v>69</v>
      </c>
      <c r="G1216" s="46">
        <v>8</v>
      </c>
      <c r="H1216" s="46" t="s">
        <v>6644</v>
      </c>
      <c r="I1216" s="46" t="s">
        <v>40</v>
      </c>
      <c r="J1216" s="47">
        <v>45229</v>
      </c>
      <c r="K1216" s="46" t="s">
        <v>87</v>
      </c>
      <c r="L1216" s="48">
        <v>77975</v>
      </c>
      <c r="M1216" s="49">
        <v>3</v>
      </c>
    </row>
    <row r="1217" spans="1:13" x14ac:dyDescent="0.3">
      <c r="A1217" s="46" t="s">
        <v>2397</v>
      </c>
      <c r="B1217" s="46" t="s">
        <v>6626</v>
      </c>
      <c r="C1217" s="46" t="s">
        <v>66</v>
      </c>
      <c r="D1217" s="46" t="s">
        <v>108</v>
      </c>
      <c r="E1217" s="46" t="s">
        <v>109</v>
      </c>
      <c r="F1217" s="46" t="s">
        <v>69</v>
      </c>
      <c r="G1217" s="46">
        <v>62</v>
      </c>
      <c r="H1217" s="46" t="s">
        <v>6643</v>
      </c>
      <c r="I1217" s="46" t="s">
        <v>20</v>
      </c>
      <c r="J1217" s="47">
        <v>45112</v>
      </c>
      <c r="K1217" s="46" t="s">
        <v>91</v>
      </c>
      <c r="L1217" s="48">
        <v>61044</v>
      </c>
      <c r="M1217" s="49">
        <v>0</v>
      </c>
    </row>
    <row r="1218" spans="1:13" x14ac:dyDescent="0.3">
      <c r="A1218" s="46" t="s">
        <v>2398</v>
      </c>
      <c r="B1218" s="46" t="s">
        <v>79</v>
      </c>
      <c r="C1218" s="46" t="s">
        <v>80</v>
      </c>
      <c r="D1218" s="46" t="s">
        <v>28</v>
      </c>
      <c r="E1218" s="46" t="s">
        <v>29</v>
      </c>
      <c r="F1218" s="46" t="s">
        <v>30</v>
      </c>
      <c r="G1218" s="46">
        <v>46</v>
      </c>
      <c r="H1218" s="46" t="s">
        <v>6645</v>
      </c>
      <c r="I1218" s="46" t="s">
        <v>40</v>
      </c>
      <c r="J1218" s="47">
        <v>45017</v>
      </c>
      <c r="K1218" s="46" t="s">
        <v>91</v>
      </c>
      <c r="L1218" s="48">
        <v>10974</v>
      </c>
      <c r="M1218" s="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9789-F257-4B81-B0CA-F5CFD839991F}">
  <dimension ref="A3:L61"/>
  <sheetViews>
    <sheetView topLeftCell="A35" workbookViewId="0">
      <selection activeCell="G51" sqref="G51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21.6640625" bestFit="1" customWidth="1"/>
    <col min="4" max="4" width="23.44140625" bestFit="1" customWidth="1"/>
    <col min="5" max="5" width="20.109375" bestFit="1" customWidth="1"/>
    <col min="6" max="6" width="18.77734375" bestFit="1" customWidth="1"/>
    <col min="7" max="7" width="23.88671875" bestFit="1" customWidth="1"/>
    <col min="8" max="8" width="19.21875" bestFit="1" customWidth="1"/>
    <col min="9" max="9" width="23.88671875" bestFit="1" customWidth="1"/>
    <col min="10" max="10" width="19.21875" bestFit="1" customWidth="1"/>
    <col min="11" max="11" width="23.88671875" bestFit="1" customWidth="1"/>
    <col min="12" max="12" width="20.5546875" bestFit="1" customWidth="1"/>
    <col min="13" max="13" width="23.88671875" bestFit="1" customWidth="1"/>
    <col min="14" max="14" width="19.21875" bestFit="1" customWidth="1"/>
    <col min="15" max="15" width="23.88671875" bestFit="1" customWidth="1"/>
    <col min="16" max="16" width="21.44140625" bestFit="1" customWidth="1"/>
    <col min="17" max="17" width="23.88671875" bestFit="1" customWidth="1"/>
    <col min="18" max="18" width="19.21875" bestFit="1" customWidth="1"/>
    <col min="19" max="19" width="23.88671875" bestFit="1" customWidth="1"/>
    <col min="20" max="20" width="19.21875" bestFit="1" customWidth="1"/>
    <col min="21" max="21" width="23.88671875" bestFit="1" customWidth="1"/>
    <col min="22" max="22" width="19.21875" bestFit="1" customWidth="1"/>
    <col min="23" max="23" width="23.88671875" bestFit="1" customWidth="1"/>
    <col min="24" max="24" width="19.21875" bestFit="1" customWidth="1"/>
    <col min="25" max="25" width="23.88671875" bestFit="1" customWidth="1"/>
    <col min="26" max="26" width="19.21875" bestFit="1" customWidth="1"/>
    <col min="27" max="27" width="23.88671875" bestFit="1" customWidth="1"/>
    <col min="28" max="28" width="19.21875" bestFit="1" customWidth="1"/>
    <col min="29" max="29" width="23.88671875" bestFit="1" customWidth="1"/>
    <col min="30" max="30" width="19.21875" bestFit="1" customWidth="1"/>
    <col min="31" max="31" width="23.88671875" bestFit="1" customWidth="1"/>
    <col min="32" max="32" width="19.21875" bestFit="1" customWidth="1"/>
    <col min="33" max="33" width="23.88671875" bestFit="1" customWidth="1"/>
    <col min="34" max="34" width="19.21875" bestFit="1" customWidth="1"/>
    <col min="35" max="35" width="23.88671875" bestFit="1" customWidth="1"/>
    <col min="36" max="36" width="19.21875" bestFit="1" customWidth="1"/>
    <col min="37" max="37" width="23.88671875" bestFit="1" customWidth="1"/>
    <col min="38" max="38" width="19.21875" bestFit="1" customWidth="1"/>
    <col min="39" max="39" width="23.88671875" bestFit="1" customWidth="1"/>
    <col min="40" max="40" width="19.21875" bestFit="1" customWidth="1"/>
    <col min="41" max="41" width="23.88671875" bestFit="1" customWidth="1"/>
    <col min="42" max="42" width="19.21875" bestFit="1" customWidth="1"/>
    <col min="43" max="43" width="23.88671875" bestFit="1" customWidth="1"/>
    <col min="44" max="44" width="19.21875" bestFit="1" customWidth="1"/>
    <col min="45" max="45" width="23.88671875" bestFit="1" customWidth="1"/>
    <col min="46" max="46" width="19.21875" bestFit="1" customWidth="1"/>
    <col min="47" max="47" width="23.88671875" bestFit="1" customWidth="1"/>
    <col min="48" max="48" width="19.21875" bestFit="1" customWidth="1"/>
    <col min="49" max="49" width="23.88671875" bestFit="1" customWidth="1"/>
    <col min="50" max="50" width="19.21875" bestFit="1" customWidth="1"/>
    <col min="51" max="51" width="23.88671875" bestFit="1" customWidth="1"/>
    <col min="52" max="52" width="19.21875" bestFit="1" customWidth="1"/>
    <col min="53" max="53" width="23.88671875" bestFit="1" customWidth="1"/>
    <col min="54" max="54" width="19.21875" bestFit="1" customWidth="1"/>
    <col min="55" max="55" width="23.88671875" bestFit="1" customWidth="1"/>
    <col min="56" max="56" width="19.21875" bestFit="1" customWidth="1"/>
    <col min="57" max="57" width="23.88671875" bestFit="1" customWidth="1"/>
    <col min="58" max="58" width="19.21875" bestFit="1" customWidth="1"/>
    <col min="59" max="59" width="23.88671875" bestFit="1" customWidth="1"/>
    <col min="60" max="60" width="19.21875" bestFit="1" customWidth="1"/>
    <col min="61" max="61" width="23.88671875" bestFit="1" customWidth="1"/>
    <col min="62" max="62" width="19.21875" bestFit="1" customWidth="1"/>
    <col min="63" max="63" width="23.88671875" bestFit="1" customWidth="1"/>
    <col min="64" max="64" width="19.21875" bestFit="1" customWidth="1"/>
    <col min="65" max="65" width="23.88671875" bestFit="1" customWidth="1"/>
    <col min="66" max="66" width="19.21875" bestFit="1" customWidth="1"/>
    <col min="67" max="67" width="23.88671875" bestFit="1" customWidth="1"/>
    <col min="68" max="68" width="22.5546875" bestFit="1" customWidth="1"/>
    <col min="69" max="69" width="23.88671875" bestFit="1" customWidth="1"/>
    <col min="70" max="70" width="19.21875" bestFit="1" customWidth="1"/>
    <col min="71" max="71" width="23.88671875" bestFit="1" customWidth="1"/>
    <col min="72" max="72" width="19.21875" bestFit="1" customWidth="1"/>
    <col min="73" max="73" width="23.88671875" bestFit="1" customWidth="1"/>
    <col min="74" max="74" width="19.21875" bestFit="1" customWidth="1"/>
    <col min="75" max="75" width="23.88671875" bestFit="1" customWidth="1"/>
    <col min="76" max="76" width="19.21875" bestFit="1" customWidth="1"/>
    <col min="77" max="77" width="23.88671875" bestFit="1" customWidth="1"/>
    <col min="78" max="78" width="19.21875" bestFit="1" customWidth="1"/>
    <col min="79" max="79" width="23.88671875" bestFit="1" customWidth="1"/>
    <col min="80" max="80" width="19.21875" bestFit="1" customWidth="1"/>
    <col min="81" max="81" width="23.88671875" bestFit="1" customWidth="1"/>
    <col min="82" max="82" width="24" bestFit="1" customWidth="1"/>
    <col min="83" max="83" width="28.6640625" bestFit="1" customWidth="1"/>
    <col min="84" max="88" width="23.88671875" bestFit="1" customWidth="1"/>
    <col min="89" max="89" width="29.77734375" bestFit="1" customWidth="1"/>
    <col min="90" max="90" width="34.44140625" bestFit="1" customWidth="1"/>
    <col min="91" max="106" width="23.88671875" bestFit="1" customWidth="1"/>
    <col min="107" max="107" width="39.5546875" bestFit="1" customWidth="1"/>
    <col min="108" max="108" width="44.21875" bestFit="1" customWidth="1"/>
    <col min="109" max="124" width="23.88671875" bestFit="1" customWidth="1"/>
    <col min="125" max="125" width="31.109375" bestFit="1" customWidth="1"/>
    <col min="126" max="126" width="35.77734375" bestFit="1" customWidth="1"/>
    <col min="127" max="142" width="23.88671875" bestFit="1" customWidth="1"/>
    <col min="143" max="143" width="40.33203125" bestFit="1" customWidth="1"/>
    <col min="144" max="144" width="45" bestFit="1" customWidth="1"/>
    <col min="145" max="158" width="23.88671875" bestFit="1" customWidth="1"/>
    <col min="159" max="159" width="27.109375" bestFit="1" customWidth="1"/>
    <col min="160" max="160" width="31.77734375" bestFit="1" customWidth="1"/>
    <col min="161" max="176" width="23.88671875" bestFit="1" customWidth="1"/>
    <col min="177" max="177" width="26" bestFit="1" customWidth="1"/>
    <col min="178" max="178" width="30.6640625" bestFit="1" customWidth="1"/>
    <col min="179" max="194" width="23.88671875" bestFit="1" customWidth="1"/>
    <col min="195" max="195" width="30.6640625" bestFit="1" customWidth="1"/>
    <col min="196" max="196" width="35.33203125" bestFit="1" customWidth="1"/>
    <col min="197" max="212" width="23.88671875" bestFit="1" customWidth="1"/>
    <col min="213" max="213" width="26.77734375" bestFit="1" customWidth="1"/>
    <col min="214" max="214" width="31.44140625" bestFit="1" customWidth="1"/>
    <col min="215" max="230" width="23.88671875" bestFit="1" customWidth="1"/>
    <col min="231" max="231" width="24.33203125" bestFit="1" customWidth="1"/>
    <col min="232" max="232" width="29" bestFit="1" customWidth="1"/>
    <col min="233" max="248" width="23.88671875" bestFit="1" customWidth="1"/>
    <col min="249" max="249" width="26.44140625" bestFit="1" customWidth="1"/>
    <col min="250" max="250" width="31.109375" bestFit="1" customWidth="1"/>
    <col min="251" max="266" width="23.88671875" bestFit="1" customWidth="1"/>
    <col min="267" max="267" width="26.77734375" bestFit="1" customWidth="1"/>
    <col min="268" max="268" width="31.44140625" bestFit="1" customWidth="1"/>
    <col min="269" max="280" width="23.88671875" bestFit="1" customWidth="1"/>
    <col min="281" max="281" width="26.5546875" bestFit="1" customWidth="1"/>
    <col min="282" max="282" width="31.21875" bestFit="1" customWidth="1"/>
    <col min="283" max="298" width="23.88671875" bestFit="1" customWidth="1"/>
    <col min="299" max="299" width="30.44140625" bestFit="1" customWidth="1"/>
    <col min="300" max="300" width="35.109375" bestFit="1" customWidth="1"/>
    <col min="301" max="316" width="23.88671875" bestFit="1" customWidth="1"/>
    <col min="317" max="317" width="30.5546875" bestFit="1" customWidth="1"/>
    <col min="318" max="318" width="35.21875" bestFit="1" customWidth="1"/>
    <col min="319" max="334" width="23.88671875" bestFit="1" customWidth="1"/>
    <col min="335" max="335" width="31.21875" bestFit="1" customWidth="1"/>
    <col min="336" max="336" width="35.88671875" bestFit="1" customWidth="1"/>
    <col min="337" max="352" width="23.88671875" bestFit="1" customWidth="1"/>
    <col min="353" max="353" width="22.44140625" bestFit="1" customWidth="1"/>
    <col min="354" max="354" width="27.109375" bestFit="1" customWidth="1"/>
    <col min="355" max="368" width="23.88671875" bestFit="1" customWidth="1"/>
    <col min="369" max="369" width="33.77734375" bestFit="1" customWidth="1"/>
    <col min="370" max="370" width="38.44140625" bestFit="1" customWidth="1"/>
    <col min="371" max="386" width="23.88671875" bestFit="1" customWidth="1"/>
    <col min="387" max="387" width="31.88671875" bestFit="1" customWidth="1"/>
    <col min="388" max="388" width="36.5546875" bestFit="1" customWidth="1"/>
    <col min="389" max="404" width="23.88671875" bestFit="1" customWidth="1"/>
    <col min="405" max="405" width="28" bestFit="1" customWidth="1"/>
    <col min="406" max="406" width="32.6640625" bestFit="1" customWidth="1"/>
    <col min="407" max="422" width="23.88671875" bestFit="1" customWidth="1"/>
    <col min="423" max="423" width="30.6640625" bestFit="1" customWidth="1"/>
    <col min="424" max="424" width="35.33203125" bestFit="1" customWidth="1"/>
    <col min="425" max="440" width="23.88671875" bestFit="1" customWidth="1"/>
    <col min="441" max="441" width="30.33203125" bestFit="1" customWidth="1"/>
    <col min="442" max="442" width="35" bestFit="1" customWidth="1"/>
    <col min="443" max="458" width="23.88671875" bestFit="1" customWidth="1"/>
    <col min="459" max="459" width="30.5546875" bestFit="1" customWidth="1"/>
    <col min="460" max="460" width="35.21875" bestFit="1" customWidth="1"/>
    <col min="461" max="476" width="23.88671875" bestFit="1" customWidth="1"/>
    <col min="477" max="477" width="26.6640625" bestFit="1" customWidth="1"/>
    <col min="478" max="478" width="31.33203125" bestFit="1" customWidth="1"/>
    <col min="479" max="494" width="23.88671875" bestFit="1" customWidth="1"/>
    <col min="495" max="495" width="36.88671875" bestFit="1" customWidth="1"/>
    <col min="496" max="496" width="41.5546875" bestFit="1" customWidth="1"/>
    <col min="497" max="512" width="23.88671875" bestFit="1" customWidth="1"/>
    <col min="513" max="513" width="27.33203125" bestFit="1" customWidth="1"/>
    <col min="514" max="514" width="32" bestFit="1" customWidth="1"/>
    <col min="515" max="530" width="23.88671875" bestFit="1" customWidth="1"/>
    <col min="531" max="531" width="31.33203125" bestFit="1" customWidth="1"/>
    <col min="532" max="532" width="36" bestFit="1" customWidth="1"/>
    <col min="533" max="548" width="23.88671875" bestFit="1" customWidth="1"/>
    <col min="549" max="549" width="36.33203125" bestFit="1" customWidth="1"/>
    <col min="550" max="550" width="41" bestFit="1" customWidth="1"/>
    <col min="551" max="566" width="23.88671875" bestFit="1" customWidth="1"/>
    <col min="567" max="567" width="24.33203125" bestFit="1" customWidth="1"/>
    <col min="568" max="568" width="29" bestFit="1" customWidth="1"/>
    <col min="569" max="584" width="23.88671875" bestFit="1" customWidth="1"/>
    <col min="585" max="585" width="29.6640625" bestFit="1" customWidth="1"/>
    <col min="586" max="586" width="34.33203125" bestFit="1" customWidth="1"/>
    <col min="587" max="602" width="24.5546875" bestFit="1" customWidth="1"/>
    <col min="603" max="603" width="41.44140625" bestFit="1" customWidth="1"/>
    <col min="604" max="604" width="46.21875" bestFit="1" customWidth="1"/>
    <col min="605" max="620" width="23.88671875" bestFit="1" customWidth="1"/>
    <col min="621" max="621" width="26.6640625" bestFit="1" customWidth="1"/>
    <col min="622" max="622" width="31.33203125" bestFit="1" customWidth="1"/>
    <col min="623" max="638" width="23.88671875" bestFit="1" customWidth="1"/>
    <col min="639" max="639" width="25.21875" bestFit="1" customWidth="1"/>
    <col min="640" max="640" width="30" bestFit="1" customWidth="1"/>
    <col min="641" max="656" width="23.88671875" bestFit="1" customWidth="1"/>
    <col min="657" max="657" width="27.5546875" bestFit="1" customWidth="1"/>
    <col min="658" max="658" width="32.21875" bestFit="1" customWidth="1"/>
    <col min="659" max="674" width="23.88671875" bestFit="1" customWidth="1"/>
    <col min="675" max="675" width="26.77734375" bestFit="1" customWidth="1"/>
    <col min="676" max="676" width="31.44140625" bestFit="1" customWidth="1"/>
    <col min="677" max="692" width="23.88671875" bestFit="1" customWidth="1"/>
    <col min="693" max="693" width="24.109375" bestFit="1" customWidth="1"/>
    <col min="694" max="694" width="28.77734375" bestFit="1" customWidth="1"/>
    <col min="695" max="710" width="23.88671875" bestFit="1" customWidth="1"/>
    <col min="711" max="711" width="22.6640625" bestFit="1" customWidth="1"/>
    <col min="712" max="712" width="27.33203125" bestFit="1" customWidth="1"/>
    <col min="713" max="713" width="24" bestFit="1" customWidth="1"/>
    <col min="714" max="714" width="28.6640625" bestFit="1" customWidth="1"/>
    <col min="715" max="715" width="23.44140625" bestFit="1" customWidth="1"/>
    <col min="716" max="716" width="19.21875" bestFit="1" customWidth="1"/>
    <col min="717" max="717" width="23.44140625" bestFit="1" customWidth="1"/>
    <col min="718" max="718" width="19.21875" bestFit="1" customWidth="1"/>
    <col min="719" max="719" width="23.44140625" bestFit="1" customWidth="1"/>
    <col min="720" max="720" width="19.21875" bestFit="1" customWidth="1"/>
    <col min="721" max="721" width="23.44140625" bestFit="1" customWidth="1"/>
    <col min="722" max="722" width="19.21875" bestFit="1" customWidth="1"/>
    <col min="723" max="723" width="23.44140625" bestFit="1" customWidth="1"/>
    <col min="724" max="724" width="19.21875" bestFit="1" customWidth="1"/>
    <col min="725" max="725" width="23.44140625" bestFit="1" customWidth="1"/>
    <col min="726" max="726" width="19.21875" bestFit="1" customWidth="1"/>
    <col min="727" max="727" width="23.44140625" bestFit="1" customWidth="1"/>
    <col min="728" max="728" width="19.21875" bestFit="1" customWidth="1"/>
    <col min="729" max="729" width="23.44140625" bestFit="1" customWidth="1"/>
    <col min="730" max="730" width="19.21875" bestFit="1" customWidth="1"/>
    <col min="731" max="731" width="23.44140625" bestFit="1" customWidth="1"/>
    <col min="732" max="732" width="19.21875" bestFit="1" customWidth="1"/>
    <col min="733" max="733" width="23.44140625" bestFit="1" customWidth="1"/>
    <col min="734" max="734" width="19.21875" bestFit="1" customWidth="1"/>
    <col min="735" max="735" width="23.44140625" bestFit="1" customWidth="1"/>
    <col min="736" max="736" width="19.21875" bestFit="1" customWidth="1"/>
    <col min="737" max="737" width="23.44140625" bestFit="1" customWidth="1"/>
    <col min="738" max="738" width="19.21875" bestFit="1" customWidth="1"/>
    <col min="739" max="739" width="23.44140625" bestFit="1" customWidth="1"/>
    <col min="740" max="740" width="19.21875" bestFit="1" customWidth="1"/>
    <col min="741" max="741" width="23.44140625" bestFit="1" customWidth="1"/>
    <col min="742" max="742" width="19.21875" bestFit="1" customWidth="1"/>
    <col min="743" max="743" width="23.44140625" bestFit="1" customWidth="1"/>
    <col min="744" max="744" width="19.21875" bestFit="1" customWidth="1"/>
    <col min="745" max="745" width="23.44140625" bestFit="1" customWidth="1"/>
    <col min="746" max="746" width="19.21875" bestFit="1" customWidth="1"/>
    <col min="747" max="747" width="23.44140625" bestFit="1" customWidth="1"/>
    <col min="748" max="748" width="19.21875" bestFit="1" customWidth="1"/>
    <col min="749" max="749" width="23.44140625" bestFit="1" customWidth="1"/>
    <col min="750" max="750" width="19.21875" bestFit="1" customWidth="1"/>
    <col min="751" max="751" width="23.44140625" bestFit="1" customWidth="1"/>
    <col min="752" max="752" width="19.21875" bestFit="1" customWidth="1"/>
    <col min="753" max="753" width="23.44140625" bestFit="1" customWidth="1"/>
    <col min="754" max="754" width="19.21875" bestFit="1" customWidth="1"/>
    <col min="755" max="755" width="23.44140625" bestFit="1" customWidth="1"/>
    <col min="756" max="756" width="19.21875" bestFit="1" customWidth="1"/>
    <col min="757" max="757" width="23.44140625" bestFit="1" customWidth="1"/>
    <col min="758" max="758" width="19.21875" bestFit="1" customWidth="1"/>
    <col min="759" max="759" width="23.44140625" bestFit="1" customWidth="1"/>
    <col min="760" max="760" width="19.21875" bestFit="1" customWidth="1"/>
    <col min="761" max="761" width="23.44140625" bestFit="1" customWidth="1"/>
    <col min="762" max="762" width="19.21875" bestFit="1" customWidth="1"/>
    <col min="763" max="763" width="23.44140625" bestFit="1" customWidth="1"/>
    <col min="764" max="764" width="19.21875" bestFit="1" customWidth="1"/>
    <col min="765" max="765" width="23.44140625" bestFit="1" customWidth="1"/>
    <col min="766" max="766" width="19.21875" bestFit="1" customWidth="1"/>
    <col min="767" max="767" width="23.44140625" bestFit="1" customWidth="1"/>
    <col min="768" max="768" width="19.21875" bestFit="1" customWidth="1"/>
    <col min="769" max="769" width="23.44140625" bestFit="1" customWidth="1"/>
    <col min="770" max="770" width="19.21875" bestFit="1" customWidth="1"/>
    <col min="771" max="771" width="23.44140625" bestFit="1" customWidth="1"/>
    <col min="772" max="772" width="19.21875" bestFit="1" customWidth="1"/>
    <col min="773" max="773" width="23.44140625" bestFit="1" customWidth="1"/>
    <col min="774" max="774" width="19.21875" bestFit="1" customWidth="1"/>
    <col min="775" max="775" width="23.44140625" bestFit="1" customWidth="1"/>
    <col min="776" max="776" width="19.21875" bestFit="1" customWidth="1"/>
    <col min="777" max="777" width="23.44140625" bestFit="1" customWidth="1"/>
    <col min="778" max="778" width="19.21875" bestFit="1" customWidth="1"/>
    <col min="779" max="779" width="23.44140625" bestFit="1" customWidth="1"/>
    <col min="780" max="780" width="19.21875" bestFit="1" customWidth="1"/>
    <col min="781" max="781" width="23.44140625" bestFit="1" customWidth="1"/>
    <col min="782" max="782" width="19.21875" bestFit="1" customWidth="1"/>
    <col min="783" max="783" width="23.44140625" bestFit="1" customWidth="1"/>
    <col min="784" max="784" width="19.21875" bestFit="1" customWidth="1"/>
    <col min="785" max="785" width="23.44140625" bestFit="1" customWidth="1"/>
    <col min="786" max="786" width="19.21875" bestFit="1" customWidth="1"/>
    <col min="787" max="787" width="23.44140625" bestFit="1" customWidth="1"/>
    <col min="788" max="788" width="19.21875" bestFit="1" customWidth="1"/>
    <col min="789" max="789" width="23.44140625" bestFit="1" customWidth="1"/>
    <col min="790" max="790" width="19.21875" bestFit="1" customWidth="1"/>
    <col min="791" max="791" width="23.44140625" bestFit="1" customWidth="1"/>
    <col min="792" max="792" width="19.21875" bestFit="1" customWidth="1"/>
    <col min="793" max="793" width="23.44140625" bestFit="1" customWidth="1"/>
    <col min="794" max="794" width="19.21875" bestFit="1" customWidth="1"/>
    <col min="795" max="795" width="23.44140625" bestFit="1" customWidth="1"/>
    <col min="796" max="796" width="19.21875" bestFit="1" customWidth="1"/>
    <col min="797" max="797" width="23.44140625" bestFit="1" customWidth="1"/>
    <col min="798" max="798" width="19.21875" bestFit="1" customWidth="1"/>
    <col min="799" max="799" width="23.44140625" bestFit="1" customWidth="1"/>
    <col min="800" max="800" width="19.21875" bestFit="1" customWidth="1"/>
    <col min="801" max="801" width="23.44140625" bestFit="1" customWidth="1"/>
    <col min="802" max="802" width="19.21875" bestFit="1" customWidth="1"/>
    <col min="803" max="803" width="23.44140625" bestFit="1" customWidth="1"/>
    <col min="804" max="804" width="19.21875" bestFit="1" customWidth="1"/>
    <col min="805" max="805" width="23.44140625" bestFit="1" customWidth="1"/>
    <col min="806" max="806" width="19.21875" bestFit="1" customWidth="1"/>
    <col min="807" max="807" width="23.44140625" bestFit="1" customWidth="1"/>
    <col min="808" max="808" width="19.21875" bestFit="1" customWidth="1"/>
    <col min="809" max="809" width="23.44140625" bestFit="1" customWidth="1"/>
    <col min="810" max="810" width="19.21875" bestFit="1" customWidth="1"/>
    <col min="811" max="811" width="23.44140625" bestFit="1" customWidth="1"/>
    <col min="812" max="812" width="19.21875" bestFit="1" customWidth="1"/>
    <col min="813" max="813" width="23.44140625" bestFit="1" customWidth="1"/>
    <col min="814" max="814" width="19.21875" bestFit="1" customWidth="1"/>
    <col min="815" max="815" width="23.44140625" bestFit="1" customWidth="1"/>
    <col min="816" max="816" width="19.21875" bestFit="1" customWidth="1"/>
    <col min="817" max="817" width="23.44140625" bestFit="1" customWidth="1"/>
    <col min="818" max="818" width="19.21875" bestFit="1" customWidth="1"/>
    <col min="819" max="819" width="23.44140625" bestFit="1" customWidth="1"/>
    <col min="820" max="820" width="19.21875" bestFit="1" customWidth="1"/>
    <col min="821" max="821" width="23.44140625" bestFit="1" customWidth="1"/>
    <col min="822" max="822" width="19.21875" bestFit="1" customWidth="1"/>
    <col min="823" max="823" width="23.44140625" bestFit="1" customWidth="1"/>
    <col min="824" max="824" width="19.21875" bestFit="1" customWidth="1"/>
    <col min="825" max="825" width="23.44140625" bestFit="1" customWidth="1"/>
    <col min="826" max="826" width="19.21875" bestFit="1" customWidth="1"/>
    <col min="827" max="827" width="23.44140625" bestFit="1" customWidth="1"/>
    <col min="828" max="828" width="19.21875" bestFit="1" customWidth="1"/>
    <col min="829" max="829" width="23.44140625" bestFit="1" customWidth="1"/>
    <col min="830" max="830" width="19.21875" bestFit="1" customWidth="1"/>
    <col min="831" max="831" width="23.44140625" bestFit="1" customWidth="1"/>
    <col min="832" max="832" width="19.21875" bestFit="1" customWidth="1"/>
    <col min="833" max="833" width="23.44140625" bestFit="1" customWidth="1"/>
    <col min="834" max="834" width="19.21875" bestFit="1" customWidth="1"/>
    <col min="835" max="835" width="23.44140625" bestFit="1" customWidth="1"/>
    <col min="836" max="836" width="19.21875" bestFit="1" customWidth="1"/>
    <col min="837" max="837" width="23.44140625" bestFit="1" customWidth="1"/>
    <col min="838" max="838" width="19.21875" bestFit="1" customWidth="1"/>
    <col min="839" max="839" width="23.44140625" bestFit="1" customWidth="1"/>
    <col min="840" max="840" width="19.21875" bestFit="1" customWidth="1"/>
    <col min="841" max="841" width="23.44140625" bestFit="1" customWidth="1"/>
    <col min="842" max="842" width="19.21875" bestFit="1" customWidth="1"/>
    <col min="843" max="843" width="23.44140625" bestFit="1" customWidth="1"/>
    <col min="844" max="844" width="19.21875" bestFit="1" customWidth="1"/>
    <col min="845" max="845" width="23.44140625" bestFit="1" customWidth="1"/>
    <col min="846" max="846" width="19.21875" bestFit="1" customWidth="1"/>
    <col min="847" max="847" width="23.44140625" bestFit="1" customWidth="1"/>
    <col min="848" max="848" width="19.21875" bestFit="1" customWidth="1"/>
    <col min="849" max="849" width="23.44140625" bestFit="1" customWidth="1"/>
    <col min="850" max="850" width="19.21875" bestFit="1" customWidth="1"/>
    <col min="851" max="851" width="23.44140625" bestFit="1" customWidth="1"/>
    <col min="852" max="852" width="19.21875" bestFit="1" customWidth="1"/>
    <col min="853" max="853" width="23.44140625" bestFit="1" customWidth="1"/>
    <col min="854" max="854" width="19.21875" bestFit="1" customWidth="1"/>
    <col min="855" max="855" width="23.44140625" bestFit="1" customWidth="1"/>
    <col min="856" max="856" width="19.21875" bestFit="1" customWidth="1"/>
    <col min="857" max="857" width="23.44140625" bestFit="1" customWidth="1"/>
    <col min="858" max="858" width="19.21875" bestFit="1" customWidth="1"/>
    <col min="859" max="859" width="23.44140625" bestFit="1" customWidth="1"/>
    <col min="860" max="860" width="19.21875" bestFit="1" customWidth="1"/>
    <col min="861" max="861" width="23.44140625" bestFit="1" customWidth="1"/>
    <col min="862" max="862" width="19.21875" bestFit="1" customWidth="1"/>
    <col min="863" max="863" width="23.44140625" bestFit="1" customWidth="1"/>
    <col min="864" max="864" width="19.21875" bestFit="1" customWidth="1"/>
    <col min="865" max="865" width="23.44140625" bestFit="1" customWidth="1"/>
    <col min="866" max="866" width="19.21875" bestFit="1" customWidth="1"/>
    <col min="867" max="867" width="23.44140625" bestFit="1" customWidth="1"/>
    <col min="868" max="868" width="19.21875" bestFit="1" customWidth="1"/>
    <col min="869" max="869" width="23.44140625" bestFit="1" customWidth="1"/>
    <col min="870" max="870" width="19.21875" bestFit="1" customWidth="1"/>
    <col min="871" max="871" width="23.44140625" bestFit="1" customWidth="1"/>
    <col min="872" max="872" width="19.21875" bestFit="1" customWidth="1"/>
    <col min="873" max="873" width="23.44140625" bestFit="1" customWidth="1"/>
    <col min="874" max="874" width="19.21875" bestFit="1" customWidth="1"/>
    <col min="875" max="875" width="23.44140625" bestFit="1" customWidth="1"/>
    <col min="876" max="876" width="19.21875" bestFit="1" customWidth="1"/>
    <col min="877" max="877" width="23.44140625" bestFit="1" customWidth="1"/>
    <col min="878" max="878" width="19.21875" bestFit="1" customWidth="1"/>
    <col min="879" max="879" width="23.44140625" bestFit="1" customWidth="1"/>
    <col min="880" max="880" width="19.21875" bestFit="1" customWidth="1"/>
    <col min="881" max="881" width="23.44140625" bestFit="1" customWidth="1"/>
    <col min="882" max="882" width="19.21875" bestFit="1" customWidth="1"/>
    <col min="883" max="883" width="23.44140625" bestFit="1" customWidth="1"/>
    <col min="884" max="884" width="19.21875" bestFit="1" customWidth="1"/>
    <col min="885" max="885" width="23.44140625" bestFit="1" customWidth="1"/>
    <col min="886" max="886" width="19.21875" bestFit="1" customWidth="1"/>
    <col min="887" max="887" width="23.44140625" bestFit="1" customWidth="1"/>
    <col min="888" max="888" width="19.21875" bestFit="1" customWidth="1"/>
    <col min="889" max="889" width="23.44140625" bestFit="1" customWidth="1"/>
    <col min="890" max="890" width="19.21875" bestFit="1" customWidth="1"/>
    <col min="891" max="891" width="23.44140625" bestFit="1" customWidth="1"/>
    <col min="892" max="892" width="19.21875" bestFit="1" customWidth="1"/>
    <col min="893" max="893" width="23.44140625" bestFit="1" customWidth="1"/>
    <col min="894" max="894" width="19.21875" bestFit="1" customWidth="1"/>
    <col min="895" max="895" width="23.44140625" bestFit="1" customWidth="1"/>
    <col min="896" max="896" width="19.21875" bestFit="1" customWidth="1"/>
    <col min="897" max="897" width="23.44140625" bestFit="1" customWidth="1"/>
    <col min="898" max="898" width="19.21875" bestFit="1" customWidth="1"/>
    <col min="899" max="899" width="23.44140625" bestFit="1" customWidth="1"/>
    <col min="900" max="900" width="19.21875" bestFit="1" customWidth="1"/>
    <col min="901" max="901" width="23.44140625" bestFit="1" customWidth="1"/>
    <col min="902" max="902" width="19.21875" bestFit="1" customWidth="1"/>
    <col min="903" max="903" width="23.44140625" bestFit="1" customWidth="1"/>
    <col min="904" max="904" width="19.21875" bestFit="1" customWidth="1"/>
    <col min="905" max="905" width="23.44140625" bestFit="1" customWidth="1"/>
    <col min="906" max="906" width="19.21875" bestFit="1" customWidth="1"/>
    <col min="907" max="907" width="23.44140625" bestFit="1" customWidth="1"/>
    <col min="908" max="908" width="19.21875" bestFit="1" customWidth="1"/>
    <col min="909" max="909" width="23.44140625" bestFit="1" customWidth="1"/>
    <col min="910" max="910" width="19.21875" bestFit="1" customWidth="1"/>
    <col min="911" max="911" width="23.44140625" bestFit="1" customWidth="1"/>
    <col min="912" max="912" width="19.21875" bestFit="1" customWidth="1"/>
    <col min="913" max="913" width="23.44140625" bestFit="1" customWidth="1"/>
    <col min="914" max="914" width="19.21875" bestFit="1" customWidth="1"/>
    <col min="915" max="915" width="23.44140625" bestFit="1" customWidth="1"/>
    <col min="916" max="916" width="19.21875" bestFit="1" customWidth="1"/>
    <col min="917" max="917" width="23.44140625" bestFit="1" customWidth="1"/>
    <col min="918" max="918" width="19.21875" bestFit="1" customWidth="1"/>
    <col min="919" max="919" width="23.44140625" bestFit="1" customWidth="1"/>
    <col min="920" max="920" width="19.21875" bestFit="1" customWidth="1"/>
    <col min="921" max="921" width="23.44140625" bestFit="1" customWidth="1"/>
    <col min="922" max="922" width="19.21875" bestFit="1" customWidth="1"/>
    <col min="923" max="923" width="23.44140625" bestFit="1" customWidth="1"/>
    <col min="924" max="924" width="19.21875" bestFit="1" customWidth="1"/>
    <col min="925" max="925" width="23.44140625" bestFit="1" customWidth="1"/>
    <col min="926" max="926" width="19.21875" bestFit="1" customWidth="1"/>
    <col min="927" max="927" width="23.44140625" bestFit="1" customWidth="1"/>
    <col min="928" max="928" width="19.21875" bestFit="1" customWidth="1"/>
    <col min="929" max="929" width="23.44140625" bestFit="1" customWidth="1"/>
    <col min="930" max="930" width="19.21875" bestFit="1" customWidth="1"/>
    <col min="931" max="931" width="23.44140625" bestFit="1" customWidth="1"/>
    <col min="932" max="932" width="19.21875" bestFit="1" customWidth="1"/>
    <col min="933" max="933" width="23.44140625" bestFit="1" customWidth="1"/>
    <col min="934" max="934" width="19.21875" bestFit="1" customWidth="1"/>
    <col min="935" max="935" width="23.44140625" bestFit="1" customWidth="1"/>
    <col min="936" max="936" width="19.21875" bestFit="1" customWidth="1"/>
    <col min="937" max="937" width="23.44140625" bestFit="1" customWidth="1"/>
    <col min="938" max="938" width="19.21875" bestFit="1" customWidth="1"/>
    <col min="939" max="939" width="23.44140625" bestFit="1" customWidth="1"/>
    <col min="940" max="940" width="19.21875" bestFit="1" customWidth="1"/>
    <col min="941" max="941" width="23.44140625" bestFit="1" customWidth="1"/>
    <col min="942" max="942" width="19.21875" bestFit="1" customWidth="1"/>
    <col min="943" max="943" width="23.44140625" bestFit="1" customWidth="1"/>
    <col min="944" max="944" width="19.21875" bestFit="1" customWidth="1"/>
    <col min="945" max="945" width="23.44140625" bestFit="1" customWidth="1"/>
    <col min="946" max="946" width="19.21875" bestFit="1" customWidth="1"/>
    <col min="947" max="947" width="23.44140625" bestFit="1" customWidth="1"/>
    <col min="948" max="948" width="19.21875" bestFit="1" customWidth="1"/>
    <col min="949" max="949" width="23.44140625" bestFit="1" customWidth="1"/>
    <col min="950" max="950" width="19.21875" bestFit="1" customWidth="1"/>
    <col min="951" max="951" width="23.44140625" bestFit="1" customWidth="1"/>
    <col min="952" max="952" width="19.21875" bestFit="1" customWidth="1"/>
    <col min="953" max="953" width="23.44140625" bestFit="1" customWidth="1"/>
    <col min="954" max="954" width="19.21875" bestFit="1" customWidth="1"/>
    <col min="955" max="955" width="23.44140625" bestFit="1" customWidth="1"/>
    <col min="956" max="956" width="19.21875" bestFit="1" customWidth="1"/>
    <col min="957" max="957" width="23.44140625" bestFit="1" customWidth="1"/>
    <col min="958" max="958" width="19.21875" bestFit="1" customWidth="1"/>
    <col min="959" max="959" width="23.44140625" bestFit="1" customWidth="1"/>
    <col min="960" max="960" width="19.21875" bestFit="1" customWidth="1"/>
    <col min="961" max="961" width="23.44140625" bestFit="1" customWidth="1"/>
    <col min="962" max="962" width="19.21875" bestFit="1" customWidth="1"/>
    <col min="963" max="963" width="23.44140625" bestFit="1" customWidth="1"/>
    <col min="964" max="964" width="19.21875" bestFit="1" customWidth="1"/>
    <col min="965" max="965" width="23.44140625" bestFit="1" customWidth="1"/>
    <col min="966" max="966" width="19.21875" bestFit="1" customWidth="1"/>
    <col min="967" max="967" width="23.44140625" bestFit="1" customWidth="1"/>
    <col min="968" max="968" width="19.21875" bestFit="1" customWidth="1"/>
    <col min="969" max="969" width="23.44140625" bestFit="1" customWidth="1"/>
    <col min="970" max="970" width="19.21875" bestFit="1" customWidth="1"/>
    <col min="971" max="971" width="23.44140625" bestFit="1" customWidth="1"/>
    <col min="972" max="972" width="19.21875" bestFit="1" customWidth="1"/>
    <col min="973" max="973" width="23.44140625" bestFit="1" customWidth="1"/>
    <col min="974" max="974" width="19.21875" bestFit="1" customWidth="1"/>
    <col min="975" max="975" width="23.44140625" bestFit="1" customWidth="1"/>
    <col min="976" max="976" width="19.21875" bestFit="1" customWidth="1"/>
    <col min="977" max="977" width="23.44140625" bestFit="1" customWidth="1"/>
    <col min="978" max="978" width="19.21875" bestFit="1" customWidth="1"/>
    <col min="979" max="979" width="23.44140625" bestFit="1" customWidth="1"/>
    <col min="980" max="980" width="19.21875" bestFit="1" customWidth="1"/>
    <col min="981" max="981" width="23.44140625" bestFit="1" customWidth="1"/>
    <col min="982" max="982" width="19.21875" bestFit="1" customWidth="1"/>
    <col min="983" max="983" width="23.44140625" bestFit="1" customWidth="1"/>
    <col min="984" max="984" width="19.21875" bestFit="1" customWidth="1"/>
    <col min="985" max="985" width="23.44140625" bestFit="1" customWidth="1"/>
    <col min="986" max="986" width="19.21875" bestFit="1" customWidth="1"/>
    <col min="987" max="987" width="23.44140625" bestFit="1" customWidth="1"/>
    <col min="988" max="988" width="19.21875" bestFit="1" customWidth="1"/>
    <col min="989" max="989" width="23.44140625" bestFit="1" customWidth="1"/>
    <col min="990" max="990" width="19.21875" bestFit="1" customWidth="1"/>
    <col min="991" max="991" width="23.44140625" bestFit="1" customWidth="1"/>
    <col min="992" max="992" width="19.21875" bestFit="1" customWidth="1"/>
    <col min="993" max="993" width="23.44140625" bestFit="1" customWidth="1"/>
    <col min="994" max="994" width="19.21875" bestFit="1" customWidth="1"/>
    <col min="995" max="995" width="23.44140625" bestFit="1" customWidth="1"/>
    <col min="996" max="996" width="19.21875" bestFit="1" customWidth="1"/>
    <col min="997" max="997" width="23.44140625" bestFit="1" customWidth="1"/>
    <col min="998" max="998" width="19.21875" bestFit="1" customWidth="1"/>
    <col min="999" max="999" width="23.44140625" bestFit="1" customWidth="1"/>
    <col min="1000" max="1000" width="19.21875" bestFit="1" customWidth="1"/>
    <col min="1001" max="1001" width="23.44140625" bestFit="1" customWidth="1"/>
    <col min="1002" max="1002" width="19.21875" bestFit="1" customWidth="1"/>
    <col min="1003" max="1003" width="23.44140625" bestFit="1" customWidth="1"/>
    <col min="1004" max="1004" width="19.21875" bestFit="1" customWidth="1"/>
    <col min="1005" max="1005" width="23.44140625" bestFit="1" customWidth="1"/>
    <col min="1006" max="1006" width="19.21875" bestFit="1" customWidth="1"/>
    <col min="1007" max="1007" width="23.44140625" bestFit="1" customWidth="1"/>
    <col min="1008" max="1008" width="19.21875" bestFit="1" customWidth="1"/>
    <col min="1009" max="1009" width="23.44140625" bestFit="1" customWidth="1"/>
    <col min="1010" max="1010" width="19.21875" bestFit="1" customWidth="1"/>
    <col min="1011" max="1011" width="23.44140625" bestFit="1" customWidth="1"/>
    <col min="1012" max="1012" width="19.21875" bestFit="1" customWidth="1"/>
    <col min="1013" max="1013" width="23.44140625" bestFit="1" customWidth="1"/>
    <col min="1014" max="1014" width="19.21875" bestFit="1" customWidth="1"/>
    <col min="1015" max="1015" width="23.44140625" bestFit="1" customWidth="1"/>
    <col min="1016" max="1016" width="19.21875" bestFit="1" customWidth="1"/>
    <col min="1017" max="1017" width="23.44140625" bestFit="1" customWidth="1"/>
    <col min="1018" max="1018" width="19.21875" bestFit="1" customWidth="1"/>
    <col min="1019" max="1019" width="23.44140625" bestFit="1" customWidth="1"/>
    <col min="1020" max="1020" width="19.21875" bestFit="1" customWidth="1"/>
    <col min="1021" max="1021" width="23.44140625" bestFit="1" customWidth="1"/>
    <col min="1022" max="1022" width="19.21875" bestFit="1" customWidth="1"/>
    <col min="1023" max="1023" width="23.44140625" bestFit="1" customWidth="1"/>
    <col min="1024" max="1024" width="19.21875" bestFit="1" customWidth="1"/>
    <col min="1025" max="1025" width="23.44140625" bestFit="1" customWidth="1"/>
    <col min="1026" max="1026" width="19.21875" bestFit="1" customWidth="1"/>
    <col min="1027" max="1027" width="23.44140625" bestFit="1" customWidth="1"/>
    <col min="1028" max="1028" width="19.21875" bestFit="1" customWidth="1"/>
    <col min="1029" max="1029" width="23.44140625" bestFit="1" customWidth="1"/>
    <col min="1030" max="1030" width="19.21875" bestFit="1" customWidth="1"/>
    <col min="1031" max="1031" width="23.44140625" bestFit="1" customWidth="1"/>
    <col min="1032" max="1032" width="19.21875" bestFit="1" customWidth="1"/>
    <col min="1033" max="1033" width="23.44140625" bestFit="1" customWidth="1"/>
    <col min="1034" max="1034" width="19.21875" bestFit="1" customWidth="1"/>
    <col min="1035" max="1035" width="23.44140625" bestFit="1" customWidth="1"/>
    <col min="1036" max="1036" width="19.21875" bestFit="1" customWidth="1"/>
    <col min="1037" max="1037" width="23.44140625" bestFit="1" customWidth="1"/>
    <col min="1038" max="1038" width="19.21875" bestFit="1" customWidth="1"/>
    <col min="1039" max="1039" width="23.44140625" bestFit="1" customWidth="1"/>
    <col min="1040" max="1040" width="19.21875" bestFit="1" customWidth="1"/>
    <col min="1041" max="1041" width="23.44140625" bestFit="1" customWidth="1"/>
    <col min="1042" max="1042" width="19.21875" bestFit="1" customWidth="1"/>
    <col min="1043" max="1043" width="23.44140625" bestFit="1" customWidth="1"/>
    <col min="1044" max="1044" width="19.21875" bestFit="1" customWidth="1"/>
    <col min="1045" max="1045" width="23.44140625" bestFit="1" customWidth="1"/>
    <col min="1046" max="1046" width="19.21875" bestFit="1" customWidth="1"/>
    <col min="1047" max="1047" width="23.44140625" bestFit="1" customWidth="1"/>
    <col min="1048" max="1048" width="19.21875" bestFit="1" customWidth="1"/>
    <col min="1049" max="1049" width="23.44140625" bestFit="1" customWidth="1"/>
    <col min="1050" max="1050" width="19.21875" bestFit="1" customWidth="1"/>
    <col min="1051" max="1051" width="23.44140625" bestFit="1" customWidth="1"/>
    <col min="1052" max="1052" width="19.21875" bestFit="1" customWidth="1"/>
    <col min="1053" max="1053" width="23.44140625" bestFit="1" customWidth="1"/>
    <col min="1054" max="1054" width="19.21875" bestFit="1" customWidth="1"/>
    <col min="1055" max="1055" width="23.44140625" bestFit="1" customWidth="1"/>
    <col min="1056" max="1056" width="19.21875" bestFit="1" customWidth="1"/>
    <col min="1057" max="1057" width="23.44140625" bestFit="1" customWidth="1"/>
    <col min="1058" max="1058" width="19.21875" bestFit="1" customWidth="1"/>
    <col min="1059" max="1059" width="23.44140625" bestFit="1" customWidth="1"/>
    <col min="1060" max="1060" width="19.21875" bestFit="1" customWidth="1"/>
    <col min="1061" max="1061" width="23.44140625" bestFit="1" customWidth="1"/>
    <col min="1062" max="1062" width="19.21875" bestFit="1" customWidth="1"/>
    <col min="1063" max="1063" width="23.44140625" bestFit="1" customWidth="1"/>
    <col min="1064" max="1064" width="19.21875" bestFit="1" customWidth="1"/>
    <col min="1065" max="1065" width="23.44140625" bestFit="1" customWidth="1"/>
    <col min="1066" max="1066" width="19.21875" bestFit="1" customWidth="1"/>
    <col min="1067" max="1067" width="23.44140625" bestFit="1" customWidth="1"/>
    <col min="1068" max="1068" width="19.21875" bestFit="1" customWidth="1"/>
    <col min="1069" max="1069" width="23.44140625" bestFit="1" customWidth="1"/>
    <col min="1070" max="1070" width="19.21875" bestFit="1" customWidth="1"/>
    <col min="1071" max="1071" width="23.44140625" bestFit="1" customWidth="1"/>
    <col min="1072" max="1072" width="19.21875" bestFit="1" customWidth="1"/>
    <col min="1073" max="1073" width="23.44140625" bestFit="1" customWidth="1"/>
    <col min="1074" max="1074" width="19.21875" bestFit="1" customWidth="1"/>
    <col min="1075" max="1075" width="23.44140625" bestFit="1" customWidth="1"/>
    <col min="1076" max="1076" width="19.21875" bestFit="1" customWidth="1"/>
    <col min="1077" max="1077" width="23.44140625" bestFit="1" customWidth="1"/>
    <col min="1078" max="1078" width="19.21875" bestFit="1" customWidth="1"/>
    <col min="1079" max="1079" width="23.44140625" bestFit="1" customWidth="1"/>
    <col min="1080" max="1080" width="19.21875" bestFit="1" customWidth="1"/>
    <col min="1081" max="1081" width="23.44140625" bestFit="1" customWidth="1"/>
    <col min="1082" max="1082" width="19.21875" bestFit="1" customWidth="1"/>
    <col min="1083" max="1083" width="23.44140625" bestFit="1" customWidth="1"/>
    <col min="1084" max="1084" width="19.21875" bestFit="1" customWidth="1"/>
    <col min="1085" max="1085" width="23.44140625" bestFit="1" customWidth="1"/>
    <col min="1086" max="1086" width="19.21875" bestFit="1" customWidth="1"/>
    <col min="1087" max="1087" width="23.44140625" bestFit="1" customWidth="1"/>
    <col min="1088" max="1088" width="19.21875" bestFit="1" customWidth="1"/>
    <col min="1089" max="1089" width="23.44140625" bestFit="1" customWidth="1"/>
    <col min="1090" max="1090" width="19.21875" bestFit="1" customWidth="1"/>
    <col min="1091" max="1091" width="23.44140625" bestFit="1" customWidth="1"/>
    <col min="1092" max="1092" width="19.21875" bestFit="1" customWidth="1"/>
    <col min="1093" max="1093" width="23.44140625" bestFit="1" customWidth="1"/>
    <col min="1094" max="1094" width="19.21875" bestFit="1" customWidth="1"/>
    <col min="1095" max="1095" width="23.44140625" bestFit="1" customWidth="1"/>
    <col min="1096" max="1096" width="19.21875" bestFit="1" customWidth="1"/>
    <col min="1097" max="1097" width="23.44140625" bestFit="1" customWidth="1"/>
    <col min="1098" max="1098" width="19.21875" bestFit="1" customWidth="1"/>
    <col min="1099" max="1099" width="23.44140625" bestFit="1" customWidth="1"/>
    <col min="1100" max="1100" width="19.21875" bestFit="1" customWidth="1"/>
    <col min="1101" max="1101" width="23.44140625" bestFit="1" customWidth="1"/>
    <col min="1102" max="1102" width="19.21875" bestFit="1" customWidth="1"/>
    <col min="1103" max="1103" width="23.44140625" bestFit="1" customWidth="1"/>
    <col min="1104" max="1104" width="19.21875" bestFit="1" customWidth="1"/>
    <col min="1105" max="1105" width="23.44140625" bestFit="1" customWidth="1"/>
    <col min="1106" max="1106" width="19.21875" bestFit="1" customWidth="1"/>
    <col min="1107" max="1107" width="23.44140625" bestFit="1" customWidth="1"/>
    <col min="1108" max="1108" width="19.21875" bestFit="1" customWidth="1"/>
    <col min="1109" max="1109" width="23.44140625" bestFit="1" customWidth="1"/>
    <col min="1110" max="1110" width="19.21875" bestFit="1" customWidth="1"/>
    <col min="1111" max="1111" width="23.44140625" bestFit="1" customWidth="1"/>
    <col min="1112" max="1112" width="19.21875" bestFit="1" customWidth="1"/>
    <col min="1113" max="1113" width="23.44140625" bestFit="1" customWidth="1"/>
    <col min="1114" max="1114" width="19.21875" bestFit="1" customWidth="1"/>
    <col min="1115" max="1115" width="23.44140625" bestFit="1" customWidth="1"/>
    <col min="1116" max="1116" width="19.21875" bestFit="1" customWidth="1"/>
    <col min="1117" max="1117" width="23.44140625" bestFit="1" customWidth="1"/>
    <col min="1118" max="1118" width="19.21875" bestFit="1" customWidth="1"/>
    <col min="1119" max="1119" width="23.44140625" bestFit="1" customWidth="1"/>
    <col min="1120" max="1120" width="19.21875" bestFit="1" customWidth="1"/>
    <col min="1121" max="1121" width="23.44140625" bestFit="1" customWidth="1"/>
    <col min="1122" max="1122" width="19.21875" bestFit="1" customWidth="1"/>
    <col min="1123" max="1123" width="23.44140625" bestFit="1" customWidth="1"/>
    <col min="1124" max="1124" width="19.21875" bestFit="1" customWidth="1"/>
    <col min="1125" max="1125" width="23.44140625" bestFit="1" customWidth="1"/>
    <col min="1126" max="1126" width="19.21875" bestFit="1" customWidth="1"/>
    <col min="1127" max="1127" width="23.44140625" bestFit="1" customWidth="1"/>
    <col min="1128" max="1128" width="19.21875" bestFit="1" customWidth="1"/>
    <col min="1129" max="1129" width="23.44140625" bestFit="1" customWidth="1"/>
    <col min="1130" max="1130" width="19.21875" bestFit="1" customWidth="1"/>
    <col min="1131" max="1131" width="23.44140625" bestFit="1" customWidth="1"/>
    <col min="1132" max="1132" width="19.21875" bestFit="1" customWidth="1"/>
    <col min="1133" max="1133" width="23.44140625" bestFit="1" customWidth="1"/>
    <col min="1134" max="1134" width="19.21875" bestFit="1" customWidth="1"/>
    <col min="1135" max="1135" width="23.44140625" bestFit="1" customWidth="1"/>
    <col min="1136" max="1136" width="19.21875" bestFit="1" customWidth="1"/>
    <col min="1137" max="1137" width="23.44140625" bestFit="1" customWidth="1"/>
    <col min="1138" max="1138" width="19.21875" bestFit="1" customWidth="1"/>
    <col min="1139" max="1139" width="23.44140625" bestFit="1" customWidth="1"/>
    <col min="1140" max="1140" width="19.21875" bestFit="1" customWidth="1"/>
    <col min="1141" max="1141" width="23.44140625" bestFit="1" customWidth="1"/>
    <col min="1142" max="1142" width="19.21875" bestFit="1" customWidth="1"/>
    <col min="1143" max="1143" width="23.44140625" bestFit="1" customWidth="1"/>
    <col min="1144" max="1144" width="19.21875" bestFit="1" customWidth="1"/>
    <col min="1145" max="1145" width="23.44140625" bestFit="1" customWidth="1"/>
    <col min="1146" max="1146" width="19.21875" bestFit="1" customWidth="1"/>
    <col min="1147" max="1147" width="23.44140625" bestFit="1" customWidth="1"/>
    <col min="1148" max="1148" width="19.21875" bestFit="1" customWidth="1"/>
    <col min="1149" max="1149" width="23.44140625" bestFit="1" customWidth="1"/>
    <col min="1150" max="1150" width="19.21875" bestFit="1" customWidth="1"/>
    <col min="1151" max="1151" width="23.44140625" bestFit="1" customWidth="1"/>
    <col min="1152" max="1152" width="19.21875" bestFit="1" customWidth="1"/>
    <col min="1153" max="1153" width="23.44140625" bestFit="1" customWidth="1"/>
    <col min="1154" max="1154" width="19.21875" bestFit="1" customWidth="1"/>
    <col min="1155" max="1155" width="23.44140625" bestFit="1" customWidth="1"/>
    <col min="1156" max="1156" width="19.21875" bestFit="1" customWidth="1"/>
    <col min="1157" max="1157" width="23.44140625" bestFit="1" customWidth="1"/>
    <col min="1158" max="1158" width="19.21875" bestFit="1" customWidth="1"/>
    <col min="1159" max="1159" width="23.44140625" bestFit="1" customWidth="1"/>
    <col min="1160" max="1160" width="19.21875" bestFit="1" customWidth="1"/>
    <col min="1161" max="1161" width="23.44140625" bestFit="1" customWidth="1"/>
    <col min="1162" max="1162" width="19.21875" bestFit="1" customWidth="1"/>
    <col min="1163" max="1163" width="23.44140625" bestFit="1" customWidth="1"/>
    <col min="1164" max="1164" width="19.21875" bestFit="1" customWidth="1"/>
    <col min="1165" max="1165" width="23.44140625" bestFit="1" customWidth="1"/>
    <col min="1166" max="1166" width="19.21875" bestFit="1" customWidth="1"/>
    <col min="1167" max="1167" width="23.44140625" bestFit="1" customWidth="1"/>
    <col min="1168" max="1168" width="19.21875" bestFit="1" customWidth="1"/>
    <col min="1169" max="1169" width="23.44140625" bestFit="1" customWidth="1"/>
    <col min="1170" max="1170" width="19.21875" bestFit="1" customWidth="1"/>
    <col min="1171" max="1171" width="23.44140625" bestFit="1" customWidth="1"/>
    <col min="1172" max="1172" width="19.21875" bestFit="1" customWidth="1"/>
    <col min="1173" max="1173" width="23.44140625" bestFit="1" customWidth="1"/>
    <col min="1174" max="1174" width="19.21875" bestFit="1" customWidth="1"/>
    <col min="1175" max="1175" width="23.44140625" bestFit="1" customWidth="1"/>
    <col min="1176" max="1176" width="19.21875" bestFit="1" customWidth="1"/>
    <col min="1177" max="1177" width="23.44140625" bestFit="1" customWidth="1"/>
    <col min="1178" max="1178" width="19.21875" bestFit="1" customWidth="1"/>
    <col min="1179" max="1179" width="23.44140625" bestFit="1" customWidth="1"/>
    <col min="1180" max="1180" width="19.21875" bestFit="1" customWidth="1"/>
    <col min="1181" max="1181" width="23.44140625" bestFit="1" customWidth="1"/>
    <col min="1182" max="1182" width="19.21875" bestFit="1" customWidth="1"/>
    <col min="1183" max="1183" width="23.44140625" bestFit="1" customWidth="1"/>
    <col min="1184" max="1184" width="19.21875" bestFit="1" customWidth="1"/>
    <col min="1185" max="1185" width="23.44140625" bestFit="1" customWidth="1"/>
    <col min="1186" max="1186" width="19.21875" bestFit="1" customWidth="1"/>
    <col min="1187" max="1187" width="23.44140625" bestFit="1" customWidth="1"/>
    <col min="1188" max="1188" width="19.21875" bestFit="1" customWidth="1"/>
    <col min="1189" max="1189" width="23.44140625" bestFit="1" customWidth="1"/>
    <col min="1190" max="1190" width="19.21875" bestFit="1" customWidth="1"/>
    <col min="1191" max="1191" width="23.44140625" bestFit="1" customWidth="1"/>
    <col min="1192" max="1192" width="19.21875" bestFit="1" customWidth="1"/>
    <col min="1193" max="1193" width="23.44140625" bestFit="1" customWidth="1"/>
    <col min="1194" max="1194" width="19.21875" bestFit="1" customWidth="1"/>
    <col min="1195" max="1195" width="23.44140625" bestFit="1" customWidth="1"/>
    <col min="1196" max="1196" width="19.21875" bestFit="1" customWidth="1"/>
    <col min="1197" max="1197" width="23.44140625" bestFit="1" customWidth="1"/>
    <col min="1198" max="1198" width="19.21875" bestFit="1" customWidth="1"/>
    <col min="1199" max="1199" width="23.44140625" bestFit="1" customWidth="1"/>
    <col min="1200" max="1200" width="19.21875" bestFit="1" customWidth="1"/>
    <col min="1201" max="1201" width="23.44140625" bestFit="1" customWidth="1"/>
    <col min="1202" max="1202" width="19.21875" bestFit="1" customWidth="1"/>
    <col min="1203" max="1203" width="23.44140625" bestFit="1" customWidth="1"/>
    <col min="1204" max="1204" width="19.21875" bestFit="1" customWidth="1"/>
    <col min="1205" max="1205" width="23.44140625" bestFit="1" customWidth="1"/>
    <col min="1206" max="1206" width="19.21875" bestFit="1" customWidth="1"/>
    <col min="1207" max="1207" width="23.44140625" bestFit="1" customWidth="1"/>
    <col min="1208" max="1208" width="19.21875" bestFit="1" customWidth="1"/>
    <col min="1209" max="1209" width="23.44140625" bestFit="1" customWidth="1"/>
    <col min="1210" max="1210" width="19.21875" bestFit="1" customWidth="1"/>
    <col min="1211" max="1211" width="23.44140625" bestFit="1" customWidth="1"/>
    <col min="1212" max="1212" width="19.21875" bestFit="1" customWidth="1"/>
    <col min="1213" max="1213" width="23.44140625" bestFit="1" customWidth="1"/>
    <col min="1214" max="1214" width="19.21875" bestFit="1" customWidth="1"/>
    <col min="1215" max="1215" width="23.44140625" bestFit="1" customWidth="1"/>
    <col min="1216" max="1216" width="19.21875" bestFit="1" customWidth="1"/>
    <col min="1217" max="1217" width="23.44140625" bestFit="1" customWidth="1"/>
    <col min="1218" max="1218" width="19.21875" bestFit="1" customWidth="1"/>
    <col min="1219" max="1219" width="23.44140625" bestFit="1" customWidth="1"/>
    <col min="1220" max="1220" width="19.21875" bestFit="1" customWidth="1"/>
    <col min="1221" max="1221" width="23.44140625" bestFit="1" customWidth="1"/>
    <col min="1222" max="1222" width="19.21875" bestFit="1" customWidth="1"/>
    <col min="1223" max="1223" width="23.44140625" bestFit="1" customWidth="1"/>
    <col min="1224" max="1224" width="19.21875" bestFit="1" customWidth="1"/>
    <col min="1225" max="1225" width="23.44140625" bestFit="1" customWidth="1"/>
    <col min="1226" max="1226" width="19.21875" bestFit="1" customWidth="1"/>
    <col min="1227" max="1227" width="23.44140625" bestFit="1" customWidth="1"/>
    <col min="1228" max="1228" width="19.21875" bestFit="1" customWidth="1"/>
    <col min="1229" max="1229" width="23.44140625" bestFit="1" customWidth="1"/>
    <col min="1230" max="1230" width="19.21875" bestFit="1" customWidth="1"/>
    <col min="1231" max="1231" width="23.44140625" bestFit="1" customWidth="1"/>
    <col min="1232" max="1232" width="19.21875" bestFit="1" customWidth="1"/>
    <col min="1233" max="1233" width="23.44140625" bestFit="1" customWidth="1"/>
    <col min="1234" max="1234" width="19.21875" bestFit="1" customWidth="1"/>
    <col min="1235" max="1235" width="23.44140625" bestFit="1" customWidth="1"/>
    <col min="1236" max="1236" width="19.21875" bestFit="1" customWidth="1"/>
    <col min="1237" max="1237" width="23.44140625" bestFit="1" customWidth="1"/>
    <col min="1238" max="1238" width="19.21875" bestFit="1" customWidth="1"/>
    <col min="1239" max="1239" width="23.44140625" bestFit="1" customWidth="1"/>
    <col min="1240" max="1240" width="19.21875" bestFit="1" customWidth="1"/>
    <col min="1241" max="1241" width="23.44140625" bestFit="1" customWidth="1"/>
    <col min="1242" max="1242" width="19.21875" bestFit="1" customWidth="1"/>
    <col min="1243" max="1243" width="23.44140625" bestFit="1" customWidth="1"/>
    <col min="1244" max="1244" width="19.21875" bestFit="1" customWidth="1"/>
    <col min="1245" max="1245" width="23.44140625" bestFit="1" customWidth="1"/>
    <col min="1246" max="1246" width="19.21875" bestFit="1" customWidth="1"/>
    <col min="1247" max="1247" width="23.44140625" bestFit="1" customWidth="1"/>
    <col min="1248" max="1248" width="19.21875" bestFit="1" customWidth="1"/>
    <col min="1249" max="1249" width="23.44140625" bestFit="1" customWidth="1"/>
    <col min="1250" max="1250" width="19.21875" bestFit="1" customWidth="1"/>
    <col min="1251" max="1251" width="23.44140625" bestFit="1" customWidth="1"/>
    <col min="1252" max="1252" width="19.21875" bestFit="1" customWidth="1"/>
    <col min="1253" max="1253" width="23.44140625" bestFit="1" customWidth="1"/>
    <col min="1254" max="1254" width="19.21875" bestFit="1" customWidth="1"/>
    <col min="1255" max="1255" width="23.44140625" bestFit="1" customWidth="1"/>
    <col min="1256" max="1256" width="19.21875" bestFit="1" customWidth="1"/>
    <col min="1257" max="1257" width="23.44140625" bestFit="1" customWidth="1"/>
    <col min="1258" max="1258" width="19.21875" bestFit="1" customWidth="1"/>
    <col min="1259" max="1259" width="23.44140625" bestFit="1" customWidth="1"/>
    <col min="1260" max="1260" width="19.21875" bestFit="1" customWidth="1"/>
    <col min="1261" max="1261" width="23.44140625" bestFit="1" customWidth="1"/>
    <col min="1262" max="1262" width="19.21875" bestFit="1" customWidth="1"/>
    <col min="1263" max="1263" width="23.44140625" bestFit="1" customWidth="1"/>
    <col min="1264" max="1264" width="19.21875" bestFit="1" customWidth="1"/>
    <col min="1265" max="1265" width="23.44140625" bestFit="1" customWidth="1"/>
    <col min="1266" max="1266" width="19.21875" bestFit="1" customWidth="1"/>
    <col min="1267" max="1267" width="23.44140625" bestFit="1" customWidth="1"/>
    <col min="1268" max="1268" width="19.21875" bestFit="1" customWidth="1"/>
    <col min="1269" max="1269" width="23.44140625" bestFit="1" customWidth="1"/>
    <col min="1270" max="1270" width="19.21875" bestFit="1" customWidth="1"/>
    <col min="1271" max="1271" width="23.44140625" bestFit="1" customWidth="1"/>
    <col min="1272" max="1272" width="19.21875" bestFit="1" customWidth="1"/>
    <col min="1273" max="1273" width="23.44140625" bestFit="1" customWidth="1"/>
    <col min="1274" max="1274" width="19.21875" bestFit="1" customWidth="1"/>
    <col min="1275" max="1275" width="23.44140625" bestFit="1" customWidth="1"/>
    <col min="1276" max="1276" width="19.21875" bestFit="1" customWidth="1"/>
    <col min="1277" max="1277" width="23.44140625" bestFit="1" customWidth="1"/>
    <col min="1278" max="1278" width="19.21875" bestFit="1" customWidth="1"/>
    <col min="1279" max="1279" width="23.44140625" bestFit="1" customWidth="1"/>
    <col min="1280" max="1280" width="19.21875" bestFit="1" customWidth="1"/>
    <col min="1281" max="1281" width="23.44140625" bestFit="1" customWidth="1"/>
    <col min="1282" max="1282" width="19.21875" bestFit="1" customWidth="1"/>
    <col min="1283" max="1283" width="23.44140625" bestFit="1" customWidth="1"/>
    <col min="1284" max="1284" width="19.21875" bestFit="1" customWidth="1"/>
    <col min="1285" max="1285" width="23.44140625" bestFit="1" customWidth="1"/>
    <col min="1286" max="1286" width="19.21875" bestFit="1" customWidth="1"/>
    <col min="1287" max="1287" width="23.44140625" bestFit="1" customWidth="1"/>
    <col min="1288" max="1288" width="19.21875" bestFit="1" customWidth="1"/>
    <col min="1289" max="1289" width="23.44140625" bestFit="1" customWidth="1"/>
    <col min="1290" max="1290" width="19.21875" bestFit="1" customWidth="1"/>
    <col min="1291" max="1291" width="23.44140625" bestFit="1" customWidth="1"/>
    <col min="1292" max="1292" width="19.21875" bestFit="1" customWidth="1"/>
    <col min="1293" max="1293" width="23.44140625" bestFit="1" customWidth="1"/>
    <col min="1294" max="1294" width="19.21875" bestFit="1" customWidth="1"/>
    <col min="1295" max="1295" width="23.44140625" bestFit="1" customWidth="1"/>
    <col min="1296" max="1296" width="19.21875" bestFit="1" customWidth="1"/>
    <col min="1297" max="1297" width="23.44140625" bestFit="1" customWidth="1"/>
    <col min="1298" max="1298" width="19.21875" bestFit="1" customWidth="1"/>
    <col min="1299" max="1299" width="23.44140625" bestFit="1" customWidth="1"/>
    <col min="1300" max="1300" width="19.21875" bestFit="1" customWidth="1"/>
    <col min="1301" max="1301" width="23.44140625" bestFit="1" customWidth="1"/>
    <col min="1302" max="1302" width="19.21875" bestFit="1" customWidth="1"/>
    <col min="1303" max="1303" width="23.44140625" bestFit="1" customWidth="1"/>
    <col min="1304" max="1304" width="19.21875" bestFit="1" customWidth="1"/>
    <col min="1305" max="1305" width="23.44140625" bestFit="1" customWidth="1"/>
    <col min="1306" max="1306" width="19.21875" bestFit="1" customWidth="1"/>
    <col min="1307" max="1307" width="23.44140625" bestFit="1" customWidth="1"/>
    <col min="1308" max="1308" width="19.21875" bestFit="1" customWidth="1"/>
    <col min="1309" max="1309" width="23.44140625" bestFit="1" customWidth="1"/>
    <col min="1310" max="1310" width="19.21875" bestFit="1" customWidth="1"/>
    <col min="1311" max="1311" width="23.44140625" bestFit="1" customWidth="1"/>
    <col min="1312" max="1312" width="19.21875" bestFit="1" customWidth="1"/>
    <col min="1313" max="1313" width="23.44140625" bestFit="1" customWidth="1"/>
    <col min="1314" max="1314" width="19.21875" bestFit="1" customWidth="1"/>
    <col min="1315" max="1315" width="23.44140625" bestFit="1" customWidth="1"/>
    <col min="1316" max="1316" width="19.21875" bestFit="1" customWidth="1"/>
    <col min="1317" max="1317" width="23.44140625" bestFit="1" customWidth="1"/>
    <col min="1318" max="1318" width="19.21875" bestFit="1" customWidth="1"/>
    <col min="1319" max="1319" width="23.44140625" bestFit="1" customWidth="1"/>
    <col min="1320" max="1320" width="19.21875" bestFit="1" customWidth="1"/>
    <col min="1321" max="1321" width="23.44140625" bestFit="1" customWidth="1"/>
    <col min="1322" max="1322" width="19.21875" bestFit="1" customWidth="1"/>
    <col min="1323" max="1323" width="23.44140625" bestFit="1" customWidth="1"/>
    <col min="1324" max="1324" width="19.21875" bestFit="1" customWidth="1"/>
    <col min="1325" max="1325" width="23.44140625" bestFit="1" customWidth="1"/>
    <col min="1326" max="1326" width="19.21875" bestFit="1" customWidth="1"/>
    <col min="1327" max="1327" width="23.44140625" bestFit="1" customWidth="1"/>
    <col min="1328" max="1328" width="19.21875" bestFit="1" customWidth="1"/>
    <col min="1329" max="1329" width="23.44140625" bestFit="1" customWidth="1"/>
    <col min="1330" max="1330" width="19.21875" bestFit="1" customWidth="1"/>
    <col min="1331" max="1331" width="23.44140625" bestFit="1" customWidth="1"/>
    <col min="1332" max="1332" width="19.21875" bestFit="1" customWidth="1"/>
    <col min="1333" max="1333" width="23.44140625" bestFit="1" customWidth="1"/>
    <col min="1334" max="1334" width="19.21875" bestFit="1" customWidth="1"/>
    <col min="1335" max="1335" width="23.44140625" bestFit="1" customWidth="1"/>
    <col min="1336" max="1336" width="19.21875" bestFit="1" customWidth="1"/>
    <col min="1337" max="1337" width="23.44140625" bestFit="1" customWidth="1"/>
    <col min="1338" max="1338" width="19.21875" bestFit="1" customWidth="1"/>
    <col min="1339" max="1339" width="23.44140625" bestFit="1" customWidth="1"/>
    <col min="1340" max="1340" width="19.21875" bestFit="1" customWidth="1"/>
    <col min="1341" max="1341" width="23.44140625" bestFit="1" customWidth="1"/>
    <col min="1342" max="1342" width="19.21875" bestFit="1" customWidth="1"/>
    <col min="1343" max="1343" width="23.44140625" bestFit="1" customWidth="1"/>
    <col min="1344" max="1344" width="19.21875" bestFit="1" customWidth="1"/>
    <col min="1345" max="1345" width="23.44140625" bestFit="1" customWidth="1"/>
    <col min="1346" max="1346" width="19.21875" bestFit="1" customWidth="1"/>
    <col min="1347" max="1347" width="23.44140625" bestFit="1" customWidth="1"/>
    <col min="1348" max="1348" width="19.21875" bestFit="1" customWidth="1"/>
    <col min="1349" max="1349" width="23.44140625" bestFit="1" customWidth="1"/>
    <col min="1350" max="1350" width="19.21875" bestFit="1" customWidth="1"/>
    <col min="1351" max="1351" width="23.44140625" bestFit="1" customWidth="1"/>
    <col min="1352" max="1352" width="19.21875" bestFit="1" customWidth="1"/>
    <col min="1353" max="1353" width="23.44140625" bestFit="1" customWidth="1"/>
    <col min="1354" max="1354" width="19.21875" bestFit="1" customWidth="1"/>
    <col min="1355" max="1355" width="23.44140625" bestFit="1" customWidth="1"/>
    <col min="1356" max="1356" width="19.21875" bestFit="1" customWidth="1"/>
    <col min="1357" max="1357" width="23.44140625" bestFit="1" customWidth="1"/>
    <col min="1358" max="1358" width="19.21875" bestFit="1" customWidth="1"/>
    <col min="1359" max="1359" width="23.44140625" bestFit="1" customWidth="1"/>
    <col min="1360" max="1360" width="19.21875" bestFit="1" customWidth="1"/>
    <col min="1361" max="1361" width="23.44140625" bestFit="1" customWidth="1"/>
    <col min="1362" max="1362" width="19.21875" bestFit="1" customWidth="1"/>
    <col min="1363" max="1363" width="23.44140625" bestFit="1" customWidth="1"/>
    <col min="1364" max="1364" width="19.21875" bestFit="1" customWidth="1"/>
    <col min="1365" max="1365" width="23.44140625" bestFit="1" customWidth="1"/>
    <col min="1366" max="1366" width="19.21875" bestFit="1" customWidth="1"/>
    <col min="1367" max="1367" width="23.44140625" bestFit="1" customWidth="1"/>
    <col min="1368" max="1368" width="19.21875" bestFit="1" customWidth="1"/>
    <col min="1369" max="1369" width="23.44140625" bestFit="1" customWidth="1"/>
    <col min="1370" max="1370" width="19.21875" bestFit="1" customWidth="1"/>
    <col min="1371" max="1371" width="23.44140625" bestFit="1" customWidth="1"/>
    <col min="1372" max="1372" width="19.21875" bestFit="1" customWidth="1"/>
    <col min="1373" max="1373" width="23.44140625" bestFit="1" customWidth="1"/>
    <col min="1374" max="1374" width="19.21875" bestFit="1" customWidth="1"/>
    <col min="1375" max="1375" width="23.44140625" bestFit="1" customWidth="1"/>
    <col min="1376" max="1376" width="19.21875" bestFit="1" customWidth="1"/>
    <col min="1377" max="1377" width="23.44140625" bestFit="1" customWidth="1"/>
    <col min="1378" max="1378" width="19.21875" bestFit="1" customWidth="1"/>
    <col min="1379" max="1379" width="23.44140625" bestFit="1" customWidth="1"/>
    <col min="1380" max="1380" width="19.21875" bestFit="1" customWidth="1"/>
    <col min="1381" max="1381" width="23.44140625" bestFit="1" customWidth="1"/>
    <col min="1382" max="1382" width="19.21875" bestFit="1" customWidth="1"/>
    <col min="1383" max="1383" width="23.44140625" bestFit="1" customWidth="1"/>
    <col min="1384" max="1384" width="19.21875" bestFit="1" customWidth="1"/>
    <col min="1385" max="1385" width="23.44140625" bestFit="1" customWidth="1"/>
    <col min="1386" max="1386" width="19.21875" bestFit="1" customWidth="1"/>
    <col min="1387" max="1387" width="23.44140625" bestFit="1" customWidth="1"/>
    <col min="1388" max="1388" width="19.21875" bestFit="1" customWidth="1"/>
    <col min="1389" max="1389" width="23.44140625" bestFit="1" customWidth="1"/>
    <col min="1390" max="1390" width="19.21875" bestFit="1" customWidth="1"/>
    <col min="1391" max="1391" width="23.44140625" bestFit="1" customWidth="1"/>
    <col min="1392" max="1392" width="19.21875" bestFit="1" customWidth="1"/>
    <col min="1393" max="1393" width="23.44140625" bestFit="1" customWidth="1"/>
    <col min="1394" max="1394" width="19.21875" bestFit="1" customWidth="1"/>
    <col min="1395" max="1395" width="23.44140625" bestFit="1" customWidth="1"/>
    <col min="1396" max="1396" width="19.21875" bestFit="1" customWidth="1"/>
    <col min="1397" max="1397" width="23.44140625" bestFit="1" customWidth="1"/>
    <col min="1398" max="1398" width="19.21875" bestFit="1" customWidth="1"/>
    <col min="1399" max="1399" width="23.44140625" bestFit="1" customWidth="1"/>
    <col min="1400" max="1400" width="19.21875" bestFit="1" customWidth="1"/>
    <col min="1401" max="1401" width="23.44140625" bestFit="1" customWidth="1"/>
    <col min="1402" max="1402" width="19.21875" bestFit="1" customWidth="1"/>
    <col min="1403" max="1403" width="23.44140625" bestFit="1" customWidth="1"/>
    <col min="1404" max="1404" width="19.21875" bestFit="1" customWidth="1"/>
    <col min="1405" max="1405" width="23.44140625" bestFit="1" customWidth="1"/>
    <col min="1406" max="1406" width="19.21875" bestFit="1" customWidth="1"/>
    <col min="1407" max="1407" width="23.44140625" bestFit="1" customWidth="1"/>
    <col min="1408" max="1408" width="19.21875" bestFit="1" customWidth="1"/>
    <col min="1409" max="1409" width="23.44140625" bestFit="1" customWidth="1"/>
    <col min="1410" max="1410" width="19.21875" bestFit="1" customWidth="1"/>
    <col min="1411" max="1411" width="23.44140625" bestFit="1" customWidth="1"/>
    <col min="1412" max="1412" width="19.21875" bestFit="1" customWidth="1"/>
    <col min="1413" max="1413" width="23.44140625" bestFit="1" customWidth="1"/>
    <col min="1414" max="1414" width="19.21875" bestFit="1" customWidth="1"/>
    <col min="1415" max="1415" width="23.44140625" bestFit="1" customWidth="1"/>
    <col min="1416" max="1416" width="19.21875" bestFit="1" customWidth="1"/>
    <col min="1417" max="1417" width="23.44140625" bestFit="1" customWidth="1"/>
    <col min="1418" max="1418" width="19.21875" bestFit="1" customWidth="1"/>
    <col min="1419" max="1419" width="23.44140625" bestFit="1" customWidth="1"/>
    <col min="1420" max="1420" width="19.21875" bestFit="1" customWidth="1"/>
    <col min="1421" max="1421" width="23.44140625" bestFit="1" customWidth="1"/>
    <col min="1422" max="1422" width="19.21875" bestFit="1" customWidth="1"/>
    <col min="1423" max="1423" width="23.44140625" bestFit="1" customWidth="1"/>
    <col min="1424" max="1424" width="19.21875" bestFit="1" customWidth="1"/>
    <col min="1425" max="1425" width="23.44140625" bestFit="1" customWidth="1"/>
    <col min="1426" max="1426" width="19.21875" bestFit="1" customWidth="1"/>
    <col min="1427" max="1427" width="23.44140625" bestFit="1" customWidth="1"/>
    <col min="1428" max="1428" width="19.21875" bestFit="1" customWidth="1"/>
    <col min="1429" max="1429" width="23.44140625" bestFit="1" customWidth="1"/>
    <col min="1430" max="1430" width="19.21875" bestFit="1" customWidth="1"/>
    <col min="1431" max="1431" width="23.44140625" bestFit="1" customWidth="1"/>
    <col min="1432" max="1432" width="19.21875" bestFit="1" customWidth="1"/>
    <col min="1433" max="1433" width="23.44140625" bestFit="1" customWidth="1"/>
    <col min="1434" max="1434" width="19.21875" bestFit="1" customWidth="1"/>
    <col min="1435" max="1435" width="23.44140625" bestFit="1" customWidth="1"/>
    <col min="1436" max="1436" width="19.21875" bestFit="1" customWidth="1"/>
    <col min="1437" max="1437" width="23.44140625" bestFit="1" customWidth="1"/>
    <col min="1438" max="1438" width="19.21875" bestFit="1" customWidth="1"/>
    <col min="1439" max="1439" width="23.44140625" bestFit="1" customWidth="1"/>
    <col min="1440" max="1440" width="19.21875" bestFit="1" customWidth="1"/>
    <col min="1441" max="1441" width="23.44140625" bestFit="1" customWidth="1"/>
    <col min="1442" max="1442" width="19.21875" bestFit="1" customWidth="1"/>
    <col min="1443" max="1443" width="23.44140625" bestFit="1" customWidth="1"/>
    <col min="1444" max="1444" width="19.21875" bestFit="1" customWidth="1"/>
    <col min="1445" max="1445" width="23.44140625" bestFit="1" customWidth="1"/>
    <col min="1446" max="1446" width="19.21875" bestFit="1" customWidth="1"/>
    <col min="1447" max="1447" width="23.44140625" bestFit="1" customWidth="1"/>
    <col min="1448" max="1448" width="19.21875" bestFit="1" customWidth="1"/>
    <col min="1449" max="1449" width="23.44140625" bestFit="1" customWidth="1"/>
    <col min="1450" max="1450" width="19.21875" bestFit="1" customWidth="1"/>
    <col min="1451" max="1451" width="23.44140625" bestFit="1" customWidth="1"/>
    <col min="1452" max="1452" width="19.21875" bestFit="1" customWidth="1"/>
    <col min="1453" max="1453" width="23.44140625" bestFit="1" customWidth="1"/>
    <col min="1454" max="1454" width="19.21875" bestFit="1" customWidth="1"/>
    <col min="1455" max="1455" width="23.44140625" bestFit="1" customWidth="1"/>
    <col min="1456" max="1456" width="19.21875" bestFit="1" customWidth="1"/>
    <col min="1457" max="1457" width="23.44140625" bestFit="1" customWidth="1"/>
    <col min="1458" max="1458" width="19.21875" bestFit="1" customWidth="1"/>
    <col min="1459" max="1459" width="23.44140625" bestFit="1" customWidth="1"/>
    <col min="1460" max="1460" width="19.21875" bestFit="1" customWidth="1"/>
    <col min="1461" max="1461" width="23.44140625" bestFit="1" customWidth="1"/>
    <col min="1462" max="1462" width="19.21875" bestFit="1" customWidth="1"/>
    <col min="1463" max="1463" width="23.44140625" bestFit="1" customWidth="1"/>
    <col min="1464" max="1464" width="19.21875" bestFit="1" customWidth="1"/>
    <col min="1465" max="1465" width="23.44140625" bestFit="1" customWidth="1"/>
    <col min="1466" max="1466" width="19.21875" bestFit="1" customWidth="1"/>
    <col min="1467" max="1467" width="23.44140625" bestFit="1" customWidth="1"/>
    <col min="1468" max="1468" width="19.21875" bestFit="1" customWidth="1"/>
    <col min="1469" max="1469" width="23.44140625" bestFit="1" customWidth="1"/>
    <col min="1470" max="1470" width="19.21875" bestFit="1" customWidth="1"/>
    <col min="1471" max="1471" width="23.44140625" bestFit="1" customWidth="1"/>
    <col min="1472" max="1472" width="19.21875" bestFit="1" customWidth="1"/>
    <col min="1473" max="1473" width="23.44140625" bestFit="1" customWidth="1"/>
    <col min="1474" max="1474" width="19.21875" bestFit="1" customWidth="1"/>
    <col min="1475" max="1475" width="23.44140625" bestFit="1" customWidth="1"/>
    <col min="1476" max="1476" width="19.21875" bestFit="1" customWidth="1"/>
    <col min="1477" max="1477" width="23.44140625" bestFit="1" customWidth="1"/>
    <col min="1478" max="1478" width="19.21875" bestFit="1" customWidth="1"/>
    <col min="1479" max="1479" width="23.44140625" bestFit="1" customWidth="1"/>
    <col min="1480" max="1480" width="19.21875" bestFit="1" customWidth="1"/>
    <col min="1481" max="1481" width="23.44140625" bestFit="1" customWidth="1"/>
    <col min="1482" max="1482" width="19.21875" bestFit="1" customWidth="1"/>
    <col min="1483" max="1483" width="23.44140625" bestFit="1" customWidth="1"/>
    <col min="1484" max="1484" width="19.21875" bestFit="1" customWidth="1"/>
    <col min="1485" max="1485" width="23.44140625" bestFit="1" customWidth="1"/>
    <col min="1486" max="1486" width="19.21875" bestFit="1" customWidth="1"/>
    <col min="1487" max="1487" width="23.44140625" bestFit="1" customWidth="1"/>
    <col min="1488" max="1488" width="19.21875" bestFit="1" customWidth="1"/>
    <col min="1489" max="1489" width="23.44140625" bestFit="1" customWidth="1"/>
    <col min="1490" max="1490" width="19.21875" bestFit="1" customWidth="1"/>
    <col min="1491" max="1491" width="23.44140625" bestFit="1" customWidth="1"/>
    <col min="1492" max="1492" width="19.21875" bestFit="1" customWidth="1"/>
    <col min="1493" max="1493" width="23.44140625" bestFit="1" customWidth="1"/>
    <col min="1494" max="1494" width="19.21875" bestFit="1" customWidth="1"/>
    <col min="1495" max="1495" width="23.44140625" bestFit="1" customWidth="1"/>
    <col min="1496" max="1496" width="19.21875" bestFit="1" customWidth="1"/>
    <col min="1497" max="1497" width="23.44140625" bestFit="1" customWidth="1"/>
    <col min="1498" max="1498" width="19.21875" bestFit="1" customWidth="1"/>
    <col min="1499" max="1499" width="23.44140625" bestFit="1" customWidth="1"/>
    <col min="1500" max="1500" width="19.21875" bestFit="1" customWidth="1"/>
    <col min="1501" max="1501" width="23.44140625" bestFit="1" customWidth="1"/>
    <col min="1502" max="1502" width="19.21875" bestFit="1" customWidth="1"/>
    <col min="1503" max="1503" width="23.44140625" bestFit="1" customWidth="1"/>
    <col min="1504" max="1504" width="19.21875" bestFit="1" customWidth="1"/>
    <col min="1505" max="1505" width="23.44140625" bestFit="1" customWidth="1"/>
    <col min="1506" max="1506" width="19.21875" bestFit="1" customWidth="1"/>
    <col min="1507" max="1507" width="23.44140625" bestFit="1" customWidth="1"/>
    <col min="1508" max="1508" width="19.21875" bestFit="1" customWidth="1"/>
    <col min="1509" max="1509" width="23.44140625" bestFit="1" customWidth="1"/>
    <col min="1510" max="1510" width="19.21875" bestFit="1" customWidth="1"/>
    <col min="1511" max="1511" width="23.44140625" bestFit="1" customWidth="1"/>
    <col min="1512" max="1512" width="19.21875" bestFit="1" customWidth="1"/>
    <col min="1513" max="1513" width="23.44140625" bestFit="1" customWidth="1"/>
    <col min="1514" max="1514" width="19.21875" bestFit="1" customWidth="1"/>
    <col min="1515" max="1515" width="23.44140625" bestFit="1" customWidth="1"/>
    <col min="1516" max="1516" width="19.21875" bestFit="1" customWidth="1"/>
    <col min="1517" max="1517" width="23.44140625" bestFit="1" customWidth="1"/>
    <col min="1518" max="1518" width="19.21875" bestFit="1" customWidth="1"/>
    <col min="1519" max="1519" width="23.44140625" bestFit="1" customWidth="1"/>
    <col min="1520" max="1520" width="19.21875" bestFit="1" customWidth="1"/>
    <col min="1521" max="1521" width="23.44140625" bestFit="1" customWidth="1"/>
    <col min="1522" max="1522" width="19.21875" bestFit="1" customWidth="1"/>
    <col min="1523" max="1523" width="23.44140625" bestFit="1" customWidth="1"/>
    <col min="1524" max="1524" width="19.21875" bestFit="1" customWidth="1"/>
    <col min="1525" max="1525" width="23.44140625" bestFit="1" customWidth="1"/>
    <col min="1526" max="1526" width="19.21875" bestFit="1" customWidth="1"/>
    <col min="1527" max="1527" width="23.44140625" bestFit="1" customWidth="1"/>
    <col min="1528" max="1528" width="19.21875" bestFit="1" customWidth="1"/>
    <col min="1529" max="1529" width="23.44140625" bestFit="1" customWidth="1"/>
    <col min="1530" max="1530" width="19.21875" bestFit="1" customWidth="1"/>
    <col min="1531" max="1531" width="23.44140625" bestFit="1" customWidth="1"/>
    <col min="1532" max="1532" width="19.21875" bestFit="1" customWidth="1"/>
    <col min="1533" max="1533" width="23.44140625" bestFit="1" customWidth="1"/>
    <col min="1534" max="1534" width="19.21875" bestFit="1" customWidth="1"/>
    <col min="1535" max="1535" width="23.44140625" bestFit="1" customWidth="1"/>
    <col min="1536" max="1536" width="19.21875" bestFit="1" customWidth="1"/>
    <col min="1537" max="1537" width="23.44140625" bestFit="1" customWidth="1"/>
    <col min="1538" max="1538" width="19.21875" bestFit="1" customWidth="1"/>
    <col min="1539" max="1539" width="23.44140625" bestFit="1" customWidth="1"/>
    <col min="1540" max="1540" width="19.21875" bestFit="1" customWidth="1"/>
    <col min="1541" max="1541" width="23.44140625" bestFit="1" customWidth="1"/>
    <col min="1542" max="1542" width="19.21875" bestFit="1" customWidth="1"/>
    <col min="1543" max="1543" width="23.44140625" bestFit="1" customWidth="1"/>
    <col min="1544" max="1544" width="19.21875" bestFit="1" customWidth="1"/>
    <col min="1545" max="1545" width="23.44140625" bestFit="1" customWidth="1"/>
    <col min="1546" max="1546" width="19.21875" bestFit="1" customWidth="1"/>
    <col min="1547" max="1547" width="23.44140625" bestFit="1" customWidth="1"/>
    <col min="1548" max="1548" width="19.21875" bestFit="1" customWidth="1"/>
    <col min="1549" max="1549" width="23.44140625" bestFit="1" customWidth="1"/>
    <col min="1550" max="1550" width="19.21875" bestFit="1" customWidth="1"/>
    <col min="1551" max="1551" width="23.44140625" bestFit="1" customWidth="1"/>
    <col min="1552" max="1552" width="19.21875" bestFit="1" customWidth="1"/>
    <col min="1553" max="1553" width="23.44140625" bestFit="1" customWidth="1"/>
    <col min="1554" max="1554" width="19.21875" bestFit="1" customWidth="1"/>
    <col min="1555" max="1555" width="23.44140625" bestFit="1" customWidth="1"/>
    <col min="1556" max="1556" width="19.21875" bestFit="1" customWidth="1"/>
    <col min="1557" max="1557" width="23.44140625" bestFit="1" customWidth="1"/>
    <col min="1558" max="1558" width="19.21875" bestFit="1" customWidth="1"/>
    <col min="1559" max="1559" width="23.44140625" bestFit="1" customWidth="1"/>
    <col min="1560" max="1560" width="19.21875" bestFit="1" customWidth="1"/>
    <col min="1561" max="1561" width="23.44140625" bestFit="1" customWidth="1"/>
    <col min="1562" max="1562" width="19.21875" bestFit="1" customWidth="1"/>
    <col min="1563" max="1563" width="23.44140625" bestFit="1" customWidth="1"/>
    <col min="1564" max="1564" width="19.21875" bestFit="1" customWidth="1"/>
    <col min="1565" max="1565" width="23.44140625" bestFit="1" customWidth="1"/>
    <col min="1566" max="1566" width="19.21875" bestFit="1" customWidth="1"/>
    <col min="1567" max="1567" width="23.44140625" bestFit="1" customWidth="1"/>
    <col min="1568" max="1568" width="19.21875" bestFit="1" customWidth="1"/>
    <col min="1569" max="1569" width="23.44140625" bestFit="1" customWidth="1"/>
    <col min="1570" max="1570" width="19.21875" bestFit="1" customWidth="1"/>
    <col min="1571" max="1571" width="23.44140625" bestFit="1" customWidth="1"/>
    <col min="1572" max="1572" width="19.21875" bestFit="1" customWidth="1"/>
    <col min="1573" max="1573" width="23.44140625" bestFit="1" customWidth="1"/>
    <col min="1574" max="1574" width="19.21875" bestFit="1" customWidth="1"/>
    <col min="1575" max="1575" width="23.44140625" bestFit="1" customWidth="1"/>
    <col min="1576" max="1576" width="19.21875" bestFit="1" customWidth="1"/>
    <col min="1577" max="1577" width="23.44140625" bestFit="1" customWidth="1"/>
    <col min="1578" max="1578" width="19.21875" bestFit="1" customWidth="1"/>
    <col min="1579" max="1579" width="23.44140625" bestFit="1" customWidth="1"/>
    <col min="1580" max="1580" width="19.21875" bestFit="1" customWidth="1"/>
    <col min="1581" max="1581" width="23.44140625" bestFit="1" customWidth="1"/>
    <col min="1582" max="1582" width="19.21875" bestFit="1" customWidth="1"/>
    <col min="1583" max="1583" width="23.44140625" bestFit="1" customWidth="1"/>
    <col min="1584" max="1584" width="19.21875" bestFit="1" customWidth="1"/>
    <col min="1585" max="1585" width="23.44140625" bestFit="1" customWidth="1"/>
    <col min="1586" max="1586" width="19.21875" bestFit="1" customWidth="1"/>
    <col min="1587" max="1587" width="23.44140625" bestFit="1" customWidth="1"/>
    <col min="1588" max="1588" width="19.21875" bestFit="1" customWidth="1"/>
    <col min="1589" max="1589" width="23.44140625" bestFit="1" customWidth="1"/>
    <col min="1590" max="1590" width="19.21875" bestFit="1" customWidth="1"/>
    <col min="1591" max="1591" width="23.44140625" bestFit="1" customWidth="1"/>
    <col min="1592" max="1592" width="19.21875" bestFit="1" customWidth="1"/>
    <col min="1593" max="1593" width="23.44140625" bestFit="1" customWidth="1"/>
    <col min="1594" max="1594" width="19.21875" bestFit="1" customWidth="1"/>
    <col min="1595" max="1595" width="23.44140625" bestFit="1" customWidth="1"/>
    <col min="1596" max="1596" width="19.21875" bestFit="1" customWidth="1"/>
    <col min="1597" max="1597" width="23.44140625" bestFit="1" customWidth="1"/>
    <col min="1598" max="1598" width="19.21875" bestFit="1" customWidth="1"/>
    <col min="1599" max="1599" width="23.44140625" bestFit="1" customWidth="1"/>
    <col min="1600" max="1600" width="19.21875" bestFit="1" customWidth="1"/>
    <col min="1601" max="1601" width="23.44140625" bestFit="1" customWidth="1"/>
    <col min="1602" max="1602" width="19.21875" bestFit="1" customWidth="1"/>
    <col min="1603" max="1603" width="23.44140625" bestFit="1" customWidth="1"/>
    <col min="1604" max="1604" width="19.21875" bestFit="1" customWidth="1"/>
    <col min="1605" max="1605" width="23.44140625" bestFit="1" customWidth="1"/>
    <col min="1606" max="1606" width="19.21875" bestFit="1" customWidth="1"/>
    <col min="1607" max="1607" width="23.44140625" bestFit="1" customWidth="1"/>
    <col min="1608" max="1608" width="19.21875" bestFit="1" customWidth="1"/>
    <col min="1609" max="1609" width="23.44140625" bestFit="1" customWidth="1"/>
    <col min="1610" max="1610" width="19.21875" bestFit="1" customWidth="1"/>
    <col min="1611" max="1611" width="23.44140625" bestFit="1" customWidth="1"/>
    <col min="1612" max="1612" width="19.21875" bestFit="1" customWidth="1"/>
    <col min="1613" max="1613" width="23.44140625" bestFit="1" customWidth="1"/>
    <col min="1614" max="1614" width="19.21875" bestFit="1" customWidth="1"/>
    <col min="1615" max="1615" width="23.44140625" bestFit="1" customWidth="1"/>
    <col min="1616" max="1616" width="19.21875" bestFit="1" customWidth="1"/>
    <col min="1617" max="1617" width="23.44140625" bestFit="1" customWidth="1"/>
    <col min="1618" max="1618" width="19.21875" bestFit="1" customWidth="1"/>
    <col min="1619" max="1619" width="23.44140625" bestFit="1" customWidth="1"/>
    <col min="1620" max="1620" width="19.21875" bestFit="1" customWidth="1"/>
    <col min="1621" max="1621" width="23.44140625" bestFit="1" customWidth="1"/>
    <col min="1622" max="1622" width="19.21875" bestFit="1" customWidth="1"/>
    <col min="1623" max="1623" width="23.44140625" bestFit="1" customWidth="1"/>
    <col min="1624" max="1624" width="19.21875" bestFit="1" customWidth="1"/>
    <col min="1625" max="1625" width="23.44140625" bestFit="1" customWidth="1"/>
    <col min="1626" max="1626" width="19.21875" bestFit="1" customWidth="1"/>
    <col min="1627" max="1627" width="23.44140625" bestFit="1" customWidth="1"/>
    <col min="1628" max="1628" width="19.21875" bestFit="1" customWidth="1"/>
    <col min="1629" max="1629" width="23.44140625" bestFit="1" customWidth="1"/>
    <col min="1630" max="1630" width="19.21875" bestFit="1" customWidth="1"/>
    <col min="1631" max="1631" width="23.44140625" bestFit="1" customWidth="1"/>
    <col min="1632" max="1632" width="19.21875" bestFit="1" customWidth="1"/>
    <col min="1633" max="1633" width="23.44140625" bestFit="1" customWidth="1"/>
    <col min="1634" max="1634" width="19.21875" bestFit="1" customWidth="1"/>
    <col min="1635" max="1635" width="23.44140625" bestFit="1" customWidth="1"/>
    <col min="1636" max="1636" width="19.21875" bestFit="1" customWidth="1"/>
    <col min="1637" max="1637" width="23.44140625" bestFit="1" customWidth="1"/>
    <col min="1638" max="1638" width="19.21875" bestFit="1" customWidth="1"/>
    <col min="1639" max="1639" width="23.44140625" bestFit="1" customWidth="1"/>
    <col min="1640" max="1640" width="19.21875" bestFit="1" customWidth="1"/>
    <col min="1641" max="1641" width="23.44140625" bestFit="1" customWidth="1"/>
    <col min="1642" max="1642" width="19.21875" bestFit="1" customWidth="1"/>
    <col min="1643" max="1643" width="23.44140625" bestFit="1" customWidth="1"/>
    <col min="1644" max="1644" width="19.21875" bestFit="1" customWidth="1"/>
    <col min="1645" max="1645" width="23.44140625" bestFit="1" customWidth="1"/>
    <col min="1646" max="1646" width="19.21875" bestFit="1" customWidth="1"/>
    <col min="1647" max="1647" width="23.44140625" bestFit="1" customWidth="1"/>
    <col min="1648" max="1648" width="19.21875" bestFit="1" customWidth="1"/>
    <col min="1649" max="1649" width="23.44140625" bestFit="1" customWidth="1"/>
    <col min="1650" max="1650" width="19.21875" bestFit="1" customWidth="1"/>
    <col min="1651" max="1651" width="23.44140625" bestFit="1" customWidth="1"/>
    <col min="1652" max="1652" width="19.21875" bestFit="1" customWidth="1"/>
    <col min="1653" max="1653" width="23.44140625" bestFit="1" customWidth="1"/>
    <col min="1654" max="1654" width="19.21875" bestFit="1" customWidth="1"/>
    <col min="1655" max="1655" width="23.44140625" bestFit="1" customWidth="1"/>
    <col min="1656" max="1656" width="19.21875" bestFit="1" customWidth="1"/>
    <col min="1657" max="1657" width="23.44140625" bestFit="1" customWidth="1"/>
    <col min="1658" max="1658" width="19.21875" bestFit="1" customWidth="1"/>
    <col min="1659" max="1659" width="23.44140625" bestFit="1" customWidth="1"/>
    <col min="1660" max="1660" width="19.21875" bestFit="1" customWidth="1"/>
    <col min="1661" max="1661" width="23.44140625" bestFit="1" customWidth="1"/>
    <col min="1662" max="1662" width="19.21875" bestFit="1" customWidth="1"/>
    <col min="1663" max="1663" width="23.44140625" bestFit="1" customWidth="1"/>
    <col min="1664" max="1664" width="19.21875" bestFit="1" customWidth="1"/>
    <col min="1665" max="1665" width="23.44140625" bestFit="1" customWidth="1"/>
    <col min="1666" max="1666" width="19.21875" bestFit="1" customWidth="1"/>
    <col min="1667" max="1667" width="23.44140625" bestFit="1" customWidth="1"/>
    <col min="1668" max="1668" width="19.21875" bestFit="1" customWidth="1"/>
    <col min="1669" max="1669" width="23.44140625" bestFit="1" customWidth="1"/>
    <col min="1670" max="1670" width="19.21875" bestFit="1" customWidth="1"/>
    <col min="1671" max="1671" width="23.44140625" bestFit="1" customWidth="1"/>
    <col min="1672" max="1672" width="19.21875" bestFit="1" customWidth="1"/>
    <col min="1673" max="1673" width="23.44140625" bestFit="1" customWidth="1"/>
    <col min="1674" max="1674" width="19.21875" bestFit="1" customWidth="1"/>
    <col min="1675" max="1675" width="23.44140625" bestFit="1" customWidth="1"/>
    <col min="1676" max="1676" width="19.21875" bestFit="1" customWidth="1"/>
    <col min="1677" max="1677" width="23.44140625" bestFit="1" customWidth="1"/>
    <col min="1678" max="1678" width="19.21875" bestFit="1" customWidth="1"/>
    <col min="1679" max="1679" width="23.44140625" bestFit="1" customWidth="1"/>
    <col min="1680" max="1680" width="19.21875" bestFit="1" customWidth="1"/>
    <col min="1681" max="1681" width="23.44140625" bestFit="1" customWidth="1"/>
    <col min="1682" max="1682" width="19.21875" bestFit="1" customWidth="1"/>
    <col min="1683" max="1683" width="23.44140625" bestFit="1" customWidth="1"/>
    <col min="1684" max="1684" width="19.21875" bestFit="1" customWidth="1"/>
    <col min="1685" max="1685" width="23.44140625" bestFit="1" customWidth="1"/>
    <col min="1686" max="1686" width="19.21875" bestFit="1" customWidth="1"/>
    <col min="1687" max="1687" width="23.44140625" bestFit="1" customWidth="1"/>
    <col min="1688" max="1688" width="19.21875" bestFit="1" customWidth="1"/>
    <col min="1689" max="1689" width="23.44140625" bestFit="1" customWidth="1"/>
    <col min="1690" max="1690" width="19.21875" bestFit="1" customWidth="1"/>
    <col min="1691" max="1691" width="23.44140625" bestFit="1" customWidth="1"/>
    <col min="1692" max="1692" width="19.21875" bestFit="1" customWidth="1"/>
    <col min="1693" max="1693" width="23.44140625" bestFit="1" customWidth="1"/>
    <col min="1694" max="1694" width="19.21875" bestFit="1" customWidth="1"/>
    <col min="1695" max="1695" width="23.44140625" bestFit="1" customWidth="1"/>
    <col min="1696" max="1696" width="19.21875" bestFit="1" customWidth="1"/>
    <col min="1697" max="1697" width="23.44140625" bestFit="1" customWidth="1"/>
    <col min="1698" max="1698" width="19.21875" bestFit="1" customWidth="1"/>
    <col min="1699" max="1699" width="23.44140625" bestFit="1" customWidth="1"/>
    <col min="1700" max="1700" width="19.21875" bestFit="1" customWidth="1"/>
    <col min="1701" max="1701" width="23.44140625" bestFit="1" customWidth="1"/>
    <col min="1702" max="1702" width="19.21875" bestFit="1" customWidth="1"/>
    <col min="1703" max="1703" width="23.44140625" bestFit="1" customWidth="1"/>
    <col min="1704" max="1704" width="19.21875" bestFit="1" customWidth="1"/>
    <col min="1705" max="1705" width="23.44140625" bestFit="1" customWidth="1"/>
    <col min="1706" max="1706" width="19.21875" bestFit="1" customWidth="1"/>
    <col min="1707" max="1707" width="23.44140625" bestFit="1" customWidth="1"/>
    <col min="1708" max="1708" width="19.21875" bestFit="1" customWidth="1"/>
    <col min="1709" max="1709" width="23.44140625" bestFit="1" customWidth="1"/>
    <col min="1710" max="1710" width="19.21875" bestFit="1" customWidth="1"/>
    <col min="1711" max="1711" width="23.44140625" bestFit="1" customWidth="1"/>
    <col min="1712" max="1712" width="19.21875" bestFit="1" customWidth="1"/>
    <col min="1713" max="1713" width="23.44140625" bestFit="1" customWidth="1"/>
    <col min="1714" max="1714" width="19.21875" bestFit="1" customWidth="1"/>
    <col min="1715" max="1715" width="23.44140625" bestFit="1" customWidth="1"/>
    <col min="1716" max="1716" width="19.21875" bestFit="1" customWidth="1"/>
    <col min="1717" max="1717" width="23.44140625" bestFit="1" customWidth="1"/>
    <col min="1718" max="1718" width="19.21875" bestFit="1" customWidth="1"/>
    <col min="1719" max="1719" width="23.44140625" bestFit="1" customWidth="1"/>
    <col min="1720" max="1720" width="19.21875" bestFit="1" customWidth="1"/>
    <col min="1721" max="1721" width="23.44140625" bestFit="1" customWidth="1"/>
    <col min="1722" max="1722" width="19.21875" bestFit="1" customWidth="1"/>
    <col min="1723" max="1723" width="23.44140625" bestFit="1" customWidth="1"/>
    <col min="1724" max="1724" width="19.21875" bestFit="1" customWidth="1"/>
    <col min="1725" max="1725" width="23.44140625" bestFit="1" customWidth="1"/>
    <col min="1726" max="1726" width="19.21875" bestFit="1" customWidth="1"/>
    <col min="1727" max="1727" width="23.44140625" bestFit="1" customWidth="1"/>
    <col min="1728" max="1728" width="19.21875" bestFit="1" customWidth="1"/>
    <col min="1729" max="1729" width="23.44140625" bestFit="1" customWidth="1"/>
    <col min="1730" max="1730" width="19.21875" bestFit="1" customWidth="1"/>
    <col min="1731" max="1731" width="23.44140625" bestFit="1" customWidth="1"/>
    <col min="1732" max="1732" width="19.21875" bestFit="1" customWidth="1"/>
    <col min="1733" max="1733" width="23.44140625" bestFit="1" customWidth="1"/>
    <col min="1734" max="1734" width="19.21875" bestFit="1" customWidth="1"/>
    <col min="1735" max="1735" width="23.44140625" bestFit="1" customWidth="1"/>
    <col min="1736" max="1736" width="19.21875" bestFit="1" customWidth="1"/>
    <col min="1737" max="1737" width="23.44140625" bestFit="1" customWidth="1"/>
    <col min="1738" max="1738" width="19.21875" bestFit="1" customWidth="1"/>
    <col min="1739" max="1739" width="23.44140625" bestFit="1" customWidth="1"/>
    <col min="1740" max="1740" width="19.21875" bestFit="1" customWidth="1"/>
    <col min="1741" max="1741" width="23.44140625" bestFit="1" customWidth="1"/>
    <col min="1742" max="1742" width="19.21875" bestFit="1" customWidth="1"/>
    <col min="1743" max="1743" width="23.44140625" bestFit="1" customWidth="1"/>
    <col min="1744" max="1744" width="19.21875" bestFit="1" customWidth="1"/>
    <col min="1745" max="1745" width="23.44140625" bestFit="1" customWidth="1"/>
    <col min="1746" max="1746" width="19.21875" bestFit="1" customWidth="1"/>
    <col min="1747" max="1747" width="23.44140625" bestFit="1" customWidth="1"/>
    <col min="1748" max="1748" width="19.21875" bestFit="1" customWidth="1"/>
    <col min="1749" max="1749" width="23.44140625" bestFit="1" customWidth="1"/>
    <col min="1750" max="1750" width="19.21875" bestFit="1" customWidth="1"/>
    <col min="1751" max="1751" width="23.44140625" bestFit="1" customWidth="1"/>
    <col min="1752" max="1752" width="19.21875" bestFit="1" customWidth="1"/>
    <col min="1753" max="1753" width="23.44140625" bestFit="1" customWidth="1"/>
    <col min="1754" max="1754" width="19.21875" bestFit="1" customWidth="1"/>
    <col min="1755" max="1755" width="23.44140625" bestFit="1" customWidth="1"/>
    <col min="1756" max="1756" width="19.21875" bestFit="1" customWidth="1"/>
    <col min="1757" max="1757" width="23.44140625" bestFit="1" customWidth="1"/>
    <col min="1758" max="1758" width="19.21875" bestFit="1" customWidth="1"/>
    <col min="1759" max="1759" width="23.44140625" bestFit="1" customWidth="1"/>
    <col min="1760" max="1760" width="19.21875" bestFit="1" customWidth="1"/>
    <col min="1761" max="1761" width="23.44140625" bestFit="1" customWidth="1"/>
    <col min="1762" max="1762" width="19.21875" bestFit="1" customWidth="1"/>
    <col min="1763" max="1763" width="23.44140625" bestFit="1" customWidth="1"/>
    <col min="1764" max="1764" width="19.21875" bestFit="1" customWidth="1"/>
    <col min="1765" max="1765" width="23.44140625" bestFit="1" customWidth="1"/>
    <col min="1766" max="1766" width="19.21875" bestFit="1" customWidth="1"/>
    <col min="1767" max="1767" width="23.44140625" bestFit="1" customWidth="1"/>
    <col min="1768" max="1768" width="19.21875" bestFit="1" customWidth="1"/>
    <col min="1769" max="1769" width="23.44140625" bestFit="1" customWidth="1"/>
    <col min="1770" max="1770" width="19.21875" bestFit="1" customWidth="1"/>
    <col min="1771" max="1771" width="23.44140625" bestFit="1" customWidth="1"/>
    <col min="1772" max="1772" width="19.21875" bestFit="1" customWidth="1"/>
    <col min="1773" max="1773" width="23.44140625" bestFit="1" customWidth="1"/>
    <col min="1774" max="1774" width="19.21875" bestFit="1" customWidth="1"/>
    <col min="1775" max="1775" width="23.44140625" bestFit="1" customWidth="1"/>
    <col min="1776" max="1776" width="19.21875" bestFit="1" customWidth="1"/>
    <col min="1777" max="1777" width="23.44140625" bestFit="1" customWidth="1"/>
    <col min="1778" max="1778" width="19.21875" bestFit="1" customWidth="1"/>
    <col min="1779" max="1779" width="23.44140625" bestFit="1" customWidth="1"/>
    <col min="1780" max="1780" width="19.21875" bestFit="1" customWidth="1"/>
    <col min="1781" max="1781" width="23.44140625" bestFit="1" customWidth="1"/>
    <col min="1782" max="1782" width="19.21875" bestFit="1" customWidth="1"/>
    <col min="1783" max="1783" width="23.44140625" bestFit="1" customWidth="1"/>
    <col min="1784" max="1784" width="19.21875" bestFit="1" customWidth="1"/>
    <col min="1785" max="1785" width="23.44140625" bestFit="1" customWidth="1"/>
    <col min="1786" max="1786" width="19.21875" bestFit="1" customWidth="1"/>
    <col min="1787" max="1787" width="23.44140625" bestFit="1" customWidth="1"/>
    <col min="1788" max="1788" width="19.21875" bestFit="1" customWidth="1"/>
    <col min="1789" max="1789" width="23.44140625" bestFit="1" customWidth="1"/>
    <col min="1790" max="1790" width="19.21875" bestFit="1" customWidth="1"/>
    <col min="1791" max="1791" width="23.44140625" bestFit="1" customWidth="1"/>
    <col min="1792" max="1792" width="19.21875" bestFit="1" customWidth="1"/>
    <col min="1793" max="1793" width="23.44140625" bestFit="1" customWidth="1"/>
    <col min="1794" max="1794" width="19.21875" bestFit="1" customWidth="1"/>
    <col min="1795" max="1795" width="23.44140625" bestFit="1" customWidth="1"/>
    <col min="1796" max="1796" width="19.21875" bestFit="1" customWidth="1"/>
    <col min="1797" max="1797" width="23.44140625" bestFit="1" customWidth="1"/>
    <col min="1798" max="1798" width="19.21875" bestFit="1" customWidth="1"/>
    <col min="1799" max="1799" width="23.44140625" bestFit="1" customWidth="1"/>
    <col min="1800" max="1800" width="19.21875" bestFit="1" customWidth="1"/>
    <col min="1801" max="1801" width="23.44140625" bestFit="1" customWidth="1"/>
    <col min="1802" max="1802" width="19.21875" bestFit="1" customWidth="1"/>
    <col min="1803" max="1803" width="23.44140625" bestFit="1" customWidth="1"/>
    <col min="1804" max="1804" width="19.21875" bestFit="1" customWidth="1"/>
    <col min="1805" max="1805" width="23.44140625" bestFit="1" customWidth="1"/>
    <col min="1806" max="1806" width="19.21875" bestFit="1" customWidth="1"/>
    <col min="1807" max="1807" width="23.44140625" bestFit="1" customWidth="1"/>
    <col min="1808" max="1808" width="19.21875" bestFit="1" customWidth="1"/>
    <col min="1809" max="1809" width="23.44140625" bestFit="1" customWidth="1"/>
    <col min="1810" max="1810" width="19.21875" bestFit="1" customWidth="1"/>
    <col min="1811" max="1811" width="23.44140625" bestFit="1" customWidth="1"/>
    <col min="1812" max="1812" width="19.21875" bestFit="1" customWidth="1"/>
    <col min="1813" max="1813" width="23.44140625" bestFit="1" customWidth="1"/>
    <col min="1814" max="1814" width="19.21875" bestFit="1" customWidth="1"/>
    <col min="1815" max="1815" width="23.44140625" bestFit="1" customWidth="1"/>
    <col min="1816" max="1816" width="19.21875" bestFit="1" customWidth="1"/>
    <col min="1817" max="1817" width="23.44140625" bestFit="1" customWidth="1"/>
    <col min="1818" max="1818" width="19.21875" bestFit="1" customWidth="1"/>
    <col min="1819" max="1819" width="23.44140625" bestFit="1" customWidth="1"/>
    <col min="1820" max="1820" width="19.21875" bestFit="1" customWidth="1"/>
    <col min="1821" max="1821" width="23.44140625" bestFit="1" customWidth="1"/>
    <col min="1822" max="1822" width="19.21875" bestFit="1" customWidth="1"/>
    <col min="1823" max="1823" width="23.44140625" bestFit="1" customWidth="1"/>
    <col min="1824" max="1824" width="19.21875" bestFit="1" customWidth="1"/>
    <col min="1825" max="1825" width="23.44140625" bestFit="1" customWidth="1"/>
    <col min="1826" max="1826" width="19.21875" bestFit="1" customWidth="1"/>
    <col min="1827" max="1827" width="23.44140625" bestFit="1" customWidth="1"/>
    <col min="1828" max="1828" width="19.21875" bestFit="1" customWidth="1"/>
    <col min="1829" max="1829" width="23.44140625" bestFit="1" customWidth="1"/>
    <col min="1830" max="1830" width="19.21875" bestFit="1" customWidth="1"/>
    <col min="1831" max="1831" width="23.44140625" bestFit="1" customWidth="1"/>
    <col min="1832" max="1832" width="19.21875" bestFit="1" customWidth="1"/>
    <col min="1833" max="1833" width="23.44140625" bestFit="1" customWidth="1"/>
    <col min="1834" max="1834" width="19.21875" bestFit="1" customWidth="1"/>
    <col min="1835" max="1835" width="23.44140625" bestFit="1" customWidth="1"/>
    <col min="1836" max="1836" width="19.21875" bestFit="1" customWidth="1"/>
    <col min="1837" max="1837" width="23.44140625" bestFit="1" customWidth="1"/>
    <col min="1838" max="1838" width="19.21875" bestFit="1" customWidth="1"/>
    <col min="1839" max="1839" width="23.44140625" bestFit="1" customWidth="1"/>
    <col min="1840" max="1840" width="19.21875" bestFit="1" customWidth="1"/>
    <col min="1841" max="1841" width="23.44140625" bestFit="1" customWidth="1"/>
    <col min="1842" max="1842" width="19.21875" bestFit="1" customWidth="1"/>
    <col min="1843" max="1843" width="23.44140625" bestFit="1" customWidth="1"/>
    <col min="1844" max="1844" width="19.21875" bestFit="1" customWidth="1"/>
    <col min="1845" max="1845" width="23.44140625" bestFit="1" customWidth="1"/>
    <col min="1846" max="1846" width="19.21875" bestFit="1" customWidth="1"/>
    <col min="1847" max="1847" width="23.44140625" bestFit="1" customWidth="1"/>
    <col min="1848" max="1848" width="19.21875" bestFit="1" customWidth="1"/>
    <col min="1849" max="1849" width="23.44140625" bestFit="1" customWidth="1"/>
    <col min="1850" max="1850" width="19.21875" bestFit="1" customWidth="1"/>
    <col min="1851" max="1851" width="23.44140625" bestFit="1" customWidth="1"/>
    <col min="1852" max="1852" width="19.21875" bestFit="1" customWidth="1"/>
    <col min="1853" max="1853" width="23.44140625" bestFit="1" customWidth="1"/>
    <col min="1854" max="1854" width="19.21875" bestFit="1" customWidth="1"/>
    <col min="1855" max="1855" width="23.44140625" bestFit="1" customWidth="1"/>
    <col min="1856" max="1856" width="19.21875" bestFit="1" customWidth="1"/>
    <col min="1857" max="1857" width="23.44140625" bestFit="1" customWidth="1"/>
    <col min="1858" max="1858" width="19.21875" bestFit="1" customWidth="1"/>
    <col min="1859" max="1859" width="23.44140625" bestFit="1" customWidth="1"/>
    <col min="1860" max="1860" width="19.21875" bestFit="1" customWidth="1"/>
    <col min="1861" max="1861" width="23.44140625" bestFit="1" customWidth="1"/>
    <col min="1862" max="1862" width="19.21875" bestFit="1" customWidth="1"/>
    <col min="1863" max="1863" width="23.44140625" bestFit="1" customWidth="1"/>
    <col min="1864" max="1864" width="19.21875" bestFit="1" customWidth="1"/>
    <col min="1865" max="1865" width="23.44140625" bestFit="1" customWidth="1"/>
    <col min="1866" max="1866" width="19.21875" bestFit="1" customWidth="1"/>
    <col min="1867" max="1867" width="23.44140625" bestFit="1" customWidth="1"/>
    <col min="1868" max="1868" width="19.21875" bestFit="1" customWidth="1"/>
    <col min="1869" max="1869" width="23.44140625" bestFit="1" customWidth="1"/>
    <col min="1870" max="1870" width="19.21875" bestFit="1" customWidth="1"/>
    <col min="1871" max="1871" width="23.44140625" bestFit="1" customWidth="1"/>
    <col min="1872" max="1872" width="19.21875" bestFit="1" customWidth="1"/>
    <col min="1873" max="1873" width="23.44140625" bestFit="1" customWidth="1"/>
    <col min="1874" max="1874" width="19.21875" bestFit="1" customWidth="1"/>
    <col min="1875" max="1875" width="23.44140625" bestFit="1" customWidth="1"/>
    <col min="1876" max="1876" width="19.21875" bestFit="1" customWidth="1"/>
    <col min="1877" max="1877" width="23.44140625" bestFit="1" customWidth="1"/>
    <col min="1878" max="1878" width="19.21875" bestFit="1" customWidth="1"/>
    <col min="1879" max="1879" width="23.44140625" bestFit="1" customWidth="1"/>
    <col min="1880" max="1880" width="19.21875" bestFit="1" customWidth="1"/>
    <col min="1881" max="1881" width="23.44140625" bestFit="1" customWidth="1"/>
    <col min="1882" max="1882" width="19.21875" bestFit="1" customWidth="1"/>
    <col min="1883" max="1883" width="23.44140625" bestFit="1" customWidth="1"/>
    <col min="1884" max="1884" width="19.21875" bestFit="1" customWidth="1"/>
    <col min="1885" max="1885" width="23.44140625" bestFit="1" customWidth="1"/>
    <col min="1886" max="1886" width="19.21875" bestFit="1" customWidth="1"/>
    <col min="1887" max="1887" width="23.44140625" bestFit="1" customWidth="1"/>
    <col min="1888" max="1888" width="19.21875" bestFit="1" customWidth="1"/>
    <col min="1889" max="1889" width="23.44140625" bestFit="1" customWidth="1"/>
    <col min="1890" max="1890" width="19.21875" bestFit="1" customWidth="1"/>
    <col min="1891" max="1891" width="23.44140625" bestFit="1" customWidth="1"/>
    <col min="1892" max="1892" width="19.21875" bestFit="1" customWidth="1"/>
    <col min="1893" max="1893" width="23.44140625" bestFit="1" customWidth="1"/>
    <col min="1894" max="1894" width="19.21875" bestFit="1" customWidth="1"/>
    <col min="1895" max="1895" width="23.44140625" bestFit="1" customWidth="1"/>
    <col min="1896" max="1896" width="19.21875" bestFit="1" customWidth="1"/>
    <col min="1897" max="1897" width="23.44140625" bestFit="1" customWidth="1"/>
    <col min="1898" max="1898" width="19.21875" bestFit="1" customWidth="1"/>
    <col min="1899" max="1899" width="23.44140625" bestFit="1" customWidth="1"/>
    <col min="1900" max="1900" width="19.21875" bestFit="1" customWidth="1"/>
    <col min="1901" max="1901" width="23.44140625" bestFit="1" customWidth="1"/>
    <col min="1902" max="1902" width="19.21875" bestFit="1" customWidth="1"/>
    <col min="1903" max="1903" width="23.44140625" bestFit="1" customWidth="1"/>
    <col min="1904" max="1904" width="19.21875" bestFit="1" customWidth="1"/>
    <col min="1905" max="1905" width="23.44140625" bestFit="1" customWidth="1"/>
    <col min="1906" max="1906" width="19.21875" bestFit="1" customWidth="1"/>
    <col min="1907" max="1907" width="23.44140625" bestFit="1" customWidth="1"/>
    <col min="1908" max="1908" width="19.21875" bestFit="1" customWidth="1"/>
    <col min="1909" max="1909" width="23.44140625" bestFit="1" customWidth="1"/>
    <col min="1910" max="1910" width="19.21875" bestFit="1" customWidth="1"/>
    <col min="1911" max="1911" width="23.44140625" bestFit="1" customWidth="1"/>
    <col min="1912" max="1912" width="19.21875" bestFit="1" customWidth="1"/>
    <col min="1913" max="1913" width="23.44140625" bestFit="1" customWidth="1"/>
    <col min="1914" max="1914" width="19.21875" bestFit="1" customWidth="1"/>
    <col min="1915" max="1915" width="23.44140625" bestFit="1" customWidth="1"/>
    <col min="1916" max="1916" width="19.21875" bestFit="1" customWidth="1"/>
    <col min="1917" max="1917" width="23.44140625" bestFit="1" customWidth="1"/>
    <col min="1918" max="1918" width="19.21875" bestFit="1" customWidth="1"/>
    <col min="1919" max="1919" width="23.44140625" bestFit="1" customWidth="1"/>
    <col min="1920" max="1920" width="19.21875" bestFit="1" customWidth="1"/>
    <col min="1921" max="1921" width="23.44140625" bestFit="1" customWidth="1"/>
    <col min="1922" max="1922" width="19.21875" bestFit="1" customWidth="1"/>
    <col min="1923" max="1923" width="23.44140625" bestFit="1" customWidth="1"/>
    <col min="1924" max="1924" width="19.21875" bestFit="1" customWidth="1"/>
    <col min="1925" max="1925" width="23.44140625" bestFit="1" customWidth="1"/>
    <col min="1926" max="1926" width="19.21875" bestFit="1" customWidth="1"/>
    <col min="1927" max="1927" width="23.44140625" bestFit="1" customWidth="1"/>
    <col min="1928" max="1928" width="19.21875" bestFit="1" customWidth="1"/>
    <col min="1929" max="1929" width="23.44140625" bestFit="1" customWidth="1"/>
    <col min="1930" max="1930" width="19.21875" bestFit="1" customWidth="1"/>
    <col min="1931" max="1931" width="23.44140625" bestFit="1" customWidth="1"/>
    <col min="1932" max="1932" width="19.21875" bestFit="1" customWidth="1"/>
    <col min="1933" max="1933" width="23.44140625" bestFit="1" customWidth="1"/>
    <col min="1934" max="1934" width="19.21875" bestFit="1" customWidth="1"/>
    <col min="1935" max="1935" width="23.44140625" bestFit="1" customWidth="1"/>
    <col min="1936" max="1936" width="19.21875" bestFit="1" customWidth="1"/>
    <col min="1937" max="1937" width="23.44140625" bestFit="1" customWidth="1"/>
    <col min="1938" max="1938" width="19.21875" bestFit="1" customWidth="1"/>
    <col min="1939" max="1939" width="23.44140625" bestFit="1" customWidth="1"/>
    <col min="1940" max="1940" width="19.21875" bestFit="1" customWidth="1"/>
    <col min="1941" max="1941" width="23.44140625" bestFit="1" customWidth="1"/>
    <col min="1942" max="1942" width="19.21875" bestFit="1" customWidth="1"/>
    <col min="1943" max="1943" width="23.44140625" bestFit="1" customWidth="1"/>
    <col min="1944" max="1944" width="19.21875" bestFit="1" customWidth="1"/>
    <col min="1945" max="1945" width="23.44140625" bestFit="1" customWidth="1"/>
    <col min="1946" max="1946" width="19.21875" bestFit="1" customWidth="1"/>
    <col min="1947" max="1947" width="23.44140625" bestFit="1" customWidth="1"/>
    <col min="1948" max="1948" width="19.21875" bestFit="1" customWidth="1"/>
    <col min="1949" max="1949" width="23.44140625" bestFit="1" customWidth="1"/>
    <col min="1950" max="1950" width="19.21875" bestFit="1" customWidth="1"/>
    <col min="1951" max="1951" width="23.44140625" bestFit="1" customWidth="1"/>
    <col min="1952" max="1952" width="19.21875" bestFit="1" customWidth="1"/>
    <col min="1953" max="1953" width="23.44140625" bestFit="1" customWidth="1"/>
    <col min="1954" max="1954" width="19.21875" bestFit="1" customWidth="1"/>
    <col min="1955" max="1955" width="23.44140625" bestFit="1" customWidth="1"/>
    <col min="1956" max="1956" width="19.21875" bestFit="1" customWidth="1"/>
    <col min="1957" max="1957" width="23.44140625" bestFit="1" customWidth="1"/>
    <col min="1958" max="1958" width="19.21875" bestFit="1" customWidth="1"/>
    <col min="1959" max="1959" width="23.44140625" bestFit="1" customWidth="1"/>
    <col min="1960" max="1960" width="19.21875" bestFit="1" customWidth="1"/>
    <col min="1961" max="1961" width="23.44140625" bestFit="1" customWidth="1"/>
    <col min="1962" max="1962" width="19.21875" bestFit="1" customWidth="1"/>
    <col min="1963" max="1963" width="23.44140625" bestFit="1" customWidth="1"/>
    <col min="1964" max="1964" width="19.21875" bestFit="1" customWidth="1"/>
    <col min="1965" max="1965" width="23.44140625" bestFit="1" customWidth="1"/>
    <col min="1966" max="1966" width="19.21875" bestFit="1" customWidth="1"/>
    <col min="1967" max="1967" width="23.44140625" bestFit="1" customWidth="1"/>
    <col min="1968" max="1968" width="19.21875" bestFit="1" customWidth="1"/>
    <col min="1969" max="1969" width="23.44140625" bestFit="1" customWidth="1"/>
    <col min="1970" max="1970" width="19.21875" bestFit="1" customWidth="1"/>
    <col min="1971" max="1971" width="23.44140625" bestFit="1" customWidth="1"/>
    <col min="1972" max="1972" width="19.21875" bestFit="1" customWidth="1"/>
    <col min="1973" max="1973" width="23.44140625" bestFit="1" customWidth="1"/>
    <col min="1974" max="1974" width="19.21875" bestFit="1" customWidth="1"/>
    <col min="1975" max="1975" width="23.44140625" bestFit="1" customWidth="1"/>
    <col min="1976" max="1976" width="19.21875" bestFit="1" customWidth="1"/>
    <col min="1977" max="1977" width="23.44140625" bestFit="1" customWidth="1"/>
    <col min="1978" max="1978" width="19.21875" bestFit="1" customWidth="1"/>
    <col min="1979" max="1979" width="23.44140625" bestFit="1" customWidth="1"/>
    <col min="1980" max="1980" width="19.21875" bestFit="1" customWidth="1"/>
    <col min="1981" max="1981" width="23.44140625" bestFit="1" customWidth="1"/>
    <col min="1982" max="1982" width="19.21875" bestFit="1" customWidth="1"/>
    <col min="1983" max="1983" width="23.44140625" bestFit="1" customWidth="1"/>
    <col min="1984" max="1984" width="19.21875" bestFit="1" customWidth="1"/>
    <col min="1985" max="1985" width="23.44140625" bestFit="1" customWidth="1"/>
    <col min="1986" max="1986" width="19.21875" bestFit="1" customWidth="1"/>
    <col min="1987" max="1987" width="23.44140625" bestFit="1" customWidth="1"/>
    <col min="1988" max="1988" width="19.21875" bestFit="1" customWidth="1"/>
    <col min="1989" max="1989" width="23.44140625" bestFit="1" customWidth="1"/>
    <col min="1990" max="1990" width="19.21875" bestFit="1" customWidth="1"/>
    <col min="1991" max="1991" width="23.44140625" bestFit="1" customWidth="1"/>
    <col min="1992" max="1992" width="19.21875" bestFit="1" customWidth="1"/>
    <col min="1993" max="1993" width="23.44140625" bestFit="1" customWidth="1"/>
    <col min="1994" max="1994" width="19.21875" bestFit="1" customWidth="1"/>
    <col min="1995" max="1995" width="23.44140625" bestFit="1" customWidth="1"/>
    <col min="1996" max="1996" width="19.21875" bestFit="1" customWidth="1"/>
    <col min="1997" max="1997" width="23.44140625" bestFit="1" customWidth="1"/>
    <col min="1998" max="1998" width="19.21875" bestFit="1" customWidth="1"/>
    <col min="1999" max="1999" width="23.44140625" bestFit="1" customWidth="1"/>
    <col min="2000" max="2000" width="19.21875" bestFit="1" customWidth="1"/>
    <col min="2001" max="2001" width="23.44140625" bestFit="1" customWidth="1"/>
    <col min="2002" max="2002" width="19.21875" bestFit="1" customWidth="1"/>
    <col min="2003" max="2003" width="23.44140625" bestFit="1" customWidth="1"/>
    <col min="2004" max="2004" width="19.21875" bestFit="1" customWidth="1"/>
    <col min="2005" max="2005" width="23.44140625" bestFit="1" customWidth="1"/>
    <col min="2006" max="2006" width="19.21875" bestFit="1" customWidth="1"/>
    <col min="2007" max="2007" width="23.44140625" bestFit="1" customWidth="1"/>
    <col min="2008" max="2008" width="19.21875" bestFit="1" customWidth="1"/>
    <col min="2009" max="2009" width="23.44140625" bestFit="1" customWidth="1"/>
    <col min="2010" max="2010" width="19.21875" bestFit="1" customWidth="1"/>
    <col min="2011" max="2011" width="23.44140625" bestFit="1" customWidth="1"/>
    <col min="2012" max="2012" width="19.21875" bestFit="1" customWidth="1"/>
    <col min="2013" max="2013" width="23.44140625" bestFit="1" customWidth="1"/>
    <col min="2014" max="2014" width="19.21875" bestFit="1" customWidth="1"/>
    <col min="2015" max="2015" width="23.44140625" bestFit="1" customWidth="1"/>
    <col min="2016" max="2016" width="19.21875" bestFit="1" customWidth="1"/>
    <col min="2017" max="2017" width="23.44140625" bestFit="1" customWidth="1"/>
    <col min="2018" max="2018" width="19.21875" bestFit="1" customWidth="1"/>
    <col min="2019" max="2019" width="23.44140625" bestFit="1" customWidth="1"/>
    <col min="2020" max="2020" width="19.21875" bestFit="1" customWidth="1"/>
    <col min="2021" max="2021" width="23.44140625" bestFit="1" customWidth="1"/>
    <col min="2022" max="2022" width="19.21875" bestFit="1" customWidth="1"/>
    <col min="2023" max="2023" width="23.44140625" bestFit="1" customWidth="1"/>
    <col min="2024" max="2024" width="19.21875" bestFit="1" customWidth="1"/>
    <col min="2025" max="2025" width="23.44140625" bestFit="1" customWidth="1"/>
    <col min="2026" max="2026" width="19.21875" bestFit="1" customWidth="1"/>
    <col min="2027" max="2027" width="23.44140625" bestFit="1" customWidth="1"/>
    <col min="2028" max="2028" width="19.21875" bestFit="1" customWidth="1"/>
    <col min="2029" max="2029" width="23.44140625" bestFit="1" customWidth="1"/>
    <col min="2030" max="2030" width="19.21875" bestFit="1" customWidth="1"/>
    <col min="2031" max="2031" width="23.44140625" bestFit="1" customWidth="1"/>
    <col min="2032" max="2032" width="19.21875" bestFit="1" customWidth="1"/>
    <col min="2033" max="2033" width="23.44140625" bestFit="1" customWidth="1"/>
    <col min="2034" max="2034" width="19.21875" bestFit="1" customWidth="1"/>
    <col min="2035" max="2035" width="23.44140625" bestFit="1" customWidth="1"/>
    <col min="2036" max="2036" width="19.21875" bestFit="1" customWidth="1"/>
    <col min="2037" max="2037" width="23.44140625" bestFit="1" customWidth="1"/>
    <col min="2038" max="2038" width="19.21875" bestFit="1" customWidth="1"/>
    <col min="2039" max="2039" width="23.44140625" bestFit="1" customWidth="1"/>
    <col min="2040" max="2040" width="19.21875" bestFit="1" customWidth="1"/>
    <col min="2041" max="2041" width="23.44140625" bestFit="1" customWidth="1"/>
    <col min="2042" max="2042" width="19.21875" bestFit="1" customWidth="1"/>
    <col min="2043" max="2043" width="23.44140625" bestFit="1" customWidth="1"/>
    <col min="2044" max="2044" width="19.21875" bestFit="1" customWidth="1"/>
    <col min="2045" max="2045" width="23.44140625" bestFit="1" customWidth="1"/>
    <col min="2046" max="2046" width="19.21875" bestFit="1" customWidth="1"/>
    <col min="2047" max="2047" width="23.44140625" bestFit="1" customWidth="1"/>
    <col min="2048" max="2048" width="19.21875" bestFit="1" customWidth="1"/>
    <col min="2049" max="2049" width="23.44140625" bestFit="1" customWidth="1"/>
    <col min="2050" max="2050" width="19.21875" bestFit="1" customWidth="1"/>
    <col min="2051" max="2051" width="23.44140625" bestFit="1" customWidth="1"/>
    <col min="2052" max="2052" width="19.21875" bestFit="1" customWidth="1"/>
    <col min="2053" max="2053" width="23.44140625" bestFit="1" customWidth="1"/>
    <col min="2054" max="2054" width="19.21875" bestFit="1" customWidth="1"/>
    <col min="2055" max="2055" width="23.44140625" bestFit="1" customWidth="1"/>
    <col min="2056" max="2056" width="19.21875" bestFit="1" customWidth="1"/>
    <col min="2057" max="2057" width="23.44140625" bestFit="1" customWidth="1"/>
    <col min="2058" max="2058" width="19.21875" bestFit="1" customWidth="1"/>
    <col min="2059" max="2059" width="23.44140625" bestFit="1" customWidth="1"/>
    <col min="2060" max="2060" width="19.21875" bestFit="1" customWidth="1"/>
    <col min="2061" max="2061" width="23.44140625" bestFit="1" customWidth="1"/>
    <col min="2062" max="2062" width="19.21875" bestFit="1" customWidth="1"/>
    <col min="2063" max="2063" width="23.44140625" bestFit="1" customWidth="1"/>
    <col min="2064" max="2064" width="19.21875" bestFit="1" customWidth="1"/>
    <col min="2065" max="2065" width="23.44140625" bestFit="1" customWidth="1"/>
    <col min="2066" max="2066" width="19.21875" bestFit="1" customWidth="1"/>
    <col min="2067" max="2067" width="23.44140625" bestFit="1" customWidth="1"/>
    <col min="2068" max="2068" width="19.21875" bestFit="1" customWidth="1"/>
    <col min="2069" max="2069" width="23.44140625" bestFit="1" customWidth="1"/>
    <col min="2070" max="2070" width="19.21875" bestFit="1" customWidth="1"/>
    <col min="2071" max="2071" width="23.44140625" bestFit="1" customWidth="1"/>
    <col min="2072" max="2072" width="19.21875" bestFit="1" customWidth="1"/>
    <col min="2073" max="2073" width="23.44140625" bestFit="1" customWidth="1"/>
    <col min="2074" max="2074" width="19.21875" bestFit="1" customWidth="1"/>
    <col min="2075" max="2075" width="23.44140625" bestFit="1" customWidth="1"/>
    <col min="2076" max="2076" width="19.21875" bestFit="1" customWidth="1"/>
    <col min="2077" max="2077" width="23.44140625" bestFit="1" customWidth="1"/>
    <col min="2078" max="2078" width="19.21875" bestFit="1" customWidth="1"/>
    <col min="2079" max="2079" width="23.44140625" bestFit="1" customWidth="1"/>
    <col min="2080" max="2080" width="19.21875" bestFit="1" customWidth="1"/>
    <col min="2081" max="2081" width="23.44140625" bestFit="1" customWidth="1"/>
    <col min="2082" max="2082" width="19.21875" bestFit="1" customWidth="1"/>
    <col min="2083" max="2083" width="23.44140625" bestFit="1" customWidth="1"/>
    <col min="2084" max="2084" width="19.21875" bestFit="1" customWidth="1"/>
    <col min="2085" max="2085" width="23.44140625" bestFit="1" customWidth="1"/>
    <col min="2086" max="2086" width="19.21875" bestFit="1" customWidth="1"/>
    <col min="2087" max="2087" width="23.44140625" bestFit="1" customWidth="1"/>
    <col min="2088" max="2088" width="19.21875" bestFit="1" customWidth="1"/>
    <col min="2089" max="2089" width="23.44140625" bestFit="1" customWidth="1"/>
    <col min="2090" max="2090" width="19.21875" bestFit="1" customWidth="1"/>
    <col min="2091" max="2091" width="23.44140625" bestFit="1" customWidth="1"/>
    <col min="2092" max="2092" width="19.21875" bestFit="1" customWidth="1"/>
    <col min="2093" max="2093" width="23.44140625" bestFit="1" customWidth="1"/>
    <col min="2094" max="2094" width="19.21875" bestFit="1" customWidth="1"/>
    <col min="2095" max="2095" width="23.44140625" bestFit="1" customWidth="1"/>
    <col min="2096" max="2096" width="19.21875" bestFit="1" customWidth="1"/>
    <col min="2097" max="2097" width="23.44140625" bestFit="1" customWidth="1"/>
    <col min="2098" max="2098" width="19.21875" bestFit="1" customWidth="1"/>
    <col min="2099" max="2099" width="23.44140625" bestFit="1" customWidth="1"/>
    <col min="2100" max="2100" width="19.21875" bestFit="1" customWidth="1"/>
    <col min="2101" max="2101" width="23.44140625" bestFit="1" customWidth="1"/>
    <col min="2102" max="2102" width="19.21875" bestFit="1" customWidth="1"/>
    <col min="2103" max="2103" width="23.44140625" bestFit="1" customWidth="1"/>
    <col min="2104" max="2104" width="19.21875" bestFit="1" customWidth="1"/>
    <col min="2105" max="2105" width="23.44140625" bestFit="1" customWidth="1"/>
    <col min="2106" max="2106" width="19.21875" bestFit="1" customWidth="1"/>
    <col min="2107" max="2107" width="23.44140625" bestFit="1" customWidth="1"/>
    <col min="2108" max="2108" width="19.21875" bestFit="1" customWidth="1"/>
    <col min="2109" max="2109" width="23.44140625" bestFit="1" customWidth="1"/>
    <col min="2110" max="2110" width="19.21875" bestFit="1" customWidth="1"/>
    <col min="2111" max="2111" width="23.44140625" bestFit="1" customWidth="1"/>
    <col min="2112" max="2112" width="19.21875" bestFit="1" customWidth="1"/>
    <col min="2113" max="2113" width="23.44140625" bestFit="1" customWidth="1"/>
    <col min="2114" max="2114" width="19.21875" bestFit="1" customWidth="1"/>
    <col min="2115" max="2115" width="23.44140625" bestFit="1" customWidth="1"/>
    <col min="2116" max="2116" width="19.21875" bestFit="1" customWidth="1"/>
    <col min="2117" max="2117" width="23.44140625" bestFit="1" customWidth="1"/>
    <col min="2118" max="2118" width="19.21875" bestFit="1" customWidth="1"/>
    <col min="2119" max="2119" width="23.44140625" bestFit="1" customWidth="1"/>
    <col min="2120" max="2120" width="19.21875" bestFit="1" customWidth="1"/>
    <col min="2121" max="2121" width="23.44140625" bestFit="1" customWidth="1"/>
    <col min="2122" max="2122" width="19.21875" bestFit="1" customWidth="1"/>
    <col min="2123" max="2123" width="23.44140625" bestFit="1" customWidth="1"/>
    <col min="2124" max="2124" width="19.21875" bestFit="1" customWidth="1"/>
    <col min="2125" max="2125" width="23.44140625" bestFit="1" customWidth="1"/>
    <col min="2126" max="2126" width="19.21875" bestFit="1" customWidth="1"/>
    <col min="2127" max="2127" width="23.44140625" bestFit="1" customWidth="1"/>
    <col min="2128" max="2128" width="19.21875" bestFit="1" customWidth="1"/>
    <col min="2129" max="2129" width="23.44140625" bestFit="1" customWidth="1"/>
    <col min="2130" max="2130" width="19.21875" bestFit="1" customWidth="1"/>
    <col min="2131" max="2131" width="23.44140625" bestFit="1" customWidth="1"/>
    <col min="2132" max="2132" width="19.21875" bestFit="1" customWidth="1"/>
    <col min="2133" max="2133" width="23.44140625" bestFit="1" customWidth="1"/>
    <col min="2134" max="2134" width="19.21875" bestFit="1" customWidth="1"/>
    <col min="2135" max="2135" width="23.44140625" bestFit="1" customWidth="1"/>
    <col min="2136" max="2136" width="19.21875" bestFit="1" customWidth="1"/>
    <col min="2137" max="2137" width="23.44140625" bestFit="1" customWidth="1"/>
    <col min="2138" max="2138" width="19.21875" bestFit="1" customWidth="1"/>
    <col min="2139" max="2139" width="23.44140625" bestFit="1" customWidth="1"/>
    <col min="2140" max="2140" width="19.21875" bestFit="1" customWidth="1"/>
    <col min="2141" max="2141" width="23.44140625" bestFit="1" customWidth="1"/>
    <col min="2142" max="2142" width="19.21875" bestFit="1" customWidth="1"/>
    <col min="2143" max="2143" width="23.44140625" bestFit="1" customWidth="1"/>
    <col min="2144" max="2144" width="19.21875" bestFit="1" customWidth="1"/>
    <col min="2145" max="2145" width="23.44140625" bestFit="1" customWidth="1"/>
    <col min="2146" max="2146" width="19.21875" bestFit="1" customWidth="1"/>
    <col min="2147" max="2147" width="23.44140625" bestFit="1" customWidth="1"/>
    <col min="2148" max="2148" width="19.21875" bestFit="1" customWidth="1"/>
    <col min="2149" max="2149" width="23.44140625" bestFit="1" customWidth="1"/>
    <col min="2150" max="2150" width="19.21875" bestFit="1" customWidth="1"/>
    <col min="2151" max="2151" width="23.44140625" bestFit="1" customWidth="1"/>
    <col min="2152" max="2152" width="19.21875" bestFit="1" customWidth="1"/>
    <col min="2153" max="2153" width="23.44140625" bestFit="1" customWidth="1"/>
    <col min="2154" max="2154" width="19.21875" bestFit="1" customWidth="1"/>
    <col min="2155" max="2155" width="23.44140625" bestFit="1" customWidth="1"/>
    <col min="2156" max="2156" width="19.21875" bestFit="1" customWidth="1"/>
    <col min="2157" max="2157" width="23.44140625" bestFit="1" customWidth="1"/>
    <col min="2158" max="2158" width="19.21875" bestFit="1" customWidth="1"/>
    <col min="2159" max="2159" width="23.44140625" bestFit="1" customWidth="1"/>
    <col min="2160" max="2160" width="19.21875" bestFit="1" customWidth="1"/>
    <col min="2161" max="2161" width="23.44140625" bestFit="1" customWidth="1"/>
    <col min="2162" max="2162" width="19.21875" bestFit="1" customWidth="1"/>
    <col min="2163" max="2163" width="23.44140625" bestFit="1" customWidth="1"/>
    <col min="2164" max="2164" width="19.21875" bestFit="1" customWidth="1"/>
    <col min="2165" max="2165" width="23.44140625" bestFit="1" customWidth="1"/>
    <col min="2166" max="2166" width="19.21875" bestFit="1" customWidth="1"/>
    <col min="2167" max="2167" width="23.44140625" bestFit="1" customWidth="1"/>
    <col min="2168" max="2168" width="19.21875" bestFit="1" customWidth="1"/>
    <col min="2169" max="2169" width="23.44140625" bestFit="1" customWidth="1"/>
    <col min="2170" max="2170" width="19.21875" bestFit="1" customWidth="1"/>
    <col min="2171" max="2171" width="23.44140625" bestFit="1" customWidth="1"/>
    <col min="2172" max="2172" width="19.21875" bestFit="1" customWidth="1"/>
    <col min="2173" max="2173" width="23.44140625" bestFit="1" customWidth="1"/>
    <col min="2174" max="2174" width="19.21875" bestFit="1" customWidth="1"/>
    <col min="2175" max="2175" width="23.44140625" bestFit="1" customWidth="1"/>
    <col min="2176" max="2176" width="19.21875" bestFit="1" customWidth="1"/>
    <col min="2177" max="2177" width="23.44140625" bestFit="1" customWidth="1"/>
    <col min="2178" max="2178" width="19.21875" bestFit="1" customWidth="1"/>
    <col min="2179" max="2179" width="23.44140625" bestFit="1" customWidth="1"/>
    <col min="2180" max="2180" width="19.21875" bestFit="1" customWidth="1"/>
    <col min="2181" max="2181" width="23.44140625" bestFit="1" customWidth="1"/>
    <col min="2182" max="2182" width="19.21875" bestFit="1" customWidth="1"/>
    <col min="2183" max="2183" width="23.44140625" bestFit="1" customWidth="1"/>
    <col min="2184" max="2184" width="19.21875" bestFit="1" customWidth="1"/>
    <col min="2185" max="2185" width="23.44140625" bestFit="1" customWidth="1"/>
    <col min="2186" max="2186" width="19.21875" bestFit="1" customWidth="1"/>
    <col min="2187" max="2187" width="23.44140625" bestFit="1" customWidth="1"/>
    <col min="2188" max="2188" width="19.21875" bestFit="1" customWidth="1"/>
    <col min="2189" max="2189" width="23.44140625" bestFit="1" customWidth="1"/>
    <col min="2190" max="2190" width="19.21875" bestFit="1" customWidth="1"/>
    <col min="2191" max="2191" width="23.44140625" bestFit="1" customWidth="1"/>
    <col min="2192" max="2192" width="19.21875" bestFit="1" customWidth="1"/>
    <col min="2193" max="2193" width="23.44140625" bestFit="1" customWidth="1"/>
    <col min="2194" max="2194" width="19.21875" bestFit="1" customWidth="1"/>
    <col min="2195" max="2195" width="23.44140625" bestFit="1" customWidth="1"/>
    <col min="2196" max="2196" width="19.21875" bestFit="1" customWidth="1"/>
    <col min="2197" max="2197" width="23.44140625" bestFit="1" customWidth="1"/>
    <col min="2198" max="2198" width="19.21875" bestFit="1" customWidth="1"/>
    <col min="2199" max="2199" width="23.44140625" bestFit="1" customWidth="1"/>
    <col min="2200" max="2200" width="19.21875" bestFit="1" customWidth="1"/>
    <col min="2201" max="2201" width="23.44140625" bestFit="1" customWidth="1"/>
    <col min="2202" max="2202" width="19.21875" bestFit="1" customWidth="1"/>
    <col min="2203" max="2203" width="23.44140625" bestFit="1" customWidth="1"/>
    <col min="2204" max="2204" width="19.21875" bestFit="1" customWidth="1"/>
    <col min="2205" max="2205" width="23.44140625" bestFit="1" customWidth="1"/>
    <col min="2206" max="2206" width="19.21875" bestFit="1" customWidth="1"/>
    <col min="2207" max="2207" width="23.44140625" bestFit="1" customWidth="1"/>
    <col min="2208" max="2208" width="19.21875" bestFit="1" customWidth="1"/>
    <col min="2209" max="2209" width="23.44140625" bestFit="1" customWidth="1"/>
    <col min="2210" max="2210" width="19.21875" bestFit="1" customWidth="1"/>
    <col min="2211" max="2211" width="23.44140625" bestFit="1" customWidth="1"/>
    <col min="2212" max="2212" width="19.21875" bestFit="1" customWidth="1"/>
    <col min="2213" max="2213" width="23.44140625" bestFit="1" customWidth="1"/>
    <col min="2214" max="2214" width="19.21875" bestFit="1" customWidth="1"/>
    <col min="2215" max="2215" width="23.44140625" bestFit="1" customWidth="1"/>
    <col min="2216" max="2216" width="19.21875" bestFit="1" customWidth="1"/>
    <col min="2217" max="2217" width="23.44140625" bestFit="1" customWidth="1"/>
    <col min="2218" max="2218" width="19.21875" bestFit="1" customWidth="1"/>
    <col min="2219" max="2219" width="23.44140625" bestFit="1" customWidth="1"/>
    <col min="2220" max="2220" width="19.21875" bestFit="1" customWidth="1"/>
    <col min="2221" max="2221" width="23.44140625" bestFit="1" customWidth="1"/>
    <col min="2222" max="2222" width="19.21875" bestFit="1" customWidth="1"/>
    <col min="2223" max="2223" width="23.44140625" bestFit="1" customWidth="1"/>
    <col min="2224" max="2224" width="19.21875" bestFit="1" customWidth="1"/>
    <col min="2225" max="2225" width="23.44140625" bestFit="1" customWidth="1"/>
    <col min="2226" max="2226" width="19.21875" bestFit="1" customWidth="1"/>
    <col min="2227" max="2227" width="23.44140625" bestFit="1" customWidth="1"/>
    <col min="2228" max="2228" width="19.21875" bestFit="1" customWidth="1"/>
    <col min="2229" max="2229" width="23.44140625" bestFit="1" customWidth="1"/>
    <col min="2230" max="2230" width="19.21875" bestFit="1" customWidth="1"/>
    <col min="2231" max="2231" width="23.44140625" bestFit="1" customWidth="1"/>
    <col min="2232" max="2232" width="19.21875" bestFit="1" customWidth="1"/>
    <col min="2233" max="2233" width="23.44140625" bestFit="1" customWidth="1"/>
    <col min="2234" max="2234" width="19.21875" bestFit="1" customWidth="1"/>
    <col min="2235" max="2235" width="23.44140625" bestFit="1" customWidth="1"/>
    <col min="2236" max="2236" width="19.21875" bestFit="1" customWidth="1"/>
    <col min="2237" max="2237" width="23.44140625" bestFit="1" customWidth="1"/>
    <col min="2238" max="2238" width="19.21875" bestFit="1" customWidth="1"/>
    <col min="2239" max="2239" width="23.44140625" bestFit="1" customWidth="1"/>
    <col min="2240" max="2240" width="19.21875" bestFit="1" customWidth="1"/>
    <col min="2241" max="2241" width="23.44140625" bestFit="1" customWidth="1"/>
    <col min="2242" max="2242" width="19.21875" bestFit="1" customWidth="1"/>
    <col min="2243" max="2243" width="23.44140625" bestFit="1" customWidth="1"/>
    <col min="2244" max="2244" width="19.21875" bestFit="1" customWidth="1"/>
    <col min="2245" max="2245" width="23.44140625" bestFit="1" customWidth="1"/>
    <col min="2246" max="2246" width="19.21875" bestFit="1" customWidth="1"/>
    <col min="2247" max="2247" width="23.44140625" bestFit="1" customWidth="1"/>
    <col min="2248" max="2248" width="19.21875" bestFit="1" customWidth="1"/>
    <col min="2249" max="2249" width="23.44140625" bestFit="1" customWidth="1"/>
    <col min="2250" max="2250" width="19.21875" bestFit="1" customWidth="1"/>
    <col min="2251" max="2251" width="23.44140625" bestFit="1" customWidth="1"/>
    <col min="2252" max="2252" width="19.21875" bestFit="1" customWidth="1"/>
    <col min="2253" max="2253" width="23.44140625" bestFit="1" customWidth="1"/>
    <col min="2254" max="2254" width="19.21875" bestFit="1" customWidth="1"/>
    <col min="2255" max="2255" width="23.44140625" bestFit="1" customWidth="1"/>
    <col min="2256" max="2256" width="19.21875" bestFit="1" customWidth="1"/>
    <col min="2257" max="2257" width="23.44140625" bestFit="1" customWidth="1"/>
    <col min="2258" max="2258" width="19.21875" bestFit="1" customWidth="1"/>
    <col min="2259" max="2259" width="23.44140625" bestFit="1" customWidth="1"/>
    <col min="2260" max="2260" width="19.21875" bestFit="1" customWidth="1"/>
    <col min="2261" max="2261" width="23.44140625" bestFit="1" customWidth="1"/>
    <col min="2262" max="2262" width="19.21875" bestFit="1" customWidth="1"/>
    <col min="2263" max="2263" width="23.44140625" bestFit="1" customWidth="1"/>
    <col min="2264" max="2264" width="19.21875" bestFit="1" customWidth="1"/>
    <col min="2265" max="2265" width="23.44140625" bestFit="1" customWidth="1"/>
    <col min="2266" max="2266" width="19.21875" bestFit="1" customWidth="1"/>
    <col min="2267" max="2267" width="23.44140625" bestFit="1" customWidth="1"/>
    <col min="2268" max="2268" width="19.21875" bestFit="1" customWidth="1"/>
    <col min="2269" max="2269" width="23.44140625" bestFit="1" customWidth="1"/>
    <col min="2270" max="2270" width="19.21875" bestFit="1" customWidth="1"/>
    <col min="2271" max="2271" width="23.44140625" bestFit="1" customWidth="1"/>
    <col min="2272" max="2272" width="19.21875" bestFit="1" customWidth="1"/>
    <col min="2273" max="2273" width="23.44140625" bestFit="1" customWidth="1"/>
    <col min="2274" max="2274" width="19.21875" bestFit="1" customWidth="1"/>
    <col min="2275" max="2275" width="23.44140625" bestFit="1" customWidth="1"/>
    <col min="2276" max="2276" width="19.21875" bestFit="1" customWidth="1"/>
    <col min="2277" max="2277" width="23.44140625" bestFit="1" customWidth="1"/>
    <col min="2278" max="2278" width="19.21875" bestFit="1" customWidth="1"/>
    <col min="2279" max="2279" width="23.44140625" bestFit="1" customWidth="1"/>
    <col min="2280" max="2280" width="19.21875" bestFit="1" customWidth="1"/>
    <col min="2281" max="2281" width="23.44140625" bestFit="1" customWidth="1"/>
    <col min="2282" max="2282" width="19.21875" bestFit="1" customWidth="1"/>
    <col min="2283" max="2283" width="23.44140625" bestFit="1" customWidth="1"/>
    <col min="2284" max="2284" width="19.21875" bestFit="1" customWidth="1"/>
    <col min="2285" max="2285" width="23.44140625" bestFit="1" customWidth="1"/>
    <col min="2286" max="2286" width="19.21875" bestFit="1" customWidth="1"/>
    <col min="2287" max="2287" width="23.44140625" bestFit="1" customWidth="1"/>
    <col min="2288" max="2288" width="19.21875" bestFit="1" customWidth="1"/>
    <col min="2289" max="2289" width="23.44140625" bestFit="1" customWidth="1"/>
    <col min="2290" max="2290" width="19.21875" bestFit="1" customWidth="1"/>
    <col min="2291" max="2291" width="23.44140625" bestFit="1" customWidth="1"/>
    <col min="2292" max="2292" width="19.21875" bestFit="1" customWidth="1"/>
    <col min="2293" max="2293" width="23.44140625" bestFit="1" customWidth="1"/>
    <col min="2294" max="2294" width="19.21875" bestFit="1" customWidth="1"/>
    <col min="2295" max="2295" width="23.44140625" bestFit="1" customWidth="1"/>
    <col min="2296" max="2296" width="19.21875" bestFit="1" customWidth="1"/>
    <col min="2297" max="2297" width="23.44140625" bestFit="1" customWidth="1"/>
    <col min="2298" max="2298" width="19.21875" bestFit="1" customWidth="1"/>
    <col min="2299" max="2299" width="23.44140625" bestFit="1" customWidth="1"/>
    <col min="2300" max="2300" width="19.21875" bestFit="1" customWidth="1"/>
    <col min="2301" max="2301" width="23.44140625" bestFit="1" customWidth="1"/>
    <col min="2302" max="2302" width="19.21875" bestFit="1" customWidth="1"/>
    <col min="2303" max="2303" width="23.44140625" bestFit="1" customWidth="1"/>
    <col min="2304" max="2304" width="19.21875" bestFit="1" customWidth="1"/>
    <col min="2305" max="2305" width="23.44140625" bestFit="1" customWidth="1"/>
    <col min="2306" max="2306" width="19.21875" bestFit="1" customWidth="1"/>
    <col min="2307" max="2307" width="23.44140625" bestFit="1" customWidth="1"/>
    <col min="2308" max="2308" width="19.21875" bestFit="1" customWidth="1"/>
    <col min="2309" max="2309" width="23.44140625" bestFit="1" customWidth="1"/>
    <col min="2310" max="2310" width="19.21875" bestFit="1" customWidth="1"/>
    <col min="2311" max="2311" width="23.44140625" bestFit="1" customWidth="1"/>
    <col min="2312" max="2312" width="19.21875" bestFit="1" customWidth="1"/>
    <col min="2313" max="2313" width="23.44140625" bestFit="1" customWidth="1"/>
    <col min="2314" max="2314" width="19.21875" bestFit="1" customWidth="1"/>
    <col min="2315" max="2315" width="23.44140625" bestFit="1" customWidth="1"/>
    <col min="2316" max="2316" width="19.21875" bestFit="1" customWidth="1"/>
    <col min="2317" max="2317" width="23.44140625" bestFit="1" customWidth="1"/>
    <col min="2318" max="2318" width="19.21875" bestFit="1" customWidth="1"/>
    <col min="2319" max="2319" width="23.44140625" bestFit="1" customWidth="1"/>
    <col min="2320" max="2320" width="19.21875" bestFit="1" customWidth="1"/>
    <col min="2321" max="2321" width="23.44140625" bestFit="1" customWidth="1"/>
    <col min="2322" max="2322" width="19.21875" bestFit="1" customWidth="1"/>
    <col min="2323" max="2323" width="23.44140625" bestFit="1" customWidth="1"/>
    <col min="2324" max="2324" width="19.21875" bestFit="1" customWidth="1"/>
    <col min="2325" max="2325" width="23.44140625" bestFit="1" customWidth="1"/>
    <col min="2326" max="2326" width="19.21875" bestFit="1" customWidth="1"/>
    <col min="2327" max="2327" width="23.44140625" bestFit="1" customWidth="1"/>
    <col min="2328" max="2328" width="19.21875" bestFit="1" customWidth="1"/>
    <col min="2329" max="2329" width="23.44140625" bestFit="1" customWidth="1"/>
    <col min="2330" max="2330" width="19.21875" bestFit="1" customWidth="1"/>
    <col min="2331" max="2331" width="23.44140625" bestFit="1" customWidth="1"/>
    <col min="2332" max="2332" width="19.21875" bestFit="1" customWidth="1"/>
    <col min="2333" max="2333" width="23.44140625" bestFit="1" customWidth="1"/>
    <col min="2334" max="2334" width="19.21875" bestFit="1" customWidth="1"/>
    <col min="2335" max="2335" width="23.44140625" bestFit="1" customWidth="1"/>
    <col min="2336" max="2336" width="19.21875" bestFit="1" customWidth="1"/>
    <col min="2337" max="2337" width="23.44140625" bestFit="1" customWidth="1"/>
    <col min="2338" max="2338" width="19.21875" bestFit="1" customWidth="1"/>
    <col min="2339" max="2339" width="23.44140625" bestFit="1" customWidth="1"/>
    <col min="2340" max="2340" width="19.21875" bestFit="1" customWidth="1"/>
    <col min="2341" max="2341" width="23.44140625" bestFit="1" customWidth="1"/>
    <col min="2342" max="2342" width="19.21875" bestFit="1" customWidth="1"/>
    <col min="2343" max="2343" width="23.44140625" bestFit="1" customWidth="1"/>
    <col min="2344" max="2344" width="19.21875" bestFit="1" customWidth="1"/>
    <col min="2345" max="2345" width="23.44140625" bestFit="1" customWidth="1"/>
    <col min="2346" max="2346" width="19.21875" bestFit="1" customWidth="1"/>
    <col min="2347" max="2347" width="23.44140625" bestFit="1" customWidth="1"/>
    <col min="2348" max="2348" width="19.21875" bestFit="1" customWidth="1"/>
    <col min="2349" max="2349" width="23.44140625" bestFit="1" customWidth="1"/>
    <col min="2350" max="2350" width="19.21875" bestFit="1" customWidth="1"/>
    <col min="2351" max="2351" width="23.44140625" bestFit="1" customWidth="1"/>
    <col min="2352" max="2352" width="19.21875" bestFit="1" customWidth="1"/>
    <col min="2353" max="2353" width="23.44140625" bestFit="1" customWidth="1"/>
    <col min="2354" max="2354" width="19.21875" bestFit="1" customWidth="1"/>
    <col min="2355" max="2355" width="23.44140625" bestFit="1" customWidth="1"/>
    <col min="2356" max="2356" width="19.21875" bestFit="1" customWidth="1"/>
    <col min="2357" max="2357" width="23.44140625" bestFit="1" customWidth="1"/>
    <col min="2358" max="2358" width="19.21875" bestFit="1" customWidth="1"/>
    <col min="2359" max="2359" width="23.44140625" bestFit="1" customWidth="1"/>
    <col min="2360" max="2360" width="19.21875" bestFit="1" customWidth="1"/>
    <col min="2361" max="2361" width="23.44140625" bestFit="1" customWidth="1"/>
    <col min="2362" max="2362" width="24" bestFit="1" customWidth="1"/>
    <col min="2363" max="2363" width="28.21875" bestFit="1" customWidth="1"/>
    <col min="2364" max="2364" width="10.33203125" bestFit="1" customWidth="1"/>
    <col min="2365" max="2365" width="11.21875" bestFit="1" customWidth="1"/>
    <col min="2366" max="2366" width="10.33203125" bestFit="1" customWidth="1"/>
    <col min="2367" max="2367" width="11.21875" bestFit="1" customWidth="1"/>
    <col min="2368" max="2368" width="6.5546875" bestFit="1" customWidth="1"/>
    <col min="2369" max="2369" width="11.21875" bestFit="1" customWidth="1"/>
    <col min="2370" max="2370" width="6.5546875" bestFit="1" customWidth="1"/>
    <col min="2371" max="2371" width="11.21875" bestFit="1" customWidth="1"/>
    <col min="2372" max="2372" width="9.77734375" bestFit="1" customWidth="1"/>
    <col min="2373" max="2373" width="11.21875" bestFit="1" customWidth="1"/>
    <col min="2374" max="2374" width="6.5546875" bestFit="1" customWidth="1"/>
    <col min="2375" max="2375" width="11.21875" bestFit="1" customWidth="1"/>
    <col min="2376" max="2376" width="6.5546875" bestFit="1" customWidth="1"/>
    <col min="2377" max="2377" width="11.21875" bestFit="1" customWidth="1"/>
    <col min="2378" max="2378" width="10.33203125" bestFit="1" customWidth="1"/>
    <col min="2379" max="2379" width="11.21875" bestFit="1" customWidth="1"/>
    <col min="2380" max="2380" width="6.5546875" bestFit="1" customWidth="1"/>
    <col min="2381" max="2381" width="11.21875" bestFit="1" customWidth="1"/>
    <col min="2382" max="2382" width="6.5546875" bestFit="1" customWidth="1"/>
    <col min="2383" max="2383" width="11.21875" bestFit="1" customWidth="1"/>
    <col min="2384" max="2384" width="6.5546875" bestFit="1" customWidth="1"/>
    <col min="2385" max="2385" width="11.21875" bestFit="1" customWidth="1"/>
    <col min="2386" max="2386" width="10.33203125" bestFit="1" customWidth="1"/>
    <col min="2387" max="2387" width="11.21875" bestFit="1" customWidth="1"/>
    <col min="2388" max="2388" width="10.77734375" bestFit="1" customWidth="1"/>
  </cols>
  <sheetData>
    <row r="3" spans="1:8" x14ac:dyDescent="0.3">
      <c r="A3" s="50" t="s">
        <v>6650</v>
      </c>
      <c r="B3" s="50" t="s">
        <v>6649</v>
      </c>
    </row>
    <row r="4" spans="1:8" x14ac:dyDescent="0.3">
      <c r="A4" s="50" t="s">
        <v>6647</v>
      </c>
      <c r="B4" t="s">
        <v>72</v>
      </c>
      <c r="C4" t="s">
        <v>87</v>
      </c>
      <c r="D4" t="s">
        <v>91</v>
      </c>
      <c r="E4" t="s">
        <v>104</v>
      </c>
      <c r="F4" t="s">
        <v>6632</v>
      </c>
      <c r="G4" t="s">
        <v>97</v>
      </c>
      <c r="H4" t="s">
        <v>6648</v>
      </c>
    </row>
    <row r="5" spans="1:8" x14ac:dyDescent="0.3">
      <c r="A5" s="51" t="s">
        <v>6626</v>
      </c>
      <c r="B5" s="52">
        <v>1144134</v>
      </c>
      <c r="C5" s="52">
        <v>917423</v>
      </c>
      <c r="D5" s="52">
        <v>683920</v>
      </c>
      <c r="E5" s="52">
        <v>462288</v>
      </c>
      <c r="F5" s="52">
        <v>171959</v>
      </c>
      <c r="G5" s="52">
        <v>691307</v>
      </c>
      <c r="H5" s="52">
        <v>4071031</v>
      </c>
    </row>
    <row r="6" spans="1:8" x14ac:dyDescent="0.3">
      <c r="A6" s="51" t="s">
        <v>79</v>
      </c>
      <c r="B6" s="52">
        <v>1275802</v>
      </c>
      <c r="C6" s="52">
        <v>1017884</v>
      </c>
      <c r="D6" s="52">
        <v>592405</v>
      </c>
      <c r="E6" s="52">
        <v>519954</v>
      </c>
      <c r="F6" s="52">
        <v>198823</v>
      </c>
      <c r="G6" s="52">
        <v>845514</v>
      </c>
      <c r="H6" s="52">
        <v>4450382</v>
      </c>
    </row>
    <row r="7" spans="1:8" x14ac:dyDescent="0.3">
      <c r="A7" s="51" t="s">
        <v>6627</v>
      </c>
      <c r="B7" s="52">
        <v>1095169</v>
      </c>
      <c r="C7" s="52">
        <v>1006151</v>
      </c>
      <c r="D7" s="52">
        <v>807690</v>
      </c>
      <c r="E7" s="52">
        <v>858266</v>
      </c>
      <c r="F7" s="52">
        <v>295777</v>
      </c>
      <c r="G7" s="52">
        <v>490128</v>
      </c>
      <c r="H7" s="52">
        <v>4553181</v>
      </c>
    </row>
    <row r="8" spans="1:8" x14ac:dyDescent="0.3">
      <c r="A8" s="51" t="s">
        <v>118</v>
      </c>
      <c r="B8" s="52">
        <v>1490087</v>
      </c>
      <c r="C8" s="52">
        <v>1156608</v>
      </c>
      <c r="D8" s="52">
        <v>995746</v>
      </c>
      <c r="E8" s="52">
        <v>684676</v>
      </c>
      <c r="F8" s="52">
        <v>67204</v>
      </c>
      <c r="G8" s="52">
        <v>661265</v>
      </c>
      <c r="H8" s="52">
        <v>5055586</v>
      </c>
    </row>
    <row r="9" spans="1:8" x14ac:dyDescent="0.3">
      <c r="A9" s="51" t="s">
        <v>6628</v>
      </c>
      <c r="B9" s="52">
        <v>1685689</v>
      </c>
      <c r="C9" s="52">
        <v>1158358</v>
      </c>
      <c r="D9" s="52">
        <v>445138</v>
      </c>
      <c r="E9" s="52">
        <v>648301</v>
      </c>
      <c r="F9" s="52">
        <v>203718</v>
      </c>
      <c r="G9" s="52">
        <v>377689</v>
      </c>
      <c r="H9" s="52">
        <v>4518893</v>
      </c>
    </row>
    <row r="10" spans="1:8" x14ac:dyDescent="0.3">
      <c r="A10" s="51" t="s">
        <v>6629</v>
      </c>
      <c r="B10" s="52">
        <v>1214973</v>
      </c>
      <c r="C10" s="52">
        <v>1068203</v>
      </c>
      <c r="D10" s="52">
        <v>713389</v>
      </c>
      <c r="E10" s="52">
        <v>375549</v>
      </c>
      <c r="F10" s="52">
        <v>65550</v>
      </c>
      <c r="G10" s="52">
        <v>811499</v>
      </c>
      <c r="H10" s="52">
        <v>4249163</v>
      </c>
    </row>
    <row r="11" spans="1:8" x14ac:dyDescent="0.3">
      <c r="A11" s="51" t="s">
        <v>6648</v>
      </c>
      <c r="B11" s="52">
        <v>7905854</v>
      </c>
      <c r="C11" s="52">
        <v>6324627</v>
      </c>
      <c r="D11" s="52">
        <v>4238288</v>
      </c>
      <c r="E11" s="52">
        <v>3549034</v>
      </c>
      <c r="F11" s="52">
        <v>1003031</v>
      </c>
      <c r="G11" s="52">
        <v>3877402</v>
      </c>
      <c r="H11" s="52">
        <v>26898236</v>
      </c>
    </row>
    <row r="15" spans="1:8" x14ac:dyDescent="0.3">
      <c r="A15" s="50" t="s">
        <v>6647</v>
      </c>
      <c r="B15" t="s">
        <v>6650</v>
      </c>
      <c r="C15" t="s">
        <v>6651</v>
      </c>
      <c r="D15" t="s">
        <v>6652</v>
      </c>
      <c r="E15" t="s">
        <v>6653</v>
      </c>
    </row>
    <row r="16" spans="1:8" x14ac:dyDescent="0.3">
      <c r="A16" s="51" t="s">
        <v>164</v>
      </c>
      <c r="B16" s="52">
        <v>2486033</v>
      </c>
      <c r="C16" s="52">
        <v>20891.033613445379</v>
      </c>
      <c r="D16" s="52">
        <v>81800</v>
      </c>
      <c r="E16" s="52">
        <v>2989</v>
      </c>
    </row>
    <row r="17" spans="1:12" x14ac:dyDescent="0.3">
      <c r="A17" s="51" t="s">
        <v>99</v>
      </c>
      <c r="B17" s="52">
        <v>2774411</v>
      </c>
      <c r="C17" s="52">
        <v>27200.107843137255</v>
      </c>
      <c r="D17" s="52">
        <v>87522</v>
      </c>
      <c r="E17" s="52">
        <v>4678</v>
      </c>
    </row>
    <row r="18" spans="1:12" x14ac:dyDescent="0.3">
      <c r="A18" s="51" t="s">
        <v>47</v>
      </c>
      <c r="B18" s="52">
        <v>2090931</v>
      </c>
      <c r="C18" s="52">
        <v>21336.030612244896</v>
      </c>
      <c r="D18" s="52">
        <v>87544</v>
      </c>
      <c r="E18" s="52">
        <v>3055</v>
      </c>
    </row>
    <row r="19" spans="1:12" x14ac:dyDescent="0.3">
      <c r="A19" s="51" t="s">
        <v>74</v>
      </c>
      <c r="B19" s="52">
        <v>2323076</v>
      </c>
      <c r="C19" s="52">
        <v>20377.859649122805</v>
      </c>
      <c r="D19" s="52">
        <v>86403</v>
      </c>
      <c r="E19" s="52">
        <v>2995</v>
      </c>
    </row>
    <row r="20" spans="1:12" x14ac:dyDescent="0.3">
      <c r="A20" s="51" t="s">
        <v>17</v>
      </c>
      <c r="B20" s="52">
        <v>2680064</v>
      </c>
      <c r="C20" s="52">
        <v>20000.4776119403</v>
      </c>
      <c r="D20" s="52">
        <v>86355</v>
      </c>
      <c r="E20" s="52">
        <v>2757</v>
      </c>
    </row>
    <row r="21" spans="1:12" x14ac:dyDescent="0.3">
      <c r="A21" s="51" t="s">
        <v>93</v>
      </c>
      <c r="B21" s="52">
        <v>2861462</v>
      </c>
      <c r="C21" s="52">
        <v>21677.742424242424</v>
      </c>
      <c r="D21" s="52">
        <v>85749</v>
      </c>
      <c r="E21" s="52">
        <v>3128</v>
      </c>
    </row>
    <row r="22" spans="1:12" x14ac:dyDescent="0.3">
      <c r="A22" s="51" t="s">
        <v>67</v>
      </c>
      <c r="B22" s="52">
        <v>2338142</v>
      </c>
      <c r="C22" s="52">
        <v>20156.396551724138</v>
      </c>
      <c r="D22" s="52">
        <v>89496</v>
      </c>
      <c r="E22" s="52">
        <v>3001</v>
      </c>
    </row>
    <row r="23" spans="1:12" x14ac:dyDescent="0.3">
      <c r="A23" s="51" t="s">
        <v>28</v>
      </c>
      <c r="B23" s="52">
        <v>3153170</v>
      </c>
      <c r="C23" s="52">
        <v>23531.119402985074</v>
      </c>
      <c r="D23" s="52">
        <v>88285</v>
      </c>
      <c r="E23" s="52">
        <v>3060</v>
      </c>
    </row>
    <row r="24" spans="1:12" x14ac:dyDescent="0.3">
      <c r="A24" s="51" t="s">
        <v>108</v>
      </c>
      <c r="B24" s="52">
        <v>3286542</v>
      </c>
      <c r="C24" s="52">
        <v>24165.75</v>
      </c>
      <c r="D24" s="52">
        <v>89885</v>
      </c>
      <c r="E24" s="52">
        <v>2715</v>
      </c>
    </row>
    <row r="25" spans="1:12" x14ac:dyDescent="0.3">
      <c r="A25" s="51" t="s">
        <v>37</v>
      </c>
      <c r="B25" s="52">
        <v>2904405</v>
      </c>
      <c r="C25" s="52">
        <v>22003.06818181818</v>
      </c>
      <c r="D25" s="52">
        <v>86836</v>
      </c>
      <c r="E25" s="52">
        <v>2378</v>
      </c>
    </row>
    <row r="26" spans="1:12" x14ac:dyDescent="0.3">
      <c r="A26" s="51" t="s">
        <v>6648</v>
      </c>
      <c r="B26" s="52">
        <v>26898236</v>
      </c>
      <c r="C26" s="52">
        <v>22102.083812654066</v>
      </c>
      <c r="D26" s="52">
        <v>89885</v>
      </c>
      <c r="E26" s="52">
        <v>2378</v>
      </c>
    </row>
    <row r="29" spans="1:12" x14ac:dyDescent="0.3">
      <c r="A29" s="50" t="s">
        <v>6650</v>
      </c>
      <c r="B29" s="50" t="s">
        <v>6649</v>
      </c>
    </row>
    <row r="30" spans="1:12" x14ac:dyDescent="0.3">
      <c r="A30" s="50" t="s">
        <v>6647</v>
      </c>
      <c r="B30" t="s">
        <v>164</v>
      </c>
      <c r="C30" t="s">
        <v>99</v>
      </c>
      <c r="D30" t="s">
        <v>47</v>
      </c>
      <c r="E30" t="s">
        <v>74</v>
      </c>
      <c r="F30" t="s">
        <v>17</v>
      </c>
      <c r="G30" t="s">
        <v>93</v>
      </c>
      <c r="H30" t="s">
        <v>67</v>
      </c>
      <c r="I30" t="s">
        <v>28</v>
      </c>
      <c r="J30" t="s">
        <v>108</v>
      </c>
      <c r="K30" t="s">
        <v>37</v>
      </c>
      <c r="L30" t="s">
        <v>6648</v>
      </c>
    </row>
    <row r="31" spans="1:12" x14ac:dyDescent="0.3">
      <c r="A31" s="51" t="s">
        <v>30</v>
      </c>
      <c r="B31" s="52">
        <v>916904</v>
      </c>
      <c r="C31" s="52">
        <v>839022</v>
      </c>
      <c r="D31" s="52">
        <v>751927</v>
      </c>
      <c r="E31" s="52">
        <v>912464</v>
      </c>
      <c r="F31" s="52">
        <v>1226915</v>
      </c>
      <c r="G31" s="52">
        <v>1007531</v>
      </c>
      <c r="H31" s="52">
        <v>922399</v>
      </c>
      <c r="I31" s="52">
        <v>1039963</v>
      </c>
      <c r="J31" s="52">
        <v>1034457</v>
      </c>
      <c r="K31" s="52">
        <v>1004622</v>
      </c>
      <c r="L31" s="52">
        <v>9656204</v>
      </c>
    </row>
    <row r="32" spans="1:12" x14ac:dyDescent="0.3">
      <c r="A32" s="51" t="s">
        <v>69</v>
      </c>
      <c r="B32" s="52">
        <v>1469863</v>
      </c>
      <c r="C32" s="52">
        <v>1794527</v>
      </c>
      <c r="D32" s="52">
        <v>1285246</v>
      </c>
      <c r="E32" s="52">
        <v>1131232</v>
      </c>
      <c r="F32" s="52">
        <v>1438118</v>
      </c>
      <c r="G32" s="52">
        <v>1728567</v>
      </c>
      <c r="H32" s="52">
        <v>1261171</v>
      </c>
      <c r="I32" s="52">
        <v>2022022</v>
      </c>
      <c r="J32" s="52">
        <v>2086763</v>
      </c>
      <c r="K32" s="52">
        <v>1846673</v>
      </c>
      <c r="L32" s="52">
        <v>16064182</v>
      </c>
    </row>
    <row r="33" spans="1:12" x14ac:dyDescent="0.3">
      <c r="A33" s="51" t="s">
        <v>6632</v>
      </c>
      <c r="B33" s="52">
        <v>99266</v>
      </c>
      <c r="C33" s="52">
        <v>140862</v>
      </c>
      <c r="D33" s="52">
        <v>53758</v>
      </c>
      <c r="E33" s="52">
        <v>279380</v>
      </c>
      <c r="F33" s="52">
        <v>15031</v>
      </c>
      <c r="G33" s="52">
        <v>125364</v>
      </c>
      <c r="H33" s="52">
        <v>154572</v>
      </c>
      <c r="I33" s="52">
        <v>91185</v>
      </c>
      <c r="J33" s="52">
        <v>165322</v>
      </c>
      <c r="K33" s="52">
        <v>53110</v>
      </c>
      <c r="L33" s="52">
        <v>1177850</v>
      </c>
    </row>
    <row r="34" spans="1:12" x14ac:dyDescent="0.3">
      <c r="A34" s="51" t="s">
        <v>6648</v>
      </c>
      <c r="B34" s="52">
        <v>2486033</v>
      </c>
      <c r="C34" s="52">
        <v>2774411</v>
      </c>
      <c r="D34" s="52">
        <v>2090931</v>
      </c>
      <c r="E34" s="52">
        <v>2323076</v>
      </c>
      <c r="F34" s="52">
        <v>2680064</v>
      </c>
      <c r="G34" s="52">
        <v>2861462</v>
      </c>
      <c r="H34" s="52">
        <v>2338142</v>
      </c>
      <c r="I34" s="52">
        <v>3153170</v>
      </c>
      <c r="J34" s="52">
        <v>3286542</v>
      </c>
      <c r="K34" s="52">
        <v>2904405</v>
      </c>
      <c r="L34" s="52">
        <v>26898236</v>
      </c>
    </row>
    <row r="36" spans="1:12" x14ac:dyDescent="0.3">
      <c r="A36" s="50" t="s">
        <v>6647</v>
      </c>
      <c r="B36" t="s">
        <v>6650</v>
      </c>
      <c r="C36" t="s">
        <v>6654</v>
      </c>
      <c r="D36" t="s">
        <v>6651</v>
      </c>
      <c r="E36" t="s">
        <v>6652</v>
      </c>
      <c r="F36" t="s">
        <v>6655</v>
      </c>
    </row>
    <row r="37" spans="1:12" x14ac:dyDescent="0.3">
      <c r="A37" s="51" t="s">
        <v>80</v>
      </c>
      <c r="B37" s="52">
        <v>3888919</v>
      </c>
      <c r="C37">
        <v>158</v>
      </c>
      <c r="D37" s="52">
        <v>24613.411392405062</v>
      </c>
      <c r="E37" s="52">
        <v>85795</v>
      </c>
      <c r="F37" s="52">
        <v>2989</v>
      </c>
    </row>
    <row r="38" spans="1:12" x14ac:dyDescent="0.3">
      <c r="A38" s="51" t="s">
        <v>16</v>
      </c>
      <c r="B38" s="52">
        <v>3271025</v>
      </c>
      <c r="C38">
        <v>161</v>
      </c>
      <c r="D38" s="52">
        <v>20316.925465838511</v>
      </c>
      <c r="E38" s="52">
        <v>89496</v>
      </c>
      <c r="F38" s="52">
        <v>2757</v>
      </c>
    </row>
    <row r="39" spans="1:12" x14ac:dyDescent="0.3">
      <c r="A39" s="51" t="s">
        <v>36</v>
      </c>
      <c r="B39" s="52">
        <v>3298272</v>
      </c>
      <c r="C39">
        <v>156</v>
      </c>
      <c r="D39" s="52">
        <v>21142.76923076923</v>
      </c>
      <c r="E39" s="52">
        <v>87544</v>
      </c>
      <c r="F39" s="52">
        <v>2715</v>
      </c>
    </row>
    <row r="40" spans="1:12" x14ac:dyDescent="0.3">
      <c r="A40" s="51" t="s">
        <v>189</v>
      </c>
      <c r="B40" s="52">
        <v>2829600</v>
      </c>
      <c r="C40">
        <v>138</v>
      </c>
      <c r="D40" s="52">
        <v>20504.347826086956</v>
      </c>
      <c r="E40" s="52">
        <v>82401</v>
      </c>
      <c r="F40" s="52">
        <v>2997</v>
      </c>
    </row>
    <row r="41" spans="1:12" x14ac:dyDescent="0.3">
      <c r="A41" s="51" t="s">
        <v>55</v>
      </c>
      <c r="B41" s="52">
        <v>3537701</v>
      </c>
      <c r="C41">
        <v>149</v>
      </c>
      <c r="D41" s="52">
        <v>23742.959731543626</v>
      </c>
      <c r="E41" s="52">
        <v>89885</v>
      </c>
      <c r="F41" s="52">
        <v>3001</v>
      </c>
    </row>
    <row r="42" spans="1:12" x14ac:dyDescent="0.3">
      <c r="A42" s="51" t="s">
        <v>66</v>
      </c>
      <c r="B42" s="52">
        <v>3022069</v>
      </c>
      <c r="C42">
        <v>147</v>
      </c>
      <c r="D42" s="52">
        <v>20558.292517006801</v>
      </c>
      <c r="E42" s="52">
        <v>86355</v>
      </c>
      <c r="F42" s="52">
        <v>3055</v>
      </c>
    </row>
    <row r="43" spans="1:12" x14ac:dyDescent="0.3">
      <c r="A43" s="51" t="s">
        <v>27</v>
      </c>
      <c r="B43" s="52">
        <v>3500533</v>
      </c>
      <c r="C43">
        <v>162</v>
      </c>
      <c r="D43" s="52">
        <v>21608.228395061727</v>
      </c>
      <c r="E43" s="52">
        <v>87522</v>
      </c>
      <c r="F43" s="52">
        <v>2378</v>
      </c>
    </row>
    <row r="44" spans="1:12" x14ac:dyDescent="0.3">
      <c r="A44" s="51" t="s">
        <v>61</v>
      </c>
      <c r="B44" s="52">
        <v>3550117</v>
      </c>
      <c r="C44">
        <v>146</v>
      </c>
      <c r="D44" s="52">
        <v>24315.869863013697</v>
      </c>
      <c r="E44" s="52">
        <v>84419</v>
      </c>
      <c r="F44" s="52">
        <v>3035</v>
      </c>
    </row>
    <row r="45" spans="1:12" x14ac:dyDescent="0.3">
      <c r="A45" s="51" t="s">
        <v>6648</v>
      </c>
      <c r="B45" s="52">
        <v>26898236</v>
      </c>
      <c r="C45">
        <v>1217</v>
      </c>
      <c r="D45" s="52">
        <v>22102.083812654066</v>
      </c>
      <c r="E45" s="52">
        <v>89885</v>
      </c>
      <c r="F45" s="52">
        <v>2378</v>
      </c>
    </row>
    <row r="49" spans="1:5" x14ac:dyDescent="0.3">
      <c r="A49" s="50" t="s">
        <v>6647</v>
      </c>
      <c r="B49" t="s">
        <v>6650</v>
      </c>
      <c r="C49" t="s">
        <v>6651</v>
      </c>
      <c r="D49" t="s">
        <v>6652</v>
      </c>
      <c r="E49" t="s">
        <v>6654</v>
      </c>
    </row>
    <row r="50" spans="1:5" x14ac:dyDescent="0.3">
      <c r="A50" s="51" t="s">
        <v>40</v>
      </c>
      <c r="B50" s="52">
        <v>12778826</v>
      </c>
      <c r="C50" s="52">
        <v>21994.537005163511</v>
      </c>
      <c r="D50" s="52">
        <v>88285</v>
      </c>
      <c r="E50">
        <v>581</v>
      </c>
    </row>
    <row r="51" spans="1:5" x14ac:dyDescent="0.3">
      <c r="A51" s="51" t="s">
        <v>20</v>
      </c>
      <c r="B51" s="52">
        <v>14119410</v>
      </c>
      <c r="C51" s="52">
        <v>22200.330188679247</v>
      </c>
      <c r="D51" s="52">
        <v>89885</v>
      </c>
      <c r="E51">
        <v>636</v>
      </c>
    </row>
    <row r="52" spans="1:5" x14ac:dyDescent="0.3">
      <c r="A52" s="51" t="s">
        <v>6648</v>
      </c>
      <c r="B52" s="52">
        <v>26898236</v>
      </c>
      <c r="C52" s="52">
        <v>22102.083812654066</v>
      </c>
      <c r="D52" s="52">
        <v>89885</v>
      </c>
      <c r="E52">
        <v>1217</v>
      </c>
    </row>
    <row r="54" spans="1:5" x14ac:dyDescent="0.3">
      <c r="A54" s="50" t="s">
        <v>6647</v>
      </c>
      <c r="B54" t="s">
        <v>6650</v>
      </c>
      <c r="C54" t="s">
        <v>6651</v>
      </c>
      <c r="D54" t="s">
        <v>6654</v>
      </c>
    </row>
    <row r="55" spans="1:5" x14ac:dyDescent="0.3">
      <c r="A55" s="51" t="s">
        <v>72</v>
      </c>
      <c r="B55" s="52">
        <v>7905854</v>
      </c>
      <c r="C55" s="52">
        <v>22021.877437325904</v>
      </c>
      <c r="D55">
        <v>359</v>
      </c>
    </row>
    <row r="56" spans="1:5" x14ac:dyDescent="0.3">
      <c r="A56" s="51" t="s">
        <v>87</v>
      </c>
      <c r="B56" s="52">
        <v>6324627</v>
      </c>
      <c r="C56" s="52">
        <v>23082.580291970804</v>
      </c>
      <c r="D56">
        <v>274</v>
      </c>
    </row>
    <row r="57" spans="1:5" x14ac:dyDescent="0.3">
      <c r="A57" s="51" t="s">
        <v>91</v>
      </c>
      <c r="B57" s="52">
        <v>4238288</v>
      </c>
      <c r="C57" s="52">
        <v>22786.494623655915</v>
      </c>
      <c r="D57">
        <v>186</v>
      </c>
    </row>
    <row r="58" spans="1:5" x14ac:dyDescent="0.3">
      <c r="A58" s="51" t="s">
        <v>104</v>
      </c>
      <c r="B58" s="52">
        <v>3549034</v>
      </c>
      <c r="C58" s="52">
        <v>21000.201183431953</v>
      </c>
      <c r="D58">
        <v>169</v>
      </c>
    </row>
    <row r="59" spans="1:5" x14ac:dyDescent="0.3">
      <c r="A59" s="51" t="s">
        <v>6632</v>
      </c>
      <c r="B59" s="52">
        <v>1003031</v>
      </c>
      <c r="C59" s="52">
        <v>24464.170731707316</v>
      </c>
      <c r="D59">
        <v>41</v>
      </c>
    </row>
    <row r="60" spans="1:5" x14ac:dyDescent="0.3">
      <c r="A60" s="51" t="s">
        <v>97</v>
      </c>
      <c r="B60" s="52">
        <v>3877402</v>
      </c>
      <c r="C60" s="52">
        <v>20624.478723404256</v>
      </c>
      <c r="D60">
        <v>188</v>
      </c>
    </row>
    <row r="61" spans="1:5" x14ac:dyDescent="0.3">
      <c r="A61" s="51" t="s">
        <v>6648</v>
      </c>
      <c r="B61" s="52">
        <v>26898236</v>
      </c>
      <c r="C61" s="52">
        <v>22102.083812654066</v>
      </c>
      <c r="D61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Hospitals</vt:lpstr>
      <vt:lpstr>clean admission billing</vt:lpstr>
      <vt:lpstr>Cleaned Visits</vt:lpstr>
      <vt:lpstr>Cleaned Departments_Location</vt:lpstr>
      <vt:lpstr>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parthibanm2929@gmail.com</cp:lastModifiedBy>
  <dcterms:created xsi:type="dcterms:W3CDTF">2026-08-24T19:12:04Z</dcterms:created>
  <dcterms:modified xsi:type="dcterms:W3CDTF">2026-09-11T07:04:35Z</dcterms:modified>
</cp:coreProperties>
</file>